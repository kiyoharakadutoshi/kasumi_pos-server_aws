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82BF9285-C425-40D2-9B10-5B34BE30FA4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0101" sheetId="9" r:id="rId3"/>
    <sheet name="SC0102" sheetId="7" r:id="rId4"/>
    <sheet name="MD0102" sheetId="11" r:id="rId5"/>
    <sheet name="SC0103" sheetId="12" r:id="rId6"/>
    <sheet name="テンプレート" sheetId="10" r:id="rId7"/>
  </sheets>
  <definedNames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10" l="1"/>
  <c r="Z4" i="10"/>
  <c r="H4" i="10"/>
  <c r="K2" i="10"/>
  <c r="A2" i="10"/>
  <c r="W1" i="10"/>
  <c r="AP4" i="12"/>
  <c r="Z4" i="12"/>
  <c r="H4" i="12"/>
  <c r="K2" i="12"/>
  <c r="A2" i="12"/>
  <c r="W1" i="12"/>
  <c r="AP4" i="11"/>
  <c r="Z4" i="11"/>
  <c r="H4" i="11"/>
  <c r="AT2" i="11"/>
  <c r="K2" i="11"/>
  <c r="A2" i="11"/>
  <c r="W1" i="11"/>
  <c r="AP4" i="7"/>
  <c r="Z4" i="7"/>
  <c r="H4" i="7"/>
  <c r="AP2" i="7"/>
  <c r="K2" i="7"/>
  <c r="A2" i="7"/>
  <c r="W1" i="7"/>
  <c r="AP4" i="9"/>
  <c r="Z4" i="9"/>
  <c r="H4" i="9"/>
  <c r="K2" i="9"/>
  <c r="A2" i="9"/>
  <c r="W1" i="9"/>
  <c r="AP4" i="3" a="1"/>
  <c r="AP4" i="3" s="1"/>
  <c r="Z4" i="3"/>
  <c r="H4" i="3"/>
  <c r="AP2" i="3"/>
  <c r="K2" i="3"/>
  <c r="A2" i="3"/>
  <c r="W1" i="3"/>
  <c r="L24" i="4"/>
  <c r="AP4" i="4" a="1"/>
  <c r="AP4" i="4" s="1"/>
  <c r="BH2" i="4"/>
  <c r="BH2" i="11" s="1"/>
  <c r="BC2" i="4"/>
  <c r="BC2" i="10" s="1"/>
  <c r="AY2" i="4"/>
  <c r="AY2" i="10" s="1"/>
  <c r="AT2" i="4"/>
  <c r="AT2" i="12" s="1"/>
  <c r="AP2" i="4"/>
  <c r="AP2" i="11" s="1"/>
  <c r="AP2" i="9" l="1"/>
  <c r="BH2" i="9"/>
  <c r="AT2" i="7"/>
  <c r="AY2" i="11"/>
  <c r="BC2" i="12"/>
  <c r="AP2" i="10"/>
  <c r="BH2" i="10"/>
  <c r="AT2" i="3"/>
  <c r="AT2" i="9"/>
  <c r="AY2" i="7"/>
  <c r="BC2" i="11"/>
  <c r="AP2" i="12"/>
  <c r="BH2" i="12"/>
  <c r="AT2" i="10"/>
  <c r="BH2" i="7"/>
  <c r="AY2" i="12"/>
  <c r="BH2" i="3"/>
  <c r="AY2" i="3"/>
  <c r="AY2" i="9"/>
  <c r="BC2" i="7"/>
  <c r="BC2" i="3"/>
  <c r="BC2" i="9"/>
</calcChain>
</file>

<file path=xl/sharedStrings.xml><?xml version="1.0" encoding="utf-8"?>
<sst xmlns="http://schemas.openxmlformats.org/spreadsheetml/2006/main" count="2361" uniqueCount="437">
  <si>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</si>
  <si>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</si>
  <si>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</si>
  <si>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</si>
  <si>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</si>
  <si>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</si>
  <si>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</si>
  <si>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</si>
  <si>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</si>
  <si>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</si>
  <si>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</si>
  <si>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</si>
  <si>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</si>
  <si>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</si>
  <si>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■画面項目定義</t>
    </r>
  </si>
  <si>
    <r>
      <rPr>
        <sz val="11"/>
        <color rgb="FF000000"/>
        <rFont val="Meiryo UI"/>
        <family val="2"/>
      </rPr>
      <t>画面項目ID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</si>
  <si>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</si>
  <si>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</si>
  <si>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</si>
  <si>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</si>
  <si>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</si>
  <si>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備考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</si>
  <si>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</si>
  <si>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初期値</t>
    </r>
  </si>
  <si>
    <r>
      <rPr>
        <sz val="11"/>
        <color rgb="FF000000"/>
        <rFont val="Meiryo UI"/>
        <family val="2"/>
      </rPr>
      <t>表示コントロール</t>
    </r>
  </si>
  <si>
    <r>
      <rPr>
        <sz val="11"/>
        <color rgb="FF000000"/>
        <rFont val="Meiryo UI"/>
        <family val="2"/>
      </rPr>
      <t>Control enable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</si>
  <si>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</si>
  <si>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数字</t>
    </r>
  </si>
  <si>
    <r>
      <rPr>
        <sz val="11"/>
        <color rgb="FF000000"/>
        <rFont val="Meiryo UI"/>
        <family val="2"/>
      </rPr>
      <t>桁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</si>
  <si>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</si>
  <si>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</si>
  <si>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</si>
  <si>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</si>
  <si>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</si>
  <si>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</si>
  <si>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</si>
  <si>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</si>
  <si>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</si>
  <si>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画面設計書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</si>
  <si>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</si>
  <si>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000000"/>
        <rFont val="Meiryo UI"/>
        <family val="2"/>
      </rPr>
      <t>■イメージ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</si>
  <si>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多言語</t>
    </r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</si>
  <si>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</si>
  <si>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01_商品管理</t>
    </r>
  </si>
  <si>
    <r>
      <rPr>
        <sz val="11"/>
        <color rgb="FF000000"/>
        <rFont val="Meiryo UI"/>
        <family val="2"/>
      </rPr>
      <t>画面タイトル</t>
    </r>
  </si>
  <si>
    <r>
      <rPr>
        <sz val="11"/>
        <color rgb="FF000000"/>
        <rFont val="Meiryo UI"/>
        <family val="2"/>
      </rPr>
      <t>商品情報エリア</t>
    </r>
  </si>
  <si>
    <r>
      <rPr>
        <sz val="11"/>
        <color rgb="FF000000"/>
        <rFont val="Meiryo UI"/>
        <family val="2"/>
      </rPr>
      <t>商品情報</t>
    </r>
  </si>
  <si>
    <r>
      <rPr>
        <sz val="11"/>
        <color rgb="FF00B050"/>
        <rFont val="Meiryo UI"/>
        <family val="3"/>
        <charset val="128"/>
      </rPr>
      <t>商品コード</t>
    </r>
  </si>
  <si>
    <r>
      <rPr>
        <sz val="11"/>
        <color rgb="FF00B050"/>
        <rFont val="Meiryo UI"/>
        <family val="3"/>
        <charset val="128"/>
      </rPr>
      <t>商品コード（タイトル）</t>
    </r>
  </si>
  <si>
    <r>
      <rPr>
        <sz val="11"/>
        <color rgb="FF00B050"/>
        <rFont val="Meiryo UI"/>
        <family val="3"/>
        <charset val="128"/>
      </rPr>
      <t>商品コード（値）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</si>
  <si>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</si>
  <si>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PLUコード（親）</t>
    </r>
  </si>
  <si>
    <r>
      <rPr>
        <sz val="11"/>
        <color rgb="FF00B050"/>
        <rFont val="Meiryo UI"/>
        <family val="3"/>
        <charset val="128"/>
      </rPr>
      <t>PLUコード(タイトル)</t>
    </r>
  </si>
  <si>
    <r>
      <rPr>
        <sz val="11"/>
        <color rgb="FF00B050"/>
        <rFont val="Meiryo UI"/>
        <family val="3"/>
        <charset val="128"/>
      </rPr>
      <t>PLUコード(値)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</si>
  <si>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</si>
  <si>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B050"/>
        <rFont val="Meiryo UI"/>
        <family val="3"/>
        <charset val="128"/>
      </rPr>
      <t>item_code</t>
    </r>
  </si>
  <si>
    <r>
      <rPr>
        <sz val="11"/>
        <color rgb="FF000000"/>
        <rFont val="Meiryo UI"/>
        <family val="2"/>
      </rPr>
      <t>税種別コード（タイトル）</t>
    </r>
  </si>
  <si>
    <r>
      <rPr>
        <sz val="11"/>
        <color rgb="FF000000"/>
        <rFont val="Meiryo UI"/>
        <family val="2"/>
      </rPr>
      <t>税種別コード（値）</t>
    </r>
  </si>
  <si>
    <r>
      <rPr>
        <sz val="11"/>
        <color rgb="FF000000"/>
        <rFont val="Meiryo UI"/>
        <family val="2"/>
      </rPr>
      <t>税種別コード</t>
    </r>
  </si>
  <si>
    <r>
      <rPr>
        <sz val="11"/>
        <color rgb="FF000000"/>
        <rFont val="Meiryo UI"/>
        <family val="2"/>
      </rPr>
      <t>税率（タイトル）</t>
    </r>
  </si>
  <si>
    <r>
      <rPr>
        <sz val="11"/>
        <color rgb="FF000000"/>
        <rFont val="Meiryo UI"/>
        <family val="2"/>
      </rPr>
      <t>税率（値）</t>
    </r>
  </si>
  <si>
    <r>
      <rPr>
        <sz val="11"/>
        <color rgb="FF000000"/>
        <rFont val="Meiryo UI"/>
        <family val="2"/>
      </rPr>
      <t>tax_rate</t>
    </r>
  </si>
  <si>
    <r>
      <rPr>
        <sz val="11"/>
        <color rgb="FF000000"/>
        <rFont val="Meiryo UI"/>
        <family val="2"/>
      </rPr>
      <t>税率</t>
    </r>
  </si>
  <si>
    <r>
      <rPr>
        <sz val="11"/>
        <color rgb="FF000000"/>
        <rFont val="Meiryo UI"/>
        <family val="2"/>
      </rPr>
      <t>フォーマット： {tax_rate}%</t>
    </r>
  </si>
  <si>
    <r>
      <rPr>
        <sz val="11"/>
        <color rgb="FF000000"/>
        <rFont val="Meiryo UI"/>
        <family val="2"/>
      </rPr>
      <t>部門（タイトル）</t>
    </r>
  </si>
  <si>
    <r>
      <rPr>
        <sz val="11"/>
        <color rgb="FF000000"/>
        <rFont val="Meiryo UI"/>
        <family val="2"/>
      </rPr>
      <t>部門(値)</t>
    </r>
  </si>
  <si>
    <r>
      <rPr>
        <sz val="11"/>
        <color rgb="FF000000"/>
        <rFont val="Meiryo UI"/>
        <family val="2"/>
      </rPr>
      <t>部門(名称）</t>
    </r>
  </si>
  <si>
    <r>
      <rPr>
        <sz val="11"/>
        <color rgb="FF000000"/>
        <rFont val="Meiryo UI"/>
        <family val="2"/>
      </rPr>
      <t>部門</t>
    </r>
  </si>
  <si>
    <r>
      <rPr>
        <sz val="11"/>
        <color rgb="FF000000"/>
        <rFont val="Meiryo UI"/>
        <family val="2"/>
      </rPr>
      <t>品群</t>
    </r>
  </si>
  <si>
    <r>
      <rPr>
        <sz val="11"/>
        <color rgb="FF000000"/>
        <rFont val="Meiryo UI"/>
        <family val="2"/>
      </rPr>
      <t>品群（タイトル）</t>
    </r>
  </si>
  <si>
    <r>
      <rPr>
        <sz val="11"/>
        <color rgb="FF000000"/>
        <rFont val="Meiryo UI"/>
        <family val="2"/>
      </rPr>
      <t>品群（値）</t>
    </r>
  </si>
  <si>
    <r>
      <rPr>
        <sz val="11"/>
        <color rgb="FF000000"/>
        <rFont val="Meiryo UI"/>
        <family val="2"/>
      </rPr>
      <t>品群（名称）</t>
    </r>
  </si>
  <si>
    <r>
      <rPr>
        <sz val="11"/>
        <color rgb="FF000000"/>
        <rFont val="Meiryo UI"/>
        <family val="2"/>
      </rPr>
      <t>品種</t>
    </r>
  </si>
  <si>
    <r>
      <rPr>
        <sz val="11"/>
        <color rgb="FF000000"/>
        <rFont val="Meiryo UI"/>
        <family val="2"/>
      </rPr>
      <t>品種（タイトル）</t>
    </r>
  </si>
  <si>
    <r>
      <rPr>
        <sz val="11"/>
        <color rgb="FF000000"/>
        <rFont val="Meiryo UI"/>
        <family val="2"/>
      </rPr>
      <t>品種（値）</t>
    </r>
  </si>
  <si>
    <r>
      <rPr>
        <sz val="11"/>
        <color rgb="FF000000"/>
        <rFont val="Meiryo UI"/>
        <family val="2"/>
      </rPr>
      <t>品種（名称）</t>
    </r>
  </si>
  <si>
    <r>
      <rPr>
        <sz val="11"/>
        <color rgb="FF000000"/>
        <rFont val="Meiryo UI"/>
        <family val="2"/>
      </rPr>
      <t>分類（タイトル）</t>
    </r>
  </si>
  <si>
    <r>
      <rPr>
        <sz val="11"/>
        <color rgb="FF000000"/>
        <rFont val="Meiryo UI"/>
        <family val="2"/>
      </rPr>
      <t>分類（値）</t>
    </r>
  </si>
  <si>
    <r>
      <rPr>
        <sz val="11"/>
        <color rgb="FF000000"/>
        <rFont val="Meiryo UI"/>
        <family val="2"/>
      </rPr>
      <t>分類（名称）</t>
    </r>
  </si>
  <si>
    <r>
      <rPr>
        <sz val="11"/>
        <color rgb="FF000000"/>
        <rFont val="Meiryo UI"/>
        <family val="2"/>
      </rPr>
      <t>分類</t>
    </r>
  </si>
  <si>
    <r>
      <rPr>
        <sz val="11"/>
        <color rgb="FF000000"/>
        <rFont val="Meiryo UI"/>
        <family val="2"/>
      </rPr>
      <t>定番売価</t>
    </r>
  </si>
  <si>
    <r>
      <rPr>
        <sz val="11"/>
        <color rgb="FF000000"/>
        <rFont val="Meiryo UI"/>
        <family val="2"/>
      </rPr>
      <t>会員売価</t>
    </r>
  </si>
  <si>
    <r>
      <rPr>
        <sz val="11"/>
        <color rgb="FF000000"/>
        <rFont val="Meiryo UI"/>
        <family val="2"/>
      </rPr>
      <t>原価</t>
    </r>
  </si>
  <si>
    <r>
      <rPr>
        <sz val="11"/>
        <color rgb="FF000000"/>
        <rFont val="Meiryo UI"/>
        <family val="2"/>
      </rPr>
      <t>standar_pride</t>
    </r>
  </si>
  <si>
    <r>
      <rPr>
        <sz val="11"/>
        <color rgb="FF00B050"/>
        <rFont val="Meiryo UI"/>
        <family val="3"/>
        <charset val="128"/>
      </rPr>
      <t>定番売価(タイトル)</t>
    </r>
  </si>
  <si>
    <r>
      <rPr>
        <sz val="11"/>
        <color rgb="FF00B050"/>
        <rFont val="Meiryo UI"/>
        <family val="3"/>
        <charset val="128"/>
      </rPr>
      <t>定番売価(値)</t>
    </r>
  </si>
  <si>
    <r>
      <rPr>
        <sz val="11"/>
        <color rgb="FF000000"/>
        <rFont val="Meiryo UI"/>
        <family val="2"/>
      </rPr>
      <t>会員価格（タイトル）</t>
    </r>
  </si>
  <si>
    <r>
      <rPr>
        <sz val="11"/>
        <color rgb="FF000000"/>
        <rFont val="Meiryo UI"/>
        <family val="2"/>
      </rPr>
      <t>会員価格（値）</t>
    </r>
  </si>
  <si>
    <r>
      <rPr>
        <sz val="11"/>
        <color rgb="FF000000"/>
        <rFont val="Meiryo UI"/>
        <family val="2"/>
      </rPr>
      <t>原価（タイトル）</t>
    </r>
  </si>
  <si>
    <r>
      <rPr>
        <sz val="11"/>
        <color rgb="FF000000"/>
        <rFont val="Meiryo UI"/>
        <family val="2"/>
      </rPr>
      <t>原価（値）</t>
    </r>
  </si>
  <si>
    <r>
      <rPr>
        <sz val="11"/>
        <color rgb="FF000000"/>
        <rFont val="Meiryo UI"/>
        <family val="2"/>
      </rPr>
      <t>商品名称</t>
    </r>
  </si>
  <si>
    <r>
      <rPr>
        <sz val="11"/>
        <color rgb="FF000000"/>
        <rFont val="Meiryo UI"/>
        <family val="2"/>
      </rPr>
      <t>レシート商品名称</t>
    </r>
  </si>
  <si>
    <r>
      <rPr>
        <sz val="11"/>
        <color rgb="FF000000"/>
        <rFont val="Meiryo UI"/>
        <family val="2"/>
      </rPr>
      <t>カナ名称</t>
    </r>
  </si>
  <si>
    <r>
      <rPr>
        <sz val="11"/>
        <color rgb="FF00B050"/>
        <rFont val="Meiryo UI"/>
        <family val="3"/>
        <charset val="128"/>
      </rPr>
      <t>商品名称（タイトル）</t>
    </r>
  </si>
  <si>
    <r>
      <rPr>
        <sz val="11"/>
        <color rgb="FF00B050"/>
        <rFont val="Meiryo UI"/>
        <family val="3"/>
        <charset val="128"/>
      </rPr>
      <t>商品名称（値）</t>
    </r>
  </si>
  <si>
    <r>
      <rPr>
        <sz val="11"/>
        <color rgb="FF000000"/>
        <rFont val="Meiryo UI"/>
        <family val="2"/>
      </rPr>
      <t>レシート商品名称（タイトル）</t>
    </r>
  </si>
  <si>
    <r>
      <rPr>
        <sz val="11"/>
        <color rgb="FF000000"/>
        <rFont val="Meiryo UI"/>
        <family val="2"/>
      </rPr>
      <t>レシート商品名称（値）</t>
    </r>
  </si>
  <si>
    <r>
      <rPr>
        <sz val="11"/>
        <color rgb="FF000000"/>
        <rFont val="Meiryo UI"/>
        <family val="2"/>
      </rPr>
      <t>カナ名称（タイトル）</t>
    </r>
  </si>
  <si>
    <r>
      <rPr>
        <sz val="11"/>
        <color rgb="FF000000"/>
        <rFont val="Meiryo UI"/>
        <family val="2"/>
      </rPr>
      <t>カナ名称（値）</t>
    </r>
  </si>
  <si>
    <r>
      <rPr>
        <sz val="11"/>
        <color rgb="FF000000"/>
        <rFont val="Meiryo UI"/>
        <family val="2"/>
      </rPr>
      <t>小計マニュアル割引き除外（タイトル）</t>
    </r>
  </si>
  <si>
    <r>
      <rPr>
        <sz val="11"/>
        <color rgb="FF000000"/>
        <rFont val="Meiryo UI"/>
        <family val="2"/>
      </rPr>
      <t>単品値引き除外（タイトル）</t>
    </r>
  </si>
  <si>
    <r>
      <rPr>
        <sz val="11"/>
        <color rgb="FF000000"/>
        <rFont val="Meiryo UI"/>
        <family val="2"/>
      </rPr>
      <t>単品値引き除外（値）</t>
    </r>
  </si>
  <si>
    <r>
      <rPr>
        <sz val="11"/>
        <color rgb="FF000000"/>
        <rFont val="Meiryo UI"/>
        <family val="2"/>
      </rPr>
      <t>小計マニュアル割引き除外（値）</t>
    </r>
  </si>
  <si>
    <r>
      <rPr>
        <sz val="11"/>
        <color rgb="FF000000"/>
        <rFont val="Meiryo UI"/>
        <family val="2"/>
      </rPr>
      <t>会員価格方式（タイトル）</t>
    </r>
  </si>
  <si>
    <r>
      <rPr>
        <sz val="11"/>
        <color rgb="FF000000"/>
        <rFont val="Meiryo UI"/>
        <family val="2"/>
      </rPr>
      <t>会員価格方式（値）</t>
    </r>
  </si>
  <si>
    <r>
      <rPr>
        <sz val="11"/>
        <color rgb="FF000000"/>
        <rFont val="Meiryo UI"/>
        <family val="2"/>
      </rPr>
      <t>登録日（タイトル）</t>
    </r>
  </si>
  <si>
    <r>
      <rPr>
        <sz val="11"/>
        <color rgb="FF000000"/>
        <rFont val="Meiryo UI"/>
        <family val="2"/>
      </rPr>
      <t>登録日（値）</t>
    </r>
  </si>
  <si>
    <r>
      <rPr>
        <sz val="11"/>
        <color rgb="FF000000"/>
        <rFont val="Meiryo UI"/>
        <family val="2"/>
      </rPr>
      <t>更新日（タイトル）</t>
    </r>
  </si>
  <si>
    <r>
      <rPr>
        <sz val="11"/>
        <color rgb="FF000000"/>
        <rFont val="Meiryo UI"/>
        <family val="2"/>
      </rPr>
      <t>更新日（値）</t>
    </r>
  </si>
  <si>
    <r>
      <rPr>
        <sz val="11"/>
        <color rgb="FF000000"/>
        <rFont val="Meiryo UI"/>
        <family val="2"/>
      </rPr>
      <t>更新者（タイトル）</t>
    </r>
  </si>
  <si>
    <r>
      <rPr>
        <sz val="11"/>
        <color rgb="FF000000"/>
        <rFont val="Meiryo UI"/>
        <family val="2"/>
      </rPr>
      <t>更新者（値）</t>
    </r>
  </si>
  <si>
    <r>
      <rPr>
        <sz val="11"/>
        <color rgb="FF000000"/>
        <rFont val="Meiryo UI"/>
        <family val="2"/>
      </rPr>
      <t>単品値引き除外</t>
    </r>
  </si>
  <si>
    <r>
      <rPr>
        <sz val="11"/>
        <color rgb="FF000000"/>
        <rFont val="Meiryo UI"/>
        <family val="2"/>
      </rPr>
      <t>小計マニュアル値引き除外</t>
    </r>
  </si>
  <si>
    <r>
      <rPr>
        <sz val="11"/>
        <color rgb="FF000000"/>
        <rFont val="Meiryo UI"/>
        <family val="2"/>
      </rPr>
      <t>会員価格方式</t>
    </r>
  </si>
  <si>
    <r>
      <rPr>
        <sz val="11"/>
        <color rgb="FF000000"/>
        <rFont val="Meiryo UI"/>
        <family val="2"/>
      </rPr>
      <t>登録日</t>
    </r>
  </si>
  <si>
    <r>
      <rPr>
        <sz val="11"/>
        <color rgb="FF000000"/>
        <rFont val="Meiryo UI"/>
        <family val="2"/>
      </rPr>
      <t>更新日</t>
    </r>
  </si>
  <si>
    <r>
      <rPr>
        <sz val="11"/>
        <color rgb="FF000000"/>
        <rFont val="Meiryo UI"/>
        <family val="2"/>
      </rPr>
      <t>更新者</t>
    </r>
  </si>
  <si>
    <r>
      <rPr>
        <sz val="11"/>
        <color rgb="FF000000"/>
        <rFont val="Meiryo UI"/>
        <family val="2"/>
      </rPr>
      <t>フォーマット: yyyy/mm/dd</t>
    </r>
  </si>
  <si>
    <r>
      <rPr>
        <sz val="11"/>
        <color rgb="FF000000"/>
        <rFont val="Meiryo UI"/>
        <family val="2"/>
      </rPr>
      <t>フォーマット：{member_pride_method_type}:{member_pride_method_name}</t>
    </r>
  </si>
  <si>
    <r>
      <rPr>
        <sz val="11"/>
        <color rgb="FF000000"/>
        <rFont val="Meiryo UI"/>
        <family val="2"/>
      </rPr>
      <t>子JAN情報</t>
    </r>
  </si>
  <si>
    <r>
      <rPr>
        <sz val="11"/>
        <color rgb="FF000000"/>
        <rFont val="Meiryo UI"/>
        <family val="2"/>
      </rPr>
      <t>No（タイトル）</t>
    </r>
  </si>
  <si>
    <r>
      <rPr>
        <sz val="11"/>
        <color rgb="FF000000"/>
        <rFont val="Meiryo UI"/>
        <family val="2"/>
      </rPr>
      <t>No（値）</t>
    </r>
  </si>
  <si>
    <r>
      <rPr>
        <sz val="11"/>
        <color rgb="FF000000"/>
        <rFont val="Meiryo UI"/>
        <family val="2"/>
      </rPr>
      <t>PLUコード</t>
    </r>
  </si>
  <si>
    <r>
      <rPr>
        <sz val="11"/>
        <color rgb="FF000000"/>
        <rFont val="Meiryo UI"/>
        <family val="2"/>
      </rPr>
      <t>子JANのPLUコード（タイトル）</t>
    </r>
  </si>
  <si>
    <r>
      <rPr>
        <sz val="11"/>
        <color rgb="FF000000"/>
        <rFont val="Meiryo UI"/>
        <family val="2"/>
      </rPr>
      <t>子JANのPLUコード（値）</t>
    </r>
  </si>
  <si>
    <r>
      <rPr>
        <sz val="11"/>
        <color rgb="FF000000"/>
        <rFont val="Meiryo UI"/>
        <family val="2"/>
      </rPr>
      <t>No</t>
    </r>
  </si>
  <si>
    <r>
      <rPr>
        <sz val="11"/>
        <color rgb="FF000000"/>
        <rFont val="Meiryo UI"/>
        <family val="2"/>
      </rPr>
      <t>POP情報</t>
    </r>
  </si>
  <si>
    <r>
      <rPr>
        <sz val="11"/>
        <color rgb="FF000000"/>
        <rFont val="Meiryo UI"/>
        <family val="2"/>
      </rPr>
      <t>POP用情報</t>
    </r>
  </si>
  <si>
    <r>
      <rPr>
        <sz val="11"/>
        <color rgb="FF000000"/>
        <rFont val="Meiryo UI"/>
        <family val="2"/>
      </rPr>
      <t>発注入り数</t>
    </r>
  </si>
  <si>
    <r>
      <rPr>
        <sz val="11"/>
        <color rgb="FF000000"/>
        <rFont val="Meiryo UI"/>
        <family val="2"/>
      </rPr>
      <t>発注単位</t>
    </r>
  </si>
  <si>
    <r>
      <rPr>
        <sz val="11"/>
        <color rgb="FF000000"/>
        <rFont val="Meiryo UI"/>
        <family val="2"/>
      </rPr>
      <t>ユニット数</t>
    </r>
  </si>
  <si>
    <r>
      <rPr>
        <sz val="11"/>
        <color rgb="FF000000"/>
        <rFont val="Meiryo UI"/>
        <family val="2"/>
      </rPr>
      <t>ユニット単位</t>
    </r>
  </si>
  <si>
    <r>
      <rPr>
        <sz val="11"/>
        <color rgb="FF000000"/>
        <rFont val="Meiryo UI"/>
        <family val="2"/>
      </rPr>
      <t>規格数</t>
    </r>
  </si>
  <si>
    <r>
      <rPr>
        <sz val="11"/>
        <color rgb="FF000000"/>
        <rFont val="Meiryo UI"/>
        <family val="2"/>
      </rPr>
      <t>規格単位</t>
    </r>
  </si>
  <si>
    <r>
      <rPr>
        <sz val="11"/>
        <color rgb="FF000000"/>
        <rFont val="Meiryo UI"/>
        <family val="2"/>
      </rPr>
      <t>保存期限</t>
    </r>
  </si>
  <si>
    <r>
      <rPr>
        <sz val="11"/>
        <color rgb="FF000000"/>
        <rFont val="Meiryo UI"/>
        <family val="2"/>
      </rPr>
      <t>保存単位</t>
    </r>
  </si>
  <si>
    <r>
      <rPr>
        <sz val="11"/>
        <color rgb="FF000000"/>
        <rFont val="Meiryo UI"/>
        <family val="2"/>
      </rPr>
      <t>取引先コード</t>
    </r>
  </si>
  <si>
    <r>
      <rPr>
        <sz val="11"/>
        <color rgb="FF000000"/>
        <rFont val="Meiryo UI"/>
        <family val="2"/>
      </rPr>
      <t>発注入り数（タイトル）</t>
    </r>
  </si>
  <si>
    <r>
      <rPr>
        <sz val="11"/>
        <color rgb="FF000000"/>
        <rFont val="Meiryo UI"/>
        <family val="2"/>
      </rPr>
      <t>発注入り数（値）</t>
    </r>
  </si>
  <si>
    <r>
      <rPr>
        <sz val="11"/>
        <color rgb="FF000000"/>
        <rFont val="Meiryo UI"/>
        <family val="2"/>
      </rPr>
      <t>ユニット数（タイトル）</t>
    </r>
  </si>
  <si>
    <r>
      <rPr>
        <sz val="11"/>
        <color rgb="FF000000"/>
        <rFont val="Meiryo UI"/>
        <family val="2"/>
      </rPr>
      <t>ユニット数（値）</t>
    </r>
  </si>
  <si>
    <r>
      <rPr>
        <sz val="11"/>
        <color rgb="FF000000"/>
        <rFont val="Meiryo UI"/>
        <family val="2"/>
      </rPr>
      <t>発注単位（タイトル）</t>
    </r>
  </si>
  <si>
    <r>
      <rPr>
        <sz val="11"/>
        <color rgb="FF000000"/>
        <rFont val="Meiryo UI"/>
        <family val="2"/>
      </rPr>
      <t>発注単位（値）</t>
    </r>
  </si>
  <si>
    <r>
      <rPr>
        <sz val="11"/>
        <color rgb="FF000000"/>
        <rFont val="Meiryo UI"/>
        <family val="2"/>
      </rPr>
      <t>ユニット単位（タイトル）</t>
    </r>
  </si>
  <si>
    <r>
      <rPr>
        <sz val="11"/>
        <color rgb="FF000000"/>
        <rFont val="Meiryo UI"/>
        <family val="2"/>
      </rPr>
      <t>ユニット単位（値）</t>
    </r>
  </si>
  <si>
    <r>
      <rPr>
        <sz val="11"/>
        <color rgb="FF000000"/>
        <rFont val="Meiryo UI"/>
        <family val="2"/>
      </rPr>
      <t>規格数（タイトル）</t>
    </r>
  </si>
  <si>
    <r>
      <rPr>
        <sz val="11"/>
        <color rgb="FF000000"/>
        <rFont val="Meiryo UI"/>
        <family val="2"/>
      </rPr>
      <t>規格数（値）</t>
    </r>
  </si>
  <si>
    <r>
      <rPr>
        <sz val="11"/>
        <color rgb="FF000000"/>
        <rFont val="Meiryo UI"/>
        <family val="2"/>
      </rPr>
      <t>規格単位（タイトル）</t>
    </r>
  </si>
  <si>
    <r>
      <rPr>
        <sz val="11"/>
        <color rgb="FF000000"/>
        <rFont val="Meiryo UI"/>
        <family val="2"/>
      </rPr>
      <t>規格単位（値）</t>
    </r>
  </si>
  <si>
    <r>
      <rPr>
        <sz val="11"/>
        <color rgb="FF000000"/>
        <rFont val="Meiryo UI"/>
        <family val="2"/>
      </rPr>
      <t>保存期間（タイトル）</t>
    </r>
  </si>
  <si>
    <r>
      <rPr>
        <sz val="11"/>
        <color rgb="FF000000"/>
        <rFont val="Meiryo UI"/>
        <family val="2"/>
      </rPr>
      <t>保存期間（値）</t>
    </r>
  </si>
  <si>
    <r>
      <rPr>
        <sz val="11"/>
        <color rgb="FF000000"/>
        <rFont val="Meiryo UI"/>
        <family val="2"/>
      </rPr>
      <t>保存単位（タイトル）</t>
    </r>
  </si>
  <si>
    <r>
      <rPr>
        <sz val="11"/>
        <color rgb="FF000000"/>
        <rFont val="Meiryo UI"/>
        <family val="2"/>
      </rPr>
      <t>保存単位（値）</t>
    </r>
  </si>
  <si>
    <r>
      <rPr>
        <sz val="11"/>
        <color rgb="FF000000"/>
        <rFont val="Meiryo UI"/>
        <family val="2"/>
      </rPr>
      <t>取引先コード（タイトル）</t>
    </r>
  </si>
  <si>
    <r>
      <rPr>
        <sz val="11"/>
        <color rgb="FF000000"/>
        <rFont val="Meiryo UI"/>
        <family val="2"/>
      </rPr>
      <t>取引先コード（値）</t>
    </r>
  </si>
  <si>
    <r>
      <rPr>
        <sz val="11"/>
        <color rgb="FF000000"/>
        <rFont val="Meiryo UI"/>
        <family val="2"/>
      </rPr>
      <t>取消</t>
    </r>
  </si>
  <si>
    <r>
      <rPr>
        <sz val="11"/>
        <color rgb="FF000000"/>
        <rFont val="Meiryo UI"/>
        <family val="2"/>
      </rPr>
      <t>削除</t>
    </r>
  </si>
  <si>
    <r>
      <rPr>
        <sz val="11"/>
        <color rgb="FF000000"/>
        <rFont val="Meiryo UI"/>
        <family val="2"/>
      </rPr>
      <t>「確定」</t>
    </r>
  </si>
  <si>
    <r>
      <rPr>
        <sz val="11"/>
        <color rgb="FF000000"/>
        <rFont val="Meiryo UI"/>
        <family val="2"/>
      </rPr>
      <t>number_of_order</t>
    </r>
  </si>
  <si>
    <r>
      <rPr>
        <sz val="11"/>
        <color rgb="FF000000"/>
        <rFont val="Meiryo UI"/>
        <family val="2"/>
      </rPr>
      <t>order_unit</t>
    </r>
  </si>
  <si>
    <r>
      <rPr>
        <sz val="11"/>
        <color rgb="FF000000"/>
        <rFont val="Meiryo UI"/>
        <family val="2"/>
      </rPr>
      <t>number_of_unit</t>
    </r>
  </si>
  <si>
    <r>
      <rPr>
        <sz val="11"/>
        <color rgb="FF000000"/>
        <rFont val="Meiryo UI"/>
        <family val="2"/>
      </rPr>
      <t>unit</t>
    </r>
  </si>
  <si>
    <r>
      <rPr>
        <sz val="11"/>
        <color rgb="FF000000"/>
        <rFont val="Meiryo UI"/>
        <family val="2"/>
      </rPr>
      <t>standard_number</t>
    </r>
  </si>
  <si>
    <r>
      <rPr>
        <sz val="11"/>
        <color rgb="FF000000"/>
        <rFont val="Meiryo UI"/>
        <family val="2"/>
      </rPr>
      <t>standard_unit</t>
    </r>
  </si>
  <si>
    <r>
      <rPr>
        <sz val="11"/>
        <color rgb="FF000000"/>
        <rFont val="Meiryo UI"/>
        <family val="2"/>
      </rPr>
      <t>stogared_time</t>
    </r>
  </si>
  <si>
    <r>
      <rPr>
        <sz val="11"/>
        <color rgb="FF000000"/>
        <rFont val="Meiryo UI"/>
        <family val="2"/>
      </rPr>
      <t>stogared_unit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</si>
  <si>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</si>
  <si>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F9:確定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</si>
  <si>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</si>
  <si>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削除（タイトル）</t>
    </r>
  </si>
  <si>
    <r>
      <rPr>
        <sz val="11"/>
        <color rgb="FF000000"/>
        <rFont val="Meiryo UI"/>
        <family val="2"/>
      </rPr>
      <t>削除（値）</t>
    </r>
  </si>
  <si>
    <r>
      <rPr>
        <sz val="11"/>
        <color rgb="FF000000"/>
        <rFont val="Meiryo UI"/>
        <family val="2"/>
      </rPr>
      <t>子JAN追加</t>
    </r>
  </si>
  <si>
    <r>
      <rPr>
        <sz val="11"/>
        <color rgb="FF000000"/>
        <rFont val="Meiryo UI"/>
        <family val="2"/>
      </rPr>
      <t>I</t>
    </r>
  </si>
  <si>
    <t>+</t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</si>
  <si>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SC0101-01</t>
    </r>
  </si>
  <si>
    <r>
      <rPr>
        <sz val="11"/>
        <color rgb="FF000000"/>
        <rFont val="Meiryo UI"/>
        <family val="2"/>
      </rPr>
      <t>リロード</t>
    </r>
  </si>
  <si>
    <r>
      <rPr>
        <sz val="11"/>
        <color rgb="FF000000"/>
        <rFont val="Meiryo UI"/>
        <family val="2"/>
      </rPr>
      <t>印刷</t>
    </r>
  </si>
  <si>
    <r>
      <rPr>
        <sz val="11"/>
        <color rgb="FF000000"/>
        <rFont val="Meiryo UI"/>
        <family val="2"/>
      </rPr>
      <t>部門コード*</t>
    </r>
  </si>
  <si>
    <r>
      <rPr>
        <sz val="11"/>
        <color rgb="FF00B050"/>
        <rFont val="Meiryo UI"/>
        <family val="3"/>
        <charset val="128"/>
      </rPr>
      <t>AP1506</t>
    </r>
  </si>
  <si>
    <r>
      <rPr>
        <sz val="11"/>
        <color rgb="FF000000"/>
        <rFont val="Meiryo UI"/>
        <family val="2"/>
      </rPr>
      <t>my_company_code (最初の6桁)</t>
    </r>
  </si>
  <si>
    <r>
      <rPr>
        <sz val="11"/>
        <color rgb="FF000000"/>
        <rFont val="Meiryo UI"/>
        <family val="2"/>
      </rPr>
      <t>my_company_code (最後の6桁)</t>
    </r>
  </si>
  <si>
    <r>
      <rPr>
        <sz val="11"/>
        <color rgb="FF00B050"/>
        <rFont val="Meiryo UI"/>
        <family val="3"/>
        <charset val="128"/>
      </rPr>
      <t>unit_price</t>
    </r>
  </si>
  <si>
    <r>
      <rPr>
        <sz val="11"/>
        <color rgb="FF00B050"/>
        <rFont val="Meiryo UI"/>
        <family val="3"/>
        <charset val="128"/>
      </rPr>
      <t>desciption</t>
    </r>
  </si>
  <si>
    <r>
      <rPr>
        <sz val="11"/>
        <color rgb="FF000000"/>
        <rFont val="Meiryo UI"/>
        <family val="2"/>
      </rPr>
      <t>緊急売価</t>
    </r>
  </si>
  <si>
    <r>
      <rPr>
        <sz val="11"/>
        <color rgb="FF000000"/>
        <rFont val="Meiryo UI"/>
        <family val="2"/>
      </rPr>
      <t>緊急売価(タイトル)</t>
    </r>
  </si>
  <si>
    <r>
      <rPr>
        <sz val="11"/>
        <color rgb="FF000000"/>
        <rFont val="Meiryo UI"/>
        <family val="2"/>
      </rPr>
      <t>緊急売価(値)</t>
    </r>
  </si>
  <si>
    <r>
      <rPr>
        <sz val="11"/>
        <color rgb="FF000000"/>
        <rFont val="Meiryo UI"/>
        <family val="2"/>
      </rPr>
      <t>緊急売価設定ありの場合のみに表示する。</t>
    </r>
  </si>
  <si>
    <r>
      <rPr>
        <sz val="11"/>
        <color rgb="FF000000"/>
        <rFont val="Meiryo UI"/>
        <family val="2"/>
      </rPr>
      <t>商品管理詳細</t>
    </r>
  </si>
  <si>
    <r>
      <rPr>
        <sz val="11"/>
        <color rgb="FF000000"/>
        <rFont val="Meiryo UI"/>
        <family val="2"/>
      </rPr>
      <t>部門コード(値)</t>
    </r>
  </si>
  <si>
    <r>
      <rPr>
        <sz val="11"/>
        <color rgb="FF000000"/>
        <rFont val="Meiryo UI"/>
        <family val="2"/>
      </rPr>
      <t>部門コード(タイトル)</t>
    </r>
  </si>
  <si>
    <r>
      <rPr>
        <sz val="11"/>
        <color rgb="FF000000"/>
        <rFont val="Meiryo UI"/>
        <family val="2"/>
      </rPr>
      <t>商品詳細情報</t>
    </r>
  </si>
  <si>
    <r>
      <rPr>
        <sz val="11"/>
        <color rgb="FF000000"/>
        <rFont val="Meiryo UI"/>
        <family val="2"/>
      </rPr>
      <t>緊急売価変更</t>
    </r>
  </si>
  <si>
    <r>
      <rPr>
        <sz val="11"/>
        <color rgb="FF000000"/>
        <rFont val="Meiryo UI"/>
        <family val="2"/>
      </rPr>
      <t>特売新規</t>
    </r>
  </si>
  <si>
    <r>
      <rPr>
        <sz val="11"/>
        <color rgb="FF000000"/>
        <rFont val="Meiryo UI"/>
        <family val="2"/>
      </rPr>
      <t>ミックスマッチ新規</t>
    </r>
  </si>
  <si>
    <r>
      <rPr>
        <sz val="11"/>
        <color rgb="FF000000"/>
        <rFont val="Meiryo UI"/>
        <family val="2"/>
      </rPr>
      <t>編集</t>
    </r>
  </si>
  <si>
    <r>
      <rPr>
        <sz val="11"/>
        <color rgb="FF000000"/>
        <rFont val="Meiryo UI"/>
        <family val="2"/>
      </rPr>
      <t>状態（タイトル）</t>
    </r>
  </si>
  <si>
    <r>
      <rPr>
        <sz val="11"/>
        <color rgb="FF000000"/>
        <rFont val="Meiryo UI"/>
        <family val="2"/>
      </rPr>
      <t>状態</t>
    </r>
  </si>
  <si>
    <r>
      <rPr>
        <sz val="11"/>
        <color rgb="FF000000"/>
        <rFont val="Meiryo UI"/>
        <family val="2"/>
      </rPr>
      <t>状態（値）</t>
    </r>
  </si>
  <si>
    <r>
      <rPr>
        <sz val="11"/>
        <color rgb="FF000000"/>
        <rFont val="Meiryo UI"/>
        <family val="2"/>
      </rPr>
      <t>種別</t>
    </r>
  </si>
  <si>
    <r>
      <rPr>
        <sz val="11"/>
        <color rgb="FF000000"/>
        <rFont val="Meiryo UI"/>
        <family val="2"/>
      </rPr>
      <t>種別(タイトル)</t>
    </r>
  </si>
  <si>
    <r>
      <rPr>
        <sz val="11"/>
        <color rgb="FF000000"/>
        <rFont val="Meiryo UI"/>
        <family val="2"/>
      </rPr>
      <t>種別(値)</t>
    </r>
  </si>
  <si>
    <r>
      <rPr>
        <sz val="11"/>
        <color rgb="FF000000"/>
        <rFont val="Meiryo UI"/>
        <family val="2"/>
      </rPr>
      <t>プロモーション(タイトル)</t>
    </r>
  </si>
  <si>
    <r>
      <rPr>
        <sz val="11"/>
        <color rgb="FF000000"/>
        <rFont val="Meiryo UI"/>
        <family val="2"/>
      </rPr>
      <t>プロモーション(値)</t>
    </r>
  </si>
  <si>
    <r>
      <rPr>
        <sz val="11"/>
        <color rgb="FF000000"/>
        <rFont val="Meiryo UI"/>
        <family val="2"/>
      </rPr>
      <t>ミックスマッチ</t>
    </r>
  </si>
  <si>
    <r>
      <rPr>
        <sz val="11"/>
        <color rgb="FF000000"/>
        <rFont val="Meiryo UI"/>
        <family val="2"/>
      </rPr>
      <t>期間</t>
    </r>
  </si>
  <si>
    <r>
      <rPr>
        <sz val="11"/>
        <color rgb="FF000000"/>
        <rFont val="Meiryo UI"/>
        <family val="2"/>
      </rPr>
      <t>期間（タイトル）</t>
    </r>
  </si>
  <si>
    <r>
      <rPr>
        <sz val="11"/>
        <color rgb="FF000000"/>
        <rFont val="Meiryo UI"/>
        <family val="2"/>
      </rPr>
      <t>期間（値）</t>
    </r>
  </si>
  <si>
    <r>
      <rPr>
        <sz val="11"/>
        <color rgb="FF000000"/>
        <rFont val="Meiryo UI"/>
        <family val="2"/>
      </rPr>
      <t>フォーマット:{yy/mm/dd hh:mm:ss}~{yy/mm/dd hh:mm:ss}</t>
    </r>
  </si>
  <si>
    <r>
      <rPr>
        <sz val="11"/>
        <color rgb="FF000000"/>
        <rFont val="Meiryo UI"/>
        <family val="2"/>
      </rPr>
      <t>売価情報</t>
    </r>
  </si>
  <si>
    <r>
      <rPr>
        <sz val="11"/>
        <color rgb="FF000000"/>
        <rFont val="Meiryo UI"/>
        <family val="2"/>
      </rPr>
      <t>売価情報（タイトル）</t>
    </r>
  </si>
  <si>
    <r>
      <rPr>
        <sz val="11"/>
        <color rgb="FF000000"/>
        <rFont val="Meiryo UI"/>
        <family val="2"/>
      </rPr>
      <t>売価情報（値）</t>
    </r>
  </si>
  <si>
    <r>
      <rPr>
        <sz val="11"/>
        <color rgb="FF000000"/>
        <rFont val="Meiryo UI"/>
        <family val="2"/>
      </rPr>
      <t>status</t>
    </r>
  </si>
  <si>
    <r>
      <rPr>
        <sz val="11"/>
        <color rgb="FF000000"/>
        <rFont val="Meiryo UI"/>
        <family val="2"/>
      </rPr>
      <t>promotion_code</t>
    </r>
  </si>
  <si>
    <r>
      <rPr>
        <sz val="11"/>
        <color rgb="FF000000"/>
        <rFont val="Meiryo UI"/>
        <family val="2"/>
      </rPr>
      <t>ミックスマッチコード(値)</t>
    </r>
  </si>
  <si>
    <r>
      <rPr>
        <sz val="11"/>
        <color rgb="FF000000"/>
        <rFont val="Meiryo UI"/>
        <family val="2"/>
      </rPr>
      <t>ミックスマッチコード(タイトル)</t>
    </r>
  </si>
  <si>
    <r>
      <rPr>
        <sz val="11"/>
        <color rgb="FF000000"/>
        <rFont val="Meiryo UI"/>
        <family val="2"/>
      </rPr>
      <t>combination_options.code</t>
    </r>
  </si>
  <si>
    <r>
      <rPr>
        <sz val="11"/>
        <color rgb="FF000000"/>
        <rFont val="Meiryo UI"/>
        <family val="2"/>
      </rPr>
      <t>tax_group_code</t>
    </r>
  </si>
  <si>
    <r>
      <rPr>
        <sz val="11"/>
        <color rgb="FF000000"/>
        <rFont val="Meiryo UI"/>
        <family val="2"/>
      </rPr>
      <t>member_pride</t>
    </r>
  </si>
  <si>
    <r>
      <rPr>
        <sz val="11"/>
        <color rgb="FF000000"/>
        <rFont val="Meiryo UI"/>
        <family val="2"/>
      </rPr>
      <t>original_price</t>
    </r>
  </si>
  <si>
    <r>
      <rPr>
        <sz val="11"/>
        <color rgb="FF000000"/>
        <rFont val="Meiryo UI"/>
        <family val="2"/>
      </rPr>
      <t>product_name</t>
    </r>
  </si>
  <si>
    <r>
      <rPr>
        <sz val="11"/>
        <color rgb="FF000000"/>
        <rFont val="Meiryo UI"/>
        <family val="2"/>
      </rPr>
      <t>receipt_name</t>
    </r>
  </si>
  <si>
    <r>
      <rPr>
        <sz val="11"/>
        <color rgb="FF000000"/>
        <rFont val="Meiryo UI"/>
        <family val="2"/>
      </rPr>
      <t>kana_name</t>
    </r>
  </si>
  <si>
    <r>
      <rPr>
        <sz val="11"/>
        <color rgb="FF000000"/>
        <rFont val="Meiryo UI"/>
        <family val="2"/>
      </rPr>
      <t>is_item_manual_discount_prohibition</t>
    </r>
  </si>
  <si>
    <r>
      <rPr>
        <sz val="11"/>
        <color rgb="FF000000"/>
        <rFont val="Meiryo UI"/>
        <family val="2"/>
      </rPr>
      <t>create_date</t>
    </r>
  </si>
  <si>
    <r>
      <rPr>
        <sz val="11"/>
        <color rgb="FF000000"/>
        <rFont val="Meiryo UI"/>
        <family val="2"/>
      </rPr>
      <t>update_date</t>
    </r>
  </si>
  <si>
    <r>
      <rPr>
        <sz val="11"/>
        <color rgb="FF000000"/>
        <rFont val="Meiryo UI"/>
        <family val="2"/>
      </rPr>
      <t>employee_update</t>
    </r>
  </si>
  <si>
    <r>
      <rPr>
        <sz val="11"/>
        <color rgb="FF000000"/>
        <rFont val="Meiryo UI"/>
        <family val="2"/>
      </rPr>
      <t>Child.JAN_code</t>
    </r>
  </si>
  <si>
    <r>
      <rPr>
        <sz val="11"/>
        <color rgb="FF000000"/>
        <rFont val="Meiryo UI"/>
        <family val="2"/>
      </rPr>
      <t>stogare_time</t>
    </r>
  </si>
  <si>
    <r>
      <rPr>
        <sz val="11"/>
        <color rgb="FF000000"/>
        <rFont val="Meiryo UI"/>
        <family val="2"/>
      </rPr>
      <t>force_price</t>
    </r>
  </si>
  <si>
    <r>
      <rPr>
        <sz val="11"/>
        <color rgb="FF000000"/>
        <rFont val="Meiryo UI"/>
        <family val="2"/>
      </rPr>
      <t>戻る</t>
    </r>
  </si>
  <si>
    <r>
      <rPr>
        <sz val="11"/>
        <color rgb="FFED7D31"/>
        <rFont val="Meiryo UI"/>
        <family val="2"/>
      </rPr>
      <t>最大数字の13桁。</t>
    </r>
  </si>
  <si>
    <r>
      <rPr>
        <sz val="11"/>
        <color rgb="FF000000"/>
        <rFont val="Meiryo UI"/>
        <family val="2"/>
      </rPr>
      <t>プロモーション検索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</si>
  <si>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MD0102-01</t>
    </r>
  </si>
  <si>
    <r>
      <rPr>
        <sz val="11"/>
        <color rgb="FF000000"/>
        <rFont val="Meiryo UI"/>
        <family val="2"/>
      </rPr>
      <t>戻る</t>
    </r>
  </si>
  <si>
    <r>
      <rPr>
        <sz val="11"/>
        <color rgb="FF000000"/>
        <rFont val="Meiryo UI"/>
        <family val="2"/>
      </rPr>
      <t>デフォルト：有効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</si>
  <si>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MD0102-02</t>
    </r>
  </si>
  <si>
    <r>
      <rPr>
        <sz val="11"/>
        <color rgb="FF000000"/>
        <rFont val="Meiryo UI"/>
        <family val="2"/>
      </rPr>
      <t>プロモーションコード（タイトル）</t>
    </r>
  </si>
  <si>
    <r>
      <rPr>
        <sz val="11"/>
        <color rgb="FF000000"/>
        <rFont val="Meiryo UI"/>
        <family val="2"/>
      </rPr>
      <t>プロモーションコード</t>
    </r>
  </si>
  <si>
    <r>
      <rPr>
        <sz val="11"/>
        <color rgb="FF000000"/>
        <rFont val="Meiryo UI"/>
        <family val="2"/>
      </rPr>
      <t>プロモーションコード(値)</t>
    </r>
  </si>
  <si>
    <r>
      <rPr>
        <sz val="11"/>
        <color rgb="FF000000"/>
        <rFont val="Meiryo UI"/>
        <family val="2"/>
      </rPr>
      <t>AP0105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</si>
  <si>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</si>
  <si>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最大桁数：5</t>
    </r>
  </si>
  <si>
    <r>
      <rPr>
        <sz val="11"/>
        <color rgb="FF000000"/>
        <rFont val="Meiryo UI"/>
        <family val="2"/>
      </rPr>
      <t>検索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</si>
  <si>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MD0102-03</t>
    </r>
  </si>
  <si>
    <r>
      <rPr>
        <sz val="11"/>
        <color rgb="FF000000"/>
        <rFont val="Meiryo UI"/>
        <family val="2"/>
      </rPr>
      <t>選択（タイトル）</t>
    </r>
  </si>
  <si>
    <r>
      <rPr>
        <sz val="11"/>
        <color rgb="FF000000"/>
        <rFont val="Meiryo UI"/>
        <family val="2"/>
      </rPr>
      <t>選択</t>
    </r>
  </si>
  <si>
    <r>
      <rPr>
        <sz val="11"/>
        <color rgb="FF000000"/>
        <rFont val="Meiryo UI"/>
        <family val="2"/>
      </rPr>
      <t>選択（値)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</si>
  <si>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MD0102-04</t>
    </r>
  </si>
  <si>
    <r>
      <rPr>
        <sz val="11"/>
        <color rgb="FF000000"/>
        <rFont val="Meiryo UI"/>
        <family val="2"/>
      </rPr>
      <t>プロモーション</t>
    </r>
  </si>
  <si>
    <r>
      <rPr>
        <sz val="11"/>
        <color rgb="FF000000"/>
        <rFont val="Meiryo UI"/>
        <family val="2"/>
      </rPr>
      <t>プロモーション名称（タイトル）</t>
    </r>
  </si>
  <si>
    <r>
      <rPr>
        <sz val="11"/>
        <color rgb="FF000000"/>
        <rFont val="Meiryo UI"/>
        <family val="2"/>
      </rPr>
      <t>名称</t>
    </r>
  </si>
  <si>
    <r>
      <rPr>
        <sz val="11"/>
        <color rgb="FF000000"/>
        <rFont val="Meiryo UI"/>
        <family val="2"/>
      </rPr>
      <t>プロモーション名称（値）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</si>
  <si>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</si>
  <si>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開始日時（タイトル）</t>
    </r>
  </si>
  <si>
    <r>
      <rPr>
        <sz val="11"/>
        <color rgb="FF000000"/>
        <rFont val="Meiryo UI"/>
        <family val="2"/>
      </rPr>
      <t>開始日時</t>
    </r>
  </si>
  <si>
    <r>
      <rPr>
        <sz val="11"/>
        <color rgb="FF000000"/>
        <rFont val="Meiryo UI"/>
        <family val="2"/>
      </rPr>
      <t>開始日時（値）</t>
    </r>
  </si>
  <si>
    <r>
      <rPr>
        <sz val="11"/>
        <color rgb="FF000000"/>
        <rFont val="Meiryo UI"/>
        <family val="2"/>
      </rPr>
      <t>start_date_time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start_time</t>
    </r>
  </si>
  <si>
    <r>
      <rPr>
        <sz val="11"/>
        <color rgb="FF000000"/>
        <rFont val="Meiryo UI"/>
        <family val="2"/>
      </rPr>
      <t>終了日時（タイトル）</t>
    </r>
  </si>
  <si>
    <r>
      <rPr>
        <sz val="11"/>
        <color rgb="FF000000"/>
        <rFont val="Meiryo UI"/>
        <family val="2"/>
      </rPr>
      <t>終了日時</t>
    </r>
  </si>
  <si>
    <r>
      <rPr>
        <sz val="11"/>
        <color rgb="FF000000"/>
        <rFont val="Meiryo UI"/>
        <family val="2"/>
      </rPr>
      <t>終了日時（値）</t>
    </r>
  </si>
  <si>
    <r>
      <rPr>
        <sz val="11"/>
        <color rgb="FF000000"/>
        <rFont val="Meiryo UI"/>
        <family val="2"/>
      </rPr>
      <t>end_date_time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end_time</t>
    </r>
  </si>
  <si>
    <r>
      <rPr>
        <sz val="11"/>
        <color rgb="FF000000"/>
        <rFont val="Meiryo UI"/>
        <family val="2"/>
      </rPr>
      <t>MD0102シートを追加</t>
    </r>
  </si>
  <si>
    <r>
      <rPr>
        <sz val="11"/>
        <color rgb="FF000000"/>
        <rFont val="Meiryo UI"/>
        <family val="2"/>
      </rPr>
      <t>形式：yy/mm/dd  hh:mm</t>
    </r>
    <r>
      <rPr>
        <sz val="11"/>
        <color rgb="FF000000"/>
        <rFont val="Meiryo UI"/>
        <family val="2"/>
      </rPr>
      <t xml:space="preserve">
</t>
    </r>
  </si>
  <si>
    <r>
      <rPr>
        <sz val="11"/>
        <color rgb="FF000000"/>
        <rFont val="Meiryo UI"/>
        <family val="2"/>
      </rPr>
      <t>■緊急売価変更画面のイメージ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</si>
  <si>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■MD0102_プロモーション一覧モーダルのイメージ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</si>
  <si>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項目ID10に自動フォーカスする</t>
    </r>
  </si>
  <si>
    <r>
      <rPr>
        <sz val="11"/>
        <color rgb="FF000000"/>
        <rFont val="Meiryo UI"/>
        <family val="2"/>
      </rPr>
      <t>前画面</t>
    </r>
  </si>
  <si>
    <r>
      <rPr>
        <sz val="11"/>
        <color rgb="FF000000"/>
        <rFont val="Meiryo UI"/>
        <family val="2"/>
      </rPr>
      <t>部門コード（タイトル）</t>
    </r>
  </si>
  <si>
    <r>
      <rPr>
        <sz val="11"/>
        <color rgb="FF000000"/>
        <rFont val="Meiryo UI"/>
        <family val="2"/>
      </rPr>
      <t>部門コード（値）</t>
    </r>
  </si>
  <si>
    <r>
      <rPr>
        <sz val="11"/>
        <color rgb="FF000000"/>
        <rFont val="Meiryo UI"/>
        <family val="2"/>
      </rPr>
      <t>商品コード（タイトル）</t>
    </r>
  </si>
  <si>
    <r>
      <rPr>
        <sz val="11"/>
        <color rgb="FF000000"/>
        <rFont val="Meiryo UI"/>
        <family val="2"/>
      </rPr>
      <t>商品コード（値）</t>
    </r>
  </si>
  <si>
    <r>
      <rPr>
        <sz val="11"/>
        <color rgb="FF000000"/>
        <rFont val="Meiryo UI"/>
        <family val="2"/>
      </rPr>
      <t>部門コード＊</t>
    </r>
  </si>
  <si>
    <r>
      <rPr>
        <sz val="11"/>
        <color rgb="FF000000"/>
        <rFont val="Meiryo UI"/>
        <family val="2"/>
      </rPr>
      <t>商品コード＊</t>
    </r>
  </si>
  <si>
    <r>
      <rPr>
        <sz val="11"/>
        <color rgb="FF000000"/>
        <rFont val="Meiryo UI"/>
        <family val="2"/>
      </rPr>
      <t>PLUコード（タイトル）</t>
    </r>
  </si>
  <si>
    <r>
      <rPr>
        <sz val="11"/>
        <color rgb="FF000000"/>
        <rFont val="Meiryo UI"/>
        <family val="2"/>
      </rPr>
      <t>PLUコード（値）</t>
    </r>
  </si>
  <si>
    <r>
      <rPr>
        <sz val="11"/>
        <color rgb="FF000000"/>
        <rFont val="Meiryo UI"/>
        <family val="2"/>
      </rPr>
      <t>商品名称（タイトル）</t>
    </r>
  </si>
  <si>
    <r>
      <rPr>
        <sz val="11"/>
        <color rgb="FF000000"/>
        <rFont val="Meiryo UI"/>
        <family val="2"/>
      </rPr>
      <t>商品名称（値）</t>
    </r>
  </si>
  <si>
    <r>
      <rPr>
        <sz val="11"/>
        <color rgb="FF000000"/>
        <rFont val="Meiryo UI"/>
        <family val="2"/>
      </rPr>
      <t>本日売価（タイトル）</t>
    </r>
  </si>
  <si>
    <r>
      <rPr>
        <sz val="11"/>
        <color rgb="FF000000"/>
        <rFont val="Meiryo UI"/>
        <family val="2"/>
      </rPr>
      <t>本日売価（値）</t>
    </r>
  </si>
  <si>
    <r>
      <rPr>
        <sz val="11"/>
        <color rgb="FF000000"/>
        <rFont val="Meiryo UI"/>
        <family val="2"/>
      </rPr>
      <t>定番売価(タイトル）</t>
    </r>
  </si>
  <si>
    <r>
      <rPr>
        <sz val="11"/>
        <color rgb="FF000000"/>
        <rFont val="Meiryo UI"/>
        <family val="2"/>
      </rPr>
      <t>定番売価（値）</t>
    </r>
  </si>
  <si>
    <r>
      <rPr>
        <sz val="11"/>
        <color rgb="FF000000"/>
        <rFont val="Meiryo UI"/>
        <family val="2"/>
      </rPr>
      <t>本日売価*</t>
    </r>
  </si>
  <si>
    <r>
      <rPr>
        <sz val="11"/>
        <color rgb="FF000000"/>
        <rFont val="Meiryo UI"/>
        <family val="2"/>
      </rPr>
      <t>クリア</t>
    </r>
  </si>
  <si>
    <r>
      <rPr>
        <sz val="11"/>
        <color rgb="FF000000"/>
        <rFont val="Meiryo UI"/>
        <family val="2"/>
      </rPr>
      <t>F4:クリア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</si>
  <si>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SC0103-01をご参照ください。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</si>
  <si>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SC0103-02</t>
    </r>
  </si>
  <si>
    <r>
      <rPr>
        <sz val="11"/>
        <color rgb="FF000000"/>
        <rFont val="Meiryo UI"/>
        <family val="2"/>
      </rPr>
      <t>削除</t>
    </r>
  </si>
  <si>
    <r>
      <rPr>
        <sz val="11"/>
        <color rgb="FF000000"/>
        <rFont val="Meiryo UI"/>
        <family val="2"/>
      </rPr>
      <t>確定</t>
    </r>
  </si>
  <si>
    <r>
      <rPr>
        <sz val="11"/>
        <color rgb="FF000000"/>
        <rFont val="Meiryo UI"/>
        <family val="2"/>
      </rPr>
      <t>F8:削除</t>
    </r>
  </si>
  <si>
    <r>
      <rPr>
        <sz val="11"/>
        <color rgb="FF000000"/>
        <rFont val="Meiryo UI"/>
        <family val="2"/>
      </rPr>
      <t>印刷（ヘッダー）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</si>
  <si>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SC0103-03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</si>
  <si>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SC0103-04</t>
    </r>
  </si>
  <si>
    <r>
      <rPr>
        <sz val="11"/>
        <color rgb="FF000000"/>
        <rFont val="Meiryo UI"/>
        <family val="2"/>
      </rPr>
      <t>イベントID：</t>
    </r>
    <r>
      <rPr>
        <sz val="11"/>
        <color rgb="FF000000"/>
        <rFont val="Meiryo UI"/>
        <family val="2"/>
      </rPr>
      <t>SC0103-05</t>
    </r>
  </si>
  <si>
    <r>
      <rPr>
        <sz val="11"/>
        <color rgb="FF000000"/>
        <rFont val="Meiryo UI"/>
        <family val="2"/>
      </rPr>
      <t>最大数字の6桁。</t>
    </r>
  </si>
  <si>
    <r>
      <rPr>
        <sz val="11"/>
        <color rgb="FF000000"/>
        <rFont val="Meiryo UI"/>
        <family val="2"/>
      </rPr>
      <t>SC0103シートを追加</t>
    </r>
  </si>
  <si>
    <r>
      <rPr>
        <sz val="11"/>
        <color rgb="FF00B050"/>
        <rFont val="Meiryo UI"/>
        <family val="3"/>
        <charset val="128"/>
      </rPr>
      <t>my_company_code (最後の8桁)</t>
    </r>
  </si>
  <si>
    <r>
      <rPr>
        <sz val="11"/>
        <color rgb="FF00B050"/>
        <rFont val="Meiryo UI"/>
        <family val="3"/>
        <charset val="128"/>
      </rPr>
      <t>商品ミックスマッチモードで表示されている場合、表示する。</t>
    </r>
    <r>
      <rPr>
        <sz val="11"/>
        <color rgb="FF00B050"/>
        <rFont val="Meiryo UI"/>
        <family val="3"/>
        <charset val="128"/>
      </rPr>
      <t xml:space="preserve">
</t>
    </r>
    <r>
      <rPr>
        <sz val="11"/>
        <color rgb="FF00B050"/>
        <rFont val="Meiryo UI"/>
        <family val="3"/>
        <charset val="128"/>
      </rPr>
      <t>上記以外の場合、表示しない。</t>
    </r>
  </si>
  <si>
    <r>
      <rPr>
        <sz val="11"/>
        <color rgb="FF000000"/>
        <rFont val="Meiryo UI"/>
        <family val="2"/>
      </rPr>
      <t>standar_price</t>
    </r>
  </si>
  <si>
    <r>
      <rPr>
        <sz val="11"/>
        <color rgb="FF000000"/>
        <rFont val="Meiryo UI"/>
        <family val="2"/>
      </rPr>
      <t>member_price</t>
    </r>
  </si>
  <si>
    <r>
      <rPr>
        <sz val="11"/>
        <color rgb="FF000000"/>
        <rFont val="Meiryo UI"/>
        <family val="2"/>
      </rPr>
      <t>partner_code</t>
    </r>
  </si>
  <si>
    <r>
      <rPr>
        <sz val="11"/>
        <color rgb="FF000000"/>
        <rFont val="Meiryo UI"/>
        <family val="2"/>
      </rPr>
      <t>DuNT</t>
    </r>
  </si>
  <si>
    <r>
      <rPr>
        <sz val="11"/>
        <color rgb="FF000000"/>
        <rFont val="Meiryo UI"/>
        <family val="2"/>
      </rPr>
      <t>PLUコード(タイトル)</t>
    </r>
  </si>
  <si>
    <r>
      <rPr>
        <sz val="11"/>
        <color rgb="FF000000"/>
        <rFont val="Meiryo UI"/>
        <family val="2"/>
      </rPr>
      <t>PLUコード(値)</t>
    </r>
  </si>
  <si>
    <r>
      <rPr>
        <sz val="11"/>
        <color rgb="FF000000"/>
        <rFont val="Meiryo UI"/>
        <family val="2"/>
      </rPr>
      <t>定番売価(タイトル)</t>
    </r>
  </si>
  <si>
    <r>
      <rPr>
        <sz val="11"/>
        <color rgb="FF000000"/>
        <rFont val="Meiryo UI"/>
        <family val="2"/>
      </rPr>
      <t>定番売価(値)</t>
    </r>
  </si>
  <si>
    <r>
      <rPr>
        <sz val="11"/>
        <color rgb="FF000000"/>
        <rFont val="Meiryo UI"/>
        <family val="2"/>
      </rPr>
      <t>item_code</t>
    </r>
  </si>
  <si>
    <r>
      <rPr>
        <sz val="11"/>
        <color rgb="FF000000"/>
        <rFont val="Meiryo UI"/>
        <family val="2"/>
      </rPr>
      <t>desciption</t>
    </r>
  </si>
  <si>
    <r>
      <rPr>
        <sz val="11"/>
        <color rgb="FF000000"/>
        <rFont val="Meiryo UI"/>
        <family val="2"/>
      </rPr>
      <t>unit_price</t>
    </r>
  </si>
  <si>
    <r>
      <rPr>
        <sz val="11"/>
        <color rgb="FF000000"/>
        <rFont val="Meiryo UI"/>
        <family val="2"/>
      </rPr>
      <t>商品コード</t>
    </r>
  </si>
  <si>
    <r>
      <rPr>
        <sz val="11"/>
        <color rgb="FFED7D31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</si>
  <si>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プロモーションコード（タイトル）</t>
    </r>
  </si>
  <si>
    <r>
      <rPr>
        <sz val="11"/>
        <color rgb="FF000000"/>
        <rFont val="Meiryo UI"/>
        <family val="2"/>
      </rPr>
      <t>プロモーションコード(値)</t>
    </r>
  </si>
  <si>
    <r>
      <rPr>
        <sz val="11"/>
        <color rgb="FF000000"/>
        <rFont val="Meiryo UI"/>
        <family val="2"/>
      </rPr>
      <t>タイプ</t>
    </r>
  </si>
  <si>
    <r>
      <rPr>
        <sz val="11"/>
        <color rgb="FF00B050"/>
        <rFont val="Meiryo UI"/>
        <family val="3"/>
        <charset val="128"/>
      </rPr>
      <t>テキスト</t>
    </r>
  </si>
  <si>
    <r>
      <rPr>
        <sz val="11"/>
        <color rgb="FF00B050"/>
        <rFont val="Meiryo UI"/>
        <family val="3"/>
        <charset val="128"/>
      </rPr>
      <t>I/O</t>
    </r>
  </si>
  <si>
    <r>
      <rPr>
        <sz val="11"/>
        <color rgb="FF00B050"/>
        <rFont val="Meiryo UI"/>
        <family val="3"/>
        <charset val="128"/>
      </rPr>
      <t>O</t>
    </r>
  </si>
  <si>
    <r>
      <rPr>
        <sz val="11"/>
        <color rgb="FF00B050"/>
        <rFont val="Meiryo UI"/>
        <family val="3"/>
        <charset val="128"/>
      </rPr>
      <t>AP1506</t>
    </r>
  </si>
  <si>
    <r>
      <rPr>
        <sz val="11"/>
        <color rgb="FF000000"/>
        <rFont val="Meiryo UI"/>
        <family val="2"/>
      </rPr>
      <t>選択</t>
    </r>
  </si>
  <si>
    <r>
      <rPr>
        <sz val="11"/>
        <color rgb="FF00B050"/>
        <rFont val="Meiryo UI"/>
        <family val="3"/>
        <charset val="128"/>
      </rPr>
      <t>PLUコード</t>
    </r>
  </si>
  <si>
    <r>
      <rPr>
        <sz val="11"/>
        <color rgb="FF00B050"/>
        <rFont val="Meiryo UI"/>
        <family val="3"/>
        <charset val="128"/>
      </rPr>
      <t>商品名称</t>
    </r>
  </si>
  <si>
    <r>
      <rPr>
        <sz val="11"/>
        <color rgb="FF00B050"/>
        <rFont val="Meiryo UI"/>
        <family val="3"/>
        <charset val="128"/>
      </rPr>
      <t>定番売価</t>
    </r>
  </si>
  <si>
    <r>
      <rPr>
        <sz val="11"/>
        <color rgb="FF00B050"/>
        <rFont val="Meiryo UI"/>
        <family val="3"/>
        <charset val="128"/>
      </rPr>
      <t>商品ミックスマッチモードで表示されている場合、表示する。</t>
    </r>
    <r>
      <rPr>
        <sz val="11"/>
        <color rgb="FF00B050"/>
        <rFont val="Meiryo UI"/>
        <family val="3"/>
        <charset val="128"/>
      </rPr>
      <t xml:space="preserve">
</t>
    </r>
    <r>
      <rPr>
        <sz val="11"/>
        <color rgb="FF00B050"/>
        <rFont val="Meiryo UI"/>
        <family val="3"/>
        <charset val="128"/>
      </rPr>
      <t>上記以外の場合、表示しない。</t>
    </r>
  </si>
  <si>
    <r>
      <rPr>
        <sz val="11"/>
        <color rgb="FF000000"/>
        <rFont val="Meiryo UI"/>
        <family val="2"/>
      </rPr>
      <t>デフォルト：有効</t>
    </r>
  </si>
  <si>
    <r>
      <rPr>
        <sz val="11"/>
        <color rgb="FF00B050"/>
        <rFont val="Meiryo UI"/>
        <family val="3"/>
        <charset val="128"/>
      </rPr>
      <t>ー</t>
    </r>
  </si>
  <si>
    <r>
      <rPr>
        <sz val="11"/>
        <color rgb="FF000000"/>
        <rFont val="Meiryo UI"/>
        <family val="2"/>
      </rPr>
      <t>タイプ</t>
    </r>
  </si>
  <si>
    <r>
      <rPr>
        <sz val="11"/>
        <color rgb="FF000000"/>
        <rFont val="Meiryo UI"/>
        <family val="2"/>
      </rPr>
      <t>テキスト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</si>
  <si>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</si>
  <si>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</si>
  <si>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</si>
  <si>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項目</t>
    </r>
  </si>
  <si>
    <r>
      <rPr>
        <sz val="11"/>
        <color rgb="FF000000"/>
        <rFont val="Meiryo UI"/>
        <family val="2"/>
      </rPr>
      <t>マッピングデータ</t>
    </r>
  </si>
  <si>
    <r>
      <rPr>
        <sz val="11"/>
        <color rgb="FF000000"/>
        <rFont val="Meiryo UI"/>
        <family val="2"/>
      </rPr>
      <t>API名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</si>
  <si>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</si>
  <si>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</si>
  <si>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</si>
  <si>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</si>
  <si>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</si>
  <si>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</si>
  <si>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</si>
  <si>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</si>
  <si>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</si>
  <si>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</si>
  <si>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</si>
  <si>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</si>
  <si>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</si>
  <si>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TinNH</t>
  </si>
  <si>
    <t>DuNT</t>
  </si>
  <si>
    <t>SC0101、SC0102</t>
  </si>
  <si>
    <t>APIマッピング更新</t>
  </si>
  <si>
    <t xml:space="preserve">■商品管理画面のイメージ </t>
  </si>
  <si>
    <t>■画面項目定義</t>
  </si>
  <si>
    <t>画面項目ID</t>
  </si>
  <si>
    <t>項目</t>
  </si>
  <si>
    <t>タイプ</t>
  </si>
  <si>
    <t>多言語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</si>
  <si>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</si>
  <si>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</si>
  <si>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</si>
  <si>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</si>
  <si>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</si>
  <si>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</si>
  <si>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</si>
  <si>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</si>
  <si>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桁</t>
  </si>
  <si>
    <t>API名</t>
  </si>
  <si>
    <t>商品管理</t>
  </si>
  <si>
    <r>
      <rPr>
        <b/>
        <sz val="11"/>
        <color rgb="FF000000"/>
        <rFont val="Meiryo UI"/>
        <family val="2"/>
      </rPr>
      <t>イベントID：SC0101-01</t>
    </r>
  </si>
  <si>
    <t>ボタン</t>
  </si>
  <si>
    <t>I</t>
  </si>
  <si>
    <t>デフォルト：有効</t>
  </si>
  <si>
    <t>デフォルト：無効</t>
  </si>
  <si>
    <t>EditText</t>
  </si>
  <si>
    <t>I/O</t>
  </si>
  <si>
    <t>AP1506</t>
  </si>
  <si>
    <r>
      <rPr>
        <sz val="11"/>
        <color rgb="FF000000"/>
        <rFont val="Meiryo UI"/>
        <family val="2"/>
      </rPr>
      <t>最大2桁。フォーカスが外れると自動的に「0」を右に追加</t>
    </r>
  </si>
  <si>
    <r>
      <rPr>
        <sz val="11"/>
        <color rgb="FF000000"/>
        <rFont val="Meiryo UI"/>
        <family val="2"/>
      </rPr>
      <t>最大6桁。フォーカスが外れると自動的に「0」を右に追加</t>
    </r>
  </si>
  <si>
    <r>
      <rPr>
        <b/>
        <sz val="11"/>
        <color rgb="FF000000"/>
        <rFont val="Meiryo UI"/>
        <family val="2"/>
      </rPr>
      <t>イベントID：SC0101-02</t>
    </r>
    <r>
      <rPr>
        <sz val="11"/>
        <color rgb="FF000000"/>
        <rFont val="Meiryo UI"/>
        <family val="2"/>
      </rPr>
      <t xml:space="preserve">
最大13桁。フォーカスが外れると自動的に「0」を右に追加</t>
    </r>
  </si>
  <si>
    <t>テキスト</t>
  </si>
  <si>
    <t>提案商品がある場合、AP1506の説明値を表示する。
商品が見つからない場合、サーバーから返されたエラーメッセージを表示する。</t>
  </si>
  <si>
    <t xml:space="preserve">デフォルト：無効 </t>
  </si>
  <si>
    <t>O</t>
  </si>
  <si>
    <t>デフォルト：無効 提案の商品がある場合、有効になる</t>
  </si>
  <si>
    <r>
      <rPr>
        <b/>
        <sz val="11"/>
        <color rgb="FF000000"/>
        <rFont val="Meiryo UI"/>
        <family val="2"/>
      </rPr>
      <t>イベントID：SC0101-03</t>
    </r>
  </si>
  <si>
    <r>
      <rPr>
        <b/>
        <sz val="11"/>
        <color rgb="FF000000"/>
        <rFont val="Meiryo UI"/>
        <family val="2"/>
      </rPr>
      <t>イベントID：SC0101-04</t>
    </r>
  </si>
  <si>
    <r>
      <rPr>
        <b/>
        <sz val="11"/>
        <color rgb="FF000000"/>
        <rFont val="Meiryo UI"/>
        <family val="2"/>
      </rPr>
      <t>イベントID：SC0101-05</t>
    </r>
  </si>
  <si>
    <r>
      <rPr>
        <b/>
        <sz val="11"/>
        <color rgb="FF000000"/>
        <rFont val="Meiryo UI"/>
        <family val="2"/>
      </rPr>
      <t>イベントID：SC0101-06</t>
    </r>
  </si>
  <si>
    <r>
      <rPr>
        <sz val="11"/>
        <color rgb="FF000000"/>
        <rFont val="Meiryo UI"/>
        <family val="2"/>
      </rPr>
      <t>デフォルト：無効 一覧内でアイテムが選択された場合、有効になる。</t>
    </r>
  </si>
  <si>
    <r>
      <rPr>
        <b/>
        <sz val="11"/>
        <color rgb="FF000000"/>
        <rFont val="Meiryo UI"/>
        <family val="2"/>
      </rPr>
      <t>イベントID：SC0101-07</t>
    </r>
  </si>
  <si>
    <t>AP0101</t>
  </si>
  <si>
    <r>
      <rPr>
        <sz val="11"/>
        <color rgb="FF000000"/>
        <rFont val="Meiryo UI"/>
        <family val="2"/>
      </rPr>
      <t xml:space="preserve">  0: 実施中 In progress
  1: 終了: Ended
  2: 未実施: Not implemented
  3: 中止: Cancelled
  4: NG</t>
    </r>
  </si>
  <si>
    <r>
      <rPr>
        <sz val="11"/>
        <color rgb="FF000000"/>
        <rFont val="Meiryo UI"/>
        <family val="2"/>
      </rPr>
      <t>ミックスマッチの場合、「ミックスマッチ」のテキストを表示する。
特売の場合、「特売」のテキストを表示する。</t>
    </r>
  </si>
  <si>
    <r>
      <rPr>
        <sz val="11"/>
        <color rgb="FF000000"/>
        <rFont val="Meiryo UI"/>
        <family val="2"/>
      </rPr>
      <t xml:space="preserve">プロモーション </t>
    </r>
  </si>
  <si>
    <r>
      <rPr>
        <sz val="11"/>
        <color rgb="FF000000"/>
        <rFont val="Meiryo UI"/>
        <family val="2"/>
      </rPr>
      <t xml:space="preserve">start_date_time ~ end_date_time </t>
    </r>
  </si>
  <si>
    <r>
      <t xml:space="preserve">tyoe
special_price_info.special_price special_price_info.discount_value 又はquantity, </t>
    </r>
    <r>
      <rPr>
        <sz val="11"/>
        <color rgb="FFED7D31"/>
        <rFont val="Meiryo UI"/>
        <family val="2"/>
      </rPr>
      <t>value</t>
    </r>
  </si>
  <si>
    <r>
      <t>ミックスマッチが以下の形式で表示される。
・type = 01 (売価)の場合: {quantity}個{</t>
    </r>
    <r>
      <rPr>
        <sz val="11"/>
        <color rgb="FFED7D31"/>
        <rFont val="Meiryo UI"/>
        <family val="2"/>
      </rPr>
      <t>value</t>
    </r>
    <r>
      <rPr>
        <sz val="11"/>
        <color rgb="FF00B050"/>
        <rFont val="Meiryo UI"/>
        <family val="2"/>
      </rPr>
      <t>}円 (成立後{</t>
    </r>
    <r>
      <rPr>
        <sz val="11"/>
        <color rgb="FFED7D31"/>
        <rFont val="Meiryo UI"/>
        <family val="2"/>
      </rPr>
      <t>value</t>
    </r>
    <r>
      <rPr>
        <sz val="11"/>
        <color rgb="FF00B050"/>
        <rFont val="Meiryo UI"/>
        <family val="2"/>
      </rPr>
      <t>/quantity}円)
・type = 02 (割引)の場合: {quantity}個{</t>
    </r>
    <r>
      <rPr>
        <sz val="11"/>
        <color rgb="FFED7D31"/>
        <rFont val="Meiryo UI"/>
        <family val="2"/>
      </rPr>
      <t>value</t>
    </r>
    <r>
      <rPr>
        <sz val="11"/>
        <color rgb="FF00B050"/>
        <rFont val="Meiryo UI"/>
        <family val="2"/>
      </rPr>
      <t>}%
・type = 03 (値引)の場合: {quantity}個{</t>
    </r>
    <r>
      <rPr>
        <sz val="11"/>
        <color rgb="FFED7D31"/>
        <rFont val="Meiryo UI"/>
        <family val="2"/>
      </rPr>
      <t>value</t>
    </r>
    <r>
      <rPr>
        <sz val="11"/>
        <color rgb="FF00B050"/>
        <rFont val="Meiryo UI"/>
        <family val="2"/>
      </rPr>
      <t>}円
▪特売売価の場合、・specical_price_info.discount_value &gt; 0の場合、{specical_price_info.discount_value}%
・specical_price_info.special_price &gt; 0の場合、{specical_price_info.specical_price}円</t>
    </r>
  </si>
  <si>
    <t xml:space="preserve">■SC0102_商品詳細画面のイメージ </t>
  </si>
  <si>
    <t>商品管理(詳細)設定</t>
  </si>
  <si>
    <r>
      <rPr>
        <b/>
        <sz val="11"/>
        <color rgb="FF000000"/>
        <rFont val="Meiryo UI"/>
        <family val="2"/>
      </rPr>
      <t>イベントID：SC0102-01</t>
    </r>
  </si>
  <si>
    <t>AP0111</t>
  </si>
  <si>
    <t>AP0102</t>
  </si>
  <si>
    <t>my_company_code</t>
  </si>
  <si>
    <t>item_code</t>
  </si>
  <si>
    <t>プルダウン</t>
  </si>
  <si>
    <t>AP0113</t>
  </si>
  <si>
    <t>デフォルト：無効 ユーザ権限がシステム管理者である場合のみ有効になる。</t>
  </si>
  <si>
    <t xml:space="preserve">AP0111
</t>
  </si>
  <si>
    <t>code_level_one</t>
  </si>
  <si>
    <t>AP0102
AP0114</t>
  </si>
  <si>
    <r>
      <rPr>
        <b/>
        <sz val="11"/>
        <color rgb="FF000000"/>
        <rFont val="Meiryo UI"/>
        <family val="2"/>
      </rPr>
      <t>イベントID：SC0102-05</t>
    </r>
    <r>
      <rPr>
        <sz val="11"/>
        <color rgb="FF000000"/>
        <rFont val="Meiryo UI"/>
        <family val="2"/>
      </rPr>
      <t xml:space="preserve">
</t>
    </r>
    <r>
      <rPr>
        <b/>
        <sz val="11"/>
        <color rgb="FF000000"/>
        <rFont val="Meiryo UI"/>
        <family val="2"/>
      </rPr>
      <t>最大2桁。</t>
    </r>
  </si>
  <si>
    <t>description_level_one</t>
  </si>
  <si>
    <t>ー</t>
  </si>
  <si>
    <t>code_level_two</t>
  </si>
  <si>
    <r>
      <rPr>
        <b/>
        <sz val="11"/>
        <color rgb="FF000000"/>
        <rFont val="Meiryo UI"/>
        <family val="2"/>
      </rPr>
      <t>イベントID：SC0102-06</t>
    </r>
    <r>
      <rPr>
        <sz val="11"/>
        <color rgb="FF000000"/>
        <rFont val="Meiryo UI"/>
        <family val="2"/>
      </rPr>
      <t xml:space="preserve">
</t>
    </r>
    <r>
      <rPr>
        <b/>
        <sz val="11"/>
        <color rgb="FF000000"/>
        <rFont val="Meiryo UI"/>
        <family val="2"/>
      </rPr>
      <t>最大4桁。</t>
    </r>
  </si>
  <si>
    <t>description_level_two</t>
  </si>
  <si>
    <t>code_level_three</t>
  </si>
  <si>
    <r>
      <rPr>
        <b/>
        <sz val="11"/>
        <color rgb="FF000000"/>
        <rFont val="Meiryo UI"/>
        <family val="2"/>
      </rPr>
      <t>イベントID：SC0102-07</t>
    </r>
    <r>
      <rPr>
        <sz val="11"/>
        <color rgb="FF000000"/>
        <rFont val="Meiryo UI"/>
        <family val="2"/>
      </rPr>
      <t xml:space="preserve">
</t>
    </r>
    <r>
      <rPr>
        <b/>
        <sz val="11"/>
        <color rgb="FF000000"/>
        <rFont val="Meiryo UI"/>
        <family val="2"/>
      </rPr>
      <t>最大4桁。</t>
    </r>
  </si>
  <si>
    <t>description_level_three</t>
  </si>
  <si>
    <t>code_level_four</t>
  </si>
  <si>
    <r>
      <rPr>
        <b/>
        <sz val="11"/>
        <color rgb="FF000000"/>
        <rFont val="Meiryo UI"/>
        <family val="2"/>
      </rPr>
      <t>イベントID：SC0102-08</t>
    </r>
    <r>
      <rPr>
        <sz val="11"/>
        <color rgb="FF000000"/>
        <rFont val="Meiryo UI"/>
        <family val="2"/>
      </rPr>
      <t xml:space="preserve">
</t>
    </r>
    <r>
      <rPr>
        <b/>
        <sz val="11"/>
        <color rgb="FF000000"/>
        <rFont val="Meiryo UI"/>
        <family val="2"/>
      </rPr>
      <t>最大4桁。</t>
    </r>
  </si>
  <si>
    <t>description_level_four</t>
  </si>
  <si>
    <r>
      <rPr>
        <sz val="11"/>
        <color rgb="FF000000"/>
        <rFont val="Meiryo UI"/>
        <family val="2"/>
      </rPr>
      <t>0：マニュアル割引除外なし
1：マニュアル割引除外</t>
    </r>
  </si>
  <si>
    <t>is_item_manual_discount</t>
  </si>
  <si>
    <t>is_subtotal_discount</t>
  </si>
  <si>
    <r>
      <rPr>
        <sz val="11"/>
        <color rgb="FF000000"/>
        <rFont val="Meiryo UI"/>
        <family val="2"/>
      </rPr>
      <t>0：対象外
1：対象</t>
    </r>
  </si>
  <si>
    <t>member_price_method_type</t>
  </si>
  <si>
    <r>
      <rPr>
        <sz val="11"/>
        <color rgb="FF000000"/>
        <rFont val="Meiryo UI"/>
        <family val="2"/>
      </rPr>
      <t xml:space="preserve">1から開始する </t>
    </r>
  </si>
  <si>
    <t>children.item_code</t>
  </si>
  <si>
    <r>
      <rPr>
        <b/>
        <sz val="11"/>
        <color rgb="FFED7D31"/>
        <rFont val="Meiryo UI"/>
        <family val="2"/>
      </rPr>
      <t>イベントID：SC0102-10</t>
    </r>
  </si>
  <si>
    <t>チェックボックス</t>
  </si>
  <si>
    <t>children.operation_type</t>
  </si>
  <si>
    <t>1：新規、3 : 削除</t>
  </si>
  <si>
    <r>
      <rPr>
        <b/>
        <sz val="11"/>
        <color rgb="FFED7D31"/>
        <rFont val="Meiryo UI"/>
        <family val="2"/>
      </rPr>
      <t>イベントID：SC0102-09</t>
    </r>
  </si>
  <si>
    <t>有効</t>
  </si>
  <si>
    <r>
      <rPr>
        <b/>
        <sz val="11"/>
        <color rgb="FF000000"/>
        <rFont val="Meiryo UI"/>
        <family val="2"/>
      </rPr>
      <t>イベントID：SC0102-02</t>
    </r>
  </si>
  <si>
    <r>
      <rPr>
        <b/>
        <sz val="11"/>
        <color rgb="FF000000"/>
        <rFont val="Meiryo UI"/>
        <family val="2"/>
      </rPr>
      <t>イベントID：SC0102-03</t>
    </r>
  </si>
  <si>
    <t>F9:確定</t>
  </si>
  <si>
    <t>イベントID：SC0102-04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</si>
</sst>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8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0"/>
      <color theme="1"/>
      <name val="Meiryo UI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sz val="10"/>
      <color rgb="FF000000"/>
      <name val="Meiryo UI"/>
      <family val="2"/>
    </font>
    <font>
      <b/>
      <sz val="11"/>
      <name val="Meiryo UI"/>
      <family val="2"/>
    </font>
    <font>
      <b/>
      <sz val="11"/>
      <color rgb="FF000000"/>
      <name val="Meiryo UI"/>
      <family val="2"/>
    </font>
    <font>
      <sz val="11"/>
      <color theme="5"/>
      <name val="Meiryo UI"/>
      <family val="2"/>
    </font>
    <font>
      <b/>
      <sz val="11"/>
      <color theme="5"/>
      <name val="Meiryo UI"/>
      <family val="2"/>
    </font>
    <font>
      <b/>
      <sz val="11"/>
      <color rgb="FFFF0000"/>
      <name val="Meiryo UI"/>
      <family val="2"/>
    </font>
    <font>
      <sz val="11"/>
      <color rgb="FF00B050"/>
      <name val="Meiryo UI"/>
      <family val="3"/>
      <charset val="128"/>
    </font>
    <font>
      <sz val="10"/>
      <color rgb="FF00B050"/>
      <name val="Meiryo UI"/>
      <family val="2"/>
    </font>
    <font>
      <sz val="11"/>
      <color rgb="FFED7D31"/>
      <name val="Meiryo UI"/>
      <family val="2"/>
    </font>
    <font>
      <b/>
      <sz val="11"/>
      <color rgb="FFED7D31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11"/>
      <color rgb="FF00B050"/>
      <name val="Meiryo UI"/>
      <family val="2"/>
    </font>
  </fonts>
  <fills count="8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0" fontId="22" fillId="0" borderId="0">
      <alignment vertical="center"/>
    </xf>
  </cellStyleXfs>
  <cellXfs count="501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8" fillId="0" borderId="0" xfId="6" applyFont="1" applyAlignment="1">
      <alignment vertical="center"/>
    </xf>
    <xf numFmtId="0" fontId="8" fillId="0" borderId="2" xfId="6" applyFont="1" applyBorder="1" applyAlignment="1">
      <alignment vertical="center"/>
    </xf>
    <xf numFmtId="0" fontId="8" fillId="0" borderId="3" xfId="6" applyFont="1" applyBorder="1" applyAlignment="1">
      <alignment vertical="center"/>
    </xf>
    <xf numFmtId="0" fontId="8" fillId="0" borderId="5" xfId="6" applyFont="1" applyBorder="1" applyAlignment="1">
      <alignment vertical="center"/>
    </xf>
    <xf numFmtId="0" fontId="8" fillId="0" borderId="1" xfId="6" applyFont="1" applyBorder="1" applyAlignment="1">
      <alignment vertical="center"/>
    </xf>
    <xf numFmtId="0" fontId="8" fillId="0" borderId="4" xfId="6" applyFont="1" applyBorder="1" applyAlignment="1">
      <alignment vertical="center"/>
    </xf>
    <xf numFmtId="0" fontId="0" fillId="0" borderId="0" xfId="6" applyFont="1" applyAlignment="1">
      <alignment vertical="center"/>
    </xf>
    <xf numFmtId="0" fontId="9" fillId="0" borderId="0" xfId="6" applyFont="1" applyAlignment="1">
      <alignment vertical="center"/>
    </xf>
    <xf numFmtId="0" fontId="8" fillId="0" borderId="16" xfId="6" applyFont="1" applyBorder="1" applyAlignment="1">
      <alignment horizontal="center" vertical="center"/>
    </xf>
    <xf numFmtId="0" fontId="8" fillId="0" borderId="17" xfId="6" applyFont="1" applyBorder="1" applyAlignment="1">
      <alignment horizontal="center" vertical="center"/>
    </xf>
    <xf numFmtId="0" fontId="8" fillId="0" borderId="18" xfId="6" applyFont="1" applyBorder="1" applyAlignment="1">
      <alignment vertical="center"/>
    </xf>
    <xf numFmtId="0" fontId="8" fillId="0" borderId="17" xfId="6" applyFont="1" applyBorder="1" applyAlignment="1">
      <alignment vertical="center"/>
    </xf>
    <xf numFmtId="0" fontId="8" fillId="0" borderId="19" xfId="6" applyFont="1" applyBorder="1" applyAlignment="1">
      <alignment horizontal="center" vertical="center"/>
    </xf>
    <xf numFmtId="0" fontId="8" fillId="0" borderId="20" xfId="6" applyFont="1" applyBorder="1" applyAlignment="1">
      <alignment horizontal="center" vertical="center"/>
    </xf>
    <xf numFmtId="0" fontId="8" fillId="0" borderId="20" xfId="6" applyFont="1" applyBorder="1" applyAlignment="1">
      <alignment vertical="center"/>
    </xf>
    <xf numFmtId="0" fontId="2" fillId="0" borderId="17" xfId="6" applyFont="1" applyBorder="1" applyAlignment="1">
      <alignment horizontal="center" vertical="center" wrapText="1"/>
    </xf>
    <xf numFmtId="0" fontId="9" fillId="0" borderId="19" xfId="6" applyFont="1" applyBorder="1" applyAlignment="1">
      <alignment horizontal="center" vertical="center"/>
    </xf>
    <xf numFmtId="0" fontId="9" fillId="0" borderId="17" xfId="6" applyFont="1" applyBorder="1" applyAlignment="1">
      <alignment vertical="center"/>
    </xf>
    <xf numFmtId="0" fontId="9" fillId="0" borderId="20" xfId="6" applyFont="1" applyBorder="1" applyAlignment="1">
      <alignment horizontal="center" vertical="center"/>
    </xf>
    <xf numFmtId="0" fontId="17" fillId="0" borderId="0" xfId="6" applyFont="1" applyAlignment="1">
      <alignment vertical="center"/>
    </xf>
    <xf numFmtId="0" fontId="8" fillId="0" borderId="18" xfId="6" applyFont="1" applyBorder="1" applyAlignment="1">
      <alignment horizontal="center" vertical="center"/>
    </xf>
    <xf numFmtId="0" fontId="8" fillId="0" borderId="21" xfId="6" applyFont="1" applyBorder="1" applyAlignment="1">
      <alignment horizontal="center" vertical="center"/>
    </xf>
    <xf numFmtId="0" fontId="8" fillId="0" borderId="19" xfId="6" applyFont="1" applyBorder="1" applyAlignment="1">
      <alignment vertical="center"/>
    </xf>
    <xf numFmtId="0" fontId="8" fillId="0" borderId="22" xfId="6" applyFont="1" applyBorder="1" applyAlignment="1">
      <alignment horizontal="center" vertical="center"/>
    </xf>
    <xf numFmtId="0" fontId="18" fillId="0" borderId="1" xfId="6" applyFont="1" applyBorder="1" applyAlignment="1">
      <alignment vertical="center"/>
    </xf>
    <xf numFmtId="0" fontId="18" fillId="0" borderId="21" xfId="6" applyFont="1" applyBorder="1" applyAlignment="1">
      <alignment horizontal="center" vertical="center"/>
    </xf>
    <xf numFmtId="0" fontId="18" fillId="0" borderId="17" xfId="6" applyFont="1" applyBorder="1" applyAlignment="1">
      <alignment horizontal="center" vertical="center"/>
    </xf>
    <xf numFmtId="0" fontId="18" fillId="0" borderId="17" xfId="6" applyFont="1" applyBorder="1" applyAlignment="1">
      <alignment vertical="center"/>
    </xf>
    <xf numFmtId="0" fontId="18" fillId="0" borderId="4" xfId="6" applyFont="1" applyBorder="1" applyAlignment="1">
      <alignment vertical="center"/>
    </xf>
    <xf numFmtId="0" fontId="18" fillId="0" borderId="0" xfId="6" applyFont="1" applyAlignment="1">
      <alignment vertical="center"/>
    </xf>
    <xf numFmtId="0" fontId="18" fillId="0" borderId="19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 wrapText="1"/>
    </xf>
    <xf numFmtId="0" fontId="18" fillId="0" borderId="20" xfId="6" applyFont="1" applyBorder="1" applyAlignment="1">
      <alignment horizontal="center" vertical="center"/>
    </xf>
    <xf numFmtId="0" fontId="19" fillId="0" borderId="20" xfId="6" applyFont="1" applyBorder="1" applyAlignment="1">
      <alignment horizontal="center" vertical="center" wrapText="1"/>
    </xf>
    <xf numFmtId="0" fontId="18" fillId="0" borderId="20" xfId="6" applyFont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0" fillId="0" borderId="27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26" xfId="0" applyNumberFormat="1" applyBorder="1" applyAlignment="1">
      <alignment horizontal="center" vertical="center"/>
    </xf>
    <xf numFmtId="14" fontId="0" fillId="0" borderId="27" xfId="0" applyNumberFormat="1" applyBorder="1" applyAlignment="1">
      <alignment horizontal="center" vertical="center"/>
    </xf>
    <xf numFmtId="14" fontId="0" fillId="0" borderId="2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0" borderId="26" xfId="6" applyFont="1" applyBorder="1" applyAlignment="1">
      <alignment horizontal="center" vertical="center"/>
    </xf>
    <xf numFmtId="0" fontId="8" fillId="0" borderId="27" xfId="6" applyFont="1" applyBorder="1" applyAlignment="1">
      <alignment horizontal="center" vertical="center"/>
    </xf>
    <xf numFmtId="0" fontId="8" fillId="0" borderId="28" xfId="6" applyFont="1" applyBorder="1" applyAlignment="1">
      <alignment horizontal="center" vertical="center"/>
    </xf>
    <xf numFmtId="0" fontId="8" fillId="0" borderId="2" xfId="6" applyFont="1" applyBorder="1" applyAlignment="1">
      <alignment horizontal="center" vertical="center"/>
    </xf>
    <xf numFmtId="0" fontId="8" fillId="0" borderId="3" xfId="6" applyFont="1" applyBorder="1" applyAlignment="1">
      <alignment horizontal="center" vertical="center"/>
    </xf>
    <xf numFmtId="0" fontId="8" fillId="0" borderId="5" xfId="6" applyFont="1" applyBorder="1" applyAlignment="1">
      <alignment horizontal="center" vertical="center"/>
    </xf>
    <xf numFmtId="0" fontId="3" fillId="2" borderId="23" xfId="6" applyFont="1" applyFill="1" applyBorder="1" applyAlignment="1">
      <alignment horizontal="center" vertical="center"/>
    </xf>
    <xf numFmtId="0" fontId="3" fillId="2" borderId="24" xfId="6" applyFont="1" applyFill="1" applyBorder="1" applyAlignment="1">
      <alignment horizontal="center" vertical="center"/>
    </xf>
    <xf numFmtId="0" fontId="3" fillId="2" borderId="25" xfId="6" applyFont="1" applyFill="1" applyBorder="1" applyAlignment="1">
      <alignment horizontal="center" vertical="center"/>
    </xf>
    <xf numFmtId="0" fontId="4" fillId="0" borderId="26" xfId="6" applyFont="1" applyBorder="1" applyAlignment="1">
      <alignment horizontal="center" vertical="center"/>
    </xf>
    <xf numFmtId="0" fontId="4" fillId="0" borderId="27" xfId="6" applyFont="1" applyBorder="1" applyAlignment="1">
      <alignment horizontal="center" vertical="center"/>
    </xf>
    <xf numFmtId="0" fontId="4" fillId="0" borderId="28" xfId="6" applyFont="1" applyBorder="1" applyAlignment="1">
      <alignment horizontal="center" vertical="center"/>
    </xf>
    <xf numFmtId="0" fontId="4" fillId="0" borderId="1" xfId="6" applyFont="1" applyBorder="1" applyAlignment="1">
      <alignment horizontal="center" vertical="center"/>
    </xf>
    <xf numFmtId="0" fontId="4" fillId="0" borderId="0" xfId="6" applyFont="1" applyAlignment="1">
      <alignment horizontal="center" vertical="center"/>
    </xf>
    <xf numFmtId="0" fontId="4" fillId="0" borderId="4" xfId="6" applyFont="1" applyBorder="1" applyAlignment="1">
      <alignment horizontal="center" vertical="center"/>
    </xf>
    <xf numFmtId="0" fontId="4" fillId="0" borderId="2" xfId="6" applyFont="1" applyBorder="1" applyAlignment="1">
      <alignment horizontal="center" vertical="center"/>
    </xf>
    <xf numFmtId="0" fontId="4" fillId="0" borderId="3" xfId="6" applyFont="1" applyBorder="1" applyAlignment="1">
      <alignment horizontal="center" vertical="center"/>
    </xf>
    <xf numFmtId="0" fontId="4" fillId="0" borderId="5" xfId="6" applyFont="1" applyBorder="1" applyAlignment="1">
      <alignment horizontal="center" vertical="center"/>
    </xf>
    <xf numFmtId="0" fontId="8" fillId="0" borderId="23" xfId="6" applyFont="1" applyBorder="1" applyAlignment="1">
      <alignment horizontal="center" vertical="center"/>
    </xf>
    <xf numFmtId="0" fontId="8" fillId="0" borderId="24" xfId="6" applyFont="1" applyBorder="1" applyAlignment="1">
      <alignment horizontal="center" vertical="center"/>
    </xf>
    <xf numFmtId="0" fontId="8" fillId="0" borderId="25" xfId="6" applyFont="1" applyBorder="1" applyAlignment="1">
      <alignment horizontal="center" vertical="center"/>
    </xf>
    <xf numFmtId="0" fontId="9" fillId="0" borderId="23" xfId="6" applyFont="1" applyBorder="1" applyAlignment="1">
      <alignment horizontal="center" vertical="center"/>
    </xf>
    <xf numFmtId="0" fontId="9" fillId="6" borderId="26" xfId="6" applyFont="1" applyFill="1" applyBorder="1" applyAlignment="1">
      <alignment vertical="center" wrapText="1"/>
    </xf>
    <xf numFmtId="0" fontId="8" fillId="6" borderId="28" xfId="6" applyFont="1" applyFill="1" applyBorder="1" applyAlignment="1">
      <alignment vertical="center"/>
    </xf>
    <xf numFmtId="0" fontId="8" fillId="6" borderId="1" xfId="6" applyFont="1" applyFill="1" applyBorder="1" applyAlignment="1">
      <alignment vertical="center"/>
    </xf>
    <xf numFmtId="0" fontId="8" fillId="6" borderId="4" xfId="6" applyFont="1" applyFill="1" applyBorder="1" applyAlignment="1">
      <alignment vertical="center"/>
    </xf>
    <xf numFmtId="0" fontId="8" fillId="6" borderId="2" xfId="6" applyFont="1" applyFill="1" applyBorder="1" applyAlignment="1">
      <alignment vertical="center"/>
    </xf>
    <xf numFmtId="0" fontId="8" fillId="6" borderId="5" xfId="6" applyFont="1" applyFill="1" applyBorder="1" applyAlignment="1">
      <alignment vertical="center"/>
    </xf>
    <xf numFmtId="0" fontId="9" fillId="6" borderId="26" xfId="6" applyFont="1" applyFill="1" applyBorder="1" applyAlignment="1">
      <alignment vertical="center"/>
    </xf>
    <xf numFmtId="0" fontId="8" fillId="6" borderId="27" xfId="6" applyFont="1" applyFill="1" applyBorder="1" applyAlignment="1">
      <alignment vertical="center"/>
    </xf>
    <xf numFmtId="0" fontId="8" fillId="6" borderId="0" xfId="6" applyFont="1" applyFill="1" applyAlignment="1">
      <alignment vertical="center"/>
    </xf>
    <xf numFmtId="0" fontId="8" fillId="6" borderId="3" xfId="6" applyFont="1" applyFill="1" applyBorder="1" applyAlignment="1">
      <alignment vertical="center"/>
    </xf>
    <xf numFmtId="0" fontId="8" fillId="6" borderId="36" xfId="6" applyFont="1" applyFill="1" applyBorder="1" applyAlignment="1">
      <alignment vertical="center" shrinkToFit="1"/>
    </xf>
    <xf numFmtId="0" fontId="8" fillId="6" borderId="38" xfId="6" applyFont="1" applyFill="1" applyBorder="1" applyAlignment="1">
      <alignment vertical="center" shrinkToFit="1"/>
    </xf>
    <xf numFmtId="0" fontId="8" fillId="6" borderId="37" xfId="6" applyFont="1" applyFill="1" applyBorder="1" applyAlignment="1">
      <alignment vertical="center" shrinkToFit="1"/>
    </xf>
    <xf numFmtId="0" fontId="9" fillId="6" borderId="36" xfId="6" applyFont="1" applyFill="1" applyBorder="1" applyAlignment="1">
      <alignment vertical="center" wrapText="1"/>
    </xf>
    <xf numFmtId="0" fontId="9" fillId="6" borderId="38" xfId="6" applyFont="1" applyFill="1" applyBorder="1" applyAlignment="1">
      <alignment vertical="center" wrapText="1"/>
    </xf>
    <xf numFmtId="0" fontId="9" fillId="6" borderId="37" xfId="6" applyFont="1" applyFill="1" applyBorder="1" applyAlignment="1">
      <alignment vertical="center" wrapText="1"/>
    </xf>
    <xf numFmtId="0" fontId="9" fillId="5" borderId="23" xfId="6" applyFont="1" applyFill="1" applyBorder="1" applyAlignment="1">
      <alignment vertical="center"/>
    </xf>
    <xf numFmtId="0" fontId="8" fillId="5" borderId="24" xfId="6" applyFont="1" applyFill="1" applyBorder="1" applyAlignment="1">
      <alignment vertical="center"/>
    </xf>
    <xf numFmtId="0" fontId="8" fillId="5" borderId="39" xfId="6" applyFont="1" applyFill="1" applyBorder="1" applyAlignment="1">
      <alignment vertical="center"/>
    </xf>
    <xf numFmtId="0" fontId="9" fillId="5" borderId="40" xfId="6" applyFont="1" applyFill="1" applyBorder="1" applyAlignment="1">
      <alignment vertical="center"/>
    </xf>
    <xf numFmtId="0" fontId="8" fillId="5" borderId="25" xfId="6" applyFont="1" applyFill="1" applyBorder="1" applyAlignment="1">
      <alignment vertical="center"/>
    </xf>
    <xf numFmtId="0" fontId="8" fillId="0" borderId="29" xfId="6" applyFont="1" applyBorder="1" applyAlignment="1">
      <alignment horizontal="center" vertical="center"/>
    </xf>
    <xf numFmtId="0" fontId="8" fillId="0" borderId="16" xfId="6" applyFont="1" applyBorder="1" applyAlignment="1">
      <alignment horizontal="center" vertical="center"/>
    </xf>
    <xf numFmtId="0" fontId="8" fillId="0" borderId="29" xfId="6" applyFont="1" applyBorder="1" applyAlignment="1">
      <alignment vertical="center"/>
    </xf>
    <xf numFmtId="0" fontId="8" fillId="0" borderId="30" xfId="6" applyFont="1" applyBorder="1" applyAlignment="1">
      <alignment vertical="center"/>
    </xf>
    <xf numFmtId="0" fontId="8" fillId="0" borderId="16" xfId="6" applyFont="1" applyBorder="1" applyAlignment="1">
      <alignment vertical="center"/>
    </xf>
    <xf numFmtId="0" fontId="8" fillId="0" borderId="33" xfId="6" applyFont="1" applyBorder="1" applyAlignment="1">
      <alignment vertical="center"/>
    </xf>
    <xf numFmtId="0" fontId="8" fillId="0" borderId="34" xfId="6" applyFont="1" applyBorder="1" applyAlignment="1">
      <alignment vertical="center"/>
    </xf>
    <xf numFmtId="0" fontId="8" fillId="0" borderId="35" xfId="6" applyFont="1" applyBorder="1" applyAlignment="1">
      <alignment vertical="center"/>
    </xf>
    <xf numFmtId="0" fontId="9" fillId="0" borderId="29" xfId="6" applyFont="1" applyBorder="1" applyAlignment="1">
      <alignment horizontal="center" vertical="center"/>
    </xf>
    <xf numFmtId="0" fontId="8" fillId="0" borderId="30" xfId="6" applyFont="1" applyBorder="1" applyAlignment="1">
      <alignment horizontal="center" vertical="center"/>
    </xf>
    <xf numFmtId="0" fontId="9" fillId="4" borderId="23" xfId="6" applyFont="1" applyFill="1" applyBorder="1" applyAlignment="1">
      <alignment vertical="center"/>
    </xf>
    <xf numFmtId="0" fontId="8" fillId="4" borderId="24" xfId="6" applyFont="1" applyFill="1" applyBorder="1" applyAlignment="1">
      <alignment vertical="center"/>
    </xf>
    <xf numFmtId="0" fontId="8" fillId="4" borderId="25" xfId="6" applyFont="1" applyFill="1" applyBorder="1" applyAlignment="1">
      <alignment vertical="center"/>
    </xf>
    <xf numFmtId="0" fontId="9" fillId="3" borderId="26" xfId="6" applyFont="1" applyFill="1" applyBorder="1" applyAlignment="1">
      <alignment vertical="center"/>
    </xf>
    <xf numFmtId="0" fontId="8" fillId="3" borderId="27" xfId="6" applyFont="1" applyFill="1" applyBorder="1" applyAlignment="1">
      <alignment vertical="center"/>
    </xf>
    <xf numFmtId="0" fontId="8" fillId="3" borderId="28" xfId="6" applyFont="1" applyFill="1" applyBorder="1" applyAlignment="1">
      <alignment vertical="center"/>
    </xf>
    <xf numFmtId="0" fontId="8" fillId="3" borderId="1" xfId="6" applyFont="1" applyFill="1" applyBorder="1" applyAlignment="1">
      <alignment vertical="center"/>
    </xf>
    <xf numFmtId="0" fontId="8" fillId="3" borderId="0" xfId="6" applyFont="1" applyFill="1" applyAlignment="1">
      <alignment vertical="center"/>
    </xf>
    <xf numFmtId="0" fontId="8" fillId="3" borderId="4" xfId="6" applyFont="1" applyFill="1" applyBorder="1" applyAlignment="1">
      <alignment vertical="center"/>
    </xf>
    <xf numFmtId="0" fontId="8" fillId="3" borderId="2" xfId="6" applyFont="1" applyFill="1" applyBorder="1" applyAlignment="1">
      <alignment vertical="center"/>
    </xf>
    <xf numFmtId="0" fontId="8" fillId="3" borderId="3" xfId="6" applyFont="1" applyFill="1" applyBorder="1" applyAlignment="1">
      <alignment vertical="center"/>
    </xf>
    <xf numFmtId="0" fontId="8" fillId="3" borderId="5" xfId="6" applyFont="1" applyFill="1" applyBorder="1" applyAlignment="1">
      <alignment vertical="center"/>
    </xf>
    <xf numFmtId="0" fontId="9" fillId="4" borderId="23" xfId="6" applyFont="1" applyFill="1" applyBorder="1"/>
    <xf numFmtId="0" fontId="9" fillId="4" borderId="24" xfId="6" applyFont="1" applyFill="1" applyBorder="1"/>
    <xf numFmtId="0" fontId="9" fillId="4" borderId="25" xfId="6" applyFont="1" applyFill="1" applyBorder="1"/>
    <xf numFmtId="0" fontId="9" fillId="4" borderId="26" xfId="6" applyFont="1" applyFill="1" applyBorder="1" applyAlignment="1">
      <alignment vertical="center"/>
    </xf>
    <xf numFmtId="0" fontId="8" fillId="4" borderId="27" xfId="6" applyFont="1" applyFill="1" applyBorder="1" applyAlignment="1">
      <alignment vertical="center"/>
    </xf>
    <xf numFmtId="0" fontId="8" fillId="4" borderId="28" xfId="6" applyFont="1" applyFill="1" applyBorder="1" applyAlignment="1">
      <alignment vertical="center"/>
    </xf>
    <xf numFmtId="0" fontId="8" fillId="4" borderId="2" xfId="6" applyFont="1" applyFill="1" applyBorder="1" applyAlignment="1">
      <alignment vertical="center"/>
    </xf>
    <xf numFmtId="0" fontId="8" fillId="4" borderId="3" xfId="6" applyFont="1" applyFill="1" applyBorder="1" applyAlignment="1">
      <alignment vertical="center"/>
    </xf>
    <xf numFmtId="0" fontId="8" fillId="4" borderId="5" xfId="6" applyFont="1" applyFill="1" applyBorder="1" applyAlignment="1">
      <alignment vertical="center"/>
    </xf>
    <xf numFmtId="0" fontId="8" fillId="5" borderId="26" xfId="6" applyFont="1" applyFill="1" applyBorder="1" applyAlignment="1">
      <alignment vertical="center" wrapText="1"/>
    </xf>
    <xf numFmtId="0" fontId="8" fillId="5" borderId="2" xfId="6" applyFont="1" applyFill="1" applyBorder="1" applyAlignment="1">
      <alignment vertical="center" wrapText="1"/>
    </xf>
    <xf numFmtId="0" fontId="9" fillId="5" borderId="36" xfId="6" applyFont="1" applyFill="1" applyBorder="1" applyAlignment="1">
      <alignment vertical="center" wrapText="1"/>
    </xf>
    <xf numFmtId="0" fontId="9" fillId="5" borderId="37" xfId="6" applyFont="1" applyFill="1" applyBorder="1" applyAlignment="1">
      <alignment vertical="center" wrapText="1"/>
    </xf>
    <xf numFmtId="0" fontId="9" fillId="5" borderId="28" xfId="6" applyFont="1" applyFill="1" applyBorder="1" applyAlignment="1">
      <alignment vertical="center" wrapText="1"/>
    </xf>
    <xf numFmtId="0" fontId="9" fillId="5" borderId="5" xfId="6" applyFont="1" applyFill="1" applyBorder="1" applyAlignment="1">
      <alignment vertical="center" wrapText="1"/>
    </xf>
    <xf numFmtId="0" fontId="9" fillId="0" borderId="29" xfId="6" applyFont="1" applyBorder="1" applyAlignment="1">
      <alignment horizontal="center" vertical="center" wrapText="1"/>
    </xf>
    <xf numFmtId="0" fontId="9" fillId="0" borderId="30" xfId="6" applyFont="1" applyBorder="1" applyAlignment="1">
      <alignment horizontal="center" vertical="center" wrapText="1"/>
    </xf>
    <xf numFmtId="0" fontId="9" fillId="0" borderId="16" xfId="6" applyFont="1" applyBorder="1" applyAlignment="1">
      <alignment horizontal="center" vertical="center" wrapText="1"/>
    </xf>
    <xf numFmtId="0" fontId="8" fillId="0" borderId="29" xfId="6" applyFont="1" applyBorder="1" applyAlignment="1">
      <alignment horizontal="left" vertical="center"/>
    </xf>
    <xf numFmtId="0" fontId="8" fillId="0" borderId="30" xfId="6" applyFont="1" applyBorder="1" applyAlignment="1">
      <alignment horizontal="left" vertical="center"/>
    </xf>
    <xf numFmtId="0" fontId="8" fillId="0" borderId="16" xfId="6" applyFont="1" applyBorder="1" applyAlignment="1">
      <alignment horizontal="left" vertical="center"/>
    </xf>
    <xf numFmtId="0" fontId="13" fillId="0" borderId="29" xfId="6" applyFont="1" applyBorder="1" applyAlignment="1">
      <alignment vertical="center" wrapText="1"/>
    </xf>
    <xf numFmtId="0" fontId="0" fillId="0" borderId="30" xfId="6" applyFont="1" applyBorder="1" applyAlignment="1">
      <alignment vertical="center" wrapText="1"/>
    </xf>
    <xf numFmtId="0" fontId="0" fillId="0" borderId="16" xfId="6" applyFont="1" applyBorder="1" applyAlignment="1">
      <alignment vertical="center" wrapText="1"/>
    </xf>
    <xf numFmtId="0" fontId="8" fillId="0" borderId="33" xfId="6" applyFont="1" applyBorder="1" applyAlignment="1">
      <alignment horizontal="center" vertical="center"/>
    </xf>
    <xf numFmtId="0" fontId="8" fillId="0" borderId="34" xfId="6" applyFont="1" applyBorder="1" applyAlignment="1">
      <alignment horizontal="center" vertical="center"/>
    </xf>
    <xf numFmtId="0" fontId="8" fillId="0" borderId="35" xfId="6" applyFont="1" applyBorder="1" applyAlignment="1">
      <alignment horizontal="center" vertical="center"/>
    </xf>
    <xf numFmtId="0" fontId="9" fillId="0" borderId="33" xfId="6" applyFont="1" applyBorder="1" applyAlignment="1">
      <alignment horizontal="left" vertical="center"/>
    </xf>
    <xf numFmtId="0" fontId="8" fillId="0" borderId="34" xfId="6" applyFont="1" applyBorder="1" applyAlignment="1">
      <alignment horizontal="left" vertical="center"/>
    </xf>
    <xf numFmtId="0" fontId="8" fillId="0" borderId="35" xfId="6" applyFont="1" applyBorder="1" applyAlignment="1">
      <alignment horizontal="left" vertical="center"/>
    </xf>
    <xf numFmtId="0" fontId="0" fillId="0" borderId="33" xfId="6" applyFont="1" applyBorder="1" applyAlignment="1">
      <alignment vertical="center"/>
    </xf>
    <xf numFmtId="0" fontId="0" fillId="0" borderId="34" xfId="6" applyFont="1" applyBorder="1" applyAlignment="1">
      <alignment vertical="center"/>
    </xf>
    <xf numFmtId="0" fontId="0" fillId="0" borderId="35" xfId="6" applyFont="1" applyBorder="1" applyAlignment="1">
      <alignment vertical="center"/>
    </xf>
    <xf numFmtId="0" fontId="2" fillId="0" borderId="33" xfId="6" applyFont="1" applyBorder="1" applyAlignment="1">
      <alignment horizontal="center" vertical="center"/>
    </xf>
    <xf numFmtId="0" fontId="2" fillId="0" borderId="35" xfId="6" applyFont="1" applyBorder="1" applyAlignment="1">
      <alignment horizontal="center" vertical="center"/>
    </xf>
    <xf numFmtId="0" fontId="8" fillId="0" borderId="33" xfId="6" quotePrefix="1" applyFont="1" applyBorder="1" applyAlignment="1">
      <alignment vertical="center" wrapText="1"/>
    </xf>
    <xf numFmtId="0" fontId="8" fillId="0" borderId="34" xfId="6" quotePrefix="1" applyFont="1" applyBorder="1" applyAlignment="1">
      <alignment vertical="center" wrapText="1"/>
    </xf>
    <xf numFmtId="0" fontId="8" fillId="0" borderId="35" xfId="6" quotePrefix="1" applyFont="1" applyBorder="1" applyAlignment="1">
      <alignment vertical="center" wrapText="1"/>
    </xf>
    <xf numFmtId="0" fontId="12" fillId="0" borderId="33" xfId="6" applyFont="1" applyBorder="1" applyAlignment="1">
      <alignment vertical="center" wrapText="1"/>
    </xf>
    <xf numFmtId="0" fontId="2" fillId="0" borderId="34" xfId="6" applyFont="1" applyBorder="1" applyAlignment="1">
      <alignment vertical="center" wrapText="1"/>
    </xf>
    <xf numFmtId="0" fontId="2" fillId="0" borderId="35" xfId="6" applyFont="1" applyBorder="1" applyAlignment="1">
      <alignment vertical="center" wrapText="1"/>
    </xf>
    <xf numFmtId="0" fontId="8" fillId="0" borderId="33" xfId="6" quotePrefix="1" applyFont="1" applyBorder="1" applyAlignment="1">
      <alignment horizontal="center" vertical="center"/>
    </xf>
    <xf numFmtId="0" fontId="8" fillId="0" borderId="33" xfId="6" quotePrefix="1" applyFont="1" applyBorder="1" applyAlignment="1">
      <alignment horizontal="center" vertical="center" wrapText="1"/>
    </xf>
    <xf numFmtId="0" fontId="8" fillId="0" borderId="34" xfId="6" applyFont="1" applyBorder="1" applyAlignment="1">
      <alignment horizontal="center" vertical="center" wrapText="1"/>
    </xf>
    <xf numFmtId="0" fontId="8" fillId="0" borderId="35" xfId="6" applyFont="1" applyBorder="1" applyAlignment="1">
      <alignment horizontal="center" vertical="center" wrapText="1"/>
    </xf>
    <xf numFmtId="0" fontId="9" fillId="0" borderId="33" xfId="6" applyFont="1" applyBorder="1" applyAlignment="1">
      <alignment vertical="center"/>
    </xf>
    <xf numFmtId="0" fontId="9" fillId="0" borderId="33" xfId="6" applyFont="1" applyBorder="1" applyAlignment="1">
      <alignment horizontal="center" vertical="center"/>
    </xf>
    <xf numFmtId="0" fontId="8" fillId="0" borderId="33" xfId="6" applyFont="1" applyBorder="1" applyAlignment="1">
      <alignment horizontal="center" vertical="center" wrapText="1"/>
    </xf>
    <xf numFmtId="0" fontId="0" fillId="0" borderId="33" xfId="6" applyFont="1" applyBorder="1" applyAlignment="1">
      <alignment vertical="center" wrapText="1"/>
    </xf>
    <xf numFmtId="0" fontId="0" fillId="0" borderId="34" xfId="6" applyFont="1" applyBorder="1" applyAlignment="1">
      <alignment vertical="center" wrapText="1"/>
    </xf>
    <xf numFmtId="0" fontId="0" fillId="0" borderId="35" xfId="6" applyFont="1" applyBorder="1" applyAlignment="1">
      <alignment vertical="center" wrapText="1"/>
    </xf>
    <xf numFmtId="0" fontId="8" fillId="0" borderId="33" xfId="6" applyFont="1" applyBorder="1" applyAlignment="1">
      <alignment horizontal="left" vertical="center"/>
    </xf>
    <xf numFmtId="0" fontId="0" fillId="0" borderId="29" xfId="6" applyFont="1" applyBorder="1" applyAlignment="1">
      <alignment vertical="center" wrapText="1"/>
    </xf>
    <xf numFmtId="0" fontId="9" fillId="0" borderId="33" xfId="6" applyFont="1" applyBorder="1" applyAlignment="1">
      <alignment horizontal="left" vertical="center" wrapText="1"/>
    </xf>
    <xf numFmtId="0" fontId="8" fillId="0" borderId="34" xfId="6" applyFont="1" applyBorder="1" applyAlignment="1">
      <alignment horizontal="left" vertical="center" wrapText="1"/>
    </xf>
    <xf numFmtId="0" fontId="8" fillId="0" borderId="35" xfId="6" applyFont="1" applyBorder="1" applyAlignment="1">
      <alignment horizontal="left" vertical="center" wrapText="1"/>
    </xf>
    <xf numFmtId="0" fontId="9" fillId="3" borderId="33" xfId="6" applyFont="1" applyFill="1" applyBorder="1" applyAlignment="1">
      <alignment horizontal="center" vertical="center"/>
    </xf>
    <xf numFmtId="0" fontId="8" fillId="3" borderId="34" xfId="6" applyFont="1" applyFill="1" applyBorder="1" applyAlignment="1">
      <alignment horizontal="center" vertical="center"/>
    </xf>
    <xf numFmtId="0" fontId="8" fillId="3" borderId="35" xfId="6" applyFont="1" applyFill="1" applyBorder="1" applyAlignment="1">
      <alignment horizontal="center" vertical="center"/>
    </xf>
    <xf numFmtId="0" fontId="8" fillId="3" borderId="33" xfId="6" applyFont="1" applyFill="1" applyBorder="1" applyAlignment="1">
      <alignment horizontal="center" vertical="center"/>
    </xf>
    <xf numFmtId="0" fontId="8" fillId="3" borderId="33" xfId="6" quotePrefix="1" applyFont="1" applyFill="1" applyBorder="1" applyAlignment="1">
      <alignment horizontal="center" vertical="center"/>
    </xf>
    <xf numFmtId="0" fontId="13" fillId="0" borderId="33" xfId="6" applyFont="1" applyBorder="1" applyAlignment="1">
      <alignment vertical="center"/>
    </xf>
    <xf numFmtId="0" fontId="13" fillId="0" borderId="34" xfId="6" applyFont="1" applyBorder="1" applyAlignment="1">
      <alignment vertical="center"/>
    </xf>
    <xf numFmtId="0" fontId="13" fillId="0" borderId="35" xfId="6" applyFont="1" applyBorder="1" applyAlignment="1">
      <alignment vertical="center"/>
    </xf>
    <xf numFmtId="0" fontId="8" fillId="0" borderId="33" xfId="6" applyFont="1" applyBorder="1" applyAlignment="1">
      <alignment horizontal="left" vertical="center" wrapText="1"/>
    </xf>
    <xf numFmtId="0" fontId="8" fillId="3" borderId="33" xfId="6" quotePrefix="1" applyFont="1" applyFill="1" applyBorder="1" applyAlignment="1">
      <alignment horizontal="left" vertical="center" wrapText="1"/>
    </xf>
    <xf numFmtId="0" fontId="8" fillId="3" borderId="34" xfId="6" applyFont="1" applyFill="1" applyBorder="1" applyAlignment="1">
      <alignment horizontal="left" vertical="center" wrapText="1"/>
    </xf>
    <xf numFmtId="0" fontId="8" fillId="3" borderId="35" xfId="6" applyFont="1" applyFill="1" applyBorder="1" applyAlignment="1">
      <alignment horizontal="left" vertical="center" wrapText="1"/>
    </xf>
    <xf numFmtId="0" fontId="8" fillId="3" borderId="33" xfId="6" quotePrefix="1" applyFont="1" applyFill="1" applyBorder="1" applyAlignment="1">
      <alignment horizontal="center" vertical="center" wrapText="1"/>
    </xf>
    <xf numFmtId="0" fontId="8" fillId="3" borderId="34" xfId="6" applyFont="1" applyFill="1" applyBorder="1" applyAlignment="1">
      <alignment horizontal="center" vertical="center" wrapText="1"/>
    </xf>
    <xf numFmtId="0" fontId="8" fillId="3" borderId="35" xfId="6" applyFont="1" applyFill="1" applyBorder="1" applyAlignment="1">
      <alignment horizontal="center" vertical="center" wrapText="1"/>
    </xf>
    <xf numFmtId="0" fontId="18" fillId="0" borderId="31" xfId="6" quotePrefix="1" applyFont="1" applyBorder="1" applyAlignment="1">
      <alignment horizontal="center" vertical="center"/>
    </xf>
    <xf numFmtId="0" fontId="18" fillId="0" borderId="32" xfId="6" applyFont="1" applyBorder="1" applyAlignment="1">
      <alignment horizontal="center" vertical="center"/>
    </xf>
    <xf numFmtId="0" fontId="18" fillId="0" borderId="22" xfId="6" applyFont="1" applyBorder="1" applyAlignment="1">
      <alignment horizontal="center" vertical="center"/>
    </xf>
    <xf numFmtId="0" fontId="18" fillId="0" borderId="31" xfId="6" applyFont="1" applyBorder="1" applyAlignment="1">
      <alignment horizontal="left" vertical="center" wrapText="1"/>
    </xf>
    <xf numFmtId="0" fontId="9" fillId="0" borderId="31" xfId="6" applyFont="1" applyBorder="1" applyAlignment="1">
      <alignment horizontal="left" vertical="center"/>
    </xf>
    <xf numFmtId="0" fontId="8" fillId="0" borderId="32" xfId="6" applyFont="1" applyBorder="1" applyAlignment="1">
      <alignment horizontal="left" vertical="center"/>
    </xf>
    <xf numFmtId="0" fontId="8" fillId="0" borderId="22" xfId="6" applyFont="1" applyBorder="1" applyAlignment="1">
      <alignment horizontal="left" vertical="center"/>
    </xf>
    <xf numFmtId="0" fontId="8" fillId="0" borderId="31" xfId="6" applyFont="1" applyBorder="1" applyAlignment="1">
      <alignment horizontal="center" vertical="center"/>
    </xf>
    <xf numFmtId="0" fontId="8" fillId="0" borderId="32" xfId="6" applyFont="1" applyBorder="1" applyAlignment="1">
      <alignment horizontal="center" vertical="center"/>
    </xf>
    <xf numFmtId="0" fontId="8" fillId="0" borderId="22" xfId="6" applyFont="1" applyBorder="1" applyAlignment="1">
      <alignment horizontal="center" vertical="center"/>
    </xf>
    <xf numFmtId="0" fontId="9" fillId="0" borderId="31" xfId="6" applyFont="1" applyBorder="1" applyAlignment="1">
      <alignment vertical="center"/>
    </xf>
    <xf numFmtId="0" fontId="0" fillId="0" borderId="32" xfId="6" applyFont="1" applyBorder="1" applyAlignment="1">
      <alignment vertical="center"/>
    </xf>
    <xf numFmtId="0" fontId="0" fillId="0" borderId="22" xfId="6" applyFont="1" applyBorder="1" applyAlignment="1">
      <alignment vertical="center"/>
    </xf>
    <xf numFmtId="0" fontId="8" fillId="0" borderId="31" xfId="6" quotePrefix="1" applyFont="1" applyBorder="1" applyAlignment="1">
      <alignment vertical="center"/>
    </xf>
    <xf numFmtId="0" fontId="8" fillId="0" borderId="32" xfId="6" quotePrefix="1" applyFont="1" applyBorder="1" applyAlignment="1">
      <alignment vertical="center"/>
    </xf>
    <xf numFmtId="0" fontId="8" fillId="0" borderId="22" xfId="6" quotePrefix="1" applyFont="1" applyBorder="1" applyAlignment="1">
      <alignment vertical="center"/>
    </xf>
    <xf numFmtId="0" fontId="8" fillId="0" borderId="32" xfId="6" applyFont="1" applyBorder="1" applyAlignment="1">
      <alignment vertical="center"/>
    </xf>
    <xf numFmtId="0" fontId="8" fillId="0" borderId="22" xfId="6" applyFont="1" applyBorder="1" applyAlignment="1">
      <alignment vertical="center"/>
    </xf>
    <xf numFmtId="0" fontId="9" fillId="3" borderId="31" xfId="6" applyFont="1" applyFill="1" applyBorder="1" applyAlignment="1">
      <alignment horizontal="center" vertical="center"/>
    </xf>
    <xf numFmtId="0" fontId="8" fillId="3" borderId="32" xfId="6" applyFont="1" applyFill="1" applyBorder="1" applyAlignment="1">
      <alignment horizontal="center" vertical="center"/>
    </xf>
    <xf numFmtId="0" fontId="8" fillId="3" borderId="22" xfId="6" applyFont="1" applyFill="1" applyBorder="1" applyAlignment="1">
      <alignment horizontal="center" vertical="center"/>
    </xf>
    <xf numFmtId="0" fontId="8" fillId="0" borderId="34" xfId="6" quotePrefix="1" applyFont="1" applyBorder="1" applyAlignment="1">
      <alignment horizontal="center" vertical="center" wrapText="1"/>
    </xf>
    <xf numFmtId="0" fontId="8" fillId="0" borderId="35" xfId="6" quotePrefix="1" applyFont="1" applyBorder="1" applyAlignment="1">
      <alignment horizontal="center" vertical="center" wrapText="1"/>
    </xf>
    <xf numFmtId="0" fontId="8" fillId="0" borderId="34" xfId="6" quotePrefix="1" applyFont="1" applyBorder="1" applyAlignment="1">
      <alignment horizontal="center" vertical="center"/>
    </xf>
    <xf numFmtId="0" fontId="8" fillId="0" borderId="35" xfId="6" quotePrefix="1" applyFont="1" applyBorder="1" applyAlignment="1">
      <alignment horizontal="center" vertical="center"/>
    </xf>
    <xf numFmtId="0" fontId="16" fillId="0" borderId="33" xfId="6" applyFont="1" applyBorder="1" applyAlignment="1">
      <alignment vertical="center"/>
    </xf>
    <xf numFmtId="0" fontId="16" fillId="0" borderId="34" xfId="6" applyFont="1" applyBorder="1" applyAlignment="1">
      <alignment vertical="center"/>
    </xf>
    <xf numFmtId="0" fontId="16" fillId="0" borderId="35" xfId="6" applyFont="1" applyBorder="1" applyAlignment="1">
      <alignment vertical="center"/>
    </xf>
    <xf numFmtId="0" fontId="18" fillId="0" borderId="33" xfId="6" quotePrefix="1" applyFont="1" applyBorder="1" applyAlignment="1">
      <alignment horizontal="center" vertical="center" wrapText="1"/>
    </xf>
    <xf numFmtId="0" fontId="18" fillId="0" borderId="34" xfId="6" applyFont="1" applyBorder="1" applyAlignment="1">
      <alignment horizontal="center" vertical="center" wrapText="1"/>
    </xf>
    <xf numFmtId="0" fontId="18" fillId="0" borderId="35" xfId="6" applyFont="1" applyBorder="1" applyAlignment="1">
      <alignment horizontal="center" vertical="center" wrapText="1"/>
    </xf>
    <xf numFmtId="0" fontId="18" fillId="0" borderId="33" xfId="6" applyFont="1" applyBorder="1" applyAlignment="1">
      <alignment vertical="center"/>
    </xf>
    <xf numFmtId="0" fontId="18" fillId="0" borderId="34" xfId="6" applyFont="1" applyBorder="1" applyAlignment="1">
      <alignment vertical="center"/>
    </xf>
    <xf numFmtId="0" fontId="18" fillId="0" borderId="35" xfId="6" applyFont="1" applyBorder="1" applyAlignment="1">
      <alignment vertical="center"/>
    </xf>
    <xf numFmtId="0" fontId="9" fillId="0" borderId="34" xfId="6" applyFont="1" applyBorder="1" applyAlignment="1">
      <alignment horizontal="center" vertical="center"/>
    </xf>
    <xf numFmtId="0" fontId="9" fillId="0" borderId="35" xfId="6" applyFont="1" applyBorder="1" applyAlignment="1">
      <alignment horizontal="center" vertical="center"/>
    </xf>
    <xf numFmtId="0" fontId="15" fillId="0" borderId="33" xfId="6" applyFont="1" applyBorder="1" applyAlignment="1">
      <alignment vertical="center"/>
    </xf>
    <xf numFmtId="0" fontId="15" fillId="0" borderId="34" xfId="6" applyFont="1" applyBorder="1" applyAlignment="1">
      <alignment vertical="center"/>
    </xf>
    <xf numFmtId="0" fontId="15" fillId="0" borderId="35" xfId="6" applyFont="1" applyBorder="1" applyAlignment="1">
      <alignment vertical="center"/>
    </xf>
    <xf numFmtId="0" fontId="9" fillId="7" borderId="33" xfId="6" applyFont="1" applyFill="1" applyBorder="1" applyAlignment="1">
      <alignment horizontal="center" vertical="center"/>
    </xf>
    <xf numFmtId="0" fontId="9" fillId="7" borderId="34" xfId="6" applyFont="1" applyFill="1" applyBorder="1" applyAlignment="1">
      <alignment horizontal="center" vertical="center"/>
    </xf>
    <xf numFmtId="0" fontId="9" fillId="7" borderId="35" xfId="6" applyFont="1" applyFill="1" applyBorder="1" applyAlignment="1">
      <alignment horizontal="center" vertical="center"/>
    </xf>
    <xf numFmtId="0" fontId="8" fillId="7" borderId="33" xfId="6" quotePrefix="1" applyFont="1" applyFill="1" applyBorder="1" applyAlignment="1">
      <alignment horizontal="center" vertical="center" wrapText="1"/>
    </xf>
    <xf numFmtId="0" fontId="8" fillId="7" borderId="34" xfId="6" applyFont="1" applyFill="1" applyBorder="1" applyAlignment="1">
      <alignment horizontal="center" vertical="center" wrapText="1"/>
    </xf>
    <xf numFmtId="0" fontId="8" fillId="7" borderId="35" xfId="6" applyFont="1" applyFill="1" applyBorder="1" applyAlignment="1">
      <alignment horizontal="center" vertical="center" wrapText="1"/>
    </xf>
    <xf numFmtId="0" fontId="8" fillId="7" borderId="33" xfId="6" applyFont="1" applyFill="1" applyBorder="1" applyAlignment="1">
      <alignment horizontal="center" vertical="center"/>
    </xf>
    <xf numFmtId="0" fontId="8" fillId="7" borderId="34" xfId="6" applyFont="1" applyFill="1" applyBorder="1" applyAlignment="1">
      <alignment horizontal="center" vertical="center"/>
    </xf>
    <xf numFmtId="0" fontId="8" fillId="7" borderId="35" xfId="6" applyFont="1" applyFill="1" applyBorder="1" applyAlignment="1">
      <alignment horizontal="center" vertical="center"/>
    </xf>
    <xf numFmtId="0" fontId="18" fillId="0" borderId="33" xfId="6" applyFont="1" applyBorder="1" applyAlignment="1">
      <alignment horizontal="center" vertical="center"/>
    </xf>
    <xf numFmtId="0" fontId="18" fillId="0" borderId="34" xfId="6" applyFont="1" applyBorder="1" applyAlignment="1">
      <alignment horizontal="center" vertical="center"/>
    </xf>
    <xf numFmtId="0" fontId="18" fillId="0" borderId="35" xfId="6" applyFont="1" applyBorder="1" applyAlignment="1">
      <alignment horizontal="center" vertical="center"/>
    </xf>
    <xf numFmtId="0" fontId="8" fillId="0" borderId="33" xfId="6" quotePrefix="1" applyFont="1" applyBorder="1" applyAlignment="1">
      <alignment horizontal="left" vertical="center" wrapText="1"/>
    </xf>
    <xf numFmtId="0" fontId="13" fillId="0" borderId="33" xfId="6" applyFont="1" applyBorder="1" applyAlignment="1">
      <alignment vertical="center" wrapText="1"/>
    </xf>
    <xf numFmtId="0" fontId="18" fillId="0" borderId="33" xfId="6" applyFont="1" applyBorder="1" applyAlignment="1">
      <alignment horizontal="center" vertical="center" wrapText="1"/>
    </xf>
    <xf numFmtId="0" fontId="9" fillId="0" borderId="33" xfId="6" applyFont="1" applyBorder="1" applyAlignment="1">
      <alignment horizontal="center" vertical="center" wrapText="1"/>
    </xf>
    <xf numFmtId="0" fontId="18" fillId="0" borderId="33" xfId="6" quotePrefix="1" applyFont="1" applyBorder="1" applyAlignment="1">
      <alignment horizontal="center" vertical="center"/>
    </xf>
    <xf numFmtId="0" fontId="9" fillId="0" borderId="34" xfId="6" applyFont="1" applyBorder="1" applyAlignment="1">
      <alignment horizontal="center" vertical="center" wrapText="1"/>
    </xf>
    <xf numFmtId="0" fontId="9" fillId="0" borderId="35" xfId="6" applyFont="1" applyBorder="1" applyAlignment="1">
      <alignment horizontal="center" vertical="center" wrapText="1"/>
    </xf>
    <xf numFmtId="0" fontId="12" fillId="0" borderId="33" xfId="6" applyFont="1" applyBorder="1" applyAlignment="1">
      <alignment horizontal="left" vertical="center" wrapText="1"/>
    </xf>
    <xf numFmtId="0" fontId="2" fillId="0" borderId="34" xfId="6" applyFont="1" applyBorder="1" applyAlignment="1">
      <alignment horizontal="left" vertical="center" wrapText="1"/>
    </xf>
    <xf numFmtId="0" fontId="2" fillId="0" borderId="35" xfId="6" applyFont="1" applyBorder="1" applyAlignment="1">
      <alignment horizontal="left" vertical="center" wrapText="1"/>
    </xf>
    <xf numFmtId="0" fontId="13" fillId="0" borderId="30" xfId="6" applyFont="1" applyBorder="1" applyAlignment="1">
      <alignment vertical="center" wrapText="1"/>
    </xf>
    <xf numFmtId="0" fontId="13" fillId="0" borderId="16" xfId="6" applyFont="1" applyBorder="1" applyAlignment="1">
      <alignment vertical="center" wrapText="1"/>
    </xf>
    <xf numFmtId="0" fontId="14" fillId="0" borderId="31" xfId="6" applyFont="1" applyBorder="1" applyAlignment="1">
      <alignment vertical="center"/>
    </xf>
    <xf numFmtId="0" fontId="13" fillId="0" borderId="32" xfId="6" applyFont="1" applyBorder="1" applyAlignment="1">
      <alignment vertical="center"/>
    </xf>
    <xf numFmtId="0" fontId="13" fillId="0" borderId="22" xfId="6" applyFont="1" applyBorder="1" applyAlignment="1">
      <alignment vertical="center"/>
    </xf>
    <xf numFmtId="0" fontId="9" fillId="0" borderId="31" xfId="6" quotePrefix="1" applyFont="1" applyBorder="1" applyAlignment="1">
      <alignment horizontal="center" vertical="center"/>
    </xf>
    <xf numFmtId="0" fontId="9" fillId="0" borderId="32" xfId="6" applyFont="1" applyBorder="1" applyAlignment="1">
      <alignment horizontal="center" vertical="center"/>
    </xf>
    <xf numFmtId="0" fontId="9" fillId="0" borderId="22" xfId="6" applyFont="1" applyBorder="1" applyAlignment="1">
      <alignment horizontal="center" vertical="center"/>
    </xf>
    <xf numFmtId="0" fontId="8" fillId="0" borderId="41" xfId="6" applyFont="1" applyBorder="1" applyAlignment="1">
      <alignment horizontal="left" vertical="center"/>
    </xf>
    <xf numFmtId="0" fontId="8" fillId="0" borderId="42" xfId="6" applyFont="1" applyBorder="1" applyAlignment="1">
      <alignment horizontal="left" vertical="center"/>
    </xf>
    <xf numFmtId="0" fontId="8" fillId="0" borderId="21" xfId="6" applyFont="1" applyBorder="1" applyAlignment="1">
      <alignment horizontal="left" vertical="center"/>
    </xf>
    <xf numFmtId="0" fontId="8" fillId="0" borderId="41" xfId="6" quotePrefix="1" applyFont="1" applyBorder="1" applyAlignment="1">
      <alignment horizontal="left" vertical="center" wrapText="1"/>
    </xf>
    <xf numFmtId="0" fontId="8" fillId="0" borderId="42" xfId="6" applyFont="1" applyBorder="1" applyAlignment="1">
      <alignment horizontal="left" vertical="center" wrapText="1"/>
    </xf>
    <xf numFmtId="0" fontId="8" fillId="0" borderId="21" xfId="6" applyFont="1" applyBorder="1" applyAlignment="1">
      <alignment horizontal="left" vertical="center" wrapText="1"/>
    </xf>
    <xf numFmtId="0" fontId="8" fillId="0" borderId="41" xfId="6" applyFont="1" applyBorder="1" applyAlignment="1">
      <alignment horizontal="center" vertical="center"/>
    </xf>
    <xf numFmtId="0" fontId="8" fillId="0" borderId="42" xfId="6" applyFont="1" applyBorder="1" applyAlignment="1">
      <alignment horizontal="center" vertical="center"/>
    </xf>
    <xf numFmtId="0" fontId="8" fillId="0" borderId="21" xfId="6" applyFont="1" applyBorder="1" applyAlignment="1">
      <alignment horizontal="center" vertical="center"/>
    </xf>
    <xf numFmtId="0" fontId="9" fillId="0" borderId="34" xfId="6" applyFont="1" applyBorder="1" applyAlignment="1">
      <alignment vertical="center"/>
    </xf>
    <xf numFmtId="0" fontId="9" fillId="0" borderId="35" xfId="6" applyFont="1" applyBorder="1" applyAlignment="1">
      <alignment vertical="center"/>
    </xf>
    <xf numFmtId="0" fontId="9" fillId="0" borderId="33" xfId="6" quotePrefix="1" applyFont="1" applyBorder="1" applyAlignment="1">
      <alignment horizontal="center" vertical="center"/>
    </xf>
    <xf numFmtId="0" fontId="9" fillId="0" borderId="41" xfId="6" applyFont="1" applyBorder="1" applyAlignment="1">
      <alignment horizontal="center" vertical="center"/>
    </xf>
    <xf numFmtId="0" fontId="9" fillId="0" borderId="42" xfId="6" applyFont="1" applyBorder="1" applyAlignment="1">
      <alignment horizontal="center" vertical="center"/>
    </xf>
    <xf numFmtId="0" fontId="9" fillId="0" borderId="21" xfId="6" applyFont="1" applyBorder="1" applyAlignment="1">
      <alignment horizontal="center" vertical="center"/>
    </xf>
    <xf numFmtId="0" fontId="9" fillId="0" borderId="41" xfId="6" applyFont="1" applyBorder="1" applyAlignment="1">
      <alignment horizontal="center" vertical="center" wrapText="1"/>
    </xf>
    <xf numFmtId="0" fontId="9" fillId="0" borderId="42" xfId="6" applyFont="1" applyBorder="1" applyAlignment="1">
      <alignment horizontal="center" vertical="center" wrapText="1"/>
    </xf>
    <xf numFmtId="0" fontId="9" fillId="0" borderId="21" xfId="6" applyFont="1" applyBorder="1" applyAlignment="1">
      <alignment horizontal="center" vertical="center" wrapText="1"/>
    </xf>
    <xf numFmtId="0" fontId="9" fillId="0" borderId="34" xfId="6" quotePrefix="1" applyFont="1" applyBorder="1" applyAlignment="1">
      <alignment horizontal="center" vertical="center"/>
    </xf>
    <xf numFmtId="0" fontId="9" fillId="0" borderId="35" xfId="6" quotePrefix="1" applyFont="1" applyBorder="1" applyAlignment="1">
      <alignment horizontal="center" vertical="center"/>
    </xf>
    <xf numFmtId="0" fontId="9" fillId="0" borderId="33" xfId="6" quotePrefix="1" applyFont="1" applyBorder="1" applyAlignment="1">
      <alignment horizontal="center" vertical="center" wrapText="1"/>
    </xf>
    <xf numFmtId="0" fontId="9" fillId="0" borderId="41" xfId="6" applyFont="1" applyBorder="1" applyAlignment="1">
      <alignment vertical="center"/>
    </xf>
    <xf numFmtId="0" fontId="9" fillId="0" borderId="42" xfId="6" applyFont="1" applyBorder="1" applyAlignment="1">
      <alignment vertical="center"/>
    </xf>
    <xf numFmtId="0" fontId="9" fillId="0" borderId="21" xfId="6" applyFont="1" applyBorder="1" applyAlignment="1">
      <alignment vertical="center"/>
    </xf>
    <xf numFmtId="0" fontId="0" fillId="0" borderId="41" xfId="6" applyFont="1" applyBorder="1" applyAlignment="1">
      <alignment vertical="center" wrapText="1"/>
    </xf>
    <xf numFmtId="0" fontId="0" fillId="0" borderId="42" xfId="6" applyFont="1" applyBorder="1" applyAlignment="1">
      <alignment vertical="center" wrapText="1"/>
    </xf>
    <xf numFmtId="0" fontId="0" fillId="0" borderId="21" xfId="6" applyFont="1" applyBorder="1" applyAlignment="1">
      <alignment vertical="center" wrapText="1"/>
    </xf>
    <xf numFmtId="0" fontId="0" fillId="0" borderId="33" xfId="6" quotePrefix="1" applyFont="1" applyBorder="1" applyAlignment="1">
      <alignment vertical="center" wrapText="1"/>
    </xf>
    <xf numFmtId="0" fontId="9" fillId="0" borderId="30" xfId="6" applyFont="1" applyBorder="1" applyAlignment="1">
      <alignment horizontal="center" vertical="center"/>
    </xf>
    <xf numFmtId="0" fontId="9" fillId="0" borderId="16" xfId="6" applyFont="1" applyBorder="1" applyAlignment="1">
      <alignment horizontal="center" vertical="center"/>
    </xf>
    <xf numFmtId="0" fontId="9" fillId="0" borderId="29" xfId="6" applyFont="1" applyBorder="1" applyAlignment="1">
      <alignment horizontal="left" vertical="center"/>
    </xf>
    <xf numFmtId="0" fontId="9" fillId="0" borderId="30" xfId="6" applyFont="1" applyBorder="1" applyAlignment="1">
      <alignment horizontal="left" vertical="center"/>
    </xf>
    <xf numFmtId="0" fontId="9" fillId="0" borderId="16" xfId="6" applyFont="1" applyBorder="1" applyAlignment="1">
      <alignment horizontal="left" vertical="center"/>
    </xf>
    <xf numFmtId="0" fontId="8" fillId="0" borderId="33" xfId="6" applyFont="1" applyBorder="1" applyAlignment="1">
      <alignment vertical="center" wrapText="1"/>
    </xf>
    <xf numFmtId="0" fontId="8" fillId="0" borderId="34" xfId="6" applyFont="1" applyBorder="1" applyAlignment="1">
      <alignment vertical="center" wrapText="1"/>
    </xf>
    <xf numFmtId="0" fontId="8" fillId="0" borderId="35" xfId="6" applyFont="1" applyBorder="1" applyAlignment="1">
      <alignment vertical="center" wrapText="1"/>
    </xf>
    <xf numFmtId="0" fontId="8" fillId="0" borderId="29" xfId="6" applyFont="1" applyBorder="1" applyAlignment="1">
      <alignment vertical="center" wrapText="1"/>
    </xf>
    <xf numFmtId="0" fontId="8" fillId="0" borderId="30" xfId="6" applyFont="1" applyBorder="1" applyAlignment="1">
      <alignment vertical="center" wrapText="1"/>
    </xf>
    <xf numFmtId="0" fontId="8" fillId="0" borderId="16" xfId="6" applyFont="1" applyBorder="1" applyAlignment="1">
      <alignment vertical="center" wrapText="1"/>
    </xf>
    <xf numFmtId="0" fontId="9" fillId="0" borderId="29" xfId="6" applyFont="1" applyBorder="1" applyAlignment="1">
      <alignment vertical="center"/>
    </xf>
    <xf numFmtId="0" fontId="9" fillId="0" borderId="30" xfId="6" applyFont="1" applyBorder="1" applyAlignment="1">
      <alignment vertical="center"/>
    </xf>
    <xf numFmtId="0" fontId="9" fillId="0" borderId="16" xfId="6" applyFont="1" applyBorder="1" applyAlignment="1">
      <alignment vertical="center"/>
    </xf>
    <xf numFmtId="0" fontId="18" fillId="0" borderId="41" xfId="6" applyFont="1" applyBorder="1" applyAlignment="1">
      <alignment horizontal="center" vertical="center"/>
    </xf>
    <xf numFmtId="0" fontId="18" fillId="0" borderId="42" xfId="6" applyFont="1" applyBorder="1" applyAlignment="1">
      <alignment horizontal="center" vertical="center"/>
    </xf>
    <xf numFmtId="0" fontId="18" fillId="0" borderId="21" xfId="6" applyFont="1" applyBorder="1" applyAlignment="1">
      <alignment horizontal="center" vertical="center"/>
    </xf>
    <xf numFmtId="0" fontId="18" fillId="0" borderId="33" xfId="6" applyFont="1" applyBorder="1" applyAlignment="1">
      <alignment vertical="center" wrapText="1"/>
    </xf>
    <xf numFmtId="0" fontId="18" fillId="0" borderId="34" xfId="6" applyFont="1" applyBorder="1" applyAlignment="1">
      <alignment vertical="center" wrapText="1"/>
    </xf>
    <xf numFmtId="0" fontId="18" fillId="0" borderId="35" xfId="6" applyFont="1" applyBorder="1" applyAlignment="1">
      <alignment vertical="center" wrapText="1"/>
    </xf>
    <xf numFmtId="0" fontId="19" fillId="0" borderId="33" xfId="6" applyFont="1" applyBorder="1" applyAlignment="1">
      <alignment horizontal="center" vertical="center"/>
    </xf>
    <xf numFmtId="0" fontId="19" fillId="0" borderId="35" xfId="6" applyFont="1" applyBorder="1" applyAlignment="1">
      <alignment horizontal="center" vertical="center"/>
    </xf>
    <xf numFmtId="0" fontId="18" fillId="0" borderId="33" xfId="6" quotePrefix="1" applyFont="1" applyBorder="1" applyAlignment="1">
      <alignment vertical="center" wrapText="1"/>
    </xf>
    <xf numFmtId="0" fontId="18" fillId="0" borderId="34" xfId="6" quotePrefix="1" applyFont="1" applyBorder="1" applyAlignment="1">
      <alignment vertical="center" wrapText="1"/>
    </xf>
    <xf numFmtId="0" fontId="18" fillId="0" borderId="35" xfId="6" quotePrefix="1" applyFont="1" applyBorder="1" applyAlignment="1">
      <alignment vertical="center" wrapText="1"/>
    </xf>
    <xf numFmtId="0" fontId="18" fillId="0" borderId="33" xfId="6" applyFont="1" applyBorder="1" applyAlignment="1">
      <alignment horizontal="left" vertical="center" wrapText="1"/>
    </xf>
    <xf numFmtId="0" fontId="18" fillId="0" borderId="34" xfId="6" applyFont="1" applyBorder="1" applyAlignment="1">
      <alignment horizontal="left" vertical="center" wrapText="1"/>
    </xf>
    <xf numFmtId="0" fontId="18" fillId="0" borderId="35" xfId="6" applyFont="1" applyBorder="1" applyAlignment="1">
      <alignment horizontal="left" vertical="center" wrapText="1"/>
    </xf>
    <xf numFmtId="0" fontId="18" fillId="0" borderId="33" xfId="6" applyFont="1" applyBorder="1" applyAlignment="1">
      <alignment horizontal="left" vertical="center"/>
    </xf>
    <xf numFmtId="0" fontId="18" fillId="0" borderId="34" xfId="6" applyFont="1" applyBorder="1" applyAlignment="1">
      <alignment horizontal="left" vertical="center"/>
    </xf>
    <xf numFmtId="0" fontId="18" fillId="0" borderId="35" xfId="6" applyFont="1" applyBorder="1" applyAlignment="1">
      <alignment horizontal="left" vertical="center"/>
    </xf>
    <xf numFmtId="0" fontId="18" fillId="0" borderId="41" xfId="6" applyFont="1" applyBorder="1" applyAlignment="1">
      <alignment horizontal="left" vertical="center"/>
    </xf>
    <xf numFmtId="0" fontId="18" fillId="0" borderId="42" xfId="6" applyFont="1" applyBorder="1" applyAlignment="1">
      <alignment horizontal="left" vertical="center"/>
    </xf>
    <xf numFmtId="0" fontId="18" fillId="0" borderId="21" xfId="6" applyFont="1" applyBorder="1" applyAlignment="1">
      <alignment horizontal="left" vertical="center"/>
    </xf>
    <xf numFmtId="0" fontId="19" fillId="0" borderId="31" xfId="6" applyFont="1" applyBorder="1" applyAlignment="1">
      <alignment horizontal="center" vertical="center"/>
    </xf>
    <xf numFmtId="0" fontId="19" fillId="0" borderId="22" xfId="6" applyFont="1" applyBorder="1" applyAlignment="1">
      <alignment horizontal="center" vertical="center"/>
    </xf>
    <xf numFmtId="0" fontId="18" fillId="0" borderId="31" xfId="6" quotePrefix="1" applyFont="1" applyBorder="1" applyAlignment="1">
      <alignment vertical="center" wrapText="1"/>
    </xf>
    <xf numFmtId="0" fontId="18" fillId="0" borderId="32" xfId="6" quotePrefix="1" applyFont="1" applyBorder="1" applyAlignment="1">
      <alignment vertical="center" wrapText="1"/>
    </xf>
    <xf numFmtId="0" fontId="18" fillId="0" borderId="22" xfId="6" quotePrefix="1" applyFont="1" applyBorder="1" applyAlignment="1">
      <alignment vertical="center" wrapText="1"/>
    </xf>
    <xf numFmtId="0" fontId="18" fillId="0" borderId="31" xfId="6" applyFont="1" applyBorder="1" applyAlignment="1">
      <alignment vertical="center"/>
    </xf>
    <xf numFmtId="0" fontId="18" fillId="0" borderId="32" xfId="6" applyFont="1" applyBorder="1" applyAlignment="1">
      <alignment vertical="center"/>
    </xf>
    <xf numFmtId="0" fontId="18" fillId="0" borderId="22" xfId="6" applyFont="1" applyBorder="1" applyAlignment="1">
      <alignment vertical="center"/>
    </xf>
    <xf numFmtId="0" fontId="18" fillId="3" borderId="31" xfId="6" applyFont="1" applyFill="1" applyBorder="1" applyAlignment="1">
      <alignment horizontal="center" vertical="center"/>
    </xf>
    <xf numFmtId="0" fontId="18" fillId="3" borderId="32" xfId="6" applyFont="1" applyFill="1" applyBorder="1" applyAlignment="1">
      <alignment horizontal="center" vertical="center"/>
    </xf>
    <xf numFmtId="0" fontId="18" fillId="3" borderId="22" xfId="6" applyFont="1" applyFill="1" applyBorder="1" applyAlignment="1">
      <alignment horizontal="center" vertical="center"/>
    </xf>
    <xf numFmtId="0" fontId="18" fillId="0" borderId="32" xfId="6" applyFont="1" applyBorder="1" applyAlignment="1">
      <alignment horizontal="left" vertical="center" wrapText="1"/>
    </xf>
    <xf numFmtId="0" fontId="18" fillId="0" borderId="22" xfId="6" applyFont="1" applyBorder="1" applyAlignment="1">
      <alignment horizontal="left" vertical="center" wrapText="1"/>
    </xf>
    <xf numFmtId="0" fontId="18" fillId="0" borderId="31" xfId="6" applyFont="1" applyBorder="1" applyAlignment="1">
      <alignment horizontal="center" vertical="center"/>
    </xf>
    <xf numFmtId="0" fontId="9" fillId="0" borderId="32" xfId="6" quotePrefix="1" applyFont="1" applyBorder="1" applyAlignment="1">
      <alignment horizontal="center" vertical="center"/>
    </xf>
    <xf numFmtId="0" fontId="9" fillId="0" borderId="22" xfId="6" quotePrefix="1" applyFont="1" applyBorder="1" applyAlignment="1">
      <alignment horizontal="center" vertical="center"/>
    </xf>
    <xf numFmtId="0" fontId="8" fillId="0" borderId="31" xfId="6" applyFont="1" applyBorder="1" applyAlignment="1">
      <alignment horizontal="left" vertical="center"/>
    </xf>
    <xf numFmtId="0" fontId="0" fillId="0" borderId="31" xfId="6" applyFont="1" applyBorder="1" applyAlignment="1">
      <alignment vertical="center" wrapText="1"/>
    </xf>
    <xf numFmtId="0" fontId="0" fillId="0" borderId="32" xfId="6" applyFont="1" applyBorder="1" applyAlignment="1">
      <alignment vertical="center" wrapText="1"/>
    </xf>
    <xf numFmtId="0" fontId="0" fillId="0" borderId="22" xfId="6" applyFont="1" applyBorder="1" applyAlignment="1">
      <alignment vertical="center" wrapText="1"/>
    </xf>
    <xf numFmtId="0" fontId="8" fillId="0" borderId="31" xfId="6" quotePrefix="1" applyFont="1" applyBorder="1" applyAlignment="1">
      <alignment vertical="center" wrapText="1"/>
    </xf>
    <xf numFmtId="0" fontId="8" fillId="0" borderId="32" xfId="6" quotePrefix="1" applyFont="1" applyBorder="1" applyAlignment="1">
      <alignment vertical="center" wrapText="1"/>
    </xf>
    <xf numFmtId="0" fontId="8" fillId="0" borderId="22" xfId="6" quotePrefix="1" applyFont="1" applyBorder="1" applyAlignment="1">
      <alignment vertical="center" wrapText="1"/>
    </xf>
    <xf numFmtId="0" fontId="9" fillId="0" borderId="32" xfId="6" applyFont="1" applyBorder="1" applyAlignment="1">
      <alignment vertical="center"/>
    </xf>
    <xf numFmtId="0" fontId="9" fillId="0" borderId="22" xfId="6" applyFont="1" applyBorder="1" applyAlignment="1">
      <alignment vertical="center"/>
    </xf>
    <xf numFmtId="0" fontId="9" fillId="0" borderId="31" xfId="6" applyFont="1" applyBorder="1" applyAlignment="1">
      <alignment horizontal="center" vertical="center"/>
    </xf>
    <xf numFmtId="0" fontId="8" fillId="0" borderId="34" xfId="6" quotePrefix="1" applyFont="1" applyBorder="1" applyAlignment="1">
      <alignment horizontal="left" vertical="center" wrapText="1"/>
    </xf>
    <xf numFmtId="0" fontId="8" fillId="0" borderId="35" xfId="6" quotePrefix="1" applyFont="1" applyBorder="1" applyAlignment="1">
      <alignment horizontal="left" vertical="center" wrapText="1"/>
    </xf>
    <xf numFmtId="0" fontId="9" fillId="0" borderId="33" xfId="6" quotePrefix="1" applyFont="1" applyBorder="1" applyAlignment="1">
      <alignment horizontal="left" vertical="center" wrapText="1"/>
    </xf>
    <xf numFmtId="0" fontId="9" fillId="0" borderId="34" xfId="6" applyFont="1" applyBorder="1" applyAlignment="1">
      <alignment horizontal="left" vertical="center" wrapText="1"/>
    </xf>
    <xf numFmtId="0" fontId="9" fillId="0" borderId="35" xfId="6" applyFont="1" applyBorder="1" applyAlignment="1">
      <alignment horizontal="left" vertical="center" wrapText="1"/>
    </xf>
    <xf numFmtId="0" fontId="2" fillId="0" borderId="31" xfId="6" applyFont="1" applyBorder="1" applyAlignment="1">
      <alignment horizontal="center" vertical="center"/>
    </xf>
    <xf numFmtId="0" fontId="2" fillId="0" borderId="22" xfId="6" applyFont="1" applyBorder="1" applyAlignment="1">
      <alignment horizontal="center" vertical="center"/>
    </xf>
    <xf numFmtId="0" fontId="8" fillId="3" borderId="31" xfId="6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horizontal="center" vertical="center"/>
    </xf>
    <xf numFmtId="0" fontId="23" fillId="2" borderId="25" xfId="0" applyFont="1" applyFill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6" fillId="0" borderId="0" xfId="0" applyFont="1"/>
    <xf numFmtId="0" fontId="26" fillId="0" borderId="26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14" fontId="26" fillId="0" borderId="26" xfId="0" applyNumberFormat="1" applyFont="1" applyBorder="1" applyAlignment="1">
      <alignment horizontal="center" vertical="center"/>
    </xf>
    <xf numFmtId="14" fontId="26" fillId="0" borderId="27" xfId="0" applyNumberFormat="1" applyFont="1" applyBorder="1" applyAlignment="1">
      <alignment horizontal="center" vertical="center"/>
    </xf>
    <xf numFmtId="14" fontId="26" fillId="0" borderId="28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14" fontId="26" fillId="0" borderId="2" xfId="0" applyNumberFormat="1" applyFont="1" applyBorder="1" applyAlignment="1">
      <alignment horizontal="center" vertical="center"/>
    </xf>
    <xf numFmtId="14" fontId="26" fillId="0" borderId="3" xfId="0" applyNumberFormat="1" applyFont="1" applyBorder="1" applyAlignment="1">
      <alignment horizontal="center" vertical="center"/>
    </xf>
    <xf numFmtId="14" fontId="26" fillId="0" borderId="5" xfId="0" applyNumberFormat="1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" xfId="0" applyFont="1" applyBorder="1"/>
    <xf numFmtId="0" fontId="26" fillId="0" borderId="3" xfId="0" applyFont="1" applyBorder="1"/>
    <xf numFmtId="0" fontId="26" fillId="0" borderId="5" xfId="0" applyFont="1" applyBorder="1"/>
    <xf numFmtId="0" fontId="26" fillId="0" borderId="1" xfId="0" applyFont="1" applyBorder="1"/>
    <xf numFmtId="0" fontId="26" fillId="0" borderId="4" xfId="0" applyFont="1" applyBorder="1"/>
    <xf numFmtId="0" fontId="23" fillId="2" borderId="0" xfId="0" applyFont="1" applyFill="1"/>
    <xf numFmtId="0" fontId="26" fillId="0" borderId="29" xfId="0" applyFont="1" applyBorder="1"/>
    <xf numFmtId="0" fontId="26" fillId="0" borderId="30" xfId="0" applyFont="1" applyBorder="1"/>
    <xf numFmtId="0" fontId="26" fillId="0" borderId="16" xfId="0" applyFont="1" applyBorder="1"/>
    <xf numFmtId="0" fontId="26" fillId="0" borderId="27" xfId="0" applyFont="1" applyBorder="1"/>
    <xf numFmtId="0" fontId="26" fillId="0" borderId="28" xfId="0" applyFont="1" applyBorder="1"/>
    <xf numFmtId="0" fontId="26" fillId="0" borderId="26" xfId="0" applyFont="1" applyBorder="1"/>
    <xf numFmtId="0" fontId="26" fillId="0" borderId="31" xfId="0" applyFont="1" applyBorder="1"/>
    <xf numFmtId="0" fontId="26" fillId="0" borderId="32" xfId="0" applyFont="1" applyBorder="1"/>
    <xf numFmtId="0" fontId="26" fillId="0" borderId="22" xfId="0" applyFont="1" applyBorder="1"/>
    <xf numFmtId="0" fontId="26" fillId="0" borderId="3" xfId="0" applyFont="1" applyBorder="1"/>
    <xf numFmtId="0" fontId="26" fillId="0" borderId="5" xfId="0" applyFont="1" applyBorder="1"/>
    <xf numFmtId="0" fontId="26" fillId="0" borderId="2" xfId="0" applyFont="1" applyBorder="1"/>
    <xf numFmtId="14" fontId="27" fillId="0" borderId="26" xfId="0" applyNumberFormat="1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7" fillId="0" borderId="29" xfId="0" applyFont="1" applyBorder="1"/>
    <xf numFmtId="0" fontId="27" fillId="0" borderId="30" xfId="0" applyFont="1" applyBorder="1"/>
    <xf numFmtId="0" fontId="27" fillId="0" borderId="16" xfId="0" applyFont="1" applyBorder="1"/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31" xfId="0" applyFont="1" applyBorder="1"/>
    <xf numFmtId="0" fontId="27" fillId="0" borderId="32" xfId="0" applyFont="1" applyBorder="1"/>
    <xf numFmtId="0" fontId="27" fillId="0" borderId="22" xfId="0" applyFont="1" applyBorder="1"/>
    <xf numFmtId="0" fontId="23" fillId="2" borderId="23" xfId="6" applyFont="1" applyFill="1" applyBorder="1" applyAlignment="1">
      <alignment horizontal="center" vertical="center"/>
    </xf>
    <xf numFmtId="0" fontId="23" fillId="2" borderId="24" xfId="6" applyFont="1" applyFill="1" applyBorder="1" applyAlignment="1">
      <alignment horizontal="center" vertical="center"/>
    </xf>
    <xf numFmtId="0" fontId="23" fillId="2" borderId="25" xfId="6" applyFont="1" applyFill="1" applyBorder="1" applyAlignment="1">
      <alignment horizontal="center" vertical="center"/>
    </xf>
    <xf numFmtId="0" fontId="25" fillId="0" borderId="26" xfId="6" applyFont="1" applyBorder="1" applyAlignment="1">
      <alignment horizontal="center" vertical="center"/>
    </xf>
    <xf numFmtId="0" fontId="25" fillId="0" borderId="27" xfId="6" applyFont="1" applyBorder="1" applyAlignment="1">
      <alignment horizontal="center" vertical="center"/>
    </xf>
    <xf numFmtId="0" fontId="25" fillId="0" borderId="28" xfId="6" applyFont="1" applyBorder="1" applyAlignment="1">
      <alignment horizontal="center" vertical="center"/>
    </xf>
    <xf numFmtId="0" fontId="25" fillId="0" borderId="1" xfId="6" applyFont="1" applyBorder="1" applyAlignment="1">
      <alignment horizontal="center" vertical="center"/>
    </xf>
    <xf numFmtId="0" fontId="25" fillId="0" borderId="0" xfId="6" applyFont="1" applyAlignment="1">
      <alignment horizontal="center" vertical="center"/>
    </xf>
    <xf numFmtId="0" fontId="25" fillId="0" borderId="4" xfId="6" applyFont="1" applyBorder="1" applyAlignment="1">
      <alignment horizontal="center" vertical="center"/>
    </xf>
    <xf numFmtId="0" fontId="25" fillId="0" borderId="2" xfId="6" applyFont="1" applyBorder="1" applyAlignment="1">
      <alignment horizontal="center" vertical="center"/>
    </xf>
    <xf numFmtId="0" fontId="25" fillId="0" borderId="3" xfId="6" applyFont="1" applyBorder="1" applyAlignment="1">
      <alignment horizontal="center" vertical="center"/>
    </xf>
    <xf numFmtId="0" fontId="25" fillId="0" borderId="5" xfId="6" applyFont="1" applyBorder="1" applyAlignment="1">
      <alignment horizontal="center" vertical="center"/>
    </xf>
    <xf numFmtId="0" fontId="26" fillId="0" borderId="0" xfId="6" applyFont="1" applyAlignment="1">
      <alignment vertical="center"/>
    </xf>
    <xf numFmtId="0" fontId="26" fillId="0" borderId="30" xfId="6" applyFont="1" applyBorder="1" applyAlignment="1">
      <alignment vertical="center" wrapText="1"/>
    </xf>
    <xf numFmtId="0" fontId="26" fillId="0" borderId="16" xfId="6" applyFont="1" applyBorder="1" applyAlignment="1">
      <alignment vertical="center" wrapText="1"/>
    </xf>
    <xf numFmtId="0" fontId="26" fillId="0" borderId="33" xfId="6" applyFont="1" applyBorder="1" applyAlignment="1">
      <alignment vertical="center"/>
    </xf>
    <xf numFmtId="0" fontId="26" fillId="0" borderId="34" xfId="6" applyFont="1" applyBorder="1" applyAlignment="1">
      <alignment vertical="center"/>
    </xf>
    <xf numFmtId="0" fontId="26" fillId="0" borderId="35" xfId="6" applyFont="1" applyBorder="1" applyAlignment="1">
      <alignment vertical="center"/>
    </xf>
    <xf numFmtId="0" fontId="26" fillId="0" borderId="33" xfId="6" applyFont="1" applyBorder="1" applyAlignment="1">
      <alignment vertical="center" wrapText="1"/>
    </xf>
    <xf numFmtId="0" fontId="26" fillId="0" borderId="34" xfId="6" applyFont="1" applyBorder="1" applyAlignment="1">
      <alignment vertical="center" wrapText="1"/>
    </xf>
    <xf numFmtId="0" fontId="26" fillId="0" borderId="35" xfId="6" applyFont="1" applyBorder="1" applyAlignment="1">
      <alignment vertical="center" wrapText="1"/>
    </xf>
    <xf numFmtId="0" fontId="26" fillId="0" borderId="29" xfId="6" applyFont="1" applyBorder="1" applyAlignment="1">
      <alignment vertical="center" wrapText="1"/>
    </xf>
    <xf numFmtId="0" fontId="27" fillId="3" borderId="31" xfId="6" applyFont="1" applyFill="1" applyBorder="1" applyAlignment="1">
      <alignment horizontal="center" vertical="center" wrapText="1"/>
    </xf>
    <xf numFmtId="0" fontId="27" fillId="3" borderId="32" xfId="6" applyFont="1" applyFill="1" applyBorder="1" applyAlignment="1">
      <alignment horizontal="center" vertical="center" wrapText="1"/>
    </xf>
    <xf numFmtId="0" fontId="27" fillId="3" borderId="22" xfId="6" applyFont="1" applyFill="1" applyBorder="1" applyAlignment="1">
      <alignment horizontal="center" vertical="center" wrapText="1"/>
    </xf>
    <xf numFmtId="0" fontId="27" fillId="0" borderId="31" xfId="6" quotePrefix="1" applyFont="1" applyBorder="1" applyAlignment="1">
      <alignment horizontal="center" vertical="center"/>
    </xf>
    <xf numFmtId="0" fontId="27" fillId="0" borderId="32" xfId="6" applyFont="1" applyBorder="1" applyAlignment="1">
      <alignment horizontal="center" vertical="center"/>
    </xf>
    <xf numFmtId="0" fontId="27" fillId="0" borderId="22" xfId="6" applyFont="1" applyBorder="1" applyAlignment="1">
      <alignment horizontal="center" vertical="center"/>
    </xf>
    <xf numFmtId="0" fontId="27" fillId="0" borderId="31" xfId="6" applyFont="1" applyBorder="1" applyAlignment="1">
      <alignment horizontal="left" vertical="center" wrapText="1"/>
    </xf>
    <xf numFmtId="0" fontId="27" fillId="0" borderId="32" xfId="6" applyFont="1" applyBorder="1" applyAlignment="1">
      <alignment horizontal="left" vertical="center"/>
    </xf>
    <xf numFmtId="0" fontId="27" fillId="0" borderId="22" xfId="6" applyFont="1" applyBorder="1" applyAlignment="1">
      <alignment horizontal="left" vertical="center"/>
    </xf>
    <xf numFmtId="0" fontId="26" fillId="0" borderId="32" xfId="6" applyFont="1" applyBorder="1" applyAlignment="1">
      <alignment vertical="center"/>
    </xf>
    <xf numFmtId="0" fontId="26" fillId="0" borderId="22" xfId="6" applyFont="1" applyBorder="1" applyAlignment="1">
      <alignment vertical="center"/>
    </xf>
    <xf numFmtId="0" fontId="27" fillId="0" borderId="33" xfId="6" applyFont="1" applyBorder="1" applyAlignment="1">
      <alignment horizontal="center" vertical="center" wrapText="1"/>
    </xf>
    <xf numFmtId="0" fontId="27" fillId="0" borderId="34" xfId="6" applyFont="1" applyBorder="1" applyAlignment="1">
      <alignment horizontal="center" vertical="center" wrapText="1"/>
    </xf>
    <xf numFmtId="0" fontId="27" fillId="0" borderId="35" xfId="6" applyFont="1" applyBorder="1" applyAlignment="1">
      <alignment horizontal="center" vertical="center" wrapText="1"/>
    </xf>
    <xf numFmtId="0" fontId="27" fillId="0" borderId="33" xfId="6" applyFont="1" applyBorder="1" applyAlignment="1">
      <alignment horizontal="center" vertical="center"/>
    </xf>
    <xf numFmtId="0" fontId="27" fillId="0" borderId="34" xfId="6" applyFont="1" applyBorder="1" applyAlignment="1">
      <alignment horizontal="center" vertical="center"/>
    </xf>
    <xf numFmtId="0" fontId="27" fillId="0" borderId="35" xfId="6" applyFont="1" applyBorder="1" applyAlignment="1">
      <alignment horizontal="center" vertical="center"/>
    </xf>
    <xf numFmtId="0" fontId="27" fillId="0" borderId="33" xfId="6" quotePrefix="1" applyFont="1" applyBorder="1" applyAlignment="1">
      <alignment horizontal="center" vertical="center"/>
    </xf>
    <xf numFmtId="0" fontId="27" fillId="0" borderId="33" xfId="6" quotePrefix="1" applyFont="1" applyBorder="1" applyAlignment="1">
      <alignment horizontal="center" vertical="center" wrapText="1"/>
    </xf>
    <xf numFmtId="0" fontId="27" fillId="0" borderId="33" xfId="6" applyFont="1" applyBorder="1" applyAlignment="1">
      <alignment vertical="center"/>
    </xf>
    <xf numFmtId="0" fontId="27" fillId="0" borderId="34" xfId="6" applyFont="1" applyBorder="1" applyAlignment="1">
      <alignment vertical="center"/>
    </xf>
    <xf numFmtId="0" fontId="27" fillId="0" borderId="35" xfId="6" applyFont="1" applyBorder="1" applyAlignment="1">
      <alignment vertic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58</xdr:col>
      <xdr:colOff>137858</xdr:colOff>
      <xdr:row>48</xdr:row>
      <xdr:rowOff>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1638300"/>
          <a:ext cx="15335250" cy="7620000"/>
        </a:xfrm>
        <a:prstGeom prst="rect">
          <a:avLst/>
        </a:prstGeom>
      </xdr:spPr>
    </xdr:pic>
    <xdr:clientData/>
  </xdr:twoCellAnchor>
  <xdr:twoCellAnchor>
    <xdr:from>
      <xdr:col>12</xdr:col>
      <xdr:colOff>219635</xdr:colOff>
      <xdr:row>15</xdr:row>
      <xdr:rowOff>186018</xdr:rowOff>
    </xdr:from>
    <xdr:to>
      <xdr:col>14</xdr:col>
      <xdr:colOff>126344</xdr:colOff>
      <xdr:row>17</xdr:row>
      <xdr:rowOff>137947</xdr:rowOff>
    </xdr:to>
    <xdr:sp macro="" textlink="" fLocksText="0">
      <xdr:nvSpPr>
        <xdr:cNvPr id="82" name="Rectangle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/>
      </xdr:nvSpPr>
      <xdr:spPr>
        <a:xfrm>
          <a:off x="3419475" y="3162300"/>
          <a:ext cx="438150" cy="3238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</a:t>
          </a:r>
        </a:p>
      </xdr:txBody>
    </xdr:sp>
    <xdr:clientData/>
  </xdr:twoCellAnchor>
  <xdr:twoCellAnchor>
    <xdr:from>
      <xdr:col>0</xdr:col>
      <xdr:colOff>147917</xdr:colOff>
      <xdr:row>11</xdr:row>
      <xdr:rowOff>125507</xdr:rowOff>
    </xdr:from>
    <xdr:to>
      <xdr:col>2</xdr:col>
      <xdr:colOff>54626</xdr:colOff>
      <xdr:row>13</xdr:row>
      <xdr:rowOff>77436</xdr:rowOff>
    </xdr:to>
    <xdr:sp macro="" textlink="" fLocksText="0">
      <xdr:nvSpPr>
        <xdr:cNvPr id="83" name="Rectangle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/>
      </xdr:nvSpPr>
      <xdr:spPr>
        <a:xfrm>
          <a:off x="152400" y="233362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0</xdr:col>
      <xdr:colOff>154641</xdr:colOff>
      <xdr:row>13</xdr:row>
      <xdr:rowOff>188260</xdr:rowOff>
    </xdr:from>
    <xdr:to>
      <xdr:col>2</xdr:col>
      <xdr:colOff>61350</xdr:colOff>
      <xdr:row>15</xdr:row>
      <xdr:rowOff>140189</xdr:rowOff>
    </xdr:to>
    <xdr:sp macro="" textlink="" fLocksText="0">
      <xdr:nvSpPr>
        <xdr:cNvPr id="84" name="Rectangle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/>
      </xdr:nvSpPr>
      <xdr:spPr>
        <a:xfrm>
          <a:off x="152400" y="278130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0</xdr:col>
      <xdr:colOff>150159</xdr:colOff>
      <xdr:row>15</xdr:row>
      <xdr:rowOff>172572</xdr:rowOff>
    </xdr:from>
    <xdr:to>
      <xdr:col>2</xdr:col>
      <xdr:colOff>56868</xdr:colOff>
      <xdr:row>17</xdr:row>
      <xdr:rowOff>124501</xdr:rowOff>
    </xdr:to>
    <xdr:sp macro="" textlink="" fLocksText="0">
      <xdr:nvSpPr>
        <xdr:cNvPr id="85" name="Rectangle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/>
      </xdr:nvSpPr>
      <xdr:spPr>
        <a:xfrm>
          <a:off x="152400" y="314325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11</xdr:col>
      <xdr:colOff>0</xdr:colOff>
      <xdr:row>13</xdr:row>
      <xdr:rowOff>179295</xdr:rowOff>
    </xdr:from>
    <xdr:to>
      <xdr:col>12</xdr:col>
      <xdr:colOff>142033</xdr:colOff>
      <xdr:row>15</xdr:row>
      <xdr:rowOff>131224</xdr:rowOff>
    </xdr:to>
    <xdr:sp macro="" textlink="" fLocksText="0">
      <xdr:nvSpPr>
        <xdr:cNvPr id="86" name="Rectangle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/>
      </xdr:nvSpPr>
      <xdr:spPr>
        <a:xfrm>
          <a:off x="2933700" y="2771775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8</xdr:col>
      <xdr:colOff>208429</xdr:colOff>
      <xdr:row>11</xdr:row>
      <xdr:rowOff>174814</xdr:rowOff>
    </xdr:from>
    <xdr:to>
      <xdr:col>10</xdr:col>
      <xdr:colOff>115138</xdr:colOff>
      <xdr:row>13</xdr:row>
      <xdr:rowOff>126743</xdr:rowOff>
    </xdr:to>
    <xdr:sp macro="" textlink="" fLocksText="0">
      <xdr:nvSpPr>
        <xdr:cNvPr id="87" name="Rectangle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/>
      </xdr:nvSpPr>
      <xdr:spPr>
        <a:xfrm>
          <a:off x="2343150" y="238125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21</xdr:col>
      <xdr:colOff>125505</xdr:colOff>
      <xdr:row>11</xdr:row>
      <xdr:rowOff>136712</xdr:rowOff>
    </xdr:from>
    <xdr:to>
      <xdr:col>23</xdr:col>
      <xdr:colOff>32214</xdr:colOff>
      <xdr:row>13</xdr:row>
      <xdr:rowOff>88641</xdr:rowOff>
    </xdr:to>
    <xdr:sp macro="" textlink="" fLocksText="0">
      <xdr:nvSpPr>
        <xdr:cNvPr id="88" name="Rectangle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/>
      </xdr:nvSpPr>
      <xdr:spPr>
        <a:xfrm>
          <a:off x="5724525" y="234315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23</xdr:col>
      <xdr:colOff>154641</xdr:colOff>
      <xdr:row>16</xdr:row>
      <xdr:rowOff>8965</xdr:rowOff>
    </xdr:from>
    <xdr:to>
      <xdr:col>25</xdr:col>
      <xdr:colOff>61350</xdr:colOff>
      <xdr:row>17</xdr:row>
      <xdr:rowOff>151394</xdr:rowOff>
    </xdr:to>
    <xdr:sp macro="" textlink="" fLocksText="0">
      <xdr:nvSpPr>
        <xdr:cNvPr id="89" name="Rectangle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/>
      </xdr:nvSpPr>
      <xdr:spPr>
        <a:xfrm>
          <a:off x="6286500" y="317182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15</a:t>
          </a:r>
        </a:p>
      </xdr:txBody>
    </xdr:sp>
    <xdr:clientData/>
  </xdr:twoCellAnchor>
  <xdr:twoCellAnchor>
    <xdr:from>
      <xdr:col>39</xdr:col>
      <xdr:colOff>71717</xdr:colOff>
      <xdr:row>12</xdr:row>
      <xdr:rowOff>4483</xdr:rowOff>
    </xdr:from>
    <xdr:to>
      <xdr:col>40</xdr:col>
      <xdr:colOff>213750</xdr:colOff>
      <xdr:row>13</xdr:row>
      <xdr:rowOff>146912</xdr:rowOff>
    </xdr:to>
    <xdr:sp macro="" textlink="" fLocksText="0">
      <xdr:nvSpPr>
        <xdr:cNvPr id="90" name="Rectangle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/>
      </xdr:nvSpPr>
      <xdr:spPr>
        <a:xfrm>
          <a:off x="10477500" y="2400300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7</xdr:col>
      <xdr:colOff>6722</xdr:colOff>
      <xdr:row>5</xdr:row>
      <xdr:rowOff>129989</xdr:rowOff>
    </xdr:from>
    <xdr:to>
      <xdr:col>8</xdr:col>
      <xdr:colOff>129988</xdr:colOff>
      <xdr:row>7</xdr:row>
      <xdr:rowOff>105605</xdr:rowOff>
    </xdr:to>
    <xdr:sp macro="" textlink="" fLocksText="0">
      <xdr:nvSpPr>
        <xdr:cNvPr id="91" name="Callout: Line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/>
      </xdr:nvSpPr>
      <xdr:spPr>
        <a:xfrm>
          <a:off x="1876425" y="1200150"/>
          <a:ext cx="390525" cy="352425"/>
        </a:xfrm>
        <a:prstGeom prst="borderCallout1">
          <a:avLst>
            <a:gd name="adj1" fmla="val 81315"/>
            <a:gd name="adj2" fmla="val 14512"/>
            <a:gd name="adj3" fmla="val 145525"/>
            <a:gd name="adj4" fmla="val -6537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37</xdr:col>
      <xdr:colOff>136711</xdr:colOff>
      <xdr:row>6</xdr:row>
      <xdr:rowOff>35859</xdr:rowOff>
    </xdr:from>
    <xdr:to>
      <xdr:col>39</xdr:col>
      <xdr:colOff>24653</xdr:colOff>
      <xdr:row>8</xdr:row>
      <xdr:rowOff>11475</xdr:rowOff>
    </xdr:to>
    <xdr:sp macro="" textlink="" fLocksText="0">
      <xdr:nvSpPr>
        <xdr:cNvPr id="92" name="Callout: Line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/>
      </xdr:nvSpPr>
      <xdr:spPr>
        <a:xfrm>
          <a:off x="10001250" y="1295400"/>
          <a:ext cx="428625" cy="352425"/>
        </a:xfrm>
        <a:prstGeom prst="borderCallout1">
          <a:avLst>
            <a:gd name="adj1" fmla="val 87600"/>
            <a:gd name="adj2" fmla="val 89512"/>
            <a:gd name="adj3" fmla="val 173805"/>
            <a:gd name="adj4" fmla="val 22524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39</xdr:col>
      <xdr:colOff>165846</xdr:colOff>
      <xdr:row>5</xdr:row>
      <xdr:rowOff>64995</xdr:rowOff>
    </xdr:from>
    <xdr:to>
      <xdr:col>41</xdr:col>
      <xdr:colOff>53788</xdr:colOff>
      <xdr:row>7</xdr:row>
      <xdr:rowOff>40611</xdr:rowOff>
    </xdr:to>
    <xdr:sp macro="" textlink="" fLocksText="0">
      <xdr:nvSpPr>
        <xdr:cNvPr id="94" name="Callout: Line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/>
      </xdr:nvSpPr>
      <xdr:spPr>
        <a:xfrm>
          <a:off x="10563225" y="1133475"/>
          <a:ext cx="428625" cy="352425"/>
        </a:xfrm>
        <a:prstGeom prst="borderCallout1">
          <a:avLst>
            <a:gd name="adj1" fmla="val 87600"/>
            <a:gd name="adj2" fmla="val 89512"/>
            <a:gd name="adj3" fmla="val 173805"/>
            <a:gd name="adj4" fmla="val 22524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41</xdr:col>
      <xdr:colOff>206187</xdr:colOff>
      <xdr:row>5</xdr:row>
      <xdr:rowOff>82924</xdr:rowOff>
    </xdr:from>
    <xdr:to>
      <xdr:col>43</xdr:col>
      <xdr:colOff>94129</xdr:colOff>
      <xdr:row>7</xdr:row>
      <xdr:rowOff>58540</xdr:rowOff>
    </xdr:to>
    <xdr:sp macro="" textlink="" fLocksText="0">
      <xdr:nvSpPr>
        <xdr:cNvPr id="95" name="Callout: Line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/>
      </xdr:nvSpPr>
      <xdr:spPr>
        <a:xfrm>
          <a:off x="11144250" y="1152525"/>
          <a:ext cx="419100" cy="352425"/>
        </a:xfrm>
        <a:prstGeom prst="borderCallout1">
          <a:avLst>
            <a:gd name="adj1" fmla="val 87600"/>
            <a:gd name="adj2" fmla="val 89512"/>
            <a:gd name="adj3" fmla="val 173805"/>
            <a:gd name="adj4" fmla="val 22524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9</xdr:col>
      <xdr:colOff>224117</xdr:colOff>
      <xdr:row>8</xdr:row>
      <xdr:rowOff>123266</xdr:rowOff>
    </xdr:from>
    <xdr:to>
      <xdr:col>11</xdr:col>
      <xdr:colOff>112059</xdr:colOff>
      <xdr:row>10</xdr:row>
      <xdr:rowOff>98882</xdr:rowOff>
    </xdr:to>
    <xdr:sp macro="" textlink="" fLocksText="0">
      <xdr:nvSpPr>
        <xdr:cNvPr id="96" name="Callout: Line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/>
      </xdr:nvSpPr>
      <xdr:spPr>
        <a:xfrm>
          <a:off x="2628900" y="1762125"/>
          <a:ext cx="419100" cy="352425"/>
        </a:xfrm>
        <a:prstGeom prst="borderCallout1">
          <a:avLst>
            <a:gd name="adj1" fmla="val 87600"/>
            <a:gd name="adj2" fmla="val 89512"/>
            <a:gd name="adj3" fmla="val 173805"/>
            <a:gd name="adj4" fmla="val 22524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24</xdr:col>
      <xdr:colOff>96369</xdr:colOff>
      <xdr:row>8</xdr:row>
      <xdr:rowOff>152401</xdr:rowOff>
    </xdr:from>
    <xdr:to>
      <xdr:col>25</xdr:col>
      <xdr:colOff>219635</xdr:colOff>
      <xdr:row>10</xdr:row>
      <xdr:rowOff>128017</xdr:rowOff>
    </xdr:to>
    <xdr:sp macro="" textlink="" fLocksText="0">
      <xdr:nvSpPr>
        <xdr:cNvPr id="97" name="Callout: Line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/>
      </xdr:nvSpPr>
      <xdr:spPr>
        <a:xfrm>
          <a:off x="6496050" y="1790700"/>
          <a:ext cx="390525" cy="352425"/>
        </a:xfrm>
        <a:prstGeom prst="borderCallout1">
          <a:avLst>
            <a:gd name="adj1" fmla="val 87600"/>
            <a:gd name="adj2" fmla="val 89512"/>
            <a:gd name="adj3" fmla="val 173805"/>
            <a:gd name="adj4" fmla="val 22524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18</xdr:col>
      <xdr:colOff>186017</xdr:colOff>
      <xdr:row>13</xdr:row>
      <xdr:rowOff>96371</xdr:rowOff>
    </xdr:from>
    <xdr:to>
      <xdr:col>20</xdr:col>
      <xdr:colOff>73959</xdr:colOff>
      <xdr:row>15</xdr:row>
      <xdr:rowOff>71987</xdr:rowOff>
    </xdr:to>
    <xdr:sp macro="" textlink="" fLocksText="0">
      <xdr:nvSpPr>
        <xdr:cNvPr id="98" name="Callout: Line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/>
      </xdr:nvSpPr>
      <xdr:spPr>
        <a:xfrm>
          <a:off x="4991100" y="2686050"/>
          <a:ext cx="419100" cy="361950"/>
        </a:xfrm>
        <a:prstGeom prst="borderCallout1">
          <a:avLst>
            <a:gd name="adj1" fmla="val 81315"/>
            <a:gd name="adj2" fmla="val 14512"/>
            <a:gd name="adj3" fmla="val 145525"/>
            <a:gd name="adj4" fmla="val -6537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14</a:t>
          </a:r>
        </a:p>
      </xdr:txBody>
    </xdr:sp>
    <xdr:clientData/>
  </xdr:twoCellAnchor>
  <xdr:twoCellAnchor>
    <xdr:from>
      <xdr:col>14</xdr:col>
      <xdr:colOff>170329</xdr:colOff>
      <xdr:row>18</xdr:row>
      <xdr:rowOff>114300</xdr:rowOff>
    </xdr:from>
    <xdr:to>
      <xdr:col>16</xdr:col>
      <xdr:colOff>58271</xdr:colOff>
      <xdr:row>20</xdr:row>
      <xdr:rowOff>89916</xdr:rowOff>
    </xdr:to>
    <xdr:sp macro="" textlink="" fLocksText="0">
      <xdr:nvSpPr>
        <xdr:cNvPr id="99" name="Callout: Line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/>
      </xdr:nvSpPr>
      <xdr:spPr>
        <a:xfrm>
          <a:off x="3905250" y="3657600"/>
          <a:ext cx="419100" cy="352425"/>
        </a:xfrm>
        <a:prstGeom prst="borderCallout1">
          <a:avLst>
            <a:gd name="adj1" fmla="val 81315"/>
            <a:gd name="adj2" fmla="val 155136"/>
            <a:gd name="adj3" fmla="val 82679"/>
            <a:gd name="adj4" fmla="val 81496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16</a:t>
          </a:r>
        </a:p>
      </xdr:txBody>
    </xdr:sp>
    <xdr:clientData/>
  </xdr:twoCellAnchor>
  <xdr:twoCellAnchor>
    <xdr:from>
      <xdr:col>32</xdr:col>
      <xdr:colOff>64993</xdr:colOff>
      <xdr:row>15</xdr:row>
      <xdr:rowOff>177053</xdr:rowOff>
    </xdr:from>
    <xdr:to>
      <xdr:col>33</xdr:col>
      <xdr:colOff>188259</xdr:colOff>
      <xdr:row>17</xdr:row>
      <xdr:rowOff>152669</xdr:rowOff>
    </xdr:to>
    <xdr:sp macro="" textlink="" fLocksText="0">
      <xdr:nvSpPr>
        <xdr:cNvPr id="100" name="Callout: Line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/>
      </xdr:nvSpPr>
      <xdr:spPr>
        <a:xfrm>
          <a:off x="8601075" y="3152775"/>
          <a:ext cx="390525" cy="352425"/>
        </a:xfrm>
        <a:prstGeom prst="borderCallout1">
          <a:avLst>
            <a:gd name="adj1" fmla="val 81315"/>
            <a:gd name="adj2" fmla="val 14512"/>
            <a:gd name="adj3" fmla="val 145525"/>
            <a:gd name="adj4" fmla="val -6537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17</a:t>
          </a:r>
        </a:p>
      </xdr:txBody>
    </xdr:sp>
    <xdr:clientData/>
  </xdr:twoCellAnchor>
  <xdr:twoCellAnchor>
    <xdr:from>
      <xdr:col>38</xdr:col>
      <xdr:colOff>82923</xdr:colOff>
      <xdr:row>16</xdr:row>
      <xdr:rowOff>15689</xdr:rowOff>
    </xdr:from>
    <xdr:to>
      <xdr:col>39</xdr:col>
      <xdr:colOff>206188</xdr:colOff>
      <xdr:row>17</xdr:row>
      <xdr:rowOff>181805</xdr:rowOff>
    </xdr:to>
    <xdr:sp macro="" textlink="" fLocksText="0">
      <xdr:nvSpPr>
        <xdr:cNvPr id="101" name="Callout: Line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/>
      </xdr:nvSpPr>
      <xdr:spPr>
        <a:xfrm>
          <a:off x="10220325" y="3181350"/>
          <a:ext cx="390525" cy="352425"/>
        </a:xfrm>
        <a:prstGeom prst="borderCallout1">
          <a:avLst>
            <a:gd name="adj1" fmla="val 81315"/>
            <a:gd name="adj2" fmla="val 14512"/>
            <a:gd name="adj3" fmla="val 145525"/>
            <a:gd name="adj4" fmla="val -6537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18</a:t>
          </a:r>
        </a:p>
      </xdr:txBody>
    </xdr:sp>
    <xdr:clientData/>
  </xdr:twoCellAnchor>
  <xdr:twoCellAnchor>
    <xdr:from>
      <xdr:col>45</xdr:col>
      <xdr:colOff>145676</xdr:colOff>
      <xdr:row>16</xdr:row>
      <xdr:rowOff>11207</xdr:rowOff>
    </xdr:from>
    <xdr:to>
      <xdr:col>47</xdr:col>
      <xdr:colOff>33618</xdr:colOff>
      <xdr:row>17</xdr:row>
      <xdr:rowOff>177323</xdr:rowOff>
    </xdr:to>
    <xdr:sp macro="" textlink="" fLocksText="0">
      <xdr:nvSpPr>
        <xdr:cNvPr id="102" name="Callout: Line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/>
      </xdr:nvSpPr>
      <xdr:spPr>
        <a:xfrm>
          <a:off x="12144375" y="3171825"/>
          <a:ext cx="428625" cy="361950"/>
        </a:xfrm>
        <a:prstGeom prst="borderCallout1">
          <a:avLst>
            <a:gd name="adj1" fmla="val 81315"/>
            <a:gd name="adj2" fmla="val 14512"/>
            <a:gd name="adj3" fmla="val 145525"/>
            <a:gd name="adj4" fmla="val -6537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19</a:t>
          </a:r>
        </a:p>
      </xdr:txBody>
    </xdr:sp>
    <xdr:clientData/>
  </xdr:twoCellAnchor>
  <xdr:twoCellAnchor>
    <xdr:from>
      <xdr:col>53</xdr:col>
      <xdr:colOff>107577</xdr:colOff>
      <xdr:row>16</xdr:row>
      <xdr:rowOff>17931</xdr:rowOff>
    </xdr:from>
    <xdr:to>
      <xdr:col>54</xdr:col>
      <xdr:colOff>230842</xdr:colOff>
      <xdr:row>17</xdr:row>
      <xdr:rowOff>184047</xdr:rowOff>
    </xdr:to>
    <xdr:sp macro="" textlink="" fLocksText="0">
      <xdr:nvSpPr>
        <xdr:cNvPr id="103" name="Callout: Line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/>
      </xdr:nvSpPr>
      <xdr:spPr>
        <a:xfrm>
          <a:off x="14239875" y="3181350"/>
          <a:ext cx="390525" cy="352425"/>
        </a:xfrm>
        <a:prstGeom prst="borderCallout1">
          <a:avLst>
            <a:gd name="adj1" fmla="val 81315"/>
            <a:gd name="adj2" fmla="val 14512"/>
            <a:gd name="adj3" fmla="val 145525"/>
            <a:gd name="adj4" fmla="val -6537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20</a:t>
          </a:r>
        </a:p>
      </xdr:txBody>
    </xdr:sp>
    <xdr:clientData/>
  </xdr:twoCellAnchor>
  <xdr:twoCellAnchor>
    <xdr:from>
      <xdr:col>53</xdr:col>
      <xdr:colOff>35860</xdr:colOff>
      <xdr:row>20</xdr:row>
      <xdr:rowOff>170331</xdr:rowOff>
    </xdr:from>
    <xdr:to>
      <xdr:col>54</xdr:col>
      <xdr:colOff>159125</xdr:colOff>
      <xdr:row>22</xdr:row>
      <xdr:rowOff>145947</xdr:rowOff>
    </xdr:to>
    <xdr:sp macro="" textlink="" fLocksText="0">
      <xdr:nvSpPr>
        <xdr:cNvPr id="104" name="Callout: Line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/>
      </xdr:nvSpPr>
      <xdr:spPr>
        <a:xfrm>
          <a:off x="14173200" y="4095750"/>
          <a:ext cx="390525" cy="352425"/>
        </a:xfrm>
        <a:prstGeom prst="borderCallout1">
          <a:avLst>
            <a:gd name="adj1" fmla="val 81315"/>
            <a:gd name="adj2" fmla="val 14512"/>
            <a:gd name="adj3" fmla="val 88964"/>
            <a:gd name="adj4" fmla="val -9037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31</a:t>
          </a:r>
        </a:p>
      </xdr:txBody>
    </xdr:sp>
    <xdr:clientData/>
  </xdr:twoCellAnchor>
  <xdr:twoCellAnchor>
    <xdr:from>
      <xdr:col>36</xdr:col>
      <xdr:colOff>64996</xdr:colOff>
      <xdr:row>21</xdr:row>
      <xdr:rowOff>31378</xdr:rowOff>
    </xdr:from>
    <xdr:to>
      <xdr:col>37</xdr:col>
      <xdr:colOff>188261</xdr:colOff>
      <xdr:row>23</xdr:row>
      <xdr:rowOff>6994</xdr:rowOff>
    </xdr:to>
    <xdr:sp macro="" textlink="" fLocksText="0">
      <xdr:nvSpPr>
        <xdr:cNvPr id="105" name="Callout: Line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/>
      </xdr:nvSpPr>
      <xdr:spPr>
        <a:xfrm>
          <a:off x="9667875" y="4143375"/>
          <a:ext cx="390525" cy="361950"/>
        </a:xfrm>
        <a:prstGeom prst="borderCallout1">
          <a:avLst>
            <a:gd name="adj1" fmla="val 81315"/>
            <a:gd name="adj2" fmla="val 14512"/>
            <a:gd name="adj3" fmla="val 70110"/>
            <a:gd name="adj4" fmla="val -10600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29</a:t>
          </a:r>
        </a:p>
      </xdr:txBody>
    </xdr:sp>
    <xdr:clientData/>
  </xdr:twoCellAnchor>
  <xdr:twoCellAnchor>
    <xdr:from>
      <xdr:col>25</xdr:col>
      <xdr:colOff>26896</xdr:colOff>
      <xdr:row>21</xdr:row>
      <xdr:rowOff>71719</xdr:rowOff>
    </xdr:from>
    <xdr:to>
      <xdr:col>26</xdr:col>
      <xdr:colOff>150161</xdr:colOff>
      <xdr:row>23</xdr:row>
      <xdr:rowOff>47335</xdr:rowOff>
    </xdr:to>
    <xdr:sp macro="" textlink="" fLocksText="0">
      <xdr:nvSpPr>
        <xdr:cNvPr id="106" name="Callout: Line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/>
      </xdr:nvSpPr>
      <xdr:spPr>
        <a:xfrm>
          <a:off x="6696075" y="4191000"/>
          <a:ext cx="390525" cy="352425"/>
        </a:xfrm>
        <a:prstGeom prst="borderCallout1">
          <a:avLst>
            <a:gd name="adj1" fmla="val 81315"/>
            <a:gd name="adj2" fmla="val 14512"/>
            <a:gd name="adj3" fmla="val 70110"/>
            <a:gd name="adj4" fmla="val -10600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27</a:t>
          </a:r>
        </a:p>
      </xdr:txBody>
    </xdr:sp>
    <xdr:clientData/>
  </xdr:twoCellAnchor>
  <xdr:twoCellAnchor>
    <xdr:from>
      <xdr:col>1</xdr:col>
      <xdr:colOff>67236</xdr:colOff>
      <xdr:row>20</xdr:row>
      <xdr:rowOff>112060</xdr:rowOff>
    </xdr:from>
    <xdr:to>
      <xdr:col>2</xdr:col>
      <xdr:colOff>190502</xdr:colOff>
      <xdr:row>22</xdr:row>
      <xdr:rowOff>87676</xdr:rowOff>
    </xdr:to>
    <xdr:sp macro="" textlink="" fLocksText="0">
      <xdr:nvSpPr>
        <xdr:cNvPr id="107" name="Callout: Line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/>
      </xdr:nvSpPr>
      <xdr:spPr>
        <a:xfrm>
          <a:off x="333375" y="4038600"/>
          <a:ext cx="390525" cy="352425"/>
        </a:xfrm>
        <a:prstGeom prst="borderCallout1">
          <a:avLst>
            <a:gd name="adj1" fmla="val 87600"/>
            <a:gd name="adj2" fmla="val 167636"/>
            <a:gd name="adj3" fmla="val 82679"/>
            <a:gd name="adj4" fmla="val 62746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21</a:t>
          </a:r>
        </a:p>
      </xdr:txBody>
    </xdr:sp>
    <xdr:clientData/>
  </xdr:twoCellAnchor>
  <xdr:twoCellAnchor>
    <xdr:from>
      <xdr:col>6</xdr:col>
      <xdr:colOff>219637</xdr:colOff>
      <xdr:row>19</xdr:row>
      <xdr:rowOff>73960</xdr:rowOff>
    </xdr:from>
    <xdr:to>
      <xdr:col>8</xdr:col>
      <xdr:colOff>107579</xdr:colOff>
      <xdr:row>21</xdr:row>
      <xdr:rowOff>49576</xdr:rowOff>
    </xdr:to>
    <xdr:sp macro="" textlink="" fLocksText="0">
      <xdr:nvSpPr>
        <xdr:cNvPr id="108" name="Callout: Line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/>
      </xdr:nvSpPr>
      <xdr:spPr>
        <a:xfrm>
          <a:off x="1819275" y="3810000"/>
          <a:ext cx="419100" cy="352425"/>
        </a:xfrm>
        <a:prstGeom prst="borderCallout1">
          <a:avLst>
            <a:gd name="adj1" fmla="val 122165"/>
            <a:gd name="adj2" fmla="val 177011"/>
            <a:gd name="adj3" fmla="val 82679"/>
            <a:gd name="adj4" fmla="val 62746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23</a:t>
          </a:r>
        </a:p>
      </xdr:txBody>
    </xdr:sp>
    <xdr:clientData/>
  </xdr:twoCellAnchor>
  <xdr:twoCellAnchor>
    <xdr:from>
      <xdr:col>11</xdr:col>
      <xdr:colOff>91889</xdr:colOff>
      <xdr:row>19</xdr:row>
      <xdr:rowOff>13448</xdr:rowOff>
    </xdr:from>
    <xdr:to>
      <xdr:col>12</xdr:col>
      <xdr:colOff>215155</xdr:colOff>
      <xdr:row>20</xdr:row>
      <xdr:rowOff>179564</xdr:rowOff>
    </xdr:to>
    <xdr:sp macro="" textlink="" fLocksText="0">
      <xdr:nvSpPr>
        <xdr:cNvPr id="109" name="Callout: Line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/>
      </xdr:nvSpPr>
      <xdr:spPr>
        <a:xfrm>
          <a:off x="3028950" y="3743325"/>
          <a:ext cx="390525" cy="361950"/>
        </a:xfrm>
        <a:prstGeom prst="borderCallout1">
          <a:avLst>
            <a:gd name="adj1" fmla="val 131592"/>
            <a:gd name="adj2" fmla="val 177011"/>
            <a:gd name="adj3" fmla="val 82679"/>
            <a:gd name="adj4" fmla="val 62746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25</a:t>
          </a:r>
        </a:p>
      </xdr:txBody>
    </xdr:sp>
    <xdr:clientData/>
  </xdr:twoCellAnchor>
  <xdr:twoCellAnchor>
    <xdr:from>
      <xdr:col>0</xdr:col>
      <xdr:colOff>188260</xdr:colOff>
      <xdr:row>23</xdr:row>
      <xdr:rowOff>109819</xdr:rowOff>
    </xdr:from>
    <xdr:to>
      <xdr:col>2</xdr:col>
      <xdr:colOff>76202</xdr:colOff>
      <xdr:row>25</xdr:row>
      <xdr:rowOff>85435</xdr:rowOff>
    </xdr:to>
    <xdr:sp macro="" textlink="" fLocksText="0">
      <xdr:nvSpPr>
        <xdr:cNvPr id="110" name="Callout: Line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/>
      </xdr:nvSpPr>
      <xdr:spPr>
        <a:xfrm>
          <a:off x="190500" y="4610100"/>
          <a:ext cx="419100" cy="352425"/>
        </a:xfrm>
        <a:prstGeom prst="borderCallout1">
          <a:avLst>
            <a:gd name="adj1" fmla="val 87600"/>
            <a:gd name="adj2" fmla="val 167636"/>
            <a:gd name="adj3" fmla="val 82679"/>
            <a:gd name="adj4" fmla="val 62746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22</a:t>
          </a:r>
        </a:p>
      </xdr:txBody>
    </xdr:sp>
    <xdr:clientData/>
  </xdr:twoCellAnchor>
  <xdr:twoCellAnchor>
    <xdr:from>
      <xdr:col>11</xdr:col>
      <xdr:colOff>82925</xdr:colOff>
      <xdr:row>25</xdr:row>
      <xdr:rowOff>116543</xdr:rowOff>
    </xdr:from>
    <xdr:to>
      <xdr:col>12</xdr:col>
      <xdr:colOff>206191</xdr:colOff>
      <xdr:row>27</xdr:row>
      <xdr:rowOff>92159</xdr:rowOff>
    </xdr:to>
    <xdr:sp macro="" textlink="" fLocksText="0">
      <xdr:nvSpPr>
        <xdr:cNvPr id="111" name="Callout: Line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/>
      </xdr:nvSpPr>
      <xdr:spPr>
        <a:xfrm>
          <a:off x="3019425" y="4991100"/>
          <a:ext cx="390525" cy="361950"/>
        </a:xfrm>
        <a:prstGeom prst="borderCallout1">
          <a:avLst>
            <a:gd name="adj1" fmla="val 12185"/>
            <a:gd name="adj2" fmla="val 8261"/>
            <a:gd name="adj3" fmla="val -33585"/>
            <a:gd name="adj4" fmla="val -12162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24</a:t>
          </a:r>
        </a:p>
      </xdr:txBody>
    </xdr:sp>
    <xdr:clientData/>
  </xdr:twoCellAnchor>
  <xdr:twoCellAnchor>
    <xdr:from>
      <xdr:col>16</xdr:col>
      <xdr:colOff>89647</xdr:colOff>
      <xdr:row>23</xdr:row>
      <xdr:rowOff>134471</xdr:rowOff>
    </xdr:from>
    <xdr:to>
      <xdr:col>17</xdr:col>
      <xdr:colOff>231679</xdr:colOff>
      <xdr:row>25</xdr:row>
      <xdr:rowOff>86400</xdr:rowOff>
    </xdr:to>
    <xdr:sp macro="" textlink="" fLocksText="0">
      <xdr:nvSpPr>
        <xdr:cNvPr id="112" name="Rectangle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/>
      </xdr:nvSpPr>
      <xdr:spPr>
        <a:xfrm>
          <a:off x="4352925" y="4629150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26</a:t>
          </a:r>
        </a:p>
      </xdr:txBody>
    </xdr:sp>
    <xdr:clientData/>
  </xdr:twoCellAnchor>
  <xdr:twoCellAnchor>
    <xdr:from>
      <xdr:col>21</xdr:col>
      <xdr:colOff>85164</xdr:colOff>
      <xdr:row>23</xdr:row>
      <xdr:rowOff>186018</xdr:rowOff>
    </xdr:from>
    <xdr:to>
      <xdr:col>22</xdr:col>
      <xdr:colOff>227196</xdr:colOff>
      <xdr:row>25</xdr:row>
      <xdr:rowOff>137947</xdr:rowOff>
    </xdr:to>
    <xdr:sp macro="" textlink="" fLocksText="0">
      <xdr:nvSpPr>
        <xdr:cNvPr id="113" name="Rectangle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/>
      </xdr:nvSpPr>
      <xdr:spPr>
        <a:xfrm>
          <a:off x="5686425" y="4686300"/>
          <a:ext cx="409575" cy="3238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28</a:t>
          </a:r>
        </a:p>
      </xdr:txBody>
    </xdr:sp>
    <xdr:clientData/>
  </xdr:twoCellAnchor>
  <xdr:twoCellAnchor>
    <xdr:from>
      <xdr:col>50</xdr:col>
      <xdr:colOff>136712</xdr:colOff>
      <xdr:row>23</xdr:row>
      <xdr:rowOff>125506</xdr:rowOff>
    </xdr:from>
    <xdr:to>
      <xdr:col>52</xdr:col>
      <xdr:colOff>43420</xdr:colOff>
      <xdr:row>25</xdr:row>
      <xdr:rowOff>77435</xdr:rowOff>
    </xdr:to>
    <xdr:sp macro="" textlink="" fLocksText="0">
      <xdr:nvSpPr>
        <xdr:cNvPr id="114" name="Rectangle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/>
      </xdr:nvSpPr>
      <xdr:spPr>
        <a:xfrm>
          <a:off x="13468350" y="4619625"/>
          <a:ext cx="4476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32</a:t>
          </a:r>
        </a:p>
      </xdr:txBody>
    </xdr:sp>
    <xdr:clientData/>
  </xdr:twoCellAnchor>
  <xdr:twoCellAnchor>
    <xdr:from>
      <xdr:col>40</xdr:col>
      <xdr:colOff>194984</xdr:colOff>
      <xdr:row>21</xdr:row>
      <xdr:rowOff>105337</xdr:rowOff>
    </xdr:from>
    <xdr:to>
      <xdr:col>42</xdr:col>
      <xdr:colOff>82926</xdr:colOff>
      <xdr:row>23</xdr:row>
      <xdr:rowOff>80953</xdr:rowOff>
    </xdr:to>
    <xdr:sp macro="" textlink="" fLocksText="0">
      <xdr:nvSpPr>
        <xdr:cNvPr id="115" name="Callout: Line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/>
      </xdr:nvSpPr>
      <xdr:spPr>
        <a:xfrm>
          <a:off x="10858500" y="4219575"/>
          <a:ext cx="428625" cy="352425"/>
        </a:xfrm>
        <a:prstGeom prst="borderCallout1">
          <a:avLst>
            <a:gd name="adj1" fmla="val 81315"/>
            <a:gd name="adj2" fmla="val 14512"/>
            <a:gd name="adj3" fmla="val 158094"/>
            <a:gd name="adj4" fmla="val -9662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30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8</xdr:row>
      <xdr:rowOff>0</xdr:rowOff>
    </xdr:from>
    <xdr:to>
      <xdr:col>55</xdr:col>
      <xdr:colOff>11207</xdr:colOff>
      <xdr:row>44</xdr:row>
      <xdr:rowOff>25437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1638300"/>
          <a:ext cx="14411325" cy="6848475"/>
        </a:xfrm>
        <a:prstGeom prst="rect">
          <a:avLst/>
        </a:prstGeom>
      </xdr:spPr>
    </xdr:pic>
    <xdr:clientData/>
  </xdr:twoCellAnchor>
  <xdr:twoCellAnchor>
    <xdr:from>
      <xdr:col>6</xdr:col>
      <xdr:colOff>190501</xdr:colOff>
      <xdr:row>6</xdr:row>
      <xdr:rowOff>33618</xdr:rowOff>
    </xdr:from>
    <xdr:to>
      <xdr:col>8</xdr:col>
      <xdr:colOff>78443</xdr:colOff>
      <xdr:row>8</xdr:row>
      <xdr:rowOff>9234</xdr:rowOff>
    </xdr:to>
    <xdr:sp macro="" textlink="" fLocksText="0">
      <xdr:nvSpPr>
        <xdr:cNvPr id="3" name="Callout: Lin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790700" y="1295400"/>
          <a:ext cx="419100" cy="352425"/>
        </a:xfrm>
        <a:prstGeom prst="borderCallout1">
          <a:avLst>
            <a:gd name="adj1" fmla="val 81315"/>
            <a:gd name="adj2" fmla="val 14512"/>
            <a:gd name="adj3" fmla="val 145525"/>
            <a:gd name="adj4" fmla="val -6537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41</xdr:col>
      <xdr:colOff>44824</xdr:colOff>
      <xdr:row>5</xdr:row>
      <xdr:rowOff>134470</xdr:rowOff>
    </xdr:from>
    <xdr:to>
      <xdr:col>42</xdr:col>
      <xdr:colOff>168090</xdr:colOff>
      <xdr:row>7</xdr:row>
      <xdr:rowOff>110086</xdr:rowOff>
    </xdr:to>
    <xdr:sp macro="" textlink="" fLocksText="0">
      <xdr:nvSpPr>
        <xdr:cNvPr id="4" name="Callout: Lin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0982325" y="1200150"/>
          <a:ext cx="390525" cy="361950"/>
        </a:xfrm>
        <a:prstGeom prst="borderCallout1">
          <a:avLst>
            <a:gd name="adj1" fmla="val 65604"/>
            <a:gd name="adj2" fmla="val 89512"/>
            <a:gd name="adj3" fmla="val 164378"/>
            <a:gd name="adj4" fmla="val 18462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1</xdr:col>
      <xdr:colOff>112060</xdr:colOff>
      <xdr:row>10</xdr:row>
      <xdr:rowOff>33617</xdr:rowOff>
    </xdr:from>
    <xdr:to>
      <xdr:col>3</xdr:col>
      <xdr:colOff>18769</xdr:colOff>
      <xdr:row>11</xdr:row>
      <xdr:rowOff>176046</xdr:rowOff>
    </xdr:to>
    <xdr:sp macro="" textlink="" fLocksText="0">
      <xdr:nvSpPr>
        <xdr:cNvPr id="6" name="Rectangl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381000" y="2057400"/>
          <a:ext cx="438150" cy="3238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1</xdr:col>
      <xdr:colOff>134472</xdr:colOff>
      <xdr:row>12</xdr:row>
      <xdr:rowOff>0</xdr:rowOff>
    </xdr:from>
    <xdr:to>
      <xdr:col>3</xdr:col>
      <xdr:colOff>41181</xdr:colOff>
      <xdr:row>13</xdr:row>
      <xdr:rowOff>142429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400050" y="240030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13</xdr:col>
      <xdr:colOff>29137</xdr:colOff>
      <xdr:row>10</xdr:row>
      <xdr:rowOff>141195</xdr:rowOff>
    </xdr:from>
    <xdr:to>
      <xdr:col>14</xdr:col>
      <xdr:colOff>171170</xdr:colOff>
      <xdr:row>12</xdr:row>
      <xdr:rowOff>93124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3495675" y="2162175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1</xdr:col>
      <xdr:colOff>112060</xdr:colOff>
      <xdr:row>13</xdr:row>
      <xdr:rowOff>145676</xdr:rowOff>
    </xdr:from>
    <xdr:to>
      <xdr:col>3</xdr:col>
      <xdr:colOff>18769</xdr:colOff>
      <xdr:row>15</xdr:row>
      <xdr:rowOff>97605</xdr:rowOff>
    </xdr:to>
    <xdr:sp macro="" textlink="" fLocksText="0">
      <xdr:nvSpPr>
        <xdr:cNvPr id="9" name="Rectangl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381000" y="273367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1</xdr:col>
      <xdr:colOff>112060</xdr:colOff>
      <xdr:row>15</xdr:row>
      <xdr:rowOff>112058</xdr:rowOff>
    </xdr:from>
    <xdr:to>
      <xdr:col>3</xdr:col>
      <xdr:colOff>18769</xdr:colOff>
      <xdr:row>17</xdr:row>
      <xdr:rowOff>63987</xdr:rowOff>
    </xdr:to>
    <xdr:sp macro="" textlink="" fLocksText="0">
      <xdr:nvSpPr>
        <xdr:cNvPr id="11" name="Rectangl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381000" y="308610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1</xdr:col>
      <xdr:colOff>118783</xdr:colOff>
      <xdr:row>17</xdr:row>
      <xdr:rowOff>62753</xdr:rowOff>
    </xdr:from>
    <xdr:to>
      <xdr:col>3</xdr:col>
      <xdr:colOff>25492</xdr:colOff>
      <xdr:row>19</xdr:row>
      <xdr:rowOff>14682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381000" y="3419475"/>
          <a:ext cx="4476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5</xdr:col>
      <xdr:colOff>51548</xdr:colOff>
      <xdr:row>18</xdr:row>
      <xdr:rowOff>62753</xdr:rowOff>
    </xdr:from>
    <xdr:to>
      <xdr:col>6</xdr:col>
      <xdr:colOff>193581</xdr:colOff>
      <xdr:row>20</xdr:row>
      <xdr:rowOff>14682</xdr:rowOff>
    </xdr:to>
    <xdr:sp macro="" textlink="" fLocksText="0">
      <xdr:nvSpPr>
        <xdr:cNvPr id="13" name="Rectangl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1381125" y="3609975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1</xdr:col>
      <xdr:colOff>107577</xdr:colOff>
      <xdr:row>20</xdr:row>
      <xdr:rowOff>29135</xdr:rowOff>
    </xdr:from>
    <xdr:to>
      <xdr:col>3</xdr:col>
      <xdr:colOff>14286</xdr:colOff>
      <xdr:row>21</xdr:row>
      <xdr:rowOff>171564</xdr:rowOff>
    </xdr:to>
    <xdr:sp macro="" textlink="" fLocksText="0">
      <xdr:nvSpPr>
        <xdr:cNvPr id="14" name="Rectangl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371475" y="395287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14</a:t>
          </a:r>
        </a:p>
      </xdr:txBody>
    </xdr:sp>
    <xdr:clientData/>
  </xdr:twoCellAnchor>
  <xdr:twoCellAnchor>
    <xdr:from>
      <xdr:col>1</xdr:col>
      <xdr:colOff>107577</xdr:colOff>
      <xdr:row>21</xdr:row>
      <xdr:rowOff>163605</xdr:rowOff>
    </xdr:from>
    <xdr:to>
      <xdr:col>3</xdr:col>
      <xdr:colOff>14286</xdr:colOff>
      <xdr:row>23</xdr:row>
      <xdr:rowOff>115534</xdr:rowOff>
    </xdr:to>
    <xdr:sp macro="" textlink="" fLocksText="0">
      <xdr:nvSpPr>
        <xdr:cNvPr id="15" name="Rectangl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371475" y="427672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17</a:t>
          </a:r>
        </a:p>
      </xdr:txBody>
    </xdr:sp>
    <xdr:clientData/>
  </xdr:twoCellAnchor>
  <xdr:twoCellAnchor>
    <xdr:from>
      <xdr:col>5</xdr:col>
      <xdr:colOff>29137</xdr:colOff>
      <xdr:row>23</xdr:row>
      <xdr:rowOff>6722</xdr:rowOff>
    </xdr:from>
    <xdr:to>
      <xdr:col>6</xdr:col>
      <xdr:colOff>171170</xdr:colOff>
      <xdr:row>24</xdr:row>
      <xdr:rowOff>149151</xdr:rowOff>
    </xdr:to>
    <xdr:sp macro="" textlink="" fLocksText="0">
      <xdr:nvSpPr>
        <xdr:cNvPr id="56" name="Rectangle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/>
      </xdr:nvSpPr>
      <xdr:spPr>
        <a:xfrm>
          <a:off x="1362075" y="4505325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20</a:t>
          </a:r>
        </a:p>
      </xdr:txBody>
    </xdr:sp>
    <xdr:clientData/>
  </xdr:twoCellAnchor>
  <xdr:twoCellAnchor>
    <xdr:from>
      <xdr:col>6</xdr:col>
      <xdr:colOff>170331</xdr:colOff>
      <xdr:row>24</xdr:row>
      <xdr:rowOff>136711</xdr:rowOff>
    </xdr:from>
    <xdr:to>
      <xdr:col>8</xdr:col>
      <xdr:colOff>77040</xdr:colOff>
      <xdr:row>26</xdr:row>
      <xdr:rowOff>88640</xdr:rowOff>
    </xdr:to>
    <xdr:sp macro="" textlink="" fLocksText="0">
      <xdr:nvSpPr>
        <xdr:cNvPr id="57" name="Rectangle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/>
      </xdr:nvSpPr>
      <xdr:spPr>
        <a:xfrm>
          <a:off x="1771650" y="481965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23</a:t>
          </a:r>
        </a:p>
      </xdr:txBody>
    </xdr:sp>
    <xdr:clientData/>
  </xdr:twoCellAnchor>
  <xdr:twoCellAnchor>
    <xdr:from>
      <xdr:col>1</xdr:col>
      <xdr:colOff>125506</xdr:colOff>
      <xdr:row>26</xdr:row>
      <xdr:rowOff>24653</xdr:rowOff>
    </xdr:from>
    <xdr:to>
      <xdr:col>3</xdr:col>
      <xdr:colOff>32215</xdr:colOff>
      <xdr:row>27</xdr:row>
      <xdr:rowOff>167082</xdr:rowOff>
    </xdr:to>
    <xdr:sp macro="" textlink="" fLocksText="0">
      <xdr:nvSpPr>
        <xdr:cNvPr id="58" name="Rectangle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SpPr/>
      </xdr:nvSpPr>
      <xdr:spPr>
        <a:xfrm>
          <a:off x="390525" y="509587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25</a:t>
          </a:r>
        </a:p>
      </xdr:txBody>
    </xdr:sp>
    <xdr:clientData/>
  </xdr:twoCellAnchor>
  <xdr:twoCellAnchor>
    <xdr:from>
      <xdr:col>1</xdr:col>
      <xdr:colOff>147919</xdr:colOff>
      <xdr:row>28</xdr:row>
      <xdr:rowOff>2241</xdr:rowOff>
    </xdr:from>
    <xdr:to>
      <xdr:col>3</xdr:col>
      <xdr:colOff>54628</xdr:colOff>
      <xdr:row>29</xdr:row>
      <xdr:rowOff>144670</xdr:rowOff>
    </xdr:to>
    <xdr:sp macro="" textlink="" fLocksText="0">
      <xdr:nvSpPr>
        <xdr:cNvPr id="59" name="Rectangle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/>
      </xdr:nvSpPr>
      <xdr:spPr>
        <a:xfrm>
          <a:off x="419100" y="544830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27</a:t>
          </a:r>
        </a:p>
      </xdr:txBody>
    </xdr:sp>
    <xdr:clientData/>
  </xdr:twoCellAnchor>
  <xdr:twoCellAnchor>
    <xdr:from>
      <xdr:col>6</xdr:col>
      <xdr:colOff>47066</xdr:colOff>
      <xdr:row>28</xdr:row>
      <xdr:rowOff>181534</xdr:rowOff>
    </xdr:from>
    <xdr:to>
      <xdr:col>7</xdr:col>
      <xdr:colOff>189098</xdr:colOff>
      <xdr:row>30</xdr:row>
      <xdr:rowOff>133463</xdr:rowOff>
    </xdr:to>
    <xdr:sp macro="" textlink="" fLocksText="0">
      <xdr:nvSpPr>
        <xdr:cNvPr id="60" name="Rectangle 59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SpPr/>
      </xdr:nvSpPr>
      <xdr:spPr>
        <a:xfrm>
          <a:off x="1647825" y="5629275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29</a:t>
          </a:r>
        </a:p>
      </xdr:txBody>
    </xdr:sp>
    <xdr:clientData/>
  </xdr:twoCellAnchor>
  <xdr:twoCellAnchor>
    <xdr:from>
      <xdr:col>1</xdr:col>
      <xdr:colOff>159126</xdr:colOff>
      <xdr:row>30</xdr:row>
      <xdr:rowOff>69476</xdr:rowOff>
    </xdr:from>
    <xdr:to>
      <xdr:col>3</xdr:col>
      <xdr:colOff>65835</xdr:colOff>
      <xdr:row>32</xdr:row>
      <xdr:rowOff>43817</xdr:rowOff>
    </xdr:to>
    <xdr:sp macro="" textlink="" fLocksText="0">
      <xdr:nvSpPr>
        <xdr:cNvPr id="61" name="Rectangle 60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SpPr/>
      </xdr:nvSpPr>
      <xdr:spPr>
        <a:xfrm>
          <a:off x="428625" y="5895975"/>
          <a:ext cx="438150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31</a:t>
          </a:r>
        </a:p>
      </xdr:txBody>
    </xdr:sp>
    <xdr:clientData/>
  </xdr:twoCellAnchor>
  <xdr:twoCellAnchor>
    <xdr:from>
      <xdr:col>1</xdr:col>
      <xdr:colOff>154642</xdr:colOff>
      <xdr:row>32</xdr:row>
      <xdr:rowOff>8964</xdr:rowOff>
    </xdr:from>
    <xdr:to>
      <xdr:col>3</xdr:col>
      <xdr:colOff>61351</xdr:colOff>
      <xdr:row>33</xdr:row>
      <xdr:rowOff>162599</xdr:rowOff>
    </xdr:to>
    <xdr:sp macro="" textlink="" fLocksText="0">
      <xdr:nvSpPr>
        <xdr:cNvPr id="62" name="Rectangle 61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SpPr/>
      </xdr:nvSpPr>
      <xdr:spPr>
        <a:xfrm>
          <a:off x="419100" y="620077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33</a:t>
          </a:r>
        </a:p>
      </xdr:txBody>
    </xdr:sp>
    <xdr:clientData/>
  </xdr:twoCellAnchor>
  <xdr:twoCellAnchor>
    <xdr:from>
      <xdr:col>1</xdr:col>
      <xdr:colOff>154644</xdr:colOff>
      <xdr:row>33</xdr:row>
      <xdr:rowOff>143436</xdr:rowOff>
    </xdr:from>
    <xdr:to>
      <xdr:col>3</xdr:col>
      <xdr:colOff>61353</xdr:colOff>
      <xdr:row>35</xdr:row>
      <xdr:rowOff>117777</xdr:rowOff>
    </xdr:to>
    <xdr:sp macro="" textlink="" fLocksText="0">
      <xdr:nvSpPr>
        <xdr:cNvPr id="63" name="Rectangle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/>
      </xdr:nvSpPr>
      <xdr:spPr>
        <a:xfrm>
          <a:off x="419100" y="651510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35</a:t>
          </a:r>
        </a:p>
      </xdr:txBody>
    </xdr:sp>
    <xdr:clientData/>
  </xdr:twoCellAnchor>
  <xdr:twoCellAnchor>
    <xdr:from>
      <xdr:col>1</xdr:col>
      <xdr:colOff>165848</xdr:colOff>
      <xdr:row>35</xdr:row>
      <xdr:rowOff>121024</xdr:rowOff>
    </xdr:from>
    <xdr:to>
      <xdr:col>3</xdr:col>
      <xdr:colOff>72557</xdr:colOff>
      <xdr:row>37</xdr:row>
      <xdr:rowOff>95364</xdr:rowOff>
    </xdr:to>
    <xdr:sp macro="" textlink="" fLocksText="0">
      <xdr:nvSpPr>
        <xdr:cNvPr id="64" name="Rectangle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SpPr/>
      </xdr:nvSpPr>
      <xdr:spPr>
        <a:xfrm>
          <a:off x="428625" y="6858000"/>
          <a:ext cx="4476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37</a:t>
          </a:r>
        </a:p>
      </xdr:txBody>
    </xdr:sp>
    <xdr:clientData/>
  </xdr:twoCellAnchor>
  <xdr:twoCellAnchor>
    <xdr:from>
      <xdr:col>1</xdr:col>
      <xdr:colOff>177054</xdr:colOff>
      <xdr:row>37</xdr:row>
      <xdr:rowOff>64993</xdr:rowOff>
    </xdr:from>
    <xdr:to>
      <xdr:col>3</xdr:col>
      <xdr:colOff>83763</xdr:colOff>
      <xdr:row>39</xdr:row>
      <xdr:rowOff>28128</xdr:rowOff>
    </xdr:to>
    <xdr:sp macro="" textlink="" fLocksText="0">
      <xdr:nvSpPr>
        <xdr:cNvPr id="65" name="Rectangle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/>
      </xdr:nvSpPr>
      <xdr:spPr>
        <a:xfrm>
          <a:off x="447675" y="716280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39</a:t>
          </a:r>
        </a:p>
      </xdr:txBody>
    </xdr:sp>
    <xdr:clientData/>
  </xdr:twoCellAnchor>
  <xdr:twoCellAnchor>
    <xdr:from>
      <xdr:col>17</xdr:col>
      <xdr:colOff>78445</xdr:colOff>
      <xdr:row>35</xdr:row>
      <xdr:rowOff>123264</xdr:rowOff>
    </xdr:from>
    <xdr:to>
      <xdr:col>18</xdr:col>
      <xdr:colOff>220477</xdr:colOff>
      <xdr:row>37</xdr:row>
      <xdr:rowOff>97604</xdr:rowOff>
    </xdr:to>
    <xdr:sp macro="" textlink="" fLocksText="0">
      <xdr:nvSpPr>
        <xdr:cNvPr id="81" name="Rectangle 80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4610100" y="6858000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38</a:t>
          </a:r>
        </a:p>
      </xdr:txBody>
    </xdr:sp>
    <xdr:clientData/>
  </xdr:twoCellAnchor>
  <xdr:twoCellAnchor>
    <xdr:from>
      <xdr:col>50</xdr:col>
      <xdr:colOff>73961</xdr:colOff>
      <xdr:row>12</xdr:row>
      <xdr:rowOff>40339</xdr:rowOff>
    </xdr:from>
    <xdr:to>
      <xdr:col>51</xdr:col>
      <xdr:colOff>215993</xdr:colOff>
      <xdr:row>13</xdr:row>
      <xdr:rowOff>182768</xdr:rowOff>
    </xdr:to>
    <xdr:sp macro="" textlink="" fLocksText="0">
      <xdr:nvSpPr>
        <xdr:cNvPr id="86" name="Rectangle 85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/>
      </xdr:nvSpPr>
      <xdr:spPr>
        <a:xfrm>
          <a:off x="13411200" y="2438400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57</a:t>
          </a:r>
        </a:p>
      </xdr:txBody>
    </xdr:sp>
    <xdr:clientData/>
  </xdr:twoCellAnchor>
  <xdr:twoCellAnchor>
    <xdr:from>
      <xdr:col>52</xdr:col>
      <xdr:colOff>215155</xdr:colOff>
      <xdr:row>14</xdr:row>
      <xdr:rowOff>2241</xdr:rowOff>
    </xdr:from>
    <xdr:to>
      <xdr:col>54</xdr:col>
      <xdr:colOff>121864</xdr:colOff>
      <xdr:row>15</xdr:row>
      <xdr:rowOff>144670</xdr:rowOff>
    </xdr:to>
    <xdr:sp macro="" textlink="" fLocksText="0">
      <xdr:nvSpPr>
        <xdr:cNvPr id="87" name="Rectangle 86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/>
      </xdr:nvSpPr>
      <xdr:spPr>
        <a:xfrm>
          <a:off x="14087475" y="278130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59</a:t>
          </a:r>
        </a:p>
      </xdr:txBody>
    </xdr:sp>
    <xdr:clientData/>
  </xdr:twoCellAnchor>
  <xdr:twoCellAnchor>
    <xdr:from>
      <xdr:col>50</xdr:col>
      <xdr:colOff>103096</xdr:colOff>
      <xdr:row>15</xdr:row>
      <xdr:rowOff>91888</xdr:rowOff>
    </xdr:from>
    <xdr:to>
      <xdr:col>52</xdr:col>
      <xdr:colOff>9804</xdr:colOff>
      <xdr:row>17</xdr:row>
      <xdr:rowOff>43817</xdr:rowOff>
    </xdr:to>
    <xdr:sp macro="" textlink="" fLocksText="0">
      <xdr:nvSpPr>
        <xdr:cNvPr id="88" name="Rectangle 87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SpPr/>
      </xdr:nvSpPr>
      <xdr:spPr>
        <a:xfrm>
          <a:off x="13439775" y="306705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61</a:t>
          </a:r>
        </a:p>
      </xdr:txBody>
    </xdr:sp>
    <xdr:clientData/>
  </xdr:twoCellAnchor>
  <xdr:twoCellAnchor>
    <xdr:from>
      <xdr:col>52</xdr:col>
      <xdr:colOff>170331</xdr:colOff>
      <xdr:row>17</xdr:row>
      <xdr:rowOff>24652</xdr:rowOff>
    </xdr:from>
    <xdr:to>
      <xdr:col>54</xdr:col>
      <xdr:colOff>77040</xdr:colOff>
      <xdr:row>18</xdr:row>
      <xdr:rowOff>167081</xdr:rowOff>
    </xdr:to>
    <xdr:sp macro="" textlink="" fLocksText="0">
      <xdr:nvSpPr>
        <xdr:cNvPr id="89" name="Rectangle 88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SpPr/>
      </xdr:nvSpPr>
      <xdr:spPr>
        <a:xfrm>
          <a:off x="14039850" y="338137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63</a:t>
          </a:r>
        </a:p>
      </xdr:txBody>
    </xdr:sp>
    <xdr:clientData/>
  </xdr:twoCellAnchor>
  <xdr:twoCellAnchor>
    <xdr:from>
      <xdr:col>50</xdr:col>
      <xdr:colOff>125508</xdr:colOff>
      <xdr:row>18</xdr:row>
      <xdr:rowOff>136711</xdr:rowOff>
    </xdr:from>
    <xdr:to>
      <xdr:col>52</xdr:col>
      <xdr:colOff>32216</xdr:colOff>
      <xdr:row>20</xdr:row>
      <xdr:rowOff>88640</xdr:rowOff>
    </xdr:to>
    <xdr:sp macro="" textlink="" fLocksText="0">
      <xdr:nvSpPr>
        <xdr:cNvPr id="90" name="Rectangle 89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SpPr/>
      </xdr:nvSpPr>
      <xdr:spPr>
        <a:xfrm>
          <a:off x="13458825" y="367665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65</a:t>
          </a:r>
        </a:p>
      </xdr:txBody>
    </xdr:sp>
    <xdr:clientData/>
  </xdr:twoCellAnchor>
  <xdr:twoCellAnchor>
    <xdr:from>
      <xdr:col>52</xdr:col>
      <xdr:colOff>181538</xdr:colOff>
      <xdr:row>20</xdr:row>
      <xdr:rowOff>24651</xdr:rowOff>
    </xdr:from>
    <xdr:to>
      <xdr:col>54</xdr:col>
      <xdr:colOff>88247</xdr:colOff>
      <xdr:row>21</xdr:row>
      <xdr:rowOff>167080</xdr:rowOff>
    </xdr:to>
    <xdr:sp macro="" textlink="" fLocksText="0">
      <xdr:nvSpPr>
        <xdr:cNvPr id="91" name="Rectangle 90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SpPr/>
      </xdr:nvSpPr>
      <xdr:spPr>
        <a:xfrm>
          <a:off x="14049375" y="395287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67</a:t>
          </a:r>
        </a:p>
      </xdr:txBody>
    </xdr:sp>
    <xdr:clientData/>
  </xdr:twoCellAnchor>
  <xdr:twoCellAnchor>
    <xdr:from>
      <xdr:col>50</xdr:col>
      <xdr:colOff>121026</xdr:colOff>
      <xdr:row>21</xdr:row>
      <xdr:rowOff>121022</xdr:rowOff>
    </xdr:from>
    <xdr:to>
      <xdr:col>52</xdr:col>
      <xdr:colOff>27734</xdr:colOff>
      <xdr:row>23</xdr:row>
      <xdr:rowOff>72951</xdr:rowOff>
    </xdr:to>
    <xdr:sp macro="" textlink="" fLocksText="0">
      <xdr:nvSpPr>
        <xdr:cNvPr id="92" name="Rectangle 91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SpPr/>
      </xdr:nvSpPr>
      <xdr:spPr>
        <a:xfrm>
          <a:off x="13458825" y="423862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69</a:t>
          </a:r>
        </a:p>
      </xdr:txBody>
    </xdr:sp>
    <xdr:clientData/>
  </xdr:twoCellAnchor>
  <xdr:twoCellAnchor>
    <xdr:from>
      <xdr:col>52</xdr:col>
      <xdr:colOff>177055</xdr:colOff>
      <xdr:row>22</xdr:row>
      <xdr:rowOff>177053</xdr:rowOff>
    </xdr:from>
    <xdr:to>
      <xdr:col>54</xdr:col>
      <xdr:colOff>83764</xdr:colOff>
      <xdr:row>24</xdr:row>
      <xdr:rowOff>128982</xdr:rowOff>
    </xdr:to>
    <xdr:sp macro="" textlink="" fLocksText="0">
      <xdr:nvSpPr>
        <xdr:cNvPr id="93" name="Rectangle 92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SpPr/>
      </xdr:nvSpPr>
      <xdr:spPr>
        <a:xfrm>
          <a:off x="14049375" y="448627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71</a:t>
          </a:r>
        </a:p>
      </xdr:txBody>
    </xdr:sp>
    <xdr:clientData/>
  </xdr:twoCellAnchor>
  <xdr:twoCellAnchor>
    <xdr:from>
      <xdr:col>50</xdr:col>
      <xdr:colOff>42585</xdr:colOff>
      <xdr:row>25</xdr:row>
      <xdr:rowOff>20170</xdr:rowOff>
    </xdr:from>
    <xdr:to>
      <xdr:col>51</xdr:col>
      <xdr:colOff>184617</xdr:colOff>
      <xdr:row>26</xdr:row>
      <xdr:rowOff>162599</xdr:rowOff>
    </xdr:to>
    <xdr:sp macro="" textlink="" fLocksText="0">
      <xdr:nvSpPr>
        <xdr:cNvPr id="94" name="Rectangle 93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SpPr/>
      </xdr:nvSpPr>
      <xdr:spPr>
        <a:xfrm>
          <a:off x="13373100" y="4895850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73</a:t>
          </a:r>
        </a:p>
      </xdr:txBody>
    </xdr:sp>
    <xdr:clientData/>
  </xdr:twoCellAnchor>
  <xdr:twoCellAnchor>
    <xdr:from>
      <xdr:col>38</xdr:col>
      <xdr:colOff>188262</xdr:colOff>
      <xdr:row>11</xdr:row>
      <xdr:rowOff>188258</xdr:rowOff>
    </xdr:from>
    <xdr:to>
      <xdr:col>40</xdr:col>
      <xdr:colOff>94971</xdr:colOff>
      <xdr:row>13</xdr:row>
      <xdr:rowOff>140187</xdr:rowOff>
    </xdr:to>
    <xdr:sp macro="" textlink="" fLocksText="0">
      <xdr:nvSpPr>
        <xdr:cNvPr id="96" name="Rectangle 95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SpPr/>
      </xdr:nvSpPr>
      <xdr:spPr>
        <a:xfrm>
          <a:off x="10325100" y="240030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56</a:t>
          </a:r>
        </a:p>
      </xdr:txBody>
    </xdr:sp>
    <xdr:clientData/>
  </xdr:twoCellAnchor>
  <xdr:twoCellAnchor>
    <xdr:from>
      <xdr:col>38</xdr:col>
      <xdr:colOff>183779</xdr:colOff>
      <xdr:row>13</xdr:row>
      <xdr:rowOff>161364</xdr:rowOff>
    </xdr:from>
    <xdr:to>
      <xdr:col>40</xdr:col>
      <xdr:colOff>90488</xdr:colOff>
      <xdr:row>15</xdr:row>
      <xdr:rowOff>113293</xdr:rowOff>
    </xdr:to>
    <xdr:sp macro="" textlink="" fLocksText="0">
      <xdr:nvSpPr>
        <xdr:cNvPr id="97" name="Rectangle 96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SpPr/>
      </xdr:nvSpPr>
      <xdr:spPr>
        <a:xfrm>
          <a:off x="10315575" y="2752725"/>
          <a:ext cx="4476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58</a:t>
          </a:r>
        </a:p>
      </xdr:txBody>
    </xdr:sp>
    <xdr:clientData/>
  </xdr:twoCellAnchor>
  <xdr:twoCellAnchor>
    <xdr:from>
      <xdr:col>38</xdr:col>
      <xdr:colOff>183779</xdr:colOff>
      <xdr:row>15</xdr:row>
      <xdr:rowOff>82924</xdr:rowOff>
    </xdr:from>
    <xdr:to>
      <xdr:col>40</xdr:col>
      <xdr:colOff>90488</xdr:colOff>
      <xdr:row>17</xdr:row>
      <xdr:rowOff>34853</xdr:rowOff>
    </xdr:to>
    <xdr:sp macro="" textlink="" fLocksText="0">
      <xdr:nvSpPr>
        <xdr:cNvPr id="98" name="Rectangle 97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SpPr/>
      </xdr:nvSpPr>
      <xdr:spPr>
        <a:xfrm>
          <a:off x="10315575" y="3057525"/>
          <a:ext cx="4476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60</a:t>
          </a:r>
        </a:p>
      </xdr:txBody>
    </xdr:sp>
    <xdr:clientData/>
  </xdr:twoCellAnchor>
  <xdr:twoCellAnchor>
    <xdr:from>
      <xdr:col>38</xdr:col>
      <xdr:colOff>172573</xdr:colOff>
      <xdr:row>17</xdr:row>
      <xdr:rowOff>26893</xdr:rowOff>
    </xdr:from>
    <xdr:to>
      <xdr:col>40</xdr:col>
      <xdr:colOff>79282</xdr:colOff>
      <xdr:row>18</xdr:row>
      <xdr:rowOff>169322</xdr:rowOff>
    </xdr:to>
    <xdr:sp macro="" textlink="" fLocksText="0">
      <xdr:nvSpPr>
        <xdr:cNvPr id="99" name="Rectangle 98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SpPr/>
      </xdr:nvSpPr>
      <xdr:spPr>
        <a:xfrm>
          <a:off x="10306050" y="338137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62</a:t>
          </a:r>
        </a:p>
      </xdr:txBody>
    </xdr:sp>
    <xdr:clientData/>
  </xdr:twoCellAnchor>
  <xdr:twoCellAnchor>
    <xdr:from>
      <xdr:col>38</xdr:col>
      <xdr:colOff>172573</xdr:colOff>
      <xdr:row>18</xdr:row>
      <xdr:rowOff>150158</xdr:rowOff>
    </xdr:from>
    <xdr:to>
      <xdr:col>40</xdr:col>
      <xdr:colOff>79282</xdr:colOff>
      <xdr:row>20</xdr:row>
      <xdr:rowOff>102087</xdr:rowOff>
    </xdr:to>
    <xdr:sp macro="" textlink="" fLocksText="0">
      <xdr:nvSpPr>
        <xdr:cNvPr id="100" name="Rectangle 99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SpPr/>
      </xdr:nvSpPr>
      <xdr:spPr>
        <a:xfrm>
          <a:off x="10306050" y="369570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64</a:t>
          </a:r>
        </a:p>
      </xdr:txBody>
    </xdr:sp>
    <xdr:clientData/>
  </xdr:twoCellAnchor>
  <xdr:twoCellAnchor>
    <xdr:from>
      <xdr:col>43</xdr:col>
      <xdr:colOff>71721</xdr:colOff>
      <xdr:row>19</xdr:row>
      <xdr:rowOff>183775</xdr:rowOff>
    </xdr:from>
    <xdr:to>
      <xdr:col>44</xdr:col>
      <xdr:colOff>213754</xdr:colOff>
      <xdr:row>21</xdr:row>
      <xdr:rowOff>135704</xdr:rowOff>
    </xdr:to>
    <xdr:sp macro="" textlink="" fLocksText="0">
      <xdr:nvSpPr>
        <xdr:cNvPr id="101" name="Rectangle 100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SpPr/>
      </xdr:nvSpPr>
      <xdr:spPr>
        <a:xfrm>
          <a:off x="11544300" y="3914775"/>
          <a:ext cx="4000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66</a:t>
          </a:r>
        </a:p>
      </xdr:txBody>
    </xdr:sp>
    <xdr:clientData/>
  </xdr:twoCellAnchor>
  <xdr:twoCellAnchor>
    <xdr:from>
      <xdr:col>43</xdr:col>
      <xdr:colOff>56033</xdr:colOff>
      <xdr:row>21</xdr:row>
      <xdr:rowOff>145675</xdr:rowOff>
    </xdr:from>
    <xdr:to>
      <xdr:col>44</xdr:col>
      <xdr:colOff>198066</xdr:colOff>
      <xdr:row>23</xdr:row>
      <xdr:rowOff>97604</xdr:rowOff>
    </xdr:to>
    <xdr:sp macro="" textlink="" fLocksText="0">
      <xdr:nvSpPr>
        <xdr:cNvPr id="102" name="Rectangle 101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SpPr/>
      </xdr:nvSpPr>
      <xdr:spPr>
        <a:xfrm>
          <a:off x="11525250" y="4257675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68</a:t>
          </a:r>
        </a:p>
      </xdr:txBody>
    </xdr:sp>
    <xdr:clientData/>
  </xdr:twoCellAnchor>
  <xdr:twoCellAnchor>
    <xdr:from>
      <xdr:col>38</xdr:col>
      <xdr:colOff>190503</xdr:colOff>
      <xdr:row>23</xdr:row>
      <xdr:rowOff>22412</xdr:rowOff>
    </xdr:from>
    <xdr:to>
      <xdr:col>40</xdr:col>
      <xdr:colOff>97212</xdr:colOff>
      <xdr:row>24</xdr:row>
      <xdr:rowOff>164841</xdr:rowOff>
    </xdr:to>
    <xdr:sp macro="" textlink="" fLocksText="0">
      <xdr:nvSpPr>
        <xdr:cNvPr id="103" name="Rectangle 102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SpPr/>
      </xdr:nvSpPr>
      <xdr:spPr>
        <a:xfrm>
          <a:off x="10325100" y="451485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70</a:t>
          </a:r>
        </a:p>
      </xdr:txBody>
    </xdr:sp>
    <xdr:clientData/>
  </xdr:twoCellAnchor>
  <xdr:twoCellAnchor>
    <xdr:from>
      <xdr:col>38</xdr:col>
      <xdr:colOff>224121</xdr:colOff>
      <xdr:row>24</xdr:row>
      <xdr:rowOff>179294</xdr:rowOff>
    </xdr:from>
    <xdr:to>
      <xdr:col>40</xdr:col>
      <xdr:colOff>130830</xdr:colOff>
      <xdr:row>26</xdr:row>
      <xdr:rowOff>131223</xdr:rowOff>
    </xdr:to>
    <xdr:sp macro="" textlink="" fLocksText="0">
      <xdr:nvSpPr>
        <xdr:cNvPr id="104" name="Rectangle 103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SpPr/>
      </xdr:nvSpPr>
      <xdr:spPr>
        <a:xfrm>
          <a:off x="10363200" y="486727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72</a:t>
          </a:r>
        </a:p>
      </xdr:txBody>
    </xdr:sp>
    <xdr:clientData/>
  </xdr:twoCellAnchor>
  <xdr:twoCellAnchor>
    <xdr:from>
      <xdr:col>24</xdr:col>
      <xdr:colOff>56031</xdr:colOff>
      <xdr:row>16</xdr:row>
      <xdr:rowOff>179294</xdr:rowOff>
    </xdr:from>
    <xdr:to>
      <xdr:col>25</xdr:col>
      <xdr:colOff>179297</xdr:colOff>
      <xdr:row>18</xdr:row>
      <xdr:rowOff>154910</xdr:rowOff>
    </xdr:to>
    <xdr:sp macro="" textlink="" fLocksText="0">
      <xdr:nvSpPr>
        <xdr:cNvPr id="106" name="Callout: Line 105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SpPr/>
      </xdr:nvSpPr>
      <xdr:spPr>
        <a:xfrm>
          <a:off x="6457950" y="3343275"/>
          <a:ext cx="390525" cy="352425"/>
        </a:xfrm>
        <a:prstGeom prst="borderCallout1">
          <a:avLst>
            <a:gd name="adj1" fmla="val 81315"/>
            <a:gd name="adj2" fmla="val 14512"/>
            <a:gd name="adj3" fmla="val 145525"/>
            <a:gd name="adj4" fmla="val -6537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</a:t>
          </a:r>
        </a:p>
      </xdr:txBody>
    </xdr:sp>
    <xdr:clientData/>
  </xdr:twoCellAnchor>
  <xdr:twoCellAnchor>
    <xdr:from>
      <xdr:col>24</xdr:col>
      <xdr:colOff>118784</xdr:colOff>
      <xdr:row>25</xdr:row>
      <xdr:rowOff>29136</xdr:rowOff>
    </xdr:from>
    <xdr:to>
      <xdr:col>26</xdr:col>
      <xdr:colOff>6726</xdr:colOff>
      <xdr:row>27</xdr:row>
      <xdr:rowOff>4752</xdr:rowOff>
    </xdr:to>
    <xdr:sp macro="" textlink="" fLocksText="0">
      <xdr:nvSpPr>
        <xdr:cNvPr id="107" name="Callout: Line 106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SpPr/>
      </xdr:nvSpPr>
      <xdr:spPr>
        <a:xfrm>
          <a:off x="6515100" y="4905375"/>
          <a:ext cx="428625" cy="352425"/>
        </a:xfrm>
        <a:prstGeom prst="borderCallout1">
          <a:avLst>
            <a:gd name="adj1" fmla="val 81315"/>
            <a:gd name="adj2" fmla="val 14512"/>
            <a:gd name="adj3" fmla="val -30443"/>
            <a:gd name="adj4" fmla="val -7475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22</a:t>
          </a:r>
        </a:p>
      </xdr:txBody>
    </xdr:sp>
    <xdr:clientData/>
  </xdr:twoCellAnchor>
  <xdr:twoCellAnchor>
    <xdr:from>
      <xdr:col>24</xdr:col>
      <xdr:colOff>159125</xdr:colOff>
      <xdr:row>21</xdr:row>
      <xdr:rowOff>159124</xdr:rowOff>
    </xdr:from>
    <xdr:to>
      <xdr:col>26</xdr:col>
      <xdr:colOff>47067</xdr:colOff>
      <xdr:row>23</xdr:row>
      <xdr:rowOff>134740</xdr:rowOff>
    </xdr:to>
    <xdr:sp macro="" textlink="" fLocksText="0">
      <xdr:nvSpPr>
        <xdr:cNvPr id="108" name="Callout: Line 107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SpPr/>
      </xdr:nvSpPr>
      <xdr:spPr>
        <a:xfrm>
          <a:off x="6562725" y="4276725"/>
          <a:ext cx="419100" cy="352425"/>
        </a:xfrm>
        <a:prstGeom prst="borderCallout1">
          <a:avLst>
            <a:gd name="adj1" fmla="val 81315"/>
            <a:gd name="adj2" fmla="val 14512"/>
            <a:gd name="adj3" fmla="val 41829"/>
            <a:gd name="adj4" fmla="val -13100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19</a:t>
          </a:r>
        </a:p>
      </xdr:txBody>
    </xdr:sp>
    <xdr:clientData/>
  </xdr:twoCellAnchor>
  <xdr:twoCellAnchor>
    <xdr:from>
      <xdr:col>24</xdr:col>
      <xdr:colOff>109819</xdr:colOff>
      <xdr:row>19</xdr:row>
      <xdr:rowOff>76200</xdr:rowOff>
    </xdr:from>
    <xdr:to>
      <xdr:col>25</xdr:col>
      <xdr:colOff>233085</xdr:colOff>
      <xdr:row>21</xdr:row>
      <xdr:rowOff>51816</xdr:rowOff>
    </xdr:to>
    <xdr:sp macro="" textlink="" fLocksText="0">
      <xdr:nvSpPr>
        <xdr:cNvPr id="109" name="Callout: Line 108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SpPr/>
      </xdr:nvSpPr>
      <xdr:spPr>
        <a:xfrm>
          <a:off x="6515100" y="3810000"/>
          <a:ext cx="381000" cy="352425"/>
        </a:xfrm>
        <a:prstGeom prst="borderCallout1">
          <a:avLst>
            <a:gd name="adj1" fmla="val 81315"/>
            <a:gd name="adj2" fmla="val 14512"/>
            <a:gd name="adj3" fmla="val 88964"/>
            <a:gd name="adj4" fmla="val -11225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16</a:t>
          </a:r>
        </a:p>
      </xdr:txBody>
    </xdr:sp>
    <xdr:clientData/>
  </xdr:twoCellAnchor>
  <xdr:twoCellAnchor>
    <xdr:from>
      <xdr:col>9</xdr:col>
      <xdr:colOff>190502</xdr:colOff>
      <xdr:row>10</xdr:row>
      <xdr:rowOff>168088</xdr:rowOff>
    </xdr:from>
    <xdr:to>
      <xdr:col>11</xdr:col>
      <xdr:colOff>78444</xdr:colOff>
      <xdr:row>12</xdr:row>
      <xdr:rowOff>143704</xdr:rowOff>
    </xdr:to>
    <xdr:sp macro="" textlink="" fLocksText="0">
      <xdr:nvSpPr>
        <xdr:cNvPr id="110" name="Callout: Line 109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SpPr/>
      </xdr:nvSpPr>
      <xdr:spPr>
        <a:xfrm>
          <a:off x="2590800" y="2190750"/>
          <a:ext cx="419100" cy="352425"/>
        </a:xfrm>
        <a:prstGeom prst="borderCallout1">
          <a:avLst>
            <a:gd name="adj1" fmla="val 68746"/>
            <a:gd name="adj2" fmla="val 89512"/>
            <a:gd name="adj3" fmla="val 217797"/>
            <a:gd name="adj4" fmla="val 21587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9</xdr:col>
      <xdr:colOff>179295</xdr:colOff>
      <xdr:row>12</xdr:row>
      <xdr:rowOff>156882</xdr:rowOff>
    </xdr:from>
    <xdr:to>
      <xdr:col>11</xdr:col>
      <xdr:colOff>67237</xdr:colOff>
      <xdr:row>14</xdr:row>
      <xdr:rowOff>132498</xdr:rowOff>
    </xdr:to>
    <xdr:sp macro="" textlink="" fLocksText="0">
      <xdr:nvSpPr>
        <xdr:cNvPr id="111" name="Callout: Line 110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SpPr/>
      </xdr:nvSpPr>
      <xdr:spPr>
        <a:xfrm>
          <a:off x="2581275" y="2552700"/>
          <a:ext cx="419100" cy="361950"/>
        </a:xfrm>
        <a:prstGeom prst="borderCallout1">
          <a:avLst>
            <a:gd name="adj1" fmla="val 68746"/>
            <a:gd name="adj2" fmla="val 89512"/>
            <a:gd name="adj3" fmla="val 164378"/>
            <a:gd name="adj4" fmla="val 21587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9</xdr:col>
      <xdr:colOff>186018</xdr:colOff>
      <xdr:row>14</xdr:row>
      <xdr:rowOff>141193</xdr:rowOff>
    </xdr:from>
    <xdr:to>
      <xdr:col>11</xdr:col>
      <xdr:colOff>73960</xdr:colOff>
      <xdr:row>16</xdr:row>
      <xdr:rowOff>116809</xdr:rowOff>
    </xdr:to>
    <xdr:sp macro="" textlink="" fLocksText="0">
      <xdr:nvSpPr>
        <xdr:cNvPr id="112" name="Callout: Line 111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SpPr/>
      </xdr:nvSpPr>
      <xdr:spPr>
        <a:xfrm>
          <a:off x="2590800" y="2924175"/>
          <a:ext cx="419100" cy="352425"/>
        </a:xfrm>
        <a:prstGeom prst="borderCallout1">
          <a:avLst>
            <a:gd name="adj1" fmla="val 68746"/>
            <a:gd name="adj2" fmla="val 89512"/>
            <a:gd name="adj3" fmla="val 148667"/>
            <a:gd name="adj4" fmla="val 20649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9</xdr:col>
      <xdr:colOff>192741</xdr:colOff>
      <xdr:row>16</xdr:row>
      <xdr:rowOff>125505</xdr:rowOff>
    </xdr:from>
    <xdr:to>
      <xdr:col>11</xdr:col>
      <xdr:colOff>80683</xdr:colOff>
      <xdr:row>18</xdr:row>
      <xdr:rowOff>101121</xdr:rowOff>
    </xdr:to>
    <xdr:sp macro="" textlink="" fLocksText="0">
      <xdr:nvSpPr>
        <xdr:cNvPr id="113" name="Callout: Line 112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SpPr/>
      </xdr:nvSpPr>
      <xdr:spPr>
        <a:xfrm>
          <a:off x="2590800" y="3286125"/>
          <a:ext cx="419100" cy="361950"/>
        </a:xfrm>
        <a:prstGeom prst="borderCallout1">
          <a:avLst>
            <a:gd name="adj1" fmla="val 68746"/>
            <a:gd name="adj2" fmla="val 89512"/>
            <a:gd name="adj3" fmla="val 139240"/>
            <a:gd name="adj4" fmla="val 20962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9</xdr:col>
      <xdr:colOff>201705</xdr:colOff>
      <xdr:row>18</xdr:row>
      <xdr:rowOff>112059</xdr:rowOff>
    </xdr:from>
    <xdr:to>
      <xdr:col>11</xdr:col>
      <xdr:colOff>89647</xdr:colOff>
      <xdr:row>20</xdr:row>
      <xdr:rowOff>87675</xdr:rowOff>
    </xdr:to>
    <xdr:sp macro="" textlink="" fLocksText="0">
      <xdr:nvSpPr>
        <xdr:cNvPr id="114" name="Callout: Line 113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SpPr/>
      </xdr:nvSpPr>
      <xdr:spPr>
        <a:xfrm>
          <a:off x="2600325" y="3657600"/>
          <a:ext cx="419100" cy="352425"/>
        </a:xfrm>
        <a:prstGeom prst="borderCallout1">
          <a:avLst>
            <a:gd name="adj1" fmla="val 68746"/>
            <a:gd name="adj2" fmla="val 89512"/>
            <a:gd name="adj3" fmla="val 139240"/>
            <a:gd name="adj4" fmla="val 20962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15</a:t>
          </a:r>
        </a:p>
      </xdr:txBody>
    </xdr:sp>
    <xdr:clientData/>
  </xdr:twoCellAnchor>
  <xdr:twoCellAnchor>
    <xdr:from>
      <xdr:col>9</xdr:col>
      <xdr:colOff>217393</xdr:colOff>
      <xdr:row>20</xdr:row>
      <xdr:rowOff>105335</xdr:rowOff>
    </xdr:from>
    <xdr:to>
      <xdr:col>11</xdr:col>
      <xdr:colOff>105335</xdr:colOff>
      <xdr:row>22</xdr:row>
      <xdr:rowOff>80951</xdr:rowOff>
    </xdr:to>
    <xdr:sp macro="" textlink="" fLocksText="0">
      <xdr:nvSpPr>
        <xdr:cNvPr id="115" name="Callout: Line 114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SpPr/>
      </xdr:nvSpPr>
      <xdr:spPr>
        <a:xfrm>
          <a:off x="2619375" y="4029075"/>
          <a:ext cx="419100" cy="352425"/>
        </a:xfrm>
        <a:prstGeom prst="borderCallout1">
          <a:avLst>
            <a:gd name="adj1" fmla="val 68746"/>
            <a:gd name="adj2" fmla="val 89512"/>
            <a:gd name="adj3" fmla="val 98390"/>
            <a:gd name="adj4" fmla="val 22524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18</a:t>
          </a:r>
        </a:p>
      </xdr:txBody>
    </xdr:sp>
    <xdr:clientData/>
  </xdr:twoCellAnchor>
  <xdr:twoCellAnchor>
    <xdr:from>
      <xdr:col>9</xdr:col>
      <xdr:colOff>174813</xdr:colOff>
      <xdr:row>22</xdr:row>
      <xdr:rowOff>51546</xdr:rowOff>
    </xdr:from>
    <xdr:to>
      <xdr:col>11</xdr:col>
      <xdr:colOff>62755</xdr:colOff>
      <xdr:row>24</xdr:row>
      <xdr:rowOff>27162</xdr:rowOff>
    </xdr:to>
    <xdr:sp macro="" textlink="" fLocksText="0">
      <xdr:nvSpPr>
        <xdr:cNvPr id="117" name="Callout: Line 116">
          <a:extLst>
            <a:ext uri="{FF2B5EF4-FFF2-40B4-BE49-F238E27FC236}">
              <a16:creationId xmlns:a16="http://schemas.microsoft.com/office/drawing/2014/main" id="{00000000-0008-0000-0300-000075000000}"/>
            </a:ext>
          </a:extLst>
        </xdr:cNvPr>
        <xdr:cNvSpPr/>
      </xdr:nvSpPr>
      <xdr:spPr>
        <a:xfrm>
          <a:off x="2571750" y="4352925"/>
          <a:ext cx="428625" cy="361950"/>
        </a:xfrm>
        <a:prstGeom prst="borderCallout1">
          <a:avLst>
            <a:gd name="adj1" fmla="val 81315"/>
            <a:gd name="adj2" fmla="val 80137"/>
            <a:gd name="adj3" fmla="val 104675"/>
            <a:gd name="adj4" fmla="val 22837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21</a:t>
          </a:r>
        </a:p>
      </xdr:txBody>
    </xdr:sp>
    <xdr:clientData/>
  </xdr:twoCellAnchor>
  <xdr:twoCellAnchor>
    <xdr:from>
      <xdr:col>8</xdr:col>
      <xdr:colOff>201708</xdr:colOff>
      <xdr:row>24</xdr:row>
      <xdr:rowOff>67235</xdr:rowOff>
    </xdr:from>
    <xdr:to>
      <xdr:col>10</xdr:col>
      <xdr:colOff>89650</xdr:colOff>
      <xdr:row>26</xdr:row>
      <xdr:rowOff>42851</xdr:rowOff>
    </xdr:to>
    <xdr:sp macro="" textlink="" fLocksText="0">
      <xdr:nvSpPr>
        <xdr:cNvPr id="118" name="Callout: Line 117">
          <a:extLst>
            <a:ext uri="{FF2B5EF4-FFF2-40B4-BE49-F238E27FC236}">
              <a16:creationId xmlns:a16="http://schemas.microsoft.com/office/drawing/2014/main" id="{00000000-0008-0000-0300-000076000000}"/>
            </a:ext>
          </a:extLst>
        </xdr:cNvPr>
        <xdr:cNvSpPr/>
      </xdr:nvSpPr>
      <xdr:spPr>
        <a:xfrm>
          <a:off x="2333625" y="4752975"/>
          <a:ext cx="419100" cy="352425"/>
        </a:xfrm>
        <a:prstGeom prst="borderCallout1">
          <a:avLst>
            <a:gd name="adj1" fmla="val 81315"/>
            <a:gd name="adj2" fmla="val 80137"/>
            <a:gd name="adj3" fmla="val 73252"/>
            <a:gd name="adj4" fmla="val 26587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24</a:t>
          </a:r>
        </a:p>
      </xdr:txBody>
    </xdr:sp>
    <xdr:clientData/>
  </xdr:twoCellAnchor>
  <xdr:twoCellAnchor>
    <xdr:from>
      <xdr:col>8</xdr:col>
      <xdr:colOff>219638</xdr:colOff>
      <xdr:row>26</xdr:row>
      <xdr:rowOff>73958</xdr:rowOff>
    </xdr:from>
    <xdr:to>
      <xdr:col>10</xdr:col>
      <xdr:colOff>107580</xdr:colOff>
      <xdr:row>28</xdr:row>
      <xdr:rowOff>49574</xdr:rowOff>
    </xdr:to>
    <xdr:sp macro="" textlink="" fLocksText="0">
      <xdr:nvSpPr>
        <xdr:cNvPr id="119" name="Callout: Line 118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SpPr/>
      </xdr:nvSpPr>
      <xdr:spPr>
        <a:xfrm>
          <a:off x="2352675" y="5143500"/>
          <a:ext cx="419100" cy="352425"/>
        </a:xfrm>
        <a:prstGeom prst="borderCallout1">
          <a:avLst>
            <a:gd name="adj1" fmla="val 81315"/>
            <a:gd name="adj2" fmla="val 80137"/>
            <a:gd name="adj3" fmla="val 48114"/>
            <a:gd name="adj4" fmla="val 26587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26</a:t>
          </a:r>
        </a:p>
      </xdr:txBody>
    </xdr:sp>
    <xdr:clientData/>
  </xdr:twoCellAnchor>
  <xdr:twoCellAnchor>
    <xdr:from>
      <xdr:col>8</xdr:col>
      <xdr:colOff>192745</xdr:colOff>
      <xdr:row>28</xdr:row>
      <xdr:rowOff>35859</xdr:rowOff>
    </xdr:from>
    <xdr:to>
      <xdr:col>10</xdr:col>
      <xdr:colOff>80687</xdr:colOff>
      <xdr:row>30</xdr:row>
      <xdr:rowOff>11475</xdr:rowOff>
    </xdr:to>
    <xdr:sp macro="" textlink="" fLocksText="0">
      <xdr:nvSpPr>
        <xdr:cNvPr id="120" name="Callout: Line 119">
          <a:extLst>
            <a:ext uri="{FF2B5EF4-FFF2-40B4-BE49-F238E27FC236}">
              <a16:creationId xmlns:a16="http://schemas.microsoft.com/office/drawing/2014/main" id="{00000000-0008-0000-0300-000078000000}"/>
            </a:ext>
          </a:extLst>
        </xdr:cNvPr>
        <xdr:cNvSpPr/>
      </xdr:nvSpPr>
      <xdr:spPr>
        <a:xfrm>
          <a:off x="2324100" y="5486400"/>
          <a:ext cx="419100" cy="352425"/>
        </a:xfrm>
        <a:prstGeom prst="borderCallout1">
          <a:avLst>
            <a:gd name="adj1" fmla="val 81315"/>
            <a:gd name="adj2" fmla="val 80137"/>
            <a:gd name="adj3" fmla="val 10406"/>
            <a:gd name="adj4" fmla="val 27212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28</a:t>
          </a:r>
        </a:p>
      </xdr:txBody>
    </xdr:sp>
    <xdr:clientData/>
  </xdr:twoCellAnchor>
  <xdr:twoCellAnchor>
    <xdr:from>
      <xdr:col>9</xdr:col>
      <xdr:colOff>53792</xdr:colOff>
      <xdr:row>29</xdr:row>
      <xdr:rowOff>165848</xdr:rowOff>
    </xdr:from>
    <xdr:to>
      <xdr:col>10</xdr:col>
      <xdr:colOff>177058</xdr:colOff>
      <xdr:row>31</xdr:row>
      <xdr:rowOff>152670</xdr:rowOff>
    </xdr:to>
    <xdr:sp macro="" textlink="" fLocksText="0">
      <xdr:nvSpPr>
        <xdr:cNvPr id="121" name="Callout: Line 120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SpPr/>
      </xdr:nvSpPr>
      <xdr:spPr>
        <a:xfrm>
          <a:off x="2457450" y="5800725"/>
          <a:ext cx="390525" cy="361950"/>
        </a:xfrm>
        <a:prstGeom prst="borderCallout1">
          <a:avLst>
            <a:gd name="adj1" fmla="val 81315"/>
            <a:gd name="adj2" fmla="val 80137"/>
            <a:gd name="adj3" fmla="val 10406"/>
            <a:gd name="adj4" fmla="val 25649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30</a:t>
          </a:r>
        </a:p>
      </xdr:txBody>
    </xdr:sp>
    <xdr:clientData/>
  </xdr:twoCellAnchor>
  <xdr:twoCellAnchor>
    <xdr:from>
      <xdr:col>21</xdr:col>
      <xdr:colOff>219639</xdr:colOff>
      <xdr:row>30</xdr:row>
      <xdr:rowOff>141193</xdr:rowOff>
    </xdr:from>
    <xdr:to>
      <xdr:col>23</xdr:col>
      <xdr:colOff>126348</xdr:colOff>
      <xdr:row>32</xdr:row>
      <xdr:rowOff>115534</xdr:rowOff>
    </xdr:to>
    <xdr:sp macro="" textlink="" fLocksText="0">
      <xdr:nvSpPr>
        <xdr:cNvPr id="122" name="Rectangle 121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SpPr/>
      </xdr:nvSpPr>
      <xdr:spPr>
        <a:xfrm>
          <a:off x="5819775" y="597217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32</a:t>
          </a:r>
        </a:p>
      </xdr:txBody>
    </xdr:sp>
    <xdr:clientData/>
  </xdr:twoCellAnchor>
  <xdr:twoCellAnchor>
    <xdr:from>
      <xdr:col>17</xdr:col>
      <xdr:colOff>186020</xdr:colOff>
      <xdr:row>32</xdr:row>
      <xdr:rowOff>51545</xdr:rowOff>
    </xdr:from>
    <xdr:to>
      <xdr:col>19</xdr:col>
      <xdr:colOff>92729</xdr:colOff>
      <xdr:row>34</xdr:row>
      <xdr:rowOff>25886</xdr:rowOff>
    </xdr:to>
    <xdr:sp macro="" textlink="" fLocksText="0">
      <xdr:nvSpPr>
        <xdr:cNvPr id="123" name="Rectangle 122">
          <a:extLst>
            <a:ext uri="{FF2B5EF4-FFF2-40B4-BE49-F238E27FC236}">
              <a16:creationId xmlns:a16="http://schemas.microsoft.com/office/drawing/2014/main" id="{00000000-0008-0000-0300-00007B000000}"/>
            </a:ext>
          </a:extLst>
        </xdr:cNvPr>
        <xdr:cNvSpPr/>
      </xdr:nvSpPr>
      <xdr:spPr>
        <a:xfrm>
          <a:off x="4724400" y="6238875"/>
          <a:ext cx="438150" cy="34290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34</a:t>
          </a:r>
        </a:p>
      </xdr:txBody>
    </xdr:sp>
    <xdr:clientData/>
  </xdr:twoCellAnchor>
  <xdr:twoCellAnchor>
    <xdr:from>
      <xdr:col>9</xdr:col>
      <xdr:colOff>112058</xdr:colOff>
      <xdr:row>33</xdr:row>
      <xdr:rowOff>0</xdr:rowOff>
    </xdr:from>
    <xdr:to>
      <xdr:col>11</xdr:col>
      <xdr:colOff>0</xdr:colOff>
      <xdr:row>34</xdr:row>
      <xdr:rowOff>177322</xdr:rowOff>
    </xdr:to>
    <xdr:sp macro="" textlink="" fLocksText="0">
      <xdr:nvSpPr>
        <xdr:cNvPr id="124" name="Callout: Line 123">
          <a:extLst>
            <a:ext uri="{FF2B5EF4-FFF2-40B4-BE49-F238E27FC236}">
              <a16:creationId xmlns:a16="http://schemas.microsoft.com/office/drawing/2014/main" id="{00000000-0008-0000-0300-00007C000000}"/>
            </a:ext>
          </a:extLst>
        </xdr:cNvPr>
        <xdr:cNvSpPr/>
      </xdr:nvSpPr>
      <xdr:spPr>
        <a:xfrm>
          <a:off x="2514600" y="6372225"/>
          <a:ext cx="419100" cy="361950"/>
        </a:xfrm>
        <a:prstGeom prst="borderCallout1">
          <a:avLst>
            <a:gd name="adj1" fmla="val 81315"/>
            <a:gd name="adj2" fmla="val 80137"/>
            <a:gd name="adj3" fmla="val 126670"/>
            <a:gd name="adj4" fmla="val 27524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36</a:t>
          </a:r>
        </a:p>
      </xdr:txBody>
    </xdr:sp>
    <xdr:clientData/>
  </xdr:twoCellAnchor>
  <xdr:twoCellAnchor>
    <xdr:from>
      <xdr:col>5</xdr:col>
      <xdr:colOff>152403</xdr:colOff>
      <xdr:row>38</xdr:row>
      <xdr:rowOff>141193</xdr:rowOff>
    </xdr:from>
    <xdr:to>
      <xdr:col>7</xdr:col>
      <xdr:colOff>59112</xdr:colOff>
      <xdr:row>40</xdr:row>
      <xdr:rowOff>93122</xdr:rowOff>
    </xdr:to>
    <xdr:sp macro="" textlink="" fLocksText="0">
      <xdr:nvSpPr>
        <xdr:cNvPr id="125" name="Rectangle 124">
          <a:extLst>
            <a:ext uri="{FF2B5EF4-FFF2-40B4-BE49-F238E27FC236}">
              <a16:creationId xmlns:a16="http://schemas.microsoft.com/office/drawing/2014/main" id="{00000000-0008-0000-0300-00007D000000}"/>
            </a:ext>
          </a:extLst>
        </xdr:cNvPr>
        <xdr:cNvSpPr/>
      </xdr:nvSpPr>
      <xdr:spPr>
        <a:xfrm>
          <a:off x="1485900" y="741997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41</a:t>
          </a:r>
        </a:p>
      </xdr:txBody>
    </xdr:sp>
    <xdr:clientData/>
  </xdr:twoCellAnchor>
  <xdr:twoCellAnchor>
    <xdr:from>
      <xdr:col>19</xdr:col>
      <xdr:colOff>203950</xdr:colOff>
      <xdr:row>37</xdr:row>
      <xdr:rowOff>47064</xdr:rowOff>
    </xdr:from>
    <xdr:to>
      <xdr:col>21</xdr:col>
      <xdr:colOff>110659</xdr:colOff>
      <xdr:row>39</xdr:row>
      <xdr:rowOff>10199</xdr:rowOff>
    </xdr:to>
    <xdr:sp macro="" textlink="" fLocksText="0">
      <xdr:nvSpPr>
        <xdr:cNvPr id="126" name="Rectangle 125">
          <a:extLst>
            <a:ext uri="{FF2B5EF4-FFF2-40B4-BE49-F238E27FC236}">
              <a16:creationId xmlns:a16="http://schemas.microsoft.com/office/drawing/2014/main" id="{00000000-0008-0000-0300-00007E000000}"/>
            </a:ext>
          </a:extLst>
        </xdr:cNvPr>
        <xdr:cNvSpPr/>
      </xdr:nvSpPr>
      <xdr:spPr>
        <a:xfrm>
          <a:off x="5267325" y="7143750"/>
          <a:ext cx="4476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40</a:t>
          </a:r>
        </a:p>
      </xdr:txBody>
    </xdr:sp>
    <xdr:clientData/>
  </xdr:twoCellAnchor>
  <xdr:twoCellAnchor>
    <xdr:from>
      <xdr:col>2</xdr:col>
      <xdr:colOff>2244</xdr:colOff>
      <xdr:row>40</xdr:row>
      <xdr:rowOff>80682</xdr:rowOff>
    </xdr:from>
    <xdr:to>
      <xdr:col>3</xdr:col>
      <xdr:colOff>144276</xdr:colOff>
      <xdr:row>42</xdr:row>
      <xdr:rowOff>10199</xdr:rowOff>
    </xdr:to>
    <xdr:sp macro="" textlink="" fLocksText="0">
      <xdr:nvSpPr>
        <xdr:cNvPr id="127" name="Rectangle 126">
          <a:extLst>
            <a:ext uri="{FF2B5EF4-FFF2-40B4-BE49-F238E27FC236}">
              <a16:creationId xmlns:a16="http://schemas.microsoft.com/office/drawing/2014/main" id="{00000000-0008-0000-0300-00007F000000}"/>
            </a:ext>
          </a:extLst>
        </xdr:cNvPr>
        <xdr:cNvSpPr/>
      </xdr:nvSpPr>
      <xdr:spPr>
        <a:xfrm>
          <a:off x="533400" y="7734300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43</a:t>
          </a:r>
        </a:p>
      </xdr:txBody>
    </xdr:sp>
    <xdr:clientData/>
  </xdr:twoCellAnchor>
  <xdr:twoCellAnchor>
    <xdr:from>
      <xdr:col>5</xdr:col>
      <xdr:colOff>143439</xdr:colOff>
      <xdr:row>41</xdr:row>
      <xdr:rowOff>165846</xdr:rowOff>
    </xdr:from>
    <xdr:to>
      <xdr:col>7</xdr:col>
      <xdr:colOff>50148</xdr:colOff>
      <xdr:row>43</xdr:row>
      <xdr:rowOff>95364</xdr:rowOff>
    </xdr:to>
    <xdr:sp macro="" textlink="" fLocksText="0">
      <xdr:nvSpPr>
        <xdr:cNvPr id="128" name="Rectangle 127">
          <a:extLst>
            <a:ext uri="{FF2B5EF4-FFF2-40B4-BE49-F238E27FC236}">
              <a16:creationId xmlns:a16="http://schemas.microsoft.com/office/drawing/2014/main" id="{00000000-0008-0000-0300-000080000000}"/>
            </a:ext>
          </a:extLst>
        </xdr:cNvPr>
        <xdr:cNvSpPr/>
      </xdr:nvSpPr>
      <xdr:spPr>
        <a:xfrm>
          <a:off x="1476375" y="802005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45</a:t>
          </a:r>
        </a:p>
      </xdr:txBody>
    </xdr:sp>
    <xdr:clientData/>
  </xdr:twoCellAnchor>
  <xdr:twoCellAnchor>
    <xdr:from>
      <xdr:col>21</xdr:col>
      <xdr:colOff>4487</xdr:colOff>
      <xdr:row>42</xdr:row>
      <xdr:rowOff>4482</xdr:rowOff>
    </xdr:from>
    <xdr:to>
      <xdr:col>22</xdr:col>
      <xdr:colOff>146519</xdr:colOff>
      <xdr:row>43</xdr:row>
      <xdr:rowOff>135706</xdr:rowOff>
    </xdr:to>
    <xdr:sp macro="" textlink="" fLocksText="0">
      <xdr:nvSpPr>
        <xdr:cNvPr id="129" name="Rectangle 128">
          <a:extLst>
            <a:ext uri="{FF2B5EF4-FFF2-40B4-BE49-F238E27FC236}">
              <a16:creationId xmlns:a16="http://schemas.microsoft.com/office/drawing/2014/main" id="{00000000-0008-0000-0300-000081000000}"/>
            </a:ext>
          </a:extLst>
        </xdr:cNvPr>
        <xdr:cNvSpPr/>
      </xdr:nvSpPr>
      <xdr:spPr>
        <a:xfrm>
          <a:off x="5600700" y="8058150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46</a:t>
          </a:r>
        </a:p>
      </xdr:txBody>
    </xdr:sp>
    <xdr:clientData/>
  </xdr:twoCellAnchor>
  <xdr:twoCellAnchor>
    <xdr:from>
      <xdr:col>18</xdr:col>
      <xdr:colOff>4</xdr:colOff>
      <xdr:row>40</xdr:row>
      <xdr:rowOff>89646</xdr:rowOff>
    </xdr:from>
    <xdr:to>
      <xdr:col>19</xdr:col>
      <xdr:colOff>142037</xdr:colOff>
      <xdr:row>42</xdr:row>
      <xdr:rowOff>19163</xdr:rowOff>
    </xdr:to>
    <xdr:sp macro="" textlink="" fLocksText="0">
      <xdr:nvSpPr>
        <xdr:cNvPr id="130" name="Rectangle 129">
          <a:extLst>
            <a:ext uri="{FF2B5EF4-FFF2-40B4-BE49-F238E27FC236}">
              <a16:creationId xmlns:a16="http://schemas.microsoft.com/office/drawing/2014/main" id="{00000000-0008-0000-0300-000082000000}"/>
            </a:ext>
          </a:extLst>
        </xdr:cNvPr>
        <xdr:cNvSpPr/>
      </xdr:nvSpPr>
      <xdr:spPr>
        <a:xfrm>
          <a:off x="4800600" y="7743825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44</a:t>
          </a:r>
        </a:p>
      </xdr:txBody>
    </xdr:sp>
    <xdr:clientData/>
  </xdr:twoCellAnchor>
  <xdr:twoCellAnchor>
    <xdr:from>
      <xdr:col>21</xdr:col>
      <xdr:colOff>152404</xdr:colOff>
      <xdr:row>38</xdr:row>
      <xdr:rowOff>141193</xdr:rowOff>
    </xdr:from>
    <xdr:to>
      <xdr:col>23</xdr:col>
      <xdr:colOff>59113</xdr:colOff>
      <xdr:row>40</xdr:row>
      <xdr:rowOff>93122</xdr:rowOff>
    </xdr:to>
    <xdr:sp macro="" textlink="" fLocksText="0">
      <xdr:nvSpPr>
        <xdr:cNvPr id="131" name="Rectangle 130">
          <a:extLst>
            <a:ext uri="{FF2B5EF4-FFF2-40B4-BE49-F238E27FC236}">
              <a16:creationId xmlns:a16="http://schemas.microsoft.com/office/drawing/2014/main" id="{00000000-0008-0000-0300-000083000000}"/>
            </a:ext>
          </a:extLst>
        </xdr:cNvPr>
        <xdr:cNvSpPr/>
      </xdr:nvSpPr>
      <xdr:spPr>
        <a:xfrm>
          <a:off x="5753100" y="7419975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42</a:t>
          </a:r>
        </a:p>
      </xdr:txBody>
    </xdr:sp>
    <xdr:clientData/>
  </xdr:twoCellAnchor>
  <xdr:twoCellAnchor>
    <xdr:from>
      <xdr:col>43</xdr:col>
      <xdr:colOff>134474</xdr:colOff>
      <xdr:row>40</xdr:row>
      <xdr:rowOff>1</xdr:rowOff>
    </xdr:from>
    <xdr:to>
      <xdr:col>45</xdr:col>
      <xdr:colOff>41183</xdr:colOff>
      <xdr:row>41</xdr:row>
      <xdr:rowOff>131224</xdr:rowOff>
    </xdr:to>
    <xdr:sp macro="" textlink="" fLocksText="0">
      <xdr:nvSpPr>
        <xdr:cNvPr id="132" name="Rectangle 131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SpPr/>
      </xdr:nvSpPr>
      <xdr:spPr>
        <a:xfrm>
          <a:off x="11601450" y="7658100"/>
          <a:ext cx="438150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74</a:t>
          </a:r>
        </a:p>
      </xdr:txBody>
    </xdr:sp>
    <xdr:clientData/>
  </xdr:twoCellAnchor>
  <xdr:twoCellAnchor>
    <xdr:from>
      <xdr:col>23</xdr:col>
      <xdr:colOff>40343</xdr:colOff>
      <xdr:row>8</xdr:row>
      <xdr:rowOff>186018</xdr:rowOff>
    </xdr:from>
    <xdr:to>
      <xdr:col>24</xdr:col>
      <xdr:colOff>163608</xdr:colOff>
      <xdr:row>10</xdr:row>
      <xdr:rowOff>161634</xdr:rowOff>
    </xdr:to>
    <xdr:sp macro="" textlink="" fLocksText="0">
      <xdr:nvSpPr>
        <xdr:cNvPr id="133" name="Callout: Line 132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SpPr/>
      </xdr:nvSpPr>
      <xdr:spPr>
        <a:xfrm>
          <a:off x="6172200" y="1828800"/>
          <a:ext cx="390525" cy="352425"/>
        </a:xfrm>
        <a:prstGeom prst="borderCallout1">
          <a:avLst>
            <a:gd name="adj1" fmla="val 81315"/>
            <a:gd name="adj2" fmla="val 80137"/>
            <a:gd name="adj3" fmla="val 129813"/>
            <a:gd name="adj4" fmla="val 20962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47</a:t>
          </a:r>
        </a:p>
      </xdr:txBody>
    </xdr:sp>
    <xdr:clientData/>
  </xdr:twoCellAnchor>
  <xdr:twoCellAnchor>
    <xdr:from>
      <xdr:col>23</xdr:col>
      <xdr:colOff>13448</xdr:colOff>
      <xdr:row>11</xdr:row>
      <xdr:rowOff>24654</xdr:rowOff>
    </xdr:from>
    <xdr:to>
      <xdr:col>24</xdr:col>
      <xdr:colOff>136713</xdr:colOff>
      <xdr:row>13</xdr:row>
      <xdr:rowOff>270</xdr:rowOff>
    </xdr:to>
    <xdr:sp macro="" textlink="" fLocksText="0">
      <xdr:nvSpPr>
        <xdr:cNvPr id="134" name="Callout: Line 133">
          <a:extLst>
            <a:ext uri="{FF2B5EF4-FFF2-40B4-BE49-F238E27FC236}">
              <a16:creationId xmlns:a16="http://schemas.microsoft.com/office/drawing/2014/main" id="{00000000-0008-0000-0300-000086000000}"/>
            </a:ext>
          </a:extLst>
        </xdr:cNvPr>
        <xdr:cNvSpPr/>
      </xdr:nvSpPr>
      <xdr:spPr>
        <a:xfrm>
          <a:off x="6143625" y="2238375"/>
          <a:ext cx="390525" cy="352425"/>
        </a:xfrm>
        <a:prstGeom prst="borderCallout1">
          <a:avLst>
            <a:gd name="adj1" fmla="val 81315"/>
            <a:gd name="adj2" fmla="val 80137"/>
            <a:gd name="adj3" fmla="val 129813"/>
            <a:gd name="adj4" fmla="val 20962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48</a:t>
          </a:r>
        </a:p>
      </xdr:txBody>
    </xdr:sp>
    <xdr:clientData/>
  </xdr:twoCellAnchor>
  <xdr:twoCellAnchor>
    <xdr:from>
      <xdr:col>22</xdr:col>
      <xdr:colOff>233082</xdr:colOff>
      <xdr:row>12</xdr:row>
      <xdr:rowOff>154642</xdr:rowOff>
    </xdr:from>
    <xdr:to>
      <xdr:col>24</xdr:col>
      <xdr:colOff>121024</xdr:colOff>
      <xdr:row>14</xdr:row>
      <xdr:rowOff>130258</xdr:rowOff>
    </xdr:to>
    <xdr:sp macro="" textlink="" fLocksText="0">
      <xdr:nvSpPr>
        <xdr:cNvPr id="135" name="Callout: Line 134">
          <a:extLst>
            <a:ext uri="{FF2B5EF4-FFF2-40B4-BE49-F238E27FC236}">
              <a16:creationId xmlns:a16="http://schemas.microsoft.com/office/drawing/2014/main" id="{00000000-0008-0000-0300-000087000000}"/>
            </a:ext>
          </a:extLst>
        </xdr:cNvPr>
        <xdr:cNvSpPr/>
      </xdr:nvSpPr>
      <xdr:spPr>
        <a:xfrm>
          <a:off x="6096000" y="2552700"/>
          <a:ext cx="428625" cy="361950"/>
        </a:xfrm>
        <a:prstGeom prst="borderCallout1">
          <a:avLst>
            <a:gd name="adj1" fmla="val 81315"/>
            <a:gd name="adj2" fmla="val 80137"/>
            <a:gd name="adj3" fmla="val 114102"/>
            <a:gd name="adj4" fmla="val 24087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49</a:t>
          </a:r>
        </a:p>
      </xdr:txBody>
    </xdr:sp>
    <xdr:clientData/>
  </xdr:twoCellAnchor>
  <xdr:twoCellAnchor>
    <xdr:from>
      <xdr:col>31</xdr:col>
      <xdr:colOff>94129</xdr:colOff>
      <xdr:row>9</xdr:row>
      <xdr:rowOff>38101</xdr:rowOff>
    </xdr:from>
    <xdr:to>
      <xdr:col>32</xdr:col>
      <xdr:colOff>217394</xdr:colOff>
      <xdr:row>11</xdr:row>
      <xdr:rowOff>13717</xdr:rowOff>
    </xdr:to>
    <xdr:sp macro="" textlink="" fLocksText="0">
      <xdr:nvSpPr>
        <xdr:cNvPr id="136" name="Callout: Line 135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SpPr/>
      </xdr:nvSpPr>
      <xdr:spPr>
        <a:xfrm>
          <a:off x="8362950" y="1866900"/>
          <a:ext cx="390525" cy="352425"/>
        </a:xfrm>
        <a:prstGeom prst="borderCallout1">
          <a:avLst>
            <a:gd name="adj1" fmla="val 81315"/>
            <a:gd name="adj2" fmla="val 80137"/>
            <a:gd name="adj3" fmla="val 183232"/>
            <a:gd name="adj4" fmla="val 10337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50</a:t>
          </a:r>
        </a:p>
      </xdr:txBody>
    </xdr:sp>
    <xdr:clientData/>
  </xdr:twoCellAnchor>
  <xdr:twoCellAnchor>
    <xdr:from>
      <xdr:col>34</xdr:col>
      <xdr:colOff>51552</xdr:colOff>
      <xdr:row>13</xdr:row>
      <xdr:rowOff>141194</xdr:rowOff>
    </xdr:from>
    <xdr:to>
      <xdr:col>35</xdr:col>
      <xdr:colOff>193584</xdr:colOff>
      <xdr:row>15</xdr:row>
      <xdr:rowOff>93123</xdr:rowOff>
    </xdr:to>
    <xdr:sp macro="" textlink="" fLocksText="0">
      <xdr:nvSpPr>
        <xdr:cNvPr id="137" name="Rectangle 136">
          <a:extLst>
            <a:ext uri="{FF2B5EF4-FFF2-40B4-BE49-F238E27FC236}">
              <a16:creationId xmlns:a16="http://schemas.microsoft.com/office/drawing/2014/main" id="{00000000-0008-0000-0300-000089000000}"/>
            </a:ext>
          </a:extLst>
        </xdr:cNvPr>
        <xdr:cNvSpPr/>
      </xdr:nvSpPr>
      <xdr:spPr>
        <a:xfrm>
          <a:off x="9115425" y="2733675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51</a:t>
          </a:r>
        </a:p>
      </xdr:txBody>
    </xdr:sp>
    <xdr:clientData/>
  </xdr:twoCellAnchor>
  <xdr:twoCellAnchor>
    <xdr:from>
      <xdr:col>34</xdr:col>
      <xdr:colOff>156883</xdr:colOff>
      <xdr:row>9</xdr:row>
      <xdr:rowOff>78441</xdr:rowOff>
    </xdr:from>
    <xdr:to>
      <xdr:col>36</xdr:col>
      <xdr:colOff>44825</xdr:colOff>
      <xdr:row>11</xdr:row>
      <xdr:rowOff>54057</xdr:rowOff>
    </xdr:to>
    <xdr:sp macro="" textlink="" fLocksText="0">
      <xdr:nvSpPr>
        <xdr:cNvPr id="138" name="Callout: Line 137"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SpPr/>
      </xdr:nvSpPr>
      <xdr:spPr>
        <a:xfrm>
          <a:off x="9220200" y="1905000"/>
          <a:ext cx="428625" cy="361950"/>
        </a:xfrm>
        <a:prstGeom prst="borderCallout1">
          <a:avLst>
            <a:gd name="adj1" fmla="val 81315"/>
            <a:gd name="adj2" fmla="val 80137"/>
            <a:gd name="adj3" fmla="val 183232"/>
            <a:gd name="adj4" fmla="val 10337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52</a:t>
          </a:r>
        </a:p>
      </xdr:txBody>
    </xdr:sp>
    <xdr:clientData/>
  </xdr:twoCellAnchor>
  <xdr:twoCellAnchor>
    <xdr:from>
      <xdr:col>34</xdr:col>
      <xdr:colOff>129989</xdr:colOff>
      <xdr:row>16</xdr:row>
      <xdr:rowOff>62753</xdr:rowOff>
    </xdr:from>
    <xdr:to>
      <xdr:col>36</xdr:col>
      <xdr:colOff>17931</xdr:colOff>
      <xdr:row>18</xdr:row>
      <xdr:rowOff>38369</xdr:rowOff>
    </xdr:to>
    <xdr:sp macro="" textlink="" fLocksText="0">
      <xdr:nvSpPr>
        <xdr:cNvPr id="139" name="Callout: Line 138"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SpPr/>
      </xdr:nvSpPr>
      <xdr:spPr>
        <a:xfrm>
          <a:off x="9201150" y="3228975"/>
          <a:ext cx="419100" cy="352425"/>
        </a:xfrm>
        <a:prstGeom prst="borderCallout1">
          <a:avLst>
            <a:gd name="adj1" fmla="val 81315"/>
            <a:gd name="adj2" fmla="val 80137"/>
            <a:gd name="adj3" fmla="val -83862"/>
            <a:gd name="adj4" fmla="val 17837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53</a:t>
          </a:r>
        </a:p>
      </xdr:txBody>
    </xdr:sp>
    <xdr:clientData/>
  </xdr:twoCellAnchor>
  <xdr:twoCellAnchor>
    <xdr:from>
      <xdr:col>26</xdr:col>
      <xdr:colOff>224119</xdr:colOff>
      <xdr:row>41</xdr:row>
      <xdr:rowOff>190500</xdr:rowOff>
    </xdr:from>
    <xdr:to>
      <xdr:col>28</xdr:col>
      <xdr:colOff>112061</xdr:colOff>
      <xdr:row>43</xdr:row>
      <xdr:rowOff>143705</xdr:rowOff>
    </xdr:to>
    <xdr:sp macro="" textlink="" fLocksText="0">
      <xdr:nvSpPr>
        <xdr:cNvPr id="140" name="Callout: Line 139">
          <a:extLst>
            <a:ext uri="{FF2B5EF4-FFF2-40B4-BE49-F238E27FC236}">
              <a16:creationId xmlns:a16="http://schemas.microsoft.com/office/drawing/2014/main" id="{00000000-0008-0000-0300-00008C000000}"/>
            </a:ext>
          </a:extLst>
        </xdr:cNvPr>
        <xdr:cNvSpPr/>
      </xdr:nvSpPr>
      <xdr:spPr>
        <a:xfrm>
          <a:off x="7162800" y="8048625"/>
          <a:ext cx="419100" cy="352425"/>
        </a:xfrm>
        <a:prstGeom prst="borderCallout1">
          <a:avLst>
            <a:gd name="adj1" fmla="val 81315"/>
            <a:gd name="adj2" fmla="val 80137"/>
            <a:gd name="adj3" fmla="val 29260"/>
            <a:gd name="adj4" fmla="val 25962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54</a:t>
          </a:r>
        </a:p>
      </xdr:txBody>
    </xdr:sp>
    <xdr:clientData/>
  </xdr:twoCellAnchor>
  <xdr:twoCellAnchor>
    <xdr:from>
      <xdr:col>38</xdr:col>
      <xdr:colOff>40343</xdr:colOff>
      <xdr:row>8</xdr:row>
      <xdr:rowOff>186018</xdr:rowOff>
    </xdr:from>
    <xdr:to>
      <xdr:col>39</xdr:col>
      <xdr:colOff>163608</xdr:colOff>
      <xdr:row>10</xdr:row>
      <xdr:rowOff>161634</xdr:rowOff>
    </xdr:to>
    <xdr:sp macro="" textlink="" fLocksText="0">
      <xdr:nvSpPr>
        <xdr:cNvPr id="141" name="Callout: Line 140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SpPr/>
      </xdr:nvSpPr>
      <xdr:spPr>
        <a:xfrm>
          <a:off x="10172700" y="1828800"/>
          <a:ext cx="390525" cy="352425"/>
        </a:xfrm>
        <a:prstGeom prst="borderCallout1">
          <a:avLst>
            <a:gd name="adj1" fmla="val 81315"/>
            <a:gd name="adj2" fmla="val 80137"/>
            <a:gd name="adj3" fmla="val 129813"/>
            <a:gd name="adj4" fmla="val 20962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55</a:t>
          </a:r>
        </a:p>
      </xdr:txBody>
    </xdr:sp>
    <xdr:clientData/>
  </xdr:twoCellAnchor>
  <xdr:twoCellAnchor>
    <xdr:from>
      <xdr:col>47</xdr:col>
      <xdr:colOff>29140</xdr:colOff>
      <xdr:row>40</xdr:row>
      <xdr:rowOff>17930</xdr:rowOff>
    </xdr:from>
    <xdr:to>
      <xdr:col>48</xdr:col>
      <xdr:colOff>171173</xdr:colOff>
      <xdr:row>41</xdr:row>
      <xdr:rowOff>149153</xdr:rowOff>
    </xdr:to>
    <xdr:sp macro="" textlink="" fLocksText="0">
      <xdr:nvSpPr>
        <xdr:cNvPr id="142" name="Rectangle 141">
          <a:extLst>
            <a:ext uri="{FF2B5EF4-FFF2-40B4-BE49-F238E27FC236}">
              <a16:creationId xmlns:a16="http://schemas.microsoft.com/office/drawing/2014/main" id="{00000000-0008-0000-0300-00008E000000}"/>
            </a:ext>
          </a:extLst>
        </xdr:cNvPr>
        <xdr:cNvSpPr/>
      </xdr:nvSpPr>
      <xdr:spPr>
        <a:xfrm>
          <a:off x="12563475" y="7677150"/>
          <a:ext cx="409575" cy="3333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75</a:t>
          </a:r>
        </a:p>
      </xdr:txBody>
    </xdr:sp>
    <xdr:clientData/>
  </xdr:twoCellAnchor>
  <xdr:twoCellAnchor>
    <xdr:from>
      <xdr:col>50</xdr:col>
      <xdr:colOff>147923</xdr:colOff>
      <xdr:row>40</xdr:row>
      <xdr:rowOff>24654</xdr:rowOff>
    </xdr:from>
    <xdr:to>
      <xdr:col>52</xdr:col>
      <xdr:colOff>54631</xdr:colOff>
      <xdr:row>41</xdr:row>
      <xdr:rowOff>155877</xdr:rowOff>
    </xdr:to>
    <xdr:sp macro="" textlink="" fLocksText="0">
      <xdr:nvSpPr>
        <xdr:cNvPr id="143" name="Rectangle 142"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SpPr/>
      </xdr:nvSpPr>
      <xdr:spPr>
        <a:xfrm>
          <a:off x="13487400" y="7686675"/>
          <a:ext cx="438150" cy="3238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76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235322</xdr:colOff>
      <xdr:row>8</xdr:row>
      <xdr:rowOff>0</xdr:rowOff>
    </xdr:from>
    <xdr:to>
      <xdr:col>50</xdr:col>
      <xdr:colOff>235323</xdr:colOff>
      <xdr:row>40</xdr:row>
      <xdr:rowOff>61132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" y="1647825"/>
          <a:ext cx="13068300" cy="645795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8</xdr:row>
      <xdr:rowOff>156882</xdr:rowOff>
    </xdr:from>
    <xdr:to>
      <xdr:col>15</xdr:col>
      <xdr:colOff>0</xdr:colOff>
      <xdr:row>10</xdr:row>
      <xdr:rowOff>0</xdr:rowOff>
    </xdr:to>
    <xdr:sp macro="" textlink="" fLocksText="0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3733800" y="1800225"/>
          <a:ext cx="266700" cy="2476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45</xdr:col>
      <xdr:colOff>179294</xdr:colOff>
      <xdr:row>8</xdr:row>
      <xdr:rowOff>156882</xdr:rowOff>
    </xdr:from>
    <xdr:to>
      <xdr:col>46</xdr:col>
      <xdr:colOff>179295</xdr:colOff>
      <xdr:row>10</xdr:row>
      <xdr:rowOff>0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12182475" y="1800225"/>
          <a:ext cx="266700" cy="2476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3</xdr:col>
      <xdr:colOff>0</xdr:colOff>
      <xdr:row>17</xdr:row>
      <xdr:rowOff>156882</xdr:rowOff>
    </xdr:from>
    <xdr:to>
      <xdr:col>4</xdr:col>
      <xdr:colOff>1</xdr:colOff>
      <xdr:row>19</xdr:row>
      <xdr:rowOff>0</xdr:rowOff>
    </xdr:to>
    <xdr:sp macro="" textlink="" fLocksText="0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00100" y="3600450"/>
          <a:ext cx="266700" cy="2476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14</xdr:col>
      <xdr:colOff>0</xdr:colOff>
      <xdr:row>17</xdr:row>
      <xdr:rowOff>156882</xdr:rowOff>
    </xdr:from>
    <xdr:to>
      <xdr:col>15</xdr:col>
      <xdr:colOff>0</xdr:colOff>
      <xdr:row>19</xdr:row>
      <xdr:rowOff>0</xdr:rowOff>
    </xdr:to>
    <xdr:sp macro="" textlink="" fLocksText="0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3733800" y="3600450"/>
          <a:ext cx="266700" cy="2476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2.1</a:t>
          </a:r>
        </a:p>
      </xdr:txBody>
    </xdr:sp>
    <xdr:clientData/>
  </xdr:twoCellAnchor>
  <xdr:twoCellAnchor>
    <xdr:from>
      <xdr:col>20</xdr:col>
      <xdr:colOff>78441</xdr:colOff>
      <xdr:row>17</xdr:row>
      <xdr:rowOff>156882</xdr:rowOff>
    </xdr:from>
    <xdr:to>
      <xdr:col>21</xdr:col>
      <xdr:colOff>78442</xdr:colOff>
      <xdr:row>19</xdr:row>
      <xdr:rowOff>0</xdr:rowOff>
    </xdr:to>
    <xdr:sp macro="" textlink="" fLocksText="0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5410200" y="3600450"/>
          <a:ext cx="266700" cy="2476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3</xdr:col>
      <xdr:colOff>78442</xdr:colOff>
      <xdr:row>20</xdr:row>
      <xdr:rowOff>44823</xdr:rowOff>
    </xdr:from>
    <xdr:to>
      <xdr:col>4</xdr:col>
      <xdr:colOff>78443</xdr:colOff>
      <xdr:row>21</xdr:row>
      <xdr:rowOff>89646</xdr:rowOff>
    </xdr:to>
    <xdr:sp macro="" textlink="" fLocksText="0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76300" y="4095750"/>
          <a:ext cx="26670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3</xdr:col>
      <xdr:colOff>78442</xdr:colOff>
      <xdr:row>22</xdr:row>
      <xdr:rowOff>44825</xdr:rowOff>
    </xdr:from>
    <xdr:to>
      <xdr:col>4</xdr:col>
      <xdr:colOff>78443</xdr:colOff>
      <xdr:row>23</xdr:row>
      <xdr:rowOff>89648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76300" y="4495800"/>
          <a:ext cx="26670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4.1</a:t>
          </a:r>
        </a:p>
      </xdr:txBody>
    </xdr:sp>
    <xdr:clientData/>
  </xdr:twoCellAnchor>
  <xdr:twoCellAnchor>
    <xdr:from>
      <xdr:col>10</xdr:col>
      <xdr:colOff>163607</xdr:colOff>
      <xdr:row>20</xdr:row>
      <xdr:rowOff>73958</xdr:rowOff>
    </xdr:from>
    <xdr:to>
      <xdr:col>11</xdr:col>
      <xdr:colOff>163607</xdr:colOff>
      <xdr:row>21</xdr:row>
      <xdr:rowOff>118781</xdr:rowOff>
    </xdr:to>
    <xdr:sp macro="" textlink="" fLocksText="0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2828925" y="4124325"/>
          <a:ext cx="26670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10</xdr:col>
      <xdr:colOff>163607</xdr:colOff>
      <xdr:row>22</xdr:row>
      <xdr:rowOff>73960</xdr:rowOff>
    </xdr:from>
    <xdr:to>
      <xdr:col>11</xdr:col>
      <xdr:colOff>163607</xdr:colOff>
      <xdr:row>23</xdr:row>
      <xdr:rowOff>118783</xdr:rowOff>
    </xdr:to>
    <xdr:sp macro="" textlink="" fLocksText="0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2828925" y="4524375"/>
          <a:ext cx="26670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5.1</a:t>
          </a:r>
        </a:p>
      </xdr:txBody>
    </xdr:sp>
    <xdr:clientData/>
  </xdr:twoCellAnchor>
  <xdr:twoCellAnchor>
    <xdr:from>
      <xdr:col>21</xdr:col>
      <xdr:colOff>100852</xdr:colOff>
      <xdr:row>20</xdr:row>
      <xdr:rowOff>78442</xdr:rowOff>
    </xdr:from>
    <xdr:to>
      <xdr:col>22</xdr:col>
      <xdr:colOff>100852</xdr:colOff>
      <xdr:row>21</xdr:row>
      <xdr:rowOff>123265</xdr:rowOff>
    </xdr:to>
    <xdr:sp macro="" textlink="" fLocksText="0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5705475" y="4124325"/>
          <a:ext cx="266700" cy="2476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21</xdr:col>
      <xdr:colOff>100852</xdr:colOff>
      <xdr:row>22</xdr:row>
      <xdr:rowOff>78444</xdr:rowOff>
    </xdr:from>
    <xdr:to>
      <xdr:col>22</xdr:col>
      <xdr:colOff>100852</xdr:colOff>
      <xdr:row>23</xdr:row>
      <xdr:rowOff>123267</xdr:rowOff>
    </xdr:to>
    <xdr:sp macro="" textlink="" fLocksText="0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5705475" y="4524375"/>
          <a:ext cx="266700" cy="2476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6.1</a:t>
          </a:r>
        </a:p>
      </xdr:txBody>
    </xdr:sp>
    <xdr:clientData/>
  </xdr:twoCellAnchor>
  <xdr:twoCellAnchor>
    <xdr:from>
      <xdr:col>34</xdr:col>
      <xdr:colOff>129987</xdr:colOff>
      <xdr:row>20</xdr:row>
      <xdr:rowOff>96374</xdr:rowOff>
    </xdr:from>
    <xdr:to>
      <xdr:col>35</xdr:col>
      <xdr:colOff>129987</xdr:colOff>
      <xdr:row>21</xdr:row>
      <xdr:rowOff>141197</xdr:rowOff>
    </xdr:to>
    <xdr:sp macro="" textlink="" fLocksText="0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9201150" y="4143375"/>
          <a:ext cx="266700" cy="2476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34</xdr:col>
      <xdr:colOff>145675</xdr:colOff>
      <xdr:row>22</xdr:row>
      <xdr:rowOff>33623</xdr:rowOff>
    </xdr:from>
    <xdr:to>
      <xdr:col>35</xdr:col>
      <xdr:colOff>145675</xdr:colOff>
      <xdr:row>23</xdr:row>
      <xdr:rowOff>78446</xdr:rowOff>
    </xdr:to>
    <xdr:sp macro="" textlink="" fLocksText="0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9210675" y="4486275"/>
          <a:ext cx="26670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7.1</a:t>
          </a:r>
        </a:p>
      </xdr:txBody>
    </xdr:sp>
    <xdr:clientData/>
  </xdr:twoCellAnchor>
  <xdr:twoCellAnchor>
    <xdr:from>
      <xdr:col>42</xdr:col>
      <xdr:colOff>230840</xdr:colOff>
      <xdr:row>20</xdr:row>
      <xdr:rowOff>51553</xdr:rowOff>
    </xdr:from>
    <xdr:to>
      <xdr:col>43</xdr:col>
      <xdr:colOff>230840</xdr:colOff>
      <xdr:row>21</xdr:row>
      <xdr:rowOff>96376</xdr:rowOff>
    </xdr:to>
    <xdr:sp macro="" textlink="" fLocksText="0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11430000" y="4095750"/>
          <a:ext cx="266700" cy="2476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42</xdr:col>
      <xdr:colOff>235322</xdr:colOff>
      <xdr:row>22</xdr:row>
      <xdr:rowOff>56037</xdr:rowOff>
    </xdr:from>
    <xdr:to>
      <xdr:col>43</xdr:col>
      <xdr:colOff>235322</xdr:colOff>
      <xdr:row>23</xdr:row>
      <xdr:rowOff>100860</xdr:rowOff>
    </xdr:to>
    <xdr:sp macro="" textlink="" fLocksText="0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11439525" y="4505325"/>
          <a:ext cx="266700" cy="2476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8.1</a:t>
          </a:r>
        </a:p>
      </xdr:txBody>
    </xdr:sp>
    <xdr:clientData/>
  </xdr:twoCellAnchor>
  <xdr:twoCellAnchor>
    <xdr:from>
      <xdr:col>4</xdr:col>
      <xdr:colOff>100852</xdr:colOff>
      <xdr:row>12</xdr:row>
      <xdr:rowOff>44824</xdr:rowOff>
    </xdr:from>
    <xdr:to>
      <xdr:col>5</xdr:col>
      <xdr:colOff>100852</xdr:colOff>
      <xdr:row>13</xdr:row>
      <xdr:rowOff>89647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1171575" y="2495550"/>
          <a:ext cx="26670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4</xdr:col>
      <xdr:colOff>100852</xdr:colOff>
      <xdr:row>14</xdr:row>
      <xdr:rowOff>44826</xdr:rowOff>
    </xdr:from>
    <xdr:to>
      <xdr:col>5</xdr:col>
      <xdr:colOff>100852</xdr:colOff>
      <xdr:row>15</xdr:row>
      <xdr:rowOff>89649</xdr:rowOff>
    </xdr:to>
    <xdr:sp macro="" textlink="" fLocksText="0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1171575" y="2895600"/>
          <a:ext cx="26670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9.1</a:t>
          </a:r>
        </a:p>
      </xdr:txBody>
    </xdr:sp>
    <xdr:clientData/>
  </xdr:twoCellAnchor>
  <xdr:twoCellAnchor>
    <xdr:from>
      <xdr:col>12</xdr:col>
      <xdr:colOff>145676</xdr:colOff>
      <xdr:row>12</xdr:row>
      <xdr:rowOff>78441</xdr:rowOff>
    </xdr:from>
    <xdr:to>
      <xdr:col>13</xdr:col>
      <xdr:colOff>145676</xdr:colOff>
      <xdr:row>13</xdr:row>
      <xdr:rowOff>123264</xdr:rowOff>
    </xdr:to>
    <xdr:sp macro="" textlink="" fLocksText="0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3343275" y="2524125"/>
          <a:ext cx="266700" cy="2476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12</xdr:col>
      <xdr:colOff>89646</xdr:colOff>
      <xdr:row>14</xdr:row>
      <xdr:rowOff>22414</xdr:rowOff>
    </xdr:from>
    <xdr:to>
      <xdr:col>13</xdr:col>
      <xdr:colOff>190499</xdr:colOff>
      <xdr:row>15</xdr:row>
      <xdr:rowOff>78441</xdr:rowOff>
    </xdr:to>
    <xdr:sp macro="" textlink="" fLocksText="0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3286125" y="2867025"/>
          <a:ext cx="371475" cy="2571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10.1</a:t>
          </a:r>
        </a:p>
      </xdr:txBody>
    </xdr:sp>
    <xdr:clientData/>
  </xdr:twoCellAnchor>
  <xdr:twoCellAnchor>
    <xdr:from>
      <xdr:col>32</xdr:col>
      <xdr:colOff>6722</xdr:colOff>
      <xdr:row>12</xdr:row>
      <xdr:rowOff>85165</xdr:rowOff>
    </xdr:from>
    <xdr:to>
      <xdr:col>33</xdr:col>
      <xdr:colOff>6723</xdr:colOff>
      <xdr:row>13</xdr:row>
      <xdr:rowOff>129988</xdr:rowOff>
    </xdr:to>
    <xdr:sp macro="" textlink="" fLocksText="0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43925" y="2533650"/>
          <a:ext cx="266700" cy="2476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31</xdr:col>
      <xdr:colOff>186016</xdr:colOff>
      <xdr:row>14</xdr:row>
      <xdr:rowOff>29138</xdr:rowOff>
    </xdr:from>
    <xdr:to>
      <xdr:col>33</xdr:col>
      <xdr:colOff>51546</xdr:colOff>
      <xdr:row>15</xdr:row>
      <xdr:rowOff>85165</xdr:rowOff>
    </xdr:to>
    <xdr:sp macro="" textlink="" fLocksText="0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458200" y="2876550"/>
          <a:ext cx="390525" cy="2571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11.1</a:t>
          </a:r>
        </a:p>
      </xdr:txBody>
    </xdr:sp>
    <xdr:clientData/>
  </xdr:twoCellAnchor>
  <xdr:twoCellAnchor>
    <xdr:from>
      <xdr:col>42</xdr:col>
      <xdr:colOff>96370</xdr:colOff>
      <xdr:row>12</xdr:row>
      <xdr:rowOff>62756</xdr:rowOff>
    </xdr:from>
    <xdr:to>
      <xdr:col>43</xdr:col>
      <xdr:colOff>96370</xdr:colOff>
      <xdr:row>13</xdr:row>
      <xdr:rowOff>107579</xdr:rowOff>
    </xdr:to>
    <xdr:sp macro="" textlink="" fLocksText="0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11296650" y="2514600"/>
          <a:ext cx="26670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42</xdr:col>
      <xdr:colOff>40340</xdr:colOff>
      <xdr:row>14</xdr:row>
      <xdr:rowOff>6729</xdr:rowOff>
    </xdr:from>
    <xdr:to>
      <xdr:col>43</xdr:col>
      <xdr:colOff>141193</xdr:colOff>
      <xdr:row>15</xdr:row>
      <xdr:rowOff>62756</xdr:rowOff>
    </xdr:to>
    <xdr:sp macro="" textlink="" fLocksText="0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11239500" y="2857500"/>
          <a:ext cx="371475" cy="25717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12.1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33131</xdr:colOff>
      <xdr:row>8</xdr:row>
      <xdr:rowOff>57978</xdr:rowOff>
    </xdr:from>
    <xdr:to>
      <xdr:col>36</xdr:col>
      <xdr:colOff>119271</xdr:colOff>
      <xdr:row>32</xdr:row>
      <xdr:rowOff>108961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704975"/>
          <a:ext cx="8620125" cy="4848225"/>
        </a:xfrm>
        <a:prstGeom prst="rect">
          <a:avLst/>
        </a:prstGeom>
      </xdr:spPr>
    </xdr:pic>
    <xdr:clientData/>
  </xdr:twoCellAnchor>
  <xdr:twoCellAnchor>
    <xdr:from>
      <xdr:col>8</xdr:col>
      <xdr:colOff>156883</xdr:colOff>
      <xdr:row>8</xdr:row>
      <xdr:rowOff>44823</xdr:rowOff>
    </xdr:from>
    <xdr:to>
      <xdr:col>9</xdr:col>
      <xdr:colOff>156883</xdr:colOff>
      <xdr:row>9</xdr:row>
      <xdr:rowOff>89646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2286000" y="1695450"/>
          <a:ext cx="26670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0</a:t>
          </a:r>
        </a:p>
      </xdr:txBody>
    </xdr:sp>
    <xdr:clientData/>
  </xdr:twoCellAnchor>
  <xdr:twoCellAnchor>
    <xdr:from>
      <xdr:col>8</xdr:col>
      <xdr:colOff>186018</xdr:colOff>
      <xdr:row>10</xdr:row>
      <xdr:rowOff>163606</xdr:rowOff>
    </xdr:from>
    <xdr:to>
      <xdr:col>9</xdr:col>
      <xdr:colOff>186018</xdr:colOff>
      <xdr:row>12</xdr:row>
      <xdr:rowOff>6723</xdr:rowOff>
    </xdr:to>
    <xdr:sp macro="" textlink="" fLocksText="0">
      <xdr:nvSpPr>
        <xdr:cNvPr id="22" name="Rectangle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/>
      </xdr:nvSpPr>
      <xdr:spPr>
        <a:xfrm>
          <a:off x="2324100" y="2209800"/>
          <a:ext cx="266700" cy="2476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</a:t>
          </a:r>
        </a:p>
      </xdr:txBody>
    </xdr:sp>
    <xdr:clientData/>
  </xdr:twoCellAnchor>
  <xdr:twoCellAnchor>
    <xdr:from>
      <xdr:col>14</xdr:col>
      <xdr:colOff>103095</xdr:colOff>
      <xdr:row>9</xdr:row>
      <xdr:rowOff>170329</xdr:rowOff>
    </xdr:from>
    <xdr:to>
      <xdr:col>15</xdr:col>
      <xdr:colOff>103095</xdr:colOff>
      <xdr:row>11</xdr:row>
      <xdr:rowOff>13447</xdr:rowOff>
    </xdr:to>
    <xdr:sp macro="" textlink="" fLocksText="0">
      <xdr:nvSpPr>
        <xdr:cNvPr id="23" name="Rectangle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/>
      </xdr:nvSpPr>
      <xdr:spPr>
        <a:xfrm>
          <a:off x="3838575" y="2019300"/>
          <a:ext cx="26670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2</a:t>
          </a:r>
        </a:p>
      </xdr:txBody>
    </xdr:sp>
    <xdr:clientData/>
  </xdr:twoCellAnchor>
  <xdr:twoCellAnchor>
    <xdr:from>
      <xdr:col>20</xdr:col>
      <xdr:colOff>31377</xdr:colOff>
      <xdr:row>10</xdr:row>
      <xdr:rowOff>132230</xdr:rowOff>
    </xdr:from>
    <xdr:to>
      <xdr:col>21</xdr:col>
      <xdr:colOff>31378</xdr:colOff>
      <xdr:row>11</xdr:row>
      <xdr:rowOff>177053</xdr:rowOff>
    </xdr:to>
    <xdr:sp macro="" textlink="" fLocksText="0">
      <xdr:nvSpPr>
        <xdr:cNvPr id="24" name="Rectangle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/>
      </xdr:nvSpPr>
      <xdr:spPr>
        <a:xfrm>
          <a:off x="5362575" y="2181225"/>
          <a:ext cx="266700" cy="2476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3</a:t>
          </a:r>
        </a:p>
      </xdr:txBody>
    </xdr:sp>
    <xdr:clientData/>
  </xdr:twoCellAnchor>
  <xdr:twoCellAnchor>
    <xdr:from>
      <xdr:col>27</xdr:col>
      <xdr:colOff>217395</xdr:colOff>
      <xdr:row>10</xdr:row>
      <xdr:rowOff>150160</xdr:rowOff>
    </xdr:from>
    <xdr:to>
      <xdr:col>28</xdr:col>
      <xdr:colOff>217395</xdr:colOff>
      <xdr:row>11</xdr:row>
      <xdr:rowOff>194983</xdr:rowOff>
    </xdr:to>
    <xdr:sp macro="" textlink="" fLocksText="0">
      <xdr:nvSpPr>
        <xdr:cNvPr id="25" name="Rectangle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7419975" y="2200275"/>
          <a:ext cx="26670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4</a:t>
          </a:r>
        </a:p>
      </xdr:txBody>
    </xdr:sp>
    <xdr:clientData/>
  </xdr:twoCellAnchor>
  <xdr:twoCellAnchor>
    <xdr:from>
      <xdr:col>8</xdr:col>
      <xdr:colOff>179295</xdr:colOff>
      <xdr:row>12</xdr:row>
      <xdr:rowOff>44824</xdr:rowOff>
    </xdr:from>
    <xdr:to>
      <xdr:col>9</xdr:col>
      <xdr:colOff>179295</xdr:colOff>
      <xdr:row>13</xdr:row>
      <xdr:rowOff>89647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2314575" y="2495550"/>
          <a:ext cx="26670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5</a:t>
          </a:r>
        </a:p>
      </xdr:txBody>
    </xdr:sp>
    <xdr:clientData/>
  </xdr:twoCellAnchor>
  <xdr:twoCellAnchor>
    <xdr:from>
      <xdr:col>19</xdr:col>
      <xdr:colOff>6725</xdr:colOff>
      <xdr:row>12</xdr:row>
      <xdr:rowOff>29136</xdr:rowOff>
    </xdr:from>
    <xdr:to>
      <xdr:col>20</xdr:col>
      <xdr:colOff>6725</xdr:colOff>
      <xdr:row>13</xdr:row>
      <xdr:rowOff>73959</xdr:rowOff>
    </xdr:to>
    <xdr:sp macro="" textlink="" fLocksText="0">
      <xdr:nvSpPr>
        <xdr:cNvPr id="27" name="Rectangle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5076825" y="2476500"/>
          <a:ext cx="266700" cy="2476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6</a:t>
          </a:r>
        </a:p>
      </xdr:txBody>
    </xdr:sp>
    <xdr:clientData/>
  </xdr:twoCellAnchor>
  <xdr:twoCellAnchor>
    <xdr:from>
      <xdr:col>7</xdr:col>
      <xdr:colOff>192742</xdr:colOff>
      <xdr:row>13</xdr:row>
      <xdr:rowOff>114301</xdr:rowOff>
    </xdr:from>
    <xdr:to>
      <xdr:col>8</xdr:col>
      <xdr:colOff>192743</xdr:colOff>
      <xdr:row>14</xdr:row>
      <xdr:rowOff>159124</xdr:rowOff>
    </xdr:to>
    <xdr:sp macro="" textlink="" fLocksText="0">
      <xdr:nvSpPr>
        <xdr:cNvPr id="28" name="Rectangle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>
          <a:off x="2057400" y="2762250"/>
          <a:ext cx="266700" cy="2476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7</a:t>
          </a:r>
        </a:p>
      </xdr:txBody>
    </xdr:sp>
    <xdr:clientData/>
  </xdr:twoCellAnchor>
  <xdr:twoCellAnchor>
    <xdr:from>
      <xdr:col>16</xdr:col>
      <xdr:colOff>109819</xdr:colOff>
      <xdr:row>13</xdr:row>
      <xdr:rowOff>109819</xdr:rowOff>
    </xdr:from>
    <xdr:to>
      <xdr:col>17</xdr:col>
      <xdr:colOff>109819</xdr:colOff>
      <xdr:row>14</xdr:row>
      <xdr:rowOff>154642</xdr:rowOff>
    </xdr:to>
    <xdr:sp macro="" textlink="" fLocksText="0">
      <xdr:nvSpPr>
        <xdr:cNvPr id="29" name="Rectangle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/>
      </xdr:nvSpPr>
      <xdr:spPr>
        <a:xfrm>
          <a:off x="4381500" y="2762250"/>
          <a:ext cx="26670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8</a:t>
          </a:r>
        </a:p>
      </xdr:txBody>
    </xdr:sp>
    <xdr:clientData/>
  </xdr:twoCellAnchor>
  <xdr:twoCellAnchor>
    <xdr:from>
      <xdr:col>8</xdr:col>
      <xdr:colOff>82924</xdr:colOff>
      <xdr:row>15</xdr:row>
      <xdr:rowOff>4483</xdr:rowOff>
    </xdr:from>
    <xdr:to>
      <xdr:col>9</xdr:col>
      <xdr:colOff>82924</xdr:colOff>
      <xdr:row>16</xdr:row>
      <xdr:rowOff>49306</xdr:rowOff>
    </xdr:to>
    <xdr:sp macro="" textlink="" fLocksText="0">
      <xdr:nvSpPr>
        <xdr:cNvPr id="30" name="Rectangle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>
          <a:off x="2219325" y="3048000"/>
          <a:ext cx="266700" cy="2476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9</a:t>
          </a:r>
        </a:p>
      </xdr:txBody>
    </xdr:sp>
    <xdr:clientData/>
  </xdr:twoCellAnchor>
  <xdr:twoCellAnchor>
    <xdr:from>
      <xdr:col>15</xdr:col>
      <xdr:colOff>123265</xdr:colOff>
      <xdr:row>15</xdr:row>
      <xdr:rowOff>11207</xdr:rowOff>
    </xdr:from>
    <xdr:to>
      <xdr:col>16</xdr:col>
      <xdr:colOff>123266</xdr:colOff>
      <xdr:row>16</xdr:row>
      <xdr:rowOff>56030</xdr:rowOff>
    </xdr:to>
    <xdr:sp macro="" textlink="" fLocksText="0">
      <xdr:nvSpPr>
        <xdr:cNvPr id="31" name="Rectangle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4124325" y="3057525"/>
          <a:ext cx="266700" cy="2476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10</a:t>
          </a:r>
        </a:p>
      </xdr:txBody>
    </xdr:sp>
    <xdr:clientData/>
  </xdr:twoCellAnchor>
  <xdr:twoCellAnchor>
    <xdr:from>
      <xdr:col>23</xdr:col>
      <xdr:colOff>219636</xdr:colOff>
      <xdr:row>15</xdr:row>
      <xdr:rowOff>17931</xdr:rowOff>
    </xdr:from>
    <xdr:to>
      <xdr:col>24</xdr:col>
      <xdr:colOff>219636</xdr:colOff>
      <xdr:row>16</xdr:row>
      <xdr:rowOff>62754</xdr:rowOff>
    </xdr:to>
    <xdr:sp macro="" textlink="" fLocksText="0">
      <xdr:nvSpPr>
        <xdr:cNvPr id="32" name="Rectangle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/>
      </xdr:nvSpPr>
      <xdr:spPr>
        <a:xfrm>
          <a:off x="6353175" y="3067050"/>
          <a:ext cx="266700" cy="2476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11</a:t>
          </a:r>
        </a:p>
      </xdr:txBody>
    </xdr:sp>
    <xdr:clientData/>
  </xdr:twoCellAnchor>
  <xdr:twoCellAnchor>
    <xdr:from>
      <xdr:col>34</xdr:col>
      <xdr:colOff>69477</xdr:colOff>
      <xdr:row>15</xdr:row>
      <xdr:rowOff>13448</xdr:rowOff>
    </xdr:from>
    <xdr:to>
      <xdr:col>35</xdr:col>
      <xdr:colOff>69477</xdr:colOff>
      <xdr:row>16</xdr:row>
      <xdr:rowOff>58271</xdr:rowOff>
    </xdr:to>
    <xdr:sp macro="" textlink="" fLocksText="0">
      <xdr:nvSpPr>
        <xdr:cNvPr id="33" name="Rectangle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/>
      </xdr:nvSpPr>
      <xdr:spPr>
        <a:xfrm>
          <a:off x="9134475" y="3057525"/>
          <a:ext cx="266700" cy="2476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12</a:t>
          </a:r>
        </a:p>
      </xdr:txBody>
    </xdr:sp>
    <xdr:clientData/>
  </xdr:twoCellAnchor>
  <xdr:twoCellAnchor>
    <xdr:from>
      <xdr:col>28</xdr:col>
      <xdr:colOff>184654</xdr:colOff>
      <xdr:row>29</xdr:row>
      <xdr:rowOff>34592</xdr:rowOff>
    </xdr:from>
    <xdr:to>
      <xdr:col>29</xdr:col>
      <xdr:colOff>184653</xdr:colOff>
      <xdr:row>30</xdr:row>
      <xdr:rowOff>79415</xdr:rowOff>
    </xdr:to>
    <xdr:sp macro="" textlink="" fLocksText="0">
      <xdr:nvSpPr>
        <xdr:cNvPr id="34" name="Rectangle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/>
      </xdr:nvSpPr>
      <xdr:spPr>
        <a:xfrm>
          <a:off x="7648575" y="5886450"/>
          <a:ext cx="26670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13</a:t>
          </a:r>
        </a:p>
      </xdr:txBody>
    </xdr:sp>
    <xdr:clientData/>
  </xdr:twoCellAnchor>
  <xdr:twoCellAnchor>
    <xdr:from>
      <xdr:col>31</xdr:col>
      <xdr:colOff>57880</xdr:colOff>
      <xdr:row>29</xdr:row>
      <xdr:rowOff>59829</xdr:rowOff>
    </xdr:from>
    <xdr:to>
      <xdr:col>32</xdr:col>
      <xdr:colOff>57880</xdr:colOff>
      <xdr:row>30</xdr:row>
      <xdr:rowOff>104651</xdr:rowOff>
    </xdr:to>
    <xdr:sp macro="" textlink="" fLocksText="0">
      <xdr:nvSpPr>
        <xdr:cNvPr id="35" name="Rectangle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/>
      </xdr:nvSpPr>
      <xdr:spPr>
        <a:xfrm>
          <a:off x="8324850" y="5905500"/>
          <a:ext cx="266700" cy="2476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14</a:t>
          </a:r>
        </a:p>
      </xdr:txBody>
    </xdr:sp>
    <xdr:clientData/>
  </xdr:twoCellAnchor>
  <xdr:twoCellAnchor>
    <xdr:from>
      <xdr:col>33</xdr:col>
      <xdr:colOff>213203</xdr:colOff>
      <xdr:row>29</xdr:row>
      <xdr:rowOff>36832</xdr:rowOff>
    </xdr:from>
    <xdr:to>
      <xdr:col>34</xdr:col>
      <xdr:colOff>213203</xdr:colOff>
      <xdr:row>30</xdr:row>
      <xdr:rowOff>81655</xdr:rowOff>
    </xdr:to>
    <xdr:sp macro="" textlink="" fLocksText="0">
      <xdr:nvSpPr>
        <xdr:cNvPr id="36" name="Rectangle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/>
      </xdr:nvSpPr>
      <xdr:spPr>
        <a:xfrm>
          <a:off x="9010650" y="5886450"/>
          <a:ext cx="266700" cy="247650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15</a:t>
          </a:r>
        </a:p>
      </xdr:txBody>
    </xdr:sp>
    <xdr:clientData/>
  </xdr:twoCellAnchor>
  <xdr:twoCellAnchor>
    <xdr:from>
      <xdr:col>28</xdr:col>
      <xdr:colOff>8964</xdr:colOff>
      <xdr:row>8</xdr:row>
      <xdr:rowOff>53787</xdr:rowOff>
    </xdr:from>
    <xdr:to>
      <xdr:col>29</xdr:col>
      <xdr:colOff>8965</xdr:colOff>
      <xdr:row>9</xdr:row>
      <xdr:rowOff>98610</xdr:rowOff>
    </xdr:to>
    <xdr:sp macro="" textlink="" fLocksText="0">
      <xdr:nvSpPr>
        <xdr:cNvPr id="37" name="Rectangle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>
          <a:off x="7477125" y="1704975"/>
          <a:ext cx="266700" cy="238125"/>
        </a:xfrm>
        <a:prstGeom prst="rect">
          <a:avLst/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16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66" t="s">
        <v>0</v>
      </c>
      <c r="B1" s="67"/>
      <c r="C1" s="67"/>
      <c r="D1" s="67"/>
      <c r="E1" s="67"/>
      <c r="F1" s="67"/>
      <c r="G1" s="67"/>
      <c r="H1" s="67"/>
      <c r="I1" s="67"/>
      <c r="J1" s="68"/>
      <c r="K1" s="66" t="s">
        <v>2</v>
      </c>
      <c r="L1" s="67"/>
      <c r="M1" s="67"/>
      <c r="N1" s="67"/>
      <c r="O1" s="67"/>
      <c r="P1" s="67"/>
      <c r="Q1" s="67"/>
      <c r="R1" s="67"/>
      <c r="S1" s="67"/>
      <c r="T1" s="67"/>
      <c r="U1" s="67"/>
      <c r="V1" s="68"/>
      <c r="W1" s="88" t="s">
        <v>42</v>
      </c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90"/>
      <c r="AP1" s="66" t="s">
        <v>3</v>
      </c>
      <c r="AQ1" s="67"/>
      <c r="AR1" s="67"/>
      <c r="AS1" s="68"/>
      <c r="AT1" s="66" t="s">
        <v>4</v>
      </c>
      <c r="AU1" s="67"/>
      <c r="AV1" s="67"/>
      <c r="AW1" s="67"/>
      <c r="AX1" s="68"/>
      <c r="AY1" s="66" t="s">
        <v>5</v>
      </c>
      <c r="AZ1" s="67"/>
      <c r="BA1" s="67"/>
      <c r="BB1" s="68"/>
      <c r="BC1" s="66" t="s">
        <v>6</v>
      </c>
      <c r="BD1" s="67"/>
      <c r="BE1" s="67"/>
      <c r="BF1" s="67"/>
      <c r="BG1" s="68"/>
      <c r="BH1" s="66" t="s">
        <v>7</v>
      </c>
      <c r="BI1" s="67"/>
      <c r="BJ1" s="67"/>
      <c r="BK1" s="68"/>
    </row>
    <row r="2" spans="1:63" ht="15" customHeight="1" x14ac:dyDescent="0.25">
      <c r="A2" s="87" t="s">
        <v>36</v>
      </c>
      <c r="B2" s="13"/>
      <c r="C2" s="13"/>
      <c r="D2" s="13"/>
      <c r="E2" s="13"/>
      <c r="F2" s="13"/>
      <c r="G2" s="13"/>
      <c r="H2" s="13"/>
      <c r="I2" s="13"/>
      <c r="J2" s="12"/>
      <c r="K2" s="14" t="s">
        <v>12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2"/>
      <c r="W2" s="91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3"/>
      <c r="AP2" s="14" t="str">
        <f>改訂履歴!$H$11</f>
        <v>TinNH</v>
      </c>
      <c r="AQ2" s="13"/>
      <c r="AR2" s="13"/>
      <c r="AS2" s="12"/>
      <c r="AT2" s="81">
        <f>改訂履歴!$B$11</f>
        <v>45478</v>
      </c>
      <c r="AU2" s="82"/>
      <c r="AV2" s="82"/>
      <c r="AW2" s="82"/>
      <c r="AX2" s="83"/>
      <c r="AY2" s="14" t="str">
        <f>LOOKUP(2,1/(改訂履歴!H11:H30000&lt;&gt;""),改訂履歴!H11:H30000)</f>
        <v>DuNT</v>
      </c>
      <c r="AZ2" s="13"/>
      <c r="BA2" s="13"/>
      <c r="BB2" s="12"/>
      <c r="BC2" s="81">
        <f>LOOKUP(2,1/(改訂履歴!B11:B30000&lt;&gt;""),改訂履歴!B11:B30000)</f>
        <v>45644</v>
      </c>
      <c r="BD2" s="82"/>
      <c r="BE2" s="82"/>
      <c r="BF2" s="82"/>
      <c r="BG2" s="83"/>
      <c r="BH2" s="75">
        <f>LOOKUP(2,1/(改訂履歴!O11:O30000&lt;&gt;""),改訂履歴!O11:O30000)</f>
        <v>0.13</v>
      </c>
      <c r="BI2" s="76"/>
      <c r="BJ2" s="76"/>
      <c r="BK2" s="77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94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6"/>
      <c r="AP3" s="8"/>
      <c r="AQ3" s="7"/>
      <c r="AR3" s="7"/>
      <c r="AS3" s="6"/>
      <c r="AT3" s="84"/>
      <c r="AU3" s="85"/>
      <c r="AV3" s="85"/>
      <c r="AW3" s="85"/>
      <c r="AX3" s="86"/>
      <c r="AY3" s="8"/>
      <c r="AZ3" s="7"/>
      <c r="BA3" s="7"/>
      <c r="BB3" s="6"/>
      <c r="BC3" s="84"/>
      <c r="BD3" s="85"/>
      <c r="BE3" s="85"/>
      <c r="BF3" s="85"/>
      <c r="BG3" s="86"/>
      <c r="BH3" s="78"/>
      <c r="BI3" s="79"/>
      <c r="BJ3" s="79"/>
      <c r="BK3" s="80"/>
    </row>
    <row r="4" spans="1:63" ht="24.95" customHeight="1" x14ac:dyDescent="0.25">
      <c r="A4" s="66" t="s">
        <v>1</v>
      </c>
      <c r="B4" s="67"/>
      <c r="C4" s="67"/>
      <c r="D4" s="67"/>
      <c r="E4" s="67"/>
      <c r="F4" s="67"/>
      <c r="G4" s="68"/>
      <c r="H4" s="71" t="s">
        <v>43</v>
      </c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3"/>
      <c r="U4" s="66" t="s">
        <v>8</v>
      </c>
      <c r="V4" s="67"/>
      <c r="W4" s="67"/>
      <c r="X4" s="67"/>
      <c r="Y4" s="68"/>
      <c r="Z4" s="74" t="s">
        <v>38</v>
      </c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3"/>
      <c r="AP4" s="71" t="str">
        <f t="array" aca="1" ref="AP4" ca="1">RIGHT(CELL("filename",$A$1),LEN(CELL("filename",$A$1))-FIND("]",CELL("filename",$A$1)))</f>
        <v>表紙</v>
      </c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3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69" t="s">
        <v>37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26"/>
      <c r="BK16" s="18"/>
    </row>
    <row r="17" spans="1:63" ht="15" customHeight="1" x14ac:dyDescent="0.25">
      <c r="A17" s="15"/>
      <c r="K17" s="2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26"/>
      <c r="BK17" s="18"/>
    </row>
    <row r="18" spans="1:63" ht="15" customHeight="1" x14ac:dyDescent="0.25">
      <c r="A18" s="15"/>
      <c r="K18" s="2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26"/>
      <c r="BK18" s="18"/>
    </row>
    <row r="19" spans="1:63" ht="15" customHeight="1" x14ac:dyDescent="0.25">
      <c r="A19" s="15"/>
      <c r="K19" s="2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26"/>
      <c r="BK19" s="18"/>
    </row>
    <row r="20" spans="1:63" ht="15" customHeight="1" x14ac:dyDescent="0.25">
      <c r="A20" s="15"/>
      <c r="K20" s="2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26"/>
      <c r="BK20" s="18"/>
    </row>
    <row r="21" spans="1:63" ht="15" customHeight="1" x14ac:dyDescent="0.25">
      <c r="A21" s="15"/>
      <c r="K21" s="2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70" t="str">
        <f>K2&amp;"/"&amp;H4&amp;"/"&amp;Z4</f>
        <v>POSサーバ/01_商品管理/画面設計書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26"/>
      <c r="BK24" s="18"/>
    </row>
    <row r="25" spans="1:63" ht="15" customHeight="1" x14ac:dyDescent="0.25">
      <c r="A25" s="15"/>
      <c r="K25" s="2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26"/>
      <c r="BK25" s="18"/>
    </row>
    <row r="26" spans="1:63" ht="15" customHeight="1" x14ac:dyDescent="0.25">
      <c r="A26" s="15"/>
      <c r="K26" s="2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26"/>
      <c r="BK26" s="18"/>
    </row>
    <row r="27" spans="1:63" ht="15" customHeight="1" x14ac:dyDescent="0.25">
      <c r="A27" s="15"/>
      <c r="K27" s="2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26"/>
      <c r="BK27" s="18"/>
    </row>
    <row r="28" spans="1:63" ht="15" customHeight="1" x14ac:dyDescent="0.25">
      <c r="A28" s="15"/>
      <c r="K28" s="2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26"/>
      <c r="BK28" s="18"/>
    </row>
    <row r="29" spans="1:63" ht="15" customHeight="1" x14ac:dyDescent="0.25">
      <c r="A29" s="15"/>
      <c r="K29" s="2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26"/>
      <c r="BK29" s="18"/>
    </row>
    <row r="30" spans="1:63" ht="15" customHeight="1" x14ac:dyDescent="0.25">
      <c r="A30" s="15"/>
      <c r="K30" s="2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26"/>
      <c r="BK30" s="18"/>
    </row>
    <row r="31" spans="1:63" ht="15" customHeight="1" x14ac:dyDescent="0.25">
      <c r="A31" s="15"/>
      <c r="K31" s="2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26"/>
      <c r="BK31" s="18"/>
    </row>
    <row r="32" spans="1:63" ht="15" customHeight="1" x14ac:dyDescent="0.25">
      <c r="A32" s="15"/>
      <c r="K32" s="2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26"/>
      <c r="BK32" s="18"/>
    </row>
    <row r="33" spans="1:63" ht="15" customHeight="1" x14ac:dyDescent="0.25">
      <c r="A33" s="15"/>
      <c r="K33" s="2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26"/>
      <c r="BK33" s="18"/>
    </row>
    <row r="34" spans="1:63" ht="15" customHeight="1" x14ac:dyDescent="0.25">
      <c r="A34" s="15"/>
      <c r="K34" s="2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26"/>
      <c r="BK34" s="18"/>
    </row>
    <row r="35" spans="1:63" ht="15" customHeight="1" x14ac:dyDescent="0.25">
      <c r="A35" s="15"/>
      <c r="K35" s="2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26"/>
      <c r="BK35" s="18"/>
    </row>
    <row r="36" spans="1:63" ht="15" customHeight="1" x14ac:dyDescent="0.25">
      <c r="A36" s="15"/>
      <c r="K36" s="2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5" t="s">
        <v>10</v>
      </c>
      <c r="R44" s="4"/>
      <c r="S44" s="4"/>
      <c r="T44" s="4"/>
      <c r="U44" s="4"/>
      <c r="V44" s="4"/>
      <c r="W44" s="4"/>
      <c r="X44" s="4"/>
      <c r="Y44" s="4"/>
      <c r="Z44" s="3"/>
      <c r="AA44" s="5" t="s">
        <v>11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3"/>
      <c r="AQ44" s="5" t="s">
        <v>7</v>
      </c>
      <c r="AR44" s="4"/>
      <c r="AS44" s="4"/>
      <c r="AT44" s="4"/>
      <c r="AU44" s="3"/>
      <c r="BK44" s="18"/>
    </row>
    <row r="45" spans="1:63" ht="15" customHeight="1" x14ac:dyDescent="0.25">
      <c r="A45" s="15"/>
      <c r="Q45" s="2"/>
      <c r="R45" s="1"/>
      <c r="S45" s="1"/>
      <c r="T45" s="1"/>
      <c r="U45" s="1"/>
      <c r="V45" s="1"/>
      <c r="W45" s="1"/>
      <c r="X45" s="1"/>
      <c r="Y45" s="1"/>
      <c r="Z45" s="65"/>
      <c r="AA45" s="2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65"/>
      <c r="AQ45" s="2"/>
      <c r="AR45" s="1"/>
      <c r="AS45" s="1"/>
      <c r="AT45" s="1"/>
      <c r="AU45" s="65"/>
      <c r="BK45" s="18"/>
    </row>
    <row r="46" spans="1:63" ht="15" customHeight="1" x14ac:dyDescent="0.25">
      <c r="A46" s="15"/>
      <c r="Q46" s="14"/>
      <c r="R46" s="13"/>
      <c r="S46" s="13"/>
      <c r="T46" s="13"/>
      <c r="U46" s="13"/>
      <c r="V46" s="13"/>
      <c r="W46" s="13"/>
      <c r="X46" s="13"/>
      <c r="Y46" s="13"/>
      <c r="Z46" s="12"/>
      <c r="AA46" s="14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2"/>
      <c r="AQ46" s="14"/>
      <c r="AR46" s="13"/>
      <c r="AS46" s="13"/>
      <c r="AT46" s="13"/>
      <c r="AU46" s="12"/>
      <c r="BK46" s="18"/>
    </row>
    <row r="47" spans="1:63" ht="15" customHeight="1" x14ac:dyDescent="0.25">
      <c r="A47" s="15"/>
      <c r="Q47" s="11"/>
      <c r="R47" s="10"/>
      <c r="S47" s="10"/>
      <c r="T47" s="10"/>
      <c r="U47" s="10"/>
      <c r="V47" s="10"/>
      <c r="W47" s="10"/>
      <c r="X47" s="10"/>
      <c r="Y47" s="10"/>
      <c r="Z47" s="9"/>
      <c r="AA47" s="11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9"/>
      <c r="AQ47" s="11"/>
      <c r="AR47" s="10"/>
      <c r="AS47" s="10"/>
      <c r="AT47" s="10"/>
      <c r="AU47" s="9"/>
      <c r="BK47" s="18"/>
    </row>
    <row r="48" spans="1:63" ht="15" customHeight="1" x14ac:dyDescent="0.25">
      <c r="A48" s="15"/>
      <c r="Q48" s="11"/>
      <c r="R48" s="10"/>
      <c r="S48" s="10"/>
      <c r="T48" s="10"/>
      <c r="U48" s="10"/>
      <c r="V48" s="10"/>
      <c r="W48" s="10"/>
      <c r="X48" s="10"/>
      <c r="Y48" s="10"/>
      <c r="Z48" s="9"/>
      <c r="AA48" s="11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9"/>
      <c r="AQ48" s="11"/>
      <c r="AR48" s="10"/>
      <c r="AS48" s="10"/>
      <c r="AT48" s="10"/>
      <c r="AU48" s="9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404" customWidth="1"/>
    <col min="61" max="16384" width="2.77734375" style="404"/>
  </cols>
  <sheetData>
    <row r="1" spans="1:63" ht="24.95" customHeight="1" x14ac:dyDescent="0.25">
      <c r="A1" s="398" t="s">
        <v>333</v>
      </c>
      <c r="B1" s="399"/>
      <c r="C1" s="399"/>
      <c r="D1" s="399"/>
      <c r="E1" s="399"/>
      <c r="F1" s="399"/>
      <c r="G1" s="399"/>
      <c r="H1" s="399"/>
      <c r="I1" s="399"/>
      <c r="J1" s="400"/>
      <c r="K1" s="398" t="s">
        <v>334</v>
      </c>
      <c r="L1" s="399"/>
      <c r="M1" s="399"/>
      <c r="N1" s="399"/>
      <c r="O1" s="399"/>
      <c r="P1" s="399"/>
      <c r="Q1" s="399"/>
      <c r="R1" s="399"/>
      <c r="S1" s="399"/>
      <c r="T1" s="399"/>
      <c r="U1" s="399"/>
      <c r="V1" s="400"/>
      <c r="W1" s="401" t="str">
        <f>IF(表紙!W1="","",表紙!W1)</f>
        <v>詳細設計書</v>
      </c>
      <c r="X1" s="402"/>
      <c r="Y1" s="402"/>
      <c r="Z1" s="402"/>
      <c r="AA1" s="402"/>
      <c r="AB1" s="402"/>
      <c r="AC1" s="402"/>
      <c r="AD1" s="402"/>
      <c r="AE1" s="402"/>
      <c r="AF1" s="402"/>
      <c r="AG1" s="402"/>
      <c r="AH1" s="402"/>
      <c r="AI1" s="402"/>
      <c r="AJ1" s="402"/>
      <c r="AK1" s="402"/>
      <c r="AL1" s="402"/>
      <c r="AM1" s="402"/>
      <c r="AN1" s="402"/>
      <c r="AO1" s="403"/>
      <c r="AP1" s="398" t="s">
        <v>335</v>
      </c>
      <c r="AQ1" s="399"/>
      <c r="AR1" s="399"/>
      <c r="AS1" s="400"/>
      <c r="AT1" s="398" t="s">
        <v>336</v>
      </c>
      <c r="AU1" s="399"/>
      <c r="AV1" s="399"/>
      <c r="AW1" s="399"/>
      <c r="AX1" s="400"/>
      <c r="AY1" s="398" t="s">
        <v>337</v>
      </c>
      <c r="AZ1" s="399"/>
      <c r="BA1" s="399"/>
      <c r="BB1" s="400"/>
      <c r="BC1" s="398" t="s">
        <v>338</v>
      </c>
      <c r="BD1" s="399"/>
      <c r="BE1" s="399"/>
      <c r="BF1" s="399"/>
      <c r="BG1" s="400"/>
      <c r="BH1" s="398" t="s">
        <v>339</v>
      </c>
      <c r="BI1" s="399"/>
      <c r="BJ1" s="399"/>
      <c r="BK1" s="400"/>
    </row>
    <row r="2" spans="1:63" ht="15" customHeight="1" x14ac:dyDescent="0.25">
      <c r="A2" s="405" t="str">
        <f>IF(表紙!A2="","",表紙!A2)</f>
        <v>POSサーバー</v>
      </c>
      <c r="B2" s="406"/>
      <c r="C2" s="406"/>
      <c r="D2" s="406"/>
      <c r="E2" s="406"/>
      <c r="F2" s="406"/>
      <c r="G2" s="406"/>
      <c r="H2" s="406"/>
      <c r="I2" s="406"/>
      <c r="J2" s="407"/>
      <c r="K2" s="405" t="str">
        <f>IF(表紙!K2="","",表紙!K2)</f>
        <v>POSサーバ</v>
      </c>
      <c r="L2" s="406"/>
      <c r="M2" s="406"/>
      <c r="N2" s="406"/>
      <c r="O2" s="406"/>
      <c r="P2" s="406"/>
      <c r="Q2" s="406"/>
      <c r="R2" s="406"/>
      <c r="S2" s="406"/>
      <c r="T2" s="406"/>
      <c r="U2" s="406"/>
      <c r="V2" s="407"/>
      <c r="W2" s="408"/>
      <c r="X2" s="409"/>
      <c r="Y2" s="409"/>
      <c r="Z2" s="409"/>
      <c r="AA2" s="409"/>
      <c r="AB2" s="409"/>
      <c r="AC2" s="409"/>
      <c r="AD2" s="409"/>
      <c r="AE2" s="409"/>
      <c r="AF2" s="409"/>
      <c r="AG2" s="409"/>
      <c r="AH2" s="409"/>
      <c r="AI2" s="409"/>
      <c r="AJ2" s="409"/>
      <c r="AK2" s="409"/>
      <c r="AL2" s="409"/>
      <c r="AM2" s="409"/>
      <c r="AN2" s="409"/>
      <c r="AO2" s="410"/>
      <c r="AP2" s="405" t="str">
        <f>IF(表紙!AP2="","",表紙!AP2)</f>
        <v>TinNH</v>
      </c>
      <c r="AQ2" s="406"/>
      <c r="AR2" s="406"/>
      <c r="AS2" s="407"/>
      <c r="AT2" s="411">
        <f>IF(表紙!AT2="","",表紙!AT2)</f>
        <v>45478</v>
      </c>
      <c r="AU2" s="412"/>
      <c r="AV2" s="412"/>
      <c r="AW2" s="412"/>
      <c r="AX2" s="413"/>
      <c r="AY2" s="405" t="str">
        <f>IF(表紙!AY2="","",表紙!AY2)</f>
        <v>DuNT</v>
      </c>
      <c r="AZ2" s="406"/>
      <c r="BA2" s="406"/>
      <c r="BB2" s="407"/>
      <c r="BC2" s="411">
        <f>IF(表紙!BC2="","",表紙!BC2)</f>
        <v>45644</v>
      </c>
      <c r="BD2" s="412"/>
      <c r="BE2" s="412"/>
      <c r="BF2" s="412"/>
      <c r="BG2" s="413"/>
      <c r="BH2" s="405">
        <f>IF(表紙!BH2="","",表紙!BH2)</f>
        <v>0.13</v>
      </c>
      <c r="BI2" s="406"/>
      <c r="BJ2" s="406"/>
      <c r="BK2" s="407"/>
    </row>
    <row r="3" spans="1:63" ht="15" customHeight="1" x14ac:dyDescent="0.25">
      <c r="A3" s="414"/>
      <c r="B3" s="415"/>
      <c r="C3" s="415"/>
      <c r="D3" s="415"/>
      <c r="E3" s="415"/>
      <c r="F3" s="415"/>
      <c r="G3" s="415"/>
      <c r="H3" s="415"/>
      <c r="I3" s="415"/>
      <c r="J3" s="416"/>
      <c r="K3" s="414"/>
      <c r="L3" s="415"/>
      <c r="M3" s="415"/>
      <c r="N3" s="415"/>
      <c r="O3" s="415"/>
      <c r="P3" s="415"/>
      <c r="Q3" s="415"/>
      <c r="R3" s="415"/>
      <c r="S3" s="415"/>
      <c r="T3" s="415"/>
      <c r="U3" s="415"/>
      <c r="V3" s="416"/>
      <c r="W3" s="417"/>
      <c r="X3" s="418"/>
      <c r="Y3" s="418"/>
      <c r="Z3" s="418"/>
      <c r="AA3" s="418"/>
      <c r="AB3" s="418"/>
      <c r="AC3" s="418"/>
      <c r="AD3" s="418"/>
      <c r="AE3" s="418"/>
      <c r="AF3" s="418"/>
      <c r="AG3" s="418"/>
      <c r="AH3" s="418"/>
      <c r="AI3" s="418"/>
      <c r="AJ3" s="418"/>
      <c r="AK3" s="418"/>
      <c r="AL3" s="418"/>
      <c r="AM3" s="418"/>
      <c r="AN3" s="418"/>
      <c r="AO3" s="419"/>
      <c r="AP3" s="414"/>
      <c r="AQ3" s="415"/>
      <c r="AR3" s="415"/>
      <c r="AS3" s="416"/>
      <c r="AT3" s="420"/>
      <c r="AU3" s="421"/>
      <c r="AV3" s="421"/>
      <c r="AW3" s="421"/>
      <c r="AX3" s="422"/>
      <c r="AY3" s="414"/>
      <c r="AZ3" s="415"/>
      <c r="BA3" s="415"/>
      <c r="BB3" s="416"/>
      <c r="BC3" s="420"/>
      <c r="BD3" s="421"/>
      <c r="BE3" s="421"/>
      <c r="BF3" s="421"/>
      <c r="BG3" s="422"/>
      <c r="BH3" s="414"/>
      <c r="BI3" s="415"/>
      <c r="BJ3" s="415"/>
      <c r="BK3" s="416"/>
    </row>
    <row r="4" spans="1:63" ht="24.95" customHeight="1" x14ac:dyDescent="0.25">
      <c r="A4" s="398" t="s">
        <v>340</v>
      </c>
      <c r="B4" s="399"/>
      <c r="C4" s="399"/>
      <c r="D4" s="399"/>
      <c r="E4" s="399"/>
      <c r="F4" s="399"/>
      <c r="G4" s="400"/>
      <c r="H4" s="423" t="str">
        <f>IF(表紙!H4="","",表紙!H4)</f>
        <v>01_商品管理</v>
      </c>
      <c r="I4" s="424"/>
      <c r="J4" s="424"/>
      <c r="K4" s="424"/>
      <c r="L4" s="424"/>
      <c r="M4" s="424"/>
      <c r="N4" s="424"/>
      <c r="O4" s="424"/>
      <c r="P4" s="424"/>
      <c r="Q4" s="424"/>
      <c r="R4" s="424"/>
      <c r="S4" s="424"/>
      <c r="T4" s="425"/>
      <c r="U4" s="398" t="s">
        <v>341</v>
      </c>
      <c r="V4" s="399"/>
      <c r="W4" s="399"/>
      <c r="X4" s="399"/>
      <c r="Y4" s="400"/>
      <c r="Z4" s="423" t="str">
        <f>IF(表紙!Z4="","",表紙!Z4)</f>
        <v>画面設計書</v>
      </c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5"/>
      <c r="AP4" s="423" t="str">
        <f t="array" aca="1" ref="AP4" ca="1">RIGHT(CELL("filename",$A$1),LEN(CELL("filename",$A$1))-FIND("]",CELL("filename",$A$1)))</f>
        <v>改訂履歴</v>
      </c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5"/>
    </row>
    <row r="5" spans="1:63" ht="5.0999999999999996" customHeight="1" x14ac:dyDescent="0.25">
      <c r="A5" s="426"/>
      <c r="B5" s="427"/>
      <c r="C5" s="427"/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7"/>
      <c r="O5" s="427"/>
      <c r="P5" s="427"/>
      <c r="Q5" s="427"/>
      <c r="R5" s="427"/>
      <c r="S5" s="427"/>
      <c r="T5" s="427"/>
      <c r="U5" s="427"/>
      <c r="V5" s="427"/>
      <c r="W5" s="427"/>
      <c r="X5" s="427"/>
      <c r="Y5" s="427"/>
      <c r="Z5" s="427"/>
      <c r="AA5" s="427"/>
      <c r="AB5" s="427"/>
      <c r="AC5" s="427"/>
      <c r="AD5" s="427"/>
      <c r="AE5" s="427"/>
      <c r="AF5" s="427"/>
      <c r="AG5" s="427"/>
      <c r="AH5" s="427"/>
      <c r="AI5" s="427"/>
      <c r="AJ5" s="427"/>
      <c r="AK5" s="427"/>
      <c r="AL5" s="427"/>
      <c r="AM5" s="427"/>
      <c r="AN5" s="427"/>
      <c r="AO5" s="427"/>
      <c r="AP5" s="427"/>
      <c r="AQ5" s="427"/>
      <c r="AR5" s="427"/>
      <c r="AS5" s="427"/>
      <c r="AT5" s="427"/>
      <c r="AU5" s="427"/>
      <c r="AV5" s="427"/>
      <c r="AW5" s="427"/>
      <c r="AX5" s="427"/>
      <c r="AY5" s="427"/>
      <c r="AZ5" s="427"/>
      <c r="BA5" s="427"/>
      <c r="BB5" s="427"/>
      <c r="BC5" s="427"/>
      <c r="BD5" s="427"/>
      <c r="BE5" s="427"/>
      <c r="BF5" s="427"/>
      <c r="BG5" s="427"/>
      <c r="BH5" s="427"/>
      <c r="BI5" s="427"/>
      <c r="BJ5" s="427"/>
      <c r="BK5" s="428"/>
    </row>
    <row r="6" spans="1:63" ht="15" customHeight="1" x14ac:dyDescent="0.25">
      <c r="A6" s="429"/>
      <c r="BK6" s="430"/>
    </row>
    <row r="7" spans="1:63" ht="15" customHeight="1" x14ac:dyDescent="0.25">
      <c r="A7" s="429"/>
      <c r="BK7" s="430"/>
    </row>
    <row r="8" spans="1:63" ht="15" customHeight="1" x14ac:dyDescent="0.25">
      <c r="A8" s="429"/>
      <c r="B8" s="404" t="s">
        <v>9</v>
      </c>
      <c r="BK8" s="430"/>
    </row>
    <row r="9" spans="1:63" ht="15" customHeight="1" x14ac:dyDescent="0.25">
      <c r="A9" s="429"/>
      <c r="BK9" s="430"/>
    </row>
    <row r="10" spans="1:63" ht="15" customHeight="1" x14ac:dyDescent="0.25">
      <c r="A10" s="429"/>
      <c r="B10" s="431" t="s">
        <v>338</v>
      </c>
      <c r="C10" s="431"/>
      <c r="D10" s="431"/>
      <c r="E10" s="431"/>
      <c r="F10" s="431"/>
      <c r="G10" s="431"/>
      <c r="H10" s="431" t="s">
        <v>337</v>
      </c>
      <c r="I10" s="431"/>
      <c r="J10" s="431"/>
      <c r="K10" s="431"/>
      <c r="L10" s="431"/>
      <c r="M10" s="431"/>
      <c r="N10" s="431"/>
      <c r="O10" s="431" t="s">
        <v>339</v>
      </c>
      <c r="P10" s="431"/>
      <c r="Q10" s="431"/>
      <c r="R10" s="431"/>
      <c r="S10" s="431" t="s">
        <v>342</v>
      </c>
      <c r="T10" s="431"/>
      <c r="U10" s="431"/>
      <c r="V10" s="431"/>
      <c r="W10" s="431"/>
      <c r="X10" s="431"/>
      <c r="Y10" s="431"/>
      <c r="Z10" s="431"/>
      <c r="AA10" s="431"/>
      <c r="AB10" s="431"/>
      <c r="AC10" s="431"/>
      <c r="AD10" s="431"/>
      <c r="AE10" s="431"/>
      <c r="AF10" s="431"/>
      <c r="AG10" s="431"/>
      <c r="AH10" s="431"/>
      <c r="AI10" s="431"/>
      <c r="AJ10" s="431"/>
      <c r="AK10" s="431"/>
      <c r="AL10" s="431"/>
      <c r="AM10" s="431"/>
      <c r="AN10" s="431"/>
      <c r="AO10" s="431"/>
      <c r="AP10" s="431"/>
      <c r="AQ10" s="431"/>
      <c r="AR10" s="431"/>
      <c r="AS10" s="431"/>
      <c r="AT10" s="431"/>
      <c r="AU10" s="431"/>
      <c r="AV10" s="431"/>
      <c r="AW10" s="431"/>
      <c r="AX10" s="431" t="s">
        <v>343</v>
      </c>
      <c r="AY10" s="431"/>
      <c r="AZ10" s="431"/>
      <c r="BA10" s="431"/>
      <c r="BB10" s="431"/>
      <c r="BC10" s="431"/>
      <c r="BD10" s="431" t="s">
        <v>344</v>
      </c>
      <c r="BE10" s="431"/>
      <c r="BF10" s="431"/>
      <c r="BG10" s="431"/>
      <c r="BH10" s="431"/>
      <c r="BI10" s="431"/>
      <c r="BJ10" s="431"/>
      <c r="BK10" s="430"/>
    </row>
    <row r="11" spans="1:63" ht="15" customHeight="1" x14ac:dyDescent="0.25">
      <c r="A11" s="429"/>
      <c r="B11" s="411">
        <v>45478</v>
      </c>
      <c r="C11" s="406"/>
      <c r="D11" s="406"/>
      <c r="E11" s="406"/>
      <c r="F11" s="406"/>
      <c r="G11" s="407"/>
      <c r="H11" s="87" t="s">
        <v>345</v>
      </c>
      <c r="I11" s="406"/>
      <c r="J11" s="406"/>
      <c r="K11" s="406"/>
      <c r="L11" s="406"/>
      <c r="M11" s="406"/>
      <c r="N11" s="407"/>
      <c r="O11" s="405">
        <v>0.1</v>
      </c>
      <c r="P11" s="406"/>
      <c r="Q11" s="406"/>
      <c r="R11" s="406"/>
      <c r="S11" s="432" t="s">
        <v>13</v>
      </c>
      <c r="T11" s="433"/>
      <c r="U11" s="433"/>
      <c r="V11" s="433"/>
      <c r="W11" s="433"/>
      <c r="X11" s="433"/>
      <c r="Y11" s="433"/>
      <c r="Z11" s="433"/>
      <c r="AA11" s="433"/>
      <c r="AB11" s="433"/>
      <c r="AC11" s="433"/>
      <c r="AD11" s="433"/>
      <c r="AE11" s="433"/>
      <c r="AF11" s="433"/>
      <c r="AG11" s="433"/>
      <c r="AH11" s="433"/>
      <c r="AI11" s="433"/>
      <c r="AJ11" s="433"/>
      <c r="AK11" s="433"/>
      <c r="AL11" s="433"/>
      <c r="AM11" s="433"/>
      <c r="AN11" s="433"/>
      <c r="AO11" s="433"/>
      <c r="AP11" s="433"/>
      <c r="AQ11" s="433"/>
      <c r="AR11" s="433"/>
      <c r="AS11" s="433"/>
      <c r="AT11" s="433"/>
      <c r="AU11" s="433"/>
      <c r="AV11" s="433"/>
      <c r="AW11" s="434"/>
      <c r="AX11" s="435"/>
      <c r="AY11" s="435"/>
      <c r="AZ11" s="435"/>
      <c r="BA11" s="435"/>
      <c r="BB11" s="435"/>
      <c r="BC11" s="436"/>
      <c r="BD11" s="437"/>
      <c r="BE11" s="435"/>
      <c r="BF11" s="435"/>
      <c r="BG11" s="435"/>
      <c r="BH11" s="435"/>
      <c r="BI11" s="435"/>
      <c r="BJ11" s="436"/>
      <c r="BK11" s="430"/>
    </row>
    <row r="12" spans="1:63" ht="15" customHeight="1" x14ac:dyDescent="0.25">
      <c r="A12" s="429"/>
      <c r="B12" s="414"/>
      <c r="C12" s="415"/>
      <c r="D12" s="415"/>
      <c r="E12" s="415"/>
      <c r="F12" s="415"/>
      <c r="G12" s="416"/>
      <c r="H12" s="414"/>
      <c r="I12" s="415"/>
      <c r="J12" s="415"/>
      <c r="K12" s="415"/>
      <c r="L12" s="415"/>
      <c r="M12" s="415"/>
      <c r="N12" s="416"/>
      <c r="O12" s="414"/>
      <c r="P12" s="415"/>
      <c r="Q12" s="415"/>
      <c r="R12" s="415"/>
      <c r="S12" s="438"/>
      <c r="T12" s="439"/>
      <c r="U12" s="439"/>
      <c r="V12" s="439"/>
      <c r="W12" s="439"/>
      <c r="X12" s="439"/>
      <c r="Y12" s="439"/>
      <c r="Z12" s="439"/>
      <c r="AA12" s="439"/>
      <c r="AB12" s="439"/>
      <c r="AC12" s="439"/>
      <c r="AD12" s="439"/>
      <c r="AE12" s="439"/>
      <c r="AF12" s="439"/>
      <c r="AG12" s="439"/>
      <c r="AH12" s="439"/>
      <c r="AI12" s="439"/>
      <c r="AJ12" s="439"/>
      <c r="AK12" s="439"/>
      <c r="AL12" s="439"/>
      <c r="AM12" s="439"/>
      <c r="AN12" s="439"/>
      <c r="AO12" s="439"/>
      <c r="AP12" s="439"/>
      <c r="AQ12" s="439"/>
      <c r="AR12" s="439"/>
      <c r="AS12" s="439"/>
      <c r="AT12" s="439"/>
      <c r="AU12" s="439"/>
      <c r="AV12" s="439"/>
      <c r="AW12" s="440"/>
      <c r="AX12" s="441"/>
      <c r="AY12" s="441"/>
      <c r="AZ12" s="441"/>
      <c r="BA12" s="441"/>
      <c r="BB12" s="441"/>
      <c r="BC12" s="442"/>
      <c r="BD12" s="443"/>
      <c r="BE12" s="441"/>
      <c r="BF12" s="441"/>
      <c r="BG12" s="441"/>
      <c r="BH12" s="441"/>
      <c r="BI12" s="441"/>
      <c r="BJ12" s="442"/>
      <c r="BK12" s="430"/>
    </row>
    <row r="13" spans="1:63" ht="15" customHeight="1" x14ac:dyDescent="0.25">
      <c r="A13" s="429"/>
      <c r="B13" s="411">
        <v>45582</v>
      </c>
      <c r="C13" s="406"/>
      <c r="D13" s="406"/>
      <c r="E13" s="406"/>
      <c r="F13" s="406"/>
      <c r="G13" s="407"/>
      <c r="H13" s="405" t="s">
        <v>300</v>
      </c>
      <c r="I13" s="406"/>
      <c r="J13" s="406"/>
      <c r="K13" s="406"/>
      <c r="L13" s="406"/>
      <c r="M13" s="406"/>
      <c r="N13" s="407"/>
      <c r="O13" s="405">
        <v>0.11</v>
      </c>
      <c r="P13" s="406"/>
      <c r="Q13" s="406"/>
      <c r="R13" s="406"/>
      <c r="S13" s="432" t="s">
        <v>261</v>
      </c>
      <c r="T13" s="433"/>
      <c r="U13" s="433"/>
      <c r="V13" s="433"/>
      <c r="W13" s="433"/>
      <c r="X13" s="433"/>
      <c r="Y13" s="433"/>
      <c r="Z13" s="433"/>
      <c r="AA13" s="433"/>
      <c r="AB13" s="433"/>
      <c r="AC13" s="433"/>
      <c r="AD13" s="433"/>
      <c r="AE13" s="433"/>
      <c r="AF13" s="433"/>
      <c r="AG13" s="433"/>
      <c r="AH13" s="433"/>
      <c r="AI13" s="433"/>
      <c r="AJ13" s="433"/>
      <c r="AK13" s="433"/>
      <c r="AL13" s="433"/>
      <c r="AM13" s="433"/>
      <c r="AN13" s="433"/>
      <c r="AO13" s="433"/>
      <c r="AP13" s="433"/>
      <c r="AQ13" s="433"/>
      <c r="AR13" s="433"/>
      <c r="AS13" s="433"/>
      <c r="AT13" s="433"/>
      <c r="AU13" s="433"/>
      <c r="AV13" s="433"/>
      <c r="AW13" s="434"/>
      <c r="AX13" s="435"/>
      <c r="AY13" s="435"/>
      <c r="AZ13" s="435"/>
      <c r="BA13" s="435"/>
      <c r="BB13" s="435"/>
      <c r="BC13" s="436"/>
      <c r="BD13" s="437"/>
      <c r="BE13" s="435"/>
      <c r="BF13" s="435"/>
      <c r="BG13" s="435"/>
      <c r="BH13" s="435"/>
      <c r="BI13" s="435"/>
      <c r="BJ13" s="436"/>
      <c r="BK13" s="430"/>
    </row>
    <row r="14" spans="1:63" ht="15" customHeight="1" x14ac:dyDescent="0.25">
      <c r="A14" s="429"/>
      <c r="B14" s="414"/>
      <c r="C14" s="415"/>
      <c r="D14" s="415"/>
      <c r="E14" s="415"/>
      <c r="F14" s="415"/>
      <c r="G14" s="416"/>
      <c r="H14" s="414"/>
      <c r="I14" s="415"/>
      <c r="J14" s="415"/>
      <c r="K14" s="415"/>
      <c r="L14" s="415"/>
      <c r="M14" s="415"/>
      <c r="N14" s="416"/>
      <c r="O14" s="414"/>
      <c r="P14" s="415"/>
      <c r="Q14" s="415"/>
      <c r="R14" s="415"/>
      <c r="S14" s="438"/>
      <c r="T14" s="439"/>
      <c r="U14" s="439"/>
      <c r="V14" s="439"/>
      <c r="W14" s="439"/>
      <c r="X14" s="439"/>
      <c r="Y14" s="439"/>
      <c r="Z14" s="439"/>
      <c r="AA14" s="439"/>
      <c r="AB14" s="439"/>
      <c r="AC14" s="439"/>
      <c r="AD14" s="439"/>
      <c r="AE14" s="439"/>
      <c r="AF14" s="439"/>
      <c r="AG14" s="439"/>
      <c r="AH14" s="439"/>
      <c r="AI14" s="439"/>
      <c r="AJ14" s="439"/>
      <c r="AK14" s="439"/>
      <c r="AL14" s="439"/>
      <c r="AM14" s="439"/>
      <c r="AN14" s="439"/>
      <c r="AO14" s="439"/>
      <c r="AP14" s="439"/>
      <c r="AQ14" s="439"/>
      <c r="AR14" s="439"/>
      <c r="AS14" s="439"/>
      <c r="AT14" s="439"/>
      <c r="AU14" s="439"/>
      <c r="AV14" s="439"/>
      <c r="AW14" s="440"/>
      <c r="AX14" s="441"/>
      <c r="AY14" s="441"/>
      <c r="AZ14" s="441"/>
      <c r="BA14" s="441"/>
      <c r="BB14" s="441"/>
      <c r="BC14" s="442"/>
      <c r="BD14" s="443"/>
      <c r="BE14" s="441"/>
      <c r="BF14" s="441"/>
      <c r="BG14" s="441"/>
      <c r="BH14" s="441"/>
      <c r="BI14" s="441"/>
      <c r="BJ14" s="442"/>
      <c r="BK14" s="430"/>
    </row>
    <row r="15" spans="1:63" ht="15" customHeight="1" x14ac:dyDescent="0.25">
      <c r="A15" s="429"/>
      <c r="B15" s="411">
        <v>45628</v>
      </c>
      <c r="C15" s="406"/>
      <c r="D15" s="406"/>
      <c r="E15" s="406"/>
      <c r="F15" s="406"/>
      <c r="G15" s="407"/>
      <c r="H15" s="405" t="s">
        <v>300</v>
      </c>
      <c r="I15" s="406"/>
      <c r="J15" s="406"/>
      <c r="K15" s="406"/>
      <c r="L15" s="406"/>
      <c r="M15" s="406"/>
      <c r="N15" s="407"/>
      <c r="O15" s="405">
        <v>0.12</v>
      </c>
      <c r="P15" s="406"/>
      <c r="Q15" s="406"/>
      <c r="R15" s="406"/>
      <c r="S15" s="432" t="s">
        <v>294</v>
      </c>
      <c r="T15" s="433"/>
      <c r="U15" s="433"/>
      <c r="V15" s="433"/>
      <c r="W15" s="433"/>
      <c r="X15" s="433"/>
      <c r="Y15" s="433"/>
      <c r="Z15" s="433"/>
      <c r="AA15" s="433"/>
      <c r="AB15" s="433"/>
      <c r="AC15" s="433"/>
      <c r="AD15" s="433"/>
      <c r="AE15" s="433"/>
      <c r="AF15" s="433"/>
      <c r="AG15" s="433"/>
      <c r="AH15" s="433"/>
      <c r="AI15" s="433"/>
      <c r="AJ15" s="433"/>
      <c r="AK15" s="433"/>
      <c r="AL15" s="433"/>
      <c r="AM15" s="433"/>
      <c r="AN15" s="433"/>
      <c r="AO15" s="433"/>
      <c r="AP15" s="433"/>
      <c r="AQ15" s="433"/>
      <c r="AR15" s="433"/>
      <c r="AS15" s="433"/>
      <c r="AT15" s="433"/>
      <c r="AU15" s="433"/>
      <c r="AV15" s="433"/>
      <c r="AW15" s="434"/>
      <c r="AX15" s="435"/>
      <c r="AY15" s="435"/>
      <c r="AZ15" s="435"/>
      <c r="BA15" s="435"/>
      <c r="BB15" s="435"/>
      <c r="BC15" s="436"/>
      <c r="BD15" s="437"/>
      <c r="BE15" s="435"/>
      <c r="BF15" s="435"/>
      <c r="BG15" s="435"/>
      <c r="BH15" s="435"/>
      <c r="BI15" s="435"/>
      <c r="BJ15" s="436"/>
      <c r="BK15" s="430"/>
    </row>
    <row r="16" spans="1:63" ht="15" customHeight="1" x14ac:dyDescent="0.25">
      <c r="A16" s="429"/>
      <c r="B16" s="414"/>
      <c r="C16" s="415"/>
      <c r="D16" s="415"/>
      <c r="E16" s="415"/>
      <c r="F16" s="415"/>
      <c r="G16" s="416"/>
      <c r="H16" s="414"/>
      <c r="I16" s="415"/>
      <c r="J16" s="415"/>
      <c r="K16" s="415"/>
      <c r="L16" s="415"/>
      <c r="M16" s="415"/>
      <c r="N16" s="416"/>
      <c r="O16" s="414"/>
      <c r="P16" s="415"/>
      <c r="Q16" s="415"/>
      <c r="R16" s="415"/>
      <c r="S16" s="438"/>
      <c r="T16" s="439"/>
      <c r="U16" s="439"/>
      <c r="V16" s="439"/>
      <c r="W16" s="439"/>
      <c r="X16" s="439"/>
      <c r="Y16" s="439"/>
      <c r="Z16" s="439"/>
      <c r="AA16" s="439"/>
      <c r="AB16" s="439"/>
      <c r="AC16" s="439"/>
      <c r="AD16" s="439"/>
      <c r="AE16" s="439"/>
      <c r="AF16" s="439"/>
      <c r="AG16" s="439"/>
      <c r="AH16" s="439"/>
      <c r="AI16" s="439"/>
      <c r="AJ16" s="439"/>
      <c r="AK16" s="439"/>
      <c r="AL16" s="439"/>
      <c r="AM16" s="439"/>
      <c r="AN16" s="439"/>
      <c r="AO16" s="439"/>
      <c r="AP16" s="439"/>
      <c r="AQ16" s="439"/>
      <c r="AR16" s="439"/>
      <c r="AS16" s="439"/>
      <c r="AT16" s="439"/>
      <c r="AU16" s="439"/>
      <c r="AV16" s="439"/>
      <c r="AW16" s="440"/>
      <c r="AX16" s="441"/>
      <c r="AY16" s="441"/>
      <c r="AZ16" s="441"/>
      <c r="BA16" s="441"/>
      <c r="BB16" s="441"/>
      <c r="BC16" s="442"/>
      <c r="BD16" s="443"/>
      <c r="BE16" s="441"/>
      <c r="BF16" s="441"/>
      <c r="BG16" s="441"/>
      <c r="BH16" s="441"/>
      <c r="BI16" s="441"/>
      <c r="BJ16" s="442"/>
      <c r="BK16" s="430"/>
    </row>
    <row r="17" spans="1:63" ht="15" customHeight="1" x14ac:dyDescent="0.25">
      <c r="A17" s="429"/>
      <c r="B17" s="444">
        <v>45644</v>
      </c>
      <c r="C17" s="445"/>
      <c r="D17" s="445"/>
      <c r="E17" s="445"/>
      <c r="F17" s="445"/>
      <c r="G17" s="446"/>
      <c r="H17" s="447" t="s">
        <v>346</v>
      </c>
      <c r="I17" s="445"/>
      <c r="J17" s="445"/>
      <c r="K17" s="445"/>
      <c r="L17" s="445"/>
      <c r="M17" s="445"/>
      <c r="N17" s="446"/>
      <c r="O17" s="447">
        <v>0.13</v>
      </c>
      <c r="P17" s="445"/>
      <c r="Q17" s="445"/>
      <c r="R17" s="445"/>
      <c r="S17" s="448" t="s">
        <v>347</v>
      </c>
      <c r="T17" s="449"/>
      <c r="U17" s="449"/>
      <c r="V17" s="449"/>
      <c r="W17" s="449"/>
      <c r="X17" s="449"/>
      <c r="Y17" s="449"/>
      <c r="Z17" s="449"/>
      <c r="AA17" s="449"/>
      <c r="AB17" s="449"/>
      <c r="AC17" s="449"/>
      <c r="AD17" s="449"/>
      <c r="AE17" s="449"/>
      <c r="AF17" s="449"/>
      <c r="AG17" s="449"/>
      <c r="AH17" s="449"/>
      <c r="AI17" s="449"/>
      <c r="AJ17" s="449"/>
      <c r="AK17" s="449"/>
      <c r="AL17" s="449"/>
      <c r="AM17" s="449"/>
      <c r="AN17" s="449"/>
      <c r="AO17" s="449"/>
      <c r="AP17" s="449"/>
      <c r="AQ17" s="449"/>
      <c r="AR17" s="449"/>
      <c r="AS17" s="449"/>
      <c r="AT17" s="449"/>
      <c r="AU17" s="449"/>
      <c r="AV17" s="449"/>
      <c r="AW17" s="450"/>
      <c r="AX17" s="435"/>
      <c r="AY17" s="435"/>
      <c r="AZ17" s="435"/>
      <c r="BA17" s="435"/>
      <c r="BB17" s="435"/>
      <c r="BC17" s="436"/>
      <c r="BD17" s="437"/>
      <c r="BE17" s="435"/>
      <c r="BF17" s="435"/>
      <c r="BG17" s="435"/>
      <c r="BH17" s="435"/>
      <c r="BI17" s="435"/>
      <c r="BJ17" s="436"/>
      <c r="BK17" s="430"/>
    </row>
    <row r="18" spans="1:63" ht="15" customHeight="1" x14ac:dyDescent="0.25">
      <c r="A18" s="429"/>
      <c r="B18" s="451"/>
      <c r="C18" s="452"/>
      <c r="D18" s="452"/>
      <c r="E18" s="452"/>
      <c r="F18" s="452"/>
      <c r="G18" s="453"/>
      <c r="H18" s="451"/>
      <c r="I18" s="452"/>
      <c r="J18" s="452"/>
      <c r="K18" s="452"/>
      <c r="L18" s="452"/>
      <c r="M18" s="452"/>
      <c r="N18" s="453"/>
      <c r="O18" s="451"/>
      <c r="P18" s="452"/>
      <c r="Q18" s="452"/>
      <c r="R18" s="452"/>
      <c r="S18" s="454" t="s">
        <v>348</v>
      </c>
      <c r="T18" s="455"/>
      <c r="U18" s="455"/>
      <c r="V18" s="455"/>
      <c r="W18" s="455"/>
      <c r="X18" s="455"/>
      <c r="Y18" s="455"/>
      <c r="Z18" s="455"/>
      <c r="AA18" s="455"/>
      <c r="AB18" s="455"/>
      <c r="AC18" s="455"/>
      <c r="AD18" s="455"/>
      <c r="AE18" s="455"/>
      <c r="AF18" s="455"/>
      <c r="AG18" s="455"/>
      <c r="AH18" s="455"/>
      <c r="AI18" s="455"/>
      <c r="AJ18" s="455"/>
      <c r="AK18" s="455"/>
      <c r="AL18" s="455"/>
      <c r="AM18" s="455"/>
      <c r="AN18" s="455"/>
      <c r="AO18" s="455"/>
      <c r="AP18" s="455"/>
      <c r="AQ18" s="455"/>
      <c r="AR18" s="455"/>
      <c r="AS18" s="455"/>
      <c r="AT18" s="455"/>
      <c r="AU18" s="455"/>
      <c r="AV18" s="455"/>
      <c r="AW18" s="456"/>
      <c r="AX18" s="441"/>
      <c r="AY18" s="441"/>
      <c r="AZ18" s="441"/>
      <c r="BA18" s="441"/>
      <c r="BB18" s="441"/>
      <c r="BC18" s="442"/>
      <c r="BD18" s="443"/>
      <c r="BE18" s="441"/>
      <c r="BF18" s="441"/>
      <c r="BG18" s="441"/>
      <c r="BH18" s="441"/>
      <c r="BI18" s="441"/>
      <c r="BJ18" s="442"/>
      <c r="BK18" s="430"/>
    </row>
    <row r="19" spans="1:63" ht="15" customHeight="1" x14ac:dyDescent="0.25">
      <c r="A19" s="429"/>
      <c r="B19" s="405"/>
      <c r="C19" s="406"/>
      <c r="D19" s="406"/>
      <c r="E19" s="406"/>
      <c r="F19" s="406"/>
      <c r="G19" s="407"/>
      <c r="H19" s="405"/>
      <c r="I19" s="406"/>
      <c r="J19" s="406"/>
      <c r="K19" s="406"/>
      <c r="L19" s="406"/>
      <c r="M19" s="406"/>
      <c r="N19" s="407"/>
      <c r="O19" s="405"/>
      <c r="P19" s="406"/>
      <c r="Q19" s="406"/>
      <c r="R19" s="406"/>
      <c r="S19" s="432"/>
      <c r="T19" s="433"/>
      <c r="U19" s="433"/>
      <c r="V19" s="433"/>
      <c r="W19" s="433"/>
      <c r="X19" s="433"/>
      <c r="Y19" s="433"/>
      <c r="Z19" s="433"/>
      <c r="AA19" s="433"/>
      <c r="AB19" s="433"/>
      <c r="AC19" s="433"/>
      <c r="AD19" s="433"/>
      <c r="AE19" s="433"/>
      <c r="AF19" s="433"/>
      <c r="AG19" s="433"/>
      <c r="AH19" s="433"/>
      <c r="AI19" s="433"/>
      <c r="AJ19" s="433"/>
      <c r="AK19" s="433"/>
      <c r="AL19" s="433"/>
      <c r="AM19" s="433"/>
      <c r="AN19" s="433"/>
      <c r="AO19" s="433"/>
      <c r="AP19" s="433"/>
      <c r="AQ19" s="433"/>
      <c r="AR19" s="433"/>
      <c r="AS19" s="433"/>
      <c r="AT19" s="433"/>
      <c r="AU19" s="433"/>
      <c r="AV19" s="433"/>
      <c r="AW19" s="434"/>
      <c r="AX19" s="435"/>
      <c r="AY19" s="435"/>
      <c r="AZ19" s="435"/>
      <c r="BA19" s="435"/>
      <c r="BB19" s="435"/>
      <c r="BC19" s="436"/>
      <c r="BD19" s="437"/>
      <c r="BE19" s="435"/>
      <c r="BF19" s="435"/>
      <c r="BG19" s="435"/>
      <c r="BH19" s="435"/>
      <c r="BI19" s="435"/>
      <c r="BJ19" s="436"/>
      <c r="BK19" s="430"/>
    </row>
    <row r="20" spans="1:63" ht="15" customHeight="1" x14ac:dyDescent="0.25">
      <c r="A20" s="429"/>
      <c r="B20" s="414"/>
      <c r="C20" s="415"/>
      <c r="D20" s="415"/>
      <c r="E20" s="415"/>
      <c r="F20" s="415"/>
      <c r="G20" s="416"/>
      <c r="H20" s="414"/>
      <c r="I20" s="415"/>
      <c r="J20" s="415"/>
      <c r="K20" s="415"/>
      <c r="L20" s="415"/>
      <c r="M20" s="415"/>
      <c r="N20" s="416"/>
      <c r="O20" s="414"/>
      <c r="P20" s="415"/>
      <c r="Q20" s="415"/>
      <c r="R20" s="415"/>
      <c r="S20" s="438"/>
      <c r="T20" s="439"/>
      <c r="U20" s="439"/>
      <c r="V20" s="439"/>
      <c r="W20" s="439"/>
      <c r="X20" s="439"/>
      <c r="Y20" s="439"/>
      <c r="Z20" s="439"/>
      <c r="AA20" s="439"/>
      <c r="AB20" s="439"/>
      <c r="AC20" s="439"/>
      <c r="AD20" s="439"/>
      <c r="AE20" s="439"/>
      <c r="AF20" s="439"/>
      <c r="AG20" s="439"/>
      <c r="AH20" s="439"/>
      <c r="AI20" s="439"/>
      <c r="AJ20" s="439"/>
      <c r="AK20" s="439"/>
      <c r="AL20" s="439"/>
      <c r="AM20" s="439"/>
      <c r="AN20" s="439"/>
      <c r="AO20" s="439"/>
      <c r="AP20" s="439"/>
      <c r="AQ20" s="439"/>
      <c r="AR20" s="439"/>
      <c r="AS20" s="439"/>
      <c r="AT20" s="439"/>
      <c r="AU20" s="439"/>
      <c r="AV20" s="439"/>
      <c r="AW20" s="440"/>
      <c r="AX20" s="441"/>
      <c r="AY20" s="441"/>
      <c r="AZ20" s="441"/>
      <c r="BA20" s="441"/>
      <c r="BB20" s="441"/>
      <c r="BC20" s="442"/>
      <c r="BD20" s="443"/>
      <c r="BE20" s="441"/>
      <c r="BF20" s="441"/>
      <c r="BG20" s="441"/>
      <c r="BH20" s="441"/>
      <c r="BI20" s="441"/>
      <c r="BJ20" s="442"/>
      <c r="BK20" s="430"/>
    </row>
    <row r="21" spans="1:63" ht="15" customHeight="1" x14ac:dyDescent="0.25">
      <c r="A21" s="429"/>
      <c r="B21" s="405"/>
      <c r="C21" s="406"/>
      <c r="D21" s="406"/>
      <c r="E21" s="406"/>
      <c r="F21" s="406"/>
      <c r="G21" s="407"/>
      <c r="H21" s="405"/>
      <c r="I21" s="406"/>
      <c r="J21" s="406"/>
      <c r="K21" s="406"/>
      <c r="L21" s="406"/>
      <c r="M21" s="406"/>
      <c r="N21" s="407"/>
      <c r="O21" s="405"/>
      <c r="P21" s="406"/>
      <c r="Q21" s="406"/>
      <c r="R21" s="406"/>
      <c r="S21" s="432"/>
      <c r="T21" s="433"/>
      <c r="U21" s="433"/>
      <c r="V21" s="433"/>
      <c r="W21" s="433"/>
      <c r="X21" s="433"/>
      <c r="Y21" s="433"/>
      <c r="Z21" s="433"/>
      <c r="AA21" s="433"/>
      <c r="AB21" s="433"/>
      <c r="AC21" s="433"/>
      <c r="AD21" s="433"/>
      <c r="AE21" s="433"/>
      <c r="AF21" s="433"/>
      <c r="AG21" s="433"/>
      <c r="AH21" s="433"/>
      <c r="AI21" s="433"/>
      <c r="AJ21" s="433"/>
      <c r="AK21" s="433"/>
      <c r="AL21" s="433"/>
      <c r="AM21" s="433"/>
      <c r="AN21" s="433"/>
      <c r="AO21" s="433"/>
      <c r="AP21" s="433"/>
      <c r="AQ21" s="433"/>
      <c r="AR21" s="433"/>
      <c r="AS21" s="433"/>
      <c r="AT21" s="433"/>
      <c r="AU21" s="433"/>
      <c r="AV21" s="433"/>
      <c r="AW21" s="434"/>
      <c r="AX21" s="435"/>
      <c r="AY21" s="435"/>
      <c r="AZ21" s="435"/>
      <c r="BA21" s="435"/>
      <c r="BB21" s="435"/>
      <c r="BC21" s="436"/>
      <c r="BD21" s="437"/>
      <c r="BE21" s="435"/>
      <c r="BF21" s="435"/>
      <c r="BG21" s="435"/>
      <c r="BH21" s="435"/>
      <c r="BI21" s="435"/>
      <c r="BJ21" s="436"/>
      <c r="BK21" s="430"/>
    </row>
    <row r="22" spans="1:63" ht="15" customHeight="1" x14ac:dyDescent="0.25">
      <c r="A22" s="429"/>
      <c r="B22" s="414"/>
      <c r="C22" s="415"/>
      <c r="D22" s="415"/>
      <c r="E22" s="415"/>
      <c r="F22" s="415"/>
      <c r="G22" s="416"/>
      <c r="H22" s="414"/>
      <c r="I22" s="415"/>
      <c r="J22" s="415"/>
      <c r="K22" s="415"/>
      <c r="L22" s="415"/>
      <c r="M22" s="415"/>
      <c r="N22" s="416"/>
      <c r="O22" s="414"/>
      <c r="P22" s="415"/>
      <c r="Q22" s="415"/>
      <c r="R22" s="415"/>
      <c r="S22" s="438"/>
      <c r="T22" s="439"/>
      <c r="U22" s="439"/>
      <c r="V22" s="439"/>
      <c r="W22" s="439"/>
      <c r="X22" s="439"/>
      <c r="Y22" s="439"/>
      <c r="Z22" s="439"/>
      <c r="AA22" s="439"/>
      <c r="AB22" s="439"/>
      <c r="AC22" s="439"/>
      <c r="AD22" s="439"/>
      <c r="AE22" s="439"/>
      <c r="AF22" s="439"/>
      <c r="AG22" s="439"/>
      <c r="AH22" s="439"/>
      <c r="AI22" s="439"/>
      <c r="AJ22" s="439"/>
      <c r="AK22" s="439"/>
      <c r="AL22" s="439"/>
      <c r="AM22" s="439"/>
      <c r="AN22" s="439"/>
      <c r="AO22" s="439"/>
      <c r="AP22" s="439"/>
      <c r="AQ22" s="439"/>
      <c r="AR22" s="439"/>
      <c r="AS22" s="439"/>
      <c r="AT22" s="439"/>
      <c r="AU22" s="439"/>
      <c r="AV22" s="439"/>
      <c r="AW22" s="440"/>
      <c r="AX22" s="441"/>
      <c r="AY22" s="441"/>
      <c r="AZ22" s="441"/>
      <c r="BA22" s="441"/>
      <c r="BB22" s="441"/>
      <c r="BC22" s="442"/>
      <c r="BD22" s="443"/>
      <c r="BE22" s="441"/>
      <c r="BF22" s="441"/>
      <c r="BG22" s="441"/>
      <c r="BH22" s="441"/>
      <c r="BI22" s="441"/>
      <c r="BJ22" s="442"/>
      <c r="BK22" s="430"/>
    </row>
    <row r="23" spans="1:63" ht="15" customHeight="1" x14ac:dyDescent="0.25">
      <c r="A23" s="429"/>
      <c r="B23" s="405"/>
      <c r="C23" s="406"/>
      <c r="D23" s="406"/>
      <c r="E23" s="406"/>
      <c r="F23" s="406"/>
      <c r="G23" s="407"/>
      <c r="H23" s="405"/>
      <c r="I23" s="406"/>
      <c r="J23" s="406"/>
      <c r="K23" s="406"/>
      <c r="L23" s="406"/>
      <c r="M23" s="406"/>
      <c r="N23" s="407"/>
      <c r="O23" s="405"/>
      <c r="P23" s="406"/>
      <c r="Q23" s="406"/>
      <c r="R23" s="406"/>
      <c r="S23" s="432"/>
      <c r="T23" s="433"/>
      <c r="U23" s="433"/>
      <c r="V23" s="433"/>
      <c r="W23" s="433"/>
      <c r="X23" s="433"/>
      <c r="Y23" s="433"/>
      <c r="Z23" s="433"/>
      <c r="AA23" s="433"/>
      <c r="AB23" s="433"/>
      <c r="AC23" s="433"/>
      <c r="AD23" s="433"/>
      <c r="AE23" s="433"/>
      <c r="AF23" s="433"/>
      <c r="AG23" s="433"/>
      <c r="AH23" s="433"/>
      <c r="AI23" s="433"/>
      <c r="AJ23" s="433"/>
      <c r="AK23" s="433"/>
      <c r="AL23" s="433"/>
      <c r="AM23" s="433"/>
      <c r="AN23" s="433"/>
      <c r="AO23" s="433"/>
      <c r="AP23" s="433"/>
      <c r="AQ23" s="433"/>
      <c r="AR23" s="433"/>
      <c r="AS23" s="433"/>
      <c r="AT23" s="433"/>
      <c r="AU23" s="433"/>
      <c r="AV23" s="433"/>
      <c r="AW23" s="434"/>
      <c r="AX23" s="435"/>
      <c r="AY23" s="435"/>
      <c r="AZ23" s="435"/>
      <c r="BA23" s="435"/>
      <c r="BB23" s="435"/>
      <c r="BC23" s="436"/>
      <c r="BD23" s="437"/>
      <c r="BE23" s="435"/>
      <c r="BF23" s="435"/>
      <c r="BG23" s="435"/>
      <c r="BH23" s="435"/>
      <c r="BI23" s="435"/>
      <c r="BJ23" s="436"/>
      <c r="BK23" s="430"/>
    </row>
    <row r="24" spans="1:63" ht="15" customHeight="1" x14ac:dyDescent="0.25">
      <c r="A24" s="429"/>
      <c r="B24" s="414"/>
      <c r="C24" s="415"/>
      <c r="D24" s="415"/>
      <c r="E24" s="415"/>
      <c r="F24" s="415"/>
      <c r="G24" s="416"/>
      <c r="H24" s="414"/>
      <c r="I24" s="415"/>
      <c r="J24" s="415"/>
      <c r="K24" s="415"/>
      <c r="L24" s="415"/>
      <c r="M24" s="415"/>
      <c r="N24" s="416"/>
      <c r="O24" s="414"/>
      <c r="P24" s="415"/>
      <c r="Q24" s="415"/>
      <c r="R24" s="415"/>
      <c r="S24" s="438"/>
      <c r="T24" s="439"/>
      <c r="U24" s="439"/>
      <c r="V24" s="439"/>
      <c r="W24" s="439"/>
      <c r="X24" s="439"/>
      <c r="Y24" s="439"/>
      <c r="Z24" s="439"/>
      <c r="AA24" s="439"/>
      <c r="AB24" s="439"/>
      <c r="AC24" s="439"/>
      <c r="AD24" s="439"/>
      <c r="AE24" s="439"/>
      <c r="AF24" s="439"/>
      <c r="AG24" s="439"/>
      <c r="AH24" s="439"/>
      <c r="AI24" s="439"/>
      <c r="AJ24" s="439"/>
      <c r="AK24" s="439"/>
      <c r="AL24" s="439"/>
      <c r="AM24" s="439"/>
      <c r="AN24" s="439"/>
      <c r="AO24" s="439"/>
      <c r="AP24" s="439"/>
      <c r="AQ24" s="439"/>
      <c r="AR24" s="439"/>
      <c r="AS24" s="439"/>
      <c r="AT24" s="439"/>
      <c r="AU24" s="439"/>
      <c r="AV24" s="439"/>
      <c r="AW24" s="440"/>
      <c r="AX24" s="441"/>
      <c r="AY24" s="441"/>
      <c r="AZ24" s="441"/>
      <c r="BA24" s="441"/>
      <c r="BB24" s="441"/>
      <c r="BC24" s="442"/>
      <c r="BD24" s="443"/>
      <c r="BE24" s="441"/>
      <c r="BF24" s="441"/>
      <c r="BG24" s="441"/>
      <c r="BH24" s="441"/>
      <c r="BI24" s="441"/>
      <c r="BJ24" s="442"/>
      <c r="BK24" s="430"/>
    </row>
    <row r="25" spans="1:63" ht="15" customHeight="1" x14ac:dyDescent="0.25">
      <c r="A25" s="429"/>
      <c r="B25" s="405"/>
      <c r="C25" s="406"/>
      <c r="D25" s="406"/>
      <c r="E25" s="406"/>
      <c r="F25" s="406"/>
      <c r="G25" s="407"/>
      <c r="H25" s="405"/>
      <c r="I25" s="406"/>
      <c r="J25" s="406"/>
      <c r="K25" s="406"/>
      <c r="L25" s="406"/>
      <c r="M25" s="406"/>
      <c r="N25" s="407"/>
      <c r="O25" s="405"/>
      <c r="P25" s="406"/>
      <c r="Q25" s="406"/>
      <c r="R25" s="406"/>
      <c r="S25" s="432"/>
      <c r="T25" s="433"/>
      <c r="U25" s="433"/>
      <c r="V25" s="433"/>
      <c r="W25" s="433"/>
      <c r="X25" s="433"/>
      <c r="Y25" s="433"/>
      <c r="Z25" s="433"/>
      <c r="AA25" s="433"/>
      <c r="AB25" s="433"/>
      <c r="AC25" s="433"/>
      <c r="AD25" s="433"/>
      <c r="AE25" s="433"/>
      <c r="AF25" s="433"/>
      <c r="AG25" s="433"/>
      <c r="AH25" s="433"/>
      <c r="AI25" s="433"/>
      <c r="AJ25" s="433"/>
      <c r="AK25" s="433"/>
      <c r="AL25" s="433"/>
      <c r="AM25" s="433"/>
      <c r="AN25" s="433"/>
      <c r="AO25" s="433"/>
      <c r="AP25" s="433"/>
      <c r="AQ25" s="433"/>
      <c r="AR25" s="433"/>
      <c r="AS25" s="433"/>
      <c r="AT25" s="433"/>
      <c r="AU25" s="433"/>
      <c r="AV25" s="433"/>
      <c r="AW25" s="434"/>
      <c r="AX25" s="435"/>
      <c r="AY25" s="435"/>
      <c r="AZ25" s="435"/>
      <c r="BA25" s="435"/>
      <c r="BB25" s="435"/>
      <c r="BC25" s="436"/>
      <c r="BD25" s="437"/>
      <c r="BE25" s="435"/>
      <c r="BF25" s="435"/>
      <c r="BG25" s="435"/>
      <c r="BH25" s="435"/>
      <c r="BI25" s="435"/>
      <c r="BJ25" s="436"/>
      <c r="BK25" s="430"/>
    </row>
    <row r="26" spans="1:63" ht="15" customHeight="1" x14ac:dyDescent="0.25">
      <c r="A26" s="429"/>
      <c r="B26" s="414"/>
      <c r="C26" s="415"/>
      <c r="D26" s="415"/>
      <c r="E26" s="415"/>
      <c r="F26" s="415"/>
      <c r="G26" s="416"/>
      <c r="H26" s="414"/>
      <c r="I26" s="415"/>
      <c r="J26" s="415"/>
      <c r="K26" s="415"/>
      <c r="L26" s="415"/>
      <c r="M26" s="415"/>
      <c r="N26" s="416"/>
      <c r="O26" s="414"/>
      <c r="P26" s="415"/>
      <c r="Q26" s="415"/>
      <c r="R26" s="415"/>
      <c r="S26" s="438"/>
      <c r="T26" s="439"/>
      <c r="U26" s="439"/>
      <c r="V26" s="439"/>
      <c r="W26" s="439"/>
      <c r="X26" s="439"/>
      <c r="Y26" s="439"/>
      <c r="Z26" s="439"/>
      <c r="AA26" s="439"/>
      <c r="AB26" s="439"/>
      <c r="AC26" s="439"/>
      <c r="AD26" s="439"/>
      <c r="AE26" s="439"/>
      <c r="AF26" s="439"/>
      <c r="AG26" s="439"/>
      <c r="AH26" s="439"/>
      <c r="AI26" s="439"/>
      <c r="AJ26" s="439"/>
      <c r="AK26" s="439"/>
      <c r="AL26" s="439"/>
      <c r="AM26" s="439"/>
      <c r="AN26" s="439"/>
      <c r="AO26" s="439"/>
      <c r="AP26" s="439"/>
      <c r="AQ26" s="439"/>
      <c r="AR26" s="439"/>
      <c r="AS26" s="439"/>
      <c r="AT26" s="439"/>
      <c r="AU26" s="439"/>
      <c r="AV26" s="439"/>
      <c r="AW26" s="440"/>
      <c r="AX26" s="441"/>
      <c r="AY26" s="441"/>
      <c r="AZ26" s="441"/>
      <c r="BA26" s="441"/>
      <c r="BB26" s="441"/>
      <c r="BC26" s="442"/>
      <c r="BD26" s="443"/>
      <c r="BE26" s="441"/>
      <c r="BF26" s="441"/>
      <c r="BG26" s="441"/>
      <c r="BH26" s="441"/>
      <c r="BI26" s="441"/>
      <c r="BJ26" s="442"/>
      <c r="BK26" s="430"/>
    </row>
    <row r="27" spans="1:63" ht="15" customHeight="1" x14ac:dyDescent="0.25">
      <c r="A27" s="429"/>
      <c r="B27" s="405"/>
      <c r="C27" s="406"/>
      <c r="D27" s="406"/>
      <c r="E27" s="406"/>
      <c r="F27" s="406"/>
      <c r="G27" s="407"/>
      <c r="H27" s="405"/>
      <c r="I27" s="406"/>
      <c r="J27" s="406"/>
      <c r="K27" s="406"/>
      <c r="L27" s="406"/>
      <c r="M27" s="406"/>
      <c r="N27" s="407"/>
      <c r="O27" s="405"/>
      <c r="P27" s="406"/>
      <c r="Q27" s="406"/>
      <c r="R27" s="406"/>
      <c r="S27" s="432"/>
      <c r="T27" s="433"/>
      <c r="U27" s="433"/>
      <c r="V27" s="433"/>
      <c r="W27" s="433"/>
      <c r="X27" s="433"/>
      <c r="Y27" s="433"/>
      <c r="Z27" s="433"/>
      <c r="AA27" s="433"/>
      <c r="AB27" s="433"/>
      <c r="AC27" s="433"/>
      <c r="AD27" s="433"/>
      <c r="AE27" s="433"/>
      <c r="AF27" s="433"/>
      <c r="AG27" s="433"/>
      <c r="AH27" s="433"/>
      <c r="AI27" s="433"/>
      <c r="AJ27" s="433"/>
      <c r="AK27" s="433"/>
      <c r="AL27" s="433"/>
      <c r="AM27" s="433"/>
      <c r="AN27" s="433"/>
      <c r="AO27" s="433"/>
      <c r="AP27" s="433"/>
      <c r="AQ27" s="433"/>
      <c r="AR27" s="433"/>
      <c r="AS27" s="433"/>
      <c r="AT27" s="433"/>
      <c r="AU27" s="433"/>
      <c r="AV27" s="433"/>
      <c r="AW27" s="434"/>
      <c r="AX27" s="435"/>
      <c r="AY27" s="435"/>
      <c r="AZ27" s="435"/>
      <c r="BA27" s="435"/>
      <c r="BB27" s="435"/>
      <c r="BC27" s="436"/>
      <c r="BD27" s="437"/>
      <c r="BE27" s="435"/>
      <c r="BF27" s="435"/>
      <c r="BG27" s="435"/>
      <c r="BH27" s="435"/>
      <c r="BI27" s="435"/>
      <c r="BJ27" s="436"/>
      <c r="BK27" s="430"/>
    </row>
    <row r="28" spans="1:63" ht="15" customHeight="1" x14ac:dyDescent="0.25">
      <c r="A28" s="429"/>
      <c r="B28" s="414"/>
      <c r="C28" s="415"/>
      <c r="D28" s="415"/>
      <c r="E28" s="415"/>
      <c r="F28" s="415"/>
      <c r="G28" s="416"/>
      <c r="H28" s="414"/>
      <c r="I28" s="415"/>
      <c r="J28" s="415"/>
      <c r="K28" s="415"/>
      <c r="L28" s="415"/>
      <c r="M28" s="415"/>
      <c r="N28" s="416"/>
      <c r="O28" s="414"/>
      <c r="P28" s="415"/>
      <c r="Q28" s="415"/>
      <c r="R28" s="415"/>
      <c r="S28" s="438"/>
      <c r="T28" s="439"/>
      <c r="U28" s="439"/>
      <c r="V28" s="439"/>
      <c r="W28" s="439"/>
      <c r="X28" s="439"/>
      <c r="Y28" s="439"/>
      <c r="Z28" s="439"/>
      <c r="AA28" s="439"/>
      <c r="AB28" s="439"/>
      <c r="AC28" s="439"/>
      <c r="AD28" s="439"/>
      <c r="AE28" s="439"/>
      <c r="AF28" s="439"/>
      <c r="AG28" s="439"/>
      <c r="AH28" s="439"/>
      <c r="AI28" s="439"/>
      <c r="AJ28" s="439"/>
      <c r="AK28" s="439"/>
      <c r="AL28" s="439"/>
      <c r="AM28" s="439"/>
      <c r="AN28" s="439"/>
      <c r="AO28" s="439"/>
      <c r="AP28" s="439"/>
      <c r="AQ28" s="439"/>
      <c r="AR28" s="439"/>
      <c r="AS28" s="439"/>
      <c r="AT28" s="439"/>
      <c r="AU28" s="439"/>
      <c r="AV28" s="439"/>
      <c r="AW28" s="440"/>
      <c r="AX28" s="441"/>
      <c r="AY28" s="441"/>
      <c r="AZ28" s="441"/>
      <c r="BA28" s="441"/>
      <c r="BB28" s="441"/>
      <c r="BC28" s="442"/>
      <c r="BD28" s="443"/>
      <c r="BE28" s="441"/>
      <c r="BF28" s="441"/>
      <c r="BG28" s="441"/>
      <c r="BH28" s="441"/>
      <c r="BI28" s="441"/>
      <c r="BJ28" s="442"/>
      <c r="BK28" s="430"/>
    </row>
    <row r="29" spans="1:63" ht="15" customHeight="1" x14ac:dyDescent="0.25">
      <c r="A29" s="429"/>
      <c r="B29" s="405"/>
      <c r="C29" s="406"/>
      <c r="D29" s="406"/>
      <c r="E29" s="406"/>
      <c r="F29" s="406"/>
      <c r="G29" s="407"/>
      <c r="H29" s="405"/>
      <c r="I29" s="406"/>
      <c r="J29" s="406"/>
      <c r="K29" s="406"/>
      <c r="L29" s="406"/>
      <c r="M29" s="406"/>
      <c r="N29" s="407"/>
      <c r="O29" s="405"/>
      <c r="P29" s="406"/>
      <c r="Q29" s="406"/>
      <c r="R29" s="406"/>
      <c r="S29" s="432"/>
      <c r="T29" s="433"/>
      <c r="U29" s="433"/>
      <c r="V29" s="433"/>
      <c r="W29" s="433"/>
      <c r="X29" s="433"/>
      <c r="Y29" s="433"/>
      <c r="Z29" s="433"/>
      <c r="AA29" s="433"/>
      <c r="AB29" s="433"/>
      <c r="AC29" s="433"/>
      <c r="AD29" s="433"/>
      <c r="AE29" s="433"/>
      <c r="AF29" s="433"/>
      <c r="AG29" s="433"/>
      <c r="AH29" s="433"/>
      <c r="AI29" s="433"/>
      <c r="AJ29" s="433"/>
      <c r="AK29" s="433"/>
      <c r="AL29" s="433"/>
      <c r="AM29" s="433"/>
      <c r="AN29" s="433"/>
      <c r="AO29" s="433"/>
      <c r="AP29" s="433"/>
      <c r="AQ29" s="433"/>
      <c r="AR29" s="433"/>
      <c r="AS29" s="433"/>
      <c r="AT29" s="433"/>
      <c r="AU29" s="433"/>
      <c r="AV29" s="433"/>
      <c r="AW29" s="434"/>
      <c r="AX29" s="435"/>
      <c r="AY29" s="435"/>
      <c r="AZ29" s="435"/>
      <c r="BA29" s="435"/>
      <c r="BB29" s="435"/>
      <c r="BC29" s="436"/>
      <c r="BD29" s="437"/>
      <c r="BE29" s="435"/>
      <c r="BF29" s="435"/>
      <c r="BG29" s="435"/>
      <c r="BH29" s="435"/>
      <c r="BI29" s="435"/>
      <c r="BJ29" s="436"/>
      <c r="BK29" s="430"/>
    </row>
    <row r="30" spans="1:63" ht="15" customHeight="1" x14ac:dyDescent="0.25">
      <c r="A30" s="429"/>
      <c r="B30" s="414"/>
      <c r="C30" s="415"/>
      <c r="D30" s="415"/>
      <c r="E30" s="415"/>
      <c r="F30" s="415"/>
      <c r="G30" s="416"/>
      <c r="H30" s="414"/>
      <c r="I30" s="415"/>
      <c r="J30" s="415"/>
      <c r="K30" s="415"/>
      <c r="L30" s="415"/>
      <c r="M30" s="415"/>
      <c r="N30" s="416"/>
      <c r="O30" s="414"/>
      <c r="P30" s="415"/>
      <c r="Q30" s="415"/>
      <c r="R30" s="415"/>
      <c r="S30" s="438"/>
      <c r="T30" s="439"/>
      <c r="U30" s="439"/>
      <c r="V30" s="439"/>
      <c r="W30" s="439"/>
      <c r="X30" s="439"/>
      <c r="Y30" s="439"/>
      <c r="Z30" s="439"/>
      <c r="AA30" s="439"/>
      <c r="AB30" s="439"/>
      <c r="AC30" s="439"/>
      <c r="AD30" s="439"/>
      <c r="AE30" s="439"/>
      <c r="AF30" s="439"/>
      <c r="AG30" s="439"/>
      <c r="AH30" s="439"/>
      <c r="AI30" s="439"/>
      <c r="AJ30" s="439"/>
      <c r="AK30" s="439"/>
      <c r="AL30" s="439"/>
      <c r="AM30" s="439"/>
      <c r="AN30" s="439"/>
      <c r="AO30" s="439"/>
      <c r="AP30" s="439"/>
      <c r="AQ30" s="439"/>
      <c r="AR30" s="439"/>
      <c r="AS30" s="439"/>
      <c r="AT30" s="439"/>
      <c r="AU30" s="439"/>
      <c r="AV30" s="439"/>
      <c r="AW30" s="440"/>
      <c r="AX30" s="441"/>
      <c r="AY30" s="441"/>
      <c r="AZ30" s="441"/>
      <c r="BA30" s="441"/>
      <c r="BB30" s="441"/>
      <c r="BC30" s="442"/>
      <c r="BD30" s="443"/>
      <c r="BE30" s="441"/>
      <c r="BF30" s="441"/>
      <c r="BG30" s="441"/>
      <c r="BH30" s="441"/>
      <c r="BI30" s="441"/>
      <c r="BJ30" s="442"/>
      <c r="BK30" s="430"/>
    </row>
    <row r="31" spans="1:63" ht="15" customHeight="1" x14ac:dyDescent="0.25">
      <c r="A31" s="429"/>
      <c r="B31" s="405"/>
      <c r="C31" s="406"/>
      <c r="D31" s="406"/>
      <c r="E31" s="406"/>
      <c r="F31" s="406"/>
      <c r="G31" s="407"/>
      <c r="H31" s="405"/>
      <c r="I31" s="406"/>
      <c r="J31" s="406"/>
      <c r="K31" s="406"/>
      <c r="L31" s="406"/>
      <c r="M31" s="406"/>
      <c r="N31" s="407"/>
      <c r="O31" s="405"/>
      <c r="P31" s="406"/>
      <c r="Q31" s="406"/>
      <c r="R31" s="406"/>
      <c r="S31" s="432"/>
      <c r="T31" s="433"/>
      <c r="U31" s="433"/>
      <c r="V31" s="433"/>
      <c r="W31" s="433"/>
      <c r="X31" s="433"/>
      <c r="Y31" s="433"/>
      <c r="Z31" s="433"/>
      <c r="AA31" s="433"/>
      <c r="AB31" s="433"/>
      <c r="AC31" s="433"/>
      <c r="AD31" s="433"/>
      <c r="AE31" s="433"/>
      <c r="AF31" s="433"/>
      <c r="AG31" s="433"/>
      <c r="AH31" s="433"/>
      <c r="AI31" s="433"/>
      <c r="AJ31" s="433"/>
      <c r="AK31" s="433"/>
      <c r="AL31" s="433"/>
      <c r="AM31" s="433"/>
      <c r="AN31" s="433"/>
      <c r="AO31" s="433"/>
      <c r="AP31" s="433"/>
      <c r="AQ31" s="433"/>
      <c r="AR31" s="433"/>
      <c r="AS31" s="433"/>
      <c r="AT31" s="433"/>
      <c r="AU31" s="433"/>
      <c r="AV31" s="433"/>
      <c r="AW31" s="434"/>
      <c r="AX31" s="435"/>
      <c r="AY31" s="435"/>
      <c r="AZ31" s="435"/>
      <c r="BA31" s="435"/>
      <c r="BB31" s="435"/>
      <c r="BC31" s="436"/>
      <c r="BD31" s="437"/>
      <c r="BE31" s="435"/>
      <c r="BF31" s="435"/>
      <c r="BG31" s="435"/>
      <c r="BH31" s="435"/>
      <c r="BI31" s="435"/>
      <c r="BJ31" s="436"/>
      <c r="BK31" s="430"/>
    </row>
    <row r="32" spans="1:63" ht="15" customHeight="1" x14ac:dyDescent="0.25">
      <c r="A32" s="429"/>
      <c r="B32" s="414"/>
      <c r="C32" s="415"/>
      <c r="D32" s="415"/>
      <c r="E32" s="415"/>
      <c r="F32" s="415"/>
      <c r="G32" s="416"/>
      <c r="H32" s="414"/>
      <c r="I32" s="415"/>
      <c r="J32" s="415"/>
      <c r="K32" s="415"/>
      <c r="L32" s="415"/>
      <c r="M32" s="415"/>
      <c r="N32" s="416"/>
      <c r="O32" s="414"/>
      <c r="P32" s="415"/>
      <c r="Q32" s="415"/>
      <c r="R32" s="415"/>
      <c r="S32" s="438"/>
      <c r="T32" s="439"/>
      <c r="U32" s="439"/>
      <c r="V32" s="439"/>
      <c r="W32" s="439"/>
      <c r="X32" s="439"/>
      <c r="Y32" s="439"/>
      <c r="Z32" s="439"/>
      <c r="AA32" s="439"/>
      <c r="AB32" s="439"/>
      <c r="AC32" s="439"/>
      <c r="AD32" s="439"/>
      <c r="AE32" s="439"/>
      <c r="AF32" s="439"/>
      <c r="AG32" s="439"/>
      <c r="AH32" s="439"/>
      <c r="AI32" s="439"/>
      <c r="AJ32" s="439"/>
      <c r="AK32" s="439"/>
      <c r="AL32" s="439"/>
      <c r="AM32" s="439"/>
      <c r="AN32" s="439"/>
      <c r="AO32" s="439"/>
      <c r="AP32" s="439"/>
      <c r="AQ32" s="439"/>
      <c r="AR32" s="439"/>
      <c r="AS32" s="439"/>
      <c r="AT32" s="439"/>
      <c r="AU32" s="439"/>
      <c r="AV32" s="439"/>
      <c r="AW32" s="440"/>
      <c r="AX32" s="441"/>
      <c r="AY32" s="441"/>
      <c r="AZ32" s="441"/>
      <c r="BA32" s="441"/>
      <c r="BB32" s="441"/>
      <c r="BC32" s="442"/>
      <c r="BD32" s="443"/>
      <c r="BE32" s="441"/>
      <c r="BF32" s="441"/>
      <c r="BG32" s="441"/>
      <c r="BH32" s="441"/>
      <c r="BI32" s="441"/>
      <c r="BJ32" s="442"/>
      <c r="BK32" s="430"/>
    </row>
    <row r="33" spans="1:63" ht="15" customHeight="1" x14ac:dyDescent="0.25">
      <c r="A33" s="429"/>
      <c r="B33" s="405"/>
      <c r="C33" s="406"/>
      <c r="D33" s="406"/>
      <c r="E33" s="406"/>
      <c r="F33" s="406"/>
      <c r="G33" s="407"/>
      <c r="H33" s="405"/>
      <c r="I33" s="406"/>
      <c r="J33" s="406"/>
      <c r="K33" s="406"/>
      <c r="L33" s="406"/>
      <c r="M33" s="406"/>
      <c r="N33" s="407"/>
      <c r="O33" s="405"/>
      <c r="P33" s="406"/>
      <c r="Q33" s="406"/>
      <c r="R33" s="406"/>
      <c r="S33" s="432"/>
      <c r="T33" s="433"/>
      <c r="U33" s="433"/>
      <c r="V33" s="433"/>
      <c r="W33" s="433"/>
      <c r="X33" s="433"/>
      <c r="Y33" s="433"/>
      <c r="Z33" s="433"/>
      <c r="AA33" s="433"/>
      <c r="AB33" s="433"/>
      <c r="AC33" s="433"/>
      <c r="AD33" s="433"/>
      <c r="AE33" s="433"/>
      <c r="AF33" s="433"/>
      <c r="AG33" s="433"/>
      <c r="AH33" s="433"/>
      <c r="AI33" s="433"/>
      <c r="AJ33" s="433"/>
      <c r="AK33" s="433"/>
      <c r="AL33" s="433"/>
      <c r="AM33" s="433"/>
      <c r="AN33" s="433"/>
      <c r="AO33" s="433"/>
      <c r="AP33" s="433"/>
      <c r="AQ33" s="433"/>
      <c r="AR33" s="433"/>
      <c r="AS33" s="433"/>
      <c r="AT33" s="433"/>
      <c r="AU33" s="433"/>
      <c r="AV33" s="433"/>
      <c r="AW33" s="434"/>
      <c r="AX33" s="435"/>
      <c r="AY33" s="435"/>
      <c r="AZ33" s="435"/>
      <c r="BA33" s="435"/>
      <c r="BB33" s="435"/>
      <c r="BC33" s="436"/>
      <c r="BD33" s="437"/>
      <c r="BE33" s="435"/>
      <c r="BF33" s="435"/>
      <c r="BG33" s="435"/>
      <c r="BH33" s="435"/>
      <c r="BI33" s="435"/>
      <c r="BJ33" s="436"/>
      <c r="BK33" s="430"/>
    </row>
    <row r="34" spans="1:63" ht="15" customHeight="1" x14ac:dyDescent="0.25">
      <c r="A34" s="429"/>
      <c r="B34" s="414"/>
      <c r="C34" s="415"/>
      <c r="D34" s="415"/>
      <c r="E34" s="415"/>
      <c r="F34" s="415"/>
      <c r="G34" s="416"/>
      <c r="H34" s="414"/>
      <c r="I34" s="415"/>
      <c r="J34" s="415"/>
      <c r="K34" s="415"/>
      <c r="L34" s="415"/>
      <c r="M34" s="415"/>
      <c r="N34" s="416"/>
      <c r="O34" s="414"/>
      <c r="P34" s="415"/>
      <c r="Q34" s="415"/>
      <c r="R34" s="415"/>
      <c r="S34" s="438"/>
      <c r="T34" s="439"/>
      <c r="U34" s="439"/>
      <c r="V34" s="439"/>
      <c r="W34" s="439"/>
      <c r="X34" s="439"/>
      <c r="Y34" s="439"/>
      <c r="Z34" s="439"/>
      <c r="AA34" s="439"/>
      <c r="AB34" s="439"/>
      <c r="AC34" s="439"/>
      <c r="AD34" s="439"/>
      <c r="AE34" s="439"/>
      <c r="AF34" s="439"/>
      <c r="AG34" s="439"/>
      <c r="AH34" s="439"/>
      <c r="AI34" s="439"/>
      <c r="AJ34" s="439"/>
      <c r="AK34" s="439"/>
      <c r="AL34" s="439"/>
      <c r="AM34" s="439"/>
      <c r="AN34" s="439"/>
      <c r="AO34" s="439"/>
      <c r="AP34" s="439"/>
      <c r="AQ34" s="439"/>
      <c r="AR34" s="439"/>
      <c r="AS34" s="439"/>
      <c r="AT34" s="439"/>
      <c r="AU34" s="439"/>
      <c r="AV34" s="439"/>
      <c r="AW34" s="440"/>
      <c r="AX34" s="441"/>
      <c r="AY34" s="441"/>
      <c r="AZ34" s="441"/>
      <c r="BA34" s="441"/>
      <c r="BB34" s="441"/>
      <c r="BC34" s="442"/>
      <c r="BD34" s="443"/>
      <c r="BE34" s="441"/>
      <c r="BF34" s="441"/>
      <c r="BG34" s="441"/>
      <c r="BH34" s="441"/>
      <c r="BI34" s="441"/>
      <c r="BJ34" s="442"/>
      <c r="BK34" s="430"/>
    </row>
    <row r="35" spans="1:63" ht="15" customHeight="1" x14ac:dyDescent="0.25">
      <c r="A35" s="429"/>
      <c r="B35" s="405"/>
      <c r="C35" s="406"/>
      <c r="D35" s="406"/>
      <c r="E35" s="406"/>
      <c r="F35" s="406"/>
      <c r="G35" s="407"/>
      <c r="H35" s="405"/>
      <c r="I35" s="406"/>
      <c r="J35" s="406"/>
      <c r="K35" s="406"/>
      <c r="L35" s="406"/>
      <c r="M35" s="406"/>
      <c r="N35" s="407"/>
      <c r="O35" s="405"/>
      <c r="P35" s="406"/>
      <c r="Q35" s="406"/>
      <c r="R35" s="406"/>
      <c r="S35" s="432"/>
      <c r="T35" s="433"/>
      <c r="U35" s="433"/>
      <c r="V35" s="433"/>
      <c r="W35" s="433"/>
      <c r="X35" s="433"/>
      <c r="Y35" s="433"/>
      <c r="Z35" s="433"/>
      <c r="AA35" s="433"/>
      <c r="AB35" s="433"/>
      <c r="AC35" s="433"/>
      <c r="AD35" s="433"/>
      <c r="AE35" s="433"/>
      <c r="AF35" s="433"/>
      <c r="AG35" s="433"/>
      <c r="AH35" s="433"/>
      <c r="AI35" s="433"/>
      <c r="AJ35" s="433"/>
      <c r="AK35" s="433"/>
      <c r="AL35" s="433"/>
      <c r="AM35" s="433"/>
      <c r="AN35" s="433"/>
      <c r="AO35" s="433"/>
      <c r="AP35" s="433"/>
      <c r="AQ35" s="433"/>
      <c r="AR35" s="433"/>
      <c r="AS35" s="433"/>
      <c r="AT35" s="433"/>
      <c r="AU35" s="433"/>
      <c r="AV35" s="433"/>
      <c r="AW35" s="434"/>
      <c r="AX35" s="435"/>
      <c r="AY35" s="435"/>
      <c r="AZ35" s="435"/>
      <c r="BA35" s="435"/>
      <c r="BB35" s="435"/>
      <c r="BC35" s="436"/>
      <c r="BD35" s="437"/>
      <c r="BE35" s="435"/>
      <c r="BF35" s="435"/>
      <c r="BG35" s="435"/>
      <c r="BH35" s="435"/>
      <c r="BI35" s="435"/>
      <c r="BJ35" s="436"/>
      <c r="BK35" s="430"/>
    </row>
    <row r="36" spans="1:63" ht="15" customHeight="1" x14ac:dyDescent="0.25">
      <c r="A36" s="429"/>
      <c r="B36" s="414"/>
      <c r="C36" s="415"/>
      <c r="D36" s="415"/>
      <c r="E36" s="415"/>
      <c r="F36" s="415"/>
      <c r="G36" s="416"/>
      <c r="H36" s="414"/>
      <c r="I36" s="415"/>
      <c r="J36" s="415"/>
      <c r="K36" s="415"/>
      <c r="L36" s="415"/>
      <c r="M36" s="415"/>
      <c r="N36" s="416"/>
      <c r="O36" s="414"/>
      <c r="P36" s="415"/>
      <c r="Q36" s="415"/>
      <c r="R36" s="415"/>
      <c r="S36" s="438"/>
      <c r="T36" s="439"/>
      <c r="U36" s="439"/>
      <c r="V36" s="439"/>
      <c r="W36" s="439"/>
      <c r="X36" s="439"/>
      <c r="Y36" s="439"/>
      <c r="Z36" s="439"/>
      <c r="AA36" s="439"/>
      <c r="AB36" s="439"/>
      <c r="AC36" s="439"/>
      <c r="AD36" s="439"/>
      <c r="AE36" s="439"/>
      <c r="AF36" s="439"/>
      <c r="AG36" s="439"/>
      <c r="AH36" s="439"/>
      <c r="AI36" s="439"/>
      <c r="AJ36" s="439"/>
      <c r="AK36" s="439"/>
      <c r="AL36" s="439"/>
      <c r="AM36" s="439"/>
      <c r="AN36" s="439"/>
      <c r="AO36" s="439"/>
      <c r="AP36" s="439"/>
      <c r="AQ36" s="439"/>
      <c r="AR36" s="439"/>
      <c r="AS36" s="439"/>
      <c r="AT36" s="439"/>
      <c r="AU36" s="439"/>
      <c r="AV36" s="439"/>
      <c r="AW36" s="440"/>
      <c r="AX36" s="441"/>
      <c r="AY36" s="441"/>
      <c r="AZ36" s="441"/>
      <c r="BA36" s="441"/>
      <c r="BB36" s="441"/>
      <c r="BC36" s="442"/>
      <c r="BD36" s="443"/>
      <c r="BE36" s="441"/>
      <c r="BF36" s="441"/>
      <c r="BG36" s="441"/>
      <c r="BH36" s="441"/>
      <c r="BI36" s="441"/>
      <c r="BJ36" s="442"/>
      <c r="BK36" s="430"/>
    </row>
    <row r="37" spans="1:63" ht="15" customHeight="1" x14ac:dyDescent="0.25">
      <c r="A37" s="429"/>
      <c r="B37" s="405"/>
      <c r="C37" s="406"/>
      <c r="D37" s="406"/>
      <c r="E37" s="406"/>
      <c r="F37" s="406"/>
      <c r="G37" s="407"/>
      <c r="H37" s="405"/>
      <c r="I37" s="406"/>
      <c r="J37" s="406"/>
      <c r="K37" s="406"/>
      <c r="L37" s="406"/>
      <c r="M37" s="406"/>
      <c r="N37" s="407"/>
      <c r="O37" s="405"/>
      <c r="P37" s="406"/>
      <c r="Q37" s="406"/>
      <c r="R37" s="406"/>
      <c r="S37" s="432"/>
      <c r="T37" s="433"/>
      <c r="U37" s="433"/>
      <c r="V37" s="433"/>
      <c r="W37" s="433"/>
      <c r="X37" s="433"/>
      <c r="Y37" s="433"/>
      <c r="Z37" s="433"/>
      <c r="AA37" s="433"/>
      <c r="AB37" s="433"/>
      <c r="AC37" s="433"/>
      <c r="AD37" s="433"/>
      <c r="AE37" s="433"/>
      <c r="AF37" s="433"/>
      <c r="AG37" s="433"/>
      <c r="AH37" s="433"/>
      <c r="AI37" s="433"/>
      <c r="AJ37" s="433"/>
      <c r="AK37" s="433"/>
      <c r="AL37" s="433"/>
      <c r="AM37" s="433"/>
      <c r="AN37" s="433"/>
      <c r="AO37" s="433"/>
      <c r="AP37" s="433"/>
      <c r="AQ37" s="433"/>
      <c r="AR37" s="433"/>
      <c r="AS37" s="433"/>
      <c r="AT37" s="433"/>
      <c r="AU37" s="433"/>
      <c r="AV37" s="433"/>
      <c r="AW37" s="434"/>
      <c r="AX37" s="435"/>
      <c r="AY37" s="435"/>
      <c r="AZ37" s="435"/>
      <c r="BA37" s="435"/>
      <c r="BB37" s="435"/>
      <c r="BC37" s="436"/>
      <c r="BD37" s="437"/>
      <c r="BE37" s="435"/>
      <c r="BF37" s="435"/>
      <c r="BG37" s="435"/>
      <c r="BH37" s="435"/>
      <c r="BI37" s="435"/>
      <c r="BJ37" s="436"/>
      <c r="BK37" s="430"/>
    </row>
    <row r="38" spans="1:63" ht="15" customHeight="1" x14ac:dyDescent="0.25">
      <c r="A38" s="429"/>
      <c r="B38" s="414"/>
      <c r="C38" s="415"/>
      <c r="D38" s="415"/>
      <c r="E38" s="415"/>
      <c r="F38" s="415"/>
      <c r="G38" s="416"/>
      <c r="H38" s="414"/>
      <c r="I38" s="415"/>
      <c r="J38" s="415"/>
      <c r="K38" s="415"/>
      <c r="L38" s="415"/>
      <c r="M38" s="415"/>
      <c r="N38" s="416"/>
      <c r="O38" s="414"/>
      <c r="P38" s="415"/>
      <c r="Q38" s="415"/>
      <c r="R38" s="415"/>
      <c r="S38" s="438"/>
      <c r="T38" s="439"/>
      <c r="U38" s="439"/>
      <c r="V38" s="439"/>
      <c r="W38" s="439"/>
      <c r="X38" s="439"/>
      <c r="Y38" s="439"/>
      <c r="Z38" s="439"/>
      <c r="AA38" s="439"/>
      <c r="AB38" s="439"/>
      <c r="AC38" s="439"/>
      <c r="AD38" s="439"/>
      <c r="AE38" s="439"/>
      <c r="AF38" s="439"/>
      <c r="AG38" s="439"/>
      <c r="AH38" s="439"/>
      <c r="AI38" s="439"/>
      <c r="AJ38" s="439"/>
      <c r="AK38" s="439"/>
      <c r="AL38" s="439"/>
      <c r="AM38" s="439"/>
      <c r="AN38" s="439"/>
      <c r="AO38" s="439"/>
      <c r="AP38" s="439"/>
      <c r="AQ38" s="439"/>
      <c r="AR38" s="439"/>
      <c r="AS38" s="439"/>
      <c r="AT38" s="439"/>
      <c r="AU38" s="439"/>
      <c r="AV38" s="439"/>
      <c r="AW38" s="440"/>
      <c r="AX38" s="441"/>
      <c r="AY38" s="441"/>
      <c r="AZ38" s="441"/>
      <c r="BA38" s="441"/>
      <c r="BB38" s="441"/>
      <c r="BC38" s="442"/>
      <c r="BD38" s="443"/>
      <c r="BE38" s="441"/>
      <c r="BF38" s="441"/>
      <c r="BG38" s="441"/>
      <c r="BH38" s="441"/>
      <c r="BI38" s="441"/>
      <c r="BJ38" s="442"/>
      <c r="BK38" s="430"/>
    </row>
    <row r="39" spans="1:63" ht="15" customHeight="1" x14ac:dyDescent="0.25">
      <c r="A39" s="429"/>
      <c r="B39" s="405"/>
      <c r="C39" s="406"/>
      <c r="D39" s="406"/>
      <c r="E39" s="406"/>
      <c r="F39" s="406"/>
      <c r="G39" s="407"/>
      <c r="H39" s="405"/>
      <c r="I39" s="406"/>
      <c r="J39" s="406"/>
      <c r="K39" s="406"/>
      <c r="L39" s="406"/>
      <c r="M39" s="406"/>
      <c r="N39" s="407"/>
      <c r="O39" s="405"/>
      <c r="P39" s="406"/>
      <c r="Q39" s="406"/>
      <c r="R39" s="406"/>
      <c r="S39" s="432"/>
      <c r="T39" s="433"/>
      <c r="U39" s="433"/>
      <c r="V39" s="433"/>
      <c r="W39" s="433"/>
      <c r="X39" s="433"/>
      <c r="Y39" s="433"/>
      <c r="Z39" s="433"/>
      <c r="AA39" s="433"/>
      <c r="AB39" s="433"/>
      <c r="AC39" s="433"/>
      <c r="AD39" s="433"/>
      <c r="AE39" s="433"/>
      <c r="AF39" s="433"/>
      <c r="AG39" s="433"/>
      <c r="AH39" s="433"/>
      <c r="AI39" s="433"/>
      <c r="AJ39" s="433"/>
      <c r="AK39" s="433"/>
      <c r="AL39" s="433"/>
      <c r="AM39" s="433"/>
      <c r="AN39" s="433"/>
      <c r="AO39" s="433"/>
      <c r="AP39" s="433"/>
      <c r="AQ39" s="433"/>
      <c r="AR39" s="433"/>
      <c r="AS39" s="433"/>
      <c r="AT39" s="433"/>
      <c r="AU39" s="433"/>
      <c r="AV39" s="433"/>
      <c r="AW39" s="434"/>
      <c r="AX39" s="435"/>
      <c r="AY39" s="435"/>
      <c r="AZ39" s="435"/>
      <c r="BA39" s="435"/>
      <c r="BB39" s="435"/>
      <c r="BC39" s="436"/>
      <c r="BD39" s="437"/>
      <c r="BE39" s="435"/>
      <c r="BF39" s="435"/>
      <c r="BG39" s="435"/>
      <c r="BH39" s="435"/>
      <c r="BI39" s="435"/>
      <c r="BJ39" s="436"/>
      <c r="BK39" s="430"/>
    </row>
    <row r="40" spans="1:63" ht="15" customHeight="1" x14ac:dyDescent="0.25">
      <c r="A40" s="429"/>
      <c r="B40" s="414"/>
      <c r="C40" s="415"/>
      <c r="D40" s="415"/>
      <c r="E40" s="415"/>
      <c r="F40" s="415"/>
      <c r="G40" s="416"/>
      <c r="H40" s="414"/>
      <c r="I40" s="415"/>
      <c r="J40" s="415"/>
      <c r="K40" s="415"/>
      <c r="L40" s="415"/>
      <c r="M40" s="415"/>
      <c r="N40" s="416"/>
      <c r="O40" s="414"/>
      <c r="P40" s="415"/>
      <c r="Q40" s="415"/>
      <c r="R40" s="415"/>
      <c r="S40" s="438"/>
      <c r="T40" s="439"/>
      <c r="U40" s="439"/>
      <c r="V40" s="439"/>
      <c r="W40" s="439"/>
      <c r="X40" s="439"/>
      <c r="Y40" s="439"/>
      <c r="Z40" s="439"/>
      <c r="AA40" s="439"/>
      <c r="AB40" s="439"/>
      <c r="AC40" s="439"/>
      <c r="AD40" s="439"/>
      <c r="AE40" s="439"/>
      <c r="AF40" s="439"/>
      <c r="AG40" s="439"/>
      <c r="AH40" s="439"/>
      <c r="AI40" s="439"/>
      <c r="AJ40" s="439"/>
      <c r="AK40" s="439"/>
      <c r="AL40" s="439"/>
      <c r="AM40" s="439"/>
      <c r="AN40" s="439"/>
      <c r="AO40" s="439"/>
      <c r="AP40" s="439"/>
      <c r="AQ40" s="439"/>
      <c r="AR40" s="439"/>
      <c r="AS40" s="439"/>
      <c r="AT40" s="439"/>
      <c r="AU40" s="439"/>
      <c r="AV40" s="439"/>
      <c r="AW40" s="440"/>
      <c r="AX40" s="441"/>
      <c r="AY40" s="441"/>
      <c r="AZ40" s="441"/>
      <c r="BA40" s="441"/>
      <c r="BB40" s="441"/>
      <c r="BC40" s="442"/>
      <c r="BD40" s="443"/>
      <c r="BE40" s="441"/>
      <c r="BF40" s="441"/>
      <c r="BG40" s="441"/>
      <c r="BH40" s="441"/>
      <c r="BI40" s="441"/>
      <c r="BJ40" s="442"/>
      <c r="BK40" s="430"/>
    </row>
    <row r="41" spans="1:63" ht="15" customHeight="1" x14ac:dyDescent="0.25">
      <c r="A41" s="429"/>
      <c r="B41" s="405"/>
      <c r="C41" s="406"/>
      <c r="D41" s="406"/>
      <c r="E41" s="406"/>
      <c r="F41" s="406"/>
      <c r="G41" s="407"/>
      <c r="H41" s="405"/>
      <c r="I41" s="406"/>
      <c r="J41" s="406"/>
      <c r="K41" s="406"/>
      <c r="L41" s="406"/>
      <c r="M41" s="406"/>
      <c r="N41" s="407"/>
      <c r="O41" s="405"/>
      <c r="P41" s="406"/>
      <c r="Q41" s="406"/>
      <c r="R41" s="406"/>
      <c r="S41" s="432"/>
      <c r="T41" s="433"/>
      <c r="U41" s="433"/>
      <c r="V41" s="433"/>
      <c r="W41" s="433"/>
      <c r="X41" s="433"/>
      <c r="Y41" s="433"/>
      <c r="Z41" s="433"/>
      <c r="AA41" s="433"/>
      <c r="AB41" s="433"/>
      <c r="AC41" s="433"/>
      <c r="AD41" s="433"/>
      <c r="AE41" s="433"/>
      <c r="AF41" s="433"/>
      <c r="AG41" s="433"/>
      <c r="AH41" s="433"/>
      <c r="AI41" s="433"/>
      <c r="AJ41" s="433"/>
      <c r="AK41" s="433"/>
      <c r="AL41" s="433"/>
      <c r="AM41" s="433"/>
      <c r="AN41" s="433"/>
      <c r="AO41" s="433"/>
      <c r="AP41" s="433"/>
      <c r="AQ41" s="433"/>
      <c r="AR41" s="433"/>
      <c r="AS41" s="433"/>
      <c r="AT41" s="433"/>
      <c r="AU41" s="433"/>
      <c r="AV41" s="433"/>
      <c r="AW41" s="434"/>
      <c r="AX41" s="435"/>
      <c r="AY41" s="435"/>
      <c r="AZ41" s="435"/>
      <c r="BA41" s="435"/>
      <c r="BB41" s="435"/>
      <c r="BC41" s="436"/>
      <c r="BD41" s="437"/>
      <c r="BE41" s="435"/>
      <c r="BF41" s="435"/>
      <c r="BG41" s="435"/>
      <c r="BH41" s="435"/>
      <c r="BI41" s="435"/>
      <c r="BJ41" s="436"/>
      <c r="BK41" s="430"/>
    </row>
    <row r="42" spans="1:63" ht="15" customHeight="1" x14ac:dyDescent="0.25">
      <c r="A42" s="429"/>
      <c r="B42" s="414"/>
      <c r="C42" s="415"/>
      <c r="D42" s="415"/>
      <c r="E42" s="415"/>
      <c r="F42" s="415"/>
      <c r="G42" s="416"/>
      <c r="H42" s="414"/>
      <c r="I42" s="415"/>
      <c r="J42" s="415"/>
      <c r="K42" s="415"/>
      <c r="L42" s="415"/>
      <c r="M42" s="415"/>
      <c r="N42" s="416"/>
      <c r="O42" s="414"/>
      <c r="P42" s="415"/>
      <c r="Q42" s="415"/>
      <c r="R42" s="415"/>
      <c r="S42" s="438"/>
      <c r="T42" s="439"/>
      <c r="U42" s="439"/>
      <c r="V42" s="439"/>
      <c r="W42" s="439"/>
      <c r="X42" s="439"/>
      <c r="Y42" s="439"/>
      <c r="Z42" s="439"/>
      <c r="AA42" s="439"/>
      <c r="AB42" s="439"/>
      <c r="AC42" s="439"/>
      <c r="AD42" s="439"/>
      <c r="AE42" s="439"/>
      <c r="AF42" s="439"/>
      <c r="AG42" s="439"/>
      <c r="AH42" s="439"/>
      <c r="AI42" s="439"/>
      <c r="AJ42" s="439"/>
      <c r="AK42" s="439"/>
      <c r="AL42" s="439"/>
      <c r="AM42" s="439"/>
      <c r="AN42" s="439"/>
      <c r="AO42" s="439"/>
      <c r="AP42" s="439"/>
      <c r="AQ42" s="439"/>
      <c r="AR42" s="439"/>
      <c r="AS42" s="439"/>
      <c r="AT42" s="439"/>
      <c r="AU42" s="439"/>
      <c r="AV42" s="439"/>
      <c r="AW42" s="440"/>
      <c r="AX42" s="441"/>
      <c r="AY42" s="441"/>
      <c r="AZ42" s="441"/>
      <c r="BA42" s="441"/>
      <c r="BB42" s="441"/>
      <c r="BC42" s="442"/>
      <c r="BD42" s="443"/>
      <c r="BE42" s="441"/>
      <c r="BF42" s="441"/>
      <c r="BG42" s="441"/>
      <c r="BH42" s="441"/>
      <c r="BI42" s="441"/>
      <c r="BJ42" s="442"/>
      <c r="BK42" s="430"/>
    </row>
    <row r="43" spans="1:63" ht="15" customHeight="1" x14ac:dyDescent="0.25">
      <c r="A43" s="429"/>
      <c r="B43" s="405"/>
      <c r="C43" s="406"/>
      <c r="D43" s="406"/>
      <c r="E43" s="406"/>
      <c r="F43" s="406"/>
      <c r="G43" s="407"/>
      <c r="H43" s="405"/>
      <c r="I43" s="406"/>
      <c r="J43" s="406"/>
      <c r="K43" s="406"/>
      <c r="L43" s="406"/>
      <c r="M43" s="406"/>
      <c r="N43" s="407"/>
      <c r="O43" s="405"/>
      <c r="P43" s="406"/>
      <c r="Q43" s="406"/>
      <c r="R43" s="406"/>
      <c r="S43" s="432"/>
      <c r="T43" s="433"/>
      <c r="U43" s="433"/>
      <c r="V43" s="433"/>
      <c r="W43" s="433"/>
      <c r="X43" s="433"/>
      <c r="Y43" s="433"/>
      <c r="Z43" s="433"/>
      <c r="AA43" s="433"/>
      <c r="AB43" s="433"/>
      <c r="AC43" s="433"/>
      <c r="AD43" s="433"/>
      <c r="AE43" s="433"/>
      <c r="AF43" s="433"/>
      <c r="AG43" s="433"/>
      <c r="AH43" s="433"/>
      <c r="AI43" s="433"/>
      <c r="AJ43" s="433"/>
      <c r="AK43" s="433"/>
      <c r="AL43" s="433"/>
      <c r="AM43" s="433"/>
      <c r="AN43" s="433"/>
      <c r="AO43" s="433"/>
      <c r="AP43" s="433"/>
      <c r="AQ43" s="433"/>
      <c r="AR43" s="433"/>
      <c r="AS43" s="433"/>
      <c r="AT43" s="433"/>
      <c r="AU43" s="433"/>
      <c r="AV43" s="433"/>
      <c r="AW43" s="434"/>
      <c r="AX43" s="435"/>
      <c r="AY43" s="435"/>
      <c r="AZ43" s="435"/>
      <c r="BA43" s="435"/>
      <c r="BB43" s="435"/>
      <c r="BC43" s="436"/>
      <c r="BD43" s="437"/>
      <c r="BE43" s="435"/>
      <c r="BF43" s="435"/>
      <c r="BG43" s="435"/>
      <c r="BH43" s="435"/>
      <c r="BI43" s="435"/>
      <c r="BJ43" s="436"/>
      <c r="BK43" s="430"/>
    </row>
    <row r="44" spans="1:63" ht="15" customHeight="1" x14ac:dyDescent="0.25">
      <c r="A44" s="429"/>
      <c r="B44" s="414"/>
      <c r="C44" s="415"/>
      <c r="D44" s="415"/>
      <c r="E44" s="415"/>
      <c r="F44" s="415"/>
      <c r="G44" s="416"/>
      <c r="H44" s="414"/>
      <c r="I44" s="415"/>
      <c r="J44" s="415"/>
      <c r="K44" s="415"/>
      <c r="L44" s="415"/>
      <c r="M44" s="415"/>
      <c r="N44" s="416"/>
      <c r="O44" s="414"/>
      <c r="P44" s="415"/>
      <c r="Q44" s="415"/>
      <c r="R44" s="415"/>
      <c r="S44" s="438"/>
      <c r="T44" s="439"/>
      <c r="U44" s="439"/>
      <c r="V44" s="439"/>
      <c r="W44" s="439"/>
      <c r="X44" s="439"/>
      <c r="Y44" s="439"/>
      <c r="Z44" s="439"/>
      <c r="AA44" s="439"/>
      <c r="AB44" s="439"/>
      <c r="AC44" s="439"/>
      <c r="AD44" s="439"/>
      <c r="AE44" s="439"/>
      <c r="AF44" s="439"/>
      <c r="AG44" s="439"/>
      <c r="AH44" s="439"/>
      <c r="AI44" s="439"/>
      <c r="AJ44" s="439"/>
      <c r="AK44" s="439"/>
      <c r="AL44" s="439"/>
      <c r="AM44" s="439"/>
      <c r="AN44" s="439"/>
      <c r="AO44" s="439"/>
      <c r="AP44" s="439"/>
      <c r="AQ44" s="439"/>
      <c r="AR44" s="439"/>
      <c r="AS44" s="439"/>
      <c r="AT44" s="439"/>
      <c r="AU44" s="439"/>
      <c r="AV44" s="439"/>
      <c r="AW44" s="440"/>
      <c r="AX44" s="441"/>
      <c r="AY44" s="441"/>
      <c r="AZ44" s="441"/>
      <c r="BA44" s="441"/>
      <c r="BB44" s="441"/>
      <c r="BC44" s="442"/>
      <c r="BD44" s="443"/>
      <c r="BE44" s="441"/>
      <c r="BF44" s="441"/>
      <c r="BG44" s="441"/>
      <c r="BH44" s="441"/>
      <c r="BI44" s="441"/>
      <c r="BJ44" s="442"/>
      <c r="BK44" s="430"/>
    </row>
    <row r="45" spans="1:63" ht="15" customHeight="1" x14ac:dyDescent="0.25">
      <c r="A45" s="429"/>
      <c r="B45" s="405"/>
      <c r="C45" s="406"/>
      <c r="D45" s="406"/>
      <c r="E45" s="406"/>
      <c r="F45" s="406"/>
      <c r="G45" s="407"/>
      <c r="H45" s="405"/>
      <c r="I45" s="406"/>
      <c r="J45" s="406"/>
      <c r="K45" s="406"/>
      <c r="L45" s="406"/>
      <c r="M45" s="406"/>
      <c r="N45" s="407"/>
      <c r="O45" s="405"/>
      <c r="P45" s="406"/>
      <c r="Q45" s="406"/>
      <c r="R45" s="406"/>
      <c r="S45" s="432"/>
      <c r="T45" s="433"/>
      <c r="U45" s="433"/>
      <c r="V45" s="433"/>
      <c r="W45" s="433"/>
      <c r="X45" s="433"/>
      <c r="Y45" s="433"/>
      <c r="Z45" s="433"/>
      <c r="AA45" s="433"/>
      <c r="AB45" s="433"/>
      <c r="AC45" s="433"/>
      <c r="AD45" s="433"/>
      <c r="AE45" s="433"/>
      <c r="AF45" s="433"/>
      <c r="AG45" s="433"/>
      <c r="AH45" s="433"/>
      <c r="AI45" s="433"/>
      <c r="AJ45" s="433"/>
      <c r="AK45" s="433"/>
      <c r="AL45" s="433"/>
      <c r="AM45" s="433"/>
      <c r="AN45" s="433"/>
      <c r="AO45" s="433"/>
      <c r="AP45" s="433"/>
      <c r="AQ45" s="433"/>
      <c r="AR45" s="433"/>
      <c r="AS45" s="433"/>
      <c r="AT45" s="433"/>
      <c r="AU45" s="433"/>
      <c r="AV45" s="433"/>
      <c r="AW45" s="434"/>
      <c r="AX45" s="435"/>
      <c r="AY45" s="435"/>
      <c r="AZ45" s="435"/>
      <c r="BA45" s="435"/>
      <c r="BB45" s="435"/>
      <c r="BC45" s="436"/>
      <c r="BD45" s="437"/>
      <c r="BE45" s="435"/>
      <c r="BF45" s="435"/>
      <c r="BG45" s="435"/>
      <c r="BH45" s="435"/>
      <c r="BI45" s="435"/>
      <c r="BJ45" s="436"/>
      <c r="BK45" s="430"/>
    </row>
    <row r="46" spans="1:63" ht="15" customHeight="1" x14ac:dyDescent="0.25">
      <c r="A46" s="429"/>
      <c r="B46" s="414"/>
      <c r="C46" s="415"/>
      <c r="D46" s="415"/>
      <c r="E46" s="415"/>
      <c r="F46" s="415"/>
      <c r="G46" s="416"/>
      <c r="H46" s="414"/>
      <c r="I46" s="415"/>
      <c r="J46" s="415"/>
      <c r="K46" s="415"/>
      <c r="L46" s="415"/>
      <c r="M46" s="415"/>
      <c r="N46" s="416"/>
      <c r="O46" s="414"/>
      <c r="P46" s="415"/>
      <c r="Q46" s="415"/>
      <c r="R46" s="415"/>
      <c r="S46" s="438"/>
      <c r="T46" s="439"/>
      <c r="U46" s="439"/>
      <c r="V46" s="439"/>
      <c r="W46" s="439"/>
      <c r="X46" s="439"/>
      <c r="Y46" s="439"/>
      <c r="Z46" s="439"/>
      <c r="AA46" s="439"/>
      <c r="AB46" s="439"/>
      <c r="AC46" s="439"/>
      <c r="AD46" s="439"/>
      <c r="AE46" s="439"/>
      <c r="AF46" s="439"/>
      <c r="AG46" s="439"/>
      <c r="AH46" s="439"/>
      <c r="AI46" s="439"/>
      <c r="AJ46" s="439"/>
      <c r="AK46" s="439"/>
      <c r="AL46" s="439"/>
      <c r="AM46" s="439"/>
      <c r="AN46" s="439"/>
      <c r="AO46" s="439"/>
      <c r="AP46" s="439"/>
      <c r="AQ46" s="439"/>
      <c r="AR46" s="439"/>
      <c r="AS46" s="439"/>
      <c r="AT46" s="439"/>
      <c r="AU46" s="439"/>
      <c r="AV46" s="439"/>
      <c r="AW46" s="440"/>
      <c r="AX46" s="441"/>
      <c r="AY46" s="441"/>
      <c r="AZ46" s="441"/>
      <c r="BA46" s="441"/>
      <c r="BB46" s="441"/>
      <c r="BC46" s="442"/>
      <c r="BD46" s="443"/>
      <c r="BE46" s="441"/>
      <c r="BF46" s="441"/>
      <c r="BG46" s="441"/>
      <c r="BH46" s="441"/>
      <c r="BI46" s="441"/>
      <c r="BJ46" s="442"/>
      <c r="BK46" s="430"/>
    </row>
    <row r="47" spans="1:63" ht="15" customHeight="1" x14ac:dyDescent="0.25">
      <c r="A47" s="429"/>
      <c r="B47" s="405"/>
      <c r="C47" s="406"/>
      <c r="D47" s="406"/>
      <c r="E47" s="406"/>
      <c r="F47" s="406"/>
      <c r="G47" s="407"/>
      <c r="H47" s="405"/>
      <c r="I47" s="406"/>
      <c r="J47" s="406"/>
      <c r="K47" s="406"/>
      <c r="L47" s="406"/>
      <c r="M47" s="406"/>
      <c r="N47" s="407"/>
      <c r="O47" s="405"/>
      <c r="P47" s="406"/>
      <c r="Q47" s="406"/>
      <c r="R47" s="406"/>
      <c r="S47" s="432"/>
      <c r="T47" s="433"/>
      <c r="U47" s="433"/>
      <c r="V47" s="433"/>
      <c r="W47" s="433"/>
      <c r="X47" s="433"/>
      <c r="Y47" s="433"/>
      <c r="Z47" s="433"/>
      <c r="AA47" s="433"/>
      <c r="AB47" s="433"/>
      <c r="AC47" s="433"/>
      <c r="AD47" s="433"/>
      <c r="AE47" s="433"/>
      <c r="AF47" s="433"/>
      <c r="AG47" s="433"/>
      <c r="AH47" s="433"/>
      <c r="AI47" s="433"/>
      <c r="AJ47" s="433"/>
      <c r="AK47" s="433"/>
      <c r="AL47" s="433"/>
      <c r="AM47" s="433"/>
      <c r="AN47" s="433"/>
      <c r="AO47" s="433"/>
      <c r="AP47" s="433"/>
      <c r="AQ47" s="433"/>
      <c r="AR47" s="433"/>
      <c r="AS47" s="433"/>
      <c r="AT47" s="433"/>
      <c r="AU47" s="433"/>
      <c r="AV47" s="433"/>
      <c r="AW47" s="434"/>
      <c r="AX47" s="435"/>
      <c r="AY47" s="435"/>
      <c r="AZ47" s="435"/>
      <c r="BA47" s="435"/>
      <c r="BB47" s="435"/>
      <c r="BC47" s="436"/>
      <c r="BD47" s="437"/>
      <c r="BE47" s="435"/>
      <c r="BF47" s="435"/>
      <c r="BG47" s="435"/>
      <c r="BH47" s="435"/>
      <c r="BI47" s="435"/>
      <c r="BJ47" s="436"/>
      <c r="BK47" s="430"/>
    </row>
    <row r="48" spans="1:63" ht="15" customHeight="1" x14ac:dyDescent="0.25">
      <c r="A48" s="429"/>
      <c r="B48" s="414"/>
      <c r="C48" s="415"/>
      <c r="D48" s="415"/>
      <c r="E48" s="415"/>
      <c r="F48" s="415"/>
      <c r="G48" s="416"/>
      <c r="H48" s="414"/>
      <c r="I48" s="415"/>
      <c r="J48" s="415"/>
      <c r="K48" s="415"/>
      <c r="L48" s="415"/>
      <c r="M48" s="415"/>
      <c r="N48" s="416"/>
      <c r="O48" s="414"/>
      <c r="P48" s="415"/>
      <c r="Q48" s="415"/>
      <c r="R48" s="415"/>
      <c r="S48" s="438"/>
      <c r="T48" s="439"/>
      <c r="U48" s="439"/>
      <c r="V48" s="439"/>
      <c r="W48" s="439"/>
      <c r="X48" s="439"/>
      <c r="Y48" s="439"/>
      <c r="Z48" s="439"/>
      <c r="AA48" s="439"/>
      <c r="AB48" s="439"/>
      <c r="AC48" s="439"/>
      <c r="AD48" s="439"/>
      <c r="AE48" s="439"/>
      <c r="AF48" s="439"/>
      <c r="AG48" s="439"/>
      <c r="AH48" s="439"/>
      <c r="AI48" s="439"/>
      <c r="AJ48" s="439"/>
      <c r="AK48" s="439"/>
      <c r="AL48" s="439"/>
      <c r="AM48" s="439"/>
      <c r="AN48" s="439"/>
      <c r="AO48" s="439"/>
      <c r="AP48" s="439"/>
      <c r="AQ48" s="439"/>
      <c r="AR48" s="439"/>
      <c r="AS48" s="439"/>
      <c r="AT48" s="439"/>
      <c r="AU48" s="439"/>
      <c r="AV48" s="439"/>
      <c r="AW48" s="440"/>
      <c r="AX48" s="441"/>
      <c r="AY48" s="441"/>
      <c r="AZ48" s="441"/>
      <c r="BA48" s="441"/>
      <c r="BB48" s="441"/>
      <c r="BC48" s="442"/>
      <c r="BD48" s="443"/>
      <c r="BE48" s="441"/>
      <c r="BF48" s="441"/>
      <c r="BG48" s="441"/>
      <c r="BH48" s="441"/>
      <c r="BI48" s="441"/>
      <c r="BJ48" s="442"/>
      <c r="BK48" s="430"/>
    </row>
    <row r="49" spans="1:63" ht="15" customHeight="1" x14ac:dyDescent="0.25">
      <c r="A49" s="429"/>
      <c r="B49" s="405"/>
      <c r="C49" s="406"/>
      <c r="D49" s="406"/>
      <c r="E49" s="406"/>
      <c r="F49" s="406"/>
      <c r="G49" s="407"/>
      <c r="H49" s="405"/>
      <c r="I49" s="406"/>
      <c r="J49" s="406"/>
      <c r="K49" s="406"/>
      <c r="L49" s="406"/>
      <c r="M49" s="406"/>
      <c r="N49" s="407"/>
      <c r="O49" s="405"/>
      <c r="P49" s="406"/>
      <c r="Q49" s="406"/>
      <c r="R49" s="406"/>
      <c r="S49" s="432"/>
      <c r="T49" s="433"/>
      <c r="U49" s="433"/>
      <c r="V49" s="433"/>
      <c r="W49" s="433"/>
      <c r="X49" s="433"/>
      <c r="Y49" s="433"/>
      <c r="Z49" s="433"/>
      <c r="AA49" s="433"/>
      <c r="AB49" s="433"/>
      <c r="AC49" s="433"/>
      <c r="AD49" s="433"/>
      <c r="AE49" s="433"/>
      <c r="AF49" s="433"/>
      <c r="AG49" s="433"/>
      <c r="AH49" s="433"/>
      <c r="AI49" s="433"/>
      <c r="AJ49" s="433"/>
      <c r="AK49" s="433"/>
      <c r="AL49" s="433"/>
      <c r="AM49" s="433"/>
      <c r="AN49" s="433"/>
      <c r="AO49" s="433"/>
      <c r="AP49" s="433"/>
      <c r="AQ49" s="433"/>
      <c r="AR49" s="433"/>
      <c r="AS49" s="433"/>
      <c r="AT49" s="433"/>
      <c r="AU49" s="433"/>
      <c r="AV49" s="433"/>
      <c r="AW49" s="434"/>
      <c r="AX49" s="435"/>
      <c r="AY49" s="435"/>
      <c r="AZ49" s="435"/>
      <c r="BA49" s="435"/>
      <c r="BB49" s="435"/>
      <c r="BC49" s="436"/>
      <c r="BD49" s="437"/>
      <c r="BE49" s="435"/>
      <c r="BF49" s="435"/>
      <c r="BG49" s="435"/>
      <c r="BH49" s="435"/>
      <c r="BI49" s="435"/>
      <c r="BJ49" s="436"/>
      <c r="BK49" s="430"/>
    </row>
    <row r="50" spans="1:63" ht="15" customHeight="1" x14ac:dyDescent="0.25">
      <c r="A50" s="429"/>
      <c r="B50" s="414"/>
      <c r="C50" s="415"/>
      <c r="D50" s="415"/>
      <c r="E50" s="415"/>
      <c r="F50" s="415"/>
      <c r="G50" s="416"/>
      <c r="H50" s="414"/>
      <c r="I50" s="415"/>
      <c r="J50" s="415"/>
      <c r="K50" s="415"/>
      <c r="L50" s="415"/>
      <c r="M50" s="415"/>
      <c r="N50" s="416"/>
      <c r="O50" s="414"/>
      <c r="P50" s="415"/>
      <c r="Q50" s="415"/>
      <c r="R50" s="415"/>
      <c r="S50" s="438"/>
      <c r="T50" s="439"/>
      <c r="U50" s="439"/>
      <c r="V50" s="439"/>
      <c r="W50" s="439"/>
      <c r="X50" s="439"/>
      <c r="Y50" s="439"/>
      <c r="Z50" s="439"/>
      <c r="AA50" s="439"/>
      <c r="AB50" s="439"/>
      <c r="AC50" s="439"/>
      <c r="AD50" s="439"/>
      <c r="AE50" s="439"/>
      <c r="AF50" s="439"/>
      <c r="AG50" s="439"/>
      <c r="AH50" s="439"/>
      <c r="AI50" s="439"/>
      <c r="AJ50" s="439"/>
      <c r="AK50" s="439"/>
      <c r="AL50" s="439"/>
      <c r="AM50" s="439"/>
      <c r="AN50" s="439"/>
      <c r="AO50" s="439"/>
      <c r="AP50" s="439"/>
      <c r="AQ50" s="439"/>
      <c r="AR50" s="439"/>
      <c r="AS50" s="439"/>
      <c r="AT50" s="439"/>
      <c r="AU50" s="439"/>
      <c r="AV50" s="439"/>
      <c r="AW50" s="440"/>
      <c r="AX50" s="441"/>
      <c r="AY50" s="441"/>
      <c r="AZ50" s="441"/>
      <c r="BA50" s="441"/>
      <c r="BB50" s="441"/>
      <c r="BC50" s="442"/>
      <c r="BD50" s="443"/>
      <c r="BE50" s="441"/>
      <c r="BF50" s="441"/>
      <c r="BG50" s="441"/>
      <c r="BH50" s="441"/>
      <c r="BI50" s="441"/>
      <c r="BJ50" s="442"/>
      <c r="BK50" s="430"/>
    </row>
    <row r="51" spans="1:63" ht="15" customHeight="1" x14ac:dyDescent="0.25">
      <c r="A51" s="429"/>
      <c r="B51" s="405"/>
      <c r="C51" s="406"/>
      <c r="D51" s="406"/>
      <c r="E51" s="406"/>
      <c r="F51" s="406"/>
      <c r="G51" s="407"/>
      <c r="H51" s="405"/>
      <c r="I51" s="406"/>
      <c r="J51" s="406"/>
      <c r="K51" s="406"/>
      <c r="L51" s="406"/>
      <c r="M51" s="406"/>
      <c r="N51" s="407"/>
      <c r="O51" s="405"/>
      <c r="P51" s="406"/>
      <c r="Q51" s="406"/>
      <c r="R51" s="406"/>
      <c r="S51" s="432"/>
      <c r="T51" s="433"/>
      <c r="U51" s="433"/>
      <c r="V51" s="433"/>
      <c r="W51" s="433"/>
      <c r="X51" s="433"/>
      <c r="Y51" s="433"/>
      <c r="Z51" s="433"/>
      <c r="AA51" s="433"/>
      <c r="AB51" s="433"/>
      <c r="AC51" s="433"/>
      <c r="AD51" s="433"/>
      <c r="AE51" s="433"/>
      <c r="AF51" s="433"/>
      <c r="AG51" s="433"/>
      <c r="AH51" s="433"/>
      <c r="AI51" s="433"/>
      <c r="AJ51" s="433"/>
      <c r="AK51" s="433"/>
      <c r="AL51" s="433"/>
      <c r="AM51" s="433"/>
      <c r="AN51" s="433"/>
      <c r="AO51" s="433"/>
      <c r="AP51" s="433"/>
      <c r="AQ51" s="433"/>
      <c r="AR51" s="433"/>
      <c r="AS51" s="433"/>
      <c r="AT51" s="433"/>
      <c r="AU51" s="433"/>
      <c r="AV51" s="433"/>
      <c r="AW51" s="434"/>
      <c r="AX51" s="435"/>
      <c r="AY51" s="435"/>
      <c r="AZ51" s="435"/>
      <c r="BA51" s="435"/>
      <c r="BB51" s="435"/>
      <c r="BC51" s="436"/>
      <c r="BD51" s="437"/>
      <c r="BE51" s="435"/>
      <c r="BF51" s="435"/>
      <c r="BG51" s="435"/>
      <c r="BH51" s="435"/>
      <c r="BI51" s="435"/>
      <c r="BJ51" s="436"/>
      <c r="BK51" s="430"/>
    </row>
    <row r="52" spans="1:63" ht="15" customHeight="1" x14ac:dyDescent="0.25">
      <c r="A52" s="429"/>
      <c r="B52" s="414"/>
      <c r="C52" s="415"/>
      <c r="D52" s="415"/>
      <c r="E52" s="415"/>
      <c r="F52" s="415"/>
      <c r="G52" s="416"/>
      <c r="H52" s="414"/>
      <c r="I52" s="415"/>
      <c r="J52" s="415"/>
      <c r="K52" s="415"/>
      <c r="L52" s="415"/>
      <c r="M52" s="415"/>
      <c r="N52" s="416"/>
      <c r="O52" s="414"/>
      <c r="P52" s="415"/>
      <c r="Q52" s="415"/>
      <c r="R52" s="415"/>
      <c r="S52" s="438"/>
      <c r="T52" s="439"/>
      <c r="U52" s="439"/>
      <c r="V52" s="439"/>
      <c r="W52" s="439"/>
      <c r="X52" s="439"/>
      <c r="Y52" s="439"/>
      <c r="Z52" s="439"/>
      <c r="AA52" s="439"/>
      <c r="AB52" s="439"/>
      <c r="AC52" s="439"/>
      <c r="AD52" s="439"/>
      <c r="AE52" s="439"/>
      <c r="AF52" s="439"/>
      <c r="AG52" s="439"/>
      <c r="AH52" s="439"/>
      <c r="AI52" s="439"/>
      <c r="AJ52" s="439"/>
      <c r="AK52" s="439"/>
      <c r="AL52" s="439"/>
      <c r="AM52" s="439"/>
      <c r="AN52" s="439"/>
      <c r="AO52" s="439"/>
      <c r="AP52" s="439"/>
      <c r="AQ52" s="439"/>
      <c r="AR52" s="439"/>
      <c r="AS52" s="439"/>
      <c r="AT52" s="439"/>
      <c r="AU52" s="439"/>
      <c r="AV52" s="439"/>
      <c r="AW52" s="440"/>
      <c r="AX52" s="441"/>
      <c r="AY52" s="441"/>
      <c r="AZ52" s="441"/>
      <c r="BA52" s="441"/>
      <c r="BB52" s="441"/>
      <c r="BC52" s="442"/>
      <c r="BD52" s="443"/>
      <c r="BE52" s="441"/>
      <c r="BF52" s="441"/>
      <c r="BG52" s="441"/>
      <c r="BH52" s="441"/>
      <c r="BI52" s="441"/>
      <c r="BJ52" s="442"/>
      <c r="BK52" s="430"/>
    </row>
    <row r="53" spans="1:63" ht="15" customHeight="1" x14ac:dyDescent="0.25">
      <c r="A53" s="429"/>
      <c r="B53" s="405"/>
      <c r="C53" s="406"/>
      <c r="D53" s="406"/>
      <c r="E53" s="406"/>
      <c r="F53" s="406"/>
      <c r="G53" s="407"/>
      <c r="H53" s="405"/>
      <c r="I53" s="406"/>
      <c r="J53" s="406"/>
      <c r="K53" s="406"/>
      <c r="L53" s="406"/>
      <c r="M53" s="406"/>
      <c r="N53" s="407"/>
      <c r="O53" s="405"/>
      <c r="P53" s="406"/>
      <c r="Q53" s="406"/>
      <c r="R53" s="406"/>
      <c r="S53" s="432"/>
      <c r="T53" s="433"/>
      <c r="U53" s="433"/>
      <c r="V53" s="433"/>
      <c r="W53" s="433"/>
      <c r="X53" s="433"/>
      <c r="Y53" s="433"/>
      <c r="Z53" s="433"/>
      <c r="AA53" s="433"/>
      <c r="AB53" s="433"/>
      <c r="AC53" s="433"/>
      <c r="AD53" s="433"/>
      <c r="AE53" s="433"/>
      <c r="AF53" s="433"/>
      <c r="AG53" s="433"/>
      <c r="AH53" s="433"/>
      <c r="AI53" s="433"/>
      <c r="AJ53" s="433"/>
      <c r="AK53" s="433"/>
      <c r="AL53" s="433"/>
      <c r="AM53" s="433"/>
      <c r="AN53" s="433"/>
      <c r="AO53" s="433"/>
      <c r="AP53" s="433"/>
      <c r="AQ53" s="433"/>
      <c r="AR53" s="433"/>
      <c r="AS53" s="433"/>
      <c r="AT53" s="433"/>
      <c r="AU53" s="433"/>
      <c r="AV53" s="433"/>
      <c r="AW53" s="434"/>
      <c r="AX53" s="435"/>
      <c r="AY53" s="435"/>
      <c r="AZ53" s="435"/>
      <c r="BA53" s="435"/>
      <c r="BB53" s="435"/>
      <c r="BC53" s="436"/>
      <c r="BD53" s="437"/>
      <c r="BE53" s="435"/>
      <c r="BF53" s="435"/>
      <c r="BG53" s="435"/>
      <c r="BH53" s="435"/>
      <c r="BI53" s="435"/>
      <c r="BJ53" s="436"/>
      <c r="BK53" s="430"/>
    </row>
    <row r="54" spans="1:63" ht="15" customHeight="1" x14ac:dyDescent="0.25">
      <c r="A54" s="429"/>
      <c r="B54" s="414"/>
      <c r="C54" s="415"/>
      <c r="D54" s="415"/>
      <c r="E54" s="415"/>
      <c r="F54" s="415"/>
      <c r="G54" s="416"/>
      <c r="H54" s="414"/>
      <c r="I54" s="415"/>
      <c r="J54" s="415"/>
      <c r="K54" s="415"/>
      <c r="L54" s="415"/>
      <c r="M54" s="415"/>
      <c r="N54" s="416"/>
      <c r="O54" s="414"/>
      <c r="P54" s="415"/>
      <c r="Q54" s="415"/>
      <c r="R54" s="415"/>
      <c r="S54" s="438"/>
      <c r="T54" s="439"/>
      <c r="U54" s="439"/>
      <c r="V54" s="439"/>
      <c r="W54" s="439"/>
      <c r="X54" s="439"/>
      <c r="Y54" s="439"/>
      <c r="Z54" s="439"/>
      <c r="AA54" s="439"/>
      <c r="AB54" s="439"/>
      <c r="AC54" s="439"/>
      <c r="AD54" s="439"/>
      <c r="AE54" s="439"/>
      <c r="AF54" s="439"/>
      <c r="AG54" s="439"/>
      <c r="AH54" s="439"/>
      <c r="AI54" s="439"/>
      <c r="AJ54" s="439"/>
      <c r="AK54" s="439"/>
      <c r="AL54" s="439"/>
      <c r="AM54" s="439"/>
      <c r="AN54" s="439"/>
      <c r="AO54" s="439"/>
      <c r="AP54" s="439"/>
      <c r="AQ54" s="439"/>
      <c r="AR54" s="439"/>
      <c r="AS54" s="439"/>
      <c r="AT54" s="439"/>
      <c r="AU54" s="439"/>
      <c r="AV54" s="439"/>
      <c r="AW54" s="440"/>
      <c r="AX54" s="441"/>
      <c r="AY54" s="441"/>
      <c r="AZ54" s="441"/>
      <c r="BA54" s="441"/>
      <c r="BB54" s="441"/>
      <c r="BC54" s="442"/>
      <c r="BD54" s="443"/>
      <c r="BE54" s="441"/>
      <c r="BF54" s="441"/>
      <c r="BG54" s="441"/>
      <c r="BH54" s="441"/>
      <c r="BI54" s="441"/>
      <c r="BJ54" s="442"/>
      <c r="BK54" s="430"/>
    </row>
    <row r="55" spans="1:63" ht="15" customHeight="1" x14ac:dyDescent="0.25">
      <c r="A55" s="426"/>
      <c r="B55" s="427"/>
      <c r="C55" s="427"/>
      <c r="D55" s="427"/>
      <c r="E55" s="427"/>
      <c r="F55" s="427"/>
      <c r="G55" s="427"/>
      <c r="H55" s="427"/>
      <c r="I55" s="427"/>
      <c r="J55" s="427"/>
      <c r="K55" s="427"/>
      <c r="L55" s="427"/>
      <c r="M55" s="427"/>
      <c r="N55" s="427"/>
      <c r="O55" s="427"/>
      <c r="P55" s="427"/>
      <c r="Q55" s="427"/>
      <c r="R55" s="427"/>
      <c r="S55" s="427"/>
      <c r="T55" s="427"/>
      <c r="U55" s="427"/>
      <c r="V55" s="427"/>
      <c r="W55" s="427"/>
      <c r="X55" s="427"/>
      <c r="Y55" s="427"/>
      <c r="Z55" s="427"/>
      <c r="AA55" s="427"/>
      <c r="AB55" s="427"/>
      <c r="AC55" s="427"/>
      <c r="AD55" s="427"/>
      <c r="AE55" s="427"/>
      <c r="AF55" s="427"/>
      <c r="AG55" s="427"/>
      <c r="AH55" s="427"/>
      <c r="AI55" s="427"/>
      <c r="AJ55" s="427"/>
      <c r="AK55" s="427"/>
      <c r="AL55" s="427"/>
      <c r="AM55" s="427"/>
      <c r="AN55" s="427"/>
      <c r="AO55" s="427"/>
      <c r="AP55" s="427"/>
      <c r="AQ55" s="427"/>
      <c r="AR55" s="427"/>
      <c r="AS55" s="427"/>
      <c r="AT55" s="427"/>
      <c r="AU55" s="427"/>
      <c r="AV55" s="427"/>
      <c r="AW55" s="427"/>
      <c r="AX55" s="427"/>
      <c r="AY55" s="427"/>
      <c r="AZ55" s="427"/>
      <c r="BA55" s="427"/>
      <c r="BB55" s="427"/>
      <c r="BC55" s="427"/>
      <c r="BD55" s="427"/>
      <c r="BE55" s="427"/>
      <c r="BF55" s="427"/>
      <c r="BG55" s="427"/>
      <c r="BH55" s="427"/>
      <c r="BI55" s="427"/>
      <c r="BJ55" s="427"/>
      <c r="BK55" s="428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9AF8E-7CE1-4647-AF0A-6B4556B7164E}">
  <sheetPr>
    <pageSetUpPr fitToPage="1"/>
  </sheetPr>
  <dimension ref="A1:BK97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30"/>
  </cols>
  <sheetData>
    <row r="1" spans="1:63" ht="24.95" customHeight="1" x14ac:dyDescent="0.25">
      <c r="A1" s="457" t="s">
        <v>333</v>
      </c>
      <c r="B1" s="458"/>
      <c r="C1" s="458"/>
      <c r="D1" s="458"/>
      <c r="E1" s="458"/>
      <c r="F1" s="458"/>
      <c r="G1" s="458"/>
      <c r="H1" s="458"/>
      <c r="I1" s="458"/>
      <c r="J1" s="459"/>
      <c r="K1" s="457" t="s">
        <v>334</v>
      </c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9"/>
      <c r="W1" s="460" t="str">
        <f>IF(表紙!W1="","",表紙!W1)</f>
        <v>詳細設計書</v>
      </c>
      <c r="X1" s="461"/>
      <c r="Y1" s="461"/>
      <c r="Z1" s="461"/>
      <c r="AA1" s="461"/>
      <c r="AB1" s="461"/>
      <c r="AC1" s="461"/>
      <c r="AD1" s="461"/>
      <c r="AE1" s="461"/>
      <c r="AF1" s="461"/>
      <c r="AG1" s="461"/>
      <c r="AH1" s="461"/>
      <c r="AI1" s="461"/>
      <c r="AJ1" s="461"/>
      <c r="AK1" s="461"/>
      <c r="AL1" s="461"/>
      <c r="AM1" s="461"/>
      <c r="AN1" s="461"/>
      <c r="AO1" s="462"/>
      <c r="AP1" s="398" t="s">
        <v>335</v>
      </c>
      <c r="AQ1" s="399"/>
      <c r="AR1" s="399"/>
      <c r="AS1" s="400"/>
      <c r="AT1" s="398" t="s">
        <v>336</v>
      </c>
      <c r="AU1" s="399"/>
      <c r="AV1" s="399"/>
      <c r="AW1" s="399"/>
      <c r="AX1" s="400"/>
      <c r="AY1" s="398" t="s">
        <v>337</v>
      </c>
      <c r="AZ1" s="399"/>
      <c r="BA1" s="399"/>
      <c r="BB1" s="400"/>
      <c r="BC1" s="398" t="s">
        <v>338</v>
      </c>
      <c r="BD1" s="399"/>
      <c r="BE1" s="399"/>
      <c r="BF1" s="399"/>
      <c r="BG1" s="400"/>
      <c r="BH1" s="398" t="s">
        <v>339</v>
      </c>
      <c r="BI1" s="399"/>
      <c r="BJ1" s="399"/>
      <c r="BK1" s="400"/>
    </row>
    <row r="2" spans="1:63" ht="15" customHeight="1" x14ac:dyDescent="0.25">
      <c r="A2" s="97" t="str">
        <f>IF(表紙!A2="","",表紙!A2)</f>
        <v>POSサーバー</v>
      </c>
      <c r="B2" s="98"/>
      <c r="C2" s="98"/>
      <c r="D2" s="98"/>
      <c r="E2" s="98"/>
      <c r="F2" s="98"/>
      <c r="G2" s="98"/>
      <c r="H2" s="98"/>
      <c r="I2" s="98"/>
      <c r="J2" s="99"/>
      <c r="K2" s="97" t="str">
        <f>IF(表紙!K2="","",表紙!K2)</f>
        <v>POSサーバ</v>
      </c>
      <c r="L2" s="98"/>
      <c r="M2" s="98"/>
      <c r="N2" s="98"/>
      <c r="O2" s="98"/>
      <c r="P2" s="98"/>
      <c r="Q2" s="98"/>
      <c r="R2" s="98"/>
      <c r="S2" s="98"/>
      <c r="T2" s="98"/>
      <c r="U2" s="98"/>
      <c r="V2" s="99"/>
      <c r="W2" s="463"/>
      <c r="X2" s="464"/>
      <c r="Y2" s="464"/>
      <c r="Z2" s="464"/>
      <c r="AA2" s="464"/>
      <c r="AB2" s="464"/>
      <c r="AC2" s="464"/>
      <c r="AD2" s="464"/>
      <c r="AE2" s="464"/>
      <c r="AF2" s="464"/>
      <c r="AG2" s="464"/>
      <c r="AH2" s="464"/>
      <c r="AI2" s="464"/>
      <c r="AJ2" s="464"/>
      <c r="AK2" s="464"/>
      <c r="AL2" s="464"/>
      <c r="AM2" s="464"/>
      <c r="AN2" s="464"/>
      <c r="AO2" s="465"/>
      <c r="AP2" s="405" t="str">
        <f>IF(表紙!AP2="","",表紙!AP2)</f>
        <v>TinNH</v>
      </c>
      <c r="AQ2" s="406"/>
      <c r="AR2" s="406"/>
      <c r="AS2" s="407"/>
      <c r="AT2" s="411">
        <f>IF(表紙!AT2="","",表紙!AT2)</f>
        <v>45478</v>
      </c>
      <c r="AU2" s="412"/>
      <c r="AV2" s="412"/>
      <c r="AW2" s="412"/>
      <c r="AX2" s="413"/>
      <c r="AY2" s="405" t="str">
        <f>IF(表紙!AY2="","",表紙!AY2)</f>
        <v>DuNT</v>
      </c>
      <c r="AZ2" s="406"/>
      <c r="BA2" s="406"/>
      <c r="BB2" s="407"/>
      <c r="BC2" s="411">
        <f>IF(表紙!BC2="","",表紙!BC2)</f>
        <v>45644</v>
      </c>
      <c r="BD2" s="412"/>
      <c r="BE2" s="412"/>
      <c r="BF2" s="412"/>
      <c r="BG2" s="413"/>
      <c r="BH2" s="405">
        <f>IF(表紙!BH2="","",表紙!BH2)</f>
        <v>0.13</v>
      </c>
      <c r="BI2" s="406"/>
      <c r="BJ2" s="406"/>
      <c r="BK2" s="407"/>
    </row>
    <row r="3" spans="1:63" ht="15" customHeight="1" x14ac:dyDescent="0.25">
      <c r="A3" s="100"/>
      <c r="B3" s="101"/>
      <c r="C3" s="101"/>
      <c r="D3" s="101"/>
      <c r="E3" s="101"/>
      <c r="F3" s="101"/>
      <c r="G3" s="101"/>
      <c r="H3" s="101"/>
      <c r="I3" s="101"/>
      <c r="J3" s="102"/>
      <c r="K3" s="100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2"/>
      <c r="W3" s="466"/>
      <c r="X3" s="467"/>
      <c r="Y3" s="467"/>
      <c r="Z3" s="467"/>
      <c r="AA3" s="467"/>
      <c r="AB3" s="467"/>
      <c r="AC3" s="467"/>
      <c r="AD3" s="467"/>
      <c r="AE3" s="467"/>
      <c r="AF3" s="467"/>
      <c r="AG3" s="467"/>
      <c r="AH3" s="467"/>
      <c r="AI3" s="467"/>
      <c r="AJ3" s="467"/>
      <c r="AK3" s="467"/>
      <c r="AL3" s="467"/>
      <c r="AM3" s="467"/>
      <c r="AN3" s="467"/>
      <c r="AO3" s="468"/>
      <c r="AP3" s="414"/>
      <c r="AQ3" s="415"/>
      <c r="AR3" s="415"/>
      <c r="AS3" s="416"/>
      <c r="AT3" s="420"/>
      <c r="AU3" s="421"/>
      <c r="AV3" s="421"/>
      <c r="AW3" s="421"/>
      <c r="AX3" s="422"/>
      <c r="AY3" s="414"/>
      <c r="AZ3" s="415"/>
      <c r="BA3" s="415"/>
      <c r="BB3" s="416"/>
      <c r="BC3" s="420"/>
      <c r="BD3" s="421"/>
      <c r="BE3" s="421"/>
      <c r="BF3" s="421"/>
      <c r="BG3" s="422"/>
      <c r="BH3" s="414"/>
      <c r="BI3" s="415"/>
      <c r="BJ3" s="415"/>
      <c r="BK3" s="416"/>
    </row>
    <row r="4" spans="1:63" ht="24.95" customHeight="1" x14ac:dyDescent="0.25">
      <c r="A4" s="457" t="s">
        <v>340</v>
      </c>
      <c r="B4" s="458"/>
      <c r="C4" s="458"/>
      <c r="D4" s="458"/>
      <c r="E4" s="458"/>
      <c r="F4" s="458"/>
      <c r="G4" s="459"/>
      <c r="H4" s="115" t="str">
        <f>IF(表紙!H4="","",表紙!H4)</f>
        <v>01_商品管理</v>
      </c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7"/>
      <c r="U4" s="457" t="s">
        <v>341</v>
      </c>
      <c r="V4" s="458"/>
      <c r="W4" s="458"/>
      <c r="X4" s="458"/>
      <c r="Y4" s="459"/>
      <c r="Z4" s="115" t="str">
        <f>IF(表紙!Z4="","",表紙!Z4)</f>
        <v>画面設計書</v>
      </c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7"/>
      <c r="AP4" s="118" t="str">
        <f ca="1">MID(CELL("filename",A1),FIND("]",CELL("filename",A1))+1,255)</f>
        <v>SC0101</v>
      </c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7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4"/>
      <c r="BK6" s="35"/>
    </row>
    <row r="7" spans="1:63" ht="15" customHeight="1" x14ac:dyDescent="0.25">
      <c r="A7" s="34"/>
      <c r="B7" s="37" t="s">
        <v>349</v>
      </c>
      <c r="C7" s="469"/>
      <c r="D7" s="469"/>
      <c r="E7" s="469"/>
      <c r="F7" s="469"/>
      <c r="G7" s="469"/>
      <c r="H7" s="469"/>
      <c r="I7" s="469"/>
      <c r="J7" s="469"/>
      <c r="AE7" s="37"/>
      <c r="BK7" s="35"/>
    </row>
    <row r="8" spans="1:63" ht="15" customHeight="1" x14ac:dyDescent="0.25">
      <c r="A8" s="34"/>
      <c r="BK8" s="35"/>
    </row>
    <row r="9" spans="1:63" ht="15" customHeight="1" x14ac:dyDescent="0.25">
      <c r="A9" s="34"/>
      <c r="BK9" s="35"/>
    </row>
    <row r="10" spans="1:63" ht="15" customHeight="1" x14ac:dyDescent="0.25">
      <c r="A10" s="34"/>
      <c r="BK10" s="35"/>
    </row>
    <row r="11" spans="1:63" ht="15" customHeight="1" x14ac:dyDescent="0.25">
      <c r="A11" s="34"/>
      <c r="BK11" s="35"/>
    </row>
    <row r="12" spans="1:63" ht="15" customHeight="1" x14ac:dyDescent="0.25">
      <c r="A12" s="34"/>
      <c r="BK12" s="35"/>
    </row>
    <row r="13" spans="1:63" ht="15" customHeight="1" x14ac:dyDescent="0.25">
      <c r="A13" s="34"/>
      <c r="BK13" s="35"/>
    </row>
    <row r="14" spans="1:63" ht="15" customHeight="1" x14ac:dyDescent="0.25">
      <c r="A14" s="34"/>
      <c r="BK14" s="35"/>
    </row>
    <row r="15" spans="1:63" ht="15" customHeight="1" x14ac:dyDescent="0.25">
      <c r="A15" s="34"/>
      <c r="BK15" s="35"/>
    </row>
    <row r="16" spans="1:63" ht="15" customHeight="1" x14ac:dyDescent="0.25">
      <c r="A16" s="34"/>
      <c r="BK16" s="35"/>
    </row>
    <row r="17" spans="1:63" ht="15" customHeight="1" x14ac:dyDescent="0.25">
      <c r="A17" s="34"/>
      <c r="BK17" s="35"/>
    </row>
    <row r="18" spans="1:63" ht="15" customHeight="1" x14ac:dyDescent="0.25">
      <c r="A18" s="34"/>
      <c r="BK18" s="35"/>
    </row>
    <row r="19" spans="1:63" ht="15" customHeight="1" x14ac:dyDescent="0.25">
      <c r="A19" s="34"/>
      <c r="BK19" s="35"/>
    </row>
    <row r="20" spans="1:63" ht="15" customHeight="1" x14ac:dyDescent="0.25">
      <c r="A20" s="34"/>
      <c r="BK20" s="35"/>
    </row>
    <row r="21" spans="1:63" ht="15" customHeight="1" x14ac:dyDescent="0.25">
      <c r="A21" s="34"/>
      <c r="BK21" s="35"/>
    </row>
    <row r="22" spans="1:63" ht="15" customHeight="1" x14ac:dyDescent="0.25">
      <c r="A22" s="34"/>
      <c r="BK22" s="35"/>
    </row>
    <row r="23" spans="1:63" ht="15" customHeight="1" x14ac:dyDescent="0.25">
      <c r="A23" s="34"/>
      <c r="BK23" s="35"/>
    </row>
    <row r="24" spans="1:63" ht="15" customHeight="1" x14ac:dyDescent="0.25">
      <c r="A24" s="34"/>
      <c r="BK24" s="35"/>
    </row>
    <row r="25" spans="1:63" ht="15" customHeight="1" x14ac:dyDescent="0.25">
      <c r="A25" s="34"/>
      <c r="BK25" s="35"/>
    </row>
    <row r="26" spans="1:63" ht="15" customHeight="1" x14ac:dyDescent="0.25">
      <c r="A26" s="34"/>
      <c r="BK26" s="35"/>
    </row>
    <row r="27" spans="1:63" ht="15" customHeight="1" x14ac:dyDescent="0.25">
      <c r="A27" s="34"/>
      <c r="BK27" s="35"/>
    </row>
    <row r="28" spans="1:63" ht="15" customHeight="1" x14ac:dyDescent="0.25">
      <c r="A28" s="34"/>
      <c r="BK28" s="35"/>
    </row>
    <row r="29" spans="1:63" ht="15" customHeight="1" x14ac:dyDescent="0.25">
      <c r="A29" s="34"/>
      <c r="BK29" s="35"/>
    </row>
    <row r="30" spans="1:63" ht="15" customHeight="1" x14ac:dyDescent="0.25">
      <c r="A30" s="34"/>
      <c r="BK30" s="35"/>
    </row>
    <row r="31" spans="1:63" ht="14.25" customHeight="1" x14ac:dyDescent="0.25">
      <c r="A31" s="34"/>
      <c r="BK31" s="35"/>
    </row>
    <row r="32" spans="1:63" ht="14.25" customHeight="1" x14ac:dyDescent="0.25">
      <c r="A32" s="34"/>
      <c r="BK32" s="35"/>
    </row>
    <row r="33" spans="1:63" ht="14.25" customHeight="1" x14ac:dyDescent="0.25">
      <c r="A33" s="34"/>
      <c r="BK33" s="35"/>
    </row>
    <row r="34" spans="1:63" ht="14.25" customHeight="1" x14ac:dyDescent="0.25">
      <c r="A34" s="34"/>
      <c r="BK34" s="35"/>
    </row>
    <row r="35" spans="1:63" ht="14.25" customHeight="1" x14ac:dyDescent="0.25">
      <c r="A35" s="34"/>
      <c r="BK35" s="35"/>
    </row>
    <row r="36" spans="1:63" ht="14.25" customHeight="1" x14ac:dyDescent="0.25">
      <c r="A36" s="34"/>
      <c r="BK36" s="35"/>
    </row>
    <row r="37" spans="1:63" ht="14.25" customHeight="1" x14ac:dyDescent="0.25">
      <c r="A37" s="34"/>
      <c r="BK37" s="35"/>
    </row>
    <row r="38" spans="1:63" ht="14.25" customHeight="1" x14ac:dyDescent="0.25">
      <c r="A38" s="34"/>
      <c r="BK38" s="35"/>
    </row>
    <row r="39" spans="1:63" ht="15" customHeight="1" x14ac:dyDescent="0.25">
      <c r="A39" s="34"/>
      <c r="BK39" s="35"/>
    </row>
    <row r="40" spans="1:63" ht="15" customHeight="1" x14ac:dyDescent="0.25">
      <c r="A40" s="34"/>
      <c r="BK40" s="35"/>
    </row>
    <row r="41" spans="1:63" x14ac:dyDescent="0.25">
      <c r="A41" s="34"/>
      <c r="BK41" s="35"/>
    </row>
    <row r="42" spans="1:63" x14ac:dyDescent="0.25">
      <c r="A42" s="34"/>
      <c r="BK42" s="35"/>
    </row>
    <row r="43" spans="1:63" x14ac:dyDescent="0.25">
      <c r="A43" s="34"/>
      <c r="BK43" s="35"/>
    </row>
    <row r="44" spans="1:63" x14ac:dyDescent="0.25">
      <c r="A44" s="34"/>
      <c r="BK44" s="35"/>
    </row>
    <row r="45" spans="1:63" x14ac:dyDescent="0.25">
      <c r="A45" s="34"/>
      <c r="BK45" s="35"/>
    </row>
    <row r="46" spans="1:63" x14ac:dyDescent="0.25">
      <c r="A46" s="34"/>
      <c r="BK46" s="35"/>
    </row>
    <row r="47" spans="1:63" x14ac:dyDescent="0.25">
      <c r="A47" s="34"/>
      <c r="BK47" s="35"/>
    </row>
    <row r="48" spans="1:63" x14ac:dyDescent="0.25">
      <c r="A48" s="34"/>
      <c r="BK48" s="35"/>
    </row>
    <row r="49" spans="1:63" x14ac:dyDescent="0.25">
      <c r="A49" s="34"/>
      <c r="BK49" s="35"/>
    </row>
    <row r="50" spans="1:63" ht="15" customHeight="1" x14ac:dyDescent="0.25">
      <c r="A50" s="34"/>
      <c r="B50" s="37" t="s">
        <v>350</v>
      </c>
      <c r="BK50" s="35"/>
    </row>
    <row r="51" spans="1:63" x14ac:dyDescent="0.25">
      <c r="A51" s="34"/>
      <c r="BK51" s="35"/>
    </row>
    <row r="52" spans="1:63" ht="15.75" customHeight="1" x14ac:dyDescent="0.25">
      <c r="A52" s="34"/>
      <c r="B52" s="119" t="s">
        <v>351</v>
      </c>
      <c r="C52" s="120"/>
      <c r="D52" s="125" t="s">
        <v>352</v>
      </c>
      <c r="E52" s="126"/>
      <c r="F52" s="126"/>
      <c r="G52" s="126"/>
      <c r="H52" s="126"/>
      <c r="I52" s="126"/>
      <c r="J52" s="120"/>
      <c r="K52" s="125" t="s">
        <v>353</v>
      </c>
      <c r="L52" s="126"/>
      <c r="M52" s="120"/>
      <c r="N52" s="129" t="s">
        <v>18</v>
      </c>
      <c r="O52" s="132" t="s">
        <v>354</v>
      </c>
      <c r="P52" s="150" t="s">
        <v>355</v>
      </c>
      <c r="Q52" s="151"/>
      <c r="R52" s="151"/>
      <c r="S52" s="151"/>
      <c r="T52" s="151"/>
      <c r="U52" s="151"/>
      <c r="V52" s="151"/>
      <c r="W52" s="151"/>
      <c r="X52" s="151"/>
      <c r="Y52" s="151"/>
      <c r="Z52" s="151"/>
      <c r="AA52" s="151"/>
      <c r="AB52" s="151"/>
      <c r="AC52" s="151"/>
      <c r="AD52" s="151"/>
      <c r="AE52" s="151"/>
      <c r="AF52" s="151"/>
      <c r="AG52" s="151"/>
      <c r="AH52" s="151"/>
      <c r="AI52" s="151"/>
      <c r="AJ52" s="151"/>
      <c r="AK52" s="151"/>
      <c r="AL52" s="151"/>
      <c r="AM52" s="151"/>
      <c r="AN52" s="151"/>
      <c r="AO52" s="151"/>
      <c r="AP52" s="151"/>
      <c r="AQ52" s="152"/>
      <c r="AR52" s="135" t="s">
        <v>356</v>
      </c>
      <c r="AS52" s="136"/>
      <c r="AT52" s="136"/>
      <c r="AU52" s="136"/>
      <c r="AV52" s="136"/>
      <c r="AW52" s="136"/>
      <c r="AX52" s="136"/>
      <c r="AY52" s="136"/>
      <c r="AZ52" s="136"/>
      <c r="BA52" s="136"/>
      <c r="BB52" s="139"/>
      <c r="BC52" s="153" t="s">
        <v>357</v>
      </c>
      <c r="BD52" s="154"/>
      <c r="BE52" s="154"/>
      <c r="BF52" s="154"/>
      <c r="BG52" s="154"/>
      <c r="BH52" s="154"/>
      <c r="BI52" s="154"/>
      <c r="BJ52" s="155"/>
      <c r="BK52" s="35"/>
    </row>
    <row r="53" spans="1:63" ht="15.75" customHeight="1" x14ac:dyDescent="0.25">
      <c r="A53" s="34"/>
      <c r="B53" s="121"/>
      <c r="C53" s="122"/>
      <c r="D53" s="121"/>
      <c r="E53" s="127"/>
      <c r="F53" s="127"/>
      <c r="G53" s="127"/>
      <c r="H53" s="127"/>
      <c r="I53" s="127"/>
      <c r="J53" s="122"/>
      <c r="K53" s="121"/>
      <c r="L53" s="127"/>
      <c r="M53" s="122"/>
      <c r="N53" s="130"/>
      <c r="O53" s="133"/>
      <c r="P53" s="162" t="s">
        <v>358</v>
      </c>
      <c r="Q53" s="163"/>
      <c r="R53" s="163"/>
      <c r="S53" s="163"/>
      <c r="T53" s="163"/>
      <c r="U53" s="163"/>
      <c r="V53" s="163"/>
      <c r="W53" s="164"/>
      <c r="X53" s="165" t="s">
        <v>359</v>
      </c>
      <c r="Y53" s="166"/>
      <c r="Z53" s="167"/>
      <c r="AA53" s="165" t="s">
        <v>360</v>
      </c>
      <c r="AB53" s="166"/>
      <c r="AC53" s="166"/>
      <c r="AD53" s="166"/>
      <c r="AE53" s="166"/>
      <c r="AF53" s="166"/>
      <c r="AG53" s="166"/>
      <c r="AH53" s="167"/>
      <c r="AI53" s="165" t="s">
        <v>361</v>
      </c>
      <c r="AJ53" s="166"/>
      <c r="AK53" s="166"/>
      <c r="AL53" s="166"/>
      <c r="AM53" s="166"/>
      <c r="AN53" s="166"/>
      <c r="AO53" s="166"/>
      <c r="AP53" s="166"/>
      <c r="AQ53" s="167"/>
      <c r="AR53" s="171" t="s">
        <v>26</v>
      </c>
      <c r="AS53" s="173" t="s">
        <v>362</v>
      </c>
      <c r="AT53" s="175" t="s">
        <v>363</v>
      </c>
      <c r="AU53" s="135" t="s">
        <v>358</v>
      </c>
      <c r="AV53" s="136"/>
      <c r="AW53" s="136"/>
      <c r="AX53" s="136"/>
      <c r="AY53" s="136"/>
      <c r="AZ53" s="136"/>
      <c r="BA53" s="136"/>
      <c r="BB53" s="139"/>
      <c r="BC53" s="156"/>
      <c r="BD53" s="157"/>
      <c r="BE53" s="157"/>
      <c r="BF53" s="157"/>
      <c r="BG53" s="157"/>
      <c r="BH53" s="157"/>
      <c r="BI53" s="157"/>
      <c r="BJ53" s="158"/>
      <c r="BK53" s="35"/>
    </row>
    <row r="54" spans="1:63" x14ac:dyDescent="0.25">
      <c r="A54" s="34"/>
      <c r="B54" s="123"/>
      <c r="C54" s="124"/>
      <c r="D54" s="123"/>
      <c r="E54" s="128"/>
      <c r="F54" s="128"/>
      <c r="G54" s="128"/>
      <c r="H54" s="128"/>
      <c r="I54" s="128"/>
      <c r="J54" s="124"/>
      <c r="K54" s="123"/>
      <c r="L54" s="128"/>
      <c r="M54" s="124"/>
      <c r="N54" s="131"/>
      <c r="O54" s="134"/>
      <c r="P54" s="150" t="s">
        <v>364</v>
      </c>
      <c r="Q54" s="151"/>
      <c r="R54" s="151"/>
      <c r="S54" s="152"/>
      <c r="T54" s="150" t="s">
        <v>352</v>
      </c>
      <c r="U54" s="151"/>
      <c r="V54" s="151"/>
      <c r="W54" s="152"/>
      <c r="X54" s="168"/>
      <c r="Y54" s="169"/>
      <c r="Z54" s="170"/>
      <c r="AA54" s="168"/>
      <c r="AB54" s="169"/>
      <c r="AC54" s="169"/>
      <c r="AD54" s="169"/>
      <c r="AE54" s="169"/>
      <c r="AF54" s="169"/>
      <c r="AG54" s="169"/>
      <c r="AH54" s="170"/>
      <c r="AI54" s="168"/>
      <c r="AJ54" s="169"/>
      <c r="AK54" s="169"/>
      <c r="AL54" s="169"/>
      <c r="AM54" s="169"/>
      <c r="AN54" s="169"/>
      <c r="AO54" s="169"/>
      <c r="AP54" s="169"/>
      <c r="AQ54" s="170"/>
      <c r="AR54" s="172"/>
      <c r="AS54" s="174"/>
      <c r="AT54" s="176"/>
      <c r="AU54" s="135" t="s">
        <v>364</v>
      </c>
      <c r="AV54" s="136"/>
      <c r="AW54" s="136"/>
      <c r="AX54" s="137"/>
      <c r="AY54" s="138" t="s">
        <v>352</v>
      </c>
      <c r="AZ54" s="136"/>
      <c r="BA54" s="136"/>
      <c r="BB54" s="139"/>
      <c r="BC54" s="159"/>
      <c r="BD54" s="160"/>
      <c r="BE54" s="160"/>
      <c r="BF54" s="160"/>
      <c r="BG54" s="160"/>
      <c r="BH54" s="160"/>
      <c r="BI54" s="160"/>
      <c r="BJ54" s="161"/>
      <c r="BK54" s="35"/>
    </row>
    <row r="55" spans="1:63" ht="32.25" customHeight="1" x14ac:dyDescent="0.25">
      <c r="A55" s="34"/>
      <c r="B55" s="140">
        <v>0</v>
      </c>
      <c r="C55" s="141"/>
      <c r="D55" s="142" t="s">
        <v>44</v>
      </c>
      <c r="E55" s="143"/>
      <c r="F55" s="143"/>
      <c r="G55" s="143"/>
      <c r="H55" s="143"/>
      <c r="I55" s="143"/>
      <c r="J55" s="144"/>
      <c r="K55" s="145" t="s">
        <v>29</v>
      </c>
      <c r="L55" s="146"/>
      <c r="M55" s="147"/>
      <c r="N55" s="38" t="s">
        <v>30</v>
      </c>
      <c r="O55" s="39" t="s">
        <v>31</v>
      </c>
      <c r="P55" s="148" t="s">
        <v>30</v>
      </c>
      <c r="Q55" s="149"/>
      <c r="R55" s="149"/>
      <c r="S55" s="141"/>
      <c r="T55" s="148" t="s">
        <v>30</v>
      </c>
      <c r="U55" s="149"/>
      <c r="V55" s="149"/>
      <c r="W55" s="141"/>
      <c r="X55" s="177" t="s">
        <v>365</v>
      </c>
      <c r="Y55" s="178"/>
      <c r="Z55" s="179"/>
      <c r="AA55" s="140" t="s">
        <v>32</v>
      </c>
      <c r="AB55" s="149"/>
      <c r="AC55" s="149"/>
      <c r="AD55" s="149"/>
      <c r="AE55" s="149"/>
      <c r="AF55" s="149"/>
      <c r="AG55" s="149"/>
      <c r="AH55" s="141"/>
      <c r="AI55" s="180" t="s">
        <v>30</v>
      </c>
      <c r="AJ55" s="181"/>
      <c r="AK55" s="181"/>
      <c r="AL55" s="181"/>
      <c r="AM55" s="181"/>
      <c r="AN55" s="181"/>
      <c r="AO55" s="181"/>
      <c r="AP55" s="181"/>
      <c r="AQ55" s="182"/>
      <c r="AR55" s="40" t="s">
        <v>30</v>
      </c>
      <c r="AS55" s="40" t="s">
        <v>32</v>
      </c>
      <c r="AT55" s="40" t="s">
        <v>32</v>
      </c>
      <c r="AU55" s="140" t="s">
        <v>33</v>
      </c>
      <c r="AV55" s="149"/>
      <c r="AW55" s="149"/>
      <c r="AX55" s="141"/>
      <c r="AY55" s="140" t="s">
        <v>32</v>
      </c>
      <c r="AZ55" s="149"/>
      <c r="BA55" s="149"/>
      <c r="BB55" s="141"/>
      <c r="BC55" s="183" t="s">
        <v>366</v>
      </c>
      <c r="BD55" s="470"/>
      <c r="BE55" s="470"/>
      <c r="BF55" s="470"/>
      <c r="BG55" s="470"/>
      <c r="BH55" s="470"/>
      <c r="BI55" s="470"/>
      <c r="BJ55" s="471"/>
      <c r="BK55" s="35"/>
    </row>
    <row r="56" spans="1:63" ht="15.75" customHeight="1" x14ac:dyDescent="0.25">
      <c r="A56" s="34"/>
      <c r="B56" s="195">
        <v>1</v>
      </c>
      <c r="C56" s="196"/>
      <c r="D56" s="197" t="s">
        <v>175</v>
      </c>
      <c r="E56" s="198"/>
      <c r="F56" s="198"/>
      <c r="G56" s="198"/>
      <c r="H56" s="198"/>
      <c r="I56" s="198"/>
      <c r="J56" s="199"/>
      <c r="K56" s="200" t="s">
        <v>367</v>
      </c>
      <c r="L56" s="201"/>
      <c r="M56" s="202"/>
      <c r="N56" s="46" t="s">
        <v>368</v>
      </c>
      <c r="O56" s="45" t="s">
        <v>30</v>
      </c>
      <c r="P56" s="186" t="s">
        <v>33</v>
      </c>
      <c r="Q56" s="187"/>
      <c r="R56" s="187"/>
      <c r="S56" s="188"/>
      <c r="T56" s="203" t="s">
        <v>30</v>
      </c>
      <c r="U56" s="187"/>
      <c r="V56" s="187"/>
      <c r="W56" s="188"/>
      <c r="X56" s="204" t="s">
        <v>30</v>
      </c>
      <c r="Y56" s="205"/>
      <c r="Z56" s="206"/>
      <c r="AA56" s="186" t="s">
        <v>32</v>
      </c>
      <c r="AB56" s="187"/>
      <c r="AC56" s="187"/>
      <c r="AD56" s="187"/>
      <c r="AE56" s="187"/>
      <c r="AF56" s="187"/>
      <c r="AG56" s="187"/>
      <c r="AH56" s="188"/>
      <c r="AI56" s="189" t="s">
        <v>369</v>
      </c>
      <c r="AJ56" s="190"/>
      <c r="AK56" s="190"/>
      <c r="AL56" s="190"/>
      <c r="AM56" s="190"/>
      <c r="AN56" s="190"/>
      <c r="AO56" s="190"/>
      <c r="AP56" s="190"/>
      <c r="AQ56" s="191"/>
      <c r="AR56" s="41" t="s">
        <v>30</v>
      </c>
      <c r="AS56" s="41" t="s">
        <v>32</v>
      </c>
      <c r="AT56" s="41" t="s">
        <v>32</v>
      </c>
      <c r="AU56" s="186" t="s">
        <v>33</v>
      </c>
      <c r="AV56" s="187"/>
      <c r="AW56" s="187"/>
      <c r="AX56" s="188"/>
      <c r="AY56" s="186" t="s">
        <v>32</v>
      </c>
      <c r="AZ56" s="187"/>
      <c r="BA56" s="187"/>
      <c r="BB56" s="188"/>
      <c r="BC56" s="472"/>
      <c r="BD56" s="473"/>
      <c r="BE56" s="473"/>
      <c r="BF56" s="473"/>
      <c r="BG56" s="473"/>
      <c r="BH56" s="473"/>
      <c r="BI56" s="473"/>
      <c r="BJ56" s="474"/>
      <c r="BK56" s="35"/>
    </row>
    <row r="57" spans="1:63" ht="15.75" customHeight="1" x14ac:dyDescent="0.25">
      <c r="A57" s="34"/>
      <c r="B57" s="195">
        <v>2</v>
      </c>
      <c r="C57" s="196"/>
      <c r="D57" s="197" t="s">
        <v>19</v>
      </c>
      <c r="E57" s="198"/>
      <c r="F57" s="198"/>
      <c r="G57" s="198"/>
      <c r="H57" s="198"/>
      <c r="I57" s="198"/>
      <c r="J57" s="199"/>
      <c r="K57" s="200" t="s">
        <v>367</v>
      </c>
      <c r="L57" s="201"/>
      <c r="M57" s="202"/>
      <c r="N57" s="46" t="s">
        <v>368</v>
      </c>
      <c r="O57" s="45" t="s">
        <v>30</v>
      </c>
      <c r="P57" s="186" t="s">
        <v>33</v>
      </c>
      <c r="Q57" s="187"/>
      <c r="R57" s="187"/>
      <c r="S57" s="188"/>
      <c r="T57" s="203" t="s">
        <v>30</v>
      </c>
      <c r="U57" s="187"/>
      <c r="V57" s="187"/>
      <c r="W57" s="188"/>
      <c r="X57" s="204" t="s">
        <v>30</v>
      </c>
      <c r="Y57" s="205"/>
      <c r="Z57" s="206"/>
      <c r="AA57" s="186" t="s">
        <v>32</v>
      </c>
      <c r="AB57" s="187"/>
      <c r="AC57" s="187"/>
      <c r="AD57" s="187"/>
      <c r="AE57" s="187"/>
      <c r="AF57" s="187"/>
      <c r="AG57" s="187"/>
      <c r="AH57" s="188"/>
      <c r="AI57" s="189" t="s">
        <v>370</v>
      </c>
      <c r="AJ57" s="190"/>
      <c r="AK57" s="190"/>
      <c r="AL57" s="190"/>
      <c r="AM57" s="190"/>
      <c r="AN57" s="190"/>
      <c r="AO57" s="190"/>
      <c r="AP57" s="190"/>
      <c r="AQ57" s="191"/>
      <c r="AR57" s="41" t="s">
        <v>30</v>
      </c>
      <c r="AS57" s="41" t="s">
        <v>32</v>
      </c>
      <c r="AT57" s="41" t="s">
        <v>32</v>
      </c>
      <c r="AU57" s="186" t="s">
        <v>33</v>
      </c>
      <c r="AV57" s="187"/>
      <c r="AW57" s="187"/>
      <c r="AX57" s="188"/>
      <c r="AY57" s="186" t="s">
        <v>32</v>
      </c>
      <c r="AZ57" s="187"/>
      <c r="BA57" s="187"/>
      <c r="BB57" s="188"/>
      <c r="BC57" s="472"/>
      <c r="BD57" s="473"/>
      <c r="BE57" s="473"/>
      <c r="BF57" s="473"/>
      <c r="BG57" s="473"/>
      <c r="BH57" s="473"/>
      <c r="BI57" s="473"/>
      <c r="BJ57" s="474"/>
      <c r="BK57" s="35"/>
    </row>
    <row r="58" spans="1:63" ht="15.75" customHeight="1" x14ac:dyDescent="0.25">
      <c r="A58" s="34"/>
      <c r="B58" s="195">
        <v>3</v>
      </c>
      <c r="C58" s="196"/>
      <c r="D58" s="197" t="s">
        <v>176</v>
      </c>
      <c r="E58" s="198"/>
      <c r="F58" s="198"/>
      <c r="G58" s="198"/>
      <c r="H58" s="198"/>
      <c r="I58" s="198"/>
      <c r="J58" s="199"/>
      <c r="K58" s="200" t="s">
        <v>367</v>
      </c>
      <c r="L58" s="201"/>
      <c r="M58" s="202"/>
      <c r="N58" s="46" t="s">
        <v>368</v>
      </c>
      <c r="O58" s="45" t="s">
        <v>30</v>
      </c>
      <c r="P58" s="186" t="s">
        <v>33</v>
      </c>
      <c r="Q58" s="187"/>
      <c r="R58" s="187"/>
      <c r="S58" s="188"/>
      <c r="T58" s="203" t="s">
        <v>30</v>
      </c>
      <c r="U58" s="187"/>
      <c r="V58" s="187"/>
      <c r="W58" s="188"/>
      <c r="X58" s="204" t="s">
        <v>30</v>
      </c>
      <c r="Y58" s="205"/>
      <c r="Z58" s="206"/>
      <c r="AA58" s="186" t="s">
        <v>32</v>
      </c>
      <c r="AB58" s="187"/>
      <c r="AC58" s="187"/>
      <c r="AD58" s="187"/>
      <c r="AE58" s="187"/>
      <c r="AF58" s="187"/>
      <c r="AG58" s="187"/>
      <c r="AH58" s="188"/>
      <c r="AI58" s="189" t="s">
        <v>370</v>
      </c>
      <c r="AJ58" s="190"/>
      <c r="AK58" s="190"/>
      <c r="AL58" s="190"/>
      <c r="AM58" s="190"/>
      <c r="AN58" s="190"/>
      <c r="AO58" s="190"/>
      <c r="AP58" s="190"/>
      <c r="AQ58" s="191"/>
      <c r="AR58" s="41" t="s">
        <v>30</v>
      </c>
      <c r="AS58" s="41" t="s">
        <v>32</v>
      </c>
      <c r="AT58" s="41" t="s">
        <v>32</v>
      </c>
      <c r="AU58" s="186" t="s">
        <v>33</v>
      </c>
      <c r="AV58" s="187"/>
      <c r="AW58" s="187"/>
      <c r="AX58" s="188"/>
      <c r="AY58" s="186" t="s">
        <v>32</v>
      </c>
      <c r="AZ58" s="187"/>
      <c r="BA58" s="187"/>
      <c r="BB58" s="188"/>
      <c r="BC58" s="472"/>
      <c r="BD58" s="473"/>
      <c r="BE58" s="473"/>
      <c r="BF58" s="473"/>
      <c r="BG58" s="473"/>
      <c r="BH58" s="473"/>
      <c r="BI58" s="473"/>
      <c r="BJ58" s="474"/>
      <c r="BK58" s="35"/>
    </row>
    <row r="59" spans="1:63" ht="47.25" customHeight="1" x14ac:dyDescent="0.25">
      <c r="A59" s="34"/>
      <c r="B59" s="195">
        <v>4</v>
      </c>
      <c r="C59" s="196"/>
      <c r="D59" s="197" t="s">
        <v>189</v>
      </c>
      <c r="E59" s="198"/>
      <c r="F59" s="198"/>
      <c r="G59" s="198"/>
      <c r="H59" s="198"/>
      <c r="I59" s="198"/>
      <c r="J59" s="199"/>
      <c r="K59" s="145" t="s">
        <v>29</v>
      </c>
      <c r="L59" s="146"/>
      <c r="M59" s="147"/>
      <c r="N59" s="46" t="s">
        <v>30</v>
      </c>
      <c r="O59" s="39" t="s">
        <v>31</v>
      </c>
      <c r="P59" s="186" t="s">
        <v>33</v>
      </c>
      <c r="Q59" s="187"/>
      <c r="R59" s="187"/>
      <c r="S59" s="188"/>
      <c r="T59" s="203" t="s">
        <v>30</v>
      </c>
      <c r="U59" s="256"/>
      <c r="V59" s="256"/>
      <c r="W59" s="257"/>
      <c r="X59" s="204" t="s">
        <v>177</v>
      </c>
      <c r="Y59" s="254"/>
      <c r="Z59" s="255"/>
      <c r="AA59" s="186" t="s">
        <v>32</v>
      </c>
      <c r="AB59" s="187"/>
      <c r="AC59" s="187"/>
      <c r="AD59" s="187"/>
      <c r="AE59" s="187"/>
      <c r="AF59" s="187"/>
      <c r="AG59" s="187"/>
      <c r="AH59" s="188"/>
      <c r="AI59" s="213" t="s">
        <v>32</v>
      </c>
      <c r="AJ59" s="190"/>
      <c r="AK59" s="190"/>
      <c r="AL59" s="190"/>
      <c r="AM59" s="190"/>
      <c r="AN59" s="190"/>
      <c r="AO59" s="190"/>
      <c r="AP59" s="190"/>
      <c r="AQ59" s="191"/>
      <c r="AR59" s="41" t="s">
        <v>30</v>
      </c>
      <c r="AS59" s="41" t="s">
        <v>32</v>
      </c>
      <c r="AT59" s="41" t="s">
        <v>32</v>
      </c>
      <c r="AU59" s="186" t="s">
        <v>33</v>
      </c>
      <c r="AV59" s="187"/>
      <c r="AW59" s="187"/>
      <c r="AX59" s="188"/>
      <c r="AY59" s="186" t="s">
        <v>32</v>
      </c>
      <c r="AZ59" s="187"/>
      <c r="BA59" s="187"/>
      <c r="BB59" s="188"/>
      <c r="BC59" s="472"/>
      <c r="BD59" s="473"/>
      <c r="BE59" s="473"/>
      <c r="BF59" s="473"/>
      <c r="BG59" s="473"/>
      <c r="BH59" s="473"/>
      <c r="BI59" s="473"/>
      <c r="BJ59" s="474"/>
      <c r="BK59" s="35"/>
    </row>
    <row r="60" spans="1:63" ht="45.75" customHeight="1" x14ac:dyDescent="0.25">
      <c r="A60" s="34"/>
      <c r="B60" s="195">
        <v>5</v>
      </c>
      <c r="C60" s="196"/>
      <c r="D60" s="197" t="s">
        <v>188</v>
      </c>
      <c r="E60" s="198"/>
      <c r="F60" s="198"/>
      <c r="G60" s="198"/>
      <c r="H60" s="198"/>
      <c r="I60" s="198"/>
      <c r="J60" s="199"/>
      <c r="K60" s="207" t="s">
        <v>371</v>
      </c>
      <c r="L60" s="146"/>
      <c r="M60" s="147"/>
      <c r="N60" s="46" t="s">
        <v>372</v>
      </c>
      <c r="O60" s="39" t="s">
        <v>30</v>
      </c>
      <c r="P60" s="208" t="s">
        <v>373</v>
      </c>
      <c r="Q60" s="187"/>
      <c r="R60" s="187"/>
      <c r="S60" s="188"/>
      <c r="T60" s="209" t="s">
        <v>179</v>
      </c>
      <c r="U60" s="205"/>
      <c r="V60" s="205"/>
      <c r="W60" s="206"/>
      <c r="X60" s="204" t="s">
        <v>30</v>
      </c>
      <c r="Y60" s="205"/>
      <c r="Z60" s="206"/>
      <c r="AA60" s="186" t="s">
        <v>32</v>
      </c>
      <c r="AB60" s="187"/>
      <c r="AC60" s="187"/>
      <c r="AD60" s="187"/>
      <c r="AE60" s="187"/>
      <c r="AF60" s="187"/>
      <c r="AG60" s="187"/>
      <c r="AH60" s="188"/>
      <c r="AI60" s="189" t="s">
        <v>369</v>
      </c>
      <c r="AJ60" s="190"/>
      <c r="AK60" s="190"/>
      <c r="AL60" s="190"/>
      <c r="AM60" s="190"/>
      <c r="AN60" s="190"/>
      <c r="AO60" s="190"/>
      <c r="AP60" s="190"/>
      <c r="AQ60" s="191"/>
      <c r="AR60" s="41" t="s">
        <v>31</v>
      </c>
      <c r="AS60" s="47" t="s">
        <v>31</v>
      </c>
      <c r="AT60" s="41" t="s">
        <v>32</v>
      </c>
      <c r="AU60" s="208" t="s">
        <v>373</v>
      </c>
      <c r="AV60" s="187"/>
      <c r="AW60" s="187"/>
      <c r="AX60" s="188"/>
      <c r="AY60" s="209" t="s">
        <v>179</v>
      </c>
      <c r="AZ60" s="205"/>
      <c r="BA60" s="205"/>
      <c r="BB60" s="206"/>
      <c r="BC60" s="475" t="s">
        <v>374</v>
      </c>
      <c r="BD60" s="476"/>
      <c r="BE60" s="476"/>
      <c r="BF60" s="476"/>
      <c r="BG60" s="476"/>
      <c r="BH60" s="476"/>
      <c r="BI60" s="476"/>
      <c r="BJ60" s="477"/>
      <c r="BK60" s="35"/>
    </row>
    <row r="61" spans="1:63" ht="15.75" customHeight="1" x14ac:dyDescent="0.25">
      <c r="A61" s="34"/>
      <c r="B61" s="195">
        <v>6</v>
      </c>
      <c r="C61" s="196"/>
      <c r="D61" s="197" t="s">
        <v>269</v>
      </c>
      <c r="E61" s="198"/>
      <c r="F61" s="198"/>
      <c r="G61" s="198"/>
      <c r="H61" s="198"/>
      <c r="I61" s="198"/>
      <c r="J61" s="199"/>
      <c r="K61" s="145" t="s">
        <v>29</v>
      </c>
      <c r="L61" s="146"/>
      <c r="M61" s="147"/>
      <c r="N61" s="46" t="s">
        <v>30</v>
      </c>
      <c r="O61" s="39" t="s">
        <v>31</v>
      </c>
      <c r="P61" s="186" t="s">
        <v>33</v>
      </c>
      <c r="Q61" s="187"/>
      <c r="R61" s="187"/>
      <c r="S61" s="188"/>
      <c r="T61" s="203" t="s">
        <v>30</v>
      </c>
      <c r="U61" s="187"/>
      <c r="V61" s="187"/>
      <c r="W61" s="188"/>
      <c r="X61" s="204" t="s">
        <v>308</v>
      </c>
      <c r="Y61" s="205"/>
      <c r="Z61" s="206"/>
      <c r="AA61" s="186" t="s">
        <v>32</v>
      </c>
      <c r="AB61" s="187"/>
      <c r="AC61" s="187"/>
      <c r="AD61" s="187"/>
      <c r="AE61" s="187"/>
      <c r="AF61" s="187"/>
      <c r="AG61" s="187"/>
      <c r="AH61" s="188"/>
      <c r="AI61" s="213" t="s">
        <v>32</v>
      </c>
      <c r="AJ61" s="190"/>
      <c r="AK61" s="190"/>
      <c r="AL61" s="190"/>
      <c r="AM61" s="190"/>
      <c r="AN61" s="190"/>
      <c r="AO61" s="190"/>
      <c r="AP61" s="190"/>
      <c r="AQ61" s="191"/>
      <c r="AR61" s="41" t="s">
        <v>30</v>
      </c>
      <c r="AS61" s="41" t="s">
        <v>32</v>
      </c>
      <c r="AT61" s="41" t="s">
        <v>32</v>
      </c>
      <c r="AU61" s="186" t="s">
        <v>33</v>
      </c>
      <c r="AV61" s="187"/>
      <c r="AW61" s="187"/>
      <c r="AX61" s="188"/>
      <c r="AY61" s="203" t="s">
        <v>30</v>
      </c>
      <c r="AZ61" s="187"/>
      <c r="BA61" s="187"/>
      <c r="BB61" s="188"/>
      <c r="BC61" s="472"/>
      <c r="BD61" s="473"/>
      <c r="BE61" s="473"/>
      <c r="BF61" s="473"/>
      <c r="BG61" s="473"/>
      <c r="BH61" s="473"/>
      <c r="BI61" s="473"/>
      <c r="BJ61" s="474"/>
      <c r="BK61" s="35"/>
    </row>
    <row r="62" spans="1:63" ht="48" customHeight="1" x14ac:dyDescent="0.25">
      <c r="A62" s="34"/>
      <c r="B62" s="195">
        <v>7</v>
      </c>
      <c r="C62" s="196"/>
      <c r="D62" s="197" t="s">
        <v>270</v>
      </c>
      <c r="E62" s="198"/>
      <c r="F62" s="198"/>
      <c r="G62" s="198"/>
      <c r="H62" s="198"/>
      <c r="I62" s="198"/>
      <c r="J62" s="199"/>
      <c r="K62" s="207" t="s">
        <v>371</v>
      </c>
      <c r="L62" s="146"/>
      <c r="M62" s="147"/>
      <c r="N62" s="46" t="s">
        <v>372</v>
      </c>
      <c r="O62" s="39" t="s">
        <v>30</v>
      </c>
      <c r="P62" s="208" t="s">
        <v>373</v>
      </c>
      <c r="Q62" s="187"/>
      <c r="R62" s="187"/>
      <c r="S62" s="188"/>
      <c r="T62" s="209" t="s">
        <v>180</v>
      </c>
      <c r="U62" s="205"/>
      <c r="V62" s="205"/>
      <c r="W62" s="206"/>
      <c r="X62" s="204" t="s">
        <v>30</v>
      </c>
      <c r="Y62" s="205"/>
      <c r="Z62" s="206"/>
      <c r="AA62" s="186" t="s">
        <v>32</v>
      </c>
      <c r="AB62" s="187"/>
      <c r="AC62" s="187"/>
      <c r="AD62" s="187"/>
      <c r="AE62" s="187"/>
      <c r="AF62" s="187"/>
      <c r="AG62" s="187"/>
      <c r="AH62" s="188"/>
      <c r="AI62" s="189" t="s">
        <v>369</v>
      </c>
      <c r="AJ62" s="190"/>
      <c r="AK62" s="190"/>
      <c r="AL62" s="190"/>
      <c r="AM62" s="190"/>
      <c r="AN62" s="190"/>
      <c r="AO62" s="190"/>
      <c r="AP62" s="190"/>
      <c r="AQ62" s="191"/>
      <c r="AR62" s="41" t="s">
        <v>31</v>
      </c>
      <c r="AS62" s="47" t="s">
        <v>31</v>
      </c>
      <c r="AT62" s="41" t="s">
        <v>32</v>
      </c>
      <c r="AU62" s="208" t="s">
        <v>373</v>
      </c>
      <c r="AV62" s="187"/>
      <c r="AW62" s="187"/>
      <c r="AX62" s="188"/>
      <c r="AY62" s="209" t="s">
        <v>180</v>
      </c>
      <c r="AZ62" s="205"/>
      <c r="BA62" s="205"/>
      <c r="BB62" s="206"/>
      <c r="BC62" s="475" t="s">
        <v>375</v>
      </c>
      <c r="BD62" s="476"/>
      <c r="BE62" s="476"/>
      <c r="BF62" s="476"/>
      <c r="BG62" s="476"/>
      <c r="BH62" s="476"/>
      <c r="BI62" s="476"/>
      <c r="BJ62" s="477"/>
      <c r="BK62" s="35"/>
    </row>
    <row r="63" spans="1:63" ht="31.5" customHeight="1" x14ac:dyDescent="0.25">
      <c r="A63" s="34"/>
      <c r="B63" s="195">
        <v>8</v>
      </c>
      <c r="C63" s="196"/>
      <c r="D63" s="197" t="s">
        <v>301</v>
      </c>
      <c r="E63" s="198"/>
      <c r="F63" s="198"/>
      <c r="G63" s="198"/>
      <c r="H63" s="198"/>
      <c r="I63" s="198"/>
      <c r="J63" s="199"/>
      <c r="K63" s="145" t="s">
        <v>29</v>
      </c>
      <c r="L63" s="146"/>
      <c r="M63" s="147"/>
      <c r="N63" s="46" t="s">
        <v>30</v>
      </c>
      <c r="O63" s="39" t="s">
        <v>31</v>
      </c>
      <c r="P63" s="186" t="s">
        <v>33</v>
      </c>
      <c r="Q63" s="187"/>
      <c r="R63" s="187"/>
      <c r="S63" s="188"/>
      <c r="T63" s="203" t="s">
        <v>30</v>
      </c>
      <c r="U63" s="187"/>
      <c r="V63" s="187"/>
      <c r="W63" s="188"/>
      <c r="X63" s="204" t="s">
        <v>122</v>
      </c>
      <c r="Y63" s="205"/>
      <c r="Z63" s="206"/>
      <c r="AA63" s="186" t="s">
        <v>32</v>
      </c>
      <c r="AB63" s="187"/>
      <c r="AC63" s="187"/>
      <c r="AD63" s="187"/>
      <c r="AE63" s="187"/>
      <c r="AF63" s="187"/>
      <c r="AG63" s="187"/>
      <c r="AH63" s="188"/>
      <c r="AI63" s="213" t="s">
        <v>32</v>
      </c>
      <c r="AJ63" s="190"/>
      <c r="AK63" s="190"/>
      <c r="AL63" s="190"/>
      <c r="AM63" s="190"/>
      <c r="AN63" s="190"/>
      <c r="AO63" s="190"/>
      <c r="AP63" s="190"/>
      <c r="AQ63" s="191"/>
      <c r="AR63" s="41" t="s">
        <v>30</v>
      </c>
      <c r="AS63" s="41" t="s">
        <v>32</v>
      </c>
      <c r="AT63" s="41" t="s">
        <v>32</v>
      </c>
      <c r="AU63" s="186" t="s">
        <v>33</v>
      </c>
      <c r="AV63" s="187"/>
      <c r="AW63" s="187"/>
      <c r="AX63" s="188"/>
      <c r="AY63" s="203" t="s">
        <v>30</v>
      </c>
      <c r="AZ63" s="187"/>
      <c r="BA63" s="187"/>
      <c r="BB63" s="188"/>
      <c r="BC63" s="472"/>
      <c r="BD63" s="473"/>
      <c r="BE63" s="473"/>
      <c r="BF63" s="473"/>
      <c r="BG63" s="473"/>
      <c r="BH63" s="473"/>
      <c r="BI63" s="473"/>
      <c r="BJ63" s="474"/>
      <c r="BK63" s="35"/>
    </row>
    <row r="64" spans="1:63" ht="72" customHeight="1" x14ac:dyDescent="0.25">
      <c r="A64" s="34"/>
      <c r="B64" s="195">
        <v>9</v>
      </c>
      <c r="C64" s="196"/>
      <c r="D64" s="197" t="s">
        <v>302</v>
      </c>
      <c r="E64" s="198"/>
      <c r="F64" s="198"/>
      <c r="G64" s="198"/>
      <c r="H64" s="198"/>
      <c r="I64" s="198"/>
      <c r="J64" s="199"/>
      <c r="K64" s="207" t="s">
        <v>371</v>
      </c>
      <c r="L64" s="146"/>
      <c r="M64" s="147"/>
      <c r="N64" s="46" t="s">
        <v>372</v>
      </c>
      <c r="O64" s="45" t="s">
        <v>30</v>
      </c>
      <c r="P64" s="208" t="s">
        <v>373</v>
      </c>
      <c r="Q64" s="187"/>
      <c r="R64" s="187"/>
      <c r="S64" s="188"/>
      <c r="T64" s="186" t="s">
        <v>305</v>
      </c>
      <c r="U64" s="187"/>
      <c r="V64" s="187"/>
      <c r="W64" s="188"/>
      <c r="X64" s="204" t="s">
        <v>30</v>
      </c>
      <c r="Y64" s="205"/>
      <c r="Z64" s="206"/>
      <c r="AA64" s="186" t="s">
        <v>32</v>
      </c>
      <c r="AB64" s="187"/>
      <c r="AC64" s="187"/>
      <c r="AD64" s="187"/>
      <c r="AE64" s="187"/>
      <c r="AF64" s="187"/>
      <c r="AG64" s="187"/>
      <c r="AH64" s="188"/>
      <c r="AI64" s="189" t="s">
        <v>369</v>
      </c>
      <c r="AJ64" s="190"/>
      <c r="AK64" s="190"/>
      <c r="AL64" s="190"/>
      <c r="AM64" s="190"/>
      <c r="AN64" s="190"/>
      <c r="AO64" s="190"/>
      <c r="AP64" s="190"/>
      <c r="AQ64" s="191"/>
      <c r="AR64" s="41" t="s">
        <v>31</v>
      </c>
      <c r="AS64" s="47" t="s">
        <v>31</v>
      </c>
      <c r="AT64" s="41" t="s">
        <v>32</v>
      </c>
      <c r="AU64" s="208" t="s">
        <v>373</v>
      </c>
      <c r="AV64" s="187"/>
      <c r="AW64" s="187"/>
      <c r="AX64" s="188"/>
      <c r="AY64" s="186" t="s">
        <v>305</v>
      </c>
      <c r="AZ64" s="187"/>
      <c r="BA64" s="187"/>
      <c r="BB64" s="188"/>
      <c r="BC64" s="478" t="s">
        <v>376</v>
      </c>
      <c r="BD64" s="470"/>
      <c r="BE64" s="470"/>
      <c r="BF64" s="470"/>
      <c r="BG64" s="470"/>
      <c r="BH64" s="470"/>
      <c r="BI64" s="470"/>
      <c r="BJ64" s="471"/>
      <c r="BK64" s="35"/>
    </row>
    <row r="65" spans="1:63" ht="15.75" customHeight="1" x14ac:dyDescent="0.25">
      <c r="A65" s="34"/>
      <c r="B65" s="195">
        <v>10</v>
      </c>
      <c r="C65" s="196"/>
      <c r="D65" s="197" t="s">
        <v>275</v>
      </c>
      <c r="E65" s="198"/>
      <c r="F65" s="198"/>
      <c r="G65" s="198"/>
      <c r="H65" s="198"/>
      <c r="I65" s="198"/>
      <c r="J65" s="199"/>
      <c r="K65" s="145" t="s">
        <v>29</v>
      </c>
      <c r="L65" s="146"/>
      <c r="M65" s="147"/>
      <c r="N65" s="46" t="s">
        <v>30</v>
      </c>
      <c r="O65" s="39" t="s">
        <v>31</v>
      </c>
      <c r="P65" s="186" t="s">
        <v>33</v>
      </c>
      <c r="Q65" s="187"/>
      <c r="R65" s="187"/>
      <c r="S65" s="188"/>
      <c r="T65" s="203" t="s">
        <v>30</v>
      </c>
      <c r="U65" s="187"/>
      <c r="V65" s="187"/>
      <c r="W65" s="188"/>
      <c r="X65" s="203" t="s">
        <v>90</v>
      </c>
      <c r="Y65" s="187"/>
      <c r="Z65" s="188"/>
      <c r="AA65" s="186" t="s">
        <v>32</v>
      </c>
      <c r="AB65" s="187"/>
      <c r="AC65" s="187"/>
      <c r="AD65" s="187"/>
      <c r="AE65" s="187"/>
      <c r="AF65" s="187"/>
      <c r="AG65" s="187"/>
      <c r="AH65" s="188"/>
      <c r="AI65" s="213" t="s">
        <v>32</v>
      </c>
      <c r="AJ65" s="190"/>
      <c r="AK65" s="190"/>
      <c r="AL65" s="190"/>
      <c r="AM65" s="190"/>
      <c r="AN65" s="190"/>
      <c r="AO65" s="190"/>
      <c r="AP65" s="190"/>
      <c r="AQ65" s="191"/>
      <c r="AR65" s="41" t="s">
        <v>30</v>
      </c>
      <c r="AS65" s="41" t="s">
        <v>32</v>
      </c>
      <c r="AT65" s="41" t="s">
        <v>32</v>
      </c>
      <c r="AU65" s="186" t="s">
        <v>33</v>
      </c>
      <c r="AV65" s="187"/>
      <c r="AW65" s="187"/>
      <c r="AX65" s="188"/>
      <c r="AY65" s="186" t="s">
        <v>32</v>
      </c>
      <c r="AZ65" s="187"/>
      <c r="BA65" s="187"/>
      <c r="BB65" s="188"/>
      <c r="BC65" s="472"/>
      <c r="BD65" s="473"/>
      <c r="BE65" s="473"/>
      <c r="BF65" s="473"/>
      <c r="BG65" s="473"/>
      <c r="BH65" s="473"/>
      <c r="BI65" s="473"/>
      <c r="BJ65" s="474"/>
      <c r="BK65" s="35"/>
    </row>
    <row r="66" spans="1:63" ht="95.25" customHeight="1" x14ac:dyDescent="0.25">
      <c r="A66" s="34"/>
      <c r="B66" s="195">
        <v>11</v>
      </c>
      <c r="C66" s="196"/>
      <c r="D66" s="197" t="s">
        <v>276</v>
      </c>
      <c r="E66" s="198"/>
      <c r="F66" s="198"/>
      <c r="G66" s="198"/>
      <c r="H66" s="198"/>
      <c r="I66" s="198"/>
      <c r="J66" s="199"/>
      <c r="K66" s="207" t="s">
        <v>377</v>
      </c>
      <c r="L66" s="146"/>
      <c r="M66" s="147"/>
      <c r="N66" s="46" t="s">
        <v>30</v>
      </c>
      <c r="O66" s="45" t="s">
        <v>30</v>
      </c>
      <c r="P66" s="208" t="s">
        <v>373</v>
      </c>
      <c r="Q66" s="187"/>
      <c r="R66" s="187"/>
      <c r="S66" s="188"/>
      <c r="T66" s="203" t="s">
        <v>306</v>
      </c>
      <c r="U66" s="187"/>
      <c r="V66" s="187"/>
      <c r="W66" s="188"/>
      <c r="X66" s="203" t="s">
        <v>30</v>
      </c>
      <c r="Y66" s="187"/>
      <c r="Z66" s="188"/>
      <c r="AA66" s="215" t="s">
        <v>378</v>
      </c>
      <c r="AB66" s="216"/>
      <c r="AC66" s="216"/>
      <c r="AD66" s="216"/>
      <c r="AE66" s="216"/>
      <c r="AF66" s="216"/>
      <c r="AG66" s="216"/>
      <c r="AH66" s="217"/>
      <c r="AI66" s="215" t="s">
        <v>379</v>
      </c>
      <c r="AJ66" s="216"/>
      <c r="AK66" s="216"/>
      <c r="AL66" s="216"/>
      <c r="AM66" s="216"/>
      <c r="AN66" s="216"/>
      <c r="AO66" s="216"/>
      <c r="AP66" s="216"/>
      <c r="AQ66" s="217"/>
      <c r="AR66" s="41" t="s">
        <v>31</v>
      </c>
      <c r="AS66" s="41" t="s">
        <v>32</v>
      </c>
      <c r="AT66" s="41" t="s">
        <v>32</v>
      </c>
      <c r="AU66" s="186" t="s">
        <v>33</v>
      </c>
      <c r="AV66" s="187"/>
      <c r="AW66" s="187"/>
      <c r="AX66" s="188"/>
      <c r="AY66" s="186" t="s">
        <v>32</v>
      </c>
      <c r="AZ66" s="187"/>
      <c r="BA66" s="187"/>
      <c r="BB66" s="188"/>
      <c r="BC66" s="472"/>
      <c r="BD66" s="473"/>
      <c r="BE66" s="473"/>
      <c r="BF66" s="473"/>
      <c r="BG66" s="473"/>
      <c r="BH66" s="473"/>
      <c r="BI66" s="473"/>
      <c r="BJ66" s="474"/>
      <c r="BK66" s="35"/>
    </row>
    <row r="67" spans="1:63" ht="15.75" customHeight="1" x14ac:dyDescent="0.25">
      <c r="A67" s="34"/>
      <c r="B67" s="195">
        <v>12</v>
      </c>
      <c r="C67" s="196"/>
      <c r="D67" s="197" t="s">
        <v>303</v>
      </c>
      <c r="E67" s="198"/>
      <c r="F67" s="198"/>
      <c r="G67" s="198"/>
      <c r="H67" s="198"/>
      <c r="I67" s="198"/>
      <c r="J67" s="199"/>
      <c r="K67" s="145" t="s">
        <v>29</v>
      </c>
      <c r="L67" s="146"/>
      <c r="M67" s="147"/>
      <c r="N67" s="46" t="s">
        <v>30</v>
      </c>
      <c r="O67" s="39" t="s">
        <v>31</v>
      </c>
      <c r="P67" s="186" t="s">
        <v>33</v>
      </c>
      <c r="Q67" s="187"/>
      <c r="R67" s="187"/>
      <c r="S67" s="188"/>
      <c r="T67" s="203" t="s">
        <v>30</v>
      </c>
      <c r="U67" s="187"/>
      <c r="V67" s="187"/>
      <c r="W67" s="188"/>
      <c r="X67" s="203" t="s">
        <v>80</v>
      </c>
      <c r="Y67" s="187"/>
      <c r="Z67" s="188"/>
      <c r="AA67" s="186" t="s">
        <v>32</v>
      </c>
      <c r="AB67" s="187"/>
      <c r="AC67" s="187"/>
      <c r="AD67" s="187"/>
      <c r="AE67" s="187"/>
      <c r="AF67" s="187"/>
      <c r="AG67" s="187"/>
      <c r="AH67" s="188"/>
      <c r="AI67" s="213" t="s">
        <v>32</v>
      </c>
      <c r="AJ67" s="190"/>
      <c r="AK67" s="190"/>
      <c r="AL67" s="190"/>
      <c r="AM67" s="190"/>
      <c r="AN67" s="190"/>
      <c r="AO67" s="190"/>
      <c r="AP67" s="190"/>
      <c r="AQ67" s="191"/>
      <c r="AR67" s="41" t="s">
        <v>30</v>
      </c>
      <c r="AS67" s="41" t="s">
        <v>32</v>
      </c>
      <c r="AT67" s="41" t="s">
        <v>32</v>
      </c>
      <c r="AU67" s="186" t="s">
        <v>33</v>
      </c>
      <c r="AV67" s="187"/>
      <c r="AW67" s="187"/>
      <c r="AX67" s="188"/>
      <c r="AY67" s="186" t="s">
        <v>32</v>
      </c>
      <c r="AZ67" s="187"/>
      <c r="BA67" s="187"/>
      <c r="BB67" s="188"/>
      <c r="BC67" s="472"/>
      <c r="BD67" s="473"/>
      <c r="BE67" s="473"/>
      <c r="BF67" s="473"/>
      <c r="BG67" s="473"/>
      <c r="BH67" s="473"/>
      <c r="BI67" s="473"/>
      <c r="BJ67" s="474"/>
      <c r="BK67" s="35"/>
    </row>
    <row r="68" spans="1:63" ht="31.5" customHeight="1" x14ac:dyDescent="0.25">
      <c r="A68" s="34"/>
      <c r="B68" s="195">
        <v>13</v>
      </c>
      <c r="C68" s="196"/>
      <c r="D68" s="197" t="s">
        <v>304</v>
      </c>
      <c r="E68" s="198"/>
      <c r="F68" s="198"/>
      <c r="G68" s="198"/>
      <c r="H68" s="198"/>
      <c r="I68" s="198"/>
      <c r="J68" s="199"/>
      <c r="K68" s="207" t="s">
        <v>377</v>
      </c>
      <c r="L68" s="146"/>
      <c r="M68" s="147"/>
      <c r="N68" s="46" t="s">
        <v>380</v>
      </c>
      <c r="O68" s="45" t="s">
        <v>30</v>
      </c>
      <c r="P68" s="218" t="s">
        <v>373</v>
      </c>
      <c r="Q68" s="219"/>
      <c r="R68" s="219"/>
      <c r="S68" s="220"/>
      <c r="T68" s="221" t="s">
        <v>307</v>
      </c>
      <c r="U68" s="219"/>
      <c r="V68" s="219"/>
      <c r="W68" s="220"/>
      <c r="X68" s="203" t="s">
        <v>30</v>
      </c>
      <c r="Y68" s="187"/>
      <c r="Z68" s="188"/>
      <c r="AA68" s="186" t="s">
        <v>32</v>
      </c>
      <c r="AB68" s="187"/>
      <c r="AC68" s="187"/>
      <c r="AD68" s="187"/>
      <c r="AE68" s="187"/>
      <c r="AF68" s="187"/>
      <c r="AG68" s="187"/>
      <c r="AH68" s="188"/>
      <c r="AI68" s="215" t="s">
        <v>379</v>
      </c>
      <c r="AJ68" s="216"/>
      <c r="AK68" s="216"/>
      <c r="AL68" s="216"/>
      <c r="AM68" s="216"/>
      <c r="AN68" s="216"/>
      <c r="AO68" s="216"/>
      <c r="AP68" s="216"/>
      <c r="AQ68" s="217"/>
      <c r="AR68" s="41" t="s">
        <v>31</v>
      </c>
      <c r="AS68" s="47" t="s">
        <v>31</v>
      </c>
      <c r="AT68" s="41" t="s">
        <v>32</v>
      </c>
      <c r="AU68" s="186" t="s">
        <v>33</v>
      </c>
      <c r="AV68" s="187"/>
      <c r="AW68" s="187"/>
      <c r="AX68" s="188"/>
      <c r="AY68" s="186" t="s">
        <v>32</v>
      </c>
      <c r="AZ68" s="187"/>
      <c r="BA68" s="187"/>
      <c r="BB68" s="188"/>
      <c r="BC68" s="472"/>
      <c r="BD68" s="473"/>
      <c r="BE68" s="473"/>
      <c r="BF68" s="473"/>
      <c r="BG68" s="473"/>
      <c r="BH68" s="473"/>
      <c r="BI68" s="473"/>
      <c r="BJ68" s="474"/>
      <c r="BK68" s="35"/>
    </row>
    <row r="69" spans="1:63" ht="15.75" customHeight="1" x14ac:dyDescent="0.25">
      <c r="A69" s="34"/>
      <c r="B69" s="195">
        <v>14</v>
      </c>
      <c r="C69" s="196"/>
      <c r="D69" s="197" t="s">
        <v>184</v>
      </c>
      <c r="E69" s="198"/>
      <c r="F69" s="198"/>
      <c r="G69" s="198"/>
      <c r="H69" s="198"/>
      <c r="I69" s="198"/>
      <c r="J69" s="199"/>
      <c r="K69" s="145" t="s">
        <v>29</v>
      </c>
      <c r="L69" s="146"/>
      <c r="M69" s="147"/>
      <c r="N69" s="46" t="s">
        <v>30</v>
      </c>
      <c r="O69" s="39" t="s">
        <v>31</v>
      </c>
      <c r="P69" s="221" t="s">
        <v>33</v>
      </c>
      <c r="Q69" s="219"/>
      <c r="R69" s="219"/>
      <c r="S69" s="220"/>
      <c r="T69" s="222" t="s">
        <v>30</v>
      </c>
      <c r="U69" s="219"/>
      <c r="V69" s="219"/>
      <c r="W69" s="220"/>
      <c r="X69" s="203" t="s">
        <v>183</v>
      </c>
      <c r="Y69" s="187"/>
      <c r="Z69" s="188"/>
      <c r="AA69" s="186" t="s">
        <v>32</v>
      </c>
      <c r="AB69" s="187"/>
      <c r="AC69" s="187"/>
      <c r="AD69" s="187"/>
      <c r="AE69" s="187"/>
      <c r="AF69" s="187"/>
      <c r="AG69" s="187"/>
      <c r="AH69" s="188"/>
      <c r="AI69" s="213" t="s">
        <v>32</v>
      </c>
      <c r="AJ69" s="190"/>
      <c r="AK69" s="190"/>
      <c r="AL69" s="190"/>
      <c r="AM69" s="190"/>
      <c r="AN69" s="190"/>
      <c r="AO69" s="190"/>
      <c r="AP69" s="190"/>
      <c r="AQ69" s="191"/>
      <c r="AR69" s="41" t="s">
        <v>30</v>
      </c>
      <c r="AS69" s="41" t="s">
        <v>32</v>
      </c>
      <c r="AT69" s="41" t="s">
        <v>32</v>
      </c>
      <c r="AU69" s="186" t="s">
        <v>33</v>
      </c>
      <c r="AV69" s="187"/>
      <c r="AW69" s="187"/>
      <c r="AX69" s="188"/>
      <c r="AY69" s="186" t="s">
        <v>32</v>
      </c>
      <c r="AZ69" s="187"/>
      <c r="BA69" s="187"/>
      <c r="BB69" s="188"/>
      <c r="BC69" s="472"/>
      <c r="BD69" s="473"/>
      <c r="BE69" s="473"/>
      <c r="BF69" s="473"/>
      <c r="BG69" s="473"/>
      <c r="BH69" s="473"/>
      <c r="BI69" s="473"/>
      <c r="BJ69" s="474"/>
      <c r="BK69" s="35"/>
    </row>
    <row r="70" spans="1:63" ht="38.25" customHeight="1" x14ac:dyDescent="0.25">
      <c r="A70" s="34"/>
      <c r="B70" s="195">
        <v>15</v>
      </c>
      <c r="C70" s="196"/>
      <c r="D70" s="197" t="s">
        <v>185</v>
      </c>
      <c r="E70" s="198"/>
      <c r="F70" s="198"/>
      <c r="G70" s="198"/>
      <c r="H70" s="198"/>
      <c r="I70" s="198"/>
      <c r="J70" s="199"/>
      <c r="K70" s="207" t="s">
        <v>377</v>
      </c>
      <c r="L70" s="146"/>
      <c r="M70" s="147"/>
      <c r="N70" s="46" t="s">
        <v>380</v>
      </c>
      <c r="O70" s="45" t="s">
        <v>30</v>
      </c>
      <c r="P70" s="218" t="s">
        <v>373</v>
      </c>
      <c r="Q70" s="219"/>
      <c r="R70" s="219"/>
      <c r="S70" s="220"/>
      <c r="T70" s="222" t="s">
        <v>228</v>
      </c>
      <c r="U70" s="219"/>
      <c r="V70" s="219"/>
      <c r="W70" s="220"/>
      <c r="X70" s="203" t="s">
        <v>30</v>
      </c>
      <c r="Y70" s="187"/>
      <c r="Z70" s="188"/>
      <c r="AA70" s="186" t="s">
        <v>32</v>
      </c>
      <c r="AB70" s="187"/>
      <c r="AC70" s="187"/>
      <c r="AD70" s="187"/>
      <c r="AE70" s="187"/>
      <c r="AF70" s="187"/>
      <c r="AG70" s="187"/>
      <c r="AH70" s="188"/>
      <c r="AI70" s="215" t="s">
        <v>379</v>
      </c>
      <c r="AJ70" s="216"/>
      <c r="AK70" s="216"/>
      <c r="AL70" s="216"/>
      <c r="AM70" s="216"/>
      <c r="AN70" s="216"/>
      <c r="AO70" s="216"/>
      <c r="AP70" s="216"/>
      <c r="AQ70" s="217"/>
      <c r="AR70" s="41" t="s">
        <v>31</v>
      </c>
      <c r="AS70" s="47" t="s">
        <v>31</v>
      </c>
      <c r="AT70" s="41" t="s">
        <v>32</v>
      </c>
      <c r="AU70" s="186" t="s">
        <v>33</v>
      </c>
      <c r="AV70" s="187"/>
      <c r="AW70" s="187"/>
      <c r="AX70" s="188"/>
      <c r="AY70" s="186" t="s">
        <v>32</v>
      </c>
      <c r="AZ70" s="187"/>
      <c r="BA70" s="187"/>
      <c r="BB70" s="188"/>
      <c r="BC70" s="475" t="s">
        <v>186</v>
      </c>
      <c r="BD70" s="476"/>
      <c r="BE70" s="476"/>
      <c r="BF70" s="476"/>
      <c r="BG70" s="476"/>
      <c r="BH70" s="476"/>
      <c r="BI70" s="476"/>
      <c r="BJ70" s="477"/>
      <c r="BK70" s="35"/>
    </row>
    <row r="71" spans="1:63" ht="33.75" customHeight="1" x14ac:dyDescent="0.25">
      <c r="A71" s="34"/>
      <c r="B71" s="195">
        <v>16</v>
      </c>
      <c r="C71" s="196"/>
      <c r="D71" s="197" t="s">
        <v>190</v>
      </c>
      <c r="E71" s="198"/>
      <c r="F71" s="198"/>
      <c r="G71" s="198"/>
      <c r="H71" s="198"/>
      <c r="I71" s="198"/>
      <c r="J71" s="199"/>
      <c r="K71" s="207" t="s">
        <v>367</v>
      </c>
      <c r="L71" s="146"/>
      <c r="M71" s="147"/>
      <c r="N71" s="46" t="s">
        <v>30</v>
      </c>
      <c r="O71" s="39" t="s">
        <v>31</v>
      </c>
      <c r="P71" s="186" t="s">
        <v>33</v>
      </c>
      <c r="Q71" s="187"/>
      <c r="R71" s="187"/>
      <c r="S71" s="188"/>
      <c r="T71" s="203" t="s">
        <v>30</v>
      </c>
      <c r="U71" s="187"/>
      <c r="V71" s="187"/>
      <c r="W71" s="188"/>
      <c r="X71" s="203" t="s">
        <v>187</v>
      </c>
      <c r="Y71" s="187"/>
      <c r="Z71" s="188"/>
      <c r="AA71" s="186" t="s">
        <v>32</v>
      </c>
      <c r="AB71" s="187"/>
      <c r="AC71" s="187"/>
      <c r="AD71" s="187"/>
      <c r="AE71" s="187"/>
      <c r="AF71" s="187"/>
      <c r="AG71" s="187"/>
      <c r="AH71" s="188"/>
      <c r="AI71" s="215" t="s">
        <v>381</v>
      </c>
      <c r="AJ71" s="216"/>
      <c r="AK71" s="216"/>
      <c r="AL71" s="216"/>
      <c r="AM71" s="216"/>
      <c r="AN71" s="216"/>
      <c r="AO71" s="216"/>
      <c r="AP71" s="216"/>
      <c r="AQ71" s="217"/>
      <c r="AR71" s="41" t="s">
        <v>30</v>
      </c>
      <c r="AS71" s="41" t="s">
        <v>32</v>
      </c>
      <c r="AT71" s="41" t="s">
        <v>32</v>
      </c>
      <c r="AU71" s="186" t="s">
        <v>33</v>
      </c>
      <c r="AV71" s="187"/>
      <c r="AW71" s="187"/>
      <c r="AX71" s="188"/>
      <c r="AY71" s="186" t="s">
        <v>32</v>
      </c>
      <c r="AZ71" s="187"/>
      <c r="BA71" s="187"/>
      <c r="BB71" s="188"/>
      <c r="BC71" s="223" t="s">
        <v>382</v>
      </c>
      <c r="BD71" s="224"/>
      <c r="BE71" s="224"/>
      <c r="BF71" s="224"/>
      <c r="BG71" s="224"/>
      <c r="BH71" s="224"/>
      <c r="BI71" s="224"/>
      <c r="BJ71" s="225"/>
      <c r="BK71" s="35"/>
    </row>
    <row r="72" spans="1:63" ht="50.25" customHeight="1" x14ac:dyDescent="0.25">
      <c r="A72" s="34"/>
      <c r="B72" s="195">
        <v>17</v>
      </c>
      <c r="C72" s="196"/>
      <c r="D72" s="197" t="s">
        <v>191</v>
      </c>
      <c r="E72" s="198"/>
      <c r="F72" s="198"/>
      <c r="G72" s="198"/>
      <c r="H72" s="198"/>
      <c r="I72" s="198"/>
      <c r="J72" s="199"/>
      <c r="K72" s="207" t="s">
        <v>367</v>
      </c>
      <c r="L72" s="146"/>
      <c r="M72" s="147"/>
      <c r="N72" s="46" t="s">
        <v>30</v>
      </c>
      <c r="O72" s="39" t="s">
        <v>31</v>
      </c>
      <c r="P72" s="186" t="s">
        <v>33</v>
      </c>
      <c r="Q72" s="187"/>
      <c r="R72" s="187"/>
      <c r="S72" s="188"/>
      <c r="T72" s="203" t="s">
        <v>30</v>
      </c>
      <c r="U72" s="187"/>
      <c r="V72" s="187"/>
      <c r="W72" s="188"/>
      <c r="X72" s="203" t="s">
        <v>191</v>
      </c>
      <c r="Y72" s="187"/>
      <c r="Z72" s="188"/>
      <c r="AA72" s="186" t="s">
        <v>32</v>
      </c>
      <c r="AB72" s="187"/>
      <c r="AC72" s="187"/>
      <c r="AD72" s="187"/>
      <c r="AE72" s="187"/>
      <c r="AF72" s="187"/>
      <c r="AG72" s="187"/>
      <c r="AH72" s="188"/>
      <c r="AI72" s="215" t="s">
        <v>381</v>
      </c>
      <c r="AJ72" s="216"/>
      <c r="AK72" s="216"/>
      <c r="AL72" s="216"/>
      <c r="AM72" s="216"/>
      <c r="AN72" s="216"/>
      <c r="AO72" s="216"/>
      <c r="AP72" s="216"/>
      <c r="AQ72" s="217"/>
      <c r="AR72" s="41" t="s">
        <v>31</v>
      </c>
      <c r="AS72" s="47" t="s">
        <v>31</v>
      </c>
      <c r="AT72" s="41" t="s">
        <v>32</v>
      </c>
      <c r="AU72" s="186" t="s">
        <v>33</v>
      </c>
      <c r="AV72" s="187"/>
      <c r="AW72" s="187"/>
      <c r="AX72" s="188"/>
      <c r="AY72" s="186" t="s">
        <v>32</v>
      </c>
      <c r="AZ72" s="187"/>
      <c r="BA72" s="187"/>
      <c r="BB72" s="188"/>
      <c r="BC72" s="223" t="s">
        <v>383</v>
      </c>
      <c r="BD72" s="224"/>
      <c r="BE72" s="224"/>
      <c r="BF72" s="224"/>
      <c r="BG72" s="224"/>
      <c r="BH72" s="224"/>
      <c r="BI72" s="224"/>
      <c r="BJ72" s="225"/>
      <c r="BK72" s="35"/>
    </row>
    <row r="73" spans="1:63" ht="49.5" customHeight="1" x14ac:dyDescent="0.25">
      <c r="A73" s="34"/>
      <c r="B73" s="195">
        <v>18</v>
      </c>
      <c r="C73" s="196"/>
      <c r="D73" s="197" t="s">
        <v>192</v>
      </c>
      <c r="E73" s="198"/>
      <c r="F73" s="198"/>
      <c r="G73" s="198"/>
      <c r="H73" s="198"/>
      <c r="I73" s="198"/>
      <c r="J73" s="199"/>
      <c r="K73" s="207" t="s">
        <v>367</v>
      </c>
      <c r="L73" s="146"/>
      <c r="M73" s="147"/>
      <c r="N73" s="46" t="s">
        <v>30</v>
      </c>
      <c r="O73" s="39" t="s">
        <v>31</v>
      </c>
      <c r="P73" s="186" t="s">
        <v>33</v>
      </c>
      <c r="Q73" s="187"/>
      <c r="R73" s="187"/>
      <c r="S73" s="188"/>
      <c r="T73" s="203" t="s">
        <v>30</v>
      </c>
      <c r="U73" s="187"/>
      <c r="V73" s="187"/>
      <c r="W73" s="188"/>
      <c r="X73" s="203" t="s">
        <v>192</v>
      </c>
      <c r="Y73" s="187"/>
      <c r="Z73" s="188"/>
      <c r="AA73" s="186" t="s">
        <v>32</v>
      </c>
      <c r="AB73" s="187"/>
      <c r="AC73" s="187"/>
      <c r="AD73" s="187"/>
      <c r="AE73" s="187"/>
      <c r="AF73" s="187"/>
      <c r="AG73" s="187"/>
      <c r="AH73" s="188"/>
      <c r="AI73" s="215" t="s">
        <v>381</v>
      </c>
      <c r="AJ73" s="216"/>
      <c r="AK73" s="216"/>
      <c r="AL73" s="216"/>
      <c r="AM73" s="216"/>
      <c r="AN73" s="216"/>
      <c r="AO73" s="216"/>
      <c r="AP73" s="216"/>
      <c r="AQ73" s="217"/>
      <c r="AR73" s="41" t="s">
        <v>31</v>
      </c>
      <c r="AS73" s="47" t="s">
        <v>31</v>
      </c>
      <c r="AT73" s="41" t="s">
        <v>32</v>
      </c>
      <c r="AU73" s="186" t="s">
        <v>33</v>
      </c>
      <c r="AV73" s="187"/>
      <c r="AW73" s="187"/>
      <c r="AX73" s="188"/>
      <c r="AY73" s="186" t="s">
        <v>32</v>
      </c>
      <c r="AZ73" s="187"/>
      <c r="BA73" s="187"/>
      <c r="BB73" s="188"/>
      <c r="BC73" s="223" t="s">
        <v>384</v>
      </c>
      <c r="BD73" s="224"/>
      <c r="BE73" s="224"/>
      <c r="BF73" s="224"/>
      <c r="BG73" s="224"/>
      <c r="BH73" s="224"/>
      <c r="BI73" s="224"/>
      <c r="BJ73" s="225"/>
      <c r="BK73" s="35"/>
    </row>
    <row r="74" spans="1:63" ht="48.75" customHeight="1" x14ac:dyDescent="0.25">
      <c r="A74" s="34"/>
      <c r="B74" s="195">
        <v>19</v>
      </c>
      <c r="C74" s="196"/>
      <c r="D74" s="197" t="s">
        <v>193</v>
      </c>
      <c r="E74" s="198"/>
      <c r="F74" s="198"/>
      <c r="G74" s="198"/>
      <c r="H74" s="198"/>
      <c r="I74" s="198"/>
      <c r="J74" s="199"/>
      <c r="K74" s="207" t="s">
        <v>367</v>
      </c>
      <c r="L74" s="146"/>
      <c r="M74" s="147"/>
      <c r="N74" s="46" t="s">
        <v>30</v>
      </c>
      <c r="O74" s="39" t="s">
        <v>31</v>
      </c>
      <c r="P74" s="186" t="s">
        <v>33</v>
      </c>
      <c r="Q74" s="187"/>
      <c r="R74" s="187"/>
      <c r="S74" s="188"/>
      <c r="T74" s="203" t="s">
        <v>30</v>
      </c>
      <c r="U74" s="187"/>
      <c r="V74" s="187"/>
      <c r="W74" s="188"/>
      <c r="X74" s="203" t="s">
        <v>193</v>
      </c>
      <c r="Y74" s="187"/>
      <c r="Z74" s="188"/>
      <c r="AA74" s="186" t="s">
        <v>32</v>
      </c>
      <c r="AB74" s="187"/>
      <c r="AC74" s="187"/>
      <c r="AD74" s="187"/>
      <c r="AE74" s="187"/>
      <c r="AF74" s="187"/>
      <c r="AG74" s="187"/>
      <c r="AH74" s="188"/>
      <c r="AI74" s="215" t="s">
        <v>381</v>
      </c>
      <c r="AJ74" s="216"/>
      <c r="AK74" s="216"/>
      <c r="AL74" s="216"/>
      <c r="AM74" s="216"/>
      <c r="AN74" s="216"/>
      <c r="AO74" s="216"/>
      <c r="AP74" s="216"/>
      <c r="AQ74" s="217"/>
      <c r="AR74" s="41" t="s">
        <v>31</v>
      </c>
      <c r="AS74" s="47" t="s">
        <v>31</v>
      </c>
      <c r="AT74" s="41" t="s">
        <v>32</v>
      </c>
      <c r="AU74" s="186" t="s">
        <v>33</v>
      </c>
      <c r="AV74" s="187"/>
      <c r="AW74" s="187"/>
      <c r="AX74" s="188"/>
      <c r="AY74" s="186" t="s">
        <v>32</v>
      </c>
      <c r="AZ74" s="187"/>
      <c r="BA74" s="187"/>
      <c r="BB74" s="188"/>
      <c r="BC74" s="223" t="s">
        <v>385</v>
      </c>
      <c r="BD74" s="224"/>
      <c r="BE74" s="224"/>
      <c r="BF74" s="224"/>
      <c r="BG74" s="224"/>
      <c r="BH74" s="224"/>
      <c r="BI74" s="224"/>
      <c r="BJ74" s="225"/>
      <c r="BK74" s="35"/>
    </row>
    <row r="75" spans="1:63" ht="50.25" customHeight="1" x14ac:dyDescent="0.25">
      <c r="A75" s="34"/>
      <c r="B75" s="195">
        <v>20</v>
      </c>
      <c r="C75" s="196"/>
      <c r="D75" s="197" t="s">
        <v>194</v>
      </c>
      <c r="E75" s="198"/>
      <c r="F75" s="198"/>
      <c r="G75" s="198"/>
      <c r="H75" s="198"/>
      <c r="I75" s="198"/>
      <c r="J75" s="199"/>
      <c r="K75" s="207" t="s">
        <v>367</v>
      </c>
      <c r="L75" s="146"/>
      <c r="M75" s="147"/>
      <c r="N75" s="46" t="s">
        <v>30</v>
      </c>
      <c r="O75" s="39" t="s">
        <v>31</v>
      </c>
      <c r="P75" s="186" t="s">
        <v>33</v>
      </c>
      <c r="Q75" s="187"/>
      <c r="R75" s="187"/>
      <c r="S75" s="188"/>
      <c r="T75" s="203" t="s">
        <v>30</v>
      </c>
      <c r="U75" s="187"/>
      <c r="V75" s="187"/>
      <c r="W75" s="188"/>
      <c r="X75" s="203" t="s">
        <v>194</v>
      </c>
      <c r="Y75" s="187"/>
      <c r="Z75" s="188"/>
      <c r="AA75" s="186" t="s">
        <v>32</v>
      </c>
      <c r="AB75" s="187"/>
      <c r="AC75" s="187"/>
      <c r="AD75" s="187"/>
      <c r="AE75" s="187"/>
      <c r="AF75" s="187"/>
      <c r="AG75" s="187"/>
      <c r="AH75" s="188"/>
      <c r="AI75" s="226" t="s">
        <v>386</v>
      </c>
      <c r="AJ75" s="216"/>
      <c r="AK75" s="216"/>
      <c r="AL75" s="216"/>
      <c r="AM75" s="216"/>
      <c r="AN75" s="216"/>
      <c r="AO75" s="216"/>
      <c r="AP75" s="216"/>
      <c r="AQ75" s="217"/>
      <c r="AR75" s="41" t="s">
        <v>31</v>
      </c>
      <c r="AS75" s="47" t="s">
        <v>31</v>
      </c>
      <c r="AT75" s="41" t="s">
        <v>32</v>
      </c>
      <c r="AU75" s="186" t="s">
        <v>33</v>
      </c>
      <c r="AV75" s="187"/>
      <c r="AW75" s="187"/>
      <c r="AX75" s="188"/>
      <c r="AY75" s="186" t="s">
        <v>32</v>
      </c>
      <c r="AZ75" s="187"/>
      <c r="BA75" s="187"/>
      <c r="BB75" s="188"/>
      <c r="BC75" s="223" t="s">
        <v>387</v>
      </c>
      <c r="BD75" s="224"/>
      <c r="BE75" s="224"/>
      <c r="BF75" s="224"/>
      <c r="BG75" s="224"/>
      <c r="BH75" s="224"/>
      <c r="BI75" s="224"/>
      <c r="BJ75" s="225"/>
      <c r="BK75" s="35"/>
    </row>
    <row r="76" spans="1:63" ht="15.75" customHeight="1" x14ac:dyDescent="0.25">
      <c r="A76" s="34"/>
      <c r="B76" s="195">
        <v>21</v>
      </c>
      <c r="C76" s="196"/>
      <c r="D76" s="197" t="s">
        <v>195</v>
      </c>
      <c r="E76" s="198"/>
      <c r="F76" s="198"/>
      <c r="G76" s="198"/>
      <c r="H76" s="198"/>
      <c r="I76" s="198"/>
      <c r="J76" s="199"/>
      <c r="K76" s="145" t="s">
        <v>29</v>
      </c>
      <c r="L76" s="146"/>
      <c r="M76" s="147"/>
      <c r="N76" s="46" t="s">
        <v>30</v>
      </c>
      <c r="O76" s="39" t="s">
        <v>31</v>
      </c>
      <c r="P76" s="186" t="s">
        <v>33</v>
      </c>
      <c r="Q76" s="187"/>
      <c r="R76" s="187"/>
      <c r="S76" s="188"/>
      <c r="T76" s="203" t="s">
        <v>30</v>
      </c>
      <c r="U76" s="187"/>
      <c r="V76" s="187"/>
      <c r="W76" s="188"/>
      <c r="X76" s="203" t="s">
        <v>196</v>
      </c>
      <c r="Y76" s="187"/>
      <c r="Z76" s="188"/>
      <c r="AA76" s="186" t="s">
        <v>32</v>
      </c>
      <c r="AB76" s="187"/>
      <c r="AC76" s="187"/>
      <c r="AD76" s="187"/>
      <c r="AE76" s="187"/>
      <c r="AF76" s="187"/>
      <c r="AG76" s="187"/>
      <c r="AH76" s="188"/>
      <c r="AI76" s="213" t="s">
        <v>32</v>
      </c>
      <c r="AJ76" s="190"/>
      <c r="AK76" s="190"/>
      <c r="AL76" s="190"/>
      <c r="AM76" s="190"/>
      <c r="AN76" s="190"/>
      <c r="AO76" s="190"/>
      <c r="AP76" s="190"/>
      <c r="AQ76" s="191"/>
      <c r="AR76" s="41" t="s">
        <v>30</v>
      </c>
      <c r="AS76" s="41" t="s">
        <v>32</v>
      </c>
      <c r="AT76" s="41" t="s">
        <v>32</v>
      </c>
      <c r="AU76" s="186" t="s">
        <v>33</v>
      </c>
      <c r="AV76" s="187"/>
      <c r="AW76" s="187"/>
      <c r="AX76" s="188"/>
      <c r="AY76" s="186" t="s">
        <v>32</v>
      </c>
      <c r="AZ76" s="187"/>
      <c r="BA76" s="187"/>
      <c r="BB76" s="188"/>
      <c r="BC76" s="472"/>
      <c r="BD76" s="473"/>
      <c r="BE76" s="473"/>
      <c r="BF76" s="473"/>
      <c r="BG76" s="473"/>
      <c r="BH76" s="473"/>
      <c r="BI76" s="473"/>
      <c r="BJ76" s="474"/>
      <c r="BK76" s="35"/>
    </row>
    <row r="77" spans="1:63" ht="111.75" customHeight="1" x14ac:dyDescent="0.25">
      <c r="A77" s="34"/>
      <c r="B77" s="195">
        <v>22</v>
      </c>
      <c r="C77" s="196"/>
      <c r="D77" s="197" t="s">
        <v>197</v>
      </c>
      <c r="E77" s="198"/>
      <c r="F77" s="198"/>
      <c r="G77" s="198"/>
      <c r="H77" s="198"/>
      <c r="I77" s="198"/>
      <c r="J77" s="199"/>
      <c r="K77" s="207" t="s">
        <v>377</v>
      </c>
      <c r="L77" s="146"/>
      <c r="M77" s="147"/>
      <c r="N77" s="46" t="s">
        <v>380</v>
      </c>
      <c r="O77" s="45" t="s">
        <v>30</v>
      </c>
      <c r="P77" s="218" t="s">
        <v>388</v>
      </c>
      <c r="Q77" s="219"/>
      <c r="R77" s="219"/>
      <c r="S77" s="220"/>
      <c r="T77" s="222" t="s">
        <v>211</v>
      </c>
      <c r="U77" s="219"/>
      <c r="V77" s="219"/>
      <c r="W77" s="220"/>
      <c r="X77" s="203" t="s">
        <v>30</v>
      </c>
      <c r="Y77" s="187"/>
      <c r="Z77" s="188"/>
      <c r="AA77" s="186" t="s">
        <v>32</v>
      </c>
      <c r="AB77" s="187"/>
      <c r="AC77" s="187"/>
      <c r="AD77" s="187"/>
      <c r="AE77" s="187"/>
      <c r="AF77" s="187"/>
      <c r="AG77" s="187"/>
      <c r="AH77" s="188"/>
      <c r="AI77" s="213" t="s">
        <v>32</v>
      </c>
      <c r="AJ77" s="190"/>
      <c r="AK77" s="190"/>
      <c r="AL77" s="190"/>
      <c r="AM77" s="190"/>
      <c r="AN77" s="190"/>
      <c r="AO77" s="190"/>
      <c r="AP77" s="190"/>
      <c r="AQ77" s="191"/>
      <c r="AR77" s="41" t="s">
        <v>30</v>
      </c>
      <c r="AS77" s="41" t="s">
        <v>32</v>
      </c>
      <c r="AT77" s="41" t="s">
        <v>32</v>
      </c>
      <c r="AU77" s="186" t="s">
        <v>33</v>
      </c>
      <c r="AV77" s="187"/>
      <c r="AW77" s="187"/>
      <c r="AX77" s="188"/>
      <c r="AY77" s="186" t="s">
        <v>32</v>
      </c>
      <c r="AZ77" s="187"/>
      <c r="BA77" s="187"/>
      <c r="BB77" s="188"/>
      <c r="BC77" s="475" t="s">
        <v>389</v>
      </c>
      <c r="BD77" s="473"/>
      <c r="BE77" s="473"/>
      <c r="BF77" s="473"/>
      <c r="BG77" s="473"/>
      <c r="BH77" s="473"/>
      <c r="BI77" s="473"/>
      <c r="BJ77" s="474"/>
      <c r="BK77" s="35"/>
    </row>
    <row r="78" spans="1:63" ht="30.75" customHeight="1" x14ac:dyDescent="0.25">
      <c r="A78" s="34"/>
      <c r="B78" s="195">
        <v>23</v>
      </c>
      <c r="C78" s="196"/>
      <c r="D78" s="197" t="s">
        <v>199</v>
      </c>
      <c r="E78" s="198"/>
      <c r="F78" s="198"/>
      <c r="G78" s="198"/>
      <c r="H78" s="198"/>
      <c r="I78" s="198"/>
      <c r="J78" s="199"/>
      <c r="K78" s="145" t="s">
        <v>29</v>
      </c>
      <c r="L78" s="146"/>
      <c r="M78" s="147"/>
      <c r="N78" s="46" t="s">
        <v>30</v>
      </c>
      <c r="O78" s="39" t="s">
        <v>31</v>
      </c>
      <c r="P78" s="221" t="s">
        <v>33</v>
      </c>
      <c r="Q78" s="219"/>
      <c r="R78" s="219"/>
      <c r="S78" s="220"/>
      <c r="T78" s="222" t="s">
        <v>30</v>
      </c>
      <c r="U78" s="219"/>
      <c r="V78" s="219"/>
      <c r="W78" s="220"/>
      <c r="X78" s="203" t="s">
        <v>198</v>
      </c>
      <c r="Y78" s="187"/>
      <c r="Z78" s="188"/>
      <c r="AA78" s="186" t="s">
        <v>32</v>
      </c>
      <c r="AB78" s="187"/>
      <c r="AC78" s="187"/>
      <c r="AD78" s="187"/>
      <c r="AE78" s="187"/>
      <c r="AF78" s="187"/>
      <c r="AG78" s="187"/>
      <c r="AH78" s="188"/>
      <c r="AI78" s="213" t="s">
        <v>32</v>
      </c>
      <c r="AJ78" s="190"/>
      <c r="AK78" s="190"/>
      <c r="AL78" s="190"/>
      <c r="AM78" s="190"/>
      <c r="AN78" s="190"/>
      <c r="AO78" s="190"/>
      <c r="AP78" s="190"/>
      <c r="AQ78" s="191"/>
      <c r="AR78" s="41" t="s">
        <v>30</v>
      </c>
      <c r="AS78" s="41" t="s">
        <v>32</v>
      </c>
      <c r="AT78" s="41" t="s">
        <v>32</v>
      </c>
      <c r="AU78" s="186" t="s">
        <v>33</v>
      </c>
      <c r="AV78" s="187"/>
      <c r="AW78" s="187"/>
      <c r="AX78" s="188"/>
      <c r="AY78" s="186" t="s">
        <v>32</v>
      </c>
      <c r="AZ78" s="187"/>
      <c r="BA78" s="187"/>
      <c r="BB78" s="188"/>
      <c r="BC78" s="475"/>
      <c r="BD78" s="473"/>
      <c r="BE78" s="473"/>
      <c r="BF78" s="473"/>
      <c r="BG78" s="473"/>
      <c r="BH78" s="473"/>
      <c r="BI78" s="473"/>
      <c r="BJ78" s="474"/>
      <c r="BK78" s="35"/>
    </row>
    <row r="79" spans="1:63" ht="64.5" customHeight="1" x14ac:dyDescent="0.25">
      <c r="A79" s="34"/>
      <c r="B79" s="195">
        <v>24</v>
      </c>
      <c r="C79" s="196"/>
      <c r="D79" s="197" t="s">
        <v>200</v>
      </c>
      <c r="E79" s="198"/>
      <c r="F79" s="198"/>
      <c r="G79" s="198"/>
      <c r="H79" s="198"/>
      <c r="I79" s="198"/>
      <c r="J79" s="199"/>
      <c r="K79" s="207" t="s">
        <v>377</v>
      </c>
      <c r="L79" s="146"/>
      <c r="M79" s="147"/>
      <c r="N79" s="46" t="s">
        <v>380</v>
      </c>
      <c r="O79" s="45" t="s">
        <v>30</v>
      </c>
      <c r="P79" s="221" t="s">
        <v>33</v>
      </c>
      <c r="Q79" s="219"/>
      <c r="R79" s="219"/>
      <c r="S79" s="220"/>
      <c r="T79" s="222" t="s">
        <v>30</v>
      </c>
      <c r="U79" s="219"/>
      <c r="V79" s="219"/>
      <c r="W79" s="220"/>
      <c r="X79" s="203" t="s">
        <v>30</v>
      </c>
      <c r="Y79" s="187"/>
      <c r="Z79" s="188"/>
      <c r="AA79" s="226" t="s">
        <v>390</v>
      </c>
      <c r="AB79" s="216"/>
      <c r="AC79" s="216"/>
      <c r="AD79" s="216"/>
      <c r="AE79" s="216"/>
      <c r="AF79" s="216"/>
      <c r="AG79" s="216"/>
      <c r="AH79" s="217"/>
      <c r="AI79" s="213" t="s">
        <v>32</v>
      </c>
      <c r="AJ79" s="190"/>
      <c r="AK79" s="190"/>
      <c r="AL79" s="190"/>
      <c r="AM79" s="190"/>
      <c r="AN79" s="190"/>
      <c r="AO79" s="190"/>
      <c r="AP79" s="190"/>
      <c r="AQ79" s="191"/>
      <c r="AR79" s="41" t="s">
        <v>30</v>
      </c>
      <c r="AS79" s="41" t="s">
        <v>32</v>
      </c>
      <c r="AT79" s="41" t="s">
        <v>32</v>
      </c>
      <c r="AU79" s="186" t="s">
        <v>33</v>
      </c>
      <c r="AV79" s="187"/>
      <c r="AW79" s="187"/>
      <c r="AX79" s="188"/>
      <c r="AY79" s="186" t="s">
        <v>32</v>
      </c>
      <c r="AZ79" s="187"/>
      <c r="BA79" s="187"/>
      <c r="BB79" s="188"/>
      <c r="BC79" s="472"/>
      <c r="BD79" s="473"/>
      <c r="BE79" s="473"/>
      <c r="BF79" s="473"/>
      <c r="BG79" s="473"/>
      <c r="BH79" s="473"/>
      <c r="BI79" s="473"/>
      <c r="BJ79" s="474"/>
      <c r="BK79" s="35"/>
    </row>
    <row r="80" spans="1:63" ht="15.75" customHeight="1" x14ac:dyDescent="0.25">
      <c r="A80" s="34"/>
      <c r="B80" s="195">
        <v>25</v>
      </c>
      <c r="C80" s="196"/>
      <c r="D80" s="197" t="s">
        <v>201</v>
      </c>
      <c r="E80" s="198"/>
      <c r="F80" s="198"/>
      <c r="G80" s="198"/>
      <c r="H80" s="198"/>
      <c r="I80" s="198"/>
      <c r="J80" s="199"/>
      <c r="K80" s="145" t="s">
        <v>29</v>
      </c>
      <c r="L80" s="146"/>
      <c r="M80" s="147"/>
      <c r="N80" s="46" t="s">
        <v>30</v>
      </c>
      <c r="O80" s="39" t="s">
        <v>31</v>
      </c>
      <c r="P80" s="221" t="s">
        <v>33</v>
      </c>
      <c r="Q80" s="219"/>
      <c r="R80" s="219"/>
      <c r="S80" s="220"/>
      <c r="T80" s="222" t="s">
        <v>30</v>
      </c>
      <c r="U80" s="219"/>
      <c r="V80" s="219"/>
      <c r="W80" s="220"/>
      <c r="X80" s="203" t="s">
        <v>391</v>
      </c>
      <c r="Y80" s="187"/>
      <c r="Z80" s="188"/>
      <c r="AA80" s="186" t="s">
        <v>32</v>
      </c>
      <c r="AB80" s="187"/>
      <c r="AC80" s="187"/>
      <c r="AD80" s="187"/>
      <c r="AE80" s="187"/>
      <c r="AF80" s="187"/>
      <c r="AG80" s="187"/>
      <c r="AH80" s="188"/>
      <c r="AI80" s="213" t="s">
        <v>32</v>
      </c>
      <c r="AJ80" s="190"/>
      <c r="AK80" s="190"/>
      <c r="AL80" s="190"/>
      <c r="AM80" s="190"/>
      <c r="AN80" s="190"/>
      <c r="AO80" s="190"/>
      <c r="AP80" s="190"/>
      <c r="AQ80" s="191"/>
      <c r="AR80" s="41" t="s">
        <v>30</v>
      </c>
      <c r="AS80" s="41" t="s">
        <v>32</v>
      </c>
      <c r="AT80" s="41" t="s">
        <v>32</v>
      </c>
      <c r="AU80" s="186" t="s">
        <v>33</v>
      </c>
      <c r="AV80" s="187"/>
      <c r="AW80" s="187"/>
      <c r="AX80" s="188"/>
      <c r="AY80" s="186" t="s">
        <v>32</v>
      </c>
      <c r="AZ80" s="187"/>
      <c r="BA80" s="187"/>
      <c r="BB80" s="188"/>
      <c r="BC80" s="472"/>
      <c r="BD80" s="473"/>
      <c r="BE80" s="473"/>
      <c r="BF80" s="473"/>
      <c r="BG80" s="473"/>
      <c r="BH80" s="473"/>
      <c r="BI80" s="473"/>
      <c r="BJ80" s="474"/>
      <c r="BK80" s="35"/>
    </row>
    <row r="81" spans="1:63" ht="31.5" customHeight="1" x14ac:dyDescent="0.25">
      <c r="A81" s="34"/>
      <c r="B81" s="195">
        <v>26</v>
      </c>
      <c r="C81" s="196"/>
      <c r="D81" s="197" t="s">
        <v>202</v>
      </c>
      <c r="E81" s="198"/>
      <c r="F81" s="198"/>
      <c r="G81" s="198"/>
      <c r="H81" s="198"/>
      <c r="I81" s="198"/>
      <c r="J81" s="199"/>
      <c r="K81" s="207" t="s">
        <v>377</v>
      </c>
      <c r="L81" s="146"/>
      <c r="M81" s="147"/>
      <c r="N81" s="46" t="s">
        <v>380</v>
      </c>
      <c r="O81" s="45" t="s">
        <v>30</v>
      </c>
      <c r="P81" s="218" t="s">
        <v>388</v>
      </c>
      <c r="Q81" s="219"/>
      <c r="R81" s="219"/>
      <c r="S81" s="220"/>
      <c r="T81" s="227" t="s">
        <v>212</v>
      </c>
      <c r="U81" s="228"/>
      <c r="V81" s="228"/>
      <c r="W81" s="229"/>
      <c r="X81" s="203" t="s">
        <v>30</v>
      </c>
      <c r="Y81" s="187"/>
      <c r="Z81" s="188"/>
      <c r="AA81" s="186" t="s">
        <v>32</v>
      </c>
      <c r="AB81" s="187"/>
      <c r="AC81" s="187"/>
      <c r="AD81" s="187"/>
      <c r="AE81" s="187"/>
      <c r="AF81" s="187"/>
      <c r="AG81" s="187"/>
      <c r="AH81" s="188"/>
      <c r="AI81" s="213" t="s">
        <v>32</v>
      </c>
      <c r="AJ81" s="190"/>
      <c r="AK81" s="190"/>
      <c r="AL81" s="190"/>
      <c r="AM81" s="190"/>
      <c r="AN81" s="190"/>
      <c r="AO81" s="190"/>
      <c r="AP81" s="190"/>
      <c r="AQ81" s="191"/>
      <c r="AR81" s="41" t="s">
        <v>30</v>
      </c>
      <c r="AS81" s="41" t="s">
        <v>32</v>
      </c>
      <c r="AT81" s="41" t="s">
        <v>32</v>
      </c>
      <c r="AU81" s="186" t="s">
        <v>33</v>
      </c>
      <c r="AV81" s="187"/>
      <c r="AW81" s="187"/>
      <c r="AX81" s="188"/>
      <c r="AY81" s="186" t="s">
        <v>32</v>
      </c>
      <c r="AZ81" s="187"/>
      <c r="BA81" s="187"/>
      <c r="BB81" s="188"/>
      <c r="BC81" s="472"/>
      <c r="BD81" s="473"/>
      <c r="BE81" s="473"/>
      <c r="BF81" s="473"/>
      <c r="BG81" s="473"/>
      <c r="BH81" s="473"/>
      <c r="BI81" s="473"/>
      <c r="BJ81" s="474"/>
      <c r="BK81" s="35"/>
    </row>
    <row r="82" spans="1:63" ht="31.5" customHeight="1" x14ac:dyDescent="0.25">
      <c r="A82" s="34"/>
      <c r="B82" s="195">
        <v>27</v>
      </c>
      <c r="C82" s="196"/>
      <c r="D82" s="197" t="s">
        <v>214</v>
      </c>
      <c r="E82" s="198"/>
      <c r="F82" s="198"/>
      <c r="G82" s="198"/>
      <c r="H82" s="198"/>
      <c r="I82" s="198"/>
      <c r="J82" s="199"/>
      <c r="K82" s="145" t="s">
        <v>29</v>
      </c>
      <c r="L82" s="146"/>
      <c r="M82" s="147"/>
      <c r="N82" s="46" t="s">
        <v>30</v>
      </c>
      <c r="O82" s="39" t="s">
        <v>31</v>
      </c>
      <c r="P82" s="221" t="s">
        <v>33</v>
      </c>
      <c r="Q82" s="219"/>
      <c r="R82" s="219"/>
      <c r="S82" s="220"/>
      <c r="T82" s="222" t="s">
        <v>30</v>
      </c>
      <c r="U82" s="219"/>
      <c r="V82" s="219"/>
      <c r="W82" s="220"/>
      <c r="X82" s="203" t="s">
        <v>203</v>
      </c>
      <c r="Y82" s="187"/>
      <c r="Z82" s="188"/>
      <c r="AA82" s="186" t="s">
        <v>32</v>
      </c>
      <c r="AB82" s="187"/>
      <c r="AC82" s="187"/>
      <c r="AD82" s="187"/>
      <c r="AE82" s="187"/>
      <c r="AF82" s="187"/>
      <c r="AG82" s="187"/>
      <c r="AH82" s="188"/>
      <c r="AI82" s="213" t="s">
        <v>32</v>
      </c>
      <c r="AJ82" s="190"/>
      <c r="AK82" s="190"/>
      <c r="AL82" s="190"/>
      <c r="AM82" s="190"/>
      <c r="AN82" s="190"/>
      <c r="AO82" s="190"/>
      <c r="AP82" s="190"/>
      <c r="AQ82" s="191"/>
      <c r="AR82" s="41" t="s">
        <v>30</v>
      </c>
      <c r="AS82" s="41" t="s">
        <v>32</v>
      </c>
      <c r="AT82" s="41" t="s">
        <v>32</v>
      </c>
      <c r="AU82" s="186" t="s">
        <v>33</v>
      </c>
      <c r="AV82" s="187"/>
      <c r="AW82" s="187"/>
      <c r="AX82" s="188"/>
      <c r="AY82" s="186" t="s">
        <v>32</v>
      </c>
      <c r="AZ82" s="187"/>
      <c r="BA82" s="187"/>
      <c r="BB82" s="188"/>
      <c r="BC82" s="472"/>
      <c r="BD82" s="473"/>
      <c r="BE82" s="473"/>
      <c r="BF82" s="473"/>
      <c r="BG82" s="473"/>
      <c r="BH82" s="473"/>
      <c r="BI82" s="473"/>
      <c r="BJ82" s="474"/>
      <c r="BK82" s="35"/>
    </row>
    <row r="83" spans="1:63" ht="31.5" customHeight="1" x14ac:dyDescent="0.25">
      <c r="A83" s="34"/>
      <c r="B83" s="195">
        <v>28</v>
      </c>
      <c r="C83" s="196"/>
      <c r="D83" s="197" t="s">
        <v>213</v>
      </c>
      <c r="E83" s="198"/>
      <c r="F83" s="198"/>
      <c r="G83" s="198"/>
      <c r="H83" s="198"/>
      <c r="I83" s="198"/>
      <c r="J83" s="199"/>
      <c r="K83" s="207" t="s">
        <v>377</v>
      </c>
      <c r="L83" s="146"/>
      <c r="M83" s="147"/>
      <c r="N83" s="46" t="s">
        <v>380</v>
      </c>
      <c r="O83" s="45" t="s">
        <v>30</v>
      </c>
      <c r="P83" s="218" t="s">
        <v>388</v>
      </c>
      <c r="Q83" s="219"/>
      <c r="R83" s="219"/>
      <c r="S83" s="220"/>
      <c r="T83" s="230" t="s">
        <v>215</v>
      </c>
      <c r="U83" s="231"/>
      <c r="V83" s="231"/>
      <c r="W83" s="232"/>
      <c r="X83" s="203" t="s">
        <v>30</v>
      </c>
      <c r="Y83" s="187"/>
      <c r="Z83" s="188"/>
      <c r="AA83" s="186" t="s">
        <v>32</v>
      </c>
      <c r="AB83" s="187"/>
      <c r="AC83" s="187"/>
      <c r="AD83" s="187"/>
      <c r="AE83" s="187"/>
      <c r="AF83" s="187"/>
      <c r="AG83" s="187"/>
      <c r="AH83" s="188"/>
      <c r="AI83" s="213" t="s">
        <v>32</v>
      </c>
      <c r="AJ83" s="190"/>
      <c r="AK83" s="190"/>
      <c r="AL83" s="190"/>
      <c r="AM83" s="190"/>
      <c r="AN83" s="190"/>
      <c r="AO83" s="190"/>
      <c r="AP83" s="190"/>
      <c r="AQ83" s="191"/>
      <c r="AR83" s="41" t="s">
        <v>30</v>
      </c>
      <c r="AS83" s="41" t="s">
        <v>32</v>
      </c>
      <c r="AT83" s="41" t="s">
        <v>32</v>
      </c>
      <c r="AU83" s="186" t="s">
        <v>33</v>
      </c>
      <c r="AV83" s="187"/>
      <c r="AW83" s="187"/>
      <c r="AX83" s="188"/>
      <c r="AY83" s="186" t="s">
        <v>32</v>
      </c>
      <c r="AZ83" s="187"/>
      <c r="BA83" s="187"/>
      <c r="BB83" s="188"/>
      <c r="BC83" s="472"/>
      <c r="BD83" s="473"/>
      <c r="BE83" s="473"/>
      <c r="BF83" s="473"/>
      <c r="BG83" s="473"/>
      <c r="BH83" s="473"/>
      <c r="BI83" s="473"/>
      <c r="BJ83" s="474"/>
      <c r="BK83" s="35"/>
    </row>
    <row r="84" spans="1:63" ht="15.75" customHeight="1" x14ac:dyDescent="0.25">
      <c r="A84" s="34"/>
      <c r="B84" s="195">
        <v>29</v>
      </c>
      <c r="C84" s="196"/>
      <c r="D84" s="197" t="s">
        <v>205</v>
      </c>
      <c r="E84" s="198"/>
      <c r="F84" s="198"/>
      <c r="G84" s="198"/>
      <c r="H84" s="198"/>
      <c r="I84" s="198"/>
      <c r="J84" s="199"/>
      <c r="K84" s="145" t="s">
        <v>29</v>
      </c>
      <c r="L84" s="146"/>
      <c r="M84" s="147"/>
      <c r="N84" s="46" t="s">
        <v>30</v>
      </c>
      <c r="O84" s="39" t="s">
        <v>31</v>
      </c>
      <c r="P84" s="221" t="s">
        <v>33</v>
      </c>
      <c r="Q84" s="219"/>
      <c r="R84" s="219"/>
      <c r="S84" s="220"/>
      <c r="T84" s="222" t="s">
        <v>30</v>
      </c>
      <c r="U84" s="219"/>
      <c r="V84" s="219"/>
      <c r="W84" s="220"/>
      <c r="X84" s="203" t="s">
        <v>204</v>
      </c>
      <c r="Y84" s="187"/>
      <c r="Z84" s="188"/>
      <c r="AA84" s="186" t="s">
        <v>32</v>
      </c>
      <c r="AB84" s="187"/>
      <c r="AC84" s="187"/>
      <c r="AD84" s="187"/>
      <c r="AE84" s="187"/>
      <c r="AF84" s="187"/>
      <c r="AG84" s="187"/>
      <c r="AH84" s="188"/>
      <c r="AI84" s="213" t="s">
        <v>32</v>
      </c>
      <c r="AJ84" s="190"/>
      <c r="AK84" s="190"/>
      <c r="AL84" s="190"/>
      <c r="AM84" s="190"/>
      <c r="AN84" s="190"/>
      <c r="AO84" s="190"/>
      <c r="AP84" s="190"/>
      <c r="AQ84" s="191"/>
      <c r="AR84" s="41" t="s">
        <v>30</v>
      </c>
      <c r="AS84" s="41" t="s">
        <v>32</v>
      </c>
      <c r="AT84" s="41" t="s">
        <v>32</v>
      </c>
      <c r="AU84" s="186" t="s">
        <v>33</v>
      </c>
      <c r="AV84" s="187"/>
      <c r="AW84" s="187"/>
      <c r="AX84" s="188"/>
      <c r="AY84" s="186" t="s">
        <v>32</v>
      </c>
      <c r="AZ84" s="187"/>
      <c r="BA84" s="187"/>
      <c r="BB84" s="188"/>
      <c r="BC84" s="472"/>
      <c r="BD84" s="473"/>
      <c r="BE84" s="473"/>
      <c r="BF84" s="473"/>
      <c r="BG84" s="473"/>
      <c r="BH84" s="473"/>
      <c r="BI84" s="473"/>
      <c r="BJ84" s="474"/>
      <c r="BK84" s="35"/>
    </row>
    <row r="85" spans="1:63" ht="47.25" customHeight="1" x14ac:dyDescent="0.25">
      <c r="A85" s="34"/>
      <c r="B85" s="195">
        <v>30</v>
      </c>
      <c r="C85" s="196"/>
      <c r="D85" s="197" t="s">
        <v>206</v>
      </c>
      <c r="E85" s="198"/>
      <c r="F85" s="198"/>
      <c r="G85" s="198"/>
      <c r="H85" s="198"/>
      <c r="I85" s="198"/>
      <c r="J85" s="199"/>
      <c r="K85" s="207" t="s">
        <v>377</v>
      </c>
      <c r="L85" s="146"/>
      <c r="M85" s="147"/>
      <c r="N85" s="46" t="s">
        <v>380</v>
      </c>
      <c r="O85" s="45" t="s">
        <v>30</v>
      </c>
      <c r="P85" s="218" t="s">
        <v>388</v>
      </c>
      <c r="Q85" s="219"/>
      <c r="R85" s="219"/>
      <c r="S85" s="220"/>
      <c r="T85" s="230" t="s">
        <v>392</v>
      </c>
      <c r="U85" s="231"/>
      <c r="V85" s="231"/>
      <c r="W85" s="232"/>
      <c r="X85" s="203" t="s">
        <v>30</v>
      </c>
      <c r="Y85" s="187"/>
      <c r="Z85" s="188"/>
      <c r="AA85" s="186" t="s">
        <v>32</v>
      </c>
      <c r="AB85" s="187"/>
      <c r="AC85" s="187"/>
      <c r="AD85" s="187"/>
      <c r="AE85" s="187"/>
      <c r="AF85" s="187"/>
      <c r="AG85" s="187"/>
      <c r="AH85" s="188"/>
      <c r="AI85" s="213" t="s">
        <v>32</v>
      </c>
      <c r="AJ85" s="190"/>
      <c r="AK85" s="190"/>
      <c r="AL85" s="190"/>
      <c r="AM85" s="190"/>
      <c r="AN85" s="190"/>
      <c r="AO85" s="190"/>
      <c r="AP85" s="190"/>
      <c r="AQ85" s="191"/>
      <c r="AR85" s="41" t="s">
        <v>30</v>
      </c>
      <c r="AS85" s="41" t="s">
        <v>32</v>
      </c>
      <c r="AT85" s="41" t="s">
        <v>32</v>
      </c>
      <c r="AU85" s="186" t="s">
        <v>33</v>
      </c>
      <c r="AV85" s="187"/>
      <c r="AW85" s="187"/>
      <c r="AX85" s="188"/>
      <c r="AY85" s="186" t="s">
        <v>32</v>
      </c>
      <c r="AZ85" s="187"/>
      <c r="BA85" s="187"/>
      <c r="BB85" s="188"/>
      <c r="BC85" s="475" t="s">
        <v>207</v>
      </c>
      <c r="BD85" s="476"/>
      <c r="BE85" s="476"/>
      <c r="BF85" s="476"/>
      <c r="BG85" s="476"/>
      <c r="BH85" s="476"/>
      <c r="BI85" s="476"/>
      <c r="BJ85" s="477"/>
      <c r="BK85" s="35"/>
    </row>
    <row r="86" spans="1:63" ht="15.75" customHeight="1" x14ac:dyDescent="0.25">
      <c r="A86" s="34"/>
      <c r="B86" s="195">
        <v>31</v>
      </c>
      <c r="C86" s="196"/>
      <c r="D86" s="197" t="s">
        <v>209</v>
      </c>
      <c r="E86" s="198"/>
      <c r="F86" s="198"/>
      <c r="G86" s="198"/>
      <c r="H86" s="198"/>
      <c r="I86" s="198"/>
      <c r="J86" s="199"/>
      <c r="K86" s="145" t="s">
        <v>29</v>
      </c>
      <c r="L86" s="146"/>
      <c r="M86" s="147"/>
      <c r="N86" s="46" t="s">
        <v>30</v>
      </c>
      <c r="O86" s="39" t="s">
        <v>31</v>
      </c>
      <c r="P86" s="221" t="s">
        <v>33</v>
      </c>
      <c r="Q86" s="219"/>
      <c r="R86" s="219"/>
      <c r="S86" s="220"/>
      <c r="T86" s="222" t="s">
        <v>30</v>
      </c>
      <c r="U86" s="219"/>
      <c r="V86" s="219"/>
      <c r="W86" s="220"/>
      <c r="X86" s="203" t="s">
        <v>208</v>
      </c>
      <c r="Y86" s="187"/>
      <c r="Z86" s="188"/>
      <c r="AA86" s="186" t="s">
        <v>32</v>
      </c>
      <c r="AB86" s="187"/>
      <c r="AC86" s="187"/>
      <c r="AD86" s="187"/>
      <c r="AE86" s="187"/>
      <c r="AF86" s="187"/>
      <c r="AG86" s="187"/>
      <c r="AH86" s="188"/>
      <c r="AI86" s="213" t="s">
        <v>32</v>
      </c>
      <c r="AJ86" s="190"/>
      <c r="AK86" s="190"/>
      <c r="AL86" s="190"/>
      <c r="AM86" s="190"/>
      <c r="AN86" s="190"/>
      <c r="AO86" s="190"/>
      <c r="AP86" s="190"/>
      <c r="AQ86" s="191"/>
      <c r="AR86" s="41" t="s">
        <v>30</v>
      </c>
      <c r="AS86" s="41" t="s">
        <v>32</v>
      </c>
      <c r="AT86" s="41" t="s">
        <v>32</v>
      </c>
      <c r="AU86" s="186" t="s">
        <v>33</v>
      </c>
      <c r="AV86" s="187"/>
      <c r="AW86" s="187"/>
      <c r="AX86" s="188"/>
      <c r="AY86" s="186" t="s">
        <v>32</v>
      </c>
      <c r="AZ86" s="187"/>
      <c r="BA86" s="187"/>
      <c r="BB86" s="188"/>
      <c r="BC86" s="472"/>
      <c r="BD86" s="473"/>
      <c r="BE86" s="473"/>
      <c r="BF86" s="473"/>
      <c r="BG86" s="473"/>
      <c r="BH86" s="473"/>
      <c r="BI86" s="473"/>
      <c r="BJ86" s="474"/>
      <c r="BK86" s="35"/>
    </row>
    <row r="87" spans="1:63" ht="351" customHeight="1" x14ac:dyDescent="0.25">
      <c r="A87" s="34"/>
      <c r="B87" s="240">
        <v>32</v>
      </c>
      <c r="C87" s="242"/>
      <c r="D87" s="246" t="s">
        <v>210</v>
      </c>
      <c r="E87" s="247"/>
      <c r="F87" s="247"/>
      <c r="G87" s="247"/>
      <c r="H87" s="247"/>
      <c r="I87" s="247"/>
      <c r="J87" s="248"/>
      <c r="K87" s="243" t="s">
        <v>377</v>
      </c>
      <c r="L87" s="249"/>
      <c r="M87" s="250"/>
      <c r="N87" s="48" t="s">
        <v>380</v>
      </c>
      <c r="O87" s="43" t="s">
        <v>31</v>
      </c>
      <c r="P87" s="251" t="s">
        <v>388</v>
      </c>
      <c r="Q87" s="252"/>
      <c r="R87" s="252"/>
      <c r="S87" s="253"/>
      <c r="T87" s="479" t="s">
        <v>393</v>
      </c>
      <c r="U87" s="480"/>
      <c r="V87" s="480"/>
      <c r="W87" s="481"/>
      <c r="X87" s="482" t="s">
        <v>30</v>
      </c>
      <c r="Y87" s="483"/>
      <c r="Z87" s="484"/>
      <c r="AA87" s="485" t="s">
        <v>394</v>
      </c>
      <c r="AB87" s="486"/>
      <c r="AC87" s="486"/>
      <c r="AD87" s="486"/>
      <c r="AE87" s="486"/>
      <c r="AF87" s="486"/>
      <c r="AG87" s="486"/>
      <c r="AH87" s="487"/>
      <c r="AI87" s="237" t="s">
        <v>379</v>
      </c>
      <c r="AJ87" s="238"/>
      <c r="AK87" s="238"/>
      <c r="AL87" s="238"/>
      <c r="AM87" s="238"/>
      <c r="AN87" s="238"/>
      <c r="AO87" s="238"/>
      <c r="AP87" s="238"/>
      <c r="AQ87" s="239"/>
      <c r="AR87" s="44" t="s">
        <v>30</v>
      </c>
      <c r="AS87" s="44" t="s">
        <v>32</v>
      </c>
      <c r="AT87" s="44" t="s">
        <v>32</v>
      </c>
      <c r="AU87" s="240" t="s">
        <v>33</v>
      </c>
      <c r="AV87" s="241"/>
      <c r="AW87" s="241"/>
      <c r="AX87" s="242"/>
      <c r="AY87" s="240" t="s">
        <v>32</v>
      </c>
      <c r="AZ87" s="241"/>
      <c r="BA87" s="241"/>
      <c r="BB87" s="242"/>
      <c r="BC87" s="243"/>
      <c r="BD87" s="488"/>
      <c r="BE87" s="488"/>
      <c r="BF87" s="488"/>
      <c r="BG87" s="488"/>
      <c r="BH87" s="488"/>
      <c r="BI87" s="488"/>
      <c r="BJ87" s="489"/>
      <c r="BK87" s="35"/>
    </row>
    <row r="88" spans="1:63" x14ac:dyDescent="0.25">
      <c r="A88" s="34"/>
      <c r="BK88" s="35"/>
    </row>
    <row r="89" spans="1:63" x14ac:dyDescent="0.25">
      <c r="A89" s="34"/>
      <c r="BK89" s="35"/>
    </row>
    <row r="90" spans="1:63" x14ac:dyDescent="0.25">
      <c r="A90" s="34"/>
      <c r="BK90" s="35"/>
    </row>
    <row r="91" spans="1:63" x14ac:dyDescent="0.25">
      <c r="A91" s="34"/>
      <c r="BK91" s="35"/>
    </row>
    <row r="92" spans="1:63" x14ac:dyDescent="0.25">
      <c r="A92" s="34"/>
      <c r="BK92" s="35"/>
    </row>
    <row r="93" spans="1:63" x14ac:dyDescent="0.25">
      <c r="A93" s="34"/>
      <c r="BK93" s="35"/>
    </row>
    <row r="94" spans="1:63" x14ac:dyDescent="0.25">
      <c r="A94" s="34"/>
      <c r="BK94" s="35"/>
    </row>
    <row r="95" spans="1:63" x14ac:dyDescent="0.25">
      <c r="A95" s="34"/>
      <c r="BK95" s="35"/>
    </row>
    <row r="96" spans="1:63" x14ac:dyDescent="0.25">
      <c r="A96" s="34"/>
      <c r="BK96" s="35"/>
    </row>
    <row r="97" spans="1:63" x14ac:dyDescent="0.25">
      <c r="A97" s="31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3"/>
    </row>
  </sheetData>
  <mergeCells count="403">
    <mergeCell ref="X59:Z59"/>
    <mergeCell ref="T59:W59"/>
    <mergeCell ref="AI59:AQ59"/>
    <mergeCell ref="AA59:AH59"/>
    <mergeCell ref="AA60:AH60"/>
    <mergeCell ref="AI60:AQ60"/>
    <mergeCell ref="AU57:AX57"/>
    <mergeCell ref="AY57:BB57"/>
    <mergeCell ref="BC57:BJ57"/>
    <mergeCell ref="AU58:AX58"/>
    <mergeCell ref="AY58:BB58"/>
    <mergeCell ref="BC58:BJ58"/>
    <mergeCell ref="AU60:AX60"/>
    <mergeCell ref="AY60:BB60"/>
    <mergeCell ref="AA57:AH57"/>
    <mergeCell ref="AI57:AQ57"/>
    <mergeCell ref="BC60:BJ60"/>
    <mergeCell ref="AY59:BB59"/>
    <mergeCell ref="AU59:AX59"/>
    <mergeCell ref="BC59:BJ59"/>
    <mergeCell ref="P58:S58"/>
    <mergeCell ref="T58:W58"/>
    <mergeCell ref="X58:Z58"/>
    <mergeCell ref="AA58:AH58"/>
    <mergeCell ref="AI58:AQ58"/>
    <mergeCell ref="B60:C60"/>
    <mergeCell ref="D60:J60"/>
    <mergeCell ref="K60:M60"/>
    <mergeCell ref="P57:S57"/>
    <mergeCell ref="T57:W57"/>
    <mergeCell ref="X57:Z57"/>
    <mergeCell ref="P60:S60"/>
    <mergeCell ref="T60:W60"/>
    <mergeCell ref="X60:Z60"/>
    <mergeCell ref="P59:S59"/>
    <mergeCell ref="B57:C57"/>
    <mergeCell ref="D57:J57"/>
    <mergeCell ref="K57:M57"/>
    <mergeCell ref="B58:C58"/>
    <mergeCell ref="D58:J58"/>
    <mergeCell ref="K58:M58"/>
    <mergeCell ref="K59:M59"/>
    <mergeCell ref="D59:J59"/>
    <mergeCell ref="B59:C59"/>
    <mergeCell ref="X87:Z87"/>
    <mergeCell ref="AA87:AH87"/>
    <mergeCell ref="AI87:AQ87"/>
    <mergeCell ref="AU87:AX87"/>
    <mergeCell ref="AY87:BB87"/>
    <mergeCell ref="BC87:BJ87"/>
    <mergeCell ref="B87:C87"/>
    <mergeCell ref="D87:J87"/>
    <mergeCell ref="K87:M87"/>
    <mergeCell ref="P87:S87"/>
    <mergeCell ref="T87:W87"/>
    <mergeCell ref="AA86:AH86"/>
    <mergeCell ref="AI86:AQ86"/>
    <mergeCell ref="AU86:AX86"/>
    <mergeCell ref="AY86:BB86"/>
    <mergeCell ref="BC86:BJ86"/>
    <mergeCell ref="B86:C86"/>
    <mergeCell ref="D86:J86"/>
    <mergeCell ref="K86:M86"/>
    <mergeCell ref="P86:S86"/>
    <mergeCell ref="T86:W86"/>
    <mergeCell ref="X86:Z86"/>
    <mergeCell ref="X85:Z85"/>
    <mergeCell ref="AA85:AH85"/>
    <mergeCell ref="AI85:AQ85"/>
    <mergeCell ref="AU85:AX85"/>
    <mergeCell ref="AY85:BB85"/>
    <mergeCell ref="BC85:BJ85"/>
    <mergeCell ref="AA84:AH84"/>
    <mergeCell ref="AI84:AQ84"/>
    <mergeCell ref="AU84:AX84"/>
    <mergeCell ref="AY84:BB84"/>
    <mergeCell ref="BC84:BJ84"/>
    <mergeCell ref="X84:Z84"/>
    <mergeCell ref="B85:C85"/>
    <mergeCell ref="D85:J85"/>
    <mergeCell ref="K85:M85"/>
    <mergeCell ref="P85:S85"/>
    <mergeCell ref="T85:W85"/>
    <mergeCell ref="B84:C84"/>
    <mergeCell ref="D84:J84"/>
    <mergeCell ref="K84:M84"/>
    <mergeCell ref="P84:S84"/>
    <mergeCell ref="T84:W84"/>
    <mergeCell ref="X83:Z83"/>
    <mergeCell ref="AA83:AH83"/>
    <mergeCell ref="AI83:AQ83"/>
    <mergeCell ref="AU83:AX83"/>
    <mergeCell ref="AY83:BB83"/>
    <mergeCell ref="BC83:BJ83"/>
    <mergeCell ref="AA82:AH82"/>
    <mergeCell ref="AI82:AQ82"/>
    <mergeCell ref="AU82:AX82"/>
    <mergeCell ref="AY82:BB82"/>
    <mergeCell ref="BC82:BJ82"/>
    <mergeCell ref="X82:Z82"/>
    <mergeCell ref="B83:C83"/>
    <mergeCell ref="D83:J83"/>
    <mergeCell ref="K83:M83"/>
    <mergeCell ref="P83:S83"/>
    <mergeCell ref="T83:W83"/>
    <mergeCell ref="B82:C82"/>
    <mergeCell ref="D82:J82"/>
    <mergeCell ref="K82:M82"/>
    <mergeCell ref="P82:S82"/>
    <mergeCell ref="T82:W82"/>
    <mergeCell ref="X81:Z81"/>
    <mergeCell ref="AA81:AH81"/>
    <mergeCell ref="AI81:AQ81"/>
    <mergeCell ref="AU81:AX81"/>
    <mergeCell ref="AY81:BB81"/>
    <mergeCell ref="BC81:BJ81"/>
    <mergeCell ref="AA80:AH80"/>
    <mergeCell ref="AI80:AQ80"/>
    <mergeCell ref="AU80:AX80"/>
    <mergeCell ref="AY80:BB80"/>
    <mergeCell ref="BC80:BJ80"/>
    <mergeCell ref="X80:Z80"/>
    <mergeCell ref="B81:C81"/>
    <mergeCell ref="D81:J81"/>
    <mergeCell ref="K81:M81"/>
    <mergeCell ref="P81:S81"/>
    <mergeCell ref="T81:W81"/>
    <mergeCell ref="B80:C80"/>
    <mergeCell ref="D80:J80"/>
    <mergeCell ref="K80:M80"/>
    <mergeCell ref="P80:S80"/>
    <mergeCell ref="T80:W80"/>
    <mergeCell ref="X79:Z79"/>
    <mergeCell ref="AA79:AH79"/>
    <mergeCell ref="AI79:AQ79"/>
    <mergeCell ref="AU79:AX79"/>
    <mergeCell ref="AY79:BB79"/>
    <mergeCell ref="BC79:BJ79"/>
    <mergeCell ref="AA78:AH78"/>
    <mergeCell ref="AI78:AQ78"/>
    <mergeCell ref="AU78:AX78"/>
    <mergeCell ref="AY78:BB78"/>
    <mergeCell ref="BC78:BJ78"/>
    <mergeCell ref="X78:Z78"/>
    <mergeCell ref="B79:C79"/>
    <mergeCell ref="D79:J79"/>
    <mergeCell ref="K79:M79"/>
    <mergeCell ref="P79:S79"/>
    <mergeCell ref="T79:W79"/>
    <mergeCell ref="B78:C78"/>
    <mergeCell ref="D78:J78"/>
    <mergeCell ref="K78:M78"/>
    <mergeCell ref="P78:S78"/>
    <mergeCell ref="T78:W78"/>
    <mergeCell ref="X77:Z77"/>
    <mergeCell ref="AA77:AH77"/>
    <mergeCell ref="AI77:AQ77"/>
    <mergeCell ref="AU77:AX77"/>
    <mergeCell ref="AY77:BB77"/>
    <mergeCell ref="BC77:BJ77"/>
    <mergeCell ref="AA76:AH76"/>
    <mergeCell ref="AI76:AQ76"/>
    <mergeCell ref="AU76:AX76"/>
    <mergeCell ref="AY76:BB76"/>
    <mergeCell ref="BC76:BJ76"/>
    <mergeCell ref="X76:Z76"/>
    <mergeCell ref="B77:C77"/>
    <mergeCell ref="D77:J77"/>
    <mergeCell ref="K77:M77"/>
    <mergeCell ref="P77:S77"/>
    <mergeCell ref="T77:W77"/>
    <mergeCell ref="B76:C76"/>
    <mergeCell ref="D76:J76"/>
    <mergeCell ref="K76:M76"/>
    <mergeCell ref="P76:S76"/>
    <mergeCell ref="T76:W76"/>
    <mergeCell ref="X75:Z75"/>
    <mergeCell ref="AA75:AH75"/>
    <mergeCell ref="AI75:AQ75"/>
    <mergeCell ref="AU75:AX75"/>
    <mergeCell ref="AY75:BB75"/>
    <mergeCell ref="BC75:BJ75"/>
    <mergeCell ref="AA74:AH74"/>
    <mergeCell ref="AI74:AQ74"/>
    <mergeCell ref="AU74:AX74"/>
    <mergeCell ref="AY74:BB74"/>
    <mergeCell ref="BC74:BJ74"/>
    <mergeCell ref="X74:Z74"/>
    <mergeCell ref="B75:C75"/>
    <mergeCell ref="D75:J75"/>
    <mergeCell ref="K75:M75"/>
    <mergeCell ref="P75:S75"/>
    <mergeCell ref="T75:W75"/>
    <mergeCell ref="B74:C74"/>
    <mergeCell ref="D74:J74"/>
    <mergeCell ref="K74:M74"/>
    <mergeCell ref="P74:S74"/>
    <mergeCell ref="T74:W74"/>
    <mergeCell ref="X73:Z73"/>
    <mergeCell ref="AA73:AH73"/>
    <mergeCell ref="AI73:AQ73"/>
    <mergeCell ref="AU73:AX73"/>
    <mergeCell ref="AY73:BB73"/>
    <mergeCell ref="BC73:BJ73"/>
    <mergeCell ref="AA72:AH72"/>
    <mergeCell ref="AI72:AQ72"/>
    <mergeCell ref="AU72:AX72"/>
    <mergeCell ref="AY72:BB72"/>
    <mergeCell ref="BC72:BJ72"/>
    <mergeCell ref="X72:Z72"/>
    <mergeCell ref="B73:C73"/>
    <mergeCell ref="D73:J73"/>
    <mergeCell ref="K73:M73"/>
    <mergeCell ref="P73:S73"/>
    <mergeCell ref="T73:W73"/>
    <mergeCell ref="B72:C72"/>
    <mergeCell ref="D72:J72"/>
    <mergeCell ref="K72:M72"/>
    <mergeCell ref="P72:S72"/>
    <mergeCell ref="T72:W72"/>
    <mergeCell ref="X71:Z71"/>
    <mergeCell ref="AA71:AH71"/>
    <mergeCell ref="AI71:AQ71"/>
    <mergeCell ref="AU71:AX71"/>
    <mergeCell ref="AY71:BB71"/>
    <mergeCell ref="BC71:BJ71"/>
    <mergeCell ref="B71:C71"/>
    <mergeCell ref="D71:J71"/>
    <mergeCell ref="K71:M71"/>
    <mergeCell ref="P71:S71"/>
    <mergeCell ref="T71:W71"/>
    <mergeCell ref="X70:Z70"/>
    <mergeCell ref="AA70:AH70"/>
    <mergeCell ref="AI70:AQ70"/>
    <mergeCell ref="AU70:AX70"/>
    <mergeCell ref="AY70:BB70"/>
    <mergeCell ref="BC70:BJ70"/>
    <mergeCell ref="AA69:AH69"/>
    <mergeCell ref="AI69:AQ69"/>
    <mergeCell ref="AU69:AX69"/>
    <mergeCell ref="AY69:BB69"/>
    <mergeCell ref="BC69:BJ69"/>
    <mergeCell ref="X69:Z69"/>
    <mergeCell ref="B70:C70"/>
    <mergeCell ref="D70:J70"/>
    <mergeCell ref="K70:M70"/>
    <mergeCell ref="P70:S70"/>
    <mergeCell ref="T70:W70"/>
    <mergeCell ref="B69:C69"/>
    <mergeCell ref="D69:J69"/>
    <mergeCell ref="K69:M69"/>
    <mergeCell ref="P69:S69"/>
    <mergeCell ref="T69:W69"/>
    <mergeCell ref="X68:Z68"/>
    <mergeCell ref="AA68:AH68"/>
    <mergeCell ref="AI68:AQ68"/>
    <mergeCell ref="AU68:AX68"/>
    <mergeCell ref="AY68:BB68"/>
    <mergeCell ref="BC68:BJ68"/>
    <mergeCell ref="AA67:AH67"/>
    <mergeCell ref="AI67:AQ67"/>
    <mergeCell ref="AU67:AX67"/>
    <mergeCell ref="AY67:BB67"/>
    <mergeCell ref="BC67:BJ67"/>
    <mergeCell ref="X67:Z67"/>
    <mergeCell ref="B68:C68"/>
    <mergeCell ref="D68:J68"/>
    <mergeCell ref="K68:M68"/>
    <mergeCell ref="P68:S68"/>
    <mergeCell ref="T68:W68"/>
    <mergeCell ref="B67:C67"/>
    <mergeCell ref="D67:J67"/>
    <mergeCell ref="K67:M67"/>
    <mergeCell ref="P67:S67"/>
    <mergeCell ref="T67:W67"/>
    <mergeCell ref="X66:Z66"/>
    <mergeCell ref="AA66:AH66"/>
    <mergeCell ref="AI66:AQ66"/>
    <mergeCell ref="AU66:AX66"/>
    <mergeCell ref="AY66:BB66"/>
    <mergeCell ref="BC66:BJ66"/>
    <mergeCell ref="AA65:AH65"/>
    <mergeCell ref="AI65:AQ65"/>
    <mergeCell ref="AU65:AX65"/>
    <mergeCell ref="AY65:BB65"/>
    <mergeCell ref="BC65:BJ65"/>
    <mergeCell ref="X65:Z65"/>
    <mergeCell ref="B66:C66"/>
    <mergeCell ref="D66:J66"/>
    <mergeCell ref="K66:M66"/>
    <mergeCell ref="P66:S66"/>
    <mergeCell ref="T66:W66"/>
    <mergeCell ref="B65:C65"/>
    <mergeCell ref="D65:J65"/>
    <mergeCell ref="K65:M65"/>
    <mergeCell ref="P65:S65"/>
    <mergeCell ref="T65:W65"/>
    <mergeCell ref="X64:Z64"/>
    <mergeCell ref="AA64:AH64"/>
    <mergeCell ref="AI64:AQ64"/>
    <mergeCell ref="AU64:AX64"/>
    <mergeCell ref="AY64:BB64"/>
    <mergeCell ref="BC64:BJ64"/>
    <mergeCell ref="AA63:AH63"/>
    <mergeCell ref="AI63:AQ63"/>
    <mergeCell ref="AU63:AX63"/>
    <mergeCell ref="AY63:BB63"/>
    <mergeCell ref="BC63:BJ63"/>
    <mergeCell ref="X63:Z63"/>
    <mergeCell ref="B64:C64"/>
    <mergeCell ref="D64:J64"/>
    <mergeCell ref="K64:M64"/>
    <mergeCell ref="P64:S64"/>
    <mergeCell ref="T64:W64"/>
    <mergeCell ref="B63:C63"/>
    <mergeCell ref="D63:J63"/>
    <mergeCell ref="K63:M63"/>
    <mergeCell ref="P63:S63"/>
    <mergeCell ref="T63:W63"/>
    <mergeCell ref="X62:Z62"/>
    <mergeCell ref="AA62:AH62"/>
    <mergeCell ref="AI62:AQ62"/>
    <mergeCell ref="AU62:AX62"/>
    <mergeCell ref="AY62:BB62"/>
    <mergeCell ref="BC62:BJ62"/>
    <mergeCell ref="AA61:AH61"/>
    <mergeCell ref="AI61:AQ61"/>
    <mergeCell ref="AU61:AX61"/>
    <mergeCell ref="AY61:BB61"/>
    <mergeCell ref="BC61:BJ61"/>
    <mergeCell ref="X61:Z61"/>
    <mergeCell ref="B62:C62"/>
    <mergeCell ref="D62:J62"/>
    <mergeCell ref="K62:M62"/>
    <mergeCell ref="P62:S62"/>
    <mergeCell ref="T62:W62"/>
    <mergeCell ref="B61:C61"/>
    <mergeCell ref="D61:J61"/>
    <mergeCell ref="K61:M61"/>
    <mergeCell ref="P61:S61"/>
    <mergeCell ref="T61:W61"/>
    <mergeCell ref="AA56:AH56"/>
    <mergeCell ref="AI56:AQ56"/>
    <mergeCell ref="AU56:AX56"/>
    <mergeCell ref="AY56:BB56"/>
    <mergeCell ref="BC56:BJ56"/>
    <mergeCell ref="B56:C56"/>
    <mergeCell ref="D56:J56"/>
    <mergeCell ref="K56:M56"/>
    <mergeCell ref="P56:S56"/>
    <mergeCell ref="T56:W56"/>
    <mergeCell ref="X56:Z56"/>
    <mergeCell ref="B55:C55"/>
    <mergeCell ref="D55:J55"/>
    <mergeCell ref="K55:M55"/>
    <mergeCell ref="P55:S55"/>
    <mergeCell ref="T55:W55"/>
    <mergeCell ref="P52:AQ52"/>
    <mergeCell ref="AR52:BB52"/>
    <mergeCell ref="BC52:BJ54"/>
    <mergeCell ref="P53:W53"/>
    <mergeCell ref="X53:Z54"/>
    <mergeCell ref="AA53:AH54"/>
    <mergeCell ref="AI53:AQ54"/>
    <mergeCell ref="AR53:AR54"/>
    <mergeCell ref="AS53:AS54"/>
    <mergeCell ref="AT53:AT54"/>
    <mergeCell ref="X55:Z55"/>
    <mergeCell ref="AA55:AH55"/>
    <mergeCell ref="AI55:AQ55"/>
    <mergeCell ref="AU55:AX55"/>
    <mergeCell ref="AY55:BB55"/>
    <mergeCell ref="BC55:BJ55"/>
    <mergeCell ref="AU53:BB53"/>
    <mergeCell ref="P54:S54"/>
    <mergeCell ref="T54:W54"/>
    <mergeCell ref="A4:G4"/>
    <mergeCell ref="H4:T4"/>
    <mergeCell ref="U4:Y4"/>
    <mergeCell ref="Z4:AO4"/>
    <mergeCell ref="AP4:BK4"/>
    <mergeCell ref="B52:C54"/>
    <mergeCell ref="D52:J54"/>
    <mergeCell ref="K52:M54"/>
    <mergeCell ref="N52:N54"/>
    <mergeCell ref="O52:O54"/>
    <mergeCell ref="AU54:AX54"/>
    <mergeCell ref="AY54:BB5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1">
    <dataValidation type="list" allowBlank="1" showInputMessage="1" showErrorMessage="1" sqref="O55:O87" xr:uid="{00000000-0002-0000-0200-000000000000}">
      <formula1>"－,●"</formula1>
    </dataValidation>
  </dataValidations>
  <pageMargins left="0.7" right="0.7" top="0.75" bottom="0.75" header="0.3" footer="0.3"/>
  <pageSetup scale="2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138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30"/>
  </cols>
  <sheetData>
    <row r="1" spans="1:63" ht="24.95" customHeight="1" x14ac:dyDescent="0.25">
      <c r="A1" s="457" t="s">
        <v>333</v>
      </c>
      <c r="B1" s="458"/>
      <c r="C1" s="458"/>
      <c r="D1" s="458"/>
      <c r="E1" s="458"/>
      <c r="F1" s="458"/>
      <c r="G1" s="458"/>
      <c r="H1" s="458"/>
      <c r="I1" s="458"/>
      <c r="J1" s="459"/>
      <c r="K1" s="457" t="s">
        <v>334</v>
      </c>
      <c r="L1" s="458"/>
      <c r="M1" s="458"/>
      <c r="N1" s="458"/>
      <c r="O1" s="458"/>
      <c r="P1" s="458"/>
      <c r="Q1" s="458"/>
      <c r="R1" s="458"/>
      <c r="S1" s="458"/>
      <c r="T1" s="458"/>
      <c r="U1" s="458"/>
      <c r="V1" s="459"/>
      <c r="W1" s="460" t="str">
        <f>IF(表紙!W1="","",表紙!W1)</f>
        <v>詳細設計書</v>
      </c>
      <c r="X1" s="461"/>
      <c r="Y1" s="461"/>
      <c r="Z1" s="461"/>
      <c r="AA1" s="461"/>
      <c r="AB1" s="461"/>
      <c r="AC1" s="461"/>
      <c r="AD1" s="461"/>
      <c r="AE1" s="461"/>
      <c r="AF1" s="461"/>
      <c r="AG1" s="461"/>
      <c r="AH1" s="461"/>
      <c r="AI1" s="461"/>
      <c r="AJ1" s="461"/>
      <c r="AK1" s="461"/>
      <c r="AL1" s="461"/>
      <c r="AM1" s="461"/>
      <c r="AN1" s="461"/>
      <c r="AO1" s="462"/>
      <c r="AP1" s="398" t="s">
        <v>335</v>
      </c>
      <c r="AQ1" s="399"/>
      <c r="AR1" s="399"/>
      <c r="AS1" s="400"/>
      <c r="AT1" s="398" t="s">
        <v>336</v>
      </c>
      <c r="AU1" s="399"/>
      <c r="AV1" s="399"/>
      <c r="AW1" s="399"/>
      <c r="AX1" s="400"/>
      <c r="AY1" s="398" t="s">
        <v>337</v>
      </c>
      <c r="AZ1" s="399"/>
      <c r="BA1" s="399"/>
      <c r="BB1" s="400"/>
      <c r="BC1" s="398" t="s">
        <v>338</v>
      </c>
      <c r="BD1" s="399"/>
      <c r="BE1" s="399"/>
      <c r="BF1" s="399"/>
      <c r="BG1" s="400"/>
      <c r="BH1" s="398" t="s">
        <v>339</v>
      </c>
      <c r="BI1" s="399"/>
      <c r="BJ1" s="399"/>
      <c r="BK1" s="400"/>
    </row>
    <row r="2" spans="1:63" ht="15" customHeight="1" x14ac:dyDescent="0.25">
      <c r="A2" s="97" t="str">
        <f>IF(表紙!A2="","",表紙!A2)</f>
        <v>POSサーバー</v>
      </c>
      <c r="B2" s="98"/>
      <c r="C2" s="98"/>
      <c r="D2" s="98"/>
      <c r="E2" s="98"/>
      <c r="F2" s="98"/>
      <c r="G2" s="98"/>
      <c r="H2" s="98"/>
      <c r="I2" s="98"/>
      <c r="J2" s="99"/>
      <c r="K2" s="97" t="str">
        <f>IF(表紙!K2="","",表紙!K2)</f>
        <v>POSサーバ</v>
      </c>
      <c r="L2" s="98"/>
      <c r="M2" s="98"/>
      <c r="N2" s="98"/>
      <c r="O2" s="98"/>
      <c r="P2" s="98"/>
      <c r="Q2" s="98"/>
      <c r="R2" s="98"/>
      <c r="S2" s="98"/>
      <c r="T2" s="98"/>
      <c r="U2" s="98"/>
      <c r="V2" s="99"/>
      <c r="W2" s="463"/>
      <c r="X2" s="464"/>
      <c r="Y2" s="464"/>
      <c r="Z2" s="464"/>
      <c r="AA2" s="464"/>
      <c r="AB2" s="464"/>
      <c r="AC2" s="464"/>
      <c r="AD2" s="464"/>
      <c r="AE2" s="464"/>
      <c r="AF2" s="464"/>
      <c r="AG2" s="464"/>
      <c r="AH2" s="464"/>
      <c r="AI2" s="464"/>
      <c r="AJ2" s="464"/>
      <c r="AK2" s="464"/>
      <c r="AL2" s="464"/>
      <c r="AM2" s="464"/>
      <c r="AN2" s="464"/>
      <c r="AO2" s="465"/>
      <c r="AP2" s="405" t="str">
        <f>IF(表紙!AP2="","",表紙!AP2)</f>
        <v>TinNH</v>
      </c>
      <c r="AQ2" s="406"/>
      <c r="AR2" s="406"/>
      <c r="AS2" s="407"/>
      <c r="AT2" s="411">
        <f>IF(表紙!AT2="","",表紙!AT2)</f>
        <v>45478</v>
      </c>
      <c r="AU2" s="412"/>
      <c r="AV2" s="412"/>
      <c r="AW2" s="412"/>
      <c r="AX2" s="413"/>
      <c r="AY2" s="405" t="str">
        <f>IF(表紙!AY2="","",表紙!AY2)</f>
        <v>DuNT</v>
      </c>
      <c r="AZ2" s="406"/>
      <c r="BA2" s="406"/>
      <c r="BB2" s="407"/>
      <c r="BC2" s="411">
        <f>IF(表紙!BC2="","",表紙!BC2)</f>
        <v>45644</v>
      </c>
      <c r="BD2" s="412"/>
      <c r="BE2" s="412"/>
      <c r="BF2" s="412"/>
      <c r="BG2" s="413"/>
      <c r="BH2" s="405">
        <f>IF(表紙!BH2="","",表紙!BH2)</f>
        <v>0.13</v>
      </c>
      <c r="BI2" s="406"/>
      <c r="BJ2" s="406"/>
      <c r="BK2" s="407"/>
    </row>
    <row r="3" spans="1:63" ht="15" customHeight="1" x14ac:dyDescent="0.25">
      <c r="A3" s="100"/>
      <c r="B3" s="101"/>
      <c r="C3" s="101"/>
      <c r="D3" s="101"/>
      <c r="E3" s="101"/>
      <c r="F3" s="101"/>
      <c r="G3" s="101"/>
      <c r="H3" s="101"/>
      <c r="I3" s="101"/>
      <c r="J3" s="102"/>
      <c r="K3" s="100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2"/>
      <c r="W3" s="466"/>
      <c r="X3" s="467"/>
      <c r="Y3" s="467"/>
      <c r="Z3" s="467"/>
      <c r="AA3" s="467"/>
      <c r="AB3" s="467"/>
      <c r="AC3" s="467"/>
      <c r="AD3" s="467"/>
      <c r="AE3" s="467"/>
      <c r="AF3" s="467"/>
      <c r="AG3" s="467"/>
      <c r="AH3" s="467"/>
      <c r="AI3" s="467"/>
      <c r="AJ3" s="467"/>
      <c r="AK3" s="467"/>
      <c r="AL3" s="467"/>
      <c r="AM3" s="467"/>
      <c r="AN3" s="467"/>
      <c r="AO3" s="468"/>
      <c r="AP3" s="414"/>
      <c r="AQ3" s="415"/>
      <c r="AR3" s="415"/>
      <c r="AS3" s="416"/>
      <c r="AT3" s="420"/>
      <c r="AU3" s="421"/>
      <c r="AV3" s="421"/>
      <c r="AW3" s="421"/>
      <c r="AX3" s="422"/>
      <c r="AY3" s="414"/>
      <c r="AZ3" s="415"/>
      <c r="BA3" s="415"/>
      <c r="BB3" s="416"/>
      <c r="BC3" s="420"/>
      <c r="BD3" s="421"/>
      <c r="BE3" s="421"/>
      <c r="BF3" s="421"/>
      <c r="BG3" s="422"/>
      <c r="BH3" s="414"/>
      <c r="BI3" s="415"/>
      <c r="BJ3" s="415"/>
      <c r="BK3" s="416"/>
    </row>
    <row r="4" spans="1:63" ht="24.95" customHeight="1" x14ac:dyDescent="0.25">
      <c r="A4" s="457" t="s">
        <v>340</v>
      </c>
      <c r="B4" s="458"/>
      <c r="C4" s="458"/>
      <c r="D4" s="458"/>
      <c r="E4" s="458"/>
      <c r="F4" s="458"/>
      <c r="G4" s="459"/>
      <c r="H4" s="115" t="str">
        <f>IF(表紙!H4="","",表紙!H4)</f>
        <v>01_商品管理</v>
      </c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7"/>
      <c r="U4" s="457" t="s">
        <v>341</v>
      </c>
      <c r="V4" s="458"/>
      <c r="W4" s="458"/>
      <c r="X4" s="458"/>
      <c r="Y4" s="459"/>
      <c r="Z4" s="115" t="str">
        <f>IF(表紙!Z4="","",表紙!Z4)</f>
        <v>画面設計書</v>
      </c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7"/>
      <c r="AP4" s="118" t="str">
        <f ca="1">MID(CELL("filename",A1),FIND("]",CELL("filename",A1))+1,255)</f>
        <v>SC0102</v>
      </c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7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4"/>
      <c r="BK6" s="35"/>
    </row>
    <row r="7" spans="1:63" ht="15" customHeight="1" x14ac:dyDescent="0.25">
      <c r="A7" s="34"/>
      <c r="B7" s="37" t="s">
        <v>395</v>
      </c>
      <c r="C7" s="469"/>
      <c r="D7" s="469"/>
      <c r="E7" s="469"/>
      <c r="F7" s="469"/>
      <c r="G7" s="469"/>
      <c r="H7" s="469"/>
      <c r="I7" s="469"/>
      <c r="J7" s="469"/>
      <c r="AE7" s="37"/>
      <c r="BK7" s="35"/>
    </row>
    <row r="8" spans="1:63" ht="15" customHeight="1" x14ac:dyDescent="0.25">
      <c r="A8" s="34"/>
      <c r="BK8" s="35"/>
    </row>
    <row r="9" spans="1:63" ht="15" customHeight="1" x14ac:dyDescent="0.25">
      <c r="A9" s="34"/>
      <c r="BK9" s="35"/>
    </row>
    <row r="10" spans="1:63" ht="15" customHeight="1" x14ac:dyDescent="0.25">
      <c r="A10" s="34"/>
      <c r="BK10" s="35"/>
    </row>
    <row r="11" spans="1:63" ht="15" customHeight="1" x14ac:dyDescent="0.25">
      <c r="A11" s="34"/>
      <c r="BK11" s="35"/>
    </row>
    <row r="12" spans="1:63" ht="15" customHeight="1" x14ac:dyDescent="0.25">
      <c r="A12" s="34"/>
      <c r="BK12" s="35"/>
    </row>
    <row r="13" spans="1:63" ht="15" customHeight="1" x14ac:dyDescent="0.25">
      <c r="A13" s="34"/>
      <c r="BK13" s="35"/>
    </row>
    <row r="14" spans="1:63" ht="15" customHeight="1" x14ac:dyDescent="0.25">
      <c r="A14" s="34"/>
      <c r="BK14" s="35"/>
    </row>
    <row r="15" spans="1:63" ht="15" customHeight="1" x14ac:dyDescent="0.25">
      <c r="A15" s="34"/>
      <c r="BK15" s="35"/>
    </row>
    <row r="16" spans="1:63" ht="15" customHeight="1" x14ac:dyDescent="0.25">
      <c r="A16" s="34"/>
      <c r="BK16" s="35"/>
    </row>
    <row r="17" spans="1:63" ht="15" customHeight="1" x14ac:dyDescent="0.25">
      <c r="A17" s="34"/>
      <c r="BK17" s="35"/>
    </row>
    <row r="18" spans="1:63" ht="15" customHeight="1" x14ac:dyDescent="0.25">
      <c r="A18" s="34"/>
      <c r="BK18" s="35"/>
    </row>
    <row r="19" spans="1:63" ht="15" customHeight="1" x14ac:dyDescent="0.25">
      <c r="A19" s="34"/>
      <c r="BK19" s="35"/>
    </row>
    <row r="20" spans="1:63" ht="15" customHeight="1" x14ac:dyDescent="0.25">
      <c r="A20" s="34"/>
      <c r="BK20" s="35"/>
    </row>
    <row r="21" spans="1:63" ht="15" customHeight="1" x14ac:dyDescent="0.25">
      <c r="A21" s="34"/>
      <c r="BK21" s="35"/>
    </row>
    <row r="22" spans="1:63" ht="15" customHeight="1" x14ac:dyDescent="0.25">
      <c r="A22" s="34"/>
      <c r="BK22" s="35"/>
    </row>
    <row r="23" spans="1:63" ht="15" customHeight="1" x14ac:dyDescent="0.25">
      <c r="A23" s="34"/>
      <c r="BK23" s="35"/>
    </row>
    <row r="24" spans="1:63" ht="15" customHeight="1" x14ac:dyDescent="0.25">
      <c r="A24" s="34"/>
      <c r="BK24" s="35"/>
    </row>
    <row r="25" spans="1:63" ht="15" customHeight="1" x14ac:dyDescent="0.25">
      <c r="A25" s="34"/>
      <c r="BK25" s="35"/>
    </row>
    <row r="26" spans="1:63" ht="15" customHeight="1" x14ac:dyDescent="0.25">
      <c r="A26" s="34"/>
      <c r="BK26" s="35"/>
    </row>
    <row r="27" spans="1:63" ht="15" customHeight="1" x14ac:dyDescent="0.25">
      <c r="A27" s="34"/>
      <c r="BK27" s="35"/>
    </row>
    <row r="28" spans="1:63" ht="15" customHeight="1" x14ac:dyDescent="0.25">
      <c r="A28" s="34"/>
      <c r="BK28" s="35"/>
    </row>
    <row r="29" spans="1:63" ht="15" customHeight="1" x14ac:dyDescent="0.25">
      <c r="A29" s="34"/>
      <c r="BK29" s="35"/>
    </row>
    <row r="30" spans="1:63" ht="15" customHeight="1" x14ac:dyDescent="0.25">
      <c r="A30" s="34"/>
      <c r="BK30" s="35"/>
    </row>
    <row r="31" spans="1:63" ht="14.25" customHeight="1" x14ac:dyDescent="0.25">
      <c r="A31" s="34"/>
      <c r="BK31" s="35"/>
    </row>
    <row r="32" spans="1:63" ht="14.25" customHeight="1" x14ac:dyDescent="0.25">
      <c r="A32" s="34"/>
      <c r="BK32" s="35"/>
    </row>
    <row r="33" spans="1:63" ht="14.25" customHeight="1" x14ac:dyDescent="0.25">
      <c r="A33" s="34"/>
      <c r="BK33" s="35"/>
    </row>
    <row r="34" spans="1:63" ht="14.25" customHeight="1" x14ac:dyDescent="0.25">
      <c r="A34" s="34"/>
      <c r="BK34" s="35"/>
    </row>
    <row r="35" spans="1:63" ht="14.25" customHeight="1" x14ac:dyDescent="0.25">
      <c r="A35" s="34"/>
      <c r="BK35" s="35"/>
    </row>
    <row r="36" spans="1:63" ht="14.25" customHeight="1" x14ac:dyDescent="0.25">
      <c r="A36" s="34"/>
      <c r="BK36" s="35"/>
    </row>
    <row r="37" spans="1:63" ht="14.25" customHeight="1" x14ac:dyDescent="0.25">
      <c r="A37" s="34"/>
      <c r="BK37" s="35"/>
    </row>
    <row r="38" spans="1:63" ht="14.25" customHeight="1" x14ac:dyDescent="0.25">
      <c r="A38" s="34"/>
      <c r="BK38" s="35"/>
    </row>
    <row r="39" spans="1:63" ht="15" customHeight="1" x14ac:dyDescent="0.25">
      <c r="A39" s="34"/>
      <c r="BK39" s="35"/>
    </row>
    <row r="40" spans="1:63" ht="15" customHeight="1" x14ac:dyDescent="0.25">
      <c r="A40" s="34"/>
      <c r="BK40" s="35"/>
    </row>
    <row r="41" spans="1:63" x14ac:dyDescent="0.25">
      <c r="A41" s="34"/>
      <c r="BK41" s="35"/>
    </row>
    <row r="42" spans="1:63" x14ac:dyDescent="0.25">
      <c r="A42" s="34"/>
      <c r="BK42" s="35"/>
    </row>
    <row r="43" spans="1:63" x14ac:dyDescent="0.25">
      <c r="A43" s="34"/>
      <c r="BK43" s="35"/>
    </row>
    <row r="44" spans="1:63" x14ac:dyDescent="0.25">
      <c r="A44" s="34"/>
      <c r="BK44" s="35"/>
    </row>
    <row r="45" spans="1:63" x14ac:dyDescent="0.25">
      <c r="A45" s="34"/>
      <c r="BK45" s="35"/>
    </row>
    <row r="46" spans="1:63" x14ac:dyDescent="0.25">
      <c r="A46" s="34"/>
      <c r="BK46" s="35"/>
    </row>
    <row r="47" spans="1:63" x14ac:dyDescent="0.25">
      <c r="A47" s="34"/>
      <c r="BK47" s="35"/>
    </row>
    <row r="48" spans="1:63" ht="15" customHeight="1" x14ac:dyDescent="0.25">
      <c r="A48" s="34"/>
      <c r="B48" s="37" t="s">
        <v>350</v>
      </c>
      <c r="BK48" s="35"/>
    </row>
    <row r="49" spans="1:63" x14ac:dyDescent="0.25">
      <c r="A49" s="34"/>
      <c r="BK49" s="35"/>
    </row>
    <row r="50" spans="1:63" ht="15.75" customHeight="1" x14ac:dyDescent="0.25">
      <c r="A50" s="34"/>
      <c r="B50" s="119" t="s">
        <v>351</v>
      </c>
      <c r="C50" s="120"/>
      <c r="D50" s="125" t="s">
        <v>352</v>
      </c>
      <c r="E50" s="126"/>
      <c r="F50" s="126"/>
      <c r="G50" s="126"/>
      <c r="H50" s="126"/>
      <c r="I50" s="126"/>
      <c r="J50" s="120"/>
      <c r="K50" s="125" t="s">
        <v>353</v>
      </c>
      <c r="L50" s="126"/>
      <c r="M50" s="120"/>
      <c r="N50" s="129" t="s">
        <v>18</v>
      </c>
      <c r="O50" s="132" t="s">
        <v>354</v>
      </c>
      <c r="P50" s="150" t="s">
        <v>355</v>
      </c>
      <c r="Q50" s="151"/>
      <c r="R50" s="151"/>
      <c r="S50" s="151"/>
      <c r="T50" s="151"/>
      <c r="U50" s="151"/>
      <c r="V50" s="151"/>
      <c r="W50" s="151"/>
      <c r="X50" s="151"/>
      <c r="Y50" s="151"/>
      <c r="Z50" s="151"/>
      <c r="AA50" s="151"/>
      <c r="AB50" s="151"/>
      <c r="AC50" s="151"/>
      <c r="AD50" s="151"/>
      <c r="AE50" s="151"/>
      <c r="AF50" s="151"/>
      <c r="AG50" s="151"/>
      <c r="AH50" s="151"/>
      <c r="AI50" s="151"/>
      <c r="AJ50" s="151"/>
      <c r="AK50" s="151"/>
      <c r="AL50" s="151"/>
      <c r="AM50" s="151"/>
      <c r="AN50" s="151"/>
      <c r="AO50" s="151"/>
      <c r="AP50" s="151"/>
      <c r="AQ50" s="152"/>
      <c r="AR50" s="135" t="s">
        <v>356</v>
      </c>
      <c r="AS50" s="136"/>
      <c r="AT50" s="136"/>
      <c r="AU50" s="136"/>
      <c r="AV50" s="136"/>
      <c r="AW50" s="136"/>
      <c r="AX50" s="136"/>
      <c r="AY50" s="136"/>
      <c r="AZ50" s="136"/>
      <c r="BA50" s="136"/>
      <c r="BB50" s="139"/>
      <c r="BC50" s="153" t="s">
        <v>357</v>
      </c>
      <c r="BD50" s="154"/>
      <c r="BE50" s="154"/>
      <c r="BF50" s="154"/>
      <c r="BG50" s="154"/>
      <c r="BH50" s="154"/>
      <c r="BI50" s="154"/>
      <c r="BJ50" s="155"/>
      <c r="BK50" s="35"/>
    </row>
    <row r="51" spans="1:63" ht="15.75" customHeight="1" x14ac:dyDescent="0.25">
      <c r="A51" s="34"/>
      <c r="B51" s="121"/>
      <c r="C51" s="122"/>
      <c r="D51" s="121"/>
      <c r="E51" s="127"/>
      <c r="F51" s="127"/>
      <c r="G51" s="127"/>
      <c r="H51" s="127"/>
      <c r="I51" s="127"/>
      <c r="J51" s="122"/>
      <c r="K51" s="121"/>
      <c r="L51" s="127"/>
      <c r="M51" s="122"/>
      <c r="N51" s="130"/>
      <c r="O51" s="133"/>
      <c r="P51" s="162" t="s">
        <v>358</v>
      </c>
      <c r="Q51" s="163"/>
      <c r="R51" s="163"/>
      <c r="S51" s="163"/>
      <c r="T51" s="163"/>
      <c r="U51" s="163"/>
      <c r="V51" s="163"/>
      <c r="W51" s="164"/>
      <c r="X51" s="165" t="s">
        <v>359</v>
      </c>
      <c r="Y51" s="166"/>
      <c r="Z51" s="167"/>
      <c r="AA51" s="165" t="s">
        <v>360</v>
      </c>
      <c r="AB51" s="166"/>
      <c r="AC51" s="166"/>
      <c r="AD51" s="166"/>
      <c r="AE51" s="166"/>
      <c r="AF51" s="166"/>
      <c r="AG51" s="166"/>
      <c r="AH51" s="167"/>
      <c r="AI51" s="165" t="s">
        <v>361</v>
      </c>
      <c r="AJ51" s="166"/>
      <c r="AK51" s="166"/>
      <c r="AL51" s="166"/>
      <c r="AM51" s="166"/>
      <c r="AN51" s="166"/>
      <c r="AO51" s="166"/>
      <c r="AP51" s="166"/>
      <c r="AQ51" s="167"/>
      <c r="AR51" s="171" t="s">
        <v>26</v>
      </c>
      <c r="AS51" s="173" t="s">
        <v>362</v>
      </c>
      <c r="AT51" s="175" t="s">
        <v>363</v>
      </c>
      <c r="AU51" s="135" t="s">
        <v>358</v>
      </c>
      <c r="AV51" s="136"/>
      <c r="AW51" s="136"/>
      <c r="AX51" s="136"/>
      <c r="AY51" s="136"/>
      <c r="AZ51" s="136"/>
      <c r="BA51" s="136"/>
      <c r="BB51" s="139"/>
      <c r="BC51" s="156"/>
      <c r="BD51" s="157"/>
      <c r="BE51" s="157"/>
      <c r="BF51" s="157"/>
      <c r="BG51" s="157"/>
      <c r="BH51" s="157"/>
      <c r="BI51" s="157"/>
      <c r="BJ51" s="158"/>
      <c r="BK51" s="35"/>
    </row>
    <row r="52" spans="1:63" x14ac:dyDescent="0.25">
      <c r="A52" s="34"/>
      <c r="B52" s="123"/>
      <c r="C52" s="124"/>
      <c r="D52" s="123"/>
      <c r="E52" s="128"/>
      <c r="F52" s="128"/>
      <c r="G52" s="128"/>
      <c r="H52" s="128"/>
      <c r="I52" s="128"/>
      <c r="J52" s="124"/>
      <c r="K52" s="123"/>
      <c r="L52" s="128"/>
      <c r="M52" s="124"/>
      <c r="N52" s="131"/>
      <c r="O52" s="134"/>
      <c r="P52" s="150" t="s">
        <v>364</v>
      </c>
      <c r="Q52" s="151"/>
      <c r="R52" s="151"/>
      <c r="S52" s="152"/>
      <c r="T52" s="150" t="s">
        <v>352</v>
      </c>
      <c r="U52" s="151"/>
      <c r="V52" s="151"/>
      <c r="W52" s="152"/>
      <c r="X52" s="168"/>
      <c r="Y52" s="169"/>
      <c r="Z52" s="170"/>
      <c r="AA52" s="168"/>
      <c r="AB52" s="169"/>
      <c r="AC52" s="169"/>
      <c r="AD52" s="169"/>
      <c r="AE52" s="169"/>
      <c r="AF52" s="169"/>
      <c r="AG52" s="169"/>
      <c r="AH52" s="170"/>
      <c r="AI52" s="168"/>
      <c r="AJ52" s="169"/>
      <c r="AK52" s="169"/>
      <c r="AL52" s="169"/>
      <c r="AM52" s="169"/>
      <c r="AN52" s="169"/>
      <c r="AO52" s="169"/>
      <c r="AP52" s="169"/>
      <c r="AQ52" s="170"/>
      <c r="AR52" s="172"/>
      <c r="AS52" s="174"/>
      <c r="AT52" s="176"/>
      <c r="AU52" s="135" t="s">
        <v>364</v>
      </c>
      <c r="AV52" s="136"/>
      <c r="AW52" s="136"/>
      <c r="AX52" s="137"/>
      <c r="AY52" s="138" t="s">
        <v>352</v>
      </c>
      <c r="AZ52" s="136"/>
      <c r="BA52" s="136"/>
      <c r="BB52" s="139"/>
      <c r="BC52" s="159"/>
      <c r="BD52" s="160"/>
      <c r="BE52" s="160"/>
      <c r="BF52" s="160"/>
      <c r="BG52" s="160"/>
      <c r="BH52" s="160"/>
      <c r="BI52" s="160"/>
      <c r="BJ52" s="161"/>
      <c r="BK52" s="35"/>
    </row>
    <row r="53" spans="1:63" ht="32.25" customHeight="1" x14ac:dyDescent="0.25">
      <c r="A53" s="34"/>
      <c r="B53" s="140">
        <v>0</v>
      </c>
      <c r="C53" s="141"/>
      <c r="D53" s="142" t="s">
        <v>44</v>
      </c>
      <c r="E53" s="143"/>
      <c r="F53" s="143"/>
      <c r="G53" s="143"/>
      <c r="H53" s="143"/>
      <c r="I53" s="143"/>
      <c r="J53" s="144"/>
      <c r="K53" s="145" t="s">
        <v>29</v>
      </c>
      <c r="L53" s="146"/>
      <c r="M53" s="147"/>
      <c r="N53" s="38" t="s">
        <v>30</v>
      </c>
      <c r="O53" s="39" t="s">
        <v>31</v>
      </c>
      <c r="P53" s="148" t="s">
        <v>30</v>
      </c>
      <c r="Q53" s="149"/>
      <c r="R53" s="149"/>
      <c r="S53" s="141"/>
      <c r="T53" s="148" t="s">
        <v>30</v>
      </c>
      <c r="U53" s="149"/>
      <c r="V53" s="149"/>
      <c r="W53" s="141"/>
      <c r="X53" s="177" t="s">
        <v>396</v>
      </c>
      <c r="Y53" s="178"/>
      <c r="Z53" s="179"/>
      <c r="AA53" s="140" t="s">
        <v>32</v>
      </c>
      <c r="AB53" s="149"/>
      <c r="AC53" s="149"/>
      <c r="AD53" s="149"/>
      <c r="AE53" s="149"/>
      <c r="AF53" s="149"/>
      <c r="AG53" s="149"/>
      <c r="AH53" s="141"/>
      <c r="AI53" s="180" t="s">
        <v>30</v>
      </c>
      <c r="AJ53" s="181"/>
      <c r="AK53" s="181"/>
      <c r="AL53" s="181"/>
      <c r="AM53" s="181"/>
      <c r="AN53" s="181"/>
      <c r="AO53" s="181"/>
      <c r="AP53" s="181"/>
      <c r="AQ53" s="182"/>
      <c r="AR53" s="40" t="s">
        <v>30</v>
      </c>
      <c r="AS53" s="40" t="s">
        <v>32</v>
      </c>
      <c r="AT53" s="40" t="s">
        <v>32</v>
      </c>
      <c r="AU53" s="140" t="s">
        <v>33</v>
      </c>
      <c r="AV53" s="149"/>
      <c r="AW53" s="149"/>
      <c r="AX53" s="141"/>
      <c r="AY53" s="140" t="s">
        <v>32</v>
      </c>
      <c r="AZ53" s="149"/>
      <c r="BA53" s="149"/>
      <c r="BB53" s="141"/>
      <c r="BC53" s="183" t="s">
        <v>397</v>
      </c>
      <c r="BD53" s="294"/>
      <c r="BE53" s="294"/>
      <c r="BF53" s="294"/>
      <c r="BG53" s="294"/>
      <c r="BH53" s="294"/>
      <c r="BI53" s="294"/>
      <c r="BJ53" s="295"/>
      <c r="BK53" s="35"/>
    </row>
    <row r="54" spans="1:63" ht="31.5" customHeight="1" x14ac:dyDescent="0.25">
      <c r="A54" s="34"/>
      <c r="B54" s="195">
        <v>2</v>
      </c>
      <c r="C54" s="196"/>
      <c r="D54" s="197" t="s">
        <v>45</v>
      </c>
      <c r="E54" s="198"/>
      <c r="F54" s="198"/>
      <c r="G54" s="198"/>
      <c r="H54" s="198"/>
      <c r="I54" s="198"/>
      <c r="J54" s="199"/>
      <c r="K54" s="145" t="s">
        <v>29</v>
      </c>
      <c r="L54" s="146"/>
      <c r="M54" s="147"/>
      <c r="N54" s="46" t="s">
        <v>30</v>
      </c>
      <c r="O54" s="39" t="s">
        <v>31</v>
      </c>
      <c r="P54" s="186" t="s">
        <v>33</v>
      </c>
      <c r="Q54" s="187"/>
      <c r="R54" s="187"/>
      <c r="S54" s="188"/>
      <c r="T54" s="203" t="s">
        <v>30</v>
      </c>
      <c r="U54" s="187"/>
      <c r="V54" s="187"/>
      <c r="W54" s="188"/>
      <c r="X54" s="204" t="s">
        <v>46</v>
      </c>
      <c r="Y54" s="205"/>
      <c r="Z54" s="206"/>
      <c r="AA54" s="186" t="s">
        <v>32</v>
      </c>
      <c r="AB54" s="187"/>
      <c r="AC54" s="187"/>
      <c r="AD54" s="187"/>
      <c r="AE54" s="187"/>
      <c r="AF54" s="187"/>
      <c r="AG54" s="187"/>
      <c r="AH54" s="188"/>
      <c r="AI54" s="213" t="s">
        <v>32</v>
      </c>
      <c r="AJ54" s="190"/>
      <c r="AK54" s="190"/>
      <c r="AL54" s="190"/>
      <c r="AM54" s="190"/>
      <c r="AN54" s="190"/>
      <c r="AO54" s="190"/>
      <c r="AP54" s="190"/>
      <c r="AQ54" s="191"/>
      <c r="AR54" s="41" t="s">
        <v>30</v>
      </c>
      <c r="AS54" s="41" t="s">
        <v>32</v>
      </c>
      <c r="AT54" s="41" t="s">
        <v>32</v>
      </c>
      <c r="AU54" s="186" t="s">
        <v>33</v>
      </c>
      <c r="AV54" s="187"/>
      <c r="AW54" s="187"/>
      <c r="AX54" s="188"/>
      <c r="AY54" s="186" t="s">
        <v>32</v>
      </c>
      <c r="AZ54" s="187"/>
      <c r="BA54" s="187"/>
      <c r="BB54" s="188"/>
      <c r="BC54" s="472"/>
      <c r="BD54" s="473"/>
      <c r="BE54" s="473"/>
      <c r="BF54" s="473"/>
      <c r="BG54" s="473"/>
      <c r="BH54" s="473"/>
      <c r="BI54" s="473"/>
      <c r="BJ54" s="474"/>
      <c r="BK54" s="35"/>
    </row>
    <row r="55" spans="1:63" ht="15.75" customHeight="1" x14ac:dyDescent="0.25">
      <c r="A55" s="34"/>
      <c r="B55" s="195">
        <v>3</v>
      </c>
      <c r="C55" s="196"/>
      <c r="D55" s="197" t="s">
        <v>269</v>
      </c>
      <c r="E55" s="198"/>
      <c r="F55" s="198"/>
      <c r="G55" s="198"/>
      <c r="H55" s="198"/>
      <c r="I55" s="198"/>
      <c r="J55" s="199"/>
      <c r="K55" s="145" t="s">
        <v>29</v>
      </c>
      <c r="L55" s="146"/>
      <c r="M55" s="147"/>
      <c r="N55" s="46" t="s">
        <v>30</v>
      </c>
      <c r="O55" s="39" t="s">
        <v>31</v>
      </c>
      <c r="P55" s="186" t="s">
        <v>33</v>
      </c>
      <c r="Q55" s="187"/>
      <c r="R55" s="187"/>
      <c r="S55" s="188"/>
      <c r="T55" s="203" t="s">
        <v>30</v>
      </c>
      <c r="U55" s="187"/>
      <c r="V55" s="187"/>
      <c r="W55" s="188"/>
      <c r="X55" s="204" t="s">
        <v>308</v>
      </c>
      <c r="Y55" s="205"/>
      <c r="Z55" s="206"/>
      <c r="AA55" s="186" t="s">
        <v>32</v>
      </c>
      <c r="AB55" s="187"/>
      <c r="AC55" s="187"/>
      <c r="AD55" s="187"/>
      <c r="AE55" s="187"/>
      <c r="AF55" s="187"/>
      <c r="AG55" s="187"/>
      <c r="AH55" s="188"/>
      <c r="AI55" s="213" t="s">
        <v>32</v>
      </c>
      <c r="AJ55" s="190"/>
      <c r="AK55" s="190"/>
      <c r="AL55" s="190"/>
      <c r="AM55" s="190"/>
      <c r="AN55" s="190"/>
      <c r="AO55" s="190"/>
      <c r="AP55" s="190"/>
      <c r="AQ55" s="191"/>
      <c r="AR55" s="41" t="s">
        <v>30</v>
      </c>
      <c r="AS55" s="41" t="s">
        <v>32</v>
      </c>
      <c r="AT55" s="41" t="s">
        <v>32</v>
      </c>
      <c r="AU55" s="186" t="s">
        <v>33</v>
      </c>
      <c r="AV55" s="187"/>
      <c r="AW55" s="187"/>
      <c r="AX55" s="188"/>
      <c r="AY55" s="186" t="s">
        <v>32</v>
      </c>
      <c r="AZ55" s="187"/>
      <c r="BA55" s="187"/>
      <c r="BB55" s="188"/>
      <c r="BC55" s="472"/>
      <c r="BD55" s="473"/>
      <c r="BE55" s="473"/>
      <c r="BF55" s="473"/>
      <c r="BG55" s="473"/>
      <c r="BH55" s="473"/>
      <c r="BI55" s="473"/>
      <c r="BJ55" s="474"/>
      <c r="BK55" s="35"/>
    </row>
    <row r="56" spans="1:63" ht="47.25" customHeight="1" x14ac:dyDescent="0.25">
      <c r="A56" s="34"/>
      <c r="B56" s="195">
        <v>4</v>
      </c>
      <c r="C56" s="196"/>
      <c r="D56" s="197" t="s">
        <v>270</v>
      </c>
      <c r="E56" s="198"/>
      <c r="F56" s="198"/>
      <c r="G56" s="198"/>
      <c r="H56" s="198"/>
      <c r="I56" s="198"/>
      <c r="J56" s="199"/>
      <c r="K56" s="207" t="s">
        <v>371</v>
      </c>
      <c r="L56" s="146"/>
      <c r="M56" s="147"/>
      <c r="N56" s="46" t="s">
        <v>380</v>
      </c>
      <c r="O56" s="39" t="s">
        <v>30</v>
      </c>
      <c r="P56" s="208" t="s">
        <v>398</v>
      </c>
      <c r="Q56" s="187"/>
      <c r="R56" s="187"/>
      <c r="S56" s="188"/>
      <c r="T56" s="209" t="s">
        <v>180</v>
      </c>
      <c r="U56" s="205"/>
      <c r="V56" s="205"/>
      <c r="W56" s="206"/>
      <c r="X56" s="204" t="s">
        <v>30</v>
      </c>
      <c r="Y56" s="205"/>
      <c r="Z56" s="206"/>
      <c r="AA56" s="186" t="s">
        <v>32</v>
      </c>
      <c r="AB56" s="187"/>
      <c r="AC56" s="187"/>
      <c r="AD56" s="187"/>
      <c r="AE56" s="187"/>
      <c r="AF56" s="187"/>
      <c r="AG56" s="187"/>
      <c r="AH56" s="188"/>
      <c r="AI56" s="291" t="s">
        <v>370</v>
      </c>
      <c r="AJ56" s="292"/>
      <c r="AK56" s="292"/>
      <c r="AL56" s="292"/>
      <c r="AM56" s="292"/>
      <c r="AN56" s="292"/>
      <c r="AO56" s="292"/>
      <c r="AP56" s="292"/>
      <c r="AQ56" s="293"/>
      <c r="AR56" s="41" t="s">
        <v>30</v>
      </c>
      <c r="AS56" s="41" t="s">
        <v>32</v>
      </c>
      <c r="AT56" s="41" t="s">
        <v>32</v>
      </c>
      <c r="AU56" s="208" t="s">
        <v>399</v>
      </c>
      <c r="AV56" s="187"/>
      <c r="AW56" s="187"/>
      <c r="AX56" s="188"/>
      <c r="AY56" s="287" t="s">
        <v>400</v>
      </c>
      <c r="AZ56" s="205"/>
      <c r="BA56" s="205"/>
      <c r="BB56" s="206"/>
      <c r="BC56" s="472"/>
      <c r="BD56" s="473"/>
      <c r="BE56" s="473"/>
      <c r="BF56" s="473"/>
      <c r="BG56" s="473"/>
      <c r="BH56" s="473"/>
      <c r="BI56" s="473"/>
      <c r="BJ56" s="474"/>
      <c r="BK56" s="35"/>
    </row>
    <row r="57" spans="1:63" ht="31.5" customHeight="1" x14ac:dyDescent="0.25">
      <c r="A57" s="34"/>
      <c r="B57" s="195">
        <v>5</v>
      </c>
      <c r="C57" s="196"/>
      <c r="D57" s="197" t="s">
        <v>301</v>
      </c>
      <c r="E57" s="198"/>
      <c r="F57" s="198"/>
      <c r="G57" s="198"/>
      <c r="H57" s="198"/>
      <c r="I57" s="198"/>
      <c r="J57" s="199"/>
      <c r="K57" s="145" t="s">
        <v>29</v>
      </c>
      <c r="L57" s="146"/>
      <c r="M57" s="147"/>
      <c r="N57" s="46" t="s">
        <v>30</v>
      </c>
      <c r="O57" s="39" t="s">
        <v>31</v>
      </c>
      <c r="P57" s="186" t="s">
        <v>33</v>
      </c>
      <c r="Q57" s="187"/>
      <c r="R57" s="187"/>
      <c r="S57" s="188"/>
      <c r="T57" s="203" t="s">
        <v>30</v>
      </c>
      <c r="U57" s="187"/>
      <c r="V57" s="187"/>
      <c r="W57" s="188"/>
      <c r="X57" s="204" t="s">
        <v>51</v>
      </c>
      <c r="Y57" s="205"/>
      <c r="Z57" s="206"/>
      <c r="AA57" s="186" t="s">
        <v>32</v>
      </c>
      <c r="AB57" s="187"/>
      <c r="AC57" s="187"/>
      <c r="AD57" s="187"/>
      <c r="AE57" s="187"/>
      <c r="AF57" s="187"/>
      <c r="AG57" s="187"/>
      <c r="AH57" s="188"/>
      <c r="AI57" s="213" t="s">
        <v>32</v>
      </c>
      <c r="AJ57" s="190"/>
      <c r="AK57" s="190"/>
      <c r="AL57" s="190"/>
      <c r="AM57" s="190"/>
      <c r="AN57" s="190"/>
      <c r="AO57" s="190"/>
      <c r="AP57" s="190"/>
      <c r="AQ57" s="191"/>
      <c r="AR57" s="41" t="s">
        <v>30</v>
      </c>
      <c r="AS57" s="41" t="s">
        <v>32</v>
      </c>
      <c r="AT57" s="41" t="s">
        <v>32</v>
      </c>
      <c r="AU57" s="186" t="s">
        <v>33</v>
      </c>
      <c r="AV57" s="187"/>
      <c r="AW57" s="187"/>
      <c r="AX57" s="188"/>
      <c r="AY57" s="186" t="s">
        <v>32</v>
      </c>
      <c r="AZ57" s="187"/>
      <c r="BA57" s="187"/>
      <c r="BB57" s="188"/>
      <c r="BC57" s="472"/>
      <c r="BD57" s="473"/>
      <c r="BE57" s="473"/>
      <c r="BF57" s="473"/>
      <c r="BG57" s="473"/>
      <c r="BH57" s="473"/>
      <c r="BI57" s="473"/>
      <c r="BJ57" s="474"/>
      <c r="BK57" s="35"/>
    </row>
    <row r="58" spans="1:63" ht="15.75" customHeight="1" x14ac:dyDescent="0.25">
      <c r="A58" s="34"/>
      <c r="B58" s="195">
        <v>6</v>
      </c>
      <c r="C58" s="196"/>
      <c r="D58" s="197" t="s">
        <v>302</v>
      </c>
      <c r="E58" s="198"/>
      <c r="F58" s="198"/>
      <c r="G58" s="198"/>
      <c r="H58" s="198"/>
      <c r="I58" s="198"/>
      <c r="J58" s="199"/>
      <c r="K58" s="207" t="s">
        <v>371</v>
      </c>
      <c r="L58" s="146"/>
      <c r="M58" s="147"/>
      <c r="N58" s="46" t="s">
        <v>380</v>
      </c>
      <c r="O58" s="45" t="s">
        <v>30</v>
      </c>
      <c r="P58" s="208" t="s">
        <v>398</v>
      </c>
      <c r="Q58" s="187"/>
      <c r="R58" s="187"/>
      <c r="S58" s="188"/>
      <c r="T58" s="186" t="s">
        <v>305</v>
      </c>
      <c r="U58" s="187"/>
      <c r="V58" s="187"/>
      <c r="W58" s="188"/>
      <c r="X58" s="204" t="s">
        <v>30</v>
      </c>
      <c r="Y58" s="205"/>
      <c r="Z58" s="206"/>
      <c r="AA58" s="186" t="s">
        <v>32</v>
      </c>
      <c r="AB58" s="187"/>
      <c r="AC58" s="187"/>
      <c r="AD58" s="187"/>
      <c r="AE58" s="187"/>
      <c r="AF58" s="187"/>
      <c r="AG58" s="187"/>
      <c r="AH58" s="188"/>
      <c r="AI58" s="291" t="s">
        <v>370</v>
      </c>
      <c r="AJ58" s="292"/>
      <c r="AK58" s="292"/>
      <c r="AL58" s="292"/>
      <c r="AM58" s="292"/>
      <c r="AN58" s="292"/>
      <c r="AO58" s="292"/>
      <c r="AP58" s="292"/>
      <c r="AQ58" s="293"/>
      <c r="AR58" s="41" t="s">
        <v>30</v>
      </c>
      <c r="AS58" s="41" t="s">
        <v>32</v>
      </c>
      <c r="AT58" s="41" t="s">
        <v>32</v>
      </c>
      <c r="AU58" s="208" t="s">
        <v>399</v>
      </c>
      <c r="AV58" s="187"/>
      <c r="AW58" s="187"/>
      <c r="AX58" s="188"/>
      <c r="AY58" s="208" t="s">
        <v>401</v>
      </c>
      <c r="AZ58" s="187"/>
      <c r="BA58" s="187"/>
      <c r="BB58" s="188"/>
      <c r="BC58" s="472"/>
      <c r="BD58" s="473"/>
      <c r="BE58" s="473"/>
      <c r="BF58" s="473"/>
      <c r="BG58" s="473"/>
      <c r="BH58" s="473"/>
      <c r="BI58" s="473"/>
      <c r="BJ58" s="474"/>
      <c r="BK58" s="35"/>
    </row>
    <row r="59" spans="1:63" ht="15.75" customHeight="1" x14ac:dyDescent="0.25">
      <c r="A59" s="34"/>
      <c r="B59" s="195">
        <v>7</v>
      </c>
      <c r="C59" s="196"/>
      <c r="D59" s="197" t="s">
        <v>56</v>
      </c>
      <c r="E59" s="198"/>
      <c r="F59" s="198"/>
      <c r="G59" s="198"/>
      <c r="H59" s="198"/>
      <c r="I59" s="198"/>
      <c r="J59" s="199"/>
      <c r="K59" s="145" t="s">
        <v>29</v>
      </c>
      <c r="L59" s="146"/>
      <c r="M59" s="147"/>
      <c r="N59" s="46" t="s">
        <v>30</v>
      </c>
      <c r="O59" s="39" t="s">
        <v>31</v>
      </c>
      <c r="P59" s="186" t="s">
        <v>33</v>
      </c>
      <c r="Q59" s="187"/>
      <c r="R59" s="187"/>
      <c r="S59" s="188"/>
      <c r="T59" s="203" t="s">
        <v>30</v>
      </c>
      <c r="U59" s="187"/>
      <c r="V59" s="187"/>
      <c r="W59" s="188"/>
      <c r="X59" s="203" t="s">
        <v>58</v>
      </c>
      <c r="Y59" s="187"/>
      <c r="Z59" s="188"/>
      <c r="AA59" s="186" t="s">
        <v>32</v>
      </c>
      <c r="AB59" s="187"/>
      <c r="AC59" s="187"/>
      <c r="AD59" s="187"/>
      <c r="AE59" s="187"/>
      <c r="AF59" s="187"/>
      <c r="AG59" s="187"/>
      <c r="AH59" s="188"/>
      <c r="AI59" s="213" t="s">
        <v>32</v>
      </c>
      <c r="AJ59" s="190"/>
      <c r="AK59" s="190"/>
      <c r="AL59" s="190"/>
      <c r="AM59" s="190"/>
      <c r="AN59" s="190"/>
      <c r="AO59" s="190"/>
      <c r="AP59" s="190"/>
      <c r="AQ59" s="191"/>
      <c r="AR59" s="41" t="s">
        <v>30</v>
      </c>
      <c r="AS59" s="41" t="s">
        <v>32</v>
      </c>
      <c r="AT59" s="41" t="s">
        <v>32</v>
      </c>
      <c r="AU59" s="186" t="s">
        <v>33</v>
      </c>
      <c r="AV59" s="187"/>
      <c r="AW59" s="187"/>
      <c r="AX59" s="188"/>
      <c r="AY59" s="186" t="s">
        <v>32</v>
      </c>
      <c r="AZ59" s="187"/>
      <c r="BA59" s="187"/>
      <c r="BB59" s="188"/>
      <c r="BC59" s="472"/>
      <c r="BD59" s="473"/>
      <c r="BE59" s="473"/>
      <c r="BF59" s="473"/>
      <c r="BG59" s="473"/>
      <c r="BH59" s="473"/>
      <c r="BI59" s="473"/>
      <c r="BJ59" s="474"/>
      <c r="BK59" s="35"/>
    </row>
    <row r="60" spans="1:63" ht="47.25" customHeight="1" x14ac:dyDescent="0.25">
      <c r="A60" s="34"/>
      <c r="B60" s="195">
        <v>8</v>
      </c>
      <c r="C60" s="196"/>
      <c r="D60" s="197" t="s">
        <v>57</v>
      </c>
      <c r="E60" s="198"/>
      <c r="F60" s="198"/>
      <c r="G60" s="198"/>
      <c r="H60" s="198"/>
      <c r="I60" s="198"/>
      <c r="J60" s="199"/>
      <c r="K60" s="207" t="s">
        <v>402</v>
      </c>
      <c r="L60" s="146"/>
      <c r="M60" s="147"/>
      <c r="N60" s="46" t="s">
        <v>372</v>
      </c>
      <c r="O60" s="45" t="s">
        <v>30</v>
      </c>
      <c r="P60" s="208" t="s">
        <v>403</v>
      </c>
      <c r="Q60" s="187"/>
      <c r="R60" s="187"/>
      <c r="S60" s="188"/>
      <c r="T60" s="209" t="s">
        <v>216</v>
      </c>
      <c r="U60" s="205"/>
      <c r="V60" s="205"/>
      <c r="W60" s="206"/>
      <c r="X60" s="203" t="s">
        <v>30</v>
      </c>
      <c r="Y60" s="187"/>
      <c r="Z60" s="188"/>
      <c r="AA60" s="186" t="s">
        <v>32</v>
      </c>
      <c r="AB60" s="187"/>
      <c r="AC60" s="187"/>
      <c r="AD60" s="187"/>
      <c r="AE60" s="187"/>
      <c r="AF60" s="187"/>
      <c r="AG60" s="187"/>
      <c r="AH60" s="188"/>
      <c r="AI60" s="215" t="s">
        <v>404</v>
      </c>
      <c r="AJ60" s="216"/>
      <c r="AK60" s="216"/>
      <c r="AL60" s="216"/>
      <c r="AM60" s="216"/>
      <c r="AN60" s="216"/>
      <c r="AO60" s="216"/>
      <c r="AP60" s="216"/>
      <c r="AQ60" s="217"/>
      <c r="AR60" s="41" t="s">
        <v>31</v>
      </c>
      <c r="AS60" s="41" t="s">
        <v>32</v>
      </c>
      <c r="AT60" s="41" t="s">
        <v>32</v>
      </c>
      <c r="AU60" s="208" t="s">
        <v>399</v>
      </c>
      <c r="AV60" s="187"/>
      <c r="AW60" s="187"/>
      <c r="AX60" s="188"/>
      <c r="AY60" s="209" t="s">
        <v>216</v>
      </c>
      <c r="AZ60" s="205"/>
      <c r="BA60" s="205"/>
      <c r="BB60" s="206"/>
      <c r="BC60" s="472"/>
      <c r="BD60" s="473"/>
      <c r="BE60" s="473"/>
      <c r="BF60" s="473"/>
      <c r="BG60" s="473"/>
      <c r="BH60" s="473"/>
      <c r="BI60" s="473"/>
      <c r="BJ60" s="474"/>
      <c r="BK60" s="35"/>
    </row>
    <row r="61" spans="1:63" ht="15.75" customHeight="1" x14ac:dyDescent="0.25">
      <c r="A61" s="34"/>
      <c r="B61" s="195">
        <v>9</v>
      </c>
      <c r="C61" s="196"/>
      <c r="D61" s="197" t="s">
        <v>59</v>
      </c>
      <c r="E61" s="198"/>
      <c r="F61" s="198"/>
      <c r="G61" s="198"/>
      <c r="H61" s="198"/>
      <c r="I61" s="198"/>
      <c r="J61" s="199"/>
      <c r="K61" s="145" t="s">
        <v>29</v>
      </c>
      <c r="L61" s="146"/>
      <c r="M61" s="147"/>
      <c r="N61" s="46" t="s">
        <v>30</v>
      </c>
      <c r="O61" s="39" t="s">
        <v>31</v>
      </c>
      <c r="P61" s="186" t="s">
        <v>33</v>
      </c>
      <c r="Q61" s="187"/>
      <c r="R61" s="187"/>
      <c r="S61" s="188"/>
      <c r="T61" s="203" t="s">
        <v>30</v>
      </c>
      <c r="U61" s="187"/>
      <c r="V61" s="187"/>
      <c r="W61" s="188"/>
      <c r="X61" s="203" t="s">
        <v>62</v>
      </c>
      <c r="Y61" s="187"/>
      <c r="Z61" s="188"/>
      <c r="AA61" s="186" t="s">
        <v>32</v>
      </c>
      <c r="AB61" s="187"/>
      <c r="AC61" s="187"/>
      <c r="AD61" s="187"/>
      <c r="AE61" s="187"/>
      <c r="AF61" s="187"/>
      <c r="AG61" s="187"/>
      <c r="AH61" s="188"/>
      <c r="AI61" s="213" t="s">
        <v>32</v>
      </c>
      <c r="AJ61" s="190"/>
      <c r="AK61" s="190"/>
      <c r="AL61" s="190"/>
      <c r="AM61" s="190"/>
      <c r="AN61" s="190"/>
      <c r="AO61" s="190"/>
      <c r="AP61" s="190"/>
      <c r="AQ61" s="191"/>
      <c r="AR61" s="41" t="s">
        <v>30</v>
      </c>
      <c r="AS61" s="41" t="s">
        <v>32</v>
      </c>
      <c r="AT61" s="41" t="s">
        <v>32</v>
      </c>
      <c r="AU61" s="186" t="s">
        <v>33</v>
      </c>
      <c r="AV61" s="187"/>
      <c r="AW61" s="187"/>
      <c r="AX61" s="188"/>
      <c r="AY61" s="186" t="s">
        <v>32</v>
      </c>
      <c r="AZ61" s="187"/>
      <c r="BA61" s="187"/>
      <c r="BB61" s="188"/>
      <c r="BC61" s="472"/>
      <c r="BD61" s="473"/>
      <c r="BE61" s="473"/>
      <c r="BF61" s="473"/>
      <c r="BG61" s="473"/>
      <c r="BH61" s="473"/>
      <c r="BI61" s="473"/>
      <c r="BJ61" s="474"/>
      <c r="BK61" s="35"/>
    </row>
    <row r="62" spans="1:63" ht="31.5" customHeight="1" x14ac:dyDescent="0.25">
      <c r="A62" s="34"/>
      <c r="B62" s="195">
        <v>10</v>
      </c>
      <c r="C62" s="196"/>
      <c r="D62" s="197" t="s">
        <v>60</v>
      </c>
      <c r="E62" s="198"/>
      <c r="F62" s="198"/>
      <c r="G62" s="198"/>
      <c r="H62" s="198"/>
      <c r="I62" s="198"/>
      <c r="J62" s="199"/>
      <c r="K62" s="207" t="s">
        <v>371</v>
      </c>
      <c r="L62" s="146"/>
      <c r="M62" s="147"/>
      <c r="N62" s="46" t="s">
        <v>372</v>
      </c>
      <c r="O62" s="45" t="s">
        <v>30</v>
      </c>
      <c r="P62" s="208" t="s">
        <v>398</v>
      </c>
      <c r="Q62" s="187"/>
      <c r="R62" s="187"/>
      <c r="S62" s="188"/>
      <c r="T62" s="186" t="s">
        <v>61</v>
      </c>
      <c r="U62" s="187"/>
      <c r="V62" s="187"/>
      <c r="W62" s="188"/>
      <c r="X62" s="203" t="s">
        <v>30</v>
      </c>
      <c r="Y62" s="187"/>
      <c r="Z62" s="188"/>
      <c r="AA62" s="186" t="s">
        <v>32</v>
      </c>
      <c r="AB62" s="187"/>
      <c r="AC62" s="187"/>
      <c r="AD62" s="187"/>
      <c r="AE62" s="187"/>
      <c r="AF62" s="187"/>
      <c r="AG62" s="187"/>
      <c r="AH62" s="188"/>
      <c r="AI62" s="215" t="s">
        <v>404</v>
      </c>
      <c r="AJ62" s="216"/>
      <c r="AK62" s="216"/>
      <c r="AL62" s="216"/>
      <c r="AM62" s="216"/>
      <c r="AN62" s="216"/>
      <c r="AO62" s="216"/>
      <c r="AP62" s="216"/>
      <c r="AQ62" s="217"/>
      <c r="AR62" s="41" t="s">
        <v>30</v>
      </c>
      <c r="AS62" s="47" t="s">
        <v>31</v>
      </c>
      <c r="AT62" s="41" t="s">
        <v>32</v>
      </c>
      <c r="AU62" s="186" t="s">
        <v>33</v>
      </c>
      <c r="AV62" s="187"/>
      <c r="AW62" s="187"/>
      <c r="AX62" s="188"/>
      <c r="AY62" s="186" t="s">
        <v>32</v>
      </c>
      <c r="AZ62" s="187"/>
      <c r="BA62" s="187"/>
      <c r="BB62" s="188"/>
      <c r="BC62" s="472" t="s">
        <v>63</v>
      </c>
      <c r="BD62" s="473"/>
      <c r="BE62" s="473"/>
      <c r="BF62" s="473"/>
      <c r="BG62" s="473"/>
      <c r="BH62" s="473"/>
      <c r="BI62" s="473"/>
      <c r="BJ62" s="474"/>
      <c r="BK62" s="35"/>
    </row>
    <row r="63" spans="1:63" ht="15.75" customHeight="1" x14ac:dyDescent="0.25">
      <c r="A63" s="34"/>
      <c r="B63" s="195">
        <v>11</v>
      </c>
      <c r="C63" s="196"/>
      <c r="D63" s="197" t="s">
        <v>64</v>
      </c>
      <c r="E63" s="198"/>
      <c r="F63" s="198"/>
      <c r="G63" s="198"/>
      <c r="H63" s="198"/>
      <c r="I63" s="198"/>
      <c r="J63" s="199"/>
      <c r="K63" s="145" t="s">
        <v>29</v>
      </c>
      <c r="L63" s="146"/>
      <c r="M63" s="147"/>
      <c r="N63" s="46" t="s">
        <v>30</v>
      </c>
      <c r="O63" s="39" t="s">
        <v>31</v>
      </c>
      <c r="P63" s="186" t="s">
        <v>33</v>
      </c>
      <c r="Q63" s="187"/>
      <c r="R63" s="187"/>
      <c r="S63" s="188"/>
      <c r="T63" s="203" t="s">
        <v>30</v>
      </c>
      <c r="U63" s="187"/>
      <c r="V63" s="187"/>
      <c r="W63" s="188"/>
      <c r="X63" s="203" t="s">
        <v>67</v>
      </c>
      <c r="Y63" s="187"/>
      <c r="Z63" s="188"/>
      <c r="AA63" s="186" t="s">
        <v>32</v>
      </c>
      <c r="AB63" s="187"/>
      <c r="AC63" s="187"/>
      <c r="AD63" s="187"/>
      <c r="AE63" s="187"/>
      <c r="AF63" s="187"/>
      <c r="AG63" s="187"/>
      <c r="AH63" s="188"/>
      <c r="AI63" s="213" t="s">
        <v>32</v>
      </c>
      <c r="AJ63" s="190"/>
      <c r="AK63" s="190"/>
      <c r="AL63" s="190"/>
      <c r="AM63" s="190"/>
      <c r="AN63" s="190"/>
      <c r="AO63" s="190"/>
      <c r="AP63" s="190"/>
      <c r="AQ63" s="191"/>
      <c r="AR63" s="41" t="s">
        <v>30</v>
      </c>
      <c r="AS63" s="41" t="s">
        <v>32</v>
      </c>
      <c r="AT63" s="41" t="s">
        <v>32</v>
      </c>
      <c r="AU63" s="186" t="s">
        <v>33</v>
      </c>
      <c r="AV63" s="187"/>
      <c r="AW63" s="187"/>
      <c r="AX63" s="188"/>
      <c r="AY63" s="186" t="s">
        <v>32</v>
      </c>
      <c r="AZ63" s="187"/>
      <c r="BA63" s="187"/>
      <c r="BB63" s="188"/>
      <c r="BC63" s="472"/>
      <c r="BD63" s="473"/>
      <c r="BE63" s="473"/>
      <c r="BF63" s="473"/>
      <c r="BG63" s="473"/>
      <c r="BH63" s="473"/>
      <c r="BI63" s="473"/>
      <c r="BJ63" s="474"/>
      <c r="BK63" s="35"/>
    </row>
    <row r="64" spans="1:63" ht="46.5" customHeight="1" x14ac:dyDescent="0.25">
      <c r="A64" s="34"/>
      <c r="B64" s="195">
        <v>12</v>
      </c>
      <c r="C64" s="196"/>
      <c r="D64" s="197" t="s">
        <v>65</v>
      </c>
      <c r="E64" s="198"/>
      <c r="F64" s="198"/>
      <c r="G64" s="198"/>
      <c r="H64" s="198"/>
      <c r="I64" s="198"/>
      <c r="J64" s="199"/>
      <c r="K64" s="207" t="s">
        <v>371</v>
      </c>
      <c r="L64" s="146"/>
      <c r="M64" s="147"/>
      <c r="N64" s="46" t="s">
        <v>372</v>
      </c>
      <c r="O64" s="45" t="s">
        <v>30</v>
      </c>
      <c r="P64" s="287" t="s">
        <v>405</v>
      </c>
      <c r="Q64" s="187"/>
      <c r="R64" s="187"/>
      <c r="S64" s="188"/>
      <c r="T64" s="490" t="s">
        <v>406</v>
      </c>
      <c r="U64" s="491"/>
      <c r="V64" s="491"/>
      <c r="W64" s="492"/>
      <c r="X64" s="203" t="s">
        <v>30</v>
      </c>
      <c r="Y64" s="187"/>
      <c r="Z64" s="188"/>
      <c r="AA64" s="186" t="s">
        <v>32</v>
      </c>
      <c r="AB64" s="187"/>
      <c r="AC64" s="187"/>
      <c r="AD64" s="187"/>
      <c r="AE64" s="187"/>
      <c r="AF64" s="187"/>
      <c r="AG64" s="187"/>
      <c r="AH64" s="188"/>
      <c r="AI64" s="215" t="s">
        <v>404</v>
      </c>
      <c r="AJ64" s="216"/>
      <c r="AK64" s="216"/>
      <c r="AL64" s="216"/>
      <c r="AM64" s="216"/>
      <c r="AN64" s="216"/>
      <c r="AO64" s="216"/>
      <c r="AP64" s="216"/>
      <c r="AQ64" s="217"/>
      <c r="AR64" s="41" t="s">
        <v>31</v>
      </c>
      <c r="AS64" s="47" t="s">
        <v>31</v>
      </c>
      <c r="AT64" s="41" t="s">
        <v>32</v>
      </c>
      <c r="AU64" s="287" t="s">
        <v>407</v>
      </c>
      <c r="AV64" s="289"/>
      <c r="AW64" s="289"/>
      <c r="AX64" s="290"/>
      <c r="AY64" s="490" t="s">
        <v>406</v>
      </c>
      <c r="AZ64" s="491"/>
      <c r="BA64" s="491"/>
      <c r="BB64" s="492"/>
      <c r="BC64" s="285" t="s">
        <v>408</v>
      </c>
      <c r="BD64" s="224"/>
      <c r="BE64" s="224"/>
      <c r="BF64" s="224"/>
      <c r="BG64" s="224"/>
      <c r="BH64" s="224"/>
      <c r="BI64" s="224"/>
      <c r="BJ64" s="225"/>
      <c r="BK64" s="35"/>
    </row>
    <row r="65" spans="1:63" ht="65.25" customHeight="1" x14ac:dyDescent="0.25">
      <c r="A65" s="34"/>
      <c r="B65" s="195">
        <v>13</v>
      </c>
      <c r="C65" s="196"/>
      <c r="D65" s="197" t="s">
        <v>66</v>
      </c>
      <c r="E65" s="198"/>
      <c r="F65" s="198"/>
      <c r="G65" s="198"/>
      <c r="H65" s="198"/>
      <c r="I65" s="198"/>
      <c r="J65" s="199"/>
      <c r="K65" s="145" t="s">
        <v>29</v>
      </c>
      <c r="L65" s="146"/>
      <c r="M65" s="147"/>
      <c r="N65" s="46" t="s">
        <v>380</v>
      </c>
      <c r="O65" s="39" t="s">
        <v>31</v>
      </c>
      <c r="P65" s="287" t="s">
        <v>398</v>
      </c>
      <c r="Q65" s="187"/>
      <c r="R65" s="187"/>
      <c r="S65" s="188"/>
      <c r="T65" s="490" t="s">
        <v>409</v>
      </c>
      <c r="U65" s="491"/>
      <c r="V65" s="491"/>
      <c r="W65" s="492"/>
      <c r="X65" s="203" t="s">
        <v>30</v>
      </c>
      <c r="Y65" s="187"/>
      <c r="Z65" s="188"/>
      <c r="AA65" s="186" t="s">
        <v>32</v>
      </c>
      <c r="AB65" s="187"/>
      <c r="AC65" s="187"/>
      <c r="AD65" s="187"/>
      <c r="AE65" s="187"/>
      <c r="AF65" s="187"/>
      <c r="AG65" s="187"/>
      <c r="AH65" s="188"/>
      <c r="AI65" s="213" t="s">
        <v>32</v>
      </c>
      <c r="AJ65" s="190"/>
      <c r="AK65" s="190"/>
      <c r="AL65" s="190"/>
      <c r="AM65" s="190"/>
      <c r="AN65" s="190"/>
      <c r="AO65" s="190"/>
      <c r="AP65" s="190"/>
      <c r="AQ65" s="191"/>
      <c r="AR65" s="41" t="s">
        <v>30</v>
      </c>
      <c r="AS65" s="41" t="s">
        <v>32</v>
      </c>
      <c r="AT65" s="41" t="s">
        <v>32</v>
      </c>
      <c r="AU65" s="186" t="s">
        <v>33</v>
      </c>
      <c r="AV65" s="187"/>
      <c r="AW65" s="187"/>
      <c r="AX65" s="188"/>
      <c r="AY65" s="493" t="s">
        <v>410</v>
      </c>
      <c r="AZ65" s="494"/>
      <c r="BA65" s="494"/>
      <c r="BB65" s="495"/>
      <c r="BC65" s="472"/>
      <c r="BD65" s="473"/>
      <c r="BE65" s="473"/>
      <c r="BF65" s="473"/>
      <c r="BG65" s="473"/>
      <c r="BH65" s="473"/>
      <c r="BI65" s="473"/>
      <c r="BJ65" s="474"/>
      <c r="BK65" s="35"/>
    </row>
    <row r="66" spans="1:63" ht="15.75" customHeight="1" x14ac:dyDescent="0.25">
      <c r="A66" s="34"/>
      <c r="B66" s="195">
        <v>14</v>
      </c>
      <c r="C66" s="196"/>
      <c r="D66" s="197" t="s">
        <v>69</v>
      </c>
      <c r="E66" s="198"/>
      <c r="F66" s="198"/>
      <c r="G66" s="198"/>
      <c r="H66" s="198"/>
      <c r="I66" s="198"/>
      <c r="J66" s="199"/>
      <c r="K66" s="145" t="s">
        <v>29</v>
      </c>
      <c r="L66" s="146"/>
      <c r="M66" s="147"/>
      <c r="N66" s="46" t="s">
        <v>30</v>
      </c>
      <c r="O66" s="39" t="s">
        <v>31</v>
      </c>
      <c r="P66" s="186" t="s">
        <v>33</v>
      </c>
      <c r="Q66" s="187"/>
      <c r="R66" s="187"/>
      <c r="S66" s="188"/>
      <c r="T66" s="496" t="s">
        <v>30</v>
      </c>
      <c r="U66" s="494"/>
      <c r="V66" s="494"/>
      <c r="W66" s="495"/>
      <c r="X66" s="203" t="s">
        <v>68</v>
      </c>
      <c r="Y66" s="187"/>
      <c r="Z66" s="188"/>
      <c r="AA66" s="186" t="s">
        <v>32</v>
      </c>
      <c r="AB66" s="187"/>
      <c r="AC66" s="187"/>
      <c r="AD66" s="187"/>
      <c r="AE66" s="187"/>
      <c r="AF66" s="187"/>
      <c r="AG66" s="187"/>
      <c r="AH66" s="188"/>
      <c r="AI66" s="213" t="s">
        <v>32</v>
      </c>
      <c r="AJ66" s="190"/>
      <c r="AK66" s="190"/>
      <c r="AL66" s="190"/>
      <c r="AM66" s="190"/>
      <c r="AN66" s="190"/>
      <c r="AO66" s="190"/>
      <c r="AP66" s="190"/>
      <c r="AQ66" s="191"/>
      <c r="AR66" s="41" t="s">
        <v>30</v>
      </c>
      <c r="AS66" s="41" t="s">
        <v>32</v>
      </c>
      <c r="AT66" s="41" t="s">
        <v>32</v>
      </c>
      <c r="AU66" s="186" t="s">
        <v>33</v>
      </c>
      <c r="AV66" s="187"/>
      <c r="AW66" s="187"/>
      <c r="AX66" s="188"/>
      <c r="AY66" s="493" t="s">
        <v>410</v>
      </c>
      <c r="AZ66" s="494"/>
      <c r="BA66" s="494"/>
      <c r="BB66" s="495"/>
      <c r="BC66" s="472"/>
      <c r="BD66" s="473"/>
      <c r="BE66" s="473"/>
      <c r="BF66" s="473"/>
      <c r="BG66" s="473"/>
      <c r="BH66" s="473"/>
      <c r="BI66" s="473"/>
      <c r="BJ66" s="474"/>
      <c r="BK66" s="35"/>
    </row>
    <row r="67" spans="1:63" ht="47.25" customHeight="1" x14ac:dyDescent="0.25">
      <c r="A67" s="34"/>
      <c r="B67" s="195">
        <v>15</v>
      </c>
      <c r="C67" s="196"/>
      <c r="D67" s="197" t="s">
        <v>70</v>
      </c>
      <c r="E67" s="198"/>
      <c r="F67" s="198"/>
      <c r="G67" s="198"/>
      <c r="H67" s="198"/>
      <c r="I67" s="198"/>
      <c r="J67" s="199"/>
      <c r="K67" s="207" t="s">
        <v>371</v>
      </c>
      <c r="L67" s="146"/>
      <c r="M67" s="147"/>
      <c r="N67" s="46" t="s">
        <v>372</v>
      </c>
      <c r="O67" s="45" t="s">
        <v>30</v>
      </c>
      <c r="P67" s="208" t="s">
        <v>398</v>
      </c>
      <c r="Q67" s="187"/>
      <c r="R67" s="187"/>
      <c r="S67" s="188"/>
      <c r="T67" s="490" t="s">
        <v>411</v>
      </c>
      <c r="U67" s="491"/>
      <c r="V67" s="491"/>
      <c r="W67" s="492"/>
      <c r="X67" s="203" t="s">
        <v>30</v>
      </c>
      <c r="Y67" s="187"/>
      <c r="Z67" s="188"/>
      <c r="AA67" s="186" t="s">
        <v>32</v>
      </c>
      <c r="AB67" s="187"/>
      <c r="AC67" s="187"/>
      <c r="AD67" s="187"/>
      <c r="AE67" s="187"/>
      <c r="AF67" s="187"/>
      <c r="AG67" s="187"/>
      <c r="AH67" s="188"/>
      <c r="AI67" s="215" t="s">
        <v>404</v>
      </c>
      <c r="AJ67" s="216"/>
      <c r="AK67" s="216"/>
      <c r="AL67" s="216"/>
      <c r="AM67" s="216"/>
      <c r="AN67" s="216"/>
      <c r="AO67" s="216"/>
      <c r="AP67" s="216"/>
      <c r="AQ67" s="217"/>
      <c r="AR67" s="41" t="s">
        <v>31</v>
      </c>
      <c r="AS67" s="47" t="s">
        <v>31</v>
      </c>
      <c r="AT67" s="41" t="s">
        <v>32</v>
      </c>
      <c r="AU67" s="287" t="s">
        <v>407</v>
      </c>
      <c r="AV67" s="187"/>
      <c r="AW67" s="187"/>
      <c r="AX67" s="188"/>
      <c r="AY67" s="490" t="s">
        <v>411</v>
      </c>
      <c r="AZ67" s="491"/>
      <c r="BA67" s="491"/>
      <c r="BB67" s="492"/>
      <c r="BC67" s="285" t="s">
        <v>412</v>
      </c>
      <c r="BD67" s="224"/>
      <c r="BE67" s="224"/>
      <c r="BF67" s="224"/>
      <c r="BG67" s="224"/>
      <c r="BH67" s="224"/>
      <c r="BI67" s="224"/>
      <c r="BJ67" s="225"/>
      <c r="BK67" s="35"/>
    </row>
    <row r="68" spans="1:63" ht="31.5" customHeight="1" x14ac:dyDescent="0.25">
      <c r="A68" s="34"/>
      <c r="B68" s="195">
        <v>16</v>
      </c>
      <c r="C68" s="196"/>
      <c r="D68" s="197" t="s">
        <v>71</v>
      </c>
      <c r="E68" s="198"/>
      <c r="F68" s="198"/>
      <c r="G68" s="198"/>
      <c r="H68" s="198"/>
      <c r="I68" s="198"/>
      <c r="J68" s="199"/>
      <c r="K68" s="145" t="s">
        <v>29</v>
      </c>
      <c r="L68" s="146"/>
      <c r="M68" s="147"/>
      <c r="N68" s="46" t="s">
        <v>380</v>
      </c>
      <c r="O68" s="39" t="s">
        <v>31</v>
      </c>
      <c r="P68" s="208" t="s">
        <v>398</v>
      </c>
      <c r="Q68" s="187"/>
      <c r="R68" s="187"/>
      <c r="S68" s="188"/>
      <c r="T68" s="490" t="s">
        <v>413</v>
      </c>
      <c r="U68" s="491"/>
      <c r="V68" s="491"/>
      <c r="W68" s="492"/>
      <c r="X68" s="203" t="s">
        <v>30</v>
      </c>
      <c r="Y68" s="187"/>
      <c r="Z68" s="188"/>
      <c r="AA68" s="186" t="s">
        <v>32</v>
      </c>
      <c r="AB68" s="187"/>
      <c r="AC68" s="187"/>
      <c r="AD68" s="187"/>
      <c r="AE68" s="187"/>
      <c r="AF68" s="187"/>
      <c r="AG68" s="187"/>
      <c r="AH68" s="188"/>
      <c r="AI68" s="213" t="s">
        <v>32</v>
      </c>
      <c r="AJ68" s="190"/>
      <c r="AK68" s="190"/>
      <c r="AL68" s="190"/>
      <c r="AM68" s="190"/>
      <c r="AN68" s="190"/>
      <c r="AO68" s="190"/>
      <c r="AP68" s="190"/>
      <c r="AQ68" s="191"/>
      <c r="AR68" s="41" t="s">
        <v>30</v>
      </c>
      <c r="AS68" s="41" t="s">
        <v>32</v>
      </c>
      <c r="AT68" s="41" t="s">
        <v>32</v>
      </c>
      <c r="AU68" s="186" t="s">
        <v>33</v>
      </c>
      <c r="AV68" s="187"/>
      <c r="AW68" s="187"/>
      <c r="AX68" s="188"/>
      <c r="AY68" s="493" t="s">
        <v>410</v>
      </c>
      <c r="AZ68" s="494"/>
      <c r="BA68" s="494"/>
      <c r="BB68" s="495"/>
      <c r="BC68" s="472"/>
      <c r="BD68" s="473"/>
      <c r="BE68" s="473"/>
      <c r="BF68" s="473"/>
      <c r="BG68" s="473"/>
      <c r="BH68" s="473"/>
      <c r="BI68" s="473"/>
      <c r="BJ68" s="474"/>
      <c r="BK68" s="35"/>
    </row>
    <row r="69" spans="1:63" ht="15.75" customHeight="1" x14ac:dyDescent="0.25">
      <c r="A69" s="34"/>
      <c r="B69" s="195">
        <v>17</v>
      </c>
      <c r="C69" s="196"/>
      <c r="D69" s="197" t="s">
        <v>73</v>
      </c>
      <c r="E69" s="198"/>
      <c r="F69" s="198"/>
      <c r="G69" s="198"/>
      <c r="H69" s="198"/>
      <c r="I69" s="198"/>
      <c r="J69" s="199"/>
      <c r="K69" s="145" t="s">
        <v>29</v>
      </c>
      <c r="L69" s="146"/>
      <c r="M69" s="147"/>
      <c r="N69" s="46" t="s">
        <v>30</v>
      </c>
      <c r="O69" s="39" t="s">
        <v>31</v>
      </c>
      <c r="P69" s="186" t="s">
        <v>33</v>
      </c>
      <c r="Q69" s="187"/>
      <c r="R69" s="187"/>
      <c r="S69" s="188"/>
      <c r="T69" s="496" t="s">
        <v>30</v>
      </c>
      <c r="U69" s="494"/>
      <c r="V69" s="494"/>
      <c r="W69" s="495"/>
      <c r="X69" s="203" t="s">
        <v>72</v>
      </c>
      <c r="Y69" s="187"/>
      <c r="Z69" s="188"/>
      <c r="AA69" s="186" t="s">
        <v>32</v>
      </c>
      <c r="AB69" s="187"/>
      <c r="AC69" s="187"/>
      <c r="AD69" s="187"/>
      <c r="AE69" s="187"/>
      <c r="AF69" s="187"/>
      <c r="AG69" s="187"/>
      <c r="AH69" s="188"/>
      <c r="AI69" s="213" t="s">
        <v>32</v>
      </c>
      <c r="AJ69" s="190"/>
      <c r="AK69" s="190"/>
      <c r="AL69" s="190"/>
      <c r="AM69" s="190"/>
      <c r="AN69" s="190"/>
      <c r="AO69" s="190"/>
      <c r="AP69" s="190"/>
      <c r="AQ69" s="191"/>
      <c r="AR69" s="41" t="s">
        <v>30</v>
      </c>
      <c r="AS69" s="41" t="s">
        <v>32</v>
      </c>
      <c r="AT69" s="41" t="s">
        <v>32</v>
      </c>
      <c r="AU69" s="186" t="s">
        <v>33</v>
      </c>
      <c r="AV69" s="187"/>
      <c r="AW69" s="187"/>
      <c r="AX69" s="188"/>
      <c r="AY69" s="493" t="s">
        <v>410</v>
      </c>
      <c r="AZ69" s="494"/>
      <c r="BA69" s="494"/>
      <c r="BB69" s="495"/>
      <c r="BC69" s="472"/>
      <c r="BD69" s="473"/>
      <c r="BE69" s="473"/>
      <c r="BF69" s="473"/>
      <c r="BG69" s="473"/>
      <c r="BH69" s="473"/>
      <c r="BI69" s="473"/>
      <c r="BJ69" s="474"/>
      <c r="BK69" s="35"/>
    </row>
    <row r="70" spans="1:63" ht="31.5" customHeight="1" x14ac:dyDescent="0.25">
      <c r="A70" s="34"/>
      <c r="B70" s="195">
        <v>18</v>
      </c>
      <c r="C70" s="196"/>
      <c r="D70" s="197" t="s">
        <v>74</v>
      </c>
      <c r="E70" s="198"/>
      <c r="F70" s="198"/>
      <c r="G70" s="198"/>
      <c r="H70" s="198"/>
      <c r="I70" s="198"/>
      <c r="J70" s="199"/>
      <c r="K70" s="207" t="s">
        <v>371</v>
      </c>
      <c r="L70" s="146"/>
      <c r="M70" s="147"/>
      <c r="N70" s="46" t="s">
        <v>372</v>
      </c>
      <c r="O70" s="45" t="s">
        <v>30</v>
      </c>
      <c r="P70" s="208" t="s">
        <v>398</v>
      </c>
      <c r="Q70" s="187"/>
      <c r="R70" s="187"/>
      <c r="S70" s="188"/>
      <c r="T70" s="490" t="s">
        <v>414</v>
      </c>
      <c r="U70" s="491"/>
      <c r="V70" s="491"/>
      <c r="W70" s="492"/>
      <c r="X70" s="203" t="s">
        <v>30</v>
      </c>
      <c r="Y70" s="187"/>
      <c r="Z70" s="188"/>
      <c r="AA70" s="186" t="s">
        <v>32</v>
      </c>
      <c r="AB70" s="187"/>
      <c r="AC70" s="187"/>
      <c r="AD70" s="187"/>
      <c r="AE70" s="187"/>
      <c r="AF70" s="187"/>
      <c r="AG70" s="187"/>
      <c r="AH70" s="188"/>
      <c r="AI70" s="215" t="s">
        <v>404</v>
      </c>
      <c r="AJ70" s="216"/>
      <c r="AK70" s="216"/>
      <c r="AL70" s="216"/>
      <c r="AM70" s="216"/>
      <c r="AN70" s="216"/>
      <c r="AO70" s="216"/>
      <c r="AP70" s="216"/>
      <c r="AQ70" s="217"/>
      <c r="AR70" s="41" t="s">
        <v>31</v>
      </c>
      <c r="AS70" s="47" t="s">
        <v>31</v>
      </c>
      <c r="AT70" s="41" t="s">
        <v>32</v>
      </c>
      <c r="AU70" s="287" t="s">
        <v>407</v>
      </c>
      <c r="AV70" s="187"/>
      <c r="AW70" s="187"/>
      <c r="AX70" s="188"/>
      <c r="AY70" s="490" t="s">
        <v>414</v>
      </c>
      <c r="AZ70" s="494"/>
      <c r="BA70" s="494"/>
      <c r="BB70" s="495"/>
      <c r="BC70" s="285" t="s">
        <v>415</v>
      </c>
      <c r="BD70" s="224"/>
      <c r="BE70" s="224"/>
      <c r="BF70" s="224"/>
      <c r="BG70" s="224"/>
      <c r="BH70" s="224"/>
      <c r="BI70" s="224"/>
      <c r="BJ70" s="225"/>
      <c r="BK70" s="35"/>
    </row>
    <row r="71" spans="1:63" ht="31.5" customHeight="1" x14ac:dyDescent="0.25">
      <c r="A71" s="34"/>
      <c r="B71" s="195">
        <v>19</v>
      </c>
      <c r="C71" s="196"/>
      <c r="D71" s="197" t="s">
        <v>75</v>
      </c>
      <c r="E71" s="198"/>
      <c r="F71" s="198"/>
      <c r="G71" s="198"/>
      <c r="H71" s="198"/>
      <c r="I71" s="198"/>
      <c r="J71" s="199"/>
      <c r="K71" s="145" t="s">
        <v>29</v>
      </c>
      <c r="L71" s="146"/>
      <c r="M71" s="147"/>
      <c r="N71" s="46" t="s">
        <v>380</v>
      </c>
      <c r="O71" s="39" t="s">
        <v>31</v>
      </c>
      <c r="P71" s="208" t="s">
        <v>398</v>
      </c>
      <c r="Q71" s="187"/>
      <c r="R71" s="187"/>
      <c r="S71" s="188"/>
      <c r="T71" s="490" t="s">
        <v>416</v>
      </c>
      <c r="U71" s="491"/>
      <c r="V71" s="491"/>
      <c r="W71" s="492"/>
      <c r="X71" s="203" t="s">
        <v>30</v>
      </c>
      <c r="Y71" s="187"/>
      <c r="Z71" s="188"/>
      <c r="AA71" s="186" t="s">
        <v>32</v>
      </c>
      <c r="AB71" s="187"/>
      <c r="AC71" s="187"/>
      <c r="AD71" s="187"/>
      <c r="AE71" s="187"/>
      <c r="AF71" s="187"/>
      <c r="AG71" s="187"/>
      <c r="AH71" s="188"/>
      <c r="AI71" s="213" t="s">
        <v>32</v>
      </c>
      <c r="AJ71" s="190"/>
      <c r="AK71" s="190"/>
      <c r="AL71" s="190"/>
      <c r="AM71" s="190"/>
      <c r="AN71" s="190"/>
      <c r="AO71" s="190"/>
      <c r="AP71" s="190"/>
      <c r="AQ71" s="191"/>
      <c r="AR71" s="41" t="s">
        <v>30</v>
      </c>
      <c r="AS71" s="41" t="s">
        <v>32</v>
      </c>
      <c r="AT71" s="41" t="s">
        <v>32</v>
      </c>
      <c r="AU71" s="186" t="s">
        <v>33</v>
      </c>
      <c r="AV71" s="187"/>
      <c r="AW71" s="187"/>
      <c r="AX71" s="188"/>
      <c r="AY71" s="493" t="s">
        <v>410</v>
      </c>
      <c r="AZ71" s="494"/>
      <c r="BA71" s="494"/>
      <c r="BB71" s="495"/>
      <c r="BC71" s="472"/>
      <c r="BD71" s="473"/>
      <c r="BE71" s="473"/>
      <c r="BF71" s="473"/>
      <c r="BG71" s="473"/>
      <c r="BH71" s="473"/>
      <c r="BI71" s="473"/>
      <c r="BJ71" s="474"/>
      <c r="BK71" s="35"/>
    </row>
    <row r="72" spans="1:63" ht="15.75" customHeight="1" x14ac:dyDescent="0.25">
      <c r="A72" s="34"/>
      <c r="B72" s="195">
        <v>20</v>
      </c>
      <c r="C72" s="196"/>
      <c r="D72" s="197" t="s">
        <v>76</v>
      </c>
      <c r="E72" s="198"/>
      <c r="F72" s="198"/>
      <c r="G72" s="198"/>
      <c r="H72" s="198"/>
      <c r="I72" s="198"/>
      <c r="J72" s="199"/>
      <c r="K72" s="145" t="s">
        <v>29</v>
      </c>
      <c r="L72" s="146"/>
      <c r="M72" s="147"/>
      <c r="N72" s="46" t="s">
        <v>30</v>
      </c>
      <c r="O72" s="39" t="s">
        <v>31</v>
      </c>
      <c r="P72" s="186" t="s">
        <v>33</v>
      </c>
      <c r="Q72" s="187"/>
      <c r="R72" s="187"/>
      <c r="S72" s="188"/>
      <c r="T72" s="496" t="s">
        <v>30</v>
      </c>
      <c r="U72" s="494"/>
      <c r="V72" s="494"/>
      <c r="W72" s="495"/>
      <c r="X72" s="203" t="s">
        <v>79</v>
      </c>
      <c r="Y72" s="187"/>
      <c r="Z72" s="188"/>
      <c r="AA72" s="186" t="s">
        <v>32</v>
      </c>
      <c r="AB72" s="187"/>
      <c r="AC72" s="187"/>
      <c r="AD72" s="187"/>
      <c r="AE72" s="187"/>
      <c r="AF72" s="187"/>
      <c r="AG72" s="187"/>
      <c r="AH72" s="188"/>
      <c r="AI72" s="213" t="s">
        <v>32</v>
      </c>
      <c r="AJ72" s="190"/>
      <c r="AK72" s="190"/>
      <c r="AL72" s="190"/>
      <c r="AM72" s="190"/>
      <c r="AN72" s="190"/>
      <c r="AO72" s="190"/>
      <c r="AP72" s="190"/>
      <c r="AQ72" s="191"/>
      <c r="AR72" s="41" t="s">
        <v>30</v>
      </c>
      <c r="AS72" s="41" t="s">
        <v>32</v>
      </c>
      <c r="AT72" s="41" t="s">
        <v>32</v>
      </c>
      <c r="AU72" s="186" t="s">
        <v>33</v>
      </c>
      <c r="AV72" s="187"/>
      <c r="AW72" s="187"/>
      <c r="AX72" s="188"/>
      <c r="AY72" s="493" t="s">
        <v>410</v>
      </c>
      <c r="AZ72" s="494"/>
      <c r="BA72" s="494"/>
      <c r="BB72" s="495"/>
      <c r="BC72" s="472"/>
      <c r="BD72" s="473"/>
      <c r="BE72" s="473"/>
      <c r="BF72" s="473"/>
      <c r="BG72" s="473"/>
      <c r="BH72" s="473"/>
      <c r="BI72" s="473"/>
      <c r="BJ72" s="474"/>
      <c r="BK72" s="35"/>
    </row>
    <row r="73" spans="1:63" ht="30.75" customHeight="1" x14ac:dyDescent="0.25">
      <c r="A73" s="34"/>
      <c r="B73" s="195">
        <v>21</v>
      </c>
      <c r="C73" s="196"/>
      <c r="D73" s="197" t="s">
        <v>77</v>
      </c>
      <c r="E73" s="198"/>
      <c r="F73" s="198"/>
      <c r="G73" s="198"/>
      <c r="H73" s="198"/>
      <c r="I73" s="198"/>
      <c r="J73" s="199"/>
      <c r="K73" s="207" t="s">
        <v>371</v>
      </c>
      <c r="L73" s="146"/>
      <c r="M73" s="147"/>
      <c r="N73" s="46" t="s">
        <v>372</v>
      </c>
      <c r="O73" s="45" t="s">
        <v>30</v>
      </c>
      <c r="P73" s="208" t="s">
        <v>398</v>
      </c>
      <c r="Q73" s="187"/>
      <c r="R73" s="187"/>
      <c r="S73" s="188"/>
      <c r="T73" s="490" t="s">
        <v>417</v>
      </c>
      <c r="U73" s="491"/>
      <c r="V73" s="491"/>
      <c r="W73" s="492"/>
      <c r="X73" s="203" t="s">
        <v>30</v>
      </c>
      <c r="Y73" s="187"/>
      <c r="Z73" s="188"/>
      <c r="AA73" s="186" t="s">
        <v>32</v>
      </c>
      <c r="AB73" s="187"/>
      <c r="AC73" s="187"/>
      <c r="AD73" s="187"/>
      <c r="AE73" s="187"/>
      <c r="AF73" s="187"/>
      <c r="AG73" s="187"/>
      <c r="AH73" s="188"/>
      <c r="AI73" s="215" t="s">
        <v>404</v>
      </c>
      <c r="AJ73" s="216"/>
      <c r="AK73" s="216"/>
      <c r="AL73" s="216"/>
      <c r="AM73" s="216"/>
      <c r="AN73" s="216"/>
      <c r="AO73" s="216"/>
      <c r="AP73" s="216"/>
      <c r="AQ73" s="217"/>
      <c r="AR73" s="41" t="s">
        <v>31</v>
      </c>
      <c r="AS73" s="47" t="s">
        <v>31</v>
      </c>
      <c r="AT73" s="41" t="s">
        <v>32</v>
      </c>
      <c r="AU73" s="287" t="s">
        <v>407</v>
      </c>
      <c r="AV73" s="187"/>
      <c r="AW73" s="187"/>
      <c r="AX73" s="188"/>
      <c r="AY73" s="493" t="s">
        <v>417</v>
      </c>
      <c r="AZ73" s="494"/>
      <c r="BA73" s="494"/>
      <c r="BB73" s="495"/>
      <c r="BC73" s="285" t="s">
        <v>418</v>
      </c>
      <c r="BD73" s="224"/>
      <c r="BE73" s="224"/>
      <c r="BF73" s="224"/>
      <c r="BG73" s="224"/>
      <c r="BH73" s="224"/>
      <c r="BI73" s="224"/>
      <c r="BJ73" s="225"/>
      <c r="BK73" s="35"/>
    </row>
    <row r="74" spans="1:63" ht="31.5" customHeight="1" x14ac:dyDescent="0.25">
      <c r="A74" s="34"/>
      <c r="B74" s="195">
        <v>22</v>
      </c>
      <c r="C74" s="196"/>
      <c r="D74" s="197" t="s">
        <v>78</v>
      </c>
      <c r="E74" s="198"/>
      <c r="F74" s="198"/>
      <c r="G74" s="198"/>
      <c r="H74" s="198"/>
      <c r="I74" s="198"/>
      <c r="J74" s="199"/>
      <c r="K74" s="145" t="s">
        <v>29</v>
      </c>
      <c r="L74" s="146"/>
      <c r="M74" s="147"/>
      <c r="N74" s="46" t="s">
        <v>380</v>
      </c>
      <c r="O74" s="39" t="s">
        <v>31</v>
      </c>
      <c r="P74" s="208" t="s">
        <v>398</v>
      </c>
      <c r="Q74" s="187"/>
      <c r="R74" s="187"/>
      <c r="S74" s="188"/>
      <c r="T74" s="490" t="s">
        <v>419</v>
      </c>
      <c r="U74" s="491"/>
      <c r="V74" s="491"/>
      <c r="W74" s="492"/>
      <c r="X74" s="203" t="s">
        <v>30</v>
      </c>
      <c r="Y74" s="187"/>
      <c r="Z74" s="188"/>
      <c r="AA74" s="186" t="s">
        <v>32</v>
      </c>
      <c r="AB74" s="187"/>
      <c r="AC74" s="187"/>
      <c r="AD74" s="187"/>
      <c r="AE74" s="187"/>
      <c r="AF74" s="187"/>
      <c r="AG74" s="187"/>
      <c r="AH74" s="188"/>
      <c r="AI74" s="213" t="s">
        <v>32</v>
      </c>
      <c r="AJ74" s="190"/>
      <c r="AK74" s="190"/>
      <c r="AL74" s="190"/>
      <c r="AM74" s="190"/>
      <c r="AN74" s="190"/>
      <c r="AO74" s="190"/>
      <c r="AP74" s="190"/>
      <c r="AQ74" s="191"/>
      <c r="AR74" s="41" t="s">
        <v>30</v>
      </c>
      <c r="AS74" s="41" t="s">
        <v>32</v>
      </c>
      <c r="AT74" s="41" t="s">
        <v>32</v>
      </c>
      <c r="AU74" s="186" t="s">
        <v>33</v>
      </c>
      <c r="AV74" s="187"/>
      <c r="AW74" s="187"/>
      <c r="AX74" s="188"/>
      <c r="AY74" s="186" t="s">
        <v>32</v>
      </c>
      <c r="AZ74" s="187"/>
      <c r="BA74" s="187"/>
      <c r="BB74" s="188"/>
      <c r="BC74" s="472"/>
      <c r="BD74" s="473"/>
      <c r="BE74" s="473"/>
      <c r="BF74" s="473"/>
      <c r="BG74" s="473"/>
      <c r="BH74" s="473"/>
      <c r="BI74" s="473"/>
      <c r="BJ74" s="474"/>
      <c r="BK74" s="35"/>
    </row>
    <row r="75" spans="1:63" ht="15.75" customHeight="1" x14ac:dyDescent="0.25">
      <c r="A75" s="34"/>
      <c r="B75" s="195">
        <v>23</v>
      </c>
      <c r="C75" s="196"/>
      <c r="D75" s="197" t="s">
        <v>303</v>
      </c>
      <c r="E75" s="198"/>
      <c r="F75" s="198"/>
      <c r="G75" s="198"/>
      <c r="H75" s="198"/>
      <c r="I75" s="198"/>
      <c r="J75" s="199"/>
      <c r="K75" s="145" t="s">
        <v>29</v>
      </c>
      <c r="L75" s="146"/>
      <c r="M75" s="147"/>
      <c r="N75" s="46" t="s">
        <v>30</v>
      </c>
      <c r="O75" s="39" t="s">
        <v>31</v>
      </c>
      <c r="P75" s="186" t="s">
        <v>33</v>
      </c>
      <c r="Q75" s="187"/>
      <c r="R75" s="187"/>
      <c r="S75" s="188"/>
      <c r="T75" s="203" t="s">
        <v>30</v>
      </c>
      <c r="U75" s="187"/>
      <c r="V75" s="187"/>
      <c r="W75" s="188"/>
      <c r="X75" s="203" t="s">
        <v>80</v>
      </c>
      <c r="Y75" s="187"/>
      <c r="Z75" s="188"/>
      <c r="AA75" s="186" t="s">
        <v>32</v>
      </c>
      <c r="AB75" s="187"/>
      <c r="AC75" s="187"/>
      <c r="AD75" s="187"/>
      <c r="AE75" s="187"/>
      <c r="AF75" s="187"/>
      <c r="AG75" s="187"/>
      <c r="AH75" s="188"/>
      <c r="AI75" s="213" t="s">
        <v>32</v>
      </c>
      <c r="AJ75" s="190"/>
      <c r="AK75" s="190"/>
      <c r="AL75" s="190"/>
      <c r="AM75" s="190"/>
      <c r="AN75" s="190"/>
      <c r="AO75" s="190"/>
      <c r="AP75" s="190"/>
      <c r="AQ75" s="191"/>
      <c r="AR75" s="41" t="s">
        <v>30</v>
      </c>
      <c r="AS75" s="41" t="s">
        <v>32</v>
      </c>
      <c r="AT75" s="41" t="s">
        <v>32</v>
      </c>
      <c r="AU75" s="186" t="s">
        <v>33</v>
      </c>
      <c r="AV75" s="187"/>
      <c r="AW75" s="187"/>
      <c r="AX75" s="188"/>
      <c r="AY75" s="186" t="s">
        <v>32</v>
      </c>
      <c r="AZ75" s="187"/>
      <c r="BA75" s="187"/>
      <c r="BB75" s="188"/>
      <c r="BC75" s="472"/>
      <c r="BD75" s="473"/>
      <c r="BE75" s="473"/>
      <c r="BF75" s="473"/>
      <c r="BG75" s="473"/>
      <c r="BH75" s="473"/>
      <c r="BI75" s="473"/>
      <c r="BJ75" s="474"/>
      <c r="BK75" s="35"/>
    </row>
    <row r="76" spans="1:63" ht="31.5" customHeight="1" x14ac:dyDescent="0.25">
      <c r="A76" s="34"/>
      <c r="B76" s="195">
        <v>24</v>
      </c>
      <c r="C76" s="196"/>
      <c r="D76" s="197" t="s">
        <v>304</v>
      </c>
      <c r="E76" s="198"/>
      <c r="F76" s="198"/>
      <c r="G76" s="198"/>
      <c r="H76" s="198"/>
      <c r="I76" s="198"/>
      <c r="J76" s="199"/>
      <c r="K76" s="207" t="s">
        <v>371</v>
      </c>
      <c r="L76" s="146"/>
      <c r="M76" s="147"/>
      <c r="N76" s="46" t="s">
        <v>372</v>
      </c>
      <c r="O76" s="45" t="s">
        <v>30</v>
      </c>
      <c r="P76" s="208" t="s">
        <v>398</v>
      </c>
      <c r="Q76" s="187"/>
      <c r="R76" s="187"/>
      <c r="S76" s="188"/>
      <c r="T76" s="186" t="s">
        <v>83</v>
      </c>
      <c r="U76" s="187"/>
      <c r="V76" s="187"/>
      <c r="W76" s="188"/>
      <c r="X76" s="203" t="s">
        <v>30</v>
      </c>
      <c r="Y76" s="187"/>
      <c r="Z76" s="188"/>
      <c r="AA76" s="186" t="s">
        <v>32</v>
      </c>
      <c r="AB76" s="187"/>
      <c r="AC76" s="187"/>
      <c r="AD76" s="187"/>
      <c r="AE76" s="187"/>
      <c r="AF76" s="187"/>
      <c r="AG76" s="187"/>
      <c r="AH76" s="188"/>
      <c r="AI76" s="215" t="s">
        <v>369</v>
      </c>
      <c r="AJ76" s="216"/>
      <c r="AK76" s="216"/>
      <c r="AL76" s="216"/>
      <c r="AM76" s="216"/>
      <c r="AN76" s="216"/>
      <c r="AO76" s="216"/>
      <c r="AP76" s="216"/>
      <c r="AQ76" s="217"/>
      <c r="AR76" s="41" t="s">
        <v>31</v>
      </c>
      <c r="AS76" s="47" t="s">
        <v>31</v>
      </c>
      <c r="AT76" s="41" t="s">
        <v>32</v>
      </c>
      <c r="AU76" s="208" t="s">
        <v>399</v>
      </c>
      <c r="AV76" s="187"/>
      <c r="AW76" s="187"/>
      <c r="AX76" s="188"/>
      <c r="AY76" s="186" t="s">
        <v>297</v>
      </c>
      <c r="AZ76" s="187"/>
      <c r="BA76" s="187"/>
      <c r="BB76" s="188"/>
      <c r="BC76" s="472"/>
      <c r="BD76" s="473"/>
      <c r="BE76" s="473"/>
      <c r="BF76" s="473"/>
      <c r="BG76" s="473"/>
      <c r="BH76" s="473"/>
      <c r="BI76" s="473"/>
      <c r="BJ76" s="474"/>
      <c r="BK76" s="35"/>
    </row>
    <row r="77" spans="1:63" ht="31.5" customHeight="1" x14ac:dyDescent="0.25">
      <c r="A77" s="34"/>
      <c r="B77" s="195">
        <v>25</v>
      </c>
      <c r="C77" s="196"/>
      <c r="D77" s="197" t="s">
        <v>86</v>
      </c>
      <c r="E77" s="198"/>
      <c r="F77" s="198"/>
      <c r="G77" s="198"/>
      <c r="H77" s="198"/>
      <c r="I77" s="198"/>
      <c r="J77" s="199"/>
      <c r="K77" s="145" t="s">
        <v>29</v>
      </c>
      <c r="L77" s="146"/>
      <c r="M77" s="147"/>
      <c r="N77" s="46" t="s">
        <v>30</v>
      </c>
      <c r="O77" s="39" t="s">
        <v>31</v>
      </c>
      <c r="P77" s="186" t="s">
        <v>33</v>
      </c>
      <c r="Q77" s="187"/>
      <c r="R77" s="187"/>
      <c r="S77" s="188"/>
      <c r="T77" s="203" t="s">
        <v>30</v>
      </c>
      <c r="U77" s="187"/>
      <c r="V77" s="187"/>
      <c r="W77" s="188"/>
      <c r="X77" s="203" t="s">
        <v>81</v>
      </c>
      <c r="Y77" s="187"/>
      <c r="Z77" s="188"/>
      <c r="AA77" s="186" t="s">
        <v>32</v>
      </c>
      <c r="AB77" s="187"/>
      <c r="AC77" s="187"/>
      <c r="AD77" s="187"/>
      <c r="AE77" s="187"/>
      <c r="AF77" s="187"/>
      <c r="AG77" s="187"/>
      <c r="AH77" s="188"/>
      <c r="AI77" s="213" t="s">
        <v>32</v>
      </c>
      <c r="AJ77" s="190"/>
      <c r="AK77" s="190"/>
      <c r="AL77" s="190"/>
      <c r="AM77" s="190"/>
      <c r="AN77" s="190"/>
      <c r="AO77" s="190"/>
      <c r="AP77" s="190"/>
      <c r="AQ77" s="191"/>
      <c r="AR77" s="41" t="s">
        <v>30</v>
      </c>
      <c r="AS77" s="41" t="s">
        <v>32</v>
      </c>
      <c r="AT77" s="41" t="s">
        <v>32</v>
      </c>
      <c r="AU77" s="186" t="s">
        <v>33</v>
      </c>
      <c r="AV77" s="187"/>
      <c r="AW77" s="187"/>
      <c r="AX77" s="188"/>
      <c r="AY77" s="186"/>
      <c r="AZ77" s="187"/>
      <c r="BA77" s="187"/>
      <c r="BB77" s="188"/>
      <c r="BC77" s="472"/>
      <c r="BD77" s="473"/>
      <c r="BE77" s="473"/>
      <c r="BF77" s="473"/>
      <c r="BG77" s="473"/>
      <c r="BH77" s="473"/>
      <c r="BI77" s="473"/>
      <c r="BJ77" s="474"/>
      <c r="BK77" s="35"/>
    </row>
    <row r="78" spans="1:63" ht="31.5" customHeight="1" x14ac:dyDescent="0.25">
      <c r="A78" s="34"/>
      <c r="B78" s="195">
        <v>26</v>
      </c>
      <c r="C78" s="196"/>
      <c r="D78" s="197" t="s">
        <v>87</v>
      </c>
      <c r="E78" s="198"/>
      <c r="F78" s="198"/>
      <c r="G78" s="198"/>
      <c r="H78" s="198"/>
      <c r="I78" s="198"/>
      <c r="J78" s="199"/>
      <c r="K78" s="207" t="s">
        <v>371</v>
      </c>
      <c r="L78" s="146"/>
      <c r="M78" s="147"/>
      <c r="N78" s="46" t="s">
        <v>372</v>
      </c>
      <c r="O78" s="45" t="s">
        <v>30</v>
      </c>
      <c r="P78" s="208" t="s">
        <v>398</v>
      </c>
      <c r="Q78" s="187"/>
      <c r="R78" s="187"/>
      <c r="S78" s="188"/>
      <c r="T78" s="186" t="s">
        <v>217</v>
      </c>
      <c r="U78" s="187"/>
      <c r="V78" s="187"/>
      <c r="W78" s="188"/>
      <c r="X78" s="203" t="s">
        <v>30</v>
      </c>
      <c r="Y78" s="187"/>
      <c r="Z78" s="188"/>
      <c r="AA78" s="186" t="s">
        <v>32</v>
      </c>
      <c r="AB78" s="187"/>
      <c r="AC78" s="187"/>
      <c r="AD78" s="187"/>
      <c r="AE78" s="187"/>
      <c r="AF78" s="187"/>
      <c r="AG78" s="187"/>
      <c r="AH78" s="188"/>
      <c r="AI78" s="215" t="s">
        <v>404</v>
      </c>
      <c r="AJ78" s="216"/>
      <c r="AK78" s="216"/>
      <c r="AL78" s="216"/>
      <c r="AM78" s="216"/>
      <c r="AN78" s="216"/>
      <c r="AO78" s="216"/>
      <c r="AP78" s="216"/>
      <c r="AQ78" s="217"/>
      <c r="AR78" s="41" t="s">
        <v>31</v>
      </c>
      <c r="AS78" s="47" t="s">
        <v>31</v>
      </c>
      <c r="AT78" s="41" t="s">
        <v>32</v>
      </c>
      <c r="AU78" s="208" t="s">
        <v>399</v>
      </c>
      <c r="AV78" s="187"/>
      <c r="AW78" s="187"/>
      <c r="AX78" s="188"/>
      <c r="AY78" s="186" t="s">
        <v>298</v>
      </c>
      <c r="AZ78" s="187"/>
      <c r="BA78" s="187"/>
      <c r="BB78" s="188"/>
      <c r="BC78" s="472"/>
      <c r="BD78" s="473"/>
      <c r="BE78" s="473"/>
      <c r="BF78" s="473"/>
      <c r="BG78" s="473"/>
      <c r="BH78" s="473"/>
      <c r="BI78" s="473"/>
      <c r="BJ78" s="474"/>
      <c r="BK78" s="35"/>
    </row>
    <row r="79" spans="1:63" ht="15.75" customHeight="1" x14ac:dyDescent="0.25">
      <c r="A79" s="34"/>
      <c r="B79" s="195">
        <v>27</v>
      </c>
      <c r="C79" s="196"/>
      <c r="D79" s="197" t="s">
        <v>88</v>
      </c>
      <c r="E79" s="198"/>
      <c r="F79" s="198"/>
      <c r="G79" s="198"/>
      <c r="H79" s="198"/>
      <c r="I79" s="198"/>
      <c r="J79" s="199"/>
      <c r="K79" s="145" t="s">
        <v>29</v>
      </c>
      <c r="L79" s="146"/>
      <c r="M79" s="147"/>
      <c r="N79" s="46" t="s">
        <v>30</v>
      </c>
      <c r="O79" s="39" t="s">
        <v>31</v>
      </c>
      <c r="P79" s="186" t="s">
        <v>33</v>
      </c>
      <c r="Q79" s="187"/>
      <c r="R79" s="187"/>
      <c r="S79" s="188"/>
      <c r="T79" s="203" t="s">
        <v>30</v>
      </c>
      <c r="U79" s="187"/>
      <c r="V79" s="187"/>
      <c r="W79" s="188"/>
      <c r="X79" s="203" t="s">
        <v>82</v>
      </c>
      <c r="Y79" s="187"/>
      <c r="Z79" s="188"/>
      <c r="AA79" s="186" t="s">
        <v>32</v>
      </c>
      <c r="AB79" s="187"/>
      <c r="AC79" s="187"/>
      <c r="AD79" s="187"/>
      <c r="AE79" s="187"/>
      <c r="AF79" s="187"/>
      <c r="AG79" s="187"/>
      <c r="AH79" s="188"/>
      <c r="AI79" s="213" t="s">
        <v>32</v>
      </c>
      <c r="AJ79" s="190"/>
      <c r="AK79" s="190"/>
      <c r="AL79" s="190"/>
      <c r="AM79" s="190"/>
      <c r="AN79" s="190"/>
      <c r="AO79" s="190"/>
      <c r="AP79" s="190"/>
      <c r="AQ79" s="191"/>
      <c r="AR79" s="41" t="s">
        <v>30</v>
      </c>
      <c r="AS79" s="41" t="s">
        <v>32</v>
      </c>
      <c r="AT79" s="41" t="s">
        <v>32</v>
      </c>
      <c r="AU79" s="186" t="s">
        <v>33</v>
      </c>
      <c r="AV79" s="187"/>
      <c r="AW79" s="187"/>
      <c r="AX79" s="188"/>
      <c r="AY79" s="186"/>
      <c r="AZ79" s="187"/>
      <c r="BA79" s="187"/>
      <c r="BB79" s="188"/>
      <c r="BC79" s="472"/>
      <c r="BD79" s="473"/>
      <c r="BE79" s="473"/>
      <c r="BF79" s="473"/>
      <c r="BG79" s="473"/>
      <c r="BH79" s="473"/>
      <c r="BI79" s="473"/>
      <c r="BJ79" s="474"/>
      <c r="BK79" s="35"/>
    </row>
    <row r="80" spans="1:63" ht="31.5" customHeight="1" x14ac:dyDescent="0.25">
      <c r="A80" s="34"/>
      <c r="B80" s="195">
        <v>28</v>
      </c>
      <c r="C80" s="196"/>
      <c r="D80" s="197" t="s">
        <v>89</v>
      </c>
      <c r="E80" s="198"/>
      <c r="F80" s="198"/>
      <c r="G80" s="198"/>
      <c r="H80" s="198"/>
      <c r="I80" s="198"/>
      <c r="J80" s="199"/>
      <c r="K80" s="207" t="s">
        <v>371</v>
      </c>
      <c r="L80" s="146"/>
      <c r="M80" s="147"/>
      <c r="N80" s="46" t="s">
        <v>372</v>
      </c>
      <c r="O80" s="45" t="s">
        <v>30</v>
      </c>
      <c r="P80" s="208" t="s">
        <v>398</v>
      </c>
      <c r="Q80" s="187"/>
      <c r="R80" s="187"/>
      <c r="S80" s="188"/>
      <c r="T80" s="186" t="s">
        <v>218</v>
      </c>
      <c r="U80" s="187"/>
      <c r="V80" s="187"/>
      <c r="W80" s="188"/>
      <c r="X80" s="203" t="s">
        <v>30</v>
      </c>
      <c r="Y80" s="187"/>
      <c r="Z80" s="188"/>
      <c r="AA80" s="186" t="s">
        <v>32</v>
      </c>
      <c r="AB80" s="187"/>
      <c r="AC80" s="187"/>
      <c r="AD80" s="187"/>
      <c r="AE80" s="187"/>
      <c r="AF80" s="187"/>
      <c r="AG80" s="187"/>
      <c r="AH80" s="188"/>
      <c r="AI80" s="215" t="s">
        <v>404</v>
      </c>
      <c r="AJ80" s="216"/>
      <c r="AK80" s="216"/>
      <c r="AL80" s="216"/>
      <c r="AM80" s="216"/>
      <c r="AN80" s="216"/>
      <c r="AO80" s="216"/>
      <c r="AP80" s="216"/>
      <c r="AQ80" s="217"/>
      <c r="AR80" s="41" t="s">
        <v>31</v>
      </c>
      <c r="AS80" s="47" t="s">
        <v>31</v>
      </c>
      <c r="AT80" s="41" t="s">
        <v>32</v>
      </c>
      <c r="AU80" s="208" t="s">
        <v>399</v>
      </c>
      <c r="AV80" s="187"/>
      <c r="AW80" s="187"/>
      <c r="AX80" s="188"/>
      <c r="AY80" s="186" t="s">
        <v>218</v>
      </c>
      <c r="AZ80" s="187"/>
      <c r="BA80" s="187"/>
      <c r="BB80" s="188"/>
      <c r="BC80" s="472"/>
      <c r="BD80" s="473"/>
      <c r="BE80" s="473"/>
      <c r="BF80" s="473"/>
      <c r="BG80" s="473"/>
      <c r="BH80" s="473"/>
      <c r="BI80" s="473"/>
      <c r="BJ80" s="474"/>
      <c r="BK80" s="35"/>
    </row>
    <row r="81" spans="1:63" ht="15.75" customHeight="1" x14ac:dyDescent="0.25">
      <c r="A81" s="34"/>
      <c r="B81" s="195">
        <v>29</v>
      </c>
      <c r="C81" s="196"/>
      <c r="D81" s="197" t="s">
        <v>275</v>
      </c>
      <c r="E81" s="198"/>
      <c r="F81" s="198"/>
      <c r="G81" s="198"/>
      <c r="H81" s="198"/>
      <c r="I81" s="198"/>
      <c r="J81" s="199"/>
      <c r="K81" s="145" t="s">
        <v>29</v>
      </c>
      <c r="L81" s="146"/>
      <c r="M81" s="147"/>
      <c r="N81" s="46" t="s">
        <v>30</v>
      </c>
      <c r="O81" s="39" t="s">
        <v>31</v>
      </c>
      <c r="P81" s="186" t="s">
        <v>33</v>
      </c>
      <c r="Q81" s="187"/>
      <c r="R81" s="187"/>
      <c r="S81" s="188"/>
      <c r="T81" s="203" t="s">
        <v>30</v>
      </c>
      <c r="U81" s="187"/>
      <c r="V81" s="187"/>
      <c r="W81" s="188"/>
      <c r="X81" s="203" t="s">
        <v>90</v>
      </c>
      <c r="Y81" s="187"/>
      <c r="Z81" s="188"/>
      <c r="AA81" s="186" t="s">
        <v>32</v>
      </c>
      <c r="AB81" s="187"/>
      <c r="AC81" s="187"/>
      <c r="AD81" s="187"/>
      <c r="AE81" s="187"/>
      <c r="AF81" s="187"/>
      <c r="AG81" s="187"/>
      <c r="AH81" s="188"/>
      <c r="AI81" s="213" t="s">
        <v>32</v>
      </c>
      <c r="AJ81" s="190"/>
      <c r="AK81" s="190"/>
      <c r="AL81" s="190"/>
      <c r="AM81" s="190"/>
      <c r="AN81" s="190"/>
      <c r="AO81" s="190"/>
      <c r="AP81" s="190"/>
      <c r="AQ81" s="191"/>
      <c r="AR81" s="41" t="s">
        <v>30</v>
      </c>
      <c r="AS81" s="41" t="s">
        <v>32</v>
      </c>
      <c r="AT81" s="41" t="s">
        <v>32</v>
      </c>
      <c r="AU81" s="186" t="s">
        <v>33</v>
      </c>
      <c r="AV81" s="187"/>
      <c r="AW81" s="187"/>
      <c r="AX81" s="188"/>
      <c r="AY81" s="186" t="s">
        <v>32</v>
      </c>
      <c r="AZ81" s="187"/>
      <c r="BA81" s="187"/>
      <c r="BB81" s="188"/>
      <c r="BC81" s="472"/>
      <c r="BD81" s="473"/>
      <c r="BE81" s="473"/>
      <c r="BF81" s="473"/>
      <c r="BG81" s="473"/>
      <c r="BH81" s="473"/>
      <c r="BI81" s="473"/>
      <c r="BJ81" s="474"/>
      <c r="BK81" s="35"/>
    </row>
    <row r="82" spans="1:63" ht="30.75" customHeight="1" x14ac:dyDescent="0.25">
      <c r="A82" s="34"/>
      <c r="B82" s="195">
        <v>30</v>
      </c>
      <c r="C82" s="196"/>
      <c r="D82" s="197" t="s">
        <v>276</v>
      </c>
      <c r="E82" s="198"/>
      <c r="F82" s="198"/>
      <c r="G82" s="198"/>
      <c r="H82" s="198"/>
      <c r="I82" s="198"/>
      <c r="J82" s="199"/>
      <c r="K82" s="207" t="s">
        <v>371</v>
      </c>
      <c r="L82" s="146"/>
      <c r="M82" s="147"/>
      <c r="N82" s="46" t="s">
        <v>372</v>
      </c>
      <c r="O82" s="45" t="s">
        <v>30</v>
      </c>
      <c r="P82" s="208" t="s">
        <v>398</v>
      </c>
      <c r="Q82" s="187"/>
      <c r="R82" s="187"/>
      <c r="S82" s="188"/>
      <c r="T82" s="186" t="s">
        <v>219</v>
      </c>
      <c r="U82" s="187"/>
      <c r="V82" s="187"/>
      <c r="W82" s="188"/>
      <c r="X82" s="203" t="s">
        <v>30</v>
      </c>
      <c r="Y82" s="187"/>
      <c r="Z82" s="188"/>
      <c r="AA82" s="186" t="s">
        <v>32</v>
      </c>
      <c r="AB82" s="187"/>
      <c r="AC82" s="187"/>
      <c r="AD82" s="187"/>
      <c r="AE82" s="187"/>
      <c r="AF82" s="187"/>
      <c r="AG82" s="187"/>
      <c r="AH82" s="188"/>
      <c r="AI82" s="215" t="s">
        <v>404</v>
      </c>
      <c r="AJ82" s="216"/>
      <c r="AK82" s="216"/>
      <c r="AL82" s="216"/>
      <c r="AM82" s="216"/>
      <c r="AN82" s="216"/>
      <c r="AO82" s="216"/>
      <c r="AP82" s="216"/>
      <c r="AQ82" s="217"/>
      <c r="AR82" s="41" t="s">
        <v>31</v>
      </c>
      <c r="AS82" s="41" t="s">
        <v>32</v>
      </c>
      <c r="AT82" s="41" t="s">
        <v>32</v>
      </c>
      <c r="AU82" s="208" t="s">
        <v>399</v>
      </c>
      <c r="AV82" s="187"/>
      <c r="AW82" s="187"/>
      <c r="AX82" s="188"/>
      <c r="AY82" s="186" t="s">
        <v>219</v>
      </c>
      <c r="AZ82" s="187"/>
      <c r="BA82" s="187"/>
      <c r="BB82" s="188"/>
      <c r="BC82" s="472"/>
      <c r="BD82" s="473"/>
      <c r="BE82" s="473"/>
      <c r="BF82" s="473"/>
      <c r="BG82" s="473"/>
      <c r="BH82" s="473"/>
      <c r="BI82" s="473"/>
      <c r="BJ82" s="474"/>
      <c r="BK82" s="35"/>
    </row>
    <row r="83" spans="1:63" ht="31.5" customHeight="1" x14ac:dyDescent="0.25">
      <c r="A83" s="34"/>
      <c r="B83" s="195">
        <v>31</v>
      </c>
      <c r="C83" s="196"/>
      <c r="D83" s="197" t="s">
        <v>95</v>
      </c>
      <c r="E83" s="198"/>
      <c r="F83" s="198"/>
      <c r="G83" s="198"/>
      <c r="H83" s="198"/>
      <c r="I83" s="198"/>
      <c r="J83" s="199"/>
      <c r="K83" s="145" t="s">
        <v>29</v>
      </c>
      <c r="L83" s="146"/>
      <c r="M83" s="147"/>
      <c r="N83" s="46" t="s">
        <v>30</v>
      </c>
      <c r="O83" s="39" t="s">
        <v>31</v>
      </c>
      <c r="P83" s="186" t="s">
        <v>33</v>
      </c>
      <c r="Q83" s="187"/>
      <c r="R83" s="187"/>
      <c r="S83" s="188"/>
      <c r="T83" s="203" t="s">
        <v>30</v>
      </c>
      <c r="U83" s="187"/>
      <c r="V83" s="187"/>
      <c r="W83" s="188"/>
      <c r="X83" s="204" t="s">
        <v>91</v>
      </c>
      <c r="Y83" s="205"/>
      <c r="Z83" s="206"/>
      <c r="AA83" s="186" t="s">
        <v>32</v>
      </c>
      <c r="AB83" s="187"/>
      <c r="AC83" s="187"/>
      <c r="AD83" s="187"/>
      <c r="AE83" s="187"/>
      <c r="AF83" s="187"/>
      <c r="AG83" s="187"/>
      <c r="AH83" s="188"/>
      <c r="AI83" s="213" t="s">
        <v>32</v>
      </c>
      <c r="AJ83" s="190"/>
      <c r="AK83" s="190"/>
      <c r="AL83" s="190"/>
      <c r="AM83" s="190"/>
      <c r="AN83" s="190"/>
      <c r="AO83" s="190"/>
      <c r="AP83" s="190"/>
      <c r="AQ83" s="191"/>
      <c r="AR83" s="41" t="s">
        <v>30</v>
      </c>
      <c r="AS83" s="41" t="s">
        <v>32</v>
      </c>
      <c r="AT83" s="41" t="s">
        <v>32</v>
      </c>
      <c r="AU83" s="186" t="s">
        <v>33</v>
      </c>
      <c r="AV83" s="187"/>
      <c r="AW83" s="187"/>
      <c r="AX83" s="188"/>
      <c r="AY83" s="186"/>
      <c r="AZ83" s="187"/>
      <c r="BA83" s="187"/>
      <c r="BB83" s="188"/>
      <c r="BC83" s="472"/>
      <c r="BD83" s="473"/>
      <c r="BE83" s="473"/>
      <c r="BF83" s="473"/>
      <c r="BG83" s="473"/>
      <c r="BH83" s="473"/>
      <c r="BI83" s="473"/>
      <c r="BJ83" s="474"/>
      <c r="BK83" s="35"/>
    </row>
    <row r="84" spans="1:63" ht="31.5" customHeight="1" x14ac:dyDescent="0.25">
      <c r="A84" s="34"/>
      <c r="B84" s="195">
        <v>32</v>
      </c>
      <c r="C84" s="196"/>
      <c r="D84" s="197" t="s">
        <v>96</v>
      </c>
      <c r="E84" s="198"/>
      <c r="F84" s="198"/>
      <c r="G84" s="198"/>
      <c r="H84" s="198"/>
      <c r="I84" s="198"/>
      <c r="J84" s="199"/>
      <c r="K84" s="207" t="s">
        <v>371</v>
      </c>
      <c r="L84" s="146"/>
      <c r="M84" s="147"/>
      <c r="N84" s="46" t="s">
        <v>372</v>
      </c>
      <c r="O84" s="45" t="s">
        <v>30</v>
      </c>
      <c r="P84" s="208" t="s">
        <v>398</v>
      </c>
      <c r="Q84" s="187"/>
      <c r="R84" s="187"/>
      <c r="S84" s="188"/>
      <c r="T84" s="209" t="s">
        <v>220</v>
      </c>
      <c r="U84" s="205"/>
      <c r="V84" s="205"/>
      <c r="W84" s="206"/>
      <c r="X84" s="203" t="s">
        <v>30</v>
      </c>
      <c r="Y84" s="187"/>
      <c r="Z84" s="188"/>
      <c r="AA84" s="186" t="s">
        <v>32</v>
      </c>
      <c r="AB84" s="187"/>
      <c r="AC84" s="187"/>
      <c r="AD84" s="187"/>
      <c r="AE84" s="187"/>
      <c r="AF84" s="187"/>
      <c r="AG84" s="187"/>
      <c r="AH84" s="188"/>
      <c r="AI84" s="215" t="s">
        <v>404</v>
      </c>
      <c r="AJ84" s="216"/>
      <c r="AK84" s="216"/>
      <c r="AL84" s="216"/>
      <c r="AM84" s="216"/>
      <c r="AN84" s="216"/>
      <c r="AO84" s="216"/>
      <c r="AP84" s="216"/>
      <c r="AQ84" s="217"/>
      <c r="AR84" s="41" t="s">
        <v>31</v>
      </c>
      <c r="AS84" s="41" t="s">
        <v>32</v>
      </c>
      <c r="AT84" s="41" t="s">
        <v>32</v>
      </c>
      <c r="AU84" s="208" t="s">
        <v>399</v>
      </c>
      <c r="AV84" s="187"/>
      <c r="AW84" s="187"/>
      <c r="AX84" s="188"/>
      <c r="AY84" s="209" t="s">
        <v>220</v>
      </c>
      <c r="AZ84" s="205"/>
      <c r="BA84" s="205"/>
      <c r="BB84" s="206"/>
      <c r="BC84" s="472"/>
      <c r="BD84" s="473"/>
      <c r="BE84" s="473"/>
      <c r="BF84" s="473"/>
      <c r="BG84" s="473"/>
      <c r="BH84" s="473"/>
      <c r="BI84" s="473"/>
      <c r="BJ84" s="474"/>
      <c r="BK84" s="35"/>
    </row>
    <row r="85" spans="1:63" ht="15.75" customHeight="1" x14ac:dyDescent="0.25">
      <c r="A85" s="34"/>
      <c r="B85" s="195">
        <v>33</v>
      </c>
      <c r="C85" s="196"/>
      <c r="D85" s="197" t="s">
        <v>97</v>
      </c>
      <c r="E85" s="198"/>
      <c r="F85" s="198"/>
      <c r="G85" s="198"/>
      <c r="H85" s="198"/>
      <c r="I85" s="198"/>
      <c r="J85" s="199"/>
      <c r="K85" s="145" t="s">
        <v>29</v>
      </c>
      <c r="L85" s="146"/>
      <c r="M85" s="147"/>
      <c r="N85" s="46" t="s">
        <v>30</v>
      </c>
      <c r="O85" s="39" t="s">
        <v>31</v>
      </c>
      <c r="P85" s="186" t="s">
        <v>33</v>
      </c>
      <c r="Q85" s="187"/>
      <c r="R85" s="187"/>
      <c r="S85" s="188"/>
      <c r="T85" s="203" t="s">
        <v>30</v>
      </c>
      <c r="U85" s="187"/>
      <c r="V85" s="187"/>
      <c r="W85" s="188"/>
      <c r="X85" s="203" t="s">
        <v>92</v>
      </c>
      <c r="Y85" s="187"/>
      <c r="Z85" s="188"/>
      <c r="AA85" s="186" t="s">
        <v>32</v>
      </c>
      <c r="AB85" s="187"/>
      <c r="AC85" s="187"/>
      <c r="AD85" s="187"/>
      <c r="AE85" s="187"/>
      <c r="AF85" s="187"/>
      <c r="AG85" s="187"/>
      <c r="AH85" s="188"/>
      <c r="AI85" s="213" t="s">
        <v>32</v>
      </c>
      <c r="AJ85" s="190"/>
      <c r="AK85" s="190"/>
      <c r="AL85" s="190"/>
      <c r="AM85" s="190"/>
      <c r="AN85" s="190"/>
      <c r="AO85" s="190"/>
      <c r="AP85" s="190"/>
      <c r="AQ85" s="191"/>
      <c r="AR85" s="41" t="s">
        <v>30</v>
      </c>
      <c r="AS85" s="41" t="s">
        <v>32</v>
      </c>
      <c r="AT85" s="41" t="s">
        <v>32</v>
      </c>
      <c r="AU85" s="186" t="s">
        <v>33</v>
      </c>
      <c r="AV85" s="187"/>
      <c r="AW85" s="187"/>
      <c r="AX85" s="188"/>
      <c r="AY85" s="186"/>
      <c r="AZ85" s="187"/>
      <c r="BA85" s="187"/>
      <c r="BB85" s="188"/>
      <c r="BC85" s="472"/>
      <c r="BD85" s="473"/>
      <c r="BE85" s="473"/>
      <c r="BF85" s="473"/>
      <c r="BG85" s="473"/>
      <c r="BH85" s="473"/>
      <c r="BI85" s="473"/>
      <c r="BJ85" s="474"/>
      <c r="BK85" s="35"/>
    </row>
    <row r="86" spans="1:63" ht="31.5" customHeight="1" x14ac:dyDescent="0.25">
      <c r="A86" s="34"/>
      <c r="B86" s="195">
        <v>34</v>
      </c>
      <c r="C86" s="196"/>
      <c r="D86" s="197" t="s">
        <v>98</v>
      </c>
      <c r="E86" s="198"/>
      <c r="F86" s="198"/>
      <c r="G86" s="198"/>
      <c r="H86" s="198"/>
      <c r="I86" s="198"/>
      <c r="J86" s="199"/>
      <c r="K86" s="207" t="s">
        <v>371</v>
      </c>
      <c r="L86" s="146"/>
      <c r="M86" s="147"/>
      <c r="N86" s="46" t="s">
        <v>372</v>
      </c>
      <c r="O86" s="45" t="s">
        <v>30</v>
      </c>
      <c r="P86" s="208" t="s">
        <v>398</v>
      </c>
      <c r="Q86" s="187"/>
      <c r="R86" s="187"/>
      <c r="S86" s="188"/>
      <c r="T86" s="209" t="s">
        <v>221</v>
      </c>
      <c r="U86" s="205"/>
      <c r="V86" s="205"/>
      <c r="W86" s="206"/>
      <c r="X86" s="203" t="s">
        <v>30</v>
      </c>
      <c r="Y86" s="187"/>
      <c r="Z86" s="188"/>
      <c r="AA86" s="186" t="s">
        <v>32</v>
      </c>
      <c r="AB86" s="187"/>
      <c r="AC86" s="187"/>
      <c r="AD86" s="187"/>
      <c r="AE86" s="187"/>
      <c r="AF86" s="187"/>
      <c r="AG86" s="187"/>
      <c r="AH86" s="188"/>
      <c r="AI86" s="215" t="s">
        <v>404</v>
      </c>
      <c r="AJ86" s="216"/>
      <c r="AK86" s="216"/>
      <c r="AL86" s="216"/>
      <c r="AM86" s="216"/>
      <c r="AN86" s="216"/>
      <c r="AO86" s="216"/>
      <c r="AP86" s="216"/>
      <c r="AQ86" s="217"/>
      <c r="AR86" s="41" t="s">
        <v>31</v>
      </c>
      <c r="AS86" s="41" t="s">
        <v>32</v>
      </c>
      <c r="AT86" s="41" t="s">
        <v>32</v>
      </c>
      <c r="AU86" s="208" t="s">
        <v>399</v>
      </c>
      <c r="AV86" s="187"/>
      <c r="AW86" s="187"/>
      <c r="AX86" s="188"/>
      <c r="AY86" s="209" t="s">
        <v>221</v>
      </c>
      <c r="AZ86" s="205"/>
      <c r="BA86" s="205"/>
      <c r="BB86" s="206"/>
      <c r="BC86" s="472"/>
      <c r="BD86" s="473"/>
      <c r="BE86" s="473"/>
      <c r="BF86" s="473"/>
      <c r="BG86" s="473"/>
      <c r="BH86" s="473"/>
      <c r="BI86" s="473"/>
      <c r="BJ86" s="474"/>
      <c r="BK86" s="35"/>
    </row>
    <row r="87" spans="1:63" ht="31.5" customHeight="1" x14ac:dyDescent="0.25">
      <c r="A87" s="34"/>
      <c r="B87" s="195">
        <v>35</v>
      </c>
      <c r="C87" s="196"/>
      <c r="D87" s="197" t="s">
        <v>100</v>
      </c>
      <c r="E87" s="198"/>
      <c r="F87" s="198"/>
      <c r="G87" s="198"/>
      <c r="H87" s="198"/>
      <c r="I87" s="198"/>
      <c r="J87" s="199"/>
      <c r="K87" s="145" t="s">
        <v>29</v>
      </c>
      <c r="L87" s="146"/>
      <c r="M87" s="147"/>
      <c r="N87" s="46" t="s">
        <v>30</v>
      </c>
      <c r="O87" s="39" t="s">
        <v>31</v>
      </c>
      <c r="P87" s="186" t="s">
        <v>33</v>
      </c>
      <c r="Q87" s="187"/>
      <c r="R87" s="187"/>
      <c r="S87" s="188"/>
      <c r="T87" s="203" t="s">
        <v>30</v>
      </c>
      <c r="U87" s="187"/>
      <c r="V87" s="187"/>
      <c r="W87" s="188"/>
      <c r="X87" s="204" t="s">
        <v>111</v>
      </c>
      <c r="Y87" s="205"/>
      <c r="Z87" s="206"/>
      <c r="AA87" s="208" t="s">
        <v>410</v>
      </c>
      <c r="AB87" s="187"/>
      <c r="AC87" s="187"/>
      <c r="AD87" s="187"/>
      <c r="AE87" s="187"/>
      <c r="AF87" s="187"/>
      <c r="AG87" s="187"/>
      <c r="AH87" s="188"/>
      <c r="AI87" s="213" t="s">
        <v>32</v>
      </c>
      <c r="AJ87" s="190"/>
      <c r="AK87" s="190"/>
      <c r="AL87" s="190"/>
      <c r="AM87" s="190"/>
      <c r="AN87" s="190"/>
      <c r="AO87" s="190"/>
      <c r="AP87" s="190"/>
      <c r="AQ87" s="191"/>
      <c r="AR87" s="41" t="s">
        <v>30</v>
      </c>
      <c r="AS87" s="41" t="s">
        <v>32</v>
      </c>
      <c r="AT87" s="41" t="s">
        <v>32</v>
      </c>
      <c r="AU87" s="186" t="s">
        <v>33</v>
      </c>
      <c r="AV87" s="187"/>
      <c r="AW87" s="187"/>
      <c r="AX87" s="188"/>
      <c r="AY87" s="186" t="s">
        <v>32</v>
      </c>
      <c r="AZ87" s="187"/>
      <c r="BA87" s="187"/>
      <c r="BB87" s="188"/>
      <c r="BC87" s="472"/>
      <c r="BD87" s="473"/>
      <c r="BE87" s="473"/>
      <c r="BF87" s="473"/>
      <c r="BG87" s="473"/>
      <c r="BH87" s="473"/>
      <c r="BI87" s="473"/>
      <c r="BJ87" s="474"/>
      <c r="BK87" s="35"/>
    </row>
    <row r="88" spans="1:63" ht="96" customHeight="1" x14ac:dyDescent="0.25">
      <c r="A88" s="34"/>
      <c r="B88" s="195">
        <v>36</v>
      </c>
      <c r="C88" s="196"/>
      <c r="D88" s="197" t="s">
        <v>101</v>
      </c>
      <c r="E88" s="198"/>
      <c r="F88" s="198"/>
      <c r="G88" s="198"/>
      <c r="H88" s="198"/>
      <c r="I88" s="198"/>
      <c r="J88" s="199"/>
      <c r="K88" s="207" t="s">
        <v>402</v>
      </c>
      <c r="L88" s="146"/>
      <c r="M88" s="147"/>
      <c r="N88" s="46" t="s">
        <v>372</v>
      </c>
      <c r="O88" s="45" t="s">
        <v>30</v>
      </c>
      <c r="P88" s="208" t="s">
        <v>398</v>
      </c>
      <c r="Q88" s="187"/>
      <c r="R88" s="187"/>
      <c r="S88" s="188"/>
      <c r="T88" s="204" t="s">
        <v>222</v>
      </c>
      <c r="U88" s="205"/>
      <c r="V88" s="205"/>
      <c r="W88" s="206"/>
      <c r="X88" s="284" t="s">
        <v>420</v>
      </c>
      <c r="Y88" s="216"/>
      <c r="Z88" s="217"/>
      <c r="AA88" s="208" t="s">
        <v>410</v>
      </c>
      <c r="AB88" s="187"/>
      <c r="AC88" s="187"/>
      <c r="AD88" s="187"/>
      <c r="AE88" s="187"/>
      <c r="AF88" s="187"/>
      <c r="AG88" s="187"/>
      <c r="AH88" s="188"/>
      <c r="AI88" s="215" t="s">
        <v>404</v>
      </c>
      <c r="AJ88" s="216"/>
      <c r="AK88" s="216"/>
      <c r="AL88" s="216"/>
      <c r="AM88" s="216"/>
      <c r="AN88" s="216"/>
      <c r="AO88" s="216"/>
      <c r="AP88" s="216"/>
      <c r="AQ88" s="217"/>
      <c r="AR88" s="41" t="s">
        <v>31</v>
      </c>
      <c r="AS88" s="41" t="s">
        <v>32</v>
      </c>
      <c r="AT88" s="41" t="s">
        <v>32</v>
      </c>
      <c r="AU88" s="208" t="s">
        <v>399</v>
      </c>
      <c r="AV88" s="187"/>
      <c r="AW88" s="187"/>
      <c r="AX88" s="188"/>
      <c r="AY88" s="497" t="s">
        <v>421</v>
      </c>
      <c r="AZ88" s="491"/>
      <c r="BA88" s="491"/>
      <c r="BB88" s="492"/>
      <c r="BC88" s="472"/>
      <c r="BD88" s="473"/>
      <c r="BE88" s="473"/>
      <c r="BF88" s="473"/>
      <c r="BG88" s="473"/>
      <c r="BH88" s="473"/>
      <c r="BI88" s="473"/>
      <c r="BJ88" s="474"/>
      <c r="BK88" s="35"/>
    </row>
    <row r="89" spans="1:63" ht="47.25" customHeight="1" x14ac:dyDescent="0.25">
      <c r="A89" s="34"/>
      <c r="B89" s="195">
        <v>37</v>
      </c>
      <c r="C89" s="196"/>
      <c r="D89" s="197" t="s">
        <v>99</v>
      </c>
      <c r="E89" s="198"/>
      <c r="F89" s="198"/>
      <c r="G89" s="198"/>
      <c r="H89" s="198"/>
      <c r="I89" s="198"/>
      <c r="J89" s="199"/>
      <c r="K89" s="145" t="s">
        <v>29</v>
      </c>
      <c r="L89" s="146"/>
      <c r="M89" s="147"/>
      <c r="N89" s="46" t="s">
        <v>30</v>
      </c>
      <c r="O89" s="39" t="s">
        <v>31</v>
      </c>
      <c r="P89" s="186" t="s">
        <v>33</v>
      </c>
      <c r="Q89" s="187"/>
      <c r="R89" s="187"/>
      <c r="S89" s="188"/>
      <c r="T89" s="203" t="s">
        <v>30</v>
      </c>
      <c r="U89" s="187"/>
      <c r="V89" s="187"/>
      <c r="W89" s="188"/>
      <c r="X89" s="204" t="s">
        <v>112</v>
      </c>
      <c r="Y89" s="205"/>
      <c r="Z89" s="206"/>
      <c r="AA89" s="186" t="s">
        <v>32</v>
      </c>
      <c r="AB89" s="187"/>
      <c r="AC89" s="187"/>
      <c r="AD89" s="187"/>
      <c r="AE89" s="187"/>
      <c r="AF89" s="187"/>
      <c r="AG89" s="187"/>
      <c r="AH89" s="188"/>
      <c r="AI89" s="213" t="s">
        <v>32</v>
      </c>
      <c r="AJ89" s="190"/>
      <c r="AK89" s="190"/>
      <c r="AL89" s="190"/>
      <c r="AM89" s="190"/>
      <c r="AN89" s="190"/>
      <c r="AO89" s="190"/>
      <c r="AP89" s="190"/>
      <c r="AQ89" s="191"/>
      <c r="AR89" s="41" t="s">
        <v>30</v>
      </c>
      <c r="AS89" s="41" t="s">
        <v>32</v>
      </c>
      <c r="AT89" s="41" t="s">
        <v>32</v>
      </c>
      <c r="AU89" s="186" t="s">
        <v>33</v>
      </c>
      <c r="AV89" s="187"/>
      <c r="AW89" s="187"/>
      <c r="AX89" s="188"/>
      <c r="AY89" s="203" t="s">
        <v>30</v>
      </c>
      <c r="AZ89" s="187"/>
      <c r="BA89" s="187"/>
      <c r="BB89" s="188"/>
      <c r="BC89" s="472"/>
      <c r="BD89" s="473"/>
      <c r="BE89" s="473"/>
      <c r="BF89" s="473"/>
      <c r="BG89" s="473"/>
      <c r="BH89" s="473"/>
      <c r="BI89" s="473"/>
      <c r="BJ89" s="474"/>
      <c r="BK89" s="35"/>
    </row>
    <row r="90" spans="1:63" ht="63" customHeight="1" x14ac:dyDescent="0.25">
      <c r="A90" s="34"/>
      <c r="B90" s="195">
        <v>38</v>
      </c>
      <c r="C90" s="196"/>
      <c r="D90" s="197" t="s">
        <v>102</v>
      </c>
      <c r="E90" s="198"/>
      <c r="F90" s="198"/>
      <c r="G90" s="198"/>
      <c r="H90" s="198"/>
      <c r="I90" s="198"/>
      <c r="J90" s="199"/>
      <c r="K90" s="207" t="s">
        <v>402</v>
      </c>
      <c r="L90" s="146"/>
      <c r="M90" s="147"/>
      <c r="N90" s="46" t="s">
        <v>372</v>
      </c>
      <c r="O90" s="45" t="s">
        <v>30</v>
      </c>
      <c r="P90" s="208" t="s">
        <v>398</v>
      </c>
      <c r="Q90" s="187"/>
      <c r="R90" s="187"/>
      <c r="S90" s="188"/>
      <c r="T90" s="497" t="s">
        <v>422</v>
      </c>
      <c r="U90" s="491"/>
      <c r="V90" s="491"/>
      <c r="W90" s="492"/>
      <c r="X90" s="284" t="s">
        <v>423</v>
      </c>
      <c r="Y90" s="216"/>
      <c r="Z90" s="217"/>
      <c r="AA90" s="186" t="s">
        <v>32</v>
      </c>
      <c r="AB90" s="187"/>
      <c r="AC90" s="187"/>
      <c r="AD90" s="187"/>
      <c r="AE90" s="187"/>
      <c r="AF90" s="187"/>
      <c r="AG90" s="187"/>
      <c r="AH90" s="188"/>
      <c r="AI90" s="215" t="s">
        <v>404</v>
      </c>
      <c r="AJ90" s="216"/>
      <c r="AK90" s="216"/>
      <c r="AL90" s="216"/>
      <c r="AM90" s="216"/>
      <c r="AN90" s="216"/>
      <c r="AO90" s="216"/>
      <c r="AP90" s="216"/>
      <c r="AQ90" s="217"/>
      <c r="AR90" s="41" t="s">
        <v>31</v>
      </c>
      <c r="AS90" s="41" t="s">
        <v>32</v>
      </c>
      <c r="AT90" s="41" t="s">
        <v>32</v>
      </c>
      <c r="AU90" s="208" t="s">
        <v>399</v>
      </c>
      <c r="AV90" s="187"/>
      <c r="AW90" s="187"/>
      <c r="AX90" s="188"/>
      <c r="AY90" s="497" t="s">
        <v>422</v>
      </c>
      <c r="AZ90" s="491"/>
      <c r="BA90" s="491"/>
      <c r="BB90" s="492"/>
      <c r="BC90" s="472"/>
      <c r="BD90" s="473"/>
      <c r="BE90" s="473"/>
      <c r="BF90" s="473"/>
      <c r="BG90" s="473"/>
      <c r="BH90" s="473"/>
      <c r="BI90" s="473"/>
      <c r="BJ90" s="474"/>
      <c r="BK90" s="35"/>
    </row>
    <row r="91" spans="1:63" ht="31.5" customHeight="1" x14ac:dyDescent="0.25">
      <c r="A91" s="34"/>
      <c r="B91" s="195">
        <v>39</v>
      </c>
      <c r="C91" s="196"/>
      <c r="D91" s="197" t="s">
        <v>103</v>
      </c>
      <c r="E91" s="198"/>
      <c r="F91" s="198"/>
      <c r="G91" s="198"/>
      <c r="H91" s="198"/>
      <c r="I91" s="198"/>
      <c r="J91" s="199"/>
      <c r="K91" s="145" t="s">
        <v>29</v>
      </c>
      <c r="L91" s="146"/>
      <c r="M91" s="147"/>
      <c r="N91" s="46" t="s">
        <v>30</v>
      </c>
      <c r="O91" s="39" t="s">
        <v>31</v>
      </c>
      <c r="P91" s="186" t="s">
        <v>33</v>
      </c>
      <c r="Q91" s="187"/>
      <c r="R91" s="187"/>
      <c r="S91" s="188"/>
      <c r="T91" s="203" t="s">
        <v>30</v>
      </c>
      <c r="U91" s="187"/>
      <c r="V91" s="187"/>
      <c r="W91" s="188"/>
      <c r="X91" s="204" t="s">
        <v>113</v>
      </c>
      <c r="Y91" s="205"/>
      <c r="Z91" s="206"/>
      <c r="AA91" s="208" t="s">
        <v>410</v>
      </c>
      <c r="AB91" s="187"/>
      <c r="AC91" s="187"/>
      <c r="AD91" s="187"/>
      <c r="AE91" s="187"/>
      <c r="AF91" s="187"/>
      <c r="AG91" s="187"/>
      <c r="AH91" s="188"/>
      <c r="AI91" s="213" t="s">
        <v>32</v>
      </c>
      <c r="AJ91" s="190"/>
      <c r="AK91" s="190"/>
      <c r="AL91" s="190"/>
      <c r="AM91" s="190"/>
      <c r="AN91" s="190"/>
      <c r="AO91" s="190"/>
      <c r="AP91" s="190"/>
      <c r="AQ91" s="191"/>
      <c r="AR91" s="41" t="s">
        <v>30</v>
      </c>
      <c r="AS91" s="41" t="s">
        <v>32</v>
      </c>
      <c r="AT91" s="41" t="s">
        <v>32</v>
      </c>
      <c r="AU91" s="186" t="s">
        <v>33</v>
      </c>
      <c r="AV91" s="187"/>
      <c r="AW91" s="187"/>
      <c r="AX91" s="188"/>
      <c r="AY91" s="203" t="s">
        <v>30</v>
      </c>
      <c r="AZ91" s="187"/>
      <c r="BA91" s="187"/>
      <c r="BB91" s="188"/>
      <c r="BC91" s="472"/>
      <c r="BD91" s="473"/>
      <c r="BE91" s="473"/>
      <c r="BF91" s="473"/>
      <c r="BG91" s="473"/>
      <c r="BH91" s="473"/>
      <c r="BI91" s="473"/>
      <c r="BJ91" s="474"/>
      <c r="BK91" s="35"/>
    </row>
    <row r="92" spans="1:63" ht="94.5" customHeight="1" x14ac:dyDescent="0.25">
      <c r="A92" s="34"/>
      <c r="B92" s="195">
        <v>40</v>
      </c>
      <c r="C92" s="196"/>
      <c r="D92" s="197" t="s">
        <v>104</v>
      </c>
      <c r="E92" s="198"/>
      <c r="F92" s="198"/>
      <c r="G92" s="198"/>
      <c r="H92" s="198"/>
      <c r="I92" s="198"/>
      <c r="J92" s="199"/>
      <c r="K92" s="207" t="s">
        <v>402</v>
      </c>
      <c r="L92" s="146"/>
      <c r="M92" s="147"/>
      <c r="N92" s="46" t="s">
        <v>372</v>
      </c>
      <c r="O92" s="45" t="s">
        <v>30</v>
      </c>
      <c r="P92" s="272"/>
      <c r="Q92" s="273"/>
      <c r="R92" s="273"/>
      <c r="S92" s="274"/>
      <c r="T92" s="275"/>
      <c r="U92" s="276"/>
      <c r="V92" s="276"/>
      <c r="W92" s="277"/>
      <c r="X92" s="275" t="s">
        <v>30</v>
      </c>
      <c r="Y92" s="276"/>
      <c r="Z92" s="277"/>
      <c r="AA92" s="278" t="s">
        <v>32</v>
      </c>
      <c r="AB92" s="279"/>
      <c r="AC92" s="279"/>
      <c r="AD92" s="279"/>
      <c r="AE92" s="279"/>
      <c r="AF92" s="279"/>
      <c r="AG92" s="279"/>
      <c r="AH92" s="280"/>
      <c r="AI92" s="215" t="s">
        <v>404</v>
      </c>
      <c r="AJ92" s="216"/>
      <c r="AK92" s="216"/>
      <c r="AL92" s="216"/>
      <c r="AM92" s="216"/>
      <c r="AN92" s="216"/>
      <c r="AO92" s="216"/>
      <c r="AP92" s="216"/>
      <c r="AQ92" s="217"/>
      <c r="AR92" s="41" t="s">
        <v>31</v>
      </c>
      <c r="AS92" s="41" t="s">
        <v>32</v>
      </c>
      <c r="AT92" s="41" t="s">
        <v>32</v>
      </c>
      <c r="AU92" s="493" t="s">
        <v>399</v>
      </c>
      <c r="AV92" s="494"/>
      <c r="AW92" s="494"/>
      <c r="AX92" s="495"/>
      <c r="AY92" s="497" t="s">
        <v>424</v>
      </c>
      <c r="AZ92" s="491"/>
      <c r="BA92" s="491"/>
      <c r="BB92" s="492"/>
      <c r="BC92" s="475" t="s">
        <v>118</v>
      </c>
      <c r="BD92" s="476"/>
      <c r="BE92" s="476"/>
      <c r="BF92" s="476"/>
      <c r="BG92" s="476"/>
      <c r="BH92" s="476"/>
      <c r="BI92" s="476"/>
      <c r="BJ92" s="477"/>
      <c r="BK92" s="35"/>
    </row>
    <row r="93" spans="1:63" ht="15.75" customHeight="1" x14ac:dyDescent="0.25">
      <c r="A93" s="34"/>
      <c r="B93" s="195">
        <v>41</v>
      </c>
      <c r="C93" s="196"/>
      <c r="D93" s="197" t="s">
        <v>105</v>
      </c>
      <c r="E93" s="198"/>
      <c r="F93" s="198"/>
      <c r="G93" s="198"/>
      <c r="H93" s="198"/>
      <c r="I93" s="198"/>
      <c r="J93" s="199"/>
      <c r="K93" s="145" t="s">
        <v>29</v>
      </c>
      <c r="L93" s="146"/>
      <c r="M93" s="147"/>
      <c r="N93" s="46" t="s">
        <v>30</v>
      </c>
      <c r="O93" s="39" t="s">
        <v>31</v>
      </c>
      <c r="P93" s="186" t="s">
        <v>33</v>
      </c>
      <c r="Q93" s="187"/>
      <c r="R93" s="187"/>
      <c r="S93" s="188"/>
      <c r="T93" s="203" t="s">
        <v>30</v>
      </c>
      <c r="U93" s="187"/>
      <c r="V93" s="187"/>
      <c r="W93" s="188"/>
      <c r="X93" s="204" t="s">
        <v>114</v>
      </c>
      <c r="Y93" s="205"/>
      <c r="Z93" s="206"/>
      <c r="AA93" s="186" t="s">
        <v>32</v>
      </c>
      <c r="AB93" s="187"/>
      <c r="AC93" s="187"/>
      <c r="AD93" s="187"/>
      <c r="AE93" s="187"/>
      <c r="AF93" s="187"/>
      <c r="AG93" s="187"/>
      <c r="AH93" s="188"/>
      <c r="AI93" s="213" t="s">
        <v>32</v>
      </c>
      <c r="AJ93" s="190"/>
      <c r="AK93" s="190"/>
      <c r="AL93" s="190"/>
      <c r="AM93" s="190"/>
      <c r="AN93" s="190"/>
      <c r="AO93" s="190"/>
      <c r="AP93" s="190"/>
      <c r="AQ93" s="191"/>
      <c r="AR93" s="41" t="s">
        <v>30</v>
      </c>
      <c r="AS93" s="41" t="s">
        <v>32</v>
      </c>
      <c r="AT93" s="41" t="s">
        <v>32</v>
      </c>
      <c r="AU93" s="186" t="s">
        <v>33</v>
      </c>
      <c r="AV93" s="187"/>
      <c r="AW93" s="187"/>
      <c r="AX93" s="188"/>
      <c r="AY93" s="186" t="s">
        <v>32</v>
      </c>
      <c r="AZ93" s="187"/>
      <c r="BA93" s="187"/>
      <c r="BB93" s="188"/>
      <c r="BC93" s="472"/>
      <c r="BD93" s="473"/>
      <c r="BE93" s="473"/>
      <c r="BF93" s="473"/>
      <c r="BG93" s="473"/>
      <c r="BH93" s="473"/>
      <c r="BI93" s="473"/>
      <c r="BJ93" s="474"/>
      <c r="BK93" s="35"/>
    </row>
    <row r="94" spans="1:63" ht="15.75" customHeight="1" x14ac:dyDescent="0.25">
      <c r="A94" s="34"/>
      <c r="B94" s="195">
        <v>42</v>
      </c>
      <c r="C94" s="196"/>
      <c r="D94" s="197" t="s">
        <v>106</v>
      </c>
      <c r="E94" s="198"/>
      <c r="F94" s="198"/>
      <c r="G94" s="198"/>
      <c r="H94" s="198"/>
      <c r="I94" s="198"/>
      <c r="J94" s="199"/>
      <c r="K94" s="145" t="s">
        <v>29</v>
      </c>
      <c r="L94" s="146"/>
      <c r="M94" s="147"/>
      <c r="N94" s="42" t="s">
        <v>34</v>
      </c>
      <c r="O94" s="45" t="s">
        <v>30</v>
      </c>
      <c r="P94" s="208" t="s">
        <v>398</v>
      </c>
      <c r="Q94" s="187"/>
      <c r="R94" s="187"/>
      <c r="S94" s="188"/>
      <c r="T94" s="203" t="s">
        <v>223</v>
      </c>
      <c r="U94" s="187"/>
      <c r="V94" s="187"/>
      <c r="W94" s="188"/>
      <c r="X94" s="204" t="s">
        <v>30</v>
      </c>
      <c r="Y94" s="205"/>
      <c r="Z94" s="206"/>
      <c r="AA94" s="186" t="s">
        <v>32</v>
      </c>
      <c r="AB94" s="187"/>
      <c r="AC94" s="187"/>
      <c r="AD94" s="187"/>
      <c r="AE94" s="187"/>
      <c r="AF94" s="187"/>
      <c r="AG94" s="187"/>
      <c r="AH94" s="188"/>
      <c r="AI94" s="213" t="s">
        <v>32</v>
      </c>
      <c r="AJ94" s="190"/>
      <c r="AK94" s="190"/>
      <c r="AL94" s="190"/>
      <c r="AM94" s="190"/>
      <c r="AN94" s="190"/>
      <c r="AO94" s="190"/>
      <c r="AP94" s="190"/>
      <c r="AQ94" s="191"/>
      <c r="AR94" s="41" t="s">
        <v>30</v>
      </c>
      <c r="AS94" s="41" t="s">
        <v>32</v>
      </c>
      <c r="AT94" s="41" t="s">
        <v>32</v>
      </c>
      <c r="AU94" s="186" t="s">
        <v>33</v>
      </c>
      <c r="AV94" s="187"/>
      <c r="AW94" s="187"/>
      <c r="AX94" s="188"/>
      <c r="AY94" s="186" t="s">
        <v>32</v>
      </c>
      <c r="AZ94" s="187"/>
      <c r="BA94" s="187"/>
      <c r="BB94" s="188"/>
      <c r="BC94" s="472" t="s">
        <v>117</v>
      </c>
      <c r="BD94" s="473"/>
      <c r="BE94" s="473"/>
      <c r="BF94" s="473"/>
      <c r="BG94" s="473"/>
      <c r="BH94" s="473"/>
      <c r="BI94" s="473"/>
      <c r="BJ94" s="474"/>
      <c r="BK94" s="35"/>
    </row>
    <row r="95" spans="1:63" ht="15.75" customHeight="1" x14ac:dyDescent="0.25">
      <c r="A95" s="34"/>
      <c r="B95" s="195">
        <v>43</v>
      </c>
      <c r="C95" s="196"/>
      <c r="D95" s="197" t="s">
        <v>107</v>
      </c>
      <c r="E95" s="198"/>
      <c r="F95" s="198"/>
      <c r="G95" s="198"/>
      <c r="H95" s="198"/>
      <c r="I95" s="198"/>
      <c r="J95" s="199"/>
      <c r="K95" s="145" t="s">
        <v>29</v>
      </c>
      <c r="L95" s="146"/>
      <c r="M95" s="147"/>
      <c r="N95" s="46" t="s">
        <v>30</v>
      </c>
      <c r="O95" s="39" t="s">
        <v>31</v>
      </c>
      <c r="P95" s="186" t="s">
        <v>33</v>
      </c>
      <c r="Q95" s="187"/>
      <c r="R95" s="187"/>
      <c r="S95" s="188"/>
      <c r="T95" s="203" t="s">
        <v>30</v>
      </c>
      <c r="U95" s="187"/>
      <c r="V95" s="187"/>
      <c r="W95" s="188"/>
      <c r="X95" s="204" t="s">
        <v>115</v>
      </c>
      <c r="Y95" s="205"/>
      <c r="Z95" s="206"/>
      <c r="AA95" s="186" t="s">
        <v>32</v>
      </c>
      <c r="AB95" s="187"/>
      <c r="AC95" s="187"/>
      <c r="AD95" s="187"/>
      <c r="AE95" s="187"/>
      <c r="AF95" s="187"/>
      <c r="AG95" s="187"/>
      <c r="AH95" s="188"/>
      <c r="AI95" s="213" t="s">
        <v>32</v>
      </c>
      <c r="AJ95" s="190"/>
      <c r="AK95" s="190"/>
      <c r="AL95" s="190"/>
      <c r="AM95" s="190"/>
      <c r="AN95" s="190"/>
      <c r="AO95" s="190"/>
      <c r="AP95" s="190"/>
      <c r="AQ95" s="191"/>
      <c r="AR95" s="41" t="s">
        <v>30</v>
      </c>
      <c r="AS95" s="41" t="s">
        <v>32</v>
      </c>
      <c r="AT95" s="41" t="s">
        <v>32</v>
      </c>
      <c r="AU95" s="186" t="s">
        <v>33</v>
      </c>
      <c r="AV95" s="187"/>
      <c r="AW95" s="187"/>
      <c r="AX95" s="188"/>
      <c r="AY95" s="186" t="s">
        <v>32</v>
      </c>
      <c r="AZ95" s="187"/>
      <c r="BA95" s="187"/>
      <c r="BB95" s="188"/>
      <c r="BC95" s="472"/>
      <c r="BD95" s="473"/>
      <c r="BE95" s="473"/>
      <c r="BF95" s="473"/>
      <c r="BG95" s="473"/>
      <c r="BH95" s="473"/>
      <c r="BI95" s="473"/>
      <c r="BJ95" s="474"/>
      <c r="BK95" s="35"/>
    </row>
    <row r="96" spans="1:63" ht="15.75" customHeight="1" x14ac:dyDescent="0.25">
      <c r="A96" s="34"/>
      <c r="B96" s="195">
        <v>44</v>
      </c>
      <c r="C96" s="196"/>
      <c r="D96" s="197" t="s">
        <v>108</v>
      </c>
      <c r="E96" s="198"/>
      <c r="F96" s="198"/>
      <c r="G96" s="198"/>
      <c r="H96" s="198"/>
      <c r="I96" s="198"/>
      <c r="J96" s="199"/>
      <c r="K96" s="145" t="s">
        <v>29</v>
      </c>
      <c r="L96" s="146"/>
      <c r="M96" s="147"/>
      <c r="N96" s="42" t="s">
        <v>34</v>
      </c>
      <c r="O96" s="45" t="s">
        <v>30</v>
      </c>
      <c r="P96" s="208" t="s">
        <v>398</v>
      </c>
      <c r="Q96" s="187"/>
      <c r="R96" s="187"/>
      <c r="S96" s="188"/>
      <c r="T96" s="203" t="s">
        <v>224</v>
      </c>
      <c r="U96" s="187"/>
      <c r="V96" s="187"/>
      <c r="W96" s="188"/>
      <c r="X96" s="204" t="s">
        <v>30</v>
      </c>
      <c r="Y96" s="205"/>
      <c r="Z96" s="206"/>
      <c r="AA96" s="186" t="s">
        <v>32</v>
      </c>
      <c r="AB96" s="187"/>
      <c r="AC96" s="187"/>
      <c r="AD96" s="187"/>
      <c r="AE96" s="187"/>
      <c r="AF96" s="187"/>
      <c r="AG96" s="187"/>
      <c r="AH96" s="188"/>
      <c r="AI96" s="213" t="s">
        <v>32</v>
      </c>
      <c r="AJ96" s="190"/>
      <c r="AK96" s="190"/>
      <c r="AL96" s="190"/>
      <c r="AM96" s="190"/>
      <c r="AN96" s="190"/>
      <c r="AO96" s="190"/>
      <c r="AP96" s="190"/>
      <c r="AQ96" s="191"/>
      <c r="AR96" s="41" t="s">
        <v>30</v>
      </c>
      <c r="AS96" s="41" t="s">
        <v>32</v>
      </c>
      <c r="AT96" s="41" t="s">
        <v>32</v>
      </c>
      <c r="AU96" s="186" t="s">
        <v>33</v>
      </c>
      <c r="AV96" s="187"/>
      <c r="AW96" s="187"/>
      <c r="AX96" s="188"/>
      <c r="AY96" s="186" t="s">
        <v>32</v>
      </c>
      <c r="AZ96" s="187"/>
      <c r="BA96" s="187"/>
      <c r="BB96" s="188"/>
      <c r="BC96" s="472" t="s">
        <v>117</v>
      </c>
      <c r="BD96" s="473"/>
      <c r="BE96" s="473"/>
      <c r="BF96" s="473"/>
      <c r="BG96" s="473"/>
      <c r="BH96" s="473"/>
      <c r="BI96" s="473"/>
      <c r="BJ96" s="474"/>
      <c r="BK96" s="35"/>
    </row>
    <row r="97" spans="1:63" ht="15.75" customHeight="1" x14ac:dyDescent="0.25">
      <c r="A97" s="34"/>
      <c r="B97" s="195">
        <v>45</v>
      </c>
      <c r="C97" s="196"/>
      <c r="D97" s="197" t="s">
        <v>109</v>
      </c>
      <c r="E97" s="198"/>
      <c r="F97" s="198"/>
      <c r="G97" s="198"/>
      <c r="H97" s="198"/>
      <c r="I97" s="198"/>
      <c r="J97" s="199"/>
      <c r="K97" s="145" t="s">
        <v>29</v>
      </c>
      <c r="L97" s="146"/>
      <c r="M97" s="147"/>
      <c r="N97" s="46" t="s">
        <v>30</v>
      </c>
      <c r="O97" s="39" t="s">
        <v>31</v>
      </c>
      <c r="P97" s="186" t="s">
        <v>33</v>
      </c>
      <c r="Q97" s="187"/>
      <c r="R97" s="187"/>
      <c r="S97" s="188"/>
      <c r="T97" s="203" t="s">
        <v>30</v>
      </c>
      <c r="U97" s="187"/>
      <c r="V97" s="187"/>
      <c r="W97" s="188"/>
      <c r="X97" s="204" t="s">
        <v>116</v>
      </c>
      <c r="Y97" s="205"/>
      <c r="Z97" s="206"/>
      <c r="AA97" s="186" t="s">
        <v>32</v>
      </c>
      <c r="AB97" s="187"/>
      <c r="AC97" s="187"/>
      <c r="AD97" s="187"/>
      <c r="AE97" s="187"/>
      <c r="AF97" s="187"/>
      <c r="AG97" s="187"/>
      <c r="AH97" s="188"/>
      <c r="AI97" s="213" t="s">
        <v>32</v>
      </c>
      <c r="AJ97" s="190"/>
      <c r="AK97" s="190"/>
      <c r="AL97" s="190"/>
      <c r="AM97" s="190"/>
      <c r="AN97" s="190"/>
      <c r="AO97" s="190"/>
      <c r="AP97" s="190"/>
      <c r="AQ97" s="191"/>
      <c r="AR97" s="41" t="s">
        <v>30</v>
      </c>
      <c r="AS97" s="41" t="s">
        <v>32</v>
      </c>
      <c r="AT97" s="41" t="s">
        <v>32</v>
      </c>
      <c r="AU97" s="186" t="s">
        <v>33</v>
      </c>
      <c r="AV97" s="187"/>
      <c r="AW97" s="187"/>
      <c r="AX97" s="188"/>
      <c r="AY97" s="186" t="s">
        <v>32</v>
      </c>
      <c r="AZ97" s="187"/>
      <c r="BA97" s="187"/>
      <c r="BB97" s="188"/>
      <c r="BC97" s="472"/>
      <c r="BD97" s="473"/>
      <c r="BE97" s="473"/>
      <c r="BF97" s="473"/>
      <c r="BG97" s="473"/>
      <c r="BH97" s="473"/>
      <c r="BI97" s="473"/>
      <c r="BJ97" s="474"/>
      <c r="BK97" s="35"/>
    </row>
    <row r="98" spans="1:63" ht="31.5" customHeight="1" x14ac:dyDescent="0.25">
      <c r="A98" s="34"/>
      <c r="B98" s="195">
        <v>46</v>
      </c>
      <c r="C98" s="196"/>
      <c r="D98" s="197" t="s">
        <v>110</v>
      </c>
      <c r="E98" s="198"/>
      <c r="F98" s="198"/>
      <c r="G98" s="198"/>
      <c r="H98" s="198"/>
      <c r="I98" s="198"/>
      <c r="J98" s="199"/>
      <c r="K98" s="145" t="s">
        <v>29</v>
      </c>
      <c r="L98" s="146"/>
      <c r="M98" s="147"/>
      <c r="N98" s="46" t="s">
        <v>380</v>
      </c>
      <c r="O98" s="39" t="s">
        <v>30</v>
      </c>
      <c r="P98" s="208" t="s">
        <v>398</v>
      </c>
      <c r="Q98" s="187"/>
      <c r="R98" s="187"/>
      <c r="S98" s="188"/>
      <c r="T98" s="204" t="s">
        <v>225</v>
      </c>
      <c r="U98" s="205"/>
      <c r="V98" s="205"/>
      <c r="W98" s="206"/>
      <c r="X98" s="203" t="s">
        <v>30</v>
      </c>
      <c r="Y98" s="187"/>
      <c r="Z98" s="188"/>
      <c r="AA98" s="186" t="s">
        <v>32</v>
      </c>
      <c r="AB98" s="187"/>
      <c r="AC98" s="187"/>
      <c r="AD98" s="187"/>
      <c r="AE98" s="187"/>
      <c r="AF98" s="187"/>
      <c r="AG98" s="187"/>
      <c r="AH98" s="188"/>
      <c r="AI98" s="213" t="s">
        <v>32</v>
      </c>
      <c r="AJ98" s="190"/>
      <c r="AK98" s="190"/>
      <c r="AL98" s="190"/>
      <c r="AM98" s="190"/>
      <c r="AN98" s="190"/>
      <c r="AO98" s="190"/>
      <c r="AP98" s="190"/>
      <c r="AQ98" s="191"/>
      <c r="AR98" s="41" t="s">
        <v>30</v>
      </c>
      <c r="AS98" s="41" t="s">
        <v>32</v>
      </c>
      <c r="AT98" s="41" t="s">
        <v>32</v>
      </c>
      <c r="AU98" s="186" t="s">
        <v>33</v>
      </c>
      <c r="AV98" s="187"/>
      <c r="AW98" s="187"/>
      <c r="AX98" s="188"/>
      <c r="AY98" s="186" t="s">
        <v>32</v>
      </c>
      <c r="AZ98" s="187"/>
      <c r="BA98" s="187"/>
      <c r="BB98" s="188"/>
      <c r="BC98" s="472"/>
      <c r="BD98" s="473"/>
      <c r="BE98" s="473"/>
      <c r="BF98" s="473"/>
      <c r="BG98" s="473"/>
      <c r="BH98" s="473"/>
      <c r="BI98" s="473"/>
      <c r="BJ98" s="474"/>
      <c r="BK98" s="35"/>
    </row>
    <row r="99" spans="1:63" ht="15.75" customHeight="1" x14ac:dyDescent="0.25">
      <c r="A99" s="34"/>
      <c r="B99" s="195">
        <v>47</v>
      </c>
      <c r="C99" s="196"/>
      <c r="D99" s="197" t="s">
        <v>119</v>
      </c>
      <c r="E99" s="198"/>
      <c r="F99" s="198"/>
      <c r="G99" s="198"/>
      <c r="H99" s="198"/>
      <c r="I99" s="198"/>
      <c r="J99" s="199"/>
      <c r="K99" s="145" t="s">
        <v>29</v>
      </c>
      <c r="L99" s="146"/>
      <c r="M99" s="147"/>
      <c r="N99" s="46" t="s">
        <v>30</v>
      </c>
      <c r="O99" s="39" t="s">
        <v>31</v>
      </c>
      <c r="P99" s="186" t="s">
        <v>33</v>
      </c>
      <c r="Q99" s="187"/>
      <c r="R99" s="187"/>
      <c r="S99" s="188"/>
      <c r="T99" s="203" t="s">
        <v>30</v>
      </c>
      <c r="U99" s="187"/>
      <c r="V99" s="187"/>
      <c r="W99" s="188"/>
      <c r="X99" s="204" t="s">
        <v>119</v>
      </c>
      <c r="Y99" s="205"/>
      <c r="Z99" s="206"/>
      <c r="AA99" s="186" t="s">
        <v>32</v>
      </c>
      <c r="AB99" s="187"/>
      <c r="AC99" s="187"/>
      <c r="AD99" s="187"/>
      <c r="AE99" s="187"/>
      <c r="AF99" s="187"/>
      <c r="AG99" s="187"/>
      <c r="AH99" s="188"/>
      <c r="AI99" s="213" t="s">
        <v>32</v>
      </c>
      <c r="AJ99" s="190"/>
      <c r="AK99" s="190"/>
      <c r="AL99" s="190"/>
      <c r="AM99" s="190"/>
      <c r="AN99" s="190"/>
      <c r="AO99" s="190"/>
      <c r="AP99" s="190"/>
      <c r="AQ99" s="191"/>
      <c r="AR99" s="41" t="s">
        <v>30</v>
      </c>
      <c r="AS99" s="41" t="s">
        <v>32</v>
      </c>
      <c r="AT99" s="41" t="s">
        <v>32</v>
      </c>
      <c r="AU99" s="186" t="s">
        <v>33</v>
      </c>
      <c r="AV99" s="187"/>
      <c r="AW99" s="187"/>
      <c r="AX99" s="188"/>
      <c r="AY99" s="186" t="s">
        <v>32</v>
      </c>
      <c r="AZ99" s="187"/>
      <c r="BA99" s="187"/>
      <c r="BB99" s="188"/>
      <c r="BC99" s="472"/>
      <c r="BD99" s="473"/>
      <c r="BE99" s="473"/>
      <c r="BF99" s="473"/>
      <c r="BG99" s="473"/>
      <c r="BH99" s="473"/>
      <c r="BI99" s="473"/>
      <c r="BJ99" s="474"/>
      <c r="BK99" s="35"/>
    </row>
    <row r="100" spans="1:63" ht="15.75" customHeight="1" x14ac:dyDescent="0.25">
      <c r="A100" s="34"/>
      <c r="B100" s="195">
        <v>48</v>
      </c>
      <c r="C100" s="196"/>
      <c r="D100" s="197" t="s">
        <v>120</v>
      </c>
      <c r="E100" s="198"/>
      <c r="F100" s="198"/>
      <c r="G100" s="198"/>
      <c r="H100" s="198"/>
      <c r="I100" s="198"/>
      <c r="J100" s="199"/>
      <c r="K100" s="145" t="s">
        <v>29</v>
      </c>
      <c r="L100" s="146"/>
      <c r="M100" s="147"/>
      <c r="N100" s="46" t="s">
        <v>30</v>
      </c>
      <c r="O100" s="39" t="s">
        <v>31</v>
      </c>
      <c r="P100" s="186" t="s">
        <v>33</v>
      </c>
      <c r="Q100" s="187"/>
      <c r="R100" s="187"/>
      <c r="S100" s="188"/>
      <c r="T100" s="203" t="s">
        <v>30</v>
      </c>
      <c r="U100" s="187"/>
      <c r="V100" s="187"/>
      <c r="W100" s="188"/>
      <c r="X100" s="203" t="s">
        <v>125</v>
      </c>
      <c r="Y100" s="187"/>
      <c r="Z100" s="188"/>
      <c r="AA100" s="186" t="s">
        <v>32</v>
      </c>
      <c r="AB100" s="187"/>
      <c r="AC100" s="187"/>
      <c r="AD100" s="187"/>
      <c r="AE100" s="187"/>
      <c r="AF100" s="187"/>
      <c r="AG100" s="187"/>
      <c r="AH100" s="188"/>
      <c r="AI100" s="213" t="s">
        <v>32</v>
      </c>
      <c r="AJ100" s="190"/>
      <c r="AK100" s="190"/>
      <c r="AL100" s="190"/>
      <c r="AM100" s="190"/>
      <c r="AN100" s="190"/>
      <c r="AO100" s="190"/>
      <c r="AP100" s="190"/>
      <c r="AQ100" s="191"/>
      <c r="AR100" s="41" t="s">
        <v>30</v>
      </c>
      <c r="AS100" s="41" t="s">
        <v>32</v>
      </c>
      <c r="AT100" s="41" t="s">
        <v>32</v>
      </c>
      <c r="AU100" s="186" t="s">
        <v>33</v>
      </c>
      <c r="AV100" s="187"/>
      <c r="AW100" s="187"/>
      <c r="AX100" s="188"/>
      <c r="AY100" s="186" t="s">
        <v>32</v>
      </c>
      <c r="AZ100" s="187"/>
      <c r="BA100" s="187"/>
      <c r="BB100" s="188"/>
      <c r="BC100" s="472"/>
      <c r="BD100" s="473"/>
      <c r="BE100" s="473"/>
      <c r="BF100" s="473"/>
      <c r="BG100" s="473"/>
      <c r="BH100" s="473"/>
      <c r="BI100" s="473"/>
      <c r="BJ100" s="474"/>
      <c r="BK100" s="35"/>
    </row>
    <row r="101" spans="1:63" ht="15.75" customHeight="1" x14ac:dyDescent="0.25">
      <c r="A101" s="34"/>
      <c r="B101" s="195">
        <v>49</v>
      </c>
      <c r="C101" s="196"/>
      <c r="D101" s="197" t="s">
        <v>121</v>
      </c>
      <c r="E101" s="198"/>
      <c r="F101" s="198"/>
      <c r="G101" s="198"/>
      <c r="H101" s="198"/>
      <c r="I101" s="198"/>
      <c r="J101" s="199"/>
      <c r="K101" s="145" t="s">
        <v>29</v>
      </c>
      <c r="L101" s="146"/>
      <c r="M101" s="147"/>
      <c r="N101" s="46" t="s">
        <v>380</v>
      </c>
      <c r="O101" s="39" t="s">
        <v>30</v>
      </c>
      <c r="P101" s="186" t="s">
        <v>33</v>
      </c>
      <c r="Q101" s="187"/>
      <c r="R101" s="187"/>
      <c r="S101" s="188"/>
      <c r="T101" s="203" t="s">
        <v>30</v>
      </c>
      <c r="U101" s="187"/>
      <c r="V101" s="187"/>
      <c r="W101" s="188"/>
      <c r="X101" s="203" t="s">
        <v>30</v>
      </c>
      <c r="Y101" s="187"/>
      <c r="Z101" s="188"/>
      <c r="AA101" s="186" t="s">
        <v>425</v>
      </c>
      <c r="AB101" s="187"/>
      <c r="AC101" s="187"/>
      <c r="AD101" s="187"/>
      <c r="AE101" s="187"/>
      <c r="AF101" s="187"/>
      <c r="AG101" s="187"/>
      <c r="AH101" s="188"/>
      <c r="AI101" s="213" t="s">
        <v>32</v>
      </c>
      <c r="AJ101" s="190"/>
      <c r="AK101" s="190"/>
      <c r="AL101" s="190"/>
      <c r="AM101" s="190"/>
      <c r="AN101" s="190"/>
      <c r="AO101" s="190"/>
      <c r="AP101" s="190"/>
      <c r="AQ101" s="191"/>
      <c r="AR101" s="41" t="s">
        <v>30</v>
      </c>
      <c r="AS101" s="41" t="s">
        <v>32</v>
      </c>
      <c r="AT101" s="41" t="s">
        <v>32</v>
      </c>
      <c r="AU101" s="186" t="s">
        <v>33</v>
      </c>
      <c r="AV101" s="187"/>
      <c r="AW101" s="187"/>
      <c r="AX101" s="188"/>
      <c r="AY101" s="186" t="s">
        <v>32</v>
      </c>
      <c r="AZ101" s="187"/>
      <c r="BA101" s="187"/>
      <c r="BB101" s="188"/>
      <c r="BC101" s="472"/>
      <c r="BD101" s="473"/>
      <c r="BE101" s="473"/>
      <c r="BF101" s="473"/>
      <c r="BG101" s="473"/>
      <c r="BH101" s="473"/>
      <c r="BI101" s="473"/>
      <c r="BJ101" s="474"/>
      <c r="BK101" s="35"/>
    </row>
    <row r="102" spans="1:63" ht="15.75" customHeight="1" x14ac:dyDescent="0.25">
      <c r="A102" s="34"/>
      <c r="B102" s="195">
        <v>50</v>
      </c>
      <c r="C102" s="196"/>
      <c r="D102" s="197" t="s">
        <v>123</v>
      </c>
      <c r="E102" s="198"/>
      <c r="F102" s="198"/>
      <c r="G102" s="198"/>
      <c r="H102" s="198"/>
      <c r="I102" s="198"/>
      <c r="J102" s="199"/>
      <c r="K102" s="145" t="s">
        <v>29</v>
      </c>
      <c r="L102" s="146"/>
      <c r="M102" s="147"/>
      <c r="N102" s="46" t="s">
        <v>30</v>
      </c>
      <c r="O102" s="39" t="s">
        <v>31</v>
      </c>
      <c r="P102" s="186" t="s">
        <v>33</v>
      </c>
      <c r="Q102" s="187"/>
      <c r="R102" s="187"/>
      <c r="S102" s="188"/>
      <c r="T102" s="203" t="s">
        <v>30</v>
      </c>
      <c r="U102" s="187"/>
      <c r="V102" s="187"/>
      <c r="W102" s="188"/>
      <c r="X102" s="203" t="s">
        <v>122</v>
      </c>
      <c r="Y102" s="187"/>
      <c r="Z102" s="188"/>
      <c r="AA102" s="186" t="s">
        <v>32</v>
      </c>
      <c r="AB102" s="187"/>
      <c r="AC102" s="187"/>
      <c r="AD102" s="187"/>
      <c r="AE102" s="187"/>
      <c r="AF102" s="187"/>
      <c r="AG102" s="187"/>
      <c r="AH102" s="188"/>
      <c r="AI102" s="213" t="s">
        <v>32</v>
      </c>
      <c r="AJ102" s="190"/>
      <c r="AK102" s="190"/>
      <c r="AL102" s="190"/>
      <c r="AM102" s="190"/>
      <c r="AN102" s="190"/>
      <c r="AO102" s="190"/>
      <c r="AP102" s="190"/>
      <c r="AQ102" s="191"/>
      <c r="AR102" s="41" t="s">
        <v>30</v>
      </c>
      <c r="AS102" s="41" t="s">
        <v>32</v>
      </c>
      <c r="AT102" s="41" t="s">
        <v>32</v>
      </c>
      <c r="AU102" s="186" t="s">
        <v>33</v>
      </c>
      <c r="AV102" s="187"/>
      <c r="AW102" s="187"/>
      <c r="AX102" s="188"/>
      <c r="AY102" s="186" t="s">
        <v>32</v>
      </c>
      <c r="AZ102" s="187"/>
      <c r="BA102" s="187"/>
      <c r="BB102" s="188"/>
      <c r="BC102" s="472"/>
      <c r="BD102" s="473"/>
      <c r="BE102" s="473"/>
      <c r="BF102" s="473"/>
      <c r="BG102" s="473"/>
      <c r="BH102" s="473"/>
      <c r="BI102" s="473"/>
      <c r="BJ102" s="474"/>
      <c r="BK102" s="35"/>
    </row>
    <row r="103" spans="1:63" ht="32.25" customHeight="1" x14ac:dyDescent="0.25">
      <c r="A103" s="34"/>
      <c r="B103" s="195">
        <v>51</v>
      </c>
      <c r="C103" s="196"/>
      <c r="D103" s="197" t="s">
        <v>124</v>
      </c>
      <c r="E103" s="198"/>
      <c r="F103" s="198"/>
      <c r="G103" s="198"/>
      <c r="H103" s="198"/>
      <c r="I103" s="198"/>
      <c r="J103" s="199"/>
      <c r="K103" s="269" t="s">
        <v>309</v>
      </c>
      <c r="L103" s="270"/>
      <c r="M103" s="271"/>
      <c r="N103" s="46" t="s">
        <v>372</v>
      </c>
      <c r="O103" s="39" t="s">
        <v>30</v>
      </c>
      <c r="P103" s="208" t="s">
        <v>398</v>
      </c>
      <c r="Q103" s="187"/>
      <c r="R103" s="187"/>
      <c r="S103" s="188"/>
      <c r="T103" s="204" t="s">
        <v>226</v>
      </c>
      <c r="U103" s="205"/>
      <c r="V103" s="205"/>
      <c r="W103" s="206"/>
      <c r="X103" s="203" t="s">
        <v>30</v>
      </c>
      <c r="Y103" s="187"/>
      <c r="Z103" s="188"/>
      <c r="AA103" s="186" t="s">
        <v>32</v>
      </c>
      <c r="AB103" s="187"/>
      <c r="AC103" s="187"/>
      <c r="AD103" s="187"/>
      <c r="AE103" s="187"/>
      <c r="AF103" s="187"/>
      <c r="AG103" s="187"/>
      <c r="AH103" s="188"/>
      <c r="AI103" s="215" t="s">
        <v>404</v>
      </c>
      <c r="AJ103" s="216"/>
      <c r="AK103" s="216"/>
      <c r="AL103" s="216"/>
      <c r="AM103" s="216"/>
      <c r="AN103" s="216"/>
      <c r="AO103" s="216"/>
      <c r="AP103" s="216"/>
      <c r="AQ103" s="217"/>
      <c r="AR103" s="41" t="s">
        <v>31</v>
      </c>
      <c r="AS103" s="47" t="s">
        <v>31</v>
      </c>
      <c r="AT103" s="41" t="s">
        <v>32</v>
      </c>
      <c r="AU103" s="208" t="s">
        <v>399</v>
      </c>
      <c r="AV103" s="187"/>
      <c r="AW103" s="187"/>
      <c r="AX103" s="188"/>
      <c r="AY103" s="497" t="s">
        <v>426</v>
      </c>
      <c r="AZ103" s="491"/>
      <c r="BA103" s="491"/>
      <c r="BB103" s="492"/>
      <c r="BC103" s="269" t="s">
        <v>230</v>
      </c>
      <c r="BD103" s="270"/>
      <c r="BE103" s="270"/>
      <c r="BF103" s="270"/>
      <c r="BG103" s="270"/>
      <c r="BH103" s="270"/>
      <c r="BI103" s="270"/>
      <c r="BJ103" s="271"/>
      <c r="BK103" s="35"/>
    </row>
    <row r="104" spans="1:63" ht="32.25" customHeight="1" x14ac:dyDescent="0.25">
      <c r="A104" s="34"/>
      <c r="B104" s="195">
        <v>52</v>
      </c>
      <c r="C104" s="196"/>
      <c r="D104" s="197" t="s">
        <v>169</v>
      </c>
      <c r="E104" s="198"/>
      <c r="F104" s="198"/>
      <c r="G104" s="198"/>
      <c r="H104" s="198"/>
      <c r="I104" s="198"/>
      <c r="J104" s="199"/>
      <c r="K104" s="207" t="s">
        <v>377</v>
      </c>
      <c r="L104" s="146"/>
      <c r="M104" s="147"/>
      <c r="N104" s="46" t="s">
        <v>30</v>
      </c>
      <c r="O104" s="39" t="s">
        <v>30</v>
      </c>
      <c r="P104" s="186" t="s">
        <v>33</v>
      </c>
      <c r="Q104" s="187"/>
      <c r="R104" s="187"/>
      <c r="S104" s="188"/>
      <c r="T104" s="203" t="s">
        <v>30</v>
      </c>
      <c r="U104" s="187"/>
      <c r="V104" s="187"/>
      <c r="W104" s="188"/>
      <c r="X104" s="203" t="s">
        <v>156</v>
      </c>
      <c r="Y104" s="187"/>
      <c r="Z104" s="188"/>
      <c r="AA104" s="186" t="s">
        <v>32</v>
      </c>
      <c r="AB104" s="187"/>
      <c r="AC104" s="187"/>
      <c r="AD104" s="187"/>
      <c r="AE104" s="187"/>
      <c r="AF104" s="187"/>
      <c r="AG104" s="187"/>
      <c r="AH104" s="188"/>
      <c r="AI104" s="213" t="s">
        <v>32</v>
      </c>
      <c r="AJ104" s="190"/>
      <c r="AK104" s="190"/>
      <c r="AL104" s="190"/>
      <c r="AM104" s="190"/>
      <c r="AN104" s="190"/>
      <c r="AO104" s="190"/>
      <c r="AP104" s="190"/>
      <c r="AQ104" s="191"/>
      <c r="AR104" s="41" t="s">
        <v>30</v>
      </c>
      <c r="AS104" s="41" t="s">
        <v>32</v>
      </c>
      <c r="AT104" s="41" t="s">
        <v>32</v>
      </c>
      <c r="AU104" s="186" t="s">
        <v>33</v>
      </c>
      <c r="AV104" s="187"/>
      <c r="AW104" s="187"/>
      <c r="AX104" s="188"/>
      <c r="AY104" s="186" t="s">
        <v>32</v>
      </c>
      <c r="AZ104" s="187"/>
      <c r="BA104" s="187"/>
      <c r="BB104" s="188"/>
      <c r="BC104" s="258" t="s">
        <v>427</v>
      </c>
      <c r="BD104" s="259"/>
      <c r="BE104" s="259"/>
      <c r="BF104" s="259"/>
      <c r="BG104" s="259"/>
      <c r="BH104" s="259"/>
      <c r="BI104" s="259"/>
      <c r="BJ104" s="260"/>
      <c r="BK104" s="35"/>
    </row>
    <row r="105" spans="1:63" ht="32.25" customHeight="1" x14ac:dyDescent="0.25">
      <c r="A105" s="34"/>
      <c r="B105" s="195">
        <v>53</v>
      </c>
      <c r="C105" s="196"/>
      <c r="D105" s="197" t="s">
        <v>170</v>
      </c>
      <c r="E105" s="198"/>
      <c r="F105" s="198"/>
      <c r="G105" s="198"/>
      <c r="H105" s="198"/>
      <c r="I105" s="198"/>
      <c r="J105" s="199"/>
      <c r="K105" s="207" t="s">
        <v>428</v>
      </c>
      <c r="L105" s="146"/>
      <c r="M105" s="147"/>
      <c r="N105" s="46" t="s">
        <v>368</v>
      </c>
      <c r="O105" s="39" t="s">
        <v>30</v>
      </c>
      <c r="P105" s="186" t="s">
        <v>33</v>
      </c>
      <c r="Q105" s="187"/>
      <c r="R105" s="187"/>
      <c r="S105" s="188"/>
      <c r="T105" s="203" t="s">
        <v>30</v>
      </c>
      <c r="U105" s="187"/>
      <c r="V105" s="187"/>
      <c r="W105" s="188"/>
      <c r="X105" s="203" t="s">
        <v>30</v>
      </c>
      <c r="Y105" s="187"/>
      <c r="Z105" s="188"/>
      <c r="AA105" s="186" t="s">
        <v>32</v>
      </c>
      <c r="AB105" s="187"/>
      <c r="AC105" s="187"/>
      <c r="AD105" s="187"/>
      <c r="AE105" s="187"/>
      <c r="AF105" s="187"/>
      <c r="AG105" s="187"/>
      <c r="AH105" s="188"/>
      <c r="AI105" s="215" t="s">
        <v>404</v>
      </c>
      <c r="AJ105" s="216"/>
      <c r="AK105" s="216"/>
      <c r="AL105" s="216"/>
      <c r="AM105" s="216"/>
      <c r="AN105" s="216"/>
      <c r="AO105" s="216"/>
      <c r="AP105" s="216"/>
      <c r="AQ105" s="217"/>
      <c r="AR105" s="41" t="s">
        <v>31</v>
      </c>
      <c r="AS105" s="41" t="s">
        <v>32</v>
      </c>
      <c r="AT105" s="41" t="s">
        <v>32</v>
      </c>
      <c r="AU105" s="208" t="s">
        <v>399</v>
      </c>
      <c r="AV105" s="187"/>
      <c r="AW105" s="187"/>
      <c r="AX105" s="188"/>
      <c r="AY105" s="497" t="s">
        <v>429</v>
      </c>
      <c r="AZ105" s="491"/>
      <c r="BA105" s="491"/>
      <c r="BB105" s="492"/>
      <c r="BC105" s="498" t="s">
        <v>430</v>
      </c>
      <c r="BD105" s="499"/>
      <c r="BE105" s="499"/>
      <c r="BF105" s="499"/>
      <c r="BG105" s="499"/>
      <c r="BH105" s="499"/>
      <c r="BI105" s="499"/>
      <c r="BJ105" s="500"/>
      <c r="BK105" s="35"/>
    </row>
    <row r="106" spans="1:63" ht="32.25" customHeight="1" x14ac:dyDescent="0.25">
      <c r="A106" s="34"/>
      <c r="B106" s="195">
        <v>54</v>
      </c>
      <c r="C106" s="196"/>
      <c r="D106" s="197" t="s">
        <v>171</v>
      </c>
      <c r="E106" s="198"/>
      <c r="F106" s="198"/>
      <c r="G106" s="198"/>
      <c r="H106" s="198"/>
      <c r="I106" s="198"/>
      <c r="J106" s="199"/>
      <c r="K106" s="207" t="s">
        <v>367</v>
      </c>
      <c r="L106" s="146"/>
      <c r="M106" s="147"/>
      <c r="N106" s="46" t="s">
        <v>30</v>
      </c>
      <c r="O106" s="39" t="s">
        <v>30</v>
      </c>
      <c r="P106" s="186" t="s">
        <v>33</v>
      </c>
      <c r="Q106" s="187"/>
      <c r="R106" s="187"/>
      <c r="S106" s="188"/>
      <c r="T106" s="203" t="s">
        <v>30</v>
      </c>
      <c r="U106" s="187"/>
      <c r="V106" s="187"/>
      <c r="W106" s="188"/>
      <c r="X106" s="203" t="s">
        <v>173</v>
      </c>
      <c r="Y106" s="187"/>
      <c r="Z106" s="188"/>
      <c r="AA106" s="186" t="s">
        <v>32</v>
      </c>
      <c r="AB106" s="187"/>
      <c r="AC106" s="187"/>
      <c r="AD106" s="187"/>
      <c r="AE106" s="187"/>
      <c r="AF106" s="187"/>
      <c r="AG106" s="187"/>
      <c r="AH106" s="188"/>
      <c r="AI106" s="215" t="s">
        <v>404</v>
      </c>
      <c r="AJ106" s="216"/>
      <c r="AK106" s="216"/>
      <c r="AL106" s="216"/>
      <c r="AM106" s="216"/>
      <c r="AN106" s="216"/>
      <c r="AO106" s="216"/>
      <c r="AP106" s="216"/>
      <c r="AQ106" s="217"/>
      <c r="AR106" s="41" t="s">
        <v>30</v>
      </c>
      <c r="AS106" s="41" t="s">
        <v>32</v>
      </c>
      <c r="AT106" s="41" t="s">
        <v>32</v>
      </c>
      <c r="AU106" s="186" t="s">
        <v>33</v>
      </c>
      <c r="AV106" s="187"/>
      <c r="AW106" s="187"/>
      <c r="AX106" s="188"/>
      <c r="AY106" s="186" t="s">
        <v>32</v>
      </c>
      <c r="AZ106" s="187"/>
      <c r="BA106" s="187"/>
      <c r="BB106" s="188"/>
      <c r="BC106" s="258" t="s">
        <v>431</v>
      </c>
      <c r="BD106" s="259"/>
      <c r="BE106" s="259"/>
      <c r="BF106" s="259"/>
      <c r="BG106" s="259"/>
      <c r="BH106" s="259"/>
      <c r="BI106" s="259"/>
      <c r="BJ106" s="260"/>
      <c r="BK106" s="35"/>
    </row>
    <row r="107" spans="1:63" ht="15.75" customHeight="1" x14ac:dyDescent="0.25">
      <c r="A107" s="34"/>
      <c r="B107" s="195">
        <v>55</v>
      </c>
      <c r="C107" s="196"/>
      <c r="D107" s="197" t="s">
        <v>126</v>
      </c>
      <c r="E107" s="198"/>
      <c r="F107" s="198"/>
      <c r="G107" s="198"/>
      <c r="H107" s="198"/>
      <c r="I107" s="198"/>
      <c r="J107" s="199"/>
      <c r="K107" s="145" t="s">
        <v>29</v>
      </c>
      <c r="L107" s="146"/>
      <c r="M107" s="147"/>
      <c r="N107" s="46" t="s">
        <v>30</v>
      </c>
      <c r="O107" s="39" t="s">
        <v>31</v>
      </c>
      <c r="P107" s="186" t="s">
        <v>33</v>
      </c>
      <c r="Q107" s="187"/>
      <c r="R107" s="187"/>
      <c r="S107" s="188"/>
      <c r="T107" s="203" t="s">
        <v>30</v>
      </c>
      <c r="U107" s="187"/>
      <c r="V107" s="187"/>
      <c r="W107" s="188"/>
      <c r="X107" s="203" t="s">
        <v>127</v>
      </c>
      <c r="Y107" s="187"/>
      <c r="Z107" s="188"/>
      <c r="AA107" s="186" t="s">
        <v>32</v>
      </c>
      <c r="AB107" s="187"/>
      <c r="AC107" s="187"/>
      <c r="AD107" s="187"/>
      <c r="AE107" s="187"/>
      <c r="AF107" s="187"/>
      <c r="AG107" s="187"/>
      <c r="AH107" s="188"/>
      <c r="AI107" s="213" t="s">
        <v>32</v>
      </c>
      <c r="AJ107" s="190"/>
      <c r="AK107" s="190"/>
      <c r="AL107" s="190"/>
      <c r="AM107" s="190"/>
      <c r="AN107" s="190"/>
      <c r="AO107" s="190"/>
      <c r="AP107" s="190"/>
      <c r="AQ107" s="191"/>
      <c r="AR107" s="41" t="s">
        <v>30</v>
      </c>
      <c r="AS107" s="41" t="s">
        <v>32</v>
      </c>
      <c r="AT107" s="41" t="s">
        <v>32</v>
      </c>
      <c r="AU107" s="186" t="s">
        <v>33</v>
      </c>
      <c r="AV107" s="187"/>
      <c r="AW107" s="187"/>
      <c r="AX107" s="188"/>
      <c r="AY107" s="186" t="s">
        <v>32</v>
      </c>
      <c r="AZ107" s="187"/>
      <c r="BA107" s="187"/>
      <c r="BB107" s="188"/>
      <c r="BC107" s="472"/>
      <c r="BD107" s="473"/>
      <c r="BE107" s="473"/>
      <c r="BF107" s="473"/>
      <c r="BG107" s="473"/>
      <c r="BH107" s="473"/>
      <c r="BI107" s="473"/>
      <c r="BJ107" s="474"/>
      <c r="BK107" s="35"/>
    </row>
    <row r="108" spans="1:63" ht="15.75" customHeight="1" x14ac:dyDescent="0.25">
      <c r="A108" s="34"/>
      <c r="B108" s="195">
        <v>56</v>
      </c>
      <c r="C108" s="196"/>
      <c r="D108" s="197" t="s">
        <v>137</v>
      </c>
      <c r="E108" s="198"/>
      <c r="F108" s="198"/>
      <c r="G108" s="198"/>
      <c r="H108" s="198"/>
      <c r="I108" s="198"/>
      <c r="J108" s="199"/>
      <c r="K108" s="145" t="s">
        <v>29</v>
      </c>
      <c r="L108" s="146"/>
      <c r="M108" s="147"/>
      <c r="N108" s="46" t="s">
        <v>30</v>
      </c>
      <c r="O108" s="39" t="s">
        <v>31</v>
      </c>
      <c r="P108" s="186" t="s">
        <v>33</v>
      </c>
      <c r="Q108" s="187"/>
      <c r="R108" s="187"/>
      <c r="S108" s="188"/>
      <c r="T108" s="203" t="s">
        <v>30</v>
      </c>
      <c r="U108" s="187"/>
      <c r="V108" s="187"/>
      <c r="W108" s="188"/>
      <c r="X108" s="203" t="s">
        <v>128</v>
      </c>
      <c r="Y108" s="187"/>
      <c r="Z108" s="188"/>
      <c r="AA108" s="186" t="s">
        <v>32</v>
      </c>
      <c r="AB108" s="187"/>
      <c r="AC108" s="187"/>
      <c r="AD108" s="187"/>
      <c r="AE108" s="187"/>
      <c r="AF108" s="187"/>
      <c r="AG108" s="187"/>
      <c r="AH108" s="188"/>
      <c r="AI108" s="213" t="s">
        <v>32</v>
      </c>
      <c r="AJ108" s="190"/>
      <c r="AK108" s="190"/>
      <c r="AL108" s="190"/>
      <c r="AM108" s="190"/>
      <c r="AN108" s="190"/>
      <c r="AO108" s="190"/>
      <c r="AP108" s="190"/>
      <c r="AQ108" s="191"/>
      <c r="AR108" s="41" t="s">
        <v>30</v>
      </c>
      <c r="AS108" s="41" t="s">
        <v>32</v>
      </c>
      <c r="AT108" s="41" t="s">
        <v>32</v>
      </c>
      <c r="AU108" s="186" t="s">
        <v>33</v>
      </c>
      <c r="AV108" s="187"/>
      <c r="AW108" s="187"/>
      <c r="AX108" s="188"/>
      <c r="AY108" s="186" t="s">
        <v>32</v>
      </c>
      <c r="AZ108" s="187"/>
      <c r="BA108" s="187"/>
      <c r="BB108" s="188"/>
      <c r="BC108" s="472"/>
      <c r="BD108" s="473"/>
      <c r="BE108" s="473"/>
      <c r="BF108" s="473"/>
      <c r="BG108" s="473"/>
      <c r="BH108" s="473"/>
      <c r="BI108" s="473"/>
      <c r="BJ108" s="474"/>
      <c r="BK108" s="35"/>
    </row>
    <row r="109" spans="1:63" ht="31.5" customHeight="1" x14ac:dyDescent="0.25">
      <c r="A109" s="34"/>
      <c r="B109" s="195">
        <v>57</v>
      </c>
      <c r="C109" s="196"/>
      <c r="D109" s="197" t="s">
        <v>138</v>
      </c>
      <c r="E109" s="198"/>
      <c r="F109" s="198"/>
      <c r="G109" s="198"/>
      <c r="H109" s="198"/>
      <c r="I109" s="198"/>
      <c r="J109" s="199"/>
      <c r="K109" s="207" t="s">
        <v>371</v>
      </c>
      <c r="L109" s="146"/>
      <c r="M109" s="147"/>
      <c r="N109" s="46" t="s">
        <v>372</v>
      </c>
      <c r="O109" s="45" t="s">
        <v>30</v>
      </c>
      <c r="P109" s="208" t="s">
        <v>398</v>
      </c>
      <c r="Q109" s="187"/>
      <c r="R109" s="187"/>
      <c r="S109" s="188"/>
      <c r="T109" s="204" t="s">
        <v>158</v>
      </c>
      <c r="U109" s="205"/>
      <c r="V109" s="205"/>
      <c r="W109" s="206"/>
      <c r="X109" s="203" t="s">
        <v>30</v>
      </c>
      <c r="Y109" s="187"/>
      <c r="Z109" s="188"/>
      <c r="AA109" s="186" t="s">
        <v>32</v>
      </c>
      <c r="AB109" s="187"/>
      <c r="AC109" s="187"/>
      <c r="AD109" s="187"/>
      <c r="AE109" s="187"/>
      <c r="AF109" s="187"/>
      <c r="AG109" s="187"/>
      <c r="AH109" s="188"/>
      <c r="AI109" s="215" t="s">
        <v>404</v>
      </c>
      <c r="AJ109" s="216"/>
      <c r="AK109" s="216"/>
      <c r="AL109" s="216"/>
      <c r="AM109" s="216"/>
      <c r="AN109" s="216"/>
      <c r="AO109" s="216"/>
      <c r="AP109" s="216"/>
      <c r="AQ109" s="217"/>
      <c r="AR109" s="41" t="s">
        <v>31</v>
      </c>
      <c r="AS109" s="47" t="s">
        <v>31</v>
      </c>
      <c r="AT109" s="41" t="s">
        <v>32</v>
      </c>
      <c r="AU109" s="208" t="s">
        <v>399</v>
      </c>
      <c r="AV109" s="187"/>
      <c r="AW109" s="187"/>
      <c r="AX109" s="188"/>
      <c r="AY109" s="204" t="s">
        <v>158</v>
      </c>
      <c r="AZ109" s="205"/>
      <c r="BA109" s="205"/>
      <c r="BB109" s="206"/>
      <c r="BC109" s="472"/>
      <c r="BD109" s="473"/>
      <c r="BE109" s="473"/>
      <c r="BF109" s="473"/>
      <c r="BG109" s="473"/>
      <c r="BH109" s="473"/>
      <c r="BI109" s="473"/>
      <c r="BJ109" s="474"/>
      <c r="BK109" s="35"/>
    </row>
    <row r="110" spans="1:63" ht="15.75" customHeight="1" x14ac:dyDescent="0.25">
      <c r="A110" s="34"/>
      <c r="B110" s="195">
        <v>58</v>
      </c>
      <c r="C110" s="196"/>
      <c r="D110" s="197" t="s">
        <v>141</v>
      </c>
      <c r="E110" s="198"/>
      <c r="F110" s="198"/>
      <c r="G110" s="198"/>
      <c r="H110" s="198"/>
      <c r="I110" s="198"/>
      <c r="J110" s="199"/>
      <c r="K110" s="145" t="s">
        <v>29</v>
      </c>
      <c r="L110" s="146"/>
      <c r="M110" s="147"/>
      <c r="N110" s="46" t="s">
        <v>30</v>
      </c>
      <c r="O110" s="39" t="s">
        <v>31</v>
      </c>
      <c r="P110" s="186" t="s">
        <v>33</v>
      </c>
      <c r="Q110" s="187"/>
      <c r="R110" s="187"/>
      <c r="S110" s="188"/>
      <c r="T110" s="203" t="s">
        <v>30</v>
      </c>
      <c r="U110" s="187"/>
      <c r="V110" s="187"/>
      <c r="W110" s="188"/>
      <c r="X110" s="203" t="s">
        <v>129</v>
      </c>
      <c r="Y110" s="187"/>
      <c r="Z110" s="188"/>
      <c r="AA110" s="186" t="s">
        <v>32</v>
      </c>
      <c r="AB110" s="187"/>
      <c r="AC110" s="187"/>
      <c r="AD110" s="187"/>
      <c r="AE110" s="187"/>
      <c r="AF110" s="187"/>
      <c r="AG110" s="187"/>
      <c r="AH110" s="188"/>
      <c r="AI110" s="213" t="s">
        <v>32</v>
      </c>
      <c r="AJ110" s="190"/>
      <c r="AK110" s="190"/>
      <c r="AL110" s="190"/>
      <c r="AM110" s="190"/>
      <c r="AN110" s="190"/>
      <c r="AO110" s="190"/>
      <c r="AP110" s="190"/>
      <c r="AQ110" s="191"/>
      <c r="AR110" s="41" t="s">
        <v>30</v>
      </c>
      <c r="AS110" s="41" t="s">
        <v>32</v>
      </c>
      <c r="AT110" s="41" t="s">
        <v>32</v>
      </c>
      <c r="AU110" s="186" t="s">
        <v>33</v>
      </c>
      <c r="AV110" s="187"/>
      <c r="AW110" s="187"/>
      <c r="AX110" s="188"/>
      <c r="AY110" s="203" t="s">
        <v>30</v>
      </c>
      <c r="AZ110" s="187"/>
      <c r="BA110" s="187"/>
      <c r="BB110" s="188"/>
      <c r="BC110" s="472"/>
      <c r="BD110" s="473"/>
      <c r="BE110" s="473"/>
      <c r="BF110" s="473"/>
      <c r="BG110" s="473"/>
      <c r="BH110" s="473"/>
      <c r="BI110" s="473"/>
      <c r="BJ110" s="474"/>
      <c r="BK110" s="35"/>
    </row>
    <row r="111" spans="1:63" ht="31.5" customHeight="1" x14ac:dyDescent="0.25">
      <c r="A111" s="34"/>
      <c r="B111" s="195">
        <v>59</v>
      </c>
      <c r="C111" s="196"/>
      <c r="D111" s="197" t="s">
        <v>142</v>
      </c>
      <c r="E111" s="198"/>
      <c r="F111" s="198"/>
      <c r="G111" s="198"/>
      <c r="H111" s="198"/>
      <c r="I111" s="198"/>
      <c r="J111" s="199"/>
      <c r="K111" s="207" t="s">
        <v>371</v>
      </c>
      <c r="L111" s="146"/>
      <c r="M111" s="147"/>
      <c r="N111" s="46" t="s">
        <v>372</v>
      </c>
      <c r="O111" s="39" t="s">
        <v>30</v>
      </c>
      <c r="P111" s="208" t="s">
        <v>398</v>
      </c>
      <c r="Q111" s="187"/>
      <c r="R111" s="187"/>
      <c r="S111" s="188"/>
      <c r="T111" s="203" t="s">
        <v>159</v>
      </c>
      <c r="U111" s="187"/>
      <c r="V111" s="187"/>
      <c r="W111" s="188"/>
      <c r="X111" s="203" t="s">
        <v>30</v>
      </c>
      <c r="Y111" s="187"/>
      <c r="Z111" s="188"/>
      <c r="AA111" s="186" t="s">
        <v>32</v>
      </c>
      <c r="AB111" s="187"/>
      <c r="AC111" s="187"/>
      <c r="AD111" s="187"/>
      <c r="AE111" s="187"/>
      <c r="AF111" s="187"/>
      <c r="AG111" s="187"/>
      <c r="AH111" s="188"/>
      <c r="AI111" s="215" t="s">
        <v>404</v>
      </c>
      <c r="AJ111" s="216"/>
      <c r="AK111" s="216"/>
      <c r="AL111" s="216"/>
      <c r="AM111" s="216"/>
      <c r="AN111" s="216"/>
      <c r="AO111" s="216"/>
      <c r="AP111" s="216"/>
      <c r="AQ111" s="217"/>
      <c r="AR111" s="41" t="s">
        <v>31</v>
      </c>
      <c r="AS111" s="41" t="s">
        <v>32</v>
      </c>
      <c r="AT111" s="41" t="s">
        <v>32</v>
      </c>
      <c r="AU111" s="208" t="s">
        <v>399</v>
      </c>
      <c r="AV111" s="187"/>
      <c r="AW111" s="187"/>
      <c r="AX111" s="188"/>
      <c r="AY111" s="203" t="s">
        <v>159</v>
      </c>
      <c r="AZ111" s="187"/>
      <c r="BA111" s="187"/>
      <c r="BB111" s="188"/>
      <c r="BC111" s="472"/>
      <c r="BD111" s="473"/>
      <c r="BE111" s="473"/>
      <c r="BF111" s="473"/>
      <c r="BG111" s="473"/>
      <c r="BH111" s="473"/>
      <c r="BI111" s="473"/>
      <c r="BJ111" s="474"/>
      <c r="BK111" s="35"/>
    </row>
    <row r="112" spans="1:63" ht="15.75" customHeight="1" x14ac:dyDescent="0.25">
      <c r="A112" s="34"/>
      <c r="B112" s="195">
        <v>60</v>
      </c>
      <c r="C112" s="196"/>
      <c r="D112" s="197" t="s">
        <v>139</v>
      </c>
      <c r="E112" s="198"/>
      <c r="F112" s="198"/>
      <c r="G112" s="198"/>
      <c r="H112" s="198"/>
      <c r="I112" s="198"/>
      <c r="J112" s="199"/>
      <c r="K112" s="145" t="s">
        <v>29</v>
      </c>
      <c r="L112" s="146"/>
      <c r="M112" s="147"/>
      <c r="N112" s="46" t="s">
        <v>30</v>
      </c>
      <c r="O112" s="39" t="s">
        <v>31</v>
      </c>
      <c r="P112" s="186" t="s">
        <v>33</v>
      </c>
      <c r="Q112" s="187"/>
      <c r="R112" s="187"/>
      <c r="S112" s="188"/>
      <c r="T112" s="203" t="s">
        <v>30</v>
      </c>
      <c r="U112" s="187"/>
      <c r="V112" s="187"/>
      <c r="W112" s="188"/>
      <c r="X112" s="203" t="s">
        <v>130</v>
      </c>
      <c r="Y112" s="187"/>
      <c r="Z112" s="188"/>
      <c r="AA112" s="186" t="s">
        <v>32</v>
      </c>
      <c r="AB112" s="187"/>
      <c r="AC112" s="187"/>
      <c r="AD112" s="187"/>
      <c r="AE112" s="187"/>
      <c r="AF112" s="187"/>
      <c r="AG112" s="187"/>
      <c r="AH112" s="188"/>
      <c r="AI112" s="213" t="s">
        <v>32</v>
      </c>
      <c r="AJ112" s="190"/>
      <c r="AK112" s="190"/>
      <c r="AL112" s="190"/>
      <c r="AM112" s="190"/>
      <c r="AN112" s="190"/>
      <c r="AO112" s="190"/>
      <c r="AP112" s="190"/>
      <c r="AQ112" s="191"/>
      <c r="AR112" s="41" t="s">
        <v>30</v>
      </c>
      <c r="AS112" s="41" t="s">
        <v>32</v>
      </c>
      <c r="AT112" s="41" t="s">
        <v>32</v>
      </c>
      <c r="AU112" s="186" t="s">
        <v>33</v>
      </c>
      <c r="AV112" s="187"/>
      <c r="AW112" s="187"/>
      <c r="AX112" s="188"/>
      <c r="AY112" s="203" t="s">
        <v>30</v>
      </c>
      <c r="AZ112" s="187"/>
      <c r="BA112" s="187"/>
      <c r="BB112" s="188"/>
      <c r="BC112" s="472"/>
      <c r="BD112" s="473"/>
      <c r="BE112" s="473"/>
      <c r="BF112" s="473"/>
      <c r="BG112" s="473"/>
      <c r="BH112" s="473"/>
      <c r="BI112" s="473"/>
      <c r="BJ112" s="474"/>
      <c r="BK112" s="35"/>
    </row>
    <row r="113" spans="1:63" ht="31.5" customHeight="1" x14ac:dyDescent="0.25">
      <c r="A113" s="34"/>
      <c r="B113" s="195">
        <v>61</v>
      </c>
      <c r="C113" s="196"/>
      <c r="D113" s="197" t="s">
        <v>140</v>
      </c>
      <c r="E113" s="198"/>
      <c r="F113" s="198"/>
      <c r="G113" s="198"/>
      <c r="H113" s="198"/>
      <c r="I113" s="198"/>
      <c r="J113" s="199"/>
      <c r="K113" s="207" t="s">
        <v>371</v>
      </c>
      <c r="L113" s="146"/>
      <c r="M113" s="147"/>
      <c r="N113" s="46" t="s">
        <v>372</v>
      </c>
      <c r="O113" s="39" t="s">
        <v>30</v>
      </c>
      <c r="P113" s="208" t="s">
        <v>398</v>
      </c>
      <c r="Q113" s="187"/>
      <c r="R113" s="187"/>
      <c r="S113" s="188"/>
      <c r="T113" s="204" t="s">
        <v>160</v>
      </c>
      <c r="U113" s="205"/>
      <c r="V113" s="205"/>
      <c r="W113" s="206"/>
      <c r="X113" s="203" t="s">
        <v>30</v>
      </c>
      <c r="Y113" s="187"/>
      <c r="Z113" s="188"/>
      <c r="AA113" s="186" t="s">
        <v>32</v>
      </c>
      <c r="AB113" s="187"/>
      <c r="AC113" s="187"/>
      <c r="AD113" s="187"/>
      <c r="AE113" s="187"/>
      <c r="AF113" s="187"/>
      <c r="AG113" s="187"/>
      <c r="AH113" s="188"/>
      <c r="AI113" s="215" t="s">
        <v>404</v>
      </c>
      <c r="AJ113" s="216"/>
      <c r="AK113" s="216"/>
      <c r="AL113" s="216"/>
      <c r="AM113" s="216"/>
      <c r="AN113" s="216"/>
      <c r="AO113" s="216"/>
      <c r="AP113" s="216"/>
      <c r="AQ113" s="217"/>
      <c r="AR113" s="41" t="s">
        <v>31</v>
      </c>
      <c r="AS113" s="47" t="s">
        <v>31</v>
      </c>
      <c r="AT113" s="41" t="s">
        <v>32</v>
      </c>
      <c r="AU113" s="208" t="s">
        <v>399</v>
      </c>
      <c r="AV113" s="187"/>
      <c r="AW113" s="187"/>
      <c r="AX113" s="188"/>
      <c r="AY113" s="204" t="s">
        <v>160</v>
      </c>
      <c r="AZ113" s="205"/>
      <c r="BA113" s="205"/>
      <c r="BB113" s="206"/>
      <c r="BC113" s="472"/>
      <c r="BD113" s="473"/>
      <c r="BE113" s="473"/>
      <c r="BF113" s="473"/>
      <c r="BG113" s="473"/>
      <c r="BH113" s="473"/>
      <c r="BI113" s="473"/>
      <c r="BJ113" s="474"/>
      <c r="BK113" s="35"/>
    </row>
    <row r="114" spans="1:63" ht="15.75" customHeight="1" x14ac:dyDescent="0.25">
      <c r="A114" s="34"/>
      <c r="B114" s="195">
        <v>62</v>
      </c>
      <c r="C114" s="196"/>
      <c r="D114" s="197" t="s">
        <v>143</v>
      </c>
      <c r="E114" s="198"/>
      <c r="F114" s="198"/>
      <c r="G114" s="198"/>
      <c r="H114" s="198"/>
      <c r="I114" s="198"/>
      <c r="J114" s="199"/>
      <c r="K114" s="145" t="s">
        <v>29</v>
      </c>
      <c r="L114" s="146"/>
      <c r="M114" s="147"/>
      <c r="N114" s="46" t="s">
        <v>30</v>
      </c>
      <c r="O114" s="39" t="s">
        <v>31</v>
      </c>
      <c r="P114" s="186" t="s">
        <v>33</v>
      </c>
      <c r="Q114" s="187"/>
      <c r="R114" s="187"/>
      <c r="S114" s="188"/>
      <c r="T114" s="203" t="s">
        <v>30</v>
      </c>
      <c r="U114" s="187"/>
      <c r="V114" s="187"/>
      <c r="W114" s="188"/>
      <c r="X114" s="203" t="s">
        <v>131</v>
      </c>
      <c r="Y114" s="187"/>
      <c r="Z114" s="188"/>
      <c r="AA114" s="186" t="s">
        <v>32</v>
      </c>
      <c r="AB114" s="187"/>
      <c r="AC114" s="187"/>
      <c r="AD114" s="187"/>
      <c r="AE114" s="187"/>
      <c r="AF114" s="187"/>
      <c r="AG114" s="187"/>
      <c r="AH114" s="188"/>
      <c r="AI114" s="213" t="s">
        <v>32</v>
      </c>
      <c r="AJ114" s="190"/>
      <c r="AK114" s="190"/>
      <c r="AL114" s="190"/>
      <c r="AM114" s="190"/>
      <c r="AN114" s="190"/>
      <c r="AO114" s="190"/>
      <c r="AP114" s="190"/>
      <c r="AQ114" s="191"/>
      <c r="AR114" s="41" t="s">
        <v>30</v>
      </c>
      <c r="AS114" s="41" t="s">
        <v>32</v>
      </c>
      <c r="AT114" s="41" t="s">
        <v>32</v>
      </c>
      <c r="AU114" s="186" t="s">
        <v>33</v>
      </c>
      <c r="AV114" s="187"/>
      <c r="AW114" s="187"/>
      <c r="AX114" s="188"/>
      <c r="AY114" s="203" t="s">
        <v>30</v>
      </c>
      <c r="AZ114" s="187"/>
      <c r="BA114" s="187"/>
      <c r="BB114" s="188"/>
      <c r="BC114" s="472"/>
      <c r="BD114" s="473"/>
      <c r="BE114" s="473"/>
      <c r="BF114" s="473"/>
      <c r="BG114" s="473"/>
      <c r="BH114" s="473"/>
      <c r="BI114" s="473"/>
      <c r="BJ114" s="474"/>
      <c r="BK114" s="35"/>
    </row>
    <row r="115" spans="1:63" ht="31.5" customHeight="1" x14ac:dyDescent="0.25">
      <c r="A115" s="34"/>
      <c r="B115" s="195">
        <v>63</v>
      </c>
      <c r="C115" s="196"/>
      <c r="D115" s="197" t="s">
        <v>144</v>
      </c>
      <c r="E115" s="198"/>
      <c r="F115" s="198"/>
      <c r="G115" s="198"/>
      <c r="H115" s="198"/>
      <c r="I115" s="198"/>
      <c r="J115" s="199"/>
      <c r="K115" s="207" t="s">
        <v>371</v>
      </c>
      <c r="L115" s="146"/>
      <c r="M115" s="147"/>
      <c r="N115" s="46" t="s">
        <v>372</v>
      </c>
      <c r="O115" s="39" t="s">
        <v>30</v>
      </c>
      <c r="P115" s="208" t="s">
        <v>398</v>
      </c>
      <c r="Q115" s="267"/>
      <c r="R115" s="267"/>
      <c r="S115" s="268"/>
      <c r="T115" s="203" t="s">
        <v>161</v>
      </c>
      <c r="U115" s="187"/>
      <c r="V115" s="187"/>
      <c r="W115" s="188"/>
      <c r="X115" s="203" t="s">
        <v>30</v>
      </c>
      <c r="Y115" s="187"/>
      <c r="Z115" s="188"/>
      <c r="AA115" s="186" t="s">
        <v>32</v>
      </c>
      <c r="AB115" s="187"/>
      <c r="AC115" s="187"/>
      <c r="AD115" s="187"/>
      <c r="AE115" s="187"/>
      <c r="AF115" s="187"/>
      <c r="AG115" s="187"/>
      <c r="AH115" s="188"/>
      <c r="AI115" s="215" t="s">
        <v>404</v>
      </c>
      <c r="AJ115" s="216"/>
      <c r="AK115" s="216"/>
      <c r="AL115" s="216"/>
      <c r="AM115" s="216"/>
      <c r="AN115" s="216"/>
      <c r="AO115" s="216"/>
      <c r="AP115" s="216"/>
      <c r="AQ115" s="217"/>
      <c r="AR115" s="41" t="s">
        <v>31</v>
      </c>
      <c r="AS115" s="41" t="s">
        <v>32</v>
      </c>
      <c r="AT115" s="41" t="s">
        <v>32</v>
      </c>
      <c r="AU115" s="208" t="s">
        <v>399</v>
      </c>
      <c r="AV115" s="187"/>
      <c r="AW115" s="187"/>
      <c r="AX115" s="188"/>
      <c r="AY115" s="203" t="s">
        <v>161</v>
      </c>
      <c r="AZ115" s="187"/>
      <c r="BA115" s="187"/>
      <c r="BB115" s="188"/>
      <c r="BC115" s="472"/>
      <c r="BD115" s="473"/>
      <c r="BE115" s="473"/>
      <c r="BF115" s="473"/>
      <c r="BG115" s="473"/>
      <c r="BH115" s="473"/>
      <c r="BI115" s="473"/>
      <c r="BJ115" s="474"/>
      <c r="BK115" s="35"/>
    </row>
    <row r="116" spans="1:63" ht="15.75" customHeight="1" x14ac:dyDescent="0.25">
      <c r="A116" s="34"/>
      <c r="B116" s="195">
        <v>64</v>
      </c>
      <c r="C116" s="196"/>
      <c r="D116" s="197" t="s">
        <v>145</v>
      </c>
      <c r="E116" s="198"/>
      <c r="F116" s="198"/>
      <c r="G116" s="198"/>
      <c r="H116" s="198"/>
      <c r="I116" s="198"/>
      <c r="J116" s="199"/>
      <c r="K116" s="145" t="s">
        <v>29</v>
      </c>
      <c r="L116" s="146"/>
      <c r="M116" s="147"/>
      <c r="N116" s="46" t="s">
        <v>30</v>
      </c>
      <c r="O116" s="39" t="s">
        <v>31</v>
      </c>
      <c r="P116" s="186" t="s">
        <v>33</v>
      </c>
      <c r="Q116" s="187"/>
      <c r="R116" s="187"/>
      <c r="S116" s="188"/>
      <c r="T116" s="203" t="s">
        <v>30</v>
      </c>
      <c r="U116" s="187"/>
      <c r="V116" s="187"/>
      <c r="W116" s="188"/>
      <c r="X116" s="203" t="s">
        <v>132</v>
      </c>
      <c r="Y116" s="187"/>
      <c r="Z116" s="188"/>
      <c r="AA116" s="186" t="s">
        <v>32</v>
      </c>
      <c r="AB116" s="187"/>
      <c r="AC116" s="187"/>
      <c r="AD116" s="187"/>
      <c r="AE116" s="187"/>
      <c r="AF116" s="187"/>
      <c r="AG116" s="187"/>
      <c r="AH116" s="188"/>
      <c r="AI116" s="213" t="s">
        <v>32</v>
      </c>
      <c r="AJ116" s="190"/>
      <c r="AK116" s="190"/>
      <c r="AL116" s="190"/>
      <c r="AM116" s="190"/>
      <c r="AN116" s="190"/>
      <c r="AO116" s="190"/>
      <c r="AP116" s="190"/>
      <c r="AQ116" s="191"/>
      <c r="AR116" s="41" t="s">
        <v>30</v>
      </c>
      <c r="AS116" s="41" t="s">
        <v>32</v>
      </c>
      <c r="AT116" s="41" t="s">
        <v>32</v>
      </c>
      <c r="AU116" s="186" t="s">
        <v>33</v>
      </c>
      <c r="AV116" s="187"/>
      <c r="AW116" s="187"/>
      <c r="AX116" s="188"/>
      <c r="AY116" s="203" t="s">
        <v>30</v>
      </c>
      <c r="AZ116" s="187"/>
      <c r="BA116" s="187"/>
      <c r="BB116" s="188"/>
      <c r="BC116" s="472"/>
      <c r="BD116" s="473"/>
      <c r="BE116" s="473"/>
      <c r="BF116" s="473"/>
      <c r="BG116" s="473"/>
      <c r="BH116" s="473"/>
      <c r="BI116" s="473"/>
      <c r="BJ116" s="474"/>
      <c r="BK116" s="35"/>
    </row>
    <row r="117" spans="1:63" ht="31.5" customHeight="1" x14ac:dyDescent="0.25">
      <c r="A117" s="34"/>
      <c r="B117" s="195">
        <v>65</v>
      </c>
      <c r="C117" s="196"/>
      <c r="D117" s="197" t="s">
        <v>146</v>
      </c>
      <c r="E117" s="198"/>
      <c r="F117" s="198"/>
      <c r="G117" s="198"/>
      <c r="H117" s="198"/>
      <c r="I117" s="198"/>
      <c r="J117" s="199"/>
      <c r="K117" s="207" t="s">
        <v>371</v>
      </c>
      <c r="L117" s="146"/>
      <c r="M117" s="147"/>
      <c r="N117" s="46" t="s">
        <v>372</v>
      </c>
      <c r="O117" s="39" t="s">
        <v>30</v>
      </c>
      <c r="P117" s="208" t="s">
        <v>398</v>
      </c>
      <c r="Q117" s="267"/>
      <c r="R117" s="267"/>
      <c r="S117" s="268"/>
      <c r="T117" s="204" t="s">
        <v>162</v>
      </c>
      <c r="U117" s="205"/>
      <c r="V117" s="205"/>
      <c r="W117" s="206"/>
      <c r="X117" s="203" t="s">
        <v>30</v>
      </c>
      <c r="Y117" s="187"/>
      <c r="Z117" s="188"/>
      <c r="AA117" s="186" t="s">
        <v>32</v>
      </c>
      <c r="AB117" s="187"/>
      <c r="AC117" s="187"/>
      <c r="AD117" s="187"/>
      <c r="AE117" s="187"/>
      <c r="AF117" s="187"/>
      <c r="AG117" s="187"/>
      <c r="AH117" s="188"/>
      <c r="AI117" s="215" t="s">
        <v>404</v>
      </c>
      <c r="AJ117" s="216"/>
      <c r="AK117" s="216"/>
      <c r="AL117" s="216"/>
      <c r="AM117" s="216"/>
      <c r="AN117" s="216"/>
      <c r="AO117" s="216"/>
      <c r="AP117" s="216"/>
      <c r="AQ117" s="217"/>
      <c r="AR117" s="41" t="s">
        <v>31</v>
      </c>
      <c r="AS117" s="47" t="s">
        <v>31</v>
      </c>
      <c r="AT117" s="41" t="s">
        <v>32</v>
      </c>
      <c r="AU117" s="208" t="s">
        <v>399</v>
      </c>
      <c r="AV117" s="187"/>
      <c r="AW117" s="187"/>
      <c r="AX117" s="188"/>
      <c r="AY117" s="204" t="s">
        <v>162</v>
      </c>
      <c r="AZ117" s="205"/>
      <c r="BA117" s="205"/>
      <c r="BB117" s="206"/>
      <c r="BC117" s="472"/>
      <c r="BD117" s="473"/>
      <c r="BE117" s="473"/>
      <c r="BF117" s="473"/>
      <c r="BG117" s="473"/>
      <c r="BH117" s="473"/>
      <c r="BI117" s="473"/>
      <c r="BJ117" s="474"/>
      <c r="BK117" s="35"/>
    </row>
    <row r="118" spans="1:63" ht="15.75" customHeight="1" x14ac:dyDescent="0.25">
      <c r="A118" s="34"/>
      <c r="B118" s="195">
        <v>66</v>
      </c>
      <c r="C118" s="196"/>
      <c r="D118" s="197" t="s">
        <v>147</v>
      </c>
      <c r="E118" s="198"/>
      <c r="F118" s="198"/>
      <c r="G118" s="198"/>
      <c r="H118" s="198"/>
      <c r="I118" s="198"/>
      <c r="J118" s="199"/>
      <c r="K118" s="145" t="s">
        <v>29</v>
      </c>
      <c r="L118" s="146"/>
      <c r="M118" s="147"/>
      <c r="N118" s="46" t="s">
        <v>30</v>
      </c>
      <c r="O118" s="39" t="s">
        <v>31</v>
      </c>
      <c r="P118" s="186" t="s">
        <v>33</v>
      </c>
      <c r="Q118" s="187"/>
      <c r="R118" s="187"/>
      <c r="S118" s="188"/>
      <c r="T118" s="203" t="s">
        <v>30</v>
      </c>
      <c r="U118" s="187"/>
      <c r="V118" s="187"/>
      <c r="W118" s="188"/>
      <c r="X118" s="203" t="s">
        <v>133</v>
      </c>
      <c r="Y118" s="187"/>
      <c r="Z118" s="188"/>
      <c r="AA118" s="186" t="s">
        <v>32</v>
      </c>
      <c r="AB118" s="187"/>
      <c r="AC118" s="187"/>
      <c r="AD118" s="187"/>
      <c r="AE118" s="187"/>
      <c r="AF118" s="187"/>
      <c r="AG118" s="187"/>
      <c r="AH118" s="188"/>
      <c r="AI118" s="213" t="s">
        <v>32</v>
      </c>
      <c r="AJ118" s="190"/>
      <c r="AK118" s="190"/>
      <c r="AL118" s="190"/>
      <c r="AM118" s="190"/>
      <c r="AN118" s="190"/>
      <c r="AO118" s="190"/>
      <c r="AP118" s="190"/>
      <c r="AQ118" s="191"/>
      <c r="AR118" s="41" t="s">
        <v>30</v>
      </c>
      <c r="AS118" s="41" t="s">
        <v>32</v>
      </c>
      <c r="AT118" s="41" t="s">
        <v>32</v>
      </c>
      <c r="AU118" s="186" t="s">
        <v>33</v>
      </c>
      <c r="AV118" s="187"/>
      <c r="AW118" s="187"/>
      <c r="AX118" s="188"/>
      <c r="AY118" s="203" t="s">
        <v>30</v>
      </c>
      <c r="AZ118" s="187"/>
      <c r="BA118" s="187"/>
      <c r="BB118" s="188"/>
      <c r="BC118" s="472"/>
      <c r="BD118" s="473"/>
      <c r="BE118" s="473"/>
      <c r="BF118" s="473"/>
      <c r="BG118" s="473"/>
      <c r="BH118" s="473"/>
      <c r="BI118" s="473"/>
      <c r="BJ118" s="474"/>
      <c r="BK118" s="35"/>
    </row>
    <row r="119" spans="1:63" ht="31.5" customHeight="1" x14ac:dyDescent="0.25">
      <c r="A119" s="34"/>
      <c r="B119" s="195">
        <v>67</v>
      </c>
      <c r="C119" s="196"/>
      <c r="D119" s="197" t="s">
        <v>148</v>
      </c>
      <c r="E119" s="198"/>
      <c r="F119" s="198"/>
      <c r="G119" s="198"/>
      <c r="H119" s="198"/>
      <c r="I119" s="198"/>
      <c r="J119" s="199"/>
      <c r="K119" s="207" t="s">
        <v>371</v>
      </c>
      <c r="L119" s="146"/>
      <c r="M119" s="147"/>
      <c r="N119" s="46" t="s">
        <v>372</v>
      </c>
      <c r="O119" s="39" t="s">
        <v>30</v>
      </c>
      <c r="P119" s="208" t="s">
        <v>398</v>
      </c>
      <c r="Q119" s="267"/>
      <c r="R119" s="267"/>
      <c r="S119" s="268"/>
      <c r="T119" s="204" t="s">
        <v>163</v>
      </c>
      <c r="U119" s="205"/>
      <c r="V119" s="205"/>
      <c r="W119" s="206"/>
      <c r="X119" s="203" t="s">
        <v>30</v>
      </c>
      <c r="Y119" s="187"/>
      <c r="Z119" s="188"/>
      <c r="AA119" s="186" t="s">
        <v>32</v>
      </c>
      <c r="AB119" s="187"/>
      <c r="AC119" s="187"/>
      <c r="AD119" s="187"/>
      <c r="AE119" s="187"/>
      <c r="AF119" s="187"/>
      <c r="AG119" s="187"/>
      <c r="AH119" s="188"/>
      <c r="AI119" s="215" t="s">
        <v>404</v>
      </c>
      <c r="AJ119" s="216"/>
      <c r="AK119" s="216"/>
      <c r="AL119" s="216"/>
      <c r="AM119" s="216"/>
      <c r="AN119" s="216"/>
      <c r="AO119" s="216"/>
      <c r="AP119" s="216"/>
      <c r="AQ119" s="217"/>
      <c r="AR119" s="41" t="s">
        <v>31</v>
      </c>
      <c r="AS119" s="41" t="s">
        <v>32</v>
      </c>
      <c r="AT119" s="41" t="s">
        <v>32</v>
      </c>
      <c r="AU119" s="208" t="s">
        <v>399</v>
      </c>
      <c r="AV119" s="187"/>
      <c r="AW119" s="187"/>
      <c r="AX119" s="188"/>
      <c r="AY119" s="204" t="s">
        <v>163</v>
      </c>
      <c r="AZ119" s="205"/>
      <c r="BA119" s="205"/>
      <c r="BB119" s="206"/>
      <c r="BC119" s="472"/>
      <c r="BD119" s="473"/>
      <c r="BE119" s="473"/>
      <c r="BF119" s="473"/>
      <c r="BG119" s="473"/>
      <c r="BH119" s="473"/>
      <c r="BI119" s="473"/>
      <c r="BJ119" s="474"/>
      <c r="BK119" s="35"/>
    </row>
    <row r="120" spans="1:63" ht="15.75" customHeight="1" x14ac:dyDescent="0.25">
      <c r="A120" s="34"/>
      <c r="B120" s="195">
        <v>68</v>
      </c>
      <c r="C120" s="196"/>
      <c r="D120" s="197" t="s">
        <v>149</v>
      </c>
      <c r="E120" s="198"/>
      <c r="F120" s="198"/>
      <c r="G120" s="198"/>
      <c r="H120" s="198"/>
      <c r="I120" s="198"/>
      <c r="J120" s="199"/>
      <c r="K120" s="145" t="s">
        <v>29</v>
      </c>
      <c r="L120" s="146"/>
      <c r="M120" s="147"/>
      <c r="N120" s="46" t="s">
        <v>30</v>
      </c>
      <c r="O120" s="39" t="s">
        <v>31</v>
      </c>
      <c r="P120" s="186" t="s">
        <v>33</v>
      </c>
      <c r="Q120" s="187"/>
      <c r="R120" s="187"/>
      <c r="S120" s="188"/>
      <c r="T120" s="203" t="s">
        <v>30</v>
      </c>
      <c r="U120" s="187"/>
      <c r="V120" s="187"/>
      <c r="W120" s="188"/>
      <c r="X120" s="203" t="s">
        <v>134</v>
      </c>
      <c r="Y120" s="187"/>
      <c r="Z120" s="188"/>
      <c r="AA120" s="186" t="s">
        <v>32</v>
      </c>
      <c r="AB120" s="187"/>
      <c r="AC120" s="187"/>
      <c r="AD120" s="187"/>
      <c r="AE120" s="187"/>
      <c r="AF120" s="187"/>
      <c r="AG120" s="187"/>
      <c r="AH120" s="188"/>
      <c r="AI120" s="213" t="s">
        <v>32</v>
      </c>
      <c r="AJ120" s="190"/>
      <c r="AK120" s="190"/>
      <c r="AL120" s="190"/>
      <c r="AM120" s="190"/>
      <c r="AN120" s="190"/>
      <c r="AO120" s="190"/>
      <c r="AP120" s="190"/>
      <c r="AQ120" s="191"/>
      <c r="AR120" s="41" t="s">
        <v>30</v>
      </c>
      <c r="AS120" s="41" t="s">
        <v>32</v>
      </c>
      <c r="AT120" s="41" t="s">
        <v>32</v>
      </c>
      <c r="AU120" s="186" t="s">
        <v>33</v>
      </c>
      <c r="AV120" s="187"/>
      <c r="AW120" s="187"/>
      <c r="AX120" s="188"/>
      <c r="AY120" s="203" t="s">
        <v>30</v>
      </c>
      <c r="AZ120" s="187"/>
      <c r="BA120" s="187"/>
      <c r="BB120" s="188"/>
      <c r="BC120" s="472"/>
      <c r="BD120" s="473"/>
      <c r="BE120" s="473"/>
      <c r="BF120" s="473"/>
      <c r="BG120" s="473"/>
      <c r="BH120" s="473"/>
      <c r="BI120" s="473"/>
      <c r="BJ120" s="474"/>
      <c r="BK120" s="35"/>
    </row>
    <row r="121" spans="1:63" ht="31.5" customHeight="1" x14ac:dyDescent="0.25">
      <c r="A121" s="34"/>
      <c r="B121" s="195">
        <v>69</v>
      </c>
      <c r="C121" s="196"/>
      <c r="D121" s="197" t="s">
        <v>150</v>
      </c>
      <c r="E121" s="198"/>
      <c r="F121" s="198"/>
      <c r="G121" s="198"/>
      <c r="H121" s="198"/>
      <c r="I121" s="198"/>
      <c r="J121" s="199"/>
      <c r="K121" s="207" t="s">
        <v>371</v>
      </c>
      <c r="L121" s="146"/>
      <c r="M121" s="147"/>
      <c r="N121" s="46" t="s">
        <v>372</v>
      </c>
      <c r="O121" s="39" t="s">
        <v>30</v>
      </c>
      <c r="P121" s="208" t="s">
        <v>398</v>
      </c>
      <c r="Q121" s="267"/>
      <c r="R121" s="267"/>
      <c r="S121" s="268"/>
      <c r="T121" s="203" t="s">
        <v>227</v>
      </c>
      <c r="U121" s="187"/>
      <c r="V121" s="187"/>
      <c r="W121" s="188"/>
      <c r="X121" s="203" t="s">
        <v>30</v>
      </c>
      <c r="Y121" s="187"/>
      <c r="Z121" s="188"/>
      <c r="AA121" s="186" t="s">
        <v>32</v>
      </c>
      <c r="AB121" s="187"/>
      <c r="AC121" s="187"/>
      <c r="AD121" s="187"/>
      <c r="AE121" s="187"/>
      <c r="AF121" s="187"/>
      <c r="AG121" s="187"/>
      <c r="AH121" s="188"/>
      <c r="AI121" s="215" t="s">
        <v>404</v>
      </c>
      <c r="AJ121" s="216"/>
      <c r="AK121" s="216"/>
      <c r="AL121" s="216"/>
      <c r="AM121" s="216"/>
      <c r="AN121" s="216"/>
      <c r="AO121" s="216"/>
      <c r="AP121" s="216"/>
      <c r="AQ121" s="217"/>
      <c r="AR121" s="41" t="s">
        <v>31</v>
      </c>
      <c r="AS121" s="47" t="s">
        <v>31</v>
      </c>
      <c r="AT121" s="41" t="s">
        <v>32</v>
      </c>
      <c r="AU121" s="208" t="s">
        <v>399</v>
      </c>
      <c r="AV121" s="187"/>
      <c r="AW121" s="187"/>
      <c r="AX121" s="188"/>
      <c r="AY121" s="203" t="s">
        <v>164</v>
      </c>
      <c r="AZ121" s="187"/>
      <c r="BA121" s="187"/>
      <c r="BB121" s="188"/>
      <c r="BC121" s="472"/>
      <c r="BD121" s="473"/>
      <c r="BE121" s="473"/>
      <c r="BF121" s="473"/>
      <c r="BG121" s="473"/>
      <c r="BH121" s="473"/>
      <c r="BI121" s="473"/>
      <c r="BJ121" s="474"/>
      <c r="BK121" s="35"/>
    </row>
    <row r="122" spans="1:63" ht="15.75" customHeight="1" x14ac:dyDescent="0.25">
      <c r="A122" s="34"/>
      <c r="B122" s="195">
        <v>70</v>
      </c>
      <c r="C122" s="196"/>
      <c r="D122" s="197" t="s">
        <v>151</v>
      </c>
      <c r="E122" s="198"/>
      <c r="F122" s="198"/>
      <c r="G122" s="198"/>
      <c r="H122" s="198"/>
      <c r="I122" s="198"/>
      <c r="J122" s="199"/>
      <c r="K122" s="145" t="s">
        <v>29</v>
      </c>
      <c r="L122" s="146"/>
      <c r="M122" s="147"/>
      <c r="N122" s="46" t="s">
        <v>30</v>
      </c>
      <c r="O122" s="39" t="s">
        <v>31</v>
      </c>
      <c r="P122" s="186" t="s">
        <v>33</v>
      </c>
      <c r="Q122" s="187"/>
      <c r="R122" s="187"/>
      <c r="S122" s="188"/>
      <c r="T122" s="203" t="s">
        <v>30</v>
      </c>
      <c r="U122" s="187"/>
      <c r="V122" s="187"/>
      <c r="W122" s="188"/>
      <c r="X122" s="203" t="s">
        <v>135</v>
      </c>
      <c r="Y122" s="187"/>
      <c r="Z122" s="188"/>
      <c r="AA122" s="186" t="s">
        <v>32</v>
      </c>
      <c r="AB122" s="187"/>
      <c r="AC122" s="187"/>
      <c r="AD122" s="187"/>
      <c r="AE122" s="187"/>
      <c r="AF122" s="187"/>
      <c r="AG122" s="187"/>
      <c r="AH122" s="188"/>
      <c r="AI122" s="213" t="s">
        <v>32</v>
      </c>
      <c r="AJ122" s="190"/>
      <c r="AK122" s="190"/>
      <c r="AL122" s="190"/>
      <c r="AM122" s="190"/>
      <c r="AN122" s="190"/>
      <c r="AO122" s="190"/>
      <c r="AP122" s="190"/>
      <c r="AQ122" s="191"/>
      <c r="AR122" s="41" t="s">
        <v>30</v>
      </c>
      <c r="AS122" s="41" t="s">
        <v>32</v>
      </c>
      <c r="AT122" s="41" t="s">
        <v>32</v>
      </c>
      <c r="AU122" s="186" t="s">
        <v>33</v>
      </c>
      <c r="AV122" s="187"/>
      <c r="AW122" s="187"/>
      <c r="AX122" s="188"/>
      <c r="AY122" s="203" t="s">
        <v>30</v>
      </c>
      <c r="AZ122" s="187"/>
      <c r="BA122" s="187"/>
      <c r="BB122" s="188"/>
      <c r="BC122" s="472"/>
      <c r="BD122" s="473"/>
      <c r="BE122" s="473"/>
      <c r="BF122" s="473"/>
      <c r="BG122" s="473"/>
      <c r="BH122" s="473"/>
      <c r="BI122" s="473"/>
      <c r="BJ122" s="474"/>
      <c r="BK122" s="35"/>
    </row>
    <row r="123" spans="1:63" ht="32.25" customHeight="1" x14ac:dyDescent="0.25">
      <c r="A123" s="34"/>
      <c r="B123" s="195">
        <v>71</v>
      </c>
      <c r="C123" s="196"/>
      <c r="D123" s="197" t="s">
        <v>152</v>
      </c>
      <c r="E123" s="198"/>
      <c r="F123" s="198"/>
      <c r="G123" s="198"/>
      <c r="H123" s="198"/>
      <c r="I123" s="198"/>
      <c r="J123" s="199"/>
      <c r="K123" s="207" t="s">
        <v>371</v>
      </c>
      <c r="L123" s="146"/>
      <c r="M123" s="147"/>
      <c r="N123" s="46" t="s">
        <v>372</v>
      </c>
      <c r="O123" s="39" t="s">
        <v>30</v>
      </c>
      <c r="P123" s="208" t="s">
        <v>398</v>
      </c>
      <c r="Q123" s="267"/>
      <c r="R123" s="267"/>
      <c r="S123" s="268"/>
      <c r="T123" s="203" t="s">
        <v>165</v>
      </c>
      <c r="U123" s="187"/>
      <c r="V123" s="187"/>
      <c r="W123" s="188"/>
      <c r="X123" s="203" t="s">
        <v>30</v>
      </c>
      <c r="Y123" s="187"/>
      <c r="Z123" s="188"/>
      <c r="AA123" s="186" t="s">
        <v>32</v>
      </c>
      <c r="AB123" s="187"/>
      <c r="AC123" s="187"/>
      <c r="AD123" s="187"/>
      <c r="AE123" s="187"/>
      <c r="AF123" s="187"/>
      <c r="AG123" s="187"/>
      <c r="AH123" s="188"/>
      <c r="AI123" s="215" t="s">
        <v>404</v>
      </c>
      <c r="AJ123" s="216"/>
      <c r="AK123" s="216"/>
      <c r="AL123" s="216"/>
      <c r="AM123" s="216"/>
      <c r="AN123" s="216"/>
      <c r="AO123" s="216"/>
      <c r="AP123" s="216"/>
      <c r="AQ123" s="217"/>
      <c r="AR123" s="41" t="s">
        <v>31</v>
      </c>
      <c r="AS123" s="47" t="s">
        <v>31</v>
      </c>
      <c r="AT123" s="41" t="s">
        <v>32</v>
      </c>
      <c r="AU123" s="208" t="s">
        <v>399</v>
      </c>
      <c r="AV123" s="187"/>
      <c r="AW123" s="187"/>
      <c r="AX123" s="188"/>
      <c r="AY123" s="203" t="s">
        <v>165</v>
      </c>
      <c r="AZ123" s="187"/>
      <c r="BA123" s="187"/>
      <c r="BB123" s="188"/>
      <c r="BC123" s="472"/>
      <c r="BD123" s="473"/>
      <c r="BE123" s="473"/>
      <c r="BF123" s="473"/>
      <c r="BG123" s="473"/>
      <c r="BH123" s="473"/>
      <c r="BI123" s="473"/>
      <c r="BJ123" s="474"/>
      <c r="BK123" s="35"/>
    </row>
    <row r="124" spans="1:63" ht="15.75" customHeight="1" x14ac:dyDescent="0.25">
      <c r="A124" s="34"/>
      <c r="B124" s="195">
        <v>72</v>
      </c>
      <c r="C124" s="196"/>
      <c r="D124" s="197" t="s">
        <v>153</v>
      </c>
      <c r="E124" s="198"/>
      <c r="F124" s="198"/>
      <c r="G124" s="198"/>
      <c r="H124" s="198"/>
      <c r="I124" s="198"/>
      <c r="J124" s="199"/>
      <c r="K124" s="145" t="s">
        <v>29</v>
      </c>
      <c r="L124" s="146"/>
      <c r="M124" s="147"/>
      <c r="N124" s="46" t="s">
        <v>30</v>
      </c>
      <c r="O124" s="39" t="s">
        <v>31</v>
      </c>
      <c r="P124" s="186" t="s">
        <v>33</v>
      </c>
      <c r="Q124" s="187"/>
      <c r="R124" s="187"/>
      <c r="S124" s="188"/>
      <c r="T124" s="203" t="s">
        <v>30</v>
      </c>
      <c r="U124" s="187"/>
      <c r="V124" s="187"/>
      <c r="W124" s="188"/>
      <c r="X124" s="203" t="s">
        <v>136</v>
      </c>
      <c r="Y124" s="187"/>
      <c r="Z124" s="188"/>
      <c r="AA124" s="186" t="s">
        <v>32</v>
      </c>
      <c r="AB124" s="187"/>
      <c r="AC124" s="187"/>
      <c r="AD124" s="187"/>
      <c r="AE124" s="187"/>
      <c r="AF124" s="187"/>
      <c r="AG124" s="187"/>
      <c r="AH124" s="188"/>
      <c r="AI124" s="213" t="s">
        <v>32</v>
      </c>
      <c r="AJ124" s="190"/>
      <c r="AK124" s="190"/>
      <c r="AL124" s="190"/>
      <c r="AM124" s="190"/>
      <c r="AN124" s="190"/>
      <c r="AO124" s="190"/>
      <c r="AP124" s="190"/>
      <c r="AQ124" s="191"/>
      <c r="AR124" s="41" t="s">
        <v>30</v>
      </c>
      <c r="AS124" s="41" t="s">
        <v>32</v>
      </c>
      <c r="AT124" s="41" t="s">
        <v>32</v>
      </c>
      <c r="AU124" s="186" t="s">
        <v>33</v>
      </c>
      <c r="AV124" s="187"/>
      <c r="AW124" s="187"/>
      <c r="AX124" s="188"/>
      <c r="AY124" s="203" t="s">
        <v>30</v>
      </c>
      <c r="AZ124" s="187"/>
      <c r="BA124" s="187"/>
      <c r="BB124" s="188"/>
      <c r="BC124" s="472"/>
      <c r="BD124" s="473"/>
      <c r="BE124" s="473"/>
      <c r="BF124" s="473"/>
      <c r="BG124" s="473"/>
      <c r="BH124" s="473"/>
      <c r="BI124" s="473"/>
      <c r="BJ124" s="474"/>
      <c r="BK124" s="35"/>
    </row>
    <row r="125" spans="1:63" ht="31.5" customHeight="1" x14ac:dyDescent="0.25">
      <c r="A125" s="34"/>
      <c r="B125" s="195">
        <v>73</v>
      </c>
      <c r="C125" s="196"/>
      <c r="D125" s="197" t="s">
        <v>154</v>
      </c>
      <c r="E125" s="198"/>
      <c r="F125" s="198"/>
      <c r="G125" s="198"/>
      <c r="H125" s="198"/>
      <c r="I125" s="198"/>
      <c r="J125" s="199"/>
      <c r="K125" s="207" t="s">
        <v>371</v>
      </c>
      <c r="L125" s="146"/>
      <c r="M125" s="147"/>
      <c r="N125" s="46" t="s">
        <v>372</v>
      </c>
      <c r="O125" s="39" t="s">
        <v>30</v>
      </c>
      <c r="P125" s="208" t="s">
        <v>398</v>
      </c>
      <c r="Q125" s="267"/>
      <c r="R125" s="267"/>
      <c r="S125" s="268"/>
      <c r="T125" s="203" t="s">
        <v>299</v>
      </c>
      <c r="U125" s="187"/>
      <c r="V125" s="187"/>
      <c r="W125" s="188"/>
      <c r="X125" s="203" t="s">
        <v>30</v>
      </c>
      <c r="Y125" s="187"/>
      <c r="Z125" s="188"/>
      <c r="AA125" s="186" t="s">
        <v>32</v>
      </c>
      <c r="AB125" s="187"/>
      <c r="AC125" s="187"/>
      <c r="AD125" s="187"/>
      <c r="AE125" s="187"/>
      <c r="AF125" s="187"/>
      <c r="AG125" s="187"/>
      <c r="AH125" s="188"/>
      <c r="AI125" s="215" t="s">
        <v>404</v>
      </c>
      <c r="AJ125" s="216"/>
      <c r="AK125" s="216"/>
      <c r="AL125" s="216"/>
      <c r="AM125" s="216"/>
      <c r="AN125" s="216"/>
      <c r="AO125" s="216"/>
      <c r="AP125" s="216"/>
      <c r="AQ125" s="217"/>
      <c r="AR125" s="41" t="s">
        <v>31</v>
      </c>
      <c r="AS125" s="41" t="s">
        <v>32</v>
      </c>
      <c r="AT125" s="41" t="s">
        <v>32</v>
      </c>
      <c r="AU125" s="208" t="s">
        <v>399</v>
      </c>
      <c r="AV125" s="187"/>
      <c r="AW125" s="187"/>
      <c r="AX125" s="188"/>
      <c r="AY125" s="203" t="s">
        <v>299</v>
      </c>
      <c r="AZ125" s="187"/>
      <c r="BA125" s="187"/>
      <c r="BB125" s="188"/>
      <c r="BC125" s="472"/>
      <c r="BD125" s="473"/>
      <c r="BE125" s="473"/>
      <c r="BF125" s="473"/>
      <c r="BG125" s="473"/>
      <c r="BH125" s="473"/>
      <c r="BI125" s="473"/>
      <c r="BJ125" s="474"/>
      <c r="BK125" s="35"/>
    </row>
    <row r="126" spans="1:63" x14ac:dyDescent="0.25">
      <c r="A126" s="34"/>
      <c r="B126" s="195">
        <v>74</v>
      </c>
      <c r="C126" s="196"/>
      <c r="D126" s="197" t="s">
        <v>155</v>
      </c>
      <c r="E126" s="198"/>
      <c r="F126" s="198"/>
      <c r="G126" s="198"/>
      <c r="H126" s="198"/>
      <c r="I126" s="198"/>
      <c r="J126" s="199"/>
      <c r="K126" s="207" t="s">
        <v>367</v>
      </c>
      <c r="L126" s="146"/>
      <c r="M126" s="147"/>
      <c r="N126" s="39" t="s">
        <v>35</v>
      </c>
      <c r="O126" s="39" t="s">
        <v>31</v>
      </c>
      <c r="P126" s="186" t="s">
        <v>33</v>
      </c>
      <c r="Q126" s="187"/>
      <c r="R126" s="187"/>
      <c r="S126" s="188"/>
      <c r="T126" s="203" t="s">
        <v>30</v>
      </c>
      <c r="U126" s="187"/>
      <c r="V126" s="187"/>
      <c r="W126" s="188"/>
      <c r="X126" s="203" t="s">
        <v>229</v>
      </c>
      <c r="Y126" s="187"/>
      <c r="Z126" s="188"/>
      <c r="AA126" s="186" t="s">
        <v>32</v>
      </c>
      <c r="AB126" s="187"/>
      <c r="AC126" s="187"/>
      <c r="AD126" s="187"/>
      <c r="AE126" s="187"/>
      <c r="AF126" s="187"/>
      <c r="AG126" s="187"/>
      <c r="AH126" s="188"/>
      <c r="AI126" s="189" t="s">
        <v>432</v>
      </c>
      <c r="AJ126" s="190"/>
      <c r="AK126" s="190"/>
      <c r="AL126" s="190"/>
      <c r="AM126" s="190"/>
      <c r="AN126" s="190"/>
      <c r="AO126" s="190"/>
      <c r="AP126" s="190"/>
      <c r="AQ126" s="191"/>
      <c r="AR126" s="41" t="s">
        <v>30</v>
      </c>
      <c r="AS126" s="41" t="s">
        <v>32</v>
      </c>
      <c r="AT126" s="41" t="s">
        <v>32</v>
      </c>
      <c r="AU126" s="186" t="s">
        <v>33</v>
      </c>
      <c r="AV126" s="187"/>
      <c r="AW126" s="187"/>
      <c r="AX126" s="188"/>
      <c r="AY126" s="186" t="s">
        <v>32</v>
      </c>
      <c r="AZ126" s="187"/>
      <c r="BA126" s="187"/>
      <c r="BB126" s="188"/>
      <c r="BC126" s="223" t="s">
        <v>433</v>
      </c>
      <c r="BD126" s="224"/>
      <c r="BE126" s="224"/>
      <c r="BF126" s="224"/>
      <c r="BG126" s="224"/>
      <c r="BH126" s="224"/>
      <c r="BI126" s="224"/>
      <c r="BJ126" s="225"/>
      <c r="BK126" s="35"/>
    </row>
    <row r="127" spans="1:63" ht="31.5" customHeight="1" x14ac:dyDescent="0.25">
      <c r="A127" s="34"/>
      <c r="B127" s="195">
        <v>75</v>
      </c>
      <c r="C127" s="196"/>
      <c r="D127" s="197" t="s">
        <v>156</v>
      </c>
      <c r="E127" s="198"/>
      <c r="F127" s="198"/>
      <c r="G127" s="198"/>
      <c r="H127" s="198"/>
      <c r="I127" s="198"/>
      <c r="J127" s="199"/>
      <c r="K127" s="207" t="s">
        <v>367</v>
      </c>
      <c r="L127" s="146"/>
      <c r="M127" s="147"/>
      <c r="N127" s="39" t="s">
        <v>35</v>
      </c>
      <c r="O127" s="39" t="s">
        <v>30</v>
      </c>
      <c r="P127" s="186" t="s">
        <v>33</v>
      </c>
      <c r="Q127" s="187"/>
      <c r="R127" s="187"/>
      <c r="S127" s="188"/>
      <c r="T127" s="203" t="s">
        <v>30</v>
      </c>
      <c r="U127" s="187"/>
      <c r="V127" s="187"/>
      <c r="W127" s="188"/>
      <c r="X127" s="203" t="s">
        <v>156</v>
      </c>
      <c r="Y127" s="187"/>
      <c r="Z127" s="188"/>
      <c r="AA127" s="186" t="s">
        <v>32</v>
      </c>
      <c r="AB127" s="187"/>
      <c r="AC127" s="187"/>
      <c r="AD127" s="187"/>
      <c r="AE127" s="187"/>
      <c r="AF127" s="187"/>
      <c r="AG127" s="187"/>
      <c r="AH127" s="188"/>
      <c r="AI127" s="215" t="s">
        <v>404</v>
      </c>
      <c r="AJ127" s="216"/>
      <c r="AK127" s="216"/>
      <c r="AL127" s="216"/>
      <c r="AM127" s="216"/>
      <c r="AN127" s="216"/>
      <c r="AO127" s="216"/>
      <c r="AP127" s="216"/>
      <c r="AQ127" s="217"/>
      <c r="AR127" s="41" t="s">
        <v>30</v>
      </c>
      <c r="AS127" s="41" t="s">
        <v>32</v>
      </c>
      <c r="AT127" s="41" t="s">
        <v>32</v>
      </c>
      <c r="AU127" s="186" t="s">
        <v>33</v>
      </c>
      <c r="AV127" s="187"/>
      <c r="AW127" s="187"/>
      <c r="AX127" s="188"/>
      <c r="AY127" s="186" t="s">
        <v>32</v>
      </c>
      <c r="AZ127" s="187"/>
      <c r="BA127" s="187"/>
      <c r="BB127" s="188"/>
      <c r="BC127" s="223" t="s">
        <v>434</v>
      </c>
      <c r="BD127" s="224"/>
      <c r="BE127" s="224"/>
      <c r="BF127" s="224"/>
      <c r="BG127" s="224"/>
      <c r="BH127" s="224"/>
      <c r="BI127" s="224"/>
      <c r="BJ127" s="225"/>
      <c r="BK127" s="35"/>
    </row>
    <row r="128" spans="1:63" x14ac:dyDescent="0.25">
      <c r="A128" s="34"/>
      <c r="B128" s="240">
        <v>76</v>
      </c>
      <c r="C128" s="242"/>
      <c r="D128" s="246" t="s">
        <v>157</v>
      </c>
      <c r="E128" s="247"/>
      <c r="F128" s="247"/>
      <c r="G128" s="247"/>
      <c r="H128" s="247"/>
      <c r="I128" s="247"/>
      <c r="J128" s="248"/>
      <c r="K128" s="243" t="s">
        <v>367</v>
      </c>
      <c r="L128" s="249"/>
      <c r="M128" s="250"/>
      <c r="N128" s="43" t="s">
        <v>35</v>
      </c>
      <c r="O128" s="43" t="s">
        <v>31</v>
      </c>
      <c r="P128" s="240" t="s">
        <v>33</v>
      </c>
      <c r="Q128" s="241"/>
      <c r="R128" s="241"/>
      <c r="S128" s="242"/>
      <c r="T128" s="240" t="s">
        <v>33</v>
      </c>
      <c r="U128" s="241"/>
      <c r="V128" s="241"/>
      <c r="W128" s="242"/>
      <c r="X128" s="299" t="s">
        <v>435</v>
      </c>
      <c r="Y128" s="300"/>
      <c r="Z128" s="301"/>
      <c r="AA128" s="240" t="s">
        <v>32</v>
      </c>
      <c r="AB128" s="241"/>
      <c r="AC128" s="241"/>
      <c r="AD128" s="241"/>
      <c r="AE128" s="241"/>
      <c r="AF128" s="241"/>
      <c r="AG128" s="241"/>
      <c r="AH128" s="242"/>
      <c r="AI128" s="237" t="s">
        <v>432</v>
      </c>
      <c r="AJ128" s="238"/>
      <c r="AK128" s="238"/>
      <c r="AL128" s="238"/>
      <c r="AM128" s="238"/>
      <c r="AN128" s="238"/>
      <c r="AO128" s="238"/>
      <c r="AP128" s="238"/>
      <c r="AQ128" s="239"/>
      <c r="AR128" s="44" t="s">
        <v>30</v>
      </c>
      <c r="AS128" s="44" t="s">
        <v>32</v>
      </c>
      <c r="AT128" s="44" t="s">
        <v>32</v>
      </c>
      <c r="AU128" s="240" t="s">
        <v>33</v>
      </c>
      <c r="AV128" s="241"/>
      <c r="AW128" s="241"/>
      <c r="AX128" s="242"/>
      <c r="AY128" s="240" t="s">
        <v>32</v>
      </c>
      <c r="AZ128" s="241"/>
      <c r="BA128" s="241"/>
      <c r="BB128" s="242"/>
      <c r="BC128" s="296" t="s">
        <v>436</v>
      </c>
      <c r="BD128" s="297"/>
      <c r="BE128" s="297"/>
      <c r="BF128" s="297"/>
      <c r="BG128" s="297"/>
      <c r="BH128" s="297"/>
      <c r="BI128" s="297"/>
      <c r="BJ128" s="298"/>
      <c r="BK128" s="35"/>
    </row>
    <row r="129" spans="1:63" x14ac:dyDescent="0.25">
      <c r="A129" s="34"/>
      <c r="BK129" s="35"/>
    </row>
    <row r="130" spans="1:63" x14ac:dyDescent="0.25">
      <c r="A130" s="34"/>
      <c r="BK130" s="35"/>
    </row>
    <row r="131" spans="1:63" x14ac:dyDescent="0.25">
      <c r="A131" s="34"/>
      <c r="BK131" s="35"/>
    </row>
    <row r="132" spans="1:63" x14ac:dyDescent="0.25">
      <c r="A132" s="34"/>
      <c r="BK132" s="35"/>
    </row>
    <row r="133" spans="1:63" x14ac:dyDescent="0.25">
      <c r="A133" s="34"/>
      <c r="BK133" s="35"/>
    </row>
    <row r="134" spans="1:63" x14ac:dyDescent="0.25">
      <c r="A134" s="34"/>
      <c r="BK134" s="35"/>
    </row>
    <row r="135" spans="1:63" x14ac:dyDescent="0.25">
      <c r="A135" s="34"/>
      <c r="BK135" s="35"/>
    </row>
    <row r="136" spans="1:63" x14ac:dyDescent="0.25">
      <c r="A136" s="34"/>
      <c r="BK136" s="35"/>
    </row>
    <row r="137" spans="1:63" x14ac:dyDescent="0.25">
      <c r="A137" s="34"/>
      <c r="BK137" s="35"/>
    </row>
    <row r="138" spans="1:63" x14ac:dyDescent="0.25">
      <c r="A138" s="31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  <c r="BF138" s="32"/>
      <c r="BG138" s="32"/>
      <c r="BH138" s="32"/>
      <c r="BI138" s="32"/>
      <c r="BJ138" s="32"/>
      <c r="BK138" s="33"/>
    </row>
  </sheetData>
  <mergeCells count="876">
    <mergeCell ref="AA128:AH128"/>
    <mergeCell ref="AI128:AQ128"/>
    <mergeCell ref="AU128:AX128"/>
    <mergeCell ref="AY128:BB128"/>
    <mergeCell ref="BC128:BJ128"/>
    <mergeCell ref="B128:C128"/>
    <mergeCell ref="D128:J128"/>
    <mergeCell ref="K128:M128"/>
    <mergeCell ref="P128:S128"/>
    <mergeCell ref="T128:W128"/>
    <mergeCell ref="X128:Z128"/>
    <mergeCell ref="X127:Z127"/>
    <mergeCell ref="AA127:AH127"/>
    <mergeCell ref="AI127:AQ127"/>
    <mergeCell ref="AU127:AX127"/>
    <mergeCell ref="AY127:BB127"/>
    <mergeCell ref="BC127:BJ127"/>
    <mergeCell ref="AA126:AH126"/>
    <mergeCell ref="AI126:AQ126"/>
    <mergeCell ref="AU126:AX126"/>
    <mergeCell ref="AY126:BB126"/>
    <mergeCell ref="BC126:BJ126"/>
    <mergeCell ref="X126:Z126"/>
    <mergeCell ref="B127:C127"/>
    <mergeCell ref="D127:J127"/>
    <mergeCell ref="K127:M127"/>
    <mergeCell ref="P127:S127"/>
    <mergeCell ref="T127:W127"/>
    <mergeCell ref="B126:C126"/>
    <mergeCell ref="D126:J126"/>
    <mergeCell ref="K126:M126"/>
    <mergeCell ref="P126:S126"/>
    <mergeCell ref="T126:W126"/>
    <mergeCell ref="B53:C53"/>
    <mergeCell ref="D53:J53"/>
    <mergeCell ref="K53:M53"/>
    <mergeCell ref="P53:S53"/>
    <mergeCell ref="T53:W53"/>
    <mergeCell ref="P50:AQ50"/>
    <mergeCell ref="AR50:BB50"/>
    <mergeCell ref="BC50:BJ52"/>
    <mergeCell ref="P51:W51"/>
    <mergeCell ref="X51:Z52"/>
    <mergeCell ref="AA51:AH52"/>
    <mergeCell ref="AI51:AQ52"/>
    <mergeCell ref="AR51:AR52"/>
    <mergeCell ref="AS51:AS52"/>
    <mergeCell ref="AT51:AT52"/>
    <mergeCell ref="X53:Z53"/>
    <mergeCell ref="AA53:AH53"/>
    <mergeCell ref="AI53:AQ53"/>
    <mergeCell ref="AU53:AX53"/>
    <mergeCell ref="AY53:BB53"/>
    <mergeCell ref="BC53:BJ53"/>
    <mergeCell ref="AU51:BB51"/>
    <mergeCell ref="P52:S52"/>
    <mergeCell ref="T52:W52"/>
    <mergeCell ref="A4:G4"/>
    <mergeCell ref="H4:T4"/>
    <mergeCell ref="U4:Y4"/>
    <mergeCell ref="Z4:AO4"/>
    <mergeCell ref="AP4:BK4"/>
    <mergeCell ref="B50:C52"/>
    <mergeCell ref="D50:J52"/>
    <mergeCell ref="K50:M52"/>
    <mergeCell ref="N50:N52"/>
    <mergeCell ref="O50:O52"/>
    <mergeCell ref="AU52:AX52"/>
    <mergeCell ref="AY52:BB52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B54:C54"/>
    <mergeCell ref="D54:J54"/>
    <mergeCell ref="K54:M54"/>
    <mergeCell ref="P54:S54"/>
    <mergeCell ref="T54:W54"/>
    <mergeCell ref="X54:Z54"/>
    <mergeCell ref="AA54:AH54"/>
    <mergeCell ref="AI54:AQ54"/>
    <mergeCell ref="AU54:AX54"/>
    <mergeCell ref="AY54:BB54"/>
    <mergeCell ref="BC54:BJ54"/>
    <mergeCell ref="AY55:BB55"/>
    <mergeCell ref="BC55:BJ55"/>
    <mergeCell ref="B56:C56"/>
    <mergeCell ref="D56:J56"/>
    <mergeCell ref="K56:M56"/>
    <mergeCell ref="P56:S56"/>
    <mergeCell ref="T56:W56"/>
    <mergeCell ref="X56:Z56"/>
    <mergeCell ref="AA56:AH56"/>
    <mergeCell ref="AI56:AQ56"/>
    <mergeCell ref="AU56:AX56"/>
    <mergeCell ref="AY56:BB56"/>
    <mergeCell ref="BC56:BJ56"/>
    <mergeCell ref="B55:C55"/>
    <mergeCell ref="D55:J55"/>
    <mergeCell ref="K55:M55"/>
    <mergeCell ref="P55:S55"/>
    <mergeCell ref="T55:W55"/>
    <mergeCell ref="X55:Z55"/>
    <mergeCell ref="AA55:AH55"/>
    <mergeCell ref="AI55:AQ55"/>
    <mergeCell ref="AU55:AX55"/>
    <mergeCell ref="AY57:BB57"/>
    <mergeCell ref="BC57:BJ57"/>
    <mergeCell ref="B58:C58"/>
    <mergeCell ref="D58:J58"/>
    <mergeCell ref="K58:M58"/>
    <mergeCell ref="P58:S58"/>
    <mergeCell ref="T58:W58"/>
    <mergeCell ref="X58:Z58"/>
    <mergeCell ref="AA58:AH58"/>
    <mergeCell ref="AI58:AQ58"/>
    <mergeCell ref="AU58:AX58"/>
    <mergeCell ref="AY58:BB58"/>
    <mergeCell ref="BC58:BJ58"/>
    <mergeCell ref="B57:C57"/>
    <mergeCell ref="D57:J57"/>
    <mergeCell ref="K57:M57"/>
    <mergeCell ref="P57:S57"/>
    <mergeCell ref="T57:W57"/>
    <mergeCell ref="X57:Z57"/>
    <mergeCell ref="AA57:AH57"/>
    <mergeCell ref="AI57:AQ57"/>
    <mergeCell ref="AU57:AX57"/>
    <mergeCell ref="AY59:BB59"/>
    <mergeCell ref="BC59:BJ59"/>
    <mergeCell ref="B60:C60"/>
    <mergeCell ref="D60:J60"/>
    <mergeCell ref="K60:M60"/>
    <mergeCell ref="P60:S60"/>
    <mergeCell ref="T60:W60"/>
    <mergeCell ref="X60:Z60"/>
    <mergeCell ref="AA60:AH60"/>
    <mergeCell ref="AI60:AQ60"/>
    <mergeCell ref="AU60:AX60"/>
    <mergeCell ref="AY60:BB60"/>
    <mergeCell ref="BC60:BJ60"/>
    <mergeCell ref="B59:C59"/>
    <mergeCell ref="D59:J59"/>
    <mergeCell ref="K59:M59"/>
    <mergeCell ref="P59:S59"/>
    <mergeCell ref="T59:W59"/>
    <mergeCell ref="X59:Z59"/>
    <mergeCell ref="AA59:AH59"/>
    <mergeCell ref="AI59:AQ59"/>
    <mergeCell ref="AU59:AX59"/>
    <mergeCell ref="AY61:BB61"/>
    <mergeCell ref="BC61:BJ61"/>
    <mergeCell ref="B62:C62"/>
    <mergeCell ref="D62:J62"/>
    <mergeCell ref="K62:M62"/>
    <mergeCell ref="P62:S62"/>
    <mergeCell ref="T62:W62"/>
    <mergeCell ref="X62:Z62"/>
    <mergeCell ref="AA62:AH62"/>
    <mergeCell ref="AI62:AQ62"/>
    <mergeCell ref="AU62:AX62"/>
    <mergeCell ref="AY62:BB62"/>
    <mergeCell ref="BC62:BJ62"/>
    <mergeCell ref="B61:C61"/>
    <mergeCell ref="D61:J61"/>
    <mergeCell ref="K61:M61"/>
    <mergeCell ref="P61:S61"/>
    <mergeCell ref="T61:W61"/>
    <mergeCell ref="X61:Z61"/>
    <mergeCell ref="AA61:AH61"/>
    <mergeCell ref="AI61:AQ61"/>
    <mergeCell ref="AU61:AX61"/>
    <mergeCell ref="AY63:BB63"/>
    <mergeCell ref="BC63:BJ63"/>
    <mergeCell ref="B64:C64"/>
    <mergeCell ref="D64:J64"/>
    <mergeCell ref="K64:M64"/>
    <mergeCell ref="P64:S64"/>
    <mergeCell ref="T64:W64"/>
    <mergeCell ref="X64:Z64"/>
    <mergeCell ref="AA64:AH64"/>
    <mergeCell ref="AI64:AQ64"/>
    <mergeCell ref="AU64:AX64"/>
    <mergeCell ref="AY64:BB64"/>
    <mergeCell ref="BC64:BJ64"/>
    <mergeCell ref="B63:C63"/>
    <mergeCell ref="D63:J63"/>
    <mergeCell ref="K63:M63"/>
    <mergeCell ref="P63:S63"/>
    <mergeCell ref="T63:W63"/>
    <mergeCell ref="X63:Z63"/>
    <mergeCell ref="AA63:AH63"/>
    <mergeCell ref="AI63:AQ63"/>
    <mergeCell ref="AU63:AX63"/>
    <mergeCell ref="AY65:BB65"/>
    <mergeCell ref="BC65:BJ65"/>
    <mergeCell ref="B66:C66"/>
    <mergeCell ref="D66:J66"/>
    <mergeCell ref="K66:M66"/>
    <mergeCell ref="P66:S66"/>
    <mergeCell ref="T66:W66"/>
    <mergeCell ref="X66:Z66"/>
    <mergeCell ref="AA66:AH66"/>
    <mergeCell ref="AI66:AQ66"/>
    <mergeCell ref="AU66:AX66"/>
    <mergeCell ref="AY66:BB66"/>
    <mergeCell ref="BC66:BJ66"/>
    <mergeCell ref="B65:C65"/>
    <mergeCell ref="D65:J65"/>
    <mergeCell ref="K65:M65"/>
    <mergeCell ref="P65:S65"/>
    <mergeCell ref="T65:W65"/>
    <mergeCell ref="X65:Z65"/>
    <mergeCell ref="AA65:AH65"/>
    <mergeCell ref="AI65:AQ65"/>
    <mergeCell ref="AU65:AX65"/>
    <mergeCell ref="AY67:BB67"/>
    <mergeCell ref="BC67:BJ67"/>
    <mergeCell ref="B68:C68"/>
    <mergeCell ref="D68:J68"/>
    <mergeCell ref="K68:M68"/>
    <mergeCell ref="P68:S68"/>
    <mergeCell ref="T68:W68"/>
    <mergeCell ref="X68:Z68"/>
    <mergeCell ref="AA68:AH68"/>
    <mergeCell ref="AI68:AQ68"/>
    <mergeCell ref="AU68:AX68"/>
    <mergeCell ref="AY68:BB68"/>
    <mergeCell ref="BC68:BJ68"/>
    <mergeCell ref="B67:C67"/>
    <mergeCell ref="D67:J67"/>
    <mergeCell ref="K67:M67"/>
    <mergeCell ref="P67:S67"/>
    <mergeCell ref="T67:W67"/>
    <mergeCell ref="X67:Z67"/>
    <mergeCell ref="AA67:AH67"/>
    <mergeCell ref="AI67:AQ67"/>
    <mergeCell ref="AU67:AX67"/>
    <mergeCell ref="AY69:BB69"/>
    <mergeCell ref="BC69:BJ69"/>
    <mergeCell ref="B70:C70"/>
    <mergeCell ref="D70:J70"/>
    <mergeCell ref="K70:M70"/>
    <mergeCell ref="P70:S70"/>
    <mergeCell ref="T70:W70"/>
    <mergeCell ref="X70:Z70"/>
    <mergeCell ref="AA70:AH70"/>
    <mergeCell ref="AI70:AQ70"/>
    <mergeCell ref="AU70:AX70"/>
    <mergeCell ref="AY70:BB70"/>
    <mergeCell ref="BC70:BJ70"/>
    <mergeCell ref="B69:C69"/>
    <mergeCell ref="D69:J69"/>
    <mergeCell ref="K69:M69"/>
    <mergeCell ref="P69:S69"/>
    <mergeCell ref="T69:W69"/>
    <mergeCell ref="X69:Z69"/>
    <mergeCell ref="AA69:AH69"/>
    <mergeCell ref="AI69:AQ69"/>
    <mergeCell ref="AU69:AX69"/>
    <mergeCell ref="AY71:BB71"/>
    <mergeCell ref="BC71:BJ71"/>
    <mergeCell ref="B72:C72"/>
    <mergeCell ref="D72:J72"/>
    <mergeCell ref="K72:M72"/>
    <mergeCell ref="P72:S72"/>
    <mergeCell ref="T72:W72"/>
    <mergeCell ref="X72:Z72"/>
    <mergeCell ref="AA72:AH72"/>
    <mergeCell ref="AI72:AQ72"/>
    <mergeCell ref="AU72:AX72"/>
    <mergeCell ref="AY72:BB72"/>
    <mergeCell ref="BC72:BJ72"/>
    <mergeCell ref="B71:C71"/>
    <mergeCell ref="D71:J71"/>
    <mergeCell ref="K71:M71"/>
    <mergeCell ref="P71:S71"/>
    <mergeCell ref="T71:W71"/>
    <mergeCell ref="X71:Z71"/>
    <mergeCell ref="AA71:AH71"/>
    <mergeCell ref="AI71:AQ71"/>
    <mergeCell ref="AU71:AX71"/>
    <mergeCell ref="AY73:BB73"/>
    <mergeCell ref="BC73:BJ73"/>
    <mergeCell ref="B74:C74"/>
    <mergeCell ref="D74:J74"/>
    <mergeCell ref="K74:M74"/>
    <mergeCell ref="P74:S74"/>
    <mergeCell ref="T74:W74"/>
    <mergeCell ref="X74:Z74"/>
    <mergeCell ref="AA74:AH74"/>
    <mergeCell ref="AI74:AQ74"/>
    <mergeCell ref="AU74:AX74"/>
    <mergeCell ref="AY74:BB74"/>
    <mergeCell ref="BC74:BJ74"/>
    <mergeCell ref="B73:C73"/>
    <mergeCell ref="D73:J73"/>
    <mergeCell ref="K73:M73"/>
    <mergeCell ref="P73:S73"/>
    <mergeCell ref="T73:W73"/>
    <mergeCell ref="X73:Z73"/>
    <mergeCell ref="AA73:AH73"/>
    <mergeCell ref="AI73:AQ73"/>
    <mergeCell ref="AU73:AX73"/>
    <mergeCell ref="AY75:BB75"/>
    <mergeCell ref="BC75:BJ75"/>
    <mergeCell ref="B76:C76"/>
    <mergeCell ref="D76:J76"/>
    <mergeCell ref="K76:M76"/>
    <mergeCell ref="P76:S76"/>
    <mergeCell ref="T76:W76"/>
    <mergeCell ref="X76:Z76"/>
    <mergeCell ref="AA76:AH76"/>
    <mergeCell ref="AI76:AQ76"/>
    <mergeCell ref="AU76:AX76"/>
    <mergeCell ref="AY76:BB76"/>
    <mergeCell ref="BC76:BJ76"/>
    <mergeCell ref="B75:C75"/>
    <mergeCell ref="D75:J75"/>
    <mergeCell ref="K75:M75"/>
    <mergeCell ref="P75:S75"/>
    <mergeCell ref="T75:W75"/>
    <mergeCell ref="X75:Z75"/>
    <mergeCell ref="AA75:AH75"/>
    <mergeCell ref="AI75:AQ75"/>
    <mergeCell ref="AU75:AX75"/>
    <mergeCell ref="AY77:BB77"/>
    <mergeCell ref="BC77:BJ77"/>
    <mergeCell ref="B78:C78"/>
    <mergeCell ref="D78:J78"/>
    <mergeCell ref="K78:M78"/>
    <mergeCell ref="P78:S78"/>
    <mergeCell ref="T78:W78"/>
    <mergeCell ref="X78:Z78"/>
    <mergeCell ref="AA78:AH78"/>
    <mergeCell ref="AI78:AQ78"/>
    <mergeCell ref="AU78:AX78"/>
    <mergeCell ref="AY78:BB78"/>
    <mergeCell ref="BC78:BJ78"/>
    <mergeCell ref="B77:C77"/>
    <mergeCell ref="D77:J77"/>
    <mergeCell ref="K77:M77"/>
    <mergeCell ref="P77:S77"/>
    <mergeCell ref="T77:W77"/>
    <mergeCell ref="X77:Z77"/>
    <mergeCell ref="AA77:AH77"/>
    <mergeCell ref="AI77:AQ77"/>
    <mergeCell ref="AU77:AX77"/>
    <mergeCell ref="AY79:BB79"/>
    <mergeCell ref="BC79:BJ79"/>
    <mergeCell ref="B80:C80"/>
    <mergeCell ref="D80:J80"/>
    <mergeCell ref="K80:M80"/>
    <mergeCell ref="P80:S80"/>
    <mergeCell ref="T80:W80"/>
    <mergeCell ref="X80:Z80"/>
    <mergeCell ref="AA80:AH80"/>
    <mergeCell ref="AI80:AQ80"/>
    <mergeCell ref="AU80:AX80"/>
    <mergeCell ref="AY80:BB80"/>
    <mergeCell ref="BC80:BJ80"/>
    <mergeCell ref="B79:C79"/>
    <mergeCell ref="D79:J79"/>
    <mergeCell ref="K79:M79"/>
    <mergeCell ref="P79:S79"/>
    <mergeCell ref="T79:W79"/>
    <mergeCell ref="X79:Z79"/>
    <mergeCell ref="AA79:AH79"/>
    <mergeCell ref="AI79:AQ79"/>
    <mergeCell ref="AU79:AX79"/>
    <mergeCell ref="AY81:BB81"/>
    <mergeCell ref="BC81:BJ81"/>
    <mergeCell ref="B82:C82"/>
    <mergeCell ref="D82:J82"/>
    <mergeCell ref="K82:M82"/>
    <mergeCell ref="P82:S82"/>
    <mergeCell ref="T82:W82"/>
    <mergeCell ref="X82:Z82"/>
    <mergeCell ref="AA82:AH82"/>
    <mergeCell ref="AI82:AQ82"/>
    <mergeCell ref="AU82:AX82"/>
    <mergeCell ref="AY82:BB82"/>
    <mergeCell ref="BC82:BJ82"/>
    <mergeCell ref="B81:C81"/>
    <mergeCell ref="D81:J81"/>
    <mergeCell ref="K81:M81"/>
    <mergeCell ref="P81:S81"/>
    <mergeCell ref="T81:W81"/>
    <mergeCell ref="X81:Z81"/>
    <mergeCell ref="AA81:AH81"/>
    <mergeCell ref="AI81:AQ81"/>
    <mergeCell ref="AU81:AX81"/>
    <mergeCell ref="AY83:BB83"/>
    <mergeCell ref="BC83:BJ83"/>
    <mergeCell ref="B84:C84"/>
    <mergeCell ref="D84:J84"/>
    <mergeCell ref="K84:M84"/>
    <mergeCell ref="P84:S84"/>
    <mergeCell ref="T84:W84"/>
    <mergeCell ref="X84:Z84"/>
    <mergeCell ref="AA84:AH84"/>
    <mergeCell ref="AI84:AQ84"/>
    <mergeCell ref="AU84:AX84"/>
    <mergeCell ref="AY84:BB84"/>
    <mergeCell ref="BC84:BJ84"/>
    <mergeCell ref="B83:C83"/>
    <mergeCell ref="D83:J83"/>
    <mergeCell ref="K83:M83"/>
    <mergeCell ref="P83:S83"/>
    <mergeCell ref="T83:W83"/>
    <mergeCell ref="X83:Z83"/>
    <mergeCell ref="AA83:AH83"/>
    <mergeCell ref="AI83:AQ83"/>
    <mergeCell ref="AU83:AX83"/>
    <mergeCell ref="AY85:BB85"/>
    <mergeCell ref="BC85:BJ85"/>
    <mergeCell ref="B86:C86"/>
    <mergeCell ref="D86:J86"/>
    <mergeCell ref="K86:M86"/>
    <mergeCell ref="P86:S86"/>
    <mergeCell ref="T86:W86"/>
    <mergeCell ref="X86:Z86"/>
    <mergeCell ref="AA86:AH86"/>
    <mergeCell ref="AI86:AQ86"/>
    <mergeCell ref="AU86:AX86"/>
    <mergeCell ref="AY86:BB86"/>
    <mergeCell ref="BC86:BJ86"/>
    <mergeCell ref="B85:C85"/>
    <mergeCell ref="D85:J85"/>
    <mergeCell ref="K85:M85"/>
    <mergeCell ref="P85:S85"/>
    <mergeCell ref="T85:W85"/>
    <mergeCell ref="X85:Z85"/>
    <mergeCell ref="AA85:AH85"/>
    <mergeCell ref="AI85:AQ85"/>
    <mergeCell ref="AU85:AX85"/>
    <mergeCell ref="AY87:BB87"/>
    <mergeCell ref="BC87:BJ87"/>
    <mergeCell ref="B88:C88"/>
    <mergeCell ref="D88:J88"/>
    <mergeCell ref="K88:M88"/>
    <mergeCell ref="P88:S88"/>
    <mergeCell ref="T88:W88"/>
    <mergeCell ref="X88:Z88"/>
    <mergeCell ref="AA88:AH88"/>
    <mergeCell ref="AI88:AQ88"/>
    <mergeCell ref="AU88:AX88"/>
    <mergeCell ref="AY88:BB88"/>
    <mergeCell ref="BC88:BJ88"/>
    <mergeCell ref="B87:C87"/>
    <mergeCell ref="D87:J87"/>
    <mergeCell ref="K87:M87"/>
    <mergeCell ref="P87:S87"/>
    <mergeCell ref="T87:W87"/>
    <mergeCell ref="X87:Z87"/>
    <mergeCell ref="AA87:AH87"/>
    <mergeCell ref="AI87:AQ87"/>
    <mergeCell ref="AU87:AX87"/>
    <mergeCell ref="AY89:BB89"/>
    <mergeCell ref="BC89:BJ89"/>
    <mergeCell ref="B90:C90"/>
    <mergeCell ref="D90:J90"/>
    <mergeCell ref="K90:M90"/>
    <mergeCell ref="P90:S90"/>
    <mergeCell ref="T90:W90"/>
    <mergeCell ref="X90:Z90"/>
    <mergeCell ref="AA90:AH90"/>
    <mergeCell ref="AI90:AQ90"/>
    <mergeCell ref="AU90:AX90"/>
    <mergeCell ref="AY90:BB90"/>
    <mergeCell ref="BC90:BJ90"/>
    <mergeCell ref="B89:C89"/>
    <mergeCell ref="D89:J89"/>
    <mergeCell ref="K89:M89"/>
    <mergeCell ref="P89:S89"/>
    <mergeCell ref="T89:W89"/>
    <mergeCell ref="X89:Z89"/>
    <mergeCell ref="AA89:AH89"/>
    <mergeCell ref="AI89:AQ89"/>
    <mergeCell ref="AU89:AX89"/>
    <mergeCell ref="AY91:BB91"/>
    <mergeCell ref="BC91:BJ91"/>
    <mergeCell ref="B92:C92"/>
    <mergeCell ref="D92:J92"/>
    <mergeCell ref="K92:M92"/>
    <mergeCell ref="P92:S92"/>
    <mergeCell ref="T92:W92"/>
    <mergeCell ref="X92:Z92"/>
    <mergeCell ref="AA92:AH92"/>
    <mergeCell ref="AI92:AQ92"/>
    <mergeCell ref="AU92:AX92"/>
    <mergeCell ref="AY92:BB92"/>
    <mergeCell ref="BC92:BJ92"/>
    <mergeCell ref="B91:C91"/>
    <mergeCell ref="D91:J91"/>
    <mergeCell ref="K91:M91"/>
    <mergeCell ref="P91:S91"/>
    <mergeCell ref="T91:W91"/>
    <mergeCell ref="X91:Z91"/>
    <mergeCell ref="AA91:AH91"/>
    <mergeCell ref="AI91:AQ91"/>
    <mergeCell ref="AU91:AX91"/>
    <mergeCell ref="AY93:BB93"/>
    <mergeCell ref="BC93:BJ93"/>
    <mergeCell ref="B94:C94"/>
    <mergeCell ref="D94:J94"/>
    <mergeCell ref="K94:M94"/>
    <mergeCell ref="P94:S94"/>
    <mergeCell ref="T94:W94"/>
    <mergeCell ref="X94:Z94"/>
    <mergeCell ref="AA94:AH94"/>
    <mergeCell ref="AI94:AQ94"/>
    <mergeCell ref="AU94:AX94"/>
    <mergeCell ref="AY94:BB94"/>
    <mergeCell ref="BC94:BJ94"/>
    <mergeCell ref="B93:C93"/>
    <mergeCell ref="D93:J93"/>
    <mergeCell ref="K93:M93"/>
    <mergeCell ref="P93:S93"/>
    <mergeCell ref="T93:W93"/>
    <mergeCell ref="X93:Z93"/>
    <mergeCell ref="AA93:AH93"/>
    <mergeCell ref="AI93:AQ93"/>
    <mergeCell ref="AU93:AX93"/>
    <mergeCell ref="B95:C95"/>
    <mergeCell ref="D95:J95"/>
    <mergeCell ref="K95:M95"/>
    <mergeCell ref="P95:S95"/>
    <mergeCell ref="T95:W95"/>
    <mergeCell ref="X95:Z95"/>
    <mergeCell ref="AA95:AH95"/>
    <mergeCell ref="AI95:AQ95"/>
    <mergeCell ref="AU95:AX95"/>
    <mergeCell ref="AY95:BB95"/>
    <mergeCell ref="BC95:BJ95"/>
    <mergeCell ref="B121:C121"/>
    <mergeCell ref="D121:J121"/>
    <mergeCell ref="K121:M121"/>
    <mergeCell ref="P121:S121"/>
    <mergeCell ref="T121:W121"/>
    <mergeCell ref="X121:Z121"/>
    <mergeCell ref="AA121:AH121"/>
    <mergeCell ref="AI121:AQ121"/>
    <mergeCell ref="AU121:AX121"/>
    <mergeCell ref="AY121:BB121"/>
    <mergeCell ref="BC121:BJ121"/>
    <mergeCell ref="B96:C96"/>
    <mergeCell ref="D96:J96"/>
    <mergeCell ref="K96:M96"/>
    <mergeCell ref="B97:C97"/>
    <mergeCell ref="D97:J97"/>
    <mergeCell ref="K97:M97"/>
    <mergeCell ref="B98:C98"/>
    <mergeCell ref="D98:J98"/>
    <mergeCell ref="K98:M98"/>
    <mergeCell ref="B99:C99"/>
    <mergeCell ref="D99:J99"/>
    <mergeCell ref="AY122:BB122"/>
    <mergeCell ref="BC122:BJ122"/>
    <mergeCell ref="B123:C123"/>
    <mergeCell ref="D123:J123"/>
    <mergeCell ref="K123:M123"/>
    <mergeCell ref="P123:S123"/>
    <mergeCell ref="T123:W123"/>
    <mergeCell ref="X123:Z123"/>
    <mergeCell ref="AA123:AH123"/>
    <mergeCell ref="AI123:AQ123"/>
    <mergeCell ref="AU123:AX123"/>
    <mergeCell ref="AY123:BB123"/>
    <mergeCell ref="BC123:BJ123"/>
    <mergeCell ref="B122:C122"/>
    <mergeCell ref="D122:J122"/>
    <mergeCell ref="K122:M122"/>
    <mergeCell ref="P122:S122"/>
    <mergeCell ref="T122:W122"/>
    <mergeCell ref="X122:Z122"/>
    <mergeCell ref="AA122:AH122"/>
    <mergeCell ref="AI122:AQ122"/>
    <mergeCell ref="AU122:AX122"/>
    <mergeCell ref="AY124:BB124"/>
    <mergeCell ref="BC124:BJ124"/>
    <mergeCell ref="B125:C125"/>
    <mergeCell ref="D125:J125"/>
    <mergeCell ref="K125:M125"/>
    <mergeCell ref="P125:S125"/>
    <mergeCell ref="T125:W125"/>
    <mergeCell ref="X125:Z125"/>
    <mergeCell ref="AA125:AH125"/>
    <mergeCell ref="AI125:AQ125"/>
    <mergeCell ref="AU125:AX125"/>
    <mergeCell ref="AY125:BB125"/>
    <mergeCell ref="BC125:BJ125"/>
    <mergeCell ref="B124:C124"/>
    <mergeCell ref="D124:J124"/>
    <mergeCell ref="K124:M124"/>
    <mergeCell ref="P124:S124"/>
    <mergeCell ref="T124:W124"/>
    <mergeCell ref="X124:Z124"/>
    <mergeCell ref="AA124:AH124"/>
    <mergeCell ref="AI124:AQ124"/>
    <mergeCell ref="AU124:AX124"/>
    <mergeCell ref="K99:M99"/>
    <mergeCell ref="B100:C100"/>
    <mergeCell ref="D100:J100"/>
    <mergeCell ref="K100:M100"/>
    <mergeCell ref="B101:C101"/>
    <mergeCell ref="D101:J101"/>
    <mergeCell ref="K101:M101"/>
    <mergeCell ref="B102:C102"/>
    <mergeCell ref="D102:J102"/>
    <mergeCell ref="K102:M102"/>
    <mergeCell ref="B103:C103"/>
    <mergeCell ref="D103:J103"/>
    <mergeCell ref="K103:M103"/>
    <mergeCell ref="B107:C107"/>
    <mergeCell ref="D107:J107"/>
    <mergeCell ref="K107:M107"/>
    <mergeCell ref="B108:C108"/>
    <mergeCell ref="D108:J108"/>
    <mergeCell ref="K108:M108"/>
    <mergeCell ref="D104:J104"/>
    <mergeCell ref="K104:M104"/>
    <mergeCell ref="K105:M105"/>
    <mergeCell ref="B104:C104"/>
    <mergeCell ref="B105:C105"/>
    <mergeCell ref="B106:C106"/>
    <mergeCell ref="B109:C109"/>
    <mergeCell ref="D109:J109"/>
    <mergeCell ref="K109:M109"/>
    <mergeCell ref="B110:C110"/>
    <mergeCell ref="D110:J110"/>
    <mergeCell ref="K110:M110"/>
    <mergeCell ref="B111:C111"/>
    <mergeCell ref="D111:J111"/>
    <mergeCell ref="K111:M111"/>
    <mergeCell ref="B112:C112"/>
    <mergeCell ref="D112:J112"/>
    <mergeCell ref="K112:M112"/>
    <mergeCell ref="B113:C113"/>
    <mergeCell ref="D113:J113"/>
    <mergeCell ref="K113:M113"/>
    <mergeCell ref="B114:C114"/>
    <mergeCell ref="D114:J114"/>
    <mergeCell ref="K114:M114"/>
    <mergeCell ref="B115:C115"/>
    <mergeCell ref="D115:J115"/>
    <mergeCell ref="K115:M115"/>
    <mergeCell ref="B116:C116"/>
    <mergeCell ref="D116:J116"/>
    <mergeCell ref="K116:M116"/>
    <mergeCell ref="B117:C117"/>
    <mergeCell ref="D117:J117"/>
    <mergeCell ref="K117:M117"/>
    <mergeCell ref="B118:C118"/>
    <mergeCell ref="D118:J118"/>
    <mergeCell ref="K118:M118"/>
    <mergeCell ref="B119:C119"/>
    <mergeCell ref="D119:J119"/>
    <mergeCell ref="K119:M119"/>
    <mergeCell ref="B120:C120"/>
    <mergeCell ref="D120:J120"/>
    <mergeCell ref="K120:M120"/>
    <mergeCell ref="P96:S96"/>
    <mergeCell ref="T96:W96"/>
    <mergeCell ref="X96:Z96"/>
    <mergeCell ref="AA96:AH96"/>
    <mergeCell ref="AI96:AQ96"/>
    <mergeCell ref="AU96:AX96"/>
    <mergeCell ref="AY96:BB96"/>
    <mergeCell ref="BC96:BJ96"/>
    <mergeCell ref="P97:S97"/>
    <mergeCell ref="T97:W97"/>
    <mergeCell ref="X97:Z97"/>
    <mergeCell ref="AA97:AH97"/>
    <mergeCell ref="AI97:AQ97"/>
    <mergeCell ref="AU97:AX97"/>
    <mergeCell ref="AY97:BB97"/>
    <mergeCell ref="BC97:BJ97"/>
    <mergeCell ref="P98:S98"/>
    <mergeCell ref="T98:W98"/>
    <mergeCell ref="X98:Z98"/>
    <mergeCell ref="AA98:AH98"/>
    <mergeCell ref="AI98:AQ98"/>
    <mergeCell ref="AU98:AX98"/>
    <mergeCell ref="AY98:BB98"/>
    <mergeCell ref="BC98:BJ98"/>
    <mergeCell ref="P99:S99"/>
    <mergeCell ref="T99:W99"/>
    <mergeCell ref="X99:Z99"/>
    <mergeCell ref="AA99:AH99"/>
    <mergeCell ref="AI99:AQ99"/>
    <mergeCell ref="AU99:AX99"/>
    <mergeCell ref="AY99:BB99"/>
    <mergeCell ref="BC99:BJ99"/>
    <mergeCell ref="P100:S100"/>
    <mergeCell ref="T100:W100"/>
    <mergeCell ref="X100:Z100"/>
    <mergeCell ref="AA100:AH100"/>
    <mergeCell ref="AI100:AQ100"/>
    <mergeCell ref="AU100:AX100"/>
    <mergeCell ref="AY100:BB100"/>
    <mergeCell ref="BC100:BJ100"/>
    <mergeCell ref="P101:S101"/>
    <mergeCell ref="T101:W101"/>
    <mergeCell ref="X101:Z101"/>
    <mergeCell ref="AA101:AH101"/>
    <mergeCell ref="AI101:AQ101"/>
    <mergeCell ref="AU101:AX101"/>
    <mergeCell ref="AY101:BB101"/>
    <mergeCell ref="BC101:BJ101"/>
    <mergeCell ref="P102:S102"/>
    <mergeCell ref="T102:W102"/>
    <mergeCell ref="X102:Z102"/>
    <mergeCell ref="AA102:AH102"/>
    <mergeCell ref="AI102:AQ102"/>
    <mergeCell ref="AU102:AX102"/>
    <mergeCell ref="AY102:BB102"/>
    <mergeCell ref="BC102:BJ102"/>
    <mergeCell ref="P103:S103"/>
    <mergeCell ref="T103:W103"/>
    <mergeCell ref="X103:Z103"/>
    <mergeCell ref="AA103:AH103"/>
    <mergeCell ref="AI103:AQ103"/>
    <mergeCell ref="AU103:AX103"/>
    <mergeCell ref="AY103:BB103"/>
    <mergeCell ref="BC103:BJ103"/>
    <mergeCell ref="P107:S107"/>
    <mergeCell ref="T107:W107"/>
    <mergeCell ref="X107:Z107"/>
    <mergeCell ref="AA107:AH107"/>
    <mergeCell ref="AI107:AQ107"/>
    <mergeCell ref="AU107:AX107"/>
    <mergeCell ref="AY107:BB107"/>
    <mergeCell ref="BC107:BJ107"/>
    <mergeCell ref="P108:S108"/>
    <mergeCell ref="T108:W108"/>
    <mergeCell ref="X108:Z108"/>
    <mergeCell ref="AA108:AH108"/>
    <mergeCell ref="AI108:AQ108"/>
    <mergeCell ref="AU108:AX108"/>
    <mergeCell ref="AY108:BB108"/>
    <mergeCell ref="BC108:BJ108"/>
    <mergeCell ref="P109:S109"/>
    <mergeCell ref="T109:W109"/>
    <mergeCell ref="X109:Z109"/>
    <mergeCell ref="AA109:AH109"/>
    <mergeCell ref="AI109:AQ109"/>
    <mergeCell ref="AU109:AX109"/>
    <mergeCell ref="AY109:BB109"/>
    <mergeCell ref="BC109:BJ109"/>
    <mergeCell ref="P110:S110"/>
    <mergeCell ref="T110:W110"/>
    <mergeCell ref="X110:Z110"/>
    <mergeCell ref="AA110:AH110"/>
    <mergeCell ref="AI110:AQ110"/>
    <mergeCell ref="AU110:AX110"/>
    <mergeCell ref="AY110:BB110"/>
    <mergeCell ref="BC110:BJ110"/>
    <mergeCell ref="P111:S111"/>
    <mergeCell ref="T111:W111"/>
    <mergeCell ref="X111:Z111"/>
    <mergeCell ref="AA111:AH111"/>
    <mergeCell ref="AI111:AQ111"/>
    <mergeCell ref="AU111:AX111"/>
    <mergeCell ref="AY111:BB111"/>
    <mergeCell ref="BC111:BJ111"/>
    <mergeCell ref="P112:S112"/>
    <mergeCell ref="T112:W112"/>
    <mergeCell ref="X112:Z112"/>
    <mergeCell ref="AA112:AH112"/>
    <mergeCell ref="AI112:AQ112"/>
    <mergeCell ref="AU112:AX112"/>
    <mergeCell ref="AY112:BB112"/>
    <mergeCell ref="BC112:BJ112"/>
    <mergeCell ref="AA113:AH113"/>
    <mergeCell ref="AI113:AQ113"/>
    <mergeCell ref="AU113:AX113"/>
    <mergeCell ref="AY113:BB113"/>
    <mergeCell ref="BC113:BJ113"/>
    <mergeCell ref="P114:S114"/>
    <mergeCell ref="T114:W114"/>
    <mergeCell ref="X114:Z114"/>
    <mergeCell ref="AA114:AH114"/>
    <mergeCell ref="AI114:AQ114"/>
    <mergeCell ref="AU114:AX114"/>
    <mergeCell ref="AY114:BB114"/>
    <mergeCell ref="BC114:BJ114"/>
    <mergeCell ref="AY115:BB115"/>
    <mergeCell ref="BC115:BJ115"/>
    <mergeCell ref="P116:S116"/>
    <mergeCell ref="T116:W116"/>
    <mergeCell ref="X116:Z116"/>
    <mergeCell ref="AA116:AH116"/>
    <mergeCell ref="AI116:AQ116"/>
    <mergeCell ref="AU116:AX116"/>
    <mergeCell ref="AY116:BB116"/>
    <mergeCell ref="BC116:BJ116"/>
    <mergeCell ref="AY117:BB117"/>
    <mergeCell ref="BC117:BJ117"/>
    <mergeCell ref="P118:S118"/>
    <mergeCell ref="T118:W118"/>
    <mergeCell ref="X118:Z118"/>
    <mergeCell ref="AA118:AH118"/>
    <mergeCell ref="AI118:AQ118"/>
    <mergeCell ref="AU118:AX118"/>
    <mergeCell ref="AY118:BB118"/>
    <mergeCell ref="BC118:BJ118"/>
    <mergeCell ref="AY119:BB119"/>
    <mergeCell ref="BC119:BJ119"/>
    <mergeCell ref="P120:S120"/>
    <mergeCell ref="T120:W120"/>
    <mergeCell ref="X120:Z120"/>
    <mergeCell ref="AA120:AH120"/>
    <mergeCell ref="AI120:AQ120"/>
    <mergeCell ref="AU120:AX120"/>
    <mergeCell ref="AY120:BB120"/>
    <mergeCell ref="BC120:BJ120"/>
    <mergeCell ref="AI104:AQ104"/>
    <mergeCell ref="AA105:AH105"/>
    <mergeCell ref="AI105:AQ105"/>
    <mergeCell ref="P119:S119"/>
    <mergeCell ref="T119:W119"/>
    <mergeCell ref="X119:Z119"/>
    <mergeCell ref="AA119:AH119"/>
    <mergeCell ref="AI119:AQ119"/>
    <mergeCell ref="AU119:AX119"/>
    <mergeCell ref="P117:S117"/>
    <mergeCell ref="T117:W117"/>
    <mergeCell ref="X117:Z117"/>
    <mergeCell ref="AA117:AH117"/>
    <mergeCell ref="AI117:AQ117"/>
    <mergeCell ref="AU117:AX117"/>
    <mergeCell ref="P115:S115"/>
    <mergeCell ref="T115:W115"/>
    <mergeCell ref="X115:Z115"/>
    <mergeCell ref="AA115:AH115"/>
    <mergeCell ref="AI115:AQ115"/>
    <mergeCell ref="AU115:AX115"/>
    <mergeCell ref="P113:S113"/>
    <mergeCell ref="T113:W113"/>
    <mergeCell ref="X113:Z113"/>
    <mergeCell ref="AU104:AX104"/>
    <mergeCell ref="AY104:BB104"/>
    <mergeCell ref="BC104:BJ104"/>
    <mergeCell ref="AU105:AX105"/>
    <mergeCell ref="AY105:BB105"/>
    <mergeCell ref="BC105:BJ105"/>
    <mergeCell ref="D105:J105"/>
    <mergeCell ref="D106:J106"/>
    <mergeCell ref="K106:M106"/>
    <mergeCell ref="P106:S106"/>
    <mergeCell ref="T106:W106"/>
    <mergeCell ref="X106:Z106"/>
    <mergeCell ref="AA106:AH106"/>
    <mergeCell ref="AI106:AQ106"/>
    <mergeCell ref="AU106:AX106"/>
    <mergeCell ref="AY106:BB106"/>
    <mergeCell ref="BC106:BJ106"/>
    <mergeCell ref="P104:S104"/>
    <mergeCell ref="T104:W104"/>
    <mergeCell ref="X104:Z104"/>
    <mergeCell ref="P105:S105"/>
    <mergeCell ref="T105:W105"/>
    <mergeCell ref="X105:Z105"/>
    <mergeCell ref="AA104:AH104"/>
  </mergeCells>
  <dataValidations count="1">
    <dataValidation type="list" allowBlank="1" showInputMessage="1" showErrorMessage="1" sqref="O53:O128" xr:uid="{00000000-0002-0000-0300-000000000000}">
      <formula1>"－,●"</formula1>
    </dataValidation>
  </dataValidations>
  <pageMargins left="0.7" right="0.7" top="0.75" bottom="0.75" header="0.3" footer="0.3"/>
  <pageSetup scale="2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2E575-BE4B-4EDE-84D6-3A23F3949F7D}">
  <sheetPr>
    <pageSetUpPr fitToPage="1"/>
  </sheetPr>
  <dimension ref="A1:BK81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30"/>
  </cols>
  <sheetData>
    <row r="1" spans="1:63" ht="24.95" customHeight="1" x14ac:dyDescent="0.25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5"/>
      <c r="K1" s="103" t="s">
        <v>2</v>
      </c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5"/>
      <c r="W1" s="106" t="str">
        <f>IF(表紙!W1="","",表紙!W1)</f>
        <v>詳細設計書</v>
      </c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8"/>
      <c r="AP1" s="66" t="s">
        <v>3</v>
      </c>
      <c r="AQ1" s="67"/>
      <c r="AR1" s="67"/>
      <c r="AS1" s="68"/>
      <c r="AT1" s="66" t="s">
        <v>4</v>
      </c>
      <c r="AU1" s="67"/>
      <c r="AV1" s="67"/>
      <c r="AW1" s="67"/>
      <c r="AX1" s="68"/>
      <c r="AY1" s="66" t="s">
        <v>5</v>
      </c>
      <c r="AZ1" s="67"/>
      <c r="BA1" s="67"/>
      <c r="BB1" s="68"/>
      <c r="BC1" s="66" t="s">
        <v>6</v>
      </c>
      <c r="BD1" s="67"/>
      <c r="BE1" s="67"/>
      <c r="BF1" s="67"/>
      <c r="BG1" s="68"/>
      <c r="BH1" s="66" t="s">
        <v>7</v>
      </c>
      <c r="BI1" s="67"/>
      <c r="BJ1" s="67"/>
      <c r="BK1" s="68"/>
    </row>
    <row r="2" spans="1:63" ht="15" customHeight="1" x14ac:dyDescent="0.25">
      <c r="A2" s="97" t="str">
        <f>IF(表紙!A2="","",表紙!A2)</f>
        <v>POSサーバー</v>
      </c>
      <c r="B2" s="98"/>
      <c r="C2" s="98"/>
      <c r="D2" s="98"/>
      <c r="E2" s="98"/>
      <c r="F2" s="98"/>
      <c r="G2" s="98"/>
      <c r="H2" s="98"/>
      <c r="I2" s="98"/>
      <c r="J2" s="99"/>
      <c r="K2" s="97" t="str">
        <f>IF(表紙!K2="","",表紙!K2)</f>
        <v>POSサーバ</v>
      </c>
      <c r="L2" s="98"/>
      <c r="M2" s="98"/>
      <c r="N2" s="98"/>
      <c r="O2" s="98"/>
      <c r="P2" s="98"/>
      <c r="Q2" s="98"/>
      <c r="R2" s="98"/>
      <c r="S2" s="98"/>
      <c r="T2" s="98"/>
      <c r="U2" s="98"/>
      <c r="V2" s="99"/>
      <c r="W2" s="109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1"/>
      <c r="AP2" s="14" t="str">
        <f>IF(表紙!AP2="","",表紙!AP2)</f>
        <v>TinNH</v>
      </c>
      <c r="AQ2" s="13"/>
      <c r="AR2" s="13"/>
      <c r="AS2" s="12"/>
      <c r="AT2" s="81">
        <f>IF(表紙!AT2="","",表紙!AT2)</f>
        <v>45478</v>
      </c>
      <c r="AU2" s="82"/>
      <c r="AV2" s="82"/>
      <c r="AW2" s="82"/>
      <c r="AX2" s="83"/>
      <c r="AY2" s="14" t="str">
        <f>IF(表紙!AY2="","",表紙!AY2)</f>
        <v>DuNT</v>
      </c>
      <c r="AZ2" s="13"/>
      <c r="BA2" s="13"/>
      <c r="BB2" s="12"/>
      <c r="BC2" s="81">
        <f>IF(表紙!BC2="","",表紙!BC2)</f>
        <v>45644</v>
      </c>
      <c r="BD2" s="82"/>
      <c r="BE2" s="82"/>
      <c r="BF2" s="82"/>
      <c r="BG2" s="83"/>
      <c r="BH2" s="14">
        <f>IF(表紙!BH2="","",表紙!BH2)</f>
        <v>0.13</v>
      </c>
      <c r="BI2" s="13"/>
      <c r="BJ2" s="13"/>
      <c r="BK2" s="12"/>
    </row>
    <row r="3" spans="1:63" ht="15" customHeight="1" x14ac:dyDescent="0.25">
      <c r="A3" s="100"/>
      <c r="B3" s="101"/>
      <c r="C3" s="101"/>
      <c r="D3" s="101"/>
      <c r="E3" s="101"/>
      <c r="F3" s="101"/>
      <c r="G3" s="101"/>
      <c r="H3" s="101"/>
      <c r="I3" s="101"/>
      <c r="J3" s="102"/>
      <c r="K3" s="100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2"/>
      <c r="W3" s="112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4"/>
      <c r="AP3" s="8"/>
      <c r="AQ3" s="7"/>
      <c r="AR3" s="7"/>
      <c r="AS3" s="6"/>
      <c r="AT3" s="84"/>
      <c r="AU3" s="85"/>
      <c r="AV3" s="85"/>
      <c r="AW3" s="85"/>
      <c r="AX3" s="86"/>
      <c r="AY3" s="8"/>
      <c r="AZ3" s="7"/>
      <c r="BA3" s="7"/>
      <c r="BB3" s="6"/>
      <c r="BC3" s="84"/>
      <c r="BD3" s="85"/>
      <c r="BE3" s="85"/>
      <c r="BF3" s="85"/>
      <c r="BG3" s="86"/>
      <c r="BH3" s="8"/>
      <c r="BI3" s="7"/>
      <c r="BJ3" s="7"/>
      <c r="BK3" s="6"/>
    </row>
    <row r="4" spans="1:63" ht="24.95" customHeight="1" x14ac:dyDescent="0.25">
      <c r="A4" s="103" t="s">
        <v>1</v>
      </c>
      <c r="B4" s="104"/>
      <c r="C4" s="104"/>
      <c r="D4" s="104"/>
      <c r="E4" s="104"/>
      <c r="F4" s="104"/>
      <c r="G4" s="105"/>
      <c r="H4" s="115" t="str">
        <f>IF(表紙!H4="","",表紙!H4)</f>
        <v>01_商品管理</v>
      </c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7"/>
      <c r="U4" s="103" t="s">
        <v>8</v>
      </c>
      <c r="V4" s="104"/>
      <c r="W4" s="104"/>
      <c r="X4" s="104"/>
      <c r="Y4" s="105"/>
      <c r="Z4" s="115" t="str">
        <f>IF(表紙!Z4="","",表紙!Z4)</f>
        <v>画面設計書</v>
      </c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7"/>
      <c r="AP4" s="118" t="str">
        <f ca="1">MID(CELL("filename",A1),FIND("]",CELL("filename",A1))+1,255)</f>
        <v>MD0102</v>
      </c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7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4"/>
      <c r="BK6" s="35"/>
    </row>
    <row r="7" spans="1:63" ht="15" customHeight="1" x14ac:dyDescent="0.25">
      <c r="A7" s="34"/>
      <c r="B7" s="37" t="s">
        <v>264</v>
      </c>
      <c r="C7" s="36"/>
      <c r="D7" s="36"/>
      <c r="E7" s="36"/>
      <c r="F7" s="36"/>
      <c r="G7" s="36"/>
      <c r="H7" s="36"/>
      <c r="I7" s="36"/>
      <c r="J7" s="36"/>
      <c r="AE7" s="37"/>
      <c r="BK7" s="35"/>
    </row>
    <row r="8" spans="1:63" x14ac:dyDescent="0.25">
      <c r="A8" s="34"/>
      <c r="BK8" s="35"/>
    </row>
    <row r="9" spans="1:63" x14ac:dyDescent="0.25">
      <c r="A9" s="34"/>
      <c r="D9" s="49"/>
      <c r="BK9" s="35"/>
    </row>
    <row r="10" spans="1:63" x14ac:dyDescent="0.25">
      <c r="A10" s="34"/>
      <c r="D10" s="49"/>
      <c r="BK10" s="35"/>
    </row>
    <row r="11" spans="1:63" x14ac:dyDescent="0.25">
      <c r="A11" s="34"/>
      <c r="D11" s="49"/>
      <c r="BK11" s="35"/>
    </row>
    <row r="12" spans="1:63" x14ac:dyDescent="0.25">
      <c r="A12" s="34"/>
      <c r="D12" s="49"/>
      <c r="BK12" s="35"/>
    </row>
    <row r="13" spans="1:63" x14ac:dyDescent="0.25">
      <c r="A13" s="34"/>
      <c r="D13" s="49"/>
      <c r="BK13" s="35"/>
    </row>
    <row r="14" spans="1:63" x14ac:dyDescent="0.25">
      <c r="A14" s="34"/>
      <c r="D14" s="49"/>
      <c r="BK14" s="35"/>
    </row>
    <row r="15" spans="1:63" x14ac:dyDescent="0.25">
      <c r="A15" s="34"/>
      <c r="D15" s="49"/>
      <c r="BK15" s="35"/>
    </row>
    <row r="16" spans="1:63" x14ac:dyDescent="0.25">
      <c r="A16" s="34"/>
      <c r="D16" s="49"/>
      <c r="BK16" s="35"/>
    </row>
    <row r="17" spans="1:63" x14ac:dyDescent="0.25">
      <c r="A17" s="34"/>
      <c r="D17" s="49"/>
      <c r="BK17" s="35"/>
    </row>
    <row r="18" spans="1:63" x14ac:dyDescent="0.25">
      <c r="A18" s="34"/>
      <c r="D18" s="49"/>
      <c r="BK18" s="35"/>
    </row>
    <row r="19" spans="1:63" x14ac:dyDescent="0.25">
      <c r="A19" s="34"/>
      <c r="D19" s="49"/>
      <c r="BK19" s="35"/>
    </row>
    <row r="20" spans="1:63" x14ac:dyDescent="0.25">
      <c r="A20" s="34"/>
      <c r="D20" s="49"/>
      <c r="BK20" s="35"/>
    </row>
    <row r="21" spans="1:63" x14ac:dyDescent="0.25">
      <c r="A21" s="34"/>
      <c r="D21" s="49"/>
      <c r="BK21" s="35"/>
    </row>
    <row r="22" spans="1:63" x14ac:dyDescent="0.25">
      <c r="A22" s="34"/>
      <c r="D22" s="49"/>
      <c r="BK22" s="35"/>
    </row>
    <row r="23" spans="1:63" x14ac:dyDescent="0.25">
      <c r="A23" s="34"/>
      <c r="D23" s="49"/>
      <c r="BK23" s="35"/>
    </row>
    <row r="24" spans="1:63" x14ac:dyDescent="0.25">
      <c r="A24" s="34"/>
      <c r="D24" s="49"/>
      <c r="BK24" s="35"/>
    </row>
    <row r="25" spans="1:63" x14ac:dyDescent="0.25">
      <c r="A25" s="34"/>
      <c r="D25" s="49"/>
      <c r="BK25" s="35"/>
    </row>
    <row r="26" spans="1:63" x14ac:dyDescent="0.25">
      <c r="A26" s="34"/>
      <c r="D26" s="49"/>
      <c r="BK26" s="35"/>
    </row>
    <row r="27" spans="1:63" x14ac:dyDescent="0.25">
      <c r="A27" s="34"/>
      <c r="D27" s="49"/>
      <c r="BK27" s="35"/>
    </row>
    <row r="28" spans="1:63" x14ac:dyDescent="0.25">
      <c r="A28" s="34"/>
      <c r="D28" s="49"/>
      <c r="BK28" s="35"/>
    </row>
    <row r="29" spans="1:63" x14ac:dyDescent="0.25">
      <c r="A29" s="34"/>
      <c r="D29" s="49"/>
      <c r="BK29" s="35"/>
    </row>
    <row r="30" spans="1:63" x14ac:dyDescent="0.25">
      <c r="A30" s="34"/>
      <c r="D30" s="49"/>
      <c r="BK30" s="35"/>
    </row>
    <row r="31" spans="1:63" x14ac:dyDescent="0.25">
      <c r="A31" s="34"/>
      <c r="D31" s="49"/>
      <c r="BK31" s="35"/>
    </row>
    <row r="32" spans="1:63" x14ac:dyDescent="0.25">
      <c r="A32" s="34"/>
      <c r="D32" s="49"/>
      <c r="BK32" s="35"/>
    </row>
    <row r="33" spans="1:63" x14ac:dyDescent="0.25">
      <c r="A33" s="34"/>
      <c r="D33" s="49"/>
      <c r="BK33" s="35"/>
    </row>
    <row r="34" spans="1:63" x14ac:dyDescent="0.25">
      <c r="A34" s="34"/>
      <c r="D34" s="49"/>
      <c r="BK34" s="35"/>
    </row>
    <row r="35" spans="1:63" x14ac:dyDescent="0.25">
      <c r="A35" s="34"/>
      <c r="D35" s="49"/>
      <c r="BK35" s="35"/>
    </row>
    <row r="36" spans="1:63" x14ac:dyDescent="0.25">
      <c r="A36" s="34"/>
      <c r="D36" s="49"/>
      <c r="BK36" s="35"/>
    </row>
    <row r="37" spans="1:63" x14ac:dyDescent="0.25">
      <c r="A37" s="34"/>
      <c r="D37" s="49"/>
      <c r="BK37" s="35"/>
    </row>
    <row r="38" spans="1:63" x14ac:dyDescent="0.25">
      <c r="A38" s="34"/>
      <c r="D38" s="49"/>
      <c r="BK38" s="35"/>
    </row>
    <row r="39" spans="1:63" x14ac:dyDescent="0.25">
      <c r="A39" s="34"/>
      <c r="BK39" s="35"/>
    </row>
    <row r="40" spans="1:63" x14ac:dyDescent="0.25">
      <c r="A40" s="34"/>
      <c r="BK40" s="35"/>
    </row>
    <row r="41" spans="1:63" x14ac:dyDescent="0.25">
      <c r="A41" s="34"/>
      <c r="BK41" s="35"/>
    </row>
    <row r="42" spans="1:63" x14ac:dyDescent="0.25">
      <c r="A42" s="34"/>
      <c r="BK42" s="35"/>
    </row>
    <row r="43" spans="1:63" x14ac:dyDescent="0.25">
      <c r="A43" s="34"/>
      <c r="BK43" s="35"/>
    </row>
    <row r="44" spans="1:63" x14ac:dyDescent="0.25">
      <c r="A44" s="34"/>
      <c r="B44" s="37" t="s">
        <v>14</v>
      </c>
      <c r="BK44" s="35"/>
    </row>
    <row r="45" spans="1:63" x14ac:dyDescent="0.25">
      <c r="A45" s="34"/>
      <c r="BK45" s="35"/>
    </row>
    <row r="46" spans="1:63" ht="15.75" customHeight="1" x14ac:dyDescent="0.25">
      <c r="A46" s="34"/>
      <c r="B46" s="119" t="s">
        <v>15</v>
      </c>
      <c r="C46" s="120"/>
      <c r="D46" s="125" t="s">
        <v>16</v>
      </c>
      <c r="E46" s="126"/>
      <c r="F46" s="126"/>
      <c r="G46" s="126"/>
      <c r="H46" s="126"/>
      <c r="I46" s="126"/>
      <c r="J46" s="120"/>
      <c r="K46" s="125" t="s">
        <v>312</v>
      </c>
      <c r="L46" s="126"/>
      <c r="M46" s="120"/>
      <c r="N46" s="129" t="s">
        <v>18</v>
      </c>
      <c r="O46" s="132" t="s">
        <v>41</v>
      </c>
      <c r="P46" s="150" t="s">
        <v>19</v>
      </c>
      <c r="Q46" s="151"/>
      <c r="R46" s="151"/>
      <c r="S46" s="151"/>
      <c r="T46" s="151"/>
      <c r="U46" s="151"/>
      <c r="V46" s="151"/>
      <c r="W46" s="151"/>
      <c r="X46" s="151"/>
      <c r="Y46" s="151"/>
      <c r="Z46" s="151"/>
      <c r="AA46" s="151"/>
      <c r="AB46" s="151"/>
      <c r="AC46" s="151"/>
      <c r="AD46" s="151"/>
      <c r="AE46" s="151"/>
      <c r="AF46" s="151"/>
      <c r="AG46" s="151"/>
      <c r="AH46" s="151"/>
      <c r="AI46" s="151"/>
      <c r="AJ46" s="151"/>
      <c r="AK46" s="151"/>
      <c r="AL46" s="151"/>
      <c r="AM46" s="151"/>
      <c r="AN46" s="151"/>
      <c r="AO46" s="151"/>
      <c r="AP46" s="151"/>
      <c r="AQ46" s="152"/>
      <c r="AR46" s="135" t="s">
        <v>20</v>
      </c>
      <c r="AS46" s="136"/>
      <c r="AT46" s="136"/>
      <c r="AU46" s="136"/>
      <c r="AV46" s="136"/>
      <c r="AW46" s="136"/>
      <c r="AX46" s="136"/>
      <c r="AY46" s="136"/>
      <c r="AZ46" s="136"/>
      <c r="BA46" s="136"/>
      <c r="BB46" s="139"/>
      <c r="BC46" s="153" t="s">
        <v>21</v>
      </c>
      <c r="BD46" s="154"/>
      <c r="BE46" s="154"/>
      <c r="BF46" s="154"/>
      <c r="BG46" s="154"/>
      <c r="BH46" s="154"/>
      <c r="BI46" s="154"/>
      <c r="BJ46" s="155"/>
      <c r="BK46" s="35"/>
    </row>
    <row r="47" spans="1:63" ht="15.75" customHeight="1" x14ac:dyDescent="0.25">
      <c r="A47" s="34"/>
      <c r="B47" s="121"/>
      <c r="C47" s="122"/>
      <c r="D47" s="121"/>
      <c r="E47" s="127"/>
      <c r="F47" s="127"/>
      <c r="G47" s="127"/>
      <c r="H47" s="127"/>
      <c r="I47" s="127"/>
      <c r="J47" s="122"/>
      <c r="K47" s="121"/>
      <c r="L47" s="127"/>
      <c r="M47" s="122"/>
      <c r="N47" s="130"/>
      <c r="O47" s="133"/>
      <c r="P47" s="162" t="s">
        <v>22</v>
      </c>
      <c r="Q47" s="163"/>
      <c r="R47" s="163"/>
      <c r="S47" s="163"/>
      <c r="T47" s="163"/>
      <c r="U47" s="163"/>
      <c r="V47" s="163"/>
      <c r="W47" s="164"/>
      <c r="X47" s="165" t="s">
        <v>23</v>
      </c>
      <c r="Y47" s="166"/>
      <c r="Z47" s="167"/>
      <c r="AA47" s="165" t="s">
        <v>24</v>
      </c>
      <c r="AB47" s="166"/>
      <c r="AC47" s="166"/>
      <c r="AD47" s="166"/>
      <c r="AE47" s="166"/>
      <c r="AF47" s="166"/>
      <c r="AG47" s="166"/>
      <c r="AH47" s="167"/>
      <c r="AI47" s="165" t="s">
        <v>25</v>
      </c>
      <c r="AJ47" s="166"/>
      <c r="AK47" s="166"/>
      <c r="AL47" s="166"/>
      <c r="AM47" s="166"/>
      <c r="AN47" s="166"/>
      <c r="AO47" s="166"/>
      <c r="AP47" s="166"/>
      <c r="AQ47" s="167"/>
      <c r="AR47" s="171" t="s">
        <v>26</v>
      </c>
      <c r="AS47" s="173" t="s">
        <v>27</v>
      </c>
      <c r="AT47" s="175" t="s">
        <v>28</v>
      </c>
      <c r="AU47" s="135" t="s">
        <v>22</v>
      </c>
      <c r="AV47" s="136"/>
      <c r="AW47" s="136"/>
      <c r="AX47" s="136"/>
      <c r="AY47" s="136"/>
      <c r="AZ47" s="136"/>
      <c r="BA47" s="136"/>
      <c r="BB47" s="139"/>
      <c r="BC47" s="156"/>
      <c r="BD47" s="157"/>
      <c r="BE47" s="157"/>
      <c r="BF47" s="157"/>
      <c r="BG47" s="157"/>
      <c r="BH47" s="157"/>
      <c r="BI47" s="157"/>
      <c r="BJ47" s="158"/>
      <c r="BK47" s="35"/>
    </row>
    <row r="48" spans="1:63" x14ac:dyDescent="0.25">
      <c r="A48" s="34"/>
      <c r="B48" s="123"/>
      <c r="C48" s="124"/>
      <c r="D48" s="123"/>
      <c r="E48" s="128"/>
      <c r="F48" s="128"/>
      <c r="G48" s="128"/>
      <c r="H48" s="128"/>
      <c r="I48" s="128"/>
      <c r="J48" s="124"/>
      <c r="K48" s="123"/>
      <c r="L48" s="128"/>
      <c r="M48" s="124"/>
      <c r="N48" s="131"/>
      <c r="O48" s="134"/>
      <c r="P48" s="150" t="s">
        <v>39</v>
      </c>
      <c r="Q48" s="151"/>
      <c r="R48" s="151"/>
      <c r="S48" s="152"/>
      <c r="T48" s="150" t="s">
        <v>16</v>
      </c>
      <c r="U48" s="151"/>
      <c r="V48" s="151"/>
      <c r="W48" s="152"/>
      <c r="X48" s="168"/>
      <c r="Y48" s="169"/>
      <c r="Z48" s="170"/>
      <c r="AA48" s="168"/>
      <c r="AB48" s="169"/>
      <c r="AC48" s="169"/>
      <c r="AD48" s="169"/>
      <c r="AE48" s="169"/>
      <c r="AF48" s="169"/>
      <c r="AG48" s="169"/>
      <c r="AH48" s="170"/>
      <c r="AI48" s="168"/>
      <c r="AJ48" s="169"/>
      <c r="AK48" s="169"/>
      <c r="AL48" s="169"/>
      <c r="AM48" s="169"/>
      <c r="AN48" s="169"/>
      <c r="AO48" s="169"/>
      <c r="AP48" s="169"/>
      <c r="AQ48" s="170"/>
      <c r="AR48" s="172"/>
      <c r="AS48" s="174"/>
      <c r="AT48" s="176"/>
      <c r="AU48" s="135" t="s">
        <v>39</v>
      </c>
      <c r="AV48" s="136"/>
      <c r="AW48" s="136"/>
      <c r="AX48" s="137"/>
      <c r="AY48" s="138" t="s">
        <v>16</v>
      </c>
      <c r="AZ48" s="136"/>
      <c r="BA48" s="136"/>
      <c r="BB48" s="139"/>
      <c r="BC48" s="159"/>
      <c r="BD48" s="160"/>
      <c r="BE48" s="160"/>
      <c r="BF48" s="160"/>
      <c r="BG48" s="160"/>
      <c r="BH48" s="160"/>
      <c r="BI48" s="160"/>
      <c r="BJ48" s="161"/>
      <c r="BK48" s="35"/>
    </row>
    <row r="49" spans="1:63" ht="15.75" customHeight="1" x14ac:dyDescent="0.25">
      <c r="A49" s="34"/>
      <c r="B49" s="140">
        <v>0</v>
      </c>
      <c r="C49" s="141"/>
      <c r="D49" s="338" t="s">
        <v>44</v>
      </c>
      <c r="E49" s="339"/>
      <c r="F49" s="339"/>
      <c r="G49" s="339"/>
      <c r="H49" s="339"/>
      <c r="I49" s="339"/>
      <c r="J49" s="340"/>
      <c r="K49" s="341" t="s">
        <v>168</v>
      </c>
      <c r="L49" s="342"/>
      <c r="M49" s="343"/>
      <c r="N49" s="38" t="s">
        <v>30</v>
      </c>
      <c r="O49" s="50" t="s">
        <v>31</v>
      </c>
      <c r="P49" s="148" t="s">
        <v>30</v>
      </c>
      <c r="Q49" s="330"/>
      <c r="R49" s="330"/>
      <c r="S49" s="331"/>
      <c r="T49" s="148" t="s">
        <v>30</v>
      </c>
      <c r="U49" s="330"/>
      <c r="V49" s="330"/>
      <c r="W49" s="331"/>
      <c r="X49" s="177" t="s">
        <v>231</v>
      </c>
      <c r="Y49" s="178"/>
      <c r="Z49" s="179"/>
      <c r="AA49" s="332" t="s">
        <v>32</v>
      </c>
      <c r="AB49" s="333"/>
      <c r="AC49" s="333"/>
      <c r="AD49" s="333"/>
      <c r="AE49" s="333"/>
      <c r="AF49" s="333"/>
      <c r="AG49" s="333"/>
      <c r="AH49" s="334"/>
      <c r="AI49" s="180" t="s">
        <v>32</v>
      </c>
      <c r="AJ49" s="181"/>
      <c r="AK49" s="181"/>
      <c r="AL49" s="181"/>
      <c r="AM49" s="181"/>
      <c r="AN49" s="181"/>
      <c r="AO49" s="181"/>
      <c r="AP49" s="181"/>
      <c r="AQ49" s="182"/>
      <c r="AR49" s="40" t="s">
        <v>30</v>
      </c>
      <c r="AS49" s="40" t="s">
        <v>32</v>
      </c>
      <c r="AT49" s="40" t="s">
        <v>32</v>
      </c>
      <c r="AU49" s="140" t="s">
        <v>33</v>
      </c>
      <c r="AV49" s="149"/>
      <c r="AW49" s="149"/>
      <c r="AX49" s="141"/>
      <c r="AY49" s="140" t="s">
        <v>32</v>
      </c>
      <c r="AZ49" s="149"/>
      <c r="BA49" s="149"/>
      <c r="BB49" s="141"/>
      <c r="BC49" s="214" t="s">
        <v>232</v>
      </c>
      <c r="BD49" s="184"/>
      <c r="BE49" s="184"/>
      <c r="BF49" s="184"/>
      <c r="BG49" s="184"/>
      <c r="BH49" s="184"/>
      <c r="BI49" s="184"/>
      <c r="BJ49" s="185"/>
      <c r="BK49" s="35"/>
    </row>
    <row r="50" spans="1:63" ht="15.75" customHeight="1" x14ac:dyDescent="0.25">
      <c r="A50" s="34"/>
      <c r="B50" s="186">
        <v>1</v>
      </c>
      <c r="C50" s="188"/>
      <c r="D50" s="197" t="s">
        <v>233</v>
      </c>
      <c r="E50" s="198"/>
      <c r="F50" s="198"/>
      <c r="G50" s="198"/>
      <c r="H50" s="198"/>
      <c r="I50" s="198"/>
      <c r="J50" s="199"/>
      <c r="K50" s="207" t="s">
        <v>166</v>
      </c>
      <c r="L50" s="146"/>
      <c r="M50" s="147"/>
      <c r="N50" s="39" t="s">
        <v>172</v>
      </c>
      <c r="O50" s="39" t="s">
        <v>31</v>
      </c>
      <c r="P50" s="186" t="s">
        <v>33</v>
      </c>
      <c r="Q50" s="187"/>
      <c r="R50" s="187"/>
      <c r="S50" s="188"/>
      <c r="T50" s="186" t="s">
        <v>33</v>
      </c>
      <c r="U50" s="187"/>
      <c r="V50" s="187"/>
      <c r="W50" s="188"/>
      <c r="X50" s="322" t="s">
        <v>266</v>
      </c>
      <c r="Y50" s="289"/>
      <c r="Z50" s="290"/>
      <c r="AA50" s="213" t="s">
        <v>32</v>
      </c>
      <c r="AB50" s="190"/>
      <c r="AC50" s="190"/>
      <c r="AD50" s="190"/>
      <c r="AE50" s="190"/>
      <c r="AF50" s="190"/>
      <c r="AG50" s="190"/>
      <c r="AH50" s="191"/>
      <c r="AI50" s="189" t="s">
        <v>322</v>
      </c>
      <c r="AJ50" s="190"/>
      <c r="AK50" s="190"/>
      <c r="AL50" s="190"/>
      <c r="AM50" s="190"/>
      <c r="AN50" s="190"/>
      <c r="AO50" s="190"/>
      <c r="AP50" s="190"/>
      <c r="AQ50" s="191"/>
      <c r="AR50" s="41" t="s">
        <v>30</v>
      </c>
      <c r="AS50" s="41" t="s">
        <v>32</v>
      </c>
      <c r="AT50" s="41" t="s">
        <v>32</v>
      </c>
      <c r="AU50" s="186" t="s">
        <v>33</v>
      </c>
      <c r="AV50" s="187"/>
      <c r="AW50" s="187"/>
      <c r="AX50" s="188"/>
      <c r="AY50" s="186" t="s">
        <v>32</v>
      </c>
      <c r="AZ50" s="187"/>
      <c r="BA50" s="187"/>
      <c r="BB50" s="188"/>
      <c r="BC50" s="326" t="s">
        <v>235</v>
      </c>
      <c r="BD50" s="327"/>
      <c r="BE50" s="327"/>
      <c r="BF50" s="327"/>
      <c r="BG50" s="327"/>
      <c r="BH50" s="327"/>
      <c r="BI50" s="327"/>
      <c r="BJ50" s="328"/>
      <c r="BK50" s="35"/>
    </row>
    <row r="51" spans="1:63" x14ac:dyDescent="0.25">
      <c r="A51" s="34"/>
      <c r="B51" s="186">
        <v>2</v>
      </c>
      <c r="C51" s="188"/>
      <c r="D51" s="197" t="s">
        <v>310</v>
      </c>
      <c r="E51" s="198"/>
      <c r="F51" s="198"/>
      <c r="G51" s="198"/>
      <c r="H51" s="198"/>
      <c r="I51" s="198"/>
      <c r="J51" s="199"/>
      <c r="K51" s="323" t="s">
        <v>168</v>
      </c>
      <c r="L51" s="324"/>
      <c r="M51" s="325"/>
      <c r="N51" s="51" t="s">
        <v>30</v>
      </c>
      <c r="O51" s="39" t="s">
        <v>31</v>
      </c>
      <c r="P51" s="314" t="s">
        <v>30</v>
      </c>
      <c r="Q51" s="315"/>
      <c r="R51" s="315"/>
      <c r="S51" s="316"/>
      <c r="T51" s="314" t="s">
        <v>30</v>
      </c>
      <c r="U51" s="315"/>
      <c r="V51" s="315"/>
      <c r="W51" s="316"/>
      <c r="X51" s="313" t="s">
        <v>237</v>
      </c>
      <c r="Y51" s="267"/>
      <c r="Z51" s="268"/>
      <c r="AA51" s="213" t="s">
        <v>32</v>
      </c>
      <c r="AB51" s="190"/>
      <c r="AC51" s="190"/>
      <c r="AD51" s="190"/>
      <c r="AE51" s="190"/>
      <c r="AF51" s="190"/>
      <c r="AG51" s="190"/>
      <c r="AH51" s="191"/>
      <c r="AI51" s="302" t="s">
        <v>32</v>
      </c>
      <c r="AJ51" s="303"/>
      <c r="AK51" s="303"/>
      <c r="AL51" s="303"/>
      <c r="AM51" s="303"/>
      <c r="AN51" s="303"/>
      <c r="AO51" s="303"/>
      <c r="AP51" s="303"/>
      <c r="AQ51" s="304"/>
      <c r="AR51" s="41" t="s">
        <v>30</v>
      </c>
      <c r="AS51" s="41" t="s">
        <v>32</v>
      </c>
      <c r="AT51" s="41" t="s">
        <v>32</v>
      </c>
      <c r="AU51" s="308" t="s">
        <v>33</v>
      </c>
      <c r="AV51" s="309"/>
      <c r="AW51" s="309"/>
      <c r="AX51" s="310"/>
      <c r="AY51" s="308" t="s">
        <v>32</v>
      </c>
      <c r="AZ51" s="309"/>
      <c r="BA51" s="309"/>
      <c r="BB51" s="310"/>
      <c r="BC51" s="210" t="s">
        <v>32</v>
      </c>
      <c r="BD51" s="211"/>
      <c r="BE51" s="211"/>
      <c r="BF51" s="211"/>
      <c r="BG51" s="211"/>
      <c r="BH51" s="211"/>
      <c r="BI51" s="211"/>
      <c r="BJ51" s="212"/>
      <c r="BK51" s="35"/>
    </row>
    <row r="52" spans="1:63" ht="32.25" customHeight="1" x14ac:dyDescent="0.25">
      <c r="A52" s="34"/>
      <c r="B52" s="186">
        <v>2.1</v>
      </c>
      <c r="C52" s="188"/>
      <c r="D52" s="197" t="s">
        <v>311</v>
      </c>
      <c r="E52" s="198"/>
      <c r="F52" s="198"/>
      <c r="G52" s="198"/>
      <c r="H52" s="198"/>
      <c r="I52" s="198"/>
      <c r="J52" s="199"/>
      <c r="K52" s="323" t="s">
        <v>50</v>
      </c>
      <c r="L52" s="324"/>
      <c r="M52" s="325"/>
      <c r="N52" s="39" t="s">
        <v>172</v>
      </c>
      <c r="O52" s="39" t="s">
        <v>30</v>
      </c>
      <c r="P52" s="314" t="s">
        <v>30</v>
      </c>
      <c r="Q52" s="315"/>
      <c r="R52" s="315"/>
      <c r="S52" s="316"/>
      <c r="T52" s="314" t="s">
        <v>30</v>
      </c>
      <c r="U52" s="315"/>
      <c r="V52" s="315"/>
      <c r="W52" s="316"/>
      <c r="X52" s="317" t="s">
        <v>30</v>
      </c>
      <c r="Y52" s="318"/>
      <c r="Z52" s="319"/>
      <c r="AA52" s="213" t="s">
        <v>32</v>
      </c>
      <c r="AB52" s="190"/>
      <c r="AC52" s="190"/>
      <c r="AD52" s="190"/>
      <c r="AE52" s="190"/>
      <c r="AF52" s="190"/>
      <c r="AG52" s="190"/>
      <c r="AH52" s="191"/>
      <c r="AI52" s="189" t="s">
        <v>322</v>
      </c>
      <c r="AJ52" s="190"/>
      <c r="AK52" s="190"/>
      <c r="AL52" s="190"/>
      <c r="AM52" s="190"/>
      <c r="AN52" s="190"/>
      <c r="AO52" s="190"/>
      <c r="AP52" s="190"/>
      <c r="AQ52" s="191"/>
      <c r="AR52" s="42" t="s">
        <v>31</v>
      </c>
      <c r="AS52" s="42" t="s">
        <v>31</v>
      </c>
      <c r="AT52" s="52" t="s">
        <v>32</v>
      </c>
      <c r="AU52" s="314" t="s">
        <v>239</v>
      </c>
      <c r="AV52" s="309"/>
      <c r="AW52" s="309"/>
      <c r="AX52" s="310"/>
      <c r="AY52" s="314" t="s">
        <v>240</v>
      </c>
      <c r="AZ52" s="309"/>
      <c r="BA52" s="309"/>
      <c r="BB52" s="310"/>
      <c r="BC52" s="329" t="s">
        <v>241</v>
      </c>
      <c r="BD52" s="211"/>
      <c r="BE52" s="211"/>
      <c r="BF52" s="211"/>
      <c r="BG52" s="211"/>
      <c r="BH52" s="211"/>
      <c r="BI52" s="211"/>
      <c r="BJ52" s="212"/>
      <c r="BK52" s="35"/>
    </row>
    <row r="53" spans="1:63" x14ac:dyDescent="0.25">
      <c r="A53" s="34"/>
      <c r="B53" s="186">
        <v>3</v>
      </c>
      <c r="C53" s="188"/>
      <c r="D53" s="197" t="s">
        <v>242</v>
      </c>
      <c r="E53" s="198"/>
      <c r="F53" s="198"/>
      <c r="G53" s="198"/>
      <c r="H53" s="198"/>
      <c r="I53" s="198"/>
      <c r="J53" s="199"/>
      <c r="K53" s="207" t="s">
        <v>166</v>
      </c>
      <c r="L53" s="146"/>
      <c r="M53" s="147"/>
      <c r="N53" s="39" t="s">
        <v>172</v>
      </c>
      <c r="O53" s="39" t="s">
        <v>31</v>
      </c>
      <c r="P53" s="186" t="s">
        <v>33</v>
      </c>
      <c r="Q53" s="187"/>
      <c r="R53" s="187"/>
      <c r="S53" s="188"/>
      <c r="T53" s="186" t="s">
        <v>33</v>
      </c>
      <c r="U53" s="187"/>
      <c r="V53" s="187"/>
      <c r="W53" s="188"/>
      <c r="X53" s="322" t="s">
        <v>242</v>
      </c>
      <c r="Y53" s="289"/>
      <c r="Z53" s="290"/>
      <c r="AA53" s="213" t="s">
        <v>32</v>
      </c>
      <c r="AB53" s="190"/>
      <c r="AC53" s="190"/>
      <c r="AD53" s="190"/>
      <c r="AE53" s="190"/>
      <c r="AF53" s="190"/>
      <c r="AG53" s="190"/>
      <c r="AH53" s="191"/>
      <c r="AI53" s="189" t="s">
        <v>322</v>
      </c>
      <c r="AJ53" s="190"/>
      <c r="AK53" s="190"/>
      <c r="AL53" s="190"/>
      <c r="AM53" s="190"/>
      <c r="AN53" s="190"/>
      <c r="AO53" s="190"/>
      <c r="AP53" s="190"/>
      <c r="AQ53" s="191"/>
      <c r="AR53" s="41" t="s">
        <v>30</v>
      </c>
      <c r="AS53" s="41" t="s">
        <v>32</v>
      </c>
      <c r="AT53" s="41" t="s">
        <v>32</v>
      </c>
      <c r="AU53" s="186" t="s">
        <v>33</v>
      </c>
      <c r="AV53" s="187"/>
      <c r="AW53" s="187"/>
      <c r="AX53" s="188"/>
      <c r="AY53" s="186" t="s">
        <v>32</v>
      </c>
      <c r="AZ53" s="187"/>
      <c r="BA53" s="187"/>
      <c r="BB53" s="188"/>
      <c r="BC53" s="210" t="s">
        <v>243</v>
      </c>
      <c r="BD53" s="211"/>
      <c r="BE53" s="211"/>
      <c r="BF53" s="211"/>
      <c r="BG53" s="211"/>
      <c r="BH53" s="211"/>
      <c r="BI53" s="211"/>
      <c r="BJ53" s="212"/>
      <c r="BK53" s="35"/>
    </row>
    <row r="54" spans="1:63" x14ac:dyDescent="0.25">
      <c r="A54" s="34"/>
      <c r="B54" s="186">
        <v>4</v>
      </c>
      <c r="C54" s="188"/>
      <c r="D54" s="197" t="s">
        <v>244</v>
      </c>
      <c r="E54" s="198"/>
      <c r="F54" s="198"/>
      <c r="G54" s="198"/>
      <c r="H54" s="198"/>
      <c r="I54" s="198"/>
      <c r="J54" s="199"/>
      <c r="K54" s="323" t="s">
        <v>168</v>
      </c>
      <c r="L54" s="324"/>
      <c r="M54" s="325"/>
      <c r="N54" s="51" t="s">
        <v>30</v>
      </c>
      <c r="O54" s="39" t="s">
        <v>31</v>
      </c>
      <c r="P54" s="314" t="s">
        <v>30</v>
      </c>
      <c r="Q54" s="315"/>
      <c r="R54" s="315"/>
      <c r="S54" s="316"/>
      <c r="T54" s="314" t="s">
        <v>30</v>
      </c>
      <c r="U54" s="315"/>
      <c r="V54" s="315"/>
      <c r="W54" s="316"/>
      <c r="X54" s="313" t="s">
        <v>317</v>
      </c>
      <c r="Y54" s="320"/>
      <c r="Z54" s="321"/>
      <c r="AA54" s="213" t="s">
        <v>32</v>
      </c>
      <c r="AB54" s="190"/>
      <c r="AC54" s="190"/>
      <c r="AD54" s="190"/>
      <c r="AE54" s="190"/>
      <c r="AF54" s="190"/>
      <c r="AG54" s="190"/>
      <c r="AH54" s="191"/>
      <c r="AI54" s="302" t="s">
        <v>32</v>
      </c>
      <c r="AJ54" s="303"/>
      <c r="AK54" s="303"/>
      <c r="AL54" s="303"/>
      <c r="AM54" s="303"/>
      <c r="AN54" s="303"/>
      <c r="AO54" s="303"/>
      <c r="AP54" s="303"/>
      <c r="AQ54" s="304"/>
      <c r="AR54" s="41" t="s">
        <v>30</v>
      </c>
      <c r="AS54" s="41" t="s">
        <v>32</v>
      </c>
      <c r="AT54" s="41" t="s">
        <v>32</v>
      </c>
      <c r="AU54" s="308" t="s">
        <v>33</v>
      </c>
      <c r="AV54" s="309"/>
      <c r="AW54" s="309"/>
      <c r="AX54" s="310"/>
      <c r="AY54" s="308" t="s">
        <v>32</v>
      </c>
      <c r="AZ54" s="309"/>
      <c r="BA54" s="309"/>
      <c r="BB54" s="310"/>
      <c r="BC54" s="210" t="s">
        <v>32</v>
      </c>
      <c r="BD54" s="211"/>
      <c r="BE54" s="211"/>
      <c r="BF54" s="211"/>
      <c r="BG54" s="211"/>
      <c r="BH54" s="211"/>
      <c r="BI54" s="211"/>
      <c r="BJ54" s="212"/>
      <c r="BK54" s="35"/>
    </row>
    <row r="55" spans="1:63" x14ac:dyDescent="0.25">
      <c r="A55" s="34"/>
      <c r="B55" s="186">
        <v>4.0999999999999996</v>
      </c>
      <c r="C55" s="188"/>
      <c r="D55" s="197" t="s">
        <v>246</v>
      </c>
      <c r="E55" s="198"/>
      <c r="F55" s="198"/>
      <c r="G55" s="198"/>
      <c r="H55" s="198"/>
      <c r="I55" s="198"/>
      <c r="J55" s="199"/>
      <c r="K55" s="207" t="s">
        <v>166</v>
      </c>
      <c r="L55" s="146"/>
      <c r="M55" s="147"/>
      <c r="N55" s="39" t="s">
        <v>172</v>
      </c>
      <c r="O55" s="39" t="s">
        <v>31</v>
      </c>
      <c r="P55" s="314" t="s">
        <v>30</v>
      </c>
      <c r="Q55" s="315"/>
      <c r="R55" s="315"/>
      <c r="S55" s="316"/>
      <c r="T55" s="314" t="s">
        <v>30</v>
      </c>
      <c r="U55" s="315"/>
      <c r="V55" s="315"/>
      <c r="W55" s="316"/>
      <c r="X55" s="313" t="s">
        <v>245</v>
      </c>
      <c r="Y55" s="320"/>
      <c r="Z55" s="321"/>
      <c r="AA55" s="213" t="s">
        <v>32</v>
      </c>
      <c r="AB55" s="190"/>
      <c r="AC55" s="190"/>
      <c r="AD55" s="190"/>
      <c r="AE55" s="190"/>
      <c r="AF55" s="190"/>
      <c r="AG55" s="190"/>
      <c r="AH55" s="191"/>
      <c r="AI55" s="189" t="s">
        <v>234</v>
      </c>
      <c r="AJ55" s="190"/>
      <c r="AK55" s="190"/>
      <c r="AL55" s="190"/>
      <c r="AM55" s="190"/>
      <c r="AN55" s="190"/>
      <c r="AO55" s="190"/>
      <c r="AP55" s="190"/>
      <c r="AQ55" s="191"/>
      <c r="AR55" s="41" t="s">
        <v>30</v>
      </c>
      <c r="AS55" s="41" t="s">
        <v>32</v>
      </c>
      <c r="AT55" s="41" t="s">
        <v>32</v>
      </c>
      <c r="AU55" s="308" t="s">
        <v>33</v>
      </c>
      <c r="AV55" s="309"/>
      <c r="AW55" s="309"/>
      <c r="AX55" s="310"/>
      <c r="AY55" s="308" t="s">
        <v>32</v>
      </c>
      <c r="AZ55" s="309"/>
      <c r="BA55" s="309"/>
      <c r="BB55" s="310"/>
      <c r="BC55" s="210" t="s">
        <v>247</v>
      </c>
      <c r="BD55" s="211"/>
      <c r="BE55" s="211"/>
      <c r="BF55" s="211"/>
      <c r="BG55" s="211"/>
      <c r="BH55" s="211"/>
      <c r="BI55" s="211"/>
      <c r="BJ55" s="212"/>
      <c r="BK55" s="35"/>
    </row>
    <row r="56" spans="1:63" ht="15.75" customHeight="1" x14ac:dyDescent="0.25">
      <c r="A56" s="34"/>
      <c r="B56" s="186">
        <v>5</v>
      </c>
      <c r="C56" s="188"/>
      <c r="D56" s="197" t="s">
        <v>236</v>
      </c>
      <c r="E56" s="198"/>
      <c r="F56" s="198"/>
      <c r="G56" s="198"/>
      <c r="H56" s="198"/>
      <c r="I56" s="198"/>
      <c r="J56" s="199"/>
      <c r="K56" s="207" t="s">
        <v>168</v>
      </c>
      <c r="L56" s="311"/>
      <c r="M56" s="312"/>
      <c r="N56" s="51" t="s">
        <v>30</v>
      </c>
      <c r="O56" s="39" t="s">
        <v>31</v>
      </c>
      <c r="P56" s="314" t="s">
        <v>30</v>
      </c>
      <c r="Q56" s="315"/>
      <c r="R56" s="315"/>
      <c r="S56" s="316"/>
      <c r="T56" s="314" t="s">
        <v>30</v>
      </c>
      <c r="U56" s="315"/>
      <c r="V56" s="315"/>
      <c r="W56" s="316"/>
      <c r="X56" s="313" t="s">
        <v>248</v>
      </c>
      <c r="Y56" s="267"/>
      <c r="Z56" s="268"/>
      <c r="AA56" s="213" t="s">
        <v>32</v>
      </c>
      <c r="AB56" s="190"/>
      <c r="AC56" s="190"/>
      <c r="AD56" s="190"/>
      <c r="AE56" s="190"/>
      <c r="AF56" s="190"/>
      <c r="AG56" s="190"/>
      <c r="AH56" s="191"/>
      <c r="AI56" s="302" t="s">
        <v>32</v>
      </c>
      <c r="AJ56" s="303"/>
      <c r="AK56" s="303"/>
      <c r="AL56" s="303"/>
      <c r="AM56" s="303"/>
      <c r="AN56" s="303"/>
      <c r="AO56" s="303"/>
      <c r="AP56" s="303"/>
      <c r="AQ56" s="304"/>
      <c r="AR56" s="41" t="s">
        <v>30</v>
      </c>
      <c r="AS56" s="41" t="s">
        <v>32</v>
      </c>
      <c r="AT56" s="41" t="s">
        <v>32</v>
      </c>
      <c r="AU56" s="308" t="s">
        <v>33</v>
      </c>
      <c r="AV56" s="309"/>
      <c r="AW56" s="309"/>
      <c r="AX56" s="310"/>
      <c r="AY56" s="308" t="s">
        <v>32</v>
      </c>
      <c r="AZ56" s="309"/>
      <c r="BA56" s="309"/>
      <c r="BB56" s="310"/>
      <c r="BC56" s="210" t="s">
        <v>32</v>
      </c>
      <c r="BD56" s="211"/>
      <c r="BE56" s="211"/>
      <c r="BF56" s="211"/>
      <c r="BG56" s="211"/>
      <c r="BH56" s="211"/>
      <c r="BI56" s="211"/>
      <c r="BJ56" s="212"/>
      <c r="BK56" s="35"/>
    </row>
    <row r="57" spans="1:63" x14ac:dyDescent="0.25">
      <c r="A57" s="34"/>
      <c r="B57" s="186">
        <v>5.0999999999999996</v>
      </c>
      <c r="C57" s="188"/>
      <c r="D57" s="197" t="s">
        <v>238</v>
      </c>
      <c r="E57" s="198"/>
      <c r="F57" s="198"/>
      <c r="G57" s="198"/>
      <c r="H57" s="198"/>
      <c r="I57" s="198"/>
      <c r="J57" s="199"/>
      <c r="K57" s="207" t="s">
        <v>168</v>
      </c>
      <c r="L57" s="311"/>
      <c r="M57" s="312"/>
      <c r="N57" s="51" t="s">
        <v>18</v>
      </c>
      <c r="O57" s="39" t="s">
        <v>30</v>
      </c>
      <c r="P57" s="314" t="s">
        <v>239</v>
      </c>
      <c r="Q57" s="315"/>
      <c r="R57" s="315"/>
      <c r="S57" s="316"/>
      <c r="T57" s="314" t="s">
        <v>240</v>
      </c>
      <c r="U57" s="315"/>
      <c r="V57" s="315"/>
      <c r="W57" s="316"/>
      <c r="X57" s="317" t="s">
        <v>30</v>
      </c>
      <c r="Y57" s="318"/>
      <c r="Z57" s="319"/>
      <c r="AA57" s="213" t="s">
        <v>32</v>
      </c>
      <c r="AB57" s="190"/>
      <c r="AC57" s="190"/>
      <c r="AD57" s="190"/>
      <c r="AE57" s="190"/>
      <c r="AF57" s="190"/>
      <c r="AG57" s="190"/>
      <c r="AH57" s="191"/>
      <c r="AI57" s="305"/>
      <c r="AJ57" s="306"/>
      <c r="AK57" s="306"/>
      <c r="AL57" s="306"/>
      <c r="AM57" s="306"/>
      <c r="AN57" s="306"/>
      <c r="AO57" s="306"/>
      <c r="AP57" s="306"/>
      <c r="AQ57" s="307"/>
      <c r="AR57" s="41" t="s">
        <v>30</v>
      </c>
      <c r="AS57" s="41" t="s">
        <v>30</v>
      </c>
      <c r="AT57" s="41" t="s">
        <v>32</v>
      </c>
      <c r="AU57" s="308" t="s">
        <v>33</v>
      </c>
      <c r="AV57" s="309"/>
      <c r="AW57" s="309"/>
      <c r="AX57" s="310"/>
      <c r="AY57" s="308" t="s">
        <v>32</v>
      </c>
      <c r="AZ57" s="309"/>
      <c r="BA57" s="309"/>
      <c r="BB57" s="310"/>
      <c r="BC57" s="210" t="s">
        <v>32</v>
      </c>
      <c r="BD57" s="211"/>
      <c r="BE57" s="211"/>
      <c r="BF57" s="211"/>
      <c r="BG57" s="211"/>
      <c r="BH57" s="211"/>
      <c r="BI57" s="211"/>
      <c r="BJ57" s="212"/>
      <c r="BK57" s="35"/>
    </row>
    <row r="58" spans="1:63" ht="15.75" customHeight="1" x14ac:dyDescent="0.25">
      <c r="A58" s="34"/>
      <c r="B58" s="186">
        <v>6</v>
      </c>
      <c r="C58" s="188"/>
      <c r="D58" s="197" t="s">
        <v>249</v>
      </c>
      <c r="E58" s="198"/>
      <c r="F58" s="198"/>
      <c r="G58" s="198"/>
      <c r="H58" s="198"/>
      <c r="I58" s="198"/>
      <c r="J58" s="199"/>
      <c r="K58" s="207" t="s">
        <v>168</v>
      </c>
      <c r="L58" s="311"/>
      <c r="M58" s="312"/>
      <c r="N58" s="51" t="s">
        <v>30</v>
      </c>
      <c r="O58" s="39" t="s">
        <v>31</v>
      </c>
      <c r="P58" s="314" t="s">
        <v>30</v>
      </c>
      <c r="Q58" s="315"/>
      <c r="R58" s="315"/>
      <c r="S58" s="316"/>
      <c r="T58" s="314" t="s">
        <v>30</v>
      </c>
      <c r="U58" s="315"/>
      <c r="V58" s="315"/>
      <c r="W58" s="316"/>
      <c r="X58" s="313" t="s">
        <v>250</v>
      </c>
      <c r="Y58" s="267"/>
      <c r="Z58" s="268"/>
      <c r="AA58" s="213" t="s">
        <v>32</v>
      </c>
      <c r="AB58" s="190"/>
      <c r="AC58" s="190"/>
      <c r="AD58" s="190"/>
      <c r="AE58" s="190"/>
      <c r="AF58" s="190"/>
      <c r="AG58" s="190"/>
      <c r="AH58" s="191"/>
      <c r="AI58" s="302" t="s">
        <v>32</v>
      </c>
      <c r="AJ58" s="303"/>
      <c r="AK58" s="303"/>
      <c r="AL58" s="303"/>
      <c r="AM58" s="303"/>
      <c r="AN58" s="303"/>
      <c r="AO58" s="303"/>
      <c r="AP58" s="303"/>
      <c r="AQ58" s="304"/>
      <c r="AR58" s="41" t="s">
        <v>30</v>
      </c>
      <c r="AS58" s="41" t="s">
        <v>32</v>
      </c>
      <c r="AT58" s="41" t="s">
        <v>32</v>
      </c>
      <c r="AU58" s="308" t="s">
        <v>33</v>
      </c>
      <c r="AV58" s="309"/>
      <c r="AW58" s="309"/>
      <c r="AX58" s="310"/>
      <c r="AY58" s="308" t="s">
        <v>32</v>
      </c>
      <c r="AZ58" s="309"/>
      <c r="BA58" s="309"/>
      <c r="BB58" s="310"/>
      <c r="BC58" s="210" t="s">
        <v>32</v>
      </c>
      <c r="BD58" s="211"/>
      <c r="BE58" s="211"/>
      <c r="BF58" s="211"/>
      <c r="BG58" s="211"/>
      <c r="BH58" s="211"/>
      <c r="BI58" s="211"/>
      <c r="BJ58" s="212"/>
      <c r="BK58" s="35"/>
    </row>
    <row r="59" spans="1:63" ht="31.5" customHeight="1" x14ac:dyDescent="0.25">
      <c r="A59" s="34"/>
      <c r="B59" s="186">
        <v>6.1</v>
      </c>
      <c r="C59" s="188"/>
      <c r="D59" s="197" t="s">
        <v>251</v>
      </c>
      <c r="E59" s="198"/>
      <c r="F59" s="198"/>
      <c r="G59" s="198"/>
      <c r="H59" s="198"/>
      <c r="I59" s="198"/>
      <c r="J59" s="199"/>
      <c r="K59" s="207" t="s">
        <v>168</v>
      </c>
      <c r="L59" s="311"/>
      <c r="M59" s="312"/>
      <c r="N59" s="51" t="s">
        <v>18</v>
      </c>
      <c r="O59" s="39" t="s">
        <v>30</v>
      </c>
      <c r="P59" s="314" t="s">
        <v>239</v>
      </c>
      <c r="Q59" s="315"/>
      <c r="R59" s="315"/>
      <c r="S59" s="316"/>
      <c r="T59" s="314" t="s">
        <v>252</v>
      </c>
      <c r="U59" s="315"/>
      <c r="V59" s="315"/>
      <c r="W59" s="316"/>
      <c r="X59" s="317" t="s">
        <v>30</v>
      </c>
      <c r="Y59" s="318"/>
      <c r="Z59" s="319"/>
      <c r="AA59" s="213" t="s">
        <v>32</v>
      </c>
      <c r="AB59" s="190"/>
      <c r="AC59" s="190"/>
      <c r="AD59" s="190"/>
      <c r="AE59" s="190"/>
      <c r="AF59" s="190"/>
      <c r="AG59" s="190"/>
      <c r="AH59" s="191"/>
      <c r="AI59" s="305"/>
      <c r="AJ59" s="306"/>
      <c r="AK59" s="306"/>
      <c r="AL59" s="306"/>
      <c r="AM59" s="306"/>
      <c r="AN59" s="306"/>
      <c r="AO59" s="306"/>
      <c r="AP59" s="306"/>
      <c r="AQ59" s="307"/>
      <c r="AR59" s="41" t="s">
        <v>30</v>
      </c>
      <c r="AS59" s="41" t="s">
        <v>30</v>
      </c>
      <c r="AT59" s="41" t="s">
        <v>32</v>
      </c>
      <c r="AU59" s="308" t="s">
        <v>33</v>
      </c>
      <c r="AV59" s="309"/>
      <c r="AW59" s="309"/>
      <c r="AX59" s="310"/>
      <c r="AY59" s="308" t="s">
        <v>32</v>
      </c>
      <c r="AZ59" s="309"/>
      <c r="BA59" s="309"/>
      <c r="BB59" s="310"/>
      <c r="BC59" s="210" t="s">
        <v>32</v>
      </c>
      <c r="BD59" s="211"/>
      <c r="BE59" s="211"/>
      <c r="BF59" s="211"/>
      <c r="BG59" s="211"/>
      <c r="BH59" s="211"/>
      <c r="BI59" s="211"/>
      <c r="BJ59" s="212"/>
      <c r="BK59" s="35"/>
    </row>
    <row r="60" spans="1:63" ht="15.75" customHeight="1" x14ac:dyDescent="0.25">
      <c r="A60" s="34"/>
      <c r="B60" s="186">
        <v>7</v>
      </c>
      <c r="C60" s="188"/>
      <c r="D60" s="197" t="s">
        <v>253</v>
      </c>
      <c r="E60" s="198"/>
      <c r="F60" s="198"/>
      <c r="G60" s="198"/>
      <c r="H60" s="198"/>
      <c r="I60" s="198"/>
      <c r="J60" s="199"/>
      <c r="K60" s="207" t="s">
        <v>168</v>
      </c>
      <c r="L60" s="311"/>
      <c r="M60" s="312"/>
      <c r="N60" s="51" t="s">
        <v>30</v>
      </c>
      <c r="O60" s="39" t="s">
        <v>31</v>
      </c>
      <c r="P60" s="314" t="s">
        <v>30</v>
      </c>
      <c r="Q60" s="315"/>
      <c r="R60" s="315"/>
      <c r="S60" s="316"/>
      <c r="T60" s="314" t="s">
        <v>30</v>
      </c>
      <c r="U60" s="315"/>
      <c r="V60" s="315"/>
      <c r="W60" s="316"/>
      <c r="X60" s="313" t="s">
        <v>254</v>
      </c>
      <c r="Y60" s="267"/>
      <c r="Z60" s="268"/>
      <c r="AA60" s="213" t="s">
        <v>32</v>
      </c>
      <c r="AB60" s="190"/>
      <c r="AC60" s="190"/>
      <c r="AD60" s="190"/>
      <c r="AE60" s="190"/>
      <c r="AF60" s="190"/>
      <c r="AG60" s="190"/>
      <c r="AH60" s="191"/>
      <c r="AI60" s="302" t="s">
        <v>32</v>
      </c>
      <c r="AJ60" s="303"/>
      <c r="AK60" s="303"/>
      <c r="AL60" s="303"/>
      <c r="AM60" s="303"/>
      <c r="AN60" s="303"/>
      <c r="AO60" s="303"/>
      <c r="AP60" s="303"/>
      <c r="AQ60" s="304"/>
      <c r="AR60" s="41" t="s">
        <v>30</v>
      </c>
      <c r="AS60" s="41" t="s">
        <v>32</v>
      </c>
      <c r="AT60" s="41" t="s">
        <v>32</v>
      </c>
      <c r="AU60" s="308" t="s">
        <v>33</v>
      </c>
      <c r="AV60" s="309"/>
      <c r="AW60" s="309"/>
      <c r="AX60" s="310"/>
      <c r="AY60" s="308" t="s">
        <v>32</v>
      </c>
      <c r="AZ60" s="309"/>
      <c r="BA60" s="309"/>
      <c r="BB60" s="310"/>
      <c r="BC60" s="210" t="s">
        <v>32</v>
      </c>
      <c r="BD60" s="211"/>
      <c r="BE60" s="211"/>
      <c r="BF60" s="211"/>
      <c r="BG60" s="211"/>
      <c r="BH60" s="211"/>
      <c r="BI60" s="211"/>
      <c r="BJ60" s="212"/>
      <c r="BK60" s="35"/>
    </row>
    <row r="61" spans="1:63" ht="55.5" customHeight="1" x14ac:dyDescent="0.25">
      <c r="A61" s="34"/>
      <c r="B61" s="186">
        <v>7.1</v>
      </c>
      <c r="C61" s="188"/>
      <c r="D61" s="197" t="s">
        <v>255</v>
      </c>
      <c r="E61" s="198"/>
      <c r="F61" s="198"/>
      <c r="G61" s="198"/>
      <c r="H61" s="198"/>
      <c r="I61" s="198"/>
      <c r="J61" s="199"/>
      <c r="K61" s="207" t="s">
        <v>168</v>
      </c>
      <c r="L61" s="311"/>
      <c r="M61" s="312"/>
      <c r="N61" s="51" t="s">
        <v>18</v>
      </c>
      <c r="O61" s="39" t="s">
        <v>30</v>
      </c>
      <c r="P61" s="314" t="s">
        <v>239</v>
      </c>
      <c r="Q61" s="315"/>
      <c r="R61" s="315"/>
      <c r="S61" s="316"/>
      <c r="T61" s="317" t="s">
        <v>256</v>
      </c>
      <c r="U61" s="315"/>
      <c r="V61" s="315"/>
      <c r="W61" s="316"/>
      <c r="X61" s="317" t="s">
        <v>30</v>
      </c>
      <c r="Y61" s="318"/>
      <c r="Z61" s="319"/>
      <c r="AA61" s="213" t="s">
        <v>32</v>
      </c>
      <c r="AB61" s="190"/>
      <c r="AC61" s="190"/>
      <c r="AD61" s="190"/>
      <c r="AE61" s="190"/>
      <c r="AF61" s="190"/>
      <c r="AG61" s="190"/>
      <c r="AH61" s="191"/>
      <c r="AI61" s="305"/>
      <c r="AJ61" s="306"/>
      <c r="AK61" s="306"/>
      <c r="AL61" s="306"/>
      <c r="AM61" s="306"/>
      <c r="AN61" s="306"/>
      <c r="AO61" s="306"/>
      <c r="AP61" s="306"/>
      <c r="AQ61" s="307"/>
      <c r="AR61" s="41" t="s">
        <v>30</v>
      </c>
      <c r="AS61" s="41" t="s">
        <v>30</v>
      </c>
      <c r="AT61" s="41" t="s">
        <v>32</v>
      </c>
      <c r="AU61" s="308" t="s">
        <v>33</v>
      </c>
      <c r="AV61" s="309"/>
      <c r="AW61" s="309"/>
      <c r="AX61" s="310"/>
      <c r="AY61" s="308" t="s">
        <v>32</v>
      </c>
      <c r="AZ61" s="309"/>
      <c r="BA61" s="309"/>
      <c r="BB61" s="310"/>
      <c r="BC61" s="335" t="s">
        <v>262</v>
      </c>
      <c r="BD61" s="336"/>
      <c r="BE61" s="336"/>
      <c r="BF61" s="336"/>
      <c r="BG61" s="336"/>
      <c r="BH61" s="336"/>
      <c r="BI61" s="336"/>
      <c r="BJ61" s="337"/>
      <c r="BK61" s="35"/>
    </row>
    <row r="62" spans="1:63" ht="15.75" customHeight="1" x14ac:dyDescent="0.25">
      <c r="A62" s="34"/>
      <c r="B62" s="186">
        <v>8</v>
      </c>
      <c r="C62" s="188"/>
      <c r="D62" s="197" t="s">
        <v>257</v>
      </c>
      <c r="E62" s="198"/>
      <c r="F62" s="198"/>
      <c r="G62" s="198"/>
      <c r="H62" s="198"/>
      <c r="I62" s="198"/>
      <c r="J62" s="199"/>
      <c r="K62" s="207" t="s">
        <v>168</v>
      </c>
      <c r="L62" s="311"/>
      <c r="M62" s="312"/>
      <c r="N62" s="51" t="s">
        <v>30</v>
      </c>
      <c r="O62" s="39" t="s">
        <v>31</v>
      </c>
      <c r="P62" s="314" t="s">
        <v>30</v>
      </c>
      <c r="Q62" s="315"/>
      <c r="R62" s="315"/>
      <c r="S62" s="316"/>
      <c r="T62" s="314" t="s">
        <v>30</v>
      </c>
      <c r="U62" s="315"/>
      <c r="V62" s="315"/>
      <c r="W62" s="316"/>
      <c r="X62" s="313" t="s">
        <v>258</v>
      </c>
      <c r="Y62" s="267"/>
      <c r="Z62" s="268"/>
      <c r="AA62" s="213" t="s">
        <v>32</v>
      </c>
      <c r="AB62" s="190"/>
      <c r="AC62" s="190"/>
      <c r="AD62" s="190"/>
      <c r="AE62" s="190"/>
      <c r="AF62" s="190"/>
      <c r="AG62" s="190"/>
      <c r="AH62" s="191"/>
      <c r="AI62" s="302" t="s">
        <v>32</v>
      </c>
      <c r="AJ62" s="303"/>
      <c r="AK62" s="303"/>
      <c r="AL62" s="303"/>
      <c r="AM62" s="303"/>
      <c r="AN62" s="303"/>
      <c r="AO62" s="303"/>
      <c r="AP62" s="303"/>
      <c r="AQ62" s="304"/>
      <c r="AR62" s="41" t="s">
        <v>30</v>
      </c>
      <c r="AS62" s="41" t="s">
        <v>32</v>
      </c>
      <c r="AT62" s="41" t="s">
        <v>32</v>
      </c>
      <c r="AU62" s="308" t="s">
        <v>33</v>
      </c>
      <c r="AV62" s="309"/>
      <c r="AW62" s="309"/>
      <c r="AX62" s="310"/>
      <c r="AY62" s="308" t="s">
        <v>32</v>
      </c>
      <c r="AZ62" s="309"/>
      <c r="BA62" s="309"/>
      <c r="BB62" s="310"/>
      <c r="BC62" s="210" t="s">
        <v>32</v>
      </c>
      <c r="BD62" s="211"/>
      <c r="BE62" s="211"/>
      <c r="BF62" s="211"/>
      <c r="BG62" s="211"/>
      <c r="BH62" s="211"/>
      <c r="BI62" s="211"/>
      <c r="BJ62" s="212"/>
      <c r="BK62" s="35"/>
    </row>
    <row r="63" spans="1:63" ht="48" customHeight="1" x14ac:dyDescent="0.25">
      <c r="A63" s="34"/>
      <c r="B63" s="186">
        <v>8.1</v>
      </c>
      <c r="C63" s="188"/>
      <c r="D63" s="197" t="s">
        <v>259</v>
      </c>
      <c r="E63" s="198"/>
      <c r="F63" s="198"/>
      <c r="G63" s="198"/>
      <c r="H63" s="198"/>
      <c r="I63" s="198"/>
      <c r="J63" s="199"/>
      <c r="K63" s="207" t="s">
        <v>168</v>
      </c>
      <c r="L63" s="311"/>
      <c r="M63" s="312"/>
      <c r="N63" s="51" t="s">
        <v>18</v>
      </c>
      <c r="O63" s="39" t="s">
        <v>30</v>
      </c>
      <c r="P63" s="314" t="s">
        <v>239</v>
      </c>
      <c r="Q63" s="315"/>
      <c r="R63" s="315"/>
      <c r="S63" s="316"/>
      <c r="T63" s="317" t="s">
        <v>260</v>
      </c>
      <c r="U63" s="318"/>
      <c r="V63" s="318"/>
      <c r="W63" s="319"/>
      <c r="X63" s="313" t="s">
        <v>30</v>
      </c>
      <c r="Y63" s="267"/>
      <c r="Z63" s="268"/>
      <c r="AA63" s="213" t="s">
        <v>32</v>
      </c>
      <c r="AB63" s="190"/>
      <c r="AC63" s="190"/>
      <c r="AD63" s="190"/>
      <c r="AE63" s="190"/>
      <c r="AF63" s="190"/>
      <c r="AG63" s="190"/>
      <c r="AH63" s="191"/>
      <c r="AI63" s="302"/>
      <c r="AJ63" s="303"/>
      <c r="AK63" s="303"/>
      <c r="AL63" s="303"/>
      <c r="AM63" s="303"/>
      <c r="AN63" s="303"/>
      <c r="AO63" s="303"/>
      <c r="AP63" s="303"/>
      <c r="AQ63" s="304"/>
      <c r="AR63" s="41" t="s">
        <v>30</v>
      </c>
      <c r="AS63" s="41" t="s">
        <v>30</v>
      </c>
      <c r="AT63" s="41" t="s">
        <v>32</v>
      </c>
      <c r="AU63" s="308" t="s">
        <v>33</v>
      </c>
      <c r="AV63" s="309"/>
      <c r="AW63" s="309"/>
      <c r="AX63" s="310"/>
      <c r="AY63" s="308" t="s">
        <v>32</v>
      </c>
      <c r="AZ63" s="309"/>
      <c r="BA63" s="309"/>
      <c r="BB63" s="310"/>
      <c r="BC63" s="210" t="s">
        <v>262</v>
      </c>
      <c r="BD63" s="211"/>
      <c r="BE63" s="211"/>
      <c r="BF63" s="211"/>
      <c r="BG63" s="211"/>
      <c r="BH63" s="211"/>
      <c r="BI63" s="211"/>
      <c r="BJ63" s="212"/>
      <c r="BK63" s="35"/>
    </row>
    <row r="64" spans="1:63" s="59" customFormat="1" ht="52.5" customHeight="1" x14ac:dyDescent="0.25">
      <c r="A64" s="54"/>
      <c r="B64" s="281">
        <v>9</v>
      </c>
      <c r="C64" s="283"/>
      <c r="D64" s="352" t="s">
        <v>48</v>
      </c>
      <c r="E64" s="353"/>
      <c r="F64" s="353"/>
      <c r="G64" s="353"/>
      <c r="H64" s="353"/>
      <c r="I64" s="353"/>
      <c r="J64" s="354"/>
      <c r="K64" s="264" t="s">
        <v>313</v>
      </c>
      <c r="L64" s="265"/>
      <c r="M64" s="266"/>
      <c r="N64" s="55" t="s">
        <v>30</v>
      </c>
      <c r="O64" s="56" t="s">
        <v>31</v>
      </c>
      <c r="P64" s="344" t="s">
        <v>30</v>
      </c>
      <c r="Q64" s="345"/>
      <c r="R64" s="345"/>
      <c r="S64" s="346"/>
      <c r="T64" s="344" t="s">
        <v>30</v>
      </c>
      <c r="U64" s="345"/>
      <c r="V64" s="345"/>
      <c r="W64" s="346"/>
      <c r="X64" s="288" t="s">
        <v>47</v>
      </c>
      <c r="Y64" s="282"/>
      <c r="Z64" s="283"/>
      <c r="AA64" s="355" t="s">
        <v>321</v>
      </c>
      <c r="AB64" s="356"/>
      <c r="AC64" s="356"/>
      <c r="AD64" s="356"/>
      <c r="AE64" s="356"/>
      <c r="AF64" s="356"/>
      <c r="AG64" s="356"/>
      <c r="AH64" s="357"/>
      <c r="AI64" s="361" t="s">
        <v>323</v>
      </c>
      <c r="AJ64" s="362"/>
      <c r="AK64" s="362"/>
      <c r="AL64" s="362"/>
      <c r="AM64" s="362"/>
      <c r="AN64" s="362"/>
      <c r="AO64" s="362"/>
      <c r="AP64" s="362"/>
      <c r="AQ64" s="363"/>
      <c r="AR64" s="57" t="s">
        <v>30</v>
      </c>
      <c r="AS64" s="57" t="s">
        <v>323</v>
      </c>
      <c r="AT64" s="57" t="s">
        <v>323</v>
      </c>
      <c r="AU64" s="344" t="s">
        <v>30</v>
      </c>
      <c r="AV64" s="345"/>
      <c r="AW64" s="345"/>
      <c r="AX64" s="346"/>
      <c r="AY64" s="344" t="s">
        <v>30</v>
      </c>
      <c r="AZ64" s="345"/>
      <c r="BA64" s="345"/>
      <c r="BB64" s="346"/>
      <c r="BC64" s="347"/>
      <c r="BD64" s="348"/>
      <c r="BE64" s="348"/>
      <c r="BF64" s="348"/>
      <c r="BG64" s="348"/>
      <c r="BH64" s="348"/>
      <c r="BI64" s="348"/>
      <c r="BJ64" s="349"/>
      <c r="BK64" s="58"/>
    </row>
    <row r="65" spans="1:63" s="59" customFormat="1" ht="48" customHeight="1" x14ac:dyDescent="0.25">
      <c r="A65" s="54"/>
      <c r="B65" s="350">
        <v>9.1</v>
      </c>
      <c r="C65" s="351"/>
      <c r="D65" s="352" t="s">
        <v>49</v>
      </c>
      <c r="E65" s="353"/>
      <c r="F65" s="353"/>
      <c r="G65" s="353"/>
      <c r="H65" s="353"/>
      <c r="I65" s="353"/>
      <c r="J65" s="354"/>
      <c r="K65" s="264" t="s">
        <v>313</v>
      </c>
      <c r="L65" s="265"/>
      <c r="M65" s="266"/>
      <c r="N65" s="60" t="s">
        <v>314</v>
      </c>
      <c r="O65" s="56" t="s">
        <v>30</v>
      </c>
      <c r="P65" s="281" t="s">
        <v>316</v>
      </c>
      <c r="Q65" s="282"/>
      <c r="R65" s="282"/>
      <c r="S65" s="283"/>
      <c r="T65" s="286" t="s">
        <v>295</v>
      </c>
      <c r="U65" s="262"/>
      <c r="V65" s="262"/>
      <c r="W65" s="263"/>
      <c r="X65" s="261" t="s">
        <v>30</v>
      </c>
      <c r="Y65" s="262"/>
      <c r="Z65" s="263"/>
      <c r="AA65" s="355" t="s">
        <v>321</v>
      </c>
      <c r="AB65" s="356"/>
      <c r="AC65" s="356"/>
      <c r="AD65" s="356"/>
      <c r="AE65" s="356"/>
      <c r="AF65" s="356"/>
      <c r="AG65" s="356"/>
      <c r="AH65" s="357"/>
      <c r="AI65" s="358" t="s">
        <v>323</v>
      </c>
      <c r="AJ65" s="359"/>
      <c r="AK65" s="359"/>
      <c r="AL65" s="359"/>
      <c r="AM65" s="359"/>
      <c r="AN65" s="359"/>
      <c r="AO65" s="359"/>
      <c r="AP65" s="359"/>
      <c r="AQ65" s="360"/>
      <c r="AR65" s="57" t="s">
        <v>30</v>
      </c>
      <c r="AS65" s="57" t="s">
        <v>323</v>
      </c>
      <c r="AT65" s="57" t="s">
        <v>323</v>
      </c>
      <c r="AU65" s="344" t="s">
        <v>30</v>
      </c>
      <c r="AV65" s="345"/>
      <c r="AW65" s="345"/>
      <c r="AX65" s="346"/>
      <c r="AY65" s="344" t="s">
        <v>30</v>
      </c>
      <c r="AZ65" s="345"/>
      <c r="BA65" s="345"/>
      <c r="BB65" s="346"/>
      <c r="BC65" s="347"/>
      <c r="BD65" s="348"/>
      <c r="BE65" s="348"/>
      <c r="BF65" s="348"/>
      <c r="BG65" s="348"/>
      <c r="BH65" s="348"/>
      <c r="BI65" s="348"/>
      <c r="BJ65" s="349"/>
      <c r="BK65" s="58"/>
    </row>
    <row r="66" spans="1:63" s="59" customFormat="1" ht="51.75" customHeight="1" x14ac:dyDescent="0.25">
      <c r="A66" s="54"/>
      <c r="B66" s="350">
        <v>10</v>
      </c>
      <c r="C66" s="351"/>
      <c r="D66" s="352" t="s">
        <v>52</v>
      </c>
      <c r="E66" s="353"/>
      <c r="F66" s="353"/>
      <c r="G66" s="353"/>
      <c r="H66" s="353"/>
      <c r="I66" s="353"/>
      <c r="J66" s="354"/>
      <c r="K66" s="264" t="s">
        <v>313</v>
      </c>
      <c r="L66" s="265"/>
      <c r="M66" s="266"/>
      <c r="N66" s="60" t="s">
        <v>30</v>
      </c>
      <c r="O66" s="56" t="s">
        <v>31</v>
      </c>
      <c r="P66" s="281" t="s">
        <v>30</v>
      </c>
      <c r="Q66" s="282"/>
      <c r="R66" s="282"/>
      <c r="S66" s="283"/>
      <c r="T66" s="288" t="s">
        <v>30</v>
      </c>
      <c r="U66" s="282"/>
      <c r="V66" s="282"/>
      <c r="W66" s="283"/>
      <c r="X66" s="261" t="s">
        <v>318</v>
      </c>
      <c r="Y66" s="262"/>
      <c r="Z66" s="263"/>
      <c r="AA66" s="355" t="s">
        <v>321</v>
      </c>
      <c r="AB66" s="356"/>
      <c r="AC66" s="356"/>
      <c r="AD66" s="356"/>
      <c r="AE66" s="356"/>
      <c r="AF66" s="356"/>
      <c r="AG66" s="356"/>
      <c r="AH66" s="357"/>
      <c r="AI66" s="358" t="s">
        <v>323</v>
      </c>
      <c r="AJ66" s="359"/>
      <c r="AK66" s="359"/>
      <c r="AL66" s="359"/>
      <c r="AM66" s="359"/>
      <c r="AN66" s="359"/>
      <c r="AO66" s="359"/>
      <c r="AP66" s="359"/>
      <c r="AQ66" s="360"/>
      <c r="AR66" s="57" t="s">
        <v>30</v>
      </c>
      <c r="AS66" s="57" t="s">
        <v>323</v>
      </c>
      <c r="AT66" s="57" t="s">
        <v>323</v>
      </c>
      <c r="AU66" s="344" t="s">
        <v>30</v>
      </c>
      <c r="AV66" s="345"/>
      <c r="AW66" s="345"/>
      <c r="AX66" s="346"/>
      <c r="AY66" s="344" t="s">
        <v>30</v>
      </c>
      <c r="AZ66" s="345"/>
      <c r="BA66" s="345"/>
      <c r="BB66" s="346"/>
      <c r="BC66" s="347"/>
      <c r="BD66" s="348"/>
      <c r="BE66" s="348"/>
      <c r="BF66" s="348"/>
      <c r="BG66" s="348"/>
      <c r="BH66" s="348"/>
      <c r="BI66" s="348"/>
      <c r="BJ66" s="349"/>
      <c r="BK66" s="58"/>
    </row>
    <row r="67" spans="1:63" s="59" customFormat="1" ht="72" customHeight="1" x14ac:dyDescent="0.25">
      <c r="A67" s="54"/>
      <c r="B67" s="350">
        <v>10.1</v>
      </c>
      <c r="C67" s="351"/>
      <c r="D67" s="352" t="s">
        <v>53</v>
      </c>
      <c r="E67" s="353"/>
      <c r="F67" s="353"/>
      <c r="G67" s="353"/>
      <c r="H67" s="353"/>
      <c r="I67" s="353"/>
      <c r="J67" s="354"/>
      <c r="K67" s="264" t="s">
        <v>313</v>
      </c>
      <c r="L67" s="265"/>
      <c r="M67" s="266"/>
      <c r="N67" s="60" t="s">
        <v>314</v>
      </c>
      <c r="O67" s="61" t="s">
        <v>30</v>
      </c>
      <c r="P67" s="281" t="s">
        <v>316</v>
      </c>
      <c r="Q67" s="282"/>
      <c r="R67" s="282"/>
      <c r="S67" s="283"/>
      <c r="T67" s="281" t="s">
        <v>55</v>
      </c>
      <c r="U67" s="282"/>
      <c r="V67" s="282"/>
      <c r="W67" s="283"/>
      <c r="X67" s="261" t="s">
        <v>30</v>
      </c>
      <c r="Y67" s="262"/>
      <c r="Z67" s="263"/>
      <c r="AA67" s="355" t="s">
        <v>321</v>
      </c>
      <c r="AB67" s="356"/>
      <c r="AC67" s="356"/>
      <c r="AD67" s="356"/>
      <c r="AE67" s="356"/>
      <c r="AF67" s="356"/>
      <c r="AG67" s="356"/>
      <c r="AH67" s="357"/>
      <c r="AI67" s="358" t="s">
        <v>323</v>
      </c>
      <c r="AJ67" s="359"/>
      <c r="AK67" s="359"/>
      <c r="AL67" s="359"/>
      <c r="AM67" s="359"/>
      <c r="AN67" s="359"/>
      <c r="AO67" s="359"/>
      <c r="AP67" s="359"/>
      <c r="AQ67" s="360"/>
      <c r="AR67" s="57" t="s">
        <v>30</v>
      </c>
      <c r="AS67" s="57" t="s">
        <v>323</v>
      </c>
      <c r="AT67" s="57" t="s">
        <v>323</v>
      </c>
      <c r="AU67" s="344" t="s">
        <v>30</v>
      </c>
      <c r="AV67" s="345"/>
      <c r="AW67" s="345"/>
      <c r="AX67" s="346"/>
      <c r="AY67" s="344" t="s">
        <v>30</v>
      </c>
      <c r="AZ67" s="345"/>
      <c r="BA67" s="345"/>
      <c r="BB67" s="346"/>
      <c r="BC67" s="347"/>
      <c r="BD67" s="348"/>
      <c r="BE67" s="348"/>
      <c r="BF67" s="348"/>
      <c r="BG67" s="348"/>
      <c r="BH67" s="348"/>
      <c r="BI67" s="348"/>
      <c r="BJ67" s="349"/>
      <c r="BK67" s="58"/>
    </row>
    <row r="68" spans="1:63" s="59" customFormat="1" ht="50.25" customHeight="1" x14ac:dyDescent="0.25">
      <c r="A68" s="54"/>
      <c r="B68" s="350">
        <v>11</v>
      </c>
      <c r="C68" s="351"/>
      <c r="D68" s="352" t="s">
        <v>93</v>
      </c>
      <c r="E68" s="353"/>
      <c r="F68" s="353"/>
      <c r="G68" s="353"/>
      <c r="H68" s="353"/>
      <c r="I68" s="353"/>
      <c r="J68" s="354"/>
      <c r="K68" s="264" t="s">
        <v>313</v>
      </c>
      <c r="L68" s="265"/>
      <c r="M68" s="266"/>
      <c r="N68" s="60" t="s">
        <v>30</v>
      </c>
      <c r="O68" s="56" t="s">
        <v>31</v>
      </c>
      <c r="P68" s="281" t="s">
        <v>30</v>
      </c>
      <c r="Q68" s="282"/>
      <c r="R68" s="282"/>
      <c r="S68" s="283"/>
      <c r="T68" s="288" t="s">
        <v>30</v>
      </c>
      <c r="U68" s="282"/>
      <c r="V68" s="282"/>
      <c r="W68" s="283"/>
      <c r="X68" s="288" t="s">
        <v>319</v>
      </c>
      <c r="Y68" s="282"/>
      <c r="Z68" s="283"/>
      <c r="AA68" s="355" t="s">
        <v>321</v>
      </c>
      <c r="AB68" s="356"/>
      <c r="AC68" s="356"/>
      <c r="AD68" s="356"/>
      <c r="AE68" s="356"/>
      <c r="AF68" s="356"/>
      <c r="AG68" s="356"/>
      <c r="AH68" s="357"/>
      <c r="AI68" s="358" t="s">
        <v>323</v>
      </c>
      <c r="AJ68" s="359"/>
      <c r="AK68" s="359"/>
      <c r="AL68" s="359"/>
      <c r="AM68" s="359"/>
      <c r="AN68" s="359"/>
      <c r="AO68" s="359"/>
      <c r="AP68" s="359"/>
      <c r="AQ68" s="360"/>
      <c r="AR68" s="57" t="s">
        <v>30</v>
      </c>
      <c r="AS68" s="57" t="s">
        <v>323</v>
      </c>
      <c r="AT68" s="57" t="s">
        <v>323</v>
      </c>
      <c r="AU68" s="281" t="s">
        <v>30</v>
      </c>
      <c r="AV68" s="282"/>
      <c r="AW68" s="282"/>
      <c r="AX68" s="283"/>
      <c r="AY68" s="281" t="s">
        <v>323</v>
      </c>
      <c r="AZ68" s="282"/>
      <c r="BA68" s="282"/>
      <c r="BB68" s="283"/>
      <c r="BC68" s="264"/>
      <c r="BD68" s="265"/>
      <c r="BE68" s="265"/>
      <c r="BF68" s="265"/>
      <c r="BG68" s="265"/>
      <c r="BH68" s="265"/>
      <c r="BI68" s="265"/>
      <c r="BJ68" s="266"/>
      <c r="BK68" s="58"/>
    </row>
    <row r="69" spans="1:63" s="59" customFormat="1" ht="95.25" customHeight="1" x14ac:dyDescent="0.25">
      <c r="A69" s="54"/>
      <c r="B69" s="350">
        <v>11.1</v>
      </c>
      <c r="C69" s="351"/>
      <c r="D69" s="352" t="s">
        <v>94</v>
      </c>
      <c r="E69" s="353"/>
      <c r="F69" s="353"/>
      <c r="G69" s="353"/>
      <c r="H69" s="353"/>
      <c r="I69" s="353"/>
      <c r="J69" s="354"/>
      <c r="K69" s="264" t="s">
        <v>313</v>
      </c>
      <c r="L69" s="265"/>
      <c r="M69" s="266"/>
      <c r="N69" s="60" t="s">
        <v>30</v>
      </c>
      <c r="O69" s="61" t="s">
        <v>30</v>
      </c>
      <c r="P69" s="281" t="s">
        <v>316</v>
      </c>
      <c r="Q69" s="282"/>
      <c r="R69" s="282"/>
      <c r="S69" s="283"/>
      <c r="T69" s="288" t="s">
        <v>182</v>
      </c>
      <c r="U69" s="282"/>
      <c r="V69" s="282"/>
      <c r="W69" s="283"/>
      <c r="X69" s="288" t="s">
        <v>30</v>
      </c>
      <c r="Y69" s="282"/>
      <c r="Z69" s="283"/>
      <c r="AA69" s="355" t="s">
        <v>321</v>
      </c>
      <c r="AB69" s="356"/>
      <c r="AC69" s="356"/>
      <c r="AD69" s="356"/>
      <c r="AE69" s="356"/>
      <c r="AF69" s="356"/>
      <c r="AG69" s="356"/>
      <c r="AH69" s="357"/>
      <c r="AI69" s="355" t="s">
        <v>323</v>
      </c>
      <c r="AJ69" s="356"/>
      <c r="AK69" s="356"/>
      <c r="AL69" s="356"/>
      <c r="AM69" s="356"/>
      <c r="AN69" s="356"/>
      <c r="AO69" s="356"/>
      <c r="AP69" s="356"/>
      <c r="AQ69" s="357"/>
      <c r="AR69" s="57" t="s">
        <v>30</v>
      </c>
      <c r="AS69" s="57" t="s">
        <v>323</v>
      </c>
      <c r="AT69" s="57" t="s">
        <v>323</v>
      </c>
      <c r="AU69" s="281" t="s">
        <v>30</v>
      </c>
      <c r="AV69" s="282"/>
      <c r="AW69" s="282"/>
      <c r="AX69" s="283"/>
      <c r="AY69" s="281" t="s">
        <v>323</v>
      </c>
      <c r="AZ69" s="282"/>
      <c r="BA69" s="282"/>
      <c r="BB69" s="283"/>
      <c r="BC69" s="264"/>
      <c r="BD69" s="265"/>
      <c r="BE69" s="265"/>
      <c r="BF69" s="265"/>
      <c r="BG69" s="265"/>
      <c r="BH69" s="265"/>
      <c r="BI69" s="265"/>
      <c r="BJ69" s="266"/>
      <c r="BK69" s="58"/>
    </row>
    <row r="70" spans="1:63" s="59" customFormat="1" ht="50.25" customHeight="1" x14ac:dyDescent="0.25">
      <c r="A70" s="54"/>
      <c r="B70" s="350">
        <v>12</v>
      </c>
      <c r="C70" s="351"/>
      <c r="D70" s="352" t="s">
        <v>84</v>
      </c>
      <c r="E70" s="353"/>
      <c r="F70" s="353"/>
      <c r="G70" s="353"/>
      <c r="H70" s="353"/>
      <c r="I70" s="353"/>
      <c r="J70" s="354"/>
      <c r="K70" s="264" t="s">
        <v>313</v>
      </c>
      <c r="L70" s="265"/>
      <c r="M70" s="266"/>
      <c r="N70" s="60" t="s">
        <v>30</v>
      </c>
      <c r="O70" s="56" t="s">
        <v>31</v>
      </c>
      <c r="P70" s="281" t="s">
        <v>30</v>
      </c>
      <c r="Q70" s="282"/>
      <c r="R70" s="282"/>
      <c r="S70" s="283"/>
      <c r="T70" s="288" t="s">
        <v>30</v>
      </c>
      <c r="U70" s="282"/>
      <c r="V70" s="282"/>
      <c r="W70" s="283"/>
      <c r="X70" s="288" t="s">
        <v>320</v>
      </c>
      <c r="Y70" s="282"/>
      <c r="Z70" s="283"/>
      <c r="AA70" s="355" t="s">
        <v>321</v>
      </c>
      <c r="AB70" s="356"/>
      <c r="AC70" s="356"/>
      <c r="AD70" s="356"/>
      <c r="AE70" s="356"/>
      <c r="AF70" s="356"/>
      <c r="AG70" s="356"/>
      <c r="AH70" s="357"/>
      <c r="AI70" s="358" t="s">
        <v>323</v>
      </c>
      <c r="AJ70" s="359"/>
      <c r="AK70" s="359"/>
      <c r="AL70" s="359"/>
      <c r="AM70" s="359"/>
      <c r="AN70" s="359"/>
      <c r="AO70" s="359"/>
      <c r="AP70" s="359"/>
      <c r="AQ70" s="360"/>
      <c r="AR70" s="57" t="s">
        <v>30</v>
      </c>
      <c r="AS70" s="57" t="s">
        <v>323</v>
      </c>
      <c r="AT70" s="57" t="s">
        <v>323</v>
      </c>
      <c r="AU70" s="281" t="s">
        <v>30</v>
      </c>
      <c r="AV70" s="282"/>
      <c r="AW70" s="282"/>
      <c r="AX70" s="283"/>
      <c r="AY70" s="281" t="s">
        <v>323</v>
      </c>
      <c r="AZ70" s="282"/>
      <c r="BA70" s="282"/>
      <c r="BB70" s="283"/>
      <c r="BC70" s="264"/>
      <c r="BD70" s="265"/>
      <c r="BE70" s="265"/>
      <c r="BF70" s="265"/>
      <c r="BG70" s="265"/>
      <c r="BH70" s="265"/>
      <c r="BI70" s="265"/>
      <c r="BJ70" s="266"/>
      <c r="BK70" s="58"/>
    </row>
    <row r="71" spans="1:63" s="59" customFormat="1" ht="31.5" customHeight="1" x14ac:dyDescent="0.25">
      <c r="A71" s="54"/>
      <c r="B71" s="364">
        <v>12.1</v>
      </c>
      <c r="C71" s="365"/>
      <c r="D71" s="366" t="s">
        <v>85</v>
      </c>
      <c r="E71" s="367"/>
      <c r="F71" s="367"/>
      <c r="G71" s="367"/>
      <c r="H71" s="367"/>
      <c r="I71" s="367"/>
      <c r="J71" s="368"/>
      <c r="K71" s="369" t="s">
        <v>313</v>
      </c>
      <c r="L71" s="370"/>
      <c r="M71" s="371"/>
      <c r="N71" s="62" t="s">
        <v>315</v>
      </c>
      <c r="O71" s="63" t="s">
        <v>30</v>
      </c>
      <c r="P71" s="372" t="s">
        <v>178</v>
      </c>
      <c r="Q71" s="373"/>
      <c r="R71" s="373"/>
      <c r="S71" s="374"/>
      <c r="T71" s="372" t="s">
        <v>181</v>
      </c>
      <c r="U71" s="373"/>
      <c r="V71" s="373"/>
      <c r="W71" s="374"/>
      <c r="X71" s="233" t="s">
        <v>30</v>
      </c>
      <c r="Y71" s="234"/>
      <c r="Z71" s="235"/>
      <c r="AA71" s="236" t="s">
        <v>296</v>
      </c>
      <c r="AB71" s="375"/>
      <c r="AC71" s="375"/>
      <c r="AD71" s="375"/>
      <c r="AE71" s="375"/>
      <c r="AF71" s="375"/>
      <c r="AG71" s="375"/>
      <c r="AH71" s="376"/>
      <c r="AI71" s="236" t="s">
        <v>323</v>
      </c>
      <c r="AJ71" s="375"/>
      <c r="AK71" s="375"/>
      <c r="AL71" s="375"/>
      <c r="AM71" s="375"/>
      <c r="AN71" s="375"/>
      <c r="AO71" s="375"/>
      <c r="AP71" s="375"/>
      <c r="AQ71" s="376"/>
      <c r="AR71" s="64" t="s">
        <v>30</v>
      </c>
      <c r="AS71" s="64" t="s">
        <v>323</v>
      </c>
      <c r="AT71" s="64" t="s">
        <v>323</v>
      </c>
      <c r="AU71" s="377" t="s">
        <v>30</v>
      </c>
      <c r="AV71" s="234"/>
      <c r="AW71" s="234"/>
      <c r="AX71" s="235"/>
      <c r="AY71" s="377" t="s">
        <v>323</v>
      </c>
      <c r="AZ71" s="234"/>
      <c r="BA71" s="234"/>
      <c r="BB71" s="235"/>
      <c r="BC71" s="369"/>
      <c r="BD71" s="370"/>
      <c r="BE71" s="370"/>
      <c r="BF71" s="370"/>
      <c r="BG71" s="370"/>
      <c r="BH71" s="370"/>
      <c r="BI71" s="370"/>
      <c r="BJ71" s="371"/>
      <c r="BK71" s="58"/>
    </row>
    <row r="72" spans="1:63" x14ac:dyDescent="0.25">
      <c r="A72" s="34"/>
      <c r="BK72" s="35"/>
    </row>
    <row r="73" spans="1:63" x14ac:dyDescent="0.25">
      <c r="A73" s="34"/>
      <c r="BK73" s="35"/>
    </row>
    <row r="74" spans="1:63" x14ac:dyDescent="0.25">
      <c r="A74" s="34"/>
      <c r="BK74" s="35"/>
    </row>
    <row r="75" spans="1:63" x14ac:dyDescent="0.25">
      <c r="A75" s="34"/>
      <c r="BK75" s="35"/>
    </row>
    <row r="76" spans="1:63" x14ac:dyDescent="0.25">
      <c r="A76" s="34"/>
      <c r="BK76" s="35"/>
    </row>
    <row r="77" spans="1:63" x14ac:dyDescent="0.25">
      <c r="A77" s="34"/>
      <c r="BK77" s="35"/>
    </row>
    <row r="78" spans="1:63" x14ac:dyDescent="0.25">
      <c r="A78" s="34"/>
      <c r="BK78" s="35"/>
    </row>
    <row r="79" spans="1:63" x14ac:dyDescent="0.25">
      <c r="A79" s="34"/>
      <c r="BK79" s="35"/>
    </row>
    <row r="80" spans="1:63" x14ac:dyDescent="0.25">
      <c r="A80" s="34"/>
      <c r="BK80" s="35"/>
    </row>
    <row r="81" spans="1:63" x14ac:dyDescent="0.25">
      <c r="A81" s="31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3"/>
    </row>
  </sheetData>
  <mergeCells count="293">
    <mergeCell ref="AY70:BB70"/>
    <mergeCell ref="BC70:BJ70"/>
    <mergeCell ref="B71:C71"/>
    <mergeCell ref="D71:J71"/>
    <mergeCell ref="K71:M71"/>
    <mergeCell ref="P71:S71"/>
    <mergeCell ref="T71:W71"/>
    <mergeCell ref="X71:Z71"/>
    <mergeCell ref="AA71:AH71"/>
    <mergeCell ref="AI71:AQ71"/>
    <mergeCell ref="AU71:AX71"/>
    <mergeCell ref="AY71:BB71"/>
    <mergeCell ref="BC71:BJ71"/>
    <mergeCell ref="B70:C70"/>
    <mergeCell ref="D70:J70"/>
    <mergeCell ref="K70:M70"/>
    <mergeCell ref="P70:S70"/>
    <mergeCell ref="T70:W70"/>
    <mergeCell ref="X70:Z70"/>
    <mergeCell ref="AA70:AH70"/>
    <mergeCell ref="AI70:AQ70"/>
    <mergeCell ref="AU70:AX70"/>
    <mergeCell ref="AY68:BB68"/>
    <mergeCell ref="BC68:BJ68"/>
    <mergeCell ref="B69:C69"/>
    <mergeCell ref="D69:J69"/>
    <mergeCell ref="K69:M69"/>
    <mergeCell ref="P69:S69"/>
    <mergeCell ref="T69:W69"/>
    <mergeCell ref="X69:Z69"/>
    <mergeCell ref="AA69:AH69"/>
    <mergeCell ref="AI69:AQ69"/>
    <mergeCell ref="AU69:AX69"/>
    <mergeCell ref="AY69:BB69"/>
    <mergeCell ref="BC69:BJ69"/>
    <mergeCell ref="B68:C68"/>
    <mergeCell ref="D68:J68"/>
    <mergeCell ref="K68:M68"/>
    <mergeCell ref="P68:S68"/>
    <mergeCell ref="T68:W68"/>
    <mergeCell ref="X68:Z68"/>
    <mergeCell ref="AA68:AH68"/>
    <mergeCell ref="AI68:AQ68"/>
    <mergeCell ref="AU68:AX68"/>
    <mergeCell ref="AY66:BB66"/>
    <mergeCell ref="BC66:BJ66"/>
    <mergeCell ref="B67:C67"/>
    <mergeCell ref="D67:J67"/>
    <mergeCell ref="K67:M67"/>
    <mergeCell ref="P67:S67"/>
    <mergeCell ref="T67:W67"/>
    <mergeCell ref="X67:Z67"/>
    <mergeCell ref="AA67:AH67"/>
    <mergeCell ref="AI67:AQ67"/>
    <mergeCell ref="AU67:AX67"/>
    <mergeCell ref="AY67:BB67"/>
    <mergeCell ref="BC67:BJ67"/>
    <mergeCell ref="B66:C66"/>
    <mergeCell ref="D66:J66"/>
    <mergeCell ref="K66:M66"/>
    <mergeCell ref="P66:S66"/>
    <mergeCell ref="T66:W66"/>
    <mergeCell ref="X66:Z66"/>
    <mergeCell ref="AA66:AH66"/>
    <mergeCell ref="AI66:AQ66"/>
    <mergeCell ref="AU66:AX66"/>
    <mergeCell ref="AY64:BB64"/>
    <mergeCell ref="BC64:BJ64"/>
    <mergeCell ref="B65:C65"/>
    <mergeCell ref="D65:J65"/>
    <mergeCell ref="K65:M65"/>
    <mergeCell ref="P65:S65"/>
    <mergeCell ref="T65:W65"/>
    <mergeCell ref="X65:Z65"/>
    <mergeCell ref="AA65:AH65"/>
    <mergeCell ref="AI65:AQ65"/>
    <mergeCell ref="AU65:AX65"/>
    <mergeCell ref="AY65:BB65"/>
    <mergeCell ref="BC65:BJ65"/>
    <mergeCell ref="B64:C64"/>
    <mergeCell ref="D64:J64"/>
    <mergeCell ref="K64:M64"/>
    <mergeCell ref="P64:S64"/>
    <mergeCell ref="T64:W64"/>
    <mergeCell ref="X64:Z64"/>
    <mergeCell ref="AA64:AH64"/>
    <mergeCell ref="AI64:AQ64"/>
    <mergeCell ref="AU64:AX6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B59:C59"/>
    <mergeCell ref="D59:J59"/>
    <mergeCell ref="K59:M59"/>
    <mergeCell ref="P59:S59"/>
    <mergeCell ref="T59:W59"/>
    <mergeCell ref="A4:G4"/>
    <mergeCell ref="H4:T4"/>
    <mergeCell ref="U4:Y4"/>
    <mergeCell ref="Z4:AO4"/>
    <mergeCell ref="X59:Z59"/>
    <mergeCell ref="AA59:AH59"/>
    <mergeCell ref="AI59:AQ59"/>
    <mergeCell ref="B49:C49"/>
    <mergeCell ref="D49:J49"/>
    <mergeCell ref="K49:M49"/>
    <mergeCell ref="B46:C48"/>
    <mergeCell ref="D46:J48"/>
    <mergeCell ref="K46:M48"/>
    <mergeCell ref="N46:N48"/>
    <mergeCell ref="O46:O48"/>
    <mergeCell ref="B52:C52"/>
    <mergeCell ref="D52:J52"/>
    <mergeCell ref="K52:M52"/>
    <mergeCell ref="P52:S52"/>
    <mergeCell ref="AU59:AX59"/>
    <mergeCell ref="AY59:BB59"/>
    <mergeCell ref="BC59:BJ59"/>
    <mergeCell ref="P58:S58"/>
    <mergeCell ref="T58:W58"/>
    <mergeCell ref="AU58:AX58"/>
    <mergeCell ref="AY58:BB58"/>
    <mergeCell ref="B61:C61"/>
    <mergeCell ref="D61:J61"/>
    <mergeCell ref="K61:M61"/>
    <mergeCell ref="P61:S61"/>
    <mergeCell ref="T61:W61"/>
    <mergeCell ref="B60:C60"/>
    <mergeCell ref="D60:J60"/>
    <mergeCell ref="K60:M60"/>
    <mergeCell ref="P60:S60"/>
    <mergeCell ref="T60:W60"/>
    <mergeCell ref="X61:Z61"/>
    <mergeCell ref="AA61:AH61"/>
    <mergeCell ref="AI61:AQ61"/>
    <mergeCell ref="AU61:AX61"/>
    <mergeCell ref="AY61:BB61"/>
    <mergeCell ref="BC61:BJ61"/>
    <mergeCell ref="AA60:AH60"/>
    <mergeCell ref="AI60:AQ60"/>
    <mergeCell ref="AU60:AX60"/>
    <mergeCell ref="AY60:BB60"/>
    <mergeCell ref="BC60:BJ60"/>
    <mergeCell ref="X60:Z60"/>
    <mergeCell ref="B63:C63"/>
    <mergeCell ref="D63:J63"/>
    <mergeCell ref="K63:M63"/>
    <mergeCell ref="P63:S63"/>
    <mergeCell ref="T63:W63"/>
    <mergeCell ref="B62:C62"/>
    <mergeCell ref="D62:J62"/>
    <mergeCell ref="K62:M62"/>
    <mergeCell ref="P62:S62"/>
    <mergeCell ref="T62:W62"/>
    <mergeCell ref="X63:Z63"/>
    <mergeCell ref="AA63:AH63"/>
    <mergeCell ref="AI63:AQ63"/>
    <mergeCell ref="AU63:AX63"/>
    <mergeCell ref="AY63:BB63"/>
    <mergeCell ref="BC63:BJ63"/>
    <mergeCell ref="AA62:AH62"/>
    <mergeCell ref="AI62:AQ62"/>
    <mergeCell ref="AU62:AX62"/>
    <mergeCell ref="AY62:BB62"/>
    <mergeCell ref="BC62:BJ62"/>
    <mergeCell ref="X62:Z62"/>
    <mergeCell ref="AR46:BB46"/>
    <mergeCell ref="BC46:BJ48"/>
    <mergeCell ref="P47:W47"/>
    <mergeCell ref="X47:Z48"/>
    <mergeCell ref="AA47:AH48"/>
    <mergeCell ref="AI47:AQ48"/>
    <mergeCell ref="AR47:AR48"/>
    <mergeCell ref="AS47:AS48"/>
    <mergeCell ref="AT47:AT48"/>
    <mergeCell ref="AU47:BB47"/>
    <mergeCell ref="P46:AQ46"/>
    <mergeCell ref="P48:S48"/>
    <mergeCell ref="T48:W48"/>
    <mergeCell ref="AU48:AX48"/>
    <mergeCell ref="AY48:BB48"/>
    <mergeCell ref="P49:S49"/>
    <mergeCell ref="T49:W49"/>
    <mergeCell ref="X49:Z49"/>
    <mergeCell ref="AA49:AH49"/>
    <mergeCell ref="AI49:AQ49"/>
    <mergeCell ref="AU49:AX49"/>
    <mergeCell ref="AY49:BB49"/>
    <mergeCell ref="BC49:BJ49"/>
    <mergeCell ref="B50:C50"/>
    <mergeCell ref="D50:J50"/>
    <mergeCell ref="K50:M50"/>
    <mergeCell ref="P50:S50"/>
    <mergeCell ref="T50:W50"/>
    <mergeCell ref="X50:Z50"/>
    <mergeCell ref="AA50:AH50"/>
    <mergeCell ref="T52:W52"/>
    <mergeCell ref="AI50:AQ50"/>
    <mergeCell ref="AU50:AX50"/>
    <mergeCell ref="AY50:BB50"/>
    <mergeCell ref="BC50:BJ50"/>
    <mergeCell ref="B51:C51"/>
    <mergeCell ref="D51:J51"/>
    <mergeCell ref="K51:M51"/>
    <mergeCell ref="P51:S51"/>
    <mergeCell ref="T51:W51"/>
    <mergeCell ref="X51:Z51"/>
    <mergeCell ref="X52:Z52"/>
    <mergeCell ref="AA52:AH52"/>
    <mergeCell ref="AI52:AQ52"/>
    <mergeCell ref="AU52:AX52"/>
    <mergeCell ref="AY52:BB52"/>
    <mergeCell ref="BC52:BJ52"/>
    <mergeCell ref="AA51:AH51"/>
    <mergeCell ref="AI51:AQ51"/>
    <mergeCell ref="AU51:AX51"/>
    <mergeCell ref="AY51:BB51"/>
    <mergeCell ref="BC51:BJ51"/>
    <mergeCell ref="B54:C54"/>
    <mergeCell ref="D54:J54"/>
    <mergeCell ref="K54:M54"/>
    <mergeCell ref="P54:S54"/>
    <mergeCell ref="T54:W54"/>
    <mergeCell ref="B53:C53"/>
    <mergeCell ref="D53:J53"/>
    <mergeCell ref="K53:M53"/>
    <mergeCell ref="P53:S53"/>
    <mergeCell ref="T53:W53"/>
    <mergeCell ref="X54:Z54"/>
    <mergeCell ref="AA54:AH54"/>
    <mergeCell ref="AI54:AQ54"/>
    <mergeCell ref="AU54:AX54"/>
    <mergeCell ref="AY54:BB54"/>
    <mergeCell ref="BC54:BJ54"/>
    <mergeCell ref="AA53:AH53"/>
    <mergeCell ref="AI53:AQ53"/>
    <mergeCell ref="AU53:AX53"/>
    <mergeCell ref="AY53:BB53"/>
    <mergeCell ref="BC53:BJ53"/>
    <mergeCell ref="X53:Z53"/>
    <mergeCell ref="B56:C56"/>
    <mergeCell ref="D56:J56"/>
    <mergeCell ref="K56:M56"/>
    <mergeCell ref="P56:S56"/>
    <mergeCell ref="T56:W56"/>
    <mergeCell ref="B55:C55"/>
    <mergeCell ref="D55:J55"/>
    <mergeCell ref="K55:M55"/>
    <mergeCell ref="P55:S55"/>
    <mergeCell ref="T55:W55"/>
    <mergeCell ref="X56:Z56"/>
    <mergeCell ref="AA56:AH56"/>
    <mergeCell ref="AI56:AQ56"/>
    <mergeCell ref="AU56:AX56"/>
    <mergeCell ref="AY56:BB56"/>
    <mergeCell ref="BC56:BJ56"/>
    <mergeCell ref="AA55:AH55"/>
    <mergeCell ref="AI55:AQ55"/>
    <mergeCell ref="AU55:AX55"/>
    <mergeCell ref="AY55:BB55"/>
    <mergeCell ref="BC55:BJ55"/>
    <mergeCell ref="X55:Z55"/>
    <mergeCell ref="AI58:AQ58"/>
    <mergeCell ref="BC58:BJ58"/>
    <mergeCell ref="AA57:AH57"/>
    <mergeCell ref="AI57:AQ57"/>
    <mergeCell ref="AU57:AX57"/>
    <mergeCell ref="AY57:BB57"/>
    <mergeCell ref="BC57:BJ57"/>
    <mergeCell ref="B58:C58"/>
    <mergeCell ref="D58:J58"/>
    <mergeCell ref="K58:M58"/>
    <mergeCell ref="X58:Z58"/>
    <mergeCell ref="AA58:AH58"/>
    <mergeCell ref="B57:C57"/>
    <mergeCell ref="D57:J57"/>
    <mergeCell ref="K57:M57"/>
    <mergeCell ref="P57:S57"/>
    <mergeCell ref="T57:W57"/>
    <mergeCell ref="X57:Z57"/>
  </mergeCells>
  <dataValidations count="3">
    <dataValidation type="list" allowBlank="1" showInputMessage="1" showErrorMessage="1" sqref="AR52:AS52 O49:O71" xr:uid="{00000000-0002-0000-0400-000000000000}">
      <formula1>"－,●"</formula1>
    </dataValidation>
    <dataValidation type="list" allowBlank="1" showInputMessage="1" showErrorMessage="1" sqref="N57 N59 N61 N63" xr:uid="{00000000-0002-0000-0400-000001000000}">
      <formula1>"－,O,I,I/O"</formula1>
    </dataValidation>
    <dataValidation type="list" allowBlank="1" showInputMessage="1" showErrorMessage="1" sqref="N49:N56 N58 N60 N62" xr:uid="{00000000-0002-0000-0400-000002000000}">
      <formula1>"－,O,I"</formula1>
    </dataValidation>
  </dataValidations>
  <pageMargins left="0.7" right="0.7" top="0.75" bottom="0.75" header="0.3" footer="0.3"/>
  <pageSetup scale="4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C4205-5C3C-4FB7-8D61-B36A25BE8441}">
  <sheetPr>
    <pageSetUpPr fitToPage="1"/>
  </sheetPr>
  <dimension ref="A1:BK68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30"/>
  </cols>
  <sheetData>
    <row r="1" spans="1:63" ht="24.95" customHeight="1" x14ac:dyDescent="0.25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5"/>
      <c r="K1" s="103" t="s">
        <v>2</v>
      </c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5"/>
      <c r="W1" s="106" t="str">
        <f>IF(表紙!W1="","",表紙!W1)</f>
        <v>詳細設計書</v>
      </c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8"/>
      <c r="AP1" s="66" t="s">
        <v>3</v>
      </c>
      <c r="AQ1" s="67"/>
      <c r="AR1" s="67"/>
      <c r="AS1" s="68"/>
      <c r="AT1" s="66" t="s">
        <v>4</v>
      </c>
      <c r="AU1" s="67"/>
      <c r="AV1" s="67"/>
      <c r="AW1" s="67"/>
      <c r="AX1" s="68"/>
      <c r="AY1" s="66" t="s">
        <v>5</v>
      </c>
      <c r="AZ1" s="67"/>
      <c r="BA1" s="67"/>
      <c r="BB1" s="68"/>
      <c r="BC1" s="66" t="s">
        <v>6</v>
      </c>
      <c r="BD1" s="67"/>
      <c r="BE1" s="67"/>
      <c r="BF1" s="67"/>
      <c r="BG1" s="68"/>
      <c r="BH1" s="66" t="s">
        <v>7</v>
      </c>
      <c r="BI1" s="67"/>
      <c r="BJ1" s="67"/>
      <c r="BK1" s="68"/>
    </row>
    <row r="2" spans="1:63" ht="15" customHeight="1" x14ac:dyDescent="0.25">
      <c r="A2" s="97" t="str">
        <f>IF(表紙!A2="","",表紙!A2)</f>
        <v>POSサーバー</v>
      </c>
      <c r="B2" s="98"/>
      <c r="C2" s="98"/>
      <c r="D2" s="98"/>
      <c r="E2" s="98"/>
      <c r="F2" s="98"/>
      <c r="G2" s="98"/>
      <c r="H2" s="98"/>
      <c r="I2" s="98"/>
      <c r="J2" s="99"/>
      <c r="K2" s="97" t="str">
        <f>IF(表紙!K2="","",表紙!K2)</f>
        <v>POSサーバ</v>
      </c>
      <c r="L2" s="98"/>
      <c r="M2" s="98"/>
      <c r="N2" s="98"/>
      <c r="O2" s="98"/>
      <c r="P2" s="98"/>
      <c r="Q2" s="98"/>
      <c r="R2" s="98"/>
      <c r="S2" s="98"/>
      <c r="T2" s="98"/>
      <c r="U2" s="98"/>
      <c r="V2" s="99"/>
      <c r="W2" s="109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1"/>
      <c r="AP2" s="14" t="str">
        <f>IF(表紙!AP2="","",表紙!AP2)</f>
        <v>TinNH</v>
      </c>
      <c r="AQ2" s="13"/>
      <c r="AR2" s="13"/>
      <c r="AS2" s="12"/>
      <c r="AT2" s="81">
        <f>IF(表紙!AT2="","",表紙!AT2)</f>
        <v>45478</v>
      </c>
      <c r="AU2" s="82"/>
      <c r="AV2" s="82"/>
      <c r="AW2" s="82"/>
      <c r="AX2" s="83"/>
      <c r="AY2" s="14" t="str">
        <f>IF(表紙!AY2="","",表紙!AY2)</f>
        <v>DuNT</v>
      </c>
      <c r="AZ2" s="13"/>
      <c r="BA2" s="13"/>
      <c r="BB2" s="12"/>
      <c r="BC2" s="81">
        <f>IF(表紙!BC2="","",表紙!BC2)</f>
        <v>45644</v>
      </c>
      <c r="BD2" s="82"/>
      <c r="BE2" s="82"/>
      <c r="BF2" s="82"/>
      <c r="BG2" s="83"/>
      <c r="BH2" s="14">
        <f>IF(表紙!BH2="","",表紙!BH2)</f>
        <v>0.13</v>
      </c>
      <c r="BI2" s="13"/>
      <c r="BJ2" s="13"/>
      <c r="BK2" s="12"/>
    </row>
    <row r="3" spans="1:63" ht="15" customHeight="1" x14ac:dyDescent="0.25">
      <c r="A3" s="100"/>
      <c r="B3" s="101"/>
      <c r="C3" s="101"/>
      <c r="D3" s="101"/>
      <c r="E3" s="101"/>
      <c r="F3" s="101"/>
      <c r="G3" s="101"/>
      <c r="H3" s="101"/>
      <c r="I3" s="101"/>
      <c r="J3" s="102"/>
      <c r="K3" s="100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2"/>
      <c r="W3" s="112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4"/>
      <c r="AP3" s="8"/>
      <c r="AQ3" s="7"/>
      <c r="AR3" s="7"/>
      <c r="AS3" s="6"/>
      <c r="AT3" s="84"/>
      <c r="AU3" s="85"/>
      <c r="AV3" s="85"/>
      <c r="AW3" s="85"/>
      <c r="AX3" s="86"/>
      <c r="AY3" s="8"/>
      <c r="AZ3" s="7"/>
      <c r="BA3" s="7"/>
      <c r="BB3" s="6"/>
      <c r="BC3" s="84"/>
      <c r="BD3" s="85"/>
      <c r="BE3" s="85"/>
      <c r="BF3" s="85"/>
      <c r="BG3" s="86"/>
      <c r="BH3" s="8"/>
      <c r="BI3" s="7"/>
      <c r="BJ3" s="7"/>
      <c r="BK3" s="6"/>
    </row>
    <row r="4" spans="1:63" ht="24.95" customHeight="1" x14ac:dyDescent="0.25">
      <c r="A4" s="103" t="s">
        <v>1</v>
      </c>
      <c r="B4" s="104"/>
      <c r="C4" s="104"/>
      <c r="D4" s="104"/>
      <c r="E4" s="104"/>
      <c r="F4" s="104"/>
      <c r="G4" s="105"/>
      <c r="H4" s="115" t="str">
        <f>IF(表紙!H4="","",表紙!H4)</f>
        <v>01_商品管理</v>
      </c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7"/>
      <c r="U4" s="103" t="s">
        <v>8</v>
      </c>
      <c r="V4" s="104"/>
      <c r="W4" s="104"/>
      <c r="X4" s="104"/>
      <c r="Y4" s="105"/>
      <c r="Z4" s="115" t="str">
        <f>IF(表紙!Z4="","",表紙!Z4)</f>
        <v>画面設計書</v>
      </c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7"/>
      <c r="AP4" s="118" t="str">
        <f ca="1">MID(CELL("filename",A1),FIND("]",CELL("filename",A1))+1,255)</f>
        <v>SC0103</v>
      </c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7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4"/>
      <c r="BK6" s="35"/>
    </row>
    <row r="7" spans="1:63" ht="15" customHeight="1" x14ac:dyDescent="0.25">
      <c r="A7" s="34"/>
      <c r="B7" s="37" t="s">
        <v>263</v>
      </c>
      <c r="C7" s="36"/>
      <c r="D7" s="36"/>
      <c r="E7" s="36"/>
      <c r="F7" s="36"/>
      <c r="G7" s="36"/>
      <c r="H7" s="36"/>
      <c r="I7" s="36"/>
      <c r="J7" s="36"/>
      <c r="AE7" s="37"/>
      <c r="BK7" s="35"/>
    </row>
    <row r="8" spans="1:63" x14ac:dyDescent="0.25">
      <c r="A8" s="34"/>
      <c r="BK8" s="35"/>
    </row>
    <row r="9" spans="1:63" x14ac:dyDescent="0.25">
      <c r="A9" s="34"/>
      <c r="D9" s="49"/>
      <c r="BK9" s="35"/>
    </row>
    <row r="10" spans="1:63" x14ac:dyDescent="0.25">
      <c r="A10" s="34"/>
      <c r="D10" s="49"/>
      <c r="BK10" s="35"/>
    </row>
    <row r="11" spans="1:63" x14ac:dyDescent="0.25">
      <c r="A11" s="34"/>
      <c r="D11" s="49"/>
      <c r="BK11" s="35"/>
    </row>
    <row r="12" spans="1:63" x14ac:dyDescent="0.25">
      <c r="A12" s="34"/>
      <c r="D12" s="49"/>
      <c r="BK12" s="35"/>
    </row>
    <row r="13" spans="1:63" x14ac:dyDescent="0.25">
      <c r="A13" s="34"/>
      <c r="D13" s="49"/>
      <c r="BK13" s="35"/>
    </row>
    <row r="14" spans="1:63" x14ac:dyDescent="0.25">
      <c r="A14" s="34"/>
      <c r="D14" s="49"/>
      <c r="BK14" s="35"/>
    </row>
    <row r="15" spans="1:63" x14ac:dyDescent="0.25">
      <c r="A15" s="34"/>
      <c r="D15" s="49"/>
      <c r="BK15" s="35"/>
    </row>
    <row r="16" spans="1:63" x14ac:dyDescent="0.25">
      <c r="A16" s="34"/>
      <c r="D16" s="49"/>
      <c r="BK16" s="35"/>
    </row>
    <row r="17" spans="1:63" x14ac:dyDescent="0.25">
      <c r="A17" s="34"/>
      <c r="D17" s="49"/>
      <c r="BK17" s="35"/>
    </row>
    <row r="18" spans="1:63" x14ac:dyDescent="0.25">
      <c r="A18" s="34"/>
      <c r="D18" s="49"/>
      <c r="BK18" s="35"/>
    </row>
    <row r="19" spans="1:63" x14ac:dyDescent="0.25">
      <c r="A19" s="34"/>
      <c r="D19" s="49"/>
      <c r="BK19" s="35"/>
    </row>
    <row r="20" spans="1:63" x14ac:dyDescent="0.25">
      <c r="A20" s="34"/>
      <c r="D20" s="49"/>
      <c r="BK20" s="35"/>
    </row>
    <row r="21" spans="1:63" x14ac:dyDescent="0.25">
      <c r="A21" s="34"/>
      <c r="D21" s="49"/>
      <c r="BK21" s="35"/>
    </row>
    <row r="22" spans="1:63" x14ac:dyDescent="0.25">
      <c r="A22" s="34"/>
      <c r="D22" s="49"/>
      <c r="BK22" s="35"/>
    </row>
    <row r="23" spans="1:63" x14ac:dyDescent="0.25">
      <c r="A23" s="34"/>
      <c r="D23" s="49"/>
      <c r="BK23" s="35"/>
    </row>
    <row r="24" spans="1:63" x14ac:dyDescent="0.25">
      <c r="A24" s="34"/>
      <c r="D24" s="49"/>
      <c r="BK24" s="35"/>
    </row>
    <row r="25" spans="1:63" x14ac:dyDescent="0.25">
      <c r="A25" s="34"/>
      <c r="D25" s="49"/>
      <c r="BK25" s="35"/>
    </row>
    <row r="26" spans="1:63" x14ac:dyDescent="0.25">
      <c r="A26" s="34"/>
      <c r="D26" s="49"/>
      <c r="BK26" s="35"/>
    </row>
    <row r="27" spans="1:63" x14ac:dyDescent="0.25">
      <c r="A27" s="34"/>
      <c r="D27" s="49"/>
      <c r="BK27" s="35"/>
    </row>
    <row r="28" spans="1:63" x14ac:dyDescent="0.25">
      <c r="A28" s="34"/>
      <c r="D28" s="49"/>
      <c r="BK28" s="35"/>
    </row>
    <row r="29" spans="1:63" x14ac:dyDescent="0.25">
      <c r="A29" s="34"/>
      <c r="D29" s="49"/>
      <c r="BK29" s="35"/>
    </row>
    <row r="30" spans="1:63" x14ac:dyDescent="0.25">
      <c r="A30" s="34"/>
      <c r="D30" s="49"/>
      <c r="BK30" s="35"/>
    </row>
    <row r="31" spans="1:63" x14ac:dyDescent="0.25">
      <c r="A31" s="34"/>
      <c r="D31" s="49"/>
      <c r="BK31" s="35"/>
    </row>
    <row r="32" spans="1:63" x14ac:dyDescent="0.25">
      <c r="A32" s="34"/>
      <c r="D32" s="49"/>
      <c r="BK32" s="35"/>
    </row>
    <row r="33" spans="1:63" x14ac:dyDescent="0.25">
      <c r="A33" s="34"/>
      <c r="D33" s="49"/>
      <c r="BK33" s="35"/>
    </row>
    <row r="34" spans="1:63" x14ac:dyDescent="0.25">
      <c r="A34" s="34"/>
      <c r="D34" s="49"/>
      <c r="BK34" s="35"/>
    </row>
    <row r="35" spans="1:63" x14ac:dyDescent="0.25">
      <c r="A35" s="34"/>
      <c r="D35" s="49"/>
      <c r="BK35" s="35"/>
    </row>
    <row r="36" spans="1:63" x14ac:dyDescent="0.25">
      <c r="A36" s="34"/>
      <c r="D36" s="49"/>
      <c r="BK36" s="35"/>
    </row>
    <row r="37" spans="1:63" x14ac:dyDescent="0.25">
      <c r="A37" s="34"/>
      <c r="D37" s="49"/>
      <c r="E37" s="30" t="s">
        <v>265</v>
      </c>
      <c r="BK37" s="35"/>
    </row>
    <row r="38" spans="1:63" x14ac:dyDescent="0.25">
      <c r="A38" s="34"/>
      <c r="BK38" s="35"/>
    </row>
    <row r="39" spans="1:63" x14ac:dyDescent="0.25">
      <c r="A39" s="34"/>
      <c r="B39" s="37" t="s">
        <v>14</v>
      </c>
      <c r="BK39" s="35"/>
    </row>
    <row r="40" spans="1:63" x14ac:dyDescent="0.25">
      <c r="A40" s="34"/>
      <c r="BK40" s="35"/>
    </row>
    <row r="41" spans="1:63" ht="15.75" customHeight="1" x14ac:dyDescent="0.25">
      <c r="A41" s="34"/>
      <c r="B41" s="119" t="s">
        <v>15</v>
      </c>
      <c r="C41" s="120"/>
      <c r="D41" s="125" t="s">
        <v>16</v>
      </c>
      <c r="E41" s="126"/>
      <c r="F41" s="126"/>
      <c r="G41" s="126"/>
      <c r="H41" s="126"/>
      <c r="I41" s="126"/>
      <c r="J41" s="120"/>
      <c r="K41" s="125" t="s">
        <v>324</v>
      </c>
      <c r="L41" s="126"/>
      <c r="M41" s="120"/>
      <c r="N41" s="129" t="s">
        <v>18</v>
      </c>
      <c r="O41" s="132" t="s">
        <v>41</v>
      </c>
      <c r="P41" s="150" t="s">
        <v>19</v>
      </c>
      <c r="Q41" s="151"/>
      <c r="R41" s="151"/>
      <c r="S41" s="151"/>
      <c r="T41" s="151"/>
      <c r="U41" s="151"/>
      <c r="V41" s="151"/>
      <c r="W41" s="151"/>
      <c r="X41" s="151"/>
      <c r="Y41" s="151"/>
      <c r="Z41" s="151"/>
      <c r="AA41" s="151"/>
      <c r="AB41" s="151"/>
      <c r="AC41" s="151"/>
      <c r="AD41" s="151"/>
      <c r="AE41" s="151"/>
      <c r="AF41" s="151"/>
      <c r="AG41" s="151"/>
      <c r="AH41" s="151"/>
      <c r="AI41" s="151"/>
      <c r="AJ41" s="151"/>
      <c r="AK41" s="151"/>
      <c r="AL41" s="151"/>
      <c r="AM41" s="151"/>
      <c r="AN41" s="151"/>
      <c r="AO41" s="151"/>
      <c r="AP41" s="151"/>
      <c r="AQ41" s="152"/>
      <c r="AR41" s="135" t="s">
        <v>20</v>
      </c>
      <c r="AS41" s="136"/>
      <c r="AT41" s="136"/>
      <c r="AU41" s="136"/>
      <c r="AV41" s="136"/>
      <c r="AW41" s="136"/>
      <c r="AX41" s="136"/>
      <c r="AY41" s="136"/>
      <c r="AZ41" s="136"/>
      <c r="BA41" s="136"/>
      <c r="BB41" s="139"/>
      <c r="BC41" s="153" t="s">
        <v>21</v>
      </c>
      <c r="BD41" s="154"/>
      <c r="BE41" s="154"/>
      <c r="BF41" s="154"/>
      <c r="BG41" s="154"/>
      <c r="BH41" s="154"/>
      <c r="BI41" s="154"/>
      <c r="BJ41" s="155"/>
      <c r="BK41" s="35"/>
    </row>
    <row r="42" spans="1:63" ht="15.75" customHeight="1" x14ac:dyDescent="0.25">
      <c r="A42" s="34"/>
      <c r="B42" s="121"/>
      <c r="C42" s="122"/>
      <c r="D42" s="121"/>
      <c r="E42" s="127"/>
      <c r="F42" s="127"/>
      <c r="G42" s="127"/>
      <c r="H42" s="127"/>
      <c r="I42" s="127"/>
      <c r="J42" s="122"/>
      <c r="K42" s="121"/>
      <c r="L42" s="127"/>
      <c r="M42" s="122"/>
      <c r="N42" s="130"/>
      <c r="O42" s="133"/>
      <c r="P42" s="162" t="s">
        <v>22</v>
      </c>
      <c r="Q42" s="163"/>
      <c r="R42" s="163"/>
      <c r="S42" s="163"/>
      <c r="T42" s="163"/>
      <c r="U42" s="163"/>
      <c r="V42" s="163"/>
      <c r="W42" s="164"/>
      <c r="X42" s="165" t="s">
        <v>23</v>
      </c>
      <c r="Y42" s="166"/>
      <c r="Z42" s="167"/>
      <c r="AA42" s="165" t="s">
        <v>24</v>
      </c>
      <c r="AB42" s="166"/>
      <c r="AC42" s="166"/>
      <c r="AD42" s="166"/>
      <c r="AE42" s="166"/>
      <c r="AF42" s="166"/>
      <c r="AG42" s="166"/>
      <c r="AH42" s="167"/>
      <c r="AI42" s="165" t="s">
        <v>25</v>
      </c>
      <c r="AJ42" s="166"/>
      <c r="AK42" s="166"/>
      <c r="AL42" s="166"/>
      <c r="AM42" s="166"/>
      <c r="AN42" s="166"/>
      <c r="AO42" s="166"/>
      <c r="AP42" s="166"/>
      <c r="AQ42" s="167"/>
      <c r="AR42" s="171" t="s">
        <v>26</v>
      </c>
      <c r="AS42" s="173" t="s">
        <v>27</v>
      </c>
      <c r="AT42" s="175" t="s">
        <v>28</v>
      </c>
      <c r="AU42" s="135" t="s">
        <v>22</v>
      </c>
      <c r="AV42" s="136"/>
      <c r="AW42" s="136"/>
      <c r="AX42" s="136"/>
      <c r="AY42" s="136"/>
      <c r="AZ42" s="136"/>
      <c r="BA42" s="136"/>
      <c r="BB42" s="139"/>
      <c r="BC42" s="156"/>
      <c r="BD42" s="157"/>
      <c r="BE42" s="157"/>
      <c r="BF42" s="157"/>
      <c r="BG42" s="157"/>
      <c r="BH42" s="157"/>
      <c r="BI42" s="157"/>
      <c r="BJ42" s="158"/>
      <c r="BK42" s="35"/>
    </row>
    <row r="43" spans="1:63" x14ac:dyDescent="0.25">
      <c r="A43" s="34"/>
      <c r="B43" s="123"/>
      <c r="C43" s="124"/>
      <c r="D43" s="123"/>
      <c r="E43" s="128"/>
      <c r="F43" s="128"/>
      <c r="G43" s="128"/>
      <c r="H43" s="128"/>
      <c r="I43" s="128"/>
      <c r="J43" s="124"/>
      <c r="K43" s="123"/>
      <c r="L43" s="128"/>
      <c r="M43" s="124"/>
      <c r="N43" s="131"/>
      <c r="O43" s="134"/>
      <c r="P43" s="150" t="s">
        <v>39</v>
      </c>
      <c r="Q43" s="151"/>
      <c r="R43" s="151"/>
      <c r="S43" s="152"/>
      <c r="T43" s="150" t="s">
        <v>16</v>
      </c>
      <c r="U43" s="151"/>
      <c r="V43" s="151"/>
      <c r="W43" s="152"/>
      <c r="X43" s="168"/>
      <c r="Y43" s="169"/>
      <c r="Z43" s="170"/>
      <c r="AA43" s="168"/>
      <c r="AB43" s="169"/>
      <c r="AC43" s="169"/>
      <c r="AD43" s="169"/>
      <c r="AE43" s="169"/>
      <c r="AF43" s="169"/>
      <c r="AG43" s="169"/>
      <c r="AH43" s="170"/>
      <c r="AI43" s="168"/>
      <c r="AJ43" s="169"/>
      <c r="AK43" s="169"/>
      <c r="AL43" s="169"/>
      <c r="AM43" s="169"/>
      <c r="AN43" s="169"/>
      <c r="AO43" s="169"/>
      <c r="AP43" s="169"/>
      <c r="AQ43" s="170"/>
      <c r="AR43" s="172"/>
      <c r="AS43" s="174"/>
      <c r="AT43" s="176"/>
      <c r="AU43" s="135" t="s">
        <v>39</v>
      </c>
      <c r="AV43" s="136"/>
      <c r="AW43" s="136"/>
      <c r="AX43" s="137"/>
      <c r="AY43" s="138" t="s">
        <v>16</v>
      </c>
      <c r="AZ43" s="136"/>
      <c r="BA43" s="136"/>
      <c r="BB43" s="139"/>
      <c r="BC43" s="159"/>
      <c r="BD43" s="160"/>
      <c r="BE43" s="160"/>
      <c r="BF43" s="160"/>
      <c r="BG43" s="160"/>
      <c r="BH43" s="160"/>
      <c r="BI43" s="160"/>
      <c r="BJ43" s="161"/>
      <c r="BK43" s="35"/>
    </row>
    <row r="44" spans="1:63" ht="15.75" customHeight="1" x14ac:dyDescent="0.25">
      <c r="A44" s="34"/>
      <c r="B44" s="140">
        <v>0</v>
      </c>
      <c r="C44" s="141"/>
      <c r="D44" s="338" t="s">
        <v>44</v>
      </c>
      <c r="E44" s="339"/>
      <c r="F44" s="339"/>
      <c r="G44" s="339"/>
      <c r="H44" s="339"/>
      <c r="I44" s="339"/>
      <c r="J44" s="340"/>
      <c r="K44" s="341" t="s">
        <v>325</v>
      </c>
      <c r="L44" s="342"/>
      <c r="M44" s="343"/>
      <c r="N44" s="38" t="s">
        <v>30</v>
      </c>
      <c r="O44" s="50" t="s">
        <v>31</v>
      </c>
      <c r="P44" s="148" t="s">
        <v>30</v>
      </c>
      <c r="Q44" s="330"/>
      <c r="R44" s="330"/>
      <c r="S44" s="331"/>
      <c r="T44" s="148" t="s">
        <v>30</v>
      </c>
      <c r="U44" s="330"/>
      <c r="V44" s="330"/>
      <c r="W44" s="331"/>
      <c r="X44" s="177" t="s">
        <v>191</v>
      </c>
      <c r="Y44" s="178"/>
      <c r="Z44" s="179"/>
      <c r="AA44" s="332" t="s">
        <v>32</v>
      </c>
      <c r="AB44" s="333"/>
      <c r="AC44" s="333"/>
      <c r="AD44" s="333"/>
      <c r="AE44" s="333"/>
      <c r="AF44" s="333"/>
      <c r="AG44" s="333"/>
      <c r="AH44" s="334"/>
      <c r="AI44" s="180" t="s">
        <v>32</v>
      </c>
      <c r="AJ44" s="181"/>
      <c r="AK44" s="181"/>
      <c r="AL44" s="181"/>
      <c r="AM44" s="181"/>
      <c r="AN44" s="181"/>
      <c r="AO44" s="181"/>
      <c r="AP44" s="181"/>
      <c r="AQ44" s="182"/>
      <c r="AR44" s="39" t="s">
        <v>30</v>
      </c>
      <c r="AS44" s="39" t="s">
        <v>30</v>
      </c>
      <c r="AT44" s="39" t="s">
        <v>30</v>
      </c>
      <c r="AU44" s="140" t="s">
        <v>33</v>
      </c>
      <c r="AV44" s="149"/>
      <c r="AW44" s="149"/>
      <c r="AX44" s="141"/>
      <c r="AY44" s="140" t="s">
        <v>32</v>
      </c>
      <c r="AZ44" s="149"/>
      <c r="BA44" s="149"/>
      <c r="BB44" s="141"/>
      <c r="BC44" s="214" t="s">
        <v>284</v>
      </c>
      <c r="BD44" s="184"/>
      <c r="BE44" s="184"/>
      <c r="BF44" s="184"/>
      <c r="BG44" s="184"/>
      <c r="BH44" s="184"/>
      <c r="BI44" s="184"/>
      <c r="BJ44" s="185"/>
      <c r="BK44" s="35"/>
    </row>
    <row r="45" spans="1:63" ht="15.75" customHeight="1" x14ac:dyDescent="0.25">
      <c r="A45" s="34"/>
      <c r="B45" s="186">
        <v>1</v>
      </c>
      <c r="C45" s="188"/>
      <c r="D45" s="197" t="s">
        <v>267</v>
      </c>
      <c r="E45" s="198"/>
      <c r="F45" s="198"/>
      <c r="G45" s="198"/>
      <c r="H45" s="198"/>
      <c r="I45" s="198"/>
      <c r="J45" s="199"/>
      <c r="K45" s="207" t="s">
        <v>325</v>
      </c>
      <c r="L45" s="146"/>
      <c r="M45" s="147"/>
      <c r="N45" s="39" t="s">
        <v>30</v>
      </c>
      <c r="O45" s="39" t="s">
        <v>31</v>
      </c>
      <c r="P45" s="186" t="s">
        <v>33</v>
      </c>
      <c r="Q45" s="187"/>
      <c r="R45" s="187"/>
      <c r="S45" s="188"/>
      <c r="T45" s="186" t="s">
        <v>33</v>
      </c>
      <c r="U45" s="187"/>
      <c r="V45" s="187"/>
      <c r="W45" s="188"/>
      <c r="X45" s="392" t="s">
        <v>271</v>
      </c>
      <c r="Y45" s="393"/>
      <c r="Z45" s="394"/>
      <c r="AA45" s="213" t="s">
        <v>32</v>
      </c>
      <c r="AB45" s="190"/>
      <c r="AC45" s="190"/>
      <c r="AD45" s="190"/>
      <c r="AE45" s="190"/>
      <c r="AF45" s="190"/>
      <c r="AG45" s="190"/>
      <c r="AH45" s="191"/>
      <c r="AI45" s="302" t="s">
        <v>32</v>
      </c>
      <c r="AJ45" s="303"/>
      <c r="AK45" s="303"/>
      <c r="AL45" s="303"/>
      <c r="AM45" s="303"/>
      <c r="AN45" s="303"/>
      <c r="AO45" s="303"/>
      <c r="AP45" s="303"/>
      <c r="AQ45" s="304"/>
      <c r="AR45" s="39" t="s">
        <v>30</v>
      </c>
      <c r="AS45" s="39" t="s">
        <v>30</v>
      </c>
      <c r="AT45" s="39" t="s">
        <v>30</v>
      </c>
      <c r="AU45" s="186" t="s">
        <v>33</v>
      </c>
      <c r="AV45" s="187"/>
      <c r="AW45" s="187"/>
      <c r="AX45" s="188"/>
      <c r="AY45" s="186" t="s">
        <v>32</v>
      </c>
      <c r="AZ45" s="187"/>
      <c r="BA45" s="187"/>
      <c r="BB45" s="188"/>
      <c r="BC45" s="210" t="s">
        <v>32</v>
      </c>
      <c r="BD45" s="211"/>
      <c r="BE45" s="211"/>
      <c r="BF45" s="211"/>
      <c r="BG45" s="211"/>
      <c r="BH45" s="211"/>
      <c r="BI45" s="211"/>
      <c r="BJ45" s="212"/>
      <c r="BK45" s="35"/>
    </row>
    <row r="46" spans="1:63" ht="15.75" customHeight="1" x14ac:dyDescent="0.25">
      <c r="A46" s="34"/>
      <c r="B46" s="186">
        <v>2</v>
      </c>
      <c r="C46" s="188"/>
      <c r="D46" s="197" t="s">
        <v>268</v>
      </c>
      <c r="E46" s="198"/>
      <c r="F46" s="198"/>
      <c r="G46" s="198"/>
      <c r="H46" s="198"/>
      <c r="I46" s="198"/>
      <c r="J46" s="199"/>
      <c r="K46" s="323" t="s">
        <v>325</v>
      </c>
      <c r="L46" s="324"/>
      <c r="M46" s="325"/>
      <c r="N46" s="51" t="s">
        <v>327</v>
      </c>
      <c r="O46" s="39" t="s">
        <v>30</v>
      </c>
      <c r="P46" s="314" t="s">
        <v>30</v>
      </c>
      <c r="Q46" s="315"/>
      <c r="R46" s="315"/>
      <c r="S46" s="316"/>
      <c r="T46" s="314" t="s">
        <v>30</v>
      </c>
      <c r="U46" s="315"/>
      <c r="V46" s="315"/>
      <c r="W46" s="316"/>
      <c r="X46" s="313" t="s">
        <v>32</v>
      </c>
      <c r="Y46" s="267"/>
      <c r="Z46" s="268"/>
      <c r="AA46" s="189" t="s">
        <v>32</v>
      </c>
      <c r="AB46" s="190"/>
      <c r="AC46" s="190"/>
      <c r="AD46" s="190"/>
      <c r="AE46" s="190"/>
      <c r="AF46" s="190"/>
      <c r="AG46" s="190"/>
      <c r="AH46" s="191"/>
      <c r="AI46" s="302" t="s">
        <v>32</v>
      </c>
      <c r="AJ46" s="303"/>
      <c r="AK46" s="303"/>
      <c r="AL46" s="303"/>
      <c r="AM46" s="303"/>
      <c r="AN46" s="303"/>
      <c r="AO46" s="303"/>
      <c r="AP46" s="303"/>
      <c r="AQ46" s="304"/>
      <c r="AR46" s="39" t="s">
        <v>30</v>
      </c>
      <c r="AS46" s="39" t="s">
        <v>30</v>
      </c>
      <c r="AT46" s="39" t="s">
        <v>30</v>
      </c>
      <c r="AU46" s="308" t="s">
        <v>33</v>
      </c>
      <c r="AV46" s="309"/>
      <c r="AW46" s="309"/>
      <c r="AX46" s="310"/>
      <c r="AY46" s="308" t="s">
        <v>32</v>
      </c>
      <c r="AZ46" s="309"/>
      <c r="BA46" s="309"/>
      <c r="BB46" s="310"/>
      <c r="BC46" s="210" t="s">
        <v>32</v>
      </c>
      <c r="BD46" s="211"/>
      <c r="BE46" s="211"/>
      <c r="BF46" s="211"/>
      <c r="BG46" s="211"/>
      <c r="BH46" s="211"/>
      <c r="BI46" s="211"/>
      <c r="BJ46" s="212"/>
      <c r="BK46" s="35"/>
    </row>
    <row r="47" spans="1:63" x14ac:dyDescent="0.25">
      <c r="A47" s="34"/>
      <c r="B47" s="186">
        <v>3</v>
      </c>
      <c r="C47" s="188"/>
      <c r="D47" s="197" t="s">
        <v>269</v>
      </c>
      <c r="E47" s="198"/>
      <c r="F47" s="198"/>
      <c r="G47" s="198"/>
      <c r="H47" s="198"/>
      <c r="I47" s="198"/>
      <c r="J47" s="199"/>
      <c r="K47" s="323" t="s">
        <v>325</v>
      </c>
      <c r="L47" s="324"/>
      <c r="M47" s="325"/>
      <c r="N47" s="39" t="s">
        <v>30</v>
      </c>
      <c r="O47" s="39" t="s">
        <v>31</v>
      </c>
      <c r="P47" s="314" t="s">
        <v>30</v>
      </c>
      <c r="Q47" s="315"/>
      <c r="R47" s="315"/>
      <c r="S47" s="316"/>
      <c r="T47" s="314" t="s">
        <v>30</v>
      </c>
      <c r="U47" s="315"/>
      <c r="V47" s="315"/>
      <c r="W47" s="316"/>
      <c r="X47" s="317" t="s">
        <v>272</v>
      </c>
      <c r="Y47" s="318"/>
      <c r="Z47" s="319"/>
      <c r="AA47" s="213" t="s">
        <v>32</v>
      </c>
      <c r="AB47" s="190"/>
      <c r="AC47" s="190"/>
      <c r="AD47" s="190"/>
      <c r="AE47" s="190"/>
      <c r="AF47" s="190"/>
      <c r="AG47" s="190"/>
      <c r="AH47" s="191"/>
      <c r="AI47" s="302" t="s">
        <v>32</v>
      </c>
      <c r="AJ47" s="303"/>
      <c r="AK47" s="303"/>
      <c r="AL47" s="303"/>
      <c r="AM47" s="303"/>
      <c r="AN47" s="303"/>
      <c r="AO47" s="303"/>
      <c r="AP47" s="303"/>
      <c r="AQ47" s="304"/>
      <c r="AR47" s="39" t="s">
        <v>30</v>
      </c>
      <c r="AS47" s="39" t="s">
        <v>30</v>
      </c>
      <c r="AT47" s="39" t="s">
        <v>30</v>
      </c>
      <c r="AU47" s="308" t="s">
        <v>33</v>
      </c>
      <c r="AV47" s="309"/>
      <c r="AW47" s="309"/>
      <c r="AX47" s="310"/>
      <c r="AY47" s="308" t="s">
        <v>32</v>
      </c>
      <c r="AZ47" s="309"/>
      <c r="BA47" s="309"/>
      <c r="BB47" s="310"/>
      <c r="BC47" s="210" t="s">
        <v>32</v>
      </c>
      <c r="BD47" s="211"/>
      <c r="BE47" s="211"/>
      <c r="BF47" s="211"/>
      <c r="BG47" s="211"/>
      <c r="BH47" s="211"/>
      <c r="BI47" s="211"/>
      <c r="BJ47" s="212"/>
      <c r="BK47" s="35"/>
    </row>
    <row r="48" spans="1:63" ht="15.75" customHeight="1" x14ac:dyDescent="0.25">
      <c r="A48" s="34"/>
      <c r="B48" s="186">
        <v>4</v>
      </c>
      <c r="C48" s="188"/>
      <c r="D48" s="197" t="s">
        <v>270</v>
      </c>
      <c r="E48" s="198"/>
      <c r="F48" s="198"/>
      <c r="G48" s="198"/>
      <c r="H48" s="198"/>
      <c r="I48" s="198"/>
      <c r="J48" s="199"/>
      <c r="K48" s="207" t="s">
        <v>325</v>
      </c>
      <c r="L48" s="146"/>
      <c r="M48" s="147"/>
      <c r="N48" s="39" t="s">
        <v>327</v>
      </c>
      <c r="O48" s="39" t="s">
        <v>30</v>
      </c>
      <c r="P48" s="186" t="s">
        <v>33</v>
      </c>
      <c r="Q48" s="187"/>
      <c r="R48" s="187"/>
      <c r="S48" s="188"/>
      <c r="T48" s="186" t="s">
        <v>33</v>
      </c>
      <c r="U48" s="187"/>
      <c r="V48" s="187"/>
      <c r="W48" s="188"/>
      <c r="X48" s="313" t="s">
        <v>32</v>
      </c>
      <c r="Y48" s="267"/>
      <c r="Z48" s="268"/>
      <c r="AA48" s="213" t="s">
        <v>32</v>
      </c>
      <c r="AB48" s="190"/>
      <c r="AC48" s="190"/>
      <c r="AD48" s="190"/>
      <c r="AE48" s="190"/>
      <c r="AF48" s="190"/>
      <c r="AG48" s="190"/>
      <c r="AH48" s="191"/>
      <c r="AI48" s="302" t="s">
        <v>32</v>
      </c>
      <c r="AJ48" s="303"/>
      <c r="AK48" s="303"/>
      <c r="AL48" s="303"/>
      <c r="AM48" s="303"/>
      <c r="AN48" s="303"/>
      <c r="AO48" s="303"/>
      <c r="AP48" s="303"/>
      <c r="AQ48" s="304"/>
      <c r="AR48" s="39" t="s">
        <v>30</v>
      </c>
      <c r="AS48" s="39" t="s">
        <v>30</v>
      </c>
      <c r="AT48" s="39" t="s">
        <v>30</v>
      </c>
      <c r="AU48" s="186" t="s">
        <v>33</v>
      </c>
      <c r="AV48" s="187"/>
      <c r="AW48" s="187"/>
      <c r="AX48" s="188"/>
      <c r="AY48" s="186" t="s">
        <v>32</v>
      </c>
      <c r="AZ48" s="187"/>
      <c r="BA48" s="187"/>
      <c r="BB48" s="188"/>
      <c r="BC48" s="210" t="s">
        <v>32</v>
      </c>
      <c r="BD48" s="211"/>
      <c r="BE48" s="211"/>
      <c r="BF48" s="211"/>
      <c r="BG48" s="211"/>
      <c r="BH48" s="211"/>
      <c r="BI48" s="211"/>
      <c r="BJ48" s="212"/>
      <c r="BK48" s="35"/>
    </row>
    <row r="49" spans="1:63" x14ac:dyDescent="0.25">
      <c r="A49" s="34"/>
      <c r="B49" s="186">
        <v>5</v>
      </c>
      <c r="C49" s="188"/>
      <c r="D49" s="197" t="s">
        <v>273</v>
      </c>
      <c r="E49" s="198"/>
      <c r="F49" s="198"/>
      <c r="G49" s="198"/>
      <c r="H49" s="198"/>
      <c r="I49" s="198"/>
      <c r="J49" s="199"/>
      <c r="K49" s="323" t="s">
        <v>325</v>
      </c>
      <c r="L49" s="324"/>
      <c r="M49" s="325"/>
      <c r="N49" s="51" t="s">
        <v>30</v>
      </c>
      <c r="O49" s="39" t="s">
        <v>31</v>
      </c>
      <c r="P49" s="314" t="s">
        <v>30</v>
      </c>
      <c r="Q49" s="315"/>
      <c r="R49" s="315"/>
      <c r="S49" s="316"/>
      <c r="T49" s="314" t="s">
        <v>30</v>
      </c>
      <c r="U49" s="315"/>
      <c r="V49" s="315"/>
      <c r="W49" s="316"/>
      <c r="X49" s="313" t="s">
        <v>122</v>
      </c>
      <c r="Y49" s="320"/>
      <c r="Z49" s="321"/>
      <c r="AA49" s="213" t="s">
        <v>32</v>
      </c>
      <c r="AB49" s="190"/>
      <c r="AC49" s="190"/>
      <c r="AD49" s="190"/>
      <c r="AE49" s="190"/>
      <c r="AF49" s="190"/>
      <c r="AG49" s="190"/>
      <c r="AH49" s="191"/>
      <c r="AI49" s="302" t="s">
        <v>32</v>
      </c>
      <c r="AJ49" s="303"/>
      <c r="AK49" s="303"/>
      <c r="AL49" s="303"/>
      <c r="AM49" s="303"/>
      <c r="AN49" s="303"/>
      <c r="AO49" s="303"/>
      <c r="AP49" s="303"/>
      <c r="AQ49" s="304"/>
      <c r="AR49" s="39" t="s">
        <v>30</v>
      </c>
      <c r="AS49" s="39" t="s">
        <v>30</v>
      </c>
      <c r="AT49" s="39" t="s">
        <v>30</v>
      </c>
      <c r="AU49" s="308" t="s">
        <v>33</v>
      </c>
      <c r="AV49" s="309"/>
      <c r="AW49" s="309"/>
      <c r="AX49" s="310"/>
      <c r="AY49" s="308" t="s">
        <v>32</v>
      </c>
      <c r="AZ49" s="309"/>
      <c r="BA49" s="309"/>
      <c r="BB49" s="310"/>
      <c r="BC49" s="210" t="s">
        <v>32</v>
      </c>
      <c r="BD49" s="211"/>
      <c r="BE49" s="211"/>
      <c r="BF49" s="211"/>
      <c r="BG49" s="211"/>
      <c r="BH49" s="211"/>
      <c r="BI49" s="211"/>
      <c r="BJ49" s="212"/>
      <c r="BK49" s="35"/>
    </row>
    <row r="50" spans="1:63" ht="15.75" customHeight="1" x14ac:dyDescent="0.25">
      <c r="A50" s="34"/>
      <c r="B50" s="186">
        <v>6</v>
      </c>
      <c r="C50" s="188"/>
      <c r="D50" s="197" t="s">
        <v>274</v>
      </c>
      <c r="E50" s="198"/>
      <c r="F50" s="198"/>
      <c r="G50" s="198"/>
      <c r="H50" s="198"/>
      <c r="I50" s="198"/>
      <c r="J50" s="199"/>
      <c r="K50" s="207" t="s">
        <v>325</v>
      </c>
      <c r="L50" s="146"/>
      <c r="M50" s="147"/>
      <c r="N50" s="39" t="s">
        <v>327</v>
      </c>
      <c r="O50" s="39" t="s">
        <v>30</v>
      </c>
      <c r="P50" s="314" t="s">
        <v>30</v>
      </c>
      <c r="Q50" s="315"/>
      <c r="R50" s="315"/>
      <c r="S50" s="316"/>
      <c r="T50" s="314" t="s">
        <v>30</v>
      </c>
      <c r="U50" s="315"/>
      <c r="V50" s="315"/>
      <c r="W50" s="316"/>
      <c r="X50" s="313" t="s">
        <v>32</v>
      </c>
      <c r="Y50" s="267"/>
      <c r="Z50" s="268"/>
      <c r="AA50" s="213" t="s">
        <v>32</v>
      </c>
      <c r="AB50" s="190"/>
      <c r="AC50" s="190"/>
      <c r="AD50" s="190"/>
      <c r="AE50" s="190"/>
      <c r="AF50" s="190"/>
      <c r="AG50" s="190"/>
      <c r="AH50" s="191"/>
      <c r="AI50" s="302" t="s">
        <v>32</v>
      </c>
      <c r="AJ50" s="303"/>
      <c r="AK50" s="303"/>
      <c r="AL50" s="303"/>
      <c r="AM50" s="303"/>
      <c r="AN50" s="303"/>
      <c r="AO50" s="303"/>
      <c r="AP50" s="303"/>
      <c r="AQ50" s="304"/>
      <c r="AR50" s="39" t="s">
        <v>30</v>
      </c>
      <c r="AS50" s="39" t="s">
        <v>30</v>
      </c>
      <c r="AT50" s="39" t="s">
        <v>30</v>
      </c>
      <c r="AU50" s="308" t="s">
        <v>33</v>
      </c>
      <c r="AV50" s="309"/>
      <c r="AW50" s="309"/>
      <c r="AX50" s="310"/>
      <c r="AY50" s="308" t="s">
        <v>32</v>
      </c>
      <c r="AZ50" s="309"/>
      <c r="BA50" s="309"/>
      <c r="BB50" s="310"/>
      <c r="BC50" s="210" t="s">
        <v>32</v>
      </c>
      <c r="BD50" s="211"/>
      <c r="BE50" s="211"/>
      <c r="BF50" s="211"/>
      <c r="BG50" s="211"/>
      <c r="BH50" s="211"/>
      <c r="BI50" s="211"/>
      <c r="BJ50" s="212"/>
      <c r="BK50" s="35"/>
    </row>
    <row r="51" spans="1:63" ht="15.75" customHeight="1" x14ac:dyDescent="0.25">
      <c r="A51" s="34"/>
      <c r="B51" s="186">
        <v>7</v>
      </c>
      <c r="C51" s="188"/>
      <c r="D51" s="197" t="s">
        <v>275</v>
      </c>
      <c r="E51" s="198"/>
      <c r="F51" s="198"/>
      <c r="G51" s="198"/>
      <c r="H51" s="198"/>
      <c r="I51" s="198"/>
      <c r="J51" s="199"/>
      <c r="K51" s="207" t="s">
        <v>325</v>
      </c>
      <c r="L51" s="311"/>
      <c r="M51" s="312"/>
      <c r="N51" s="51" t="s">
        <v>30</v>
      </c>
      <c r="O51" s="39" t="s">
        <v>31</v>
      </c>
      <c r="P51" s="314" t="s">
        <v>30</v>
      </c>
      <c r="Q51" s="315"/>
      <c r="R51" s="315"/>
      <c r="S51" s="316"/>
      <c r="T51" s="314" t="s">
        <v>30</v>
      </c>
      <c r="U51" s="315"/>
      <c r="V51" s="315"/>
      <c r="W51" s="316"/>
      <c r="X51" s="313" t="s">
        <v>90</v>
      </c>
      <c r="Y51" s="267"/>
      <c r="Z51" s="268"/>
      <c r="AA51" s="213" t="s">
        <v>32</v>
      </c>
      <c r="AB51" s="190"/>
      <c r="AC51" s="190"/>
      <c r="AD51" s="190"/>
      <c r="AE51" s="190"/>
      <c r="AF51" s="190"/>
      <c r="AG51" s="190"/>
      <c r="AH51" s="191"/>
      <c r="AI51" s="302" t="s">
        <v>32</v>
      </c>
      <c r="AJ51" s="303"/>
      <c r="AK51" s="303"/>
      <c r="AL51" s="303"/>
      <c r="AM51" s="303"/>
      <c r="AN51" s="303"/>
      <c r="AO51" s="303"/>
      <c r="AP51" s="303"/>
      <c r="AQ51" s="304"/>
      <c r="AR51" s="39" t="s">
        <v>30</v>
      </c>
      <c r="AS51" s="39" t="s">
        <v>30</v>
      </c>
      <c r="AT51" s="39" t="s">
        <v>30</v>
      </c>
      <c r="AU51" s="308" t="s">
        <v>33</v>
      </c>
      <c r="AV51" s="309"/>
      <c r="AW51" s="309"/>
      <c r="AX51" s="310"/>
      <c r="AY51" s="308" t="s">
        <v>32</v>
      </c>
      <c r="AZ51" s="309"/>
      <c r="BA51" s="309"/>
      <c r="BB51" s="310"/>
      <c r="BC51" s="210" t="s">
        <v>32</v>
      </c>
      <c r="BD51" s="211"/>
      <c r="BE51" s="211"/>
      <c r="BF51" s="211"/>
      <c r="BG51" s="211"/>
      <c r="BH51" s="211"/>
      <c r="BI51" s="211"/>
      <c r="BJ51" s="212"/>
      <c r="BK51" s="35"/>
    </row>
    <row r="52" spans="1:63" x14ac:dyDescent="0.25">
      <c r="A52" s="34"/>
      <c r="B52" s="186">
        <v>8</v>
      </c>
      <c r="C52" s="188"/>
      <c r="D52" s="197" t="s">
        <v>276</v>
      </c>
      <c r="E52" s="198"/>
      <c r="F52" s="198"/>
      <c r="G52" s="198"/>
      <c r="H52" s="198"/>
      <c r="I52" s="198"/>
      <c r="J52" s="199"/>
      <c r="K52" s="207" t="s">
        <v>325</v>
      </c>
      <c r="L52" s="311"/>
      <c r="M52" s="312"/>
      <c r="N52" s="51" t="s">
        <v>327</v>
      </c>
      <c r="O52" s="39" t="s">
        <v>30</v>
      </c>
      <c r="P52" s="314" t="s">
        <v>30</v>
      </c>
      <c r="Q52" s="315"/>
      <c r="R52" s="315"/>
      <c r="S52" s="316"/>
      <c r="T52" s="314" t="s">
        <v>30</v>
      </c>
      <c r="U52" s="315"/>
      <c r="V52" s="315"/>
      <c r="W52" s="316"/>
      <c r="X52" s="317" t="s">
        <v>30</v>
      </c>
      <c r="Y52" s="318"/>
      <c r="Z52" s="319"/>
      <c r="AA52" s="213" t="s">
        <v>32</v>
      </c>
      <c r="AB52" s="190"/>
      <c r="AC52" s="190"/>
      <c r="AD52" s="190"/>
      <c r="AE52" s="190"/>
      <c r="AF52" s="190"/>
      <c r="AG52" s="190"/>
      <c r="AH52" s="191"/>
      <c r="AI52" s="284" t="s">
        <v>32</v>
      </c>
      <c r="AJ52" s="390"/>
      <c r="AK52" s="390"/>
      <c r="AL52" s="390"/>
      <c r="AM52" s="390"/>
      <c r="AN52" s="390"/>
      <c r="AO52" s="390"/>
      <c r="AP52" s="390"/>
      <c r="AQ52" s="391"/>
      <c r="AR52" s="39" t="s">
        <v>30</v>
      </c>
      <c r="AS52" s="39" t="s">
        <v>30</v>
      </c>
      <c r="AT52" s="39" t="s">
        <v>30</v>
      </c>
      <c r="AU52" s="308" t="s">
        <v>33</v>
      </c>
      <c r="AV52" s="309"/>
      <c r="AW52" s="309"/>
      <c r="AX52" s="310"/>
      <c r="AY52" s="308" t="s">
        <v>32</v>
      </c>
      <c r="AZ52" s="309"/>
      <c r="BA52" s="309"/>
      <c r="BB52" s="310"/>
      <c r="BC52" s="210" t="s">
        <v>32</v>
      </c>
      <c r="BD52" s="211"/>
      <c r="BE52" s="211"/>
      <c r="BF52" s="211"/>
      <c r="BG52" s="211"/>
      <c r="BH52" s="211"/>
      <c r="BI52" s="211"/>
      <c r="BJ52" s="212"/>
      <c r="BK52" s="35"/>
    </row>
    <row r="53" spans="1:63" ht="15.75" customHeight="1" x14ac:dyDescent="0.25">
      <c r="A53" s="34"/>
      <c r="B53" s="186">
        <v>9</v>
      </c>
      <c r="C53" s="188"/>
      <c r="D53" s="197" t="s">
        <v>277</v>
      </c>
      <c r="E53" s="198"/>
      <c r="F53" s="198"/>
      <c r="G53" s="198"/>
      <c r="H53" s="198"/>
      <c r="I53" s="198"/>
      <c r="J53" s="199"/>
      <c r="K53" s="207" t="s">
        <v>325</v>
      </c>
      <c r="L53" s="311"/>
      <c r="M53" s="312"/>
      <c r="N53" s="51" t="s">
        <v>30</v>
      </c>
      <c r="O53" s="39" t="s">
        <v>31</v>
      </c>
      <c r="P53" s="314" t="s">
        <v>30</v>
      </c>
      <c r="Q53" s="315"/>
      <c r="R53" s="315"/>
      <c r="S53" s="316"/>
      <c r="T53" s="314" t="s">
        <v>30</v>
      </c>
      <c r="U53" s="315"/>
      <c r="V53" s="315"/>
      <c r="W53" s="316"/>
      <c r="X53" s="313" t="s">
        <v>281</v>
      </c>
      <c r="Y53" s="267"/>
      <c r="Z53" s="268"/>
      <c r="AA53" s="213" t="s">
        <v>32</v>
      </c>
      <c r="AB53" s="190"/>
      <c r="AC53" s="190"/>
      <c r="AD53" s="190"/>
      <c r="AE53" s="190"/>
      <c r="AF53" s="190"/>
      <c r="AG53" s="190"/>
      <c r="AH53" s="191"/>
      <c r="AI53" s="213" t="s">
        <v>32</v>
      </c>
      <c r="AJ53" s="190"/>
      <c r="AK53" s="190"/>
      <c r="AL53" s="190"/>
      <c r="AM53" s="190"/>
      <c r="AN53" s="190"/>
      <c r="AO53" s="190"/>
      <c r="AP53" s="190"/>
      <c r="AQ53" s="191"/>
      <c r="AR53" s="39" t="s">
        <v>30</v>
      </c>
      <c r="AS53" s="39" t="s">
        <v>30</v>
      </c>
      <c r="AT53" s="39" t="s">
        <v>30</v>
      </c>
      <c r="AU53" s="308" t="s">
        <v>33</v>
      </c>
      <c r="AV53" s="309"/>
      <c r="AW53" s="309"/>
      <c r="AX53" s="310"/>
      <c r="AY53" s="308" t="s">
        <v>32</v>
      </c>
      <c r="AZ53" s="309"/>
      <c r="BA53" s="309"/>
      <c r="BB53" s="310"/>
      <c r="BC53" s="210" t="s">
        <v>32</v>
      </c>
      <c r="BD53" s="211"/>
      <c r="BE53" s="211"/>
      <c r="BF53" s="211"/>
      <c r="BG53" s="211"/>
      <c r="BH53" s="211"/>
      <c r="BI53" s="211"/>
      <c r="BJ53" s="212"/>
      <c r="BK53" s="35"/>
    </row>
    <row r="54" spans="1:63" ht="31.5" customHeight="1" x14ac:dyDescent="0.25">
      <c r="A54" s="34"/>
      <c r="B54" s="186">
        <v>10</v>
      </c>
      <c r="C54" s="188"/>
      <c r="D54" s="197" t="s">
        <v>278</v>
      </c>
      <c r="E54" s="198"/>
      <c r="F54" s="198"/>
      <c r="G54" s="198"/>
      <c r="H54" s="198"/>
      <c r="I54" s="198"/>
      <c r="J54" s="199"/>
      <c r="K54" s="207" t="s">
        <v>50</v>
      </c>
      <c r="L54" s="311"/>
      <c r="M54" s="312"/>
      <c r="N54" s="51" t="s">
        <v>18</v>
      </c>
      <c r="O54" s="39" t="s">
        <v>30</v>
      </c>
      <c r="P54" s="314" t="s">
        <v>30</v>
      </c>
      <c r="Q54" s="315"/>
      <c r="R54" s="315"/>
      <c r="S54" s="316"/>
      <c r="T54" s="314" t="s">
        <v>30</v>
      </c>
      <c r="U54" s="315"/>
      <c r="V54" s="315"/>
      <c r="W54" s="316"/>
      <c r="X54" s="317" t="s">
        <v>30</v>
      </c>
      <c r="Y54" s="318"/>
      <c r="Z54" s="319"/>
      <c r="AA54" s="213" t="s">
        <v>32</v>
      </c>
      <c r="AB54" s="190"/>
      <c r="AC54" s="190"/>
      <c r="AD54" s="190"/>
      <c r="AE54" s="190"/>
      <c r="AF54" s="190"/>
      <c r="AG54" s="190"/>
      <c r="AH54" s="191"/>
      <c r="AI54" s="284" t="s">
        <v>32</v>
      </c>
      <c r="AJ54" s="390"/>
      <c r="AK54" s="390"/>
      <c r="AL54" s="390"/>
      <c r="AM54" s="390"/>
      <c r="AN54" s="390"/>
      <c r="AO54" s="390"/>
      <c r="AP54" s="390"/>
      <c r="AQ54" s="391"/>
      <c r="AR54" s="39" t="s">
        <v>31</v>
      </c>
      <c r="AS54" s="39" t="s">
        <v>31</v>
      </c>
      <c r="AT54" s="39" t="s">
        <v>30</v>
      </c>
      <c r="AU54" s="308" t="s">
        <v>33</v>
      </c>
      <c r="AV54" s="309"/>
      <c r="AW54" s="309"/>
      <c r="AX54" s="310"/>
      <c r="AY54" s="308" t="s">
        <v>32</v>
      </c>
      <c r="AZ54" s="309"/>
      <c r="BA54" s="309"/>
      <c r="BB54" s="310"/>
      <c r="BC54" s="210" t="s">
        <v>293</v>
      </c>
      <c r="BD54" s="211"/>
      <c r="BE54" s="211"/>
      <c r="BF54" s="211"/>
      <c r="BG54" s="211"/>
      <c r="BH54" s="211"/>
      <c r="BI54" s="211"/>
      <c r="BJ54" s="212"/>
      <c r="BK54" s="35"/>
    </row>
    <row r="55" spans="1:63" ht="15.75" customHeight="1" x14ac:dyDescent="0.25">
      <c r="A55" s="34"/>
      <c r="B55" s="186">
        <v>11</v>
      </c>
      <c r="C55" s="188"/>
      <c r="D55" s="197" t="s">
        <v>279</v>
      </c>
      <c r="E55" s="198"/>
      <c r="F55" s="198"/>
      <c r="G55" s="198"/>
      <c r="H55" s="198"/>
      <c r="I55" s="198"/>
      <c r="J55" s="199"/>
      <c r="K55" s="207" t="s">
        <v>325</v>
      </c>
      <c r="L55" s="311"/>
      <c r="M55" s="312"/>
      <c r="N55" s="51" t="s">
        <v>30</v>
      </c>
      <c r="O55" s="39" t="s">
        <v>31</v>
      </c>
      <c r="P55" s="314" t="s">
        <v>30</v>
      </c>
      <c r="Q55" s="315"/>
      <c r="R55" s="315"/>
      <c r="S55" s="316"/>
      <c r="T55" s="314" t="s">
        <v>30</v>
      </c>
      <c r="U55" s="315"/>
      <c r="V55" s="315"/>
      <c r="W55" s="316"/>
      <c r="X55" s="313" t="s">
        <v>80</v>
      </c>
      <c r="Y55" s="267"/>
      <c r="Z55" s="268"/>
      <c r="AA55" s="213" t="s">
        <v>32</v>
      </c>
      <c r="AB55" s="190"/>
      <c r="AC55" s="190"/>
      <c r="AD55" s="190"/>
      <c r="AE55" s="190"/>
      <c r="AF55" s="190"/>
      <c r="AG55" s="190"/>
      <c r="AH55" s="191"/>
      <c r="AI55" s="213" t="s">
        <v>32</v>
      </c>
      <c r="AJ55" s="190"/>
      <c r="AK55" s="190"/>
      <c r="AL55" s="190"/>
      <c r="AM55" s="190"/>
      <c r="AN55" s="190"/>
      <c r="AO55" s="190"/>
      <c r="AP55" s="190"/>
      <c r="AQ55" s="191"/>
      <c r="AR55" s="39" t="s">
        <v>30</v>
      </c>
      <c r="AS55" s="39" t="s">
        <v>30</v>
      </c>
      <c r="AT55" s="39" t="s">
        <v>30</v>
      </c>
      <c r="AU55" s="308" t="s">
        <v>33</v>
      </c>
      <c r="AV55" s="309"/>
      <c r="AW55" s="309"/>
      <c r="AX55" s="310"/>
      <c r="AY55" s="308" t="s">
        <v>32</v>
      </c>
      <c r="AZ55" s="309"/>
      <c r="BA55" s="309"/>
      <c r="BB55" s="310"/>
      <c r="BC55" s="210" t="s">
        <v>32</v>
      </c>
      <c r="BD55" s="211"/>
      <c r="BE55" s="211"/>
      <c r="BF55" s="211"/>
      <c r="BG55" s="211"/>
      <c r="BH55" s="211"/>
      <c r="BI55" s="211"/>
      <c r="BJ55" s="212"/>
      <c r="BK55" s="35"/>
    </row>
    <row r="56" spans="1:63" ht="31.5" customHeight="1" x14ac:dyDescent="0.25">
      <c r="A56" s="34"/>
      <c r="B56" s="186">
        <v>12</v>
      </c>
      <c r="C56" s="188"/>
      <c r="D56" s="197" t="s">
        <v>280</v>
      </c>
      <c r="E56" s="198"/>
      <c r="F56" s="198"/>
      <c r="G56" s="198"/>
      <c r="H56" s="198"/>
      <c r="I56" s="198"/>
      <c r="J56" s="199"/>
      <c r="K56" s="207" t="s">
        <v>168</v>
      </c>
      <c r="L56" s="311"/>
      <c r="M56" s="312"/>
      <c r="N56" s="51" t="s">
        <v>54</v>
      </c>
      <c r="O56" s="39" t="s">
        <v>30</v>
      </c>
      <c r="P56" s="314" t="s">
        <v>30</v>
      </c>
      <c r="Q56" s="315"/>
      <c r="R56" s="315"/>
      <c r="S56" s="316"/>
      <c r="T56" s="314" t="s">
        <v>30</v>
      </c>
      <c r="U56" s="315"/>
      <c r="V56" s="315"/>
      <c r="W56" s="316"/>
      <c r="X56" s="317" t="s">
        <v>30</v>
      </c>
      <c r="Y56" s="318"/>
      <c r="Z56" s="319"/>
      <c r="AA56" s="213" t="s">
        <v>32</v>
      </c>
      <c r="AB56" s="190"/>
      <c r="AC56" s="190"/>
      <c r="AD56" s="190"/>
      <c r="AE56" s="190"/>
      <c r="AF56" s="190"/>
      <c r="AG56" s="190"/>
      <c r="AH56" s="191"/>
      <c r="AI56" s="284" t="s">
        <v>32</v>
      </c>
      <c r="AJ56" s="390"/>
      <c r="AK56" s="390"/>
      <c r="AL56" s="390"/>
      <c r="AM56" s="390"/>
      <c r="AN56" s="390"/>
      <c r="AO56" s="390"/>
      <c r="AP56" s="390"/>
      <c r="AQ56" s="391"/>
      <c r="AR56" s="41" t="s">
        <v>30</v>
      </c>
      <c r="AS56" s="41" t="s">
        <v>30</v>
      </c>
      <c r="AT56" s="41" t="s">
        <v>30</v>
      </c>
      <c r="AU56" s="308" t="s">
        <v>33</v>
      </c>
      <c r="AV56" s="309"/>
      <c r="AW56" s="309"/>
      <c r="AX56" s="310"/>
      <c r="AY56" s="308" t="s">
        <v>32</v>
      </c>
      <c r="AZ56" s="309"/>
      <c r="BA56" s="309"/>
      <c r="BB56" s="310"/>
      <c r="BC56" s="210" t="s">
        <v>32</v>
      </c>
      <c r="BD56" s="211"/>
      <c r="BE56" s="211"/>
      <c r="BF56" s="211"/>
      <c r="BG56" s="211"/>
      <c r="BH56" s="211"/>
      <c r="BI56" s="211"/>
      <c r="BJ56" s="212"/>
      <c r="BK56" s="35"/>
    </row>
    <row r="57" spans="1:63" ht="15.75" customHeight="1" x14ac:dyDescent="0.25">
      <c r="A57" s="34"/>
      <c r="B57" s="186">
        <v>13</v>
      </c>
      <c r="C57" s="188"/>
      <c r="D57" s="197" t="s">
        <v>282</v>
      </c>
      <c r="E57" s="198"/>
      <c r="F57" s="198"/>
      <c r="G57" s="198"/>
      <c r="H57" s="198"/>
      <c r="I57" s="198"/>
      <c r="J57" s="199"/>
      <c r="K57" s="207" t="s">
        <v>326</v>
      </c>
      <c r="L57" s="311"/>
      <c r="M57" s="312"/>
      <c r="N57" s="51" t="s">
        <v>328</v>
      </c>
      <c r="O57" s="39" t="s">
        <v>31</v>
      </c>
      <c r="P57" s="208" t="s">
        <v>30</v>
      </c>
      <c r="Q57" s="267"/>
      <c r="R57" s="267"/>
      <c r="S57" s="268"/>
      <c r="T57" s="208" t="s">
        <v>30</v>
      </c>
      <c r="U57" s="267"/>
      <c r="V57" s="267"/>
      <c r="W57" s="268"/>
      <c r="X57" s="313" t="s">
        <v>283</v>
      </c>
      <c r="Y57" s="320"/>
      <c r="Z57" s="321"/>
      <c r="AA57" s="213" t="s">
        <v>32</v>
      </c>
      <c r="AB57" s="190"/>
      <c r="AC57" s="190"/>
      <c r="AD57" s="190"/>
      <c r="AE57" s="190"/>
      <c r="AF57" s="190"/>
      <c r="AG57" s="190"/>
      <c r="AH57" s="191"/>
      <c r="AI57" s="213" t="s">
        <v>32</v>
      </c>
      <c r="AJ57" s="190"/>
      <c r="AK57" s="190"/>
      <c r="AL57" s="190"/>
      <c r="AM57" s="190"/>
      <c r="AN57" s="190"/>
      <c r="AO57" s="190"/>
      <c r="AP57" s="190"/>
      <c r="AQ57" s="191"/>
      <c r="AR57" s="41" t="s">
        <v>30</v>
      </c>
      <c r="AS57" s="41" t="s">
        <v>30</v>
      </c>
      <c r="AT57" s="41" t="s">
        <v>30</v>
      </c>
      <c r="AU57" s="186" t="s">
        <v>33</v>
      </c>
      <c r="AV57" s="187"/>
      <c r="AW57" s="187"/>
      <c r="AX57" s="188"/>
      <c r="AY57" s="186" t="s">
        <v>32</v>
      </c>
      <c r="AZ57" s="187"/>
      <c r="BA57" s="187"/>
      <c r="BB57" s="188"/>
      <c r="BC57" s="210" t="s">
        <v>285</v>
      </c>
      <c r="BD57" s="211"/>
      <c r="BE57" s="211"/>
      <c r="BF57" s="211"/>
      <c r="BG57" s="211"/>
      <c r="BH57" s="211"/>
      <c r="BI57" s="211"/>
      <c r="BJ57" s="212"/>
      <c r="BK57" s="35"/>
    </row>
    <row r="58" spans="1:63" ht="15.75" customHeight="1" x14ac:dyDescent="0.25">
      <c r="A58" s="34"/>
      <c r="B58" s="186">
        <v>14</v>
      </c>
      <c r="C58" s="188"/>
      <c r="D58" s="197" t="s">
        <v>286</v>
      </c>
      <c r="E58" s="198"/>
      <c r="F58" s="198"/>
      <c r="G58" s="198"/>
      <c r="H58" s="198"/>
      <c r="I58" s="198"/>
      <c r="J58" s="199"/>
      <c r="K58" s="207" t="s">
        <v>326</v>
      </c>
      <c r="L58" s="311"/>
      <c r="M58" s="312"/>
      <c r="N58" s="51" t="s">
        <v>328</v>
      </c>
      <c r="O58" s="39" t="s">
        <v>31</v>
      </c>
      <c r="P58" s="208" t="s">
        <v>30</v>
      </c>
      <c r="Q58" s="267"/>
      <c r="R58" s="267"/>
      <c r="S58" s="268"/>
      <c r="T58" s="208" t="s">
        <v>30</v>
      </c>
      <c r="U58" s="267"/>
      <c r="V58" s="267"/>
      <c r="W58" s="268"/>
      <c r="X58" s="313" t="s">
        <v>288</v>
      </c>
      <c r="Y58" s="320"/>
      <c r="Z58" s="321"/>
      <c r="AA58" s="213" t="s">
        <v>32</v>
      </c>
      <c r="AB58" s="190"/>
      <c r="AC58" s="190"/>
      <c r="AD58" s="190"/>
      <c r="AE58" s="190"/>
      <c r="AF58" s="190"/>
      <c r="AG58" s="190"/>
      <c r="AH58" s="191"/>
      <c r="AI58" s="213" t="s">
        <v>32</v>
      </c>
      <c r="AJ58" s="190"/>
      <c r="AK58" s="190"/>
      <c r="AL58" s="190"/>
      <c r="AM58" s="190"/>
      <c r="AN58" s="190"/>
      <c r="AO58" s="190"/>
      <c r="AP58" s="190"/>
      <c r="AQ58" s="191"/>
      <c r="AR58" s="41" t="s">
        <v>30</v>
      </c>
      <c r="AS58" s="41" t="s">
        <v>30</v>
      </c>
      <c r="AT58" s="41" t="s">
        <v>30</v>
      </c>
      <c r="AU58" s="186" t="s">
        <v>33</v>
      </c>
      <c r="AV58" s="187"/>
      <c r="AW58" s="187"/>
      <c r="AX58" s="188"/>
      <c r="AY58" s="186" t="s">
        <v>32</v>
      </c>
      <c r="AZ58" s="187"/>
      <c r="BA58" s="187"/>
      <c r="BB58" s="188"/>
      <c r="BC58" s="210" t="s">
        <v>290</v>
      </c>
      <c r="BD58" s="211"/>
      <c r="BE58" s="211"/>
      <c r="BF58" s="211"/>
      <c r="BG58" s="211"/>
      <c r="BH58" s="211"/>
      <c r="BI58" s="211"/>
      <c r="BJ58" s="212"/>
      <c r="BK58" s="35"/>
    </row>
    <row r="59" spans="1:63" ht="15.75" customHeight="1" x14ac:dyDescent="0.25">
      <c r="A59" s="34"/>
      <c r="B59" s="186">
        <v>15</v>
      </c>
      <c r="C59" s="188"/>
      <c r="D59" s="197" t="s">
        <v>287</v>
      </c>
      <c r="E59" s="198"/>
      <c r="F59" s="198"/>
      <c r="G59" s="198"/>
      <c r="H59" s="198"/>
      <c r="I59" s="198"/>
      <c r="J59" s="199"/>
      <c r="K59" s="207" t="s">
        <v>326</v>
      </c>
      <c r="L59" s="311"/>
      <c r="M59" s="312"/>
      <c r="N59" s="51" t="s">
        <v>328</v>
      </c>
      <c r="O59" s="39" t="s">
        <v>31</v>
      </c>
      <c r="P59" s="208" t="s">
        <v>30</v>
      </c>
      <c r="Q59" s="267"/>
      <c r="R59" s="267"/>
      <c r="S59" s="268"/>
      <c r="T59" s="208" t="s">
        <v>30</v>
      </c>
      <c r="U59" s="267"/>
      <c r="V59" s="267"/>
      <c r="W59" s="268"/>
      <c r="X59" s="313" t="s">
        <v>167</v>
      </c>
      <c r="Y59" s="320"/>
      <c r="Z59" s="321"/>
      <c r="AA59" s="213" t="s">
        <v>32</v>
      </c>
      <c r="AB59" s="190"/>
      <c r="AC59" s="190"/>
      <c r="AD59" s="190"/>
      <c r="AE59" s="190"/>
      <c r="AF59" s="190"/>
      <c r="AG59" s="190"/>
      <c r="AH59" s="191"/>
      <c r="AI59" s="213" t="s">
        <v>32</v>
      </c>
      <c r="AJ59" s="190"/>
      <c r="AK59" s="190"/>
      <c r="AL59" s="190"/>
      <c r="AM59" s="190"/>
      <c r="AN59" s="190"/>
      <c r="AO59" s="190"/>
      <c r="AP59" s="190"/>
      <c r="AQ59" s="191"/>
      <c r="AR59" s="41" t="s">
        <v>30</v>
      </c>
      <c r="AS59" s="41" t="s">
        <v>30</v>
      </c>
      <c r="AT59" s="41" t="s">
        <v>30</v>
      </c>
      <c r="AU59" s="186" t="s">
        <v>33</v>
      </c>
      <c r="AV59" s="187"/>
      <c r="AW59" s="187"/>
      <c r="AX59" s="188"/>
      <c r="AY59" s="186" t="s">
        <v>32</v>
      </c>
      <c r="AZ59" s="187"/>
      <c r="BA59" s="187"/>
      <c r="BB59" s="188"/>
      <c r="BC59" s="210" t="s">
        <v>291</v>
      </c>
      <c r="BD59" s="211"/>
      <c r="BE59" s="211"/>
      <c r="BF59" s="211"/>
      <c r="BG59" s="211"/>
      <c r="BH59" s="211"/>
      <c r="BI59" s="211"/>
      <c r="BJ59" s="212"/>
      <c r="BK59" s="35"/>
    </row>
    <row r="60" spans="1:63" ht="15.75" customHeight="1" x14ac:dyDescent="0.25">
      <c r="A60" s="34"/>
      <c r="B60" s="240">
        <v>16</v>
      </c>
      <c r="C60" s="242"/>
      <c r="D60" s="384" t="s">
        <v>289</v>
      </c>
      <c r="E60" s="385"/>
      <c r="F60" s="385"/>
      <c r="G60" s="385"/>
      <c r="H60" s="385"/>
      <c r="I60" s="385"/>
      <c r="J60" s="386"/>
      <c r="K60" s="243" t="s">
        <v>166</v>
      </c>
      <c r="L60" s="387"/>
      <c r="M60" s="388"/>
      <c r="N60" s="53" t="s">
        <v>172</v>
      </c>
      <c r="O60" s="43" t="s">
        <v>31</v>
      </c>
      <c r="P60" s="389" t="s">
        <v>30</v>
      </c>
      <c r="Q60" s="300"/>
      <c r="R60" s="300"/>
      <c r="S60" s="301"/>
      <c r="T60" s="389" t="s">
        <v>30</v>
      </c>
      <c r="U60" s="300"/>
      <c r="V60" s="300"/>
      <c r="W60" s="301"/>
      <c r="X60" s="299" t="s">
        <v>30</v>
      </c>
      <c r="Y60" s="378"/>
      <c r="Z60" s="379"/>
      <c r="AA60" s="380" t="s">
        <v>32</v>
      </c>
      <c r="AB60" s="238"/>
      <c r="AC60" s="238"/>
      <c r="AD60" s="238"/>
      <c r="AE60" s="238"/>
      <c r="AF60" s="238"/>
      <c r="AG60" s="238"/>
      <c r="AH60" s="239"/>
      <c r="AI60" s="380" t="s">
        <v>32</v>
      </c>
      <c r="AJ60" s="238"/>
      <c r="AK60" s="238"/>
      <c r="AL60" s="238"/>
      <c r="AM60" s="238"/>
      <c r="AN60" s="238"/>
      <c r="AO60" s="238"/>
      <c r="AP60" s="238"/>
      <c r="AQ60" s="239"/>
      <c r="AR60" s="44" t="s">
        <v>30</v>
      </c>
      <c r="AS60" s="44" t="s">
        <v>30</v>
      </c>
      <c r="AT60" s="44" t="s">
        <v>30</v>
      </c>
      <c r="AU60" s="240" t="s">
        <v>33</v>
      </c>
      <c r="AV60" s="241"/>
      <c r="AW60" s="241"/>
      <c r="AX60" s="242"/>
      <c r="AY60" s="240" t="s">
        <v>32</v>
      </c>
      <c r="AZ60" s="241"/>
      <c r="BA60" s="241"/>
      <c r="BB60" s="242"/>
      <c r="BC60" s="381" t="s">
        <v>292</v>
      </c>
      <c r="BD60" s="382"/>
      <c r="BE60" s="382"/>
      <c r="BF60" s="382"/>
      <c r="BG60" s="382"/>
      <c r="BH60" s="382"/>
      <c r="BI60" s="382"/>
      <c r="BJ60" s="383"/>
      <c r="BK60" s="35"/>
    </row>
    <row r="61" spans="1:63" x14ac:dyDescent="0.25">
      <c r="A61" s="34"/>
      <c r="BK61" s="35"/>
    </row>
    <row r="62" spans="1:63" x14ac:dyDescent="0.25">
      <c r="A62" s="34"/>
      <c r="BK62" s="35"/>
    </row>
    <row r="63" spans="1:63" x14ac:dyDescent="0.25">
      <c r="A63" s="34"/>
      <c r="BK63" s="35"/>
    </row>
    <row r="64" spans="1:63" x14ac:dyDescent="0.25">
      <c r="A64" s="34"/>
      <c r="BK64" s="35"/>
    </row>
    <row r="65" spans="1:63" x14ac:dyDescent="0.25">
      <c r="A65" s="34"/>
      <c r="BK65" s="35"/>
    </row>
    <row r="66" spans="1:63" x14ac:dyDescent="0.25">
      <c r="A66" s="34"/>
      <c r="BK66" s="35"/>
    </row>
    <row r="67" spans="1:63" x14ac:dyDescent="0.25">
      <c r="A67" s="34"/>
      <c r="BK67" s="35"/>
    </row>
    <row r="68" spans="1:63" x14ac:dyDescent="0.25">
      <c r="A68" s="31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3"/>
    </row>
  </sheetData>
  <mergeCells count="227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41:C43"/>
    <mergeCell ref="D41:J43"/>
    <mergeCell ref="K41:M43"/>
    <mergeCell ref="N41:N43"/>
    <mergeCell ref="O41:O43"/>
    <mergeCell ref="AU43:AX43"/>
    <mergeCell ref="AY43:BB43"/>
    <mergeCell ref="B44:C44"/>
    <mergeCell ref="D44:J44"/>
    <mergeCell ref="K44:M44"/>
    <mergeCell ref="P44:S44"/>
    <mergeCell ref="T44:W44"/>
    <mergeCell ref="P41:AQ41"/>
    <mergeCell ref="AR41:BB41"/>
    <mergeCell ref="BC41:BJ43"/>
    <mergeCell ref="P42:W42"/>
    <mergeCell ref="X42:Z43"/>
    <mergeCell ref="AA42:AH43"/>
    <mergeCell ref="AI42:AQ43"/>
    <mergeCell ref="AR42:AR43"/>
    <mergeCell ref="AS42:AS43"/>
    <mergeCell ref="AT42:AT43"/>
    <mergeCell ref="X44:Z44"/>
    <mergeCell ref="AA44:AH44"/>
    <mergeCell ref="AI44:AQ44"/>
    <mergeCell ref="AU44:AX44"/>
    <mergeCell ref="AY44:BB44"/>
    <mergeCell ref="BC44:BJ44"/>
    <mergeCell ref="AU42:BB42"/>
    <mergeCell ref="P43:S43"/>
    <mergeCell ref="T43:W43"/>
    <mergeCell ref="B46:C46"/>
    <mergeCell ref="D46:J46"/>
    <mergeCell ref="K46:M46"/>
    <mergeCell ref="P46:S46"/>
    <mergeCell ref="T46:W46"/>
    <mergeCell ref="B45:C45"/>
    <mergeCell ref="D45:J45"/>
    <mergeCell ref="K45:M45"/>
    <mergeCell ref="P45:S45"/>
    <mergeCell ref="T45:W45"/>
    <mergeCell ref="X46:Z46"/>
    <mergeCell ref="AA46:AH46"/>
    <mergeCell ref="AI46:AQ46"/>
    <mergeCell ref="AU46:AX46"/>
    <mergeCell ref="AY46:BB46"/>
    <mergeCell ref="BC46:BJ46"/>
    <mergeCell ref="AA45:AH45"/>
    <mergeCell ref="AI45:AQ45"/>
    <mergeCell ref="AU45:AX45"/>
    <mergeCell ref="AY45:BB45"/>
    <mergeCell ref="BC45:BJ45"/>
    <mergeCell ref="X45:Z45"/>
    <mergeCell ref="B48:C48"/>
    <mergeCell ref="D48:J48"/>
    <mergeCell ref="K48:M48"/>
    <mergeCell ref="P48:S48"/>
    <mergeCell ref="T48:W48"/>
    <mergeCell ref="B47:C47"/>
    <mergeCell ref="D47:J47"/>
    <mergeCell ref="K47:M47"/>
    <mergeCell ref="P47:S47"/>
    <mergeCell ref="T47:W47"/>
    <mergeCell ref="X48:Z48"/>
    <mergeCell ref="AA48:AH48"/>
    <mergeCell ref="AI48:AQ48"/>
    <mergeCell ref="AU48:AX48"/>
    <mergeCell ref="AY48:BB48"/>
    <mergeCell ref="BC48:BJ48"/>
    <mergeCell ref="AA47:AH47"/>
    <mergeCell ref="AI47:AQ47"/>
    <mergeCell ref="AU47:AX47"/>
    <mergeCell ref="AY47:BB47"/>
    <mergeCell ref="BC47:BJ47"/>
    <mergeCell ref="X47:Z47"/>
    <mergeCell ref="B50:C50"/>
    <mergeCell ref="D50:J50"/>
    <mergeCell ref="K50:M50"/>
    <mergeCell ref="P50:S50"/>
    <mergeCell ref="T50:W50"/>
    <mergeCell ref="B49:C49"/>
    <mergeCell ref="D49:J49"/>
    <mergeCell ref="K49:M49"/>
    <mergeCell ref="P49:S49"/>
    <mergeCell ref="T49:W49"/>
    <mergeCell ref="X50:Z50"/>
    <mergeCell ref="AA50:AH50"/>
    <mergeCell ref="AI50:AQ50"/>
    <mergeCell ref="AU50:AX50"/>
    <mergeCell ref="AY50:BB50"/>
    <mergeCell ref="BC50:BJ50"/>
    <mergeCell ref="AA49:AH49"/>
    <mergeCell ref="AI49:AQ49"/>
    <mergeCell ref="AU49:AX49"/>
    <mergeCell ref="AY49:BB49"/>
    <mergeCell ref="BC49:BJ49"/>
    <mergeCell ref="X49:Z49"/>
    <mergeCell ref="B52:C52"/>
    <mergeCell ref="D52:J52"/>
    <mergeCell ref="K52:M52"/>
    <mergeCell ref="P52:S52"/>
    <mergeCell ref="T52:W52"/>
    <mergeCell ref="B51:C51"/>
    <mergeCell ref="D51:J51"/>
    <mergeCell ref="K51:M51"/>
    <mergeCell ref="P51:S51"/>
    <mergeCell ref="T51:W51"/>
    <mergeCell ref="X52:Z52"/>
    <mergeCell ref="AA52:AH52"/>
    <mergeCell ref="AI52:AQ52"/>
    <mergeCell ref="AU52:AX52"/>
    <mergeCell ref="AY52:BB52"/>
    <mergeCell ref="BC52:BJ52"/>
    <mergeCell ref="AA51:AH51"/>
    <mergeCell ref="AI51:AQ51"/>
    <mergeCell ref="AU51:AX51"/>
    <mergeCell ref="AY51:BB51"/>
    <mergeCell ref="BC51:BJ51"/>
    <mergeCell ref="X51:Z51"/>
    <mergeCell ref="B54:C54"/>
    <mergeCell ref="D54:J54"/>
    <mergeCell ref="K54:M54"/>
    <mergeCell ref="P54:S54"/>
    <mergeCell ref="T54:W54"/>
    <mergeCell ref="B53:C53"/>
    <mergeCell ref="D53:J53"/>
    <mergeCell ref="K53:M53"/>
    <mergeCell ref="P53:S53"/>
    <mergeCell ref="T53:W53"/>
    <mergeCell ref="X54:Z54"/>
    <mergeCell ref="AA54:AH54"/>
    <mergeCell ref="AI54:AQ54"/>
    <mergeCell ref="AU54:AX54"/>
    <mergeCell ref="AY54:BB54"/>
    <mergeCell ref="BC54:BJ54"/>
    <mergeCell ref="AA53:AH53"/>
    <mergeCell ref="AI53:AQ53"/>
    <mergeCell ref="AU53:AX53"/>
    <mergeCell ref="AY53:BB53"/>
    <mergeCell ref="BC53:BJ53"/>
    <mergeCell ref="X53:Z53"/>
    <mergeCell ref="B56:C56"/>
    <mergeCell ref="D56:J56"/>
    <mergeCell ref="K56:M56"/>
    <mergeCell ref="P56:S56"/>
    <mergeCell ref="T56:W56"/>
    <mergeCell ref="B55:C55"/>
    <mergeCell ref="D55:J55"/>
    <mergeCell ref="K55:M55"/>
    <mergeCell ref="P55:S55"/>
    <mergeCell ref="T55:W55"/>
    <mergeCell ref="X56:Z56"/>
    <mergeCell ref="AA56:AH56"/>
    <mergeCell ref="AI56:AQ56"/>
    <mergeCell ref="AU56:AX56"/>
    <mergeCell ref="AY56:BB56"/>
    <mergeCell ref="BC56:BJ56"/>
    <mergeCell ref="AA55:AH55"/>
    <mergeCell ref="AI55:AQ55"/>
    <mergeCell ref="AU55:AX55"/>
    <mergeCell ref="AY55:BB55"/>
    <mergeCell ref="BC55:BJ55"/>
    <mergeCell ref="X55:Z55"/>
    <mergeCell ref="B58:C58"/>
    <mergeCell ref="D58:J58"/>
    <mergeCell ref="K58:M58"/>
    <mergeCell ref="P58:S58"/>
    <mergeCell ref="T58:W58"/>
    <mergeCell ref="B57:C57"/>
    <mergeCell ref="D57:J57"/>
    <mergeCell ref="K57:M57"/>
    <mergeCell ref="P57:S57"/>
    <mergeCell ref="T57:W57"/>
    <mergeCell ref="X58:Z58"/>
    <mergeCell ref="AA58:AH58"/>
    <mergeCell ref="AI58:AQ58"/>
    <mergeCell ref="AU58:AX58"/>
    <mergeCell ref="AY58:BB58"/>
    <mergeCell ref="BC58:BJ58"/>
    <mergeCell ref="AA57:AH57"/>
    <mergeCell ref="AI57:AQ57"/>
    <mergeCell ref="AU57:AX57"/>
    <mergeCell ref="AY57:BB57"/>
    <mergeCell ref="BC57:BJ57"/>
    <mergeCell ref="X57:Z57"/>
    <mergeCell ref="B60:C60"/>
    <mergeCell ref="D60:J60"/>
    <mergeCell ref="K60:M60"/>
    <mergeCell ref="P60:S60"/>
    <mergeCell ref="T60:W60"/>
    <mergeCell ref="B59:C59"/>
    <mergeCell ref="D59:J59"/>
    <mergeCell ref="K59:M59"/>
    <mergeCell ref="P59:S59"/>
    <mergeCell ref="T59:W59"/>
    <mergeCell ref="X60:Z60"/>
    <mergeCell ref="AA60:AH60"/>
    <mergeCell ref="AI60:AQ60"/>
    <mergeCell ref="AU60:AX60"/>
    <mergeCell ref="AY60:BB60"/>
    <mergeCell ref="BC60:BJ60"/>
    <mergeCell ref="AA59:AH59"/>
    <mergeCell ref="AI59:AQ59"/>
    <mergeCell ref="AU59:AX59"/>
    <mergeCell ref="AY59:BB59"/>
    <mergeCell ref="BC59:BJ59"/>
    <mergeCell ref="X59:Z59"/>
  </mergeCells>
  <dataValidations count="3">
    <dataValidation type="list" allowBlank="1" showInputMessage="1" showErrorMessage="1" sqref="N44:N51 N53 N55 N57:N60" xr:uid="{00000000-0002-0000-0500-000000000000}">
      <formula1>"－,O,I"</formula1>
    </dataValidation>
    <dataValidation type="list" allowBlank="1" showInputMessage="1" showErrorMessage="1" sqref="N52 N54 N56" xr:uid="{00000000-0002-0000-0500-000001000000}">
      <formula1>"－,O,I,I/O"</formula1>
    </dataValidation>
    <dataValidation type="list" allowBlank="1" showInputMessage="1" showErrorMessage="1" sqref="O44:O60 AR44:AT60" xr:uid="{00000000-0002-0000-0500-000002000000}">
      <formula1>"－,●"</formula1>
    </dataValidation>
  </dataValidations>
  <pageMargins left="0.7" right="0.7" top="0.75" bottom="0.75" header="0.3" footer="0.3"/>
  <pageSetup scale="4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E4813-AE25-49CE-A5F9-4D0A2A03303D}">
  <sheetPr>
    <pageSetUpPr fitToPage="1"/>
  </sheetPr>
  <dimension ref="A1:BK69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30"/>
  </cols>
  <sheetData>
    <row r="1" spans="1:63" ht="24.95" customHeight="1" x14ac:dyDescent="0.25">
      <c r="A1" s="103" t="s">
        <v>0</v>
      </c>
      <c r="B1" s="104"/>
      <c r="C1" s="104"/>
      <c r="D1" s="104"/>
      <c r="E1" s="104"/>
      <c r="F1" s="104"/>
      <c r="G1" s="104"/>
      <c r="H1" s="104"/>
      <c r="I1" s="104"/>
      <c r="J1" s="105"/>
      <c r="K1" s="103" t="s">
        <v>2</v>
      </c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5"/>
      <c r="W1" s="106" t="str">
        <f>IF(表紙!W1="","",表紙!W1)</f>
        <v>詳細設計書</v>
      </c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8"/>
      <c r="AP1" s="66" t="s">
        <v>3</v>
      </c>
      <c r="AQ1" s="67"/>
      <c r="AR1" s="67"/>
      <c r="AS1" s="68"/>
      <c r="AT1" s="66" t="s">
        <v>4</v>
      </c>
      <c r="AU1" s="67"/>
      <c r="AV1" s="67"/>
      <c r="AW1" s="67"/>
      <c r="AX1" s="68"/>
      <c r="AY1" s="66" t="s">
        <v>5</v>
      </c>
      <c r="AZ1" s="67"/>
      <c r="BA1" s="67"/>
      <c r="BB1" s="68"/>
      <c r="BC1" s="66" t="s">
        <v>6</v>
      </c>
      <c r="BD1" s="67"/>
      <c r="BE1" s="67"/>
      <c r="BF1" s="67"/>
      <c r="BG1" s="68"/>
      <c r="BH1" s="66" t="s">
        <v>7</v>
      </c>
      <c r="BI1" s="67"/>
      <c r="BJ1" s="67"/>
      <c r="BK1" s="68"/>
    </row>
    <row r="2" spans="1:63" ht="15" customHeight="1" x14ac:dyDescent="0.25">
      <c r="A2" s="97" t="str">
        <f>IF(表紙!A2="","",表紙!A2)</f>
        <v>POSサーバー</v>
      </c>
      <c r="B2" s="98"/>
      <c r="C2" s="98"/>
      <c r="D2" s="98"/>
      <c r="E2" s="98"/>
      <c r="F2" s="98"/>
      <c r="G2" s="98"/>
      <c r="H2" s="98"/>
      <c r="I2" s="98"/>
      <c r="J2" s="99"/>
      <c r="K2" s="97" t="str">
        <f>IF(表紙!K2="","",表紙!K2)</f>
        <v>POSサーバ</v>
      </c>
      <c r="L2" s="98"/>
      <c r="M2" s="98"/>
      <c r="N2" s="98"/>
      <c r="O2" s="98"/>
      <c r="P2" s="98"/>
      <c r="Q2" s="98"/>
      <c r="R2" s="98"/>
      <c r="S2" s="98"/>
      <c r="T2" s="98"/>
      <c r="U2" s="98"/>
      <c r="V2" s="99"/>
      <c r="W2" s="109"/>
      <c r="X2" s="110"/>
      <c r="Y2" s="110"/>
      <c r="Z2" s="110"/>
      <c r="AA2" s="110"/>
      <c r="AB2" s="110"/>
      <c r="AC2" s="110"/>
      <c r="AD2" s="110"/>
      <c r="AE2" s="110"/>
      <c r="AF2" s="110"/>
      <c r="AG2" s="110"/>
      <c r="AH2" s="110"/>
      <c r="AI2" s="110"/>
      <c r="AJ2" s="110"/>
      <c r="AK2" s="110"/>
      <c r="AL2" s="110"/>
      <c r="AM2" s="110"/>
      <c r="AN2" s="110"/>
      <c r="AO2" s="111"/>
      <c r="AP2" s="14" t="str">
        <f>IF(表紙!AP2="","",表紙!AP2)</f>
        <v>TinNH</v>
      </c>
      <c r="AQ2" s="13"/>
      <c r="AR2" s="13"/>
      <c r="AS2" s="12"/>
      <c r="AT2" s="81">
        <f>IF(表紙!AT2="","",表紙!AT2)</f>
        <v>45478</v>
      </c>
      <c r="AU2" s="82"/>
      <c r="AV2" s="82"/>
      <c r="AW2" s="82"/>
      <c r="AX2" s="83"/>
      <c r="AY2" s="14" t="str">
        <f>IF(表紙!AY2="","",表紙!AY2)</f>
        <v>DuNT</v>
      </c>
      <c r="AZ2" s="13"/>
      <c r="BA2" s="13"/>
      <c r="BB2" s="12"/>
      <c r="BC2" s="81">
        <f>IF(表紙!BC2="","",表紙!BC2)</f>
        <v>45644</v>
      </c>
      <c r="BD2" s="82"/>
      <c r="BE2" s="82"/>
      <c r="BF2" s="82"/>
      <c r="BG2" s="83"/>
      <c r="BH2" s="14">
        <f>IF(表紙!BH2="","",表紙!BH2)</f>
        <v>0.13</v>
      </c>
      <c r="BI2" s="13"/>
      <c r="BJ2" s="13"/>
      <c r="BK2" s="12"/>
    </row>
    <row r="3" spans="1:63" ht="15" customHeight="1" x14ac:dyDescent="0.25">
      <c r="A3" s="100"/>
      <c r="B3" s="101"/>
      <c r="C3" s="101"/>
      <c r="D3" s="101"/>
      <c r="E3" s="101"/>
      <c r="F3" s="101"/>
      <c r="G3" s="101"/>
      <c r="H3" s="101"/>
      <c r="I3" s="101"/>
      <c r="J3" s="102"/>
      <c r="K3" s="100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2"/>
      <c r="W3" s="112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4"/>
      <c r="AP3" s="8"/>
      <c r="AQ3" s="7"/>
      <c r="AR3" s="7"/>
      <c r="AS3" s="6"/>
      <c r="AT3" s="84"/>
      <c r="AU3" s="85"/>
      <c r="AV3" s="85"/>
      <c r="AW3" s="85"/>
      <c r="AX3" s="86"/>
      <c r="AY3" s="8"/>
      <c r="AZ3" s="7"/>
      <c r="BA3" s="7"/>
      <c r="BB3" s="6"/>
      <c r="BC3" s="84"/>
      <c r="BD3" s="85"/>
      <c r="BE3" s="85"/>
      <c r="BF3" s="85"/>
      <c r="BG3" s="86"/>
      <c r="BH3" s="8"/>
      <c r="BI3" s="7"/>
      <c r="BJ3" s="7"/>
      <c r="BK3" s="6"/>
    </row>
    <row r="4" spans="1:63" ht="24.95" customHeight="1" x14ac:dyDescent="0.25">
      <c r="A4" s="103" t="s">
        <v>1</v>
      </c>
      <c r="B4" s="104"/>
      <c r="C4" s="104"/>
      <c r="D4" s="104"/>
      <c r="E4" s="104"/>
      <c r="F4" s="104"/>
      <c r="G4" s="105"/>
      <c r="H4" s="115" t="str">
        <f>IF(表紙!H4="","",表紙!H4)</f>
        <v>01_商品管理</v>
      </c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7"/>
      <c r="U4" s="103" t="s">
        <v>8</v>
      </c>
      <c r="V4" s="104"/>
      <c r="W4" s="104"/>
      <c r="X4" s="104"/>
      <c r="Y4" s="105"/>
      <c r="Z4" s="115" t="str">
        <f>IF(表紙!Z4="","",表紙!Z4)</f>
        <v>画面設計書</v>
      </c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7"/>
      <c r="AP4" s="118" t="str">
        <f ca="1">MID(CELL("filename",A1),FIND("]",CELL("filename",A1))+1,255)</f>
        <v>テンプレート</v>
      </c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7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4"/>
      <c r="BK6" s="35"/>
    </row>
    <row r="7" spans="1:63" ht="15" customHeight="1" x14ac:dyDescent="0.25">
      <c r="A7" s="34"/>
      <c r="B7" s="37" t="s">
        <v>40</v>
      </c>
      <c r="C7" s="36"/>
      <c r="D7" s="36"/>
      <c r="E7" s="36"/>
      <c r="F7" s="36"/>
      <c r="G7" s="36"/>
      <c r="H7" s="36"/>
      <c r="I7" s="36"/>
      <c r="J7" s="36"/>
      <c r="AE7" s="37"/>
      <c r="BK7" s="35"/>
    </row>
    <row r="8" spans="1:63" ht="15" customHeight="1" x14ac:dyDescent="0.25">
      <c r="A8" s="34"/>
      <c r="BK8" s="35"/>
    </row>
    <row r="9" spans="1:63" ht="15" customHeight="1" x14ac:dyDescent="0.25">
      <c r="A9" s="34"/>
      <c r="BK9" s="35"/>
    </row>
    <row r="10" spans="1:63" ht="15" customHeight="1" x14ac:dyDescent="0.25">
      <c r="A10" s="34"/>
      <c r="BK10" s="35"/>
    </row>
    <row r="11" spans="1:63" ht="15" customHeight="1" x14ac:dyDescent="0.25">
      <c r="A11" s="34"/>
      <c r="BK11" s="35"/>
    </row>
    <row r="12" spans="1:63" ht="15" customHeight="1" x14ac:dyDescent="0.25">
      <c r="A12" s="34"/>
      <c r="BK12" s="35"/>
    </row>
    <row r="13" spans="1:63" ht="15" customHeight="1" x14ac:dyDescent="0.25">
      <c r="A13" s="34"/>
      <c r="BK13" s="35"/>
    </row>
    <row r="14" spans="1:63" ht="15" customHeight="1" x14ac:dyDescent="0.25">
      <c r="A14" s="34"/>
      <c r="BK14" s="35"/>
    </row>
    <row r="15" spans="1:63" ht="15" customHeight="1" x14ac:dyDescent="0.25">
      <c r="A15" s="34"/>
      <c r="BK15" s="35"/>
    </row>
    <row r="16" spans="1:63" ht="15" customHeight="1" x14ac:dyDescent="0.25">
      <c r="A16" s="34"/>
      <c r="BK16" s="35"/>
    </row>
    <row r="17" spans="1:63" ht="15" customHeight="1" x14ac:dyDescent="0.25">
      <c r="A17" s="34"/>
      <c r="BK17" s="35"/>
    </row>
    <row r="18" spans="1:63" ht="15" customHeight="1" x14ac:dyDescent="0.25">
      <c r="A18" s="34"/>
      <c r="BK18" s="35"/>
    </row>
    <row r="19" spans="1:63" ht="15" customHeight="1" x14ac:dyDescent="0.25">
      <c r="A19" s="34"/>
      <c r="BK19" s="35"/>
    </row>
    <row r="20" spans="1:63" ht="15" customHeight="1" x14ac:dyDescent="0.25">
      <c r="A20" s="34"/>
      <c r="BK20" s="35"/>
    </row>
    <row r="21" spans="1:63" ht="15" customHeight="1" x14ac:dyDescent="0.25">
      <c r="A21" s="34"/>
      <c r="BK21" s="35"/>
    </row>
    <row r="22" spans="1:63" ht="15" customHeight="1" x14ac:dyDescent="0.25">
      <c r="A22" s="34"/>
      <c r="BK22" s="35"/>
    </row>
    <row r="23" spans="1:63" ht="15" customHeight="1" x14ac:dyDescent="0.25">
      <c r="A23" s="34"/>
      <c r="BK23" s="35"/>
    </row>
    <row r="24" spans="1:63" ht="15" customHeight="1" x14ac:dyDescent="0.25">
      <c r="A24" s="34"/>
      <c r="BK24" s="35"/>
    </row>
    <row r="25" spans="1:63" ht="15" customHeight="1" x14ac:dyDescent="0.25">
      <c r="A25" s="34"/>
      <c r="BK25" s="35"/>
    </row>
    <row r="26" spans="1:63" ht="15" customHeight="1" x14ac:dyDescent="0.25">
      <c r="A26" s="34"/>
      <c r="BK26" s="35"/>
    </row>
    <row r="27" spans="1:63" ht="15" customHeight="1" x14ac:dyDescent="0.25">
      <c r="A27" s="34"/>
      <c r="BK27" s="35"/>
    </row>
    <row r="28" spans="1:63" ht="15" customHeight="1" x14ac:dyDescent="0.25">
      <c r="A28" s="34"/>
      <c r="BK28" s="35"/>
    </row>
    <row r="29" spans="1:63" ht="15" customHeight="1" x14ac:dyDescent="0.25">
      <c r="A29" s="34"/>
      <c r="BK29" s="35"/>
    </row>
    <row r="30" spans="1:63" ht="15" customHeight="1" x14ac:dyDescent="0.25">
      <c r="A30" s="34"/>
      <c r="BK30" s="35"/>
    </row>
    <row r="31" spans="1:63" ht="14.25" customHeight="1" x14ac:dyDescent="0.25">
      <c r="A31" s="34"/>
      <c r="BK31" s="35"/>
    </row>
    <row r="32" spans="1:63" ht="14.25" customHeight="1" x14ac:dyDescent="0.25">
      <c r="A32" s="34"/>
      <c r="BK32" s="35"/>
    </row>
    <row r="33" spans="1:63" ht="14.25" customHeight="1" x14ac:dyDescent="0.25">
      <c r="A33" s="34"/>
      <c r="BK33" s="35"/>
    </row>
    <row r="34" spans="1:63" ht="14.25" customHeight="1" x14ac:dyDescent="0.25">
      <c r="A34" s="34"/>
      <c r="BK34" s="35"/>
    </row>
    <row r="35" spans="1:63" ht="14.25" customHeight="1" x14ac:dyDescent="0.25">
      <c r="A35" s="34"/>
      <c r="BK35" s="35"/>
    </row>
    <row r="36" spans="1:63" ht="14.25" customHeight="1" x14ac:dyDescent="0.25">
      <c r="A36" s="34"/>
      <c r="BK36" s="35"/>
    </row>
    <row r="37" spans="1:63" ht="14.25" customHeight="1" x14ac:dyDescent="0.25">
      <c r="A37" s="34"/>
      <c r="BK37" s="35"/>
    </row>
    <row r="38" spans="1:63" ht="14.25" customHeight="1" x14ac:dyDescent="0.25">
      <c r="A38" s="34"/>
      <c r="BK38" s="35"/>
    </row>
    <row r="39" spans="1:63" ht="15" customHeight="1" x14ac:dyDescent="0.25">
      <c r="A39" s="34"/>
      <c r="BK39" s="35"/>
    </row>
    <row r="40" spans="1:63" ht="15" customHeight="1" x14ac:dyDescent="0.25">
      <c r="A40" s="34"/>
      <c r="BK40" s="35"/>
    </row>
    <row r="41" spans="1:63" x14ac:dyDescent="0.25">
      <c r="A41" s="34"/>
      <c r="BK41" s="35"/>
    </row>
    <row r="42" spans="1:63" x14ac:dyDescent="0.25">
      <c r="A42" s="34"/>
      <c r="BK42" s="35"/>
    </row>
    <row r="43" spans="1:63" x14ac:dyDescent="0.25">
      <c r="A43" s="34"/>
      <c r="BK43" s="35"/>
    </row>
    <row r="44" spans="1:63" x14ac:dyDescent="0.25">
      <c r="A44" s="34"/>
      <c r="BK44" s="35"/>
    </row>
    <row r="45" spans="1:63" x14ac:dyDescent="0.25">
      <c r="A45" s="34"/>
      <c r="BK45" s="35"/>
    </row>
    <row r="46" spans="1:63" x14ac:dyDescent="0.25">
      <c r="A46" s="34"/>
      <c r="BK46" s="35"/>
    </row>
    <row r="47" spans="1:63" x14ac:dyDescent="0.25">
      <c r="A47" s="34"/>
      <c r="BK47" s="35"/>
    </row>
    <row r="48" spans="1:63" x14ac:dyDescent="0.25">
      <c r="A48" s="34"/>
      <c r="BK48" s="35"/>
    </row>
    <row r="49" spans="1:63" x14ac:dyDescent="0.25">
      <c r="A49" s="34"/>
      <c r="BK49" s="35"/>
    </row>
    <row r="50" spans="1:63" ht="15" customHeight="1" x14ac:dyDescent="0.25">
      <c r="A50" s="34"/>
      <c r="B50" s="37" t="s">
        <v>14</v>
      </c>
      <c r="BK50" s="35"/>
    </row>
    <row r="51" spans="1:63" x14ac:dyDescent="0.25">
      <c r="A51" s="34"/>
      <c r="BK51" s="35"/>
    </row>
    <row r="52" spans="1:63" ht="15.75" customHeight="1" x14ac:dyDescent="0.25">
      <c r="A52" s="34"/>
      <c r="B52" s="119" t="s">
        <v>15</v>
      </c>
      <c r="C52" s="120"/>
      <c r="D52" s="125" t="s">
        <v>329</v>
      </c>
      <c r="E52" s="126"/>
      <c r="F52" s="126"/>
      <c r="G52" s="126"/>
      <c r="H52" s="126"/>
      <c r="I52" s="126"/>
      <c r="J52" s="120"/>
      <c r="K52" s="125" t="s">
        <v>17</v>
      </c>
      <c r="L52" s="126"/>
      <c r="M52" s="120"/>
      <c r="N52" s="129" t="s">
        <v>18</v>
      </c>
      <c r="O52" s="132" t="s">
        <v>41</v>
      </c>
      <c r="P52" s="150" t="s">
        <v>19</v>
      </c>
      <c r="Q52" s="151"/>
      <c r="R52" s="151"/>
      <c r="S52" s="151"/>
      <c r="T52" s="151"/>
      <c r="U52" s="151"/>
      <c r="V52" s="151"/>
      <c r="W52" s="151"/>
      <c r="X52" s="151"/>
      <c r="Y52" s="151"/>
      <c r="Z52" s="151"/>
      <c r="AA52" s="151"/>
      <c r="AB52" s="151"/>
      <c r="AC52" s="151"/>
      <c r="AD52" s="151"/>
      <c r="AE52" s="151"/>
      <c r="AF52" s="151"/>
      <c r="AG52" s="151"/>
      <c r="AH52" s="151"/>
      <c r="AI52" s="151"/>
      <c r="AJ52" s="151"/>
      <c r="AK52" s="151"/>
      <c r="AL52" s="151"/>
      <c r="AM52" s="151"/>
      <c r="AN52" s="151"/>
      <c r="AO52" s="151"/>
      <c r="AP52" s="151"/>
      <c r="AQ52" s="152"/>
      <c r="AR52" s="135" t="s">
        <v>20</v>
      </c>
      <c r="AS52" s="136"/>
      <c r="AT52" s="136"/>
      <c r="AU52" s="136"/>
      <c r="AV52" s="136"/>
      <c r="AW52" s="136"/>
      <c r="AX52" s="136"/>
      <c r="AY52" s="136"/>
      <c r="AZ52" s="136"/>
      <c r="BA52" s="136"/>
      <c r="BB52" s="139"/>
      <c r="BC52" s="153" t="s">
        <v>21</v>
      </c>
      <c r="BD52" s="154"/>
      <c r="BE52" s="154"/>
      <c r="BF52" s="154"/>
      <c r="BG52" s="154"/>
      <c r="BH52" s="154"/>
      <c r="BI52" s="154"/>
      <c r="BJ52" s="155"/>
      <c r="BK52" s="35"/>
    </row>
    <row r="53" spans="1:63" ht="15.75" customHeight="1" x14ac:dyDescent="0.25">
      <c r="A53" s="34"/>
      <c r="B53" s="121"/>
      <c r="C53" s="122"/>
      <c r="D53" s="121"/>
      <c r="E53" s="127"/>
      <c r="F53" s="127"/>
      <c r="G53" s="127"/>
      <c r="H53" s="127"/>
      <c r="I53" s="127"/>
      <c r="J53" s="122"/>
      <c r="K53" s="121"/>
      <c r="L53" s="127"/>
      <c r="M53" s="122"/>
      <c r="N53" s="130"/>
      <c r="O53" s="133"/>
      <c r="P53" s="162" t="s">
        <v>330</v>
      </c>
      <c r="Q53" s="163"/>
      <c r="R53" s="163"/>
      <c r="S53" s="163"/>
      <c r="T53" s="163"/>
      <c r="U53" s="163"/>
      <c r="V53" s="163"/>
      <c r="W53" s="164"/>
      <c r="X53" s="165" t="s">
        <v>23</v>
      </c>
      <c r="Y53" s="166"/>
      <c r="Z53" s="167"/>
      <c r="AA53" s="165" t="s">
        <v>24</v>
      </c>
      <c r="AB53" s="166"/>
      <c r="AC53" s="166"/>
      <c r="AD53" s="166"/>
      <c r="AE53" s="166"/>
      <c r="AF53" s="166"/>
      <c r="AG53" s="166"/>
      <c r="AH53" s="167"/>
      <c r="AI53" s="165" t="s">
        <v>25</v>
      </c>
      <c r="AJ53" s="166"/>
      <c r="AK53" s="166"/>
      <c r="AL53" s="166"/>
      <c r="AM53" s="166"/>
      <c r="AN53" s="166"/>
      <c r="AO53" s="166"/>
      <c r="AP53" s="166"/>
      <c r="AQ53" s="167"/>
      <c r="AR53" s="171" t="s">
        <v>26</v>
      </c>
      <c r="AS53" s="173" t="s">
        <v>27</v>
      </c>
      <c r="AT53" s="175" t="s">
        <v>28</v>
      </c>
      <c r="AU53" s="135" t="s">
        <v>22</v>
      </c>
      <c r="AV53" s="136"/>
      <c r="AW53" s="136"/>
      <c r="AX53" s="136"/>
      <c r="AY53" s="136"/>
      <c r="AZ53" s="136"/>
      <c r="BA53" s="136"/>
      <c r="BB53" s="139"/>
      <c r="BC53" s="156"/>
      <c r="BD53" s="157"/>
      <c r="BE53" s="157"/>
      <c r="BF53" s="157"/>
      <c r="BG53" s="157"/>
      <c r="BH53" s="157"/>
      <c r="BI53" s="157"/>
      <c r="BJ53" s="158"/>
      <c r="BK53" s="35"/>
    </row>
    <row r="54" spans="1:63" x14ac:dyDescent="0.25">
      <c r="A54" s="34"/>
      <c r="B54" s="123"/>
      <c r="C54" s="124"/>
      <c r="D54" s="123"/>
      <c r="E54" s="128"/>
      <c r="F54" s="128"/>
      <c r="G54" s="128"/>
      <c r="H54" s="128"/>
      <c r="I54" s="128"/>
      <c r="J54" s="124"/>
      <c r="K54" s="123"/>
      <c r="L54" s="128"/>
      <c r="M54" s="124"/>
      <c r="N54" s="131"/>
      <c r="O54" s="134"/>
      <c r="P54" s="150" t="s">
        <v>331</v>
      </c>
      <c r="Q54" s="151"/>
      <c r="R54" s="151"/>
      <c r="S54" s="152"/>
      <c r="T54" s="150" t="s">
        <v>329</v>
      </c>
      <c r="U54" s="151"/>
      <c r="V54" s="151"/>
      <c r="W54" s="152"/>
      <c r="X54" s="168"/>
      <c r="Y54" s="169"/>
      <c r="Z54" s="170"/>
      <c r="AA54" s="168"/>
      <c r="AB54" s="169"/>
      <c r="AC54" s="169"/>
      <c r="AD54" s="169"/>
      <c r="AE54" s="169"/>
      <c r="AF54" s="169"/>
      <c r="AG54" s="169"/>
      <c r="AH54" s="170"/>
      <c r="AI54" s="168"/>
      <c r="AJ54" s="169"/>
      <c r="AK54" s="169"/>
      <c r="AL54" s="169"/>
      <c r="AM54" s="169"/>
      <c r="AN54" s="169"/>
      <c r="AO54" s="169"/>
      <c r="AP54" s="169"/>
      <c r="AQ54" s="170"/>
      <c r="AR54" s="172"/>
      <c r="AS54" s="174"/>
      <c r="AT54" s="176"/>
      <c r="AU54" s="135" t="s">
        <v>39</v>
      </c>
      <c r="AV54" s="136"/>
      <c r="AW54" s="136"/>
      <c r="AX54" s="137"/>
      <c r="AY54" s="138" t="s">
        <v>16</v>
      </c>
      <c r="AZ54" s="136"/>
      <c r="BA54" s="136"/>
      <c r="BB54" s="139"/>
      <c r="BC54" s="159"/>
      <c r="BD54" s="160"/>
      <c r="BE54" s="160"/>
      <c r="BF54" s="160"/>
      <c r="BG54" s="160"/>
      <c r="BH54" s="160"/>
      <c r="BI54" s="160"/>
      <c r="BJ54" s="161"/>
      <c r="BK54" s="35"/>
    </row>
    <row r="55" spans="1:63" ht="32.25" customHeight="1" x14ac:dyDescent="0.25">
      <c r="A55" s="34"/>
      <c r="B55" s="140">
        <v>0</v>
      </c>
      <c r="C55" s="141"/>
      <c r="D55" s="142"/>
      <c r="E55" s="143"/>
      <c r="F55" s="143"/>
      <c r="G55" s="143"/>
      <c r="H55" s="143"/>
      <c r="I55" s="143"/>
      <c r="J55" s="144"/>
      <c r="K55" s="145"/>
      <c r="L55" s="146"/>
      <c r="M55" s="147"/>
      <c r="N55" s="38"/>
      <c r="O55" s="39"/>
      <c r="P55" s="148"/>
      <c r="Q55" s="149"/>
      <c r="R55" s="149"/>
      <c r="S55" s="141"/>
      <c r="T55" s="148"/>
      <c r="U55" s="149"/>
      <c r="V55" s="149"/>
      <c r="W55" s="141"/>
      <c r="X55" s="177"/>
      <c r="Y55" s="178"/>
      <c r="Z55" s="179"/>
      <c r="AA55" s="140"/>
      <c r="AB55" s="149"/>
      <c r="AC55" s="149"/>
      <c r="AD55" s="149"/>
      <c r="AE55" s="149"/>
      <c r="AF55" s="149"/>
      <c r="AG55" s="149"/>
      <c r="AH55" s="141"/>
      <c r="AI55" s="180"/>
      <c r="AJ55" s="181"/>
      <c r="AK55" s="181"/>
      <c r="AL55" s="181"/>
      <c r="AM55" s="181"/>
      <c r="AN55" s="181"/>
      <c r="AO55" s="181"/>
      <c r="AP55" s="181"/>
      <c r="AQ55" s="182"/>
      <c r="AR55" s="40" t="s">
        <v>30</v>
      </c>
      <c r="AS55" s="40" t="s">
        <v>332</v>
      </c>
      <c r="AT55" s="40" t="s">
        <v>332</v>
      </c>
      <c r="AU55" s="140" t="s">
        <v>33</v>
      </c>
      <c r="AV55" s="149"/>
      <c r="AW55" s="149"/>
      <c r="AX55" s="141"/>
      <c r="AY55" s="140" t="s">
        <v>332</v>
      </c>
      <c r="AZ55" s="149"/>
      <c r="BA55" s="149"/>
      <c r="BB55" s="141"/>
      <c r="BC55" s="214" t="s">
        <v>174</v>
      </c>
      <c r="BD55" s="184"/>
      <c r="BE55" s="184"/>
      <c r="BF55" s="184"/>
      <c r="BG55" s="184"/>
      <c r="BH55" s="184"/>
      <c r="BI55" s="184"/>
      <c r="BJ55" s="185"/>
      <c r="BK55" s="35"/>
    </row>
    <row r="56" spans="1:63" ht="15.75" customHeight="1" x14ac:dyDescent="0.25">
      <c r="A56" s="34"/>
      <c r="B56" s="195">
        <v>1</v>
      </c>
      <c r="C56" s="196"/>
      <c r="D56" s="197"/>
      <c r="E56" s="198"/>
      <c r="F56" s="198"/>
      <c r="G56" s="198"/>
      <c r="H56" s="198"/>
      <c r="I56" s="198"/>
      <c r="J56" s="199"/>
      <c r="K56" s="200"/>
      <c r="L56" s="201"/>
      <c r="M56" s="202"/>
      <c r="N56" s="46"/>
      <c r="O56" s="45"/>
      <c r="P56" s="186"/>
      <c r="Q56" s="187"/>
      <c r="R56" s="187"/>
      <c r="S56" s="188"/>
      <c r="T56" s="203"/>
      <c r="U56" s="187"/>
      <c r="V56" s="187"/>
      <c r="W56" s="188"/>
      <c r="X56" s="204"/>
      <c r="Y56" s="205"/>
      <c r="Z56" s="206"/>
      <c r="AA56" s="186"/>
      <c r="AB56" s="187"/>
      <c r="AC56" s="187"/>
      <c r="AD56" s="187"/>
      <c r="AE56" s="187"/>
      <c r="AF56" s="187"/>
      <c r="AG56" s="187"/>
      <c r="AH56" s="188"/>
      <c r="AI56" s="189"/>
      <c r="AJ56" s="190"/>
      <c r="AK56" s="190"/>
      <c r="AL56" s="190"/>
      <c r="AM56" s="190"/>
      <c r="AN56" s="190"/>
      <c r="AO56" s="190"/>
      <c r="AP56" s="190"/>
      <c r="AQ56" s="191"/>
      <c r="AR56" s="41" t="s">
        <v>30</v>
      </c>
      <c r="AS56" s="41" t="s">
        <v>332</v>
      </c>
      <c r="AT56" s="41" t="s">
        <v>332</v>
      </c>
      <c r="AU56" s="186" t="s">
        <v>33</v>
      </c>
      <c r="AV56" s="187"/>
      <c r="AW56" s="187"/>
      <c r="AX56" s="188"/>
      <c r="AY56" s="186" t="s">
        <v>332</v>
      </c>
      <c r="AZ56" s="187"/>
      <c r="BA56" s="187"/>
      <c r="BB56" s="188"/>
      <c r="BC56" s="192"/>
      <c r="BD56" s="193"/>
      <c r="BE56" s="193"/>
      <c r="BF56" s="193"/>
      <c r="BG56" s="193"/>
      <c r="BH56" s="193"/>
      <c r="BI56" s="193"/>
      <c r="BJ56" s="194"/>
      <c r="BK56" s="35"/>
    </row>
    <row r="57" spans="1:63" ht="15.75" customHeight="1" x14ac:dyDescent="0.25">
      <c r="A57" s="34"/>
      <c r="B57" s="195">
        <v>2</v>
      </c>
      <c r="C57" s="196"/>
      <c r="D57" s="197"/>
      <c r="E57" s="198"/>
      <c r="F57" s="198"/>
      <c r="G57" s="198"/>
      <c r="H57" s="198"/>
      <c r="I57" s="198"/>
      <c r="J57" s="199"/>
      <c r="K57" s="200"/>
      <c r="L57" s="201"/>
      <c r="M57" s="202"/>
      <c r="N57" s="46"/>
      <c r="O57" s="45"/>
      <c r="P57" s="186"/>
      <c r="Q57" s="187"/>
      <c r="R57" s="187"/>
      <c r="S57" s="188"/>
      <c r="T57" s="203"/>
      <c r="U57" s="187"/>
      <c r="V57" s="187"/>
      <c r="W57" s="188"/>
      <c r="X57" s="204"/>
      <c r="Y57" s="205"/>
      <c r="Z57" s="206"/>
      <c r="AA57" s="186"/>
      <c r="AB57" s="187"/>
      <c r="AC57" s="187"/>
      <c r="AD57" s="187"/>
      <c r="AE57" s="187"/>
      <c r="AF57" s="187"/>
      <c r="AG57" s="187"/>
      <c r="AH57" s="188"/>
      <c r="AI57" s="189"/>
      <c r="AJ57" s="190"/>
      <c r="AK57" s="190"/>
      <c r="AL57" s="190"/>
      <c r="AM57" s="190"/>
      <c r="AN57" s="190"/>
      <c r="AO57" s="190"/>
      <c r="AP57" s="190"/>
      <c r="AQ57" s="191"/>
      <c r="AR57" s="41" t="s">
        <v>30</v>
      </c>
      <c r="AS57" s="41" t="s">
        <v>332</v>
      </c>
      <c r="AT57" s="41" t="s">
        <v>332</v>
      </c>
      <c r="AU57" s="186" t="s">
        <v>33</v>
      </c>
      <c r="AV57" s="187"/>
      <c r="AW57" s="187"/>
      <c r="AX57" s="188"/>
      <c r="AY57" s="186" t="s">
        <v>332</v>
      </c>
      <c r="AZ57" s="187"/>
      <c r="BA57" s="187"/>
      <c r="BB57" s="188"/>
      <c r="BC57" s="192"/>
      <c r="BD57" s="193"/>
      <c r="BE57" s="193"/>
      <c r="BF57" s="193"/>
      <c r="BG57" s="193"/>
      <c r="BH57" s="193"/>
      <c r="BI57" s="193"/>
      <c r="BJ57" s="194"/>
      <c r="BK57" s="35"/>
    </row>
    <row r="58" spans="1:63" ht="15.75" customHeight="1" x14ac:dyDescent="0.25">
      <c r="A58" s="34"/>
      <c r="B58" s="195">
        <v>3</v>
      </c>
      <c r="C58" s="196"/>
      <c r="D58" s="197"/>
      <c r="E58" s="198"/>
      <c r="F58" s="198"/>
      <c r="G58" s="198"/>
      <c r="H58" s="198"/>
      <c r="I58" s="198"/>
      <c r="J58" s="199"/>
      <c r="K58" s="200"/>
      <c r="L58" s="201"/>
      <c r="M58" s="202"/>
      <c r="N58" s="46"/>
      <c r="O58" s="45"/>
      <c r="P58" s="186"/>
      <c r="Q58" s="187"/>
      <c r="R58" s="187"/>
      <c r="S58" s="188"/>
      <c r="T58" s="203"/>
      <c r="U58" s="187"/>
      <c r="V58" s="187"/>
      <c r="W58" s="188"/>
      <c r="X58" s="204"/>
      <c r="Y58" s="205"/>
      <c r="Z58" s="206"/>
      <c r="AA58" s="186"/>
      <c r="AB58" s="187"/>
      <c r="AC58" s="187"/>
      <c r="AD58" s="187"/>
      <c r="AE58" s="187"/>
      <c r="AF58" s="187"/>
      <c r="AG58" s="187"/>
      <c r="AH58" s="188"/>
      <c r="AI58" s="189"/>
      <c r="AJ58" s="190"/>
      <c r="AK58" s="190"/>
      <c r="AL58" s="190"/>
      <c r="AM58" s="190"/>
      <c r="AN58" s="190"/>
      <c r="AO58" s="190"/>
      <c r="AP58" s="190"/>
      <c r="AQ58" s="191"/>
      <c r="AR58" s="41" t="s">
        <v>30</v>
      </c>
      <c r="AS58" s="41" t="s">
        <v>332</v>
      </c>
      <c r="AT58" s="41" t="s">
        <v>332</v>
      </c>
      <c r="AU58" s="186" t="s">
        <v>33</v>
      </c>
      <c r="AV58" s="187"/>
      <c r="AW58" s="187"/>
      <c r="AX58" s="188"/>
      <c r="AY58" s="186" t="s">
        <v>332</v>
      </c>
      <c r="AZ58" s="187"/>
      <c r="BA58" s="187"/>
      <c r="BB58" s="188"/>
      <c r="BC58" s="192"/>
      <c r="BD58" s="193"/>
      <c r="BE58" s="193"/>
      <c r="BF58" s="193"/>
      <c r="BG58" s="193"/>
      <c r="BH58" s="193"/>
      <c r="BI58" s="193"/>
      <c r="BJ58" s="194"/>
      <c r="BK58" s="35"/>
    </row>
    <row r="59" spans="1:63" x14ac:dyDescent="0.25">
      <c r="A59" s="34"/>
      <c r="B59" s="395">
        <v>4</v>
      </c>
      <c r="C59" s="396"/>
      <c r="D59" s="246"/>
      <c r="E59" s="247"/>
      <c r="F59" s="247"/>
      <c r="G59" s="247"/>
      <c r="H59" s="247"/>
      <c r="I59" s="247"/>
      <c r="J59" s="248"/>
      <c r="K59" s="243"/>
      <c r="L59" s="249"/>
      <c r="M59" s="250"/>
      <c r="N59" s="48"/>
      <c r="O59" s="43"/>
      <c r="P59" s="397"/>
      <c r="Q59" s="252"/>
      <c r="R59" s="252"/>
      <c r="S59" s="253"/>
      <c r="T59" s="397"/>
      <c r="U59" s="252"/>
      <c r="V59" s="252"/>
      <c r="W59" s="253"/>
      <c r="X59" s="299"/>
      <c r="Y59" s="300"/>
      <c r="Z59" s="301"/>
      <c r="AA59" s="240"/>
      <c r="AB59" s="241"/>
      <c r="AC59" s="241"/>
      <c r="AD59" s="241"/>
      <c r="AE59" s="241"/>
      <c r="AF59" s="241"/>
      <c r="AG59" s="241"/>
      <c r="AH59" s="242"/>
      <c r="AI59" s="237"/>
      <c r="AJ59" s="238"/>
      <c r="AK59" s="238"/>
      <c r="AL59" s="238"/>
      <c r="AM59" s="238"/>
      <c r="AN59" s="238"/>
      <c r="AO59" s="238"/>
      <c r="AP59" s="238"/>
      <c r="AQ59" s="239"/>
      <c r="AR59" s="44" t="s">
        <v>30</v>
      </c>
      <c r="AS59" s="44" t="s">
        <v>332</v>
      </c>
      <c r="AT59" s="44" t="s">
        <v>332</v>
      </c>
      <c r="AU59" s="240" t="s">
        <v>33</v>
      </c>
      <c r="AV59" s="241"/>
      <c r="AW59" s="241"/>
      <c r="AX59" s="242"/>
      <c r="AY59" s="240" t="s">
        <v>32</v>
      </c>
      <c r="AZ59" s="241"/>
      <c r="BA59" s="241"/>
      <c r="BB59" s="242"/>
      <c r="BC59" s="243"/>
      <c r="BD59" s="244"/>
      <c r="BE59" s="244"/>
      <c r="BF59" s="244"/>
      <c r="BG59" s="244"/>
      <c r="BH59" s="244"/>
      <c r="BI59" s="244"/>
      <c r="BJ59" s="245"/>
      <c r="BK59" s="35"/>
    </row>
    <row r="60" spans="1:63" x14ac:dyDescent="0.25">
      <c r="A60" s="34"/>
      <c r="BK60" s="35"/>
    </row>
    <row r="61" spans="1:63" x14ac:dyDescent="0.25">
      <c r="A61" s="34"/>
      <c r="BK61" s="35"/>
    </row>
    <row r="62" spans="1:63" x14ac:dyDescent="0.25">
      <c r="A62" s="34"/>
      <c r="BK62" s="35"/>
    </row>
    <row r="63" spans="1:63" x14ac:dyDescent="0.25">
      <c r="A63" s="34"/>
      <c r="BK63" s="35"/>
    </row>
    <row r="64" spans="1:63" x14ac:dyDescent="0.25">
      <c r="A64" s="34"/>
      <c r="BK64" s="35"/>
    </row>
    <row r="65" spans="1:63" x14ac:dyDescent="0.25">
      <c r="A65" s="34"/>
      <c r="BK65" s="35"/>
    </row>
    <row r="66" spans="1:63" x14ac:dyDescent="0.25">
      <c r="A66" s="34"/>
      <c r="BK66" s="35"/>
    </row>
    <row r="67" spans="1:63" x14ac:dyDescent="0.25">
      <c r="A67" s="34"/>
      <c r="BK67" s="35"/>
    </row>
    <row r="68" spans="1:63" x14ac:dyDescent="0.25">
      <c r="A68" s="34"/>
      <c r="BK68" s="35"/>
    </row>
    <row r="69" spans="1:63" x14ac:dyDescent="0.25">
      <c r="A69" s="31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3"/>
    </row>
  </sheetData>
  <mergeCells count="95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B52:C54"/>
    <mergeCell ref="D52:J54"/>
    <mergeCell ref="K52:M54"/>
    <mergeCell ref="N52:N54"/>
    <mergeCell ref="O52:O54"/>
    <mergeCell ref="A4:G4"/>
    <mergeCell ref="H4:T4"/>
    <mergeCell ref="U4:Y4"/>
    <mergeCell ref="Z4:AO4"/>
    <mergeCell ref="AP4:BK4"/>
    <mergeCell ref="P52:AQ52"/>
    <mergeCell ref="AR52:BB52"/>
    <mergeCell ref="BC52:BJ54"/>
    <mergeCell ref="P53:W53"/>
    <mergeCell ref="X53:Z54"/>
    <mergeCell ref="AA53:AH54"/>
    <mergeCell ref="AI53:AQ54"/>
    <mergeCell ref="AR53:AR54"/>
    <mergeCell ref="AS53:AS54"/>
    <mergeCell ref="AT53:AT54"/>
    <mergeCell ref="B55:C55"/>
    <mergeCell ref="D55:J55"/>
    <mergeCell ref="K55:M55"/>
    <mergeCell ref="P55:S55"/>
    <mergeCell ref="T55:W55"/>
    <mergeCell ref="AY55:BB55"/>
    <mergeCell ref="BC55:BJ55"/>
    <mergeCell ref="AU53:BB53"/>
    <mergeCell ref="P54:S54"/>
    <mergeCell ref="T54:W54"/>
    <mergeCell ref="AU54:AX54"/>
    <mergeCell ref="AY54:BB54"/>
    <mergeCell ref="X56:Z56"/>
    <mergeCell ref="X55:Z55"/>
    <mergeCell ref="AA55:AH55"/>
    <mergeCell ref="AI55:AQ55"/>
    <mergeCell ref="AU55:AX55"/>
    <mergeCell ref="B56:C56"/>
    <mergeCell ref="D56:J56"/>
    <mergeCell ref="K56:M56"/>
    <mergeCell ref="P56:S56"/>
    <mergeCell ref="T56:W56"/>
    <mergeCell ref="B57:C57"/>
    <mergeCell ref="D57:J57"/>
    <mergeCell ref="K57:M57"/>
    <mergeCell ref="P57:S57"/>
    <mergeCell ref="T57:W57"/>
    <mergeCell ref="BC57:BJ57"/>
    <mergeCell ref="AA56:AH56"/>
    <mergeCell ref="AI56:AQ56"/>
    <mergeCell ref="AU56:AX56"/>
    <mergeCell ref="AY56:BB56"/>
    <mergeCell ref="BC56:BJ56"/>
    <mergeCell ref="AI57:AQ57"/>
    <mergeCell ref="AU57:AX57"/>
    <mergeCell ref="BC58:BJ58"/>
    <mergeCell ref="BC59:BJ59"/>
    <mergeCell ref="X59:Z59"/>
    <mergeCell ref="AA59:AH59"/>
    <mergeCell ref="AI59:AQ59"/>
    <mergeCell ref="AU59:AX59"/>
    <mergeCell ref="AY59:BB59"/>
    <mergeCell ref="AA58:AH58"/>
    <mergeCell ref="AI58:AQ58"/>
    <mergeCell ref="AU58:AX58"/>
    <mergeCell ref="X58:Z58"/>
    <mergeCell ref="P59:S59"/>
    <mergeCell ref="T59:W59"/>
    <mergeCell ref="X57:Z57"/>
    <mergeCell ref="AA57:AH57"/>
    <mergeCell ref="AY58:BB58"/>
    <mergeCell ref="P58:S58"/>
    <mergeCell ref="T58:W58"/>
    <mergeCell ref="AY57:BB57"/>
    <mergeCell ref="B58:C58"/>
    <mergeCell ref="D58:J58"/>
    <mergeCell ref="K58:M58"/>
    <mergeCell ref="B59:C59"/>
    <mergeCell ref="D59:J59"/>
    <mergeCell ref="K59:M59"/>
  </mergeCells>
  <dataValidations count="1">
    <dataValidation type="list" allowBlank="1" showInputMessage="1" showErrorMessage="1" sqref="O55:O59" xr:uid="{00000000-0002-0000-0600-000000000000}">
      <formula1>"－,●"</formula1>
    </dataValidation>
  </dataValidation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63CF44-F0DD-4940-9869-D0EC4FA8E0AF}"/>
</file>

<file path=customXml/itemProps2.xml><?xml version="1.0" encoding="utf-8"?>
<ds:datastoreItem xmlns:ds="http://schemas.openxmlformats.org/officeDocument/2006/customXml" ds:itemID="{73B8347D-46E7-43BA-A450-62F301942EBC}"/>
</file>

<file path=customXml/itemProps3.xml><?xml version="1.0" encoding="utf-8"?>
<ds:datastoreItem xmlns:ds="http://schemas.openxmlformats.org/officeDocument/2006/customXml" ds:itemID="{0FD9AB07-2A37-40B5-8220-E77EE7FD43F2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表紙</vt:lpstr>
      <vt:lpstr>改訂履歴</vt:lpstr>
      <vt:lpstr>SC0101</vt:lpstr>
      <vt:lpstr>SC0102</vt:lpstr>
      <vt:lpstr>MD0102</vt:lpstr>
      <vt:lpstr>SC0103</vt:lpstr>
      <vt:lpstr>テンプレート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2024-12-26T07:21:40Z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