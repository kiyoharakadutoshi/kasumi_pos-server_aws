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E56B2CC2-F3F5-46C3-B700-8CFF182FB53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0201" sheetId="8" r:id="rId3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8" l="1"/>
  <c r="Z4" i="8"/>
  <c r="H4" i="8"/>
  <c r="BH2" i="8"/>
  <c r="BC2" i="8"/>
  <c r="AY2" i="8"/>
  <c r="AT2" i="8"/>
  <c r="AP2" i="8"/>
  <c r="K2" i="8"/>
  <c r="A2" i="8"/>
  <c r="W1" i="8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<sst xmlns="http://schemas.openxmlformats.org/spreadsheetml/2006/main" count="509" uniqueCount="196">
  <si>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</si>
  <si>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</si>
  <si>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</si>
  <si>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</si>
  <si>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</si>
  <si>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</si>
  <si>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</si>
  <si>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</si>
  <si>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</si>
  <si>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</si>
  <si>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</si>
  <si>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</si>
  <si>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</si>
  <si>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</si>
  <si>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</si>
  <si>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</si>
  <si>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タイプ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</si>
  <si>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</si>
  <si>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</si>
  <si>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</si>
  <si>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</si>
  <si>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</si>
  <si>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</si>
  <si>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</si>
  <si>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0000"/>
        <rFont val="Meiryo UI"/>
        <family val="2"/>
      </rPr>
      <t>必須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</si>
  <si>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</si>
  <si>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</si>
  <si>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</si>
  <si>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</si>
  <si>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</si>
  <si>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POSサーバーの基本設計書</t>
    </r>
  </si>
  <si>
    <r>
      <rPr>
        <sz val="11"/>
        <color rgb="FF000000"/>
        <rFont val="Meiryo UI"/>
        <family val="2"/>
      </rPr>
      <t>画面設計書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</si>
  <si>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</si>
  <si>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■イメージ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</si>
  <si>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多言語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</si>
  <si>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</si>
  <si>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</si>
  <si>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</si>
  <si>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</si>
  <si>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</si>
  <si>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</si>
  <si>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</si>
  <si>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チェックボックス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</si>
  <si>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</si>
  <si>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F12:検索</t>
    </r>
  </si>
  <si>
    <r>
      <rPr>
        <sz val="11"/>
        <color rgb="FF000000"/>
        <rFont val="Meiryo UI"/>
        <family val="2"/>
      </rPr>
      <t>デフォルト：有効</t>
    </r>
  </si>
  <si>
    <r>
      <rPr>
        <sz val="11"/>
        <color rgb="FF000000"/>
        <rFont val="Meiryo UI"/>
        <family val="2"/>
      </rPr>
      <t>桁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</si>
  <si>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</si>
  <si>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02_緊急売価変更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</si>
  <si>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SC0201-01</t>
    </r>
  </si>
  <si>
    <r>
      <rPr>
        <sz val="11"/>
        <color rgb="FF000000"/>
        <rFont val="Meiryo UI"/>
        <family val="2"/>
      </rPr>
      <t>緊急売価変更</t>
    </r>
  </si>
  <si>
    <r>
      <rPr>
        <sz val="11"/>
        <color rgb="FF000000"/>
        <rFont val="Meiryo UI"/>
        <family val="2"/>
      </rPr>
      <t>AP0201</t>
    </r>
  </si>
  <si>
    <r>
      <rPr>
        <sz val="11"/>
        <color rgb="FF000000"/>
        <rFont val="Meiryo UI"/>
        <family val="2"/>
      </rPr>
      <t>商品コード</t>
    </r>
  </si>
  <si>
    <r>
      <rPr>
        <sz val="11"/>
        <color rgb="FF000000"/>
        <rFont val="Meiryo UI"/>
        <family val="2"/>
      </rPr>
      <t>検索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</si>
  <si>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SC0201-03</t>
    </r>
  </si>
  <si>
    <r>
      <rPr>
        <sz val="11"/>
        <color rgb="FF000000"/>
        <rFont val="Meiryo UI"/>
        <family val="2"/>
      </rPr>
      <t>F08:商品コード切替</t>
    </r>
  </si>
  <si>
    <r>
      <rPr>
        <sz val="11"/>
        <color rgb="FF000000"/>
        <rFont val="Meiryo UI"/>
        <family val="2"/>
      </rPr>
      <t>削除（タイトル）</t>
    </r>
  </si>
  <si>
    <r>
      <rPr>
        <sz val="11"/>
        <color rgb="FF000000"/>
        <rFont val="Meiryo UI"/>
        <family val="2"/>
      </rPr>
      <t>削除（値）</t>
    </r>
  </si>
  <si>
    <r>
      <rPr>
        <sz val="11"/>
        <color rgb="FF000000"/>
        <rFont val="Meiryo UI"/>
        <family val="2"/>
      </rPr>
      <t>削除</t>
    </r>
  </si>
  <si>
    <r>
      <rPr>
        <sz val="11"/>
        <color rgb="FF000000"/>
        <rFont val="Meiryo UI"/>
        <family val="2"/>
      </rPr>
      <t>id_delete_flag</t>
    </r>
  </si>
  <si>
    <r>
      <rPr>
        <sz val="11"/>
        <color rgb="FF000000"/>
        <rFont val="Meiryo UI"/>
        <family val="2"/>
      </rPr>
      <t>AP0202</t>
    </r>
  </si>
  <si>
    <r>
      <rPr>
        <sz val="11"/>
        <color rgb="FF000000"/>
        <rFont val="Meiryo UI"/>
        <family val="2"/>
      </rPr>
      <t>0: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削除しない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1: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削除</t>
    </r>
  </si>
  <si>
    <r>
      <rPr>
        <sz val="11"/>
        <color rgb="FF000000"/>
        <rFont val="Meiryo UI"/>
        <family val="2"/>
      </rPr>
      <t>部門コード（値）</t>
    </r>
  </si>
  <si>
    <r>
      <rPr>
        <sz val="11"/>
        <color rgb="FF000000"/>
        <rFont val="Meiryo UI"/>
        <family val="2"/>
      </rPr>
      <t>AP1506</t>
    </r>
  </si>
  <si>
    <r>
      <rPr>
        <sz val="11"/>
        <color rgb="FF000000"/>
        <rFont val="Meiryo UI"/>
        <family val="2"/>
      </rPr>
      <t>my_company_code</t>
    </r>
  </si>
  <si>
    <r>
      <rPr>
        <sz val="11"/>
        <color rgb="FF000000"/>
        <rFont val="Meiryo UI"/>
        <family val="2"/>
      </rPr>
      <t>PLUコード（タイトル）</t>
    </r>
  </si>
  <si>
    <r>
      <rPr>
        <sz val="11"/>
        <color rgb="FF000000"/>
        <rFont val="Meiryo UI"/>
        <family val="2"/>
      </rPr>
      <t>PLUコード</t>
    </r>
  </si>
  <si>
    <r>
      <rPr>
        <sz val="11"/>
        <color rgb="FF000000"/>
        <rFont val="Meiryo UI"/>
        <family val="2"/>
      </rPr>
      <t>PLUコード（値）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</si>
  <si>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</si>
  <si>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商品名称（タイトル）</t>
    </r>
  </si>
  <si>
    <r>
      <rPr>
        <sz val="11"/>
        <color rgb="FF000000"/>
        <rFont val="Meiryo UI"/>
        <family val="2"/>
      </rPr>
      <t>定番売価</t>
    </r>
  </si>
  <si>
    <r>
      <rPr>
        <sz val="11"/>
        <color rgb="FF000000"/>
        <rFont val="Meiryo UI"/>
        <family val="2"/>
      </rPr>
      <t>定番売価（タイトル）</t>
    </r>
  </si>
  <si>
    <r>
      <rPr>
        <sz val="11"/>
        <color rgb="FF000000"/>
        <rFont val="Meiryo UI"/>
        <family val="2"/>
      </rPr>
      <t>商品名称（値）</t>
    </r>
  </si>
  <si>
    <r>
      <rPr>
        <sz val="11"/>
        <color rgb="FF000000"/>
        <rFont val="Meiryo UI"/>
        <family val="2"/>
      </rPr>
      <t>unit_price</t>
    </r>
  </si>
  <si>
    <r>
      <rPr>
        <sz val="11"/>
        <color rgb="FF000000"/>
        <rFont val="Meiryo UI"/>
        <family val="2"/>
      </rPr>
      <t>変更売価</t>
    </r>
  </si>
  <si>
    <r>
      <rPr>
        <sz val="11"/>
        <color rgb="FF000000"/>
        <rFont val="Meiryo UI"/>
        <family val="2"/>
      </rPr>
      <t>force_price</t>
    </r>
  </si>
  <si>
    <r>
      <rPr>
        <sz val="11"/>
        <color rgb="FF000000"/>
        <rFont val="Meiryo UI"/>
        <family val="2"/>
      </rPr>
      <t>変更売価（タイトル）</t>
    </r>
  </si>
  <si>
    <r>
      <rPr>
        <sz val="11"/>
        <color rgb="FF000000"/>
        <rFont val="Meiryo UI"/>
        <family val="2"/>
      </rPr>
      <t>変更売価（値）</t>
    </r>
  </si>
  <si>
    <r>
      <rPr>
        <sz val="11"/>
        <color rgb="FF000000"/>
        <rFont val="Meiryo UI"/>
        <family val="2"/>
      </rPr>
      <t>現在売価</t>
    </r>
  </si>
  <si>
    <r>
      <rPr>
        <sz val="11"/>
        <color rgb="FF000000"/>
        <rFont val="Meiryo UI"/>
        <family val="2"/>
      </rPr>
      <t>現在売価（タイトル）</t>
    </r>
  </si>
  <si>
    <r>
      <rPr>
        <sz val="11"/>
        <color rgb="FF000000"/>
        <rFont val="Meiryo UI"/>
        <family val="2"/>
      </rPr>
      <t>現在売価（値）</t>
    </r>
  </si>
  <si>
    <r>
      <rPr>
        <sz val="11"/>
        <color rgb="FF000000"/>
        <rFont val="Meiryo UI"/>
        <family val="2"/>
      </rPr>
      <t>current_price</t>
    </r>
  </si>
  <si>
    <r>
      <rPr>
        <sz val="11"/>
        <color rgb="FF000000"/>
        <rFont val="Meiryo UI"/>
        <family val="2"/>
      </rPr>
      <t>group_code</t>
    </r>
  </si>
  <si>
    <r>
      <rPr>
        <sz val="11"/>
        <color rgb="FF000000"/>
        <rFont val="Meiryo UI"/>
        <family val="2"/>
      </rPr>
      <t>product_code</t>
    </r>
  </si>
  <si>
    <r>
      <rPr>
        <sz val="11"/>
        <color rgb="FF000000"/>
        <rFont val="Meiryo UI"/>
        <family val="2"/>
      </rPr>
      <t>AP1506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AP0201</t>
    </r>
  </si>
  <si>
    <r>
      <rPr>
        <sz val="11"/>
        <color rgb="FF000000"/>
        <rFont val="Meiryo UI"/>
        <family val="2"/>
      </rPr>
      <t>SKU_code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</si>
  <si>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desciption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item_name</t>
    </r>
  </si>
  <si>
    <r>
      <rPr>
        <sz val="11"/>
        <color rgb="FF000000"/>
        <rFont val="Meiryo UI"/>
        <family val="2"/>
      </rPr>
      <t>・「SC0201-03」イベントを実行すると、AP0201のデータを表示する。「SC0201-05」イベントを実行すると、AP1506のデータを表示する。</t>
    </r>
  </si>
  <si>
    <r>
      <rPr>
        <sz val="11"/>
        <color rgb="FF000000"/>
        <rFont val="Meiryo UI"/>
        <family val="2"/>
      </rPr>
      <t>ページングエリア</t>
    </r>
  </si>
  <si>
    <r>
      <rPr>
        <sz val="11"/>
        <color rgb="FF000000"/>
        <rFont val="Meiryo UI"/>
        <family val="2"/>
      </rPr>
      <t>page_number</t>
    </r>
  </si>
  <si>
    <r>
      <rPr>
        <sz val="11"/>
        <color rgb="FF000000"/>
        <rFont val="Meiryo UI"/>
        <family val="2"/>
      </rPr>
      <t>クリア</t>
    </r>
  </si>
  <si>
    <r>
      <rPr>
        <sz val="11"/>
        <color rgb="FF000000"/>
        <rFont val="Meiryo UI"/>
        <family val="2"/>
      </rPr>
      <t>印刷</t>
    </r>
  </si>
  <si>
    <r>
      <rPr>
        <sz val="11"/>
        <color rgb="FF000000"/>
        <rFont val="Meiryo UI"/>
        <family val="2"/>
      </rPr>
      <t>確定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</si>
  <si>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SC0201-06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</si>
  <si>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SC0201-07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</si>
  <si>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SC0201-08</t>
    </r>
  </si>
  <si>
    <r>
      <rPr>
        <sz val="11"/>
        <color rgb="FF000000"/>
        <rFont val="Meiryo UI"/>
        <family val="2"/>
      </rPr>
      <t>・デフォルト：有効</t>
    </r>
  </si>
  <si>
    <r>
      <rPr>
        <sz val="11"/>
        <color rgb="FF000000"/>
        <rFont val="Meiryo UI"/>
        <family val="2"/>
      </rPr>
      <t>・デフォルト：無効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・画面に変更がある場合、有効にする。</t>
    </r>
  </si>
  <si>
    <r>
      <rPr>
        <sz val="11"/>
        <color rgb="FF000000"/>
        <rFont val="Meiryo UI"/>
        <family val="2"/>
      </rPr>
      <t>total_item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total_page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current_page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</si>
  <si>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</si>
  <si>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■画面項目定義</t>
    </r>
  </si>
  <si>
    <r>
      <rPr>
        <sz val="11"/>
        <color rgb="FF000000"/>
        <rFont val="Meiryo UI"/>
        <family val="2"/>
      </rPr>
      <t>商品コード切替</t>
    </r>
  </si>
  <si>
    <r>
      <rPr>
        <sz val="11"/>
        <color rgb="FF000000"/>
        <rFont val="Meiryo UI"/>
        <family val="2"/>
      </rPr>
      <t>・「F08:商品コード切替」ボタンをタッチすると =&gt; 「F08:PLUコード切替」に切り替える。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・「F08:PLUコード切替」ボタンをタッチすると =&gt; 「F08:商品コード切替」に切り替える。</t>
    </r>
  </si>
  <si>
    <r>
      <rPr>
        <sz val="11"/>
        <color rgb="FF000000"/>
        <rFont val="Meiryo UI"/>
        <family val="2"/>
      </rPr>
      <t>・イベントID：</t>
    </r>
    <r>
      <rPr>
        <sz val="11"/>
        <color rgb="FF000000"/>
        <rFont val="Meiryo UI"/>
        <family val="2"/>
      </rPr>
      <t>SC0201-04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・ボタンが「F08:商品コード切替」と表示されている場合、「部門コード（値）」と「商品コード」を無効にする。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・ボタンが「F08:PLUコード切替」と表示されている場合、「PLUコード」を無効にする。</t>
    </r>
  </si>
  <si>
    <r>
      <rPr>
        <sz val="11"/>
        <color rgb="FF000000"/>
        <rFont val="Meiryo UI"/>
        <family val="2"/>
      </rPr>
      <t>商品コード（タイトル）</t>
    </r>
  </si>
  <si>
    <r>
      <rPr>
        <sz val="11"/>
        <color rgb="FF000000"/>
        <rFont val="Meiryo UI"/>
        <family val="2"/>
      </rPr>
      <t>・「SC0201-03」イベントを実行すると、AP0201のデータを表示する。「SC0201-05」イベントを実行すると、AP1506のデータを表示する。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・SC0201-05イベントを実行する。 条件を満たすデータがない場合、MSG_ERR_001を表示する。</t>
    </r>
  </si>
  <si>
    <r>
      <rPr>
        <sz val="11"/>
        <color rgb="FF000000"/>
        <rFont val="Meiryo UI"/>
        <family val="2"/>
      </rPr>
      <t>定番売価（値）</t>
    </r>
  </si>
  <si>
    <r>
      <rPr>
        <sz val="11"/>
        <color rgb="FF000000"/>
        <rFont val="Meiryo UI"/>
        <family val="2"/>
      </rPr>
      <t>・イベントID：</t>
    </r>
    <r>
      <rPr>
        <sz val="11"/>
        <color rgb="FF000000"/>
        <rFont val="Meiryo UI"/>
        <family val="2"/>
      </rPr>
      <t>SC0201-05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・my_company_codeの末尾6桁を表示する。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・「SC0201-03」イベントを実行すると、AP0201のデータを表示する。「SC0201-05」イベントを実行すると、AP1506のデータを表示する。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・最大桁数：6</t>
    </r>
  </si>
  <si>
    <r>
      <rPr>
        <sz val="11"/>
        <color rgb="FF000000"/>
        <rFont val="Meiryo UI"/>
        <family val="2"/>
      </rPr>
      <t>・イベントID：</t>
    </r>
    <r>
      <rPr>
        <sz val="11"/>
        <color rgb="FF000000"/>
        <rFont val="Meiryo UI"/>
        <family val="2"/>
      </rPr>
      <t>SC0201-05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・「SC0201-03」イベントを実行すると、AP0201のデータを表示する。「SC0201-05」イベントを実行すると、AP1506のデータを表示する。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・最大桁数：13</t>
    </r>
  </si>
  <si>
    <r>
      <rPr>
        <sz val="11"/>
        <color rgb="FF000000"/>
        <rFont val="Meiryo UI"/>
        <family val="2"/>
      </rPr>
      <t>AP1506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AP0202</t>
    </r>
  </si>
  <si>
    <r>
      <rPr>
        <sz val="11"/>
        <color rgb="FF000000"/>
        <rFont val="Meiryo UI"/>
        <family val="2"/>
      </rPr>
      <t>PLU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</si>
  <si>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最大桁数：6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必須：値 &gt; 0</t>
    </r>
  </si>
  <si>
    <r>
      <rPr>
        <sz val="11"/>
        <color rgb="FF7030A0"/>
        <rFont val="Meiryo UI"/>
        <family val="3"/>
        <charset val="128"/>
      </rPr>
      <t>md_hierarchy_code_level_one</t>
    </r>
  </si>
  <si>
    <r>
      <rPr>
        <sz val="11"/>
        <color rgb="FFFF0000"/>
        <rFont val="Meiryo UI"/>
        <family val="3"/>
        <charset val="128"/>
      </rPr>
      <t>F8：クリア</t>
    </r>
  </si>
  <si>
    <r>
      <rPr>
        <sz val="11"/>
        <color rgb="FFFF0000"/>
        <rFont val="Meiryo UI"/>
        <family val="3"/>
        <charset val="128"/>
      </rPr>
      <t>F11：確定</t>
    </r>
  </si>
  <si>
    <r>
      <rPr>
        <sz val="11"/>
        <color rgb="FFFF0000"/>
        <rFont val="Meiryo UI"/>
        <family val="3"/>
        <charset val="128"/>
      </rPr>
      <t>・▲ボタンをタッチした場合、昇順にソートする。</t>
    </r>
    <r>
      <rPr>
        <sz val="11"/>
        <color rgb="FFFF0000"/>
        <rFont val="Meiryo UI"/>
        <family val="3"/>
        <charset val="128"/>
      </rPr>
      <t>再度タッチすると、ボタンが▼に切り替わり、降順にソートする。</t>
    </r>
  </si>
  <si>
    <r>
      <rPr>
        <sz val="11"/>
        <color rgb="FFFF0000"/>
        <rFont val="Meiryo UI"/>
        <family val="3"/>
        <charset val="128"/>
      </rPr>
      <t>sort_column</t>
    </r>
    <r>
      <rPr>
        <sz val="11"/>
        <color rgb="FFFF0000"/>
        <rFont val="Meiryo UI"/>
        <family val="3"/>
        <charset val="128"/>
      </rPr>
      <t xml:space="preserve">
</t>
    </r>
    <r>
      <rPr>
        <sz val="11"/>
        <color rgb="FFFF0000"/>
        <rFont val="Meiryo UI"/>
        <family val="3"/>
        <charset val="128"/>
      </rPr>
      <t>sort_value</t>
    </r>
  </si>
  <si>
    <r>
      <rPr>
        <sz val="11"/>
        <color rgb="FFFF0000"/>
        <rFont val="Meiryo UI"/>
        <family val="3"/>
        <charset val="128"/>
      </rPr>
      <t>・画面が編集モード（商品新規追加時）または新規作成モードで、商品コード入力モードの場合、有効にする。</t>
    </r>
    <r>
      <rPr>
        <sz val="11"/>
        <color rgb="FFFF0000"/>
        <rFont val="Meiryo UI"/>
        <family val="3"/>
        <charset val="128"/>
      </rPr>
      <t xml:space="preserve">
</t>
    </r>
    <r>
      <rPr>
        <sz val="11"/>
        <color rgb="FFFF0000"/>
        <rFont val="Meiryo UI"/>
        <family val="3"/>
        <charset val="128"/>
      </rPr>
      <t>・PLUコード入力モードまたは画面初期化モードの場合：無効。編集モードでは、アイテムがレスポンスAP0201に既存の場合は無効にする。</t>
    </r>
  </si>
  <si>
    <r>
      <rPr>
        <sz val="11"/>
        <color rgb="FFFF0000"/>
        <rFont val="Meiryo UI"/>
        <family val="3"/>
        <charset val="128"/>
      </rPr>
      <t>・画面が編集モード（商品新規追加時）または新規作成モードで、PLUコード入力モードの場合、有効にする。</t>
    </r>
    <r>
      <rPr>
        <sz val="11"/>
        <color rgb="FFFF0000"/>
        <rFont val="Meiryo UI"/>
        <family val="3"/>
        <charset val="128"/>
      </rPr>
      <t xml:space="preserve">
</t>
    </r>
    <r>
      <rPr>
        <sz val="11"/>
        <color rgb="FFFF0000"/>
        <rFont val="Meiryo UI"/>
        <family val="3"/>
        <charset val="128"/>
      </rPr>
      <t>・商品コード入力モードまたは画面初期化モードの場合：無効。編集モードでは、アイテムがレスポンスAP0201に既存の場合は無効にする。</t>
    </r>
    <r>
      <rPr>
        <sz val="11"/>
        <color rgb="FFFF0000"/>
        <rFont val="Meiryo UI"/>
        <family val="3"/>
        <charset val="128"/>
      </rPr>
      <t xml:space="preserve">
</t>
    </r>
  </si>
  <si>
    <r>
      <rPr>
        <sz val="11"/>
        <color rgb="FFFF0000"/>
        <rFont val="Meiryo UI"/>
        <family val="3"/>
        <charset val="128"/>
      </rPr>
      <t>イベントID：</t>
    </r>
    <r>
      <rPr>
        <sz val="11"/>
        <color rgb="FFFF0000"/>
        <rFont val="Meiryo UI"/>
        <family val="3"/>
        <charset val="128"/>
      </rPr>
      <t>SC0201-09</t>
    </r>
  </si>
  <si>
    <r>
      <rPr>
        <strike/>
        <sz val="11"/>
        <color rgb="FF7030A0"/>
        <rFont val="Meiryo UI"/>
        <family val="2"/>
      </rPr>
      <t>plu</t>
    </r>
  </si>
  <si>
    <r>
      <rPr>
        <strike/>
        <sz val="11"/>
        <color rgb="FF7030A0"/>
        <rFont val="Meiryo UI"/>
        <family val="2"/>
      </rPr>
      <t>商品名</t>
    </r>
  </si>
  <si>
    <r>
      <rPr>
        <strike/>
        <sz val="11"/>
        <color rgb="FF7030A0"/>
        <rFont val="Meiryo UI"/>
        <family val="2"/>
      </rPr>
      <t>SKU_code</t>
    </r>
  </si>
  <si>
    <r>
      <rPr>
        <strike/>
        <sz val="11"/>
        <color rgb="FF7030A0"/>
        <rFont val="Meiryo UI"/>
        <family val="2"/>
      </rPr>
      <t>イベントID：</t>
    </r>
    <r>
      <rPr>
        <strike/>
        <sz val="11"/>
        <color rgb="FF7030A0"/>
        <rFont val="Meiryo UI"/>
        <family val="2"/>
      </rPr>
      <t>SC0201-05</t>
    </r>
  </si>
  <si>
    <r>
      <rPr>
        <sz val="11"/>
        <color rgb="FF7030A0"/>
        <rFont val="Meiryo UI"/>
        <family val="3"/>
        <charset val="128"/>
      </rPr>
      <t>・満たすデータがない場合、「MSG_ERR_001」メッセージを表示する。</t>
    </r>
  </si>
  <si>
    <r>
      <rPr>
        <strike/>
        <sz val="11"/>
        <color rgb="FF7030A0"/>
        <rFont val="Meiryo UI"/>
        <family val="2"/>
      </rPr>
      <t>イベントID：</t>
    </r>
    <r>
      <rPr>
        <strike/>
        <sz val="11"/>
        <color rgb="FF7030A0"/>
        <rFont val="Meiryo UI"/>
        <family val="2"/>
      </rPr>
      <t>SC0201-05</t>
    </r>
    <r>
      <rPr>
        <sz val="11"/>
        <color rgb="FF7030A0"/>
        <rFont val="Meiryo UI"/>
        <family val="3"/>
        <charset val="128"/>
      </rPr>
      <t xml:space="preserve">
</t>
    </r>
    <r>
      <rPr>
        <strike/>
        <sz val="11"/>
        <color rgb="FF7030A0"/>
        <rFont val="Meiryo UI"/>
        <family val="2"/>
      </rPr>
      <t>・my_company_codeの末尾6桁を表示する。</t>
    </r>
  </si>
  <si>
    <r>
      <rPr>
        <sz val="11"/>
        <color rgb="FF000000"/>
        <rFont val="Meiryo UI"/>
        <family val="2"/>
      </rPr>
      <t>・イベントID：</t>
    </r>
    <r>
      <rPr>
        <sz val="11"/>
        <color rgb="FF000000"/>
        <rFont val="Meiryo UI"/>
        <family val="2"/>
      </rPr>
      <t>SC0201-05</t>
    </r>
    <r>
      <rPr>
        <sz val="11"/>
        <color rgb="FF000000"/>
        <rFont val="Meiryo UI"/>
        <family val="2"/>
      </rPr>
      <t xml:space="preserve">
</t>
    </r>
    <r>
      <rPr>
        <sz val="11"/>
        <color rgb="FF00B0F0"/>
        <rFont val="Meiryo UI"/>
        <family val="2"/>
      </rPr>
      <t>・商品コードの末尾6桁から数えて、次の2桁を表示する。</t>
    </r>
    <r>
      <rPr>
        <sz val="11"/>
        <color rgb="FF00B0F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・「SC0201-03」イベントを実行すると、AP0201のデータを表示する。「SC0201-05」イベントを実行すると、AP1506のデータを表示する。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・最大桁数：2</t>
    </r>
  </si>
  <si>
    <r>
      <rPr>
        <sz val="11"/>
        <color rgb="FF7030A0"/>
        <rFont val="Meiryo UI"/>
        <family val="3"/>
        <charset val="128"/>
      </rPr>
      <t>部門名称（値）</t>
    </r>
  </si>
  <si>
    <r>
      <rPr>
        <sz val="11"/>
        <color rgb="FF7030A0"/>
        <rFont val="Meiryo UI"/>
        <family val="3"/>
        <charset val="128"/>
      </rPr>
      <t>AP1507</t>
    </r>
  </si>
  <si>
    <r>
      <rPr>
        <sz val="11"/>
        <color rgb="FF7030A0"/>
        <rFont val="Meiryo UI"/>
        <family val="3"/>
        <charset val="128"/>
      </rPr>
      <t>description_level_one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</si>
  <si>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</si>
  <si>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B0F0"/>
        <rFont val="Meiryo UI"/>
        <family val="2"/>
      </rPr>
      <t>商品コード（タイトル）</t>
    </r>
  </si>
  <si>
    <r>
      <rPr>
        <sz val="11"/>
        <color rgb="FF7030A0"/>
        <rFont val="Meiryo UI"/>
        <family val="3"/>
        <charset val="128"/>
      </rPr>
      <t>部門コード（値）</t>
    </r>
  </si>
  <si>
    <r>
      <rPr>
        <strike/>
        <sz val="11"/>
        <color rgb="FF7030A0"/>
        <rFont val="Meiryo UI"/>
        <family val="2"/>
      </rPr>
      <t>商品コード</t>
    </r>
  </si>
  <si>
    <r>
      <rPr>
        <strike/>
        <sz val="11"/>
        <color rgb="FF7030A0"/>
        <rFont val="Meiryo UI"/>
        <family val="2"/>
      </rPr>
      <t>PLUコード（タイトル）</t>
    </r>
  </si>
  <si>
    <r>
      <rPr>
        <strike/>
        <sz val="11"/>
        <color rgb="FF7030A0"/>
        <rFont val="Meiryo UI"/>
        <family val="2"/>
      </rPr>
      <t>PLUコード（値）</t>
    </r>
  </si>
  <si>
    <r>
      <rPr>
        <strike/>
        <sz val="11"/>
        <color rgb="FF7030A0"/>
        <rFont val="Meiryo UI"/>
        <family val="2"/>
      </rPr>
      <t>商品名称（タイトル）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</si>
  <si>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</si>
  <si>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B0F0"/>
        <rFont val="Meiryo UI"/>
        <family val="2"/>
      </rPr>
      <t>テキスト</t>
    </r>
  </si>
  <si>
    <r>
      <rPr>
        <sz val="11"/>
        <color rgb="FF7030A0"/>
        <rFont val="Meiryo UI"/>
        <family val="3"/>
        <charset val="128"/>
      </rPr>
      <t>EditText</t>
    </r>
  </si>
  <si>
    <r>
      <rPr>
        <strike/>
        <sz val="11"/>
        <color rgb="FF7030A0"/>
        <rFont val="Meiryo UI"/>
        <family val="2"/>
      </rPr>
      <t>EditText</t>
    </r>
  </si>
  <si>
    <r>
      <rPr>
        <strike/>
        <sz val="11"/>
        <color rgb="FF7030A0"/>
        <rFont val="Meiryo UI"/>
        <family val="2"/>
      </rPr>
      <t>テキスト</t>
    </r>
  </si>
  <si>
    <r>
      <rPr>
        <sz val="11"/>
        <color rgb="FF7030A0"/>
        <rFont val="Meiryo UI"/>
        <family val="3"/>
        <charset val="128"/>
      </rPr>
      <t>テキスト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</si>
  <si>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</si>
  <si>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</si>
  <si>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7030A0"/>
        <rFont val="Meiryo UI"/>
        <family val="3"/>
        <charset val="128"/>
      </rPr>
      <t>I/O</t>
    </r>
  </si>
  <si>
    <r>
      <rPr>
        <strike/>
        <sz val="11"/>
        <color rgb="FF7030A0"/>
        <rFont val="Meiryo UI"/>
        <family val="2"/>
      </rPr>
      <t>I/O</t>
    </r>
  </si>
  <si>
    <r>
      <rPr>
        <sz val="11"/>
        <color rgb="FF7030A0"/>
        <rFont val="Meiryo UI"/>
        <family val="3"/>
        <charset val="128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</si>
  <si>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</si>
  <si>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</si>
  <si>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</si>
  <si>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</si>
  <si>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7030A0"/>
        <rFont val="Meiryo UI"/>
        <family val="3"/>
        <charset val="128"/>
      </rPr>
      <t>AP1507</t>
    </r>
  </si>
  <si>
    <r>
      <rPr>
        <strike/>
        <sz val="11"/>
        <color rgb="FF7030A0"/>
        <rFont val="Meiryo UI"/>
        <family val="2"/>
      </rPr>
      <t>AP1506</t>
    </r>
  </si>
  <si>
    <r>
      <rPr>
        <sz val="11"/>
        <color rgb="FF000000"/>
        <rFont val="Meiryo UI"/>
        <family val="2"/>
      </rPr>
      <t>AP1506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AP0201</t>
    </r>
  </si>
  <si>
    <r>
      <rPr>
        <sz val="11"/>
        <color rgb="FF000000"/>
        <rFont val="Meiryo UI"/>
        <family val="2"/>
      </rPr>
      <t>AP0201</t>
    </r>
  </si>
  <si>
    <r>
      <rPr>
        <sz val="11"/>
        <color rgb="FF7030A0"/>
        <rFont val="Meiryo UI"/>
        <family val="3"/>
        <charset val="128"/>
      </rPr>
      <t>md_hierarchy_code_level_one</t>
    </r>
  </si>
  <si>
    <r>
      <rPr>
        <strike/>
        <sz val="11"/>
        <color rgb="FF7030A0"/>
        <rFont val="Meiryo UI"/>
        <family val="2"/>
      </rPr>
      <t>my_company_code</t>
    </r>
  </si>
  <si>
    <r>
      <rPr>
        <sz val="11"/>
        <color rgb="FF000000"/>
        <rFont val="Meiryo UI"/>
        <family val="2"/>
      </rPr>
      <t>my_company_code</t>
    </r>
  </si>
  <si>
    <r>
      <rPr>
        <sz val="11"/>
        <color rgb="FF000000"/>
        <rFont val="Meiryo UI"/>
        <family val="2"/>
      </rPr>
      <t>force_price</t>
    </r>
  </si>
  <si>
    <r>
      <rPr>
        <sz val="11"/>
        <color rgb="FF00B0F0"/>
        <rFont val="Meiryo UI"/>
        <family val="2"/>
      </rPr>
      <t>商品コード</t>
    </r>
  </si>
  <si>
    <r>
      <rPr>
        <strike/>
        <sz val="11"/>
        <color rgb="FF7030A0"/>
        <rFont val="Meiryo UI"/>
        <family val="2"/>
      </rPr>
      <t>PLUコード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</si>
  <si>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</si>
  <si>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B0F0"/>
        <rFont val="Meiryo UI"/>
        <family val="2"/>
      </rPr>
      <t>ー</t>
    </r>
  </si>
  <si>
    <r>
      <rPr>
        <sz val="11"/>
        <color rgb="FF7030A0"/>
        <rFont val="Meiryo UI"/>
        <family val="3"/>
        <charset val="128"/>
      </rPr>
      <t>ー</t>
    </r>
  </si>
  <si>
    <r>
      <rPr>
        <strike/>
        <sz val="11"/>
        <color rgb="FF7030A0"/>
        <rFont val="Meiryo UI"/>
        <family val="2"/>
      </rPr>
      <t>ー</t>
    </r>
  </si>
  <si>
    <r>
      <rPr>
        <sz val="11"/>
        <color rgb="FF000000"/>
        <rFont val="Meiryo UI"/>
        <family val="2"/>
      </rPr>
      <t>デフォルト：有効</t>
    </r>
  </si>
  <si>
    <r>
      <rPr>
        <sz val="11"/>
        <color rgb="FFFF0000"/>
        <rFont val="Meiryo UI"/>
        <family val="3"/>
        <charset val="128"/>
      </rPr>
      <t>・画面が編集モード（商品新規追加時）または新規作成モードで、商品コード入力モードの場合、有効にする。</t>
    </r>
    <r>
      <rPr>
        <sz val="11"/>
        <color rgb="FFFF0000"/>
        <rFont val="Meiryo UI"/>
        <family val="3"/>
        <charset val="128"/>
      </rPr>
      <t xml:space="preserve">
</t>
    </r>
    <r>
      <rPr>
        <sz val="11"/>
        <color rgb="FFFF0000"/>
        <rFont val="Meiryo UI"/>
        <family val="3"/>
        <charset val="128"/>
      </rPr>
      <t>・PLUコード入力モードまたは画面初期化モードの場合：無効。編集モードでは、アイテムがレスポンスAP0201に既存の場合は無効にする。</t>
    </r>
  </si>
  <si>
    <r>
      <rPr>
        <sz val="11"/>
        <color rgb="FF000000"/>
        <rFont val="Meiryo UI"/>
        <family val="2"/>
      </rPr>
      <t>・デフォルト：有効</t>
    </r>
  </si>
  <si>
    <r>
      <rPr>
        <sz val="11"/>
        <color rgb="FF7030A0"/>
        <rFont val="Meiryo UI"/>
        <family val="3"/>
        <charset val="128"/>
      </rPr>
      <t>AP0201</t>
    </r>
  </si>
  <si>
    <r>
      <rPr>
        <strike/>
        <sz val="11"/>
        <color rgb="FF7030A0"/>
        <rFont val="Meiryo UI"/>
        <family val="2"/>
      </rPr>
      <t>AP0201</t>
    </r>
  </si>
  <si>
    <r>
      <rPr>
        <sz val="11"/>
        <color rgb="FF000000"/>
        <rFont val="Meiryo UI"/>
        <family val="2"/>
      </rPr>
      <t>AP0202</t>
    </r>
  </si>
  <si>
    <r>
      <rPr>
        <sz val="11"/>
        <color rgb="FFFF0000"/>
        <rFont val="Meiryo UI"/>
        <family val="3"/>
        <charset val="128"/>
      </rPr>
      <t>AP0201</t>
    </r>
  </si>
  <si>
    <r>
      <rPr>
        <sz val="11"/>
        <color rgb="FF000000"/>
        <rFont val="Meiryo UI"/>
        <family val="2"/>
      </rPr>
      <t>AP1506</t>
    </r>
  </si>
  <si>
    <r>
      <rPr>
        <strike/>
        <sz val="11"/>
        <color rgb="FF7030A0"/>
        <rFont val="Meiryo UI"/>
        <family val="2"/>
      </rPr>
      <t>product_code</t>
    </r>
  </si>
  <si>
    <r>
      <rPr>
        <sz val="11"/>
        <color rgb="FF000000"/>
        <rFont val="Meiryo UI"/>
        <family val="2"/>
      </rPr>
      <t>・「SC0201-03」イベントを実行すると、AP0201のデータを表示する。「SC0201-05」イベントを実行すると、AP1506のデータを表示する。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</si>
  <si>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</si>
  <si>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</si>
  <si>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</si>
  <si>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</si>
  <si>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</si>
  <si>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</si>
  <si>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</si>
  <si>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</si>
  <si>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</si>
  <si>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</si>
  <si>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</si>
  <si>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</si>
  <si>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TuyenNH</t>
  </si>
  <si>
    <t>DuNT</t>
  </si>
  <si>
    <t>AP0201のmd_hierarchy_code_level_oneのマッピングを更新</t>
  </si>
  <si>
    <t>新しいレイアウトに従って更新する。</t>
  </si>
  <si>
    <t>・検索条件変更：「予約日付」項目を削除し、「商品コード」、「PLUコード」項目を追加する。</t>
  </si>
  <si>
    <t>・「商品コード」項目と「PLUコード」項目を削除する</t>
  </si>
  <si>
    <r>
      <rPr>
        <sz val="11"/>
        <color rgb="FF000000"/>
        <rFont val="Meiryo UI"/>
        <family val="2"/>
      </rPr>
      <t>[10_概要機能_画面遷移_00_共通.xlsx]ファイルの[画面設計]シートをご参照ください。
・1ページあたり12件のレコードを表示する。</t>
    </r>
  </si>
  <si>
    <t xml:space="preserve">・イベントID：SC0201-02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</si>
</sst>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sz val="11"/>
      <color rgb="FFFF0000"/>
      <name val="Meiryo UI"/>
      <family val="3"/>
      <charset val="128"/>
    </font>
    <font>
      <sz val="11"/>
      <color rgb="FF00B0F0"/>
      <name val="Meiryo UI"/>
      <family val="2"/>
    </font>
    <font>
      <sz val="11"/>
      <color rgb="FF7030A0"/>
      <name val="Meiryo UI"/>
      <family val="3"/>
      <charset val="128"/>
    </font>
    <font>
      <strike/>
      <sz val="11"/>
      <color rgb="FF7030A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7030A0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5" fillId="0" borderId="0">
      <alignment vertical="center"/>
    </xf>
  </cellStyleXfs>
  <cellXfs count="48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1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9" xfId="6" applyFont="1" applyBorder="1" applyAlignment="1">
      <alignment horizontal="center" vertical="center"/>
    </xf>
    <xf numFmtId="0" fontId="7" fillId="0" borderId="20" xfId="6" applyFont="1" applyBorder="1" applyAlignment="1">
      <alignment horizontal="center" vertical="center"/>
    </xf>
    <xf numFmtId="0" fontId="7" fillId="0" borderId="20" xfId="6" applyFont="1" applyBorder="1" applyAlignment="1">
      <alignment vertical="center"/>
    </xf>
    <xf numFmtId="0" fontId="7" fillId="0" borderId="18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7" fillId="0" borderId="19" xfId="6" applyFont="1" applyBorder="1" applyAlignment="1">
      <alignment vertical="center"/>
    </xf>
    <xf numFmtId="0" fontId="12" fillId="0" borderId="21" xfId="6" applyFont="1" applyBorder="1" applyAlignment="1">
      <alignment horizontal="center" vertical="center"/>
    </xf>
    <xf numFmtId="0" fontId="12" fillId="0" borderId="17" xfId="6" applyFont="1" applyBorder="1" applyAlignment="1">
      <alignment horizontal="center" vertical="center"/>
    </xf>
    <xf numFmtId="0" fontId="12" fillId="0" borderId="17" xfId="6" applyFont="1" applyBorder="1" applyAlignment="1">
      <alignment vertical="center"/>
    </xf>
    <xf numFmtId="0" fontId="0" fillId="0" borderId="17" xfId="6" applyFont="1" applyBorder="1" applyAlignment="1">
      <alignment horizontal="center" vertical="center"/>
    </xf>
    <xf numFmtId="0" fontId="14" fillId="0" borderId="17" xfId="6" applyFont="1" applyBorder="1" applyAlignment="1">
      <alignment horizontal="center" vertical="center"/>
    </xf>
    <xf numFmtId="0" fontId="14" fillId="0" borderId="17" xfId="6" applyFont="1" applyBorder="1" applyAlignment="1">
      <alignment vertical="center"/>
    </xf>
    <xf numFmtId="0" fontId="14" fillId="0" borderId="19" xfId="6" applyFont="1" applyBorder="1" applyAlignment="1">
      <alignment horizontal="center" vertical="center"/>
    </xf>
    <xf numFmtId="0" fontId="14" fillId="0" borderId="21" xfId="6" applyFont="1" applyBorder="1" applyAlignment="1">
      <alignment horizontal="center" vertical="center"/>
    </xf>
    <xf numFmtId="0" fontId="14" fillId="0" borderId="19" xfId="6" applyFont="1" applyBorder="1" applyAlignment="1">
      <alignment vertical="center"/>
    </xf>
    <xf numFmtId="0" fontId="13" fillId="0" borderId="19" xfId="6" applyFont="1" applyBorder="1" applyAlignment="1">
      <alignment horizontal="center" vertical="center"/>
    </xf>
    <xf numFmtId="0" fontId="13" fillId="0" borderId="17" xfId="6" applyFont="1" applyBorder="1" applyAlignment="1">
      <alignment horizontal="center" vertical="center"/>
    </xf>
    <xf numFmtId="0" fontId="13" fillId="0" borderId="19" xfId="6" applyFont="1" applyBorder="1" applyAlignment="1">
      <alignment vertical="center"/>
    </xf>
    <xf numFmtId="0" fontId="13" fillId="0" borderId="17" xfId="6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4" fontId="12" fillId="0" borderId="22" xfId="0" applyNumberFormat="1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8" xfId="0" quotePrefix="1" applyFont="1" applyBorder="1" applyAlignment="1">
      <alignment wrapText="1"/>
    </xf>
    <xf numFmtId="0" fontId="12" fillId="0" borderId="29" xfId="0" applyFont="1" applyBorder="1"/>
    <xf numFmtId="0" fontId="12" fillId="0" borderId="16" xfId="0" applyFont="1" applyBorder="1"/>
    <xf numFmtId="0" fontId="12" fillId="0" borderId="30" xfId="0" applyFont="1" applyBorder="1"/>
    <xf numFmtId="0" fontId="12" fillId="0" borderId="31" xfId="0" applyFont="1" applyBorder="1"/>
    <xf numFmtId="0" fontId="12" fillId="0" borderId="32" xfId="0" applyFont="1" applyBorder="1"/>
    <xf numFmtId="0" fontId="7" fillId="0" borderId="33" xfId="6" applyFont="1" applyBorder="1" applyAlignment="1">
      <alignment horizontal="center" vertical="center"/>
    </xf>
    <xf numFmtId="0" fontId="7" fillId="0" borderId="34" xfId="6" applyFont="1" applyBorder="1" applyAlignment="1">
      <alignment horizontal="center" vertical="center"/>
    </xf>
    <xf numFmtId="0" fontId="7" fillId="0" borderId="35" xfId="6" applyFont="1" applyBorder="1" applyAlignment="1">
      <alignment horizontal="center" vertical="center"/>
    </xf>
    <xf numFmtId="0" fontId="0" fillId="0" borderId="33" xfId="6" applyFont="1" applyBorder="1" applyAlignment="1">
      <alignment vertical="center" wrapText="1"/>
    </xf>
    <xf numFmtId="0" fontId="0" fillId="0" borderId="34" xfId="6" applyFont="1" applyBorder="1" applyAlignment="1">
      <alignment vertical="center" wrapText="1"/>
    </xf>
    <xf numFmtId="0" fontId="0" fillId="0" borderId="35" xfId="6" applyFont="1" applyBorder="1" applyAlignment="1">
      <alignment vertical="center" wrapText="1"/>
    </xf>
    <xf numFmtId="0" fontId="13" fillId="0" borderId="33" xfId="6" applyFont="1" applyBorder="1" applyAlignment="1">
      <alignment horizontal="center" vertical="center"/>
    </xf>
    <xf numFmtId="0" fontId="13" fillId="0" borderId="35" xfId="6" applyFont="1" applyBorder="1" applyAlignment="1">
      <alignment horizontal="center" vertical="center"/>
    </xf>
    <xf numFmtId="0" fontId="7" fillId="0" borderId="33" xfId="6" quotePrefix="1" applyFont="1" applyBorder="1" applyAlignment="1">
      <alignment vertical="center" wrapText="1"/>
    </xf>
    <xf numFmtId="0" fontId="7" fillId="0" borderId="34" xfId="6" quotePrefix="1" applyFont="1" applyBorder="1" applyAlignment="1">
      <alignment vertical="center" wrapText="1"/>
    </xf>
    <xf numFmtId="0" fontId="7" fillId="0" borderId="35" xfId="6" quotePrefix="1" applyFont="1" applyBorder="1" applyAlignment="1">
      <alignment vertical="center" wrapText="1"/>
    </xf>
    <xf numFmtId="0" fontId="8" fillId="0" borderId="33" xfId="6" applyFont="1" applyBorder="1" applyAlignment="1">
      <alignment vertical="center"/>
    </xf>
    <xf numFmtId="0" fontId="7" fillId="0" borderId="34" xfId="6" applyFont="1" applyBorder="1" applyAlignment="1">
      <alignment vertical="center"/>
    </xf>
    <xf numFmtId="0" fontId="7" fillId="0" borderId="35" xfId="6" applyFont="1" applyBorder="1" applyAlignment="1">
      <alignment vertical="center"/>
    </xf>
    <xf numFmtId="0" fontId="8" fillId="0" borderId="33" xfId="6" quotePrefix="1" applyFont="1" applyBorder="1" applyAlignment="1">
      <alignment horizontal="center" vertical="center" wrapText="1"/>
    </xf>
    <xf numFmtId="0" fontId="8" fillId="0" borderId="34" xfId="6" applyFont="1" applyBorder="1" applyAlignment="1">
      <alignment horizontal="center" vertical="center" wrapText="1"/>
    </xf>
    <xf numFmtId="0" fontId="8" fillId="0" borderId="35" xfId="6" applyFont="1" applyBorder="1" applyAlignment="1">
      <alignment horizontal="center" vertical="center" wrapText="1"/>
    </xf>
    <xf numFmtId="0" fontId="7" fillId="0" borderId="33" xfId="6" applyFont="1" applyBorder="1" applyAlignment="1">
      <alignment horizontal="left" vertical="center"/>
    </xf>
    <xf numFmtId="0" fontId="7" fillId="0" borderId="34" xfId="6" applyFont="1" applyBorder="1" applyAlignment="1">
      <alignment horizontal="left" vertical="center"/>
    </xf>
    <xf numFmtId="0" fontId="7" fillId="0" borderId="35" xfId="6" applyFont="1" applyBorder="1" applyAlignment="1">
      <alignment horizontal="left" vertical="center"/>
    </xf>
    <xf numFmtId="0" fontId="8" fillId="0" borderId="33" xfId="6" applyFont="1" applyBorder="1" applyAlignment="1">
      <alignment horizontal="left" vertical="center"/>
    </xf>
    <xf numFmtId="0" fontId="13" fillId="0" borderId="36" xfId="6" quotePrefix="1" applyFont="1" applyBorder="1" applyAlignment="1">
      <alignment vertical="center"/>
    </xf>
    <xf numFmtId="0" fontId="13" fillId="0" borderId="37" xfId="6" quotePrefix="1" applyFont="1" applyBorder="1" applyAlignment="1">
      <alignment vertical="center"/>
    </xf>
    <xf numFmtId="0" fontId="13" fillId="0" borderId="21" xfId="6" quotePrefix="1" applyFont="1" applyBorder="1" applyAlignment="1">
      <alignment vertical="center"/>
    </xf>
    <xf numFmtId="0" fontId="13" fillId="0" borderId="36" xfId="6" applyFont="1" applyBorder="1" applyAlignment="1">
      <alignment vertical="center"/>
    </xf>
    <xf numFmtId="0" fontId="13" fillId="0" borderId="37" xfId="6" applyFont="1" applyBorder="1" applyAlignment="1">
      <alignment vertical="center"/>
    </xf>
    <xf numFmtId="0" fontId="13" fillId="0" borderId="21" xfId="6" applyFont="1" applyBorder="1" applyAlignment="1">
      <alignment vertical="center"/>
    </xf>
    <xf numFmtId="0" fontId="13" fillId="0" borderId="33" xfId="6" applyFont="1" applyBorder="1" applyAlignment="1">
      <alignment horizontal="center" vertical="center" wrapText="1"/>
    </xf>
    <xf numFmtId="0" fontId="13" fillId="0" borderId="34" xfId="6" applyFont="1" applyBorder="1" applyAlignment="1">
      <alignment horizontal="center" vertical="center"/>
    </xf>
    <xf numFmtId="0" fontId="13" fillId="0" borderId="34" xfId="6" applyFont="1" applyBorder="1" applyAlignment="1">
      <alignment horizontal="center" vertical="center" wrapText="1"/>
    </xf>
    <xf numFmtId="0" fontId="13" fillId="0" borderId="35" xfId="6" applyFont="1" applyBorder="1" applyAlignment="1">
      <alignment horizontal="center" vertical="center" wrapText="1"/>
    </xf>
    <xf numFmtId="0" fontId="13" fillId="0" borderId="36" xfId="6" applyFont="1" applyBorder="1" applyAlignment="1">
      <alignment horizontal="center" vertical="center" wrapText="1"/>
    </xf>
    <xf numFmtId="0" fontId="13" fillId="0" borderId="37" xfId="6" applyFont="1" applyBorder="1" applyAlignment="1">
      <alignment horizontal="center" vertical="center" wrapText="1"/>
    </xf>
    <xf numFmtId="0" fontId="13" fillId="0" borderId="21" xfId="6" applyFont="1" applyBorder="1" applyAlignment="1">
      <alignment horizontal="center" vertical="center" wrapText="1"/>
    </xf>
    <xf numFmtId="0" fontId="13" fillId="0" borderId="33" xfId="6" applyFont="1" applyBorder="1" applyAlignment="1">
      <alignment horizontal="left" vertical="center"/>
    </xf>
    <xf numFmtId="0" fontId="13" fillId="0" borderId="34" xfId="6" applyFont="1" applyBorder="1" applyAlignment="1">
      <alignment horizontal="left" vertical="center"/>
    </xf>
    <xf numFmtId="0" fontId="13" fillId="0" borderId="35" xfId="6" applyFont="1" applyBorder="1" applyAlignment="1">
      <alignment horizontal="left" vertical="center"/>
    </xf>
    <xf numFmtId="0" fontId="14" fillId="0" borderId="33" xfId="6" applyFont="1" applyBorder="1" applyAlignment="1">
      <alignment horizontal="center" vertical="center"/>
    </xf>
    <xf numFmtId="0" fontId="14" fillId="0" borderId="35" xfId="6" applyFont="1" applyBorder="1" applyAlignment="1">
      <alignment horizontal="center" vertical="center"/>
    </xf>
    <xf numFmtId="0" fontId="14" fillId="0" borderId="33" xfId="6" quotePrefix="1" applyFont="1" applyBorder="1" applyAlignment="1">
      <alignment vertical="center" wrapText="1"/>
    </xf>
    <xf numFmtId="0" fontId="14" fillId="0" borderId="34" xfId="6" quotePrefix="1" applyFont="1" applyBorder="1" applyAlignment="1">
      <alignment vertical="center" wrapText="1"/>
    </xf>
    <xf numFmtId="0" fontId="14" fillId="0" borderId="35" xfId="6" quotePrefix="1" applyFont="1" applyBorder="1" applyAlignment="1">
      <alignment vertical="center" wrapText="1"/>
    </xf>
    <xf numFmtId="0" fontId="14" fillId="0" borderId="36" xfId="6" applyFont="1" applyBorder="1" applyAlignment="1">
      <alignment vertical="center"/>
    </xf>
    <xf numFmtId="0" fontId="14" fillId="0" borderId="37" xfId="6" applyFont="1" applyBorder="1" applyAlignment="1">
      <alignment vertical="center"/>
    </xf>
    <xf numFmtId="0" fontId="14" fillId="0" borderId="21" xfId="6" applyFont="1" applyBorder="1" applyAlignment="1">
      <alignment vertical="center"/>
    </xf>
    <xf numFmtId="0" fontId="8" fillId="5" borderId="42" xfId="6" applyFont="1" applyFill="1" applyBorder="1" applyAlignment="1">
      <alignment vertical="center"/>
    </xf>
    <xf numFmtId="0" fontId="7" fillId="5" borderId="26" xfId="6" applyFont="1" applyFill="1" applyBorder="1" applyAlignment="1">
      <alignment vertical="center"/>
    </xf>
    <xf numFmtId="0" fontId="7" fillId="5" borderId="27" xfId="6" applyFont="1" applyFill="1" applyBorder="1" applyAlignment="1">
      <alignment vertical="center"/>
    </xf>
    <xf numFmtId="0" fontId="12" fillId="0" borderId="36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2" fillId="0" borderId="21" xfId="6" applyFont="1" applyBorder="1" applyAlignment="1">
      <alignment horizontal="center" vertical="center"/>
    </xf>
    <xf numFmtId="0" fontId="12" fillId="0" borderId="33" xfId="6" applyFont="1" applyBorder="1" applyAlignment="1">
      <alignment vertical="center" wrapText="1"/>
    </xf>
    <xf numFmtId="0" fontId="12" fillId="0" borderId="34" xfId="6" applyFont="1" applyBorder="1" applyAlignment="1">
      <alignment vertical="center" wrapText="1"/>
    </xf>
    <xf numFmtId="0" fontId="12" fillId="0" borderId="35" xfId="6" applyFont="1" applyBorder="1" applyAlignment="1">
      <alignment vertical="center" wrapText="1"/>
    </xf>
    <xf numFmtId="0" fontId="7" fillId="0" borderId="28" xfId="6" applyFont="1" applyBorder="1" applyAlignment="1">
      <alignment horizontal="center" vertical="center"/>
    </xf>
    <xf numFmtId="0" fontId="7" fillId="0" borderId="29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0" fillId="0" borderId="28" xfId="6" applyFont="1" applyBorder="1" applyAlignment="1">
      <alignment vertical="center" wrapText="1"/>
    </xf>
    <xf numFmtId="0" fontId="0" fillId="0" borderId="29" xfId="6" applyFont="1" applyBorder="1" applyAlignment="1">
      <alignment vertical="center" wrapText="1"/>
    </xf>
    <xf numFmtId="0" fontId="0" fillId="0" borderId="16" xfId="6" applyFont="1" applyBorder="1" applyAlignment="1">
      <alignment vertical="center" wrapText="1"/>
    </xf>
    <xf numFmtId="0" fontId="8" fillId="5" borderId="38" xfId="6" applyFont="1" applyFill="1" applyBorder="1" applyAlignment="1">
      <alignment vertical="center" wrapText="1"/>
    </xf>
    <xf numFmtId="0" fontId="8" fillId="5" borderId="40" xfId="6" applyFont="1" applyFill="1" applyBorder="1" applyAlignment="1">
      <alignment vertical="center" wrapText="1"/>
    </xf>
    <xf numFmtId="0" fontId="8" fillId="5" borderId="24" xfId="6" applyFont="1" applyFill="1" applyBorder="1" applyAlignment="1">
      <alignment vertical="center" wrapText="1"/>
    </xf>
    <xf numFmtId="0" fontId="8" fillId="5" borderId="5" xfId="6" applyFont="1" applyFill="1" applyBorder="1" applyAlignment="1">
      <alignment vertical="center" wrapText="1"/>
    </xf>
    <xf numFmtId="0" fontId="8" fillId="6" borderId="22" xfId="6" applyFont="1" applyFill="1" applyBorder="1" applyAlignment="1">
      <alignment vertical="center"/>
    </xf>
    <xf numFmtId="0" fontId="7" fillId="6" borderId="23" xfId="6" applyFont="1" applyFill="1" applyBorder="1" applyAlignment="1">
      <alignment vertical="center"/>
    </xf>
    <xf numFmtId="0" fontId="7" fillId="6" borderId="24" xfId="6" applyFont="1" applyFill="1" applyBorder="1" applyAlignment="1">
      <alignment vertical="center"/>
    </xf>
    <xf numFmtId="0" fontId="7" fillId="6" borderId="1" xfId="6" applyFont="1" applyFill="1" applyBorder="1" applyAlignment="1">
      <alignment vertical="center"/>
    </xf>
    <xf numFmtId="0" fontId="7" fillId="6" borderId="0" xfId="6" applyFont="1" applyFill="1" applyAlignment="1">
      <alignment vertical="center"/>
    </xf>
    <xf numFmtId="0" fontId="7" fillId="6" borderId="4" xfId="6" applyFont="1" applyFill="1" applyBorder="1" applyAlignment="1">
      <alignment vertical="center"/>
    </xf>
    <xf numFmtId="0" fontId="7" fillId="6" borderId="2" xfId="6" applyFont="1" applyFill="1" applyBorder="1" applyAlignment="1">
      <alignment vertical="center"/>
    </xf>
    <xf numFmtId="0" fontId="7" fillId="6" borderId="3" xfId="6" applyFont="1" applyFill="1" applyBorder="1" applyAlignment="1">
      <alignment vertical="center"/>
    </xf>
    <xf numFmtId="0" fontId="7" fillId="6" borderId="5" xfId="6" applyFont="1" applyFill="1" applyBorder="1" applyAlignment="1">
      <alignment vertical="center"/>
    </xf>
    <xf numFmtId="0" fontId="14" fillId="0" borderId="33" xfId="6" applyFont="1" applyBorder="1" applyAlignment="1">
      <alignment horizontal="center" vertical="center" wrapText="1"/>
    </xf>
    <xf numFmtId="0" fontId="14" fillId="0" borderId="34" xfId="6" applyFont="1" applyBorder="1" applyAlignment="1">
      <alignment horizontal="center" vertical="center"/>
    </xf>
    <xf numFmtId="0" fontId="14" fillId="0" borderId="34" xfId="6" applyFont="1" applyBorder="1" applyAlignment="1">
      <alignment horizontal="center" vertical="center" wrapText="1"/>
    </xf>
    <xf numFmtId="0" fontId="14" fillId="0" borderId="35" xfId="6" applyFont="1" applyBorder="1" applyAlignment="1">
      <alignment horizontal="center" vertical="center" wrapText="1"/>
    </xf>
    <xf numFmtId="0" fontId="14" fillId="0" borderId="36" xfId="6" applyFont="1" applyBorder="1" applyAlignment="1">
      <alignment horizontal="center" vertical="center" wrapText="1"/>
    </xf>
    <xf numFmtId="0" fontId="14" fillId="0" borderId="37" xfId="6" applyFont="1" applyBorder="1" applyAlignment="1">
      <alignment horizontal="center" vertical="center" wrapText="1"/>
    </xf>
    <xf numFmtId="0" fontId="14" fillId="0" borderId="21" xfId="6" applyFont="1" applyBorder="1" applyAlignment="1">
      <alignment horizontal="center" vertical="center" wrapText="1"/>
    </xf>
    <xf numFmtId="0" fontId="14" fillId="0" borderId="33" xfId="6" applyFont="1" applyBorder="1" applyAlignment="1">
      <alignment horizontal="left" vertical="center"/>
    </xf>
    <xf numFmtId="0" fontId="14" fillId="0" borderId="34" xfId="6" applyFont="1" applyBorder="1" applyAlignment="1">
      <alignment horizontal="left" vertical="center"/>
    </xf>
    <xf numFmtId="0" fontId="14" fillId="0" borderId="35" xfId="6" applyFont="1" applyBorder="1" applyAlignment="1">
      <alignment horizontal="left" vertical="center"/>
    </xf>
    <xf numFmtId="0" fontId="14" fillId="0" borderId="36" xfId="6" applyFont="1" applyBorder="1" applyAlignment="1">
      <alignment horizontal="left" vertical="center"/>
    </xf>
    <xf numFmtId="0" fontId="14" fillId="0" borderId="37" xfId="6" applyFont="1" applyBorder="1" applyAlignment="1">
      <alignment horizontal="left" vertical="center"/>
    </xf>
    <xf numFmtId="0" fontId="14" fillId="0" borderId="21" xfId="6" applyFont="1" applyBorder="1" applyAlignment="1">
      <alignment horizontal="left" vertical="center"/>
    </xf>
    <xf numFmtId="0" fontId="14" fillId="0" borderId="34" xfId="6" applyFont="1" applyBorder="1" applyAlignment="1">
      <alignment vertical="center" wrapText="1"/>
    </xf>
    <xf numFmtId="0" fontId="14" fillId="0" borderId="35" xfId="6" applyFont="1" applyBorder="1" applyAlignment="1">
      <alignment vertical="center" wrapText="1"/>
    </xf>
    <xf numFmtId="0" fontId="13" fillId="0" borderId="33" xfId="6" quotePrefix="1" applyFont="1" applyBorder="1" applyAlignment="1">
      <alignment vertical="center" wrapText="1"/>
    </xf>
    <xf numFmtId="0" fontId="13" fillId="0" borderId="34" xfId="6" applyFont="1" applyBorder="1" applyAlignment="1">
      <alignment vertical="center" wrapText="1"/>
    </xf>
    <xf numFmtId="0" fontId="13" fillId="0" borderId="35" xfId="6" applyFont="1" applyBorder="1" applyAlignment="1">
      <alignment vertical="center" wrapText="1"/>
    </xf>
    <xf numFmtId="0" fontId="13" fillId="0" borderId="36" xfId="6" applyFont="1" applyBorder="1" applyAlignment="1">
      <alignment horizontal="left" vertical="center"/>
    </xf>
    <xf numFmtId="0" fontId="13" fillId="0" borderId="37" xfId="6" applyFont="1" applyBorder="1" applyAlignment="1">
      <alignment horizontal="left" vertical="center"/>
    </xf>
    <xf numFmtId="0" fontId="13" fillId="0" borderId="21" xfId="6" applyFont="1" applyBorder="1" applyAlignment="1">
      <alignment horizontal="left" vertical="center"/>
    </xf>
    <xf numFmtId="0" fontId="8" fillId="4" borderId="25" xfId="6" applyFont="1" applyFill="1" applyBorder="1" applyAlignment="1">
      <alignment vertical="center"/>
    </xf>
    <xf numFmtId="0" fontId="7" fillId="4" borderId="26" xfId="6" applyFont="1" applyFill="1" applyBorder="1" applyAlignment="1">
      <alignment vertical="center"/>
    </xf>
    <xf numFmtId="0" fontId="7" fillId="4" borderId="27" xfId="6" applyFont="1" applyFill="1" applyBorder="1" applyAlignment="1">
      <alignment vertical="center"/>
    </xf>
    <xf numFmtId="0" fontId="8" fillId="5" borderId="25" xfId="6" applyFont="1" applyFill="1" applyBorder="1" applyAlignment="1">
      <alignment vertical="center"/>
    </xf>
    <xf numFmtId="0" fontId="7" fillId="5" borderId="41" xfId="6" applyFont="1" applyFill="1" applyBorder="1" applyAlignment="1">
      <alignment vertical="center"/>
    </xf>
    <xf numFmtId="0" fontId="12" fillId="0" borderId="33" xfId="6" applyFont="1" applyBorder="1" applyAlignment="1">
      <alignment horizontal="center" vertical="center"/>
    </xf>
    <xf numFmtId="0" fontId="12" fillId="0" borderId="35" xfId="6" applyFont="1" applyBorder="1" applyAlignment="1">
      <alignment horizontal="center" vertical="center"/>
    </xf>
    <xf numFmtId="0" fontId="12" fillId="0" borderId="33" xfId="6" quotePrefix="1" applyFont="1" applyBorder="1" applyAlignment="1">
      <alignment vertical="center" wrapText="1"/>
    </xf>
    <xf numFmtId="0" fontId="12" fillId="0" borderId="34" xfId="6" quotePrefix="1" applyFont="1" applyBorder="1" applyAlignment="1">
      <alignment vertical="center" wrapText="1"/>
    </xf>
    <xf numFmtId="0" fontId="12" fillId="0" borderId="35" xfId="6" quotePrefix="1" applyFont="1" applyBorder="1" applyAlignment="1">
      <alignment vertical="center" wrapText="1"/>
    </xf>
    <xf numFmtId="0" fontId="12" fillId="0" borderId="36" xfId="6" applyFont="1" applyBorder="1" applyAlignment="1">
      <alignment vertical="center"/>
    </xf>
    <xf numFmtId="0" fontId="12" fillId="0" borderId="37" xfId="6" applyFont="1" applyBorder="1" applyAlignment="1">
      <alignment vertical="center"/>
    </xf>
    <xf numFmtId="0" fontId="12" fillId="0" borderId="21" xfId="6" applyFont="1" applyBorder="1" applyAlignment="1">
      <alignment vertical="center"/>
    </xf>
    <xf numFmtId="0" fontId="12" fillId="0" borderId="33" xfId="6" quotePrefix="1" applyFont="1" applyBorder="1" applyAlignment="1">
      <alignment horizontal="center" vertical="center"/>
    </xf>
    <xf numFmtId="0" fontId="12" fillId="0" borderId="34" xfId="6" applyFont="1" applyBorder="1" applyAlignment="1">
      <alignment horizontal="center" vertical="center"/>
    </xf>
    <xf numFmtId="0" fontId="12" fillId="0" borderId="33" xfId="6" applyFont="1" applyBorder="1" applyAlignment="1">
      <alignment horizontal="left" vertical="center"/>
    </xf>
    <xf numFmtId="0" fontId="12" fillId="0" borderId="34" xfId="6" applyFont="1" applyBorder="1" applyAlignment="1">
      <alignment horizontal="left" vertical="center"/>
    </xf>
    <xf numFmtId="0" fontId="12" fillId="0" borderId="35" xfId="6" applyFont="1" applyBorder="1" applyAlignment="1">
      <alignment horizontal="left" vertical="center"/>
    </xf>
    <xf numFmtId="0" fontId="12" fillId="0" borderId="36" xfId="6" applyFont="1" applyBorder="1" applyAlignment="1">
      <alignment horizontal="left" vertical="center"/>
    </xf>
    <xf numFmtId="0" fontId="12" fillId="0" borderId="37" xfId="6" applyFont="1" applyBorder="1" applyAlignment="1">
      <alignment horizontal="left" vertical="center"/>
    </xf>
    <xf numFmtId="0" fontId="12" fillId="0" borderId="21" xfId="6" applyFont="1" applyBorder="1" applyAlignment="1">
      <alignment horizontal="left" vertical="center"/>
    </xf>
    <xf numFmtId="0" fontId="8" fillId="3" borderId="22" xfId="6" applyFont="1" applyFill="1" applyBorder="1" applyAlignment="1">
      <alignment vertical="center" wrapText="1"/>
    </xf>
    <xf numFmtId="0" fontId="7" fillId="3" borderId="24" xfId="6" applyFont="1" applyFill="1" applyBorder="1" applyAlignment="1">
      <alignment vertical="center"/>
    </xf>
    <xf numFmtId="0" fontId="7" fillId="3" borderId="1" xfId="6" applyFont="1" applyFill="1" applyBorder="1" applyAlignment="1">
      <alignment vertical="center"/>
    </xf>
    <xf numFmtId="0" fontId="7" fillId="3" borderId="4" xfId="6" applyFont="1" applyFill="1" applyBorder="1" applyAlignment="1">
      <alignment vertical="center"/>
    </xf>
    <xf numFmtId="0" fontId="7" fillId="3" borderId="2" xfId="6" applyFont="1" applyFill="1" applyBorder="1" applyAlignment="1">
      <alignment vertical="center"/>
    </xf>
    <xf numFmtId="0" fontId="7" fillId="3" borderId="5" xfId="6" applyFont="1" applyFill="1" applyBorder="1" applyAlignment="1">
      <alignment vertical="center"/>
    </xf>
    <xf numFmtId="0" fontId="8" fillId="3" borderId="22" xfId="6" applyFont="1" applyFill="1" applyBorder="1" applyAlignment="1">
      <alignment vertical="center"/>
    </xf>
    <xf numFmtId="0" fontId="7" fillId="3" borderId="23" xfId="6" applyFont="1" applyFill="1" applyBorder="1" applyAlignment="1">
      <alignment vertical="center"/>
    </xf>
    <xf numFmtId="0" fontId="7" fillId="3" borderId="0" xfId="6" applyFont="1" applyFill="1" applyAlignment="1">
      <alignment vertical="center"/>
    </xf>
    <xf numFmtId="0" fontId="7" fillId="3" borderId="3" xfId="6" applyFont="1" applyFill="1" applyBorder="1" applyAlignment="1">
      <alignment vertical="center"/>
    </xf>
    <xf numFmtId="0" fontId="7" fillId="3" borderId="38" xfId="6" applyFont="1" applyFill="1" applyBorder="1" applyAlignment="1">
      <alignment vertical="center" shrinkToFit="1"/>
    </xf>
    <xf numFmtId="0" fontId="7" fillId="3" borderId="39" xfId="6" applyFont="1" applyFill="1" applyBorder="1" applyAlignment="1">
      <alignment vertical="center" shrinkToFit="1"/>
    </xf>
    <xf numFmtId="0" fontId="7" fillId="3" borderId="40" xfId="6" applyFont="1" applyFill="1" applyBorder="1" applyAlignment="1">
      <alignment vertical="center" shrinkToFit="1"/>
    </xf>
    <xf numFmtId="0" fontId="7" fillId="0" borderId="28" xfId="6" applyFont="1" applyBorder="1" applyAlignment="1">
      <alignment vertical="center"/>
    </xf>
    <xf numFmtId="0" fontId="7" fillId="0" borderId="29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8" fillId="0" borderId="28" xfId="6" applyFont="1" applyBorder="1" applyAlignment="1">
      <alignment vertical="center"/>
    </xf>
    <xf numFmtId="0" fontId="8" fillId="0" borderId="29" xfId="6" applyFont="1" applyBorder="1" applyAlignment="1">
      <alignment vertical="center"/>
    </xf>
    <xf numFmtId="0" fontId="8" fillId="0" borderId="16" xfId="6" applyFont="1" applyBorder="1" applyAlignment="1">
      <alignment vertical="center"/>
    </xf>
    <xf numFmtId="0" fontId="8" fillId="0" borderId="28" xfId="6" applyFont="1" applyBorder="1" applyAlignment="1">
      <alignment horizontal="center" vertical="center"/>
    </xf>
    <xf numFmtId="0" fontId="8" fillId="0" borderId="29" xfId="6" applyFont="1" applyBorder="1" applyAlignment="1">
      <alignment horizontal="center" vertical="center"/>
    </xf>
    <xf numFmtId="0" fontId="8" fillId="0" borderId="16" xfId="6" applyFont="1" applyBorder="1" applyAlignment="1">
      <alignment horizontal="center" vertical="center"/>
    </xf>
    <xf numFmtId="0" fontId="8" fillId="0" borderId="28" xfId="6" applyFont="1" applyBorder="1" applyAlignment="1">
      <alignment horizontal="center" vertical="center" wrapText="1"/>
    </xf>
    <xf numFmtId="0" fontId="8" fillId="0" borderId="29" xfId="6" applyFont="1" applyBorder="1" applyAlignment="1">
      <alignment horizontal="center" vertical="center" wrapText="1"/>
    </xf>
    <xf numFmtId="0" fontId="8" fillId="0" borderId="16" xfId="6" applyFont="1" applyBorder="1" applyAlignment="1">
      <alignment horizontal="center" vertical="center" wrapText="1"/>
    </xf>
    <xf numFmtId="0" fontId="8" fillId="0" borderId="28" xfId="6" applyFont="1" applyBorder="1" applyAlignment="1">
      <alignment horizontal="left" vertical="center"/>
    </xf>
    <xf numFmtId="0" fontId="8" fillId="0" borderId="29" xfId="6" applyFont="1" applyBorder="1" applyAlignment="1">
      <alignment horizontal="left" vertical="center"/>
    </xf>
    <xf numFmtId="0" fontId="8" fillId="0" borderId="16" xfId="6" applyFont="1" applyBorder="1" applyAlignment="1">
      <alignment horizontal="left" vertical="center"/>
    </xf>
    <xf numFmtId="0" fontId="7" fillId="0" borderId="28" xfId="6" applyFont="1" applyBorder="1" applyAlignment="1">
      <alignment horizontal="left" vertical="center"/>
    </xf>
    <xf numFmtId="0" fontId="7" fillId="0" borderId="29" xfId="6" applyFont="1" applyBorder="1" applyAlignment="1">
      <alignment horizontal="left" vertical="center"/>
    </xf>
    <xf numFmtId="0" fontId="7" fillId="0" borderId="16" xfId="6" applyFont="1" applyBorder="1" applyAlignment="1">
      <alignment horizontal="left" vertical="center"/>
    </xf>
    <xf numFmtId="0" fontId="8" fillId="4" borderId="25" xfId="6" applyFont="1" applyFill="1" applyBorder="1"/>
    <xf numFmtId="0" fontId="8" fillId="4" borderId="26" xfId="6" applyFont="1" applyFill="1" applyBorder="1"/>
    <xf numFmtId="0" fontId="8" fillId="4" borderId="27" xfId="6" applyFont="1" applyFill="1" applyBorder="1"/>
    <xf numFmtId="0" fontId="8" fillId="4" borderId="22" xfId="6" applyFont="1" applyFill="1" applyBorder="1" applyAlignment="1">
      <alignment vertical="center"/>
    </xf>
    <xf numFmtId="0" fontId="7" fillId="4" borderId="23" xfId="6" applyFont="1" applyFill="1" applyBorder="1" applyAlignment="1">
      <alignment vertical="center"/>
    </xf>
    <xf numFmtId="0" fontId="7" fillId="4" borderId="24" xfId="6" applyFont="1" applyFill="1" applyBorder="1" applyAlignment="1">
      <alignment vertical="center"/>
    </xf>
    <xf numFmtId="0" fontId="7" fillId="4" borderId="2" xfId="6" applyFont="1" applyFill="1" applyBorder="1" applyAlignment="1">
      <alignment vertical="center"/>
    </xf>
    <xf numFmtId="0" fontId="7" fillId="4" borderId="3" xfId="6" applyFont="1" applyFill="1" applyBorder="1" applyAlignment="1">
      <alignment vertical="center"/>
    </xf>
    <xf numFmtId="0" fontId="7" fillId="4" borderId="5" xfId="6" applyFont="1" applyFill="1" applyBorder="1" applyAlignment="1">
      <alignment vertical="center"/>
    </xf>
    <xf numFmtId="0" fontId="7" fillId="5" borderId="22" xfId="6" applyFont="1" applyFill="1" applyBorder="1" applyAlignment="1">
      <alignment vertical="center" wrapText="1"/>
    </xf>
    <xf numFmtId="0" fontId="7" fillId="5" borderId="2" xfId="6" applyFont="1" applyFill="1" applyBorder="1" applyAlignment="1">
      <alignment vertical="center" wrapText="1"/>
    </xf>
    <xf numFmtId="0" fontId="11" fillId="0" borderId="33" xfId="6" quotePrefix="1" applyFont="1" applyBorder="1" applyAlignment="1">
      <alignment horizontal="center" vertical="center"/>
    </xf>
    <xf numFmtId="0" fontId="11" fillId="0" borderId="34" xfId="6" applyFont="1" applyBorder="1" applyAlignment="1">
      <alignment horizontal="center" vertical="center"/>
    </xf>
    <xf numFmtId="0" fontId="11" fillId="0" borderId="35" xfId="6" applyFont="1" applyBorder="1" applyAlignment="1">
      <alignment horizontal="center" vertical="center"/>
    </xf>
    <xf numFmtId="0" fontId="8" fillId="0" borderId="34" xfId="6" applyFont="1" applyBorder="1" applyAlignment="1">
      <alignment horizontal="left" vertical="center"/>
    </xf>
    <xf numFmtId="0" fontId="8" fillId="0" borderId="35" xfId="6" applyFont="1" applyBorder="1" applyAlignment="1">
      <alignment horizontal="left" vertical="center"/>
    </xf>
    <xf numFmtId="0" fontId="7" fillId="0" borderId="36" xfId="6" quotePrefix="1" applyFont="1" applyBorder="1" applyAlignment="1">
      <alignment horizontal="left" vertical="center" wrapText="1"/>
    </xf>
    <xf numFmtId="0" fontId="7" fillId="0" borderId="37" xfId="6" applyFont="1" applyBorder="1" applyAlignment="1">
      <alignment horizontal="left" vertical="center"/>
    </xf>
    <xf numFmtId="0" fontId="7" fillId="0" borderId="21" xfId="6" applyFont="1" applyBorder="1" applyAlignment="1">
      <alignment horizontal="left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11" fillId="0" borderId="36" xfId="6" quotePrefix="1" applyFont="1" applyBorder="1" applyAlignment="1">
      <alignment horizontal="center" vertical="center"/>
    </xf>
    <xf numFmtId="0" fontId="11" fillId="0" borderId="37" xfId="6" applyFont="1" applyBorder="1" applyAlignment="1">
      <alignment horizontal="center" vertical="center"/>
    </xf>
    <xf numFmtId="0" fontId="11" fillId="0" borderId="21" xfId="6" applyFont="1" applyBorder="1" applyAlignment="1">
      <alignment horizontal="center" vertical="center"/>
    </xf>
    <xf numFmtId="0" fontId="7" fillId="0" borderId="36" xfId="6" quotePrefix="1" applyFont="1" applyBorder="1" applyAlignment="1">
      <alignment horizontal="left" vertical="center"/>
    </xf>
    <xf numFmtId="0" fontId="7" fillId="0" borderId="33" xfId="6" quotePrefix="1" applyFont="1" applyBorder="1" applyAlignment="1">
      <alignment horizontal="center" vertical="center"/>
    </xf>
    <xf numFmtId="0" fontId="0" fillId="0" borderId="33" xfId="6" quotePrefix="1" applyFont="1" applyBorder="1" applyAlignment="1">
      <alignment vertical="center" wrapText="1"/>
    </xf>
    <xf numFmtId="0" fontId="0" fillId="0" borderId="33" xfId="6" quotePrefix="1" applyFont="1" applyBorder="1" applyAlignment="1">
      <alignment horizontal="left" vertical="center" wrapText="1"/>
    </xf>
    <xf numFmtId="0" fontId="0" fillId="0" borderId="34" xfId="6" applyFont="1" applyBorder="1" applyAlignment="1">
      <alignment horizontal="left" vertical="center" wrapText="1"/>
    </xf>
    <xf numFmtId="0" fontId="0" fillId="0" borderId="35" xfId="6" applyFont="1" applyBorder="1" applyAlignment="1">
      <alignment horizontal="left" vertical="center" wrapText="1"/>
    </xf>
    <xf numFmtId="0" fontId="0" fillId="0" borderId="36" xfId="6" applyFont="1" applyBorder="1" applyAlignment="1">
      <alignment vertical="center"/>
    </xf>
    <xf numFmtId="0" fontId="0" fillId="0" borderId="37" xfId="6" applyFont="1" applyBorder="1" applyAlignment="1">
      <alignment vertical="center"/>
    </xf>
    <xf numFmtId="0" fontId="0" fillId="0" borderId="21" xfId="6" applyFont="1" applyBorder="1" applyAlignment="1">
      <alignment vertical="center"/>
    </xf>
    <xf numFmtId="0" fontId="8" fillId="0" borderId="33" xfId="6" applyFont="1" applyBorder="1" applyAlignment="1">
      <alignment horizontal="center" vertical="center"/>
    </xf>
    <xf numFmtId="0" fontId="8" fillId="0" borderId="34" xfId="6" applyFont="1" applyBorder="1" applyAlignment="1">
      <alignment horizontal="center" vertical="center"/>
    </xf>
    <xf numFmtId="0" fontId="8" fillId="0" borderId="35" xfId="6" applyFont="1" applyBorder="1" applyAlignment="1">
      <alignment horizontal="center" vertical="center"/>
    </xf>
    <xf numFmtId="0" fontId="8" fillId="0" borderId="33" xfId="6" applyFont="1" applyBorder="1" applyAlignment="1">
      <alignment horizontal="center" vertical="center" wrapText="1"/>
    </xf>
    <xf numFmtId="0" fontId="7" fillId="0" borderId="36" xfId="6" applyFont="1" applyBorder="1" applyAlignment="1">
      <alignment horizontal="left" vertical="center"/>
    </xf>
    <xf numFmtId="0" fontId="0" fillId="0" borderId="36" xfId="6" quotePrefix="1" applyFont="1" applyBorder="1" applyAlignment="1">
      <alignment vertical="center"/>
    </xf>
    <xf numFmtId="0" fontId="0" fillId="0" borderId="37" xfId="6" quotePrefix="1" applyFont="1" applyBorder="1" applyAlignment="1">
      <alignment vertical="center"/>
    </xf>
    <xf numFmtId="0" fontId="0" fillId="0" borderId="21" xfId="6" quotePrefix="1" applyFont="1" applyBorder="1" applyAlignment="1">
      <alignment vertical="center"/>
    </xf>
    <xf numFmtId="0" fontId="8" fillId="0" borderId="36" xfId="6" applyFont="1" applyBorder="1" applyAlignment="1">
      <alignment vertical="center"/>
    </xf>
    <xf numFmtId="0" fontId="8" fillId="0" borderId="37" xfId="6" applyFont="1" applyBorder="1" applyAlignment="1">
      <alignment vertical="center"/>
    </xf>
    <xf numFmtId="0" fontId="8" fillId="0" borderId="21" xfId="6" applyFont="1" applyBorder="1" applyAlignment="1">
      <alignment vertical="center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35" xfId="6" applyFont="1" applyBorder="1" applyAlignment="1">
      <alignment horizontal="center" vertical="center" wrapText="1"/>
    </xf>
    <xf numFmtId="0" fontId="8" fillId="0" borderId="36" xfId="6" applyFont="1" applyBorder="1" applyAlignment="1">
      <alignment horizontal="center" vertical="center" wrapText="1"/>
    </xf>
    <xf numFmtId="0" fontId="8" fillId="0" borderId="37" xfId="6" applyFont="1" applyBorder="1" applyAlignment="1">
      <alignment horizontal="center" vertical="center" wrapText="1"/>
    </xf>
    <xf numFmtId="0" fontId="8" fillId="0" borderId="21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" fillId="2" borderId="25" xfId="6" applyFont="1" applyFill="1" applyBorder="1" applyAlignment="1">
      <alignment horizontal="center" vertical="center"/>
    </xf>
    <xf numFmtId="0" fontId="2" fillId="2" borderId="26" xfId="6" applyFont="1" applyFill="1" applyBorder="1" applyAlignment="1">
      <alignment horizontal="center" vertical="center"/>
    </xf>
    <xf numFmtId="0" fontId="2" fillId="2" borderId="27" xfId="6" applyFont="1" applyFill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7" fillId="0" borderId="26" xfId="6" applyFont="1" applyBorder="1" applyAlignment="1">
      <alignment horizontal="center" vertical="center"/>
    </xf>
    <xf numFmtId="0" fontId="7" fillId="0" borderId="27" xfId="6" applyFont="1" applyBorder="1" applyAlignment="1">
      <alignment horizontal="center" vertical="center"/>
    </xf>
    <xf numFmtId="0" fontId="8" fillId="0" borderId="25" xfId="6" applyFont="1" applyBorder="1" applyAlignment="1">
      <alignment horizontal="center" vertical="center"/>
    </xf>
    <xf numFmtId="0" fontId="8" fillId="3" borderId="38" xfId="6" applyFont="1" applyFill="1" applyBorder="1" applyAlignment="1">
      <alignment vertical="center" wrapText="1"/>
    </xf>
    <xf numFmtId="0" fontId="8" fillId="3" borderId="39" xfId="6" applyFont="1" applyFill="1" applyBorder="1" applyAlignment="1">
      <alignment vertical="center" wrapText="1"/>
    </xf>
    <xf numFmtId="0" fontId="8" fillId="3" borderId="40" xfId="6" applyFont="1" applyFill="1" applyBorder="1" applyAlignment="1">
      <alignment vertical="center" wrapText="1"/>
    </xf>
    <xf numFmtId="0" fontId="7" fillId="0" borderId="30" xfId="6" applyFont="1" applyBorder="1" applyAlignment="1">
      <alignment horizontal="center" vertical="center"/>
    </xf>
    <xf numFmtId="0" fontId="7" fillId="0" borderId="32" xfId="6" applyFont="1" applyBorder="1" applyAlignment="1">
      <alignment horizontal="center" vertical="center"/>
    </xf>
    <xf numFmtId="0" fontId="7" fillId="0" borderId="30" xfId="6" quotePrefix="1" applyFont="1" applyBorder="1" applyAlignment="1">
      <alignment vertical="center"/>
    </xf>
    <xf numFmtId="0" fontId="7" fillId="0" borderId="31" xfId="6" quotePrefix="1" applyFont="1" applyBorder="1" applyAlignment="1">
      <alignment vertical="center"/>
    </xf>
    <xf numFmtId="0" fontId="7" fillId="0" borderId="32" xfId="6" quotePrefix="1" applyFont="1" applyBorder="1" applyAlignment="1">
      <alignment vertical="center"/>
    </xf>
    <xf numFmtId="0" fontId="7" fillId="0" borderId="30" xfId="6" applyFont="1" applyBorder="1" applyAlignment="1">
      <alignment vertical="center"/>
    </xf>
    <xf numFmtId="0" fontId="7" fillId="0" borderId="31" xfId="6" applyFont="1" applyBorder="1" applyAlignment="1">
      <alignment vertical="center"/>
    </xf>
    <xf numFmtId="0" fontId="7" fillId="0" borderId="32" xfId="6" applyFont="1" applyBorder="1" applyAlignment="1">
      <alignment vertical="center"/>
    </xf>
    <xf numFmtId="0" fontId="7" fillId="0" borderId="31" xfId="6" applyFont="1" applyBorder="1" applyAlignment="1">
      <alignment horizontal="center" vertical="center"/>
    </xf>
    <xf numFmtId="0" fontId="8" fillId="0" borderId="30" xfId="6" quotePrefix="1" applyFont="1" applyBorder="1" applyAlignment="1">
      <alignment horizontal="center" vertical="center"/>
    </xf>
    <xf numFmtId="0" fontId="8" fillId="0" borderId="31" xfId="6" applyFont="1" applyBorder="1" applyAlignment="1">
      <alignment horizontal="center" vertical="center"/>
    </xf>
    <xf numFmtId="0" fontId="8" fillId="0" borderId="32" xfId="6" applyFont="1" applyBorder="1" applyAlignment="1">
      <alignment horizontal="center" vertical="center"/>
    </xf>
    <xf numFmtId="0" fontId="7" fillId="0" borderId="30" xfId="6" applyFont="1" applyBorder="1" applyAlignment="1">
      <alignment horizontal="left" vertical="center"/>
    </xf>
    <xf numFmtId="0" fontId="7" fillId="0" borderId="31" xfId="6" applyFont="1" applyBorder="1" applyAlignment="1">
      <alignment horizontal="left" vertical="center"/>
    </xf>
    <xf numFmtId="0" fontId="7" fillId="0" borderId="32" xfId="6" applyFont="1" applyBorder="1" applyAlignment="1">
      <alignment horizontal="left" vertical="center"/>
    </xf>
    <xf numFmtId="0" fontId="7" fillId="0" borderId="37" xfId="6" applyFont="1" applyBorder="1" applyAlignment="1">
      <alignment horizontal="left" vertical="center" wrapText="1"/>
    </xf>
    <xf numFmtId="0" fontId="7" fillId="0" borderId="21" xfId="6" applyFont="1" applyBorder="1" applyAlignment="1">
      <alignment horizontal="left" vertical="center" wrapText="1"/>
    </xf>
    <xf numFmtId="0" fontId="8" fillId="0" borderId="30" xfId="6" applyFont="1" applyBorder="1" applyAlignment="1">
      <alignment horizontal="left" vertical="center"/>
    </xf>
    <xf numFmtId="0" fontId="11" fillId="0" borderId="36" xfId="6" quotePrefix="1" applyFont="1" applyBorder="1" applyAlignment="1">
      <alignment horizontal="left" vertical="center" wrapText="1"/>
    </xf>
    <xf numFmtId="0" fontId="11" fillId="0" borderId="37" xfId="6" applyFont="1" applyBorder="1" applyAlignment="1">
      <alignment horizontal="left" vertical="center" wrapText="1"/>
    </xf>
    <xf numFmtId="0" fontId="11" fillId="0" borderId="21" xfId="6" applyFont="1" applyBorder="1" applyAlignment="1">
      <alignment horizontal="left" vertical="center" wrapText="1"/>
    </xf>
    <xf numFmtId="0" fontId="0" fillId="0" borderId="30" xfId="6" applyFont="1" applyBorder="1" applyAlignment="1">
      <alignment vertical="center"/>
    </xf>
    <xf numFmtId="0" fontId="0" fillId="0" borderId="31" xfId="6" applyFont="1" applyBorder="1" applyAlignment="1">
      <alignment vertical="center"/>
    </xf>
    <xf numFmtId="0" fontId="0" fillId="0" borderId="32" xfId="6" applyFont="1" applyBorder="1" applyAlignment="1">
      <alignment vertical="center"/>
    </xf>
    <xf numFmtId="0" fontId="8" fillId="0" borderId="36" xfId="6" applyFont="1" applyBorder="1" applyAlignment="1">
      <alignment horizontal="left" vertical="center"/>
    </xf>
    <xf numFmtId="0" fontId="13" fillId="0" borderId="36" xfId="6" applyFont="1" applyBorder="1" applyAlignment="1">
      <alignment horizontal="center" vertical="center"/>
    </xf>
    <xf numFmtId="0" fontId="13" fillId="0" borderId="21" xfId="6" applyFont="1" applyBorder="1" applyAlignment="1">
      <alignment horizontal="center" vertical="center"/>
    </xf>
    <xf numFmtId="0" fontId="7" fillId="0" borderId="37" xfId="6" applyFont="1" applyBorder="1" applyAlignment="1">
      <alignment vertical="center"/>
    </xf>
    <xf numFmtId="0" fontId="7" fillId="0" borderId="21" xfId="6" applyFont="1" applyBorder="1" applyAlignment="1">
      <alignment vertical="center"/>
    </xf>
    <xf numFmtId="0" fontId="0" fillId="0" borderId="36" xfId="6" quotePrefix="1" applyFont="1" applyBorder="1" applyAlignment="1">
      <alignment vertical="center" wrapText="1"/>
    </xf>
    <xf numFmtId="0" fontId="0" fillId="0" borderId="37" xfId="6" applyFont="1" applyBorder="1" applyAlignment="1">
      <alignment vertical="center" wrapText="1"/>
    </xf>
    <xf numFmtId="0" fontId="0" fillId="0" borderId="21" xfId="6" applyFont="1" applyBorder="1" applyAlignment="1">
      <alignment vertical="center" wrapText="1"/>
    </xf>
    <xf numFmtId="0" fontId="7" fillId="0" borderId="36" xfId="6" quotePrefix="1" applyFont="1" applyBorder="1" applyAlignment="1">
      <alignment horizontal="center" vertical="center"/>
    </xf>
    <xf numFmtId="0" fontId="11" fillId="0" borderId="33" xfId="6" quotePrefix="1" applyFont="1" applyBorder="1" applyAlignment="1">
      <alignment horizontal="left" vertical="center" wrapText="1"/>
    </xf>
    <xf numFmtId="0" fontId="11" fillId="0" borderId="34" xfId="6" applyFont="1" applyBorder="1" applyAlignment="1">
      <alignment horizontal="left" vertical="center"/>
    </xf>
    <xf numFmtId="0" fontId="11" fillId="0" borderId="35" xfId="6" applyFont="1" applyBorder="1" applyAlignment="1">
      <alignment horizontal="left" vertical="center"/>
    </xf>
    <xf numFmtId="0" fontId="11" fillId="0" borderId="36" xfId="6" applyFont="1" applyBorder="1" applyAlignment="1">
      <alignment horizontal="center" vertical="center"/>
    </xf>
    <xf numFmtId="0" fontId="11" fillId="0" borderId="36" xfId="6" applyFont="1" applyBorder="1" applyAlignment="1">
      <alignment horizontal="center" vertical="center" wrapText="1"/>
    </xf>
    <xf numFmtId="0" fontId="11" fillId="0" borderId="33" xfId="6" applyFont="1" applyBorder="1" applyAlignment="1">
      <alignment vertical="center" wrapText="1"/>
    </xf>
    <xf numFmtId="0" fontId="11" fillId="0" borderId="34" xfId="6" applyFont="1" applyBorder="1" applyAlignment="1">
      <alignment vertical="center" wrapText="1"/>
    </xf>
    <xf numFmtId="0" fontId="11" fillId="0" borderId="35" xfId="6" applyFont="1" applyBorder="1" applyAlignment="1">
      <alignment vertical="center" wrapText="1"/>
    </xf>
    <xf numFmtId="0" fontId="8" fillId="0" borderId="36" xfId="6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 wrapText="1"/>
    </xf>
    <xf numFmtId="0" fontId="7" fillId="0" borderId="37" xfId="6" applyFont="1" applyBorder="1" applyAlignment="1">
      <alignment horizontal="center" vertical="center" wrapText="1"/>
    </xf>
    <xf numFmtId="0" fontId="7" fillId="0" borderId="21" xfId="6" applyFont="1" applyBorder="1" applyAlignment="1">
      <alignment horizontal="center" vertical="center" wrapText="1"/>
    </xf>
    <xf numFmtId="0" fontId="11" fillId="0" borderId="36" xfId="6" quotePrefix="1" applyFont="1" applyBorder="1" applyAlignment="1">
      <alignment horizontal="left" vertical="top" wrapText="1"/>
    </xf>
    <xf numFmtId="0" fontId="11" fillId="0" borderId="37" xfId="6" applyFont="1" applyBorder="1" applyAlignment="1">
      <alignment horizontal="left" vertical="top" wrapText="1"/>
    </xf>
    <xf numFmtId="0" fontId="11" fillId="0" borderId="21" xfId="6" applyFont="1" applyBorder="1" applyAlignment="1">
      <alignment horizontal="left" vertical="top" wrapText="1"/>
    </xf>
    <xf numFmtId="0" fontId="14" fillId="0" borderId="33" xfId="6" applyFont="1" applyBorder="1" applyAlignment="1">
      <alignment vertical="center" wrapText="1"/>
    </xf>
    <xf numFmtId="0" fontId="13" fillId="0" borderId="37" xfId="6" applyFont="1" applyBorder="1" applyAlignment="1">
      <alignment horizontal="center" vertical="center"/>
    </xf>
    <xf numFmtId="0" fontId="14" fillId="0" borderId="36" xfId="6" quotePrefix="1" applyFont="1" applyBorder="1" applyAlignment="1">
      <alignment vertical="center"/>
    </xf>
    <xf numFmtId="0" fontId="14" fillId="0" borderId="37" xfId="6" quotePrefix="1" applyFont="1" applyBorder="1" applyAlignment="1">
      <alignment vertical="center"/>
    </xf>
    <xf numFmtId="0" fontId="14" fillId="0" borderId="21" xfId="6" quotePrefix="1" applyFont="1" applyBorder="1" applyAlignment="1">
      <alignment vertical="center"/>
    </xf>
    <xf numFmtId="0" fontId="14" fillId="0" borderId="33" xfId="6" quotePrefix="1" applyFont="1" applyBorder="1" applyAlignment="1">
      <alignment horizontal="center" vertical="center"/>
    </xf>
    <xf numFmtId="0" fontId="14" fillId="0" borderId="36" xfId="6" applyFont="1" applyBorder="1" applyAlignment="1">
      <alignment horizontal="center" vertical="center"/>
    </xf>
    <xf numFmtId="0" fontId="14" fillId="0" borderId="37" xfId="6" applyFont="1" applyBorder="1" applyAlignment="1">
      <alignment horizontal="center" vertical="center"/>
    </xf>
    <xf numFmtId="0" fontId="14" fillId="0" borderId="21" xfId="6" applyFont="1" applyBorder="1" applyAlignment="1">
      <alignment horizontal="center" vertical="center"/>
    </xf>
    <xf numFmtId="0" fontId="14" fillId="0" borderId="33" xfId="6" applyFont="1" applyBorder="1" applyAlignment="1">
      <alignment vertical="center"/>
    </xf>
    <xf numFmtId="0" fontId="14" fillId="0" borderId="34" xfId="6" applyFont="1" applyBorder="1" applyAlignment="1">
      <alignment vertical="center"/>
    </xf>
    <xf numFmtId="0" fontId="14" fillId="0" borderId="35" xfId="6" applyFont="1" applyBorder="1" applyAlignment="1">
      <alignment vertical="center"/>
    </xf>
    <xf numFmtId="0" fontId="14" fillId="0" borderId="34" xfId="6" quotePrefix="1" applyFont="1" applyBorder="1" applyAlignment="1">
      <alignment horizontal="center" vertical="center"/>
    </xf>
    <xf numFmtId="0" fontId="14" fillId="0" borderId="35" xfId="6" quotePrefix="1" applyFont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9" fillId="0" borderId="0" xfId="0" applyFont="1"/>
    <xf numFmtId="0" fontId="19" fillId="0" borderId="22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4" fontId="19" fillId="0" borderId="22" xfId="0" applyNumberFormat="1" applyFont="1" applyBorder="1" applyAlignment="1">
      <alignment horizontal="center" vertical="center"/>
    </xf>
    <xf numFmtId="14" fontId="19" fillId="0" borderId="23" xfId="0" applyNumberFormat="1" applyFont="1" applyBorder="1" applyAlignment="1">
      <alignment horizontal="center" vertical="center"/>
    </xf>
    <xf numFmtId="14" fontId="19" fillId="0" borderId="24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" xfId="0" applyFont="1" applyBorder="1"/>
    <xf numFmtId="0" fontId="19" fillId="0" borderId="4" xfId="0" applyFont="1" applyBorder="1"/>
    <xf numFmtId="0" fontId="16" fillId="2" borderId="0" xfId="0" applyFont="1" applyFill="1"/>
    <xf numFmtId="0" fontId="19" fillId="0" borderId="28" xfId="0" applyFont="1" applyBorder="1"/>
    <xf numFmtId="0" fontId="19" fillId="0" borderId="29" xfId="0" applyFont="1" applyBorder="1"/>
    <xf numFmtId="0" fontId="19" fillId="0" borderId="16" xfId="0" applyFont="1" applyBorder="1"/>
    <xf numFmtId="0" fontId="19" fillId="0" borderId="23" xfId="0" applyFont="1" applyBorder="1"/>
    <xf numFmtId="0" fontId="19" fillId="0" borderId="24" xfId="0" applyFont="1" applyBorder="1"/>
    <xf numFmtId="0" fontId="19" fillId="0" borderId="22" xfId="0" applyFont="1" applyBorder="1"/>
    <xf numFmtId="0" fontId="19" fillId="0" borderId="30" xfId="0" applyFont="1" applyBorder="1"/>
    <xf numFmtId="0" fontId="19" fillId="0" borderId="31" xfId="0" applyFont="1" applyBorder="1"/>
    <xf numFmtId="0" fontId="19" fillId="0" borderId="32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2" xfId="0" applyFont="1" applyBorder="1"/>
    <xf numFmtId="14" fontId="20" fillId="0" borderId="22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8" xfId="0" applyFont="1" applyBorder="1"/>
    <xf numFmtId="0" fontId="20" fillId="0" borderId="29" xfId="0" applyFont="1" applyBorder="1"/>
    <xf numFmtId="0" fontId="20" fillId="0" borderId="16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30" xfId="0" applyFont="1" applyBorder="1"/>
    <xf numFmtId="0" fontId="20" fillId="0" borderId="31" xfId="0" applyFont="1" applyBorder="1"/>
    <xf numFmtId="0" fontId="20" fillId="0" borderId="32" xfId="0" applyFont="1" applyBorder="1"/>
    <xf numFmtId="14" fontId="21" fillId="0" borderId="22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8" xfId="0" applyFont="1" applyBorder="1"/>
    <xf numFmtId="0" fontId="21" fillId="0" borderId="29" xfId="0" applyFont="1" applyBorder="1"/>
    <xf numFmtId="0" fontId="21" fillId="0" borderId="16" xfId="0" applyFont="1" applyBorder="1"/>
    <xf numFmtId="0" fontId="21" fillId="0" borderId="23" xfId="0" applyFont="1" applyBorder="1"/>
    <xf numFmtId="0" fontId="21" fillId="0" borderId="24" xfId="0" applyFont="1" applyBorder="1"/>
    <xf numFmtId="0" fontId="21" fillId="0" borderId="22" xfId="0" applyFont="1" applyBorder="1"/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30" xfId="0" applyFont="1" applyBorder="1"/>
    <xf numFmtId="0" fontId="21" fillId="0" borderId="31" xfId="0" applyFont="1" applyBorder="1"/>
    <xf numFmtId="0" fontId="21" fillId="0" borderId="32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2" xfId="0" applyFont="1" applyBorder="1"/>
    <xf numFmtId="14" fontId="22" fillId="0" borderId="22" xfId="0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28" xfId="0" quotePrefix="1" applyFont="1" applyBorder="1" applyAlignment="1">
      <alignment wrapText="1"/>
    </xf>
    <xf numFmtId="0" fontId="22" fillId="0" borderId="29" xfId="0" applyFont="1" applyBorder="1"/>
    <xf numFmtId="0" fontId="22" fillId="0" borderId="16" xfId="0" applyFont="1" applyBorder="1"/>
    <xf numFmtId="0" fontId="22" fillId="0" borderId="23" xfId="0" applyFont="1" applyBorder="1"/>
    <xf numFmtId="0" fontId="22" fillId="0" borderId="24" xfId="0" applyFont="1" applyBorder="1"/>
    <xf numFmtId="0" fontId="22" fillId="0" borderId="22" xfId="0" applyFont="1" applyBorder="1"/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30" xfId="0" applyFont="1" applyBorder="1"/>
    <xf numFmtId="0" fontId="22" fillId="0" borderId="31" xfId="0" applyFont="1" applyBorder="1"/>
    <xf numFmtId="0" fontId="22" fillId="0" borderId="3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2" xfId="0" applyFont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33613</xdr:rowOff>
    </xdr:from>
    <xdr:to>
      <xdr:col>49</xdr:col>
      <xdr:colOff>11206</xdr:colOff>
      <xdr:row>36</xdr:row>
      <xdr:rowOff>94021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885950"/>
          <a:ext cx="12563475" cy="5457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66675</xdr:colOff>
      <xdr:row>10</xdr:row>
      <xdr:rowOff>104776</xdr:rowOff>
    </xdr:to>
    <xdr:sp macro="" textlink="">
      <xdr:nvSpPr>
        <xdr:cNvPr id="1025" name="AutoShape 1" descr="preview url image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33400" y="1847850"/>
          <a:ext cx="3333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66675</xdr:colOff>
      <xdr:row>10</xdr:row>
      <xdr:rowOff>104776</xdr:rowOff>
    </xdr:to>
    <xdr:sp macro="" textlink="">
      <xdr:nvSpPr>
        <xdr:cNvPr id="1026" name="AutoShape 2" descr="preview url image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533400" y="1847850"/>
          <a:ext cx="3333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145672</xdr:colOff>
      <xdr:row>10</xdr:row>
      <xdr:rowOff>129091</xdr:rowOff>
    </xdr:from>
    <xdr:to>
      <xdr:col>5</xdr:col>
      <xdr:colOff>86505</xdr:colOff>
      <xdr:row>12</xdr:row>
      <xdr:rowOff>0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942975" y="2181225"/>
          <a:ext cx="476250" cy="26670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1</a:t>
          </a:r>
        </a:p>
      </xdr:txBody>
    </xdr:sp>
    <xdr:clientData/>
  </xdr:twoCellAnchor>
  <xdr:twoCellAnchor>
    <xdr:from>
      <xdr:col>4</xdr:col>
      <xdr:colOff>168089</xdr:colOff>
      <xdr:row>8</xdr:row>
      <xdr:rowOff>0</xdr:rowOff>
    </xdr:from>
    <xdr:to>
      <xdr:col>6</xdr:col>
      <xdr:colOff>108922</xdr:colOff>
      <xdr:row>9</xdr:row>
      <xdr:rowOff>72614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238250" y="1647825"/>
          <a:ext cx="466725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0</a:t>
          </a:r>
        </a:p>
      </xdr:txBody>
    </xdr:sp>
    <xdr:clientData/>
  </xdr:twoCellAnchor>
  <xdr:twoCellAnchor>
    <xdr:from>
      <xdr:col>7</xdr:col>
      <xdr:colOff>145679</xdr:colOff>
      <xdr:row>10</xdr:row>
      <xdr:rowOff>129091</xdr:rowOff>
    </xdr:from>
    <xdr:to>
      <xdr:col>9</xdr:col>
      <xdr:colOff>86512</xdr:colOff>
      <xdr:row>12</xdr:row>
      <xdr:rowOff>0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009775" y="2181225"/>
          <a:ext cx="476250" cy="26670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1.1</a:t>
          </a:r>
        </a:p>
      </xdr:txBody>
    </xdr:sp>
    <xdr:clientData/>
  </xdr:twoCellAnchor>
  <xdr:twoCellAnchor>
    <xdr:from>
      <xdr:col>27</xdr:col>
      <xdr:colOff>112059</xdr:colOff>
      <xdr:row>10</xdr:row>
      <xdr:rowOff>129091</xdr:rowOff>
    </xdr:from>
    <xdr:to>
      <xdr:col>29</xdr:col>
      <xdr:colOff>52892</xdr:colOff>
      <xdr:row>12</xdr:row>
      <xdr:rowOff>0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7315200" y="2181225"/>
          <a:ext cx="476250" cy="26670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2</a:t>
          </a:r>
        </a:p>
      </xdr:txBody>
    </xdr:sp>
    <xdr:clientData/>
  </xdr:twoCellAnchor>
  <xdr:twoCellAnchor>
    <xdr:from>
      <xdr:col>31</xdr:col>
      <xdr:colOff>148815</xdr:colOff>
      <xdr:row>10</xdr:row>
      <xdr:rowOff>129091</xdr:rowOff>
    </xdr:from>
    <xdr:to>
      <xdr:col>33</xdr:col>
      <xdr:colOff>89648</xdr:colOff>
      <xdr:row>12</xdr:row>
      <xdr:rowOff>0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420100" y="2181225"/>
          <a:ext cx="466725" cy="26670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3</a:t>
          </a:r>
        </a:p>
      </xdr:txBody>
    </xdr:sp>
    <xdr:clientData/>
  </xdr:twoCellAnchor>
  <xdr:twoCellAnchor>
    <xdr:from>
      <xdr:col>2</xdr:col>
      <xdr:colOff>168089</xdr:colOff>
      <xdr:row>13</xdr:row>
      <xdr:rowOff>22412</xdr:rowOff>
    </xdr:from>
    <xdr:to>
      <xdr:col>4</xdr:col>
      <xdr:colOff>108922</xdr:colOff>
      <xdr:row>14</xdr:row>
      <xdr:rowOff>95026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704850" y="2667000"/>
          <a:ext cx="466725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4</a:t>
          </a:r>
        </a:p>
      </xdr:txBody>
    </xdr:sp>
    <xdr:clientData/>
  </xdr:twoCellAnchor>
  <xdr:twoCellAnchor>
    <xdr:from>
      <xdr:col>2</xdr:col>
      <xdr:colOff>168089</xdr:colOff>
      <xdr:row>17</xdr:row>
      <xdr:rowOff>22412</xdr:rowOff>
    </xdr:from>
    <xdr:to>
      <xdr:col>4</xdr:col>
      <xdr:colOff>108922</xdr:colOff>
      <xdr:row>18</xdr:row>
      <xdr:rowOff>95026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704850" y="3467100"/>
          <a:ext cx="466725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4.1</a:t>
          </a:r>
        </a:p>
      </xdr:txBody>
    </xdr:sp>
    <xdr:clientData/>
  </xdr:twoCellAnchor>
  <xdr:twoCellAnchor>
    <xdr:from>
      <xdr:col>11</xdr:col>
      <xdr:colOff>0</xdr:colOff>
      <xdr:row>13</xdr:row>
      <xdr:rowOff>17032</xdr:rowOff>
    </xdr:from>
    <xdr:to>
      <xdr:col>12</xdr:col>
      <xdr:colOff>176157</xdr:colOff>
      <xdr:row>14</xdr:row>
      <xdr:rowOff>89646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2933700" y="2667000"/>
          <a:ext cx="438150" cy="26670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6</a:t>
          </a:r>
        </a:p>
      </xdr:txBody>
    </xdr:sp>
    <xdr:clientData/>
  </xdr:twoCellAnchor>
  <xdr:twoCellAnchor>
    <xdr:from>
      <xdr:col>11</xdr:col>
      <xdr:colOff>0</xdr:colOff>
      <xdr:row>17</xdr:row>
      <xdr:rowOff>17032</xdr:rowOff>
    </xdr:from>
    <xdr:to>
      <xdr:col>12</xdr:col>
      <xdr:colOff>176157</xdr:colOff>
      <xdr:row>18</xdr:row>
      <xdr:rowOff>89646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2933700" y="3467100"/>
          <a:ext cx="438150" cy="26670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6.1</a:t>
          </a:r>
        </a:p>
      </xdr:txBody>
    </xdr:sp>
    <xdr:clientData/>
  </xdr:twoCellAnchor>
  <xdr:twoCellAnchor>
    <xdr:from>
      <xdr:col>25</xdr:col>
      <xdr:colOff>134471</xdr:colOff>
      <xdr:row>13</xdr:row>
      <xdr:rowOff>22412</xdr:rowOff>
    </xdr:from>
    <xdr:to>
      <xdr:col>27</xdr:col>
      <xdr:colOff>75304</xdr:colOff>
      <xdr:row>14</xdr:row>
      <xdr:rowOff>95026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6800850" y="2667000"/>
          <a:ext cx="476250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7</a:t>
          </a:r>
        </a:p>
      </xdr:txBody>
    </xdr:sp>
    <xdr:clientData/>
  </xdr:twoCellAnchor>
  <xdr:twoCellAnchor>
    <xdr:from>
      <xdr:col>25</xdr:col>
      <xdr:colOff>134471</xdr:colOff>
      <xdr:row>17</xdr:row>
      <xdr:rowOff>22412</xdr:rowOff>
    </xdr:from>
    <xdr:to>
      <xdr:col>27</xdr:col>
      <xdr:colOff>75304</xdr:colOff>
      <xdr:row>18</xdr:row>
      <xdr:rowOff>95026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6800850" y="3467100"/>
          <a:ext cx="476250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7.1</a:t>
          </a:r>
        </a:p>
      </xdr:txBody>
    </xdr:sp>
    <xdr:clientData/>
  </xdr:twoCellAnchor>
  <xdr:twoCellAnchor>
    <xdr:from>
      <xdr:col>37</xdr:col>
      <xdr:colOff>179294</xdr:colOff>
      <xdr:row>13</xdr:row>
      <xdr:rowOff>0</xdr:rowOff>
    </xdr:from>
    <xdr:to>
      <xdr:col>39</xdr:col>
      <xdr:colOff>120127</xdr:colOff>
      <xdr:row>14</xdr:row>
      <xdr:rowOff>72614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10048875" y="2647950"/>
          <a:ext cx="476250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8</a:t>
          </a:r>
        </a:p>
      </xdr:txBody>
    </xdr:sp>
    <xdr:clientData/>
  </xdr:twoCellAnchor>
  <xdr:twoCellAnchor>
    <xdr:from>
      <xdr:col>41</xdr:col>
      <xdr:colOff>59167</xdr:colOff>
      <xdr:row>13</xdr:row>
      <xdr:rowOff>0</xdr:rowOff>
    </xdr:from>
    <xdr:to>
      <xdr:col>43</xdr:col>
      <xdr:colOff>0</xdr:colOff>
      <xdr:row>14</xdr:row>
      <xdr:rowOff>72614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91850" y="2647950"/>
          <a:ext cx="476250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9</a:t>
          </a:r>
        </a:p>
      </xdr:txBody>
    </xdr:sp>
    <xdr:clientData/>
  </xdr:twoCellAnchor>
  <xdr:twoCellAnchor>
    <xdr:from>
      <xdr:col>41</xdr:col>
      <xdr:colOff>59167</xdr:colOff>
      <xdr:row>17</xdr:row>
      <xdr:rowOff>0</xdr:rowOff>
    </xdr:from>
    <xdr:to>
      <xdr:col>43</xdr:col>
      <xdr:colOff>91440</xdr:colOff>
      <xdr:row>18</xdr:row>
      <xdr:rowOff>72614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10991850" y="3448050"/>
          <a:ext cx="571500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9.1</a:t>
          </a:r>
        </a:p>
      </xdr:txBody>
    </xdr:sp>
    <xdr:clientData/>
  </xdr:twoCellAnchor>
  <xdr:twoCellAnchor>
    <xdr:from>
      <xdr:col>45</xdr:col>
      <xdr:colOff>0</xdr:colOff>
      <xdr:row>13</xdr:row>
      <xdr:rowOff>0</xdr:rowOff>
    </xdr:from>
    <xdr:to>
      <xdr:col>46</xdr:col>
      <xdr:colOff>153745</xdr:colOff>
      <xdr:row>14</xdr:row>
      <xdr:rowOff>72614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2001500" y="2647950"/>
          <a:ext cx="438150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10</a:t>
          </a:r>
        </a:p>
      </xdr:txBody>
    </xdr:sp>
    <xdr:clientData/>
  </xdr:twoCellAnchor>
  <xdr:twoCellAnchor>
    <xdr:from>
      <xdr:col>45</xdr:col>
      <xdr:colOff>0</xdr:colOff>
      <xdr:row>17</xdr:row>
      <xdr:rowOff>0</xdr:rowOff>
    </xdr:from>
    <xdr:to>
      <xdr:col>47</xdr:col>
      <xdr:colOff>9861</xdr:colOff>
      <xdr:row>18</xdr:row>
      <xdr:rowOff>72614</xdr:rowOff>
    </xdr:to>
    <xdr:sp macro="" textlink="" fLocksText="0">
      <xdr:nvSpPr>
        <xdr:cNvPr id="31" name="Rectangl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2001500" y="3448050"/>
          <a:ext cx="561975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10.1</a:t>
          </a:r>
        </a:p>
      </xdr:txBody>
    </xdr:sp>
    <xdr:clientData/>
  </xdr:twoCellAnchor>
  <xdr:twoCellAnchor>
    <xdr:from>
      <xdr:col>5</xdr:col>
      <xdr:colOff>190500</xdr:colOff>
      <xdr:row>13</xdr:row>
      <xdr:rowOff>11206</xdr:rowOff>
    </xdr:from>
    <xdr:to>
      <xdr:col>7</xdr:col>
      <xdr:colOff>131333</xdr:colOff>
      <xdr:row>14</xdr:row>
      <xdr:rowOff>83820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524000" y="2657475"/>
          <a:ext cx="476250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5</a:t>
          </a:r>
        </a:p>
      </xdr:txBody>
    </xdr:sp>
    <xdr:clientData/>
  </xdr:twoCellAnchor>
  <xdr:twoCellAnchor>
    <xdr:from>
      <xdr:col>4</xdr:col>
      <xdr:colOff>0</xdr:colOff>
      <xdr:row>25</xdr:row>
      <xdr:rowOff>21022</xdr:rowOff>
    </xdr:from>
    <xdr:to>
      <xdr:col>5</xdr:col>
      <xdr:colOff>176156</xdr:colOff>
      <xdr:row>26</xdr:row>
      <xdr:rowOff>179294</xdr:rowOff>
    </xdr:to>
    <xdr:sp macro="" textlink="" fLocksText="0">
      <xdr:nvSpPr>
        <xdr:cNvPr id="35" name="Callout: Lin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1066800" y="5067300"/>
          <a:ext cx="438150" cy="361950"/>
        </a:xfrm>
        <a:prstGeom prst="borderCallout1">
          <a:avLst>
            <a:gd name="adj1" fmla="val -3057"/>
            <a:gd name="adj2" fmla="val 51032"/>
            <a:gd name="adj3" fmla="val -54575"/>
            <a:gd name="adj4" fmla="val 7376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6</xdr:col>
      <xdr:colOff>193638</xdr:colOff>
      <xdr:row>25</xdr:row>
      <xdr:rowOff>33618</xdr:rowOff>
    </xdr:from>
    <xdr:to>
      <xdr:col>8</xdr:col>
      <xdr:colOff>134471</xdr:colOff>
      <xdr:row>26</xdr:row>
      <xdr:rowOff>191890</xdr:rowOff>
    </xdr:to>
    <xdr:sp macro="" textlink="" fLocksText="0">
      <xdr:nvSpPr>
        <xdr:cNvPr id="43" name="Callout: Lin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1790700" y="5086350"/>
          <a:ext cx="476250" cy="352425"/>
        </a:xfrm>
        <a:prstGeom prst="borderCallout1">
          <a:avLst>
            <a:gd name="adj1" fmla="val -3057"/>
            <a:gd name="adj2" fmla="val 51032"/>
            <a:gd name="adj3" fmla="val -54575"/>
            <a:gd name="adj4" fmla="val 7376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.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31</xdr:col>
      <xdr:colOff>123265</xdr:colOff>
      <xdr:row>34</xdr:row>
      <xdr:rowOff>112058</xdr:rowOff>
    </xdr:from>
    <xdr:to>
      <xdr:col>45</xdr:col>
      <xdr:colOff>0</xdr:colOff>
      <xdr:row>36</xdr:row>
      <xdr:rowOff>112057</xdr:rowOff>
    </xdr:to>
    <xdr:sp macro="" textlink="" fLocksText="0">
      <xdr:nvSpPr>
        <xdr:cNvPr id="45" name="Rectangl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8391525" y="6962775"/>
          <a:ext cx="3609975" cy="4000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28</xdr:col>
      <xdr:colOff>145676</xdr:colOff>
      <xdr:row>33</xdr:row>
      <xdr:rowOff>168088</xdr:rowOff>
    </xdr:from>
    <xdr:to>
      <xdr:col>30</xdr:col>
      <xdr:colOff>86509</xdr:colOff>
      <xdr:row>35</xdr:row>
      <xdr:rowOff>38996</xdr:rowOff>
    </xdr:to>
    <xdr:sp macro="" textlink="" fLocksText="0">
      <xdr:nvSpPr>
        <xdr:cNvPr id="46" name="Rectangl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7610475" y="6819900"/>
          <a:ext cx="476250" cy="26670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11</a:t>
          </a:r>
        </a:p>
      </xdr:txBody>
    </xdr:sp>
    <xdr:clientData/>
  </xdr:twoCellAnchor>
  <xdr:twoCellAnchor>
    <xdr:from>
      <xdr:col>37</xdr:col>
      <xdr:colOff>59167</xdr:colOff>
      <xdr:row>33</xdr:row>
      <xdr:rowOff>95474</xdr:rowOff>
    </xdr:from>
    <xdr:to>
      <xdr:col>39</xdr:col>
      <xdr:colOff>0</xdr:colOff>
      <xdr:row>34</xdr:row>
      <xdr:rowOff>168088</xdr:rowOff>
    </xdr:to>
    <xdr:sp macro="" textlink="" fLocksText="0">
      <xdr:nvSpPr>
        <xdr:cNvPr id="47" name="Rectangl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9925050" y="6743700"/>
          <a:ext cx="476250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12</a:t>
          </a:r>
        </a:p>
      </xdr:txBody>
    </xdr:sp>
    <xdr:clientData/>
  </xdr:twoCellAnchor>
  <xdr:twoCellAnchor>
    <xdr:from>
      <xdr:col>45</xdr:col>
      <xdr:colOff>238461</xdr:colOff>
      <xdr:row>33</xdr:row>
      <xdr:rowOff>129092</xdr:rowOff>
    </xdr:from>
    <xdr:to>
      <xdr:col>47</xdr:col>
      <xdr:colOff>156882</xdr:colOff>
      <xdr:row>35</xdr:row>
      <xdr:rowOff>0</xdr:rowOff>
    </xdr:to>
    <xdr:sp macro="" textlink="" fLocksText="0">
      <xdr:nvSpPr>
        <xdr:cNvPr id="49" name="Rectangle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12239625" y="6781800"/>
          <a:ext cx="466725" cy="26670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13</a:t>
          </a: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42</xdr:col>
      <xdr:colOff>176157</xdr:colOff>
      <xdr:row>9</xdr:row>
      <xdr:rowOff>72614</xdr:rowOff>
    </xdr:to>
    <xdr:sp macro="" textlink="" fLocksText="0">
      <xdr:nvSpPr>
        <xdr:cNvPr id="50" name="Rectangl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10934700" y="1647825"/>
          <a:ext cx="438150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14</a:t>
          </a:r>
        </a:p>
      </xdr:txBody>
    </xdr:sp>
    <xdr:clientData/>
  </xdr:twoCellAnchor>
  <xdr:twoCellAnchor>
    <xdr:from>
      <xdr:col>12</xdr:col>
      <xdr:colOff>168089</xdr:colOff>
      <xdr:row>10</xdr:row>
      <xdr:rowOff>134470</xdr:rowOff>
    </xdr:from>
    <xdr:to>
      <xdr:col>14</xdr:col>
      <xdr:colOff>108922</xdr:colOff>
      <xdr:row>12</xdr:row>
      <xdr:rowOff>5379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371850" y="2181225"/>
          <a:ext cx="466725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1.2</a:t>
          </a:r>
        </a:p>
      </xdr:txBody>
    </xdr:sp>
    <xdr:clientData/>
  </xdr:twoCellAnchor>
  <xdr:twoCellAnchor>
    <xdr:from>
      <xdr:col>37</xdr:col>
      <xdr:colOff>134470</xdr:colOff>
      <xdr:row>17</xdr:row>
      <xdr:rowOff>0</xdr:rowOff>
    </xdr:from>
    <xdr:to>
      <xdr:col>39</xdr:col>
      <xdr:colOff>166743</xdr:colOff>
      <xdr:row>18</xdr:row>
      <xdr:rowOff>72614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001250" y="3448050"/>
          <a:ext cx="571500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8.1</a:t>
          </a:r>
        </a:p>
      </xdr:txBody>
    </xdr:sp>
    <xdr:clientData/>
  </xdr:twoCellAnchor>
  <xdr:twoCellAnchor>
    <xdr:from>
      <xdr:col>3</xdr:col>
      <xdr:colOff>112059</xdr:colOff>
      <xdr:row>34</xdr:row>
      <xdr:rowOff>112058</xdr:rowOff>
    </xdr:from>
    <xdr:to>
      <xdr:col>5</xdr:col>
      <xdr:colOff>89648</xdr:colOff>
      <xdr:row>36</xdr:row>
      <xdr:rowOff>112057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914400" y="6962775"/>
          <a:ext cx="504825" cy="4000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156883</xdr:colOff>
      <xdr:row>33</xdr:row>
      <xdr:rowOff>112059</xdr:rowOff>
    </xdr:from>
    <xdr:to>
      <xdr:col>5</xdr:col>
      <xdr:colOff>97716</xdr:colOff>
      <xdr:row>34</xdr:row>
      <xdr:rowOff>184673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952500" y="6762750"/>
          <a:ext cx="476250" cy="26670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12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35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5" t="s">
        <v>29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12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2"/>
      <c r="AP2" s="11" t="str">
        <f>改訂履歴!$H$11</f>
        <v>TuyenNH</v>
      </c>
      <c r="AQ2" s="10"/>
      <c r="AR2" s="10"/>
      <c r="AS2" s="9"/>
      <c r="AT2" s="78">
        <f>改訂履歴!$B$11</f>
        <v>45518</v>
      </c>
      <c r="AU2" s="79"/>
      <c r="AV2" s="79"/>
      <c r="AW2" s="79"/>
      <c r="AX2" s="80"/>
      <c r="AY2" s="11" t="str">
        <f>LOOKUP(2,1/(改訂履歴!H11:H30000&lt;&gt;""),改訂履歴!H11:H30000)</f>
        <v>TuyenNH</v>
      </c>
      <c r="AZ2" s="10"/>
      <c r="BA2" s="10"/>
      <c r="BB2" s="9"/>
      <c r="BC2" s="78">
        <f>LOOKUP(2,1/(改訂履歴!B11:B30000&lt;&gt;""),改訂履歴!B11:B30000)</f>
        <v>45636</v>
      </c>
      <c r="BD2" s="79"/>
      <c r="BE2" s="79"/>
      <c r="BF2" s="79"/>
      <c r="BG2" s="80"/>
      <c r="BH2" s="72">
        <f>LOOKUP(2,1/(改訂履歴!O11:O30000&lt;&gt;""),改訂履歴!O11:O30000)</f>
        <v>0.14000000000000001</v>
      </c>
      <c r="BI2" s="73"/>
      <c r="BJ2" s="73"/>
      <c r="BK2" s="74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63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5"/>
      <c r="AP3" s="8"/>
      <c r="AQ3" s="7"/>
      <c r="AR3" s="7"/>
      <c r="AS3" s="6"/>
      <c r="AT3" s="81"/>
      <c r="AU3" s="82"/>
      <c r="AV3" s="82"/>
      <c r="AW3" s="82"/>
      <c r="AX3" s="83"/>
      <c r="AY3" s="8"/>
      <c r="AZ3" s="7"/>
      <c r="BA3" s="7"/>
      <c r="BB3" s="6"/>
      <c r="BC3" s="81"/>
      <c r="BD3" s="82"/>
      <c r="BE3" s="82"/>
      <c r="BF3" s="82"/>
      <c r="BG3" s="83"/>
      <c r="BH3" s="75"/>
      <c r="BI3" s="76"/>
      <c r="BJ3" s="76"/>
      <c r="BK3" s="77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68" t="s">
        <v>48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  <c r="U4" s="14" t="s">
        <v>8</v>
      </c>
      <c r="V4" s="13"/>
      <c r="W4" s="13"/>
      <c r="X4" s="13"/>
      <c r="Y4" s="12"/>
      <c r="Z4" s="71" t="s">
        <v>31</v>
      </c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0"/>
      <c r="AP4" s="68" t="str">
        <f t="array" aca="1" ref="AP4" ca="1">RIGHT(CELL("filename",$A$1),LEN(CELL("filename",$A$1))-FIND("]",CELL("filename",$A$1)))</f>
        <v>表紙</v>
      </c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70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66" t="s">
        <v>30</v>
      </c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26"/>
      <c r="BK16" s="18"/>
    </row>
    <row r="17" spans="1:63" ht="15" customHeight="1" x14ac:dyDescent="0.25">
      <c r="A17" s="15"/>
      <c r="K17" s="20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26"/>
      <c r="BK17" s="18"/>
    </row>
    <row r="18" spans="1:63" ht="15" customHeight="1" x14ac:dyDescent="0.25">
      <c r="A18" s="15"/>
      <c r="K18" s="20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26"/>
      <c r="BK18" s="18"/>
    </row>
    <row r="19" spans="1:63" ht="15" customHeight="1" x14ac:dyDescent="0.25">
      <c r="A19" s="15"/>
      <c r="K19" s="20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26"/>
      <c r="BK19" s="18"/>
    </row>
    <row r="20" spans="1:63" ht="15" customHeight="1" x14ac:dyDescent="0.25">
      <c r="A20" s="15"/>
      <c r="K20" s="20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26"/>
      <c r="BK20" s="18"/>
    </row>
    <row r="21" spans="1:63" ht="15" customHeight="1" x14ac:dyDescent="0.25">
      <c r="A21" s="15"/>
      <c r="K21" s="20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67" t="str">
        <f>K2&amp;"/"&amp;H4&amp;"/"&amp;Z4</f>
        <v>POSサーバ/02_緊急売価変更/画面設計書</v>
      </c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26"/>
      <c r="BK24" s="18"/>
    </row>
    <row r="25" spans="1:63" ht="15" customHeight="1" x14ac:dyDescent="0.25">
      <c r="A25" s="15"/>
      <c r="K25" s="20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26"/>
      <c r="BK25" s="18"/>
    </row>
    <row r="26" spans="1:63" ht="15" customHeight="1" x14ac:dyDescent="0.25">
      <c r="A26" s="15"/>
      <c r="K26" s="20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26"/>
      <c r="BK26" s="18"/>
    </row>
    <row r="27" spans="1:63" ht="15" customHeight="1" x14ac:dyDescent="0.25">
      <c r="A27" s="15"/>
      <c r="K27" s="20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26"/>
      <c r="BK27" s="18"/>
    </row>
    <row r="28" spans="1:63" ht="15" customHeight="1" x14ac:dyDescent="0.25">
      <c r="A28" s="15"/>
      <c r="K28" s="20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26"/>
      <c r="BK28" s="18"/>
    </row>
    <row r="29" spans="1:63" ht="15" customHeight="1" x14ac:dyDescent="0.25">
      <c r="A29" s="15"/>
      <c r="K29" s="20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26"/>
      <c r="BK29" s="18"/>
    </row>
    <row r="30" spans="1:63" ht="15" customHeight="1" x14ac:dyDescent="0.25">
      <c r="A30" s="15"/>
      <c r="K30" s="20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26"/>
      <c r="BK30" s="18"/>
    </row>
    <row r="31" spans="1:63" ht="15" customHeight="1" x14ac:dyDescent="0.25">
      <c r="A31" s="15"/>
      <c r="K31" s="20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26"/>
      <c r="BK31" s="18"/>
    </row>
    <row r="32" spans="1:63" ht="15" customHeight="1" x14ac:dyDescent="0.25">
      <c r="A32" s="15"/>
      <c r="K32" s="20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26"/>
      <c r="BK32" s="18"/>
    </row>
    <row r="33" spans="1:63" ht="15" customHeight="1" x14ac:dyDescent="0.25">
      <c r="A33" s="15"/>
      <c r="K33" s="20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26"/>
      <c r="BK33" s="18"/>
    </row>
    <row r="34" spans="1:63" ht="15" customHeight="1" x14ac:dyDescent="0.25">
      <c r="A34" s="15"/>
      <c r="K34" s="20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26"/>
      <c r="BK34" s="18"/>
    </row>
    <row r="35" spans="1:63" ht="15" customHeight="1" x14ac:dyDescent="0.25">
      <c r="A35" s="15"/>
      <c r="K35" s="20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26"/>
      <c r="BK35" s="18"/>
    </row>
    <row r="36" spans="1:63" ht="15" customHeight="1" x14ac:dyDescent="0.25">
      <c r="A36" s="15"/>
      <c r="K36" s="20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87" t="s">
        <v>10</v>
      </c>
      <c r="R44" s="88"/>
      <c r="S44" s="88"/>
      <c r="T44" s="88"/>
      <c r="U44" s="88"/>
      <c r="V44" s="88"/>
      <c r="W44" s="88"/>
      <c r="X44" s="88"/>
      <c r="Y44" s="88"/>
      <c r="Z44" s="89"/>
      <c r="AA44" s="87" t="s">
        <v>11</v>
      </c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9"/>
      <c r="AQ44" s="87" t="s">
        <v>7</v>
      </c>
      <c r="AR44" s="88"/>
      <c r="AS44" s="88"/>
      <c r="AT44" s="88"/>
      <c r="AU44" s="89"/>
      <c r="BK44" s="18"/>
    </row>
    <row r="45" spans="1:63" ht="15" customHeight="1" x14ac:dyDescent="0.25">
      <c r="A45" s="15"/>
      <c r="Q45" s="90"/>
      <c r="R45" s="91"/>
      <c r="S45" s="91"/>
      <c r="T45" s="91"/>
      <c r="U45" s="91"/>
      <c r="V45" s="91"/>
      <c r="W45" s="91"/>
      <c r="X45" s="91"/>
      <c r="Y45" s="91"/>
      <c r="Z45" s="92"/>
      <c r="AA45" s="90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2"/>
      <c r="AQ45" s="90"/>
      <c r="AR45" s="91"/>
      <c r="AS45" s="91"/>
      <c r="AT45" s="91"/>
      <c r="AU45" s="92"/>
      <c r="BK45" s="18"/>
    </row>
    <row r="46" spans="1:63" ht="15" customHeight="1" x14ac:dyDescent="0.25">
      <c r="A46" s="15"/>
      <c r="Q46" s="11"/>
      <c r="R46" s="10"/>
      <c r="S46" s="10"/>
      <c r="T46" s="10"/>
      <c r="U46" s="10"/>
      <c r="V46" s="10"/>
      <c r="W46" s="10"/>
      <c r="X46" s="10"/>
      <c r="Y46" s="10"/>
      <c r="Z46" s="9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  <c r="AQ46" s="11"/>
      <c r="AR46" s="10"/>
      <c r="AS46" s="10"/>
      <c r="AT46" s="10"/>
      <c r="AU46" s="9"/>
      <c r="BK46" s="18"/>
    </row>
    <row r="47" spans="1:63" ht="15" customHeight="1" x14ac:dyDescent="0.25">
      <c r="A47" s="15"/>
      <c r="Q47" s="84"/>
      <c r="R47" s="85"/>
      <c r="S47" s="85"/>
      <c r="T47" s="85"/>
      <c r="U47" s="85"/>
      <c r="V47" s="85"/>
      <c r="W47" s="85"/>
      <c r="X47" s="85"/>
      <c r="Y47" s="85"/>
      <c r="Z47" s="86"/>
      <c r="AA47" s="84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6"/>
      <c r="AQ47" s="84"/>
      <c r="AR47" s="85"/>
      <c r="AS47" s="85"/>
      <c r="AT47" s="85"/>
      <c r="AU47" s="86"/>
      <c r="BK47" s="18"/>
    </row>
    <row r="48" spans="1:63" ht="15" customHeight="1" x14ac:dyDescent="0.25">
      <c r="A48" s="15"/>
      <c r="Q48" s="84"/>
      <c r="R48" s="85"/>
      <c r="S48" s="85"/>
      <c r="T48" s="85"/>
      <c r="U48" s="85"/>
      <c r="V48" s="85"/>
      <c r="W48" s="85"/>
      <c r="X48" s="85"/>
      <c r="Y48" s="85"/>
      <c r="Z48" s="86"/>
      <c r="AA48" s="84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6"/>
      <c r="AQ48" s="84"/>
      <c r="AR48" s="85"/>
      <c r="AS48" s="85"/>
      <c r="AT48" s="85"/>
      <c r="AU48" s="86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396" customWidth="1"/>
    <col min="61" max="16384" width="2.77734375" style="396"/>
  </cols>
  <sheetData>
    <row r="1" spans="1:63" ht="24.95" customHeight="1" x14ac:dyDescent="0.25">
      <c r="A1" s="390" t="s">
        <v>176</v>
      </c>
      <c r="B1" s="391"/>
      <c r="C1" s="391"/>
      <c r="D1" s="391"/>
      <c r="E1" s="391"/>
      <c r="F1" s="391"/>
      <c r="G1" s="391"/>
      <c r="H1" s="391"/>
      <c r="I1" s="391"/>
      <c r="J1" s="392"/>
      <c r="K1" s="390" t="s">
        <v>177</v>
      </c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2"/>
      <c r="W1" s="393" t="str">
        <f>IF(表紙!W1="","",表紙!W1)</f>
        <v>詳細設計書</v>
      </c>
      <c r="X1" s="394"/>
      <c r="Y1" s="394"/>
      <c r="Z1" s="394"/>
      <c r="AA1" s="394"/>
      <c r="AB1" s="394"/>
      <c r="AC1" s="394"/>
      <c r="AD1" s="394"/>
      <c r="AE1" s="394"/>
      <c r="AF1" s="394"/>
      <c r="AG1" s="394"/>
      <c r="AH1" s="394"/>
      <c r="AI1" s="394"/>
      <c r="AJ1" s="394"/>
      <c r="AK1" s="394"/>
      <c r="AL1" s="394"/>
      <c r="AM1" s="394"/>
      <c r="AN1" s="394"/>
      <c r="AO1" s="395"/>
      <c r="AP1" s="390" t="s">
        <v>178</v>
      </c>
      <c r="AQ1" s="391"/>
      <c r="AR1" s="391"/>
      <c r="AS1" s="392"/>
      <c r="AT1" s="390" t="s">
        <v>179</v>
      </c>
      <c r="AU1" s="391"/>
      <c r="AV1" s="391"/>
      <c r="AW1" s="391"/>
      <c r="AX1" s="392"/>
      <c r="AY1" s="390" t="s">
        <v>180</v>
      </c>
      <c r="AZ1" s="391"/>
      <c r="BA1" s="391"/>
      <c r="BB1" s="392"/>
      <c r="BC1" s="390" t="s">
        <v>181</v>
      </c>
      <c r="BD1" s="391"/>
      <c r="BE1" s="391"/>
      <c r="BF1" s="391"/>
      <c r="BG1" s="392"/>
      <c r="BH1" s="390" t="s">
        <v>182</v>
      </c>
      <c r="BI1" s="391"/>
      <c r="BJ1" s="391"/>
      <c r="BK1" s="392"/>
    </row>
    <row r="2" spans="1:63" ht="15" customHeight="1" x14ac:dyDescent="0.25">
      <c r="A2" s="397" t="str">
        <f>IF(表紙!A2="","",表紙!A2)</f>
        <v>POSサーバー</v>
      </c>
      <c r="B2" s="398"/>
      <c r="C2" s="398"/>
      <c r="D2" s="398"/>
      <c r="E2" s="398"/>
      <c r="F2" s="398"/>
      <c r="G2" s="398"/>
      <c r="H2" s="398"/>
      <c r="I2" s="398"/>
      <c r="J2" s="399"/>
      <c r="K2" s="397" t="str">
        <f>IF(表紙!K2="","",表紙!K2)</f>
        <v>POSサーバ</v>
      </c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9"/>
      <c r="W2" s="400"/>
      <c r="X2" s="401"/>
      <c r="Y2" s="401"/>
      <c r="Z2" s="401"/>
      <c r="AA2" s="401"/>
      <c r="AB2" s="401"/>
      <c r="AC2" s="401"/>
      <c r="AD2" s="401"/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2"/>
      <c r="AP2" s="397" t="str">
        <f>IF(表紙!AP2="","",表紙!AP2)</f>
        <v>TuyenNH</v>
      </c>
      <c r="AQ2" s="398"/>
      <c r="AR2" s="398"/>
      <c r="AS2" s="399"/>
      <c r="AT2" s="403">
        <f>IF(表紙!AT2="","",表紙!AT2)</f>
        <v>45518</v>
      </c>
      <c r="AU2" s="404"/>
      <c r="AV2" s="404"/>
      <c r="AW2" s="404"/>
      <c r="AX2" s="405"/>
      <c r="AY2" s="397" t="str">
        <f>IF(表紙!AY2="","",表紙!AY2)</f>
        <v>TuyenNH</v>
      </c>
      <c r="AZ2" s="398"/>
      <c r="BA2" s="398"/>
      <c r="BB2" s="399"/>
      <c r="BC2" s="403">
        <f>IF(表紙!BC2="","",表紙!BC2)</f>
        <v>45636</v>
      </c>
      <c r="BD2" s="404"/>
      <c r="BE2" s="404"/>
      <c r="BF2" s="404"/>
      <c r="BG2" s="405"/>
      <c r="BH2" s="397">
        <f>IF(表紙!BH2="","",表紙!BH2)</f>
        <v>0.14000000000000001</v>
      </c>
      <c r="BI2" s="398"/>
      <c r="BJ2" s="398"/>
      <c r="BK2" s="399"/>
    </row>
    <row r="3" spans="1:63" ht="15" customHeight="1" x14ac:dyDescent="0.25">
      <c r="A3" s="406"/>
      <c r="B3" s="407"/>
      <c r="C3" s="407"/>
      <c r="D3" s="407"/>
      <c r="E3" s="407"/>
      <c r="F3" s="407"/>
      <c r="G3" s="407"/>
      <c r="H3" s="407"/>
      <c r="I3" s="407"/>
      <c r="J3" s="408"/>
      <c r="K3" s="406"/>
      <c r="L3" s="407"/>
      <c r="M3" s="407"/>
      <c r="N3" s="407"/>
      <c r="O3" s="407"/>
      <c r="P3" s="407"/>
      <c r="Q3" s="407"/>
      <c r="R3" s="407"/>
      <c r="S3" s="407"/>
      <c r="T3" s="407"/>
      <c r="U3" s="407"/>
      <c r="V3" s="408"/>
      <c r="W3" s="409"/>
      <c r="X3" s="410"/>
      <c r="Y3" s="410"/>
      <c r="Z3" s="410"/>
      <c r="AA3" s="410"/>
      <c r="AB3" s="410"/>
      <c r="AC3" s="410"/>
      <c r="AD3" s="410"/>
      <c r="AE3" s="410"/>
      <c r="AF3" s="410"/>
      <c r="AG3" s="410"/>
      <c r="AH3" s="410"/>
      <c r="AI3" s="410"/>
      <c r="AJ3" s="410"/>
      <c r="AK3" s="410"/>
      <c r="AL3" s="410"/>
      <c r="AM3" s="410"/>
      <c r="AN3" s="410"/>
      <c r="AO3" s="411"/>
      <c r="AP3" s="406"/>
      <c r="AQ3" s="407"/>
      <c r="AR3" s="407"/>
      <c r="AS3" s="408"/>
      <c r="AT3" s="412"/>
      <c r="AU3" s="413"/>
      <c r="AV3" s="413"/>
      <c r="AW3" s="413"/>
      <c r="AX3" s="414"/>
      <c r="AY3" s="406"/>
      <c r="AZ3" s="407"/>
      <c r="BA3" s="407"/>
      <c r="BB3" s="408"/>
      <c r="BC3" s="412"/>
      <c r="BD3" s="413"/>
      <c r="BE3" s="413"/>
      <c r="BF3" s="413"/>
      <c r="BG3" s="414"/>
      <c r="BH3" s="406"/>
      <c r="BI3" s="407"/>
      <c r="BJ3" s="407"/>
      <c r="BK3" s="408"/>
    </row>
    <row r="4" spans="1:63" ht="24.95" customHeight="1" x14ac:dyDescent="0.25">
      <c r="A4" s="390" t="s">
        <v>183</v>
      </c>
      <c r="B4" s="391"/>
      <c r="C4" s="391"/>
      <c r="D4" s="391"/>
      <c r="E4" s="391"/>
      <c r="F4" s="391"/>
      <c r="G4" s="392"/>
      <c r="H4" s="415" t="str">
        <f>IF(表紙!H4="","",表紙!H4)</f>
        <v>02_緊急売価変更</v>
      </c>
      <c r="I4" s="416"/>
      <c r="J4" s="416"/>
      <c r="K4" s="416"/>
      <c r="L4" s="416"/>
      <c r="M4" s="416"/>
      <c r="N4" s="416"/>
      <c r="O4" s="416"/>
      <c r="P4" s="416"/>
      <c r="Q4" s="416"/>
      <c r="R4" s="416"/>
      <c r="S4" s="416"/>
      <c r="T4" s="417"/>
      <c r="U4" s="390" t="s">
        <v>184</v>
      </c>
      <c r="V4" s="391"/>
      <c r="W4" s="391"/>
      <c r="X4" s="391"/>
      <c r="Y4" s="392"/>
      <c r="Z4" s="415" t="str">
        <f>IF(表紙!Z4="","",表紙!Z4)</f>
        <v>画面設計書</v>
      </c>
      <c r="AA4" s="416"/>
      <c r="AB4" s="416"/>
      <c r="AC4" s="416"/>
      <c r="AD4" s="416"/>
      <c r="AE4" s="416"/>
      <c r="AF4" s="416"/>
      <c r="AG4" s="416"/>
      <c r="AH4" s="416"/>
      <c r="AI4" s="416"/>
      <c r="AJ4" s="416"/>
      <c r="AK4" s="416"/>
      <c r="AL4" s="416"/>
      <c r="AM4" s="416"/>
      <c r="AN4" s="416"/>
      <c r="AO4" s="417"/>
      <c r="AP4" s="415" t="str">
        <f t="array" aca="1" ref="AP4" ca="1">RIGHT(CELL("filename",$A$1),LEN(CELL("filename",$A$1))-FIND("]",CELL("filename",$A$1)))</f>
        <v>改訂履歴</v>
      </c>
      <c r="AQ4" s="416"/>
      <c r="AR4" s="416"/>
      <c r="AS4" s="416"/>
      <c r="AT4" s="416"/>
      <c r="AU4" s="416"/>
      <c r="AV4" s="416"/>
      <c r="AW4" s="416"/>
      <c r="AX4" s="416"/>
      <c r="AY4" s="416"/>
      <c r="AZ4" s="416"/>
      <c r="BA4" s="416"/>
      <c r="BB4" s="416"/>
      <c r="BC4" s="416"/>
      <c r="BD4" s="416"/>
      <c r="BE4" s="416"/>
      <c r="BF4" s="416"/>
      <c r="BG4" s="416"/>
      <c r="BH4" s="416"/>
      <c r="BI4" s="416"/>
      <c r="BJ4" s="416"/>
      <c r="BK4" s="417"/>
    </row>
    <row r="5" spans="1:63" ht="5.0999999999999996" customHeight="1" x14ac:dyDescent="0.25">
      <c r="A5" s="418"/>
      <c r="B5" s="419"/>
      <c r="C5" s="419"/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19"/>
      <c r="O5" s="419"/>
      <c r="P5" s="419"/>
      <c r="Q5" s="419"/>
      <c r="R5" s="419"/>
      <c r="S5" s="419"/>
      <c r="T5" s="419"/>
      <c r="U5" s="419"/>
      <c r="V5" s="419"/>
      <c r="W5" s="419"/>
      <c r="X5" s="419"/>
      <c r="Y5" s="419"/>
      <c r="Z5" s="419"/>
      <c r="AA5" s="419"/>
      <c r="AB5" s="419"/>
      <c r="AC5" s="419"/>
      <c r="AD5" s="419"/>
      <c r="AE5" s="419"/>
      <c r="AF5" s="419"/>
      <c r="AG5" s="419"/>
      <c r="AH5" s="419"/>
      <c r="AI5" s="419"/>
      <c r="AJ5" s="419"/>
      <c r="AK5" s="419"/>
      <c r="AL5" s="419"/>
      <c r="AM5" s="419"/>
      <c r="AN5" s="419"/>
      <c r="AO5" s="419"/>
      <c r="AP5" s="419"/>
      <c r="AQ5" s="419"/>
      <c r="AR5" s="419"/>
      <c r="AS5" s="419"/>
      <c r="AT5" s="419"/>
      <c r="AU5" s="419"/>
      <c r="AV5" s="419"/>
      <c r="AW5" s="419"/>
      <c r="AX5" s="419"/>
      <c r="AY5" s="419"/>
      <c r="AZ5" s="419"/>
      <c r="BA5" s="419"/>
      <c r="BB5" s="419"/>
      <c r="BC5" s="419"/>
      <c r="BD5" s="419"/>
      <c r="BE5" s="419"/>
      <c r="BF5" s="419"/>
      <c r="BG5" s="419"/>
      <c r="BH5" s="419"/>
      <c r="BI5" s="419"/>
      <c r="BJ5" s="419"/>
      <c r="BK5" s="420"/>
    </row>
    <row r="6" spans="1:63" ht="15" customHeight="1" x14ac:dyDescent="0.25">
      <c r="A6" s="421"/>
      <c r="BK6" s="422"/>
    </row>
    <row r="7" spans="1:63" ht="15" customHeight="1" x14ac:dyDescent="0.25">
      <c r="A7" s="421"/>
      <c r="BK7" s="422"/>
    </row>
    <row r="8" spans="1:63" ht="15" customHeight="1" x14ac:dyDescent="0.25">
      <c r="A8" s="421"/>
      <c r="B8" s="396" t="s">
        <v>9</v>
      </c>
      <c r="BK8" s="422"/>
    </row>
    <row r="9" spans="1:63" ht="15" customHeight="1" x14ac:dyDescent="0.25">
      <c r="A9" s="421"/>
      <c r="BK9" s="422"/>
    </row>
    <row r="10" spans="1:63" ht="15" customHeight="1" x14ac:dyDescent="0.25">
      <c r="A10" s="421"/>
      <c r="B10" s="423" t="s">
        <v>181</v>
      </c>
      <c r="C10" s="423"/>
      <c r="D10" s="423"/>
      <c r="E10" s="423"/>
      <c r="F10" s="423"/>
      <c r="G10" s="423"/>
      <c r="H10" s="423" t="s">
        <v>180</v>
      </c>
      <c r="I10" s="423"/>
      <c r="J10" s="423"/>
      <c r="K10" s="423"/>
      <c r="L10" s="423"/>
      <c r="M10" s="423"/>
      <c r="N10" s="423"/>
      <c r="O10" s="423" t="s">
        <v>182</v>
      </c>
      <c r="P10" s="423"/>
      <c r="Q10" s="423"/>
      <c r="R10" s="423"/>
      <c r="S10" s="423" t="s">
        <v>185</v>
      </c>
      <c r="T10" s="423"/>
      <c r="U10" s="423"/>
      <c r="V10" s="423"/>
      <c r="W10" s="423"/>
      <c r="X10" s="423"/>
      <c r="Y10" s="423"/>
      <c r="Z10" s="423"/>
      <c r="AA10" s="423"/>
      <c r="AB10" s="423"/>
      <c r="AC10" s="423"/>
      <c r="AD10" s="423"/>
      <c r="AE10" s="423"/>
      <c r="AF10" s="423"/>
      <c r="AG10" s="423"/>
      <c r="AH10" s="423"/>
      <c r="AI10" s="423"/>
      <c r="AJ10" s="423"/>
      <c r="AK10" s="423"/>
      <c r="AL10" s="423"/>
      <c r="AM10" s="423"/>
      <c r="AN10" s="423"/>
      <c r="AO10" s="423"/>
      <c r="AP10" s="423"/>
      <c r="AQ10" s="423"/>
      <c r="AR10" s="423"/>
      <c r="AS10" s="423"/>
      <c r="AT10" s="423"/>
      <c r="AU10" s="423"/>
      <c r="AV10" s="423"/>
      <c r="AW10" s="423"/>
      <c r="AX10" s="423" t="s">
        <v>186</v>
      </c>
      <c r="AY10" s="423"/>
      <c r="AZ10" s="423"/>
      <c r="BA10" s="423"/>
      <c r="BB10" s="423"/>
      <c r="BC10" s="423"/>
      <c r="BD10" s="423" t="s">
        <v>187</v>
      </c>
      <c r="BE10" s="423"/>
      <c r="BF10" s="423"/>
      <c r="BG10" s="423"/>
      <c r="BH10" s="423"/>
      <c r="BI10" s="423"/>
      <c r="BJ10" s="423"/>
      <c r="BK10" s="422"/>
    </row>
    <row r="11" spans="1:63" ht="15" customHeight="1" x14ac:dyDescent="0.25">
      <c r="A11" s="421"/>
      <c r="B11" s="403">
        <v>45518</v>
      </c>
      <c r="C11" s="398"/>
      <c r="D11" s="398"/>
      <c r="E11" s="398"/>
      <c r="F11" s="398"/>
      <c r="G11" s="399"/>
      <c r="H11" s="5" t="s">
        <v>188</v>
      </c>
      <c r="I11" s="398"/>
      <c r="J11" s="398"/>
      <c r="K11" s="398"/>
      <c r="L11" s="398"/>
      <c r="M11" s="398"/>
      <c r="N11" s="399"/>
      <c r="O11" s="397">
        <v>0.1</v>
      </c>
      <c r="P11" s="398"/>
      <c r="Q11" s="398"/>
      <c r="R11" s="398"/>
      <c r="S11" s="424" t="s">
        <v>13</v>
      </c>
      <c r="T11" s="425"/>
      <c r="U11" s="425"/>
      <c r="V11" s="425"/>
      <c r="W11" s="425"/>
      <c r="X11" s="425"/>
      <c r="Y11" s="425"/>
      <c r="Z11" s="425"/>
      <c r="AA11" s="425"/>
      <c r="AB11" s="425"/>
      <c r="AC11" s="425"/>
      <c r="AD11" s="425"/>
      <c r="AE11" s="425"/>
      <c r="AF11" s="425"/>
      <c r="AG11" s="425"/>
      <c r="AH11" s="425"/>
      <c r="AI11" s="425"/>
      <c r="AJ11" s="425"/>
      <c r="AK11" s="425"/>
      <c r="AL11" s="425"/>
      <c r="AM11" s="425"/>
      <c r="AN11" s="425"/>
      <c r="AO11" s="425"/>
      <c r="AP11" s="425"/>
      <c r="AQ11" s="425"/>
      <c r="AR11" s="425"/>
      <c r="AS11" s="425"/>
      <c r="AT11" s="425"/>
      <c r="AU11" s="425"/>
      <c r="AV11" s="425"/>
      <c r="AW11" s="426"/>
      <c r="AX11" s="427"/>
      <c r="AY11" s="427"/>
      <c r="AZ11" s="427"/>
      <c r="BA11" s="427"/>
      <c r="BB11" s="427"/>
      <c r="BC11" s="428"/>
      <c r="BD11" s="429"/>
      <c r="BE11" s="427"/>
      <c r="BF11" s="427"/>
      <c r="BG11" s="427"/>
      <c r="BH11" s="427"/>
      <c r="BI11" s="427"/>
      <c r="BJ11" s="428"/>
      <c r="BK11" s="422"/>
    </row>
    <row r="12" spans="1:63" ht="15" customHeight="1" x14ac:dyDescent="0.25">
      <c r="A12" s="421"/>
      <c r="B12" s="406"/>
      <c r="C12" s="407"/>
      <c r="D12" s="407"/>
      <c r="E12" s="407"/>
      <c r="F12" s="407"/>
      <c r="G12" s="408"/>
      <c r="H12" s="406"/>
      <c r="I12" s="407"/>
      <c r="J12" s="407"/>
      <c r="K12" s="407"/>
      <c r="L12" s="407"/>
      <c r="M12" s="407"/>
      <c r="N12" s="408"/>
      <c r="O12" s="406"/>
      <c r="P12" s="407"/>
      <c r="Q12" s="407"/>
      <c r="R12" s="407"/>
      <c r="S12" s="430"/>
      <c r="T12" s="431"/>
      <c r="U12" s="431"/>
      <c r="V12" s="431"/>
      <c r="W12" s="431"/>
      <c r="X12" s="431"/>
      <c r="Y12" s="431"/>
      <c r="Z12" s="431"/>
      <c r="AA12" s="431"/>
      <c r="AB12" s="431"/>
      <c r="AC12" s="431"/>
      <c r="AD12" s="431"/>
      <c r="AE12" s="431"/>
      <c r="AF12" s="431"/>
      <c r="AG12" s="431"/>
      <c r="AH12" s="431"/>
      <c r="AI12" s="431"/>
      <c r="AJ12" s="431"/>
      <c r="AK12" s="431"/>
      <c r="AL12" s="431"/>
      <c r="AM12" s="431"/>
      <c r="AN12" s="431"/>
      <c r="AO12" s="431"/>
      <c r="AP12" s="431"/>
      <c r="AQ12" s="431"/>
      <c r="AR12" s="431"/>
      <c r="AS12" s="431"/>
      <c r="AT12" s="431"/>
      <c r="AU12" s="431"/>
      <c r="AV12" s="431"/>
      <c r="AW12" s="432"/>
      <c r="AX12" s="433"/>
      <c r="AY12" s="433"/>
      <c r="AZ12" s="433"/>
      <c r="BA12" s="433"/>
      <c r="BB12" s="433"/>
      <c r="BC12" s="434"/>
      <c r="BD12" s="435"/>
      <c r="BE12" s="433"/>
      <c r="BF12" s="433"/>
      <c r="BG12" s="433"/>
      <c r="BH12" s="433"/>
      <c r="BI12" s="433"/>
      <c r="BJ12" s="434"/>
      <c r="BK12" s="422"/>
    </row>
    <row r="13" spans="1:63" ht="15" customHeight="1" x14ac:dyDescent="0.25">
      <c r="A13" s="421"/>
      <c r="B13" s="436">
        <v>45603</v>
      </c>
      <c r="C13" s="437"/>
      <c r="D13" s="437"/>
      <c r="E13" s="437"/>
      <c r="F13" s="437"/>
      <c r="G13" s="438"/>
      <c r="H13" s="439" t="s">
        <v>189</v>
      </c>
      <c r="I13" s="437"/>
      <c r="J13" s="437"/>
      <c r="K13" s="437"/>
      <c r="L13" s="437"/>
      <c r="M13" s="437"/>
      <c r="N13" s="438"/>
      <c r="O13" s="439">
        <v>0.11</v>
      </c>
      <c r="P13" s="437"/>
      <c r="Q13" s="437"/>
      <c r="R13" s="437"/>
      <c r="S13" s="440" t="s">
        <v>190</v>
      </c>
      <c r="T13" s="441"/>
      <c r="U13" s="441"/>
      <c r="V13" s="441"/>
      <c r="W13" s="441"/>
      <c r="X13" s="441"/>
      <c r="Y13" s="441"/>
      <c r="Z13" s="441"/>
      <c r="AA13" s="441"/>
      <c r="AB13" s="441"/>
      <c r="AC13" s="441"/>
      <c r="AD13" s="441"/>
      <c r="AE13" s="441"/>
      <c r="AF13" s="441"/>
      <c r="AG13" s="441"/>
      <c r="AH13" s="441"/>
      <c r="AI13" s="441"/>
      <c r="AJ13" s="441"/>
      <c r="AK13" s="441"/>
      <c r="AL13" s="441"/>
      <c r="AM13" s="441"/>
      <c r="AN13" s="441"/>
      <c r="AO13" s="441"/>
      <c r="AP13" s="441"/>
      <c r="AQ13" s="441"/>
      <c r="AR13" s="441"/>
      <c r="AS13" s="441"/>
      <c r="AT13" s="441"/>
      <c r="AU13" s="441"/>
      <c r="AV13" s="441"/>
      <c r="AW13" s="442"/>
      <c r="AX13" s="427"/>
      <c r="AY13" s="427"/>
      <c r="AZ13" s="427"/>
      <c r="BA13" s="427"/>
      <c r="BB13" s="427"/>
      <c r="BC13" s="428"/>
      <c r="BD13" s="429"/>
      <c r="BE13" s="427"/>
      <c r="BF13" s="427"/>
      <c r="BG13" s="427"/>
      <c r="BH13" s="427"/>
      <c r="BI13" s="427"/>
      <c r="BJ13" s="428"/>
      <c r="BK13" s="422"/>
    </row>
    <row r="14" spans="1:63" ht="15" customHeight="1" x14ac:dyDescent="0.25">
      <c r="A14" s="421"/>
      <c r="B14" s="443"/>
      <c r="C14" s="444"/>
      <c r="D14" s="444"/>
      <c r="E14" s="444"/>
      <c r="F14" s="444"/>
      <c r="G14" s="445"/>
      <c r="H14" s="443"/>
      <c r="I14" s="444"/>
      <c r="J14" s="444"/>
      <c r="K14" s="444"/>
      <c r="L14" s="444"/>
      <c r="M14" s="444"/>
      <c r="N14" s="445"/>
      <c r="O14" s="443"/>
      <c r="P14" s="444"/>
      <c r="Q14" s="444"/>
      <c r="R14" s="444"/>
      <c r="S14" s="446"/>
      <c r="T14" s="447"/>
      <c r="U14" s="447"/>
      <c r="V14" s="447"/>
      <c r="W14" s="447"/>
      <c r="X14" s="447"/>
      <c r="Y14" s="447"/>
      <c r="Z14" s="447"/>
      <c r="AA14" s="447"/>
      <c r="AB14" s="447"/>
      <c r="AC14" s="447"/>
      <c r="AD14" s="447"/>
      <c r="AE14" s="447"/>
      <c r="AF14" s="447"/>
      <c r="AG14" s="447"/>
      <c r="AH14" s="447"/>
      <c r="AI14" s="447"/>
      <c r="AJ14" s="447"/>
      <c r="AK14" s="447"/>
      <c r="AL14" s="447"/>
      <c r="AM14" s="447"/>
      <c r="AN14" s="447"/>
      <c r="AO14" s="447"/>
      <c r="AP14" s="447"/>
      <c r="AQ14" s="447"/>
      <c r="AR14" s="447"/>
      <c r="AS14" s="447"/>
      <c r="AT14" s="447"/>
      <c r="AU14" s="447"/>
      <c r="AV14" s="447"/>
      <c r="AW14" s="448"/>
      <c r="AX14" s="433"/>
      <c r="AY14" s="433"/>
      <c r="AZ14" s="433"/>
      <c r="BA14" s="433"/>
      <c r="BB14" s="433"/>
      <c r="BC14" s="434"/>
      <c r="BD14" s="435"/>
      <c r="BE14" s="433"/>
      <c r="BF14" s="433"/>
      <c r="BG14" s="433"/>
      <c r="BH14" s="433"/>
      <c r="BI14" s="433"/>
      <c r="BJ14" s="434"/>
      <c r="BK14" s="422"/>
    </row>
    <row r="15" spans="1:63" ht="15" customHeight="1" x14ac:dyDescent="0.25">
      <c r="A15" s="421"/>
      <c r="B15" s="449">
        <v>45617</v>
      </c>
      <c r="C15" s="450"/>
      <c r="D15" s="450"/>
      <c r="E15" s="450"/>
      <c r="F15" s="450"/>
      <c r="G15" s="451"/>
      <c r="H15" s="452" t="s">
        <v>188</v>
      </c>
      <c r="I15" s="450"/>
      <c r="J15" s="450"/>
      <c r="K15" s="450"/>
      <c r="L15" s="450"/>
      <c r="M15" s="450"/>
      <c r="N15" s="451"/>
      <c r="O15" s="452">
        <v>0.12</v>
      </c>
      <c r="P15" s="450"/>
      <c r="Q15" s="450"/>
      <c r="R15" s="450"/>
      <c r="S15" s="453" t="s">
        <v>191</v>
      </c>
      <c r="T15" s="454"/>
      <c r="U15" s="454"/>
      <c r="V15" s="454"/>
      <c r="W15" s="454"/>
      <c r="X15" s="454"/>
      <c r="Y15" s="454"/>
      <c r="Z15" s="454"/>
      <c r="AA15" s="454"/>
      <c r="AB15" s="454"/>
      <c r="AC15" s="454"/>
      <c r="AD15" s="454"/>
      <c r="AE15" s="454"/>
      <c r="AF15" s="454"/>
      <c r="AG15" s="454"/>
      <c r="AH15" s="454"/>
      <c r="AI15" s="454"/>
      <c r="AJ15" s="454"/>
      <c r="AK15" s="454"/>
      <c r="AL15" s="454"/>
      <c r="AM15" s="454"/>
      <c r="AN15" s="454"/>
      <c r="AO15" s="454"/>
      <c r="AP15" s="454"/>
      <c r="AQ15" s="454"/>
      <c r="AR15" s="454"/>
      <c r="AS15" s="454"/>
      <c r="AT15" s="454"/>
      <c r="AU15" s="454"/>
      <c r="AV15" s="454"/>
      <c r="AW15" s="455"/>
      <c r="AX15" s="456"/>
      <c r="AY15" s="456"/>
      <c r="AZ15" s="456"/>
      <c r="BA15" s="456"/>
      <c r="BB15" s="456"/>
      <c r="BC15" s="457"/>
      <c r="BD15" s="458"/>
      <c r="BE15" s="456"/>
      <c r="BF15" s="456"/>
      <c r="BG15" s="456"/>
      <c r="BH15" s="456"/>
      <c r="BI15" s="456"/>
      <c r="BJ15" s="457"/>
      <c r="BK15" s="422"/>
    </row>
    <row r="16" spans="1:63" ht="15" customHeight="1" x14ac:dyDescent="0.25">
      <c r="A16" s="421"/>
      <c r="B16" s="459"/>
      <c r="C16" s="460"/>
      <c r="D16" s="460"/>
      <c r="E16" s="460"/>
      <c r="F16" s="460"/>
      <c r="G16" s="461"/>
      <c r="H16" s="459"/>
      <c r="I16" s="460"/>
      <c r="J16" s="460"/>
      <c r="K16" s="460"/>
      <c r="L16" s="460"/>
      <c r="M16" s="460"/>
      <c r="N16" s="461"/>
      <c r="O16" s="459"/>
      <c r="P16" s="460"/>
      <c r="Q16" s="460"/>
      <c r="R16" s="460"/>
      <c r="S16" s="462"/>
      <c r="T16" s="463"/>
      <c r="U16" s="463"/>
      <c r="V16" s="463"/>
      <c r="W16" s="463"/>
      <c r="X16" s="463"/>
      <c r="Y16" s="463"/>
      <c r="Z16" s="463"/>
      <c r="AA16" s="463"/>
      <c r="AB16" s="463"/>
      <c r="AC16" s="463"/>
      <c r="AD16" s="463"/>
      <c r="AE16" s="463"/>
      <c r="AF16" s="463"/>
      <c r="AG16" s="463"/>
      <c r="AH16" s="463"/>
      <c r="AI16" s="463"/>
      <c r="AJ16" s="463"/>
      <c r="AK16" s="463"/>
      <c r="AL16" s="463"/>
      <c r="AM16" s="463"/>
      <c r="AN16" s="463"/>
      <c r="AO16" s="463"/>
      <c r="AP16" s="463"/>
      <c r="AQ16" s="463"/>
      <c r="AR16" s="463"/>
      <c r="AS16" s="463"/>
      <c r="AT16" s="463"/>
      <c r="AU16" s="463"/>
      <c r="AV16" s="463"/>
      <c r="AW16" s="464"/>
      <c r="AX16" s="465"/>
      <c r="AY16" s="465"/>
      <c r="AZ16" s="465"/>
      <c r="BA16" s="465"/>
      <c r="BB16" s="465"/>
      <c r="BC16" s="466"/>
      <c r="BD16" s="467"/>
      <c r="BE16" s="465"/>
      <c r="BF16" s="465"/>
      <c r="BG16" s="465"/>
      <c r="BH16" s="465"/>
      <c r="BI16" s="465"/>
      <c r="BJ16" s="466"/>
      <c r="BK16" s="422"/>
    </row>
    <row r="17" spans="1:63" ht="30.75" customHeight="1" x14ac:dyDescent="0.25">
      <c r="A17" s="421"/>
      <c r="B17" s="93">
        <v>45621</v>
      </c>
      <c r="C17" s="94"/>
      <c r="D17" s="94"/>
      <c r="E17" s="94"/>
      <c r="F17" s="94"/>
      <c r="G17" s="95"/>
      <c r="H17" s="99" t="s">
        <v>188</v>
      </c>
      <c r="I17" s="94"/>
      <c r="J17" s="94"/>
      <c r="K17" s="94"/>
      <c r="L17" s="94"/>
      <c r="M17" s="94"/>
      <c r="N17" s="95"/>
      <c r="O17" s="99">
        <v>0.13</v>
      </c>
      <c r="P17" s="94"/>
      <c r="Q17" s="94"/>
      <c r="R17" s="94"/>
      <c r="S17" s="100" t="s">
        <v>192</v>
      </c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2"/>
      <c r="AX17" s="427"/>
      <c r="AY17" s="427"/>
      <c r="AZ17" s="427"/>
      <c r="BA17" s="427"/>
      <c r="BB17" s="427"/>
      <c r="BC17" s="428"/>
      <c r="BD17" s="429"/>
      <c r="BE17" s="427"/>
      <c r="BF17" s="427"/>
      <c r="BG17" s="427"/>
      <c r="BH17" s="427"/>
      <c r="BI17" s="427"/>
      <c r="BJ17" s="428"/>
      <c r="BK17" s="422"/>
    </row>
    <row r="18" spans="1:63" ht="15" customHeight="1" x14ac:dyDescent="0.25">
      <c r="A18" s="421"/>
      <c r="B18" s="96"/>
      <c r="C18" s="97"/>
      <c r="D18" s="97"/>
      <c r="E18" s="97"/>
      <c r="F18" s="97"/>
      <c r="G18" s="98"/>
      <c r="H18" s="96"/>
      <c r="I18" s="97"/>
      <c r="J18" s="97"/>
      <c r="K18" s="97"/>
      <c r="L18" s="97"/>
      <c r="M18" s="97"/>
      <c r="N18" s="98"/>
      <c r="O18" s="96"/>
      <c r="P18" s="97"/>
      <c r="Q18" s="97"/>
      <c r="R18" s="97"/>
      <c r="S18" s="103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5"/>
      <c r="AX18" s="433"/>
      <c r="AY18" s="433"/>
      <c r="AZ18" s="433"/>
      <c r="BA18" s="433"/>
      <c r="BB18" s="433"/>
      <c r="BC18" s="434"/>
      <c r="BD18" s="435"/>
      <c r="BE18" s="433"/>
      <c r="BF18" s="433"/>
      <c r="BG18" s="433"/>
      <c r="BH18" s="433"/>
      <c r="BI18" s="433"/>
      <c r="BJ18" s="434"/>
      <c r="BK18" s="422"/>
    </row>
    <row r="19" spans="1:63" ht="15" customHeight="1" x14ac:dyDescent="0.25">
      <c r="A19" s="421"/>
      <c r="B19" s="468">
        <v>45636</v>
      </c>
      <c r="C19" s="469"/>
      <c r="D19" s="469"/>
      <c r="E19" s="469"/>
      <c r="F19" s="469"/>
      <c r="G19" s="470"/>
      <c r="H19" s="471" t="s">
        <v>188</v>
      </c>
      <c r="I19" s="469"/>
      <c r="J19" s="469"/>
      <c r="K19" s="469"/>
      <c r="L19" s="469"/>
      <c r="M19" s="469"/>
      <c r="N19" s="470"/>
      <c r="O19" s="471">
        <v>0.14000000000000001</v>
      </c>
      <c r="P19" s="469"/>
      <c r="Q19" s="469"/>
      <c r="R19" s="469"/>
      <c r="S19" s="472" t="s">
        <v>193</v>
      </c>
      <c r="T19" s="473"/>
      <c r="U19" s="473"/>
      <c r="V19" s="473"/>
      <c r="W19" s="473"/>
      <c r="X19" s="473"/>
      <c r="Y19" s="473"/>
      <c r="Z19" s="473"/>
      <c r="AA19" s="473"/>
      <c r="AB19" s="473"/>
      <c r="AC19" s="473"/>
      <c r="AD19" s="473"/>
      <c r="AE19" s="473"/>
      <c r="AF19" s="473"/>
      <c r="AG19" s="473"/>
      <c r="AH19" s="473"/>
      <c r="AI19" s="473"/>
      <c r="AJ19" s="473"/>
      <c r="AK19" s="473"/>
      <c r="AL19" s="473"/>
      <c r="AM19" s="473"/>
      <c r="AN19" s="473"/>
      <c r="AO19" s="473"/>
      <c r="AP19" s="473"/>
      <c r="AQ19" s="473"/>
      <c r="AR19" s="473"/>
      <c r="AS19" s="473"/>
      <c r="AT19" s="473"/>
      <c r="AU19" s="473"/>
      <c r="AV19" s="473"/>
      <c r="AW19" s="474"/>
      <c r="AX19" s="475"/>
      <c r="AY19" s="475"/>
      <c r="AZ19" s="475"/>
      <c r="BA19" s="475"/>
      <c r="BB19" s="475"/>
      <c r="BC19" s="476"/>
      <c r="BD19" s="477"/>
      <c r="BE19" s="475"/>
      <c r="BF19" s="475"/>
      <c r="BG19" s="475"/>
      <c r="BH19" s="475"/>
      <c r="BI19" s="475"/>
      <c r="BJ19" s="476"/>
      <c r="BK19" s="422"/>
    </row>
    <row r="20" spans="1:63" ht="15" customHeight="1" x14ac:dyDescent="0.25">
      <c r="A20" s="421"/>
      <c r="B20" s="478"/>
      <c r="C20" s="479"/>
      <c r="D20" s="479"/>
      <c r="E20" s="479"/>
      <c r="F20" s="479"/>
      <c r="G20" s="480"/>
      <c r="H20" s="478"/>
      <c r="I20" s="479"/>
      <c r="J20" s="479"/>
      <c r="K20" s="479"/>
      <c r="L20" s="479"/>
      <c r="M20" s="479"/>
      <c r="N20" s="480"/>
      <c r="O20" s="478"/>
      <c r="P20" s="479"/>
      <c r="Q20" s="479"/>
      <c r="R20" s="479"/>
      <c r="S20" s="481"/>
      <c r="T20" s="482"/>
      <c r="U20" s="482"/>
      <c r="V20" s="482"/>
      <c r="W20" s="482"/>
      <c r="X20" s="482"/>
      <c r="Y20" s="482"/>
      <c r="Z20" s="482"/>
      <c r="AA20" s="482"/>
      <c r="AB20" s="482"/>
      <c r="AC20" s="482"/>
      <c r="AD20" s="482"/>
      <c r="AE20" s="482"/>
      <c r="AF20" s="482"/>
      <c r="AG20" s="482"/>
      <c r="AH20" s="482"/>
      <c r="AI20" s="482"/>
      <c r="AJ20" s="482"/>
      <c r="AK20" s="482"/>
      <c r="AL20" s="482"/>
      <c r="AM20" s="482"/>
      <c r="AN20" s="482"/>
      <c r="AO20" s="482"/>
      <c r="AP20" s="482"/>
      <c r="AQ20" s="482"/>
      <c r="AR20" s="482"/>
      <c r="AS20" s="482"/>
      <c r="AT20" s="482"/>
      <c r="AU20" s="482"/>
      <c r="AV20" s="482"/>
      <c r="AW20" s="483"/>
      <c r="AX20" s="484"/>
      <c r="AY20" s="484"/>
      <c r="AZ20" s="484"/>
      <c r="BA20" s="484"/>
      <c r="BB20" s="484"/>
      <c r="BC20" s="485"/>
      <c r="BD20" s="486"/>
      <c r="BE20" s="484"/>
      <c r="BF20" s="484"/>
      <c r="BG20" s="484"/>
      <c r="BH20" s="484"/>
      <c r="BI20" s="484"/>
      <c r="BJ20" s="485"/>
      <c r="BK20" s="422"/>
    </row>
    <row r="21" spans="1:63" ht="15" customHeight="1" x14ac:dyDescent="0.25">
      <c r="A21" s="421"/>
      <c r="B21" s="397"/>
      <c r="C21" s="398"/>
      <c r="D21" s="398"/>
      <c r="E21" s="398"/>
      <c r="F21" s="398"/>
      <c r="G21" s="399"/>
      <c r="H21" s="397"/>
      <c r="I21" s="398"/>
      <c r="J21" s="398"/>
      <c r="K21" s="398"/>
      <c r="L21" s="398"/>
      <c r="M21" s="398"/>
      <c r="N21" s="399"/>
      <c r="O21" s="397"/>
      <c r="P21" s="398"/>
      <c r="Q21" s="398"/>
      <c r="R21" s="398"/>
      <c r="S21" s="424"/>
      <c r="T21" s="425"/>
      <c r="U21" s="425"/>
      <c r="V21" s="425"/>
      <c r="W21" s="425"/>
      <c r="X21" s="425"/>
      <c r="Y21" s="425"/>
      <c r="Z21" s="425"/>
      <c r="AA21" s="425"/>
      <c r="AB21" s="425"/>
      <c r="AC21" s="425"/>
      <c r="AD21" s="425"/>
      <c r="AE21" s="425"/>
      <c r="AF21" s="425"/>
      <c r="AG21" s="425"/>
      <c r="AH21" s="425"/>
      <c r="AI21" s="425"/>
      <c r="AJ21" s="425"/>
      <c r="AK21" s="425"/>
      <c r="AL21" s="425"/>
      <c r="AM21" s="425"/>
      <c r="AN21" s="425"/>
      <c r="AO21" s="425"/>
      <c r="AP21" s="425"/>
      <c r="AQ21" s="425"/>
      <c r="AR21" s="425"/>
      <c r="AS21" s="425"/>
      <c r="AT21" s="425"/>
      <c r="AU21" s="425"/>
      <c r="AV21" s="425"/>
      <c r="AW21" s="426"/>
      <c r="AX21" s="427"/>
      <c r="AY21" s="427"/>
      <c r="AZ21" s="427"/>
      <c r="BA21" s="427"/>
      <c r="BB21" s="427"/>
      <c r="BC21" s="428"/>
      <c r="BD21" s="429"/>
      <c r="BE21" s="427"/>
      <c r="BF21" s="427"/>
      <c r="BG21" s="427"/>
      <c r="BH21" s="427"/>
      <c r="BI21" s="427"/>
      <c r="BJ21" s="428"/>
      <c r="BK21" s="422"/>
    </row>
    <row r="22" spans="1:63" ht="15" customHeight="1" x14ac:dyDescent="0.25">
      <c r="A22" s="421"/>
      <c r="B22" s="406"/>
      <c r="C22" s="407"/>
      <c r="D22" s="407"/>
      <c r="E22" s="407"/>
      <c r="F22" s="407"/>
      <c r="G22" s="408"/>
      <c r="H22" s="406"/>
      <c r="I22" s="407"/>
      <c r="J22" s="407"/>
      <c r="K22" s="407"/>
      <c r="L22" s="407"/>
      <c r="M22" s="407"/>
      <c r="N22" s="408"/>
      <c r="O22" s="406"/>
      <c r="P22" s="407"/>
      <c r="Q22" s="407"/>
      <c r="R22" s="407"/>
      <c r="S22" s="430"/>
      <c r="T22" s="431"/>
      <c r="U22" s="431"/>
      <c r="V22" s="431"/>
      <c r="W22" s="431"/>
      <c r="X22" s="431"/>
      <c r="Y22" s="431"/>
      <c r="Z22" s="431"/>
      <c r="AA22" s="431"/>
      <c r="AB22" s="431"/>
      <c r="AC22" s="431"/>
      <c r="AD22" s="431"/>
      <c r="AE22" s="431"/>
      <c r="AF22" s="431"/>
      <c r="AG22" s="431"/>
      <c r="AH22" s="431"/>
      <c r="AI22" s="431"/>
      <c r="AJ22" s="431"/>
      <c r="AK22" s="431"/>
      <c r="AL22" s="431"/>
      <c r="AM22" s="431"/>
      <c r="AN22" s="431"/>
      <c r="AO22" s="431"/>
      <c r="AP22" s="431"/>
      <c r="AQ22" s="431"/>
      <c r="AR22" s="431"/>
      <c r="AS22" s="431"/>
      <c r="AT22" s="431"/>
      <c r="AU22" s="431"/>
      <c r="AV22" s="431"/>
      <c r="AW22" s="432"/>
      <c r="AX22" s="433"/>
      <c r="AY22" s="433"/>
      <c r="AZ22" s="433"/>
      <c r="BA22" s="433"/>
      <c r="BB22" s="433"/>
      <c r="BC22" s="434"/>
      <c r="BD22" s="435"/>
      <c r="BE22" s="433"/>
      <c r="BF22" s="433"/>
      <c r="BG22" s="433"/>
      <c r="BH22" s="433"/>
      <c r="BI22" s="433"/>
      <c r="BJ22" s="434"/>
      <c r="BK22" s="422"/>
    </row>
    <row r="23" spans="1:63" ht="15" customHeight="1" x14ac:dyDescent="0.25">
      <c r="A23" s="421"/>
      <c r="B23" s="397"/>
      <c r="C23" s="398"/>
      <c r="D23" s="398"/>
      <c r="E23" s="398"/>
      <c r="F23" s="398"/>
      <c r="G23" s="399"/>
      <c r="H23" s="397"/>
      <c r="I23" s="398"/>
      <c r="J23" s="398"/>
      <c r="K23" s="398"/>
      <c r="L23" s="398"/>
      <c r="M23" s="398"/>
      <c r="N23" s="399"/>
      <c r="O23" s="397"/>
      <c r="P23" s="398"/>
      <c r="Q23" s="398"/>
      <c r="R23" s="398"/>
      <c r="S23" s="424"/>
      <c r="T23" s="425"/>
      <c r="U23" s="425"/>
      <c r="V23" s="425"/>
      <c r="W23" s="425"/>
      <c r="X23" s="425"/>
      <c r="Y23" s="425"/>
      <c r="Z23" s="425"/>
      <c r="AA23" s="425"/>
      <c r="AB23" s="425"/>
      <c r="AC23" s="425"/>
      <c r="AD23" s="425"/>
      <c r="AE23" s="425"/>
      <c r="AF23" s="425"/>
      <c r="AG23" s="425"/>
      <c r="AH23" s="425"/>
      <c r="AI23" s="425"/>
      <c r="AJ23" s="425"/>
      <c r="AK23" s="425"/>
      <c r="AL23" s="425"/>
      <c r="AM23" s="425"/>
      <c r="AN23" s="425"/>
      <c r="AO23" s="425"/>
      <c r="AP23" s="425"/>
      <c r="AQ23" s="425"/>
      <c r="AR23" s="425"/>
      <c r="AS23" s="425"/>
      <c r="AT23" s="425"/>
      <c r="AU23" s="425"/>
      <c r="AV23" s="425"/>
      <c r="AW23" s="426"/>
      <c r="AX23" s="427"/>
      <c r="AY23" s="427"/>
      <c r="AZ23" s="427"/>
      <c r="BA23" s="427"/>
      <c r="BB23" s="427"/>
      <c r="BC23" s="428"/>
      <c r="BD23" s="429"/>
      <c r="BE23" s="427"/>
      <c r="BF23" s="427"/>
      <c r="BG23" s="427"/>
      <c r="BH23" s="427"/>
      <c r="BI23" s="427"/>
      <c r="BJ23" s="428"/>
      <c r="BK23" s="422"/>
    </row>
    <row r="24" spans="1:63" ht="15" customHeight="1" x14ac:dyDescent="0.25">
      <c r="A24" s="421"/>
      <c r="B24" s="406"/>
      <c r="C24" s="407"/>
      <c r="D24" s="407"/>
      <c r="E24" s="407"/>
      <c r="F24" s="407"/>
      <c r="G24" s="408"/>
      <c r="H24" s="406"/>
      <c r="I24" s="407"/>
      <c r="J24" s="407"/>
      <c r="K24" s="407"/>
      <c r="L24" s="407"/>
      <c r="M24" s="407"/>
      <c r="N24" s="408"/>
      <c r="O24" s="406"/>
      <c r="P24" s="407"/>
      <c r="Q24" s="407"/>
      <c r="R24" s="407"/>
      <c r="S24" s="430"/>
      <c r="T24" s="431"/>
      <c r="U24" s="431"/>
      <c r="V24" s="431"/>
      <c r="W24" s="431"/>
      <c r="X24" s="431"/>
      <c r="Y24" s="431"/>
      <c r="Z24" s="431"/>
      <c r="AA24" s="431"/>
      <c r="AB24" s="431"/>
      <c r="AC24" s="431"/>
      <c r="AD24" s="431"/>
      <c r="AE24" s="431"/>
      <c r="AF24" s="431"/>
      <c r="AG24" s="431"/>
      <c r="AH24" s="431"/>
      <c r="AI24" s="431"/>
      <c r="AJ24" s="431"/>
      <c r="AK24" s="431"/>
      <c r="AL24" s="431"/>
      <c r="AM24" s="431"/>
      <c r="AN24" s="431"/>
      <c r="AO24" s="431"/>
      <c r="AP24" s="431"/>
      <c r="AQ24" s="431"/>
      <c r="AR24" s="431"/>
      <c r="AS24" s="431"/>
      <c r="AT24" s="431"/>
      <c r="AU24" s="431"/>
      <c r="AV24" s="431"/>
      <c r="AW24" s="432"/>
      <c r="AX24" s="433"/>
      <c r="AY24" s="433"/>
      <c r="AZ24" s="433"/>
      <c r="BA24" s="433"/>
      <c r="BB24" s="433"/>
      <c r="BC24" s="434"/>
      <c r="BD24" s="435"/>
      <c r="BE24" s="433"/>
      <c r="BF24" s="433"/>
      <c r="BG24" s="433"/>
      <c r="BH24" s="433"/>
      <c r="BI24" s="433"/>
      <c r="BJ24" s="434"/>
      <c r="BK24" s="422"/>
    </row>
    <row r="25" spans="1:63" ht="15" customHeight="1" x14ac:dyDescent="0.25">
      <c r="A25" s="421"/>
      <c r="B25" s="397"/>
      <c r="C25" s="398"/>
      <c r="D25" s="398"/>
      <c r="E25" s="398"/>
      <c r="F25" s="398"/>
      <c r="G25" s="399"/>
      <c r="H25" s="397"/>
      <c r="I25" s="398"/>
      <c r="J25" s="398"/>
      <c r="K25" s="398"/>
      <c r="L25" s="398"/>
      <c r="M25" s="398"/>
      <c r="N25" s="399"/>
      <c r="O25" s="397"/>
      <c r="P25" s="398"/>
      <c r="Q25" s="398"/>
      <c r="R25" s="398"/>
      <c r="S25" s="424"/>
      <c r="T25" s="425"/>
      <c r="U25" s="425"/>
      <c r="V25" s="425"/>
      <c r="W25" s="425"/>
      <c r="X25" s="425"/>
      <c r="Y25" s="425"/>
      <c r="Z25" s="425"/>
      <c r="AA25" s="425"/>
      <c r="AB25" s="425"/>
      <c r="AC25" s="425"/>
      <c r="AD25" s="425"/>
      <c r="AE25" s="425"/>
      <c r="AF25" s="425"/>
      <c r="AG25" s="425"/>
      <c r="AH25" s="425"/>
      <c r="AI25" s="425"/>
      <c r="AJ25" s="425"/>
      <c r="AK25" s="425"/>
      <c r="AL25" s="425"/>
      <c r="AM25" s="425"/>
      <c r="AN25" s="425"/>
      <c r="AO25" s="425"/>
      <c r="AP25" s="425"/>
      <c r="AQ25" s="425"/>
      <c r="AR25" s="425"/>
      <c r="AS25" s="425"/>
      <c r="AT25" s="425"/>
      <c r="AU25" s="425"/>
      <c r="AV25" s="425"/>
      <c r="AW25" s="426"/>
      <c r="AX25" s="427"/>
      <c r="AY25" s="427"/>
      <c r="AZ25" s="427"/>
      <c r="BA25" s="427"/>
      <c r="BB25" s="427"/>
      <c r="BC25" s="428"/>
      <c r="BD25" s="429"/>
      <c r="BE25" s="427"/>
      <c r="BF25" s="427"/>
      <c r="BG25" s="427"/>
      <c r="BH25" s="427"/>
      <c r="BI25" s="427"/>
      <c r="BJ25" s="428"/>
      <c r="BK25" s="422"/>
    </row>
    <row r="26" spans="1:63" ht="15" customHeight="1" x14ac:dyDescent="0.25">
      <c r="A26" s="421"/>
      <c r="B26" s="406"/>
      <c r="C26" s="407"/>
      <c r="D26" s="407"/>
      <c r="E26" s="407"/>
      <c r="F26" s="407"/>
      <c r="G26" s="408"/>
      <c r="H26" s="406"/>
      <c r="I26" s="407"/>
      <c r="J26" s="407"/>
      <c r="K26" s="407"/>
      <c r="L26" s="407"/>
      <c r="M26" s="407"/>
      <c r="N26" s="408"/>
      <c r="O26" s="406"/>
      <c r="P26" s="407"/>
      <c r="Q26" s="407"/>
      <c r="R26" s="407"/>
      <c r="S26" s="430"/>
      <c r="T26" s="431"/>
      <c r="U26" s="431"/>
      <c r="V26" s="431"/>
      <c r="W26" s="431"/>
      <c r="X26" s="431"/>
      <c r="Y26" s="431"/>
      <c r="Z26" s="431"/>
      <c r="AA26" s="431"/>
      <c r="AB26" s="431"/>
      <c r="AC26" s="431"/>
      <c r="AD26" s="431"/>
      <c r="AE26" s="431"/>
      <c r="AF26" s="431"/>
      <c r="AG26" s="431"/>
      <c r="AH26" s="431"/>
      <c r="AI26" s="431"/>
      <c r="AJ26" s="431"/>
      <c r="AK26" s="431"/>
      <c r="AL26" s="431"/>
      <c r="AM26" s="431"/>
      <c r="AN26" s="431"/>
      <c r="AO26" s="431"/>
      <c r="AP26" s="431"/>
      <c r="AQ26" s="431"/>
      <c r="AR26" s="431"/>
      <c r="AS26" s="431"/>
      <c r="AT26" s="431"/>
      <c r="AU26" s="431"/>
      <c r="AV26" s="431"/>
      <c r="AW26" s="432"/>
      <c r="AX26" s="433"/>
      <c r="AY26" s="433"/>
      <c r="AZ26" s="433"/>
      <c r="BA26" s="433"/>
      <c r="BB26" s="433"/>
      <c r="BC26" s="434"/>
      <c r="BD26" s="435"/>
      <c r="BE26" s="433"/>
      <c r="BF26" s="433"/>
      <c r="BG26" s="433"/>
      <c r="BH26" s="433"/>
      <c r="BI26" s="433"/>
      <c r="BJ26" s="434"/>
      <c r="BK26" s="422"/>
    </row>
    <row r="27" spans="1:63" ht="15" customHeight="1" x14ac:dyDescent="0.25">
      <c r="A27" s="421"/>
      <c r="B27" s="397"/>
      <c r="C27" s="398"/>
      <c r="D27" s="398"/>
      <c r="E27" s="398"/>
      <c r="F27" s="398"/>
      <c r="G27" s="399"/>
      <c r="H27" s="397"/>
      <c r="I27" s="398"/>
      <c r="J27" s="398"/>
      <c r="K27" s="398"/>
      <c r="L27" s="398"/>
      <c r="M27" s="398"/>
      <c r="N27" s="399"/>
      <c r="O27" s="397"/>
      <c r="P27" s="398"/>
      <c r="Q27" s="398"/>
      <c r="R27" s="398"/>
      <c r="S27" s="424"/>
      <c r="T27" s="425"/>
      <c r="U27" s="425"/>
      <c r="V27" s="425"/>
      <c r="W27" s="425"/>
      <c r="X27" s="425"/>
      <c r="Y27" s="425"/>
      <c r="Z27" s="425"/>
      <c r="AA27" s="425"/>
      <c r="AB27" s="425"/>
      <c r="AC27" s="425"/>
      <c r="AD27" s="425"/>
      <c r="AE27" s="425"/>
      <c r="AF27" s="425"/>
      <c r="AG27" s="425"/>
      <c r="AH27" s="425"/>
      <c r="AI27" s="425"/>
      <c r="AJ27" s="425"/>
      <c r="AK27" s="425"/>
      <c r="AL27" s="425"/>
      <c r="AM27" s="425"/>
      <c r="AN27" s="425"/>
      <c r="AO27" s="425"/>
      <c r="AP27" s="425"/>
      <c r="AQ27" s="425"/>
      <c r="AR27" s="425"/>
      <c r="AS27" s="425"/>
      <c r="AT27" s="425"/>
      <c r="AU27" s="425"/>
      <c r="AV27" s="425"/>
      <c r="AW27" s="426"/>
      <c r="AX27" s="427"/>
      <c r="AY27" s="427"/>
      <c r="AZ27" s="427"/>
      <c r="BA27" s="427"/>
      <c r="BB27" s="427"/>
      <c r="BC27" s="428"/>
      <c r="BD27" s="429"/>
      <c r="BE27" s="427"/>
      <c r="BF27" s="427"/>
      <c r="BG27" s="427"/>
      <c r="BH27" s="427"/>
      <c r="BI27" s="427"/>
      <c r="BJ27" s="428"/>
      <c r="BK27" s="422"/>
    </row>
    <row r="28" spans="1:63" ht="15" customHeight="1" x14ac:dyDescent="0.25">
      <c r="A28" s="421"/>
      <c r="B28" s="406"/>
      <c r="C28" s="407"/>
      <c r="D28" s="407"/>
      <c r="E28" s="407"/>
      <c r="F28" s="407"/>
      <c r="G28" s="408"/>
      <c r="H28" s="406"/>
      <c r="I28" s="407"/>
      <c r="J28" s="407"/>
      <c r="K28" s="407"/>
      <c r="L28" s="407"/>
      <c r="M28" s="407"/>
      <c r="N28" s="408"/>
      <c r="O28" s="406"/>
      <c r="P28" s="407"/>
      <c r="Q28" s="407"/>
      <c r="R28" s="407"/>
      <c r="S28" s="430"/>
      <c r="T28" s="431"/>
      <c r="U28" s="431"/>
      <c r="V28" s="431"/>
      <c r="W28" s="431"/>
      <c r="X28" s="431"/>
      <c r="Y28" s="431"/>
      <c r="Z28" s="431"/>
      <c r="AA28" s="431"/>
      <c r="AB28" s="431"/>
      <c r="AC28" s="431"/>
      <c r="AD28" s="431"/>
      <c r="AE28" s="431"/>
      <c r="AF28" s="431"/>
      <c r="AG28" s="431"/>
      <c r="AH28" s="431"/>
      <c r="AI28" s="431"/>
      <c r="AJ28" s="431"/>
      <c r="AK28" s="431"/>
      <c r="AL28" s="431"/>
      <c r="AM28" s="431"/>
      <c r="AN28" s="431"/>
      <c r="AO28" s="431"/>
      <c r="AP28" s="431"/>
      <c r="AQ28" s="431"/>
      <c r="AR28" s="431"/>
      <c r="AS28" s="431"/>
      <c r="AT28" s="431"/>
      <c r="AU28" s="431"/>
      <c r="AV28" s="431"/>
      <c r="AW28" s="432"/>
      <c r="AX28" s="433"/>
      <c r="AY28" s="433"/>
      <c r="AZ28" s="433"/>
      <c r="BA28" s="433"/>
      <c r="BB28" s="433"/>
      <c r="BC28" s="434"/>
      <c r="BD28" s="435"/>
      <c r="BE28" s="433"/>
      <c r="BF28" s="433"/>
      <c r="BG28" s="433"/>
      <c r="BH28" s="433"/>
      <c r="BI28" s="433"/>
      <c r="BJ28" s="434"/>
      <c r="BK28" s="422"/>
    </row>
    <row r="29" spans="1:63" ht="15" customHeight="1" x14ac:dyDescent="0.25">
      <c r="A29" s="421"/>
      <c r="B29" s="397"/>
      <c r="C29" s="398"/>
      <c r="D29" s="398"/>
      <c r="E29" s="398"/>
      <c r="F29" s="398"/>
      <c r="G29" s="399"/>
      <c r="H29" s="397"/>
      <c r="I29" s="398"/>
      <c r="J29" s="398"/>
      <c r="K29" s="398"/>
      <c r="L29" s="398"/>
      <c r="M29" s="398"/>
      <c r="N29" s="399"/>
      <c r="O29" s="397"/>
      <c r="P29" s="398"/>
      <c r="Q29" s="398"/>
      <c r="R29" s="398"/>
      <c r="S29" s="424"/>
      <c r="T29" s="425"/>
      <c r="U29" s="425"/>
      <c r="V29" s="425"/>
      <c r="W29" s="425"/>
      <c r="X29" s="425"/>
      <c r="Y29" s="425"/>
      <c r="Z29" s="425"/>
      <c r="AA29" s="425"/>
      <c r="AB29" s="425"/>
      <c r="AC29" s="425"/>
      <c r="AD29" s="425"/>
      <c r="AE29" s="425"/>
      <c r="AF29" s="425"/>
      <c r="AG29" s="425"/>
      <c r="AH29" s="425"/>
      <c r="AI29" s="425"/>
      <c r="AJ29" s="425"/>
      <c r="AK29" s="425"/>
      <c r="AL29" s="425"/>
      <c r="AM29" s="425"/>
      <c r="AN29" s="425"/>
      <c r="AO29" s="425"/>
      <c r="AP29" s="425"/>
      <c r="AQ29" s="425"/>
      <c r="AR29" s="425"/>
      <c r="AS29" s="425"/>
      <c r="AT29" s="425"/>
      <c r="AU29" s="425"/>
      <c r="AV29" s="425"/>
      <c r="AW29" s="426"/>
      <c r="AX29" s="427"/>
      <c r="AY29" s="427"/>
      <c r="AZ29" s="427"/>
      <c r="BA29" s="427"/>
      <c r="BB29" s="427"/>
      <c r="BC29" s="428"/>
      <c r="BD29" s="429"/>
      <c r="BE29" s="427"/>
      <c r="BF29" s="427"/>
      <c r="BG29" s="427"/>
      <c r="BH29" s="427"/>
      <c r="BI29" s="427"/>
      <c r="BJ29" s="428"/>
      <c r="BK29" s="422"/>
    </row>
    <row r="30" spans="1:63" ht="15" customHeight="1" x14ac:dyDescent="0.25">
      <c r="A30" s="421"/>
      <c r="B30" s="406"/>
      <c r="C30" s="407"/>
      <c r="D30" s="407"/>
      <c r="E30" s="407"/>
      <c r="F30" s="407"/>
      <c r="G30" s="408"/>
      <c r="H30" s="406"/>
      <c r="I30" s="407"/>
      <c r="J30" s="407"/>
      <c r="K30" s="407"/>
      <c r="L30" s="407"/>
      <c r="M30" s="407"/>
      <c r="N30" s="408"/>
      <c r="O30" s="406"/>
      <c r="P30" s="407"/>
      <c r="Q30" s="407"/>
      <c r="R30" s="407"/>
      <c r="S30" s="430"/>
      <c r="T30" s="431"/>
      <c r="U30" s="431"/>
      <c r="V30" s="431"/>
      <c r="W30" s="431"/>
      <c r="X30" s="431"/>
      <c r="Y30" s="431"/>
      <c r="Z30" s="431"/>
      <c r="AA30" s="431"/>
      <c r="AB30" s="431"/>
      <c r="AC30" s="431"/>
      <c r="AD30" s="431"/>
      <c r="AE30" s="431"/>
      <c r="AF30" s="431"/>
      <c r="AG30" s="431"/>
      <c r="AH30" s="431"/>
      <c r="AI30" s="431"/>
      <c r="AJ30" s="431"/>
      <c r="AK30" s="431"/>
      <c r="AL30" s="431"/>
      <c r="AM30" s="431"/>
      <c r="AN30" s="431"/>
      <c r="AO30" s="431"/>
      <c r="AP30" s="431"/>
      <c r="AQ30" s="431"/>
      <c r="AR30" s="431"/>
      <c r="AS30" s="431"/>
      <c r="AT30" s="431"/>
      <c r="AU30" s="431"/>
      <c r="AV30" s="431"/>
      <c r="AW30" s="432"/>
      <c r="AX30" s="433"/>
      <c r="AY30" s="433"/>
      <c r="AZ30" s="433"/>
      <c r="BA30" s="433"/>
      <c r="BB30" s="433"/>
      <c r="BC30" s="434"/>
      <c r="BD30" s="435"/>
      <c r="BE30" s="433"/>
      <c r="BF30" s="433"/>
      <c r="BG30" s="433"/>
      <c r="BH30" s="433"/>
      <c r="BI30" s="433"/>
      <c r="BJ30" s="434"/>
      <c r="BK30" s="422"/>
    </row>
    <row r="31" spans="1:63" ht="15" customHeight="1" x14ac:dyDescent="0.25">
      <c r="A31" s="421"/>
      <c r="B31" s="397"/>
      <c r="C31" s="398"/>
      <c r="D31" s="398"/>
      <c r="E31" s="398"/>
      <c r="F31" s="398"/>
      <c r="G31" s="399"/>
      <c r="H31" s="397"/>
      <c r="I31" s="398"/>
      <c r="J31" s="398"/>
      <c r="K31" s="398"/>
      <c r="L31" s="398"/>
      <c r="M31" s="398"/>
      <c r="N31" s="399"/>
      <c r="O31" s="397"/>
      <c r="P31" s="398"/>
      <c r="Q31" s="398"/>
      <c r="R31" s="398"/>
      <c r="S31" s="424"/>
      <c r="T31" s="425"/>
      <c r="U31" s="425"/>
      <c r="V31" s="425"/>
      <c r="W31" s="425"/>
      <c r="X31" s="425"/>
      <c r="Y31" s="425"/>
      <c r="Z31" s="425"/>
      <c r="AA31" s="425"/>
      <c r="AB31" s="425"/>
      <c r="AC31" s="425"/>
      <c r="AD31" s="425"/>
      <c r="AE31" s="425"/>
      <c r="AF31" s="425"/>
      <c r="AG31" s="425"/>
      <c r="AH31" s="425"/>
      <c r="AI31" s="425"/>
      <c r="AJ31" s="425"/>
      <c r="AK31" s="425"/>
      <c r="AL31" s="425"/>
      <c r="AM31" s="425"/>
      <c r="AN31" s="425"/>
      <c r="AO31" s="425"/>
      <c r="AP31" s="425"/>
      <c r="AQ31" s="425"/>
      <c r="AR31" s="425"/>
      <c r="AS31" s="425"/>
      <c r="AT31" s="425"/>
      <c r="AU31" s="425"/>
      <c r="AV31" s="425"/>
      <c r="AW31" s="426"/>
      <c r="AX31" s="427"/>
      <c r="AY31" s="427"/>
      <c r="AZ31" s="427"/>
      <c r="BA31" s="427"/>
      <c r="BB31" s="427"/>
      <c r="BC31" s="428"/>
      <c r="BD31" s="429"/>
      <c r="BE31" s="427"/>
      <c r="BF31" s="427"/>
      <c r="BG31" s="427"/>
      <c r="BH31" s="427"/>
      <c r="BI31" s="427"/>
      <c r="BJ31" s="428"/>
      <c r="BK31" s="422"/>
    </row>
    <row r="32" spans="1:63" ht="15" customHeight="1" x14ac:dyDescent="0.25">
      <c r="A32" s="421"/>
      <c r="B32" s="406"/>
      <c r="C32" s="407"/>
      <c r="D32" s="407"/>
      <c r="E32" s="407"/>
      <c r="F32" s="407"/>
      <c r="G32" s="408"/>
      <c r="H32" s="406"/>
      <c r="I32" s="407"/>
      <c r="J32" s="407"/>
      <c r="K32" s="407"/>
      <c r="L32" s="407"/>
      <c r="M32" s="407"/>
      <c r="N32" s="408"/>
      <c r="O32" s="406"/>
      <c r="P32" s="407"/>
      <c r="Q32" s="407"/>
      <c r="R32" s="407"/>
      <c r="S32" s="430"/>
      <c r="T32" s="431"/>
      <c r="U32" s="431"/>
      <c r="V32" s="431"/>
      <c r="W32" s="431"/>
      <c r="X32" s="431"/>
      <c r="Y32" s="431"/>
      <c r="Z32" s="431"/>
      <c r="AA32" s="431"/>
      <c r="AB32" s="431"/>
      <c r="AC32" s="431"/>
      <c r="AD32" s="431"/>
      <c r="AE32" s="431"/>
      <c r="AF32" s="431"/>
      <c r="AG32" s="431"/>
      <c r="AH32" s="431"/>
      <c r="AI32" s="431"/>
      <c r="AJ32" s="431"/>
      <c r="AK32" s="431"/>
      <c r="AL32" s="431"/>
      <c r="AM32" s="431"/>
      <c r="AN32" s="431"/>
      <c r="AO32" s="431"/>
      <c r="AP32" s="431"/>
      <c r="AQ32" s="431"/>
      <c r="AR32" s="431"/>
      <c r="AS32" s="431"/>
      <c r="AT32" s="431"/>
      <c r="AU32" s="431"/>
      <c r="AV32" s="431"/>
      <c r="AW32" s="432"/>
      <c r="AX32" s="433"/>
      <c r="AY32" s="433"/>
      <c r="AZ32" s="433"/>
      <c r="BA32" s="433"/>
      <c r="BB32" s="433"/>
      <c r="BC32" s="434"/>
      <c r="BD32" s="435"/>
      <c r="BE32" s="433"/>
      <c r="BF32" s="433"/>
      <c r="BG32" s="433"/>
      <c r="BH32" s="433"/>
      <c r="BI32" s="433"/>
      <c r="BJ32" s="434"/>
      <c r="BK32" s="422"/>
    </row>
    <row r="33" spans="1:63" ht="15" customHeight="1" x14ac:dyDescent="0.25">
      <c r="A33" s="421"/>
      <c r="B33" s="397"/>
      <c r="C33" s="398"/>
      <c r="D33" s="398"/>
      <c r="E33" s="398"/>
      <c r="F33" s="398"/>
      <c r="G33" s="399"/>
      <c r="H33" s="397"/>
      <c r="I33" s="398"/>
      <c r="J33" s="398"/>
      <c r="K33" s="398"/>
      <c r="L33" s="398"/>
      <c r="M33" s="398"/>
      <c r="N33" s="399"/>
      <c r="O33" s="397"/>
      <c r="P33" s="398"/>
      <c r="Q33" s="398"/>
      <c r="R33" s="398"/>
      <c r="S33" s="424"/>
      <c r="T33" s="425"/>
      <c r="U33" s="425"/>
      <c r="V33" s="425"/>
      <c r="W33" s="425"/>
      <c r="X33" s="425"/>
      <c r="Y33" s="425"/>
      <c r="Z33" s="425"/>
      <c r="AA33" s="425"/>
      <c r="AB33" s="425"/>
      <c r="AC33" s="425"/>
      <c r="AD33" s="425"/>
      <c r="AE33" s="425"/>
      <c r="AF33" s="425"/>
      <c r="AG33" s="425"/>
      <c r="AH33" s="425"/>
      <c r="AI33" s="425"/>
      <c r="AJ33" s="425"/>
      <c r="AK33" s="425"/>
      <c r="AL33" s="425"/>
      <c r="AM33" s="425"/>
      <c r="AN33" s="425"/>
      <c r="AO33" s="425"/>
      <c r="AP33" s="425"/>
      <c r="AQ33" s="425"/>
      <c r="AR33" s="425"/>
      <c r="AS33" s="425"/>
      <c r="AT33" s="425"/>
      <c r="AU33" s="425"/>
      <c r="AV33" s="425"/>
      <c r="AW33" s="426"/>
      <c r="AX33" s="427"/>
      <c r="AY33" s="427"/>
      <c r="AZ33" s="427"/>
      <c r="BA33" s="427"/>
      <c r="BB33" s="427"/>
      <c r="BC33" s="428"/>
      <c r="BD33" s="429"/>
      <c r="BE33" s="427"/>
      <c r="BF33" s="427"/>
      <c r="BG33" s="427"/>
      <c r="BH33" s="427"/>
      <c r="BI33" s="427"/>
      <c r="BJ33" s="428"/>
      <c r="BK33" s="422"/>
    </row>
    <row r="34" spans="1:63" ht="15" customHeight="1" x14ac:dyDescent="0.25">
      <c r="A34" s="421"/>
      <c r="B34" s="406"/>
      <c r="C34" s="407"/>
      <c r="D34" s="407"/>
      <c r="E34" s="407"/>
      <c r="F34" s="407"/>
      <c r="G34" s="408"/>
      <c r="H34" s="406"/>
      <c r="I34" s="407"/>
      <c r="J34" s="407"/>
      <c r="K34" s="407"/>
      <c r="L34" s="407"/>
      <c r="M34" s="407"/>
      <c r="N34" s="408"/>
      <c r="O34" s="406"/>
      <c r="P34" s="407"/>
      <c r="Q34" s="407"/>
      <c r="R34" s="407"/>
      <c r="S34" s="430"/>
      <c r="T34" s="431"/>
      <c r="U34" s="431"/>
      <c r="V34" s="431"/>
      <c r="W34" s="431"/>
      <c r="X34" s="431"/>
      <c r="Y34" s="431"/>
      <c r="Z34" s="431"/>
      <c r="AA34" s="431"/>
      <c r="AB34" s="431"/>
      <c r="AC34" s="431"/>
      <c r="AD34" s="431"/>
      <c r="AE34" s="431"/>
      <c r="AF34" s="431"/>
      <c r="AG34" s="431"/>
      <c r="AH34" s="431"/>
      <c r="AI34" s="431"/>
      <c r="AJ34" s="431"/>
      <c r="AK34" s="431"/>
      <c r="AL34" s="431"/>
      <c r="AM34" s="431"/>
      <c r="AN34" s="431"/>
      <c r="AO34" s="431"/>
      <c r="AP34" s="431"/>
      <c r="AQ34" s="431"/>
      <c r="AR34" s="431"/>
      <c r="AS34" s="431"/>
      <c r="AT34" s="431"/>
      <c r="AU34" s="431"/>
      <c r="AV34" s="431"/>
      <c r="AW34" s="432"/>
      <c r="AX34" s="433"/>
      <c r="AY34" s="433"/>
      <c r="AZ34" s="433"/>
      <c r="BA34" s="433"/>
      <c r="BB34" s="433"/>
      <c r="BC34" s="434"/>
      <c r="BD34" s="435"/>
      <c r="BE34" s="433"/>
      <c r="BF34" s="433"/>
      <c r="BG34" s="433"/>
      <c r="BH34" s="433"/>
      <c r="BI34" s="433"/>
      <c r="BJ34" s="434"/>
      <c r="BK34" s="422"/>
    </row>
    <row r="35" spans="1:63" ht="15" customHeight="1" x14ac:dyDescent="0.25">
      <c r="A35" s="421"/>
      <c r="B35" s="397"/>
      <c r="C35" s="398"/>
      <c r="D35" s="398"/>
      <c r="E35" s="398"/>
      <c r="F35" s="398"/>
      <c r="G35" s="399"/>
      <c r="H35" s="397"/>
      <c r="I35" s="398"/>
      <c r="J35" s="398"/>
      <c r="K35" s="398"/>
      <c r="L35" s="398"/>
      <c r="M35" s="398"/>
      <c r="N35" s="399"/>
      <c r="O35" s="397"/>
      <c r="P35" s="398"/>
      <c r="Q35" s="398"/>
      <c r="R35" s="398"/>
      <c r="S35" s="424"/>
      <c r="T35" s="425"/>
      <c r="U35" s="425"/>
      <c r="V35" s="425"/>
      <c r="W35" s="425"/>
      <c r="X35" s="425"/>
      <c r="Y35" s="425"/>
      <c r="Z35" s="425"/>
      <c r="AA35" s="425"/>
      <c r="AB35" s="425"/>
      <c r="AC35" s="425"/>
      <c r="AD35" s="425"/>
      <c r="AE35" s="425"/>
      <c r="AF35" s="425"/>
      <c r="AG35" s="425"/>
      <c r="AH35" s="425"/>
      <c r="AI35" s="425"/>
      <c r="AJ35" s="425"/>
      <c r="AK35" s="425"/>
      <c r="AL35" s="425"/>
      <c r="AM35" s="425"/>
      <c r="AN35" s="425"/>
      <c r="AO35" s="425"/>
      <c r="AP35" s="425"/>
      <c r="AQ35" s="425"/>
      <c r="AR35" s="425"/>
      <c r="AS35" s="425"/>
      <c r="AT35" s="425"/>
      <c r="AU35" s="425"/>
      <c r="AV35" s="425"/>
      <c r="AW35" s="426"/>
      <c r="AX35" s="427"/>
      <c r="AY35" s="427"/>
      <c r="AZ35" s="427"/>
      <c r="BA35" s="427"/>
      <c r="BB35" s="427"/>
      <c r="BC35" s="428"/>
      <c r="BD35" s="429"/>
      <c r="BE35" s="427"/>
      <c r="BF35" s="427"/>
      <c r="BG35" s="427"/>
      <c r="BH35" s="427"/>
      <c r="BI35" s="427"/>
      <c r="BJ35" s="428"/>
      <c r="BK35" s="422"/>
    </row>
    <row r="36" spans="1:63" ht="15" customHeight="1" x14ac:dyDescent="0.25">
      <c r="A36" s="421"/>
      <c r="B36" s="406"/>
      <c r="C36" s="407"/>
      <c r="D36" s="407"/>
      <c r="E36" s="407"/>
      <c r="F36" s="407"/>
      <c r="G36" s="408"/>
      <c r="H36" s="406"/>
      <c r="I36" s="407"/>
      <c r="J36" s="407"/>
      <c r="K36" s="407"/>
      <c r="L36" s="407"/>
      <c r="M36" s="407"/>
      <c r="N36" s="408"/>
      <c r="O36" s="406"/>
      <c r="P36" s="407"/>
      <c r="Q36" s="407"/>
      <c r="R36" s="407"/>
      <c r="S36" s="430"/>
      <c r="T36" s="431"/>
      <c r="U36" s="431"/>
      <c r="V36" s="431"/>
      <c r="W36" s="431"/>
      <c r="X36" s="431"/>
      <c r="Y36" s="431"/>
      <c r="Z36" s="431"/>
      <c r="AA36" s="431"/>
      <c r="AB36" s="431"/>
      <c r="AC36" s="431"/>
      <c r="AD36" s="431"/>
      <c r="AE36" s="431"/>
      <c r="AF36" s="431"/>
      <c r="AG36" s="431"/>
      <c r="AH36" s="431"/>
      <c r="AI36" s="431"/>
      <c r="AJ36" s="431"/>
      <c r="AK36" s="431"/>
      <c r="AL36" s="431"/>
      <c r="AM36" s="431"/>
      <c r="AN36" s="431"/>
      <c r="AO36" s="431"/>
      <c r="AP36" s="431"/>
      <c r="AQ36" s="431"/>
      <c r="AR36" s="431"/>
      <c r="AS36" s="431"/>
      <c r="AT36" s="431"/>
      <c r="AU36" s="431"/>
      <c r="AV36" s="431"/>
      <c r="AW36" s="432"/>
      <c r="AX36" s="433"/>
      <c r="AY36" s="433"/>
      <c r="AZ36" s="433"/>
      <c r="BA36" s="433"/>
      <c r="BB36" s="433"/>
      <c r="BC36" s="434"/>
      <c r="BD36" s="435"/>
      <c r="BE36" s="433"/>
      <c r="BF36" s="433"/>
      <c r="BG36" s="433"/>
      <c r="BH36" s="433"/>
      <c r="BI36" s="433"/>
      <c r="BJ36" s="434"/>
      <c r="BK36" s="422"/>
    </row>
    <row r="37" spans="1:63" ht="15" customHeight="1" x14ac:dyDescent="0.25">
      <c r="A37" s="421"/>
      <c r="B37" s="397"/>
      <c r="C37" s="398"/>
      <c r="D37" s="398"/>
      <c r="E37" s="398"/>
      <c r="F37" s="398"/>
      <c r="G37" s="399"/>
      <c r="H37" s="397"/>
      <c r="I37" s="398"/>
      <c r="J37" s="398"/>
      <c r="K37" s="398"/>
      <c r="L37" s="398"/>
      <c r="M37" s="398"/>
      <c r="N37" s="399"/>
      <c r="O37" s="397"/>
      <c r="P37" s="398"/>
      <c r="Q37" s="398"/>
      <c r="R37" s="398"/>
      <c r="S37" s="424"/>
      <c r="T37" s="425"/>
      <c r="U37" s="425"/>
      <c r="V37" s="425"/>
      <c r="W37" s="425"/>
      <c r="X37" s="425"/>
      <c r="Y37" s="425"/>
      <c r="Z37" s="425"/>
      <c r="AA37" s="425"/>
      <c r="AB37" s="425"/>
      <c r="AC37" s="425"/>
      <c r="AD37" s="425"/>
      <c r="AE37" s="425"/>
      <c r="AF37" s="425"/>
      <c r="AG37" s="425"/>
      <c r="AH37" s="425"/>
      <c r="AI37" s="425"/>
      <c r="AJ37" s="425"/>
      <c r="AK37" s="425"/>
      <c r="AL37" s="425"/>
      <c r="AM37" s="425"/>
      <c r="AN37" s="425"/>
      <c r="AO37" s="425"/>
      <c r="AP37" s="425"/>
      <c r="AQ37" s="425"/>
      <c r="AR37" s="425"/>
      <c r="AS37" s="425"/>
      <c r="AT37" s="425"/>
      <c r="AU37" s="425"/>
      <c r="AV37" s="425"/>
      <c r="AW37" s="426"/>
      <c r="AX37" s="427"/>
      <c r="AY37" s="427"/>
      <c r="AZ37" s="427"/>
      <c r="BA37" s="427"/>
      <c r="BB37" s="427"/>
      <c r="BC37" s="428"/>
      <c r="BD37" s="429"/>
      <c r="BE37" s="427"/>
      <c r="BF37" s="427"/>
      <c r="BG37" s="427"/>
      <c r="BH37" s="427"/>
      <c r="BI37" s="427"/>
      <c r="BJ37" s="428"/>
      <c r="BK37" s="422"/>
    </row>
    <row r="38" spans="1:63" ht="15" customHeight="1" x14ac:dyDescent="0.25">
      <c r="A38" s="421"/>
      <c r="B38" s="406"/>
      <c r="C38" s="407"/>
      <c r="D38" s="407"/>
      <c r="E38" s="407"/>
      <c r="F38" s="407"/>
      <c r="G38" s="408"/>
      <c r="H38" s="406"/>
      <c r="I38" s="407"/>
      <c r="J38" s="407"/>
      <c r="K38" s="407"/>
      <c r="L38" s="407"/>
      <c r="M38" s="407"/>
      <c r="N38" s="408"/>
      <c r="O38" s="406"/>
      <c r="P38" s="407"/>
      <c r="Q38" s="407"/>
      <c r="R38" s="407"/>
      <c r="S38" s="430"/>
      <c r="T38" s="431"/>
      <c r="U38" s="431"/>
      <c r="V38" s="431"/>
      <c r="W38" s="431"/>
      <c r="X38" s="431"/>
      <c r="Y38" s="431"/>
      <c r="Z38" s="431"/>
      <c r="AA38" s="431"/>
      <c r="AB38" s="431"/>
      <c r="AC38" s="431"/>
      <c r="AD38" s="431"/>
      <c r="AE38" s="431"/>
      <c r="AF38" s="431"/>
      <c r="AG38" s="431"/>
      <c r="AH38" s="431"/>
      <c r="AI38" s="431"/>
      <c r="AJ38" s="431"/>
      <c r="AK38" s="431"/>
      <c r="AL38" s="431"/>
      <c r="AM38" s="431"/>
      <c r="AN38" s="431"/>
      <c r="AO38" s="431"/>
      <c r="AP38" s="431"/>
      <c r="AQ38" s="431"/>
      <c r="AR38" s="431"/>
      <c r="AS38" s="431"/>
      <c r="AT38" s="431"/>
      <c r="AU38" s="431"/>
      <c r="AV38" s="431"/>
      <c r="AW38" s="432"/>
      <c r="AX38" s="433"/>
      <c r="AY38" s="433"/>
      <c r="AZ38" s="433"/>
      <c r="BA38" s="433"/>
      <c r="BB38" s="433"/>
      <c r="BC38" s="434"/>
      <c r="BD38" s="435"/>
      <c r="BE38" s="433"/>
      <c r="BF38" s="433"/>
      <c r="BG38" s="433"/>
      <c r="BH38" s="433"/>
      <c r="BI38" s="433"/>
      <c r="BJ38" s="434"/>
      <c r="BK38" s="422"/>
    </row>
    <row r="39" spans="1:63" ht="15" customHeight="1" x14ac:dyDescent="0.25">
      <c r="A39" s="421"/>
      <c r="B39" s="397"/>
      <c r="C39" s="398"/>
      <c r="D39" s="398"/>
      <c r="E39" s="398"/>
      <c r="F39" s="398"/>
      <c r="G39" s="399"/>
      <c r="H39" s="397"/>
      <c r="I39" s="398"/>
      <c r="J39" s="398"/>
      <c r="K39" s="398"/>
      <c r="L39" s="398"/>
      <c r="M39" s="398"/>
      <c r="N39" s="399"/>
      <c r="O39" s="397"/>
      <c r="P39" s="398"/>
      <c r="Q39" s="398"/>
      <c r="R39" s="398"/>
      <c r="S39" s="424"/>
      <c r="T39" s="425"/>
      <c r="U39" s="425"/>
      <c r="V39" s="425"/>
      <c r="W39" s="425"/>
      <c r="X39" s="425"/>
      <c r="Y39" s="425"/>
      <c r="Z39" s="425"/>
      <c r="AA39" s="425"/>
      <c r="AB39" s="425"/>
      <c r="AC39" s="425"/>
      <c r="AD39" s="425"/>
      <c r="AE39" s="425"/>
      <c r="AF39" s="425"/>
      <c r="AG39" s="425"/>
      <c r="AH39" s="425"/>
      <c r="AI39" s="425"/>
      <c r="AJ39" s="425"/>
      <c r="AK39" s="425"/>
      <c r="AL39" s="425"/>
      <c r="AM39" s="425"/>
      <c r="AN39" s="425"/>
      <c r="AO39" s="425"/>
      <c r="AP39" s="425"/>
      <c r="AQ39" s="425"/>
      <c r="AR39" s="425"/>
      <c r="AS39" s="425"/>
      <c r="AT39" s="425"/>
      <c r="AU39" s="425"/>
      <c r="AV39" s="425"/>
      <c r="AW39" s="426"/>
      <c r="AX39" s="427"/>
      <c r="AY39" s="427"/>
      <c r="AZ39" s="427"/>
      <c r="BA39" s="427"/>
      <c r="BB39" s="427"/>
      <c r="BC39" s="428"/>
      <c r="BD39" s="429"/>
      <c r="BE39" s="427"/>
      <c r="BF39" s="427"/>
      <c r="BG39" s="427"/>
      <c r="BH39" s="427"/>
      <c r="BI39" s="427"/>
      <c r="BJ39" s="428"/>
      <c r="BK39" s="422"/>
    </row>
    <row r="40" spans="1:63" ht="15" customHeight="1" x14ac:dyDescent="0.25">
      <c r="A40" s="421"/>
      <c r="B40" s="406"/>
      <c r="C40" s="407"/>
      <c r="D40" s="407"/>
      <c r="E40" s="407"/>
      <c r="F40" s="407"/>
      <c r="G40" s="408"/>
      <c r="H40" s="406"/>
      <c r="I40" s="407"/>
      <c r="J40" s="407"/>
      <c r="K40" s="407"/>
      <c r="L40" s="407"/>
      <c r="M40" s="407"/>
      <c r="N40" s="408"/>
      <c r="O40" s="406"/>
      <c r="P40" s="407"/>
      <c r="Q40" s="407"/>
      <c r="R40" s="407"/>
      <c r="S40" s="430"/>
      <c r="T40" s="431"/>
      <c r="U40" s="431"/>
      <c r="V40" s="431"/>
      <c r="W40" s="431"/>
      <c r="X40" s="431"/>
      <c r="Y40" s="431"/>
      <c r="Z40" s="431"/>
      <c r="AA40" s="431"/>
      <c r="AB40" s="431"/>
      <c r="AC40" s="431"/>
      <c r="AD40" s="431"/>
      <c r="AE40" s="431"/>
      <c r="AF40" s="431"/>
      <c r="AG40" s="431"/>
      <c r="AH40" s="431"/>
      <c r="AI40" s="431"/>
      <c r="AJ40" s="431"/>
      <c r="AK40" s="431"/>
      <c r="AL40" s="431"/>
      <c r="AM40" s="431"/>
      <c r="AN40" s="431"/>
      <c r="AO40" s="431"/>
      <c r="AP40" s="431"/>
      <c r="AQ40" s="431"/>
      <c r="AR40" s="431"/>
      <c r="AS40" s="431"/>
      <c r="AT40" s="431"/>
      <c r="AU40" s="431"/>
      <c r="AV40" s="431"/>
      <c r="AW40" s="432"/>
      <c r="AX40" s="433"/>
      <c r="AY40" s="433"/>
      <c r="AZ40" s="433"/>
      <c r="BA40" s="433"/>
      <c r="BB40" s="433"/>
      <c r="BC40" s="434"/>
      <c r="BD40" s="435"/>
      <c r="BE40" s="433"/>
      <c r="BF40" s="433"/>
      <c r="BG40" s="433"/>
      <c r="BH40" s="433"/>
      <c r="BI40" s="433"/>
      <c r="BJ40" s="434"/>
      <c r="BK40" s="422"/>
    </row>
    <row r="41" spans="1:63" ht="15" customHeight="1" x14ac:dyDescent="0.25">
      <c r="A41" s="421"/>
      <c r="B41" s="397"/>
      <c r="C41" s="398"/>
      <c r="D41" s="398"/>
      <c r="E41" s="398"/>
      <c r="F41" s="398"/>
      <c r="G41" s="399"/>
      <c r="H41" s="397"/>
      <c r="I41" s="398"/>
      <c r="J41" s="398"/>
      <c r="K41" s="398"/>
      <c r="L41" s="398"/>
      <c r="M41" s="398"/>
      <c r="N41" s="399"/>
      <c r="O41" s="397"/>
      <c r="P41" s="398"/>
      <c r="Q41" s="398"/>
      <c r="R41" s="398"/>
      <c r="S41" s="424"/>
      <c r="T41" s="425"/>
      <c r="U41" s="425"/>
      <c r="V41" s="425"/>
      <c r="W41" s="425"/>
      <c r="X41" s="425"/>
      <c r="Y41" s="425"/>
      <c r="Z41" s="425"/>
      <c r="AA41" s="425"/>
      <c r="AB41" s="425"/>
      <c r="AC41" s="425"/>
      <c r="AD41" s="425"/>
      <c r="AE41" s="425"/>
      <c r="AF41" s="425"/>
      <c r="AG41" s="425"/>
      <c r="AH41" s="425"/>
      <c r="AI41" s="425"/>
      <c r="AJ41" s="425"/>
      <c r="AK41" s="425"/>
      <c r="AL41" s="425"/>
      <c r="AM41" s="425"/>
      <c r="AN41" s="425"/>
      <c r="AO41" s="425"/>
      <c r="AP41" s="425"/>
      <c r="AQ41" s="425"/>
      <c r="AR41" s="425"/>
      <c r="AS41" s="425"/>
      <c r="AT41" s="425"/>
      <c r="AU41" s="425"/>
      <c r="AV41" s="425"/>
      <c r="AW41" s="426"/>
      <c r="AX41" s="427"/>
      <c r="AY41" s="427"/>
      <c r="AZ41" s="427"/>
      <c r="BA41" s="427"/>
      <c r="BB41" s="427"/>
      <c r="BC41" s="428"/>
      <c r="BD41" s="429"/>
      <c r="BE41" s="427"/>
      <c r="BF41" s="427"/>
      <c r="BG41" s="427"/>
      <c r="BH41" s="427"/>
      <c r="BI41" s="427"/>
      <c r="BJ41" s="428"/>
      <c r="BK41" s="422"/>
    </row>
    <row r="42" spans="1:63" ht="15" customHeight="1" x14ac:dyDescent="0.25">
      <c r="A42" s="421"/>
      <c r="B42" s="406"/>
      <c r="C42" s="407"/>
      <c r="D42" s="407"/>
      <c r="E42" s="407"/>
      <c r="F42" s="407"/>
      <c r="G42" s="408"/>
      <c r="H42" s="406"/>
      <c r="I42" s="407"/>
      <c r="J42" s="407"/>
      <c r="K42" s="407"/>
      <c r="L42" s="407"/>
      <c r="M42" s="407"/>
      <c r="N42" s="408"/>
      <c r="O42" s="406"/>
      <c r="P42" s="407"/>
      <c r="Q42" s="407"/>
      <c r="R42" s="407"/>
      <c r="S42" s="430"/>
      <c r="T42" s="431"/>
      <c r="U42" s="431"/>
      <c r="V42" s="431"/>
      <c r="W42" s="431"/>
      <c r="X42" s="431"/>
      <c r="Y42" s="431"/>
      <c r="Z42" s="431"/>
      <c r="AA42" s="431"/>
      <c r="AB42" s="431"/>
      <c r="AC42" s="431"/>
      <c r="AD42" s="431"/>
      <c r="AE42" s="431"/>
      <c r="AF42" s="431"/>
      <c r="AG42" s="431"/>
      <c r="AH42" s="431"/>
      <c r="AI42" s="431"/>
      <c r="AJ42" s="431"/>
      <c r="AK42" s="431"/>
      <c r="AL42" s="431"/>
      <c r="AM42" s="431"/>
      <c r="AN42" s="431"/>
      <c r="AO42" s="431"/>
      <c r="AP42" s="431"/>
      <c r="AQ42" s="431"/>
      <c r="AR42" s="431"/>
      <c r="AS42" s="431"/>
      <c r="AT42" s="431"/>
      <c r="AU42" s="431"/>
      <c r="AV42" s="431"/>
      <c r="AW42" s="432"/>
      <c r="AX42" s="433"/>
      <c r="AY42" s="433"/>
      <c r="AZ42" s="433"/>
      <c r="BA42" s="433"/>
      <c r="BB42" s="433"/>
      <c r="BC42" s="434"/>
      <c r="BD42" s="435"/>
      <c r="BE42" s="433"/>
      <c r="BF42" s="433"/>
      <c r="BG42" s="433"/>
      <c r="BH42" s="433"/>
      <c r="BI42" s="433"/>
      <c r="BJ42" s="434"/>
      <c r="BK42" s="422"/>
    </row>
    <row r="43" spans="1:63" ht="15" customHeight="1" x14ac:dyDescent="0.25">
      <c r="A43" s="421"/>
      <c r="B43" s="397"/>
      <c r="C43" s="398"/>
      <c r="D43" s="398"/>
      <c r="E43" s="398"/>
      <c r="F43" s="398"/>
      <c r="G43" s="399"/>
      <c r="H43" s="397"/>
      <c r="I43" s="398"/>
      <c r="J43" s="398"/>
      <c r="K43" s="398"/>
      <c r="L43" s="398"/>
      <c r="M43" s="398"/>
      <c r="N43" s="399"/>
      <c r="O43" s="397"/>
      <c r="P43" s="398"/>
      <c r="Q43" s="398"/>
      <c r="R43" s="398"/>
      <c r="S43" s="424"/>
      <c r="T43" s="425"/>
      <c r="U43" s="425"/>
      <c r="V43" s="425"/>
      <c r="W43" s="425"/>
      <c r="X43" s="425"/>
      <c r="Y43" s="425"/>
      <c r="Z43" s="425"/>
      <c r="AA43" s="425"/>
      <c r="AB43" s="425"/>
      <c r="AC43" s="425"/>
      <c r="AD43" s="425"/>
      <c r="AE43" s="425"/>
      <c r="AF43" s="425"/>
      <c r="AG43" s="425"/>
      <c r="AH43" s="425"/>
      <c r="AI43" s="425"/>
      <c r="AJ43" s="425"/>
      <c r="AK43" s="425"/>
      <c r="AL43" s="425"/>
      <c r="AM43" s="425"/>
      <c r="AN43" s="425"/>
      <c r="AO43" s="425"/>
      <c r="AP43" s="425"/>
      <c r="AQ43" s="425"/>
      <c r="AR43" s="425"/>
      <c r="AS43" s="425"/>
      <c r="AT43" s="425"/>
      <c r="AU43" s="425"/>
      <c r="AV43" s="425"/>
      <c r="AW43" s="426"/>
      <c r="AX43" s="427"/>
      <c r="AY43" s="427"/>
      <c r="AZ43" s="427"/>
      <c r="BA43" s="427"/>
      <c r="BB43" s="427"/>
      <c r="BC43" s="428"/>
      <c r="BD43" s="429"/>
      <c r="BE43" s="427"/>
      <c r="BF43" s="427"/>
      <c r="BG43" s="427"/>
      <c r="BH43" s="427"/>
      <c r="BI43" s="427"/>
      <c r="BJ43" s="428"/>
      <c r="BK43" s="422"/>
    </row>
    <row r="44" spans="1:63" ht="15" customHeight="1" x14ac:dyDescent="0.25">
      <c r="A44" s="421"/>
      <c r="B44" s="406"/>
      <c r="C44" s="407"/>
      <c r="D44" s="407"/>
      <c r="E44" s="407"/>
      <c r="F44" s="407"/>
      <c r="G44" s="408"/>
      <c r="H44" s="406"/>
      <c r="I44" s="407"/>
      <c r="J44" s="407"/>
      <c r="K44" s="407"/>
      <c r="L44" s="407"/>
      <c r="M44" s="407"/>
      <c r="N44" s="408"/>
      <c r="O44" s="406"/>
      <c r="P44" s="407"/>
      <c r="Q44" s="407"/>
      <c r="R44" s="407"/>
      <c r="S44" s="430"/>
      <c r="T44" s="431"/>
      <c r="U44" s="431"/>
      <c r="V44" s="431"/>
      <c r="W44" s="431"/>
      <c r="X44" s="431"/>
      <c r="Y44" s="431"/>
      <c r="Z44" s="431"/>
      <c r="AA44" s="431"/>
      <c r="AB44" s="431"/>
      <c r="AC44" s="431"/>
      <c r="AD44" s="431"/>
      <c r="AE44" s="431"/>
      <c r="AF44" s="431"/>
      <c r="AG44" s="431"/>
      <c r="AH44" s="431"/>
      <c r="AI44" s="431"/>
      <c r="AJ44" s="431"/>
      <c r="AK44" s="431"/>
      <c r="AL44" s="431"/>
      <c r="AM44" s="431"/>
      <c r="AN44" s="431"/>
      <c r="AO44" s="431"/>
      <c r="AP44" s="431"/>
      <c r="AQ44" s="431"/>
      <c r="AR44" s="431"/>
      <c r="AS44" s="431"/>
      <c r="AT44" s="431"/>
      <c r="AU44" s="431"/>
      <c r="AV44" s="431"/>
      <c r="AW44" s="432"/>
      <c r="AX44" s="433"/>
      <c r="AY44" s="433"/>
      <c r="AZ44" s="433"/>
      <c r="BA44" s="433"/>
      <c r="BB44" s="433"/>
      <c r="BC44" s="434"/>
      <c r="BD44" s="435"/>
      <c r="BE44" s="433"/>
      <c r="BF44" s="433"/>
      <c r="BG44" s="433"/>
      <c r="BH44" s="433"/>
      <c r="BI44" s="433"/>
      <c r="BJ44" s="434"/>
      <c r="BK44" s="422"/>
    </row>
    <row r="45" spans="1:63" ht="15" customHeight="1" x14ac:dyDescent="0.25">
      <c r="A45" s="421"/>
      <c r="B45" s="397"/>
      <c r="C45" s="398"/>
      <c r="D45" s="398"/>
      <c r="E45" s="398"/>
      <c r="F45" s="398"/>
      <c r="G45" s="399"/>
      <c r="H45" s="397"/>
      <c r="I45" s="398"/>
      <c r="J45" s="398"/>
      <c r="K45" s="398"/>
      <c r="L45" s="398"/>
      <c r="M45" s="398"/>
      <c r="N45" s="399"/>
      <c r="O45" s="397"/>
      <c r="P45" s="398"/>
      <c r="Q45" s="398"/>
      <c r="R45" s="398"/>
      <c r="S45" s="424"/>
      <c r="T45" s="425"/>
      <c r="U45" s="425"/>
      <c r="V45" s="425"/>
      <c r="W45" s="425"/>
      <c r="X45" s="425"/>
      <c r="Y45" s="425"/>
      <c r="Z45" s="425"/>
      <c r="AA45" s="425"/>
      <c r="AB45" s="425"/>
      <c r="AC45" s="425"/>
      <c r="AD45" s="425"/>
      <c r="AE45" s="425"/>
      <c r="AF45" s="425"/>
      <c r="AG45" s="425"/>
      <c r="AH45" s="425"/>
      <c r="AI45" s="425"/>
      <c r="AJ45" s="425"/>
      <c r="AK45" s="425"/>
      <c r="AL45" s="425"/>
      <c r="AM45" s="425"/>
      <c r="AN45" s="425"/>
      <c r="AO45" s="425"/>
      <c r="AP45" s="425"/>
      <c r="AQ45" s="425"/>
      <c r="AR45" s="425"/>
      <c r="AS45" s="425"/>
      <c r="AT45" s="425"/>
      <c r="AU45" s="425"/>
      <c r="AV45" s="425"/>
      <c r="AW45" s="426"/>
      <c r="AX45" s="427"/>
      <c r="AY45" s="427"/>
      <c r="AZ45" s="427"/>
      <c r="BA45" s="427"/>
      <c r="BB45" s="427"/>
      <c r="BC45" s="428"/>
      <c r="BD45" s="429"/>
      <c r="BE45" s="427"/>
      <c r="BF45" s="427"/>
      <c r="BG45" s="427"/>
      <c r="BH45" s="427"/>
      <c r="BI45" s="427"/>
      <c r="BJ45" s="428"/>
      <c r="BK45" s="422"/>
    </row>
    <row r="46" spans="1:63" ht="15" customHeight="1" x14ac:dyDescent="0.25">
      <c r="A46" s="421"/>
      <c r="B46" s="406"/>
      <c r="C46" s="407"/>
      <c r="D46" s="407"/>
      <c r="E46" s="407"/>
      <c r="F46" s="407"/>
      <c r="G46" s="408"/>
      <c r="H46" s="406"/>
      <c r="I46" s="407"/>
      <c r="J46" s="407"/>
      <c r="K46" s="407"/>
      <c r="L46" s="407"/>
      <c r="M46" s="407"/>
      <c r="N46" s="408"/>
      <c r="O46" s="406"/>
      <c r="P46" s="407"/>
      <c r="Q46" s="407"/>
      <c r="R46" s="407"/>
      <c r="S46" s="430"/>
      <c r="T46" s="431"/>
      <c r="U46" s="431"/>
      <c r="V46" s="431"/>
      <c r="W46" s="431"/>
      <c r="X46" s="431"/>
      <c r="Y46" s="431"/>
      <c r="Z46" s="431"/>
      <c r="AA46" s="431"/>
      <c r="AB46" s="431"/>
      <c r="AC46" s="431"/>
      <c r="AD46" s="431"/>
      <c r="AE46" s="431"/>
      <c r="AF46" s="431"/>
      <c r="AG46" s="431"/>
      <c r="AH46" s="431"/>
      <c r="AI46" s="431"/>
      <c r="AJ46" s="431"/>
      <c r="AK46" s="431"/>
      <c r="AL46" s="431"/>
      <c r="AM46" s="431"/>
      <c r="AN46" s="431"/>
      <c r="AO46" s="431"/>
      <c r="AP46" s="431"/>
      <c r="AQ46" s="431"/>
      <c r="AR46" s="431"/>
      <c r="AS46" s="431"/>
      <c r="AT46" s="431"/>
      <c r="AU46" s="431"/>
      <c r="AV46" s="431"/>
      <c r="AW46" s="432"/>
      <c r="AX46" s="433"/>
      <c r="AY46" s="433"/>
      <c r="AZ46" s="433"/>
      <c r="BA46" s="433"/>
      <c r="BB46" s="433"/>
      <c r="BC46" s="434"/>
      <c r="BD46" s="435"/>
      <c r="BE46" s="433"/>
      <c r="BF46" s="433"/>
      <c r="BG46" s="433"/>
      <c r="BH46" s="433"/>
      <c r="BI46" s="433"/>
      <c r="BJ46" s="434"/>
      <c r="BK46" s="422"/>
    </row>
    <row r="47" spans="1:63" ht="15" customHeight="1" x14ac:dyDescent="0.25">
      <c r="A47" s="421"/>
      <c r="B47" s="397"/>
      <c r="C47" s="398"/>
      <c r="D47" s="398"/>
      <c r="E47" s="398"/>
      <c r="F47" s="398"/>
      <c r="G47" s="399"/>
      <c r="H47" s="397"/>
      <c r="I47" s="398"/>
      <c r="J47" s="398"/>
      <c r="K47" s="398"/>
      <c r="L47" s="398"/>
      <c r="M47" s="398"/>
      <c r="N47" s="399"/>
      <c r="O47" s="397"/>
      <c r="P47" s="398"/>
      <c r="Q47" s="398"/>
      <c r="R47" s="398"/>
      <c r="S47" s="424"/>
      <c r="T47" s="425"/>
      <c r="U47" s="425"/>
      <c r="V47" s="425"/>
      <c r="W47" s="425"/>
      <c r="X47" s="425"/>
      <c r="Y47" s="425"/>
      <c r="Z47" s="425"/>
      <c r="AA47" s="425"/>
      <c r="AB47" s="425"/>
      <c r="AC47" s="425"/>
      <c r="AD47" s="425"/>
      <c r="AE47" s="425"/>
      <c r="AF47" s="425"/>
      <c r="AG47" s="425"/>
      <c r="AH47" s="425"/>
      <c r="AI47" s="425"/>
      <c r="AJ47" s="425"/>
      <c r="AK47" s="425"/>
      <c r="AL47" s="425"/>
      <c r="AM47" s="425"/>
      <c r="AN47" s="425"/>
      <c r="AO47" s="425"/>
      <c r="AP47" s="425"/>
      <c r="AQ47" s="425"/>
      <c r="AR47" s="425"/>
      <c r="AS47" s="425"/>
      <c r="AT47" s="425"/>
      <c r="AU47" s="425"/>
      <c r="AV47" s="425"/>
      <c r="AW47" s="426"/>
      <c r="AX47" s="427"/>
      <c r="AY47" s="427"/>
      <c r="AZ47" s="427"/>
      <c r="BA47" s="427"/>
      <c r="BB47" s="427"/>
      <c r="BC47" s="428"/>
      <c r="BD47" s="429"/>
      <c r="BE47" s="427"/>
      <c r="BF47" s="427"/>
      <c r="BG47" s="427"/>
      <c r="BH47" s="427"/>
      <c r="BI47" s="427"/>
      <c r="BJ47" s="428"/>
      <c r="BK47" s="422"/>
    </row>
    <row r="48" spans="1:63" ht="15" customHeight="1" x14ac:dyDescent="0.25">
      <c r="A48" s="421"/>
      <c r="B48" s="406"/>
      <c r="C48" s="407"/>
      <c r="D48" s="407"/>
      <c r="E48" s="407"/>
      <c r="F48" s="407"/>
      <c r="G48" s="408"/>
      <c r="H48" s="406"/>
      <c r="I48" s="407"/>
      <c r="J48" s="407"/>
      <c r="K48" s="407"/>
      <c r="L48" s="407"/>
      <c r="M48" s="407"/>
      <c r="N48" s="408"/>
      <c r="O48" s="406"/>
      <c r="P48" s="407"/>
      <c r="Q48" s="407"/>
      <c r="R48" s="407"/>
      <c r="S48" s="430"/>
      <c r="T48" s="431"/>
      <c r="U48" s="431"/>
      <c r="V48" s="431"/>
      <c r="W48" s="431"/>
      <c r="X48" s="431"/>
      <c r="Y48" s="431"/>
      <c r="Z48" s="431"/>
      <c r="AA48" s="431"/>
      <c r="AB48" s="431"/>
      <c r="AC48" s="431"/>
      <c r="AD48" s="431"/>
      <c r="AE48" s="431"/>
      <c r="AF48" s="431"/>
      <c r="AG48" s="431"/>
      <c r="AH48" s="431"/>
      <c r="AI48" s="431"/>
      <c r="AJ48" s="431"/>
      <c r="AK48" s="431"/>
      <c r="AL48" s="431"/>
      <c r="AM48" s="431"/>
      <c r="AN48" s="431"/>
      <c r="AO48" s="431"/>
      <c r="AP48" s="431"/>
      <c r="AQ48" s="431"/>
      <c r="AR48" s="431"/>
      <c r="AS48" s="431"/>
      <c r="AT48" s="431"/>
      <c r="AU48" s="431"/>
      <c r="AV48" s="431"/>
      <c r="AW48" s="432"/>
      <c r="AX48" s="433"/>
      <c r="AY48" s="433"/>
      <c r="AZ48" s="433"/>
      <c r="BA48" s="433"/>
      <c r="BB48" s="433"/>
      <c r="BC48" s="434"/>
      <c r="BD48" s="435"/>
      <c r="BE48" s="433"/>
      <c r="BF48" s="433"/>
      <c r="BG48" s="433"/>
      <c r="BH48" s="433"/>
      <c r="BI48" s="433"/>
      <c r="BJ48" s="434"/>
      <c r="BK48" s="422"/>
    </row>
    <row r="49" spans="1:63" ht="15" customHeight="1" x14ac:dyDescent="0.25">
      <c r="A49" s="421"/>
      <c r="B49" s="397"/>
      <c r="C49" s="398"/>
      <c r="D49" s="398"/>
      <c r="E49" s="398"/>
      <c r="F49" s="398"/>
      <c r="G49" s="399"/>
      <c r="H49" s="397"/>
      <c r="I49" s="398"/>
      <c r="J49" s="398"/>
      <c r="K49" s="398"/>
      <c r="L49" s="398"/>
      <c r="M49" s="398"/>
      <c r="N49" s="399"/>
      <c r="O49" s="397"/>
      <c r="P49" s="398"/>
      <c r="Q49" s="398"/>
      <c r="R49" s="398"/>
      <c r="S49" s="424"/>
      <c r="T49" s="425"/>
      <c r="U49" s="425"/>
      <c r="V49" s="425"/>
      <c r="W49" s="425"/>
      <c r="X49" s="425"/>
      <c r="Y49" s="425"/>
      <c r="Z49" s="425"/>
      <c r="AA49" s="425"/>
      <c r="AB49" s="425"/>
      <c r="AC49" s="425"/>
      <c r="AD49" s="425"/>
      <c r="AE49" s="425"/>
      <c r="AF49" s="425"/>
      <c r="AG49" s="425"/>
      <c r="AH49" s="425"/>
      <c r="AI49" s="425"/>
      <c r="AJ49" s="425"/>
      <c r="AK49" s="425"/>
      <c r="AL49" s="425"/>
      <c r="AM49" s="425"/>
      <c r="AN49" s="425"/>
      <c r="AO49" s="425"/>
      <c r="AP49" s="425"/>
      <c r="AQ49" s="425"/>
      <c r="AR49" s="425"/>
      <c r="AS49" s="425"/>
      <c r="AT49" s="425"/>
      <c r="AU49" s="425"/>
      <c r="AV49" s="425"/>
      <c r="AW49" s="426"/>
      <c r="AX49" s="427"/>
      <c r="AY49" s="427"/>
      <c r="AZ49" s="427"/>
      <c r="BA49" s="427"/>
      <c r="BB49" s="427"/>
      <c r="BC49" s="428"/>
      <c r="BD49" s="429"/>
      <c r="BE49" s="427"/>
      <c r="BF49" s="427"/>
      <c r="BG49" s="427"/>
      <c r="BH49" s="427"/>
      <c r="BI49" s="427"/>
      <c r="BJ49" s="428"/>
      <c r="BK49" s="422"/>
    </row>
    <row r="50" spans="1:63" ht="15" customHeight="1" x14ac:dyDescent="0.25">
      <c r="A50" s="421"/>
      <c r="B50" s="406"/>
      <c r="C50" s="407"/>
      <c r="D50" s="407"/>
      <c r="E50" s="407"/>
      <c r="F50" s="407"/>
      <c r="G50" s="408"/>
      <c r="H50" s="406"/>
      <c r="I50" s="407"/>
      <c r="J50" s="407"/>
      <c r="K50" s="407"/>
      <c r="L50" s="407"/>
      <c r="M50" s="407"/>
      <c r="N50" s="408"/>
      <c r="O50" s="406"/>
      <c r="P50" s="407"/>
      <c r="Q50" s="407"/>
      <c r="R50" s="407"/>
      <c r="S50" s="430"/>
      <c r="T50" s="431"/>
      <c r="U50" s="431"/>
      <c r="V50" s="431"/>
      <c r="W50" s="431"/>
      <c r="X50" s="431"/>
      <c r="Y50" s="431"/>
      <c r="Z50" s="431"/>
      <c r="AA50" s="431"/>
      <c r="AB50" s="431"/>
      <c r="AC50" s="431"/>
      <c r="AD50" s="431"/>
      <c r="AE50" s="431"/>
      <c r="AF50" s="431"/>
      <c r="AG50" s="431"/>
      <c r="AH50" s="431"/>
      <c r="AI50" s="431"/>
      <c r="AJ50" s="431"/>
      <c r="AK50" s="431"/>
      <c r="AL50" s="431"/>
      <c r="AM50" s="431"/>
      <c r="AN50" s="431"/>
      <c r="AO50" s="431"/>
      <c r="AP50" s="431"/>
      <c r="AQ50" s="431"/>
      <c r="AR50" s="431"/>
      <c r="AS50" s="431"/>
      <c r="AT50" s="431"/>
      <c r="AU50" s="431"/>
      <c r="AV50" s="431"/>
      <c r="AW50" s="432"/>
      <c r="AX50" s="433"/>
      <c r="AY50" s="433"/>
      <c r="AZ50" s="433"/>
      <c r="BA50" s="433"/>
      <c r="BB50" s="433"/>
      <c r="BC50" s="434"/>
      <c r="BD50" s="435"/>
      <c r="BE50" s="433"/>
      <c r="BF50" s="433"/>
      <c r="BG50" s="433"/>
      <c r="BH50" s="433"/>
      <c r="BI50" s="433"/>
      <c r="BJ50" s="434"/>
      <c r="BK50" s="422"/>
    </row>
    <row r="51" spans="1:63" ht="15" customHeight="1" x14ac:dyDescent="0.25">
      <c r="A51" s="421"/>
      <c r="B51" s="397"/>
      <c r="C51" s="398"/>
      <c r="D51" s="398"/>
      <c r="E51" s="398"/>
      <c r="F51" s="398"/>
      <c r="G51" s="399"/>
      <c r="H51" s="397"/>
      <c r="I51" s="398"/>
      <c r="J51" s="398"/>
      <c r="K51" s="398"/>
      <c r="L51" s="398"/>
      <c r="M51" s="398"/>
      <c r="N51" s="399"/>
      <c r="O51" s="397"/>
      <c r="P51" s="398"/>
      <c r="Q51" s="398"/>
      <c r="R51" s="398"/>
      <c r="S51" s="424"/>
      <c r="T51" s="425"/>
      <c r="U51" s="425"/>
      <c r="V51" s="425"/>
      <c r="W51" s="425"/>
      <c r="X51" s="425"/>
      <c r="Y51" s="425"/>
      <c r="Z51" s="425"/>
      <c r="AA51" s="425"/>
      <c r="AB51" s="425"/>
      <c r="AC51" s="425"/>
      <c r="AD51" s="425"/>
      <c r="AE51" s="425"/>
      <c r="AF51" s="425"/>
      <c r="AG51" s="425"/>
      <c r="AH51" s="425"/>
      <c r="AI51" s="425"/>
      <c r="AJ51" s="425"/>
      <c r="AK51" s="425"/>
      <c r="AL51" s="425"/>
      <c r="AM51" s="425"/>
      <c r="AN51" s="425"/>
      <c r="AO51" s="425"/>
      <c r="AP51" s="425"/>
      <c r="AQ51" s="425"/>
      <c r="AR51" s="425"/>
      <c r="AS51" s="425"/>
      <c r="AT51" s="425"/>
      <c r="AU51" s="425"/>
      <c r="AV51" s="425"/>
      <c r="AW51" s="426"/>
      <c r="AX51" s="427"/>
      <c r="AY51" s="427"/>
      <c r="AZ51" s="427"/>
      <c r="BA51" s="427"/>
      <c r="BB51" s="427"/>
      <c r="BC51" s="428"/>
      <c r="BD51" s="429"/>
      <c r="BE51" s="427"/>
      <c r="BF51" s="427"/>
      <c r="BG51" s="427"/>
      <c r="BH51" s="427"/>
      <c r="BI51" s="427"/>
      <c r="BJ51" s="428"/>
      <c r="BK51" s="422"/>
    </row>
    <row r="52" spans="1:63" ht="15" customHeight="1" x14ac:dyDescent="0.25">
      <c r="A52" s="421"/>
      <c r="B52" s="406"/>
      <c r="C52" s="407"/>
      <c r="D52" s="407"/>
      <c r="E52" s="407"/>
      <c r="F52" s="407"/>
      <c r="G52" s="408"/>
      <c r="H52" s="406"/>
      <c r="I52" s="407"/>
      <c r="J52" s="407"/>
      <c r="K52" s="407"/>
      <c r="L52" s="407"/>
      <c r="M52" s="407"/>
      <c r="N52" s="408"/>
      <c r="O52" s="406"/>
      <c r="P52" s="407"/>
      <c r="Q52" s="407"/>
      <c r="R52" s="407"/>
      <c r="S52" s="430"/>
      <c r="T52" s="431"/>
      <c r="U52" s="431"/>
      <c r="V52" s="431"/>
      <c r="W52" s="431"/>
      <c r="X52" s="431"/>
      <c r="Y52" s="431"/>
      <c r="Z52" s="431"/>
      <c r="AA52" s="431"/>
      <c r="AB52" s="431"/>
      <c r="AC52" s="431"/>
      <c r="AD52" s="431"/>
      <c r="AE52" s="431"/>
      <c r="AF52" s="431"/>
      <c r="AG52" s="431"/>
      <c r="AH52" s="431"/>
      <c r="AI52" s="431"/>
      <c r="AJ52" s="431"/>
      <c r="AK52" s="431"/>
      <c r="AL52" s="431"/>
      <c r="AM52" s="431"/>
      <c r="AN52" s="431"/>
      <c r="AO52" s="431"/>
      <c r="AP52" s="431"/>
      <c r="AQ52" s="431"/>
      <c r="AR52" s="431"/>
      <c r="AS52" s="431"/>
      <c r="AT52" s="431"/>
      <c r="AU52" s="431"/>
      <c r="AV52" s="431"/>
      <c r="AW52" s="432"/>
      <c r="AX52" s="433"/>
      <c r="AY52" s="433"/>
      <c r="AZ52" s="433"/>
      <c r="BA52" s="433"/>
      <c r="BB52" s="433"/>
      <c r="BC52" s="434"/>
      <c r="BD52" s="435"/>
      <c r="BE52" s="433"/>
      <c r="BF52" s="433"/>
      <c r="BG52" s="433"/>
      <c r="BH52" s="433"/>
      <c r="BI52" s="433"/>
      <c r="BJ52" s="434"/>
      <c r="BK52" s="422"/>
    </row>
    <row r="53" spans="1:63" ht="15" customHeight="1" x14ac:dyDescent="0.25">
      <c r="A53" s="421"/>
      <c r="B53" s="397"/>
      <c r="C53" s="398"/>
      <c r="D53" s="398"/>
      <c r="E53" s="398"/>
      <c r="F53" s="398"/>
      <c r="G53" s="399"/>
      <c r="H53" s="397"/>
      <c r="I53" s="398"/>
      <c r="J53" s="398"/>
      <c r="K53" s="398"/>
      <c r="L53" s="398"/>
      <c r="M53" s="398"/>
      <c r="N53" s="399"/>
      <c r="O53" s="397"/>
      <c r="P53" s="398"/>
      <c r="Q53" s="398"/>
      <c r="R53" s="398"/>
      <c r="S53" s="424"/>
      <c r="T53" s="425"/>
      <c r="U53" s="425"/>
      <c r="V53" s="425"/>
      <c r="W53" s="425"/>
      <c r="X53" s="425"/>
      <c r="Y53" s="425"/>
      <c r="Z53" s="425"/>
      <c r="AA53" s="425"/>
      <c r="AB53" s="425"/>
      <c r="AC53" s="425"/>
      <c r="AD53" s="425"/>
      <c r="AE53" s="425"/>
      <c r="AF53" s="425"/>
      <c r="AG53" s="425"/>
      <c r="AH53" s="425"/>
      <c r="AI53" s="425"/>
      <c r="AJ53" s="425"/>
      <c r="AK53" s="425"/>
      <c r="AL53" s="425"/>
      <c r="AM53" s="425"/>
      <c r="AN53" s="425"/>
      <c r="AO53" s="425"/>
      <c r="AP53" s="425"/>
      <c r="AQ53" s="425"/>
      <c r="AR53" s="425"/>
      <c r="AS53" s="425"/>
      <c r="AT53" s="425"/>
      <c r="AU53" s="425"/>
      <c r="AV53" s="425"/>
      <c r="AW53" s="426"/>
      <c r="AX53" s="427"/>
      <c r="AY53" s="427"/>
      <c r="AZ53" s="427"/>
      <c r="BA53" s="427"/>
      <c r="BB53" s="427"/>
      <c r="BC53" s="428"/>
      <c r="BD53" s="429"/>
      <c r="BE53" s="427"/>
      <c r="BF53" s="427"/>
      <c r="BG53" s="427"/>
      <c r="BH53" s="427"/>
      <c r="BI53" s="427"/>
      <c r="BJ53" s="428"/>
      <c r="BK53" s="422"/>
    </row>
    <row r="54" spans="1:63" ht="15" customHeight="1" x14ac:dyDescent="0.25">
      <c r="A54" s="421"/>
      <c r="B54" s="406"/>
      <c r="C54" s="407"/>
      <c r="D54" s="407"/>
      <c r="E54" s="407"/>
      <c r="F54" s="407"/>
      <c r="G54" s="408"/>
      <c r="H54" s="406"/>
      <c r="I54" s="407"/>
      <c r="J54" s="407"/>
      <c r="K54" s="407"/>
      <c r="L54" s="407"/>
      <c r="M54" s="407"/>
      <c r="N54" s="408"/>
      <c r="O54" s="406"/>
      <c r="P54" s="407"/>
      <c r="Q54" s="407"/>
      <c r="R54" s="407"/>
      <c r="S54" s="430"/>
      <c r="T54" s="431"/>
      <c r="U54" s="431"/>
      <c r="V54" s="431"/>
      <c r="W54" s="431"/>
      <c r="X54" s="431"/>
      <c r="Y54" s="431"/>
      <c r="Z54" s="431"/>
      <c r="AA54" s="431"/>
      <c r="AB54" s="431"/>
      <c r="AC54" s="431"/>
      <c r="AD54" s="431"/>
      <c r="AE54" s="431"/>
      <c r="AF54" s="431"/>
      <c r="AG54" s="431"/>
      <c r="AH54" s="431"/>
      <c r="AI54" s="431"/>
      <c r="AJ54" s="431"/>
      <c r="AK54" s="431"/>
      <c r="AL54" s="431"/>
      <c r="AM54" s="431"/>
      <c r="AN54" s="431"/>
      <c r="AO54" s="431"/>
      <c r="AP54" s="431"/>
      <c r="AQ54" s="431"/>
      <c r="AR54" s="431"/>
      <c r="AS54" s="431"/>
      <c r="AT54" s="431"/>
      <c r="AU54" s="431"/>
      <c r="AV54" s="431"/>
      <c r="AW54" s="432"/>
      <c r="AX54" s="433"/>
      <c r="AY54" s="433"/>
      <c r="AZ54" s="433"/>
      <c r="BA54" s="433"/>
      <c r="BB54" s="433"/>
      <c r="BC54" s="434"/>
      <c r="BD54" s="435"/>
      <c r="BE54" s="433"/>
      <c r="BF54" s="433"/>
      <c r="BG54" s="433"/>
      <c r="BH54" s="433"/>
      <c r="BI54" s="433"/>
      <c r="BJ54" s="434"/>
      <c r="BK54" s="422"/>
    </row>
    <row r="55" spans="1:63" ht="15" customHeight="1" x14ac:dyDescent="0.25">
      <c r="A55" s="418"/>
      <c r="B55" s="419"/>
      <c r="C55" s="419"/>
      <c r="D55" s="419"/>
      <c r="E55" s="419"/>
      <c r="F55" s="419"/>
      <c r="G55" s="419"/>
      <c r="H55" s="419"/>
      <c r="I55" s="419"/>
      <c r="J55" s="419"/>
      <c r="K55" s="419"/>
      <c r="L55" s="419"/>
      <c r="M55" s="419"/>
      <c r="N55" s="419"/>
      <c r="O55" s="419"/>
      <c r="P55" s="419"/>
      <c r="Q55" s="419"/>
      <c r="R55" s="419"/>
      <c r="S55" s="419"/>
      <c r="T55" s="419"/>
      <c r="U55" s="419"/>
      <c r="V55" s="419"/>
      <c r="W55" s="419"/>
      <c r="X55" s="419"/>
      <c r="Y55" s="419"/>
      <c r="Z55" s="419"/>
      <c r="AA55" s="419"/>
      <c r="AB55" s="419"/>
      <c r="AC55" s="419"/>
      <c r="AD55" s="419"/>
      <c r="AE55" s="419"/>
      <c r="AF55" s="419"/>
      <c r="AG55" s="419"/>
      <c r="AH55" s="419"/>
      <c r="AI55" s="419"/>
      <c r="AJ55" s="419"/>
      <c r="AK55" s="419"/>
      <c r="AL55" s="419"/>
      <c r="AM55" s="419"/>
      <c r="AN55" s="419"/>
      <c r="AO55" s="419"/>
      <c r="AP55" s="419"/>
      <c r="AQ55" s="419"/>
      <c r="AR55" s="419"/>
      <c r="AS55" s="419"/>
      <c r="AT55" s="419"/>
      <c r="AU55" s="419"/>
      <c r="AV55" s="419"/>
      <c r="AW55" s="419"/>
      <c r="AX55" s="419"/>
      <c r="AY55" s="419"/>
      <c r="AZ55" s="419"/>
      <c r="BA55" s="419"/>
      <c r="BB55" s="419"/>
      <c r="BC55" s="419"/>
      <c r="BD55" s="419"/>
      <c r="BE55" s="419"/>
      <c r="BF55" s="419"/>
      <c r="BG55" s="419"/>
      <c r="BH55" s="419"/>
      <c r="BI55" s="419"/>
      <c r="BJ55" s="419"/>
      <c r="BK55" s="420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7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2F10-0F13-4FA5-B855-F2A438C6A067}">
  <sheetPr>
    <pageSetUpPr fitToPage="1"/>
  </sheetPr>
  <dimension ref="A1:BK75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45" width="2.77734375" style="30"/>
    <col min="46" max="46" width="3" style="30" bestFit="1" customWidth="1"/>
    <col min="47" max="16384" width="2.77734375" style="30"/>
  </cols>
  <sheetData>
    <row r="1" spans="1:63" ht="24.9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1"/>
      <c r="K1" s="309" t="s">
        <v>2</v>
      </c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1"/>
      <c r="W1" s="312" t="str">
        <f>IF(表紙!W1="","",表紙!W1)</f>
        <v>詳細設計書</v>
      </c>
      <c r="X1" s="313"/>
      <c r="Y1" s="313"/>
      <c r="Z1" s="313"/>
      <c r="AA1" s="313"/>
      <c r="AB1" s="313"/>
      <c r="AC1" s="313"/>
      <c r="AD1" s="313"/>
      <c r="AE1" s="313"/>
      <c r="AF1" s="313"/>
      <c r="AG1" s="313"/>
      <c r="AH1" s="313"/>
      <c r="AI1" s="313"/>
      <c r="AJ1" s="313"/>
      <c r="AK1" s="313"/>
      <c r="AL1" s="313"/>
      <c r="AM1" s="313"/>
      <c r="AN1" s="313"/>
      <c r="AO1" s="314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303" t="str">
        <f>IF(表紙!A2="","",表紙!A2)</f>
        <v>POSサーバー</v>
      </c>
      <c r="B2" s="304"/>
      <c r="C2" s="304"/>
      <c r="D2" s="304"/>
      <c r="E2" s="304"/>
      <c r="F2" s="304"/>
      <c r="G2" s="304"/>
      <c r="H2" s="304"/>
      <c r="I2" s="304"/>
      <c r="J2" s="305"/>
      <c r="K2" s="303" t="str">
        <f>IF(表紙!K2="","",表紙!K2)</f>
        <v>POSサーバ</v>
      </c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5"/>
      <c r="W2" s="315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7"/>
      <c r="AP2" s="11" t="str">
        <f>IF(表紙!AP2="","",表紙!AP2)</f>
        <v>TuyenNH</v>
      </c>
      <c r="AQ2" s="10"/>
      <c r="AR2" s="10"/>
      <c r="AS2" s="9"/>
      <c r="AT2" s="78">
        <f>IF(表紙!AT2="","",表紙!AT2)</f>
        <v>45518</v>
      </c>
      <c r="AU2" s="79"/>
      <c r="AV2" s="79"/>
      <c r="AW2" s="79"/>
      <c r="AX2" s="80"/>
      <c r="AY2" s="11" t="str">
        <f>IF(表紙!AY2="","",表紙!AY2)</f>
        <v>TuyenNH</v>
      </c>
      <c r="AZ2" s="10"/>
      <c r="BA2" s="10"/>
      <c r="BB2" s="9"/>
      <c r="BC2" s="78">
        <f>IF(表紙!BC2="","",表紙!BC2)</f>
        <v>45636</v>
      </c>
      <c r="BD2" s="79"/>
      <c r="BE2" s="79"/>
      <c r="BF2" s="79"/>
      <c r="BG2" s="80"/>
      <c r="BH2" s="11">
        <f>IF(表紙!BH2="","",表紙!BH2)</f>
        <v>0.14000000000000001</v>
      </c>
      <c r="BI2" s="10"/>
      <c r="BJ2" s="10"/>
      <c r="BK2" s="9"/>
    </row>
    <row r="3" spans="1:63" ht="15" customHeight="1" x14ac:dyDescent="0.25">
      <c r="A3" s="306"/>
      <c r="B3" s="307"/>
      <c r="C3" s="307"/>
      <c r="D3" s="307"/>
      <c r="E3" s="307"/>
      <c r="F3" s="307"/>
      <c r="G3" s="307"/>
      <c r="H3" s="307"/>
      <c r="I3" s="307"/>
      <c r="J3" s="308"/>
      <c r="K3" s="306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8"/>
      <c r="W3" s="318"/>
      <c r="X3" s="319"/>
      <c r="Y3" s="319"/>
      <c r="Z3" s="319"/>
      <c r="AA3" s="319"/>
      <c r="AB3" s="319"/>
      <c r="AC3" s="319"/>
      <c r="AD3" s="319"/>
      <c r="AE3" s="319"/>
      <c r="AF3" s="319"/>
      <c r="AG3" s="319"/>
      <c r="AH3" s="319"/>
      <c r="AI3" s="319"/>
      <c r="AJ3" s="319"/>
      <c r="AK3" s="319"/>
      <c r="AL3" s="319"/>
      <c r="AM3" s="319"/>
      <c r="AN3" s="319"/>
      <c r="AO3" s="320"/>
      <c r="AP3" s="8"/>
      <c r="AQ3" s="7"/>
      <c r="AR3" s="7"/>
      <c r="AS3" s="6"/>
      <c r="AT3" s="81"/>
      <c r="AU3" s="82"/>
      <c r="AV3" s="82"/>
      <c r="AW3" s="82"/>
      <c r="AX3" s="83"/>
      <c r="AY3" s="8"/>
      <c r="AZ3" s="7"/>
      <c r="BA3" s="7"/>
      <c r="BB3" s="6"/>
      <c r="BC3" s="81"/>
      <c r="BD3" s="82"/>
      <c r="BE3" s="82"/>
      <c r="BF3" s="82"/>
      <c r="BG3" s="83"/>
      <c r="BH3" s="8"/>
      <c r="BI3" s="7"/>
      <c r="BJ3" s="7"/>
      <c r="BK3" s="6"/>
    </row>
    <row r="4" spans="1:63" ht="24.95" customHeight="1" x14ac:dyDescent="0.25">
      <c r="A4" s="309" t="s">
        <v>1</v>
      </c>
      <c r="B4" s="310"/>
      <c r="C4" s="310"/>
      <c r="D4" s="310"/>
      <c r="E4" s="310"/>
      <c r="F4" s="310"/>
      <c r="G4" s="311"/>
      <c r="H4" s="321" t="str">
        <f>IF(表紙!H4="","",表紙!H4)</f>
        <v>02_緊急売価変更</v>
      </c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3"/>
      <c r="U4" s="309" t="s">
        <v>8</v>
      </c>
      <c r="V4" s="310"/>
      <c r="W4" s="310"/>
      <c r="X4" s="310"/>
      <c r="Y4" s="311"/>
      <c r="Z4" s="321" t="str">
        <f>IF(表紙!Z4="","",表紙!Z4)</f>
        <v>画面設計書</v>
      </c>
      <c r="AA4" s="322"/>
      <c r="AB4" s="322"/>
      <c r="AC4" s="322"/>
      <c r="AD4" s="322"/>
      <c r="AE4" s="322"/>
      <c r="AF4" s="322"/>
      <c r="AG4" s="322"/>
      <c r="AH4" s="322"/>
      <c r="AI4" s="322"/>
      <c r="AJ4" s="322"/>
      <c r="AK4" s="322"/>
      <c r="AL4" s="322"/>
      <c r="AM4" s="322"/>
      <c r="AN4" s="322"/>
      <c r="AO4" s="323"/>
      <c r="AP4" s="324" t="str">
        <f ca="1">MID(CELL("filename",A1),FIND("]",CELL("filename",A1))+1,255)</f>
        <v>SC0201</v>
      </c>
      <c r="AQ4" s="322"/>
      <c r="AR4" s="322"/>
      <c r="AS4" s="322"/>
      <c r="AT4" s="322"/>
      <c r="AU4" s="322"/>
      <c r="AV4" s="322"/>
      <c r="AW4" s="322"/>
      <c r="AX4" s="322"/>
      <c r="AY4" s="322"/>
      <c r="AZ4" s="322"/>
      <c r="BA4" s="322"/>
      <c r="BB4" s="322"/>
      <c r="BC4" s="322"/>
      <c r="BD4" s="322"/>
      <c r="BE4" s="322"/>
      <c r="BF4" s="322"/>
      <c r="BG4" s="322"/>
      <c r="BH4" s="322"/>
      <c r="BI4" s="322"/>
      <c r="BJ4" s="322"/>
      <c r="BK4" s="323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4"/>
      <c r="BK6" s="35"/>
    </row>
    <row r="7" spans="1:63" ht="15" customHeight="1" x14ac:dyDescent="0.25">
      <c r="A7" s="34"/>
      <c r="B7" s="37" t="s">
        <v>33</v>
      </c>
      <c r="C7" s="36"/>
      <c r="D7" s="36"/>
      <c r="E7" s="36"/>
      <c r="F7" s="36"/>
      <c r="G7" s="36"/>
      <c r="H7" s="36"/>
      <c r="I7" s="36"/>
      <c r="J7" s="36"/>
      <c r="AE7" s="37"/>
      <c r="BK7" s="35"/>
    </row>
    <row r="8" spans="1:63" x14ac:dyDescent="0.25">
      <c r="A8" s="34"/>
      <c r="BK8" s="35"/>
    </row>
    <row r="9" spans="1:63" x14ac:dyDescent="0.25">
      <c r="A9" s="34"/>
      <c r="BK9" s="35"/>
    </row>
    <row r="10" spans="1:63" x14ac:dyDescent="0.25">
      <c r="A10" s="34"/>
      <c r="C10"/>
      <c r="BK10" s="35"/>
    </row>
    <row r="11" spans="1:63" x14ac:dyDescent="0.25">
      <c r="A11" s="34"/>
      <c r="BK11" s="35"/>
    </row>
    <row r="12" spans="1:63" x14ac:dyDescent="0.25">
      <c r="A12" s="34"/>
      <c r="BK12" s="35"/>
    </row>
    <row r="13" spans="1:63" x14ac:dyDescent="0.25">
      <c r="A13" s="34"/>
      <c r="BK13" s="35"/>
    </row>
    <row r="14" spans="1:63" x14ac:dyDescent="0.25">
      <c r="A14" s="34"/>
      <c r="BK14" s="35"/>
    </row>
    <row r="15" spans="1:63" x14ac:dyDescent="0.25">
      <c r="A15" s="34"/>
      <c r="BK15" s="35"/>
    </row>
    <row r="16" spans="1:63" x14ac:dyDescent="0.25">
      <c r="A16" s="34"/>
      <c r="BK16" s="35"/>
    </row>
    <row r="17" spans="1:63" x14ac:dyDescent="0.25">
      <c r="A17" s="34"/>
      <c r="BK17" s="35"/>
    </row>
    <row r="18" spans="1:63" x14ac:dyDescent="0.25">
      <c r="A18" s="34"/>
      <c r="BK18" s="35"/>
    </row>
    <row r="19" spans="1:63" x14ac:dyDescent="0.25">
      <c r="A19" s="34"/>
      <c r="BK19" s="35"/>
    </row>
    <row r="20" spans="1:63" x14ac:dyDescent="0.25">
      <c r="A20" s="34"/>
      <c r="BK20" s="35"/>
    </row>
    <row r="21" spans="1:63" x14ac:dyDescent="0.25">
      <c r="A21" s="34"/>
      <c r="BK21" s="35"/>
    </row>
    <row r="22" spans="1:63" x14ac:dyDescent="0.25">
      <c r="A22" s="34"/>
      <c r="BK22" s="35"/>
    </row>
    <row r="23" spans="1:63" x14ac:dyDescent="0.25">
      <c r="A23" s="34"/>
      <c r="BK23" s="35"/>
    </row>
    <row r="24" spans="1:63" x14ac:dyDescent="0.25">
      <c r="A24" s="34"/>
      <c r="BK24" s="35"/>
    </row>
    <row r="25" spans="1:63" x14ac:dyDescent="0.25">
      <c r="A25" s="34"/>
      <c r="BK25" s="35"/>
    </row>
    <row r="26" spans="1:63" x14ac:dyDescent="0.25">
      <c r="A26" s="34"/>
      <c r="BK26" s="35"/>
    </row>
    <row r="27" spans="1:63" x14ac:dyDescent="0.25">
      <c r="A27" s="34"/>
      <c r="BK27" s="35"/>
    </row>
    <row r="28" spans="1:63" x14ac:dyDescent="0.25">
      <c r="A28" s="34"/>
      <c r="BK28" s="35"/>
    </row>
    <row r="29" spans="1:63" x14ac:dyDescent="0.25">
      <c r="A29" s="34"/>
      <c r="BK29" s="35"/>
    </row>
    <row r="30" spans="1:63" x14ac:dyDescent="0.25">
      <c r="A30" s="34"/>
      <c r="BK30" s="35"/>
    </row>
    <row r="31" spans="1:63" x14ac:dyDescent="0.25">
      <c r="A31" s="34"/>
      <c r="BK31" s="35"/>
    </row>
    <row r="32" spans="1:63" x14ac:dyDescent="0.25">
      <c r="A32" s="34"/>
      <c r="BK32" s="35"/>
    </row>
    <row r="33" spans="1:63" x14ac:dyDescent="0.25">
      <c r="A33" s="34"/>
      <c r="BK33" s="35"/>
    </row>
    <row r="34" spans="1:63" x14ac:dyDescent="0.25">
      <c r="A34" s="34"/>
      <c r="BK34" s="35"/>
    </row>
    <row r="35" spans="1:63" x14ac:dyDescent="0.25">
      <c r="A35" s="34"/>
      <c r="BK35" s="35"/>
    </row>
    <row r="36" spans="1:63" x14ac:dyDescent="0.25">
      <c r="A36" s="34"/>
      <c r="BK36" s="35"/>
    </row>
    <row r="37" spans="1:63" x14ac:dyDescent="0.25">
      <c r="A37" s="34"/>
      <c r="BK37" s="35"/>
    </row>
    <row r="38" spans="1:63" x14ac:dyDescent="0.25">
      <c r="A38" s="34"/>
      <c r="BK38" s="35"/>
    </row>
    <row r="39" spans="1:63" x14ac:dyDescent="0.25">
      <c r="A39" s="34"/>
      <c r="B39" s="37" t="s">
        <v>100</v>
      </c>
      <c r="BK39" s="35"/>
    </row>
    <row r="40" spans="1:63" x14ac:dyDescent="0.25">
      <c r="A40" s="34"/>
      <c r="BK40" s="35"/>
    </row>
    <row r="41" spans="1:63" ht="15.75" customHeight="1" x14ac:dyDescent="0.25">
      <c r="A41" s="34"/>
      <c r="B41" s="221" t="s">
        <v>14</v>
      </c>
      <c r="C41" s="222"/>
      <c r="D41" s="227" t="s">
        <v>130</v>
      </c>
      <c r="E41" s="228"/>
      <c r="F41" s="228"/>
      <c r="G41" s="228"/>
      <c r="H41" s="228"/>
      <c r="I41" s="228"/>
      <c r="J41" s="222"/>
      <c r="K41" s="227" t="s">
        <v>16</v>
      </c>
      <c r="L41" s="228"/>
      <c r="M41" s="222"/>
      <c r="N41" s="231" t="s">
        <v>17</v>
      </c>
      <c r="O41" s="325" t="s">
        <v>34</v>
      </c>
      <c r="P41" s="200" t="s">
        <v>18</v>
      </c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1"/>
      <c r="AD41" s="201"/>
      <c r="AE41" s="201"/>
      <c r="AF41" s="201"/>
      <c r="AG41" s="201"/>
      <c r="AH41" s="201"/>
      <c r="AI41" s="201"/>
      <c r="AJ41" s="201"/>
      <c r="AK41" s="201"/>
      <c r="AL41" s="201"/>
      <c r="AM41" s="201"/>
      <c r="AN41" s="201"/>
      <c r="AO41" s="201"/>
      <c r="AP41" s="201"/>
      <c r="AQ41" s="202"/>
      <c r="AR41" s="203" t="s">
        <v>19</v>
      </c>
      <c r="AS41" s="152"/>
      <c r="AT41" s="152"/>
      <c r="AU41" s="152"/>
      <c r="AV41" s="152"/>
      <c r="AW41" s="152"/>
      <c r="AX41" s="152"/>
      <c r="AY41" s="152"/>
      <c r="AZ41" s="152"/>
      <c r="BA41" s="152"/>
      <c r="BB41" s="153"/>
      <c r="BC41" s="170" t="s">
        <v>20</v>
      </c>
      <c r="BD41" s="171"/>
      <c r="BE41" s="171"/>
      <c r="BF41" s="171"/>
      <c r="BG41" s="171"/>
      <c r="BH41" s="171"/>
      <c r="BI41" s="171"/>
      <c r="BJ41" s="172"/>
      <c r="BK41" s="35"/>
    </row>
    <row r="42" spans="1:63" ht="15.75" customHeight="1" x14ac:dyDescent="0.25">
      <c r="A42" s="34"/>
      <c r="B42" s="223"/>
      <c r="C42" s="224"/>
      <c r="D42" s="223"/>
      <c r="E42" s="229"/>
      <c r="F42" s="229"/>
      <c r="G42" s="229"/>
      <c r="H42" s="229"/>
      <c r="I42" s="229"/>
      <c r="J42" s="224"/>
      <c r="K42" s="223"/>
      <c r="L42" s="229"/>
      <c r="M42" s="224"/>
      <c r="N42" s="232"/>
      <c r="O42" s="326"/>
      <c r="P42" s="252" t="s">
        <v>150</v>
      </c>
      <c r="Q42" s="253"/>
      <c r="R42" s="253"/>
      <c r="S42" s="253"/>
      <c r="T42" s="253"/>
      <c r="U42" s="253"/>
      <c r="V42" s="253"/>
      <c r="W42" s="254"/>
      <c r="X42" s="255" t="s">
        <v>99</v>
      </c>
      <c r="Y42" s="256"/>
      <c r="Z42" s="257"/>
      <c r="AA42" s="255" t="s">
        <v>22</v>
      </c>
      <c r="AB42" s="256"/>
      <c r="AC42" s="256"/>
      <c r="AD42" s="256"/>
      <c r="AE42" s="256"/>
      <c r="AF42" s="256"/>
      <c r="AG42" s="256"/>
      <c r="AH42" s="257"/>
      <c r="AI42" s="255" t="s">
        <v>23</v>
      </c>
      <c r="AJ42" s="256"/>
      <c r="AK42" s="256"/>
      <c r="AL42" s="256"/>
      <c r="AM42" s="256"/>
      <c r="AN42" s="256"/>
      <c r="AO42" s="256"/>
      <c r="AP42" s="256"/>
      <c r="AQ42" s="257"/>
      <c r="AR42" s="261" t="s">
        <v>24</v>
      </c>
      <c r="AS42" s="166" t="s">
        <v>47</v>
      </c>
      <c r="AT42" s="168" t="s">
        <v>46</v>
      </c>
      <c r="AU42" s="203" t="s">
        <v>21</v>
      </c>
      <c r="AV42" s="152"/>
      <c r="AW42" s="152"/>
      <c r="AX42" s="152"/>
      <c r="AY42" s="152"/>
      <c r="AZ42" s="152"/>
      <c r="BA42" s="152"/>
      <c r="BB42" s="153"/>
      <c r="BC42" s="173"/>
      <c r="BD42" s="174"/>
      <c r="BE42" s="174"/>
      <c r="BF42" s="174"/>
      <c r="BG42" s="174"/>
      <c r="BH42" s="174"/>
      <c r="BI42" s="174"/>
      <c r="BJ42" s="175"/>
      <c r="BK42" s="35"/>
    </row>
    <row r="43" spans="1:63" x14ac:dyDescent="0.25">
      <c r="A43" s="34"/>
      <c r="B43" s="225"/>
      <c r="C43" s="226"/>
      <c r="D43" s="225"/>
      <c r="E43" s="230"/>
      <c r="F43" s="230"/>
      <c r="G43" s="230"/>
      <c r="H43" s="230"/>
      <c r="I43" s="230"/>
      <c r="J43" s="226"/>
      <c r="K43" s="225"/>
      <c r="L43" s="230"/>
      <c r="M43" s="226"/>
      <c r="N43" s="233"/>
      <c r="O43" s="327"/>
      <c r="P43" s="200" t="s">
        <v>151</v>
      </c>
      <c r="Q43" s="201"/>
      <c r="R43" s="201"/>
      <c r="S43" s="202"/>
      <c r="T43" s="200" t="s">
        <v>130</v>
      </c>
      <c r="U43" s="201"/>
      <c r="V43" s="201"/>
      <c r="W43" s="202"/>
      <c r="X43" s="258"/>
      <c r="Y43" s="259"/>
      <c r="Z43" s="260"/>
      <c r="AA43" s="258"/>
      <c r="AB43" s="259"/>
      <c r="AC43" s="259"/>
      <c r="AD43" s="259"/>
      <c r="AE43" s="259"/>
      <c r="AF43" s="259"/>
      <c r="AG43" s="259"/>
      <c r="AH43" s="260"/>
      <c r="AI43" s="258"/>
      <c r="AJ43" s="259"/>
      <c r="AK43" s="259"/>
      <c r="AL43" s="259"/>
      <c r="AM43" s="259"/>
      <c r="AN43" s="259"/>
      <c r="AO43" s="259"/>
      <c r="AP43" s="259"/>
      <c r="AQ43" s="260"/>
      <c r="AR43" s="262"/>
      <c r="AS43" s="167"/>
      <c r="AT43" s="169"/>
      <c r="AU43" s="203" t="s">
        <v>32</v>
      </c>
      <c r="AV43" s="152"/>
      <c r="AW43" s="152"/>
      <c r="AX43" s="204"/>
      <c r="AY43" s="151" t="s">
        <v>15</v>
      </c>
      <c r="AZ43" s="152"/>
      <c r="BA43" s="152"/>
      <c r="BB43" s="153"/>
      <c r="BC43" s="176"/>
      <c r="BD43" s="177"/>
      <c r="BE43" s="177"/>
      <c r="BF43" s="177"/>
      <c r="BG43" s="177"/>
      <c r="BH43" s="177"/>
      <c r="BI43" s="177"/>
      <c r="BJ43" s="178"/>
      <c r="BK43" s="35"/>
    </row>
    <row r="44" spans="1:63" ht="15.75" customHeight="1" x14ac:dyDescent="0.25">
      <c r="A44" s="34"/>
      <c r="B44" s="160">
        <v>0</v>
      </c>
      <c r="C44" s="162"/>
      <c r="D44" s="234" t="s">
        <v>36</v>
      </c>
      <c r="E44" s="235"/>
      <c r="F44" s="235"/>
      <c r="G44" s="235"/>
      <c r="H44" s="235"/>
      <c r="I44" s="235"/>
      <c r="J44" s="236"/>
      <c r="K44" s="237" t="s">
        <v>137</v>
      </c>
      <c r="L44" s="238"/>
      <c r="M44" s="239"/>
      <c r="N44" s="38" t="s">
        <v>25</v>
      </c>
      <c r="O44" s="45" t="s">
        <v>26</v>
      </c>
      <c r="P44" s="240" t="s">
        <v>25</v>
      </c>
      <c r="Q44" s="241"/>
      <c r="R44" s="241"/>
      <c r="S44" s="242"/>
      <c r="T44" s="240" t="s">
        <v>25</v>
      </c>
      <c r="U44" s="241"/>
      <c r="V44" s="241"/>
      <c r="W44" s="242"/>
      <c r="X44" s="243" t="s">
        <v>50</v>
      </c>
      <c r="Y44" s="244"/>
      <c r="Z44" s="245"/>
      <c r="AA44" s="246" t="s">
        <v>162</v>
      </c>
      <c r="AB44" s="247"/>
      <c r="AC44" s="247"/>
      <c r="AD44" s="247"/>
      <c r="AE44" s="247"/>
      <c r="AF44" s="247"/>
      <c r="AG44" s="247"/>
      <c r="AH44" s="248"/>
      <c r="AI44" s="249" t="s">
        <v>162</v>
      </c>
      <c r="AJ44" s="250"/>
      <c r="AK44" s="250"/>
      <c r="AL44" s="250"/>
      <c r="AM44" s="250"/>
      <c r="AN44" s="250"/>
      <c r="AO44" s="250"/>
      <c r="AP44" s="250"/>
      <c r="AQ44" s="251"/>
      <c r="AR44" s="40" t="s">
        <v>25</v>
      </c>
      <c r="AS44" s="40" t="s">
        <v>162</v>
      </c>
      <c r="AT44" s="40" t="s">
        <v>162</v>
      </c>
      <c r="AU44" s="160" t="s">
        <v>28</v>
      </c>
      <c r="AV44" s="161"/>
      <c r="AW44" s="161"/>
      <c r="AX44" s="162"/>
      <c r="AY44" s="160" t="s">
        <v>162</v>
      </c>
      <c r="AZ44" s="161"/>
      <c r="BA44" s="161"/>
      <c r="BB44" s="162"/>
      <c r="BC44" s="163" t="s">
        <v>49</v>
      </c>
      <c r="BD44" s="164"/>
      <c r="BE44" s="164"/>
      <c r="BF44" s="164"/>
      <c r="BG44" s="164"/>
      <c r="BH44" s="164"/>
      <c r="BI44" s="164"/>
      <c r="BJ44" s="165"/>
      <c r="BK44" s="35"/>
    </row>
    <row r="45" spans="1:63" ht="52.5" customHeight="1" x14ac:dyDescent="0.25">
      <c r="A45" s="34"/>
      <c r="B45" s="205">
        <v>1</v>
      </c>
      <c r="C45" s="206"/>
      <c r="D45" s="207" t="s">
        <v>131</v>
      </c>
      <c r="E45" s="208"/>
      <c r="F45" s="208"/>
      <c r="G45" s="208"/>
      <c r="H45" s="208"/>
      <c r="I45" s="208"/>
      <c r="J45" s="209"/>
      <c r="K45" s="210" t="s">
        <v>138</v>
      </c>
      <c r="L45" s="211"/>
      <c r="M45" s="212"/>
      <c r="N45" s="48" t="s">
        <v>25</v>
      </c>
      <c r="O45" s="49" t="s">
        <v>26</v>
      </c>
      <c r="P45" s="154" t="s">
        <v>25</v>
      </c>
      <c r="Q45" s="155"/>
      <c r="R45" s="155"/>
      <c r="S45" s="156"/>
      <c r="T45" s="154" t="s">
        <v>25</v>
      </c>
      <c r="U45" s="155"/>
      <c r="V45" s="155"/>
      <c r="W45" s="156"/>
      <c r="X45" s="213" t="s">
        <v>160</v>
      </c>
      <c r="Y45" s="214"/>
      <c r="Z45" s="206"/>
      <c r="AA45" s="215" t="s">
        <v>163</v>
      </c>
      <c r="AB45" s="216"/>
      <c r="AC45" s="216"/>
      <c r="AD45" s="216"/>
      <c r="AE45" s="216"/>
      <c r="AF45" s="216"/>
      <c r="AG45" s="216"/>
      <c r="AH45" s="217"/>
      <c r="AI45" s="218" t="s">
        <v>163</v>
      </c>
      <c r="AJ45" s="219"/>
      <c r="AK45" s="219"/>
      <c r="AL45" s="219"/>
      <c r="AM45" s="219"/>
      <c r="AN45" s="219"/>
      <c r="AO45" s="219"/>
      <c r="AP45" s="219"/>
      <c r="AQ45" s="220"/>
      <c r="AR45" s="50" t="s">
        <v>25</v>
      </c>
      <c r="AS45" s="50" t="s">
        <v>163</v>
      </c>
      <c r="AT45" s="50" t="s">
        <v>163</v>
      </c>
      <c r="AU45" s="154" t="s">
        <v>25</v>
      </c>
      <c r="AV45" s="155"/>
      <c r="AW45" s="155"/>
      <c r="AX45" s="156"/>
      <c r="AY45" s="154" t="s">
        <v>163</v>
      </c>
      <c r="AZ45" s="155"/>
      <c r="BA45" s="155"/>
      <c r="BB45" s="156"/>
      <c r="BC45" s="157" t="s">
        <v>163</v>
      </c>
      <c r="BD45" s="158"/>
      <c r="BE45" s="158"/>
      <c r="BF45" s="158"/>
      <c r="BG45" s="158"/>
      <c r="BH45" s="158"/>
      <c r="BI45" s="158"/>
      <c r="BJ45" s="159"/>
      <c r="BK45" s="35"/>
    </row>
    <row r="46" spans="1:63" ht="78" customHeight="1" x14ac:dyDescent="0.25">
      <c r="A46" s="34"/>
      <c r="B46" s="112">
        <v>1.1000000000000001</v>
      </c>
      <c r="C46" s="113"/>
      <c r="D46" s="127" t="s">
        <v>132</v>
      </c>
      <c r="E46" s="128"/>
      <c r="F46" s="128"/>
      <c r="G46" s="128"/>
      <c r="H46" s="128"/>
      <c r="I46" s="128"/>
      <c r="J46" s="129"/>
      <c r="K46" s="130" t="s">
        <v>139</v>
      </c>
      <c r="L46" s="131"/>
      <c r="M46" s="132"/>
      <c r="N46" s="58" t="s">
        <v>145</v>
      </c>
      <c r="O46" s="58" t="s">
        <v>25</v>
      </c>
      <c r="P46" s="133" t="s">
        <v>152</v>
      </c>
      <c r="Q46" s="134"/>
      <c r="R46" s="134"/>
      <c r="S46" s="113"/>
      <c r="T46" s="133" t="s">
        <v>156</v>
      </c>
      <c r="U46" s="135"/>
      <c r="V46" s="135"/>
      <c r="W46" s="136"/>
      <c r="X46" s="137" t="s">
        <v>25</v>
      </c>
      <c r="Y46" s="138"/>
      <c r="Z46" s="139"/>
      <c r="AA46" s="140" t="s">
        <v>164</v>
      </c>
      <c r="AB46" s="141"/>
      <c r="AC46" s="141"/>
      <c r="AD46" s="141"/>
      <c r="AE46" s="141"/>
      <c r="AF46" s="141"/>
      <c r="AG46" s="141"/>
      <c r="AH46" s="142"/>
      <c r="AI46" s="197" t="s">
        <v>164</v>
      </c>
      <c r="AJ46" s="198"/>
      <c r="AK46" s="198"/>
      <c r="AL46" s="198"/>
      <c r="AM46" s="198"/>
      <c r="AN46" s="198"/>
      <c r="AO46" s="198"/>
      <c r="AP46" s="198"/>
      <c r="AQ46" s="199"/>
      <c r="AR46" s="60" t="s">
        <v>25</v>
      </c>
      <c r="AS46" s="57" t="s">
        <v>26</v>
      </c>
      <c r="AT46" s="60" t="s">
        <v>164</v>
      </c>
      <c r="AU46" s="112" t="s">
        <v>169</v>
      </c>
      <c r="AV46" s="134"/>
      <c r="AW46" s="134"/>
      <c r="AX46" s="113"/>
      <c r="AY46" s="133" t="s">
        <v>112</v>
      </c>
      <c r="AZ46" s="135"/>
      <c r="BA46" s="135"/>
      <c r="BB46" s="136"/>
      <c r="BC46" s="194" t="s">
        <v>195</v>
      </c>
      <c r="BD46" s="195"/>
      <c r="BE46" s="195"/>
      <c r="BF46" s="195"/>
      <c r="BG46" s="195"/>
      <c r="BH46" s="195"/>
      <c r="BI46" s="195"/>
      <c r="BJ46" s="196"/>
      <c r="BK46" s="35"/>
    </row>
    <row r="47" spans="1:63" ht="52.5" customHeight="1" x14ac:dyDescent="0.25">
      <c r="A47" s="34"/>
      <c r="B47" s="143">
        <v>1.2</v>
      </c>
      <c r="C47" s="144"/>
      <c r="D47" s="145" t="s">
        <v>133</v>
      </c>
      <c r="E47" s="146"/>
      <c r="F47" s="146"/>
      <c r="G47" s="146"/>
      <c r="H47" s="146"/>
      <c r="I47" s="146"/>
      <c r="J47" s="147"/>
      <c r="K47" s="148" t="s">
        <v>140</v>
      </c>
      <c r="L47" s="149"/>
      <c r="M47" s="150"/>
      <c r="N47" s="52" t="s">
        <v>146</v>
      </c>
      <c r="O47" s="52" t="s">
        <v>25</v>
      </c>
      <c r="P47" s="179" t="s">
        <v>153</v>
      </c>
      <c r="Q47" s="180"/>
      <c r="R47" s="180"/>
      <c r="S47" s="144"/>
      <c r="T47" s="179" t="s">
        <v>157</v>
      </c>
      <c r="U47" s="181"/>
      <c r="V47" s="181"/>
      <c r="W47" s="182"/>
      <c r="X47" s="183" t="s">
        <v>25</v>
      </c>
      <c r="Y47" s="184"/>
      <c r="Z47" s="185"/>
      <c r="AA47" s="186" t="s">
        <v>165</v>
      </c>
      <c r="AB47" s="187"/>
      <c r="AC47" s="187"/>
      <c r="AD47" s="187"/>
      <c r="AE47" s="187"/>
      <c r="AF47" s="187"/>
      <c r="AG47" s="187"/>
      <c r="AH47" s="188"/>
      <c r="AI47" s="189" t="s">
        <v>165</v>
      </c>
      <c r="AJ47" s="190"/>
      <c r="AK47" s="190"/>
      <c r="AL47" s="190"/>
      <c r="AM47" s="190"/>
      <c r="AN47" s="190"/>
      <c r="AO47" s="190"/>
      <c r="AP47" s="190"/>
      <c r="AQ47" s="191"/>
      <c r="AR47" s="53" t="s">
        <v>25</v>
      </c>
      <c r="AS47" s="54" t="s">
        <v>26</v>
      </c>
      <c r="AT47" s="53" t="s">
        <v>165</v>
      </c>
      <c r="AU47" s="143" t="s">
        <v>170</v>
      </c>
      <c r="AV47" s="180"/>
      <c r="AW47" s="180"/>
      <c r="AX47" s="144"/>
      <c r="AY47" s="179" t="s">
        <v>174</v>
      </c>
      <c r="AZ47" s="181"/>
      <c r="BA47" s="181"/>
      <c r="BB47" s="182"/>
      <c r="BC47" s="145" t="s">
        <v>125</v>
      </c>
      <c r="BD47" s="192"/>
      <c r="BE47" s="192"/>
      <c r="BF47" s="192"/>
      <c r="BG47" s="192"/>
      <c r="BH47" s="192"/>
      <c r="BI47" s="192"/>
      <c r="BJ47" s="193"/>
      <c r="BK47" s="35"/>
    </row>
    <row r="48" spans="1:63" x14ac:dyDescent="0.25">
      <c r="A48" s="34"/>
      <c r="B48" s="143">
        <v>2</v>
      </c>
      <c r="C48" s="144"/>
      <c r="D48" s="145" t="s">
        <v>134</v>
      </c>
      <c r="E48" s="146"/>
      <c r="F48" s="146"/>
      <c r="G48" s="146"/>
      <c r="H48" s="146"/>
      <c r="I48" s="146"/>
      <c r="J48" s="147"/>
      <c r="K48" s="385" t="s">
        <v>141</v>
      </c>
      <c r="L48" s="386"/>
      <c r="M48" s="387"/>
      <c r="N48" s="55" t="s">
        <v>25</v>
      </c>
      <c r="O48" s="52" t="s">
        <v>26</v>
      </c>
      <c r="P48" s="143" t="s">
        <v>25</v>
      </c>
      <c r="Q48" s="180"/>
      <c r="R48" s="180"/>
      <c r="S48" s="144"/>
      <c r="T48" s="143" t="s">
        <v>25</v>
      </c>
      <c r="U48" s="180"/>
      <c r="V48" s="180"/>
      <c r="W48" s="144"/>
      <c r="X48" s="381" t="s">
        <v>161</v>
      </c>
      <c r="Y48" s="388"/>
      <c r="Z48" s="389"/>
      <c r="AA48" s="186" t="s">
        <v>165</v>
      </c>
      <c r="AB48" s="187"/>
      <c r="AC48" s="187"/>
      <c r="AD48" s="187"/>
      <c r="AE48" s="187"/>
      <c r="AF48" s="187"/>
      <c r="AG48" s="187"/>
      <c r="AH48" s="188"/>
      <c r="AI48" s="186" t="s">
        <v>165</v>
      </c>
      <c r="AJ48" s="187"/>
      <c r="AK48" s="187"/>
      <c r="AL48" s="187"/>
      <c r="AM48" s="187"/>
      <c r="AN48" s="187"/>
      <c r="AO48" s="187"/>
      <c r="AP48" s="187"/>
      <c r="AQ48" s="188"/>
      <c r="AR48" s="53" t="s">
        <v>25</v>
      </c>
      <c r="AS48" s="53" t="s">
        <v>165</v>
      </c>
      <c r="AT48" s="53" t="s">
        <v>165</v>
      </c>
      <c r="AU48" s="143" t="s">
        <v>25</v>
      </c>
      <c r="AV48" s="180"/>
      <c r="AW48" s="180"/>
      <c r="AX48" s="144"/>
      <c r="AY48" s="143" t="s">
        <v>165</v>
      </c>
      <c r="AZ48" s="180"/>
      <c r="BA48" s="180"/>
      <c r="BB48" s="144"/>
      <c r="BC48" s="376" t="s">
        <v>165</v>
      </c>
      <c r="BD48" s="192"/>
      <c r="BE48" s="192"/>
      <c r="BF48" s="192"/>
      <c r="BG48" s="192"/>
      <c r="BH48" s="192"/>
      <c r="BI48" s="192"/>
      <c r="BJ48" s="193"/>
      <c r="BK48" s="35"/>
    </row>
    <row r="49" spans="1:63" ht="32.25" customHeight="1" x14ac:dyDescent="0.25">
      <c r="A49" s="34"/>
      <c r="B49" s="143">
        <v>2.1</v>
      </c>
      <c r="C49" s="144"/>
      <c r="D49" s="145" t="s">
        <v>135</v>
      </c>
      <c r="E49" s="146"/>
      <c r="F49" s="146"/>
      <c r="G49" s="146"/>
      <c r="H49" s="146"/>
      <c r="I49" s="146"/>
      <c r="J49" s="147"/>
      <c r="K49" s="385" t="s">
        <v>140</v>
      </c>
      <c r="L49" s="386"/>
      <c r="M49" s="387"/>
      <c r="N49" s="52" t="s">
        <v>146</v>
      </c>
      <c r="O49" s="52" t="s">
        <v>25</v>
      </c>
      <c r="P49" s="179" t="s">
        <v>153</v>
      </c>
      <c r="Q49" s="180"/>
      <c r="R49" s="180"/>
      <c r="S49" s="144"/>
      <c r="T49" s="143" t="s">
        <v>122</v>
      </c>
      <c r="U49" s="180"/>
      <c r="V49" s="180"/>
      <c r="W49" s="144"/>
      <c r="X49" s="179" t="s">
        <v>25</v>
      </c>
      <c r="Y49" s="181"/>
      <c r="Z49" s="182"/>
      <c r="AA49" s="186" t="s">
        <v>165</v>
      </c>
      <c r="AB49" s="187"/>
      <c r="AC49" s="187"/>
      <c r="AD49" s="187"/>
      <c r="AE49" s="187"/>
      <c r="AF49" s="187"/>
      <c r="AG49" s="187"/>
      <c r="AH49" s="188"/>
      <c r="AI49" s="186" t="s">
        <v>165</v>
      </c>
      <c r="AJ49" s="187"/>
      <c r="AK49" s="187"/>
      <c r="AL49" s="187"/>
      <c r="AM49" s="187"/>
      <c r="AN49" s="187"/>
      <c r="AO49" s="187"/>
      <c r="AP49" s="187"/>
      <c r="AQ49" s="188"/>
      <c r="AR49" s="53" t="s">
        <v>25</v>
      </c>
      <c r="AS49" s="54" t="s">
        <v>26</v>
      </c>
      <c r="AT49" s="53" t="s">
        <v>165</v>
      </c>
      <c r="AU49" s="143" t="s">
        <v>170</v>
      </c>
      <c r="AV49" s="180"/>
      <c r="AW49" s="180"/>
      <c r="AX49" s="144"/>
      <c r="AY49" s="179" t="s">
        <v>120</v>
      </c>
      <c r="AZ49" s="181"/>
      <c r="BA49" s="181"/>
      <c r="BB49" s="182"/>
      <c r="BC49" s="145" t="s">
        <v>123</v>
      </c>
      <c r="BD49" s="192"/>
      <c r="BE49" s="192"/>
      <c r="BF49" s="192"/>
      <c r="BG49" s="192"/>
      <c r="BH49" s="192"/>
      <c r="BI49" s="192"/>
      <c r="BJ49" s="193"/>
      <c r="BK49" s="35"/>
    </row>
    <row r="50" spans="1:63" x14ac:dyDescent="0.25">
      <c r="A50" s="34"/>
      <c r="B50" s="143">
        <v>3</v>
      </c>
      <c r="C50" s="144"/>
      <c r="D50" s="378" t="s">
        <v>136</v>
      </c>
      <c r="E50" s="379"/>
      <c r="F50" s="379"/>
      <c r="G50" s="379"/>
      <c r="H50" s="379"/>
      <c r="I50" s="379"/>
      <c r="J50" s="380"/>
      <c r="K50" s="148" t="s">
        <v>141</v>
      </c>
      <c r="L50" s="149"/>
      <c r="M50" s="150"/>
      <c r="N50" s="55" t="s">
        <v>25</v>
      </c>
      <c r="O50" s="52" t="s">
        <v>26</v>
      </c>
      <c r="P50" s="179" t="s">
        <v>153</v>
      </c>
      <c r="Q50" s="180"/>
      <c r="R50" s="180"/>
      <c r="S50" s="144"/>
      <c r="T50" s="143" t="s">
        <v>25</v>
      </c>
      <c r="U50" s="180"/>
      <c r="V50" s="180"/>
      <c r="W50" s="144"/>
      <c r="X50" s="381" t="s">
        <v>121</v>
      </c>
      <c r="Y50" s="180"/>
      <c r="Z50" s="144"/>
      <c r="AA50" s="186" t="s">
        <v>165</v>
      </c>
      <c r="AB50" s="187"/>
      <c r="AC50" s="187"/>
      <c r="AD50" s="187"/>
      <c r="AE50" s="187"/>
      <c r="AF50" s="187"/>
      <c r="AG50" s="187"/>
      <c r="AH50" s="188"/>
      <c r="AI50" s="189" t="s">
        <v>165</v>
      </c>
      <c r="AJ50" s="190"/>
      <c r="AK50" s="190"/>
      <c r="AL50" s="190"/>
      <c r="AM50" s="190"/>
      <c r="AN50" s="190"/>
      <c r="AO50" s="190"/>
      <c r="AP50" s="190"/>
      <c r="AQ50" s="191"/>
      <c r="AR50" s="56" t="s">
        <v>25</v>
      </c>
      <c r="AS50" s="56" t="s">
        <v>165</v>
      </c>
      <c r="AT50" s="56" t="s">
        <v>165</v>
      </c>
      <c r="AU50" s="382" t="s">
        <v>25</v>
      </c>
      <c r="AV50" s="383"/>
      <c r="AW50" s="383"/>
      <c r="AX50" s="384"/>
      <c r="AY50" s="382" t="s">
        <v>165</v>
      </c>
      <c r="AZ50" s="383"/>
      <c r="BA50" s="383"/>
      <c r="BB50" s="384"/>
      <c r="BC50" s="376" t="s">
        <v>165</v>
      </c>
      <c r="BD50" s="192"/>
      <c r="BE50" s="192"/>
      <c r="BF50" s="192"/>
      <c r="BG50" s="192"/>
      <c r="BH50" s="192"/>
      <c r="BI50" s="192"/>
      <c r="BJ50" s="193"/>
      <c r="BK50" s="35"/>
    </row>
    <row r="51" spans="1:63" ht="63.75" customHeight="1" x14ac:dyDescent="0.25">
      <c r="A51" s="34"/>
      <c r="B51" s="112">
        <v>1.2</v>
      </c>
      <c r="C51" s="113"/>
      <c r="D51" s="127" t="s">
        <v>127</v>
      </c>
      <c r="E51" s="128"/>
      <c r="F51" s="128"/>
      <c r="G51" s="128"/>
      <c r="H51" s="128"/>
      <c r="I51" s="128"/>
      <c r="J51" s="129"/>
      <c r="K51" s="130" t="s">
        <v>142</v>
      </c>
      <c r="L51" s="131"/>
      <c r="M51" s="132"/>
      <c r="N51" s="57" t="s">
        <v>147</v>
      </c>
      <c r="O51" s="58" t="s">
        <v>25</v>
      </c>
      <c r="P51" s="133" t="s">
        <v>128</v>
      </c>
      <c r="Q51" s="134"/>
      <c r="R51" s="134"/>
      <c r="S51" s="113"/>
      <c r="T51" s="133" t="s">
        <v>129</v>
      </c>
      <c r="U51" s="134"/>
      <c r="V51" s="134"/>
      <c r="W51" s="113"/>
      <c r="X51" s="137" t="s">
        <v>25</v>
      </c>
      <c r="Y51" s="138"/>
      <c r="Z51" s="139"/>
      <c r="AA51" s="140" t="s">
        <v>164</v>
      </c>
      <c r="AB51" s="141"/>
      <c r="AC51" s="141"/>
      <c r="AD51" s="141"/>
      <c r="AE51" s="141"/>
      <c r="AF51" s="141"/>
      <c r="AG51" s="141"/>
      <c r="AH51" s="142"/>
      <c r="AI51" s="197" t="s">
        <v>164</v>
      </c>
      <c r="AJ51" s="198"/>
      <c r="AK51" s="198"/>
      <c r="AL51" s="198"/>
      <c r="AM51" s="198"/>
      <c r="AN51" s="198"/>
      <c r="AO51" s="198"/>
      <c r="AP51" s="198"/>
      <c r="AQ51" s="199"/>
      <c r="AR51" s="59" t="s">
        <v>25</v>
      </c>
      <c r="AS51" s="59" t="s">
        <v>164</v>
      </c>
      <c r="AT51" s="59" t="s">
        <v>164</v>
      </c>
      <c r="AU51" s="353" t="s">
        <v>25</v>
      </c>
      <c r="AV51" s="377"/>
      <c r="AW51" s="377"/>
      <c r="AX51" s="354"/>
      <c r="AY51" s="353" t="s">
        <v>164</v>
      </c>
      <c r="AZ51" s="377"/>
      <c r="BA51" s="377"/>
      <c r="BB51" s="354"/>
      <c r="BC51" s="194" t="s">
        <v>124</v>
      </c>
      <c r="BD51" s="195"/>
      <c r="BE51" s="195"/>
      <c r="BF51" s="195"/>
      <c r="BG51" s="195"/>
      <c r="BH51" s="195"/>
      <c r="BI51" s="195"/>
      <c r="BJ51" s="196"/>
      <c r="BK51" s="35"/>
    </row>
    <row r="52" spans="1:63" ht="168" customHeight="1" x14ac:dyDescent="0.25">
      <c r="A52" s="34"/>
      <c r="B52" s="353">
        <v>2</v>
      </c>
      <c r="C52" s="354"/>
      <c r="D52" s="291" t="s">
        <v>101</v>
      </c>
      <c r="E52" s="292"/>
      <c r="F52" s="292"/>
      <c r="G52" s="292"/>
      <c r="H52" s="292"/>
      <c r="I52" s="292"/>
      <c r="J52" s="293"/>
      <c r="K52" s="294" t="s">
        <v>143</v>
      </c>
      <c r="L52" s="355"/>
      <c r="M52" s="356"/>
      <c r="N52" s="42" t="s">
        <v>148</v>
      </c>
      <c r="O52" s="42" t="s">
        <v>26</v>
      </c>
      <c r="P52" s="271" t="s">
        <v>28</v>
      </c>
      <c r="Q52" s="272"/>
      <c r="R52" s="272"/>
      <c r="S52" s="273"/>
      <c r="T52" s="271" t="s">
        <v>28</v>
      </c>
      <c r="U52" s="272"/>
      <c r="V52" s="272"/>
      <c r="W52" s="273"/>
      <c r="X52" s="360" t="s">
        <v>55</v>
      </c>
      <c r="Y52" s="272"/>
      <c r="Z52" s="273"/>
      <c r="AA52" s="268" t="s">
        <v>102</v>
      </c>
      <c r="AB52" s="343"/>
      <c r="AC52" s="343"/>
      <c r="AD52" s="343"/>
      <c r="AE52" s="343"/>
      <c r="AF52" s="343"/>
      <c r="AG52" s="343"/>
      <c r="AH52" s="344"/>
      <c r="AI52" s="352" t="s">
        <v>166</v>
      </c>
      <c r="AJ52" s="269"/>
      <c r="AK52" s="269"/>
      <c r="AL52" s="269"/>
      <c r="AM52" s="269"/>
      <c r="AN52" s="269"/>
      <c r="AO52" s="269"/>
      <c r="AP52" s="269"/>
      <c r="AQ52" s="270"/>
      <c r="AR52" s="47" t="s">
        <v>25</v>
      </c>
      <c r="AS52" s="47" t="s">
        <v>162</v>
      </c>
      <c r="AT52" s="47" t="s">
        <v>162</v>
      </c>
      <c r="AU52" s="271" t="s">
        <v>28</v>
      </c>
      <c r="AV52" s="272"/>
      <c r="AW52" s="272"/>
      <c r="AX52" s="273"/>
      <c r="AY52" s="271" t="s">
        <v>162</v>
      </c>
      <c r="AZ52" s="272"/>
      <c r="BA52" s="272"/>
      <c r="BB52" s="273"/>
      <c r="BC52" s="357" t="s">
        <v>103</v>
      </c>
      <c r="BD52" s="358"/>
      <c r="BE52" s="358"/>
      <c r="BF52" s="358"/>
      <c r="BG52" s="358"/>
      <c r="BH52" s="358"/>
      <c r="BI52" s="358"/>
      <c r="BJ52" s="359"/>
      <c r="BK52" s="35"/>
    </row>
    <row r="53" spans="1:63" ht="15.75" customHeight="1" x14ac:dyDescent="0.25">
      <c r="A53" s="34"/>
      <c r="B53" s="112">
        <v>3</v>
      </c>
      <c r="C53" s="113"/>
      <c r="D53" s="114" t="s">
        <v>53</v>
      </c>
      <c r="E53" s="115"/>
      <c r="F53" s="115"/>
      <c r="G53" s="115"/>
      <c r="H53" s="115"/>
      <c r="I53" s="115"/>
      <c r="J53" s="116"/>
      <c r="K53" s="117" t="s">
        <v>143</v>
      </c>
      <c r="L53" s="118"/>
      <c r="M53" s="119"/>
      <c r="N53" s="39" t="s">
        <v>148</v>
      </c>
      <c r="O53" s="39" t="s">
        <v>26</v>
      </c>
      <c r="P53" s="106" t="s">
        <v>28</v>
      </c>
      <c r="Q53" s="107"/>
      <c r="R53" s="107"/>
      <c r="S53" s="108"/>
      <c r="T53" s="106" t="s">
        <v>28</v>
      </c>
      <c r="U53" s="107"/>
      <c r="V53" s="107"/>
      <c r="W53" s="108"/>
      <c r="X53" s="120" t="s">
        <v>44</v>
      </c>
      <c r="Y53" s="121"/>
      <c r="Z53" s="122"/>
      <c r="AA53" s="123" t="s">
        <v>162</v>
      </c>
      <c r="AB53" s="124"/>
      <c r="AC53" s="124"/>
      <c r="AD53" s="124"/>
      <c r="AE53" s="124"/>
      <c r="AF53" s="124"/>
      <c r="AG53" s="124"/>
      <c r="AH53" s="125"/>
      <c r="AI53" s="126" t="s">
        <v>45</v>
      </c>
      <c r="AJ53" s="124"/>
      <c r="AK53" s="124"/>
      <c r="AL53" s="124"/>
      <c r="AM53" s="124"/>
      <c r="AN53" s="124"/>
      <c r="AO53" s="124"/>
      <c r="AP53" s="124"/>
      <c r="AQ53" s="125"/>
      <c r="AR53" s="41" t="s">
        <v>25</v>
      </c>
      <c r="AS53" s="41" t="s">
        <v>162</v>
      </c>
      <c r="AT53" s="41" t="s">
        <v>162</v>
      </c>
      <c r="AU53" s="106" t="s">
        <v>28</v>
      </c>
      <c r="AV53" s="107"/>
      <c r="AW53" s="107"/>
      <c r="AX53" s="108"/>
      <c r="AY53" s="106" t="s">
        <v>162</v>
      </c>
      <c r="AZ53" s="107"/>
      <c r="BA53" s="107"/>
      <c r="BB53" s="108"/>
      <c r="BC53" s="109" t="s">
        <v>54</v>
      </c>
      <c r="BD53" s="110"/>
      <c r="BE53" s="110"/>
      <c r="BF53" s="110"/>
      <c r="BG53" s="110"/>
      <c r="BH53" s="110"/>
      <c r="BI53" s="110"/>
      <c r="BJ53" s="111"/>
      <c r="BK53" s="35"/>
    </row>
    <row r="54" spans="1:63" x14ac:dyDescent="0.25">
      <c r="A54" s="34"/>
      <c r="B54" s="112">
        <v>4</v>
      </c>
      <c r="C54" s="113"/>
      <c r="D54" s="114" t="s">
        <v>56</v>
      </c>
      <c r="E54" s="115"/>
      <c r="F54" s="115"/>
      <c r="G54" s="115"/>
      <c r="H54" s="115"/>
      <c r="I54" s="115"/>
      <c r="J54" s="116"/>
      <c r="K54" s="294" t="s">
        <v>137</v>
      </c>
      <c r="L54" s="295"/>
      <c r="M54" s="296"/>
      <c r="N54" s="46" t="s">
        <v>25</v>
      </c>
      <c r="O54" s="39" t="s">
        <v>26</v>
      </c>
      <c r="P54" s="106" t="s">
        <v>28</v>
      </c>
      <c r="Q54" s="107"/>
      <c r="R54" s="107"/>
      <c r="S54" s="108"/>
      <c r="T54" s="106" t="s">
        <v>28</v>
      </c>
      <c r="U54" s="107"/>
      <c r="V54" s="107"/>
      <c r="W54" s="108"/>
      <c r="X54" s="278" t="s">
        <v>58</v>
      </c>
      <c r="Y54" s="107"/>
      <c r="Z54" s="108"/>
      <c r="AA54" s="123" t="s">
        <v>162</v>
      </c>
      <c r="AB54" s="124"/>
      <c r="AC54" s="124"/>
      <c r="AD54" s="124"/>
      <c r="AE54" s="124"/>
      <c r="AF54" s="124"/>
      <c r="AG54" s="124"/>
      <c r="AH54" s="125"/>
      <c r="AI54" s="290" t="s">
        <v>162</v>
      </c>
      <c r="AJ54" s="269"/>
      <c r="AK54" s="269"/>
      <c r="AL54" s="269"/>
      <c r="AM54" s="269"/>
      <c r="AN54" s="269"/>
      <c r="AO54" s="269"/>
      <c r="AP54" s="269"/>
      <c r="AQ54" s="270"/>
      <c r="AR54" s="47" t="s">
        <v>25</v>
      </c>
      <c r="AS54" s="47" t="s">
        <v>162</v>
      </c>
      <c r="AT54" s="47" t="s">
        <v>162</v>
      </c>
      <c r="AU54" s="271" t="s">
        <v>28</v>
      </c>
      <c r="AV54" s="272"/>
      <c r="AW54" s="272"/>
      <c r="AX54" s="273"/>
      <c r="AY54" s="271" t="s">
        <v>162</v>
      </c>
      <c r="AZ54" s="272"/>
      <c r="BA54" s="272"/>
      <c r="BB54" s="273"/>
      <c r="BC54" s="109"/>
      <c r="BD54" s="110"/>
      <c r="BE54" s="110"/>
      <c r="BF54" s="110"/>
      <c r="BG54" s="110"/>
      <c r="BH54" s="110"/>
      <c r="BI54" s="110"/>
      <c r="BJ54" s="111"/>
      <c r="BK54" s="35"/>
    </row>
    <row r="55" spans="1:63" ht="35.25" customHeight="1" x14ac:dyDescent="0.25">
      <c r="A55" s="34"/>
      <c r="B55" s="112">
        <v>4.0999999999999996</v>
      </c>
      <c r="C55" s="113"/>
      <c r="D55" s="114" t="s">
        <v>57</v>
      </c>
      <c r="E55" s="115"/>
      <c r="F55" s="115"/>
      <c r="G55" s="115"/>
      <c r="H55" s="115"/>
      <c r="I55" s="115"/>
      <c r="J55" s="116"/>
      <c r="K55" s="294" t="s">
        <v>42</v>
      </c>
      <c r="L55" s="295"/>
      <c r="M55" s="296"/>
      <c r="N55" s="42" t="s">
        <v>148</v>
      </c>
      <c r="O55" s="39" t="s">
        <v>25</v>
      </c>
      <c r="P55" s="106" t="s">
        <v>28</v>
      </c>
      <c r="Q55" s="107"/>
      <c r="R55" s="107"/>
      <c r="S55" s="108"/>
      <c r="T55" s="106" t="s">
        <v>28</v>
      </c>
      <c r="U55" s="107"/>
      <c r="V55" s="107"/>
      <c r="W55" s="108"/>
      <c r="X55" s="300" t="s">
        <v>25</v>
      </c>
      <c r="Y55" s="301"/>
      <c r="Z55" s="302"/>
      <c r="AA55" s="123" t="s">
        <v>162</v>
      </c>
      <c r="AB55" s="124"/>
      <c r="AC55" s="124"/>
      <c r="AD55" s="124"/>
      <c r="AE55" s="124"/>
      <c r="AF55" s="124"/>
      <c r="AG55" s="124"/>
      <c r="AH55" s="125"/>
      <c r="AI55" s="290" t="s">
        <v>162</v>
      </c>
      <c r="AJ55" s="269"/>
      <c r="AK55" s="269"/>
      <c r="AL55" s="269"/>
      <c r="AM55" s="269"/>
      <c r="AN55" s="269"/>
      <c r="AO55" s="269"/>
      <c r="AP55" s="269"/>
      <c r="AQ55" s="270"/>
      <c r="AR55" s="47" t="s">
        <v>25</v>
      </c>
      <c r="AS55" s="47" t="s">
        <v>162</v>
      </c>
      <c r="AT55" s="47" t="s">
        <v>162</v>
      </c>
      <c r="AU55" s="369" t="s">
        <v>171</v>
      </c>
      <c r="AV55" s="272"/>
      <c r="AW55" s="272"/>
      <c r="AX55" s="273"/>
      <c r="AY55" s="370" t="s">
        <v>59</v>
      </c>
      <c r="AZ55" s="371"/>
      <c r="BA55" s="371"/>
      <c r="BB55" s="372"/>
      <c r="BC55" s="109" t="s">
        <v>61</v>
      </c>
      <c r="BD55" s="110"/>
      <c r="BE55" s="110"/>
      <c r="BF55" s="110"/>
      <c r="BG55" s="110"/>
      <c r="BH55" s="110"/>
      <c r="BI55" s="110"/>
      <c r="BJ55" s="111"/>
      <c r="BK55" s="35"/>
    </row>
    <row r="56" spans="1:63" ht="96" customHeight="1" x14ac:dyDescent="0.25">
      <c r="A56" s="34"/>
      <c r="B56" s="112">
        <v>5</v>
      </c>
      <c r="C56" s="113"/>
      <c r="D56" s="114" t="s">
        <v>104</v>
      </c>
      <c r="E56" s="115"/>
      <c r="F56" s="115"/>
      <c r="G56" s="115"/>
      <c r="H56" s="115"/>
      <c r="I56" s="115"/>
      <c r="J56" s="116"/>
      <c r="K56" s="294" t="s">
        <v>137</v>
      </c>
      <c r="L56" s="295"/>
      <c r="M56" s="296"/>
      <c r="N56" s="46" t="s">
        <v>25</v>
      </c>
      <c r="O56" s="39" t="s">
        <v>26</v>
      </c>
      <c r="P56" s="106" t="s">
        <v>28</v>
      </c>
      <c r="Q56" s="107"/>
      <c r="R56" s="107"/>
      <c r="S56" s="108"/>
      <c r="T56" s="106" t="s">
        <v>28</v>
      </c>
      <c r="U56" s="107"/>
      <c r="V56" s="107"/>
      <c r="W56" s="108"/>
      <c r="X56" s="120" t="s">
        <v>52</v>
      </c>
      <c r="Y56" s="121"/>
      <c r="Z56" s="122"/>
      <c r="AA56" s="361" t="s">
        <v>115</v>
      </c>
      <c r="AB56" s="362"/>
      <c r="AC56" s="362"/>
      <c r="AD56" s="362"/>
      <c r="AE56" s="362"/>
      <c r="AF56" s="362"/>
      <c r="AG56" s="362"/>
      <c r="AH56" s="363"/>
      <c r="AI56" s="290" t="s">
        <v>162</v>
      </c>
      <c r="AJ56" s="269"/>
      <c r="AK56" s="269"/>
      <c r="AL56" s="269"/>
      <c r="AM56" s="269"/>
      <c r="AN56" s="269"/>
      <c r="AO56" s="269"/>
      <c r="AP56" s="269"/>
      <c r="AQ56" s="270"/>
      <c r="AR56" s="47" t="s">
        <v>25</v>
      </c>
      <c r="AS56" s="47" t="s">
        <v>162</v>
      </c>
      <c r="AT56" s="47" t="s">
        <v>162</v>
      </c>
      <c r="AU56" s="364" t="s">
        <v>172</v>
      </c>
      <c r="AV56" s="275"/>
      <c r="AW56" s="275"/>
      <c r="AX56" s="276"/>
      <c r="AY56" s="365" t="s">
        <v>116</v>
      </c>
      <c r="AZ56" s="275"/>
      <c r="BA56" s="275"/>
      <c r="BB56" s="276"/>
      <c r="BC56" s="366" t="s">
        <v>119</v>
      </c>
      <c r="BD56" s="367"/>
      <c r="BE56" s="367"/>
      <c r="BF56" s="367"/>
      <c r="BG56" s="367"/>
      <c r="BH56" s="367"/>
      <c r="BI56" s="367"/>
      <c r="BJ56" s="368"/>
      <c r="BK56" s="35"/>
    </row>
    <row r="57" spans="1:63" ht="168" customHeight="1" x14ac:dyDescent="0.25">
      <c r="A57" s="34"/>
      <c r="B57" s="112">
        <v>5.0999999999999996</v>
      </c>
      <c r="C57" s="113"/>
      <c r="D57" s="291" t="s">
        <v>62</v>
      </c>
      <c r="E57" s="292"/>
      <c r="F57" s="292"/>
      <c r="G57" s="292"/>
      <c r="H57" s="292"/>
      <c r="I57" s="292"/>
      <c r="J57" s="293"/>
      <c r="K57" s="294" t="s">
        <v>144</v>
      </c>
      <c r="L57" s="295"/>
      <c r="M57" s="296"/>
      <c r="N57" s="51" t="s">
        <v>17</v>
      </c>
      <c r="O57" s="39" t="s">
        <v>25</v>
      </c>
      <c r="P57" s="297" t="s">
        <v>154</v>
      </c>
      <c r="Q57" s="107"/>
      <c r="R57" s="107"/>
      <c r="S57" s="108"/>
      <c r="T57" s="297" t="s">
        <v>158</v>
      </c>
      <c r="U57" s="298"/>
      <c r="V57" s="298"/>
      <c r="W57" s="299"/>
      <c r="X57" s="300" t="s">
        <v>25</v>
      </c>
      <c r="Y57" s="301"/>
      <c r="Z57" s="302"/>
      <c r="AA57" s="123" t="s">
        <v>162</v>
      </c>
      <c r="AB57" s="124"/>
      <c r="AC57" s="124"/>
      <c r="AD57" s="124"/>
      <c r="AE57" s="124"/>
      <c r="AF57" s="124"/>
      <c r="AG57" s="124"/>
      <c r="AH57" s="125"/>
      <c r="AI57" s="346" t="s">
        <v>167</v>
      </c>
      <c r="AJ57" s="347"/>
      <c r="AK57" s="347"/>
      <c r="AL57" s="347"/>
      <c r="AM57" s="347"/>
      <c r="AN57" s="347"/>
      <c r="AO57" s="347"/>
      <c r="AP57" s="347"/>
      <c r="AQ57" s="348"/>
      <c r="AR57" s="47" t="s">
        <v>25</v>
      </c>
      <c r="AS57" s="42" t="s">
        <v>26</v>
      </c>
      <c r="AT57" s="47" t="s">
        <v>162</v>
      </c>
      <c r="AU57" s="106" t="s">
        <v>173</v>
      </c>
      <c r="AV57" s="107"/>
      <c r="AW57" s="107"/>
      <c r="AX57" s="108"/>
      <c r="AY57" s="106" t="s">
        <v>82</v>
      </c>
      <c r="AZ57" s="107"/>
      <c r="BA57" s="107"/>
      <c r="BB57" s="108"/>
      <c r="BC57" s="279" t="s">
        <v>126</v>
      </c>
      <c r="BD57" s="110"/>
      <c r="BE57" s="110"/>
      <c r="BF57" s="110"/>
      <c r="BG57" s="110"/>
      <c r="BH57" s="110"/>
      <c r="BI57" s="110"/>
      <c r="BJ57" s="111"/>
      <c r="BK57" s="35"/>
    </row>
    <row r="58" spans="1:63" ht="142.5" customHeight="1" x14ac:dyDescent="0.25">
      <c r="A58" s="34"/>
      <c r="B58" s="112">
        <v>5.2</v>
      </c>
      <c r="C58" s="113"/>
      <c r="D58" s="114" t="s">
        <v>52</v>
      </c>
      <c r="E58" s="115"/>
      <c r="F58" s="115"/>
      <c r="G58" s="115"/>
      <c r="H58" s="115"/>
      <c r="I58" s="115"/>
      <c r="J58" s="116"/>
      <c r="K58" s="294" t="s">
        <v>144</v>
      </c>
      <c r="L58" s="295"/>
      <c r="M58" s="296"/>
      <c r="N58" s="51" t="s">
        <v>17</v>
      </c>
      <c r="O58" s="39" t="s">
        <v>25</v>
      </c>
      <c r="P58" s="297" t="s">
        <v>154</v>
      </c>
      <c r="Q58" s="107"/>
      <c r="R58" s="107"/>
      <c r="S58" s="108"/>
      <c r="T58" s="297" t="s">
        <v>64</v>
      </c>
      <c r="U58" s="298"/>
      <c r="V58" s="298"/>
      <c r="W58" s="299"/>
      <c r="X58" s="300" t="s">
        <v>25</v>
      </c>
      <c r="Y58" s="301"/>
      <c r="Z58" s="302"/>
      <c r="AA58" s="123" t="s">
        <v>162</v>
      </c>
      <c r="AB58" s="124"/>
      <c r="AC58" s="124"/>
      <c r="AD58" s="124"/>
      <c r="AE58" s="124"/>
      <c r="AF58" s="124"/>
      <c r="AG58" s="124"/>
      <c r="AH58" s="125"/>
      <c r="AI58" s="346" t="s">
        <v>117</v>
      </c>
      <c r="AJ58" s="347"/>
      <c r="AK58" s="347"/>
      <c r="AL58" s="347"/>
      <c r="AM58" s="347"/>
      <c r="AN58" s="347"/>
      <c r="AO58" s="347"/>
      <c r="AP58" s="347"/>
      <c r="AQ58" s="348"/>
      <c r="AR58" s="47" t="s">
        <v>25</v>
      </c>
      <c r="AS58" s="42" t="s">
        <v>26</v>
      </c>
      <c r="AT58" s="47" t="s">
        <v>162</v>
      </c>
      <c r="AU58" s="106" t="s">
        <v>63</v>
      </c>
      <c r="AV58" s="107"/>
      <c r="AW58" s="107"/>
      <c r="AX58" s="108"/>
      <c r="AY58" s="297" t="s">
        <v>83</v>
      </c>
      <c r="AZ58" s="298"/>
      <c r="BA58" s="298"/>
      <c r="BB58" s="299"/>
      <c r="BC58" s="279" t="s">
        <v>107</v>
      </c>
      <c r="BD58" s="110"/>
      <c r="BE58" s="110"/>
      <c r="BF58" s="110"/>
      <c r="BG58" s="110"/>
      <c r="BH58" s="110"/>
      <c r="BI58" s="110"/>
      <c r="BJ58" s="111"/>
      <c r="BK58" s="35"/>
    </row>
    <row r="59" spans="1:63" x14ac:dyDescent="0.25">
      <c r="A59" s="34"/>
      <c r="B59" s="112">
        <v>6</v>
      </c>
      <c r="C59" s="113"/>
      <c r="D59" s="114" t="s">
        <v>65</v>
      </c>
      <c r="E59" s="115"/>
      <c r="F59" s="115"/>
      <c r="G59" s="115"/>
      <c r="H59" s="115"/>
      <c r="I59" s="115"/>
      <c r="J59" s="116"/>
      <c r="K59" s="294" t="s">
        <v>137</v>
      </c>
      <c r="L59" s="295"/>
      <c r="M59" s="296"/>
      <c r="N59" s="46" t="s">
        <v>25</v>
      </c>
      <c r="O59" s="39" t="s">
        <v>26</v>
      </c>
      <c r="P59" s="106" t="s">
        <v>28</v>
      </c>
      <c r="Q59" s="107"/>
      <c r="R59" s="107"/>
      <c r="S59" s="108"/>
      <c r="T59" s="106" t="s">
        <v>28</v>
      </c>
      <c r="U59" s="107"/>
      <c r="V59" s="107"/>
      <c r="W59" s="108"/>
      <c r="X59" s="120" t="s">
        <v>66</v>
      </c>
      <c r="Y59" s="121"/>
      <c r="Z59" s="122"/>
      <c r="AA59" s="123" t="s">
        <v>162</v>
      </c>
      <c r="AB59" s="124"/>
      <c r="AC59" s="124"/>
      <c r="AD59" s="124"/>
      <c r="AE59" s="124"/>
      <c r="AF59" s="124"/>
      <c r="AG59" s="124"/>
      <c r="AH59" s="125"/>
      <c r="AI59" s="290" t="s">
        <v>162</v>
      </c>
      <c r="AJ59" s="269"/>
      <c r="AK59" s="269"/>
      <c r="AL59" s="269"/>
      <c r="AM59" s="269"/>
      <c r="AN59" s="269"/>
      <c r="AO59" s="269"/>
      <c r="AP59" s="269"/>
      <c r="AQ59" s="270"/>
      <c r="AR59" s="47" t="s">
        <v>25</v>
      </c>
      <c r="AS59" s="47" t="s">
        <v>162</v>
      </c>
      <c r="AT59" s="47" t="s">
        <v>162</v>
      </c>
      <c r="AU59" s="271" t="s">
        <v>28</v>
      </c>
      <c r="AV59" s="272"/>
      <c r="AW59" s="272"/>
      <c r="AX59" s="273"/>
      <c r="AY59" s="271" t="s">
        <v>162</v>
      </c>
      <c r="AZ59" s="272"/>
      <c r="BA59" s="272"/>
      <c r="BB59" s="273"/>
      <c r="BC59" s="109" t="s">
        <v>162</v>
      </c>
      <c r="BD59" s="110"/>
      <c r="BE59" s="110"/>
      <c r="BF59" s="110"/>
      <c r="BG59" s="110"/>
      <c r="BH59" s="110"/>
      <c r="BI59" s="110"/>
      <c r="BJ59" s="111"/>
      <c r="BK59" s="35"/>
    </row>
    <row r="60" spans="1:63" ht="150" customHeight="1" x14ac:dyDescent="0.25">
      <c r="A60" s="34"/>
      <c r="B60" s="112">
        <v>6.1</v>
      </c>
      <c r="C60" s="113"/>
      <c r="D60" s="114" t="s">
        <v>67</v>
      </c>
      <c r="E60" s="115"/>
      <c r="F60" s="115"/>
      <c r="G60" s="115"/>
      <c r="H60" s="115"/>
      <c r="I60" s="115"/>
      <c r="J60" s="116"/>
      <c r="K60" s="294" t="s">
        <v>39</v>
      </c>
      <c r="L60" s="295"/>
      <c r="M60" s="296"/>
      <c r="N60" s="42" t="s">
        <v>149</v>
      </c>
      <c r="O60" s="39" t="s">
        <v>25</v>
      </c>
      <c r="P60" s="297" t="s">
        <v>154</v>
      </c>
      <c r="Q60" s="107"/>
      <c r="R60" s="107"/>
      <c r="S60" s="108"/>
      <c r="T60" s="297" t="s">
        <v>85</v>
      </c>
      <c r="U60" s="107"/>
      <c r="V60" s="107"/>
      <c r="W60" s="108"/>
      <c r="X60" s="300" t="s">
        <v>25</v>
      </c>
      <c r="Y60" s="301"/>
      <c r="Z60" s="302"/>
      <c r="AA60" s="123" t="s">
        <v>162</v>
      </c>
      <c r="AB60" s="124"/>
      <c r="AC60" s="124"/>
      <c r="AD60" s="124"/>
      <c r="AE60" s="124"/>
      <c r="AF60" s="124"/>
      <c r="AG60" s="124"/>
      <c r="AH60" s="125"/>
      <c r="AI60" s="373" t="s">
        <v>118</v>
      </c>
      <c r="AJ60" s="374"/>
      <c r="AK60" s="374"/>
      <c r="AL60" s="374"/>
      <c r="AM60" s="374"/>
      <c r="AN60" s="374"/>
      <c r="AO60" s="374"/>
      <c r="AP60" s="374"/>
      <c r="AQ60" s="375"/>
      <c r="AR60" s="47" t="s">
        <v>25</v>
      </c>
      <c r="AS60" s="42" t="s">
        <v>26</v>
      </c>
      <c r="AT60" s="47" t="s">
        <v>162</v>
      </c>
      <c r="AU60" s="300" t="s">
        <v>109</v>
      </c>
      <c r="AV60" s="272"/>
      <c r="AW60" s="272"/>
      <c r="AX60" s="273"/>
      <c r="AY60" s="300" t="s">
        <v>110</v>
      </c>
      <c r="AZ60" s="272"/>
      <c r="BA60" s="272"/>
      <c r="BB60" s="273"/>
      <c r="BC60" s="279" t="s">
        <v>108</v>
      </c>
      <c r="BD60" s="110"/>
      <c r="BE60" s="110"/>
      <c r="BF60" s="110"/>
      <c r="BG60" s="110"/>
      <c r="BH60" s="110"/>
      <c r="BI60" s="110"/>
      <c r="BJ60" s="111"/>
      <c r="BK60" s="35"/>
    </row>
    <row r="61" spans="1:63" x14ac:dyDescent="0.25">
      <c r="A61" s="34"/>
      <c r="B61" s="112">
        <v>7</v>
      </c>
      <c r="C61" s="113"/>
      <c r="D61" s="291" t="s">
        <v>69</v>
      </c>
      <c r="E61" s="292"/>
      <c r="F61" s="292"/>
      <c r="G61" s="292"/>
      <c r="H61" s="292"/>
      <c r="I61" s="292"/>
      <c r="J61" s="293"/>
      <c r="K61" s="294" t="s">
        <v>137</v>
      </c>
      <c r="L61" s="295"/>
      <c r="M61" s="296"/>
      <c r="N61" s="46" t="s">
        <v>25</v>
      </c>
      <c r="O61" s="39" t="s">
        <v>26</v>
      </c>
      <c r="P61" s="106" t="s">
        <v>28</v>
      </c>
      <c r="Q61" s="107"/>
      <c r="R61" s="107"/>
      <c r="S61" s="108"/>
      <c r="T61" s="106" t="s">
        <v>28</v>
      </c>
      <c r="U61" s="107"/>
      <c r="V61" s="107"/>
      <c r="W61" s="108"/>
      <c r="X61" s="278" t="s">
        <v>68</v>
      </c>
      <c r="Y61" s="107"/>
      <c r="Z61" s="108"/>
      <c r="AA61" s="123" t="s">
        <v>162</v>
      </c>
      <c r="AB61" s="124"/>
      <c r="AC61" s="124"/>
      <c r="AD61" s="124"/>
      <c r="AE61" s="124"/>
      <c r="AF61" s="124"/>
      <c r="AG61" s="124"/>
      <c r="AH61" s="125"/>
      <c r="AI61" s="290" t="s">
        <v>162</v>
      </c>
      <c r="AJ61" s="269"/>
      <c r="AK61" s="269"/>
      <c r="AL61" s="269"/>
      <c r="AM61" s="269"/>
      <c r="AN61" s="269"/>
      <c r="AO61" s="269"/>
      <c r="AP61" s="269"/>
      <c r="AQ61" s="270"/>
      <c r="AR61" s="47" t="s">
        <v>25</v>
      </c>
      <c r="AS61" s="47" t="s">
        <v>162</v>
      </c>
      <c r="AT61" s="47" t="s">
        <v>162</v>
      </c>
      <c r="AU61" s="271" t="s">
        <v>28</v>
      </c>
      <c r="AV61" s="272"/>
      <c r="AW61" s="272"/>
      <c r="AX61" s="273"/>
      <c r="AY61" s="271" t="s">
        <v>162</v>
      </c>
      <c r="AZ61" s="272"/>
      <c r="BA61" s="272"/>
      <c r="BB61" s="273"/>
      <c r="BC61" s="109" t="s">
        <v>162</v>
      </c>
      <c r="BD61" s="110"/>
      <c r="BE61" s="110"/>
      <c r="BF61" s="110"/>
      <c r="BG61" s="110"/>
      <c r="BH61" s="110"/>
      <c r="BI61" s="110"/>
      <c r="BJ61" s="111"/>
      <c r="BK61" s="35"/>
    </row>
    <row r="62" spans="1:63" ht="159" customHeight="1" x14ac:dyDescent="0.25">
      <c r="A62" s="34"/>
      <c r="B62" s="112">
        <v>7.1</v>
      </c>
      <c r="C62" s="113"/>
      <c r="D62" s="291" t="s">
        <v>72</v>
      </c>
      <c r="E62" s="292"/>
      <c r="F62" s="292"/>
      <c r="G62" s="292"/>
      <c r="H62" s="292"/>
      <c r="I62" s="292"/>
      <c r="J62" s="293"/>
      <c r="K62" s="294" t="s">
        <v>137</v>
      </c>
      <c r="L62" s="295"/>
      <c r="M62" s="296"/>
      <c r="N62" s="42" t="s">
        <v>149</v>
      </c>
      <c r="O62" s="39" t="s">
        <v>25</v>
      </c>
      <c r="P62" s="297" t="s">
        <v>154</v>
      </c>
      <c r="Q62" s="107"/>
      <c r="R62" s="107"/>
      <c r="S62" s="108"/>
      <c r="T62" s="289" t="s">
        <v>86</v>
      </c>
      <c r="U62" s="107"/>
      <c r="V62" s="107"/>
      <c r="W62" s="108"/>
      <c r="X62" s="300" t="s">
        <v>25</v>
      </c>
      <c r="Y62" s="301"/>
      <c r="Z62" s="302"/>
      <c r="AA62" s="123" t="s">
        <v>162</v>
      </c>
      <c r="AB62" s="124"/>
      <c r="AC62" s="124"/>
      <c r="AD62" s="124"/>
      <c r="AE62" s="124"/>
      <c r="AF62" s="124"/>
      <c r="AG62" s="124"/>
      <c r="AH62" s="125"/>
      <c r="AI62" s="290" t="s">
        <v>162</v>
      </c>
      <c r="AJ62" s="269"/>
      <c r="AK62" s="269"/>
      <c r="AL62" s="269"/>
      <c r="AM62" s="269"/>
      <c r="AN62" s="269"/>
      <c r="AO62" s="269"/>
      <c r="AP62" s="269"/>
      <c r="AQ62" s="270"/>
      <c r="AR62" s="47" t="s">
        <v>25</v>
      </c>
      <c r="AS62" s="47" t="s">
        <v>162</v>
      </c>
      <c r="AT62" s="47" t="s">
        <v>162</v>
      </c>
      <c r="AU62" s="271" t="s">
        <v>28</v>
      </c>
      <c r="AV62" s="272"/>
      <c r="AW62" s="272"/>
      <c r="AX62" s="273"/>
      <c r="AY62" s="271" t="s">
        <v>162</v>
      </c>
      <c r="AZ62" s="272"/>
      <c r="BA62" s="272"/>
      <c r="BB62" s="273"/>
      <c r="BC62" s="279" t="s">
        <v>105</v>
      </c>
      <c r="BD62" s="110"/>
      <c r="BE62" s="110"/>
      <c r="BF62" s="110"/>
      <c r="BG62" s="110"/>
      <c r="BH62" s="110"/>
      <c r="BI62" s="110"/>
      <c r="BJ62" s="111"/>
      <c r="BK62" s="35"/>
    </row>
    <row r="63" spans="1:63" x14ac:dyDescent="0.25">
      <c r="A63" s="34"/>
      <c r="B63" s="112">
        <v>8</v>
      </c>
      <c r="C63" s="113"/>
      <c r="D63" s="114" t="s">
        <v>71</v>
      </c>
      <c r="E63" s="115"/>
      <c r="F63" s="115"/>
      <c r="G63" s="115"/>
      <c r="H63" s="115"/>
      <c r="I63" s="115"/>
      <c r="J63" s="116"/>
      <c r="K63" s="294" t="s">
        <v>137</v>
      </c>
      <c r="L63" s="295"/>
      <c r="M63" s="296"/>
      <c r="N63" s="46" t="s">
        <v>25</v>
      </c>
      <c r="O63" s="39" t="s">
        <v>26</v>
      </c>
      <c r="P63" s="106" t="s">
        <v>28</v>
      </c>
      <c r="Q63" s="107"/>
      <c r="R63" s="107"/>
      <c r="S63" s="108"/>
      <c r="T63" s="106" t="s">
        <v>28</v>
      </c>
      <c r="U63" s="107"/>
      <c r="V63" s="107"/>
      <c r="W63" s="108"/>
      <c r="X63" s="278" t="s">
        <v>70</v>
      </c>
      <c r="Y63" s="107"/>
      <c r="Z63" s="108"/>
      <c r="AA63" s="123" t="s">
        <v>162</v>
      </c>
      <c r="AB63" s="124"/>
      <c r="AC63" s="124"/>
      <c r="AD63" s="124"/>
      <c r="AE63" s="124"/>
      <c r="AF63" s="124"/>
      <c r="AG63" s="124"/>
      <c r="AH63" s="125"/>
      <c r="AI63" s="290" t="s">
        <v>162</v>
      </c>
      <c r="AJ63" s="269"/>
      <c r="AK63" s="269"/>
      <c r="AL63" s="269"/>
      <c r="AM63" s="269"/>
      <c r="AN63" s="269"/>
      <c r="AO63" s="269"/>
      <c r="AP63" s="269"/>
      <c r="AQ63" s="270"/>
      <c r="AR63" s="47" t="s">
        <v>25</v>
      </c>
      <c r="AS63" s="47" t="s">
        <v>162</v>
      </c>
      <c r="AT63" s="47" t="s">
        <v>162</v>
      </c>
      <c r="AU63" s="271" t="s">
        <v>28</v>
      </c>
      <c r="AV63" s="272"/>
      <c r="AW63" s="272"/>
      <c r="AX63" s="273"/>
      <c r="AY63" s="271" t="s">
        <v>162</v>
      </c>
      <c r="AZ63" s="272"/>
      <c r="BA63" s="272"/>
      <c r="BB63" s="273"/>
      <c r="BC63" s="109" t="s">
        <v>162</v>
      </c>
      <c r="BD63" s="110"/>
      <c r="BE63" s="110"/>
      <c r="BF63" s="110"/>
      <c r="BG63" s="110"/>
      <c r="BH63" s="110"/>
      <c r="BI63" s="110"/>
      <c r="BJ63" s="111"/>
      <c r="BK63" s="35"/>
    </row>
    <row r="64" spans="1:63" ht="86.25" customHeight="1" x14ac:dyDescent="0.25">
      <c r="A64" s="34"/>
      <c r="B64" s="112">
        <v>8.1</v>
      </c>
      <c r="C64" s="113"/>
      <c r="D64" s="114" t="s">
        <v>106</v>
      </c>
      <c r="E64" s="115"/>
      <c r="F64" s="115"/>
      <c r="G64" s="115"/>
      <c r="H64" s="115"/>
      <c r="I64" s="115"/>
      <c r="J64" s="116"/>
      <c r="K64" s="294" t="s">
        <v>137</v>
      </c>
      <c r="L64" s="295"/>
      <c r="M64" s="296"/>
      <c r="N64" s="42" t="s">
        <v>149</v>
      </c>
      <c r="O64" s="39" t="s">
        <v>25</v>
      </c>
      <c r="P64" s="297" t="s">
        <v>154</v>
      </c>
      <c r="Q64" s="107"/>
      <c r="R64" s="107"/>
      <c r="S64" s="108"/>
      <c r="T64" s="286" t="s">
        <v>73</v>
      </c>
      <c r="U64" s="107"/>
      <c r="V64" s="107"/>
      <c r="W64" s="108"/>
      <c r="X64" s="300" t="s">
        <v>25</v>
      </c>
      <c r="Y64" s="301"/>
      <c r="Z64" s="302"/>
      <c r="AA64" s="123" t="s">
        <v>162</v>
      </c>
      <c r="AB64" s="124"/>
      <c r="AC64" s="124"/>
      <c r="AD64" s="124"/>
      <c r="AE64" s="124"/>
      <c r="AF64" s="124"/>
      <c r="AG64" s="124"/>
      <c r="AH64" s="125"/>
      <c r="AI64" s="290" t="s">
        <v>162</v>
      </c>
      <c r="AJ64" s="269"/>
      <c r="AK64" s="269"/>
      <c r="AL64" s="269"/>
      <c r="AM64" s="269"/>
      <c r="AN64" s="269"/>
      <c r="AO64" s="269"/>
      <c r="AP64" s="269"/>
      <c r="AQ64" s="270"/>
      <c r="AR64" s="47" t="s">
        <v>25</v>
      </c>
      <c r="AS64" s="47" t="s">
        <v>162</v>
      </c>
      <c r="AT64" s="47" t="s">
        <v>162</v>
      </c>
      <c r="AU64" s="271" t="s">
        <v>28</v>
      </c>
      <c r="AV64" s="272"/>
      <c r="AW64" s="272"/>
      <c r="AX64" s="273"/>
      <c r="AY64" s="271" t="s">
        <v>162</v>
      </c>
      <c r="AZ64" s="272"/>
      <c r="BA64" s="272"/>
      <c r="BB64" s="273"/>
      <c r="BC64" s="279" t="s">
        <v>175</v>
      </c>
      <c r="BD64" s="110"/>
      <c r="BE64" s="110"/>
      <c r="BF64" s="110"/>
      <c r="BG64" s="110"/>
      <c r="BH64" s="110"/>
      <c r="BI64" s="110"/>
      <c r="BJ64" s="111"/>
      <c r="BK64" s="35"/>
    </row>
    <row r="65" spans="1:63" x14ac:dyDescent="0.25">
      <c r="A65" s="34"/>
      <c r="B65" s="112">
        <v>9</v>
      </c>
      <c r="C65" s="113"/>
      <c r="D65" s="291" t="s">
        <v>76</v>
      </c>
      <c r="E65" s="292"/>
      <c r="F65" s="292"/>
      <c r="G65" s="292"/>
      <c r="H65" s="292"/>
      <c r="I65" s="292"/>
      <c r="J65" s="293"/>
      <c r="K65" s="294" t="s">
        <v>137</v>
      </c>
      <c r="L65" s="295"/>
      <c r="M65" s="296"/>
      <c r="N65" s="46" t="s">
        <v>25</v>
      </c>
      <c r="O65" s="39" t="s">
        <v>26</v>
      </c>
      <c r="P65" s="106" t="s">
        <v>28</v>
      </c>
      <c r="Q65" s="107"/>
      <c r="R65" s="107"/>
      <c r="S65" s="108"/>
      <c r="T65" s="106" t="s">
        <v>28</v>
      </c>
      <c r="U65" s="107"/>
      <c r="V65" s="107"/>
      <c r="W65" s="108"/>
      <c r="X65" s="278" t="s">
        <v>74</v>
      </c>
      <c r="Y65" s="107"/>
      <c r="Z65" s="108"/>
      <c r="AA65" s="123" t="s">
        <v>162</v>
      </c>
      <c r="AB65" s="124"/>
      <c r="AC65" s="124"/>
      <c r="AD65" s="124"/>
      <c r="AE65" s="124"/>
      <c r="AF65" s="124"/>
      <c r="AG65" s="124"/>
      <c r="AH65" s="125"/>
      <c r="AI65" s="290" t="s">
        <v>162</v>
      </c>
      <c r="AJ65" s="269"/>
      <c r="AK65" s="269"/>
      <c r="AL65" s="269"/>
      <c r="AM65" s="269"/>
      <c r="AN65" s="269"/>
      <c r="AO65" s="269"/>
      <c r="AP65" s="269"/>
      <c r="AQ65" s="270"/>
      <c r="AR65" s="47" t="s">
        <v>25</v>
      </c>
      <c r="AS65" s="47" t="s">
        <v>162</v>
      </c>
      <c r="AT65" s="47" t="s">
        <v>162</v>
      </c>
      <c r="AU65" s="271" t="s">
        <v>28</v>
      </c>
      <c r="AV65" s="272"/>
      <c r="AW65" s="272"/>
      <c r="AX65" s="273"/>
      <c r="AY65" s="271" t="s">
        <v>162</v>
      </c>
      <c r="AZ65" s="272"/>
      <c r="BA65" s="272"/>
      <c r="BB65" s="273"/>
      <c r="BC65" s="109" t="s">
        <v>162</v>
      </c>
      <c r="BD65" s="110"/>
      <c r="BE65" s="110"/>
      <c r="BF65" s="110"/>
      <c r="BG65" s="110"/>
      <c r="BH65" s="110"/>
      <c r="BI65" s="110"/>
      <c r="BJ65" s="111"/>
      <c r="BK65" s="35"/>
    </row>
    <row r="66" spans="1:63" ht="31.5" customHeight="1" x14ac:dyDescent="0.25">
      <c r="A66" s="34"/>
      <c r="B66" s="112">
        <v>9.1</v>
      </c>
      <c r="C66" s="113"/>
      <c r="D66" s="291" t="s">
        <v>77</v>
      </c>
      <c r="E66" s="292"/>
      <c r="F66" s="292"/>
      <c r="G66" s="292"/>
      <c r="H66" s="292"/>
      <c r="I66" s="292"/>
      <c r="J66" s="293"/>
      <c r="K66" s="294" t="s">
        <v>137</v>
      </c>
      <c r="L66" s="295"/>
      <c r="M66" s="296"/>
      <c r="N66" s="42" t="s">
        <v>149</v>
      </c>
      <c r="O66" s="39" t="s">
        <v>25</v>
      </c>
      <c r="P66" s="106" t="s">
        <v>155</v>
      </c>
      <c r="Q66" s="107"/>
      <c r="R66" s="107"/>
      <c r="S66" s="108"/>
      <c r="T66" s="286" t="s">
        <v>159</v>
      </c>
      <c r="U66" s="107"/>
      <c r="V66" s="107"/>
      <c r="W66" s="108"/>
      <c r="X66" s="300" t="s">
        <v>25</v>
      </c>
      <c r="Y66" s="301"/>
      <c r="Z66" s="302"/>
      <c r="AA66" s="123" t="s">
        <v>162</v>
      </c>
      <c r="AB66" s="124"/>
      <c r="AC66" s="124"/>
      <c r="AD66" s="124"/>
      <c r="AE66" s="124"/>
      <c r="AF66" s="124"/>
      <c r="AG66" s="124"/>
      <c r="AH66" s="125"/>
      <c r="AI66" s="290" t="s">
        <v>162</v>
      </c>
      <c r="AJ66" s="269"/>
      <c r="AK66" s="269"/>
      <c r="AL66" s="269"/>
      <c r="AM66" s="269"/>
      <c r="AN66" s="269"/>
      <c r="AO66" s="269"/>
      <c r="AP66" s="269"/>
      <c r="AQ66" s="270"/>
      <c r="AR66" s="42" t="s">
        <v>26</v>
      </c>
      <c r="AS66" s="42" t="s">
        <v>26</v>
      </c>
      <c r="AT66" s="47" t="s">
        <v>162</v>
      </c>
      <c r="AU66" s="106" t="s">
        <v>60</v>
      </c>
      <c r="AV66" s="107"/>
      <c r="AW66" s="107"/>
      <c r="AX66" s="108"/>
      <c r="AY66" s="286" t="s">
        <v>75</v>
      </c>
      <c r="AZ66" s="107"/>
      <c r="BA66" s="107"/>
      <c r="BB66" s="108"/>
      <c r="BC66" s="109" t="s">
        <v>111</v>
      </c>
      <c r="BD66" s="110"/>
      <c r="BE66" s="110"/>
      <c r="BF66" s="110"/>
      <c r="BG66" s="110"/>
      <c r="BH66" s="110"/>
      <c r="BI66" s="110"/>
      <c r="BJ66" s="111"/>
      <c r="BK66" s="35"/>
    </row>
    <row r="67" spans="1:63" x14ac:dyDescent="0.25">
      <c r="A67" s="34"/>
      <c r="B67" s="112">
        <v>10</v>
      </c>
      <c r="C67" s="113"/>
      <c r="D67" s="291" t="s">
        <v>79</v>
      </c>
      <c r="E67" s="292"/>
      <c r="F67" s="292"/>
      <c r="G67" s="292"/>
      <c r="H67" s="292"/>
      <c r="I67" s="292"/>
      <c r="J67" s="293"/>
      <c r="K67" s="294" t="s">
        <v>137</v>
      </c>
      <c r="L67" s="295"/>
      <c r="M67" s="296"/>
      <c r="N67" s="46" t="s">
        <v>25</v>
      </c>
      <c r="O67" s="39" t="s">
        <v>26</v>
      </c>
      <c r="P67" s="106" t="s">
        <v>28</v>
      </c>
      <c r="Q67" s="107"/>
      <c r="R67" s="107"/>
      <c r="S67" s="108"/>
      <c r="T67" s="106" t="s">
        <v>28</v>
      </c>
      <c r="U67" s="107"/>
      <c r="V67" s="107"/>
      <c r="W67" s="108"/>
      <c r="X67" s="278" t="s">
        <v>78</v>
      </c>
      <c r="Y67" s="107"/>
      <c r="Z67" s="108"/>
      <c r="AA67" s="123" t="s">
        <v>162</v>
      </c>
      <c r="AB67" s="124"/>
      <c r="AC67" s="124"/>
      <c r="AD67" s="124"/>
      <c r="AE67" s="124"/>
      <c r="AF67" s="124"/>
      <c r="AG67" s="124"/>
      <c r="AH67" s="125"/>
      <c r="AI67" s="290" t="s">
        <v>162</v>
      </c>
      <c r="AJ67" s="269"/>
      <c r="AK67" s="269"/>
      <c r="AL67" s="269"/>
      <c r="AM67" s="269"/>
      <c r="AN67" s="269"/>
      <c r="AO67" s="269"/>
      <c r="AP67" s="269"/>
      <c r="AQ67" s="270"/>
      <c r="AR67" s="47" t="s">
        <v>25</v>
      </c>
      <c r="AS67" s="47" t="s">
        <v>162</v>
      </c>
      <c r="AT67" s="47" t="s">
        <v>162</v>
      </c>
      <c r="AU67" s="271" t="s">
        <v>28</v>
      </c>
      <c r="AV67" s="272"/>
      <c r="AW67" s="272"/>
      <c r="AX67" s="273"/>
      <c r="AY67" s="271" t="s">
        <v>162</v>
      </c>
      <c r="AZ67" s="272"/>
      <c r="BA67" s="272"/>
      <c r="BB67" s="273"/>
      <c r="BC67" s="109" t="s">
        <v>38</v>
      </c>
      <c r="BD67" s="110"/>
      <c r="BE67" s="110"/>
      <c r="BF67" s="110"/>
      <c r="BG67" s="110"/>
      <c r="BH67" s="110"/>
      <c r="BI67" s="110"/>
      <c r="BJ67" s="111"/>
      <c r="BK67" s="35"/>
    </row>
    <row r="68" spans="1:63" ht="86.25" customHeight="1" x14ac:dyDescent="0.25">
      <c r="A68" s="34"/>
      <c r="B68" s="112">
        <v>10.1</v>
      </c>
      <c r="C68" s="113"/>
      <c r="D68" s="291" t="s">
        <v>80</v>
      </c>
      <c r="E68" s="292"/>
      <c r="F68" s="292"/>
      <c r="G68" s="292"/>
      <c r="H68" s="292"/>
      <c r="I68" s="292"/>
      <c r="J68" s="293"/>
      <c r="K68" s="294" t="s">
        <v>37</v>
      </c>
      <c r="L68" s="295"/>
      <c r="M68" s="296"/>
      <c r="N68" s="42" t="s">
        <v>41</v>
      </c>
      <c r="O68" s="39" t="s">
        <v>25</v>
      </c>
      <c r="P68" s="297" t="s">
        <v>84</v>
      </c>
      <c r="Q68" s="298"/>
      <c r="R68" s="298"/>
      <c r="S68" s="299"/>
      <c r="T68" s="286" t="s">
        <v>81</v>
      </c>
      <c r="U68" s="107"/>
      <c r="V68" s="107"/>
      <c r="W68" s="108"/>
      <c r="X68" s="300" t="s">
        <v>25</v>
      </c>
      <c r="Y68" s="301"/>
      <c r="Z68" s="302"/>
      <c r="AA68" s="123" t="s">
        <v>38</v>
      </c>
      <c r="AB68" s="124"/>
      <c r="AC68" s="124"/>
      <c r="AD68" s="124"/>
      <c r="AE68" s="124"/>
      <c r="AF68" s="124"/>
      <c r="AG68" s="124"/>
      <c r="AH68" s="125"/>
      <c r="AI68" s="290" t="s">
        <v>38</v>
      </c>
      <c r="AJ68" s="269"/>
      <c r="AK68" s="269"/>
      <c r="AL68" s="269"/>
      <c r="AM68" s="269"/>
      <c r="AN68" s="269"/>
      <c r="AO68" s="269"/>
      <c r="AP68" s="269"/>
      <c r="AQ68" s="270"/>
      <c r="AR68" s="47" t="s">
        <v>25</v>
      </c>
      <c r="AS68" s="47" t="s">
        <v>38</v>
      </c>
      <c r="AT68" s="47" t="s">
        <v>38</v>
      </c>
      <c r="AU68" s="271" t="s">
        <v>28</v>
      </c>
      <c r="AV68" s="272"/>
      <c r="AW68" s="272"/>
      <c r="AX68" s="273"/>
      <c r="AY68" s="271" t="s">
        <v>38</v>
      </c>
      <c r="AZ68" s="272"/>
      <c r="BA68" s="272"/>
      <c r="BB68" s="273"/>
      <c r="BC68" s="279" t="s">
        <v>87</v>
      </c>
      <c r="BD68" s="110"/>
      <c r="BE68" s="110"/>
      <c r="BF68" s="110"/>
      <c r="BG68" s="110"/>
      <c r="BH68" s="110"/>
      <c r="BI68" s="110"/>
      <c r="BJ68" s="111"/>
      <c r="BK68" s="35"/>
    </row>
    <row r="69" spans="1:63" x14ac:dyDescent="0.25">
      <c r="A69" s="34"/>
      <c r="B69" s="112">
        <v>11</v>
      </c>
      <c r="C69" s="113"/>
      <c r="D69" s="114" t="s">
        <v>90</v>
      </c>
      <c r="E69" s="115"/>
      <c r="F69" s="115"/>
      <c r="G69" s="115"/>
      <c r="H69" s="115"/>
      <c r="I69" s="115"/>
      <c r="J69" s="116"/>
      <c r="K69" s="117" t="s">
        <v>143</v>
      </c>
      <c r="L69" s="118"/>
      <c r="M69" s="119"/>
      <c r="N69" s="42" t="s">
        <v>148</v>
      </c>
      <c r="O69" s="42" t="s">
        <v>26</v>
      </c>
      <c r="P69" s="106" t="s">
        <v>28</v>
      </c>
      <c r="Q69" s="107"/>
      <c r="R69" s="107"/>
      <c r="S69" s="108"/>
      <c r="T69" s="106" t="s">
        <v>28</v>
      </c>
      <c r="U69" s="107"/>
      <c r="V69" s="107"/>
      <c r="W69" s="108"/>
      <c r="X69" s="274" t="s">
        <v>113</v>
      </c>
      <c r="Y69" s="275"/>
      <c r="Z69" s="276"/>
      <c r="AA69" s="126" t="s">
        <v>38</v>
      </c>
      <c r="AB69" s="266"/>
      <c r="AC69" s="266"/>
      <c r="AD69" s="266"/>
      <c r="AE69" s="266"/>
      <c r="AF69" s="266"/>
      <c r="AG69" s="266"/>
      <c r="AH69" s="267"/>
      <c r="AI69" s="277" t="s">
        <v>168</v>
      </c>
      <c r="AJ69" s="269"/>
      <c r="AK69" s="269"/>
      <c r="AL69" s="269"/>
      <c r="AM69" s="269"/>
      <c r="AN69" s="269"/>
      <c r="AO69" s="269"/>
      <c r="AP69" s="269"/>
      <c r="AQ69" s="270"/>
      <c r="AR69" s="47" t="s">
        <v>25</v>
      </c>
      <c r="AS69" s="47" t="s">
        <v>38</v>
      </c>
      <c r="AT69" s="47" t="s">
        <v>38</v>
      </c>
      <c r="AU69" s="271" t="s">
        <v>28</v>
      </c>
      <c r="AV69" s="272"/>
      <c r="AW69" s="272"/>
      <c r="AX69" s="273"/>
      <c r="AY69" s="271" t="s">
        <v>38</v>
      </c>
      <c r="AZ69" s="272"/>
      <c r="BA69" s="272"/>
      <c r="BB69" s="273"/>
      <c r="BC69" s="283" t="s">
        <v>93</v>
      </c>
      <c r="BD69" s="284"/>
      <c r="BE69" s="284"/>
      <c r="BF69" s="284"/>
      <c r="BG69" s="284"/>
      <c r="BH69" s="284"/>
      <c r="BI69" s="284"/>
      <c r="BJ69" s="285"/>
      <c r="BK69" s="35"/>
    </row>
    <row r="70" spans="1:63" ht="98.25" customHeight="1" x14ac:dyDescent="0.25">
      <c r="A70" s="34"/>
      <c r="B70" s="112">
        <v>12</v>
      </c>
      <c r="C70" s="113"/>
      <c r="D70" s="114" t="s">
        <v>88</v>
      </c>
      <c r="E70" s="115"/>
      <c r="F70" s="115"/>
      <c r="G70" s="115"/>
      <c r="H70" s="115"/>
      <c r="I70" s="115"/>
      <c r="J70" s="116"/>
      <c r="K70" s="117" t="s">
        <v>143</v>
      </c>
      <c r="L70" s="118"/>
      <c r="M70" s="119"/>
      <c r="N70" s="39" t="s">
        <v>17</v>
      </c>
      <c r="O70" s="39" t="s">
        <v>26</v>
      </c>
      <c r="P70" s="286" t="s">
        <v>155</v>
      </c>
      <c r="Q70" s="287"/>
      <c r="R70" s="287"/>
      <c r="S70" s="288"/>
      <c r="T70" s="289" t="s">
        <v>98</v>
      </c>
      <c r="U70" s="287"/>
      <c r="V70" s="287"/>
      <c r="W70" s="288"/>
      <c r="X70" s="278" t="s">
        <v>38</v>
      </c>
      <c r="Y70" s="107"/>
      <c r="Z70" s="108"/>
      <c r="AA70" s="126" t="s">
        <v>38</v>
      </c>
      <c r="AB70" s="266"/>
      <c r="AC70" s="266"/>
      <c r="AD70" s="266"/>
      <c r="AE70" s="266"/>
      <c r="AF70" s="266"/>
      <c r="AG70" s="266"/>
      <c r="AH70" s="267"/>
      <c r="AI70" s="290" t="s">
        <v>38</v>
      </c>
      <c r="AJ70" s="269"/>
      <c r="AK70" s="269"/>
      <c r="AL70" s="269"/>
      <c r="AM70" s="269"/>
      <c r="AN70" s="269"/>
      <c r="AO70" s="269"/>
      <c r="AP70" s="269"/>
      <c r="AQ70" s="270"/>
      <c r="AR70" s="41" t="s">
        <v>25</v>
      </c>
      <c r="AS70" s="41" t="s">
        <v>25</v>
      </c>
      <c r="AT70" s="41" t="s">
        <v>25</v>
      </c>
      <c r="AU70" s="286" t="s">
        <v>51</v>
      </c>
      <c r="AV70" s="287"/>
      <c r="AW70" s="287"/>
      <c r="AX70" s="288"/>
      <c r="AY70" s="106" t="s">
        <v>89</v>
      </c>
      <c r="AZ70" s="107"/>
      <c r="BA70" s="107"/>
      <c r="BB70" s="108"/>
      <c r="BC70" s="280" t="s">
        <v>194</v>
      </c>
      <c r="BD70" s="281"/>
      <c r="BE70" s="281"/>
      <c r="BF70" s="281"/>
      <c r="BG70" s="281"/>
      <c r="BH70" s="281"/>
      <c r="BI70" s="281"/>
      <c r="BJ70" s="282"/>
      <c r="BK70" s="35"/>
    </row>
    <row r="71" spans="1:63" ht="55.5" customHeight="1" x14ac:dyDescent="0.25">
      <c r="A71" s="34"/>
      <c r="B71" s="112">
        <v>13</v>
      </c>
      <c r="C71" s="113"/>
      <c r="D71" s="114" t="s">
        <v>92</v>
      </c>
      <c r="E71" s="115"/>
      <c r="F71" s="115"/>
      <c r="G71" s="115"/>
      <c r="H71" s="115"/>
      <c r="I71" s="115"/>
      <c r="J71" s="116"/>
      <c r="K71" s="117" t="s">
        <v>143</v>
      </c>
      <c r="L71" s="118"/>
      <c r="M71" s="119"/>
      <c r="N71" s="42" t="s">
        <v>148</v>
      </c>
      <c r="O71" s="42" t="s">
        <v>26</v>
      </c>
      <c r="P71" s="106" t="s">
        <v>28</v>
      </c>
      <c r="Q71" s="107"/>
      <c r="R71" s="107"/>
      <c r="S71" s="108"/>
      <c r="T71" s="106" t="s">
        <v>28</v>
      </c>
      <c r="U71" s="107"/>
      <c r="V71" s="107"/>
      <c r="W71" s="108"/>
      <c r="X71" s="263" t="s">
        <v>114</v>
      </c>
      <c r="Y71" s="264"/>
      <c r="Z71" s="265"/>
      <c r="AA71" s="126" t="s">
        <v>38</v>
      </c>
      <c r="AB71" s="266"/>
      <c r="AC71" s="266"/>
      <c r="AD71" s="266"/>
      <c r="AE71" s="266"/>
      <c r="AF71" s="266"/>
      <c r="AG71" s="266"/>
      <c r="AH71" s="267"/>
      <c r="AI71" s="268" t="s">
        <v>97</v>
      </c>
      <c r="AJ71" s="269"/>
      <c r="AK71" s="269"/>
      <c r="AL71" s="269"/>
      <c r="AM71" s="269"/>
      <c r="AN71" s="269"/>
      <c r="AO71" s="269"/>
      <c r="AP71" s="269"/>
      <c r="AQ71" s="270"/>
      <c r="AR71" s="47" t="s">
        <v>25</v>
      </c>
      <c r="AS71" s="47" t="s">
        <v>38</v>
      </c>
      <c r="AT71" s="47" t="s">
        <v>38</v>
      </c>
      <c r="AU71" s="271" t="s">
        <v>28</v>
      </c>
      <c r="AV71" s="272"/>
      <c r="AW71" s="272"/>
      <c r="AX71" s="273"/>
      <c r="AY71" s="271" t="s">
        <v>38</v>
      </c>
      <c r="AZ71" s="272"/>
      <c r="BA71" s="272"/>
      <c r="BB71" s="273"/>
      <c r="BC71" s="283" t="s">
        <v>95</v>
      </c>
      <c r="BD71" s="284"/>
      <c r="BE71" s="284"/>
      <c r="BF71" s="284"/>
      <c r="BG71" s="284"/>
      <c r="BH71" s="284"/>
      <c r="BI71" s="284"/>
      <c r="BJ71" s="285"/>
      <c r="BK71" s="35"/>
    </row>
    <row r="72" spans="1:63" x14ac:dyDescent="0.25">
      <c r="A72" s="34"/>
      <c r="B72" s="112">
        <v>14</v>
      </c>
      <c r="C72" s="113"/>
      <c r="D72" s="114" t="s">
        <v>91</v>
      </c>
      <c r="E72" s="115"/>
      <c r="F72" s="115"/>
      <c r="G72" s="115"/>
      <c r="H72" s="115"/>
      <c r="I72" s="115"/>
      <c r="J72" s="116"/>
      <c r="K72" s="117" t="s">
        <v>43</v>
      </c>
      <c r="L72" s="118"/>
      <c r="M72" s="119"/>
      <c r="N72" s="42" t="s">
        <v>40</v>
      </c>
      <c r="O72" s="42" t="s">
        <v>26</v>
      </c>
      <c r="P72" s="106" t="s">
        <v>28</v>
      </c>
      <c r="Q72" s="107"/>
      <c r="R72" s="107"/>
      <c r="S72" s="108"/>
      <c r="T72" s="106" t="s">
        <v>28</v>
      </c>
      <c r="U72" s="107"/>
      <c r="V72" s="107"/>
      <c r="W72" s="108"/>
      <c r="X72" s="278" t="s">
        <v>25</v>
      </c>
      <c r="Y72" s="107"/>
      <c r="Z72" s="108"/>
      <c r="AA72" s="126" t="s">
        <v>38</v>
      </c>
      <c r="AB72" s="266"/>
      <c r="AC72" s="266"/>
      <c r="AD72" s="266"/>
      <c r="AE72" s="266"/>
      <c r="AF72" s="266"/>
      <c r="AG72" s="266"/>
      <c r="AH72" s="267"/>
      <c r="AI72" s="277" t="s">
        <v>96</v>
      </c>
      <c r="AJ72" s="269"/>
      <c r="AK72" s="269"/>
      <c r="AL72" s="269"/>
      <c r="AM72" s="269"/>
      <c r="AN72" s="269"/>
      <c r="AO72" s="269"/>
      <c r="AP72" s="269"/>
      <c r="AQ72" s="270"/>
      <c r="AR72" s="47" t="s">
        <v>25</v>
      </c>
      <c r="AS72" s="47" t="s">
        <v>38</v>
      </c>
      <c r="AT72" s="47" t="s">
        <v>38</v>
      </c>
      <c r="AU72" s="271" t="s">
        <v>28</v>
      </c>
      <c r="AV72" s="272"/>
      <c r="AW72" s="272"/>
      <c r="AX72" s="273"/>
      <c r="AY72" s="271" t="s">
        <v>27</v>
      </c>
      <c r="AZ72" s="272"/>
      <c r="BA72" s="272"/>
      <c r="BB72" s="273"/>
      <c r="BC72" s="283" t="s">
        <v>94</v>
      </c>
      <c r="BD72" s="284"/>
      <c r="BE72" s="284"/>
      <c r="BF72" s="284"/>
      <c r="BG72" s="284"/>
      <c r="BH72" s="284"/>
      <c r="BI72" s="284"/>
      <c r="BJ72" s="285"/>
      <c r="BK72" s="35"/>
    </row>
    <row r="73" spans="1:63" x14ac:dyDescent="0.25">
      <c r="A73" s="34"/>
      <c r="B73" s="328"/>
      <c r="C73" s="329"/>
      <c r="D73" s="330"/>
      <c r="E73" s="331"/>
      <c r="F73" s="331"/>
      <c r="G73" s="331"/>
      <c r="H73" s="331"/>
      <c r="I73" s="331"/>
      <c r="J73" s="332"/>
      <c r="K73" s="333"/>
      <c r="L73" s="334"/>
      <c r="M73" s="335"/>
      <c r="N73" s="43"/>
      <c r="O73" s="43"/>
      <c r="P73" s="328"/>
      <c r="Q73" s="336"/>
      <c r="R73" s="336"/>
      <c r="S73" s="329"/>
      <c r="T73" s="328"/>
      <c r="U73" s="336"/>
      <c r="V73" s="336"/>
      <c r="W73" s="329"/>
      <c r="X73" s="337"/>
      <c r="Y73" s="338"/>
      <c r="Z73" s="339"/>
      <c r="AA73" s="340"/>
      <c r="AB73" s="341"/>
      <c r="AC73" s="341"/>
      <c r="AD73" s="341"/>
      <c r="AE73" s="341"/>
      <c r="AF73" s="341"/>
      <c r="AG73" s="341"/>
      <c r="AH73" s="342"/>
      <c r="AI73" s="345"/>
      <c r="AJ73" s="341"/>
      <c r="AK73" s="341"/>
      <c r="AL73" s="341"/>
      <c r="AM73" s="341"/>
      <c r="AN73" s="341"/>
      <c r="AO73" s="341"/>
      <c r="AP73" s="341"/>
      <c r="AQ73" s="342"/>
      <c r="AR73" s="44"/>
      <c r="AS73" s="44"/>
      <c r="AT73" s="44"/>
      <c r="AU73" s="328"/>
      <c r="AV73" s="336"/>
      <c r="AW73" s="336"/>
      <c r="AX73" s="329"/>
      <c r="AY73" s="328"/>
      <c r="AZ73" s="336"/>
      <c r="BA73" s="336"/>
      <c r="BB73" s="329"/>
      <c r="BC73" s="349"/>
      <c r="BD73" s="350"/>
      <c r="BE73" s="350"/>
      <c r="BF73" s="350"/>
      <c r="BG73" s="350"/>
      <c r="BH73" s="350"/>
      <c r="BI73" s="350"/>
      <c r="BJ73" s="351"/>
      <c r="BK73" s="35"/>
    </row>
    <row r="74" spans="1:63" x14ac:dyDescent="0.25">
      <c r="A74" s="34"/>
      <c r="BK74" s="35"/>
    </row>
    <row r="75" spans="1:63" x14ac:dyDescent="0.25">
      <c r="A75" s="31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3"/>
    </row>
  </sheetData>
  <mergeCells count="370">
    <mergeCell ref="P48:S48"/>
    <mergeCell ref="K48:M48"/>
    <mergeCell ref="D48:J48"/>
    <mergeCell ref="B48:C48"/>
    <mergeCell ref="BC48:BJ48"/>
    <mergeCell ref="AY48:BB48"/>
    <mergeCell ref="AU48:AX48"/>
    <mergeCell ref="BC49:BJ49"/>
    <mergeCell ref="AY49:BB49"/>
    <mergeCell ref="AI48:AQ48"/>
    <mergeCell ref="AA48:AH48"/>
    <mergeCell ref="X48:Z48"/>
    <mergeCell ref="T48:W48"/>
    <mergeCell ref="B49:C49"/>
    <mergeCell ref="D49:J49"/>
    <mergeCell ref="K49:M49"/>
    <mergeCell ref="P49:S49"/>
    <mergeCell ref="T49:W49"/>
    <mergeCell ref="X49:Z49"/>
    <mergeCell ref="AA49:AH49"/>
    <mergeCell ref="AI49:AQ49"/>
    <mergeCell ref="AU49:AX49"/>
    <mergeCell ref="BC50:BJ50"/>
    <mergeCell ref="B51:C51"/>
    <mergeCell ref="D51:J51"/>
    <mergeCell ref="K51:M51"/>
    <mergeCell ref="P51:S51"/>
    <mergeCell ref="T51:W51"/>
    <mergeCell ref="X51:Z51"/>
    <mergeCell ref="AA51:AH51"/>
    <mergeCell ref="AI51:AQ51"/>
    <mergeCell ref="AU51:AX51"/>
    <mergeCell ref="AY51:BB51"/>
    <mergeCell ref="BC51:BJ51"/>
    <mergeCell ref="D50:J50"/>
    <mergeCell ref="K50:M50"/>
    <mergeCell ref="P50:S50"/>
    <mergeCell ref="T50:W50"/>
    <mergeCell ref="X50:Z50"/>
    <mergeCell ref="AA50:AH50"/>
    <mergeCell ref="AI50:AQ50"/>
    <mergeCell ref="AU50:AX50"/>
    <mergeCell ref="AY50:BB50"/>
    <mergeCell ref="B50:C50"/>
    <mergeCell ref="AA67:AH67"/>
    <mergeCell ref="AI67:AQ67"/>
    <mergeCell ref="AU67:AX67"/>
    <mergeCell ref="AY67:BB67"/>
    <mergeCell ref="BC67:BJ67"/>
    <mergeCell ref="B67:C67"/>
    <mergeCell ref="D67:J67"/>
    <mergeCell ref="K67:M67"/>
    <mergeCell ref="P67:S67"/>
    <mergeCell ref="T67:W67"/>
    <mergeCell ref="X67:Z67"/>
    <mergeCell ref="X66:Z66"/>
    <mergeCell ref="AA66:AH66"/>
    <mergeCell ref="AI66:AQ66"/>
    <mergeCell ref="AU66:AX66"/>
    <mergeCell ref="AY66:BB66"/>
    <mergeCell ref="BC66:BJ66"/>
    <mergeCell ref="AA65:AH65"/>
    <mergeCell ref="AI65:AQ65"/>
    <mergeCell ref="AU65:AX65"/>
    <mergeCell ref="AY65:BB65"/>
    <mergeCell ref="BC65:BJ65"/>
    <mergeCell ref="X65:Z65"/>
    <mergeCell ref="B66:C66"/>
    <mergeCell ref="D66:J66"/>
    <mergeCell ref="K66:M66"/>
    <mergeCell ref="P66:S66"/>
    <mergeCell ref="T66:W66"/>
    <mergeCell ref="B65:C65"/>
    <mergeCell ref="D65:J65"/>
    <mergeCell ref="K65:M65"/>
    <mergeCell ref="P65:S65"/>
    <mergeCell ref="T65:W65"/>
    <mergeCell ref="AA64:AH64"/>
    <mergeCell ref="AI64:AQ64"/>
    <mergeCell ref="AU64:AX64"/>
    <mergeCell ref="AY64:BB64"/>
    <mergeCell ref="BC64:BJ64"/>
    <mergeCell ref="AA63:AH63"/>
    <mergeCell ref="AI63:AQ63"/>
    <mergeCell ref="AU63:AX63"/>
    <mergeCell ref="AY63:BB63"/>
    <mergeCell ref="BC63:BJ63"/>
    <mergeCell ref="X61:Z61"/>
    <mergeCell ref="B64:C64"/>
    <mergeCell ref="D64:J64"/>
    <mergeCell ref="K64:M64"/>
    <mergeCell ref="P64:S64"/>
    <mergeCell ref="T64:W64"/>
    <mergeCell ref="B63:C63"/>
    <mergeCell ref="D63:J63"/>
    <mergeCell ref="K63:M63"/>
    <mergeCell ref="P63:S63"/>
    <mergeCell ref="T63:W63"/>
    <mergeCell ref="X64:Z64"/>
    <mergeCell ref="X63:Z63"/>
    <mergeCell ref="AI62:AQ62"/>
    <mergeCell ref="AU62:AX62"/>
    <mergeCell ref="AY62:BB62"/>
    <mergeCell ref="BC62:BJ62"/>
    <mergeCell ref="AA61:AH61"/>
    <mergeCell ref="AI61:AQ61"/>
    <mergeCell ref="AU61:AX61"/>
    <mergeCell ref="AY61:BB61"/>
    <mergeCell ref="BC61:BJ61"/>
    <mergeCell ref="BC57:BJ57"/>
    <mergeCell ref="AI60:AQ60"/>
    <mergeCell ref="AU60:AX60"/>
    <mergeCell ref="AY60:BB60"/>
    <mergeCell ref="BC60:BJ60"/>
    <mergeCell ref="AA59:AH59"/>
    <mergeCell ref="AI59:AQ59"/>
    <mergeCell ref="AU59:AX59"/>
    <mergeCell ref="AY59:BB59"/>
    <mergeCell ref="BC59:BJ59"/>
    <mergeCell ref="AY52:BB52"/>
    <mergeCell ref="BC52:BJ52"/>
    <mergeCell ref="X52:Z52"/>
    <mergeCell ref="B56:C56"/>
    <mergeCell ref="D56:J56"/>
    <mergeCell ref="K56:M56"/>
    <mergeCell ref="P56:S56"/>
    <mergeCell ref="T56:W56"/>
    <mergeCell ref="B55:C55"/>
    <mergeCell ref="D55:J55"/>
    <mergeCell ref="K55:M55"/>
    <mergeCell ref="P55:S55"/>
    <mergeCell ref="T55:W55"/>
    <mergeCell ref="X56:Z56"/>
    <mergeCell ref="AA56:AH56"/>
    <mergeCell ref="AI56:AQ56"/>
    <mergeCell ref="AU56:AX56"/>
    <mergeCell ref="AY56:BB56"/>
    <mergeCell ref="BC56:BJ56"/>
    <mergeCell ref="AA55:AH55"/>
    <mergeCell ref="AI55:AQ55"/>
    <mergeCell ref="AU55:AX55"/>
    <mergeCell ref="AY55:BB55"/>
    <mergeCell ref="BC55:BJ55"/>
    <mergeCell ref="AI52:AQ52"/>
    <mergeCell ref="AU52:AX52"/>
    <mergeCell ref="K54:M54"/>
    <mergeCell ref="P54:S54"/>
    <mergeCell ref="T54:W54"/>
    <mergeCell ref="B52:C52"/>
    <mergeCell ref="D52:J52"/>
    <mergeCell ref="K52:M52"/>
    <mergeCell ref="P52:S52"/>
    <mergeCell ref="T52:W52"/>
    <mergeCell ref="X54:Z54"/>
    <mergeCell ref="BC73:BJ73"/>
    <mergeCell ref="AA54:AH54"/>
    <mergeCell ref="AI54:AQ54"/>
    <mergeCell ref="AU54:AX54"/>
    <mergeCell ref="AY54:BB54"/>
    <mergeCell ref="BC54:BJ54"/>
    <mergeCell ref="X55:Z55"/>
    <mergeCell ref="B58:C58"/>
    <mergeCell ref="D58:J58"/>
    <mergeCell ref="K58:M58"/>
    <mergeCell ref="P58:S58"/>
    <mergeCell ref="T58:W58"/>
    <mergeCell ref="B57:C57"/>
    <mergeCell ref="D57:J57"/>
    <mergeCell ref="K57:M57"/>
    <mergeCell ref="P57:S57"/>
    <mergeCell ref="T57:W57"/>
    <mergeCell ref="X58:Z58"/>
    <mergeCell ref="X57:Z57"/>
    <mergeCell ref="AI58:AQ58"/>
    <mergeCell ref="AU58:AX58"/>
    <mergeCell ref="AY58:BB58"/>
    <mergeCell ref="BC58:BJ58"/>
    <mergeCell ref="AA57:AH57"/>
    <mergeCell ref="T59:W59"/>
    <mergeCell ref="X60:Z60"/>
    <mergeCell ref="AA60:AH60"/>
    <mergeCell ref="X59:Z59"/>
    <mergeCell ref="AI73:AQ73"/>
    <mergeCell ref="B54:C54"/>
    <mergeCell ref="D54:J54"/>
    <mergeCell ref="AU73:AX73"/>
    <mergeCell ref="AY73:BB73"/>
    <mergeCell ref="AI57:AQ57"/>
    <mergeCell ref="AU57:AX57"/>
    <mergeCell ref="AY57:BB57"/>
    <mergeCell ref="B62:C62"/>
    <mergeCell ref="D62:J62"/>
    <mergeCell ref="K62:M62"/>
    <mergeCell ref="P62:S62"/>
    <mergeCell ref="T62:W62"/>
    <mergeCell ref="B61:C61"/>
    <mergeCell ref="D61:J61"/>
    <mergeCell ref="K61:M61"/>
    <mergeCell ref="P61:S61"/>
    <mergeCell ref="T61:W61"/>
    <mergeCell ref="X62:Z62"/>
    <mergeCell ref="AA62:AH62"/>
    <mergeCell ref="A4:G4"/>
    <mergeCell ref="H4:T4"/>
    <mergeCell ref="U4:Y4"/>
    <mergeCell ref="Z4:AO4"/>
    <mergeCell ref="AP4:BK4"/>
    <mergeCell ref="O41:O43"/>
    <mergeCell ref="B73:C73"/>
    <mergeCell ref="D73:J73"/>
    <mergeCell ref="K73:M73"/>
    <mergeCell ref="P73:S73"/>
    <mergeCell ref="T73:W73"/>
    <mergeCell ref="X73:Z73"/>
    <mergeCell ref="AA73:AH73"/>
    <mergeCell ref="AA52:AH52"/>
    <mergeCell ref="AA58:AH58"/>
    <mergeCell ref="B60:C60"/>
    <mergeCell ref="D60:J60"/>
    <mergeCell ref="K60:M60"/>
    <mergeCell ref="P60:S60"/>
    <mergeCell ref="T60:W60"/>
    <mergeCell ref="B59:C59"/>
    <mergeCell ref="D59:J59"/>
    <mergeCell ref="K59:M59"/>
    <mergeCell ref="P59:S5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68:C68"/>
    <mergeCell ref="D68:J68"/>
    <mergeCell ref="K68:M68"/>
    <mergeCell ref="P68:S68"/>
    <mergeCell ref="T68:W68"/>
    <mergeCell ref="X68:Z68"/>
    <mergeCell ref="AA68:AH68"/>
    <mergeCell ref="AI68:AQ68"/>
    <mergeCell ref="AU68:AX68"/>
    <mergeCell ref="B70:C70"/>
    <mergeCell ref="D70:J70"/>
    <mergeCell ref="K70:M70"/>
    <mergeCell ref="P70:S70"/>
    <mergeCell ref="T70:W70"/>
    <mergeCell ref="X70:Z70"/>
    <mergeCell ref="AA70:AH70"/>
    <mergeCell ref="AI70:AQ70"/>
    <mergeCell ref="AU70:AX70"/>
    <mergeCell ref="K72:M72"/>
    <mergeCell ref="P72:S72"/>
    <mergeCell ref="T72:W72"/>
    <mergeCell ref="X72:Z72"/>
    <mergeCell ref="AA72:AH72"/>
    <mergeCell ref="AI72:AQ72"/>
    <mergeCell ref="AU72:AX72"/>
    <mergeCell ref="AY68:BB68"/>
    <mergeCell ref="BC68:BJ68"/>
    <mergeCell ref="AY70:BB70"/>
    <mergeCell ref="BC70:BJ70"/>
    <mergeCell ref="AY69:BB69"/>
    <mergeCell ref="BC69:BJ69"/>
    <mergeCell ref="AY72:BB72"/>
    <mergeCell ref="BC72:BJ72"/>
    <mergeCell ref="AY71:BB71"/>
    <mergeCell ref="BC71:BJ71"/>
    <mergeCell ref="B69:C69"/>
    <mergeCell ref="D69:J69"/>
    <mergeCell ref="K69:M69"/>
    <mergeCell ref="P69:S69"/>
    <mergeCell ref="T69:W69"/>
    <mergeCell ref="X69:Z69"/>
    <mergeCell ref="AA69:AH69"/>
    <mergeCell ref="AI69:AQ69"/>
    <mergeCell ref="AU69:AX69"/>
    <mergeCell ref="B71:C71"/>
    <mergeCell ref="D71:J71"/>
    <mergeCell ref="K71:M71"/>
    <mergeCell ref="P71:S71"/>
    <mergeCell ref="T71:W71"/>
    <mergeCell ref="X71:Z71"/>
    <mergeCell ref="AA71:AH71"/>
    <mergeCell ref="AI71:AQ71"/>
    <mergeCell ref="AU71:AX71"/>
    <mergeCell ref="B72:C72"/>
    <mergeCell ref="D72:J72"/>
    <mergeCell ref="B41:C43"/>
    <mergeCell ref="D41:J43"/>
    <mergeCell ref="K41:M43"/>
    <mergeCell ref="N41:N43"/>
    <mergeCell ref="P41:AQ41"/>
    <mergeCell ref="AR41:BB41"/>
    <mergeCell ref="B44:C44"/>
    <mergeCell ref="D44:J44"/>
    <mergeCell ref="K44:M44"/>
    <mergeCell ref="P44:S44"/>
    <mergeCell ref="T44:W44"/>
    <mergeCell ref="X44:Z44"/>
    <mergeCell ref="AA44:AH44"/>
    <mergeCell ref="AI44:AQ44"/>
    <mergeCell ref="AU44:AX44"/>
    <mergeCell ref="P42:W42"/>
    <mergeCell ref="X42:Z43"/>
    <mergeCell ref="AA42:AH43"/>
    <mergeCell ref="AI42:AQ43"/>
    <mergeCell ref="AR42:AR43"/>
    <mergeCell ref="AU42:BB42"/>
    <mergeCell ref="P43:S43"/>
    <mergeCell ref="B45:C45"/>
    <mergeCell ref="D45:J45"/>
    <mergeCell ref="K45:M45"/>
    <mergeCell ref="P45:S45"/>
    <mergeCell ref="T45:W45"/>
    <mergeCell ref="X45:Z45"/>
    <mergeCell ref="AA45:AH45"/>
    <mergeCell ref="AI45:AQ45"/>
    <mergeCell ref="AU45:AX45"/>
    <mergeCell ref="AY43:BB43"/>
    <mergeCell ref="AY45:BB45"/>
    <mergeCell ref="BC45:BJ45"/>
    <mergeCell ref="AY44:BB44"/>
    <mergeCell ref="BC44:BJ44"/>
    <mergeCell ref="AS42:AS43"/>
    <mergeCell ref="AT42:AT43"/>
    <mergeCell ref="BC41:BJ43"/>
    <mergeCell ref="P47:S47"/>
    <mergeCell ref="T47:W47"/>
    <mergeCell ref="X47:Z47"/>
    <mergeCell ref="AA47:AH47"/>
    <mergeCell ref="AI47:AQ47"/>
    <mergeCell ref="AU47:AX47"/>
    <mergeCell ref="AY47:BB47"/>
    <mergeCell ref="BC47:BJ47"/>
    <mergeCell ref="AY46:BB46"/>
    <mergeCell ref="BC46:BJ46"/>
    <mergeCell ref="AI46:AQ46"/>
    <mergeCell ref="AU46:AX46"/>
    <mergeCell ref="T43:W43"/>
    <mergeCell ref="AU43:AX43"/>
    <mergeCell ref="B46:C46"/>
    <mergeCell ref="D46:J46"/>
    <mergeCell ref="K46:M46"/>
    <mergeCell ref="P46:S46"/>
    <mergeCell ref="T46:W46"/>
    <mergeCell ref="X46:Z46"/>
    <mergeCell ref="AA46:AH46"/>
    <mergeCell ref="B47:C47"/>
    <mergeCell ref="D47:J47"/>
    <mergeCell ref="K47:M47"/>
    <mergeCell ref="AY53:BB53"/>
    <mergeCell ref="BC53:BJ53"/>
    <mergeCell ref="B53:C53"/>
    <mergeCell ref="D53:J53"/>
    <mergeCell ref="K53:M53"/>
    <mergeCell ref="P53:S53"/>
    <mergeCell ref="T53:W53"/>
    <mergeCell ref="X53:Z53"/>
    <mergeCell ref="AA53:AH53"/>
    <mergeCell ref="AI53:AQ53"/>
    <mergeCell ref="AU53:AX53"/>
  </mergeCells>
  <dataValidations count="3">
    <dataValidation type="list" allowBlank="1" showInputMessage="1" showErrorMessage="1" sqref="AS57:AS58 O44:O73 AR66:AS66 AS60 AT50:AT51 AS49:AS51 AS46:AS47" xr:uid="{00000000-0002-0000-0200-000000000000}">
      <formula1>"－,●"</formula1>
    </dataValidation>
    <dataValidation type="list" allowBlank="1" showInputMessage="1" showErrorMessage="1" sqref="N71:N73 N44:N45 N59:N69 N48 N50:N56" xr:uid="{00000000-0002-0000-0200-000001000000}">
      <formula1>"－,O,I"</formula1>
    </dataValidation>
    <dataValidation type="list" allowBlank="1" showInputMessage="1" showErrorMessage="1" sqref="N70:N71 N57:N58 N46:N47 N49" xr:uid="{00000000-0002-0000-0200-000002000000}">
      <formula1>"－,O,I,I/O"</formula1>
    </dataValidation>
  </dataValidations>
  <pageMargins left="0.7" right="0.7" top="0.75" bottom="0.75" header="0.3" footer="0.3"/>
  <pageSetup scale="2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表紙</vt:lpstr>
      <vt:lpstr>改訂履歴</vt:lpstr>
      <vt:lpstr>SC0201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2024-12-20T07:32:26Z</dcterms:modified>
  <cp:category/>
  <cp:contentStatus/>
</cp:coreProperties>
</file>