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28677017-BC5D-46AF-80B4-3FCA3A3F298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0301" sheetId="8" r:id="rId3"/>
  </sheets>
  <definedNames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8" l="1"/>
  <c r="Z4" i="8"/>
  <c r="H4" i="8"/>
  <c r="BH2" i="8"/>
  <c r="BC2" i="8"/>
  <c r="AY2" i="8"/>
  <c r="AT2" i="8"/>
  <c r="AP2" i="8"/>
  <c r="K2" i="8"/>
  <c r="A2" i="8"/>
  <c r="W1" i="8"/>
  <c r="AP4" i="3" a="1"/>
  <c r="AP4" i="3" s="1"/>
  <c r="Z4" i="3"/>
  <c r="H4" i="3"/>
  <c r="BH2" i="3"/>
  <c r="BC2" i="3"/>
  <c r="AY2" i="3"/>
  <c r="AT2" i="3"/>
  <c r="AP2" i="3"/>
  <c r="K2" i="3"/>
  <c r="A2" i="3"/>
  <c r="W1" i="3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<sst xmlns="http://schemas.openxmlformats.org/spreadsheetml/2006/main" count="980" uniqueCount="243">
  <si>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</si>
  <si>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</si>
  <si>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</si>
  <si>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</si>
  <si>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</si>
  <si>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</si>
  <si>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</si>
  <si>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</si>
  <si>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</si>
  <si>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画面タイトル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</si>
  <si>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</si>
  <si>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</si>
  <si>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</si>
  <si>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</si>
  <si>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</si>
  <si>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F12:検索</t>
    </r>
  </si>
  <si>
    <r>
      <rPr>
        <sz val="11"/>
        <color rgb="FF000000"/>
        <rFont val="Meiryo UI"/>
        <family val="2"/>
      </rPr>
      <t>デフォルト：有効</t>
    </r>
  </si>
  <si>
    <r>
      <rPr>
        <sz val="11"/>
        <color rgb="FF000000"/>
        <rFont val="Meiryo UI"/>
        <family val="2"/>
      </rPr>
      <t>検索タブ（タイトル）</t>
    </r>
  </si>
  <si>
    <r>
      <rPr>
        <sz val="11"/>
        <color rgb="FF000000"/>
        <rFont val="Meiryo UI"/>
        <family val="2"/>
      </rPr>
      <t>店舗選択タブ（タイトル）</t>
    </r>
  </si>
  <si>
    <r>
      <rPr>
        <sz val="11"/>
        <color rgb="FF000000"/>
        <rFont val="Meiryo UI"/>
        <family val="2"/>
      </rPr>
      <t>検索</t>
    </r>
  </si>
  <si>
    <r>
      <rPr>
        <sz val="11"/>
        <color rgb="FF000000"/>
        <rFont val="Meiryo UI"/>
        <family val="2"/>
      </rPr>
      <t>Date picker</t>
    </r>
  </si>
  <si>
    <r>
      <rPr>
        <sz val="11"/>
        <color rgb="FF000000"/>
        <rFont val="Meiryo UI"/>
        <family val="2"/>
      </rPr>
      <t>商品コード</t>
    </r>
  </si>
  <si>
    <r>
      <rPr>
        <sz val="11"/>
        <color rgb="FF000000"/>
        <rFont val="Meiryo UI"/>
        <family val="2"/>
      </rPr>
      <t>店舗選択エリア</t>
    </r>
  </si>
  <si>
    <r>
      <rPr>
        <sz val="11"/>
        <color rgb="FF000000"/>
        <rFont val="Meiryo UI"/>
        <family val="2"/>
      </rPr>
      <t>20_画面設計_00_共通.xlsxの店舗選択エリアシートをご参照ください。</t>
    </r>
  </si>
  <si>
    <r>
      <rPr>
        <sz val="11"/>
        <color rgb="FF000000"/>
        <rFont val="Meiryo UI"/>
        <family val="2"/>
      </rPr>
      <t>部門コード（値）</t>
    </r>
  </si>
  <si>
    <r>
      <rPr>
        <sz val="11"/>
        <color rgb="FF000000"/>
        <rFont val="Meiryo UI"/>
        <family val="2"/>
      </rPr>
      <t>AP1506</t>
    </r>
  </si>
  <si>
    <r>
      <rPr>
        <sz val="11"/>
        <color rgb="FF000000"/>
        <rFont val="Meiryo UI"/>
        <family val="2"/>
      </rPr>
      <t>my_company_code</t>
    </r>
  </si>
  <si>
    <r>
      <rPr>
        <sz val="11"/>
        <color rgb="FF000000"/>
        <rFont val="Meiryo UI"/>
        <family val="2"/>
      </rPr>
      <t>PLUコード（タイトル）</t>
    </r>
  </si>
  <si>
    <r>
      <rPr>
        <sz val="11"/>
        <color rgb="FF000000"/>
        <rFont val="Meiryo UI"/>
        <family val="2"/>
      </rPr>
      <t>PLUコード</t>
    </r>
  </si>
  <si>
    <r>
      <rPr>
        <sz val="11"/>
        <color rgb="FF000000"/>
        <rFont val="Meiryo UI"/>
        <family val="2"/>
      </rPr>
      <t>PLUコード（値）</t>
    </r>
  </si>
  <si>
    <r>
      <rPr>
        <sz val="11"/>
        <color rgb="FF000000"/>
        <rFont val="Meiryo UI"/>
        <family val="2"/>
      </rPr>
      <t>商品名称</t>
    </r>
  </si>
  <si>
    <r>
      <rPr>
        <sz val="11"/>
        <color rgb="FF000000"/>
        <rFont val="Meiryo UI"/>
        <family val="2"/>
      </rPr>
      <t>商品名称（タイトル）</t>
    </r>
  </si>
  <si>
    <r>
      <rPr>
        <sz val="11"/>
        <color rgb="FF000000"/>
        <rFont val="Meiryo UI"/>
        <family val="2"/>
      </rPr>
      <t>商品名称（値）</t>
    </r>
  </si>
  <si>
    <r>
      <rPr>
        <sz val="11"/>
        <color rgb="FF000000"/>
        <rFont val="Meiryo UI"/>
        <family val="2"/>
      </rPr>
      <t>group_code</t>
    </r>
  </si>
  <si>
    <r>
      <rPr>
        <sz val="11"/>
        <color rgb="FF000000"/>
        <rFont val="Meiryo UI"/>
        <family val="2"/>
      </rPr>
      <t>product_code</t>
    </r>
  </si>
  <si>
    <r>
      <rPr>
        <sz val="11"/>
        <color rgb="FF000000"/>
        <rFont val="Meiryo UI"/>
        <family val="2"/>
      </rPr>
      <t>ページングエリア</t>
    </r>
  </si>
  <si>
    <r>
      <rPr>
        <sz val="11"/>
        <color rgb="FF000000"/>
        <rFont val="Meiryo UI"/>
        <family val="2"/>
      </rPr>
      <t>page_number</t>
    </r>
  </si>
  <si>
    <r>
      <rPr>
        <sz val="11"/>
        <color rgb="FF000000"/>
        <rFont val="Meiryo UI"/>
        <family val="2"/>
      </rPr>
      <t>クリア</t>
    </r>
  </si>
  <si>
    <r>
      <rPr>
        <sz val="11"/>
        <color rgb="FF000000"/>
        <rFont val="Meiryo UI"/>
        <family val="2"/>
      </rPr>
      <t>確定</t>
    </r>
  </si>
  <si>
    <r>
      <rPr>
        <sz val="11"/>
        <color rgb="FF000000"/>
        <rFont val="Meiryo UI"/>
        <family val="2"/>
      </rPr>
      <t>F04:クリア</t>
    </r>
  </si>
  <si>
    <r>
      <rPr>
        <sz val="11"/>
        <color rgb="FF000000"/>
        <rFont val="Meiryo UI"/>
        <family val="2"/>
      </rPr>
      <t>F09:確定</t>
    </r>
  </si>
  <si>
    <r>
      <rPr>
        <sz val="11"/>
        <color rgb="FF000000"/>
        <rFont val="Meiryo UI"/>
        <family val="2"/>
      </rPr>
      <t>現在日</t>
    </r>
  </si>
  <si>
    <r>
      <rPr>
        <sz val="11"/>
        <color rgb="FF000000"/>
        <rFont val="Meiryo UI"/>
        <family val="2"/>
      </rPr>
      <t>商品コード切替</t>
    </r>
  </si>
  <si>
    <r>
      <rPr>
        <sz val="11"/>
        <color rgb="FF000000"/>
        <rFont val="Meiryo UI"/>
        <family val="2"/>
      </rPr>
      <t>商品コード（タイトル）</t>
    </r>
  </si>
  <si>
    <r>
      <rPr>
        <sz val="11"/>
        <color rgb="FF000000"/>
        <rFont val="Meiryo UI"/>
        <family val="2"/>
      </rPr>
      <t>プロモーションコード* (タイトル)</t>
    </r>
  </si>
  <si>
    <r>
      <rPr>
        <sz val="11"/>
        <color rgb="FF000000"/>
        <rFont val="Meiryo UI"/>
        <family val="2"/>
      </rPr>
      <t>プロモーションコード* (値)</t>
    </r>
  </si>
  <si>
    <r>
      <rPr>
        <sz val="11"/>
        <color rgb="FF000000"/>
        <rFont val="Meiryo UI"/>
        <family val="2"/>
      </rPr>
      <t>AP0301</t>
    </r>
  </si>
  <si>
    <r>
      <rPr>
        <sz val="11"/>
        <color rgb="FF000000"/>
        <rFont val="Meiryo UI"/>
        <family val="2"/>
      </rPr>
      <t>プロモーション名（値）</t>
    </r>
  </si>
  <si>
    <r>
      <rPr>
        <sz val="11"/>
        <color rgb="FF000000"/>
        <rFont val="Meiryo UI"/>
        <family val="2"/>
      </rPr>
      <t>データ表示エリア</t>
    </r>
  </si>
  <si>
    <r>
      <rPr>
        <sz val="11"/>
        <color rgb="FF000000"/>
        <rFont val="Meiryo UI"/>
        <family val="2"/>
      </rPr>
      <t>プロモーション期間（タイトル）</t>
    </r>
  </si>
  <si>
    <r>
      <rPr>
        <sz val="11"/>
        <color rgb="FF000000"/>
        <rFont val="Meiryo UI"/>
        <family val="2"/>
      </rPr>
      <t>プロモーション開始日（値）</t>
    </r>
  </si>
  <si>
    <r>
      <rPr>
        <sz val="11"/>
        <color rgb="FF000000"/>
        <rFont val="Meiryo UI"/>
        <family val="2"/>
      </rPr>
      <t>プロモーション開始時刻（値）</t>
    </r>
  </si>
  <si>
    <r>
      <rPr>
        <sz val="11"/>
        <color rgb="FF000000"/>
        <rFont val="Meiryo UI"/>
        <family val="2"/>
      </rPr>
      <t>プロモーション終了日（値）</t>
    </r>
  </si>
  <si>
    <r>
      <rPr>
        <sz val="11"/>
        <color rgb="FF000000"/>
        <rFont val="Meiryo UI"/>
        <family val="2"/>
      </rPr>
      <t>プロモーション終了時刻（値）</t>
    </r>
  </si>
  <si>
    <r>
      <rPr>
        <sz val="11"/>
        <color rgb="FF000000"/>
        <rFont val="Meiryo UI"/>
        <family val="2"/>
      </rPr>
      <t>start_date_time</t>
    </r>
  </si>
  <si>
    <r>
      <rPr>
        <sz val="11"/>
        <color rgb="FF000000"/>
        <rFont val="Meiryo UI"/>
        <family val="2"/>
      </rPr>
      <t>end_date_time</t>
    </r>
  </si>
  <si>
    <r>
      <rPr>
        <sz val="11"/>
        <color rgb="FF000000"/>
        <rFont val="Meiryo UI"/>
        <family val="2"/>
      </rPr>
      <t>start_time</t>
    </r>
  </si>
  <si>
    <r>
      <rPr>
        <sz val="11"/>
        <color rgb="FF000000"/>
        <rFont val="Meiryo UI"/>
        <family val="2"/>
      </rPr>
      <t>end_time</t>
    </r>
  </si>
  <si>
    <r>
      <rPr>
        <sz val="11"/>
        <color rgb="FF000000"/>
        <rFont val="Meiryo UI"/>
        <family val="2"/>
      </rPr>
      <t>最大桁数：2</t>
    </r>
  </si>
  <si>
    <r>
      <rPr>
        <sz val="11"/>
        <color rgb="FF000000"/>
        <rFont val="Meiryo UI"/>
        <family val="2"/>
      </rPr>
      <t>特売割引率（値）</t>
    </r>
  </si>
  <si>
    <r>
      <rPr>
        <sz val="11"/>
        <color rgb="FF000000"/>
        <rFont val="Meiryo UI"/>
        <family val="2"/>
      </rPr>
      <t>割引率反映</t>
    </r>
  </si>
  <si>
    <r>
      <rPr>
        <sz val="11"/>
        <color rgb="FF000000"/>
        <rFont val="Meiryo UI"/>
        <family val="2"/>
      </rPr>
      <t>状態（タイトル）</t>
    </r>
  </si>
  <si>
    <r>
      <rPr>
        <sz val="11"/>
        <color rgb="FF000000"/>
        <rFont val="Meiryo UI"/>
        <family val="2"/>
      </rPr>
      <t>状態反映</t>
    </r>
  </si>
  <si>
    <r>
      <rPr>
        <sz val="11"/>
        <color rgb="FF000000"/>
        <rFont val="Meiryo UI"/>
        <family val="2"/>
      </rPr>
      <t>状態反映(値)</t>
    </r>
  </si>
  <si>
    <r>
      <rPr>
        <sz val="11"/>
        <color rgb="FF000000"/>
        <rFont val="Meiryo UI"/>
        <family val="2"/>
      </rPr>
      <t>状態反映（ボタン）</t>
    </r>
  </si>
  <si>
    <r>
      <rPr>
        <sz val="11"/>
        <color rgb="FF000000"/>
        <rFont val="Meiryo UI"/>
        <family val="2"/>
      </rPr>
      <t>日付反映</t>
    </r>
  </si>
  <si>
    <r>
      <rPr>
        <sz val="11"/>
        <color rgb="FF000000"/>
        <rFont val="Meiryo UI"/>
        <family val="2"/>
      </rPr>
      <t>開始日（値）</t>
    </r>
  </si>
  <si>
    <r>
      <rPr>
        <sz val="11"/>
        <color rgb="FF000000"/>
        <rFont val="Meiryo UI"/>
        <family val="2"/>
      </rPr>
      <t>終了日（値）</t>
    </r>
  </si>
  <si>
    <r>
      <rPr>
        <sz val="11"/>
        <color rgb="FF000000"/>
        <rFont val="Meiryo UI"/>
        <family val="2"/>
      </rPr>
      <t>現在日 + 1</t>
    </r>
  </si>
  <si>
    <r>
      <rPr>
        <sz val="11"/>
        <color rgb="FF000000"/>
        <rFont val="Meiryo UI"/>
        <family val="2"/>
      </rPr>
      <t>開始時刻（値）</t>
    </r>
  </si>
  <si>
    <r>
      <rPr>
        <sz val="11"/>
        <color rgb="FF000000"/>
        <rFont val="Meiryo UI"/>
        <family val="2"/>
      </rPr>
      <t>Time picker</t>
    </r>
  </si>
  <si>
    <r>
      <rPr>
        <sz val="11"/>
        <color rgb="FF000000"/>
        <rFont val="Meiryo UI"/>
        <family val="2"/>
      </rPr>
      <t>start_hours</t>
    </r>
  </si>
  <si>
    <r>
      <rPr>
        <sz val="11"/>
        <color rgb="FF000000"/>
        <rFont val="Meiryo UI"/>
        <family val="2"/>
      </rPr>
      <t>終了時刻（値）</t>
    </r>
  </si>
  <si>
    <r>
      <rPr>
        <sz val="11"/>
        <color rgb="FF000000"/>
        <rFont val="Meiryo UI"/>
        <family val="2"/>
      </rPr>
      <t>end_hours</t>
    </r>
  </si>
  <si>
    <r>
      <rPr>
        <sz val="11"/>
        <color rgb="FF000000"/>
        <rFont val="Meiryo UI"/>
        <family val="2"/>
      </rPr>
      <t>タイムサービス（値）</t>
    </r>
  </si>
  <si>
    <r>
      <rPr>
        <sz val="11"/>
        <color rgb="FF000000"/>
        <rFont val="Meiryo UI"/>
        <family val="2"/>
      </rPr>
      <t>特売割引設定</t>
    </r>
  </si>
  <si>
    <r>
      <rPr>
        <sz val="11"/>
        <color rgb="FF000000"/>
        <rFont val="Meiryo UI"/>
        <family val="2"/>
      </rPr>
      <t>特売割引設定・特売売価設定のモード切替</t>
    </r>
  </si>
  <si>
    <r>
      <rPr>
        <sz val="11"/>
        <color rgb="FF000000"/>
        <rFont val="Meiryo UI"/>
        <family val="2"/>
      </rPr>
      <t>有効</t>
    </r>
  </si>
  <si>
    <r>
      <rPr>
        <sz val="11"/>
        <color rgb="FF000000"/>
        <rFont val="Meiryo UI"/>
        <family val="2"/>
      </rPr>
      <t>有効（タイトル）</t>
    </r>
  </si>
  <si>
    <r>
      <rPr>
        <sz val="11"/>
        <color rgb="FF000000"/>
        <rFont val="Meiryo UI"/>
        <family val="2"/>
      </rPr>
      <t>有効（値）</t>
    </r>
  </si>
  <si>
    <r>
      <rPr>
        <sz val="11"/>
        <color rgb="FF000000"/>
        <rFont val="Meiryo UI"/>
        <family val="2"/>
      </rPr>
      <t>valid</t>
    </r>
  </si>
  <si>
    <r>
      <rPr>
        <sz val="11"/>
        <color rgb="FF000000"/>
        <rFont val="Meiryo UI"/>
        <family val="2"/>
      </rPr>
      <t>状態</t>
    </r>
  </si>
  <si>
    <r>
      <rPr>
        <sz val="11"/>
        <color rgb="FF000000"/>
        <rFont val="Meiryo UI"/>
        <family val="2"/>
      </rPr>
      <t>status</t>
    </r>
  </si>
  <si>
    <r>
      <rPr>
        <sz val="11"/>
        <color rgb="FF000000"/>
        <rFont val="Meiryo UI"/>
        <family val="2"/>
      </rPr>
      <t>AP0107</t>
    </r>
  </si>
  <si>
    <r>
      <rPr>
        <sz val="11"/>
        <color rgb="FF000000"/>
        <rFont val="Meiryo UI"/>
        <family val="2"/>
      </rPr>
      <t>・「SC0301-08」イベントを実行すると、AP0301のデータを表示する。「SC0301-10」イベントを実行すると、AP1506のデータを表示する。</t>
    </r>
  </si>
  <si>
    <r>
      <rPr>
        <sz val="11"/>
        <color rgb="FF000000"/>
        <rFont val="Meiryo UI"/>
        <family val="2"/>
      </rPr>
      <t>special_price</t>
    </r>
  </si>
  <si>
    <r>
      <rPr>
        <sz val="11"/>
        <color rgb="FF000000"/>
        <rFont val="Meiryo UI"/>
        <family val="2"/>
      </rPr>
      <t>特売売価/割引率（タイトル）</t>
    </r>
  </si>
  <si>
    <r>
      <rPr>
        <sz val="11"/>
        <color rgb="FF000000"/>
        <rFont val="Meiryo UI"/>
        <family val="2"/>
      </rPr>
      <t>特売売価/割引率 (値)</t>
    </r>
  </si>
  <si>
    <r>
      <rPr>
        <sz val="11"/>
        <color rgb="FF000000"/>
        <rFont val="Meiryo UI"/>
        <family val="2"/>
      </rPr>
      <t>特売売価 or 割引率</t>
    </r>
  </si>
  <si>
    <r>
      <rPr>
        <sz val="11"/>
        <color rgb="FF000000"/>
        <rFont val="Meiryo UI"/>
        <family val="2"/>
      </rPr>
      <t>discount_method_code</t>
    </r>
  </si>
  <si>
    <r>
      <rPr>
        <sz val="11"/>
        <color rgb="FF000000"/>
        <rFont val="Meiryo UI"/>
        <family val="2"/>
      </rPr>
      <t>タイムサービス（タイトル）</t>
    </r>
  </si>
  <si>
    <r>
      <rPr>
        <sz val="11"/>
        <color rgb="FF000000"/>
        <rFont val="Meiryo UI"/>
        <family val="2"/>
      </rPr>
      <t>T</t>
    </r>
  </si>
  <si>
    <r>
      <rPr>
        <sz val="11"/>
        <color rgb="FF000000"/>
        <rFont val="Meiryo UI"/>
        <family val="2"/>
      </rPr>
      <t>・「SC0301-08」イベントを実行すると、AP0301のデータを表示する。「SC0301-10」イベントを実行すると、デフォルトで「0」を表示する。</t>
    </r>
  </si>
  <si>
    <r>
      <rPr>
        <sz val="11"/>
        <color rgb="FF000000"/>
        <rFont val="Meiryo UI"/>
        <family val="2"/>
      </rPr>
      <t>開始日（タイトル）</t>
    </r>
  </si>
  <si>
    <r>
      <rPr>
        <sz val="11"/>
        <color rgb="FF000000"/>
        <rFont val="Meiryo UI"/>
        <family val="2"/>
      </rPr>
      <t>開始日時（値）</t>
    </r>
  </si>
  <si>
    <r>
      <rPr>
        <sz val="11"/>
        <color rgb="FF000000"/>
        <rFont val="Meiryo UI"/>
        <family val="2"/>
      </rPr>
      <t>終了日時（タイトル）</t>
    </r>
  </si>
  <si>
    <r>
      <rPr>
        <sz val="11"/>
        <color rgb="FF000000"/>
        <rFont val="Meiryo UI"/>
        <family val="2"/>
      </rPr>
      <t>開始時刻（タイトル）</t>
    </r>
  </si>
  <si>
    <r>
      <rPr>
        <sz val="11"/>
        <color rgb="FF000000"/>
        <rFont val="Meiryo UI"/>
        <family val="2"/>
      </rPr>
      <t>開始日</t>
    </r>
  </si>
  <si>
    <r>
      <rPr>
        <sz val="11"/>
        <color rgb="FF000000"/>
        <rFont val="Meiryo UI"/>
        <family val="2"/>
      </rPr>
      <t>終了日</t>
    </r>
  </si>
  <si>
    <r>
      <rPr>
        <sz val="11"/>
        <color rgb="FF000000"/>
        <rFont val="Meiryo UI"/>
        <family val="2"/>
      </rPr>
      <t>開始時刻</t>
    </r>
  </si>
  <si>
    <r>
      <rPr>
        <sz val="11"/>
        <color rgb="FF000000"/>
        <rFont val="Meiryo UI"/>
        <family val="2"/>
      </rPr>
      <t>終了時刻（タイトル）</t>
    </r>
  </si>
  <si>
    <r>
      <rPr>
        <sz val="11"/>
        <color rgb="FF000000"/>
        <rFont val="Meiryo UI"/>
        <family val="2"/>
      </rPr>
      <t>type_code</t>
    </r>
  </si>
  <si>
    <r>
      <rPr>
        <sz val="11"/>
        <color rgb="FF000000"/>
        <rFont val="Meiryo UI"/>
        <family val="2"/>
      </rPr>
      <t>03_店舗特売入力</t>
    </r>
  </si>
  <si>
    <r>
      <rPr>
        <sz val="11"/>
        <color rgb="FF000000"/>
        <rFont val="Meiryo UI"/>
        <family val="2"/>
      </rPr>
      <t>日付反映（ボタン）</t>
    </r>
  </si>
  <si>
    <r>
      <rPr>
        <sz val="11"/>
        <color rgb="FF000000"/>
        <rFont val="Meiryo UI"/>
        <family val="2"/>
      </rPr>
      <t>検索エリア</t>
    </r>
  </si>
  <si>
    <r>
      <rPr>
        <sz val="11"/>
        <color rgb="FF000000"/>
        <rFont val="Meiryo UI"/>
        <family val="2"/>
      </rPr>
      <t>AP8201</t>
    </r>
  </si>
  <si>
    <r>
      <rPr>
        <sz val="11"/>
        <color rgb="FF000000"/>
        <rFont val="Meiryo UI"/>
        <family val="2"/>
      </rPr>
      <t>MD0102シートを削除</t>
    </r>
  </si>
  <si>
    <r>
      <rPr>
        <sz val="11"/>
        <color rgb="FF000000"/>
        <rFont val="Meiryo UI"/>
        <family val="2"/>
      </rPr>
      <t>md_hierarchy_code_level_one</t>
    </r>
  </si>
  <si>
    <r>
      <rPr>
        <sz val="11"/>
        <color rgb="FF000000"/>
        <rFont val="Meiryo UI"/>
        <family val="2"/>
      </rPr>
      <t>プルダウン</t>
    </r>
  </si>
  <si>
    <r>
      <rPr>
        <sz val="11"/>
        <color rgb="FF000000"/>
        <rFont val="Meiryo UI"/>
        <family val="2"/>
      </rPr>
      <t>現在売価・定番売価切替（ボタン）</t>
    </r>
  </si>
  <si>
    <r>
      <rPr>
        <sz val="11"/>
        <color rgb="FF000000"/>
        <rFont val="Meiryo UI"/>
        <family val="2"/>
      </rPr>
      <t>現在売価・定番売価（タイトル）</t>
    </r>
  </si>
  <si>
    <r>
      <rPr>
        <sz val="11"/>
        <color rgb="FF000000"/>
        <rFont val="Meiryo UI"/>
        <family val="2"/>
      </rPr>
      <t>現在売価 or 定番売価</t>
    </r>
  </si>
  <si>
    <r>
      <rPr>
        <sz val="11"/>
        <color rgb="FF000000"/>
        <rFont val="Meiryo UI"/>
        <family val="2"/>
      </rPr>
      <t>現在売価・定番売価（値）</t>
    </r>
  </si>
  <si>
    <r>
      <rPr>
        <sz val="11"/>
        <color rgb="FF000000"/>
        <rFont val="Meiryo UI"/>
        <family val="2"/>
      </rPr>
      <t>定番売価切替</t>
    </r>
  </si>
  <si>
    <r>
      <rPr>
        <sz val="11"/>
        <color rgb="FF000000"/>
        <rFont val="Meiryo UI"/>
        <family val="2"/>
      </rPr>
      <t>start_date</t>
    </r>
  </si>
  <si>
    <r>
      <rPr>
        <sz val="11"/>
        <color rgb="FF000000"/>
        <rFont val="Meiryo UI"/>
        <family val="2"/>
      </rPr>
      <t>end_date</t>
    </r>
  </si>
  <si>
    <r>
      <rPr>
        <sz val="11"/>
        <color rgb="FF000000"/>
        <rFont val="Meiryo UI"/>
        <family val="2"/>
      </rPr>
      <t>特売割引設定モードで表示されている場合、画面タイトルは「特売マスタ割引設定」と表示される。</t>
    </r>
  </si>
  <si>
    <r>
      <rPr>
        <sz val="11"/>
        <color rgb="FF000000"/>
        <rFont val="Meiryo UI"/>
        <family val="2"/>
      </rPr>
      <t>状態（値）</t>
    </r>
  </si>
  <si>
    <r>
      <rPr>
        <sz val="11"/>
        <color rgb="FF000000"/>
        <rFont val="Meiryo UI"/>
        <family val="2"/>
      </rPr>
      <t>部門コード（タイトル）</t>
    </r>
  </si>
  <si>
    <r>
      <rPr>
        <sz val="11"/>
        <color rgb="FF000000"/>
        <rFont val="Meiryo UI"/>
        <family val="2"/>
      </rPr>
      <t>TuyenNH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</si>
  <si>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</si>
  <si>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</si>
  <si>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</si>
  <si>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</si>
  <si>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</si>
  <si>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</si>
  <si>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</si>
  <si>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</si>
  <si>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</si>
  <si>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</si>
  <si>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</si>
  <si>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</si>
  <si>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画面設計書</t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</si>
  <si>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</si>
  <si>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</si>
  <si>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</si>
  <si>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</si>
  <si>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TuyenNH</t>
  </si>
  <si>
    <r>
      <rPr>
        <sz val="11"/>
        <color rgb="FF000000"/>
        <rFont val="Meiryo UI"/>
        <family val="2"/>
      </rPr>
      <t>・「割引率」項目更新：最大2桁入力可能。（01～99）</t>
    </r>
  </si>
  <si>
    <r>
      <rPr>
        <sz val="11"/>
        <color rgb="FF000000"/>
        <rFont val="Meiryo UI"/>
        <family val="2"/>
      </rPr>
      <t>SC0301：状態列を追加で説明 商品コード、PLUコードの入力項目を有効・無効にする。</t>
    </r>
  </si>
  <si>
    <t>SC0301：有効項目判定ロジックを追加</t>
  </si>
  <si>
    <t>DuNT</t>
  </si>
  <si>
    <t>フロー01から移動した場合の表示を更新</t>
  </si>
  <si>
    <t xml:space="preserve">■イメージ </t>
  </si>
  <si>
    <t>■画面項目定義</t>
  </si>
  <si>
    <t>画面項目ID</t>
  </si>
  <si>
    <t>項目</t>
  </si>
  <si>
    <t>タイプ</t>
  </si>
  <si>
    <t>多言語</t>
  </si>
  <si>
    <t>出力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</si>
  <si>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</si>
  <si>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</si>
  <si>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</si>
  <si>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</si>
  <si>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</si>
  <si>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</si>
  <si>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</si>
  <si>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桁</t>
  </si>
  <si>
    <t>API名</t>
  </si>
  <si>
    <t>テキスト</t>
  </si>
  <si>
    <t xml:space="preserve">特売マスタ売価設定
</t>
  </si>
  <si>
    <t>店舖選択</t>
  </si>
  <si>
    <t>Type</t>
  </si>
  <si>
    <t>検索条件</t>
  </si>
  <si>
    <t>プロモーションコード*</t>
  </si>
  <si>
    <t>EditText</t>
  </si>
  <si>
    <t>・店舗が選択された場合：有効
・有効なプロモーションコードが選択された場合：無効</t>
  </si>
  <si>
    <t>AP0301</t>
  </si>
  <si>
    <t>promotion_code</t>
  </si>
  <si>
    <r>
      <rPr>
        <sz val="11"/>
        <color rgb="FF000000"/>
        <rFont val="Meiryo UI"/>
        <family val="2"/>
      </rPr>
      <t>・イベントID：SC0301-02
・最大桁数：5
・イベントID：MD0102-04を実行すると、MD0102_プロモーション一覧モーダルから選択されたデータを表示する。</t>
    </r>
  </si>
  <si>
    <t>AP0106</t>
  </si>
  <si>
    <t>name</t>
  </si>
  <si>
    <r>
      <rPr>
        <sz val="11"/>
        <color rgb="FF000000"/>
        <rFont val="Meiryo UI"/>
        <family val="2"/>
      </rPr>
      <t>イベントID：MD0102-04を実行すると、MD0102_プロモーション一覧モーダルから選択されたデータを表示する。</t>
    </r>
  </si>
  <si>
    <t>ボタン</t>
  </si>
  <si>
    <t>検索</t>
  </si>
  <si>
    <t>デフォルト：有効</t>
  </si>
  <si>
    <r>
      <rPr>
        <sz val="11"/>
        <color rgb="FF000000"/>
        <rFont val="Meiryo UI"/>
        <family val="2"/>
      </rPr>
      <t>イベントID：SC0301-03</t>
    </r>
  </si>
  <si>
    <t>プロモーション期間</t>
  </si>
  <si>
    <t>start_date_time</t>
  </si>
  <si>
    <t>start_time</t>
  </si>
  <si>
    <t>end_date_time</t>
  </si>
  <si>
    <t>end_time</t>
  </si>
  <si>
    <t>部門コード</t>
  </si>
  <si>
    <t>・有効なプロモーションコードが選択されていない場合、またはSC0101から画面を開いた場合：無効
・店舗が選択され、有効なプロモーションが選択された場合：有効</t>
  </si>
  <si>
    <r>
      <rPr>
        <sz val="11"/>
        <color rgb="FF000000"/>
        <rFont val="Meiryo UI"/>
        <family val="2"/>
      </rPr>
      <t xml:space="preserve">・「特売割引設定」モードで、下のテーブルに商品が存在している場合、項目を有効にする。
・「特売売価設定」モードの場合、項目を無効にする。
</t>
    </r>
    <r>
      <rPr>
        <sz val="11"/>
        <color rgb="FF00B050"/>
        <rFont val="Meiryo UI"/>
        <family val="2"/>
      </rPr>
      <t>*SC0101から画面を開いた場合：無効</t>
    </r>
  </si>
  <si>
    <r>
      <rPr>
        <sz val="11"/>
        <color rgb="FF000000"/>
        <rFont val="Meiryo UI"/>
        <family val="2"/>
      </rPr>
      <t xml:space="preserve">・最大桁数：2
・1から99の範囲でのみ入力可能。
</t>
    </r>
  </si>
  <si>
    <r>
      <rPr>
        <sz val="11"/>
        <color rgb="FF000000"/>
        <rFont val="Meiryo UI"/>
        <family val="2"/>
      </rPr>
      <t>イベントID：SC0301-04</t>
    </r>
  </si>
  <si>
    <r>
      <rPr>
        <sz val="11"/>
        <color rgb="FF000000"/>
        <rFont val="Meiryo UI"/>
        <family val="2"/>
      </rPr>
      <t xml:space="preserve">・デフォルト：無効
・下のテーブルに商品が存在している場合、項目を有効にする。
</t>
    </r>
    <r>
      <rPr>
        <sz val="11"/>
        <color rgb="FF00B050"/>
        <rFont val="Meiryo UI"/>
        <family val="2"/>
      </rPr>
      <t>*SC0101から画面を開いた場合：無効</t>
    </r>
  </si>
  <si>
    <r>
      <rPr>
        <sz val="11"/>
        <color rgb="FF000000"/>
        <rFont val="Meiryo UI"/>
        <family val="2"/>
      </rPr>
      <t>・最大桁数：1
・プルダウンに表示されるデータ：
0 : 実施 / 1 : 中止</t>
    </r>
  </si>
  <si>
    <r>
      <rPr>
        <sz val="11"/>
        <color rgb="FF000000"/>
        <rFont val="Meiryo UI"/>
        <family val="2"/>
      </rPr>
      <t>イベントID：SC0301-05</t>
    </r>
  </si>
  <si>
    <r>
      <rPr>
        <sz val="11"/>
        <color rgb="FF000000"/>
        <rFont val="Meiryo UI"/>
        <family val="2"/>
      </rPr>
      <t xml:space="preserve">デフォルト：有効
</t>
    </r>
    <r>
      <rPr>
        <sz val="11"/>
        <color rgb="FF00B050"/>
        <rFont val="Meiryo UI"/>
        <family val="2"/>
      </rPr>
      <t>*SC0101から画面を開いた場合：無効</t>
    </r>
  </si>
  <si>
    <r>
      <rPr>
        <sz val="11"/>
        <color rgb="FF000000"/>
        <rFont val="Meiryo UI"/>
        <family val="2"/>
      </rPr>
      <t>イベントID：SC0301-08</t>
    </r>
  </si>
  <si>
    <r>
      <rPr>
        <sz val="11"/>
        <color rgb="FF000000"/>
        <rFont val="Meiryo UI"/>
        <family val="2"/>
      </rPr>
      <t>・「特売割引設定」ボタンをタッチする=&gt;「特売売価設定」に切り替える。
・「特売売価設定」ボタンをタッチする =&gt; 「特売割引設定」に切り替える。</t>
    </r>
  </si>
  <si>
    <r>
      <rPr>
        <sz val="11"/>
        <color rgb="FF000000"/>
        <rFont val="Meiryo UI"/>
        <family val="2"/>
      </rPr>
      <t>・イベントID：SC0301-09</t>
    </r>
  </si>
  <si>
    <r>
      <rPr>
        <sz val="11"/>
        <color rgb="FF000000"/>
        <rFont val="Meiryo UI"/>
        <family val="2"/>
      </rPr>
      <t>・最大桁数：1
・プルダウンに表示されるデータ：
0 : 通常 / 1 : タイムサービス</t>
    </r>
  </si>
  <si>
    <r>
      <rPr>
        <sz val="11"/>
        <color rgb="FF000000"/>
        <rFont val="Meiryo UI"/>
        <family val="2"/>
      </rPr>
      <t>形式：yy/mm/dd(曜日)
例：24/02/11(日)</t>
    </r>
  </si>
  <si>
    <r>
      <rPr>
        <sz val="11"/>
        <color rgb="FF000000"/>
        <rFont val="Meiryo UI"/>
        <family val="2"/>
      </rPr>
      <t>形式: hh:mm
例：07:00</t>
    </r>
  </si>
  <si>
    <r>
      <rPr>
        <sz val="11"/>
        <color rgb="FF000000"/>
        <rFont val="Meiryo UI"/>
        <family val="2"/>
      </rPr>
      <t>イベントID：SC0301-06</t>
    </r>
  </si>
  <si>
    <r>
      <rPr>
        <sz val="11"/>
        <color rgb="FF000000"/>
        <rFont val="Meiryo UI"/>
        <family val="2"/>
      </rPr>
      <t>・「定番売価切替」ボタンをタッチする =&gt;「現在売価切替」に切り替える。
・「現在売価切替」ボタンをタッチする =&gt;「現在売価切替」に切り替える。</t>
    </r>
  </si>
  <si>
    <r>
      <rPr>
        <sz val="11"/>
        <color rgb="FF000000"/>
        <rFont val="Meiryo UI"/>
        <family val="2"/>
      </rPr>
      <t>イベントID：SC0301-13</t>
    </r>
  </si>
  <si>
    <r>
      <rPr>
        <sz val="11"/>
        <color rgb="FF000000"/>
        <rFont val="Meiryo UI"/>
        <family val="2"/>
      </rPr>
      <t>・「商品コード切替」ボタンをタッチする =&gt; 「PLUコード切替」に切り替える。
・「PLUコード切替」ボタンをタッチする =&gt; 「商品コード切替」に切り替える。</t>
    </r>
  </si>
  <si>
    <r>
      <rPr>
        <sz val="11"/>
        <color rgb="FF000000"/>
        <rFont val="Meiryo UI"/>
        <family val="2"/>
      </rPr>
      <t xml:space="preserve">デフォルト：有効。
</t>
    </r>
    <r>
      <rPr>
        <sz val="11"/>
        <color rgb="FF00B050"/>
        <rFont val="Meiryo UI"/>
        <family val="2"/>
      </rPr>
      <t>*SC0101から画面を開いた場合：無効</t>
    </r>
  </si>
  <si>
    <r>
      <rPr>
        <sz val="11"/>
        <color rgb="FF000000"/>
        <rFont val="Meiryo UI"/>
        <family val="2"/>
      </rPr>
      <t>・イベントID：SC0301-07
・商品コード切替と表示されている場合、「部門コード（値）」と「商品コード」を無効にする。
・「PLUコード切替」と表示されている場合、「PLUコード」を無効にする。</t>
    </r>
  </si>
  <si>
    <r>
      <rPr>
        <sz val="11"/>
        <color rgb="FF000000"/>
        <rFont val="Meiryo UI"/>
        <family val="2"/>
      </rPr>
      <t>AP0301
AP1506</t>
    </r>
  </si>
  <si>
    <r>
      <rPr>
        <b/>
        <sz val="11"/>
        <color rgb="FF000000"/>
        <rFont val="Meiryo UI"/>
        <family val="2"/>
      </rPr>
      <t>・新規モード：</t>
    </r>
    <r>
      <rPr>
        <sz val="11"/>
        <color rgb="FF000000"/>
        <rFont val="Meiryo UI"/>
        <family val="2"/>
      </rPr>
      <t xml:space="preserve">
+一覧に商品が存在していない場合、「新規」を表示する。
+一覧に商品が存在した場合、「変更」を表示する。
</t>
    </r>
    <r>
      <rPr>
        <b/>
        <sz val="11"/>
        <color rgb="FF000000"/>
        <rFont val="Meiryo UI"/>
        <family val="2"/>
      </rPr>
      <t>・編集モード：</t>
    </r>
    <r>
      <rPr>
        <sz val="11"/>
        <color rgb="FF000000"/>
        <rFont val="Meiryo UI"/>
        <family val="2"/>
      </rPr>
      <t>備考列の値に該当する有効な値をレスポンスAP0301に表示する。</t>
    </r>
  </si>
  <si>
    <r>
      <rPr>
        <sz val="11"/>
        <color rgb="FF000000"/>
        <rFont val="Meiryo UI"/>
        <family val="2"/>
      </rPr>
      <t>・「▲」をタッチすると、昇順にソートされ、ボタンが「▼」に切り替わる。
・「▼」をタッチすると、降順にソートされ、ボタンが「▲」に切り替わる。</t>
    </r>
  </si>
  <si>
    <r>
      <rPr>
        <sz val="11"/>
        <color rgb="FF000000"/>
        <rFont val="Meiryo UI"/>
        <family val="2"/>
      </rPr>
      <t>sort_column
sort_value</t>
    </r>
  </si>
  <si>
    <r>
      <rPr>
        <sz val="11"/>
        <color rgb="FF000000"/>
        <rFont val="Meiryo UI"/>
        <family val="2"/>
      </rPr>
      <t>イベントID：SC0301-14</t>
    </r>
  </si>
  <si>
    <r>
      <rPr>
        <sz val="11"/>
        <color rgb="FF000000"/>
        <rFont val="Meiryo UI"/>
        <family val="2"/>
      </rPr>
      <t>AP1506
AP0301</t>
    </r>
  </si>
  <si>
    <r>
      <rPr>
        <sz val="11"/>
        <color rgb="FF000000"/>
        <rFont val="Meiryo UI"/>
        <family val="2"/>
      </rPr>
      <t xml:space="preserve">・画面が編集モード（商品新規追加時）または新規作成モードで、商品コード入力モードの場合、有効にする。
・PLU入力モードまたは画面初期化モードの場合：無効。編集モードでは、アイテムがレスポンスAP0301に既存の場合は無効にする。
</t>
    </r>
    <r>
      <rPr>
        <sz val="11"/>
        <color rgb="FF00B050"/>
        <rFont val="Meiryo UI"/>
        <family val="2"/>
      </rPr>
      <t xml:space="preserve">*SC0101から画面を開いた場合：無効
</t>
    </r>
  </si>
  <si>
    <r>
      <rPr>
        <sz val="11"/>
        <color rgb="FF000000"/>
        <rFont val="Meiryo UI"/>
        <family val="2"/>
      </rPr>
      <t>・イベントID：SC0301-10
・my_company_codeの先頭2桁を表示する。
・「SC0301-08」イベントを実行すると、AP0301のデータを表示する。「SC0301-10」イベントを実行すると、AP1506のデータを表示する。
・最大桁数：2</t>
    </r>
  </si>
  <si>
    <r>
      <rPr>
        <sz val="11"/>
        <color rgb="FF000000"/>
        <rFont val="Meiryo UI"/>
        <family val="2"/>
      </rPr>
      <t xml:space="preserve">・画面が編集モード（商品新規追加時）または新規作成モードで、商品コード入力モードの場合、有効にする。
・PLUコード入力モードまたは画面初期化モードの場合：無効。編集モードでは、アイテムがレスポンスAP0301に既存の場合は無効にする。
</t>
    </r>
    <r>
      <rPr>
        <sz val="11"/>
        <color rgb="FF00B050"/>
        <rFont val="Meiryo UI"/>
        <family val="2"/>
      </rPr>
      <t xml:space="preserve">*SC0101から画面を開いた場合：無効
</t>
    </r>
  </si>
  <si>
    <r>
      <rPr>
        <sz val="11"/>
        <color rgb="FF000000"/>
        <rFont val="Meiryo UI"/>
        <family val="2"/>
      </rPr>
      <t>・イベントID：SC0301-10
・my_company_codeの末尾6桁を表示する。
・「SC0301-08」イベントを実行すると、AP0301のデータを表示する。「SC0301-10」イベントを実行すると、AP1506のデータを表示する。
・最大桁数：6</t>
    </r>
  </si>
  <si>
    <r>
      <rPr>
        <sz val="11"/>
        <color rgb="FF000000"/>
        <rFont val="Meiryo UI"/>
        <family val="2"/>
      </rPr>
      <t>SKU_code
 item_code</t>
    </r>
  </si>
  <si>
    <r>
      <rPr>
        <sz val="11"/>
        <color rgb="FF000000"/>
        <rFont val="Meiryo UI"/>
        <family val="2"/>
      </rPr>
      <t xml:space="preserve">・画面が編集モード（商品新規追加時）または新規作成モードで、PLUコード入力モードの場合、有効にする。
・商品コード入力モードまたは画面初期化モードの場合：無効。編集モードでは、アイテムがレスポンスAP0301に既存の場合は無効にする。
</t>
    </r>
    <r>
      <rPr>
        <sz val="11"/>
        <color rgb="FF00B050"/>
        <rFont val="Meiryo UI"/>
        <family val="2"/>
      </rPr>
      <t xml:space="preserve">*SC0101から画面を開いた場合：無効
</t>
    </r>
  </si>
  <si>
    <r>
      <rPr>
        <sz val="11"/>
        <color rgb="FF000000"/>
        <rFont val="Meiryo UI"/>
        <family val="2"/>
      </rPr>
      <t>AP1506
AP0107</t>
    </r>
  </si>
  <si>
    <r>
      <rPr>
        <sz val="11"/>
        <color rgb="FF000000"/>
        <rFont val="Meiryo UI"/>
        <family val="2"/>
      </rPr>
      <t>PLU
item_code</t>
    </r>
  </si>
  <si>
    <r>
      <rPr>
        <sz val="11"/>
        <color rgb="FF000000"/>
        <rFont val="Meiryo UI"/>
        <family val="2"/>
      </rPr>
      <t>・イベントID：SC0301-10
・「SC0301-08」イベントを実行すると、AP0301のデータを表示する。「SC0301-10」イベントを実行すると、AP1506のデータを表示する。
・最大桁数：13</t>
    </r>
  </si>
  <si>
    <r>
      <rPr>
        <sz val="11"/>
        <color rgb="FF000000"/>
        <rFont val="Meiryo UI"/>
        <family val="2"/>
      </rPr>
      <t>desciption
item_name</t>
    </r>
  </si>
  <si>
    <r>
      <rPr>
        <sz val="11"/>
        <color rgb="FF000000"/>
        <rFont val="Meiryo UI"/>
        <family val="2"/>
      </rPr>
      <t>・「SC0301-08」イベントを実行すると、AP0301のデータを表示する。「SC0301-10」イベントを実行すると、AP1506のデータを表示する。
・SC0301-10イベントを実行する。 条件を満たすデータがない場合、MSG_ERR_001を表示する。</t>
    </r>
  </si>
  <si>
    <r>
      <rPr>
        <sz val="11"/>
        <color rgb="FF000000"/>
        <rFont val="Meiryo UI"/>
        <family val="2"/>
      </rPr>
      <t>・特売売価設定モードで表示されている場合、「特売売価」タイトルを表示する。
・特売割引設定モードで表示されている場合、「割引率」タイトルを表示する。</t>
    </r>
  </si>
  <si>
    <r>
      <rPr>
        <sz val="11"/>
        <color rgb="FF000000"/>
        <rFont val="Meiryo UI"/>
        <family val="2"/>
      </rPr>
      <t xml:space="preserve">    discount_value
special_price</t>
    </r>
  </si>
  <si>
    <r>
      <rPr>
        <sz val="11"/>
        <color rgb="FF000000"/>
        <rFont val="Meiryo UI"/>
        <family val="2"/>
      </rPr>
      <t>・特売売価設定モードの場合、最大6桁入力可能。
・特売割引設定モードの場合、最大2桁入力可能.
・必須：値 &gt; 0</t>
    </r>
  </si>
  <si>
    <r>
      <rPr>
        <sz val="11"/>
        <color rgb="FF000000"/>
        <rFont val="Meiryo UI"/>
        <family val="2"/>
      </rPr>
      <t>・現在売価の場合、タイトルは「現在売価」と表示される。
・定番売価の場合、タイトルは「定番売価」と表示される。</t>
    </r>
  </si>
  <si>
    <r>
      <rPr>
        <sz val="11"/>
        <color rgb="FF000000"/>
        <rFont val="Meiryo UI"/>
        <family val="2"/>
      </rPr>
      <t>current_price
unit_price</t>
    </r>
  </si>
  <si>
    <r>
      <rPr>
        <sz val="11"/>
        <color rgb="FF000000"/>
        <rFont val="Meiryo UI"/>
        <family val="2"/>
      </rPr>
      <t>・現在売価の場合、現在売価のデータが表示される。
・定番売価の場合、定番売価のデータが表示される。</t>
    </r>
  </si>
  <si>
    <t>現在日</t>
  </si>
  <si>
    <r>
      <rPr>
        <sz val="11"/>
        <color rgb="FF000000"/>
        <rFont val="Meiryo UI"/>
        <family val="2"/>
      </rPr>
      <t xml:space="preserve">・「SC0301-08」イベントを実行すると、AP0301のデータを表示する。「SC0301-10」イベントを実行すると、デフォルトで現在日を表示する。
</t>
    </r>
    <r>
      <rPr>
        <sz val="11"/>
        <color rgb="FF00B050"/>
        <rFont val="Meiryo UI"/>
        <family val="2"/>
      </rPr>
      <t xml:space="preserve">*SC0101から画面を開いた場合: 現在日
</t>
    </r>
    <r>
      <rPr>
        <sz val="11"/>
        <color rgb="FF000000"/>
        <rFont val="Meiryo UI"/>
        <family val="2"/>
      </rPr>
      <t>・形式：yy/mm/dd(曜日)
例：24/02/11(日)</t>
    </r>
  </si>
  <si>
    <r>
      <rPr>
        <sz val="11"/>
        <color rgb="FF000000"/>
        <rFont val="Meiryo UI"/>
        <family val="2"/>
      </rPr>
      <t>AP0301
AP8201</t>
    </r>
  </si>
  <si>
    <r>
      <rPr>
        <sz val="11"/>
        <color rgb="FF000000"/>
        <rFont val="Meiryo UI"/>
        <family val="2"/>
      </rPr>
      <t>start_date_time
start_hours</t>
    </r>
  </si>
  <si>
    <r>
      <rPr>
        <sz val="11"/>
        <color rgb="FF000000"/>
        <rFont val="Meiryo UI"/>
        <family val="2"/>
      </rPr>
      <t xml:space="preserve">・「SC0301-08」イベントを実行すると、AP0301のデータを表示する。「SC0301-10」イベントを実行すると、AP8201のデータを表示する。
</t>
    </r>
    <r>
      <rPr>
        <sz val="11"/>
        <color rgb="FF00B050"/>
        <rFont val="Meiryo UI"/>
        <family val="2"/>
      </rPr>
      <t xml:space="preserve">*SC0101から画面を開いた場合: AP8201からデータを表示する。
</t>
    </r>
    <r>
      <rPr>
        <sz val="11"/>
        <color rgb="FF000000"/>
        <rFont val="Meiryo UI"/>
        <family val="2"/>
      </rPr>
      <t>・形式: hh:mm
例：07:00</t>
    </r>
  </si>
  <si>
    <r>
      <rPr>
        <sz val="11"/>
        <color rgb="FF000000"/>
        <rFont val="Meiryo UI"/>
        <family val="2"/>
      </rPr>
      <t>start_date_time
end_hours</t>
    </r>
  </si>
  <si>
    <r>
      <rPr>
        <sz val="11"/>
        <color rgb="FF000000"/>
        <rFont val="Meiryo UI"/>
        <family val="2"/>
      </rPr>
      <t xml:space="preserve">・「SC0301-08」イベントを実行すると、AP0301のデータを表示する。「SC0301-10」イベントを実行すると、AP8201のデータを表示する。
</t>
    </r>
    <r>
      <rPr>
        <sz val="11"/>
        <color rgb="FF00B050"/>
        <rFont val="Meiryo UI"/>
        <family val="2"/>
      </rPr>
      <t xml:space="preserve">*SC0101から画面を開いた場合: AP8201からデータを表示する。
</t>
    </r>
    <r>
      <rPr>
        <sz val="11"/>
        <color rgb="FF000000"/>
        <rFont val="Meiryo UI"/>
        <family val="2"/>
      </rPr>
      <t>・形式: hh:mm
例：02:00</t>
    </r>
  </si>
  <si>
    <t>・デフォルト：無効
・有効なプロモーションがある場合は有効になる。</t>
  </si>
  <si>
    <r>
      <rPr>
        <sz val="11"/>
        <color rgb="FF000000"/>
        <rFont val="Meiryo UI"/>
        <family val="2"/>
      </rPr>
      <t>イベントID：SC0301-11</t>
    </r>
  </si>
  <si>
    <r>
      <rPr>
        <sz val="11"/>
        <color rgb="FF000000"/>
        <rFont val="Meiryo UI"/>
        <family val="2"/>
      </rPr>
      <t>total_item
total_page
current_page</t>
    </r>
  </si>
  <si>
    <r>
      <rPr>
        <sz val="11"/>
        <color rgb="FF000000"/>
        <rFont val="Meiryo UI"/>
        <family val="2"/>
      </rPr>
      <t>[10_概要機能_画面遷移_00_共通.xlsx]ファイルの[画面設計]シートをご参照ください。
・1ページあたり11件のレコードを表示する。</t>
    </r>
  </si>
  <si>
    <r>
      <rPr>
        <sz val="11"/>
        <color rgb="FF000000"/>
        <rFont val="Meiryo UI"/>
        <family val="2"/>
      </rPr>
      <t>・デフォルト：無効
・画面に変更がある場合、有効にする。</t>
    </r>
  </si>
  <si>
    <r>
      <rPr>
        <sz val="11"/>
        <color rgb="FF000000"/>
        <rFont val="Meiryo UI"/>
        <family val="2"/>
      </rPr>
      <t>イベントID：SC0301-12</t>
    </r>
  </si>
  <si>
    <r>
      <rPr>
        <sz val="11"/>
        <color rgb="FF000000"/>
        <rFont val="Meiryo UI"/>
        <family val="2"/>
      </rPr>
      <t>・特売割引設定ボタンをタッチする =&gt;タイトルを「特売マスタ売価設定」に切り替える。
・特売売価設定ボタンをタッチする =&gt;タイトルを「特売マスタ割引設定」に切り替える。</t>
    </r>
  </si>
  <si>
    <t>イベントID：SC0301-01</t>
  </si>
  <si>
    <r>
      <rPr>
        <sz val="11"/>
        <color rgb="FF000000"/>
        <rFont val="Meiryo UI"/>
        <family val="2"/>
      </rPr>
      <t xml:space="preserve">・検索を実行する場合、特売売価の有効を表示する。
  0: 実施中
  1: 終了
  2: 未実施
  3: 中止
  4: NG
=&gt;ロジック判定の詳細はAP0301をご参照ください。
・商品情報を提案する場合、以下のように表示する。
  0: 新規
  1: 変更
=&gt;ロジック判定の詳細はAP1506をご参照ください。
</t>
    </r>
  </si>
  <si>
    <r>
      <rPr>
        <sz val="11"/>
        <color rgb="FF000000"/>
        <rFont val="Meiryo UI"/>
        <family val="2"/>
      </rPr>
      <t>0: 実施中
1:中止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</si>
</sst>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7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FF0000"/>
      <name val="Meiryo UI"/>
      <family val="2"/>
    </font>
    <font>
      <sz val="11"/>
      <color rgb="FF00B050"/>
      <name val="Meiryo UI"/>
      <family val="2"/>
    </font>
    <font>
      <sz val="11"/>
      <color rgb="FF7030A0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6" fillId="0" borderId="0">
      <alignment vertical="center"/>
    </xf>
  </cellStyleXfs>
  <cellXfs count="416">
    <xf numFmtId="0" fontId="0" fillId="0" borderId="0" xfId="0"/>
    <xf numFmtId="0" fontId="4" fillId="0" borderId="23" xfId="0" applyFont="1" applyBorder="1" applyAlignment="1">
      <alignment horizontal="center" vertical="center"/>
    </xf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1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4" fillId="0" borderId="0" xfId="6" applyFont="1" applyAlignment="1">
      <alignment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9" xfId="6" applyFont="1" applyBorder="1" applyAlignment="1">
      <alignment horizontal="center" vertical="center"/>
    </xf>
    <xf numFmtId="0" fontId="3" fillId="0" borderId="20" xfId="6" applyFont="1" applyBorder="1" applyAlignment="1">
      <alignment horizontal="center" vertical="center"/>
    </xf>
    <xf numFmtId="0" fontId="3" fillId="0" borderId="20" xfId="6" applyFont="1" applyBorder="1" applyAlignment="1">
      <alignment vertical="center"/>
    </xf>
    <xf numFmtId="0" fontId="3" fillId="0" borderId="18" xfId="6" applyFont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3" fillId="0" borderId="19" xfId="6" applyFont="1" applyBorder="1" applyAlignment="1">
      <alignment vertical="center"/>
    </xf>
    <xf numFmtId="0" fontId="3" fillId="0" borderId="22" xfId="6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4" fontId="3" fillId="0" borderId="23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9" xfId="0" quotePrefix="1" applyFont="1" applyBorder="1" applyAlignment="1">
      <alignment wrapText="1"/>
    </xf>
    <xf numFmtId="0" fontId="3" fillId="0" borderId="30" xfId="0" applyFont="1" applyBorder="1"/>
    <xf numFmtId="0" fontId="3" fillId="0" borderId="16" xfId="0" applyFont="1" applyBorder="1"/>
    <xf numFmtId="0" fontId="3" fillId="0" borderId="31" xfId="0" applyFont="1" applyBorder="1"/>
    <xf numFmtId="0" fontId="3" fillId="0" borderId="32" xfId="0" applyFont="1" applyBorder="1"/>
    <xf numFmtId="0" fontId="3" fillId="0" borderId="22" xfId="0" applyFont="1" applyBorder="1"/>
    <xf numFmtId="0" fontId="3" fillId="0" borderId="29" xfId="0" applyFont="1" applyBorder="1"/>
    <xf numFmtId="0" fontId="3" fillId="0" borderId="39" xfId="6" quotePrefix="1" applyFont="1" applyBorder="1" applyAlignment="1">
      <alignment horizontal="left" vertical="center" wrapText="1"/>
    </xf>
    <xf numFmtId="0" fontId="3" fillId="0" borderId="40" xfId="6" applyFont="1" applyBorder="1" applyAlignment="1">
      <alignment horizontal="left" vertical="center" wrapText="1"/>
    </xf>
    <xf numFmtId="0" fontId="3" fillId="0" borderId="39" xfId="6" applyFont="1" applyBorder="1" applyAlignment="1">
      <alignment horizontal="left" vertical="center"/>
    </xf>
    <xf numFmtId="0" fontId="3" fillId="0" borderId="40" xfId="6" applyFont="1" applyBorder="1" applyAlignment="1">
      <alignment horizontal="left" vertical="center"/>
    </xf>
    <xf numFmtId="0" fontId="3" fillId="0" borderId="41" xfId="6" applyFont="1" applyBorder="1" applyAlignment="1">
      <alignment horizontal="left" vertical="center"/>
    </xf>
    <xf numFmtId="0" fontId="3" fillId="0" borderId="39" xfId="6" applyFont="1" applyBorder="1" applyAlignment="1">
      <alignment horizontal="center" vertical="center"/>
    </xf>
    <xf numFmtId="0" fontId="3" fillId="0" borderId="40" xfId="6" applyFont="1" applyBorder="1" applyAlignment="1">
      <alignment horizontal="center" vertical="center"/>
    </xf>
    <xf numFmtId="0" fontId="3" fillId="0" borderId="41" xfId="6" applyFont="1" applyBorder="1" applyAlignment="1">
      <alignment horizontal="center" vertical="center"/>
    </xf>
    <xf numFmtId="0" fontId="3" fillId="0" borderId="37" xfId="6" quotePrefix="1" applyFont="1" applyBorder="1" applyAlignment="1">
      <alignment horizontal="left" vertical="center" wrapText="1"/>
    </xf>
    <xf numFmtId="0" fontId="3" fillId="0" borderId="38" xfId="6" applyFont="1" applyBorder="1" applyAlignment="1">
      <alignment horizontal="left" vertical="center" wrapText="1"/>
    </xf>
    <xf numFmtId="0" fontId="3" fillId="0" borderId="21" xfId="6" applyFont="1" applyBorder="1" applyAlignment="1">
      <alignment horizontal="left" vertical="center" wrapText="1"/>
    </xf>
    <xf numFmtId="0" fontId="3" fillId="0" borderId="37" xfId="6" applyFont="1" applyBorder="1" applyAlignment="1">
      <alignment horizontal="center" vertical="center"/>
    </xf>
    <xf numFmtId="0" fontId="3" fillId="0" borderId="38" xfId="6" applyFont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3" fillId="0" borderId="37" xfId="6" applyFont="1" applyBorder="1" applyAlignment="1">
      <alignment horizontal="center" vertical="center" wrapText="1"/>
    </xf>
    <xf numFmtId="0" fontId="3" fillId="0" borderId="38" xfId="6" applyFont="1" applyBorder="1" applyAlignment="1">
      <alignment horizontal="center" vertical="center" wrapText="1"/>
    </xf>
    <xf numFmtId="0" fontId="3" fillId="0" borderId="21" xfId="6" applyFont="1" applyBorder="1" applyAlignment="1">
      <alignment horizontal="center" vertical="center" wrapText="1"/>
    </xf>
    <xf numFmtId="0" fontId="3" fillId="0" borderId="39" xfId="6" quotePrefix="1" applyFont="1" applyBorder="1" applyAlignment="1">
      <alignment vertical="center" wrapText="1"/>
    </xf>
    <xf numFmtId="0" fontId="3" fillId="0" borderId="40" xfId="6" quotePrefix="1" applyFont="1" applyBorder="1" applyAlignment="1">
      <alignment vertical="center" wrapText="1"/>
    </xf>
    <xf numFmtId="0" fontId="3" fillId="0" borderId="41" xfId="6" quotePrefix="1" applyFont="1" applyBorder="1" applyAlignment="1">
      <alignment vertical="center" wrapText="1"/>
    </xf>
    <xf numFmtId="0" fontId="3" fillId="0" borderId="39" xfId="6" applyFont="1" applyBorder="1" applyAlignment="1">
      <alignment vertical="center"/>
    </xf>
    <xf numFmtId="0" fontId="3" fillId="0" borderId="40" xfId="6" applyFont="1" applyBorder="1" applyAlignment="1">
      <alignment vertical="center"/>
    </xf>
    <xf numFmtId="0" fontId="3" fillId="0" borderId="41" xfId="6" applyFont="1" applyBorder="1" applyAlignment="1">
      <alignment vertical="center"/>
    </xf>
    <xf numFmtId="0" fontId="3" fillId="0" borderId="37" xfId="6" applyFont="1" applyBorder="1" applyAlignment="1">
      <alignment vertical="center"/>
    </xf>
    <xf numFmtId="0" fontId="3" fillId="0" borderId="38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39" xfId="6" quotePrefix="1" applyFont="1" applyBorder="1" applyAlignment="1">
      <alignment horizontal="center" vertical="center" wrapText="1"/>
    </xf>
    <xf numFmtId="0" fontId="3" fillId="0" borderId="40" xfId="6" applyFont="1" applyBorder="1" applyAlignment="1">
      <alignment horizontal="center" vertical="center" wrapText="1"/>
    </xf>
    <xf numFmtId="0" fontId="3" fillId="0" borderId="41" xfId="6" applyFont="1" applyBorder="1" applyAlignment="1">
      <alignment horizontal="center" vertical="center" wrapText="1"/>
    </xf>
    <xf numFmtId="0" fontId="4" fillId="0" borderId="37" xfId="6" applyFont="1" applyBorder="1" applyAlignment="1">
      <alignment horizontal="center" vertical="center"/>
    </xf>
    <xf numFmtId="0" fontId="4" fillId="3" borderId="42" xfId="6" applyFont="1" applyFill="1" applyBorder="1" applyAlignment="1">
      <alignment vertical="center"/>
    </xf>
    <xf numFmtId="0" fontId="3" fillId="3" borderId="27" xfId="6" applyFont="1" applyFill="1" applyBorder="1" applyAlignment="1">
      <alignment vertical="center"/>
    </xf>
    <xf numFmtId="0" fontId="3" fillId="3" borderId="28" xfId="6" applyFont="1" applyFill="1" applyBorder="1" applyAlignment="1">
      <alignment vertical="center"/>
    </xf>
    <xf numFmtId="0" fontId="4" fillId="6" borderId="23" xfId="6" applyFont="1" applyFill="1" applyBorder="1" applyAlignment="1">
      <alignment vertical="center"/>
    </xf>
    <xf numFmtId="0" fontId="3" fillId="6" borderId="24" xfId="6" applyFont="1" applyFill="1" applyBorder="1" applyAlignment="1">
      <alignment vertical="center"/>
    </xf>
    <xf numFmtId="0" fontId="3" fillId="6" borderId="25" xfId="6" applyFont="1" applyFill="1" applyBorder="1" applyAlignment="1">
      <alignment vertical="center"/>
    </xf>
    <xf numFmtId="0" fontId="3" fillId="6" borderId="1" xfId="6" applyFont="1" applyFill="1" applyBorder="1" applyAlignment="1">
      <alignment vertical="center"/>
    </xf>
    <xf numFmtId="0" fontId="3" fillId="6" borderId="0" xfId="6" applyFont="1" applyFill="1" applyAlignment="1">
      <alignment vertical="center"/>
    </xf>
    <xf numFmtId="0" fontId="3" fillId="6" borderId="4" xfId="6" applyFont="1" applyFill="1" applyBorder="1" applyAlignment="1">
      <alignment vertical="center"/>
    </xf>
    <xf numFmtId="0" fontId="3" fillId="6" borderId="2" xfId="6" applyFont="1" applyFill="1" applyBorder="1" applyAlignment="1">
      <alignment vertical="center"/>
    </xf>
    <xf numFmtId="0" fontId="3" fillId="6" borderId="3" xfId="6" applyFont="1" applyFill="1" applyBorder="1" applyAlignment="1">
      <alignment vertical="center"/>
    </xf>
    <xf numFmtId="0" fontId="3" fillId="6" borderId="5" xfId="6" applyFont="1" applyFill="1" applyBorder="1" applyAlignment="1">
      <alignment vertical="center"/>
    </xf>
    <xf numFmtId="0" fontId="4" fillId="0" borderId="37" xfId="6" applyFont="1" applyBorder="1" applyAlignment="1">
      <alignment vertical="center"/>
    </xf>
    <xf numFmtId="0" fontId="4" fillId="0" borderId="38" xfId="6" applyFont="1" applyBorder="1" applyAlignment="1">
      <alignment vertical="center"/>
    </xf>
    <xf numFmtId="0" fontId="4" fillId="0" borderId="21" xfId="6" applyFont="1" applyBorder="1" applyAlignment="1">
      <alignment vertical="center"/>
    </xf>
    <xf numFmtId="0" fontId="4" fillId="0" borderId="38" xfId="6" applyFont="1" applyBorder="1" applyAlignment="1">
      <alignment horizontal="center" vertical="center"/>
    </xf>
    <xf numFmtId="0" fontId="4" fillId="0" borderId="21" xfId="6" applyFont="1" applyBorder="1" applyAlignment="1">
      <alignment horizontal="center" vertical="center"/>
    </xf>
    <xf numFmtId="0" fontId="4" fillId="0" borderId="39" xfId="6" quotePrefix="1" applyFont="1" applyBorder="1" applyAlignment="1">
      <alignment horizontal="center" vertical="center"/>
    </xf>
    <xf numFmtId="0" fontId="4" fillId="0" borderId="40" xfId="6" applyFont="1" applyBorder="1" applyAlignment="1">
      <alignment horizontal="center" vertical="center"/>
    </xf>
    <xf numFmtId="0" fontId="4" fillId="0" borderId="41" xfId="6" applyFont="1" applyBorder="1" applyAlignment="1">
      <alignment horizontal="center" vertical="center"/>
    </xf>
    <xf numFmtId="0" fontId="3" fillId="0" borderId="37" xfId="6" applyFont="1" applyBorder="1" applyAlignment="1">
      <alignment horizontal="left" vertical="center"/>
    </xf>
    <xf numFmtId="0" fontId="3" fillId="0" borderId="38" xfId="6" applyFont="1" applyBorder="1" applyAlignment="1">
      <alignment horizontal="left" vertical="center"/>
    </xf>
    <xf numFmtId="0" fontId="3" fillId="0" borderId="21" xfId="6" applyFont="1" applyBorder="1" applyAlignment="1">
      <alignment horizontal="left" vertical="center"/>
    </xf>
    <xf numFmtId="0" fontId="4" fillId="0" borderId="37" xfId="6" applyFont="1" applyBorder="1" applyAlignment="1">
      <alignment horizontal="center" vertical="center" wrapText="1"/>
    </xf>
    <xf numFmtId="0" fontId="4" fillId="0" borderId="38" xfId="6" applyFont="1" applyBorder="1" applyAlignment="1">
      <alignment horizontal="center" vertical="center" wrapText="1"/>
    </xf>
    <xf numFmtId="0" fontId="4" fillId="0" borderId="21" xfId="6" applyFont="1" applyBorder="1" applyAlignment="1">
      <alignment horizontal="center" vertical="center" wrapText="1"/>
    </xf>
    <xf numFmtId="0" fontId="3" fillId="0" borderId="37" xfId="6" applyFont="1" applyBorder="1" applyAlignment="1">
      <alignment vertical="center" wrapText="1"/>
    </xf>
    <xf numFmtId="0" fontId="3" fillId="0" borderId="38" xfId="6" applyFont="1" applyBorder="1" applyAlignment="1">
      <alignment vertical="center" wrapText="1"/>
    </xf>
    <xf numFmtId="0" fontId="3" fillId="0" borderId="21" xfId="6" applyFont="1" applyBorder="1" applyAlignment="1">
      <alignment vertical="center" wrapText="1"/>
    </xf>
    <xf numFmtId="0" fontId="4" fillId="0" borderId="37" xfId="6" quotePrefix="1" applyFont="1" applyBorder="1" applyAlignment="1">
      <alignment horizontal="center" vertical="center"/>
    </xf>
    <xf numFmtId="0" fontId="3" fillId="0" borderId="31" xfId="6" applyFont="1" applyBorder="1" applyAlignment="1">
      <alignment horizontal="center" vertical="center"/>
    </xf>
    <xf numFmtId="0" fontId="3" fillId="0" borderId="32" xfId="6" applyFont="1" applyBorder="1" applyAlignment="1">
      <alignment horizontal="center" vertical="center"/>
    </xf>
    <xf numFmtId="0" fontId="3" fillId="0" borderId="22" xfId="6" applyFont="1" applyBorder="1" applyAlignment="1">
      <alignment horizontal="center" vertical="center"/>
    </xf>
    <xf numFmtId="0" fontId="4" fillId="5" borderId="26" xfId="6" applyFont="1" applyFill="1" applyBorder="1" applyAlignment="1">
      <alignment vertical="center"/>
    </xf>
    <xf numFmtId="0" fontId="3" fillId="5" borderId="27" xfId="6" applyFont="1" applyFill="1" applyBorder="1" applyAlignment="1">
      <alignment vertical="center"/>
    </xf>
    <xf numFmtId="0" fontId="3" fillId="5" borderId="28" xfId="6" applyFont="1" applyFill="1" applyBorder="1" applyAlignment="1">
      <alignment vertical="center"/>
    </xf>
    <xf numFmtId="0" fontId="4" fillId="5" borderId="26" xfId="6" applyFont="1" applyFill="1" applyBorder="1"/>
    <xf numFmtId="0" fontId="4" fillId="5" borderId="27" xfId="6" applyFont="1" applyFill="1" applyBorder="1"/>
    <xf numFmtId="0" fontId="4" fillId="5" borderId="28" xfId="6" applyFont="1" applyFill="1" applyBorder="1"/>
    <xf numFmtId="0" fontId="4" fillId="5" borderId="23" xfId="6" applyFont="1" applyFill="1" applyBorder="1" applyAlignment="1">
      <alignment vertical="center"/>
    </xf>
    <xf numFmtId="0" fontId="3" fillId="5" borderId="24" xfId="6" applyFont="1" applyFill="1" applyBorder="1" applyAlignment="1">
      <alignment vertical="center"/>
    </xf>
    <xf numFmtId="0" fontId="3" fillId="5" borderId="25" xfId="6" applyFont="1" applyFill="1" applyBorder="1" applyAlignment="1">
      <alignment vertical="center"/>
    </xf>
    <xf numFmtId="0" fontId="3" fillId="5" borderId="2" xfId="6" applyFont="1" applyFill="1" applyBorder="1" applyAlignment="1">
      <alignment vertical="center"/>
    </xf>
    <xf numFmtId="0" fontId="3" fillId="5" borderId="3" xfId="6" applyFont="1" applyFill="1" applyBorder="1" applyAlignment="1">
      <alignment vertical="center"/>
    </xf>
    <xf numFmtId="0" fontId="3" fillId="5" borderId="5" xfId="6" applyFont="1" applyFill="1" applyBorder="1" applyAlignment="1">
      <alignment vertical="center"/>
    </xf>
    <xf numFmtId="0" fontId="3" fillId="0" borderId="31" xfId="6" quotePrefix="1" applyFont="1" applyBorder="1" applyAlignment="1">
      <alignment vertical="center" wrapText="1"/>
    </xf>
    <xf numFmtId="0" fontId="3" fillId="0" borderId="32" xfId="6" quotePrefix="1" applyFont="1" applyBorder="1" applyAlignment="1">
      <alignment vertical="center" wrapText="1"/>
    </xf>
    <xf numFmtId="0" fontId="3" fillId="0" borderId="22" xfId="6" quotePrefix="1" applyFont="1" applyBorder="1" applyAlignment="1">
      <alignment vertical="center" wrapText="1"/>
    </xf>
    <xf numFmtId="0" fontId="4" fillId="0" borderId="31" xfId="6" applyFont="1" applyBorder="1" applyAlignment="1">
      <alignment vertical="center"/>
    </xf>
    <xf numFmtId="0" fontId="4" fillId="0" borderId="32" xfId="6" applyFont="1" applyBorder="1" applyAlignment="1">
      <alignment vertical="center"/>
    </xf>
    <xf numFmtId="0" fontId="4" fillId="0" borderId="22" xfId="6" applyFont="1" applyBorder="1" applyAlignment="1">
      <alignment vertical="center"/>
    </xf>
    <xf numFmtId="0" fontId="4" fillId="0" borderId="31" xfId="6" applyFont="1" applyBorder="1" applyAlignment="1">
      <alignment horizontal="center" vertical="center"/>
    </xf>
    <xf numFmtId="0" fontId="4" fillId="0" borderId="32" xfId="6" applyFont="1" applyBorder="1" applyAlignment="1">
      <alignment horizontal="center" vertical="center"/>
    </xf>
    <xf numFmtId="0" fontId="4" fillId="0" borderId="22" xfId="6" applyFont="1" applyBorder="1" applyAlignment="1">
      <alignment horizontal="center" vertical="center"/>
    </xf>
    <xf numFmtId="0" fontId="4" fillId="0" borderId="31" xfId="6" applyFont="1" applyBorder="1" applyAlignment="1">
      <alignment horizontal="center" vertical="center" wrapText="1"/>
    </xf>
    <xf numFmtId="0" fontId="4" fillId="0" borderId="32" xfId="6" applyFont="1" applyBorder="1" applyAlignment="1">
      <alignment horizontal="center" vertical="center" wrapText="1"/>
    </xf>
    <xf numFmtId="0" fontId="4" fillId="0" borderId="22" xfId="6" applyFont="1" applyBorder="1" applyAlignment="1">
      <alignment horizontal="center" vertical="center" wrapText="1"/>
    </xf>
    <xf numFmtId="0" fontId="3" fillId="0" borderId="31" xfId="6" applyFont="1" applyBorder="1" applyAlignment="1">
      <alignment horizontal="left" vertical="center"/>
    </xf>
    <xf numFmtId="0" fontId="3" fillId="0" borderId="32" xfId="6" applyFont="1" applyBorder="1" applyAlignment="1">
      <alignment horizontal="left" vertical="center"/>
    </xf>
    <xf numFmtId="0" fontId="3" fillId="0" borderId="22" xfId="6" applyFont="1" applyBorder="1" applyAlignment="1">
      <alignment horizontal="left" vertical="center"/>
    </xf>
    <xf numFmtId="0" fontId="3" fillId="3" borderId="23" xfId="6" applyFont="1" applyFill="1" applyBorder="1" applyAlignment="1">
      <alignment vertical="center" wrapText="1"/>
    </xf>
    <xf numFmtId="0" fontId="3" fillId="3" borderId="2" xfId="6" applyFont="1" applyFill="1" applyBorder="1" applyAlignment="1">
      <alignment vertical="center" wrapText="1"/>
    </xf>
    <xf numFmtId="0" fontId="4" fillId="3" borderId="26" xfId="6" applyFont="1" applyFill="1" applyBorder="1" applyAlignment="1">
      <alignment vertical="center"/>
    </xf>
    <xf numFmtId="0" fontId="3" fillId="4" borderId="34" xfId="6" applyFont="1" applyFill="1" applyBorder="1" applyAlignment="1">
      <alignment vertical="center" shrinkToFit="1"/>
    </xf>
    <xf numFmtId="0" fontId="3" fillId="4" borderId="35" xfId="6" applyFont="1" applyFill="1" applyBorder="1" applyAlignment="1">
      <alignment vertical="center" shrinkToFit="1"/>
    </xf>
    <xf numFmtId="0" fontId="3" fillId="4" borderId="36" xfId="6" applyFont="1" applyFill="1" applyBorder="1" applyAlignment="1">
      <alignment vertical="center" shrinkToFit="1"/>
    </xf>
    <xf numFmtId="0" fontId="3" fillId="0" borderId="29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29" xfId="6" applyFont="1" applyBorder="1" applyAlignment="1">
      <alignment vertical="center" wrapText="1"/>
    </xf>
    <xf numFmtId="0" fontId="3" fillId="0" borderId="30" xfId="6" applyFont="1" applyBorder="1" applyAlignment="1">
      <alignment vertical="center" wrapText="1"/>
    </xf>
    <xf numFmtId="0" fontId="3" fillId="0" borderId="16" xfId="6" applyFont="1" applyBorder="1" applyAlignment="1">
      <alignment vertical="center" wrapText="1"/>
    </xf>
    <xf numFmtId="0" fontId="4" fillId="0" borderId="29" xfId="6" applyFont="1" applyBorder="1" applyAlignment="1">
      <alignment vertical="center"/>
    </xf>
    <xf numFmtId="0" fontId="4" fillId="0" borderId="30" xfId="6" applyFont="1" applyBorder="1" applyAlignment="1">
      <alignment vertical="center"/>
    </xf>
    <xf numFmtId="0" fontId="4" fillId="0" borderId="16" xfId="6" applyFont="1" applyBorder="1" applyAlignment="1">
      <alignment vertical="center"/>
    </xf>
    <xf numFmtId="0" fontId="4" fillId="0" borderId="29" xfId="6" applyFont="1" applyBorder="1" applyAlignment="1">
      <alignment horizontal="center" vertical="center"/>
    </xf>
    <xf numFmtId="0" fontId="4" fillId="0" borderId="30" xfId="6" applyFont="1" applyBorder="1" applyAlignment="1">
      <alignment horizontal="center" vertical="center"/>
    </xf>
    <xf numFmtId="0" fontId="4" fillId="0" borderId="16" xfId="6" applyFont="1" applyBorder="1" applyAlignment="1">
      <alignment horizontal="center" vertical="center"/>
    </xf>
    <xf numFmtId="0" fontId="4" fillId="0" borderId="29" xfId="6" applyFont="1" applyBorder="1" applyAlignment="1">
      <alignment horizontal="center" vertical="center" wrapText="1"/>
    </xf>
    <xf numFmtId="0" fontId="4" fillId="0" borderId="30" xfId="6" applyFont="1" applyBorder="1" applyAlignment="1">
      <alignment horizontal="center" vertical="center" wrapText="1"/>
    </xf>
    <xf numFmtId="0" fontId="4" fillId="0" borderId="16" xfId="6" applyFont="1" applyBorder="1" applyAlignment="1">
      <alignment horizontal="center" vertical="center" wrapText="1"/>
    </xf>
    <xf numFmtId="0" fontId="3" fillId="0" borderId="29" xfId="6" applyFont="1" applyBorder="1" applyAlignment="1">
      <alignment horizontal="left" vertical="center"/>
    </xf>
    <xf numFmtId="0" fontId="3" fillId="0" borderId="30" xfId="6" applyFont="1" applyBorder="1" applyAlignment="1">
      <alignment horizontal="left" vertical="center"/>
    </xf>
    <xf numFmtId="0" fontId="3" fillId="0" borderId="16" xfId="6" applyFont="1" applyBorder="1" applyAlignment="1">
      <alignment horizontal="left" vertical="center"/>
    </xf>
    <xf numFmtId="0" fontId="3" fillId="0" borderId="30" xfId="6" applyFont="1" applyBorder="1" applyAlignment="1">
      <alignment horizontal="center" vertical="center"/>
    </xf>
    <xf numFmtId="0" fontId="3" fillId="3" borderId="33" xfId="6" applyFont="1" applyFill="1" applyBorder="1" applyAlignment="1">
      <alignment vertical="center"/>
    </xf>
    <xf numFmtId="0" fontId="4" fillId="4" borderId="23" xfId="6" applyFont="1" applyFill="1" applyBorder="1" applyAlignment="1">
      <alignment vertical="center" wrapText="1"/>
    </xf>
    <xf numFmtId="0" fontId="3" fillId="4" borderId="25" xfId="6" applyFont="1" applyFill="1" applyBorder="1" applyAlignment="1">
      <alignment vertical="center"/>
    </xf>
    <xf numFmtId="0" fontId="3" fillId="4" borderId="1" xfId="6" applyFont="1" applyFill="1" applyBorder="1" applyAlignment="1">
      <alignment vertical="center"/>
    </xf>
    <xf numFmtId="0" fontId="3" fillId="4" borderId="4" xfId="6" applyFont="1" applyFill="1" applyBorder="1" applyAlignment="1">
      <alignment vertical="center"/>
    </xf>
    <xf numFmtId="0" fontId="3" fillId="4" borderId="2" xfId="6" applyFont="1" applyFill="1" applyBorder="1" applyAlignment="1">
      <alignment vertical="center"/>
    </xf>
    <xf numFmtId="0" fontId="3" fillId="4" borderId="5" xfId="6" applyFont="1" applyFill="1" applyBorder="1" applyAlignment="1">
      <alignment vertical="center"/>
    </xf>
    <xf numFmtId="0" fontId="4" fillId="4" borderId="23" xfId="6" applyFont="1" applyFill="1" applyBorder="1" applyAlignment="1">
      <alignment vertical="center"/>
    </xf>
    <xf numFmtId="0" fontId="3" fillId="4" borderId="24" xfId="6" applyFont="1" applyFill="1" applyBorder="1" applyAlignment="1">
      <alignment vertical="center"/>
    </xf>
    <xf numFmtId="0" fontId="3" fillId="4" borderId="0" xfId="6" applyFont="1" applyFill="1" applyAlignment="1">
      <alignment vertical="center"/>
    </xf>
    <xf numFmtId="0" fontId="3" fillId="4" borderId="3" xfId="6" applyFont="1" applyFill="1" applyBorder="1" applyAlignment="1">
      <alignment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4" fillId="3" borderId="34" xfId="6" applyFont="1" applyFill="1" applyBorder="1" applyAlignment="1">
      <alignment vertical="center" wrapText="1"/>
    </xf>
    <xf numFmtId="0" fontId="4" fillId="3" borderId="36" xfId="6" applyFont="1" applyFill="1" applyBorder="1" applyAlignment="1">
      <alignment vertical="center" wrapText="1"/>
    </xf>
    <xf numFmtId="0" fontId="4" fillId="3" borderId="25" xfId="6" applyFont="1" applyFill="1" applyBorder="1" applyAlignment="1">
      <alignment vertical="center" wrapText="1"/>
    </xf>
    <xf numFmtId="0" fontId="4" fillId="3" borderId="5" xfId="6" applyFont="1" applyFill="1" applyBorder="1" applyAlignment="1">
      <alignment vertical="center" wrapText="1"/>
    </xf>
    <xf numFmtId="0" fontId="3" fillId="0" borderId="26" xfId="6" applyFont="1" applyBorder="1" applyAlignment="1">
      <alignment horizontal="center" vertical="center"/>
    </xf>
    <xf numFmtId="0" fontId="3" fillId="0" borderId="27" xfId="6" applyFont="1" applyBorder="1" applyAlignment="1">
      <alignment horizontal="center" vertical="center"/>
    </xf>
    <xf numFmtId="0" fontId="3" fillId="0" borderId="28" xfId="6" applyFont="1" applyBorder="1" applyAlignment="1">
      <alignment horizontal="center" vertical="center"/>
    </xf>
    <xf numFmtId="0" fontId="4" fillId="0" borderId="26" xfId="6" applyFont="1" applyBorder="1" applyAlignment="1">
      <alignment horizontal="center" vertical="center"/>
    </xf>
    <xf numFmtId="0" fontId="4" fillId="4" borderId="34" xfId="6" applyFont="1" applyFill="1" applyBorder="1" applyAlignment="1">
      <alignment vertical="center" wrapText="1"/>
    </xf>
    <xf numFmtId="0" fontId="4" fillId="4" borderId="35" xfId="6" applyFont="1" applyFill="1" applyBorder="1" applyAlignment="1">
      <alignment vertical="center" wrapText="1"/>
    </xf>
    <xf numFmtId="0" fontId="4" fillId="4" borderId="36" xfId="6" applyFont="1" applyFill="1" applyBorder="1" applyAlignment="1">
      <alignment vertical="center" wrapText="1"/>
    </xf>
    <xf numFmtId="0" fontId="4" fillId="0" borderId="39" xfId="6" applyFont="1" applyBorder="1" applyAlignment="1">
      <alignment vertical="center"/>
    </xf>
    <xf numFmtId="0" fontId="4" fillId="0" borderId="39" xfId="6" quotePrefix="1" applyFont="1" applyBorder="1" applyAlignment="1">
      <alignment horizontal="center" vertical="center" wrapText="1"/>
    </xf>
    <xf numFmtId="0" fontId="4" fillId="0" borderId="40" xfId="6" applyFont="1" applyBorder="1" applyAlignment="1">
      <alignment horizontal="center" vertical="center" wrapText="1"/>
    </xf>
    <xf numFmtId="0" fontId="4" fillId="0" borderId="41" xfId="6" applyFont="1" applyBorder="1" applyAlignment="1">
      <alignment horizontal="center" vertical="center" wrapText="1"/>
    </xf>
    <xf numFmtId="0" fontId="4" fillId="0" borderId="39" xfId="6" applyFont="1" applyBorder="1" applyAlignment="1">
      <alignment horizontal="left" vertical="center"/>
    </xf>
    <xf numFmtId="0" fontId="3" fillId="0" borderId="39" xfId="6" applyFont="1" applyBorder="1" applyAlignment="1">
      <alignment vertical="center" wrapText="1"/>
    </xf>
    <xf numFmtId="0" fontId="3" fillId="0" borderId="40" xfId="6" applyFont="1" applyBorder="1" applyAlignment="1">
      <alignment vertical="center" wrapText="1"/>
    </xf>
    <xf numFmtId="0" fontId="3" fillId="0" borderId="41" xfId="6" applyFont="1" applyBorder="1" applyAlignment="1">
      <alignment vertical="center" wrapText="1"/>
    </xf>
    <xf numFmtId="0" fontId="3" fillId="0" borderId="37" xfId="6" quotePrefix="1" applyFont="1" applyBorder="1" applyAlignment="1">
      <alignment vertical="center" wrapText="1"/>
    </xf>
    <xf numFmtId="0" fontId="3" fillId="0" borderId="31" xfId="6" applyFont="1" applyBorder="1" applyAlignment="1">
      <alignment vertical="center"/>
    </xf>
    <xf numFmtId="0" fontId="3" fillId="0" borderId="32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31" xfId="6" quotePrefix="1" applyFont="1" applyBorder="1" applyAlignment="1">
      <alignment horizontal="center" vertical="center"/>
    </xf>
    <xf numFmtId="0" fontId="3" fillId="0" borderId="31" xfId="6" quotePrefix="1" applyFont="1" applyBorder="1" applyAlignment="1">
      <alignment horizontal="left" vertical="center" wrapText="1"/>
    </xf>
    <xf numFmtId="0" fontId="3" fillId="0" borderId="32" xfId="6" applyFont="1" applyBorder="1" applyAlignment="1">
      <alignment horizontal="left" vertical="center" wrapText="1"/>
    </xf>
    <xf numFmtId="0" fontId="3" fillId="0" borderId="22" xfId="6" applyFont="1" applyBorder="1" applyAlignment="1">
      <alignment horizontal="left" vertical="center" wrapText="1"/>
    </xf>
    <xf numFmtId="0" fontId="3" fillId="0" borderId="31" xfId="6" applyFont="1" applyBorder="1" applyAlignment="1">
      <alignment horizontal="left" vertical="center" wrapText="1"/>
    </xf>
    <xf numFmtId="0" fontId="3" fillId="0" borderId="38" xfId="6" quotePrefix="1" applyFont="1" applyBorder="1" applyAlignment="1">
      <alignment vertical="center" wrapText="1"/>
    </xf>
    <xf numFmtId="0" fontId="3" fillId="0" borderId="21" xfId="6" quotePrefix="1" applyFont="1" applyBorder="1" applyAlignment="1">
      <alignment vertical="center" wrapText="1"/>
    </xf>
    <xf numFmtId="0" fontId="3" fillId="0" borderId="32" xfId="6" applyFont="1" applyBorder="1" applyAlignment="1">
      <alignment vertical="center" wrapText="1"/>
    </xf>
    <xf numFmtId="0" fontId="3" fillId="0" borderId="22" xfId="6" applyFont="1" applyBorder="1" applyAlignment="1">
      <alignment vertical="center" wrapText="1"/>
    </xf>
    <xf numFmtId="0" fontId="3" fillId="0" borderId="37" xfId="6" applyFont="1" applyBorder="1" applyAlignment="1">
      <alignment horizontal="left" vertical="center" wrapText="1"/>
    </xf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1" fillId="0" borderId="0" xfId="0" applyFont="1"/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4" fontId="11" fillId="0" borderId="23" xfId="0" applyNumberFormat="1" applyFont="1" applyBorder="1" applyAlignment="1">
      <alignment horizontal="center" vertical="center"/>
    </xf>
    <xf numFmtId="14" fontId="11" fillId="0" borderId="24" xfId="0" applyNumberFormat="1" applyFont="1" applyBorder="1" applyAlignment="1">
      <alignment horizontal="center" vertical="center"/>
    </xf>
    <xf numFmtId="14" fontId="11" fillId="0" borderId="25" xfId="0" applyNumberFormat="1" applyFont="1" applyBorder="1" applyAlignment="1">
      <alignment horizontal="center" vertical="center"/>
    </xf>
    <xf numFmtId="2" fontId="11" fillId="0" borderId="23" xfId="0" applyNumberFormat="1" applyFont="1" applyBorder="1" applyAlignment="1">
      <alignment horizontal="center" vertical="center"/>
    </xf>
    <xf numFmtId="2" fontId="11" fillId="0" borderId="24" xfId="0" applyNumberFormat="1" applyFont="1" applyBorder="1" applyAlignment="1">
      <alignment horizontal="center" vertical="center"/>
    </xf>
    <xf numFmtId="2" fontId="11" fillId="0" borderId="25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/>
    </xf>
    <xf numFmtId="14" fontId="11" fillId="0" borderId="3" xfId="0" applyNumberFormat="1" applyFont="1" applyBorder="1" applyAlignment="1">
      <alignment horizontal="center" vertical="center"/>
    </xf>
    <xf numFmtId="14" fontId="11" fillId="0" borderId="5" xfId="0" applyNumberFormat="1" applyFont="1" applyBorder="1" applyAlignment="1">
      <alignment horizontal="center" vertical="center"/>
    </xf>
    <xf numFmtId="2" fontId="11" fillId="0" borderId="2" xfId="0" applyNumberFormat="1" applyFont="1" applyBorder="1" applyAlignment="1">
      <alignment horizontal="center" vertical="center"/>
    </xf>
    <xf numFmtId="2" fontId="11" fillId="0" borderId="3" xfId="0" applyNumberFormat="1" applyFont="1" applyBorder="1" applyAlignment="1">
      <alignment horizontal="center" vertical="center"/>
    </xf>
    <xf numFmtId="2" fontId="11" fillId="0" borderId="5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" xfId="0" applyFont="1" applyBorder="1"/>
    <xf numFmtId="0" fontId="11" fillId="0" borderId="3" xfId="0" applyFont="1" applyBorder="1"/>
    <xf numFmtId="0" fontId="11" fillId="0" borderId="5" xfId="0" applyFont="1" applyBorder="1"/>
    <xf numFmtId="0" fontId="11" fillId="0" borderId="1" xfId="0" applyFont="1" applyBorder="1"/>
    <xf numFmtId="0" fontId="11" fillId="0" borderId="4" xfId="0" applyFont="1" applyBorder="1"/>
    <xf numFmtId="0" fontId="11" fillId="0" borderId="7" xfId="0" applyFont="1" applyBorder="1"/>
    <xf numFmtId="0" fontId="11" fillId="0" borderId="8" xfId="0" applyFont="1" applyBorder="1"/>
    <xf numFmtId="0" fontId="11" fillId="0" borderId="11" xfId="0" applyFont="1" applyBorder="1"/>
    <xf numFmtId="0" fontId="11" fillId="0" borderId="6" xfId="0" applyFont="1" applyBorder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12" xfId="0" applyFont="1" applyBorder="1"/>
    <xf numFmtId="0" fontId="11" fillId="0" borderId="14" xfId="0" applyFont="1" applyBorder="1"/>
    <xf numFmtId="0" fontId="11" fillId="0" borderId="15" xfId="0" applyFont="1" applyBorder="1"/>
    <xf numFmtId="0" fontId="11" fillId="0" borderId="9" xfId="0" applyFont="1" applyBorder="1"/>
    <xf numFmtId="0" fontId="11" fillId="0" borderId="10" xfId="0" applyFont="1" applyBorder="1"/>
    <xf numFmtId="0" fontId="11" fillId="0" borderId="13" xfId="0" applyFont="1" applyBorder="1"/>
    <xf numFmtId="0" fontId="7" fillId="2" borderId="23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7" fillId="2" borderId="0" xfId="0" applyFont="1" applyFill="1"/>
    <xf numFmtId="0" fontId="11" fillId="0" borderId="29" xfId="0" applyFont="1" applyBorder="1"/>
    <xf numFmtId="0" fontId="11" fillId="0" borderId="30" xfId="0" applyFont="1" applyBorder="1"/>
    <xf numFmtId="0" fontId="11" fillId="0" borderId="16" xfId="0" applyFont="1" applyBorder="1"/>
    <xf numFmtId="0" fontId="11" fillId="0" borderId="24" xfId="0" applyFont="1" applyBorder="1"/>
    <xf numFmtId="0" fontId="11" fillId="0" borderId="25" xfId="0" applyFont="1" applyBorder="1"/>
    <xf numFmtId="0" fontId="11" fillId="0" borderId="23" xfId="0" applyFont="1" applyBorder="1"/>
    <xf numFmtId="0" fontId="11" fillId="0" borderId="31" xfId="0" applyFont="1" applyBorder="1"/>
    <xf numFmtId="0" fontId="11" fillId="0" borderId="32" xfId="0" applyFont="1" applyBorder="1"/>
    <xf numFmtId="0" fontId="11" fillId="0" borderId="22" xfId="0" applyFont="1" applyBorder="1"/>
    <xf numFmtId="0" fontId="11" fillId="0" borderId="3" xfId="0" applyFont="1" applyBorder="1"/>
    <xf numFmtId="0" fontId="11" fillId="0" borderId="5" xfId="0" applyFont="1" applyBorder="1"/>
    <xf numFmtId="0" fontId="11" fillId="0" borderId="2" xfId="0" applyFont="1" applyBorder="1"/>
    <xf numFmtId="0" fontId="14" fillId="0" borderId="24" xfId="0" applyFont="1" applyBorder="1"/>
    <xf numFmtId="0" fontId="14" fillId="0" borderId="25" xfId="0" applyFont="1" applyBorder="1"/>
    <xf numFmtId="0" fontId="14" fillId="0" borderId="23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2" xfId="0" applyFont="1" applyBorder="1"/>
    <xf numFmtId="0" fontId="15" fillId="0" borderId="24" xfId="0" applyFont="1" applyBorder="1"/>
    <xf numFmtId="0" fontId="15" fillId="0" borderId="25" xfId="0" applyFont="1" applyBorder="1"/>
    <xf numFmtId="0" fontId="15" fillId="0" borderId="23" xfId="0" applyFont="1" applyBorder="1"/>
    <xf numFmtId="0" fontId="15" fillId="0" borderId="3" xfId="0" applyFont="1" applyBorder="1"/>
    <xf numFmtId="0" fontId="15" fillId="0" borderId="5" xfId="0" applyFont="1" applyBorder="1"/>
    <xf numFmtId="0" fontId="15" fillId="0" borderId="2" xfId="0" applyFont="1" applyBorder="1"/>
    <xf numFmtId="14" fontId="16" fillId="0" borderId="23" xfId="0" applyNumberFormat="1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9" xfId="0" applyFont="1" applyBorder="1"/>
    <xf numFmtId="0" fontId="16" fillId="0" borderId="30" xfId="0" applyFont="1" applyBorder="1"/>
    <xf numFmtId="0" fontId="16" fillId="0" borderId="16" xfId="0" applyFont="1" applyBorder="1"/>
    <xf numFmtId="0" fontId="16" fillId="0" borderId="24" xfId="0" applyFont="1" applyBorder="1"/>
    <xf numFmtId="0" fontId="16" fillId="0" borderId="25" xfId="0" applyFont="1" applyBorder="1"/>
    <xf numFmtId="0" fontId="16" fillId="0" borderId="23" xfId="0" applyFont="1" applyBorder="1"/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31" xfId="0" applyFont="1" applyBorder="1"/>
    <xf numFmtId="0" fontId="16" fillId="0" borderId="32" xfId="0" applyFont="1" applyBorder="1"/>
    <xf numFmtId="0" fontId="16" fillId="0" borderId="22" xfId="0" applyFont="1" applyBorder="1"/>
    <xf numFmtId="0" fontId="16" fillId="0" borderId="3" xfId="0" applyFont="1" applyBorder="1"/>
    <xf numFmtId="0" fontId="16" fillId="0" borderId="5" xfId="0" applyFont="1" applyBorder="1"/>
    <xf numFmtId="0" fontId="16" fillId="0" borderId="2" xfId="0" applyFont="1" applyBorder="1"/>
    <xf numFmtId="14" fontId="15" fillId="0" borderId="23" xfId="0" applyNumberFormat="1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9" xfId="0" applyFont="1" applyBorder="1"/>
    <xf numFmtId="0" fontId="15" fillId="0" borderId="30" xfId="0" applyFont="1" applyBorder="1"/>
    <xf numFmtId="0" fontId="15" fillId="0" borderId="16" xfId="0" applyFont="1" applyBorder="1"/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31" xfId="0" applyFont="1" applyBorder="1"/>
    <xf numFmtId="0" fontId="15" fillId="0" borderId="32" xfId="0" applyFont="1" applyBorder="1"/>
    <xf numFmtId="0" fontId="15" fillId="0" borderId="22" xfId="0" applyFont="1" applyBorder="1"/>
    <xf numFmtId="0" fontId="7" fillId="2" borderId="26" xfId="6" applyFont="1" applyFill="1" applyBorder="1" applyAlignment="1">
      <alignment horizontal="center" vertical="center"/>
    </xf>
    <xf numFmtId="0" fontId="7" fillId="2" borderId="27" xfId="6" applyFont="1" applyFill="1" applyBorder="1" applyAlignment="1">
      <alignment horizontal="center" vertical="center"/>
    </xf>
    <xf numFmtId="0" fontId="7" fillId="2" borderId="28" xfId="6" applyFont="1" applyFill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4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1" fillId="0" borderId="0" xfId="6" applyFont="1" applyAlignment="1">
      <alignment vertical="center"/>
    </xf>
    <xf numFmtId="0" fontId="11" fillId="0" borderId="30" xfId="6" applyFont="1" applyBorder="1" applyAlignment="1">
      <alignment vertical="center" wrapText="1"/>
    </xf>
    <xf numFmtId="0" fontId="11" fillId="0" borderId="16" xfId="6" applyFont="1" applyBorder="1" applyAlignment="1">
      <alignment vertical="center" wrapText="1"/>
    </xf>
    <xf numFmtId="0" fontId="11" fillId="0" borderId="37" xfId="6" quotePrefix="1" applyFont="1" applyBorder="1" applyAlignment="1">
      <alignment horizontal="left" vertical="center" wrapText="1"/>
    </xf>
    <xf numFmtId="0" fontId="11" fillId="0" borderId="38" xfId="6" applyFont="1" applyBorder="1" applyAlignment="1">
      <alignment horizontal="left" vertical="center"/>
    </xf>
    <xf numFmtId="0" fontId="11" fillId="0" borderId="21" xfId="6" applyFont="1" applyBorder="1" applyAlignment="1">
      <alignment horizontal="left" vertical="center"/>
    </xf>
    <xf numFmtId="0" fontId="11" fillId="0" borderId="39" xfId="6" applyFont="1" applyBorder="1" applyAlignment="1">
      <alignment vertical="center" wrapText="1"/>
    </xf>
    <xf numFmtId="0" fontId="11" fillId="0" borderId="40" xfId="6" applyFont="1" applyBorder="1" applyAlignment="1">
      <alignment vertical="center" wrapText="1"/>
    </xf>
    <xf numFmtId="0" fontId="11" fillId="0" borderId="41" xfId="6" applyFont="1" applyBorder="1" applyAlignment="1">
      <alignment vertical="center" wrapText="1"/>
    </xf>
    <xf numFmtId="0" fontId="11" fillId="0" borderId="31" xfId="6" applyFont="1" applyBorder="1" applyAlignment="1">
      <alignment vertical="center" wrapText="1"/>
    </xf>
    <xf numFmtId="0" fontId="11" fillId="0" borderId="32" xfId="6" applyFont="1" applyBorder="1" applyAlignment="1">
      <alignment vertical="center" wrapText="1"/>
    </xf>
    <xf numFmtId="0" fontId="11" fillId="0" borderId="22" xfId="6" applyFont="1" applyBorder="1" applyAlignment="1">
      <alignment vertical="center" wrapText="1"/>
    </xf>
    <xf numFmtId="0" fontId="11" fillId="0" borderId="37" xfId="6" applyFont="1" applyBorder="1" applyAlignment="1">
      <alignment vertical="center" wrapText="1"/>
    </xf>
    <xf numFmtId="0" fontId="11" fillId="0" borderId="38" xfId="6" applyFont="1" applyBorder="1" applyAlignment="1">
      <alignment vertical="center" wrapText="1"/>
    </xf>
    <xf numFmtId="0" fontId="11" fillId="0" borderId="21" xfId="6" applyFont="1" applyBorder="1" applyAlignment="1">
      <alignment vertical="center" wrapText="1"/>
    </xf>
    <xf numFmtId="0" fontId="15" fillId="0" borderId="37" xfId="6" quotePrefix="1" applyFont="1" applyBorder="1" applyAlignment="1">
      <alignment horizontal="left" vertical="center" wrapText="1"/>
    </xf>
    <xf numFmtId="0" fontId="15" fillId="0" borderId="38" xfId="6" applyFont="1" applyBorder="1" applyAlignment="1">
      <alignment horizontal="left" vertical="center"/>
    </xf>
    <xf numFmtId="0" fontId="15" fillId="0" borderId="21" xfId="6" applyFont="1" applyBorder="1" applyAlignment="1">
      <alignment horizontal="left" vertical="center"/>
    </xf>
    <xf numFmtId="0" fontId="11" fillId="0" borderId="39" xfId="6" quotePrefix="1" applyFont="1" applyBorder="1" applyAlignment="1">
      <alignment vertical="center" wrapText="1"/>
    </xf>
    <xf numFmtId="0" fontId="15" fillId="0" borderId="38" xfId="6" applyFont="1" applyBorder="1" applyAlignment="1">
      <alignment horizontal="left" vertical="center" wrapText="1"/>
    </xf>
    <xf numFmtId="0" fontId="15" fillId="0" borderId="21" xfId="6" applyFont="1" applyBorder="1" applyAlignment="1">
      <alignment horizontal="left" vertical="center" wrapText="1"/>
    </xf>
    <xf numFmtId="0" fontId="11" fillId="0" borderId="1" xfId="6" applyFont="1" applyBorder="1" applyAlignment="1">
      <alignment vertical="center"/>
    </xf>
    <xf numFmtId="0" fontId="11" fillId="0" borderId="39" xfId="6" applyFont="1" applyBorder="1" applyAlignment="1">
      <alignment horizontal="center" vertical="center"/>
    </xf>
    <xf numFmtId="0" fontId="11" fillId="0" borderId="41" xfId="6" applyFont="1" applyBorder="1" applyAlignment="1">
      <alignment horizontal="center" vertical="center"/>
    </xf>
    <xf numFmtId="0" fontId="11" fillId="0" borderId="40" xfId="6" quotePrefix="1" applyFont="1" applyBorder="1" applyAlignment="1">
      <alignment vertical="center" wrapText="1"/>
    </xf>
    <xf numFmtId="0" fontId="11" fillId="0" borderId="41" xfId="6" quotePrefix="1" applyFont="1" applyBorder="1" applyAlignment="1">
      <alignment vertical="center" wrapText="1"/>
    </xf>
    <xf numFmtId="0" fontId="11" fillId="0" borderId="37" xfId="6" applyFont="1" applyBorder="1" applyAlignment="1">
      <alignment vertical="center"/>
    </xf>
    <xf numFmtId="0" fontId="11" fillId="0" borderId="38" xfId="6" applyFont="1" applyBorder="1" applyAlignment="1">
      <alignment vertical="center"/>
    </xf>
    <xf numFmtId="0" fontId="11" fillId="0" borderId="21" xfId="6" applyFont="1" applyBorder="1" applyAlignment="1">
      <alignment vertical="center"/>
    </xf>
    <xf numFmtId="0" fontId="11" fillId="0" borderId="21" xfId="6" applyFont="1" applyBorder="1" applyAlignment="1">
      <alignment horizontal="center" vertical="center"/>
    </xf>
    <xf numFmtId="0" fontId="11" fillId="0" borderId="17" xfId="6" applyFont="1" applyBorder="1" applyAlignment="1">
      <alignment horizontal="center" vertical="center"/>
    </xf>
    <xf numFmtId="0" fontId="11" fillId="0" borderId="40" xfId="6" applyFont="1" applyBorder="1" applyAlignment="1">
      <alignment horizontal="center" vertical="center"/>
    </xf>
    <xf numFmtId="0" fontId="11" fillId="0" borderId="39" xfId="6" quotePrefix="1" applyFont="1" applyBorder="1" applyAlignment="1">
      <alignment horizontal="center" vertical="center"/>
    </xf>
    <xf numFmtId="0" fontId="11" fillId="0" borderId="39" xfId="6" applyFont="1" applyBorder="1" applyAlignment="1">
      <alignment horizontal="left" vertical="center"/>
    </xf>
    <xf numFmtId="0" fontId="11" fillId="0" borderId="40" xfId="6" applyFont="1" applyBorder="1" applyAlignment="1">
      <alignment horizontal="left" vertical="center"/>
    </xf>
    <xf numFmtId="0" fontId="11" fillId="0" borderId="41" xfId="6" applyFont="1" applyBorder="1" applyAlignment="1">
      <alignment horizontal="left" vertical="center"/>
    </xf>
    <xf numFmtId="0" fontId="11" fillId="0" borderId="37" xfId="6" applyFont="1" applyBorder="1" applyAlignment="1">
      <alignment horizontal="left" vertical="center"/>
    </xf>
    <xf numFmtId="0" fontId="11" fillId="0" borderId="19" xfId="6" applyFont="1" applyBorder="1" applyAlignment="1">
      <alignment vertical="center"/>
    </xf>
    <xf numFmtId="0" fontId="11" fillId="0" borderId="37" xfId="6" applyFont="1" applyBorder="1" applyAlignment="1">
      <alignment horizontal="center" vertical="center"/>
    </xf>
    <xf numFmtId="0" fontId="11" fillId="0" borderId="38" xfId="6" applyFont="1" applyBorder="1" applyAlignment="1">
      <alignment horizontal="center" vertical="center"/>
    </xf>
    <xf numFmtId="0" fontId="11" fillId="0" borderId="21" xfId="6" applyFont="1" applyBorder="1" applyAlignment="1">
      <alignment horizontal="center" vertical="center"/>
    </xf>
    <xf numFmtId="0" fontId="11" fillId="0" borderId="4" xfId="6" applyFont="1" applyBorder="1" applyAlignment="1">
      <alignment vertical="center"/>
    </xf>
    <xf numFmtId="0" fontId="11" fillId="0" borderId="19" xfId="6" applyFont="1" applyBorder="1" applyAlignment="1">
      <alignment horizontal="center" vertical="center"/>
    </xf>
    <xf numFmtId="0" fontId="11" fillId="0" borderId="39" xfId="6" applyFont="1" applyBorder="1" applyAlignment="1">
      <alignment horizontal="center" vertical="center" wrapText="1"/>
    </xf>
    <xf numFmtId="0" fontId="11" fillId="0" borderId="37" xfId="6" applyFont="1" applyBorder="1" applyAlignment="1">
      <alignment horizontal="center" vertical="center" wrapText="1"/>
    </xf>
    <xf numFmtId="0" fontId="11" fillId="0" borderId="38" xfId="6" applyFont="1" applyBorder="1" applyAlignment="1">
      <alignment horizontal="center" vertical="center" wrapText="1"/>
    </xf>
    <xf numFmtId="0" fontId="11" fillId="0" borderId="21" xfId="6" applyFont="1" applyBorder="1" applyAlignment="1">
      <alignment horizontal="center" vertical="center" wrapText="1"/>
    </xf>
    <xf numFmtId="0" fontId="11" fillId="0" borderId="39" xfId="6" quotePrefix="1" applyFont="1" applyBorder="1" applyAlignment="1">
      <alignment horizontal="left" vertical="center" wrapText="1"/>
    </xf>
    <xf numFmtId="0" fontId="11" fillId="0" borderId="39" xfId="6" quotePrefix="1" applyFont="1" applyBorder="1" applyAlignment="1">
      <alignment horizontal="center" vertical="center" wrapText="1"/>
    </xf>
    <xf numFmtId="0" fontId="11" fillId="0" borderId="40" xfId="6" applyFont="1" applyBorder="1" applyAlignment="1">
      <alignment horizontal="center" vertical="center" wrapText="1"/>
    </xf>
    <xf numFmtId="0" fontId="11" fillId="0" borderId="41" xfId="6" applyFont="1" applyBorder="1" applyAlignment="1">
      <alignment horizontal="center" vertical="center" wrapText="1"/>
    </xf>
    <xf numFmtId="0" fontId="11" fillId="0" borderId="37" xfId="6" quotePrefix="1" applyFont="1" applyBorder="1" applyAlignment="1">
      <alignment vertical="center"/>
    </xf>
    <xf numFmtId="0" fontId="11" fillId="0" borderId="38" xfId="6" quotePrefix="1" applyFont="1" applyBorder="1" applyAlignment="1">
      <alignment vertical="center"/>
    </xf>
    <xf numFmtId="0" fontId="11" fillId="0" borderId="21" xfId="6" quotePrefix="1" applyFont="1" applyBorder="1" applyAlignment="1">
      <alignment vertical="center"/>
    </xf>
    <xf numFmtId="0" fontId="11" fillId="0" borderId="37" xfId="6" quotePrefix="1" applyFont="1" applyBorder="1" applyAlignment="1">
      <alignment horizontal="left" vertical="top" wrapText="1"/>
    </xf>
    <xf numFmtId="0" fontId="11" fillId="0" borderId="38" xfId="6" applyFont="1" applyBorder="1" applyAlignment="1">
      <alignment horizontal="left" vertical="top" wrapText="1"/>
    </xf>
    <xf numFmtId="0" fontId="11" fillId="0" borderId="21" xfId="6" applyFont="1" applyBorder="1" applyAlignment="1">
      <alignment horizontal="left" vertical="top" wrapText="1"/>
    </xf>
    <xf numFmtId="0" fontId="11" fillId="0" borderId="37" xfId="6" quotePrefix="1" applyFont="1" applyBorder="1" applyAlignment="1">
      <alignment vertical="center" wrapText="1"/>
    </xf>
    <xf numFmtId="0" fontId="11" fillId="0" borderId="38" xfId="6" quotePrefix="1" applyFont="1" applyBorder="1" applyAlignment="1">
      <alignment vertical="center" wrapText="1"/>
    </xf>
    <xf numFmtId="0" fontId="11" fillId="0" borderId="21" xfId="6" quotePrefix="1" applyFont="1" applyBorder="1" applyAlignment="1">
      <alignment vertical="center" wrapText="1"/>
    </xf>
    <xf numFmtId="0" fontId="15" fillId="0" borderId="37" xfId="6" applyFont="1" applyBorder="1" applyAlignment="1">
      <alignment horizontal="center" vertical="center" wrapText="1"/>
    </xf>
    <xf numFmtId="0" fontId="15" fillId="0" borderId="38" xfId="6" applyFont="1" applyBorder="1" applyAlignment="1">
      <alignment horizontal="center" vertical="center" wrapText="1"/>
    </xf>
    <xf numFmtId="0" fontId="15" fillId="0" borderId="21" xfId="6" applyFont="1" applyBorder="1" applyAlignment="1">
      <alignment horizontal="center" vertical="center" wrapText="1"/>
    </xf>
    <xf numFmtId="0" fontId="11" fillId="0" borderId="39" xfId="6" applyFont="1" applyBorder="1" applyAlignment="1">
      <alignment vertical="center"/>
    </xf>
    <xf numFmtId="0" fontId="11" fillId="0" borderId="40" xfId="6" applyFont="1" applyBorder="1" applyAlignment="1">
      <alignment vertical="center"/>
    </xf>
    <xf numFmtId="0" fontId="11" fillId="0" borderId="41" xfId="6" applyFont="1" applyBorder="1" applyAlignment="1">
      <alignment vertical="center"/>
    </xf>
    <xf numFmtId="0" fontId="11" fillId="0" borderId="37" xfId="6" quotePrefix="1" applyFont="1" applyBorder="1" applyAlignment="1">
      <alignment horizontal="center" vertical="center"/>
    </xf>
    <xf numFmtId="0" fontId="11" fillId="0" borderId="17" xfId="6" applyFont="1" applyBorder="1" applyAlignment="1">
      <alignment vertical="center"/>
    </xf>
    <xf numFmtId="0" fontId="11" fillId="0" borderId="40" xfId="6" applyFont="1" applyBorder="1" applyAlignment="1">
      <alignment horizontal="left" vertical="center" wrapText="1"/>
    </xf>
    <xf numFmtId="0" fontId="11" fillId="0" borderId="41" xfId="6" applyFont="1" applyBorder="1" applyAlignment="1">
      <alignment horizontal="left" vertical="center" wrapText="1"/>
    </xf>
    <xf numFmtId="0" fontId="11" fillId="0" borderId="31" xfId="6" applyFont="1" applyBorder="1" applyAlignment="1">
      <alignment horizontal="center" vertical="center"/>
    </xf>
    <xf numFmtId="0" fontId="11" fillId="0" borderId="22" xfId="6" applyFont="1" applyBorder="1" applyAlignment="1">
      <alignment horizontal="center" vertical="center"/>
    </xf>
    <xf numFmtId="0" fontId="11" fillId="0" borderId="31" xfId="6" quotePrefix="1" applyFont="1" applyBorder="1" applyAlignment="1">
      <alignment vertical="center" wrapText="1"/>
    </xf>
    <xf numFmtId="0" fontId="11" fillId="0" borderId="32" xfId="6" quotePrefix="1" applyFont="1" applyBorder="1" applyAlignment="1">
      <alignment vertical="center" wrapText="1"/>
    </xf>
    <xf numFmtId="0" fontId="11" fillId="0" borderId="22" xfId="6" quotePrefix="1" applyFont="1" applyBorder="1" applyAlignment="1">
      <alignment vertical="center" wrapText="1"/>
    </xf>
    <xf numFmtId="0" fontId="11" fillId="0" borderId="31" xfId="6" applyFont="1" applyBorder="1" applyAlignment="1">
      <alignment vertical="center"/>
    </xf>
    <xf numFmtId="0" fontId="11" fillId="0" borderId="32" xfId="6" applyFont="1" applyBorder="1" applyAlignment="1">
      <alignment vertical="center"/>
    </xf>
    <xf numFmtId="0" fontId="11" fillId="0" borderId="22" xfId="6" applyFont="1" applyBorder="1" applyAlignment="1">
      <alignment vertical="center"/>
    </xf>
    <xf numFmtId="0" fontId="11" fillId="0" borderId="20" xfId="6" applyFont="1" applyBorder="1" applyAlignment="1">
      <alignment horizontal="center" vertical="center"/>
    </xf>
    <xf numFmtId="0" fontId="11" fillId="0" borderId="32" xfId="6" applyFont="1" applyBorder="1" applyAlignment="1">
      <alignment horizontal="center" vertical="center"/>
    </xf>
    <xf numFmtId="0" fontId="11" fillId="0" borderId="31" xfId="6" quotePrefix="1" applyFont="1" applyBorder="1" applyAlignment="1">
      <alignment horizontal="center" vertical="center"/>
    </xf>
    <xf numFmtId="0" fontId="11" fillId="0" borderId="31" xfId="6" applyFont="1" applyBorder="1" applyAlignment="1">
      <alignment horizontal="left" vertical="center"/>
    </xf>
    <xf numFmtId="0" fontId="11" fillId="0" borderId="32" xfId="6" applyFont="1" applyBorder="1" applyAlignment="1">
      <alignment horizontal="left" vertical="center"/>
    </xf>
    <xf numFmtId="0" fontId="11" fillId="0" borderId="22" xfId="6" applyFont="1" applyBorder="1" applyAlignment="1">
      <alignment horizontal="left" vertical="center"/>
    </xf>
    <xf numFmtId="0" fontId="11" fillId="0" borderId="31" xfId="6" quotePrefix="1" applyFont="1" applyBorder="1" applyAlignment="1">
      <alignment horizontal="left" vertical="center" wrapText="1"/>
    </xf>
    <xf numFmtId="0" fontId="11" fillId="0" borderId="20" xfId="6" applyFont="1" applyBorder="1" applyAlignment="1">
      <alignment vertical="center"/>
    </xf>
    <xf numFmtId="0" fontId="4" fillId="0" borderId="29" xfId="6" applyFont="1" applyBorder="1" applyAlignment="1">
      <alignment vertical="center" wrapText="1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11206</xdr:colOff>
      <xdr:row>56</xdr:row>
      <xdr:rowOff>11206</xdr:rowOff>
    </xdr:from>
    <xdr:to>
      <xdr:col>56</xdr:col>
      <xdr:colOff>1</xdr:colOff>
      <xdr:row>86</xdr:row>
      <xdr:rowOff>156193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5" y="13030200"/>
          <a:ext cx="14144625" cy="6143625"/>
        </a:xfrm>
        <a:prstGeom prst="rect">
          <a:avLst/>
        </a:prstGeom>
      </xdr:spPr>
    </xdr:pic>
    <xdr:clientData/>
  </xdr:twoCellAnchor>
  <xdr:twoCellAnchor>
    <xdr:from>
      <xdr:col>13</xdr:col>
      <xdr:colOff>59167</xdr:colOff>
      <xdr:row>57</xdr:row>
      <xdr:rowOff>123264</xdr:rowOff>
    </xdr:from>
    <xdr:to>
      <xdr:col>15</xdr:col>
      <xdr:colOff>0</xdr:colOff>
      <xdr:row>59</xdr:row>
      <xdr:rowOff>79830</xdr:rowOff>
    </xdr:to>
    <xdr:sp macro="" textlink="" fLocksText="0">
      <xdr:nvSpPr>
        <xdr:cNvPr id="15" name="Callout: Lin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3524250" y="13344525"/>
          <a:ext cx="476250" cy="352425"/>
        </a:xfrm>
        <a:prstGeom prst="borderCallout1">
          <a:avLst>
            <a:gd name="adj1" fmla="val 49421"/>
            <a:gd name="adj2" fmla="val 101397"/>
            <a:gd name="adj3" fmla="val 144210"/>
            <a:gd name="adj4" fmla="val 22830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3.2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10</xdr:col>
      <xdr:colOff>204844</xdr:colOff>
      <xdr:row>57</xdr:row>
      <xdr:rowOff>123264</xdr:rowOff>
    </xdr:from>
    <xdr:to>
      <xdr:col>12</xdr:col>
      <xdr:colOff>145677</xdr:colOff>
      <xdr:row>59</xdr:row>
      <xdr:rowOff>79830</xdr:rowOff>
    </xdr:to>
    <xdr:sp macro="" textlink="" fLocksText="0">
      <xdr:nvSpPr>
        <xdr:cNvPr id="16" name="Callout: Lin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2876550" y="13344525"/>
          <a:ext cx="466725" cy="352425"/>
        </a:xfrm>
        <a:prstGeom prst="borderCallout1">
          <a:avLst>
            <a:gd name="adj1" fmla="val 46750"/>
            <a:gd name="adj2" fmla="val 2012"/>
            <a:gd name="adj3" fmla="val 138427"/>
            <a:gd name="adj4" fmla="val -14410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51</xdr:col>
      <xdr:colOff>25549</xdr:colOff>
      <xdr:row>58</xdr:row>
      <xdr:rowOff>44824</xdr:rowOff>
    </xdr:from>
    <xdr:to>
      <xdr:col>52</xdr:col>
      <xdr:colOff>201706</xdr:colOff>
      <xdr:row>60</xdr:row>
      <xdr:rowOff>1390</xdr:rowOff>
    </xdr:to>
    <xdr:sp macro="" textlink="" fLocksText="0">
      <xdr:nvSpPr>
        <xdr:cNvPr id="20" name="Callout: Lin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13649325" y="13468350"/>
          <a:ext cx="438150" cy="352425"/>
        </a:xfrm>
        <a:prstGeom prst="borderCallout1">
          <a:avLst>
            <a:gd name="adj1" fmla="val 46750"/>
            <a:gd name="adj2" fmla="val 2012"/>
            <a:gd name="adj3" fmla="val 82394"/>
            <a:gd name="adj4" fmla="val -1883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5.2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20</xdr:col>
      <xdr:colOff>25550</xdr:colOff>
      <xdr:row>57</xdr:row>
      <xdr:rowOff>33618</xdr:rowOff>
    </xdr:from>
    <xdr:to>
      <xdr:col>21</xdr:col>
      <xdr:colOff>201707</xdr:colOff>
      <xdr:row>58</xdr:row>
      <xdr:rowOff>191890</xdr:rowOff>
    </xdr:to>
    <xdr:sp macro="" textlink="" fLocksText="0">
      <xdr:nvSpPr>
        <xdr:cNvPr id="22" name="Callout: Lin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362575" y="13258800"/>
          <a:ext cx="438150" cy="352425"/>
        </a:xfrm>
        <a:prstGeom prst="borderCallout1">
          <a:avLst>
            <a:gd name="adj1" fmla="val 49421"/>
            <a:gd name="adj2" fmla="val 101397"/>
            <a:gd name="adj3" fmla="val 91289"/>
            <a:gd name="adj4" fmla="val 132993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18</xdr:col>
      <xdr:colOff>212911</xdr:colOff>
      <xdr:row>61</xdr:row>
      <xdr:rowOff>1</xdr:rowOff>
    </xdr:from>
    <xdr:to>
      <xdr:col>20</xdr:col>
      <xdr:colOff>153744</xdr:colOff>
      <xdr:row>62</xdr:row>
      <xdr:rowOff>158273</xdr:rowOff>
    </xdr:to>
    <xdr:sp macro="" textlink="" fLocksText="0">
      <xdr:nvSpPr>
        <xdr:cNvPr id="27" name="Callout: Lin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010150" y="14020800"/>
          <a:ext cx="476250" cy="361950"/>
        </a:xfrm>
        <a:prstGeom prst="borderCallout1">
          <a:avLst>
            <a:gd name="adj1" fmla="val 46750"/>
            <a:gd name="adj2" fmla="val 2012"/>
            <a:gd name="adj3" fmla="val 82394"/>
            <a:gd name="adj4" fmla="val -1883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24</xdr:col>
      <xdr:colOff>14343</xdr:colOff>
      <xdr:row>61</xdr:row>
      <xdr:rowOff>11205</xdr:rowOff>
    </xdr:from>
    <xdr:to>
      <xdr:col>25</xdr:col>
      <xdr:colOff>190500</xdr:colOff>
      <xdr:row>62</xdr:row>
      <xdr:rowOff>169477</xdr:rowOff>
    </xdr:to>
    <xdr:sp macro="" textlink="" fLocksText="0">
      <xdr:nvSpPr>
        <xdr:cNvPr id="28" name="Callout: Lin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419850" y="14030325"/>
          <a:ext cx="438150" cy="361950"/>
        </a:xfrm>
        <a:prstGeom prst="borderCallout1">
          <a:avLst>
            <a:gd name="adj1" fmla="val 46750"/>
            <a:gd name="adj2" fmla="val 2012"/>
            <a:gd name="adj3" fmla="val 82394"/>
            <a:gd name="adj4" fmla="val -1883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.1</a:t>
          </a:r>
        </a:p>
      </xdr:txBody>
    </xdr:sp>
    <xdr:clientData/>
  </xdr:twoCellAnchor>
  <xdr:twoCellAnchor>
    <xdr:from>
      <xdr:col>1</xdr:col>
      <xdr:colOff>126402</xdr:colOff>
      <xdr:row>61</xdr:row>
      <xdr:rowOff>77052</xdr:rowOff>
    </xdr:from>
    <xdr:to>
      <xdr:col>3</xdr:col>
      <xdr:colOff>67235</xdr:colOff>
      <xdr:row>63</xdr:row>
      <xdr:rowOff>33617</xdr:rowOff>
    </xdr:to>
    <xdr:sp macro="" textlink="" fLocksText="0">
      <xdr:nvSpPr>
        <xdr:cNvPr id="29" name="Callout: Lin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390525" y="14097000"/>
          <a:ext cx="476250" cy="361950"/>
        </a:xfrm>
        <a:prstGeom prst="borderCallout1">
          <a:avLst>
            <a:gd name="adj1" fmla="val 49421"/>
            <a:gd name="adj2" fmla="val 101397"/>
            <a:gd name="adj3" fmla="val 72612"/>
            <a:gd name="adj4" fmla="val 149333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9</xdr:col>
      <xdr:colOff>145677</xdr:colOff>
      <xdr:row>61</xdr:row>
      <xdr:rowOff>9816</xdr:rowOff>
    </xdr:from>
    <xdr:to>
      <xdr:col>11</xdr:col>
      <xdr:colOff>86510</xdr:colOff>
      <xdr:row>62</xdr:row>
      <xdr:rowOff>168088</xdr:rowOff>
    </xdr:to>
    <xdr:sp macro="" textlink="" fLocksText="0">
      <xdr:nvSpPr>
        <xdr:cNvPr id="30" name="Callout: Lin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2543175" y="14030325"/>
          <a:ext cx="476250" cy="361950"/>
        </a:xfrm>
        <a:prstGeom prst="borderCallout1">
          <a:avLst>
            <a:gd name="adj1" fmla="val 46750"/>
            <a:gd name="adj2" fmla="val 2012"/>
            <a:gd name="adj3" fmla="val 82394"/>
            <a:gd name="adj4" fmla="val -1883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8.1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 editAs="oneCell">
    <xdr:from>
      <xdr:col>3</xdr:col>
      <xdr:colOff>0</xdr:colOff>
      <xdr:row>10</xdr:row>
      <xdr:rowOff>1</xdr:rowOff>
    </xdr:from>
    <xdr:to>
      <xdr:col>56</xdr:col>
      <xdr:colOff>11206</xdr:colOff>
      <xdr:row>40</xdr:row>
      <xdr:rowOff>156112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0100" y="2047875"/>
          <a:ext cx="14163675" cy="6153150"/>
        </a:xfrm>
        <a:prstGeom prst="rect">
          <a:avLst/>
        </a:prstGeom>
      </xdr:spPr>
    </xdr:pic>
    <xdr:clientData/>
  </xdr:twoCellAnchor>
  <xdr:twoCellAnchor>
    <xdr:from>
      <xdr:col>12</xdr:col>
      <xdr:colOff>179294</xdr:colOff>
      <xdr:row>8</xdr:row>
      <xdr:rowOff>22412</xdr:rowOff>
    </xdr:from>
    <xdr:to>
      <xdr:col>14</xdr:col>
      <xdr:colOff>120127</xdr:colOff>
      <xdr:row>9</xdr:row>
      <xdr:rowOff>180684</xdr:rowOff>
    </xdr:to>
    <xdr:sp macro="" textlink="" fLocksText="0">
      <xdr:nvSpPr>
        <xdr:cNvPr id="8" name="Callout: Lin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3381375" y="1666875"/>
          <a:ext cx="476250" cy="361950"/>
        </a:xfrm>
        <a:prstGeom prst="borderCallout1">
          <a:avLst>
            <a:gd name="adj1" fmla="val 46750"/>
            <a:gd name="adj2" fmla="val 2012"/>
            <a:gd name="adj3" fmla="val 138427"/>
            <a:gd name="adj4" fmla="val -5968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9</xdr:col>
      <xdr:colOff>212912</xdr:colOff>
      <xdr:row>12</xdr:row>
      <xdr:rowOff>11206</xdr:rowOff>
    </xdr:from>
    <xdr:to>
      <xdr:col>11</xdr:col>
      <xdr:colOff>153745</xdr:colOff>
      <xdr:row>13</xdr:row>
      <xdr:rowOff>169478</xdr:rowOff>
    </xdr:to>
    <xdr:sp macro="" textlink="" fLocksText="0">
      <xdr:nvSpPr>
        <xdr:cNvPr id="12" name="Callout: Lin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09850" y="2457450"/>
          <a:ext cx="476250" cy="361950"/>
        </a:xfrm>
        <a:prstGeom prst="borderCallout1">
          <a:avLst>
            <a:gd name="adj1" fmla="val 46750"/>
            <a:gd name="adj2" fmla="val 2012"/>
            <a:gd name="adj3" fmla="val 82394"/>
            <a:gd name="adj4" fmla="val -1883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</xdr:col>
      <xdr:colOff>67235</xdr:colOff>
      <xdr:row>15</xdr:row>
      <xdr:rowOff>44824</xdr:rowOff>
    </xdr:from>
    <xdr:to>
      <xdr:col>12</xdr:col>
      <xdr:colOff>190501</xdr:colOff>
      <xdr:row>38</xdr:row>
      <xdr:rowOff>44823</xdr:rowOff>
    </xdr:to>
    <xdr:sp macro="" textlink="" fLocksText="0">
      <xdr:nvSpPr>
        <xdr:cNvPr id="23" name="Rectangl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866775" y="3095625"/>
          <a:ext cx="2524125" cy="46005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0</xdr:colOff>
      <xdr:row>17</xdr:row>
      <xdr:rowOff>168089</xdr:rowOff>
    </xdr:from>
    <xdr:to>
      <xdr:col>12</xdr:col>
      <xdr:colOff>176157</xdr:colOff>
      <xdr:row>19</xdr:row>
      <xdr:rowOff>124655</xdr:rowOff>
    </xdr:to>
    <xdr:sp macro="" textlink="" fLocksText="0">
      <xdr:nvSpPr>
        <xdr:cNvPr id="24" name="Callout: Lin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2933700" y="3619500"/>
          <a:ext cx="438150" cy="352425"/>
        </a:xfrm>
        <a:prstGeom prst="borderCallout1">
          <a:avLst>
            <a:gd name="adj1" fmla="val 46750"/>
            <a:gd name="adj2" fmla="val 2012"/>
            <a:gd name="adj3" fmla="val 82394"/>
            <a:gd name="adj4" fmla="val -1883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48</xdr:col>
      <xdr:colOff>44824</xdr:colOff>
      <xdr:row>58</xdr:row>
      <xdr:rowOff>56029</xdr:rowOff>
    </xdr:from>
    <xdr:to>
      <xdr:col>49</xdr:col>
      <xdr:colOff>220980</xdr:colOff>
      <xdr:row>60</xdr:row>
      <xdr:rowOff>12595</xdr:rowOff>
    </xdr:to>
    <xdr:sp macro="" textlink="" fLocksText="0">
      <xdr:nvSpPr>
        <xdr:cNvPr id="36" name="Callout: Line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12868275" y="13477875"/>
          <a:ext cx="438150" cy="352425"/>
        </a:xfrm>
        <a:prstGeom prst="borderCallout1">
          <a:avLst>
            <a:gd name="adj1" fmla="val 46750"/>
            <a:gd name="adj2" fmla="val 2012"/>
            <a:gd name="adj3" fmla="val 82394"/>
            <a:gd name="adj4" fmla="val -1883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5.</a:t>
          </a: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53</xdr:col>
      <xdr:colOff>224118</xdr:colOff>
      <xdr:row>58</xdr:row>
      <xdr:rowOff>56029</xdr:rowOff>
    </xdr:from>
    <xdr:to>
      <xdr:col>55</xdr:col>
      <xdr:colOff>164951</xdr:colOff>
      <xdr:row>60</xdr:row>
      <xdr:rowOff>12595</xdr:rowOff>
    </xdr:to>
    <xdr:sp macro="" textlink="" fLocksText="0">
      <xdr:nvSpPr>
        <xdr:cNvPr id="39" name="Callout: Line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14382750" y="13477875"/>
          <a:ext cx="466725" cy="352425"/>
        </a:xfrm>
        <a:prstGeom prst="borderCallout1">
          <a:avLst>
            <a:gd name="adj1" fmla="val 46750"/>
            <a:gd name="adj2" fmla="val 2012"/>
            <a:gd name="adj3" fmla="val 82394"/>
            <a:gd name="adj4" fmla="val -1883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5.</a:t>
          </a: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42</xdr:col>
      <xdr:colOff>190500</xdr:colOff>
      <xdr:row>56</xdr:row>
      <xdr:rowOff>201705</xdr:rowOff>
    </xdr:from>
    <xdr:to>
      <xdr:col>44</xdr:col>
      <xdr:colOff>131333</xdr:colOff>
      <xdr:row>58</xdr:row>
      <xdr:rowOff>158271</xdr:rowOff>
    </xdr:to>
    <xdr:sp macro="" textlink="" fLocksText="0">
      <xdr:nvSpPr>
        <xdr:cNvPr id="40" name="Callout: Line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11391900" y="13220700"/>
          <a:ext cx="476250" cy="361950"/>
        </a:xfrm>
        <a:prstGeom prst="borderCallout1">
          <a:avLst>
            <a:gd name="adj1" fmla="val 46750"/>
            <a:gd name="adj2" fmla="val 2012"/>
            <a:gd name="adj3" fmla="val 82394"/>
            <a:gd name="adj4" fmla="val -1883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45</xdr:col>
      <xdr:colOff>33617</xdr:colOff>
      <xdr:row>58</xdr:row>
      <xdr:rowOff>44824</xdr:rowOff>
    </xdr:from>
    <xdr:to>
      <xdr:col>46</xdr:col>
      <xdr:colOff>187362</xdr:colOff>
      <xdr:row>60</xdr:row>
      <xdr:rowOff>1390</xdr:rowOff>
    </xdr:to>
    <xdr:sp macro="" textlink="" fLocksText="0">
      <xdr:nvSpPr>
        <xdr:cNvPr id="41" name="Callout: Lin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12039600" y="13468350"/>
          <a:ext cx="438150" cy="352425"/>
        </a:xfrm>
        <a:prstGeom prst="borderCallout1">
          <a:avLst>
            <a:gd name="adj1" fmla="val 46750"/>
            <a:gd name="adj2" fmla="val 2012"/>
            <a:gd name="adj3" fmla="val 82394"/>
            <a:gd name="adj4" fmla="val -1883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5.</a:t>
          </a: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20</xdr:col>
      <xdr:colOff>22411</xdr:colOff>
      <xdr:row>59</xdr:row>
      <xdr:rowOff>22411</xdr:rowOff>
    </xdr:from>
    <xdr:to>
      <xdr:col>21</xdr:col>
      <xdr:colOff>198568</xdr:colOff>
      <xdr:row>60</xdr:row>
      <xdr:rowOff>180683</xdr:rowOff>
    </xdr:to>
    <xdr:sp macro="" textlink="" fLocksText="0">
      <xdr:nvSpPr>
        <xdr:cNvPr id="42" name="Callout: Line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5353050" y="13639800"/>
          <a:ext cx="447675" cy="361950"/>
        </a:xfrm>
        <a:prstGeom prst="borderCallout1">
          <a:avLst>
            <a:gd name="adj1" fmla="val 49421"/>
            <a:gd name="adj2" fmla="val 101397"/>
            <a:gd name="adj3" fmla="val 91289"/>
            <a:gd name="adj4" fmla="val 132993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.1</a:t>
          </a:r>
        </a:p>
      </xdr:txBody>
    </xdr:sp>
    <xdr:clientData/>
  </xdr:twoCellAnchor>
  <xdr:twoCellAnchor>
    <xdr:from>
      <xdr:col>1</xdr:col>
      <xdr:colOff>123265</xdr:colOff>
      <xdr:row>57</xdr:row>
      <xdr:rowOff>112059</xdr:rowOff>
    </xdr:from>
    <xdr:to>
      <xdr:col>3</xdr:col>
      <xdr:colOff>64098</xdr:colOff>
      <xdr:row>59</xdr:row>
      <xdr:rowOff>68624</xdr:rowOff>
    </xdr:to>
    <xdr:sp macro="" textlink="" fLocksText="0">
      <xdr:nvSpPr>
        <xdr:cNvPr id="43" name="Callout: Line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390525" y="13335000"/>
          <a:ext cx="476250" cy="352425"/>
        </a:xfrm>
        <a:prstGeom prst="borderCallout1">
          <a:avLst>
            <a:gd name="adj1" fmla="val 49421"/>
            <a:gd name="adj2" fmla="val 101397"/>
            <a:gd name="adj3" fmla="val 72612"/>
            <a:gd name="adj4" fmla="val 149333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1</xdr:col>
      <xdr:colOff>123264</xdr:colOff>
      <xdr:row>59</xdr:row>
      <xdr:rowOff>89647</xdr:rowOff>
    </xdr:from>
    <xdr:to>
      <xdr:col>3</xdr:col>
      <xdr:colOff>64097</xdr:colOff>
      <xdr:row>61</xdr:row>
      <xdr:rowOff>46212</xdr:rowOff>
    </xdr:to>
    <xdr:sp macro="" textlink="" fLocksText="0">
      <xdr:nvSpPr>
        <xdr:cNvPr id="44" name="Callout: Line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390525" y="13706475"/>
          <a:ext cx="476250" cy="361950"/>
        </a:xfrm>
        <a:prstGeom prst="borderCallout1">
          <a:avLst>
            <a:gd name="adj1" fmla="val 49421"/>
            <a:gd name="adj2" fmla="val 101397"/>
            <a:gd name="adj3" fmla="val 72612"/>
            <a:gd name="adj4" fmla="val 149333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3.1</a:t>
          </a:r>
        </a:p>
      </xdr:txBody>
    </xdr:sp>
    <xdr:clientData/>
  </xdr:twoCellAnchor>
  <xdr:twoCellAnchor>
    <xdr:from>
      <xdr:col>32</xdr:col>
      <xdr:colOff>168087</xdr:colOff>
      <xdr:row>58</xdr:row>
      <xdr:rowOff>44823</xdr:rowOff>
    </xdr:from>
    <xdr:to>
      <xdr:col>34</xdr:col>
      <xdr:colOff>108920</xdr:colOff>
      <xdr:row>60</xdr:row>
      <xdr:rowOff>1389</xdr:rowOff>
    </xdr:to>
    <xdr:sp macro="" textlink="" fLocksText="0">
      <xdr:nvSpPr>
        <xdr:cNvPr id="54" name="Callout: Line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8705850" y="13468350"/>
          <a:ext cx="466725" cy="352425"/>
        </a:xfrm>
        <a:prstGeom prst="borderCallout1">
          <a:avLst>
            <a:gd name="adj1" fmla="val 46750"/>
            <a:gd name="adj2" fmla="val 2012"/>
            <a:gd name="adj3" fmla="val 82394"/>
            <a:gd name="adj4" fmla="val -1883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36</xdr:col>
      <xdr:colOff>201707</xdr:colOff>
      <xdr:row>58</xdr:row>
      <xdr:rowOff>22412</xdr:rowOff>
    </xdr:from>
    <xdr:to>
      <xdr:col>38</xdr:col>
      <xdr:colOff>142540</xdr:colOff>
      <xdr:row>59</xdr:row>
      <xdr:rowOff>180683</xdr:rowOff>
    </xdr:to>
    <xdr:sp macro="" textlink="" fLocksText="0">
      <xdr:nvSpPr>
        <xdr:cNvPr id="55" name="Callout: Line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/>
      </xdr:nvSpPr>
      <xdr:spPr>
        <a:xfrm>
          <a:off x="9801225" y="13439775"/>
          <a:ext cx="476250" cy="361950"/>
        </a:xfrm>
        <a:prstGeom prst="borderCallout1">
          <a:avLst>
            <a:gd name="adj1" fmla="val 46750"/>
            <a:gd name="adj2" fmla="val 2012"/>
            <a:gd name="adj3" fmla="val 82394"/>
            <a:gd name="adj4" fmla="val -1883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29</xdr:col>
      <xdr:colOff>33618</xdr:colOff>
      <xdr:row>61</xdr:row>
      <xdr:rowOff>100854</xdr:rowOff>
    </xdr:from>
    <xdr:to>
      <xdr:col>30</xdr:col>
      <xdr:colOff>209774</xdr:colOff>
      <xdr:row>63</xdr:row>
      <xdr:rowOff>57420</xdr:rowOff>
    </xdr:to>
    <xdr:sp macro="" textlink="" fLocksText="0">
      <xdr:nvSpPr>
        <xdr:cNvPr id="56" name="Callout: Line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/>
      </xdr:nvSpPr>
      <xdr:spPr>
        <a:xfrm>
          <a:off x="7772400" y="14125575"/>
          <a:ext cx="438150" cy="352425"/>
        </a:xfrm>
        <a:prstGeom prst="borderCallout1">
          <a:avLst>
            <a:gd name="adj1" fmla="val 49421"/>
            <a:gd name="adj2" fmla="val 101397"/>
            <a:gd name="adj3" fmla="val 47708"/>
            <a:gd name="adj4" fmla="val 10303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16</a:t>
          </a:r>
        </a:p>
      </xdr:txBody>
    </xdr:sp>
    <xdr:clientData/>
  </xdr:twoCellAnchor>
  <xdr:twoCellAnchor>
    <xdr:from>
      <xdr:col>36</xdr:col>
      <xdr:colOff>212911</xdr:colOff>
      <xdr:row>61</xdr:row>
      <xdr:rowOff>100853</xdr:rowOff>
    </xdr:from>
    <xdr:to>
      <xdr:col>38</xdr:col>
      <xdr:colOff>153744</xdr:colOff>
      <xdr:row>63</xdr:row>
      <xdr:rowOff>57419</xdr:rowOff>
    </xdr:to>
    <xdr:sp macro="" textlink="" fLocksText="0">
      <xdr:nvSpPr>
        <xdr:cNvPr id="63" name="Callout: Line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9810750" y="14125575"/>
          <a:ext cx="476250" cy="352425"/>
        </a:xfrm>
        <a:prstGeom prst="borderCallout1">
          <a:avLst>
            <a:gd name="adj1" fmla="val 49421"/>
            <a:gd name="adj2" fmla="val 101397"/>
            <a:gd name="adj3" fmla="val 47708"/>
            <a:gd name="adj4" fmla="val 10303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  <xdr:twoCellAnchor>
    <xdr:from>
      <xdr:col>44</xdr:col>
      <xdr:colOff>44824</xdr:colOff>
      <xdr:row>61</xdr:row>
      <xdr:rowOff>11205</xdr:rowOff>
    </xdr:from>
    <xdr:to>
      <xdr:col>45</xdr:col>
      <xdr:colOff>220980</xdr:colOff>
      <xdr:row>62</xdr:row>
      <xdr:rowOff>169477</xdr:rowOff>
    </xdr:to>
    <xdr:sp macro="" textlink="" fLocksText="0">
      <xdr:nvSpPr>
        <xdr:cNvPr id="66" name="Callout: Line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/>
      </xdr:nvSpPr>
      <xdr:spPr>
        <a:xfrm>
          <a:off x="11782425" y="14030325"/>
          <a:ext cx="438150" cy="361950"/>
        </a:xfrm>
        <a:prstGeom prst="borderCallout1">
          <a:avLst>
            <a:gd name="adj1" fmla="val 49421"/>
            <a:gd name="adj2" fmla="val 101397"/>
            <a:gd name="adj3" fmla="val 47708"/>
            <a:gd name="adj4" fmla="val 10303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12</a:t>
          </a:r>
        </a:p>
      </xdr:txBody>
    </xdr:sp>
    <xdr:clientData/>
  </xdr:twoCellAnchor>
  <xdr:twoCellAnchor>
    <xdr:from>
      <xdr:col>48</xdr:col>
      <xdr:colOff>67235</xdr:colOff>
      <xdr:row>61</xdr:row>
      <xdr:rowOff>22411</xdr:rowOff>
    </xdr:from>
    <xdr:to>
      <xdr:col>50</xdr:col>
      <xdr:colOff>8068</xdr:colOff>
      <xdr:row>62</xdr:row>
      <xdr:rowOff>180683</xdr:rowOff>
    </xdr:to>
    <xdr:sp macro="" textlink="" fLocksText="0">
      <xdr:nvSpPr>
        <xdr:cNvPr id="90" name="Callout: Line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/>
      </xdr:nvSpPr>
      <xdr:spPr>
        <a:xfrm>
          <a:off x="12887325" y="14039850"/>
          <a:ext cx="476250" cy="361950"/>
        </a:xfrm>
        <a:prstGeom prst="borderCallout1">
          <a:avLst>
            <a:gd name="adj1" fmla="val 49421"/>
            <a:gd name="adj2" fmla="val 101397"/>
            <a:gd name="adj3" fmla="val 47708"/>
            <a:gd name="adj4" fmla="val 10303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13</a:t>
          </a:r>
        </a:p>
      </xdr:txBody>
    </xdr:sp>
    <xdr:clientData/>
  </xdr:twoCellAnchor>
  <xdr:twoCellAnchor>
    <xdr:from>
      <xdr:col>51</xdr:col>
      <xdr:colOff>67234</xdr:colOff>
      <xdr:row>61</xdr:row>
      <xdr:rowOff>22411</xdr:rowOff>
    </xdr:from>
    <xdr:to>
      <xdr:col>53</xdr:col>
      <xdr:colOff>8067</xdr:colOff>
      <xdr:row>62</xdr:row>
      <xdr:rowOff>180683</xdr:rowOff>
    </xdr:to>
    <xdr:sp macro="" textlink="" fLocksText="0">
      <xdr:nvSpPr>
        <xdr:cNvPr id="95" name="Callout: Line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/>
      </xdr:nvSpPr>
      <xdr:spPr>
        <a:xfrm>
          <a:off x="13687425" y="14039850"/>
          <a:ext cx="476250" cy="361950"/>
        </a:xfrm>
        <a:prstGeom prst="borderCallout1">
          <a:avLst>
            <a:gd name="adj1" fmla="val 49421"/>
            <a:gd name="adj2" fmla="val 101397"/>
            <a:gd name="adj3" fmla="val 47708"/>
            <a:gd name="adj4" fmla="val 10303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14</a:t>
          </a:r>
        </a:p>
      </xdr:txBody>
    </xdr:sp>
    <xdr:clientData/>
  </xdr:twoCellAnchor>
  <xdr:twoCellAnchor>
    <xdr:from>
      <xdr:col>53</xdr:col>
      <xdr:colOff>190499</xdr:colOff>
      <xdr:row>61</xdr:row>
      <xdr:rowOff>22412</xdr:rowOff>
    </xdr:from>
    <xdr:to>
      <xdr:col>55</xdr:col>
      <xdr:colOff>131332</xdr:colOff>
      <xdr:row>62</xdr:row>
      <xdr:rowOff>180684</xdr:rowOff>
    </xdr:to>
    <xdr:sp macro="" textlink="" fLocksText="0">
      <xdr:nvSpPr>
        <xdr:cNvPr id="96" name="Callout: Line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/>
      </xdr:nvSpPr>
      <xdr:spPr>
        <a:xfrm>
          <a:off x="14344650" y="14039850"/>
          <a:ext cx="476250" cy="361950"/>
        </a:xfrm>
        <a:prstGeom prst="borderCallout1">
          <a:avLst>
            <a:gd name="adj1" fmla="val 49421"/>
            <a:gd name="adj2" fmla="val 101397"/>
            <a:gd name="adj3" fmla="val 47708"/>
            <a:gd name="adj4" fmla="val 10303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15</a:t>
          </a:r>
        </a:p>
      </xdr:txBody>
    </xdr:sp>
    <xdr:clientData/>
  </xdr:twoCellAnchor>
  <xdr:twoCellAnchor>
    <xdr:from>
      <xdr:col>28</xdr:col>
      <xdr:colOff>22411</xdr:colOff>
      <xdr:row>58</xdr:row>
      <xdr:rowOff>33617</xdr:rowOff>
    </xdr:from>
    <xdr:to>
      <xdr:col>29</xdr:col>
      <xdr:colOff>198568</xdr:colOff>
      <xdr:row>59</xdr:row>
      <xdr:rowOff>191888</xdr:rowOff>
    </xdr:to>
    <xdr:sp macro="" textlink="" fLocksText="0">
      <xdr:nvSpPr>
        <xdr:cNvPr id="98" name="Callout: Line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/>
      </xdr:nvSpPr>
      <xdr:spPr>
        <a:xfrm>
          <a:off x="7486650" y="13458825"/>
          <a:ext cx="447675" cy="352425"/>
        </a:xfrm>
        <a:prstGeom prst="borderCallout1">
          <a:avLst>
            <a:gd name="adj1" fmla="val 46750"/>
            <a:gd name="adj2" fmla="val 2012"/>
            <a:gd name="adj3" fmla="val 82394"/>
            <a:gd name="adj4" fmla="val -1883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17</a:t>
          </a:r>
        </a:p>
      </xdr:txBody>
    </xdr:sp>
    <xdr:clientData/>
  </xdr:twoCellAnchor>
  <xdr:twoCellAnchor>
    <xdr:from>
      <xdr:col>15</xdr:col>
      <xdr:colOff>11206</xdr:colOff>
      <xdr:row>61</xdr:row>
      <xdr:rowOff>11206</xdr:rowOff>
    </xdr:from>
    <xdr:to>
      <xdr:col>16</xdr:col>
      <xdr:colOff>187363</xdr:colOff>
      <xdr:row>62</xdr:row>
      <xdr:rowOff>169478</xdr:rowOff>
    </xdr:to>
    <xdr:sp macro="" textlink="" fLocksText="0">
      <xdr:nvSpPr>
        <xdr:cNvPr id="99" name="Callout: Line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/>
      </xdr:nvSpPr>
      <xdr:spPr>
        <a:xfrm>
          <a:off x="4010025" y="14030325"/>
          <a:ext cx="447675" cy="361950"/>
        </a:xfrm>
        <a:prstGeom prst="borderCallout1">
          <a:avLst>
            <a:gd name="adj1" fmla="val 46750"/>
            <a:gd name="adj2" fmla="val 2012"/>
            <a:gd name="adj3" fmla="val 82394"/>
            <a:gd name="adj4" fmla="val -1883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18</a:t>
          </a:r>
        </a:p>
      </xdr:txBody>
    </xdr:sp>
    <xdr:clientData/>
  </xdr:twoCellAnchor>
  <xdr:twoCellAnchor editAs="oneCell">
    <xdr:from>
      <xdr:col>3</xdr:col>
      <xdr:colOff>1</xdr:colOff>
      <xdr:row>125</xdr:row>
      <xdr:rowOff>0</xdr:rowOff>
    </xdr:from>
    <xdr:to>
      <xdr:col>56</xdr:col>
      <xdr:colOff>0</xdr:colOff>
      <xdr:row>155</xdr:row>
      <xdr:rowOff>150549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" y="48348900"/>
          <a:ext cx="14154150" cy="6153150"/>
        </a:xfrm>
        <a:prstGeom prst="rect">
          <a:avLst/>
        </a:prstGeom>
      </xdr:spPr>
    </xdr:pic>
    <xdr:clientData/>
  </xdr:twoCellAnchor>
  <xdr:twoCellAnchor>
    <xdr:from>
      <xdr:col>3</xdr:col>
      <xdr:colOff>67235</xdr:colOff>
      <xdr:row>131</xdr:row>
      <xdr:rowOff>100853</xdr:rowOff>
    </xdr:from>
    <xdr:to>
      <xdr:col>5</xdr:col>
      <xdr:colOff>99508</xdr:colOff>
      <xdr:row>133</xdr:row>
      <xdr:rowOff>57419</xdr:rowOff>
    </xdr:to>
    <xdr:sp macro="" textlink="" fLocksText="0">
      <xdr:nvSpPr>
        <xdr:cNvPr id="102" name="Callout: Line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/>
      </xdr:nvSpPr>
      <xdr:spPr>
        <a:xfrm>
          <a:off x="866775" y="49653825"/>
          <a:ext cx="561975" cy="352425"/>
        </a:xfrm>
        <a:prstGeom prst="borderCallout1">
          <a:avLst>
            <a:gd name="adj1" fmla="val 99228"/>
            <a:gd name="adj2" fmla="val 47921"/>
            <a:gd name="adj3" fmla="val 141096"/>
            <a:gd name="adj4" fmla="val 6020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19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</xdr:col>
      <xdr:colOff>78441</xdr:colOff>
      <xdr:row>137</xdr:row>
      <xdr:rowOff>123266</xdr:rowOff>
    </xdr:from>
    <xdr:to>
      <xdr:col>5</xdr:col>
      <xdr:colOff>110714</xdr:colOff>
      <xdr:row>139</xdr:row>
      <xdr:rowOff>79831</xdr:rowOff>
    </xdr:to>
    <xdr:sp macro="" textlink="" fLocksText="0">
      <xdr:nvSpPr>
        <xdr:cNvPr id="103" name="Callout: Line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/>
      </xdr:nvSpPr>
      <xdr:spPr>
        <a:xfrm>
          <a:off x="876300" y="50873025"/>
          <a:ext cx="571500" cy="352425"/>
        </a:xfrm>
        <a:prstGeom prst="borderCallout1">
          <a:avLst>
            <a:gd name="adj1" fmla="val -6612"/>
            <a:gd name="adj2" fmla="val 52378"/>
            <a:gd name="adj3" fmla="val -36342"/>
            <a:gd name="adj4" fmla="val 6689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19.1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145676</xdr:colOff>
      <xdr:row>131</xdr:row>
      <xdr:rowOff>100853</xdr:rowOff>
    </xdr:from>
    <xdr:to>
      <xdr:col>7</xdr:col>
      <xdr:colOff>177949</xdr:colOff>
      <xdr:row>133</xdr:row>
      <xdr:rowOff>57419</xdr:rowOff>
    </xdr:to>
    <xdr:sp macro="" textlink="" fLocksText="0">
      <xdr:nvSpPr>
        <xdr:cNvPr id="104" name="Callout: Line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/>
      </xdr:nvSpPr>
      <xdr:spPr>
        <a:xfrm>
          <a:off x="1476375" y="49653825"/>
          <a:ext cx="571500" cy="352425"/>
        </a:xfrm>
        <a:prstGeom prst="borderCallout1">
          <a:avLst>
            <a:gd name="adj1" fmla="val 99228"/>
            <a:gd name="adj2" fmla="val 47921"/>
            <a:gd name="adj3" fmla="val 141096"/>
            <a:gd name="adj4" fmla="val 6020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20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156882</xdr:colOff>
      <xdr:row>137</xdr:row>
      <xdr:rowOff>123266</xdr:rowOff>
    </xdr:from>
    <xdr:to>
      <xdr:col>7</xdr:col>
      <xdr:colOff>189155</xdr:colOff>
      <xdr:row>139</xdr:row>
      <xdr:rowOff>79831</xdr:rowOff>
    </xdr:to>
    <xdr:sp macro="" textlink="" fLocksText="0">
      <xdr:nvSpPr>
        <xdr:cNvPr id="105" name="Callout: Line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/>
      </xdr:nvSpPr>
      <xdr:spPr>
        <a:xfrm>
          <a:off x="1485900" y="50873025"/>
          <a:ext cx="571500" cy="352425"/>
        </a:xfrm>
        <a:prstGeom prst="borderCallout1">
          <a:avLst>
            <a:gd name="adj1" fmla="val -6612"/>
            <a:gd name="adj2" fmla="val 52378"/>
            <a:gd name="adj3" fmla="val -36342"/>
            <a:gd name="adj4" fmla="val 6689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20.1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7</xdr:col>
      <xdr:colOff>224118</xdr:colOff>
      <xdr:row>131</xdr:row>
      <xdr:rowOff>100853</xdr:rowOff>
    </xdr:from>
    <xdr:to>
      <xdr:col>10</xdr:col>
      <xdr:colOff>21068</xdr:colOff>
      <xdr:row>133</xdr:row>
      <xdr:rowOff>57419</xdr:rowOff>
    </xdr:to>
    <xdr:sp macro="" textlink="" fLocksText="0">
      <xdr:nvSpPr>
        <xdr:cNvPr id="106" name="Callout: Line 105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/>
      </xdr:nvSpPr>
      <xdr:spPr>
        <a:xfrm>
          <a:off x="2095500" y="49653825"/>
          <a:ext cx="590550" cy="352425"/>
        </a:xfrm>
        <a:prstGeom prst="borderCallout1">
          <a:avLst>
            <a:gd name="adj1" fmla="val 99228"/>
            <a:gd name="adj2" fmla="val 47921"/>
            <a:gd name="adj3" fmla="val 141096"/>
            <a:gd name="adj4" fmla="val 6020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21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7</xdr:col>
      <xdr:colOff>225462</xdr:colOff>
      <xdr:row>139</xdr:row>
      <xdr:rowOff>190501</xdr:rowOff>
    </xdr:from>
    <xdr:to>
      <xdr:col>10</xdr:col>
      <xdr:colOff>22412</xdr:colOff>
      <xdr:row>141</xdr:row>
      <xdr:rowOff>147066</xdr:rowOff>
    </xdr:to>
    <xdr:sp macro="" textlink="" fLocksText="0">
      <xdr:nvSpPr>
        <xdr:cNvPr id="107" name="Callout: Line 106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/>
      </xdr:nvSpPr>
      <xdr:spPr>
        <a:xfrm>
          <a:off x="2095500" y="51339750"/>
          <a:ext cx="590550" cy="352425"/>
        </a:xfrm>
        <a:prstGeom prst="borderCallout1">
          <a:avLst>
            <a:gd name="adj1" fmla="val -6612"/>
            <a:gd name="adj2" fmla="val 52378"/>
            <a:gd name="adj3" fmla="val -167086"/>
            <a:gd name="adj4" fmla="val 2010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21.1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10</xdr:col>
      <xdr:colOff>67237</xdr:colOff>
      <xdr:row>139</xdr:row>
      <xdr:rowOff>191889</xdr:rowOff>
    </xdr:from>
    <xdr:to>
      <xdr:col>12</xdr:col>
      <xdr:colOff>99510</xdr:colOff>
      <xdr:row>141</xdr:row>
      <xdr:rowOff>148454</xdr:rowOff>
    </xdr:to>
    <xdr:sp macro="" textlink="" fLocksText="0">
      <xdr:nvSpPr>
        <xdr:cNvPr id="108" name="Callout: Line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/>
      </xdr:nvSpPr>
      <xdr:spPr>
        <a:xfrm>
          <a:off x="2733675" y="51339750"/>
          <a:ext cx="561975" cy="361950"/>
        </a:xfrm>
        <a:prstGeom prst="borderCallout1">
          <a:avLst>
            <a:gd name="adj1" fmla="val -6612"/>
            <a:gd name="adj2" fmla="val 52378"/>
            <a:gd name="adj3" fmla="val -167086"/>
            <a:gd name="adj4" fmla="val 2010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21.2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11</xdr:col>
      <xdr:colOff>168088</xdr:colOff>
      <xdr:row>131</xdr:row>
      <xdr:rowOff>100853</xdr:rowOff>
    </xdr:from>
    <xdr:to>
      <xdr:col>13</xdr:col>
      <xdr:colOff>200361</xdr:colOff>
      <xdr:row>133</xdr:row>
      <xdr:rowOff>57419</xdr:rowOff>
    </xdr:to>
    <xdr:sp macro="" textlink="" fLocksText="0">
      <xdr:nvSpPr>
        <xdr:cNvPr id="109" name="Callout: Line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SpPr/>
      </xdr:nvSpPr>
      <xdr:spPr>
        <a:xfrm>
          <a:off x="3105150" y="49653825"/>
          <a:ext cx="561975" cy="352425"/>
        </a:xfrm>
        <a:prstGeom prst="borderCallout1">
          <a:avLst>
            <a:gd name="adj1" fmla="val 99228"/>
            <a:gd name="adj2" fmla="val 47921"/>
            <a:gd name="adj3" fmla="val 141096"/>
            <a:gd name="adj4" fmla="val 6020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22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11</xdr:col>
      <xdr:colOff>179294</xdr:colOff>
      <xdr:row>137</xdr:row>
      <xdr:rowOff>123266</xdr:rowOff>
    </xdr:from>
    <xdr:to>
      <xdr:col>13</xdr:col>
      <xdr:colOff>211567</xdr:colOff>
      <xdr:row>139</xdr:row>
      <xdr:rowOff>79831</xdr:rowOff>
    </xdr:to>
    <xdr:sp macro="" textlink="" fLocksText="0">
      <xdr:nvSpPr>
        <xdr:cNvPr id="110" name="Callout: Line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/>
      </xdr:nvSpPr>
      <xdr:spPr>
        <a:xfrm>
          <a:off x="3114675" y="50873025"/>
          <a:ext cx="561975" cy="352425"/>
        </a:xfrm>
        <a:prstGeom prst="borderCallout1">
          <a:avLst>
            <a:gd name="adj1" fmla="val -6612"/>
            <a:gd name="adj2" fmla="val 52378"/>
            <a:gd name="adj3" fmla="val -36342"/>
            <a:gd name="adj4" fmla="val 6689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22.1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27</xdr:col>
      <xdr:colOff>168091</xdr:colOff>
      <xdr:row>131</xdr:row>
      <xdr:rowOff>100853</xdr:rowOff>
    </xdr:from>
    <xdr:to>
      <xdr:col>29</xdr:col>
      <xdr:colOff>200364</xdr:colOff>
      <xdr:row>133</xdr:row>
      <xdr:rowOff>57419</xdr:rowOff>
    </xdr:to>
    <xdr:sp macro="" textlink="" fLocksText="0">
      <xdr:nvSpPr>
        <xdr:cNvPr id="111" name="Callout: Line 11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/>
      </xdr:nvSpPr>
      <xdr:spPr>
        <a:xfrm>
          <a:off x="7372350" y="49653825"/>
          <a:ext cx="561975" cy="352425"/>
        </a:xfrm>
        <a:prstGeom prst="borderCallout1">
          <a:avLst>
            <a:gd name="adj1" fmla="val 99228"/>
            <a:gd name="adj2" fmla="val 47921"/>
            <a:gd name="adj3" fmla="val 141096"/>
            <a:gd name="adj4" fmla="val 6020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23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27</xdr:col>
      <xdr:colOff>179297</xdr:colOff>
      <xdr:row>137</xdr:row>
      <xdr:rowOff>123266</xdr:rowOff>
    </xdr:from>
    <xdr:to>
      <xdr:col>29</xdr:col>
      <xdr:colOff>211570</xdr:colOff>
      <xdr:row>139</xdr:row>
      <xdr:rowOff>79831</xdr:rowOff>
    </xdr:to>
    <xdr:sp macro="" textlink="" fLocksText="0">
      <xdr:nvSpPr>
        <xdr:cNvPr id="112" name="Callout: Line 11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/>
      </xdr:nvSpPr>
      <xdr:spPr>
        <a:xfrm>
          <a:off x="7381875" y="50873025"/>
          <a:ext cx="561975" cy="352425"/>
        </a:xfrm>
        <a:prstGeom prst="borderCallout1">
          <a:avLst>
            <a:gd name="adj1" fmla="val -6612"/>
            <a:gd name="adj2" fmla="val 52378"/>
            <a:gd name="adj3" fmla="val -36342"/>
            <a:gd name="adj4" fmla="val 6689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23.1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33</xdr:col>
      <xdr:colOff>134476</xdr:colOff>
      <xdr:row>131</xdr:row>
      <xdr:rowOff>100853</xdr:rowOff>
    </xdr:from>
    <xdr:to>
      <xdr:col>35</xdr:col>
      <xdr:colOff>166748</xdr:colOff>
      <xdr:row>133</xdr:row>
      <xdr:rowOff>57419</xdr:rowOff>
    </xdr:to>
    <xdr:sp macro="" textlink="" fLocksText="0">
      <xdr:nvSpPr>
        <xdr:cNvPr id="113" name="Callout: Line 11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/>
      </xdr:nvSpPr>
      <xdr:spPr>
        <a:xfrm>
          <a:off x="8934450" y="49653825"/>
          <a:ext cx="571500" cy="352425"/>
        </a:xfrm>
        <a:prstGeom prst="borderCallout1">
          <a:avLst>
            <a:gd name="adj1" fmla="val 99228"/>
            <a:gd name="adj2" fmla="val 47921"/>
            <a:gd name="adj3" fmla="val 141096"/>
            <a:gd name="adj4" fmla="val 6020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24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33</xdr:col>
      <xdr:colOff>145682</xdr:colOff>
      <xdr:row>137</xdr:row>
      <xdr:rowOff>123266</xdr:rowOff>
    </xdr:from>
    <xdr:to>
      <xdr:col>35</xdr:col>
      <xdr:colOff>177954</xdr:colOff>
      <xdr:row>139</xdr:row>
      <xdr:rowOff>79831</xdr:rowOff>
    </xdr:to>
    <xdr:sp macro="" textlink="" fLocksText="0">
      <xdr:nvSpPr>
        <xdr:cNvPr id="114" name="Callout: Line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SpPr/>
      </xdr:nvSpPr>
      <xdr:spPr>
        <a:xfrm>
          <a:off x="8943975" y="50873025"/>
          <a:ext cx="571500" cy="352425"/>
        </a:xfrm>
        <a:prstGeom prst="borderCallout1">
          <a:avLst>
            <a:gd name="adj1" fmla="val -6612"/>
            <a:gd name="adj2" fmla="val 52378"/>
            <a:gd name="adj3" fmla="val -36342"/>
            <a:gd name="adj4" fmla="val 6689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24.1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36</xdr:col>
      <xdr:colOff>56029</xdr:colOff>
      <xdr:row>131</xdr:row>
      <xdr:rowOff>112059</xdr:rowOff>
    </xdr:from>
    <xdr:to>
      <xdr:col>38</xdr:col>
      <xdr:colOff>88302</xdr:colOff>
      <xdr:row>133</xdr:row>
      <xdr:rowOff>68625</xdr:rowOff>
    </xdr:to>
    <xdr:sp macro="" textlink="" fLocksText="0">
      <xdr:nvSpPr>
        <xdr:cNvPr id="115" name="Callout: Line 11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SpPr/>
      </xdr:nvSpPr>
      <xdr:spPr>
        <a:xfrm>
          <a:off x="9658350" y="49663350"/>
          <a:ext cx="561975" cy="352425"/>
        </a:xfrm>
        <a:prstGeom prst="borderCallout1">
          <a:avLst>
            <a:gd name="adj1" fmla="val 99228"/>
            <a:gd name="adj2" fmla="val 47921"/>
            <a:gd name="adj3" fmla="val 141096"/>
            <a:gd name="adj4" fmla="val 6020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25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36</xdr:col>
      <xdr:colOff>67235</xdr:colOff>
      <xdr:row>137</xdr:row>
      <xdr:rowOff>134472</xdr:rowOff>
    </xdr:from>
    <xdr:to>
      <xdr:col>38</xdr:col>
      <xdr:colOff>99508</xdr:colOff>
      <xdr:row>139</xdr:row>
      <xdr:rowOff>91037</xdr:rowOff>
    </xdr:to>
    <xdr:sp macro="" textlink="" fLocksText="0">
      <xdr:nvSpPr>
        <xdr:cNvPr id="116" name="Callout: Line 115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/>
      </xdr:nvSpPr>
      <xdr:spPr>
        <a:xfrm>
          <a:off x="9667875" y="50882550"/>
          <a:ext cx="561975" cy="361950"/>
        </a:xfrm>
        <a:prstGeom prst="borderCallout1">
          <a:avLst>
            <a:gd name="adj1" fmla="val -6612"/>
            <a:gd name="adj2" fmla="val 52378"/>
            <a:gd name="adj3" fmla="val -36342"/>
            <a:gd name="adj4" fmla="val 6689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25.1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39</xdr:col>
      <xdr:colOff>89643</xdr:colOff>
      <xdr:row>131</xdr:row>
      <xdr:rowOff>112059</xdr:rowOff>
    </xdr:from>
    <xdr:to>
      <xdr:col>41</xdr:col>
      <xdr:colOff>121916</xdr:colOff>
      <xdr:row>133</xdr:row>
      <xdr:rowOff>68625</xdr:rowOff>
    </xdr:to>
    <xdr:sp macro="" textlink="" fLocksText="0">
      <xdr:nvSpPr>
        <xdr:cNvPr id="117" name="Callout: Line 116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SpPr/>
      </xdr:nvSpPr>
      <xdr:spPr>
        <a:xfrm>
          <a:off x="10487025" y="49663350"/>
          <a:ext cx="571500" cy="352425"/>
        </a:xfrm>
        <a:prstGeom prst="borderCallout1">
          <a:avLst>
            <a:gd name="adj1" fmla="val 99228"/>
            <a:gd name="adj2" fmla="val 47921"/>
            <a:gd name="adj3" fmla="val 141096"/>
            <a:gd name="adj4" fmla="val 6020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39</xdr:col>
      <xdr:colOff>100849</xdr:colOff>
      <xdr:row>137</xdr:row>
      <xdr:rowOff>134472</xdr:rowOff>
    </xdr:from>
    <xdr:to>
      <xdr:col>41</xdr:col>
      <xdr:colOff>133122</xdr:colOff>
      <xdr:row>139</xdr:row>
      <xdr:rowOff>91037</xdr:rowOff>
    </xdr:to>
    <xdr:sp macro="" textlink="" fLocksText="0">
      <xdr:nvSpPr>
        <xdr:cNvPr id="118" name="Callout: Line 117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SpPr/>
      </xdr:nvSpPr>
      <xdr:spPr>
        <a:xfrm>
          <a:off x="10506075" y="50882550"/>
          <a:ext cx="561975" cy="361950"/>
        </a:xfrm>
        <a:prstGeom prst="borderCallout1">
          <a:avLst>
            <a:gd name="adj1" fmla="val -6612"/>
            <a:gd name="adj2" fmla="val 52378"/>
            <a:gd name="adj3" fmla="val -36342"/>
            <a:gd name="adj4" fmla="val 6689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.1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42</xdr:col>
      <xdr:colOff>201705</xdr:colOff>
      <xdr:row>131</xdr:row>
      <xdr:rowOff>112059</xdr:rowOff>
    </xdr:from>
    <xdr:to>
      <xdr:col>44</xdr:col>
      <xdr:colOff>233978</xdr:colOff>
      <xdr:row>133</xdr:row>
      <xdr:rowOff>68625</xdr:rowOff>
    </xdr:to>
    <xdr:sp macro="" textlink="" fLocksText="0">
      <xdr:nvSpPr>
        <xdr:cNvPr id="119" name="Callout: Line 118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SpPr/>
      </xdr:nvSpPr>
      <xdr:spPr>
        <a:xfrm>
          <a:off x="11401425" y="49663350"/>
          <a:ext cx="571500" cy="352425"/>
        </a:xfrm>
        <a:prstGeom prst="borderCallout1">
          <a:avLst>
            <a:gd name="adj1" fmla="val 99228"/>
            <a:gd name="adj2" fmla="val 47921"/>
            <a:gd name="adj3" fmla="val 141096"/>
            <a:gd name="adj4" fmla="val 6020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42</xdr:col>
      <xdr:colOff>212911</xdr:colOff>
      <xdr:row>137</xdr:row>
      <xdr:rowOff>134472</xdr:rowOff>
    </xdr:from>
    <xdr:to>
      <xdr:col>45</xdr:col>
      <xdr:colOff>9860</xdr:colOff>
      <xdr:row>139</xdr:row>
      <xdr:rowOff>91037</xdr:rowOff>
    </xdr:to>
    <xdr:sp macro="" textlink="" fLocksText="0">
      <xdr:nvSpPr>
        <xdr:cNvPr id="120" name="Callout: Line 119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SpPr/>
      </xdr:nvSpPr>
      <xdr:spPr>
        <a:xfrm>
          <a:off x="11410950" y="50882550"/>
          <a:ext cx="600075" cy="361950"/>
        </a:xfrm>
        <a:prstGeom prst="borderCallout1">
          <a:avLst>
            <a:gd name="adj1" fmla="val -6612"/>
            <a:gd name="adj2" fmla="val 52378"/>
            <a:gd name="adj3" fmla="val -36342"/>
            <a:gd name="adj4" fmla="val 6689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.1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46</xdr:col>
      <xdr:colOff>67235</xdr:colOff>
      <xdr:row>131</xdr:row>
      <xdr:rowOff>112059</xdr:rowOff>
    </xdr:from>
    <xdr:to>
      <xdr:col>48</xdr:col>
      <xdr:colOff>99508</xdr:colOff>
      <xdr:row>133</xdr:row>
      <xdr:rowOff>68625</xdr:rowOff>
    </xdr:to>
    <xdr:sp macro="" textlink="" fLocksText="0">
      <xdr:nvSpPr>
        <xdr:cNvPr id="121" name="Callout: Line 120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SpPr/>
      </xdr:nvSpPr>
      <xdr:spPr>
        <a:xfrm>
          <a:off x="12353925" y="49663350"/>
          <a:ext cx="561975" cy="352425"/>
        </a:xfrm>
        <a:prstGeom prst="borderCallout1">
          <a:avLst>
            <a:gd name="adj1" fmla="val 99228"/>
            <a:gd name="adj2" fmla="val 47921"/>
            <a:gd name="adj3" fmla="val 141096"/>
            <a:gd name="adj4" fmla="val 6020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28</a:t>
          </a:r>
        </a:p>
      </xdr:txBody>
    </xdr:sp>
    <xdr:clientData/>
  </xdr:twoCellAnchor>
  <xdr:twoCellAnchor>
    <xdr:from>
      <xdr:col>46</xdr:col>
      <xdr:colOff>78441</xdr:colOff>
      <xdr:row>137</xdr:row>
      <xdr:rowOff>134472</xdr:rowOff>
    </xdr:from>
    <xdr:to>
      <xdr:col>48</xdr:col>
      <xdr:colOff>110714</xdr:colOff>
      <xdr:row>139</xdr:row>
      <xdr:rowOff>91037</xdr:rowOff>
    </xdr:to>
    <xdr:sp macro="" textlink="" fLocksText="0">
      <xdr:nvSpPr>
        <xdr:cNvPr id="122" name="Callout: Line 121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SpPr/>
      </xdr:nvSpPr>
      <xdr:spPr>
        <a:xfrm>
          <a:off x="12363450" y="50882550"/>
          <a:ext cx="571500" cy="361950"/>
        </a:xfrm>
        <a:prstGeom prst="borderCallout1">
          <a:avLst>
            <a:gd name="adj1" fmla="val -6612"/>
            <a:gd name="adj2" fmla="val 52378"/>
            <a:gd name="adj3" fmla="val -36342"/>
            <a:gd name="adj4" fmla="val 6689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28</a:t>
          </a:r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.1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49</xdr:col>
      <xdr:colOff>201705</xdr:colOff>
      <xdr:row>131</xdr:row>
      <xdr:rowOff>112059</xdr:rowOff>
    </xdr:from>
    <xdr:to>
      <xdr:col>51</xdr:col>
      <xdr:colOff>233978</xdr:colOff>
      <xdr:row>133</xdr:row>
      <xdr:rowOff>68625</xdr:rowOff>
    </xdr:to>
    <xdr:sp macro="" textlink="" fLocksText="0">
      <xdr:nvSpPr>
        <xdr:cNvPr id="123" name="Callout: Line 122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SpPr/>
      </xdr:nvSpPr>
      <xdr:spPr>
        <a:xfrm>
          <a:off x="13287375" y="49663350"/>
          <a:ext cx="571500" cy="352425"/>
        </a:xfrm>
        <a:prstGeom prst="borderCallout1">
          <a:avLst>
            <a:gd name="adj1" fmla="val 99228"/>
            <a:gd name="adj2" fmla="val 47921"/>
            <a:gd name="adj3" fmla="val 141096"/>
            <a:gd name="adj4" fmla="val 6020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29</a:t>
          </a:r>
        </a:p>
      </xdr:txBody>
    </xdr:sp>
    <xdr:clientData/>
  </xdr:twoCellAnchor>
  <xdr:twoCellAnchor>
    <xdr:from>
      <xdr:col>49</xdr:col>
      <xdr:colOff>212911</xdr:colOff>
      <xdr:row>137</xdr:row>
      <xdr:rowOff>134472</xdr:rowOff>
    </xdr:from>
    <xdr:to>
      <xdr:col>52</xdr:col>
      <xdr:colOff>9861</xdr:colOff>
      <xdr:row>139</xdr:row>
      <xdr:rowOff>91037</xdr:rowOff>
    </xdr:to>
    <xdr:sp macro="" textlink="" fLocksText="0">
      <xdr:nvSpPr>
        <xdr:cNvPr id="124" name="Callout: Line 123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SpPr/>
      </xdr:nvSpPr>
      <xdr:spPr>
        <a:xfrm>
          <a:off x="13296900" y="50882550"/>
          <a:ext cx="600075" cy="361950"/>
        </a:xfrm>
        <a:prstGeom prst="borderCallout1">
          <a:avLst>
            <a:gd name="adj1" fmla="val -6612"/>
            <a:gd name="adj2" fmla="val 52378"/>
            <a:gd name="adj3" fmla="val -36342"/>
            <a:gd name="adj4" fmla="val 6689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29</a:t>
          </a:r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.1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52</xdr:col>
      <xdr:colOff>233978</xdr:colOff>
      <xdr:row>131</xdr:row>
      <xdr:rowOff>123264</xdr:rowOff>
    </xdr:from>
    <xdr:to>
      <xdr:col>55</xdr:col>
      <xdr:colOff>30927</xdr:colOff>
      <xdr:row>133</xdr:row>
      <xdr:rowOff>79830</xdr:rowOff>
    </xdr:to>
    <xdr:sp macro="" textlink="" fLocksText="0">
      <xdr:nvSpPr>
        <xdr:cNvPr id="125" name="Callout: Line 124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SpPr/>
      </xdr:nvSpPr>
      <xdr:spPr>
        <a:xfrm>
          <a:off x="14125575" y="49672875"/>
          <a:ext cx="590550" cy="352425"/>
        </a:xfrm>
        <a:prstGeom prst="borderCallout1">
          <a:avLst>
            <a:gd name="adj1" fmla="val 99228"/>
            <a:gd name="adj2" fmla="val 47921"/>
            <a:gd name="adj3" fmla="val 141096"/>
            <a:gd name="adj4" fmla="val 6020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30</a:t>
          </a:r>
        </a:p>
      </xdr:txBody>
    </xdr:sp>
    <xdr:clientData/>
  </xdr:twoCellAnchor>
  <xdr:twoCellAnchor>
    <xdr:from>
      <xdr:col>53</xdr:col>
      <xdr:colOff>9860</xdr:colOff>
      <xdr:row>137</xdr:row>
      <xdr:rowOff>145677</xdr:rowOff>
    </xdr:from>
    <xdr:to>
      <xdr:col>55</xdr:col>
      <xdr:colOff>42133</xdr:colOff>
      <xdr:row>139</xdr:row>
      <xdr:rowOff>102242</xdr:rowOff>
    </xdr:to>
    <xdr:sp macro="" textlink="" fLocksText="0">
      <xdr:nvSpPr>
        <xdr:cNvPr id="126" name="Callout: Line 125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SpPr/>
      </xdr:nvSpPr>
      <xdr:spPr>
        <a:xfrm>
          <a:off x="14163675" y="50892075"/>
          <a:ext cx="561975" cy="361950"/>
        </a:xfrm>
        <a:prstGeom prst="borderCallout1">
          <a:avLst>
            <a:gd name="adj1" fmla="val -6612"/>
            <a:gd name="adj2" fmla="val 52378"/>
            <a:gd name="adj3" fmla="val -36342"/>
            <a:gd name="adj4" fmla="val 6689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30</a:t>
          </a:r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.1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36</xdr:col>
      <xdr:colOff>67235</xdr:colOff>
      <xdr:row>153</xdr:row>
      <xdr:rowOff>123265</xdr:rowOff>
    </xdr:from>
    <xdr:to>
      <xdr:col>51</xdr:col>
      <xdr:colOff>100853</xdr:colOff>
      <xdr:row>155</xdr:row>
      <xdr:rowOff>123265</xdr:rowOff>
    </xdr:to>
    <xdr:sp macro="" textlink="" fLocksText="0">
      <xdr:nvSpPr>
        <xdr:cNvPr id="127" name="Rectangle 126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SpPr/>
      </xdr:nvSpPr>
      <xdr:spPr>
        <a:xfrm>
          <a:off x="9667875" y="54073425"/>
          <a:ext cx="4057650" cy="4000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39</xdr:col>
      <xdr:colOff>33617</xdr:colOff>
      <xdr:row>151</xdr:row>
      <xdr:rowOff>56031</xdr:rowOff>
    </xdr:from>
    <xdr:to>
      <xdr:col>41</xdr:col>
      <xdr:colOff>65890</xdr:colOff>
      <xdr:row>153</xdr:row>
      <xdr:rowOff>12597</xdr:rowOff>
    </xdr:to>
    <xdr:sp macro="" textlink="" fLocksText="0">
      <xdr:nvSpPr>
        <xdr:cNvPr id="128" name="Callout: Line 127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SpPr/>
      </xdr:nvSpPr>
      <xdr:spPr>
        <a:xfrm>
          <a:off x="10439400" y="53606700"/>
          <a:ext cx="561975" cy="352425"/>
        </a:xfrm>
        <a:prstGeom prst="borderCallout1">
          <a:avLst>
            <a:gd name="adj1" fmla="val 99228"/>
            <a:gd name="adj2" fmla="val 47921"/>
            <a:gd name="adj3" fmla="val 141096"/>
            <a:gd name="adj4" fmla="val 6020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32</xdr:col>
      <xdr:colOff>134471</xdr:colOff>
      <xdr:row>151</xdr:row>
      <xdr:rowOff>78442</xdr:rowOff>
    </xdr:from>
    <xdr:to>
      <xdr:col>34</xdr:col>
      <xdr:colOff>166744</xdr:colOff>
      <xdr:row>153</xdr:row>
      <xdr:rowOff>35008</xdr:rowOff>
    </xdr:to>
    <xdr:sp macro="" textlink="" fLocksText="0">
      <xdr:nvSpPr>
        <xdr:cNvPr id="129" name="Callout: Line 128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SpPr/>
      </xdr:nvSpPr>
      <xdr:spPr>
        <a:xfrm>
          <a:off x="8667750" y="53625750"/>
          <a:ext cx="571500" cy="361950"/>
        </a:xfrm>
        <a:prstGeom prst="borderCallout1">
          <a:avLst>
            <a:gd name="adj1" fmla="val 99228"/>
            <a:gd name="adj2" fmla="val 47921"/>
            <a:gd name="adj3" fmla="val 141096"/>
            <a:gd name="adj4" fmla="val 6020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51</xdr:col>
      <xdr:colOff>168088</xdr:colOff>
      <xdr:row>151</xdr:row>
      <xdr:rowOff>100853</xdr:rowOff>
    </xdr:from>
    <xdr:to>
      <xdr:col>53</xdr:col>
      <xdr:colOff>200361</xdr:colOff>
      <xdr:row>153</xdr:row>
      <xdr:rowOff>57419</xdr:rowOff>
    </xdr:to>
    <xdr:sp macro="" textlink="" fLocksText="0">
      <xdr:nvSpPr>
        <xdr:cNvPr id="130" name="Callout: Line 129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SpPr/>
      </xdr:nvSpPr>
      <xdr:spPr>
        <a:xfrm>
          <a:off x="13792200" y="53654325"/>
          <a:ext cx="561975" cy="352425"/>
        </a:xfrm>
        <a:prstGeom prst="borderCallout1">
          <a:avLst>
            <a:gd name="adj1" fmla="val 99228"/>
            <a:gd name="adj2" fmla="val 47921"/>
            <a:gd name="adj3" fmla="val 141096"/>
            <a:gd name="adj4" fmla="val 6020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05" customWidth="1"/>
    <col min="61" max="16384" width="2.77734375" style="205"/>
  </cols>
  <sheetData>
    <row r="1" spans="1:63" ht="24.95" customHeight="1" x14ac:dyDescent="0.25">
      <c r="A1" s="199" t="s">
        <v>121</v>
      </c>
      <c r="B1" s="200"/>
      <c r="C1" s="200"/>
      <c r="D1" s="200"/>
      <c r="E1" s="200"/>
      <c r="F1" s="200"/>
      <c r="G1" s="200"/>
      <c r="H1" s="200"/>
      <c r="I1" s="200"/>
      <c r="J1" s="201"/>
      <c r="K1" s="199" t="s">
        <v>122</v>
      </c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1"/>
      <c r="W1" s="202" t="s">
        <v>123</v>
      </c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4"/>
      <c r="AP1" s="199" t="s">
        <v>124</v>
      </c>
      <c r="AQ1" s="200"/>
      <c r="AR1" s="200"/>
      <c r="AS1" s="201"/>
      <c r="AT1" s="199" t="s">
        <v>125</v>
      </c>
      <c r="AU1" s="200"/>
      <c r="AV1" s="200"/>
      <c r="AW1" s="200"/>
      <c r="AX1" s="201"/>
      <c r="AY1" s="199" t="s">
        <v>126</v>
      </c>
      <c r="AZ1" s="200"/>
      <c r="BA1" s="200"/>
      <c r="BB1" s="201"/>
      <c r="BC1" s="199" t="s">
        <v>127</v>
      </c>
      <c r="BD1" s="200"/>
      <c r="BE1" s="200"/>
      <c r="BF1" s="200"/>
      <c r="BG1" s="201"/>
      <c r="BH1" s="199" t="s">
        <v>128</v>
      </c>
      <c r="BI1" s="200"/>
      <c r="BJ1" s="200"/>
      <c r="BK1" s="201"/>
    </row>
    <row r="2" spans="1:63" ht="15" customHeight="1" x14ac:dyDescent="0.25">
      <c r="A2" s="1" t="s">
        <v>129</v>
      </c>
      <c r="B2" s="206"/>
      <c r="C2" s="206"/>
      <c r="D2" s="206"/>
      <c r="E2" s="206"/>
      <c r="F2" s="206"/>
      <c r="G2" s="206"/>
      <c r="H2" s="206"/>
      <c r="I2" s="206"/>
      <c r="J2" s="207"/>
      <c r="K2" s="208" t="s">
        <v>1</v>
      </c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7"/>
      <c r="W2" s="209"/>
      <c r="X2" s="210"/>
      <c r="Y2" s="210"/>
      <c r="Z2" s="210"/>
      <c r="AA2" s="210"/>
      <c r="AB2" s="210"/>
      <c r="AC2" s="210"/>
      <c r="AD2" s="210"/>
      <c r="AE2" s="210"/>
      <c r="AF2" s="210"/>
      <c r="AG2" s="210"/>
      <c r="AH2" s="210"/>
      <c r="AI2" s="210"/>
      <c r="AJ2" s="210"/>
      <c r="AK2" s="210"/>
      <c r="AL2" s="210"/>
      <c r="AM2" s="210"/>
      <c r="AN2" s="210"/>
      <c r="AO2" s="211"/>
      <c r="AP2" s="208" t="str">
        <f>改訂履歴!$H$11</f>
        <v>TuyenNH</v>
      </c>
      <c r="AQ2" s="206"/>
      <c r="AR2" s="206"/>
      <c r="AS2" s="207"/>
      <c r="AT2" s="212">
        <f>改訂履歴!$B$11</f>
        <v>45544</v>
      </c>
      <c r="AU2" s="213"/>
      <c r="AV2" s="213"/>
      <c r="AW2" s="213"/>
      <c r="AX2" s="214"/>
      <c r="AY2" s="208" t="str">
        <f>LOOKUP(2,1/(改訂履歴!H11:H30000&lt;&gt;""),改訂履歴!H11:H30000)</f>
        <v>DuNT</v>
      </c>
      <c r="AZ2" s="206"/>
      <c r="BA2" s="206"/>
      <c r="BB2" s="207"/>
      <c r="BC2" s="212">
        <f>LOOKUP(2,1/(改訂履歴!B11:B30000&lt;&gt;""),改訂履歴!B11:B30000)</f>
        <v>45628</v>
      </c>
      <c r="BD2" s="213"/>
      <c r="BE2" s="213"/>
      <c r="BF2" s="213"/>
      <c r="BG2" s="214"/>
      <c r="BH2" s="215">
        <f>LOOKUP(2,1/(改訂履歴!O11:O30000&lt;&gt;""),改訂履歴!O11:O30000)</f>
        <v>0.16</v>
      </c>
      <c r="BI2" s="216"/>
      <c r="BJ2" s="216"/>
      <c r="BK2" s="217"/>
    </row>
    <row r="3" spans="1:63" ht="15" customHeight="1" x14ac:dyDescent="0.25">
      <c r="A3" s="218"/>
      <c r="B3" s="219"/>
      <c r="C3" s="219"/>
      <c r="D3" s="219"/>
      <c r="E3" s="219"/>
      <c r="F3" s="219"/>
      <c r="G3" s="219"/>
      <c r="H3" s="219"/>
      <c r="I3" s="219"/>
      <c r="J3" s="220"/>
      <c r="K3" s="218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20"/>
      <c r="W3" s="221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3"/>
      <c r="AP3" s="218"/>
      <c r="AQ3" s="219"/>
      <c r="AR3" s="219"/>
      <c r="AS3" s="220"/>
      <c r="AT3" s="224"/>
      <c r="AU3" s="225"/>
      <c r="AV3" s="225"/>
      <c r="AW3" s="225"/>
      <c r="AX3" s="226"/>
      <c r="AY3" s="218"/>
      <c r="AZ3" s="219"/>
      <c r="BA3" s="219"/>
      <c r="BB3" s="220"/>
      <c r="BC3" s="224"/>
      <c r="BD3" s="225"/>
      <c r="BE3" s="225"/>
      <c r="BF3" s="225"/>
      <c r="BG3" s="226"/>
      <c r="BH3" s="227"/>
      <c r="BI3" s="228"/>
      <c r="BJ3" s="228"/>
      <c r="BK3" s="229"/>
    </row>
    <row r="4" spans="1:63" ht="24.95" customHeight="1" x14ac:dyDescent="0.25">
      <c r="A4" s="199" t="s">
        <v>130</v>
      </c>
      <c r="B4" s="200"/>
      <c r="C4" s="200"/>
      <c r="D4" s="200"/>
      <c r="E4" s="200"/>
      <c r="F4" s="200"/>
      <c r="G4" s="201"/>
      <c r="H4" s="230" t="s">
        <v>102</v>
      </c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2"/>
      <c r="U4" s="199" t="s">
        <v>131</v>
      </c>
      <c r="V4" s="200"/>
      <c r="W4" s="200"/>
      <c r="X4" s="200"/>
      <c r="Y4" s="201"/>
      <c r="Z4" s="20" t="s">
        <v>132</v>
      </c>
      <c r="AA4" s="231"/>
      <c r="AB4" s="231"/>
      <c r="AC4" s="231"/>
      <c r="AD4" s="231"/>
      <c r="AE4" s="231"/>
      <c r="AF4" s="231"/>
      <c r="AG4" s="231"/>
      <c r="AH4" s="231"/>
      <c r="AI4" s="231"/>
      <c r="AJ4" s="231"/>
      <c r="AK4" s="231"/>
      <c r="AL4" s="231"/>
      <c r="AM4" s="231"/>
      <c r="AN4" s="231"/>
      <c r="AO4" s="232"/>
      <c r="AP4" s="230" t="str">
        <f t="array" aca="1" ref="AP4" ca="1">RIGHT(CELL("filename",$A$1),LEN(CELL("filename",$A$1))-FIND("]",CELL("filename",$A$1)))</f>
        <v>表紙</v>
      </c>
      <c r="AQ4" s="231"/>
      <c r="AR4" s="231"/>
      <c r="AS4" s="231"/>
      <c r="AT4" s="231"/>
      <c r="AU4" s="231"/>
      <c r="AV4" s="231"/>
      <c r="AW4" s="231"/>
      <c r="AX4" s="231"/>
      <c r="AY4" s="231"/>
      <c r="AZ4" s="231"/>
      <c r="BA4" s="231"/>
      <c r="BB4" s="231"/>
      <c r="BC4" s="231"/>
      <c r="BD4" s="231"/>
      <c r="BE4" s="231"/>
      <c r="BF4" s="231"/>
      <c r="BG4" s="231"/>
      <c r="BH4" s="231"/>
      <c r="BI4" s="231"/>
      <c r="BJ4" s="231"/>
      <c r="BK4" s="232"/>
    </row>
    <row r="5" spans="1:63" ht="5.0999999999999996" customHeight="1" x14ac:dyDescent="0.25">
      <c r="A5" s="233"/>
      <c r="B5" s="234"/>
      <c r="C5" s="234"/>
      <c r="D5" s="234"/>
      <c r="E5" s="234"/>
      <c r="F5" s="234"/>
      <c r="G5" s="234"/>
      <c r="H5" s="234"/>
      <c r="I5" s="234"/>
      <c r="J5" s="234"/>
      <c r="K5" s="234"/>
      <c r="L5" s="234"/>
      <c r="M5" s="234"/>
      <c r="N5" s="234"/>
      <c r="O5" s="234"/>
      <c r="P5" s="234"/>
      <c r="Q5" s="234"/>
      <c r="R5" s="234"/>
      <c r="S5" s="234"/>
      <c r="T5" s="234"/>
      <c r="U5" s="234"/>
      <c r="V5" s="234"/>
      <c r="W5" s="234"/>
      <c r="X5" s="234"/>
      <c r="Y5" s="234"/>
      <c r="Z5" s="234"/>
      <c r="AA5" s="234"/>
      <c r="AB5" s="234"/>
      <c r="AC5" s="234"/>
      <c r="AD5" s="234"/>
      <c r="AE5" s="234"/>
      <c r="AF5" s="234"/>
      <c r="AG5" s="234"/>
      <c r="AH5" s="234"/>
      <c r="AI5" s="234"/>
      <c r="AJ5" s="234"/>
      <c r="AK5" s="234"/>
      <c r="AL5" s="234"/>
      <c r="AM5" s="234"/>
      <c r="AN5" s="234"/>
      <c r="AO5" s="234"/>
      <c r="AP5" s="234"/>
      <c r="AQ5" s="234"/>
      <c r="AR5" s="234"/>
      <c r="AS5" s="234"/>
      <c r="AT5" s="234"/>
      <c r="AU5" s="234"/>
      <c r="AV5" s="234"/>
      <c r="AW5" s="234"/>
      <c r="AX5" s="234"/>
      <c r="AY5" s="234"/>
      <c r="AZ5" s="234"/>
      <c r="BA5" s="234"/>
      <c r="BB5" s="234"/>
      <c r="BC5" s="234"/>
      <c r="BD5" s="234"/>
      <c r="BE5" s="234"/>
      <c r="BF5" s="234"/>
      <c r="BG5" s="234"/>
      <c r="BH5" s="234"/>
      <c r="BI5" s="234"/>
      <c r="BJ5" s="234"/>
      <c r="BK5" s="235"/>
    </row>
    <row r="6" spans="1:63" ht="15" customHeight="1" x14ac:dyDescent="0.25">
      <c r="A6" s="236"/>
      <c r="BK6" s="237"/>
    </row>
    <row r="7" spans="1:63" ht="15" customHeight="1" x14ac:dyDescent="0.25">
      <c r="A7" s="236"/>
      <c r="BK7" s="237"/>
    </row>
    <row r="8" spans="1:63" ht="15" customHeight="1" x14ac:dyDescent="0.25">
      <c r="A8" s="236"/>
      <c r="BK8" s="237"/>
    </row>
    <row r="9" spans="1:63" ht="15" customHeight="1" x14ac:dyDescent="0.25">
      <c r="A9" s="236"/>
      <c r="BK9" s="237"/>
    </row>
    <row r="10" spans="1:63" ht="15" customHeight="1" x14ac:dyDescent="0.25">
      <c r="A10" s="236"/>
      <c r="BK10" s="237"/>
    </row>
    <row r="11" spans="1:63" ht="15" customHeight="1" x14ac:dyDescent="0.25">
      <c r="A11" s="236"/>
      <c r="BK11" s="237"/>
    </row>
    <row r="12" spans="1:63" ht="15" customHeight="1" x14ac:dyDescent="0.25">
      <c r="A12" s="236"/>
      <c r="BK12" s="237"/>
    </row>
    <row r="13" spans="1:63" ht="15" customHeight="1" x14ac:dyDescent="0.25">
      <c r="A13" s="236"/>
      <c r="BK13" s="237"/>
    </row>
    <row r="14" spans="1:63" ht="15" customHeight="1" thickBot="1" x14ac:dyDescent="0.3">
      <c r="A14" s="236"/>
      <c r="BK14" s="237"/>
    </row>
    <row r="15" spans="1:63" ht="15" customHeight="1" thickTop="1" x14ac:dyDescent="0.25">
      <c r="A15" s="236"/>
      <c r="K15" s="238"/>
      <c r="L15" s="239"/>
      <c r="M15" s="239"/>
      <c r="N15" s="239"/>
      <c r="O15" s="239"/>
      <c r="P15" s="239"/>
      <c r="Q15" s="239"/>
      <c r="R15" s="239"/>
      <c r="S15" s="239"/>
      <c r="T15" s="239"/>
      <c r="U15" s="239"/>
      <c r="V15" s="239"/>
      <c r="W15" s="239"/>
      <c r="X15" s="239"/>
      <c r="Y15" s="239"/>
      <c r="Z15" s="239"/>
      <c r="AA15" s="239"/>
      <c r="AB15" s="239"/>
      <c r="AC15" s="239"/>
      <c r="AD15" s="239"/>
      <c r="AE15" s="239"/>
      <c r="AF15" s="239"/>
      <c r="AG15" s="239"/>
      <c r="AH15" s="239"/>
      <c r="AI15" s="239"/>
      <c r="AJ15" s="239"/>
      <c r="AK15" s="239"/>
      <c r="AL15" s="239"/>
      <c r="AM15" s="239"/>
      <c r="AN15" s="239"/>
      <c r="AO15" s="239"/>
      <c r="AP15" s="239"/>
      <c r="AQ15" s="239"/>
      <c r="AR15" s="239"/>
      <c r="AS15" s="239"/>
      <c r="AT15" s="239"/>
      <c r="AU15" s="239"/>
      <c r="AV15" s="239"/>
      <c r="AW15" s="239"/>
      <c r="AX15" s="239"/>
      <c r="AY15" s="239"/>
      <c r="AZ15" s="239"/>
      <c r="BA15" s="240"/>
      <c r="BK15" s="237"/>
    </row>
    <row r="16" spans="1:63" ht="15" customHeight="1" x14ac:dyDescent="0.25">
      <c r="A16" s="236"/>
      <c r="K16" s="241"/>
      <c r="L16" s="242" t="s">
        <v>133</v>
      </c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  <c r="Z16" s="243"/>
      <c r="AA16" s="243"/>
      <c r="AB16" s="243"/>
      <c r="AC16" s="243"/>
      <c r="AD16" s="243"/>
      <c r="AE16" s="243"/>
      <c r="AF16" s="243"/>
      <c r="AG16" s="243"/>
      <c r="AH16" s="243"/>
      <c r="AI16" s="243"/>
      <c r="AJ16" s="243"/>
      <c r="AK16" s="243"/>
      <c r="AL16" s="243"/>
      <c r="AM16" s="243"/>
      <c r="AN16" s="243"/>
      <c r="AO16" s="243"/>
      <c r="AP16" s="243"/>
      <c r="AQ16" s="243"/>
      <c r="AR16" s="243"/>
      <c r="AS16" s="243"/>
      <c r="AT16" s="243"/>
      <c r="AU16" s="243"/>
      <c r="AV16" s="243"/>
      <c r="AW16" s="243"/>
      <c r="AX16" s="243"/>
      <c r="AY16" s="243"/>
      <c r="AZ16" s="243"/>
      <c r="BA16" s="244"/>
      <c r="BK16" s="237"/>
    </row>
    <row r="17" spans="1:63" ht="15" customHeight="1" x14ac:dyDescent="0.25">
      <c r="A17" s="236"/>
      <c r="K17" s="241"/>
      <c r="L17" s="243"/>
      <c r="M17" s="243"/>
      <c r="N17" s="243"/>
      <c r="O17" s="243"/>
      <c r="P17" s="243"/>
      <c r="Q17" s="243"/>
      <c r="R17" s="243"/>
      <c r="S17" s="243"/>
      <c r="T17" s="243"/>
      <c r="U17" s="243"/>
      <c r="V17" s="243"/>
      <c r="W17" s="243"/>
      <c r="X17" s="243"/>
      <c r="Y17" s="243"/>
      <c r="Z17" s="243"/>
      <c r="AA17" s="243"/>
      <c r="AB17" s="243"/>
      <c r="AC17" s="243"/>
      <c r="AD17" s="243"/>
      <c r="AE17" s="243"/>
      <c r="AF17" s="243"/>
      <c r="AG17" s="243"/>
      <c r="AH17" s="243"/>
      <c r="AI17" s="243"/>
      <c r="AJ17" s="243"/>
      <c r="AK17" s="243"/>
      <c r="AL17" s="243"/>
      <c r="AM17" s="243"/>
      <c r="AN17" s="243"/>
      <c r="AO17" s="243"/>
      <c r="AP17" s="243"/>
      <c r="AQ17" s="243"/>
      <c r="AR17" s="243"/>
      <c r="AS17" s="243"/>
      <c r="AT17" s="243"/>
      <c r="AU17" s="243"/>
      <c r="AV17" s="243"/>
      <c r="AW17" s="243"/>
      <c r="AX17" s="243"/>
      <c r="AY17" s="243"/>
      <c r="AZ17" s="243"/>
      <c r="BA17" s="244"/>
      <c r="BK17" s="237"/>
    </row>
    <row r="18" spans="1:63" ht="15" customHeight="1" x14ac:dyDescent="0.25">
      <c r="A18" s="236"/>
      <c r="K18" s="241"/>
      <c r="L18" s="243"/>
      <c r="M18" s="243"/>
      <c r="N18" s="243"/>
      <c r="O18" s="243"/>
      <c r="P18" s="243"/>
      <c r="Q18" s="243"/>
      <c r="R18" s="243"/>
      <c r="S18" s="243"/>
      <c r="T18" s="243"/>
      <c r="U18" s="243"/>
      <c r="V18" s="243"/>
      <c r="W18" s="243"/>
      <c r="X18" s="243"/>
      <c r="Y18" s="243"/>
      <c r="Z18" s="243"/>
      <c r="AA18" s="243"/>
      <c r="AB18" s="243"/>
      <c r="AC18" s="243"/>
      <c r="AD18" s="243"/>
      <c r="AE18" s="243"/>
      <c r="AF18" s="243"/>
      <c r="AG18" s="243"/>
      <c r="AH18" s="243"/>
      <c r="AI18" s="243"/>
      <c r="AJ18" s="243"/>
      <c r="AK18" s="243"/>
      <c r="AL18" s="243"/>
      <c r="AM18" s="243"/>
      <c r="AN18" s="243"/>
      <c r="AO18" s="243"/>
      <c r="AP18" s="243"/>
      <c r="AQ18" s="243"/>
      <c r="AR18" s="243"/>
      <c r="AS18" s="243"/>
      <c r="AT18" s="243"/>
      <c r="AU18" s="243"/>
      <c r="AV18" s="243"/>
      <c r="AW18" s="243"/>
      <c r="AX18" s="243"/>
      <c r="AY18" s="243"/>
      <c r="AZ18" s="243"/>
      <c r="BA18" s="244"/>
      <c r="BK18" s="237"/>
    </row>
    <row r="19" spans="1:63" ht="15" customHeight="1" x14ac:dyDescent="0.25">
      <c r="A19" s="236"/>
      <c r="K19" s="241"/>
      <c r="L19" s="243"/>
      <c r="M19" s="243"/>
      <c r="N19" s="243"/>
      <c r="O19" s="243"/>
      <c r="P19" s="243"/>
      <c r="Q19" s="243"/>
      <c r="R19" s="243"/>
      <c r="S19" s="243"/>
      <c r="T19" s="243"/>
      <c r="U19" s="243"/>
      <c r="V19" s="243"/>
      <c r="W19" s="243"/>
      <c r="X19" s="243"/>
      <c r="Y19" s="243"/>
      <c r="Z19" s="243"/>
      <c r="AA19" s="243"/>
      <c r="AB19" s="243"/>
      <c r="AC19" s="243"/>
      <c r="AD19" s="243"/>
      <c r="AE19" s="243"/>
      <c r="AF19" s="243"/>
      <c r="AG19" s="243"/>
      <c r="AH19" s="243"/>
      <c r="AI19" s="243"/>
      <c r="AJ19" s="243"/>
      <c r="AK19" s="243"/>
      <c r="AL19" s="243"/>
      <c r="AM19" s="243"/>
      <c r="AN19" s="243"/>
      <c r="AO19" s="243"/>
      <c r="AP19" s="243"/>
      <c r="AQ19" s="243"/>
      <c r="AR19" s="243"/>
      <c r="AS19" s="243"/>
      <c r="AT19" s="243"/>
      <c r="AU19" s="243"/>
      <c r="AV19" s="243"/>
      <c r="AW19" s="243"/>
      <c r="AX19" s="243"/>
      <c r="AY19" s="243"/>
      <c r="AZ19" s="243"/>
      <c r="BA19" s="244"/>
      <c r="BK19" s="237"/>
    </row>
    <row r="20" spans="1:63" ht="15" customHeight="1" x14ac:dyDescent="0.25">
      <c r="A20" s="236"/>
      <c r="K20" s="241"/>
      <c r="L20" s="243"/>
      <c r="M20" s="243"/>
      <c r="N20" s="243"/>
      <c r="O20" s="243"/>
      <c r="P20" s="243"/>
      <c r="Q20" s="243"/>
      <c r="R20" s="243"/>
      <c r="S20" s="243"/>
      <c r="T20" s="243"/>
      <c r="U20" s="243"/>
      <c r="V20" s="243"/>
      <c r="W20" s="243"/>
      <c r="X20" s="243"/>
      <c r="Y20" s="243"/>
      <c r="Z20" s="243"/>
      <c r="AA20" s="243"/>
      <c r="AB20" s="243"/>
      <c r="AC20" s="243"/>
      <c r="AD20" s="243"/>
      <c r="AE20" s="243"/>
      <c r="AF20" s="243"/>
      <c r="AG20" s="243"/>
      <c r="AH20" s="243"/>
      <c r="AI20" s="243"/>
      <c r="AJ20" s="243"/>
      <c r="AK20" s="243"/>
      <c r="AL20" s="243"/>
      <c r="AM20" s="243"/>
      <c r="AN20" s="243"/>
      <c r="AO20" s="243"/>
      <c r="AP20" s="243"/>
      <c r="AQ20" s="243"/>
      <c r="AR20" s="243"/>
      <c r="AS20" s="243"/>
      <c r="AT20" s="243"/>
      <c r="AU20" s="243"/>
      <c r="AV20" s="243"/>
      <c r="AW20" s="243"/>
      <c r="AX20" s="243"/>
      <c r="AY20" s="243"/>
      <c r="AZ20" s="243"/>
      <c r="BA20" s="244"/>
      <c r="BK20" s="237"/>
    </row>
    <row r="21" spans="1:63" ht="15" customHeight="1" x14ac:dyDescent="0.25">
      <c r="A21" s="236"/>
      <c r="K21" s="241"/>
      <c r="L21" s="243"/>
      <c r="M21" s="243"/>
      <c r="N21" s="243"/>
      <c r="O21" s="243"/>
      <c r="P21" s="243"/>
      <c r="Q21" s="243"/>
      <c r="R21" s="243"/>
      <c r="S21" s="243"/>
      <c r="T21" s="243"/>
      <c r="U21" s="243"/>
      <c r="V21" s="243"/>
      <c r="W21" s="243"/>
      <c r="X21" s="243"/>
      <c r="Y21" s="243"/>
      <c r="Z21" s="243"/>
      <c r="AA21" s="243"/>
      <c r="AB21" s="243"/>
      <c r="AC21" s="243"/>
      <c r="AD21" s="243"/>
      <c r="AE21" s="243"/>
      <c r="AF21" s="243"/>
      <c r="AG21" s="243"/>
      <c r="AH21" s="243"/>
      <c r="AI21" s="243"/>
      <c r="AJ21" s="243"/>
      <c r="AK21" s="243"/>
      <c r="AL21" s="243"/>
      <c r="AM21" s="243"/>
      <c r="AN21" s="243"/>
      <c r="AO21" s="243"/>
      <c r="AP21" s="243"/>
      <c r="AQ21" s="243"/>
      <c r="AR21" s="243"/>
      <c r="AS21" s="243"/>
      <c r="AT21" s="243"/>
      <c r="AU21" s="243"/>
      <c r="AV21" s="243"/>
      <c r="AW21" s="243"/>
      <c r="AX21" s="243"/>
      <c r="AY21" s="243"/>
      <c r="AZ21" s="243"/>
      <c r="BA21" s="244"/>
      <c r="BK21" s="237"/>
    </row>
    <row r="22" spans="1:63" ht="15" customHeight="1" thickBot="1" x14ac:dyDescent="0.3">
      <c r="A22" s="236"/>
      <c r="K22" s="241"/>
      <c r="L22" s="245"/>
      <c r="M22" s="245"/>
      <c r="N22" s="245"/>
      <c r="O22" s="245"/>
      <c r="P22" s="245"/>
      <c r="Q22" s="245"/>
      <c r="R22" s="245"/>
      <c r="S22" s="245"/>
      <c r="T22" s="245"/>
      <c r="U22" s="245"/>
      <c r="V22" s="245"/>
      <c r="W22" s="245"/>
      <c r="X22" s="245"/>
      <c r="Y22" s="245"/>
      <c r="Z22" s="245"/>
      <c r="AA22" s="245"/>
      <c r="AB22" s="245"/>
      <c r="AC22" s="245"/>
      <c r="AD22" s="245"/>
      <c r="AE22" s="245"/>
      <c r="AF22" s="245"/>
      <c r="AG22" s="245"/>
      <c r="AH22" s="245"/>
      <c r="AI22" s="245"/>
      <c r="AJ22" s="245"/>
      <c r="AK22" s="245"/>
      <c r="AL22" s="245"/>
      <c r="AM22" s="245"/>
      <c r="AN22" s="245"/>
      <c r="AO22" s="245"/>
      <c r="AP22" s="245"/>
      <c r="AQ22" s="245"/>
      <c r="AR22" s="245"/>
      <c r="AS22" s="245"/>
      <c r="AT22" s="245"/>
      <c r="AU22" s="245"/>
      <c r="AV22" s="245"/>
      <c r="AW22" s="245"/>
      <c r="AX22" s="245"/>
      <c r="AY22" s="245"/>
      <c r="AZ22" s="245"/>
      <c r="BA22" s="244"/>
      <c r="BK22" s="237"/>
    </row>
    <row r="23" spans="1:63" ht="15" customHeight="1" x14ac:dyDescent="0.25">
      <c r="A23" s="236"/>
      <c r="K23" s="241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  <c r="AG23" s="246"/>
      <c r="AH23" s="246"/>
      <c r="AI23" s="246"/>
      <c r="AJ23" s="246"/>
      <c r="AK23" s="246"/>
      <c r="AL23" s="246"/>
      <c r="AM23" s="246"/>
      <c r="AN23" s="246"/>
      <c r="AO23" s="246"/>
      <c r="AP23" s="246"/>
      <c r="AQ23" s="246"/>
      <c r="AR23" s="246"/>
      <c r="AS23" s="246"/>
      <c r="AT23" s="246"/>
      <c r="AU23" s="246"/>
      <c r="AV23" s="246"/>
      <c r="AW23" s="246"/>
      <c r="AX23" s="246"/>
      <c r="AY23" s="246"/>
      <c r="AZ23" s="246"/>
      <c r="BA23" s="244"/>
      <c r="BK23" s="237"/>
    </row>
    <row r="24" spans="1:63" ht="15" customHeight="1" x14ac:dyDescent="0.25">
      <c r="A24" s="236"/>
      <c r="K24" s="241"/>
      <c r="L24" s="243" t="str">
        <f>K2&amp;"/"&amp;H4&amp;"/"&amp;Z4</f>
        <v>POSサーバ/03_店舗特売入力/画面設計書</v>
      </c>
      <c r="M24" s="243"/>
      <c r="N24" s="243"/>
      <c r="O24" s="243"/>
      <c r="P24" s="243"/>
      <c r="Q24" s="243"/>
      <c r="R24" s="243"/>
      <c r="S24" s="243"/>
      <c r="T24" s="243"/>
      <c r="U24" s="243"/>
      <c r="V24" s="243"/>
      <c r="W24" s="243"/>
      <c r="X24" s="243"/>
      <c r="Y24" s="243"/>
      <c r="Z24" s="243"/>
      <c r="AA24" s="243"/>
      <c r="AB24" s="243"/>
      <c r="AC24" s="243"/>
      <c r="AD24" s="243"/>
      <c r="AE24" s="243"/>
      <c r="AF24" s="243"/>
      <c r="AG24" s="243"/>
      <c r="AH24" s="243"/>
      <c r="AI24" s="243"/>
      <c r="AJ24" s="243"/>
      <c r="AK24" s="243"/>
      <c r="AL24" s="243"/>
      <c r="AM24" s="243"/>
      <c r="AN24" s="243"/>
      <c r="AO24" s="243"/>
      <c r="AP24" s="243"/>
      <c r="AQ24" s="243"/>
      <c r="AR24" s="243"/>
      <c r="AS24" s="243"/>
      <c r="AT24" s="243"/>
      <c r="AU24" s="243"/>
      <c r="AV24" s="243"/>
      <c r="AW24" s="243"/>
      <c r="AX24" s="243"/>
      <c r="AY24" s="243"/>
      <c r="AZ24" s="243"/>
      <c r="BA24" s="244"/>
      <c r="BK24" s="237"/>
    </row>
    <row r="25" spans="1:63" ht="15" customHeight="1" x14ac:dyDescent="0.25">
      <c r="A25" s="236"/>
      <c r="K25" s="241"/>
      <c r="L25" s="243"/>
      <c r="M25" s="243"/>
      <c r="N25" s="243"/>
      <c r="O25" s="243"/>
      <c r="P25" s="243"/>
      <c r="Q25" s="243"/>
      <c r="R25" s="243"/>
      <c r="S25" s="243"/>
      <c r="T25" s="243"/>
      <c r="U25" s="243"/>
      <c r="V25" s="243"/>
      <c r="W25" s="243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3"/>
      <c r="AI25" s="243"/>
      <c r="AJ25" s="243"/>
      <c r="AK25" s="243"/>
      <c r="AL25" s="243"/>
      <c r="AM25" s="243"/>
      <c r="AN25" s="243"/>
      <c r="AO25" s="243"/>
      <c r="AP25" s="243"/>
      <c r="AQ25" s="243"/>
      <c r="AR25" s="243"/>
      <c r="AS25" s="243"/>
      <c r="AT25" s="243"/>
      <c r="AU25" s="243"/>
      <c r="AV25" s="243"/>
      <c r="AW25" s="243"/>
      <c r="AX25" s="243"/>
      <c r="AY25" s="243"/>
      <c r="AZ25" s="243"/>
      <c r="BA25" s="244"/>
      <c r="BK25" s="237"/>
    </row>
    <row r="26" spans="1:63" ht="15" customHeight="1" x14ac:dyDescent="0.25">
      <c r="A26" s="236"/>
      <c r="K26" s="241"/>
      <c r="L26" s="243"/>
      <c r="M26" s="243"/>
      <c r="N26" s="243"/>
      <c r="O26" s="243"/>
      <c r="P26" s="243"/>
      <c r="Q26" s="243"/>
      <c r="R26" s="243"/>
      <c r="S26" s="243"/>
      <c r="T26" s="243"/>
      <c r="U26" s="243"/>
      <c r="V26" s="243"/>
      <c r="W26" s="243"/>
      <c r="X26" s="243"/>
      <c r="Y26" s="243"/>
      <c r="Z26" s="243"/>
      <c r="AA26" s="243"/>
      <c r="AB26" s="243"/>
      <c r="AC26" s="243"/>
      <c r="AD26" s="243"/>
      <c r="AE26" s="243"/>
      <c r="AF26" s="243"/>
      <c r="AG26" s="243"/>
      <c r="AH26" s="243"/>
      <c r="AI26" s="243"/>
      <c r="AJ26" s="243"/>
      <c r="AK26" s="243"/>
      <c r="AL26" s="243"/>
      <c r="AM26" s="243"/>
      <c r="AN26" s="243"/>
      <c r="AO26" s="243"/>
      <c r="AP26" s="243"/>
      <c r="AQ26" s="243"/>
      <c r="AR26" s="243"/>
      <c r="AS26" s="243"/>
      <c r="AT26" s="243"/>
      <c r="AU26" s="243"/>
      <c r="AV26" s="243"/>
      <c r="AW26" s="243"/>
      <c r="AX26" s="243"/>
      <c r="AY26" s="243"/>
      <c r="AZ26" s="243"/>
      <c r="BA26" s="244"/>
      <c r="BK26" s="237"/>
    </row>
    <row r="27" spans="1:63" ht="15" customHeight="1" x14ac:dyDescent="0.25">
      <c r="A27" s="236"/>
      <c r="K27" s="241"/>
      <c r="L27" s="243"/>
      <c r="M27" s="243"/>
      <c r="N27" s="243"/>
      <c r="O27" s="243"/>
      <c r="P27" s="243"/>
      <c r="Q27" s="243"/>
      <c r="R27" s="243"/>
      <c r="S27" s="243"/>
      <c r="T27" s="243"/>
      <c r="U27" s="243"/>
      <c r="V27" s="243"/>
      <c r="W27" s="243"/>
      <c r="X27" s="243"/>
      <c r="Y27" s="243"/>
      <c r="Z27" s="243"/>
      <c r="AA27" s="243"/>
      <c r="AB27" s="243"/>
      <c r="AC27" s="243"/>
      <c r="AD27" s="243"/>
      <c r="AE27" s="243"/>
      <c r="AF27" s="243"/>
      <c r="AG27" s="243"/>
      <c r="AH27" s="243"/>
      <c r="AI27" s="243"/>
      <c r="AJ27" s="243"/>
      <c r="AK27" s="243"/>
      <c r="AL27" s="243"/>
      <c r="AM27" s="243"/>
      <c r="AN27" s="243"/>
      <c r="AO27" s="243"/>
      <c r="AP27" s="243"/>
      <c r="AQ27" s="243"/>
      <c r="AR27" s="243"/>
      <c r="AS27" s="243"/>
      <c r="AT27" s="243"/>
      <c r="AU27" s="243"/>
      <c r="AV27" s="243"/>
      <c r="AW27" s="243"/>
      <c r="AX27" s="243"/>
      <c r="AY27" s="243"/>
      <c r="AZ27" s="243"/>
      <c r="BA27" s="244"/>
      <c r="BK27" s="237"/>
    </row>
    <row r="28" spans="1:63" ht="15" customHeight="1" x14ac:dyDescent="0.25">
      <c r="A28" s="236"/>
      <c r="K28" s="241"/>
      <c r="L28" s="243"/>
      <c r="M28" s="243"/>
      <c r="N28" s="243"/>
      <c r="O28" s="243"/>
      <c r="P28" s="243"/>
      <c r="Q28" s="243"/>
      <c r="R28" s="243"/>
      <c r="S28" s="243"/>
      <c r="T28" s="243"/>
      <c r="U28" s="243"/>
      <c r="V28" s="243"/>
      <c r="W28" s="243"/>
      <c r="X28" s="243"/>
      <c r="Y28" s="243"/>
      <c r="Z28" s="243"/>
      <c r="AA28" s="243"/>
      <c r="AB28" s="243"/>
      <c r="AC28" s="243"/>
      <c r="AD28" s="243"/>
      <c r="AE28" s="243"/>
      <c r="AF28" s="243"/>
      <c r="AG28" s="243"/>
      <c r="AH28" s="243"/>
      <c r="AI28" s="243"/>
      <c r="AJ28" s="243"/>
      <c r="AK28" s="243"/>
      <c r="AL28" s="243"/>
      <c r="AM28" s="243"/>
      <c r="AN28" s="243"/>
      <c r="AO28" s="243"/>
      <c r="AP28" s="243"/>
      <c r="AQ28" s="243"/>
      <c r="AR28" s="243"/>
      <c r="AS28" s="243"/>
      <c r="AT28" s="243"/>
      <c r="AU28" s="243"/>
      <c r="AV28" s="243"/>
      <c r="AW28" s="243"/>
      <c r="AX28" s="243"/>
      <c r="AY28" s="243"/>
      <c r="AZ28" s="243"/>
      <c r="BA28" s="244"/>
      <c r="BK28" s="237"/>
    </row>
    <row r="29" spans="1:63" ht="15" customHeight="1" x14ac:dyDescent="0.25">
      <c r="A29" s="236"/>
      <c r="K29" s="241"/>
      <c r="L29" s="243"/>
      <c r="M29" s="243"/>
      <c r="N29" s="243"/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  <c r="AK29" s="243"/>
      <c r="AL29" s="243"/>
      <c r="AM29" s="243"/>
      <c r="AN29" s="243"/>
      <c r="AO29" s="243"/>
      <c r="AP29" s="243"/>
      <c r="AQ29" s="243"/>
      <c r="AR29" s="243"/>
      <c r="AS29" s="243"/>
      <c r="AT29" s="243"/>
      <c r="AU29" s="243"/>
      <c r="AV29" s="243"/>
      <c r="AW29" s="243"/>
      <c r="AX29" s="243"/>
      <c r="AY29" s="243"/>
      <c r="AZ29" s="243"/>
      <c r="BA29" s="244"/>
      <c r="BK29" s="237"/>
    </row>
    <row r="30" spans="1:63" ht="15" customHeight="1" x14ac:dyDescent="0.25">
      <c r="A30" s="236"/>
      <c r="K30" s="241"/>
      <c r="L30" s="243"/>
      <c r="M30" s="243"/>
      <c r="N30" s="243"/>
      <c r="O30" s="243"/>
      <c r="P30" s="243"/>
      <c r="Q30" s="243"/>
      <c r="R30" s="243"/>
      <c r="S30" s="243"/>
      <c r="T30" s="243"/>
      <c r="U30" s="243"/>
      <c r="V30" s="243"/>
      <c r="W30" s="243"/>
      <c r="X30" s="243"/>
      <c r="Y30" s="243"/>
      <c r="Z30" s="243"/>
      <c r="AA30" s="243"/>
      <c r="AB30" s="243"/>
      <c r="AC30" s="243"/>
      <c r="AD30" s="243"/>
      <c r="AE30" s="243"/>
      <c r="AF30" s="243"/>
      <c r="AG30" s="243"/>
      <c r="AH30" s="243"/>
      <c r="AI30" s="243"/>
      <c r="AJ30" s="243"/>
      <c r="AK30" s="243"/>
      <c r="AL30" s="243"/>
      <c r="AM30" s="243"/>
      <c r="AN30" s="243"/>
      <c r="AO30" s="243"/>
      <c r="AP30" s="243"/>
      <c r="AQ30" s="243"/>
      <c r="AR30" s="243"/>
      <c r="AS30" s="243"/>
      <c r="AT30" s="243"/>
      <c r="AU30" s="243"/>
      <c r="AV30" s="243"/>
      <c r="AW30" s="243"/>
      <c r="AX30" s="243"/>
      <c r="AY30" s="243"/>
      <c r="AZ30" s="243"/>
      <c r="BA30" s="244"/>
      <c r="BK30" s="237"/>
    </row>
    <row r="31" spans="1:63" ht="15" customHeight="1" x14ac:dyDescent="0.25">
      <c r="A31" s="236"/>
      <c r="K31" s="241"/>
      <c r="L31" s="243"/>
      <c r="M31" s="243"/>
      <c r="N31" s="243"/>
      <c r="O31" s="243"/>
      <c r="P31" s="243"/>
      <c r="Q31" s="243"/>
      <c r="R31" s="243"/>
      <c r="S31" s="243"/>
      <c r="T31" s="243"/>
      <c r="U31" s="243"/>
      <c r="V31" s="243"/>
      <c r="W31" s="243"/>
      <c r="X31" s="243"/>
      <c r="Y31" s="243"/>
      <c r="Z31" s="243"/>
      <c r="AA31" s="243"/>
      <c r="AB31" s="243"/>
      <c r="AC31" s="243"/>
      <c r="AD31" s="243"/>
      <c r="AE31" s="243"/>
      <c r="AF31" s="243"/>
      <c r="AG31" s="243"/>
      <c r="AH31" s="243"/>
      <c r="AI31" s="243"/>
      <c r="AJ31" s="243"/>
      <c r="AK31" s="243"/>
      <c r="AL31" s="243"/>
      <c r="AM31" s="243"/>
      <c r="AN31" s="243"/>
      <c r="AO31" s="243"/>
      <c r="AP31" s="243"/>
      <c r="AQ31" s="243"/>
      <c r="AR31" s="243"/>
      <c r="AS31" s="243"/>
      <c r="AT31" s="243"/>
      <c r="AU31" s="243"/>
      <c r="AV31" s="243"/>
      <c r="AW31" s="243"/>
      <c r="AX31" s="243"/>
      <c r="AY31" s="243"/>
      <c r="AZ31" s="243"/>
      <c r="BA31" s="244"/>
      <c r="BK31" s="237"/>
    </row>
    <row r="32" spans="1:63" ht="15" customHeight="1" x14ac:dyDescent="0.25">
      <c r="A32" s="236"/>
      <c r="K32" s="241"/>
      <c r="L32" s="243"/>
      <c r="M32" s="243"/>
      <c r="N32" s="243"/>
      <c r="O32" s="243"/>
      <c r="P32" s="243"/>
      <c r="Q32" s="243"/>
      <c r="R32" s="243"/>
      <c r="S32" s="243"/>
      <c r="T32" s="243"/>
      <c r="U32" s="243"/>
      <c r="V32" s="243"/>
      <c r="W32" s="243"/>
      <c r="X32" s="243"/>
      <c r="Y32" s="243"/>
      <c r="Z32" s="243"/>
      <c r="AA32" s="243"/>
      <c r="AB32" s="243"/>
      <c r="AC32" s="243"/>
      <c r="AD32" s="243"/>
      <c r="AE32" s="243"/>
      <c r="AF32" s="243"/>
      <c r="AG32" s="243"/>
      <c r="AH32" s="243"/>
      <c r="AI32" s="243"/>
      <c r="AJ32" s="243"/>
      <c r="AK32" s="243"/>
      <c r="AL32" s="243"/>
      <c r="AM32" s="243"/>
      <c r="AN32" s="243"/>
      <c r="AO32" s="243"/>
      <c r="AP32" s="243"/>
      <c r="AQ32" s="243"/>
      <c r="AR32" s="243"/>
      <c r="AS32" s="243"/>
      <c r="AT32" s="243"/>
      <c r="AU32" s="243"/>
      <c r="AV32" s="243"/>
      <c r="AW32" s="243"/>
      <c r="AX32" s="243"/>
      <c r="AY32" s="243"/>
      <c r="AZ32" s="243"/>
      <c r="BA32" s="244"/>
      <c r="BK32" s="237"/>
    </row>
    <row r="33" spans="1:63" ht="15" customHeight="1" x14ac:dyDescent="0.25">
      <c r="A33" s="236"/>
      <c r="K33" s="241"/>
      <c r="L33" s="243"/>
      <c r="M33" s="243"/>
      <c r="N33" s="243"/>
      <c r="O33" s="243"/>
      <c r="P33" s="243"/>
      <c r="Q33" s="243"/>
      <c r="R33" s="243"/>
      <c r="S33" s="243"/>
      <c r="T33" s="243"/>
      <c r="U33" s="243"/>
      <c r="V33" s="243"/>
      <c r="W33" s="243"/>
      <c r="X33" s="243"/>
      <c r="Y33" s="243"/>
      <c r="Z33" s="243"/>
      <c r="AA33" s="243"/>
      <c r="AB33" s="243"/>
      <c r="AC33" s="243"/>
      <c r="AD33" s="243"/>
      <c r="AE33" s="243"/>
      <c r="AF33" s="243"/>
      <c r="AG33" s="243"/>
      <c r="AH33" s="243"/>
      <c r="AI33" s="243"/>
      <c r="AJ33" s="243"/>
      <c r="AK33" s="243"/>
      <c r="AL33" s="243"/>
      <c r="AM33" s="243"/>
      <c r="AN33" s="243"/>
      <c r="AO33" s="243"/>
      <c r="AP33" s="243"/>
      <c r="AQ33" s="243"/>
      <c r="AR33" s="243"/>
      <c r="AS33" s="243"/>
      <c r="AT33" s="243"/>
      <c r="AU33" s="243"/>
      <c r="AV33" s="243"/>
      <c r="AW33" s="243"/>
      <c r="AX33" s="243"/>
      <c r="AY33" s="243"/>
      <c r="AZ33" s="243"/>
      <c r="BA33" s="244"/>
      <c r="BK33" s="237"/>
    </row>
    <row r="34" spans="1:63" ht="15" customHeight="1" x14ac:dyDescent="0.25">
      <c r="A34" s="236"/>
      <c r="K34" s="241"/>
      <c r="L34" s="243"/>
      <c r="M34" s="243"/>
      <c r="N34" s="243"/>
      <c r="O34" s="243"/>
      <c r="P34" s="243"/>
      <c r="Q34" s="243"/>
      <c r="R34" s="243"/>
      <c r="S34" s="243"/>
      <c r="T34" s="243"/>
      <c r="U34" s="243"/>
      <c r="V34" s="243"/>
      <c r="W34" s="243"/>
      <c r="X34" s="243"/>
      <c r="Y34" s="243"/>
      <c r="Z34" s="243"/>
      <c r="AA34" s="243"/>
      <c r="AB34" s="243"/>
      <c r="AC34" s="243"/>
      <c r="AD34" s="243"/>
      <c r="AE34" s="243"/>
      <c r="AF34" s="243"/>
      <c r="AG34" s="243"/>
      <c r="AH34" s="243"/>
      <c r="AI34" s="243"/>
      <c r="AJ34" s="243"/>
      <c r="AK34" s="243"/>
      <c r="AL34" s="243"/>
      <c r="AM34" s="243"/>
      <c r="AN34" s="243"/>
      <c r="AO34" s="243"/>
      <c r="AP34" s="243"/>
      <c r="AQ34" s="243"/>
      <c r="AR34" s="243"/>
      <c r="AS34" s="243"/>
      <c r="AT34" s="243"/>
      <c r="AU34" s="243"/>
      <c r="AV34" s="243"/>
      <c r="AW34" s="243"/>
      <c r="AX34" s="243"/>
      <c r="AY34" s="243"/>
      <c r="AZ34" s="243"/>
      <c r="BA34" s="244"/>
      <c r="BK34" s="237"/>
    </row>
    <row r="35" spans="1:63" ht="15" customHeight="1" x14ac:dyDescent="0.25">
      <c r="A35" s="236"/>
      <c r="K35" s="241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Y35" s="243"/>
      <c r="Z35" s="243"/>
      <c r="AA35" s="243"/>
      <c r="AB35" s="243"/>
      <c r="AC35" s="243"/>
      <c r="AD35" s="243"/>
      <c r="AE35" s="243"/>
      <c r="AF35" s="243"/>
      <c r="AG35" s="243"/>
      <c r="AH35" s="243"/>
      <c r="AI35" s="243"/>
      <c r="AJ35" s="243"/>
      <c r="AK35" s="243"/>
      <c r="AL35" s="243"/>
      <c r="AM35" s="243"/>
      <c r="AN35" s="243"/>
      <c r="AO35" s="243"/>
      <c r="AP35" s="243"/>
      <c r="AQ35" s="243"/>
      <c r="AR35" s="243"/>
      <c r="AS35" s="243"/>
      <c r="AT35" s="243"/>
      <c r="AU35" s="243"/>
      <c r="AV35" s="243"/>
      <c r="AW35" s="243"/>
      <c r="AX35" s="243"/>
      <c r="AY35" s="243"/>
      <c r="AZ35" s="243"/>
      <c r="BA35" s="244"/>
      <c r="BK35" s="237"/>
    </row>
    <row r="36" spans="1:63" ht="15" customHeight="1" x14ac:dyDescent="0.25">
      <c r="A36" s="236"/>
      <c r="K36" s="241"/>
      <c r="L36" s="243"/>
      <c r="M36" s="243"/>
      <c r="N36" s="243"/>
      <c r="O36" s="243"/>
      <c r="P36" s="243"/>
      <c r="Q36" s="243"/>
      <c r="R36" s="243"/>
      <c r="S36" s="243"/>
      <c r="T36" s="243"/>
      <c r="U36" s="243"/>
      <c r="V36" s="243"/>
      <c r="W36" s="243"/>
      <c r="X36" s="243"/>
      <c r="Y36" s="243"/>
      <c r="Z36" s="243"/>
      <c r="AA36" s="243"/>
      <c r="AB36" s="243"/>
      <c r="AC36" s="243"/>
      <c r="AD36" s="243"/>
      <c r="AE36" s="243"/>
      <c r="AF36" s="243"/>
      <c r="AG36" s="243"/>
      <c r="AH36" s="243"/>
      <c r="AI36" s="243"/>
      <c r="AJ36" s="243"/>
      <c r="AK36" s="243"/>
      <c r="AL36" s="243"/>
      <c r="AM36" s="243"/>
      <c r="AN36" s="243"/>
      <c r="AO36" s="243"/>
      <c r="AP36" s="243"/>
      <c r="AQ36" s="243"/>
      <c r="AR36" s="243"/>
      <c r="AS36" s="243"/>
      <c r="AT36" s="243"/>
      <c r="AU36" s="243"/>
      <c r="AV36" s="243"/>
      <c r="AW36" s="243"/>
      <c r="AX36" s="243"/>
      <c r="AY36" s="243"/>
      <c r="AZ36" s="243"/>
      <c r="BA36" s="244"/>
      <c r="BK36" s="237"/>
    </row>
    <row r="37" spans="1:63" ht="15" customHeight="1" thickBot="1" x14ac:dyDescent="0.3">
      <c r="A37" s="236"/>
      <c r="K37" s="247"/>
      <c r="L37" s="248"/>
      <c r="M37" s="248"/>
      <c r="N37" s="248"/>
      <c r="O37" s="248"/>
      <c r="P37" s="248"/>
      <c r="Q37" s="248"/>
      <c r="R37" s="248"/>
      <c r="S37" s="248"/>
      <c r="T37" s="248"/>
      <c r="U37" s="248"/>
      <c r="V37" s="248"/>
      <c r="W37" s="248"/>
      <c r="X37" s="248"/>
      <c r="Y37" s="248"/>
      <c r="Z37" s="248"/>
      <c r="AA37" s="248"/>
      <c r="AB37" s="248"/>
      <c r="AC37" s="248"/>
      <c r="AD37" s="248"/>
      <c r="AE37" s="248"/>
      <c r="AF37" s="248"/>
      <c r="AG37" s="248"/>
      <c r="AH37" s="248"/>
      <c r="AI37" s="248"/>
      <c r="AJ37" s="248"/>
      <c r="AK37" s="248"/>
      <c r="AL37" s="248"/>
      <c r="AM37" s="248"/>
      <c r="AN37" s="248"/>
      <c r="AO37" s="248"/>
      <c r="AP37" s="248"/>
      <c r="AQ37" s="248"/>
      <c r="AR37" s="248"/>
      <c r="AS37" s="248"/>
      <c r="AT37" s="248"/>
      <c r="AU37" s="248"/>
      <c r="AV37" s="248"/>
      <c r="AW37" s="248"/>
      <c r="AX37" s="248"/>
      <c r="AY37" s="248"/>
      <c r="AZ37" s="248"/>
      <c r="BA37" s="249"/>
      <c r="BK37" s="237"/>
    </row>
    <row r="38" spans="1:63" ht="15" customHeight="1" thickTop="1" x14ac:dyDescent="0.25">
      <c r="A38" s="236"/>
      <c r="BK38" s="237"/>
    </row>
    <row r="39" spans="1:63" ht="15" customHeight="1" x14ac:dyDescent="0.25">
      <c r="A39" s="236"/>
      <c r="BK39" s="237"/>
    </row>
    <row r="40" spans="1:63" ht="15" customHeight="1" x14ac:dyDescent="0.25">
      <c r="A40" s="236"/>
      <c r="BK40" s="237"/>
    </row>
    <row r="41" spans="1:63" ht="15" customHeight="1" x14ac:dyDescent="0.25">
      <c r="A41" s="236"/>
      <c r="BK41" s="237"/>
    </row>
    <row r="42" spans="1:63" ht="15" customHeight="1" x14ac:dyDescent="0.25">
      <c r="A42" s="236"/>
      <c r="BK42" s="237"/>
    </row>
    <row r="43" spans="1:63" ht="15" customHeight="1" x14ac:dyDescent="0.25">
      <c r="A43" s="236"/>
      <c r="BK43" s="237"/>
    </row>
    <row r="44" spans="1:63" ht="15" customHeight="1" x14ac:dyDescent="0.25">
      <c r="A44" s="236"/>
      <c r="Q44" s="250" t="s">
        <v>134</v>
      </c>
      <c r="R44" s="251"/>
      <c r="S44" s="251"/>
      <c r="T44" s="251"/>
      <c r="U44" s="251"/>
      <c r="V44" s="251"/>
      <c r="W44" s="251"/>
      <c r="X44" s="251"/>
      <c r="Y44" s="251"/>
      <c r="Z44" s="252"/>
      <c r="AA44" s="250" t="s">
        <v>135</v>
      </c>
      <c r="AB44" s="251"/>
      <c r="AC44" s="251"/>
      <c r="AD44" s="251"/>
      <c r="AE44" s="251"/>
      <c r="AF44" s="251"/>
      <c r="AG44" s="251"/>
      <c r="AH44" s="251"/>
      <c r="AI44" s="251"/>
      <c r="AJ44" s="251"/>
      <c r="AK44" s="251"/>
      <c r="AL44" s="251"/>
      <c r="AM44" s="251"/>
      <c r="AN44" s="251"/>
      <c r="AO44" s="251"/>
      <c r="AP44" s="252"/>
      <c r="AQ44" s="250" t="s">
        <v>128</v>
      </c>
      <c r="AR44" s="251"/>
      <c r="AS44" s="251"/>
      <c r="AT44" s="251"/>
      <c r="AU44" s="252"/>
      <c r="BK44" s="237"/>
    </row>
    <row r="45" spans="1:63" ht="15" customHeight="1" x14ac:dyDescent="0.25">
      <c r="A45" s="236"/>
      <c r="Q45" s="253"/>
      <c r="R45" s="254"/>
      <c r="S45" s="254"/>
      <c r="T45" s="254"/>
      <c r="U45" s="254"/>
      <c r="V45" s="254"/>
      <c r="W45" s="254"/>
      <c r="X45" s="254"/>
      <c r="Y45" s="254"/>
      <c r="Z45" s="255"/>
      <c r="AA45" s="253"/>
      <c r="AB45" s="254"/>
      <c r="AC45" s="254"/>
      <c r="AD45" s="254"/>
      <c r="AE45" s="254"/>
      <c r="AF45" s="254"/>
      <c r="AG45" s="254"/>
      <c r="AH45" s="254"/>
      <c r="AI45" s="254"/>
      <c r="AJ45" s="254"/>
      <c r="AK45" s="254"/>
      <c r="AL45" s="254"/>
      <c r="AM45" s="254"/>
      <c r="AN45" s="254"/>
      <c r="AO45" s="254"/>
      <c r="AP45" s="255"/>
      <c r="AQ45" s="253"/>
      <c r="AR45" s="254"/>
      <c r="AS45" s="254"/>
      <c r="AT45" s="254"/>
      <c r="AU45" s="255"/>
      <c r="BK45" s="237"/>
    </row>
    <row r="46" spans="1:63" ht="15" customHeight="1" x14ac:dyDescent="0.25">
      <c r="A46" s="236"/>
      <c r="Q46" s="208"/>
      <c r="R46" s="206"/>
      <c r="S46" s="206"/>
      <c r="T46" s="206"/>
      <c r="U46" s="206"/>
      <c r="V46" s="206"/>
      <c r="W46" s="206"/>
      <c r="X46" s="206"/>
      <c r="Y46" s="206"/>
      <c r="Z46" s="207"/>
      <c r="AA46" s="208"/>
      <c r="AB46" s="206"/>
      <c r="AC46" s="206"/>
      <c r="AD46" s="206"/>
      <c r="AE46" s="206"/>
      <c r="AF46" s="206"/>
      <c r="AG46" s="206"/>
      <c r="AH46" s="206"/>
      <c r="AI46" s="206"/>
      <c r="AJ46" s="206"/>
      <c r="AK46" s="206"/>
      <c r="AL46" s="206"/>
      <c r="AM46" s="206"/>
      <c r="AN46" s="206"/>
      <c r="AO46" s="206"/>
      <c r="AP46" s="207"/>
      <c r="AQ46" s="208"/>
      <c r="AR46" s="206"/>
      <c r="AS46" s="206"/>
      <c r="AT46" s="206"/>
      <c r="AU46" s="207"/>
      <c r="BK46" s="237"/>
    </row>
    <row r="47" spans="1:63" ht="15" customHeight="1" x14ac:dyDescent="0.25">
      <c r="A47" s="236"/>
      <c r="Q47" s="256"/>
      <c r="R47" s="257"/>
      <c r="S47" s="257"/>
      <c r="T47" s="257"/>
      <c r="U47" s="257"/>
      <c r="V47" s="257"/>
      <c r="W47" s="257"/>
      <c r="X47" s="257"/>
      <c r="Y47" s="257"/>
      <c r="Z47" s="258"/>
      <c r="AA47" s="256"/>
      <c r="AB47" s="257"/>
      <c r="AC47" s="257"/>
      <c r="AD47" s="257"/>
      <c r="AE47" s="257"/>
      <c r="AF47" s="257"/>
      <c r="AG47" s="257"/>
      <c r="AH47" s="257"/>
      <c r="AI47" s="257"/>
      <c r="AJ47" s="257"/>
      <c r="AK47" s="257"/>
      <c r="AL47" s="257"/>
      <c r="AM47" s="257"/>
      <c r="AN47" s="257"/>
      <c r="AO47" s="257"/>
      <c r="AP47" s="258"/>
      <c r="AQ47" s="256"/>
      <c r="AR47" s="257"/>
      <c r="AS47" s="257"/>
      <c r="AT47" s="257"/>
      <c r="AU47" s="258"/>
      <c r="BK47" s="237"/>
    </row>
    <row r="48" spans="1:63" ht="15" customHeight="1" x14ac:dyDescent="0.25">
      <c r="A48" s="236"/>
      <c r="Q48" s="256"/>
      <c r="R48" s="257"/>
      <c r="S48" s="257"/>
      <c r="T48" s="257"/>
      <c r="U48" s="257"/>
      <c r="V48" s="257"/>
      <c r="W48" s="257"/>
      <c r="X48" s="257"/>
      <c r="Y48" s="257"/>
      <c r="Z48" s="258"/>
      <c r="AA48" s="256"/>
      <c r="AB48" s="257"/>
      <c r="AC48" s="257"/>
      <c r="AD48" s="257"/>
      <c r="AE48" s="257"/>
      <c r="AF48" s="257"/>
      <c r="AG48" s="257"/>
      <c r="AH48" s="257"/>
      <c r="AI48" s="257"/>
      <c r="AJ48" s="257"/>
      <c r="AK48" s="257"/>
      <c r="AL48" s="257"/>
      <c r="AM48" s="257"/>
      <c r="AN48" s="257"/>
      <c r="AO48" s="257"/>
      <c r="AP48" s="258"/>
      <c r="AQ48" s="256"/>
      <c r="AR48" s="257"/>
      <c r="AS48" s="257"/>
      <c r="AT48" s="257"/>
      <c r="AU48" s="258"/>
      <c r="BK48" s="237"/>
    </row>
    <row r="49" spans="1:63" ht="15" customHeight="1" x14ac:dyDescent="0.25">
      <c r="A49" s="236"/>
      <c r="Q49" s="218"/>
      <c r="R49" s="219"/>
      <c r="S49" s="219"/>
      <c r="T49" s="219"/>
      <c r="U49" s="219"/>
      <c r="V49" s="219"/>
      <c r="W49" s="219"/>
      <c r="X49" s="219"/>
      <c r="Y49" s="219"/>
      <c r="Z49" s="220"/>
      <c r="AA49" s="218"/>
      <c r="AB49" s="219"/>
      <c r="AC49" s="219"/>
      <c r="AD49" s="219"/>
      <c r="AE49" s="219"/>
      <c r="AF49" s="219"/>
      <c r="AG49" s="219"/>
      <c r="AH49" s="219"/>
      <c r="AI49" s="219"/>
      <c r="AJ49" s="219"/>
      <c r="AK49" s="219"/>
      <c r="AL49" s="219"/>
      <c r="AM49" s="219"/>
      <c r="AN49" s="219"/>
      <c r="AO49" s="219"/>
      <c r="AP49" s="220"/>
      <c r="AQ49" s="218"/>
      <c r="AR49" s="219"/>
      <c r="AS49" s="219"/>
      <c r="AT49" s="219"/>
      <c r="AU49" s="220"/>
      <c r="BK49" s="237"/>
    </row>
    <row r="50" spans="1:63" ht="15" customHeight="1" x14ac:dyDescent="0.25">
      <c r="A50" s="236"/>
      <c r="BK50" s="237"/>
    </row>
    <row r="51" spans="1:63" ht="15" customHeight="1" x14ac:dyDescent="0.25">
      <c r="A51" s="236"/>
      <c r="BK51" s="237"/>
    </row>
    <row r="52" spans="1:63" ht="15" customHeight="1" x14ac:dyDescent="0.25">
      <c r="A52" s="236"/>
      <c r="BK52" s="237"/>
    </row>
    <row r="53" spans="1:63" ht="15" customHeight="1" x14ac:dyDescent="0.25">
      <c r="A53" s="236"/>
      <c r="BK53" s="237"/>
    </row>
    <row r="54" spans="1:63" ht="15" customHeight="1" x14ac:dyDescent="0.25">
      <c r="A54" s="236"/>
      <c r="BK54" s="237"/>
    </row>
    <row r="55" spans="1:63" ht="15" customHeight="1" x14ac:dyDescent="0.25">
      <c r="A55" s="233"/>
      <c r="B55" s="234"/>
      <c r="C55" s="234"/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4"/>
      <c r="S55" s="234"/>
      <c r="T55" s="234"/>
      <c r="U55" s="234"/>
      <c r="V55" s="234"/>
      <c r="W55" s="234"/>
      <c r="X55" s="234"/>
      <c r="Y55" s="234"/>
      <c r="Z55" s="234"/>
      <c r="AA55" s="234"/>
      <c r="AB55" s="234"/>
      <c r="AC55" s="234"/>
      <c r="AD55" s="234"/>
      <c r="AE55" s="234"/>
      <c r="AF55" s="234"/>
      <c r="AG55" s="234"/>
      <c r="AH55" s="234"/>
      <c r="AI55" s="234"/>
      <c r="AJ55" s="234"/>
      <c r="AK55" s="234"/>
      <c r="AL55" s="234"/>
      <c r="AM55" s="234"/>
      <c r="AN55" s="234"/>
      <c r="AO55" s="234"/>
      <c r="AP55" s="234"/>
      <c r="AQ55" s="234"/>
      <c r="AR55" s="234"/>
      <c r="AS55" s="234"/>
      <c r="AT55" s="234"/>
      <c r="AU55" s="234"/>
      <c r="AV55" s="234"/>
      <c r="AW55" s="234"/>
      <c r="AX55" s="234"/>
      <c r="AY55" s="234"/>
      <c r="AZ55" s="234"/>
      <c r="BA55" s="234"/>
      <c r="BB55" s="234"/>
      <c r="BC55" s="234"/>
      <c r="BD55" s="234"/>
      <c r="BE55" s="234"/>
      <c r="BF55" s="234"/>
      <c r="BG55" s="234"/>
      <c r="BH55" s="234"/>
      <c r="BI55" s="234"/>
      <c r="BJ55" s="234"/>
      <c r="BK55" s="235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205" customWidth="1"/>
    <col min="61" max="16384" width="2.77734375" style="205"/>
  </cols>
  <sheetData>
    <row r="1" spans="1:63" ht="24.95" customHeight="1" x14ac:dyDescent="0.25">
      <c r="A1" s="199" t="s">
        <v>121</v>
      </c>
      <c r="B1" s="200"/>
      <c r="C1" s="200"/>
      <c r="D1" s="200"/>
      <c r="E1" s="200"/>
      <c r="F1" s="200"/>
      <c r="G1" s="200"/>
      <c r="H1" s="200"/>
      <c r="I1" s="200"/>
      <c r="J1" s="201"/>
      <c r="K1" s="199" t="s">
        <v>122</v>
      </c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1"/>
      <c r="W1" s="259" t="str">
        <f>IF(表紙!W1="","",表紙!W1)</f>
        <v>詳細設計書</v>
      </c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4"/>
      <c r="AP1" s="199" t="s">
        <v>124</v>
      </c>
      <c r="AQ1" s="200"/>
      <c r="AR1" s="200"/>
      <c r="AS1" s="201"/>
      <c r="AT1" s="199" t="s">
        <v>125</v>
      </c>
      <c r="AU1" s="200"/>
      <c r="AV1" s="200"/>
      <c r="AW1" s="200"/>
      <c r="AX1" s="201"/>
      <c r="AY1" s="199" t="s">
        <v>126</v>
      </c>
      <c r="AZ1" s="200"/>
      <c r="BA1" s="200"/>
      <c r="BB1" s="201"/>
      <c r="BC1" s="199" t="s">
        <v>127</v>
      </c>
      <c r="BD1" s="200"/>
      <c r="BE1" s="200"/>
      <c r="BF1" s="200"/>
      <c r="BG1" s="201"/>
      <c r="BH1" s="199" t="s">
        <v>128</v>
      </c>
      <c r="BI1" s="200"/>
      <c r="BJ1" s="200"/>
      <c r="BK1" s="201"/>
    </row>
    <row r="2" spans="1:63" ht="15" customHeight="1" x14ac:dyDescent="0.25">
      <c r="A2" s="208" t="str">
        <f>IF(表紙!A2="","",表紙!A2)</f>
        <v>POSサーバー</v>
      </c>
      <c r="B2" s="206"/>
      <c r="C2" s="206"/>
      <c r="D2" s="206"/>
      <c r="E2" s="206"/>
      <c r="F2" s="206"/>
      <c r="G2" s="206"/>
      <c r="H2" s="206"/>
      <c r="I2" s="206"/>
      <c r="J2" s="207"/>
      <c r="K2" s="208" t="str">
        <f>IF(表紙!K2="","",表紙!K2)</f>
        <v>POSサーバ</v>
      </c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7"/>
      <c r="W2" s="209"/>
      <c r="X2" s="210"/>
      <c r="Y2" s="210"/>
      <c r="Z2" s="210"/>
      <c r="AA2" s="210"/>
      <c r="AB2" s="210"/>
      <c r="AC2" s="210"/>
      <c r="AD2" s="210"/>
      <c r="AE2" s="210"/>
      <c r="AF2" s="210"/>
      <c r="AG2" s="210"/>
      <c r="AH2" s="210"/>
      <c r="AI2" s="210"/>
      <c r="AJ2" s="210"/>
      <c r="AK2" s="210"/>
      <c r="AL2" s="210"/>
      <c r="AM2" s="210"/>
      <c r="AN2" s="210"/>
      <c r="AO2" s="211"/>
      <c r="AP2" s="208" t="str">
        <f>IF(表紙!AP2="","",表紙!AP2)</f>
        <v>TuyenNH</v>
      </c>
      <c r="AQ2" s="206"/>
      <c r="AR2" s="206"/>
      <c r="AS2" s="207"/>
      <c r="AT2" s="212">
        <f>IF(表紙!AT2="","",表紙!AT2)</f>
        <v>45544</v>
      </c>
      <c r="AU2" s="213"/>
      <c r="AV2" s="213"/>
      <c r="AW2" s="213"/>
      <c r="AX2" s="214"/>
      <c r="AY2" s="208" t="str">
        <f>IF(表紙!AY2="","",表紙!AY2)</f>
        <v>DuNT</v>
      </c>
      <c r="AZ2" s="206"/>
      <c r="BA2" s="206"/>
      <c r="BB2" s="207"/>
      <c r="BC2" s="212">
        <f>IF(表紙!BC2="","",表紙!BC2)</f>
        <v>45628</v>
      </c>
      <c r="BD2" s="213"/>
      <c r="BE2" s="213"/>
      <c r="BF2" s="213"/>
      <c r="BG2" s="214"/>
      <c r="BH2" s="208">
        <f>IF(表紙!BH2="","",表紙!BH2)</f>
        <v>0.16</v>
      </c>
      <c r="BI2" s="206"/>
      <c r="BJ2" s="206"/>
      <c r="BK2" s="207"/>
    </row>
    <row r="3" spans="1:63" ht="15" customHeight="1" x14ac:dyDescent="0.25">
      <c r="A3" s="218"/>
      <c r="B3" s="219"/>
      <c r="C3" s="219"/>
      <c r="D3" s="219"/>
      <c r="E3" s="219"/>
      <c r="F3" s="219"/>
      <c r="G3" s="219"/>
      <c r="H3" s="219"/>
      <c r="I3" s="219"/>
      <c r="J3" s="220"/>
      <c r="K3" s="218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20"/>
      <c r="W3" s="221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3"/>
      <c r="AP3" s="218"/>
      <c r="AQ3" s="219"/>
      <c r="AR3" s="219"/>
      <c r="AS3" s="220"/>
      <c r="AT3" s="224"/>
      <c r="AU3" s="225"/>
      <c r="AV3" s="225"/>
      <c r="AW3" s="225"/>
      <c r="AX3" s="226"/>
      <c r="AY3" s="218"/>
      <c r="AZ3" s="219"/>
      <c r="BA3" s="219"/>
      <c r="BB3" s="220"/>
      <c r="BC3" s="224"/>
      <c r="BD3" s="225"/>
      <c r="BE3" s="225"/>
      <c r="BF3" s="225"/>
      <c r="BG3" s="226"/>
      <c r="BH3" s="218"/>
      <c r="BI3" s="219"/>
      <c r="BJ3" s="219"/>
      <c r="BK3" s="220"/>
    </row>
    <row r="4" spans="1:63" ht="24.95" customHeight="1" x14ac:dyDescent="0.25">
      <c r="A4" s="199" t="s">
        <v>130</v>
      </c>
      <c r="B4" s="200"/>
      <c r="C4" s="200"/>
      <c r="D4" s="200"/>
      <c r="E4" s="200"/>
      <c r="F4" s="200"/>
      <c r="G4" s="201"/>
      <c r="H4" s="230" t="str">
        <f>IF(表紙!H4="","",表紙!H4)</f>
        <v>03_店舗特売入力</v>
      </c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2"/>
      <c r="U4" s="199" t="s">
        <v>131</v>
      </c>
      <c r="V4" s="200"/>
      <c r="W4" s="200"/>
      <c r="X4" s="200"/>
      <c r="Y4" s="201"/>
      <c r="Z4" s="230" t="str">
        <f>IF(表紙!Z4="","",表紙!Z4)</f>
        <v>画面設計書</v>
      </c>
      <c r="AA4" s="231"/>
      <c r="AB4" s="231"/>
      <c r="AC4" s="231"/>
      <c r="AD4" s="231"/>
      <c r="AE4" s="231"/>
      <c r="AF4" s="231"/>
      <c r="AG4" s="231"/>
      <c r="AH4" s="231"/>
      <c r="AI4" s="231"/>
      <c r="AJ4" s="231"/>
      <c r="AK4" s="231"/>
      <c r="AL4" s="231"/>
      <c r="AM4" s="231"/>
      <c r="AN4" s="231"/>
      <c r="AO4" s="232"/>
      <c r="AP4" s="230" t="str">
        <f t="array" aca="1" ref="AP4" ca="1">RIGHT(CELL("filename",$A$1),LEN(CELL("filename",$A$1))-FIND("]",CELL("filename",$A$1)))</f>
        <v>改訂履歴</v>
      </c>
      <c r="AQ4" s="231"/>
      <c r="AR4" s="231"/>
      <c r="AS4" s="231"/>
      <c r="AT4" s="231"/>
      <c r="AU4" s="231"/>
      <c r="AV4" s="231"/>
      <c r="AW4" s="231"/>
      <c r="AX4" s="231"/>
      <c r="AY4" s="231"/>
      <c r="AZ4" s="231"/>
      <c r="BA4" s="231"/>
      <c r="BB4" s="231"/>
      <c r="BC4" s="231"/>
      <c r="BD4" s="231"/>
      <c r="BE4" s="231"/>
      <c r="BF4" s="231"/>
      <c r="BG4" s="231"/>
      <c r="BH4" s="231"/>
      <c r="BI4" s="231"/>
      <c r="BJ4" s="231"/>
      <c r="BK4" s="232"/>
    </row>
    <row r="5" spans="1:63" ht="5.0999999999999996" customHeight="1" x14ac:dyDescent="0.25">
      <c r="A5" s="233"/>
      <c r="B5" s="234"/>
      <c r="C5" s="234"/>
      <c r="D5" s="234"/>
      <c r="E5" s="234"/>
      <c r="F5" s="234"/>
      <c r="G5" s="234"/>
      <c r="H5" s="234"/>
      <c r="I5" s="234"/>
      <c r="J5" s="234"/>
      <c r="K5" s="234"/>
      <c r="L5" s="234"/>
      <c r="M5" s="234"/>
      <c r="N5" s="234"/>
      <c r="O5" s="234"/>
      <c r="P5" s="234"/>
      <c r="Q5" s="234"/>
      <c r="R5" s="234"/>
      <c r="S5" s="234"/>
      <c r="T5" s="234"/>
      <c r="U5" s="234"/>
      <c r="V5" s="234"/>
      <c r="W5" s="234"/>
      <c r="X5" s="234"/>
      <c r="Y5" s="234"/>
      <c r="Z5" s="234"/>
      <c r="AA5" s="234"/>
      <c r="AB5" s="234"/>
      <c r="AC5" s="234"/>
      <c r="AD5" s="234"/>
      <c r="AE5" s="234"/>
      <c r="AF5" s="234"/>
      <c r="AG5" s="234"/>
      <c r="AH5" s="234"/>
      <c r="AI5" s="234"/>
      <c r="AJ5" s="234"/>
      <c r="AK5" s="234"/>
      <c r="AL5" s="234"/>
      <c r="AM5" s="234"/>
      <c r="AN5" s="234"/>
      <c r="AO5" s="234"/>
      <c r="AP5" s="234"/>
      <c r="AQ5" s="234"/>
      <c r="AR5" s="234"/>
      <c r="AS5" s="234"/>
      <c r="AT5" s="234"/>
      <c r="AU5" s="234"/>
      <c r="AV5" s="234"/>
      <c r="AW5" s="234"/>
      <c r="AX5" s="234"/>
      <c r="AY5" s="234"/>
      <c r="AZ5" s="234"/>
      <c r="BA5" s="234"/>
      <c r="BB5" s="234"/>
      <c r="BC5" s="234"/>
      <c r="BD5" s="234"/>
      <c r="BE5" s="234"/>
      <c r="BF5" s="234"/>
      <c r="BG5" s="234"/>
      <c r="BH5" s="234"/>
      <c r="BI5" s="234"/>
      <c r="BJ5" s="234"/>
      <c r="BK5" s="235"/>
    </row>
    <row r="6" spans="1:63" ht="15" customHeight="1" x14ac:dyDescent="0.25">
      <c r="A6" s="236"/>
      <c r="BK6" s="237"/>
    </row>
    <row r="7" spans="1:63" ht="15" customHeight="1" x14ac:dyDescent="0.25">
      <c r="A7" s="236"/>
      <c r="BK7" s="237"/>
    </row>
    <row r="8" spans="1:63" ht="15" customHeight="1" x14ac:dyDescent="0.25">
      <c r="A8" s="236"/>
      <c r="B8" s="205" t="s">
        <v>0</v>
      </c>
      <c r="BK8" s="237"/>
    </row>
    <row r="9" spans="1:63" ht="15" customHeight="1" x14ac:dyDescent="0.25">
      <c r="A9" s="236"/>
      <c r="BK9" s="237"/>
    </row>
    <row r="10" spans="1:63" ht="15" customHeight="1" x14ac:dyDescent="0.25">
      <c r="A10" s="236"/>
      <c r="B10" s="260" t="s">
        <v>127</v>
      </c>
      <c r="C10" s="260"/>
      <c r="D10" s="260"/>
      <c r="E10" s="260"/>
      <c r="F10" s="260"/>
      <c r="G10" s="260"/>
      <c r="H10" s="260" t="s">
        <v>126</v>
      </c>
      <c r="I10" s="260"/>
      <c r="J10" s="260"/>
      <c r="K10" s="260"/>
      <c r="L10" s="260"/>
      <c r="M10" s="260"/>
      <c r="N10" s="260"/>
      <c r="O10" s="260" t="s">
        <v>128</v>
      </c>
      <c r="P10" s="260"/>
      <c r="Q10" s="260"/>
      <c r="R10" s="260"/>
      <c r="S10" s="260" t="s">
        <v>136</v>
      </c>
      <c r="T10" s="260"/>
      <c r="U10" s="260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0"/>
      <c r="AO10" s="260"/>
      <c r="AP10" s="260"/>
      <c r="AQ10" s="260"/>
      <c r="AR10" s="260"/>
      <c r="AS10" s="260"/>
      <c r="AT10" s="260"/>
      <c r="AU10" s="260"/>
      <c r="AV10" s="260"/>
      <c r="AW10" s="260"/>
      <c r="AX10" s="260" t="s">
        <v>134</v>
      </c>
      <c r="AY10" s="260"/>
      <c r="AZ10" s="260"/>
      <c r="BA10" s="260"/>
      <c r="BB10" s="260"/>
      <c r="BC10" s="260"/>
      <c r="BD10" s="260" t="s">
        <v>135</v>
      </c>
      <c r="BE10" s="260"/>
      <c r="BF10" s="260"/>
      <c r="BG10" s="260"/>
      <c r="BH10" s="260"/>
      <c r="BI10" s="260"/>
      <c r="BJ10" s="260"/>
      <c r="BK10" s="237"/>
    </row>
    <row r="11" spans="1:63" ht="15" customHeight="1" x14ac:dyDescent="0.25">
      <c r="A11" s="236"/>
      <c r="B11" s="212">
        <v>45544</v>
      </c>
      <c r="C11" s="206"/>
      <c r="D11" s="206"/>
      <c r="E11" s="206"/>
      <c r="F11" s="206"/>
      <c r="G11" s="207"/>
      <c r="H11" s="1" t="s">
        <v>137</v>
      </c>
      <c r="I11" s="206"/>
      <c r="J11" s="206"/>
      <c r="K11" s="206"/>
      <c r="L11" s="206"/>
      <c r="M11" s="206"/>
      <c r="N11" s="207"/>
      <c r="O11" s="208">
        <v>0.1</v>
      </c>
      <c r="P11" s="206"/>
      <c r="Q11" s="206"/>
      <c r="R11" s="206"/>
      <c r="S11" s="261" t="s">
        <v>2</v>
      </c>
      <c r="T11" s="262"/>
      <c r="U11" s="262"/>
      <c r="V11" s="262"/>
      <c r="W11" s="262"/>
      <c r="X11" s="262"/>
      <c r="Y11" s="262"/>
      <c r="Z11" s="262"/>
      <c r="AA11" s="262"/>
      <c r="AB11" s="262"/>
      <c r="AC11" s="262"/>
      <c r="AD11" s="262"/>
      <c r="AE11" s="262"/>
      <c r="AF11" s="262"/>
      <c r="AG11" s="262"/>
      <c r="AH11" s="262"/>
      <c r="AI11" s="262"/>
      <c r="AJ11" s="262"/>
      <c r="AK11" s="262"/>
      <c r="AL11" s="262"/>
      <c r="AM11" s="262"/>
      <c r="AN11" s="262"/>
      <c r="AO11" s="262"/>
      <c r="AP11" s="262"/>
      <c r="AQ11" s="262"/>
      <c r="AR11" s="262"/>
      <c r="AS11" s="262"/>
      <c r="AT11" s="262"/>
      <c r="AU11" s="262"/>
      <c r="AV11" s="262"/>
      <c r="AW11" s="263"/>
      <c r="AX11" s="264"/>
      <c r="AY11" s="264"/>
      <c r="AZ11" s="264"/>
      <c r="BA11" s="264"/>
      <c r="BB11" s="264"/>
      <c r="BC11" s="265"/>
      <c r="BD11" s="266"/>
      <c r="BE11" s="264"/>
      <c r="BF11" s="264"/>
      <c r="BG11" s="264"/>
      <c r="BH11" s="264"/>
      <c r="BI11" s="264"/>
      <c r="BJ11" s="265"/>
      <c r="BK11" s="237"/>
    </row>
    <row r="12" spans="1:63" ht="15" customHeight="1" x14ac:dyDescent="0.25">
      <c r="A12" s="236"/>
      <c r="B12" s="218"/>
      <c r="C12" s="219"/>
      <c r="D12" s="219"/>
      <c r="E12" s="219"/>
      <c r="F12" s="219"/>
      <c r="G12" s="220"/>
      <c r="H12" s="218"/>
      <c r="I12" s="219"/>
      <c r="J12" s="219"/>
      <c r="K12" s="219"/>
      <c r="L12" s="219"/>
      <c r="M12" s="219"/>
      <c r="N12" s="220"/>
      <c r="O12" s="218"/>
      <c r="P12" s="219"/>
      <c r="Q12" s="219"/>
      <c r="R12" s="219"/>
      <c r="S12" s="267"/>
      <c r="T12" s="268"/>
      <c r="U12" s="268"/>
      <c r="V12" s="268"/>
      <c r="W12" s="268"/>
      <c r="X12" s="268"/>
      <c r="Y12" s="268"/>
      <c r="Z12" s="268"/>
      <c r="AA12" s="268"/>
      <c r="AB12" s="268"/>
      <c r="AC12" s="268"/>
      <c r="AD12" s="268"/>
      <c r="AE12" s="268"/>
      <c r="AF12" s="268"/>
      <c r="AG12" s="268"/>
      <c r="AH12" s="268"/>
      <c r="AI12" s="268"/>
      <c r="AJ12" s="268"/>
      <c r="AK12" s="268"/>
      <c r="AL12" s="268"/>
      <c r="AM12" s="268"/>
      <c r="AN12" s="268"/>
      <c r="AO12" s="268"/>
      <c r="AP12" s="268"/>
      <c r="AQ12" s="268"/>
      <c r="AR12" s="268"/>
      <c r="AS12" s="268"/>
      <c r="AT12" s="268"/>
      <c r="AU12" s="268"/>
      <c r="AV12" s="268"/>
      <c r="AW12" s="269"/>
      <c r="AX12" s="270"/>
      <c r="AY12" s="270"/>
      <c r="AZ12" s="270"/>
      <c r="BA12" s="270"/>
      <c r="BB12" s="270"/>
      <c r="BC12" s="271"/>
      <c r="BD12" s="272"/>
      <c r="BE12" s="270"/>
      <c r="BF12" s="270"/>
      <c r="BG12" s="270"/>
      <c r="BH12" s="270"/>
      <c r="BI12" s="270"/>
      <c r="BJ12" s="271"/>
      <c r="BK12" s="237"/>
    </row>
    <row r="13" spans="1:63" ht="15" customHeight="1" x14ac:dyDescent="0.25">
      <c r="A13" s="236"/>
      <c r="B13" s="212">
        <v>45582</v>
      </c>
      <c r="C13" s="206"/>
      <c r="D13" s="206"/>
      <c r="E13" s="206"/>
      <c r="F13" s="206"/>
      <c r="G13" s="207"/>
      <c r="H13" s="208" t="s">
        <v>120</v>
      </c>
      <c r="I13" s="206"/>
      <c r="J13" s="206"/>
      <c r="K13" s="206"/>
      <c r="L13" s="206"/>
      <c r="M13" s="206"/>
      <c r="N13" s="207"/>
      <c r="O13" s="208">
        <v>0.11</v>
      </c>
      <c r="P13" s="206"/>
      <c r="Q13" s="206"/>
      <c r="R13" s="206"/>
      <c r="S13" s="261" t="s">
        <v>106</v>
      </c>
      <c r="T13" s="262"/>
      <c r="U13" s="262"/>
      <c r="V13" s="262"/>
      <c r="W13" s="262"/>
      <c r="X13" s="262"/>
      <c r="Y13" s="262"/>
      <c r="Z13" s="262"/>
      <c r="AA13" s="262"/>
      <c r="AB13" s="262"/>
      <c r="AC13" s="262"/>
      <c r="AD13" s="262"/>
      <c r="AE13" s="262"/>
      <c r="AF13" s="262"/>
      <c r="AG13" s="262"/>
      <c r="AH13" s="262"/>
      <c r="AI13" s="262"/>
      <c r="AJ13" s="262"/>
      <c r="AK13" s="262"/>
      <c r="AL13" s="262"/>
      <c r="AM13" s="262"/>
      <c r="AN13" s="262"/>
      <c r="AO13" s="262"/>
      <c r="AP13" s="262"/>
      <c r="AQ13" s="262"/>
      <c r="AR13" s="262"/>
      <c r="AS13" s="262"/>
      <c r="AT13" s="262"/>
      <c r="AU13" s="262"/>
      <c r="AV13" s="262"/>
      <c r="AW13" s="263"/>
      <c r="AX13" s="264"/>
      <c r="AY13" s="264"/>
      <c r="AZ13" s="264"/>
      <c r="BA13" s="264"/>
      <c r="BB13" s="264"/>
      <c r="BC13" s="265"/>
      <c r="BD13" s="266"/>
      <c r="BE13" s="264"/>
      <c r="BF13" s="264"/>
      <c r="BG13" s="264"/>
      <c r="BH13" s="264"/>
      <c r="BI13" s="264"/>
      <c r="BJ13" s="265"/>
      <c r="BK13" s="237"/>
    </row>
    <row r="14" spans="1:63" ht="15" customHeight="1" x14ac:dyDescent="0.25">
      <c r="A14" s="236"/>
      <c r="B14" s="218"/>
      <c r="C14" s="219"/>
      <c r="D14" s="219"/>
      <c r="E14" s="219"/>
      <c r="F14" s="219"/>
      <c r="G14" s="220"/>
      <c r="H14" s="218"/>
      <c r="I14" s="219"/>
      <c r="J14" s="219"/>
      <c r="K14" s="219"/>
      <c r="L14" s="219"/>
      <c r="M14" s="219"/>
      <c r="N14" s="220"/>
      <c r="O14" s="218"/>
      <c r="P14" s="219"/>
      <c r="Q14" s="219"/>
      <c r="R14" s="219"/>
      <c r="S14" s="267"/>
      <c r="T14" s="268"/>
      <c r="U14" s="268"/>
      <c r="V14" s="268"/>
      <c r="W14" s="268"/>
      <c r="X14" s="268"/>
      <c r="Y14" s="268"/>
      <c r="Z14" s="268"/>
      <c r="AA14" s="268"/>
      <c r="AB14" s="268"/>
      <c r="AC14" s="268"/>
      <c r="AD14" s="268"/>
      <c r="AE14" s="268"/>
      <c r="AF14" s="268"/>
      <c r="AG14" s="268"/>
      <c r="AH14" s="268"/>
      <c r="AI14" s="268"/>
      <c r="AJ14" s="268"/>
      <c r="AK14" s="268"/>
      <c r="AL14" s="268"/>
      <c r="AM14" s="268"/>
      <c r="AN14" s="268"/>
      <c r="AO14" s="268"/>
      <c r="AP14" s="268"/>
      <c r="AQ14" s="268"/>
      <c r="AR14" s="268"/>
      <c r="AS14" s="268"/>
      <c r="AT14" s="268"/>
      <c r="AU14" s="268"/>
      <c r="AV14" s="268"/>
      <c r="AW14" s="269"/>
      <c r="AX14" s="270"/>
      <c r="AY14" s="270"/>
      <c r="AZ14" s="270"/>
      <c r="BA14" s="270"/>
      <c r="BB14" s="270"/>
      <c r="BC14" s="271"/>
      <c r="BD14" s="272"/>
      <c r="BE14" s="270"/>
      <c r="BF14" s="270"/>
      <c r="BG14" s="270"/>
      <c r="BH14" s="270"/>
      <c r="BI14" s="270"/>
      <c r="BJ14" s="271"/>
      <c r="BK14" s="237"/>
    </row>
    <row r="15" spans="1:63" ht="15" customHeight="1" x14ac:dyDescent="0.25">
      <c r="A15" s="236"/>
      <c r="B15" s="21">
        <v>45596</v>
      </c>
      <c r="C15" s="22"/>
      <c r="D15" s="22"/>
      <c r="E15" s="22"/>
      <c r="F15" s="22"/>
      <c r="G15" s="23"/>
      <c r="H15" s="27" t="s">
        <v>119</v>
      </c>
      <c r="I15" s="22"/>
      <c r="J15" s="22"/>
      <c r="K15" s="22"/>
      <c r="L15" s="22"/>
      <c r="M15" s="22"/>
      <c r="N15" s="23"/>
      <c r="O15" s="27">
        <v>0.12</v>
      </c>
      <c r="P15" s="22"/>
      <c r="Q15" s="22"/>
      <c r="R15" s="22"/>
      <c r="S15" s="34" t="s">
        <v>138</v>
      </c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30"/>
      <c r="AX15" s="273"/>
      <c r="AY15" s="273"/>
      <c r="AZ15" s="273"/>
      <c r="BA15" s="273"/>
      <c r="BB15" s="273"/>
      <c r="BC15" s="274"/>
      <c r="BD15" s="275"/>
      <c r="BE15" s="273"/>
      <c r="BF15" s="273"/>
      <c r="BG15" s="273"/>
      <c r="BH15" s="273"/>
      <c r="BI15" s="273"/>
      <c r="BJ15" s="274"/>
      <c r="BK15" s="237"/>
    </row>
    <row r="16" spans="1:63" ht="15" customHeight="1" x14ac:dyDescent="0.25">
      <c r="A16" s="236"/>
      <c r="B16" s="24"/>
      <c r="C16" s="25"/>
      <c r="D16" s="25"/>
      <c r="E16" s="25"/>
      <c r="F16" s="25"/>
      <c r="G16" s="26"/>
      <c r="H16" s="24"/>
      <c r="I16" s="25"/>
      <c r="J16" s="25"/>
      <c r="K16" s="25"/>
      <c r="L16" s="25"/>
      <c r="M16" s="25"/>
      <c r="N16" s="26"/>
      <c r="O16" s="24"/>
      <c r="P16" s="25"/>
      <c r="Q16" s="25"/>
      <c r="R16" s="25"/>
      <c r="S16" s="31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3"/>
      <c r="AX16" s="276"/>
      <c r="AY16" s="276"/>
      <c r="AZ16" s="276"/>
      <c r="BA16" s="276"/>
      <c r="BB16" s="276"/>
      <c r="BC16" s="277"/>
      <c r="BD16" s="278"/>
      <c r="BE16" s="276"/>
      <c r="BF16" s="276"/>
      <c r="BG16" s="276"/>
      <c r="BH16" s="276"/>
      <c r="BI16" s="276"/>
      <c r="BJ16" s="277"/>
      <c r="BK16" s="237"/>
    </row>
    <row r="17" spans="1:63" ht="15" customHeight="1" x14ac:dyDescent="0.25">
      <c r="A17" s="236"/>
      <c r="B17" s="21">
        <v>45611</v>
      </c>
      <c r="C17" s="22"/>
      <c r="D17" s="22"/>
      <c r="E17" s="22"/>
      <c r="F17" s="22"/>
      <c r="G17" s="23"/>
      <c r="H17" s="27" t="s">
        <v>119</v>
      </c>
      <c r="I17" s="22"/>
      <c r="J17" s="22"/>
      <c r="K17" s="22"/>
      <c r="L17" s="22"/>
      <c r="M17" s="22"/>
      <c r="N17" s="23"/>
      <c r="O17" s="27">
        <v>0.13</v>
      </c>
      <c r="P17" s="22"/>
      <c r="Q17" s="22"/>
      <c r="R17" s="22"/>
      <c r="S17" s="28" t="s">
        <v>116</v>
      </c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30"/>
      <c r="AX17" s="279"/>
      <c r="AY17" s="279"/>
      <c r="AZ17" s="279"/>
      <c r="BA17" s="279"/>
      <c r="BB17" s="279"/>
      <c r="BC17" s="280"/>
      <c r="BD17" s="281"/>
      <c r="BE17" s="279"/>
      <c r="BF17" s="279"/>
      <c r="BG17" s="279"/>
      <c r="BH17" s="279"/>
      <c r="BI17" s="279"/>
      <c r="BJ17" s="280"/>
      <c r="BK17" s="237"/>
    </row>
    <row r="18" spans="1:63" ht="15" customHeight="1" x14ac:dyDescent="0.25">
      <c r="A18" s="236"/>
      <c r="B18" s="24"/>
      <c r="C18" s="25"/>
      <c r="D18" s="25"/>
      <c r="E18" s="25"/>
      <c r="F18" s="25"/>
      <c r="G18" s="26"/>
      <c r="H18" s="24"/>
      <c r="I18" s="25"/>
      <c r="J18" s="25"/>
      <c r="K18" s="25"/>
      <c r="L18" s="25"/>
      <c r="M18" s="25"/>
      <c r="N18" s="26"/>
      <c r="O18" s="24"/>
      <c r="P18" s="25"/>
      <c r="Q18" s="25"/>
      <c r="R18" s="25"/>
      <c r="S18" s="31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3"/>
      <c r="AX18" s="282"/>
      <c r="AY18" s="282"/>
      <c r="AZ18" s="282"/>
      <c r="BA18" s="282"/>
      <c r="BB18" s="282"/>
      <c r="BC18" s="283"/>
      <c r="BD18" s="284"/>
      <c r="BE18" s="282"/>
      <c r="BF18" s="282"/>
      <c r="BG18" s="282"/>
      <c r="BH18" s="282"/>
      <c r="BI18" s="282"/>
      <c r="BJ18" s="283"/>
      <c r="BK18" s="237"/>
    </row>
    <row r="19" spans="1:63" ht="15" customHeight="1" x14ac:dyDescent="0.25">
      <c r="A19" s="236"/>
      <c r="B19" s="21">
        <v>45617</v>
      </c>
      <c r="C19" s="22"/>
      <c r="D19" s="22"/>
      <c r="E19" s="22"/>
      <c r="F19" s="22"/>
      <c r="G19" s="23"/>
      <c r="H19" s="27" t="s">
        <v>120</v>
      </c>
      <c r="I19" s="22"/>
      <c r="J19" s="22"/>
      <c r="K19" s="22"/>
      <c r="L19" s="22"/>
      <c r="M19" s="22"/>
      <c r="N19" s="23"/>
      <c r="O19" s="27">
        <v>0.14000000000000001</v>
      </c>
      <c r="P19" s="22"/>
      <c r="Q19" s="22"/>
      <c r="R19" s="22"/>
      <c r="S19" s="34" t="s">
        <v>139</v>
      </c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30"/>
      <c r="AX19" s="264"/>
      <c r="AY19" s="264"/>
      <c r="AZ19" s="264"/>
      <c r="BA19" s="264"/>
      <c r="BB19" s="264"/>
      <c r="BC19" s="265"/>
      <c r="BD19" s="266"/>
      <c r="BE19" s="264"/>
      <c r="BF19" s="264"/>
      <c r="BG19" s="264"/>
      <c r="BH19" s="264"/>
      <c r="BI19" s="264"/>
      <c r="BJ19" s="265"/>
      <c r="BK19" s="237"/>
    </row>
    <row r="20" spans="1:63" ht="15" customHeight="1" x14ac:dyDescent="0.25">
      <c r="A20" s="236"/>
      <c r="B20" s="24"/>
      <c r="C20" s="25"/>
      <c r="D20" s="25"/>
      <c r="E20" s="25"/>
      <c r="F20" s="25"/>
      <c r="G20" s="26"/>
      <c r="H20" s="24"/>
      <c r="I20" s="25"/>
      <c r="J20" s="25"/>
      <c r="K20" s="25"/>
      <c r="L20" s="25"/>
      <c r="M20" s="25"/>
      <c r="N20" s="26"/>
      <c r="O20" s="24"/>
      <c r="P20" s="25"/>
      <c r="Q20" s="25"/>
      <c r="R20" s="25"/>
      <c r="S20" s="31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3"/>
      <c r="AX20" s="270"/>
      <c r="AY20" s="270"/>
      <c r="AZ20" s="270"/>
      <c r="BA20" s="270"/>
      <c r="BB20" s="270"/>
      <c r="BC20" s="271"/>
      <c r="BD20" s="272"/>
      <c r="BE20" s="270"/>
      <c r="BF20" s="270"/>
      <c r="BG20" s="270"/>
      <c r="BH20" s="270"/>
      <c r="BI20" s="270"/>
      <c r="BJ20" s="271"/>
      <c r="BK20" s="237"/>
    </row>
    <row r="21" spans="1:63" ht="15" customHeight="1" x14ac:dyDescent="0.25">
      <c r="A21" s="236"/>
      <c r="B21" s="285">
        <v>45624</v>
      </c>
      <c r="C21" s="286"/>
      <c r="D21" s="286"/>
      <c r="E21" s="286"/>
      <c r="F21" s="286"/>
      <c r="G21" s="287"/>
      <c r="H21" s="288" t="s">
        <v>137</v>
      </c>
      <c r="I21" s="286"/>
      <c r="J21" s="286"/>
      <c r="K21" s="286"/>
      <c r="L21" s="286"/>
      <c r="M21" s="286"/>
      <c r="N21" s="287"/>
      <c r="O21" s="288">
        <v>0.15</v>
      </c>
      <c r="P21" s="286"/>
      <c r="Q21" s="286"/>
      <c r="R21" s="286"/>
      <c r="S21" s="289" t="s">
        <v>140</v>
      </c>
      <c r="T21" s="290"/>
      <c r="U21" s="290"/>
      <c r="V21" s="290"/>
      <c r="W21" s="290"/>
      <c r="X21" s="290"/>
      <c r="Y21" s="290"/>
      <c r="Z21" s="290"/>
      <c r="AA21" s="290"/>
      <c r="AB21" s="290"/>
      <c r="AC21" s="290"/>
      <c r="AD21" s="290"/>
      <c r="AE21" s="290"/>
      <c r="AF21" s="290"/>
      <c r="AG21" s="290"/>
      <c r="AH21" s="290"/>
      <c r="AI21" s="290"/>
      <c r="AJ21" s="290"/>
      <c r="AK21" s="290"/>
      <c r="AL21" s="290"/>
      <c r="AM21" s="290"/>
      <c r="AN21" s="290"/>
      <c r="AO21" s="290"/>
      <c r="AP21" s="290"/>
      <c r="AQ21" s="290"/>
      <c r="AR21" s="290"/>
      <c r="AS21" s="290"/>
      <c r="AT21" s="290"/>
      <c r="AU21" s="290"/>
      <c r="AV21" s="290"/>
      <c r="AW21" s="291"/>
      <c r="AX21" s="292"/>
      <c r="AY21" s="292"/>
      <c r="AZ21" s="292"/>
      <c r="BA21" s="292"/>
      <c r="BB21" s="292"/>
      <c r="BC21" s="293"/>
      <c r="BD21" s="294"/>
      <c r="BE21" s="292"/>
      <c r="BF21" s="292"/>
      <c r="BG21" s="292"/>
      <c r="BH21" s="292"/>
      <c r="BI21" s="292"/>
      <c r="BJ21" s="293"/>
      <c r="BK21" s="237"/>
    </row>
    <row r="22" spans="1:63" ht="15" customHeight="1" x14ac:dyDescent="0.25">
      <c r="A22" s="236"/>
      <c r="B22" s="295"/>
      <c r="C22" s="296"/>
      <c r="D22" s="296"/>
      <c r="E22" s="296"/>
      <c r="F22" s="296"/>
      <c r="G22" s="297"/>
      <c r="H22" s="295"/>
      <c r="I22" s="296"/>
      <c r="J22" s="296"/>
      <c r="K22" s="296"/>
      <c r="L22" s="296"/>
      <c r="M22" s="296"/>
      <c r="N22" s="297"/>
      <c r="O22" s="295"/>
      <c r="P22" s="296"/>
      <c r="Q22" s="296"/>
      <c r="R22" s="296"/>
      <c r="S22" s="298"/>
      <c r="T22" s="299"/>
      <c r="U22" s="299"/>
      <c r="V22" s="299"/>
      <c r="W22" s="299"/>
      <c r="X22" s="299"/>
      <c r="Y22" s="299"/>
      <c r="Z22" s="299"/>
      <c r="AA22" s="299"/>
      <c r="AB22" s="299"/>
      <c r="AC22" s="299"/>
      <c r="AD22" s="299"/>
      <c r="AE22" s="299"/>
      <c r="AF22" s="299"/>
      <c r="AG22" s="299"/>
      <c r="AH22" s="299"/>
      <c r="AI22" s="299"/>
      <c r="AJ22" s="299"/>
      <c r="AK22" s="299"/>
      <c r="AL22" s="299"/>
      <c r="AM22" s="299"/>
      <c r="AN22" s="299"/>
      <c r="AO22" s="299"/>
      <c r="AP22" s="299"/>
      <c r="AQ22" s="299"/>
      <c r="AR22" s="299"/>
      <c r="AS22" s="299"/>
      <c r="AT22" s="299"/>
      <c r="AU22" s="299"/>
      <c r="AV22" s="299"/>
      <c r="AW22" s="300"/>
      <c r="AX22" s="301"/>
      <c r="AY22" s="301"/>
      <c r="AZ22" s="301"/>
      <c r="BA22" s="301"/>
      <c r="BB22" s="301"/>
      <c r="BC22" s="302"/>
      <c r="BD22" s="303"/>
      <c r="BE22" s="301"/>
      <c r="BF22" s="301"/>
      <c r="BG22" s="301"/>
      <c r="BH22" s="301"/>
      <c r="BI22" s="301"/>
      <c r="BJ22" s="302"/>
      <c r="BK22" s="237"/>
    </row>
    <row r="23" spans="1:63" ht="15" customHeight="1" x14ac:dyDescent="0.25">
      <c r="A23" s="236"/>
      <c r="B23" s="304">
        <v>45628</v>
      </c>
      <c r="C23" s="305"/>
      <c r="D23" s="305"/>
      <c r="E23" s="305"/>
      <c r="F23" s="305"/>
      <c r="G23" s="306"/>
      <c r="H23" s="307" t="s">
        <v>141</v>
      </c>
      <c r="I23" s="305"/>
      <c r="J23" s="305"/>
      <c r="K23" s="305"/>
      <c r="L23" s="305"/>
      <c r="M23" s="305"/>
      <c r="N23" s="306"/>
      <c r="O23" s="307">
        <v>0.16</v>
      </c>
      <c r="P23" s="305"/>
      <c r="Q23" s="305"/>
      <c r="R23" s="305"/>
      <c r="S23" s="308" t="s">
        <v>142</v>
      </c>
      <c r="T23" s="309"/>
      <c r="U23" s="309"/>
      <c r="V23" s="309"/>
      <c r="W23" s="309"/>
      <c r="X23" s="309"/>
      <c r="Y23" s="309"/>
      <c r="Z23" s="309"/>
      <c r="AA23" s="309"/>
      <c r="AB23" s="309"/>
      <c r="AC23" s="309"/>
      <c r="AD23" s="309"/>
      <c r="AE23" s="309"/>
      <c r="AF23" s="309"/>
      <c r="AG23" s="309"/>
      <c r="AH23" s="309"/>
      <c r="AI23" s="309"/>
      <c r="AJ23" s="309"/>
      <c r="AK23" s="309"/>
      <c r="AL23" s="309"/>
      <c r="AM23" s="309"/>
      <c r="AN23" s="309"/>
      <c r="AO23" s="309"/>
      <c r="AP23" s="309"/>
      <c r="AQ23" s="309"/>
      <c r="AR23" s="309"/>
      <c r="AS23" s="309"/>
      <c r="AT23" s="309"/>
      <c r="AU23" s="309"/>
      <c r="AV23" s="309"/>
      <c r="AW23" s="310"/>
      <c r="AX23" s="264"/>
      <c r="AY23" s="264"/>
      <c r="AZ23" s="264"/>
      <c r="BA23" s="264"/>
      <c r="BB23" s="264"/>
      <c r="BC23" s="265"/>
      <c r="BD23" s="266"/>
      <c r="BE23" s="264"/>
      <c r="BF23" s="264"/>
      <c r="BG23" s="264"/>
      <c r="BH23" s="264"/>
      <c r="BI23" s="264"/>
      <c r="BJ23" s="265"/>
      <c r="BK23" s="237"/>
    </row>
    <row r="24" spans="1:63" ht="15" customHeight="1" x14ac:dyDescent="0.25">
      <c r="A24" s="236"/>
      <c r="B24" s="311"/>
      <c r="C24" s="312"/>
      <c r="D24" s="312"/>
      <c r="E24" s="312"/>
      <c r="F24" s="312"/>
      <c r="G24" s="313"/>
      <c r="H24" s="311"/>
      <c r="I24" s="312"/>
      <c r="J24" s="312"/>
      <c r="K24" s="312"/>
      <c r="L24" s="312"/>
      <c r="M24" s="312"/>
      <c r="N24" s="313"/>
      <c r="O24" s="311"/>
      <c r="P24" s="312"/>
      <c r="Q24" s="312"/>
      <c r="R24" s="312"/>
      <c r="S24" s="314"/>
      <c r="T24" s="315"/>
      <c r="U24" s="315"/>
      <c r="V24" s="315"/>
      <c r="W24" s="315"/>
      <c r="X24" s="315"/>
      <c r="Y24" s="315"/>
      <c r="Z24" s="315"/>
      <c r="AA24" s="315"/>
      <c r="AB24" s="315"/>
      <c r="AC24" s="315"/>
      <c r="AD24" s="315"/>
      <c r="AE24" s="315"/>
      <c r="AF24" s="315"/>
      <c r="AG24" s="315"/>
      <c r="AH24" s="315"/>
      <c r="AI24" s="315"/>
      <c r="AJ24" s="315"/>
      <c r="AK24" s="315"/>
      <c r="AL24" s="315"/>
      <c r="AM24" s="315"/>
      <c r="AN24" s="315"/>
      <c r="AO24" s="315"/>
      <c r="AP24" s="315"/>
      <c r="AQ24" s="315"/>
      <c r="AR24" s="315"/>
      <c r="AS24" s="315"/>
      <c r="AT24" s="315"/>
      <c r="AU24" s="315"/>
      <c r="AV24" s="315"/>
      <c r="AW24" s="316"/>
      <c r="AX24" s="270"/>
      <c r="AY24" s="270"/>
      <c r="AZ24" s="270"/>
      <c r="BA24" s="270"/>
      <c r="BB24" s="270"/>
      <c r="BC24" s="271"/>
      <c r="BD24" s="272"/>
      <c r="BE24" s="270"/>
      <c r="BF24" s="270"/>
      <c r="BG24" s="270"/>
      <c r="BH24" s="270"/>
      <c r="BI24" s="270"/>
      <c r="BJ24" s="271"/>
      <c r="BK24" s="237"/>
    </row>
    <row r="25" spans="1:63" ht="15" customHeight="1" x14ac:dyDescent="0.25">
      <c r="A25" s="236"/>
      <c r="B25" s="208"/>
      <c r="C25" s="206"/>
      <c r="D25" s="206"/>
      <c r="E25" s="206"/>
      <c r="F25" s="206"/>
      <c r="G25" s="207"/>
      <c r="H25" s="208"/>
      <c r="I25" s="206"/>
      <c r="J25" s="206"/>
      <c r="K25" s="206"/>
      <c r="L25" s="206"/>
      <c r="M25" s="206"/>
      <c r="N25" s="207"/>
      <c r="O25" s="208"/>
      <c r="P25" s="206"/>
      <c r="Q25" s="206"/>
      <c r="R25" s="206"/>
      <c r="S25" s="261"/>
      <c r="T25" s="262"/>
      <c r="U25" s="262"/>
      <c r="V25" s="262"/>
      <c r="W25" s="262"/>
      <c r="X25" s="262"/>
      <c r="Y25" s="262"/>
      <c r="Z25" s="262"/>
      <c r="AA25" s="262"/>
      <c r="AB25" s="262"/>
      <c r="AC25" s="262"/>
      <c r="AD25" s="262"/>
      <c r="AE25" s="262"/>
      <c r="AF25" s="262"/>
      <c r="AG25" s="262"/>
      <c r="AH25" s="262"/>
      <c r="AI25" s="262"/>
      <c r="AJ25" s="262"/>
      <c r="AK25" s="262"/>
      <c r="AL25" s="262"/>
      <c r="AM25" s="262"/>
      <c r="AN25" s="262"/>
      <c r="AO25" s="262"/>
      <c r="AP25" s="262"/>
      <c r="AQ25" s="262"/>
      <c r="AR25" s="262"/>
      <c r="AS25" s="262"/>
      <c r="AT25" s="262"/>
      <c r="AU25" s="262"/>
      <c r="AV25" s="262"/>
      <c r="AW25" s="263"/>
      <c r="AX25" s="264"/>
      <c r="AY25" s="264"/>
      <c r="AZ25" s="264"/>
      <c r="BA25" s="264"/>
      <c r="BB25" s="264"/>
      <c r="BC25" s="265"/>
      <c r="BD25" s="266"/>
      <c r="BE25" s="264"/>
      <c r="BF25" s="264"/>
      <c r="BG25" s="264"/>
      <c r="BH25" s="264"/>
      <c r="BI25" s="264"/>
      <c r="BJ25" s="265"/>
      <c r="BK25" s="237"/>
    </row>
    <row r="26" spans="1:63" ht="15" customHeight="1" x14ac:dyDescent="0.25">
      <c r="A26" s="236"/>
      <c r="B26" s="218"/>
      <c r="C26" s="219"/>
      <c r="D26" s="219"/>
      <c r="E26" s="219"/>
      <c r="F26" s="219"/>
      <c r="G26" s="220"/>
      <c r="H26" s="218"/>
      <c r="I26" s="219"/>
      <c r="J26" s="219"/>
      <c r="K26" s="219"/>
      <c r="L26" s="219"/>
      <c r="M26" s="219"/>
      <c r="N26" s="220"/>
      <c r="O26" s="218"/>
      <c r="P26" s="219"/>
      <c r="Q26" s="219"/>
      <c r="R26" s="219"/>
      <c r="S26" s="267"/>
      <c r="T26" s="268"/>
      <c r="U26" s="268"/>
      <c r="V26" s="268"/>
      <c r="W26" s="268"/>
      <c r="X26" s="268"/>
      <c r="Y26" s="268"/>
      <c r="Z26" s="268"/>
      <c r="AA26" s="268"/>
      <c r="AB26" s="268"/>
      <c r="AC26" s="268"/>
      <c r="AD26" s="268"/>
      <c r="AE26" s="268"/>
      <c r="AF26" s="268"/>
      <c r="AG26" s="268"/>
      <c r="AH26" s="268"/>
      <c r="AI26" s="268"/>
      <c r="AJ26" s="268"/>
      <c r="AK26" s="268"/>
      <c r="AL26" s="268"/>
      <c r="AM26" s="268"/>
      <c r="AN26" s="268"/>
      <c r="AO26" s="268"/>
      <c r="AP26" s="268"/>
      <c r="AQ26" s="268"/>
      <c r="AR26" s="268"/>
      <c r="AS26" s="268"/>
      <c r="AT26" s="268"/>
      <c r="AU26" s="268"/>
      <c r="AV26" s="268"/>
      <c r="AW26" s="269"/>
      <c r="AX26" s="270"/>
      <c r="AY26" s="270"/>
      <c r="AZ26" s="270"/>
      <c r="BA26" s="270"/>
      <c r="BB26" s="270"/>
      <c r="BC26" s="271"/>
      <c r="BD26" s="272"/>
      <c r="BE26" s="270"/>
      <c r="BF26" s="270"/>
      <c r="BG26" s="270"/>
      <c r="BH26" s="270"/>
      <c r="BI26" s="270"/>
      <c r="BJ26" s="271"/>
      <c r="BK26" s="237"/>
    </row>
    <row r="27" spans="1:63" ht="15" customHeight="1" x14ac:dyDescent="0.25">
      <c r="A27" s="236"/>
      <c r="B27" s="208"/>
      <c r="C27" s="206"/>
      <c r="D27" s="206"/>
      <c r="E27" s="206"/>
      <c r="F27" s="206"/>
      <c r="G27" s="207"/>
      <c r="H27" s="208"/>
      <c r="I27" s="206"/>
      <c r="J27" s="206"/>
      <c r="K27" s="206"/>
      <c r="L27" s="206"/>
      <c r="M27" s="206"/>
      <c r="N27" s="207"/>
      <c r="O27" s="208"/>
      <c r="P27" s="206"/>
      <c r="Q27" s="206"/>
      <c r="R27" s="206"/>
      <c r="S27" s="261"/>
      <c r="T27" s="262"/>
      <c r="U27" s="262"/>
      <c r="V27" s="262"/>
      <c r="W27" s="262"/>
      <c r="X27" s="262"/>
      <c r="Y27" s="262"/>
      <c r="Z27" s="262"/>
      <c r="AA27" s="262"/>
      <c r="AB27" s="262"/>
      <c r="AC27" s="262"/>
      <c r="AD27" s="262"/>
      <c r="AE27" s="262"/>
      <c r="AF27" s="262"/>
      <c r="AG27" s="262"/>
      <c r="AH27" s="262"/>
      <c r="AI27" s="262"/>
      <c r="AJ27" s="262"/>
      <c r="AK27" s="262"/>
      <c r="AL27" s="262"/>
      <c r="AM27" s="262"/>
      <c r="AN27" s="262"/>
      <c r="AO27" s="262"/>
      <c r="AP27" s="262"/>
      <c r="AQ27" s="262"/>
      <c r="AR27" s="262"/>
      <c r="AS27" s="262"/>
      <c r="AT27" s="262"/>
      <c r="AU27" s="262"/>
      <c r="AV27" s="262"/>
      <c r="AW27" s="263"/>
      <c r="AX27" s="264"/>
      <c r="AY27" s="264"/>
      <c r="AZ27" s="264"/>
      <c r="BA27" s="264"/>
      <c r="BB27" s="264"/>
      <c r="BC27" s="265"/>
      <c r="BD27" s="266"/>
      <c r="BE27" s="264"/>
      <c r="BF27" s="264"/>
      <c r="BG27" s="264"/>
      <c r="BH27" s="264"/>
      <c r="BI27" s="264"/>
      <c r="BJ27" s="265"/>
      <c r="BK27" s="237"/>
    </row>
    <row r="28" spans="1:63" ht="15" customHeight="1" x14ac:dyDescent="0.25">
      <c r="A28" s="236"/>
      <c r="B28" s="218"/>
      <c r="C28" s="219"/>
      <c r="D28" s="219"/>
      <c r="E28" s="219"/>
      <c r="F28" s="219"/>
      <c r="G28" s="220"/>
      <c r="H28" s="218"/>
      <c r="I28" s="219"/>
      <c r="J28" s="219"/>
      <c r="K28" s="219"/>
      <c r="L28" s="219"/>
      <c r="M28" s="219"/>
      <c r="N28" s="220"/>
      <c r="O28" s="218"/>
      <c r="P28" s="219"/>
      <c r="Q28" s="219"/>
      <c r="R28" s="219"/>
      <c r="S28" s="267"/>
      <c r="T28" s="268"/>
      <c r="U28" s="268"/>
      <c r="V28" s="268"/>
      <c r="W28" s="268"/>
      <c r="X28" s="268"/>
      <c r="Y28" s="268"/>
      <c r="Z28" s="268"/>
      <c r="AA28" s="268"/>
      <c r="AB28" s="268"/>
      <c r="AC28" s="268"/>
      <c r="AD28" s="268"/>
      <c r="AE28" s="268"/>
      <c r="AF28" s="268"/>
      <c r="AG28" s="268"/>
      <c r="AH28" s="268"/>
      <c r="AI28" s="268"/>
      <c r="AJ28" s="268"/>
      <c r="AK28" s="268"/>
      <c r="AL28" s="268"/>
      <c r="AM28" s="268"/>
      <c r="AN28" s="268"/>
      <c r="AO28" s="268"/>
      <c r="AP28" s="268"/>
      <c r="AQ28" s="268"/>
      <c r="AR28" s="268"/>
      <c r="AS28" s="268"/>
      <c r="AT28" s="268"/>
      <c r="AU28" s="268"/>
      <c r="AV28" s="268"/>
      <c r="AW28" s="269"/>
      <c r="AX28" s="270"/>
      <c r="AY28" s="270"/>
      <c r="AZ28" s="270"/>
      <c r="BA28" s="270"/>
      <c r="BB28" s="270"/>
      <c r="BC28" s="271"/>
      <c r="BD28" s="272"/>
      <c r="BE28" s="270"/>
      <c r="BF28" s="270"/>
      <c r="BG28" s="270"/>
      <c r="BH28" s="270"/>
      <c r="BI28" s="270"/>
      <c r="BJ28" s="271"/>
      <c r="BK28" s="237"/>
    </row>
    <row r="29" spans="1:63" ht="15" customHeight="1" x14ac:dyDescent="0.25">
      <c r="A29" s="236"/>
      <c r="B29" s="208"/>
      <c r="C29" s="206"/>
      <c r="D29" s="206"/>
      <c r="E29" s="206"/>
      <c r="F29" s="206"/>
      <c r="G29" s="207"/>
      <c r="H29" s="208"/>
      <c r="I29" s="206"/>
      <c r="J29" s="206"/>
      <c r="K29" s="206"/>
      <c r="L29" s="206"/>
      <c r="M29" s="206"/>
      <c r="N29" s="207"/>
      <c r="O29" s="208"/>
      <c r="P29" s="206"/>
      <c r="Q29" s="206"/>
      <c r="R29" s="206"/>
      <c r="S29" s="261"/>
      <c r="T29" s="262"/>
      <c r="U29" s="262"/>
      <c r="V29" s="262"/>
      <c r="W29" s="262"/>
      <c r="X29" s="262"/>
      <c r="Y29" s="262"/>
      <c r="Z29" s="262"/>
      <c r="AA29" s="262"/>
      <c r="AB29" s="262"/>
      <c r="AC29" s="262"/>
      <c r="AD29" s="262"/>
      <c r="AE29" s="262"/>
      <c r="AF29" s="262"/>
      <c r="AG29" s="262"/>
      <c r="AH29" s="262"/>
      <c r="AI29" s="262"/>
      <c r="AJ29" s="262"/>
      <c r="AK29" s="262"/>
      <c r="AL29" s="262"/>
      <c r="AM29" s="262"/>
      <c r="AN29" s="262"/>
      <c r="AO29" s="262"/>
      <c r="AP29" s="262"/>
      <c r="AQ29" s="262"/>
      <c r="AR29" s="262"/>
      <c r="AS29" s="262"/>
      <c r="AT29" s="262"/>
      <c r="AU29" s="262"/>
      <c r="AV29" s="262"/>
      <c r="AW29" s="263"/>
      <c r="AX29" s="264"/>
      <c r="AY29" s="264"/>
      <c r="AZ29" s="264"/>
      <c r="BA29" s="264"/>
      <c r="BB29" s="264"/>
      <c r="BC29" s="265"/>
      <c r="BD29" s="266"/>
      <c r="BE29" s="264"/>
      <c r="BF29" s="264"/>
      <c r="BG29" s="264"/>
      <c r="BH29" s="264"/>
      <c r="BI29" s="264"/>
      <c r="BJ29" s="265"/>
      <c r="BK29" s="237"/>
    </row>
    <row r="30" spans="1:63" ht="15" customHeight="1" x14ac:dyDescent="0.25">
      <c r="A30" s="236"/>
      <c r="B30" s="218"/>
      <c r="C30" s="219"/>
      <c r="D30" s="219"/>
      <c r="E30" s="219"/>
      <c r="F30" s="219"/>
      <c r="G30" s="220"/>
      <c r="H30" s="218"/>
      <c r="I30" s="219"/>
      <c r="J30" s="219"/>
      <c r="K30" s="219"/>
      <c r="L30" s="219"/>
      <c r="M30" s="219"/>
      <c r="N30" s="220"/>
      <c r="O30" s="218"/>
      <c r="P30" s="219"/>
      <c r="Q30" s="219"/>
      <c r="R30" s="219"/>
      <c r="S30" s="267"/>
      <c r="T30" s="268"/>
      <c r="U30" s="268"/>
      <c r="V30" s="268"/>
      <c r="W30" s="268"/>
      <c r="X30" s="268"/>
      <c r="Y30" s="268"/>
      <c r="Z30" s="268"/>
      <c r="AA30" s="268"/>
      <c r="AB30" s="268"/>
      <c r="AC30" s="268"/>
      <c r="AD30" s="268"/>
      <c r="AE30" s="268"/>
      <c r="AF30" s="268"/>
      <c r="AG30" s="268"/>
      <c r="AH30" s="268"/>
      <c r="AI30" s="268"/>
      <c r="AJ30" s="268"/>
      <c r="AK30" s="268"/>
      <c r="AL30" s="268"/>
      <c r="AM30" s="268"/>
      <c r="AN30" s="268"/>
      <c r="AO30" s="268"/>
      <c r="AP30" s="268"/>
      <c r="AQ30" s="268"/>
      <c r="AR30" s="268"/>
      <c r="AS30" s="268"/>
      <c r="AT30" s="268"/>
      <c r="AU30" s="268"/>
      <c r="AV30" s="268"/>
      <c r="AW30" s="269"/>
      <c r="AX30" s="270"/>
      <c r="AY30" s="270"/>
      <c r="AZ30" s="270"/>
      <c r="BA30" s="270"/>
      <c r="BB30" s="270"/>
      <c r="BC30" s="271"/>
      <c r="BD30" s="272"/>
      <c r="BE30" s="270"/>
      <c r="BF30" s="270"/>
      <c r="BG30" s="270"/>
      <c r="BH30" s="270"/>
      <c r="BI30" s="270"/>
      <c r="BJ30" s="271"/>
      <c r="BK30" s="237"/>
    </row>
    <row r="31" spans="1:63" ht="15" customHeight="1" x14ac:dyDescent="0.25">
      <c r="A31" s="236"/>
      <c r="B31" s="208"/>
      <c r="C31" s="206"/>
      <c r="D31" s="206"/>
      <c r="E31" s="206"/>
      <c r="F31" s="206"/>
      <c r="G31" s="207"/>
      <c r="H31" s="208"/>
      <c r="I31" s="206"/>
      <c r="J31" s="206"/>
      <c r="K31" s="206"/>
      <c r="L31" s="206"/>
      <c r="M31" s="206"/>
      <c r="N31" s="207"/>
      <c r="O31" s="208"/>
      <c r="P31" s="206"/>
      <c r="Q31" s="206"/>
      <c r="R31" s="206"/>
      <c r="S31" s="261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2"/>
      <c r="AG31" s="262"/>
      <c r="AH31" s="262"/>
      <c r="AI31" s="262"/>
      <c r="AJ31" s="262"/>
      <c r="AK31" s="262"/>
      <c r="AL31" s="262"/>
      <c r="AM31" s="262"/>
      <c r="AN31" s="262"/>
      <c r="AO31" s="262"/>
      <c r="AP31" s="262"/>
      <c r="AQ31" s="262"/>
      <c r="AR31" s="262"/>
      <c r="AS31" s="262"/>
      <c r="AT31" s="262"/>
      <c r="AU31" s="262"/>
      <c r="AV31" s="262"/>
      <c r="AW31" s="263"/>
      <c r="AX31" s="264"/>
      <c r="AY31" s="264"/>
      <c r="AZ31" s="264"/>
      <c r="BA31" s="264"/>
      <c r="BB31" s="264"/>
      <c r="BC31" s="265"/>
      <c r="BD31" s="266"/>
      <c r="BE31" s="264"/>
      <c r="BF31" s="264"/>
      <c r="BG31" s="264"/>
      <c r="BH31" s="264"/>
      <c r="BI31" s="264"/>
      <c r="BJ31" s="265"/>
      <c r="BK31" s="237"/>
    </row>
    <row r="32" spans="1:63" ht="15" customHeight="1" x14ac:dyDescent="0.25">
      <c r="A32" s="236"/>
      <c r="B32" s="218"/>
      <c r="C32" s="219"/>
      <c r="D32" s="219"/>
      <c r="E32" s="219"/>
      <c r="F32" s="219"/>
      <c r="G32" s="220"/>
      <c r="H32" s="218"/>
      <c r="I32" s="219"/>
      <c r="J32" s="219"/>
      <c r="K32" s="219"/>
      <c r="L32" s="219"/>
      <c r="M32" s="219"/>
      <c r="N32" s="220"/>
      <c r="O32" s="218"/>
      <c r="P32" s="219"/>
      <c r="Q32" s="219"/>
      <c r="R32" s="219"/>
      <c r="S32" s="267"/>
      <c r="T32" s="268"/>
      <c r="U32" s="268"/>
      <c r="V32" s="268"/>
      <c r="W32" s="268"/>
      <c r="X32" s="268"/>
      <c r="Y32" s="268"/>
      <c r="Z32" s="268"/>
      <c r="AA32" s="268"/>
      <c r="AB32" s="268"/>
      <c r="AC32" s="268"/>
      <c r="AD32" s="268"/>
      <c r="AE32" s="268"/>
      <c r="AF32" s="268"/>
      <c r="AG32" s="268"/>
      <c r="AH32" s="268"/>
      <c r="AI32" s="268"/>
      <c r="AJ32" s="268"/>
      <c r="AK32" s="268"/>
      <c r="AL32" s="268"/>
      <c r="AM32" s="268"/>
      <c r="AN32" s="268"/>
      <c r="AO32" s="268"/>
      <c r="AP32" s="268"/>
      <c r="AQ32" s="268"/>
      <c r="AR32" s="268"/>
      <c r="AS32" s="268"/>
      <c r="AT32" s="268"/>
      <c r="AU32" s="268"/>
      <c r="AV32" s="268"/>
      <c r="AW32" s="269"/>
      <c r="AX32" s="270"/>
      <c r="AY32" s="270"/>
      <c r="AZ32" s="270"/>
      <c r="BA32" s="270"/>
      <c r="BB32" s="270"/>
      <c r="BC32" s="271"/>
      <c r="BD32" s="272"/>
      <c r="BE32" s="270"/>
      <c r="BF32" s="270"/>
      <c r="BG32" s="270"/>
      <c r="BH32" s="270"/>
      <c r="BI32" s="270"/>
      <c r="BJ32" s="271"/>
      <c r="BK32" s="237"/>
    </row>
    <row r="33" spans="1:63" ht="15" customHeight="1" x14ac:dyDescent="0.25">
      <c r="A33" s="236"/>
      <c r="B33" s="208"/>
      <c r="C33" s="206"/>
      <c r="D33" s="206"/>
      <c r="E33" s="206"/>
      <c r="F33" s="206"/>
      <c r="G33" s="207"/>
      <c r="H33" s="208"/>
      <c r="I33" s="206"/>
      <c r="J33" s="206"/>
      <c r="K33" s="206"/>
      <c r="L33" s="206"/>
      <c r="M33" s="206"/>
      <c r="N33" s="207"/>
      <c r="O33" s="208"/>
      <c r="P33" s="206"/>
      <c r="Q33" s="206"/>
      <c r="R33" s="206"/>
      <c r="S33" s="261"/>
      <c r="T33" s="262"/>
      <c r="U33" s="262"/>
      <c r="V33" s="262"/>
      <c r="W33" s="262"/>
      <c r="X33" s="262"/>
      <c r="Y33" s="262"/>
      <c r="Z33" s="262"/>
      <c r="AA33" s="262"/>
      <c r="AB33" s="262"/>
      <c r="AC33" s="262"/>
      <c r="AD33" s="262"/>
      <c r="AE33" s="262"/>
      <c r="AF33" s="262"/>
      <c r="AG33" s="262"/>
      <c r="AH33" s="262"/>
      <c r="AI33" s="262"/>
      <c r="AJ33" s="262"/>
      <c r="AK33" s="262"/>
      <c r="AL33" s="262"/>
      <c r="AM33" s="262"/>
      <c r="AN33" s="262"/>
      <c r="AO33" s="262"/>
      <c r="AP33" s="262"/>
      <c r="AQ33" s="262"/>
      <c r="AR33" s="262"/>
      <c r="AS33" s="262"/>
      <c r="AT33" s="262"/>
      <c r="AU33" s="262"/>
      <c r="AV33" s="262"/>
      <c r="AW33" s="263"/>
      <c r="AX33" s="264"/>
      <c r="AY33" s="264"/>
      <c r="AZ33" s="264"/>
      <c r="BA33" s="264"/>
      <c r="BB33" s="264"/>
      <c r="BC33" s="265"/>
      <c r="BD33" s="266"/>
      <c r="BE33" s="264"/>
      <c r="BF33" s="264"/>
      <c r="BG33" s="264"/>
      <c r="BH33" s="264"/>
      <c r="BI33" s="264"/>
      <c r="BJ33" s="265"/>
      <c r="BK33" s="237"/>
    </row>
    <row r="34" spans="1:63" ht="15" customHeight="1" x14ac:dyDescent="0.25">
      <c r="A34" s="236"/>
      <c r="B34" s="218"/>
      <c r="C34" s="219"/>
      <c r="D34" s="219"/>
      <c r="E34" s="219"/>
      <c r="F34" s="219"/>
      <c r="G34" s="220"/>
      <c r="H34" s="218"/>
      <c r="I34" s="219"/>
      <c r="J34" s="219"/>
      <c r="K34" s="219"/>
      <c r="L34" s="219"/>
      <c r="M34" s="219"/>
      <c r="N34" s="220"/>
      <c r="O34" s="218"/>
      <c r="P34" s="219"/>
      <c r="Q34" s="219"/>
      <c r="R34" s="219"/>
      <c r="S34" s="267"/>
      <c r="T34" s="268"/>
      <c r="U34" s="268"/>
      <c r="V34" s="268"/>
      <c r="W34" s="268"/>
      <c r="X34" s="268"/>
      <c r="Y34" s="268"/>
      <c r="Z34" s="268"/>
      <c r="AA34" s="268"/>
      <c r="AB34" s="268"/>
      <c r="AC34" s="268"/>
      <c r="AD34" s="268"/>
      <c r="AE34" s="268"/>
      <c r="AF34" s="268"/>
      <c r="AG34" s="268"/>
      <c r="AH34" s="268"/>
      <c r="AI34" s="268"/>
      <c r="AJ34" s="268"/>
      <c r="AK34" s="268"/>
      <c r="AL34" s="268"/>
      <c r="AM34" s="268"/>
      <c r="AN34" s="268"/>
      <c r="AO34" s="268"/>
      <c r="AP34" s="268"/>
      <c r="AQ34" s="268"/>
      <c r="AR34" s="268"/>
      <c r="AS34" s="268"/>
      <c r="AT34" s="268"/>
      <c r="AU34" s="268"/>
      <c r="AV34" s="268"/>
      <c r="AW34" s="269"/>
      <c r="AX34" s="270"/>
      <c r="AY34" s="270"/>
      <c r="AZ34" s="270"/>
      <c r="BA34" s="270"/>
      <c r="BB34" s="270"/>
      <c r="BC34" s="271"/>
      <c r="BD34" s="272"/>
      <c r="BE34" s="270"/>
      <c r="BF34" s="270"/>
      <c r="BG34" s="270"/>
      <c r="BH34" s="270"/>
      <c r="BI34" s="270"/>
      <c r="BJ34" s="271"/>
      <c r="BK34" s="237"/>
    </row>
    <row r="35" spans="1:63" ht="15" customHeight="1" x14ac:dyDescent="0.25">
      <c r="A35" s="236"/>
      <c r="B35" s="208"/>
      <c r="C35" s="206"/>
      <c r="D35" s="206"/>
      <c r="E35" s="206"/>
      <c r="F35" s="206"/>
      <c r="G35" s="207"/>
      <c r="H35" s="208"/>
      <c r="I35" s="206"/>
      <c r="J35" s="206"/>
      <c r="K35" s="206"/>
      <c r="L35" s="206"/>
      <c r="M35" s="206"/>
      <c r="N35" s="207"/>
      <c r="O35" s="208"/>
      <c r="P35" s="206"/>
      <c r="Q35" s="206"/>
      <c r="R35" s="206"/>
      <c r="S35" s="261"/>
      <c r="T35" s="262"/>
      <c r="U35" s="262"/>
      <c r="V35" s="262"/>
      <c r="W35" s="262"/>
      <c r="X35" s="262"/>
      <c r="Y35" s="262"/>
      <c r="Z35" s="262"/>
      <c r="AA35" s="262"/>
      <c r="AB35" s="262"/>
      <c r="AC35" s="262"/>
      <c r="AD35" s="262"/>
      <c r="AE35" s="262"/>
      <c r="AF35" s="262"/>
      <c r="AG35" s="262"/>
      <c r="AH35" s="262"/>
      <c r="AI35" s="262"/>
      <c r="AJ35" s="262"/>
      <c r="AK35" s="262"/>
      <c r="AL35" s="262"/>
      <c r="AM35" s="262"/>
      <c r="AN35" s="262"/>
      <c r="AO35" s="262"/>
      <c r="AP35" s="262"/>
      <c r="AQ35" s="262"/>
      <c r="AR35" s="262"/>
      <c r="AS35" s="262"/>
      <c r="AT35" s="262"/>
      <c r="AU35" s="262"/>
      <c r="AV35" s="262"/>
      <c r="AW35" s="263"/>
      <c r="AX35" s="264"/>
      <c r="AY35" s="264"/>
      <c r="AZ35" s="264"/>
      <c r="BA35" s="264"/>
      <c r="BB35" s="264"/>
      <c r="BC35" s="265"/>
      <c r="BD35" s="266"/>
      <c r="BE35" s="264"/>
      <c r="BF35" s="264"/>
      <c r="BG35" s="264"/>
      <c r="BH35" s="264"/>
      <c r="BI35" s="264"/>
      <c r="BJ35" s="265"/>
      <c r="BK35" s="237"/>
    </row>
    <row r="36" spans="1:63" ht="15" customHeight="1" x14ac:dyDescent="0.25">
      <c r="A36" s="236"/>
      <c r="B36" s="218"/>
      <c r="C36" s="219"/>
      <c r="D36" s="219"/>
      <c r="E36" s="219"/>
      <c r="F36" s="219"/>
      <c r="G36" s="220"/>
      <c r="H36" s="218"/>
      <c r="I36" s="219"/>
      <c r="J36" s="219"/>
      <c r="K36" s="219"/>
      <c r="L36" s="219"/>
      <c r="M36" s="219"/>
      <c r="N36" s="220"/>
      <c r="O36" s="218"/>
      <c r="P36" s="219"/>
      <c r="Q36" s="219"/>
      <c r="R36" s="219"/>
      <c r="S36" s="267"/>
      <c r="T36" s="268"/>
      <c r="U36" s="268"/>
      <c r="V36" s="268"/>
      <c r="W36" s="268"/>
      <c r="X36" s="268"/>
      <c r="Y36" s="268"/>
      <c r="Z36" s="268"/>
      <c r="AA36" s="268"/>
      <c r="AB36" s="268"/>
      <c r="AC36" s="268"/>
      <c r="AD36" s="268"/>
      <c r="AE36" s="268"/>
      <c r="AF36" s="268"/>
      <c r="AG36" s="268"/>
      <c r="AH36" s="268"/>
      <c r="AI36" s="268"/>
      <c r="AJ36" s="268"/>
      <c r="AK36" s="268"/>
      <c r="AL36" s="268"/>
      <c r="AM36" s="268"/>
      <c r="AN36" s="268"/>
      <c r="AO36" s="268"/>
      <c r="AP36" s="268"/>
      <c r="AQ36" s="268"/>
      <c r="AR36" s="268"/>
      <c r="AS36" s="268"/>
      <c r="AT36" s="268"/>
      <c r="AU36" s="268"/>
      <c r="AV36" s="268"/>
      <c r="AW36" s="269"/>
      <c r="AX36" s="270"/>
      <c r="AY36" s="270"/>
      <c r="AZ36" s="270"/>
      <c r="BA36" s="270"/>
      <c r="BB36" s="270"/>
      <c r="BC36" s="271"/>
      <c r="BD36" s="272"/>
      <c r="BE36" s="270"/>
      <c r="BF36" s="270"/>
      <c r="BG36" s="270"/>
      <c r="BH36" s="270"/>
      <c r="BI36" s="270"/>
      <c r="BJ36" s="271"/>
      <c r="BK36" s="237"/>
    </row>
    <row r="37" spans="1:63" ht="15" customHeight="1" x14ac:dyDescent="0.25">
      <c r="A37" s="236"/>
      <c r="B37" s="208"/>
      <c r="C37" s="206"/>
      <c r="D37" s="206"/>
      <c r="E37" s="206"/>
      <c r="F37" s="206"/>
      <c r="G37" s="207"/>
      <c r="H37" s="208"/>
      <c r="I37" s="206"/>
      <c r="J37" s="206"/>
      <c r="K37" s="206"/>
      <c r="L37" s="206"/>
      <c r="M37" s="206"/>
      <c r="N37" s="207"/>
      <c r="O37" s="208"/>
      <c r="P37" s="206"/>
      <c r="Q37" s="206"/>
      <c r="R37" s="206"/>
      <c r="S37" s="261"/>
      <c r="T37" s="262"/>
      <c r="U37" s="262"/>
      <c r="V37" s="262"/>
      <c r="W37" s="262"/>
      <c r="X37" s="262"/>
      <c r="Y37" s="262"/>
      <c r="Z37" s="262"/>
      <c r="AA37" s="262"/>
      <c r="AB37" s="262"/>
      <c r="AC37" s="262"/>
      <c r="AD37" s="262"/>
      <c r="AE37" s="262"/>
      <c r="AF37" s="262"/>
      <c r="AG37" s="262"/>
      <c r="AH37" s="262"/>
      <c r="AI37" s="262"/>
      <c r="AJ37" s="262"/>
      <c r="AK37" s="262"/>
      <c r="AL37" s="262"/>
      <c r="AM37" s="262"/>
      <c r="AN37" s="262"/>
      <c r="AO37" s="262"/>
      <c r="AP37" s="262"/>
      <c r="AQ37" s="262"/>
      <c r="AR37" s="262"/>
      <c r="AS37" s="262"/>
      <c r="AT37" s="262"/>
      <c r="AU37" s="262"/>
      <c r="AV37" s="262"/>
      <c r="AW37" s="263"/>
      <c r="AX37" s="264"/>
      <c r="AY37" s="264"/>
      <c r="AZ37" s="264"/>
      <c r="BA37" s="264"/>
      <c r="BB37" s="264"/>
      <c r="BC37" s="265"/>
      <c r="BD37" s="266"/>
      <c r="BE37" s="264"/>
      <c r="BF37" s="264"/>
      <c r="BG37" s="264"/>
      <c r="BH37" s="264"/>
      <c r="BI37" s="264"/>
      <c r="BJ37" s="265"/>
      <c r="BK37" s="237"/>
    </row>
    <row r="38" spans="1:63" ht="15" customHeight="1" x14ac:dyDescent="0.25">
      <c r="A38" s="236"/>
      <c r="B38" s="218"/>
      <c r="C38" s="219"/>
      <c r="D38" s="219"/>
      <c r="E38" s="219"/>
      <c r="F38" s="219"/>
      <c r="G38" s="220"/>
      <c r="H38" s="218"/>
      <c r="I38" s="219"/>
      <c r="J38" s="219"/>
      <c r="K38" s="219"/>
      <c r="L38" s="219"/>
      <c r="M38" s="219"/>
      <c r="N38" s="220"/>
      <c r="O38" s="218"/>
      <c r="P38" s="219"/>
      <c r="Q38" s="219"/>
      <c r="R38" s="219"/>
      <c r="S38" s="267"/>
      <c r="T38" s="268"/>
      <c r="U38" s="268"/>
      <c r="V38" s="268"/>
      <c r="W38" s="268"/>
      <c r="X38" s="268"/>
      <c r="Y38" s="268"/>
      <c r="Z38" s="268"/>
      <c r="AA38" s="268"/>
      <c r="AB38" s="268"/>
      <c r="AC38" s="268"/>
      <c r="AD38" s="268"/>
      <c r="AE38" s="268"/>
      <c r="AF38" s="268"/>
      <c r="AG38" s="268"/>
      <c r="AH38" s="268"/>
      <c r="AI38" s="268"/>
      <c r="AJ38" s="268"/>
      <c r="AK38" s="268"/>
      <c r="AL38" s="268"/>
      <c r="AM38" s="268"/>
      <c r="AN38" s="268"/>
      <c r="AO38" s="268"/>
      <c r="AP38" s="268"/>
      <c r="AQ38" s="268"/>
      <c r="AR38" s="268"/>
      <c r="AS38" s="268"/>
      <c r="AT38" s="268"/>
      <c r="AU38" s="268"/>
      <c r="AV38" s="268"/>
      <c r="AW38" s="269"/>
      <c r="AX38" s="270"/>
      <c r="AY38" s="270"/>
      <c r="AZ38" s="270"/>
      <c r="BA38" s="270"/>
      <c r="BB38" s="270"/>
      <c r="BC38" s="271"/>
      <c r="BD38" s="272"/>
      <c r="BE38" s="270"/>
      <c r="BF38" s="270"/>
      <c r="BG38" s="270"/>
      <c r="BH38" s="270"/>
      <c r="BI38" s="270"/>
      <c r="BJ38" s="271"/>
      <c r="BK38" s="237"/>
    </row>
    <row r="39" spans="1:63" ht="15" customHeight="1" x14ac:dyDescent="0.25">
      <c r="A39" s="236"/>
      <c r="B39" s="208"/>
      <c r="C39" s="206"/>
      <c r="D39" s="206"/>
      <c r="E39" s="206"/>
      <c r="F39" s="206"/>
      <c r="G39" s="207"/>
      <c r="H39" s="208"/>
      <c r="I39" s="206"/>
      <c r="J39" s="206"/>
      <c r="K39" s="206"/>
      <c r="L39" s="206"/>
      <c r="M39" s="206"/>
      <c r="N39" s="207"/>
      <c r="O39" s="208"/>
      <c r="P39" s="206"/>
      <c r="Q39" s="206"/>
      <c r="R39" s="206"/>
      <c r="S39" s="261"/>
      <c r="T39" s="262"/>
      <c r="U39" s="262"/>
      <c r="V39" s="262"/>
      <c r="W39" s="262"/>
      <c r="X39" s="262"/>
      <c r="Y39" s="262"/>
      <c r="Z39" s="262"/>
      <c r="AA39" s="262"/>
      <c r="AB39" s="262"/>
      <c r="AC39" s="262"/>
      <c r="AD39" s="262"/>
      <c r="AE39" s="262"/>
      <c r="AF39" s="262"/>
      <c r="AG39" s="262"/>
      <c r="AH39" s="262"/>
      <c r="AI39" s="262"/>
      <c r="AJ39" s="262"/>
      <c r="AK39" s="262"/>
      <c r="AL39" s="262"/>
      <c r="AM39" s="262"/>
      <c r="AN39" s="262"/>
      <c r="AO39" s="262"/>
      <c r="AP39" s="262"/>
      <c r="AQ39" s="262"/>
      <c r="AR39" s="262"/>
      <c r="AS39" s="262"/>
      <c r="AT39" s="262"/>
      <c r="AU39" s="262"/>
      <c r="AV39" s="262"/>
      <c r="AW39" s="263"/>
      <c r="AX39" s="264"/>
      <c r="AY39" s="264"/>
      <c r="AZ39" s="264"/>
      <c r="BA39" s="264"/>
      <c r="BB39" s="264"/>
      <c r="BC39" s="265"/>
      <c r="BD39" s="266"/>
      <c r="BE39" s="264"/>
      <c r="BF39" s="264"/>
      <c r="BG39" s="264"/>
      <c r="BH39" s="264"/>
      <c r="BI39" s="264"/>
      <c r="BJ39" s="265"/>
      <c r="BK39" s="237"/>
    </row>
    <row r="40" spans="1:63" ht="15" customHeight="1" x14ac:dyDescent="0.25">
      <c r="A40" s="236"/>
      <c r="B40" s="218"/>
      <c r="C40" s="219"/>
      <c r="D40" s="219"/>
      <c r="E40" s="219"/>
      <c r="F40" s="219"/>
      <c r="G40" s="220"/>
      <c r="H40" s="218"/>
      <c r="I40" s="219"/>
      <c r="J40" s="219"/>
      <c r="K40" s="219"/>
      <c r="L40" s="219"/>
      <c r="M40" s="219"/>
      <c r="N40" s="220"/>
      <c r="O40" s="218"/>
      <c r="P40" s="219"/>
      <c r="Q40" s="219"/>
      <c r="R40" s="219"/>
      <c r="S40" s="267"/>
      <c r="T40" s="268"/>
      <c r="U40" s="268"/>
      <c r="V40" s="268"/>
      <c r="W40" s="268"/>
      <c r="X40" s="268"/>
      <c r="Y40" s="268"/>
      <c r="Z40" s="268"/>
      <c r="AA40" s="268"/>
      <c r="AB40" s="268"/>
      <c r="AC40" s="268"/>
      <c r="AD40" s="268"/>
      <c r="AE40" s="268"/>
      <c r="AF40" s="268"/>
      <c r="AG40" s="268"/>
      <c r="AH40" s="268"/>
      <c r="AI40" s="268"/>
      <c r="AJ40" s="268"/>
      <c r="AK40" s="268"/>
      <c r="AL40" s="268"/>
      <c r="AM40" s="268"/>
      <c r="AN40" s="268"/>
      <c r="AO40" s="268"/>
      <c r="AP40" s="268"/>
      <c r="AQ40" s="268"/>
      <c r="AR40" s="268"/>
      <c r="AS40" s="268"/>
      <c r="AT40" s="268"/>
      <c r="AU40" s="268"/>
      <c r="AV40" s="268"/>
      <c r="AW40" s="269"/>
      <c r="AX40" s="270"/>
      <c r="AY40" s="270"/>
      <c r="AZ40" s="270"/>
      <c r="BA40" s="270"/>
      <c r="BB40" s="270"/>
      <c r="BC40" s="271"/>
      <c r="BD40" s="272"/>
      <c r="BE40" s="270"/>
      <c r="BF40" s="270"/>
      <c r="BG40" s="270"/>
      <c r="BH40" s="270"/>
      <c r="BI40" s="270"/>
      <c r="BJ40" s="271"/>
      <c r="BK40" s="237"/>
    </row>
    <row r="41" spans="1:63" ht="15" customHeight="1" x14ac:dyDescent="0.25">
      <c r="A41" s="236"/>
      <c r="B41" s="208"/>
      <c r="C41" s="206"/>
      <c r="D41" s="206"/>
      <c r="E41" s="206"/>
      <c r="F41" s="206"/>
      <c r="G41" s="207"/>
      <c r="H41" s="208"/>
      <c r="I41" s="206"/>
      <c r="J41" s="206"/>
      <c r="K41" s="206"/>
      <c r="L41" s="206"/>
      <c r="M41" s="206"/>
      <c r="N41" s="207"/>
      <c r="O41" s="208"/>
      <c r="P41" s="206"/>
      <c r="Q41" s="206"/>
      <c r="R41" s="206"/>
      <c r="S41" s="261"/>
      <c r="T41" s="262"/>
      <c r="U41" s="262"/>
      <c r="V41" s="262"/>
      <c r="W41" s="262"/>
      <c r="X41" s="262"/>
      <c r="Y41" s="262"/>
      <c r="Z41" s="262"/>
      <c r="AA41" s="262"/>
      <c r="AB41" s="262"/>
      <c r="AC41" s="262"/>
      <c r="AD41" s="262"/>
      <c r="AE41" s="262"/>
      <c r="AF41" s="262"/>
      <c r="AG41" s="262"/>
      <c r="AH41" s="262"/>
      <c r="AI41" s="262"/>
      <c r="AJ41" s="262"/>
      <c r="AK41" s="262"/>
      <c r="AL41" s="262"/>
      <c r="AM41" s="262"/>
      <c r="AN41" s="262"/>
      <c r="AO41" s="262"/>
      <c r="AP41" s="262"/>
      <c r="AQ41" s="262"/>
      <c r="AR41" s="262"/>
      <c r="AS41" s="262"/>
      <c r="AT41" s="262"/>
      <c r="AU41" s="262"/>
      <c r="AV41" s="262"/>
      <c r="AW41" s="263"/>
      <c r="AX41" s="264"/>
      <c r="AY41" s="264"/>
      <c r="AZ41" s="264"/>
      <c r="BA41" s="264"/>
      <c r="BB41" s="264"/>
      <c r="BC41" s="265"/>
      <c r="BD41" s="266"/>
      <c r="BE41" s="264"/>
      <c r="BF41" s="264"/>
      <c r="BG41" s="264"/>
      <c r="BH41" s="264"/>
      <c r="BI41" s="264"/>
      <c r="BJ41" s="265"/>
      <c r="BK41" s="237"/>
    </row>
    <row r="42" spans="1:63" ht="15" customHeight="1" x14ac:dyDescent="0.25">
      <c r="A42" s="236"/>
      <c r="B42" s="218"/>
      <c r="C42" s="219"/>
      <c r="D42" s="219"/>
      <c r="E42" s="219"/>
      <c r="F42" s="219"/>
      <c r="G42" s="220"/>
      <c r="H42" s="218"/>
      <c r="I42" s="219"/>
      <c r="J42" s="219"/>
      <c r="K42" s="219"/>
      <c r="L42" s="219"/>
      <c r="M42" s="219"/>
      <c r="N42" s="220"/>
      <c r="O42" s="218"/>
      <c r="P42" s="219"/>
      <c r="Q42" s="219"/>
      <c r="R42" s="219"/>
      <c r="S42" s="267"/>
      <c r="T42" s="268"/>
      <c r="U42" s="268"/>
      <c r="V42" s="268"/>
      <c r="W42" s="268"/>
      <c r="X42" s="268"/>
      <c r="Y42" s="268"/>
      <c r="Z42" s="268"/>
      <c r="AA42" s="268"/>
      <c r="AB42" s="268"/>
      <c r="AC42" s="268"/>
      <c r="AD42" s="268"/>
      <c r="AE42" s="268"/>
      <c r="AF42" s="268"/>
      <c r="AG42" s="268"/>
      <c r="AH42" s="268"/>
      <c r="AI42" s="268"/>
      <c r="AJ42" s="268"/>
      <c r="AK42" s="268"/>
      <c r="AL42" s="268"/>
      <c r="AM42" s="268"/>
      <c r="AN42" s="268"/>
      <c r="AO42" s="268"/>
      <c r="AP42" s="268"/>
      <c r="AQ42" s="268"/>
      <c r="AR42" s="268"/>
      <c r="AS42" s="268"/>
      <c r="AT42" s="268"/>
      <c r="AU42" s="268"/>
      <c r="AV42" s="268"/>
      <c r="AW42" s="269"/>
      <c r="AX42" s="270"/>
      <c r="AY42" s="270"/>
      <c r="AZ42" s="270"/>
      <c r="BA42" s="270"/>
      <c r="BB42" s="270"/>
      <c r="BC42" s="271"/>
      <c r="BD42" s="272"/>
      <c r="BE42" s="270"/>
      <c r="BF42" s="270"/>
      <c r="BG42" s="270"/>
      <c r="BH42" s="270"/>
      <c r="BI42" s="270"/>
      <c r="BJ42" s="271"/>
      <c r="BK42" s="237"/>
    </row>
    <row r="43" spans="1:63" ht="15" customHeight="1" x14ac:dyDescent="0.25">
      <c r="A43" s="236"/>
      <c r="B43" s="208"/>
      <c r="C43" s="206"/>
      <c r="D43" s="206"/>
      <c r="E43" s="206"/>
      <c r="F43" s="206"/>
      <c r="G43" s="207"/>
      <c r="H43" s="208"/>
      <c r="I43" s="206"/>
      <c r="J43" s="206"/>
      <c r="K43" s="206"/>
      <c r="L43" s="206"/>
      <c r="M43" s="206"/>
      <c r="N43" s="207"/>
      <c r="O43" s="208"/>
      <c r="P43" s="206"/>
      <c r="Q43" s="206"/>
      <c r="R43" s="206"/>
      <c r="S43" s="261"/>
      <c r="T43" s="262"/>
      <c r="U43" s="262"/>
      <c r="V43" s="262"/>
      <c r="W43" s="262"/>
      <c r="X43" s="262"/>
      <c r="Y43" s="262"/>
      <c r="Z43" s="262"/>
      <c r="AA43" s="262"/>
      <c r="AB43" s="262"/>
      <c r="AC43" s="262"/>
      <c r="AD43" s="262"/>
      <c r="AE43" s="262"/>
      <c r="AF43" s="262"/>
      <c r="AG43" s="262"/>
      <c r="AH43" s="262"/>
      <c r="AI43" s="262"/>
      <c r="AJ43" s="262"/>
      <c r="AK43" s="262"/>
      <c r="AL43" s="262"/>
      <c r="AM43" s="262"/>
      <c r="AN43" s="262"/>
      <c r="AO43" s="262"/>
      <c r="AP43" s="262"/>
      <c r="AQ43" s="262"/>
      <c r="AR43" s="262"/>
      <c r="AS43" s="262"/>
      <c r="AT43" s="262"/>
      <c r="AU43" s="262"/>
      <c r="AV43" s="262"/>
      <c r="AW43" s="263"/>
      <c r="AX43" s="264"/>
      <c r="AY43" s="264"/>
      <c r="AZ43" s="264"/>
      <c r="BA43" s="264"/>
      <c r="BB43" s="264"/>
      <c r="BC43" s="265"/>
      <c r="BD43" s="266"/>
      <c r="BE43" s="264"/>
      <c r="BF43" s="264"/>
      <c r="BG43" s="264"/>
      <c r="BH43" s="264"/>
      <c r="BI43" s="264"/>
      <c r="BJ43" s="265"/>
      <c r="BK43" s="237"/>
    </row>
    <row r="44" spans="1:63" ht="15" customHeight="1" x14ac:dyDescent="0.25">
      <c r="A44" s="236"/>
      <c r="B44" s="218"/>
      <c r="C44" s="219"/>
      <c r="D44" s="219"/>
      <c r="E44" s="219"/>
      <c r="F44" s="219"/>
      <c r="G44" s="220"/>
      <c r="H44" s="218"/>
      <c r="I44" s="219"/>
      <c r="J44" s="219"/>
      <c r="K44" s="219"/>
      <c r="L44" s="219"/>
      <c r="M44" s="219"/>
      <c r="N44" s="220"/>
      <c r="O44" s="218"/>
      <c r="P44" s="219"/>
      <c r="Q44" s="219"/>
      <c r="R44" s="219"/>
      <c r="S44" s="267"/>
      <c r="T44" s="268"/>
      <c r="U44" s="268"/>
      <c r="V44" s="268"/>
      <c r="W44" s="268"/>
      <c r="X44" s="268"/>
      <c r="Y44" s="268"/>
      <c r="Z44" s="268"/>
      <c r="AA44" s="268"/>
      <c r="AB44" s="268"/>
      <c r="AC44" s="268"/>
      <c r="AD44" s="268"/>
      <c r="AE44" s="268"/>
      <c r="AF44" s="268"/>
      <c r="AG44" s="268"/>
      <c r="AH44" s="268"/>
      <c r="AI44" s="268"/>
      <c r="AJ44" s="268"/>
      <c r="AK44" s="268"/>
      <c r="AL44" s="268"/>
      <c r="AM44" s="268"/>
      <c r="AN44" s="268"/>
      <c r="AO44" s="268"/>
      <c r="AP44" s="268"/>
      <c r="AQ44" s="268"/>
      <c r="AR44" s="268"/>
      <c r="AS44" s="268"/>
      <c r="AT44" s="268"/>
      <c r="AU44" s="268"/>
      <c r="AV44" s="268"/>
      <c r="AW44" s="269"/>
      <c r="AX44" s="270"/>
      <c r="AY44" s="270"/>
      <c r="AZ44" s="270"/>
      <c r="BA44" s="270"/>
      <c r="BB44" s="270"/>
      <c r="BC44" s="271"/>
      <c r="BD44" s="272"/>
      <c r="BE44" s="270"/>
      <c r="BF44" s="270"/>
      <c r="BG44" s="270"/>
      <c r="BH44" s="270"/>
      <c r="BI44" s="270"/>
      <c r="BJ44" s="271"/>
      <c r="BK44" s="237"/>
    </row>
    <row r="45" spans="1:63" ht="15" customHeight="1" x14ac:dyDescent="0.25">
      <c r="A45" s="236"/>
      <c r="B45" s="208"/>
      <c r="C45" s="206"/>
      <c r="D45" s="206"/>
      <c r="E45" s="206"/>
      <c r="F45" s="206"/>
      <c r="G45" s="207"/>
      <c r="H45" s="208"/>
      <c r="I45" s="206"/>
      <c r="J45" s="206"/>
      <c r="K45" s="206"/>
      <c r="L45" s="206"/>
      <c r="M45" s="206"/>
      <c r="N45" s="207"/>
      <c r="O45" s="208"/>
      <c r="P45" s="206"/>
      <c r="Q45" s="206"/>
      <c r="R45" s="206"/>
      <c r="S45" s="261"/>
      <c r="T45" s="262"/>
      <c r="U45" s="262"/>
      <c r="V45" s="262"/>
      <c r="W45" s="262"/>
      <c r="X45" s="262"/>
      <c r="Y45" s="262"/>
      <c r="Z45" s="262"/>
      <c r="AA45" s="262"/>
      <c r="AB45" s="262"/>
      <c r="AC45" s="262"/>
      <c r="AD45" s="262"/>
      <c r="AE45" s="262"/>
      <c r="AF45" s="262"/>
      <c r="AG45" s="262"/>
      <c r="AH45" s="262"/>
      <c r="AI45" s="262"/>
      <c r="AJ45" s="262"/>
      <c r="AK45" s="262"/>
      <c r="AL45" s="262"/>
      <c r="AM45" s="262"/>
      <c r="AN45" s="262"/>
      <c r="AO45" s="262"/>
      <c r="AP45" s="262"/>
      <c r="AQ45" s="262"/>
      <c r="AR45" s="262"/>
      <c r="AS45" s="262"/>
      <c r="AT45" s="262"/>
      <c r="AU45" s="262"/>
      <c r="AV45" s="262"/>
      <c r="AW45" s="263"/>
      <c r="AX45" s="264"/>
      <c r="AY45" s="264"/>
      <c r="AZ45" s="264"/>
      <c r="BA45" s="264"/>
      <c r="BB45" s="264"/>
      <c r="BC45" s="265"/>
      <c r="BD45" s="266"/>
      <c r="BE45" s="264"/>
      <c r="BF45" s="264"/>
      <c r="BG45" s="264"/>
      <c r="BH45" s="264"/>
      <c r="BI45" s="264"/>
      <c r="BJ45" s="265"/>
      <c r="BK45" s="237"/>
    </row>
    <row r="46" spans="1:63" ht="15" customHeight="1" x14ac:dyDescent="0.25">
      <c r="A46" s="236"/>
      <c r="B46" s="218"/>
      <c r="C46" s="219"/>
      <c r="D46" s="219"/>
      <c r="E46" s="219"/>
      <c r="F46" s="219"/>
      <c r="G46" s="220"/>
      <c r="H46" s="218"/>
      <c r="I46" s="219"/>
      <c r="J46" s="219"/>
      <c r="K46" s="219"/>
      <c r="L46" s="219"/>
      <c r="M46" s="219"/>
      <c r="N46" s="220"/>
      <c r="O46" s="218"/>
      <c r="P46" s="219"/>
      <c r="Q46" s="219"/>
      <c r="R46" s="219"/>
      <c r="S46" s="267"/>
      <c r="T46" s="268"/>
      <c r="U46" s="268"/>
      <c r="V46" s="268"/>
      <c r="W46" s="268"/>
      <c r="X46" s="268"/>
      <c r="Y46" s="268"/>
      <c r="Z46" s="268"/>
      <c r="AA46" s="268"/>
      <c r="AB46" s="268"/>
      <c r="AC46" s="268"/>
      <c r="AD46" s="268"/>
      <c r="AE46" s="268"/>
      <c r="AF46" s="268"/>
      <c r="AG46" s="268"/>
      <c r="AH46" s="268"/>
      <c r="AI46" s="268"/>
      <c r="AJ46" s="268"/>
      <c r="AK46" s="268"/>
      <c r="AL46" s="268"/>
      <c r="AM46" s="268"/>
      <c r="AN46" s="268"/>
      <c r="AO46" s="268"/>
      <c r="AP46" s="268"/>
      <c r="AQ46" s="268"/>
      <c r="AR46" s="268"/>
      <c r="AS46" s="268"/>
      <c r="AT46" s="268"/>
      <c r="AU46" s="268"/>
      <c r="AV46" s="268"/>
      <c r="AW46" s="269"/>
      <c r="AX46" s="270"/>
      <c r="AY46" s="270"/>
      <c r="AZ46" s="270"/>
      <c r="BA46" s="270"/>
      <c r="BB46" s="270"/>
      <c r="BC46" s="271"/>
      <c r="BD46" s="272"/>
      <c r="BE46" s="270"/>
      <c r="BF46" s="270"/>
      <c r="BG46" s="270"/>
      <c r="BH46" s="270"/>
      <c r="BI46" s="270"/>
      <c r="BJ46" s="271"/>
      <c r="BK46" s="237"/>
    </row>
    <row r="47" spans="1:63" ht="15" customHeight="1" x14ac:dyDescent="0.25">
      <c r="A47" s="236"/>
      <c r="B47" s="208"/>
      <c r="C47" s="206"/>
      <c r="D47" s="206"/>
      <c r="E47" s="206"/>
      <c r="F47" s="206"/>
      <c r="G47" s="207"/>
      <c r="H47" s="208"/>
      <c r="I47" s="206"/>
      <c r="J47" s="206"/>
      <c r="K47" s="206"/>
      <c r="L47" s="206"/>
      <c r="M47" s="206"/>
      <c r="N47" s="207"/>
      <c r="O47" s="208"/>
      <c r="P47" s="206"/>
      <c r="Q47" s="206"/>
      <c r="R47" s="206"/>
      <c r="S47" s="261"/>
      <c r="T47" s="262"/>
      <c r="U47" s="262"/>
      <c r="V47" s="262"/>
      <c r="W47" s="262"/>
      <c r="X47" s="262"/>
      <c r="Y47" s="262"/>
      <c r="Z47" s="262"/>
      <c r="AA47" s="262"/>
      <c r="AB47" s="262"/>
      <c r="AC47" s="262"/>
      <c r="AD47" s="262"/>
      <c r="AE47" s="262"/>
      <c r="AF47" s="262"/>
      <c r="AG47" s="262"/>
      <c r="AH47" s="262"/>
      <c r="AI47" s="262"/>
      <c r="AJ47" s="262"/>
      <c r="AK47" s="262"/>
      <c r="AL47" s="262"/>
      <c r="AM47" s="262"/>
      <c r="AN47" s="262"/>
      <c r="AO47" s="262"/>
      <c r="AP47" s="262"/>
      <c r="AQ47" s="262"/>
      <c r="AR47" s="262"/>
      <c r="AS47" s="262"/>
      <c r="AT47" s="262"/>
      <c r="AU47" s="262"/>
      <c r="AV47" s="262"/>
      <c r="AW47" s="263"/>
      <c r="AX47" s="264"/>
      <c r="AY47" s="264"/>
      <c r="AZ47" s="264"/>
      <c r="BA47" s="264"/>
      <c r="BB47" s="264"/>
      <c r="BC47" s="265"/>
      <c r="BD47" s="266"/>
      <c r="BE47" s="264"/>
      <c r="BF47" s="264"/>
      <c r="BG47" s="264"/>
      <c r="BH47" s="264"/>
      <c r="BI47" s="264"/>
      <c r="BJ47" s="265"/>
      <c r="BK47" s="237"/>
    </row>
    <row r="48" spans="1:63" ht="15" customHeight="1" x14ac:dyDescent="0.25">
      <c r="A48" s="236"/>
      <c r="B48" s="218"/>
      <c r="C48" s="219"/>
      <c r="D48" s="219"/>
      <c r="E48" s="219"/>
      <c r="F48" s="219"/>
      <c r="G48" s="220"/>
      <c r="H48" s="218"/>
      <c r="I48" s="219"/>
      <c r="J48" s="219"/>
      <c r="K48" s="219"/>
      <c r="L48" s="219"/>
      <c r="M48" s="219"/>
      <c r="N48" s="220"/>
      <c r="O48" s="218"/>
      <c r="P48" s="219"/>
      <c r="Q48" s="219"/>
      <c r="R48" s="219"/>
      <c r="S48" s="267"/>
      <c r="T48" s="268"/>
      <c r="U48" s="268"/>
      <c r="V48" s="268"/>
      <c r="W48" s="268"/>
      <c r="X48" s="268"/>
      <c r="Y48" s="268"/>
      <c r="Z48" s="268"/>
      <c r="AA48" s="268"/>
      <c r="AB48" s="268"/>
      <c r="AC48" s="268"/>
      <c r="AD48" s="268"/>
      <c r="AE48" s="268"/>
      <c r="AF48" s="268"/>
      <c r="AG48" s="268"/>
      <c r="AH48" s="268"/>
      <c r="AI48" s="268"/>
      <c r="AJ48" s="268"/>
      <c r="AK48" s="268"/>
      <c r="AL48" s="268"/>
      <c r="AM48" s="268"/>
      <c r="AN48" s="268"/>
      <c r="AO48" s="268"/>
      <c r="AP48" s="268"/>
      <c r="AQ48" s="268"/>
      <c r="AR48" s="268"/>
      <c r="AS48" s="268"/>
      <c r="AT48" s="268"/>
      <c r="AU48" s="268"/>
      <c r="AV48" s="268"/>
      <c r="AW48" s="269"/>
      <c r="AX48" s="270"/>
      <c r="AY48" s="270"/>
      <c r="AZ48" s="270"/>
      <c r="BA48" s="270"/>
      <c r="BB48" s="270"/>
      <c r="BC48" s="271"/>
      <c r="BD48" s="272"/>
      <c r="BE48" s="270"/>
      <c r="BF48" s="270"/>
      <c r="BG48" s="270"/>
      <c r="BH48" s="270"/>
      <c r="BI48" s="270"/>
      <c r="BJ48" s="271"/>
      <c r="BK48" s="237"/>
    </row>
    <row r="49" spans="1:63" ht="15" customHeight="1" x14ac:dyDescent="0.25">
      <c r="A49" s="236"/>
      <c r="B49" s="208"/>
      <c r="C49" s="206"/>
      <c r="D49" s="206"/>
      <c r="E49" s="206"/>
      <c r="F49" s="206"/>
      <c r="G49" s="207"/>
      <c r="H49" s="208"/>
      <c r="I49" s="206"/>
      <c r="J49" s="206"/>
      <c r="K49" s="206"/>
      <c r="L49" s="206"/>
      <c r="M49" s="206"/>
      <c r="N49" s="207"/>
      <c r="O49" s="208"/>
      <c r="P49" s="206"/>
      <c r="Q49" s="206"/>
      <c r="R49" s="206"/>
      <c r="S49" s="261"/>
      <c r="T49" s="262"/>
      <c r="U49" s="262"/>
      <c r="V49" s="262"/>
      <c r="W49" s="262"/>
      <c r="X49" s="262"/>
      <c r="Y49" s="262"/>
      <c r="Z49" s="262"/>
      <c r="AA49" s="262"/>
      <c r="AB49" s="262"/>
      <c r="AC49" s="262"/>
      <c r="AD49" s="262"/>
      <c r="AE49" s="262"/>
      <c r="AF49" s="262"/>
      <c r="AG49" s="262"/>
      <c r="AH49" s="262"/>
      <c r="AI49" s="262"/>
      <c r="AJ49" s="262"/>
      <c r="AK49" s="262"/>
      <c r="AL49" s="262"/>
      <c r="AM49" s="262"/>
      <c r="AN49" s="262"/>
      <c r="AO49" s="262"/>
      <c r="AP49" s="262"/>
      <c r="AQ49" s="262"/>
      <c r="AR49" s="262"/>
      <c r="AS49" s="262"/>
      <c r="AT49" s="262"/>
      <c r="AU49" s="262"/>
      <c r="AV49" s="262"/>
      <c r="AW49" s="263"/>
      <c r="AX49" s="264"/>
      <c r="AY49" s="264"/>
      <c r="AZ49" s="264"/>
      <c r="BA49" s="264"/>
      <c r="BB49" s="264"/>
      <c r="BC49" s="265"/>
      <c r="BD49" s="266"/>
      <c r="BE49" s="264"/>
      <c r="BF49" s="264"/>
      <c r="BG49" s="264"/>
      <c r="BH49" s="264"/>
      <c r="BI49" s="264"/>
      <c r="BJ49" s="265"/>
      <c r="BK49" s="237"/>
    </row>
    <row r="50" spans="1:63" ht="15" customHeight="1" x14ac:dyDescent="0.25">
      <c r="A50" s="236"/>
      <c r="B50" s="218"/>
      <c r="C50" s="219"/>
      <c r="D50" s="219"/>
      <c r="E50" s="219"/>
      <c r="F50" s="219"/>
      <c r="G50" s="220"/>
      <c r="H50" s="218"/>
      <c r="I50" s="219"/>
      <c r="J50" s="219"/>
      <c r="K50" s="219"/>
      <c r="L50" s="219"/>
      <c r="M50" s="219"/>
      <c r="N50" s="220"/>
      <c r="O50" s="218"/>
      <c r="P50" s="219"/>
      <c r="Q50" s="219"/>
      <c r="R50" s="219"/>
      <c r="S50" s="267"/>
      <c r="T50" s="268"/>
      <c r="U50" s="268"/>
      <c r="V50" s="268"/>
      <c r="W50" s="268"/>
      <c r="X50" s="268"/>
      <c r="Y50" s="268"/>
      <c r="Z50" s="268"/>
      <c r="AA50" s="268"/>
      <c r="AB50" s="268"/>
      <c r="AC50" s="268"/>
      <c r="AD50" s="268"/>
      <c r="AE50" s="268"/>
      <c r="AF50" s="268"/>
      <c r="AG50" s="268"/>
      <c r="AH50" s="268"/>
      <c r="AI50" s="268"/>
      <c r="AJ50" s="268"/>
      <c r="AK50" s="268"/>
      <c r="AL50" s="268"/>
      <c r="AM50" s="268"/>
      <c r="AN50" s="268"/>
      <c r="AO50" s="268"/>
      <c r="AP50" s="268"/>
      <c r="AQ50" s="268"/>
      <c r="AR50" s="268"/>
      <c r="AS50" s="268"/>
      <c r="AT50" s="268"/>
      <c r="AU50" s="268"/>
      <c r="AV50" s="268"/>
      <c r="AW50" s="269"/>
      <c r="AX50" s="270"/>
      <c r="AY50" s="270"/>
      <c r="AZ50" s="270"/>
      <c r="BA50" s="270"/>
      <c r="BB50" s="270"/>
      <c r="BC50" s="271"/>
      <c r="BD50" s="272"/>
      <c r="BE50" s="270"/>
      <c r="BF50" s="270"/>
      <c r="BG50" s="270"/>
      <c r="BH50" s="270"/>
      <c r="BI50" s="270"/>
      <c r="BJ50" s="271"/>
      <c r="BK50" s="237"/>
    </row>
    <row r="51" spans="1:63" ht="15" customHeight="1" x14ac:dyDescent="0.25">
      <c r="A51" s="236"/>
      <c r="B51" s="208"/>
      <c r="C51" s="206"/>
      <c r="D51" s="206"/>
      <c r="E51" s="206"/>
      <c r="F51" s="206"/>
      <c r="G51" s="207"/>
      <c r="H51" s="208"/>
      <c r="I51" s="206"/>
      <c r="J51" s="206"/>
      <c r="K51" s="206"/>
      <c r="L51" s="206"/>
      <c r="M51" s="206"/>
      <c r="N51" s="207"/>
      <c r="O51" s="208"/>
      <c r="P51" s="206"/>
      <c r="Q51" s="206"/>
      <c r="R51" s="206"/>
      <c r="S51" s="261"/>
      <c r="T51" s="262"/>
      <c r="U51" s="262"/>
      <c r="V51" s="262"/>
      <c r="W51" s="262"/>
      <c r="X51" s="262"/>
      <c r="Y51" s="262"/>
      <c r="Z51" s="262"/>
      <c r="AA51" s="262"/>
      <c r="AB51" s="262"/>
      <c r="AC51" s="262"/>
      <c r="AD51" s="262"/>
      <c r="AE51" s="262"/>
      <c r="AF51" s="262"/>
      <c r="AG51" s="262"/>
      <c r="AH51" s="262"/>
      <c r="AI51" s="262"/>
      <c r="AJ51" s="262"/>
      <c r="AK51" s="262"/>
      <c r="AL51" s="262"/>
      <c r="AM51" s="262"/>
      <c r="AN51" s="262"/>
      <c r="AO51" s="262"/>
      <c r="AP51" s="262"/>
      <c r="AQ51" s="262"/>
      <c r="AR51" s="262"/>
      <c r="AS51" s="262"/>
      <c r="AT51" s="262"/>
      <c r="AU51" s="262"/>
      <c r="AV51" s="262"/>
      <c r="AW51" s="263"/>
      <c r="AX51" s="264"/>
      <c r="AY51" s="264"/>
      <c r="AZ51" s="264"/>
      <c r="BA51" s="264"/>
      <c r="BB51" s="264"/>
      <c r="BC51" s="265"/>
      <c r="BD51" s="266"/>
      <c r="BE51" s="264"/>
      <c r="BF51" s="264"/>
      <c r="BG51" s="264"/>
      <c r="BH51" s="264"/>
      <c r="BI51" s="264"/>
      <c r="BJ51" s="265"/>
      <c r="BK51" s="237"/>
    </row>
    <row r="52" spans="1:63" ht="15" customHeight="1" x14ac:dyDescent="0.25">
      <c r="A52" s="236"/>
      <c r="B52" s="218"/>
      <c r="C52" s="219"/>
      <c r="D52" s="219"/>
      <c r="E52" s="219"/>
      <c r="F52" s="219"/>
      <c r="G52" s="220"/>
      <c r="H52" s="218"/>
      <c r="I52" s="219"/>
      <c r="J52" s="219"/>
      <c r="K52" s="219"/>
      <c r="L52" s="219"/>
      <c r="M52" s="219"/>
      <c r="N52" s="220"/>
      <c r="O52" s="218"/>
      <c r="P52" s="219"/>
      <c r="Q52" s="219"/>
      <c r="R52" s="219"/>
      <c r="S52" s="267"/>
      <c r="T52" s="268"/>
      <c r="U52" s="268"/>
      <c r="V52" s="268"/>
      <c r="W52" s="268"/>
      <c r="X52" s="268"/>
      <c r="Y52" s="268"/>
      <c r="Z52" s="268"/>
      <c r="AA52" s="268"/>
      <c r="AB52" s="268"/>
      <c r="AC52" s="268"/>
      <c r="AD52" s="268"/>
      <c r="AE52" s="268"/>
      <c r="AF52" s="268"/>
      <c r="AG52" s="268"/>
      <c r="AH52" s="268"/>
      <c r="AI52" s="268"/>
      <c r="AJ52" s="268"/>
      <c r="AK52" s="268"/>
      <c r="AL52" s="268"/>
      <c r="AM52" s="268"/>
      <c r="AN52" s="268"/>
      <c r="AO52" s="268"/>
      <c r="AP52" s="268"/>
      <c r="AQ52" s="268"/>
      <c r="AR52" s="268"/>
      <c r="AS52" s="268"/>
      <c r="AT52" s="268"/>
      <c r="AU52" s="268"/>
      <c r="AV52" s="268"/>
      <c r="AW52" s="269"/>
      <c r="AX52" s="270"/>
      <c r="AY52" s="270"/>
      <c r="AZ52" s="270"/>
      <c r="BA52" s="270"/>
      <c r="BB52" s="270"/>
      <c r="BC52" s="271"/>
      <c r="BD52" s="272"/>
      <c r="BE52" s="270"/>
      <c r="BF52" s="270"/>
      <c r="BG52" s="270"/>
      <c r="BH52" s="270"/>
      <c r="BI52" s="270"/>
      <c r="BJ52" s="271"/>
      <c r="BK52" s="237"/>
    </row>
    <row r="53" spans="1:63" ht="15" customHeight="1" x14ac:dyDescent="0.25">
      <c r="A53" s="236"/>
      <c r="B53" s="208"/>
      <c r="C53" s="206"/>
      <c r="D53" s="206"/>
      <c r="E53" s="206"/>
      <c r="F53" s="206"/>
      <c r="G53" s="207"/>
      <c r="H53" s="208"/>
      <c r="I53" s="206"/>
      <c r="J53" s="206"/>
      <c r="K53" s="206"/>
      <c r="L53" s="206"/>
      <c r="M53" s="206"/>
      <c r="N53" s="207"/>
      <c r="O53" s="208"/>
      <c r="P53" s="206"/>
      <c r="Q53" s="206"/>
      <c r="R53" s="206"/>
      <c r="S53" s="261"/>
      <c r="T53" s="262"/>
      <c r="U53" s="262"/>
      <c r="V53" s="262"/>
      <c r="W53" s="262"/>
      <c r="X53" s="262"/>
      <c r="Y53" s="262"/>
      <c r="Z53" s="262"/>
      <c r="AA53" s="262"/>
      <c r="AB53" s="262"/>
      <c r="AC53" s="262"/>
      <c r="AD53" s="262"/>
      <c r="AE53" s="262"/>
      <c r="AF53" s="262"/>
      <c r="AG53" s="262"/>
      <c r="AH53" s="262"/>
      <c r="AI53" s="262"/>
      <c r="AJ53" s="262"/>
      <c r="AK53" s="262"/>
      <c r="AL53" s="262"/>
      <c r="AM53" s="262"/>
      <c r="AN53" s="262"/>
      <c r="AO53" s="262"/>
      <c r="AP53" s="262"/>
      <c r="AQ53" s="262"/>
      <c r="AR53" s="262"/>
      <c r="AS53" s="262"/>
      <c r="AT53" s="262"/>
      <c r="AU53" s="262"/>
      <c r="AV53" s="262"/>
      <c r="AW53" s="263"/>
      <c r="AX53" s="264"/>
      <c r="AY53" s="264"/>
      <c r="AZ53" s="264"/>
      <c r="BA53" s="264"/>
      <c r="BB53" s="264"/>
      <c r="BC53" s="265"/>
      <c r="BD53" s="266"/>
      <c r="BE53" s="264"/>
      <c r="BF53" s="264"/>
      <c r="BG53" s="264"/>
      <c r="BH53" s="264"/>
      <c r="BI53" s="264"/>
      <c r="BJ53" s="265"/>
      <c r="BK53" s="237"/>
    </row>
    <row r="54" spans="1:63" ht="15" customHeight="1" x14ac:dyDescent="0.25">
      <c r="A54" s="236"/>
      <c r="B54" s="218"/>
      <c r="C54" s="219"/>
      <c r="D54" s="219"/>
      <c r="E54" s="219"/>
      <c r="F54" s="219"/>
      <c r="G54" s="220"/>
      <c r="H54" s="218"/>
      <c r="I54" s="219"/>
      <c r="J54" s="219"/>
      <c r="K54" s="219"/>
      <c r="L54" s="219"/>
      <c r="M54" s="219"/>
      <c r="N54" s="220"/>
      <c r="O54" s="218"/>
      <c r="P54" s="219"/>
      <c r="Q54" s="219"/>
      <c r="R54" s="219"/>
      <c r="S54" s="267"/>
      <c r="T54" s="268"/>
      <c r="U54" s="268"/>
      <c r="V54" s="268"/>
      <c r="W54" s="268"/>
      <c r="X54" s="268"/>
      <c r="Y54" s="268"/>
      <c r="Z54" s="268"/>
      <c r="AA54" s="268"/>
      <c r="AB54" s="268"/>
      <c r="AC54" s="268"/>
      <c r="AD54" s="268"/>
      <c r="AE54" s="268"/>
      <c r="AF54" s="268"/>
      <c r="AG54" s="268"/>
      <c r="AH54" s="268"/>
      <c r="AI54" s="268"/>
      <c r="AJ54" s="268"/>
      <c r="AK54" s="268"/>
      <c r="AL54" s="268"/>
      <c r="AM54" s="268"/>
      <c r="AN54" s="268"/>
      <c r="AO54" s="268"/>
      <c r="AP54" s="268"/>
      <c r="AQ54" s="268"/>
      <c r="AR54" s="268"/>
      <c r="AS54" s="268"/>
      <c r="AT54" s="268"/>
      <c r="AU54" s="268"/>
      <c r="AV54" s="268"/>
      <c r="AW54" s="269"/>
      <c r="AX54" s="270"/>
      <c r="AY54" s="270"/>
      <c r="AZ54" s="270"/>
      <c r="BA54" s="270"/>
      <c r="BB54" s="270"/>
      <c r="BC54" s="271"/>
      <c r="BD54" s="272"/>
      <c r="BE54" s="270"/>
      <c r="BF54" s="270"/>
      <c r="BG54" s="270"/>
      <c r="BH54" s="270"/>
      <c r="BI54" s="270"/>
      <c r="BJ54" s="271"/>
      <c r="BK54" s="237"/>
    </row>
    <row r="55" spans="1:63" ht="15" customHeight="1" x14ac:dyDescent="0.25">
      <c r="A55" s="233"/>
      <c r="B55" s="234"/>
      <c r="C55" s="234"/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4"/>
      <c r="S55" s="234"/>
      <c r="T55" s="234"/>
      <c r="U55" s="234"/>
      <c r="V55" s="234"/>
      <c r="W55" s="234"/>
      <c r="X55" s="234"/>
      <c r="Y55" s="234"/>
      <c r="Z55" s="234"/>
      <c r="AA55" s="234"/>
      <c r="AB55" s="234"/>
      <c r="AC55" s="234"/>
      <c r="AD55" s="234"/>
      <c r="AE55" s="234"/>
      <c r="AF55" s="234"/>
      <c r="AG55" s="234"/>
      <c r="AH55" s="234"/>
      <c r="AI55" s="234"/>
      <c r="AJ55" s="234"/>
      <c r="AK55" s="234"/>
      <c r="AL55" s="234"/>
      <c r="AM55" s="234"/>
      <c r="AN55" s="234"/>
      <c r="AO55" s="234"/>
      <c r="AP55" s="234"/>
      <c r="AQ55" s="234"/>
      <c r="AR55" s="234"/>
      <c r="AS55" s="234"/>
      <c r="AT55" s="234"/>
      <c r="AU55" s="234"/>
      <c r="AV55" s="234"/>
      <c r="AW55" s="234"/>
      <c r="AX55" s="234"/>
      <c r="AY55" s="234"/>
      <c r="AZ55" s="234"/>
      <c r="BA55" s="234"/>
      <c r="BB55" s="234"/>
      <c r="BC55" s="234"/>
      <c r="BD55" s="234"/>
      <c r="BE55" s="234"/>
      <c r="BF55" s="234"/>
      <c r="BG55" s="234"/>
      <c r="BH55" s="234"/>
      <c r="BI55" s="234"/>
      <c r="BJ55" s="234"/>
      <c r="BK55" s="235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92F10-0F13-4FA5-B855-F2A438C6A067}">
  <dimension ref="A1:BK193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45" width="2.77734375" style="2"/>
    <col min="46" max="46" width="3" style="2" bestFit="1" customWidth="1"/>
    <col min="47" max="16384" width="2.77734375" style="2"/>
  </cols>
  <sheetData>
    <row r="1" spans="1:63" ht="24.95" customHeight="1" x14ac:dyDescent="0.25">
      <c r="A1" s="317" t="s">
        <v>121</v>
      </c>
      <c r="B1" s="318"/>
      <c r="C1" s="318"/>
      <c r="D1" s="318"/>
      <c r="E1" s="318"/>
      <c r="F1" s="318"/>
      <c r="G1" s="318"/>
      <c r="H1" s="318"/>
      <c r="I1" s="318"/>
      <c r="J1" s="319"/>
      <c r="K1" s="317" t="s">
        <v>122</v>
      </c>
      <c r="L1" s="318"/>
      <c r="M1" s="318"/>
      <c r="N1" s="318"/>
      <c r="O1" s="318"/>
      <c r="P1" s="318"/>
      <c r="Q1" s="318"/>
      <c r="R1" s="318"/>
      <c r="S1" s="318"/>
      <c r="T1" s="318"/>
      <c r="U1" s="318"/>
      <c r="V1" s="319"/>
      <c r="W1" s="320" t="str">
        <f>IF(表紙!W1="","",表紙!W1)</f>
        <v>詳細設計書</v>
      </c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  <c r="AN1" s="321"/>
      <c r="AO1" s="322"/>
      <c r="AP1" s="199" t="s">
        <v>124</v>
      </c>
      <c r="AQ1" s="200"/>
      <c r="AR1" s="200"/>
      <c r="AS1" s="201"/>
      <c r="AT1" s="199" t="s">
        <v>125</v>
      </c>
      <c r="AU1" s="200"/>
      <c r="AV1" s="200"/>
      <c r="AW1" s="200"/>
      <c r="AX1" s="201"/>
      <c r="AY1" s="199" t="s">
        <v>126</v>
      </c>
      <c r="AZ1" s="200"/>
      <c r="BA1" s="200"/>
      <c r="BB1" s="201"/>
      <c r="BC1" s="199" t="s">
        <v>127</v>
      </c>
      <c r="BD1" s="200"/>
      <c r="BE1" s="200"/>
      <c r="BF1" s="200"/>
      <c r="BG1" s="201"/>
      <c r="BH1" s="199" t="s">
        <v>128</v>
      </c>
      <c r="BI1" s="200"/>
      <c r="BJ1" s="200"/>
      <c r="BK1" s="201"/>
    </row>
    <row r="2" spans="1:63" ht="15" customHeight="1" x14ac:dyDescent="0.25">
      <c r="A2" s="160" t="str">
        <f>IF(表紙!A2="","",表紙!A2)</f>
        <v>POSサーバー</v>
      </c>
      <c r="B2" s="161"/>
      <c r="C2" s="161"/>
      <c r="D2" s="161"/>
      <c r="E2" s="161"/>
      <c r="F2" s="161"/>
      <c r="G2" s="161"/>
      <c r="H2" s="161"/>
      <c r="I2" s="161"/>
      <c r="J2" s="162"/>
      <c r="K2" s="160" t="str">
        <f>IF(表紙!K2="","",表紙!K2)</f>
        <v>POSサーバ</v>
      </c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2"/>
      <c r="W2" s="323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324"/>
      <c r="AL2" s="324"/>
      <c r="AM2" s="324"/>
      <c r="AN2" s="324"/>
      <c r="AO2" s="325"/>
      <c r="AP2" s="208" t="str">
        <f>IF(表紙!AP2="","",表紙!AP2)</f>
        <v>TuyenNH</v>
      </c>
      <c r="AQ2" s="206"/>
      <c r="AR2" s="206"/>
      <c r="AS2" s="207"/>
      <c r="AT2" s="212">
        <f>IF(表紙!AT2="","",表紙!AT2)</f>
        <v>45544</v>
      </c>
      <c r="AU2" s="213"/>
      <c r="AV2" s="213"/>
      <c r="AW2" s="213"/>
      <c r="AX2" s="214"/>
      <c r="AY2" s="208" t="str">
        <f>IF(表紙!AY2="","",表紙!AY2)</f>
        <v>DuNT</v>
      </c>
      <c r="AZ2" s="206"/>
      <c r="BA2" s="206"/>
      <c r="BB2" s="207"/>
      <c r="BC2" s="212">
        <f>IF(表紙!BC2="","",表紙!BC2)</f>
        <v>45628</v>
      </c>
      <c r="BD2" s="213"/>
      <c r="BE2" s="213"/>
      <c r="BF2" s="213"/>
      <c r="BG2" s="214"/>
      <c r="BH2" s="208">
        <f>IF(表紙!BH2="","",表紙!BH2)</f>
        <v>0.16</v>
      </c>
      <c r="BI2" s="206"/>
      <c r="BJ2" s="206"/>
      <c r="BK2" s="207"/>
    </row>
    <row r="3" spans="1:63" ht="15" customHeight="1" x14ac:dyDescent="0.25">
      <c r="A3" s="163"/>
      <c r="B3" s="164"/>
      <c r="C3" s="164"/>
      <c r="D3" s="164"/>
      <c r="E3" s="164"/>
      <c r="F3" s="164"/>
      <c r="G3" s="164"/>
      <c r="H3" s="164"/>
      <c r="I3" s="164"/>
      <c r="J3" s="165"/>
      <c r="K3" s="163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5"/>
      <c r="W3" s="326"/>
      <c r="X3" s="327"/>
      <c r="Y3" s="327"/>
      <c r="Z3" s="327"/>
      <c r="AA3" s="327"/>
      <c r="AB3" s="327"/>
      <c r="AC3" s="327"/>
      <c r="AD3" s="327"/>
      <c r="AE3" s="327"/>
      <c r="AF3" s="327"/>
      <c r="AG3" s="327"/>
      <c r="AH3" s="327"/>
      <c r="AI3" s="327"/>
      <c r="AJ3" s="327"/>
      <c r="AK3" s="327"/>
      <c r="AL3" s="327"/>
      <c r="AM3" s="327"/>
      <c r="AN3" s="327"/>
      <c r="AO3" s="328"/>
      <c r="AP3" s="218"/>
      <c r="AQ3" s="219"/>
      <c r="AR3" s="219"/>
      <c r="AS3" s="220"/>
      <c r="AT3" s="224"/>
      <c r="AU3" s="225"/>
      <c r="AV3" s="225"/>
      <c r="AW3" s="225"/>
      <c r="AX3" s="226"/>
      <c r="AY3" s="218"/>
      <c r="AZ3" s="219"/>
      <c r="BA3" s="219"/>
      <c r="BB3" s="220"/>
      <c r="BC3" s="224"/>
      <c r="BD3" s="225"/>
      <c r="BE3" s="225"/>
      <c r="BF3" s="225"/>
      <c r="BG3" s="226"/>
      <c r="BH3" s="218"/>
      <c r="BI3" s="219"/>
      <c r="BJ3" s="219"/>
      <c r="BK3" s="220"/>
    </row>
    <row r="4" spans="1:63" ht="24.95" customHeight="1" x14ac:dyDescent="0.25">
      <c r="A4" s="317" t="s">
        <v>130</v>
      </c>
      <c r="B4" s="318"/>
      <c r="C4" s="318"/>
      <c r="D4" s="318"/>
      <c r="E4" s="318"/>
      <c r="F4" s="318"/>
      <c r="G4" s="319"/>
      <c r="H4" s="170" t="str">
        <f>IF(表紙!H4="","",表紙!H4)</f>
        <v>03_店舗特売入力</v>
      </c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2"/>
      <c r="U4" s="317" t="s">
        <v>131</v>
      </c>
      <c r="V4" s="318"/>
      <c r="W4" s="318"/>
      <c r="X4" s="318"/>
      <c r="Y4" s="319"/>
      <c r="Z4" s="170" t="str">
        <f>IF(表紙!Z4="","",表紙!Z4)</f>
        <v>画面設計書</v>
      </c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  <c r="AN4" s="171"/>
      <c r="AO4" s="172"/>
      <c r="AP4" s="173" t="str">
        <f ca="1">MID(CELL("filename",A1),FIND("]",CELL("filename",A1))+1,255)</f>
        <v>SC0301</v>
      </c>
      <c r="AQ4" s="171"/>
      <c r="AR4" s="171"/>
      <c r="AS4" s="171"/>
      <c r="AT4" s="171"/>
      <c r="AU4" s="171"/>
      <c r="AV4" s="171"/>
      <c r="AW4" s="171"/>
      <c r="AX4" s="171"/>
      <c r="AY4" s="171"/>
      <c r="AZ4" s="171"/>
      <c r="BA4" s="171"/>
      <c r="BB4" s="171"/>
      <c r="BC4" s="171"/>
      <c r="BD4" s="171"/>
      <c r="BE4" s="171"/>
      <c r="BF4" s="171"/>
      <c r="BG4" s="171"/>
      <c r="BH4" s="171"/>
      <c r="BI4" s="171"/>
      <c r="BJ4" s="171"/>
      <c r="BK4" s="172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6"/>
      <c r="BK6" s="7"/>
    </row>
    <row r="7" spans="1:63" ht="15" customHeight="1" x14ac:dyDescent="0.25">
      <c r="A7" s="6"/>
      <c r="B7" s="8" t="s">
        <v>143</v>
      </c>
      <c r="C7" s="329"/>
      <c r="D7" s="329"/>
      <c r="E7" s="329"/>
      <c r="F7" s="329"/>
      <c r="G7" s="329"/>
      <c r="H7" s="329"/>
      <c r="I7" s="329"/>
      <c r="J7" s="329"/>
      <c r="AE7" s="8"/>
      <c r="BK7" s="7"/>
    </row>
    <row r="8" spans="1:63" x14ac:dyDescent="0.25">
      <c r="A8" s="6"/>
      <c r="C8" s="2" t="s">
        <v>22</v>
      </c>
      <c r="BK8" s="7"/>
    </row>
    <row r="9" spans="1:63" x14ac:dyDescent="0.25">
      <c r="A9" s="6"/>
      <c r="BK9" s="7"/>
    </row>
    <row r="10" spans="1:63" x14ac:dyDescent="0.25">
      <c r="A10" s="6"/>
      <c r="BK10" s="7"/>
    </row>
    <row r="11" spans="1:63" x14ac:dyDescent="0.25">
      <c r="A11" s="6"/>
      <c r="BK11" s="7"/>
    </row>
    <row r="12" spans="1:63" x14ac:dyDescent="0.25">
      <c r="A12" s="6"/>
      <c r="BK12" s="7"/>
    </row>
    <row r="13" spans="1:63" x14ac:dyDescent="0.25">
      <c r="A13" s="6"/>
      <c r="BK13" s="7"/>
    </row>
    <row r="14" spans="1:63" x14ac:dyDescent="0.25">
      <c r="A14" s="6"/>
      <c r="BK14" s="7"/>
    </row>
    <row r="15" spans="1:63" x14ac:dyDescent="0.25">
      <c r="A15" s="6"/>
      <c r="BK15" s="7"/>
    </row>
    <row r="16" spans="1:63" x14ac:dyDescent="0.25">
      <c r="A16" s="6"/>
      <c r="BK16" s="7"/>
    </row>
    <row r="17" spans="1:63" x14ac:dyDescent="0.25">
      <c r="A17" s="6"/>
      <c r="BK17" s="7"/>
    </row>
    <row r="18" spans="1:63" x14ac:dyDescent="0.25">
      <c r="A18" s="6"/>
      <c r="BK18" s="7"/>
    </row>
    <row r="19" spans="1:63" x14ac:dyDescent="0.25">
      <c r="A19" s="6"/>
      <c r="BK19" s="7"/>
    </row>
    <row r="20" spans="1:63" x14ac:dyDescent="0.25">
      <c r="A20" s="6"/>
      <c r="BK20" s="7"/>
    </row>
    <row r="21" spans="1:63" x14ac:dyDescent="0.25">
      <c r="A21" s="6"/>
      <c r="BK21" s="7"/>
    </row>
    <row r="22" spans="1:63" x14ac:dyDescent="0.25">
      <c r="A22" s="6"/>
      <c r="BK22" s="7"/>
    </row>
    <row r="23" spans="1:63" x14ac:dyDescent="0.25">
      <c r="A23" s="6"/>
      <c r="BK23" s="7"/>
    </row>
    <row r="24" spans="1:63" x14ac:dyDescent="0.25">
      <c r="A24" s="6"/>
      <c r="BK24" s="7"/>
    </row>
    <row r="25" spans="1:63" x14ac:dyDescent="0.25">
      <c r="A25" s="6"/>
      <c r="BK25" s="7"/>
    </row>
    <row r="26" spans="1:63" x14ac:dyDescent="0.25">
      <c r="A26" s="6"/>
      <c r="BK26" s="7"/>
    </row>
    <row r="27" spans="1:63" x14ac:dyDescent="0.25">
      <c r="A27" s="6"/>
      <c r="BK27" s="7"/>
    </row>
    <row r="28" spans="1:63" x14ac:dyDescent="0.25">
      <c r="A28" s="6"/>
      <c r="BK28" s="7"/>
    </row>
    <row r="29" spans="1:63" x14ac:dyDescent="0.25">
      <c r="A29" s="6"/>
      <c r="BK29" s="7"/>
    </row>
    <row r="30" spans="1:63" x14ac:dyDescent="0.25">
      <c r="A30" s="6"/>
      <c r="BK30" s="7"/>
    </row>
    <row r="31" spans="1:63" x14ac:dyDescent="0.25">
      <c r="A31" s="6"/>
      <c r="BK31" s="7"/>
    </row>
    <row r="32" spans="1:63" x14ac:dyDescent="0.25">
      <c r="A32" s="6"/>
      <c r="BK32" s="7"/>
    </row>
    <row r="33" spans="1:63" x14ac:dyDescent="0.25">
      <c r="A33" s="6"/>
      <c r="BK33" s="7"/>
    </row>
    <row r="34" spans="1:63" x14ac:dyDescent="0.25">
      <c r="A34" s="6"/>
      <c r="BK34" s="7"/>
    </row>
    <row r="35" spans="1:63" x14ac:dyDescent="0.25">
      <c r="A35" s="6"/>
      <c r="BK35" s="7"/>
    </row>
    <row r="36" spans="1:63" x14ac:dyDescent="0.25">
      <c r="A36" s="6"/>
      <c r="BK36" s="7"/>
    </row>
    <row r="37" spans="1:63" x14ac:dyDescent="0.25">
      <c r="A37" s="6"/>
      <c r="BK37" s="7"/>
    </row>
    <row r="38" spans="1:63" x14ac:dyDescent="0.25">
      <c r="A38" s="6"/>
      <c r="BK38" s="7"/>
    </row>
    <row r="39" spans="1:63" x14ac:dyDescent="0.25">
      <c r="A39" s="6"/>
      <c r="BK39" s="7"/>
    </row>
    <row r="40" spans="1:63" x14ac:dyDescent="0.25">
      <c r="A40" s="6"/>
      <c r="BK40" s="7"/>
    </row>
    <row r="41" spans="1:63" x14ac:dyDescent="0.25">
      <c r="A41" s="6"/>
      <c r="BK41" s="7"/>
    </row>
    <row r="42" spans="1:63" x14ac:dyDescent="0.25">
      <c r="A42" s="6"/>
      <c r="BK42" s="7"/>
    </row>
    <row r="43" spans="1:63" x14ac:dyDescent="0.25">
      <c r="A43" s="6"/>
      <c r="BK43" s="7"/>
    </row>
    <row r="44" spans="1:63" x14ac:dyDescent="0.25">
      <c r="A44" s="6"/>
      <c r="B44" s="8" t="s">
        <v>144</v>
      </c>
      <c r="BK44" s="7"/>
    </row>
    <row r="45" spans="1:63" x14ac:dyDescent="0.25">
      <c r="A45" s="6"/>
      <c r="BK45" s="7"/>
    </row>
    <row r="46" spans="1:63" ht="15.75" customHeight="1" x14ac:dyDescent="0.25">
      <c r="A46" s="6"/>
      <c r="B46" s="150" t="s">
        <v>145</v>
      </c>
      <c r="C46" s="151"/>
      <c r="D46" s="156" t="s">
        <v>146</v>
      </c>
      <c r="E46" s="157"/>
      <c r="F46" s="157"/>
      <c r="G46" s="157"/>
      <c r="H46" s="157"/>
      <c r="I46" s="157"/>
      <c r="J46" s="151"/>
      <c r="K46" s="156" t="s">
        <v>147</v>
      </c>
      <c r="L46" s="157"/>
      <c r="M46" s="151"/>
      <c r="N46" s="128" t="s">
        <v>3</v>
      </c>
      <c r="O46" s="174" t="s">
        <v>148</v>
      </c>
      <c r="P46" s="98" t="s">
        <v>149</v>
      </c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  <c r="AO46" s="99"/>
      <c r="AP46" s="99"/>
      <c r="AQ46" s="100"/>
      <c r="AR46" s="127" t="s">
        <v>150</v>
      </c>
      <c r="AS46" s="66"/>
      <c r="AT46" s="66"/>
      <c r="AU46" s="66"/>
      <c r="AV46" s="66"/>
      <c r="AW46" s="66"/>
      <c r="AX46" s="66"/>
      <c r="AY46" s="66"/>
      <c r="AZ46" s="66"/>
      <c r="BA46" s="66"/>
      <c r="BB46" s="67"/>
      <c r="BC46" s="68" t="s">
        <v>151</v>
      </c>
      <c r="BD46" s="69"/>
      <c r="BE46" s="69"/>
      <c r="BF46" s="69"/>
      <c r="BG46" s="69"/>
      <c r="BH46" s="69"/>
      <c r="BI46" s="69"/>
      <c r="BJ46" s="70"/>
      <c r="BK46" s="7"/>
    </row>
    <row r="47" spans="1:63" ht="15.75" customHeight="1" x14ac:dyDescent="0.25">
      <c r="A47" s="6"/>
      <c r="B47" s="152"/>
      <c r="C47" s="153"/>
      <c r="D47" s="152"/>
      <c r="E47" s="158"/>
      <c r="F47" s="158"/>
      <c r="G47" s="158"/>
      <c r="H47" s="158"/>
      <c r="I47" s="158"/>
      <c r="J47" s="153"/>
      <c r="K47" s="152"/>
      <c r="L47" s="158"/>
      <c r="M47" s="153"/>
      <c r="N47" s="129"/>
      <c r="O47" s="175"/>
      <c r="P47" s="101" t="s">
        <v>152</v>
      </c>
      <c r="Q47" s="102"/>
      <c r="R47" s="102"/>
      <c r="S47" s="102"/>
      <c r="T47" s="102"/>
      <c r="U47" s="102"/>
      <c r="V47" s="102"/>
      <c r="W47" s="103"/>
      <c r="X47" s="104" t="s">
        <v>153</v>
      </c>
      <c r="Y47" s="105"/>
      <c r="Z47" s="106"/>
      <c r="AA47" s="104" t="s">
        <v>154</v>
      </c>
      <c r="AB47" s="105"/>
      <c r="AC47" s="105"/>
      <c r="AD47" s="105"/>
      <c r="AE47" s="105"/>
      <c r="AF47" s="105"/>
      <c r="AG47" s="105"/>
      <c r="AH47" s="106"/>
      <c r="AI47" s="104" t="s">
        <v>155</v>
      </c>
      <c r="AJ47" s="105"/>
      <c r="AK47" s="105"/>
      <c r="AL47" s="105"/>
      <c r="AM47" s="105"/>
      <c r="AN47" s="105"/>
      <c r="AO47" s="105"/>
      <c r="AP47" s="105"/>
      <c r="AQ47" s="106"/>
      <c r="AR47" s="125" t="s">
        <v>4</v>
      </c>
      <c r="AS47" s="166" t="s">
        <v>156</v>
      </c>
      <c r="AT47" s="168" t="s">
        <v>157</v>
      </c>
      <c r="AU47" s="127" t="s">
        <v>152</v>
      </c>
      <c r="AV47" s="66"/>
      <c r="AW47" s="66"/>
      <c r="AX47" s="66"/>
      <c r="AY47" s="66"/>
      <c r="AZ47" s="66"/>
      <c r="BA47" s="66"/>
      <c r="BB47" s="67"/>
      <c r="BC47" s="71"/>
      <c r="BD47" s="72"/>
      <c r="BE47" s="72"/>
      <c r="BF47" s="72"/>
      <c r="BG47" s="72"/>
      <c r="BH47" s="72"/>
      <c r="BI47" s="72"/>
      <c r="BJ47" s="73"/>
      <c r="BK47" s="7"/>
    </row>
    <row r="48" spans="1:63" x14ac:dyDescent="0.25">
      <c r="A48" s="6"/>
      <c r="B48" s="154"/>
      <c r="C48" s="155"/>
      <c r="D48" s="154"/>
      <c r="E48" s="159"/>
      <c r="F48" s="159"/>
      <c r="G48" s="159"/>
      <c r="H48" s="159"/>
      <c r="I48" s="159"/>
      <c r="J48" s="155"/>
      <c r="K48" s="154"/>
      <c r="L48" s="159"/>
      <c r="M48" s="155"/>
      <c r="N48" s="130"/>
      <c r="O48" s="176"/>
      <c r="P48" s="98" t="s">
        <v>158</v>
      </c>
      <c r="Q48" s="99"/>
      <c r="R48" s="99"/>
      <c r="S48" s="100"/>
      <c r="T48" s="98" t="s">
        <v>146</v>
      </c>
      <c r="U48" s="99"/>
      <c r="V48" s="99"/>
      <c r="W48" s="100"/>
      <c r="X48" s="107"/>
      <c r="Y48" s="108"/>
      <c r="Z48" s="109"/>
      <c r="AA48" s="107"/>
      <c r="AB48" s="108"/>
      <c r="AC48" s="108"/>
      <c r="AD48" s="108"/>
      <c r="AE48" s="108"/>
      <c r="AF48" s="108"/>
      <c r="AG48" s="108"/>
      <c r="AH48" s="109"/>
      <c r="AI48" s="107"/>
      <c r="AJ48" s="108"/>
      <c r="AK48" s="108"/>
      <c r="AL48" s="108"/>
      <c r="AM48" s="108"/>
      <c r="AN48" s="108"/>
      <c r="AO48" s="108"/>
      <c r="AP48" s="108"/>
      <c r="AQ48" s="109"/>
      <c r="AR48" s="126"/>
      <c r="AS48" s="167"/>
      <c r="AT48" s="169"/>
      <c r="AU48" s="127" t="s">
        <v>158</v>
      </c>
      <c r="AV48" s="66"/>
      <c r="AW48" s="66"/>
      <c r="AX48" s="149"/>
      <c r="AY48" s="65" t="s">
        <v>146</v>
      </c>
      <c r="AZ48" s="66"/>
      <c r="BA48" s="66"/>
      <c r="BB48" s="67"/>
      <c r="BC48" s="74"/>
      <c r="BD48" s="75"/>
      <c r="BE48" s="75"/>
      <c r="BF48" s="75"/>
      <c r="BG48" s="75"/>
      <c r="BH48" s="75"/>
      <c r="BI48" s="75"/>
      <c r="BJ48" s="76"/>
      <c r="BK48" s="7"/>
    </row>
    <row r="49" spans="1:63" ht="108.75" customHeight="1" x14ac:dyDescent="0.25">
      <c r="A49" s="6"/>
      <c r="B49" s="131">
        <v>0</v>
      </c>
      <c r="C49" s="132"/>
      <c r="D49" s="133" t="s">
        <v>9</v>
      </c>
      <c r="E49" s="134"/>
      <c r="F49" s="134"/>
      <c r="G49" s="134"/>
      <c r="H49" s="134"/>
      <c r="I49" s="134"/>
      <c r="J49" s="135"/>
      <c r="K49" s="136" t="s">
        <v>159</v>
      </c>
      <c r="L49" s="137"/>
      <c r="M49" s="138"/>
      <c r="N49" s="9" t="s">
        <v>5</v>
      </c>
      <c r="O49" s="16" t="s">
        <v>6</v>
      </c>
      <c r="P49" s="139" t="s">
        <v>5</v>
      </c>
      <c r="Q49" s="140"/>
      <c r="R49" s="140"/>
      <c r="S49" s="141"/>
      <c r="T49" s="139" t="s">
        <v>5</v>
      </c>
      <c r="U49" s="140"/>
      <c r="V49" s="140"/>
      <c r="W49" s="141"/>
      <c r="X49" s="142" t="s">
        <v>160</v>
      </c>
      <c r="Y49" s="143"/>
      <c r="Z49" s="144"/>
      <c r="AA49" s="43" t="s">
        <v>239</v>
      </c>
      <c r="AB49" s="86"/>
      <c r="AC49" s="86"/>
      <c r="AD49" s="86"/>
      <c r="AE49" s="86"/>
      <c r="AF49" s="86"/>
      <c r="AG49" s="86"/>
      <c r="AH49" s="87"/>
      <c r="AI49" s="145" t="s">
        <v>7</v>
      </c>
      <c r="AJ49" s="146"/>
      <c r="AK49" s="146"/>
      <c r="AL49" s="146"/>
      <c r="AM49" s="146"/>
      <c r="AN49" s="146"/>
      <c r="AO49" s="146"/>
      <c r="AP49" s="146"/>
      <c r="AQ49" s="147"/>
      <c r="AR49" s="11" t="s">
        <v>5</v>
      </c>
      <c r="AS49" s="11" t="s">
        <v>7</v>
      </c>
      <c r="AT49" s="11" t="s">
        <v>7</v>
      </c>
      <c r="AU49" s="131" t="s">
        <v>8</v>
      </c>
      <c r="AV49" s="148"/>
      <c r="AW49" s="148"/>
      <c r="AX49" s="132"/>
      <c r="AY49" s="131" t="s">
        <v>7</v>
      </c>
      <c r="AZ49" s="148"/>
      <c r="BA49" s="148"/>
      <c r="BB49" s="132"/>
      <c r="BC49" s="415" t="s">
        <v>240</v>
      </c>
      <c r="BD49" s="330"/>
      <c r="BE49" s="330"/>
      <c r="BF49" s="330"/>
      <c r="BG49" s="330"/>
      <c r="BH49" s="330"/>
      <c r="BI49" s="330"/>
      <c r="BJ49" s="331"/>
      <c r="BK49" s="7"/>
    </row>
    <row r="50" spans="1:63" ht="23.25" customHeight="1" x14ac:dyDescent="0.25">
      <c r="A50" s="6"/>
      <c r="B50" s="46">
        <v>1</v>
      </c>
      <c r="C50" s="48"/>
      <c r="D50" s="91" t="s">
        <v>18</v>
      </c>
      <c r="E50" s="92"/>
      <c r="F50" s="92"/>
      <c r="G50" s="92"/>
      <c r="H50" s="92"/>
      <c r="I50" s="92"/>
      <c r="J50" s="93"/>
      <c r="K50" s="77" t="s">
        <v>159</v>
      </c>
      <c r="L50" s="78"/>
      <c r="M50" s="79"/>
      <c r="N50" s="17" t="s">
        <v>5</v>
      </c>
      <c r="O50" s="13" t="s">
        <v>6</v>
      </c>
      <c r="P50" s="64" t="s">
        <v>5</v>
      </c>
      <c r="Q50" s="80"/>
      <c r="R50" s="80"/>
      <c r="S50" s="81"/>
      <c r="T50" s="64" t="s">
        <v>5</v>
      </c>
      <c r="U50" s="80"/>
      <c r="V50" s="80"/>
      <c r="W50" s="81"/>
      <c r="X50" s="88" t="s">
        <v>161</v>
      </c>
      <c r="Y50" s="89"/>
      <c r="Z50" s="90"/>
      <c r="AA50" s="332" t="s">
        <v>7</v>
      </c>
      <c r="AB50" s="333"/>
      <c r="AC50" s="333"/>
      <c r="AD50" s="333"/>
      <c r="AE50" s="333"/>
      <c r="AF50" s="333"/>
      <c r="AG50" s="333"/>
      <c r="AH50" s="334"/>
      <c r="AI50" s="85" t="s">
        <v>7</v>
      </c>
      <c r="AJ50" s="86"/>
      <c r="AK50" s="86"/>
      <c r="AL50" s="86"/>
      <c r="AM50" s="86"/>
      <c r="AN50" s="86"/>
      <c r="AO50" s="86"/>
      <c r="AP50" s="86"/>
      <c r="AQ50" s="87"/>
      <c r="AR50" s="18" t="s">
        <v>5</v>
      </c>
      <c r="AS50" s="18" t="s">
        <v>7</v>
      </c>
      <c r="AT50" s="18" t="s">
        <v>7</v>
      </c>
      <c r="AU50" s="46" t="s">
        <v>8</v>
      </c>
      <c r="AV50" s="47"/>
      <c r="AW50" s="47"/>
      <c r="AX50" s="48"/>
      <c r="AY50" s="46" t="s">
        <v>7</v>
      </c>
      <c r="AZ50" s="47"/>
      <c r="BA50" s="47"/>
      <c r="BB50" s="48"/>
      <c r="BC50" s="335" t="s">
        <v>7</v>
      </c>
      <c r="BD50" s="336"/>
      <c r="BE50" s="336"/>
      <c r="BF50" s="336"/>
      <c r="BG50" s="336"/>
      <c r="BH50" s="336"/>
      <c r="BI50" s="336"/>
      <c r="BJ50" s="337"/>
      <c r="BK50" s="7"/>
    </row>
    <row r="51" spans="1:63" ht="54.75" customHeight="1" x14ac:dyDescent="0.25">
      <c r="A51" s="6"/>
      <c r="B51" s="95">
        <v>1.1000000000000001</v>
      </c>
      <c r="C51" s="97"/>
      <c r="D51" s="110" t="s">
        <v>22</v>
      </c>
      <c r="E51" s="111"/>
      <c r="F51" s="111"/>
      <c r="G51" s="111"/>
      <c r="H51" s="111"/>
      <c r="I51" s="111"/>
      <c r="J51" s="112"/>
      <c r="K51" s="113" t="s">
        <v>5</v>
      </c>
      <c r="L51" s="114"/>
      <c r="M51" s="115"/>
      <c r="N51" s="19" t="s">
        <v>5</v>
      </c>
      <c r="O51" s="14" t="s">
        <v>5</v>
      </c>
      <c r="P51" s="116" t="s">
        <v>5</v>
      </c>
      <c r="Q51" s="117"/>
      <c r="R51" s="117"/>
      <c r="S51" s="118"/>
      <c r="T51" s="116" t="s">
        <v>5</v>
      </c>
      <c r="U51" s="117"/>
      <c r="V51" s="117"/>
      <c r="W51" s="118"/>
      <c r="X51" s="119" t="s">
        <v>5</v>
      </c>
      <c r="Y51" s="120"/>
      <c r="Z51" s="121"/>
      <c r="AA51" s="122" t="s">
        <v>7</v>
      </c>
      <c r="AB51" s="123"/>
      <c r="AC51" s="123"/>
      <c r="AD51" s="123"/>
      <c r="AE51" s="123"/>
      <c r="AF51" s="123"/>
      <c r="AG51" s="123"/>
      <c r="AH51" s="124"/>
      <c r="AI51" s="122" t="s">
        <v>7</v>
      </c>
      <c r="AJ51" s="123"/>
      <c r="AK51" s="123"/>
      <c r="AL51" s="123"/>
      <c r="AM51" s="123"/>
      <c r="AN51" s="123"/>
      <c r="AO51" s="123"/>
      <c r="AP51" s="123"/>
      <c r="AQ51" s="124"/>
      <c r="AR51" s="15" t="s">
        <v>5</v>
      </c>
      <c r="AS51" s="15" t="s">
        <v>7</v>
      </c>
      <c r="AT51" s="15" t="s">
        <v>7</v>
      </c>
      <c r="AU51" s="95" t="s">
        <v>8</v>
      </c>
      <c r="AV51" s="96"/>
      <c r="AW51" s="96"/>
      <c r="AX51" s="97"/>
      <c r="AY51" s="95" t="s">
        <v>7</v>
      </c>
      <c r="AZ51" s="96"/>
      <c r="BA51" s="96"/>
      <c r="BB51" s="97"/>
      <c r="BC51" s="338" t="s">
        <v>23</v>
      </c>
      <c r="BD51" s="339"/>
      <c r="BE51" s="339"/>
      <c r="BF51" s="339"/>
      <c r="BG51" s="339"/>
      <c r="BH51" s="339"/>
      <c r="BI51" s="339"/>
      <c r="BJ51" s="340"/>
      <c r="BK51" s="7"/>
    </row>
    <row r="52" spans="1:63" x14ac:dyDescent="0.25">
      <c r="A52" s="6"/>
      <c r="BK52" s="7"/>
    </row>
    <row r="53" spans="1:63" x14ac:dyDescent="0.25">
      <c r="A53" s="6"/>
      <c r="BK53" s="7"/>
    </row>
    <row r="54" spans="1:63" x14ac:dyDescent="0.25">
      <c r="A54" s="6"/>
      <c r="B54" s="8" t="s">
        <v>143</v>
      </c>
      <c r="C54" s="329"/>
      <c r="BK54" s="7"/>
    </row>
    <row r="55" spans="1:63" x14ac:dyDescent="0.25">
      <c r="A55" s="6"/>
      <c r="C55" s="2" t="s">
        <v>104</v>
      </c>
      <c r="BK55" s="7"/>
    </row>
    <row r="56" spans="1:63" x14ac:dyDescent="0.25">
      <c r="A56" s="6"/>
      <c r="BK56" s="7"/>
    </row>
    <row r="57" spans="1:63" x14ac:dyDescent="0.25">
      <c r="A57" s="6"/>
      <c r="BK57" s="7"/>
    </row>
    <row r="58" spans="1:63" x14ac:dyDescent="0.25">
      <c r="A58" s="6"/>
      <c r="BK58" s="7"/>
    </row>
    <row r="59" spans="1:63" x14ac:dyDescent="0.25">
      <c r="A59" s="6"/>
      <c r="BK59" s="7"/>
    </row>
    <row r="60" spans="1:63" x14ac:dyDescent="0.25">
      <c r="A60" s="6"/>
      <c r="BK60" s="7"/>
    </row>
    <row r="61" spans="1:63" x14ac:dyDescent="0.25">
      <c r="A61" s="6"/>
      <c r="BK61" s="7"/>
    </row>
    <row r="62" spans="1:63" x14ac:dyDescent="0.25">
      <c r="A62" s="6"/>
      <c r="BK62" s="7"/>
    </row>
    <row r="63" spans="1:63" x14ac:dyDescent="0.25">
      <c r="A63" s="6"/>
      <c r="BK63" s="7"/>
    </row>
    <row r="64" spans="1:63" x14ac:dyDescent="0.25">
      <c r="A64" s="6"/>
      <c r="BK64" s="7"/>
    </row>
    <row r="65" spans="1:63" x14ac:dyDescent="0.25">
      <c r="A65" s="6"/>
      <c r="BK65" s="7"/>
    </row>
    <row r="66" spans="1:63" x14ac:dyDescent="0.25">
      <c r="A66" s="6"/>
      <c r="BK66" s="7"/>
    </row>
    <row r="67" spans="1:63" x14ac:dyDescent="0.25">
      <c r="A67" s="6"/>
      <c r="BK67" s="7"/>
    </row>
    <row r="68" spans="1:63" x14ac:dyDescent="0.25">
      <c r="A68" s="6"/>
      <c r="BK68" s="7"/>
    </row>
    <row r="69" spans="1:63" x14ac:dyDescent="0.25">
      <c r="A69" s="6"/>
      <c r="BK69" s="7"/>
    </row>
    <row r="70" spans="1:63" x14ac:dyDescent="0.25">
      <c r="A70" s="6"/>
      <c r="BK70" s="7"/>
    </row>
    <row r="71" spans="1:63" x14ac:dyDescent="0.25">
      <c r="A71" s="6"/>
      <c r="BK71" s="7"/>
    </row>
    <row r="72" spans="1:63" x14ac:dyDescent="0.25">
      <c r="A72" s="6"/>
      <c r="BK72" s="7"/>
    </row>
    <row r="73" spans="1:63" x14ac:dyDescent="0.25">
      <c r="A73" s="6"/>
      <c r="BK73" s="7"/>
    </row>
    <row r="74" spans="1:63" x14ac:dyDescent="0.25">
      <c r="A74" s="6"/>
      <c r="BK74" s="7"/>
    </row>
    <row r="75" spans="1:63" x14ac:dyDescent="0.25">
      <c r="A75" s="6"/>
      <c r="BK75" s="7"/>
    </row>
    <row r="76" spans="1:63" x14ac:dyDescent="0.25">
      <c r="A76" s="6"/>
      <c r="BK76" s="7"/>
    </row>
    <row r="77" spans="1:63" x14ac:dyDescent="0.25">
      <c r="A77" s="6"/>
      <c r="BK77" s="7"/>
    </row>
    <row r="78" spans="1:63" x14ac:dyDescent="0.25">
      <c r="A78" s="6"/>
      <c r="BK78" s="7"/>
    </row>
    <row r="79" spans="1:63" x14ac:dyDescent="0.25">
      <c r="A79" s="6"/>
      <c r="BK79" s="7"/>
    </row>
    <row r="80" spans="1:63" x14ac:dyDescent="0.25">
      <c r="A80" s="6"/>
      <c r="BK80" s="7"/>
    </row>
    <row r="81" spans="1:63" x14ac:dyDescent="0.25">
      <c r="A81" s="6"/>
      <c r="BK81" s="7"/>
    </row>
    <row r="82" spans="1:63" x14ac:dyDescent="0.25">
      <c r="A82" s="6"/>
      <c r="BK82" s="7"/>
    </row>
    <row r="83" spans="1:63" x14ac:dyDescent="0.25">
      <c r="A83" s="6"/>
      <c r="BK83" s="7"/>
    </row>
    <row r="84" spans="1:63" x14ac:dyDescent="0.25">
      <c r="A84" s="6"/>
      <c r="BK84" s="7"/>
    </row>
    <row r="85" spans="1:63" x14ac:dyDescent="0.25">
      <c r="A85" s="6"/>
      <c r="BK85" s="7"/>
    </row>
    <row r="86" spans="1:63" x14ac:dyDescent="0.25">
      <c r="A86" s="6"/>
      <c r="BK86" s="7"/>
    </row>
    <row r="87" spans="1:63" x14ac:dyDescent="0.25">
      <c r="A87" s="6"/>
      <c r="BK87" s="7"/>
    </row>
    <row r="88" spans="1:63" x14ac:dyDescent="0.25">
      <c r="A88" s="6"/>
      <c r="BK88" s="7"/>
    </row>
    <row r="89" spans="1:63" x14ac:dyDescent="0.25">
      <c r="A89" s="6"/>
      <c r="BK89" s="7"/>
    </row>
    <row r="90" spans="1:63" x14ac:dyDescent="0.25">
      <c r="A90" s="6"/>
      <c r="B90" s="8" t="s">
        <v>144</v>
      </c>
      <c r="BK90" s="7"/>
    </row>
    <row r="91" spans="1:63" x14ac:dyDescent="0.25">
      <c r="A91" s="6"/>
      <c r="BK91" s="7"/>
    </row>
    <row r="92" spans="1:63" ht="15.75" customHeight="1" x14ac:dyDescent="0.25">
      <c r="A92" s="6"/>
      <c r="B92" s="150" t="s">
        <v>145</v>
      </c>
      <c r="C92" s="151"/>
      <c r="D92" s="156" t="s">
        <v>146</v>
      </c>
      <c r="E92" s="157"/>
      <c r="F92" s="157"/>
      <c r="G92" s="157"/>
      <c r="H92" s="157"/>
      <c r="I92" s="157"/>
      <c r="J92" s="151"/>
      <c r="K92" s="156" t="s">
        <v>162</v>
      </c>
      <c r="L92" s="157"/>
      <c r="M92" s="151"/>
      <c r="N92" s="128" t="s">
        <v>3</v>
      </c>
      <c r="O92" s="174" t="s">
        <v>148</v>
      </c>
      <c r="P92" s="98" t="s">
        <v>149</v>
      </c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99"/>
      <c r="AH92" s="99"/>
      <c r="AI92" s="99"/>
      <c r="AJ92" s="99"/>
      <c r="AK92" s="99"/>
      <c r="AL92" s="99"/>
      <c r="AM92" s="99"/>
      <c r="AN92" s="99"/>
      <c r="AO92" s="99"/>
      <c r="AP92" s="99"/>
      <c r="AQ92" s="100"/>
      <c r="AR92" s="127" t="s">
        <v>150</v>
      </c>
      <c r="AS92" s="66"/>
      <c r="AT92" s="66"/>
      <c r="AU92" s="66"/>
      <c r="AV92" s="66"/>
      <c r="AW92" s="66"/>
      <c r="AX92" s="66"/>
      <c r="AY92" s="66"/>
      <c r="AZ92" s="66"/>
      <c r="BA92" s="66"/>
      <c r="BB92" s="67"/>
      <c r="BC92" s="68" t="s">
        <v>151</v>
      </c>
      <c r="BD92" s="69"/>
      <c r="BE92" s="69"/>
      <c r="BF92" s="69"/>
      <c r="BG92" s="69"/>
      <c r="BH92" s="69"/>
      <c r="BI92" s="69"/>
      <c r="BJ92" s="70"/>
      <c r="BK92" s="7"/>
    </row>
    <row r="93" spans="1:63" ht="15.75" customHeight="1" x14ac:dyDescent="0.25">
      <c r="A93" s="6"/>
      <c r="B93" s="152"/>
      <c r="C93" s="153"/>
      <c r="D93" s="152"/>
      <c r="E93" s="158"/>
      <c r="F93" s="158"/>
      <c r="G93" s="158"/>
      <c r="H93" s="158"/>
      <c r="I93" s="158"/>
      <c r="J93" s="153"/>
      <c r="K93" s="152"/>
      <c r="L93" s="158"/>
      <c r="M93" s="153"/>
      <c r="N93" s="129"/>
      <c r="O93" s="175"/>
      <c r="P93" s="101" t="s">
        <v>152</v>
      </c>
      <c r="Q93" s="102"/>
      <c r="R93" s="102"/>
      <c r="S93" s="102"/>
      <c r="T93" s="102"/>
      <c r="U93" s="102"/>
      <c r="V93" s="102"/>
      <c r="W93" s="103"/>
      <c r="X93" s="104" t="s">
        <v>153</v>
      </c>
      <c r="Y93" s="105"/>
      <c r="Z93" s="106"/>
      <c r="AA93" s="104" t="s">
        <v>154</v>
      </c>
      <c r="AB93" s="105"/>
      <c r="AC93" s="105"/>
      <c r="AD93" s="105"/>
      <c r="AE93" s="105"/>
      <c r="AF93" s="105"/>
      <c r="AG93" s="105"/>
      <c r="AH93" s="106"/>
      <c r="AI93" s="104" t="s">
        <v>155</v>
      </c>
      <c r="AJ93" s="105"/>
      <c r="AK93" s="105"/>
      <c r="AL93" s="105"/>
      <c r="AM93" s="105"/>
      <c r="AN93" s="105"/>
      <c r="AO93" s="105"/>
      <c r="AP93" s="105"/>
      <c r="AQ93" s="106"/>
      <c r="AR93" s="125" t="s">
        <v>4</v>
      </c>
      <c r="AS93" s="166" t="s">
        <v>156</v>
      </c>
      <c r="AT93" s="168" t="s">
        <v>157</v>
      </c>
      <c r="AU93" s="127" t="s">
        <v>152</v>
      </c>
      <c r="AV93" s="66"/>
      <c r="AW93" s="66"/>
      <c r="AX93" s="66"/>
      <c r="AY93" s="66"/>
      <c r="AZ93" s="66"/>
      <c r="BA93" s="66"/>
      <c r="BB93" s="67"/>
      <c r="BC93" s="71"/>
      <c r="BD93" s="72"/>
      <c r="BE93" s="72"/>
      <c r="BF93" s="72"/>
      <c r="BG93" s="72"/>
      <c r="BH93" s="72"/>
      <c r="BI93" s="72"/>
      <c r="BJ93" s="73"/>
      <c r="BK93" s="7"/>
    </row>
    <row r="94" spans="1:63" x14ac:dyDescent="0.25">
      <c r="A94" s="6"/>
      <c r="B94" s="154"/>
      <c r="C94" s="155"/>
      <c r="D94" s="154"/>
      <c r="E94" s="159"/>
      <c r="F94" s="159"/>
      <c r="G94" s="159"/>
      <c r="H94" s="159"/>
      <c r="I94" s="159"/>
      <c r="J94" s="155"/>
      <c r="K94" s="154"/>
      <c r="L94" s="159"/>
      <c r="M94" s="155"/>
      <c r="N94" s="130"/>
      <c r="O94" s="176"/>
      <c r="P94" s="98" t="s">
        <v>158</v>
      </c>
      <c r="Q94" s="99"/>
      <c r="R94" s="99"/>
      <c r="S94" s="100"/>
      <c r="T94" s="98" t="s">
        <v>146</v>
      </c>
      <c r="U94" s="99"/>
      <c r="V94" s="99"/>
      <c r="W94" s="100"/>
      <c r="X94" s="107"/>
      <c r="Y94" s="108"/>
      <c r="Z94" s="109"/>
      <c r="AA94" s="107"/>
      <c r="AB94" s="108"/>
      <c r="AC94" s="108"/>
      <c r="AD94" s="108"/>
      <c r="AE94" s="108"/>
      <c r="AF94" s="108"/>
      <c r="AG94" s="108"/>
      <c r="AH94" s="109"/>
      <c r="AI94" s="107"/>
      <c r="AJ94" s="108"/>
      <c r="AK94" s="108"/>
      <c r="AL94" s="108"/>
      <c r="AM94" s="108"/>
      <c r="AN94" s="108"/>
      <c r="AO94" s="108"/>
      <c r="AP94" s="108"/>
      <c r="AQ94" s="109"/>
      <c r="AR94" s="126"/>
      <c r="AS94" s="167"/>
      <c r="AT94" s="169"/>
      <c r="AU94" s="127" t="s">
        <v>158</v>
      </c>
      <c r="AV94" s="66"/>
      <c r="AW94" s="66"/>
      <c r="AX94" s="149"/>
      <c r="AY94" s="65" t="s">
        <v>146</v>
      </c>
      <c r="AZ94" s="66"/>
      <c r="BA94" s="66"/>
      <c r="BB94" s="67"/>
      <c r="BC94" s="74"/>
      <c r="BD94" s="75"/>
      <c r="BE94" s="75"/>
      <c r="BF94" s="75"/>
      <c r="BG94" s="75"/>
      <c r="BH94" s="75"/>
      <c r="BI94" s="75"/>
      <c r="BJ94" s="76"/>
      <c r="BK94" s="7"/>
    </row>
    <row r="95" spans="1:63" x14ac:dyDescent="0.25">
      <c r="A95" s="6"/>
      <c r="B95" s="46">
        <v>2</v>
      </c>
      <c r="C95" s="48"/>
      <c r="D95" s="91" t="s">
        <v>17</v>
      </c>
      <c r="E95" s="92"/>
      <c r="F95" s="92"/>
      <c r="G95" s="92"/>
      <c r="H95" s="92"/>
      <c r="I95" s="92"/>
      <c r="J95" s="93"/>
      <c r="K95" s="77" t="s">
        <v>159</v>
      </c>
      <c r="L95" s="78"/>
      <c r="M95" s="79"/>
      <c r="N95" s="17" t="s">
        <v>5</v>
      </c>
      <c r="O95" s="13" t="s">
        <v>6</v>
      </c>
      <c r="P95" s="64" t="s">
        <v>5</v>
      </c>
      <c r="Q95" s="80"/>
      <c r="R95" s="80"/>
      <c r="S95" s="81"/>
      <c r="T95" s="64" t="s">
        <v>5</v>
      </c>
      <c r="U95" s="80"/>
      <c r="V95" s="80"/>
      <c r="W95" s="81"/>
      <c r="X95" s="94" t="s">
        <v>163</v>
      </c>
      <c r="Y95" s="80"/>
      <c r="Z95" s="81"/>
      <c r="AA95" s="85" t="s">
        <v>7</v>
      </c>
      <c r="AB95" s="86"/>
      <c r="AC95" s="86"/>
      <c r="AD95" s="86"/>
      <c r="AE95" s="86"/>
      <c r="AF95" s="86"/>
      <c r="AG95" s="86"/>
      <c r="AH95" s="87"/>
      <c r="AI95" s="85" t="s">
        <v>7</v>
      </c>
      <c r="AJ95" s="86"/>
      <c r="AK95" s="86"/>
      <c r="AL95" s="86"/>
      <c r="AM95" s="86"/>
      <c r="AN95" s="86"/>
      <c r="AO95" s="86"/>
      <c r="AP95" s="86"/>
      <c r="AQ95" s="87"/>
      <c r="AR95" s="18" t="s">
        <v>5</v>
      </c>
      <c r="AS95" s="18" t="s">
        <v>7</v>
      </c>
      <c r="AT95" s="18" t="s">
        <v>7</v>
      </c>
      <c r="AU95" s="46" t="s">
        <v>8</v>
      </c>
      <c r="AV95" s="47"/>
      <c r="AW95" s="47"/>
      <c r="AX95" s="48"/>
      <c r="AY95" s="46" t="s">
        <v>7</v>
      </c>
      <c r="AZ95" s="47"/>
      <c r="BA95" s="47"/>
      <c r="BB95" s="48"/>
      <c r="BC95" s="341" t="s">
        <v>7</v>
      </c>
      <c r="BD95" s="342"/>
      <c r="BE95" s="342"/>
      <c r="BF95" s="342"/>
      <c r="BG95" s="342"/>
      <c r="BH95" s="342"/>
      <c r="BI95" s="342"/>
      <c r="BJ95" s="343"/>
      <c r="BK95" s="7"/>
    </row>
    <row r="96" spans="1:63" x14ac:dyDescent="0.25">
      <c r="A96" s="6"/>
      <c r="B96" s="40">
        <v>3</v>
      </c>
      <c r="C96" s="42"/>
      <c r="D96" s="52" t="s">
        <v>44</v>
      </c>
      <c r="E96" s="53"/>
      <c r="F96" s="53"/>
      <c r="G96" s="53"/>
      <c r="H96" s="53"/>
      <c r="I96" s="53"/>
      <c r="J96" s="54"/>
      <c r="K96" s="77" t="s">
        <v>159</v>
      </c>
      <c r="L96" s="78"/>
      <c r="M96" s="79"/>
      <c r="N96" s="17" t="s">
        <v>5</v>
      </c>
      <c r="O96" s="10" t="s">
        <v>6</v>
      </c>
      <c r="P96" s="64" t="s">
        <v>5</v>
      </c>
      <c r="Q96" s="80"/>
      <c r="R96" s="80"/>
      <c r="S96" s="81"/>
      <c r="T96" s="64" t="s">
        <v>5</v>
      </c>
      <c r="U96" s="80"/>
      <c r="V96" s="80"/>
      <c r="W96" s="81"/>
      <c r="X96" s="82" t="s">
        <v>164</v>
      </c>
      <c r="Y96" s="83"/>
      <c r="Z96" s="84"/>
      <c r="AA96" s="37" t="s">
        <v>7</v>
      </c>
      <c r="AB96" s="38"/>
      <c r="AC96" s="38"/>
      <c r="AD96" s="38"/>
      <c r="AE96" s="38"/>
      <c r="AF96" s="38"/>
      <c r="AG96" s="38"/>
      <c r="AH96" s="39"/>
      <c r="AI96" s="85" t="s">
        <v>7</v>
      </c>
      <c r="AJ96" s="86"/>
      <c r="AK96" s="86"/>
      <c r="AL96" s="86"/>
      <c r="AM96" s="86"/>
      <c r="AN96" s="86"/>
      <c r="AO96" s="86"/>
      <c r="AP96" s="86"/>
      <c r="AQ96" s="87"/>
      <c r="AR96" s="12" t="s">
        <v>5</v>
      </c>
      <c r="AS96" s="12" t="s">
        <v>7</v>
      </c>
      <c r="AT96" s="12" t="s">
        <v>7</v>
      </c>
      <c r="AU96" s="46" t="s">
        <v>8</v>
      </c>
      <c r="AV96" s="47"/>
      <c r="AW96" s="47"/>
      <c r="AX96" s="48"/>
      <c r="AY96" s="46" t="s">
        <v>7</v>
      </c>
      <c r="AZ96" s="47"/>
      <c r="BA96" s="47"/>
      <c r="BB96" s="48"/>
      <c r="BC96" s="335" t="s">
        <v>7</v>
      </c>
      <c r="BD96" s="336"/>
      <c r="BE96" s="336"/>
      <c r="BF96" s="336"/>
      <c r="BG96" s="336"/>
      <c r="BH96" s="336"/>
      <c r="BI96" s="336"/>
      <c r="BJ96" s="337"/>
      <c r="BK96" s="7"/>
    </row>
    <row r="97" spans="1:63" ht="125.25" customHeight="1" x14ac:dyDescent="0.25">
      <c r="A97" s="6"/>
      <c r="B97" s="40">
        <v>3.1</v>
      </c>
      <c r="C97" s="42"/>
      <c r="D97" s="52" t="s">
        <v>45</v>
      </c>
      <c r="E97" s="53"/>
      <c r="F97" s="53"/>
      <c r="G97" s="53"/>
      <c r="H97" s="53"/>
      <c r="I97" s="53"/>
      <c r="J97" s="54"/>
      <c r="K97" s="77" t="s">
        <v>165</v>
      </c>
      <c r="L97" s="78"/>
      <c r="M97" s="79"/>
      <c r="N97" s="10" t="s">
        <v>12</v>
      </c>
      <c r="O97" s="10" t="s">
        <v>5</v>
      </c>
      <c r="P97" s="64" t="s">
        <v>5</v>
      </c>
      <c r="Q97" s="80"/>
      <c r="R97" s="80"/>
      <c r="S97" s="81"/>
      <c r="T97" s="64" t="s">
        <v>5</v>
      </c>
      <c r="U97" s="80"/>
      <c r="V97" s="80"/>
      <c r="W97" s="81"/>
      <c r="X97" s="88" t="s">
        <v>5</v>
      </c>
      <c r="Y97" s="89"/>
      <c r="Z97" s="90"/>
      <c r="AA97" s="37" t="s">
        <v>7</v>
      </c>
      <c r="AB97" s="38"/>
      <c r="AC97" s="38"/>
      <c r="AD97" s="38"/>
      <c r="AE97" s="38"/>
      <c r="AF97" s="38"/>
      <c r="AG97" s="38"/>
      <c r="AH97" s="39"/>
      <c r="AI97" s="344" t="s">
        <v>166</v>
      </c>
      <c r="AJ97" s="345"/>
      <c r="AK97" s="345"/>
      <c r="AL97" s="345"/>
      <c r="AM97" s="345"/>
      <c r="AN97" s="345"/>
      <c r="AO97" s="345"/>
      <c r="AP97" s="345"/>
      <c r="AQ97" s="346"/>
      <c r="AR97" s="13" t="s">
        <v>6</v>
      </c>
      <c r="AS97" s="13" t="s">
        <v>6</v>
      </c>
      <c r="AT97" s="18" t="s">
        <v>7</v>
      </c>
      <c r="AU97" s="64" t="s">
        <v>167</v>
      </c>
      <c r="AV97" s="47"/>
      <c r="AW97" s="47"/>
      <c r="AX97" s="48"/>
      <c r="AY97" s="64" t="s">
        <v>168</v>
      </c>
      <c r="AZ97" s="47"/>
      <c r="BA97" s="47"/>
      <c r="BB97" s="48"/>
      <c r="BC97" s="347" t="s">
        <v>169</v>
      </c>
      <c r="BD97" s="336"/>
      <c r="BE97" s="336"/>
      <c r="BF97" s="336"/>
      <c r="BG97" s="336"/>
      <c r="BH97" s="336"/>
      <c r="BI97" s="336"/>
      <c r="BJ97" s="337"/>
      <c r="BK97" s="7"/>
    </row>
    <row r="98" spans="1:63" ht="90" customHeight="1" x14ac:dyDescent="0.25">
      <c r="A98" s="6"/>
      <c r="B98" s="40">
        <v>3.2</v>
      </c>
      <c r="C98" s="42"/>
      <c r="D98" s="52" t="s">
        <v>47</v>
      </c>
      <c r="E98" s="53"/>
      <c r="F98" s="53"/>
      <c r="G98" s="53"/>
      <c r="H98" s="53"/>
      <c r="I98" s="53"/>
      <c r="J98" s="54"/>
      <c r="K98" s="77" t="s">
        <v>159</v>
      </c>
      <c r="L98" s="78"/>
      <c r="M98" s="79"/>
      <c r="N98" s="13" t="s">
        <v>13</v>
      </c>
      <c r="O98" s="10" t="s">
        <v>5</v>
      </c>
      <c r="P98" s="88" t="s">
        <v>170</v>
      </c>
      <c r="Q98" s="80"/>
      <c r="R98" s="80"/>
      <c r="S98" s="81"/>
      <c r="T98" s="64" t="s">
        <v>171</v>
      </c>
      <c r="U98" s="80"/>
      <c r="V98" s="80"/>
      <c r="W98" s="81"/>
      <c r="X98" s="88" t="s">
        <v>5</v>
      </c>
      <c r="Y98" s="89"/>
      <c r="Z98" s="90"/>
      <c r="AA98" s="37" t="s">
        <v>7</v>
      </c>
      <c r="AB98" s="38"/>
      <c r="AC98" s="38"/>
      <c r="AD98" s="38"/>
      <c r="AE98" s="38"/>
      <c r="AF98" s="38"/>
      <c r="AG98" s="38"/>
      <c r="AH98" s="39"/>
      <c r="AI98" s="85" t="s">
        <v>7</v>
      </c>
      <c r="AJ98" s="86"/>
      <c r="AK98" s="86"/>
      <c r="AL98" s="86"/>
      <c r="AM98" s="86"/>
      <c r="AN98" s="86"/>
      <c r="AO98" s="86"/>
      <c r="AP98" s="86"/>
      <c r="AQ98" s="87"/>
      <c r="AR98" s="12" t="s">
        <v>5</v>
      </c>
      <c r="AS98" s="12" t="s">
        <v>7</v>
      </c>
      <c r="AT98" s="12" t="s">
        <v>7</v>
      </c>
      <c r="AU98" s="46" t="s">
        <v>8</v>
      </c>
      <c r="AV98" s="47"/>
      <c r="AW98" s="47"/>
      <c r="AX98" s="48"/>
      <c r="AY98" s="46" t="s">
        <v>7</v>
      </c>
      <c r="AZ98" s="47"/>
      <c r="BA98" s="47"/>
      <c r="BB98" s="48"/>
      <c r="BC98" s="335" t="s">
        <v>172</v>
      </c>
      <c r="BD98" s="336"/>
      <c r="BE98" s="336"/>
      <c r="BF98" s="336"/>
      <c r="BG98" s="336"/>
      <c r="BH98" s="336"/>
      <c r="BI98" s="336"/>
      <c r="BJ98" s="337"/>
      <c r="BK98" s="7"/>
    </row>
    <row r="99" spans="1:63" x14ac:dyDescent="0.25">
      <c r="A99" s="6"/>
      <c r="B99" s="40">
        <v>4</v>
      </c>
      <c r="C99" s="42"/>
      <c r="D99" s="52" t="s">
        <v>19</v>
      </c>
      <c r="E99" s="53"/>
      <c r="F99" s="53"/>
      <c r="G99" s="53"/>
      <c r="H99" s="53"/>
      <c r="I99" s="53"/>
      <c r="J99" s="54"/>
      <c r="K99" s="177" t="s">
        <v>173</v>
      </c>
      <c r="L99" s="56"/>
      <c r="M99" s="57"/>
      <c r="N99" s="10" t="s">
        <v>12</v>
      </c>
      <c r="O99" s="10" t="s">
        <v>6</v>
      </c>
      <c r="P99" s="40" t="s">
        <v>8</v>
      </c>
      <c r="Q99" s="41"/>
      <c r="R99" s="41"/>
      <c r="S99" s="42"/>
      <c r="T99" s="40" t="s">
        <v>8</v>
      </c>
      <c r="U99" s="41"/>
      <c r="V99" s="41"/>
      <c r="W99" s="42"/>
      <c r="X99" s="178" t="s">
        <v>174</v>
      </c>
      <c r="Y99" s="179"/>
      <c r="Z99" s="180"/>
      <c r="AA99" s="37" t="s">
        <v>7</v>
      </c>
      <c r="AB99" s="38"/>
      <c r="AC99" s="38"/>
      <c r="AD99" s="38"/>
      <c r="AE99" s="38"/>
      <c r="AF99" s="38"/>
      <c r="AG99" s="38"/>
      <c r="AH99" s="39"/>
      <c r="AI99" s="181" t="s">
        <v>175</v>
      </c>
      <c r="AJ99" s="38"/>
      <c r="AK99" s="38"/>
      <c r="AL99" s="38"/>
      <c r="AM99" s="38"/>
      <c r="AN99" s="38"/>
      <c r="AO99" s="38"/>
      <c r="AP99" s="38"/>
      <c r="AQ99" s="39"/>
      <c r="AR99" s="12" t="s">
        <v>5</v>
      </c>
      <c r="AS99" s="12" t="s">
        <v>7</v>
      </c>
      <c r="AT99" s="12" t="s">
        <v>7</v>
      </c>
      <c r="AU99" s="40" t="s">
        <v>8</v>
      </c>
      <c r="AV99" s="41"/>
      <c r="AW99" s="41"/>
      <c r="AX99" s="42"/>
      <c r="AY99" s="40" t="s">
        <v>7</v>
      </c>
      <c r="AZ99" s="41"/>
      <c r="BA99" s="41"/>
      <c r="BB99" s="42"/>
      <c r="BC99" s="335" t="s">
        <v>176</v>
      </c>
      <c r="BD99" s="336"/>
      <c r="BE99" s="336"/>
      <c r="BF99" s="336"/>
      <c r="BG99" s="336"/>
      <c r="BH99" s="336"/>
      <c r="BI99" s="336"/>
      <c r="BJ99" s="337"/>
      <c r="BK99" s="7"/>
    </row>
    <row r="100" spans="1:63" x14ac:dyDescent="0.25">
      <c r="A100" s="6"/>
      <c r="B100" s="40">
        <v>5</v>
      </c>
      <c r="C100" s="42"/>
      <c r="D100" s="52" t="s">
        <v>49</v>
      </c>
      <c r="E100" s="53"/>
      <c r="F100" s="53"/>
      <c r="G100" s="53"/>
      <c r="H100" s="53"/>
      <c r="I100" s="53"/>
      <c r="J100" s="54"/>
      <c r="K100" s="77" t="s">
        <v>159</v>
      </c>
      <c r="L100" s="78"/>
      <c r="M100" s="79"/>
      <c r="N100" s="17" t="s">
        <v>5</v>
      </c>
      <c r="O100" s="10" t="s">
        <v>6</v>
      </c>
      <c r="P100" s="64" t="s">
        <v>5</v>
      </c>
      <c r="Q100" s="80"/>
      <c r="R100" s="80"/>
      <c r="S100" s="81"/>
      <c r="T100" s="64" t="s">
        <v>5</v>
      </c>
      <c r="U100" s="80"/>
      <c r="V100" s="80"/>
      <c r="W100" s="81"/>
      <c r="X100" s="82" t="s">
        <v>177</v>
      </c>
      <c r="Y100" s="83"/>
      <c r="Z100" s="84"/>
      <c r="AA100" s="37" t="s">
        <v>7</v>
      </c>
      <c r="AB100" s="38"/>
      <c r="AC100" s="38"/>
      <c r="AD100" s="38"/>
      <c r="AE100" s="38"/>
      <c r="AF100" s="38"/>
      <c r="AG100" s="38"/>
      <c r="AH100" s="39"/>
      <c r="AI100" s="85" t="s">
        <v>7</v>
      </c>
      <c r="AJ100" s="86"/>
      <c r="AK100" s="86"/>
      <c r="AL100" s="86"/>
      <c r="AM100" s="86"/>
      <c r="AN100" s="86"/>
      <c r="AO100" s="86"/>
      <c r="AP100" s="86"/>
      <c r="AQ100" s="87"/>
      <c r="AR100" s="12" t="s">
        <v>5</v>
      </c>
      <c r="AS100" s="12" t="s">
        <v>7</v>
      </c>
      <c r="AT100" s="12" t="s">
        <v>7</v>
      </c>
      <c r="AU100" s="46" t="s">
        <v>8</v>
      </c>
      <c r="AV100" s="47"/>
      <c r="AW100" s="47"/>
      <c r="AX100" s="48"/>
      <c r="AY100" s="46" t="s">
        <v>7</v>
      </c>
      <c r="AZ100" s="47"/>
      <c r="BA100" s="47"/>
      <c r="BB100" s="48"/>
      <c r="BC100" s="335" t="s">
        <v>7</v>
      </c>
      <c r="BD100" s="336"/>
      <c r="BE100" s="336"/>
      <c r="BF100" s="336"/>
      <c r="BG100" s="336"/>
      <c r="BH100" s="336"/>
      <c r="BI100" s="336"/>
      <c r="BJ100" s="337"/>
      <c r="BK100" s="7"/>
    </row>
    <row r="101" spans="1:63" ht="92.25" customHeight="1" x14ac:dyDescent="0.25">
      <c r="A101" s="6"/>
      <c r="B101" s="40">
        <v>5.0999999999999996</v>
      </c>
      <c r="C101" s="42"/>
      <c r="D101" s="52" t="s">
        <v>50</v>
      </c>
      <c r="E101" s="53"/>
      <c r="F101" s="53"/>
      <c r="G101" s="53"/>
      <c r="H101" s="53"/>
      <c r="I101" s="53"/>
      <c r="J101" s="54"/>
      <c r="K101" s="77" t="s">
        <v>159</v>
      </c>
      <c r="L101" s="78"/>
      <c r="M101" s="79"/>
      <c r="N101" s="13" t="s">
        <v>13</v>
      </c>
      <c r="O101" s="10" t="s">
        <v>5</v>
      </c>
      <c r="P101" s="88" t="s">
        <v>170</v>
      </c>
      <c r="Q101" s="80"/>
      <c r="R101" s="80"/>
      <c r="S101" s="81"/>
      <c r="T101" s="64" t="s">
        <v>178</v>
      </c>
      <c r="U101" s="80"/>
      <c r="V101" s="80"/>
      <c r="W101" s="81"/>
      <c r="X101" s="88" t="s">
        <v>5</v>
      </c>
      <c r="Y101" s="89"/>
      <c r="Z101" s="90"/>
      <c r="AA101" s="37" t="s">
        <v>7</v>
      </c>
      <c r="AB101" s="38"/>
      <c r="AC101" s="38"/>
      <c r="AD101" s="38"/>
      <c r="AE101" s="38"/>
      <c r="AF101" s="38"/>
      <c r="AG101" s="38"/>
      <c r="AH101" s="39"/>
      <c r="AI101" s="85" t="s">
        <v>7</v>
      </c>
      <c r="AJ101" s="86"/>
      <c r="AK101" s="86"/>
      <c r="AL101" s="86"/>
      <c r="AM101" s="86"/>
      <c r="AN101" s="86"/>
      <c r="AO101" s="86"/>
      <c r="AP101" s="86"/>
      <c r="AQ101" s="87"/>
      <c r="AR101" s="12" t="s">
        <v>5</v>
      </c>
      <c r="AS101" s="12" t="s">
        <v>7</v>
      </c>
      <c r="AT101" s="12" t="s">
        <v>7</v>
      </c>
      <c r="AU101" s="46" t="s">
        <v>8</v>
      </c>
      <c r="AV101" s="47"/>
      <c r="AW101" s="47"/>
      <c r="AX101" s="48"/>
      <c r="AY101" s="46" t="s">
        <v>7</v>
      </c>
      <c r="AZ101" s="47"/>
      <c r="BA101" s="47"/>
      <c r="BB101" s="48"/>
      <c r="BC101" s="335" t="s">
        <v>172</v>
      </c>
      <c r="BD101" s="336"/>
      <c r="BE101" s="336"/>
      <c r="BF101" s="336"/>
      <c r="BG101" s="336"/>
      <c r="BH101" s="336"/>
      <c r="BI101" s="336"/>
      <c r="BJ101" s="337"/>
      <c r="BK101" s="7"/>
    </row>
    <row r="102" spans="1:63" ht="87" customHeight="1" x14ac:dyDescent="0.25">
      <c r="A102" s="6"/>
      <c r="B102" s="40">
        <v>5.2</v>
      </c>
      <c r="C102" s="42"/>
      <c r="D102" s="52" t="s">
        <v>51</v>
      </c>
      <c r="E102" s="53"/>
      <c r="F102" s="53"/>
      <c r="G102" s="53"/>
      <c r="H102" s="53"/>
      <c r="I102" s="53"/>
      <c r="J102" s="54"/>
      <c r="K102" s="77" t="s">
        <v>159</v>
      </c>
      <c r="L102" s="78"/>
      <c r="M102" s="79"/>
      <c r="N102" s="13" t="s">
        <v>13</v>
      </c>
      <c r="O102" s="10" t="s">
        <v>5</v>
      </c>
      <c r="P102" s="88" t="s">
        <v>170</v>
      </c>
      <c r="Q102" s="80"/>
      <c r="R102" s="80"/>
      <c r="S102" s="81"/>
      <c r="T102" s="64" t="s">
        <v>179</v>
      </c>
      <c r="U102" s="80"/>
      <c r="V102" s="80"/>
      <c r="W102" s="81"/>
      <c r="X102" s="88" t="s">
        <v>5</v>
      </c>
      <c r="Y102" s="89"/>
      <c r="Z102" s="90"/>
      <c r="AA102" s="37" t="s">
        <v>7</v>
      </c>
      <c r="AB102" s="38"/>
      <c r="AC102" s="38"/>
      <c r="AD102" s="38"/>
      <c r="AE102" s="38"/>
      <c r="AF102" s="38"/>
      <c r="AG102" s="38"/>
      <c r="AH102" s="39"/>
      <c r="AI102" s="85" t="s">
        <v>7</v>
      </c>
      <c r="AJ102" s="86"/>
      <c r="AK102" s="86"/>
      <c r="AL102" s="86"/>
      <c r="AM102" s="86"/>
      <c r="AN102" s="86"/>
      <c r="AO102" s="86"/>
      <c r="AP102" s="86"/>
      <c r="AQ102" s="87"/>
      <c r="AR102" s="12" t="s">
        <v>5</v>
      </c>
      <c r="AS102" s="12" t="s">
        <v>7</v>
      </c>
      <c r="AT102" s="12" t="s">
        <v>7</v>
      </c>
      <c r="AU102" s="46" t="s">
        <v>8</v>
      </c>
      <c r="AV102" s="47"/>
      <c r="AW102" s="47"/>
      <c r="AX102" s="48"/>
      <c r="AY102" s="46" t="s">
        <v>7</v>
      </c>
      <c r="AZ102" s="47"/>
      <c r="BA102" s="47"/>
      <c r="BB102" s="48"/>
      <c r="BC102" s="335" t="s">
        <v>172</v>
      </c>
      <c r="BD102" s="336"/>
      <c r="BE102" s="336"/>
      <c r="BF102" s="336"/>
      <c r="BG102" s="336"/>
      <c r="BH102" s="336"/>
      <c r="BI102" s="336"/>
      <c r="BJ102" s="337"/>
      <c r="BK102" s="7"/>
    </row>
    <row r="103" spans="1:63" ht="87" customHeight="1" x14ac:dyDescent="0.25">
      <c r="A103" s="6"/>
      <c r="B103" s="40">
        <v>5.3</v>
      </c>
      <c r="C103" s="42"/>
      <c r="D103" s="52" t="s">
        <v>52</v>
      </c>
      <c r="E103" s="53"/>
      <c r="F103" s="53"/>
      <c r="G103" s="53"/>
      <c r="H103" s="53"/>
      <c r="I103" s="53"/>
      <c r="J103" s="54"/>
      <c r="K103" s="77" t="s">
        <v>159</v>
      </c>
      <c r="L103" s="78"/>
      <c r="M103" s="79"/>
      <c r="N103" s="13" t="s">
        <v>13</v>
      </c>
      <c r="O103" s="10" t="s">
        <v>5</v>
      </c>
      <c r="P103" s="88" t="s">
        <v>170</v>
      </c>
      <c r="Q103" s="80"/>
      <c r="R103" s="80"/>
      <c r="S103" s="81"/>
      <c r="T103" s="64" t="s">
        <v>180</v>
      </c>
      <c r="U103" s="80"/>
      <c r="V103" s="80"/>
      <c r="W103" s="81"/>
      <c r="X103" s="88" t="s">
        <v>5</v>
      </c>
      <c r="Y103" s="89"/>
      <c r="Z103" s="90"/>
      <c r="AA103" s="37" t="s">
        <v>7</v>
      </c>
      <c r="AB103" s="38"/>
      <c r="AC103" s="38"/>
      <c r="AD103" s="38"/>
      <c r="AE103" s="38"/>
      <c r="AF103" s="38"/>
      <c r="AG103" s="38"/>
      <c r="AH103" s="39"/>
      <c r="AI103" s="85" t="s">
        <v>7</v>
      </c>
      <c r="AJ103" s="86"/>
      <c r="AK103" s="86"/>
      <c r="AL103" s="86"/>
      <c r="AM103" s="86"/>
      <c r="AN103" s="86"/>
      <c r="AO103" s="86"/>
      <c r="AP103" s="86"/>
      <c r="AQ103" s="87"/>
      <c r="AR103" s="12" t="s">
        <v>5</v>
      </c>
      <c r="AS103" s="12" t="s">
        <v>7</v>
      </c>
      <c r="AT103" s="12" t="s">
        <v>7</v>
      </c>
      <c r="AU103" s="46" t="s">
        <v>8</v>
      </c>
      <c r="AV103" s="47"/>
      <c r="AW103" s="47"/>
      <c r="AX103" s="48"/>
      <c r="AY103" s="46" t="s">
        <v>7</v>
      </c>
      <c r="AZ103" s="47"/>
      <c r="BA103" s="47"/>
      <c r="BB103" s="48"/>
      <c r="BC103" s="335" t="s">
        <v>172</v>
      </c>
      <c r="BD103" s="336"/>
      <c r="BE103" s="336"/>
      <c r="BF103" s="336"/>
      <c r="BG103" s="336"/>
      <c r="BH103" s="336"/>
      <c r="BI103" s="336"/>
      <c r="BJ103" s="337"/>
      <c r="BK103" s="7"/>
    </row>
    <row r="104" spans="1:63" ht="87" customHeight="1" x14ac:dyDescent="0.25">
      <c r="A104" s="6"/>
      <c r="B104" s="40">
        <v>5.4</v>
      </c>
      <c r="C104" s="42"/>
      <c r="D104" s="52" t="s">
        <v>53</v>
      </c>
      <c r="E104" s="53"/>
      <c r="F104" s="53"/>
      <c r="G104" s="53"/>
      <c r="H104" s="53"/>
      <c r="I104" s="53"/>
      <c r="J104" s="54"/>
      <c r="K104" s="77" t="s">
        <v>159</v>
      </c>
      <c r="L104" s="78"/>
      <c r="M104" s="79"/>
      <c r="N104" s="13" t="s">
        <v>13</v>
      </c>
      <c r="O104" s="10" t="s">
        <v>5</v>
      </c>
      <c r="P104" s="88" t="s">
        <v>170</v>
      </c>
      <c r="Q104" s="80"/>
      <c r="R104" s="80"/>
      <c r="S104" s="81"/>
      <c r="T104" s="64" t="s">
        <v>181</v>
      </c>
      <c r="U104" s="80"/>
      <c r="V104" s="80"/>
      <c r="W104" s="81"/>
      <c r="X104" s="88" t="s">
        <v>5</v>
      </c>
      <c r="Y104" s="89"/>
      <c r="Z104" s="90"/>
      <c r="AA104" s="37" t="s">
        <v>7</v>
      </c>
      <c r="AB104" s="38"/>
      <c r="AC104" s="38"/>
      <c r="AD104" s="38"/>
      <c r="AE104" s="38"/>
      <c r="AF104" s="38"/>
      <c r="AG104" s="38"/>
      <c r="AH104" s="39"/>
      <c r="AI104" s="85" t="s">
        <v>7</v>
      </c>
      <c r="AJ104" s="86"/>
      <c r="AK104" s="86"/>
      <c r="AL104" s="86"/>
      <c r="AM104" s="86"/>
      <c r="AN104" s="86"/>
      <c r="AO104" s="86"/>
      <c r="AP104" s="86"/>
      <c r="AQ104" s="87"/>
      <c r="AR104" s="12" t="s">
        <v>5</v>
      </c>
      <c r="AS104" s="12" t="s">
        <v>7</v>
      </c>
      <c r="AT104" s="12" t="s">
        <v>7</v>
      </c>
      <c r="AU104" s="46" t="s">
        <v>8</v>
      </c>
      <c r="AV104" s="47"/>
      <c r="AW104" s="47"/>
      <c r="AX104" s="48"/>
      <c r="AY104" s="46" t="s">
        <v>7</v>
      </c>
      <c r="AZ104" s="47"/>
      <c r="BA104" s="47"/>
      <c r="BB104" s="48"/>
      <c r="BC104" s="335" t="s">
        <v>172</v>
      </c>
      <c r="BD104" s="336"/>
      <c r="BE104" s="336"/>
      <c r="BF104" s="336"/>
      <c r="BG104" s="336"/>
      <c r="BH104" s="336"/>
      <c r="BI104" s="336"/>
      <c r="BJ104" s="337"/>
      <c r="BK104" s="7"/>
    </row>
    <row r="105" spans="1:63" x14ac:dyDescent="0.25">
      <c r="A105" s="6"/>
      <c r="B105" s="40">
        <v>6</v>
      </c>
      <c r="C105" s="42"/>
      <c r="D105" s="52" t="s">
        <v>118</v>
      </c>
      <c r="E105" s="53"/>
      <c r="F105" s="53"/>
      <c r="G105" s="53"/>
      <c r="H105" s="53"/>
      <c r="I105" s="53"/>
      <c r="J105" s="54"/>
      <c r="K105" s="77" t="s">
        <v>159</v>
      </c>
      <c r="L105" s="78"/>
      <c r="M105" s="79"/>
      <c r="N105" s="17" t="s">
        <v>5</v>
      </c>
      <c r="O105" s="10" t="s">
        <v>6</v>
      </c>
      <c r="P105" s="64" t="s">
        <v>5</v>
      </c>
      <c r="Q105" s="80"/>
      <c r="R105" s="80"/>
      <c r="S105" s="81"/>
      <c r="T105" s="64" t="s">
        <v>5</v>
      </c>
      <c r="U105" s="80"/>
      <c r="V105" s="80"/>
      <c r="W105" s="81"/>
      <c r="X105" s="82" t="s">
        <v>182</v>
      </c>
      <c r="Y105" s="83"/>
      <c r="Z105" s="84"/>
      <c r="AA105" s="37" t="s">
        <v>7</v>
      </c>
      <c r="AB105" s="38"/>
      <c r="AC105" s="38"/>
      <c r="AD105" s="38"/>
      <c r="AE105" s="38"/>
      <c r="AF105" s="38"/>
      <c r="AG105" s="38"/>
      <c r="AH105" s="39"/>
      <c r="AI105" s="85" t="s">
        <v>7</v>
      </c>
      <c r="AJ105" s="86"/>
      <c r="AK105" s="86"/>
      <c r="AL105" s="86"/>
      <c r="AM105" s="86"/>
      <c r="AN105" s="86"/>
      <c r="AO105" s="86"/>
      <c r="AP105" s="86"/>
      <c r="AQ105" s="87"/>
      <c r="AR105" s="12" t="s">
        <v>5</v>
      </c>
      <c r="AS105" s="12" t="s">
        <v>7</v>
      </c>
      <c r="AT105" s="12" t="s">
        <v>7</v>
      </c>
      <c r="AU105" s="46" t="s">
        <v>8</v>
      </c>
      <c r="AV105" s="47"/>
      <c r="AW105" s="47"/>
      <c r="AX105" s="48"/>
      <c r="AY105" s="46" t="s">
        <v>7</v>
      </c>
      <c r="AZ105" s="47"/>
      <c r="BA105" s="47"/>
      <c r="BB105" s="48"/>
      <c r="BC105" s="335" t="s">
        <v>7</v>
      </c>
      <c r="BD105" s="336"/>
      <c r="BE105" s="336"/>
      <c r="BF105" s="336"/>
      <c r="BG105" s="336"/>
      <c r="BH105" s="336"/>
      <c r="BI105" s="336"/>
      <c r="BJ105" s="337"/>
      <c r="BK105" s="7"/>
    </row>
    <row r="106" spans="1:63" ht="96" customHeight="1" x14ac:dyDescent="0.25">
      <c r="A106" s="6"/>
      <c r="B106" s="40">
        <v>6.1</v>
      </c>
      <c r="C106" s="42"/>
      <c r="D106" s="52" t="s">
        <v>24</v>
      </c>
      <c r="E106" s="53"/>
      <c r="F106" s="53"/>
      <c r="G106" s="53"/>
      <c r="H106" s="53"/>
      <c r="I106" s="53"/>
      <c r="J106" s="54"/>
      <c r="K106" s="58" t="s">
        <v>11</v>
      </c>
      <c r="L106" s="59"/>
      <c r="M106" s="60"/>
      <c r="N106" s="10" t="s">
        <v>12</v>
      </c>
      <c r="O106" s="10" t="s">
        <v>5</v>
      </c>
      <c r="P106" s="46" t="s">
        <v>5</v>
      </c>
      <c r="Q106" s="47"/>
      <c r="R106" s="47"/>
      <c r="S106" s="48"/>
      <c r="T106" s="46" t="s">
        <v>5</v>
      </c>
      <c r="U106" s="47"/>
      <c r="V106" s="47"/>
      <c r="W106" s="48"/>
      <c r="X106" s="49" t="s">
        <v>5</v>
      </c>
      <c r="Y106" s="50"/>
      <c r="Z106" s="51"/>
      <c r="AA106" s="37" t="s">
        <v>7</v>
      </c>
      <c r="AB106" s="38"/>
      <c r="AC106" s="38"/>
      <c r="AD106" s="38"/>
      <c r="AE106" s="38"/>
      <c r="AF106" s="38"/>
      <c r="AG106" s="38"/>
      <c r="AH106" s="39"/>
      <c r="AI106" s="344" t="s">
        <v>183</v>
      </c>
      <c r="AJ106" s="348"/>
      <c r="AK106" s="348"/>
      <c r="AL106" s="348"/>
      <c r="AM106" s="348"/>
      <c r="AN106" s="348"/>
      <c r="AO106" s="348"/>
      <c r="AP106" s="348"/>
      <c r="AQ106" s="349"/>
      <c r="AR106" s="12" t="s">
        <v>5</v>
      </c>
      <c r="AS106" s="13" t="s">
        <v>6</v>
      </c>
      <c r="AT106" s="12" t="s">
        <v>7</v>
      </c>
      <c r="AU106" s="46" t="s">
        <v>46</v>
      </c>
      <c r="AV106" s="47"/>
      <c r="AW106" s="47"/>
      <c r="AX106" s="48"/>
      <c r="AY106" s="49" t="s">
        <v>107</v>
      </c>
      <c r="AZ106" s="50"/>
      <c r="BA106" s="50"/>
      <c r="BB106" s="51"/>
      <c r="BC106" s="182" t="s">
        <v>58</v>
      </c>
      <c r="BD106" s="183"/>
      <c r="BE106" s="183"/>
      <c r="BF106" s="183"/>
      <c r="BG106" s="183"/>
      <c r="BH106" s="183"/>
      <c r="BI106" s="183"/>
      <c r="BJ106" s="184"/>
      <c r="BK106" s="7"/>
    </row>
    <row r="107" spans="1:63" ht="131.25" customHeight="1" x14ac:dyDescent="0.25">
      <c r="A107" s="6"/>
      <c r="B107" s="40">
        <v>7</v>
      </c>
      <c r="C107" s="42"/>
      <c r="D107" s="52" t="s">
        <v>59</v>
      </c>
      <c r="E107" s="53"/>
      <c r="F107" s="53"/>
      <c r="G107" s="53"/>
      <c r="H107" s="53"/>
      <c r="I107" s="53"/>
      <c r="J107" s="54"/>
      <c r="K107" s="58" t="s">
        <v>11</v>
      </c>
      <c r="L107" s="59"/>
      <c r="M107" s="60"/>
      <c r="N107" s="17" t="s">
        <v>5</v>
      </c>
      <c r="O107" s="10" t="s">
        <v>5</v>
      </c>
      <c r="P107" s="46" t="s">
        <v>5</v>
      </c>
      <c r="Q107" s="47"/>
      <c r="R107" s="47"/>
      <c r="S107" s="48"/>
      <c r="T107" s="46" t="s">
        <v>5</v>
      </c>
      <c r="U107" s="47"/>
      <c r="V107" s="47"/>
      <c r="W107" s="48"/>
      <c r="X107" s="49" t="s">
        <v>5</v>
      </c>
      <c r="Y107" s="50"/>
      <c r="Z107" s="51"/>
      <c r="AA107" s="37" t="s">
        <v>7</v>
      </c>
      <c r="AB107" s="38"/>
      <c r="AC107" s="38"/>
      <c r="AD107" s="38"/>
      <c r="AE107" s="38"/>
      <c r="AF107" s="38"/>
      <c r="AG107" s="38"/>
      <c r="AH107" s="39"/>
      <c r="AI107" s="43" t="s">
        <v>184</v>
      </c>
      <c r="AJ107" s="44"/>
      <c r="AK107" s="44"/>
      <c r="AL107" s="44"/>
      <c r="AM107" s="44"/>
      <c r="AN107" s="44"/>
      <c r="AO107" s="44"/>
      <c r="AP107" s="44"/>
      <c r="AQ107" s="45"/>
      <c r="AR107" s="12" t="s">
        <v>5</v>
      </c>
      <c r="AS107" s="13" t="s">
        <v>6</v>
      </c>
      <c r="AT107" s="12" t="s">
        <v>7</v>
      </c>
      <c r="AU107" s="46" t="s">
        <v>5</v>
      </c>
      <c r="AV107" s="47"/>
      <c r="AW107" s="47"/>
      <c r="AX107" s="48"/>
      <c r="AY107" s="46" t="s">
        <v>7</v>
      </c>
      <c r="AZ107" s="47"/>
      <c r="BA107" s="47"/>
      <c r="BB107" s="48"/>
      <c r="BC107" s="52" t="s">
        <v>185</v>
      </c>
      <c r="BD107" s="183"/>
      <c r="BE107" s="183"/>
      <c r="BF107" s="183"/>
      <c r="BG107" s="183"/>
      <c r="BH107" s="183"/>
      <c r="BI107" s="183"/>
      <c r="BJ107" s="184"/>
      <c r="BK107" s="7"/>
    </row>
    <row r="108" spans="1:63" ht="138" customHeight="1" x14ac:dyDescent="0.25">
      <c r="A108" s="6"/>
      <c r="B108" s="40">
        <v>7.1</v>
      </c>
      <c r="C108" s="42"/>
      <c r="D108" s="52" t="s">
        <v>60</v>
      </c>
      <c r="E108" s="53"/>
      <c r="F108" s="53"/>
      <c r="G108" s="53"/>
      <c r="H108" s="53"/>
      <c r="I108" s="53"/>
      <c r="J108" s="54"/>
      <c r="K108" s="55" t="s">
        <v>14</v>
      </c>
      <c r="L108" s="56"/>
      <c r="M108" s="57"/>
      <c r="N108" s="10" t="s">
        <v>12</v>
      </c>
      <c r="O108" s="10" t="s">
        <v>6</v>
      </c>
      <c r="P108" s="40" t="s">
        <v>5</v>
      </c>
      <c r="Q108" s="41"/>
      <c r="R108" s="41"/>
      <c r="S108" s="42"/>
      <c r="T108" s="40" t="s">
        <v>5</v>
      </c>
      <c r="U108" s="41"/>
      <c r="V108" s="41"/>
      <c r="W108" s="42"/>
      <c r="X108" s="61" t="s">
        <v>60</v>
      </c>
      <c r="Y108" s="62"/>
      <c r="Z108" s="63"/>
      <c r="AA108" s="37" t="s">
        <v>7</v>
      </c>
      <c r="AB108" s="38"/>
      <c r="AC108" s="38"/>
      <c r="AD108" s="38"/>
      <c r="AE108" s="38"/>
      <c r="AF108" s="38"/>
      <c r="AG108" s="38"/>
      <c r="AH108" s="39"/>
      <c r="AI108" s="43" t="s">
        <v>184</v>
      </c>
      <c r="AJ108" s="44"/>
      <c r="AK108" s="44"/>
      <c r="AL108" s="44"/>
      <c r="AM108" s="44"/>
      <c r="AN108" s="44"/>
      <c r="AO108" s="44"/>
      <c r="AP108" s="44"/>
      <c r="AQ108" s="45"/>
      <c r="AR108" s="12" t="s">
        <v>5</v>
      </c>
      <c r="AS108" s="12" t="s">
        <v>7</v>
      </c>
      <c r="AT108" s="12" t="s">
        <v>7</v>
      </c>
      <c r="AU108" s="40" t="s">
        <v>5</v>
      </c>
      <c r="AV108" s="41"/>
      <c r="AW108" s="41"/>
      <c r="AX108" s="42"/>
      <c r="AY108" s="40" t="s">
        <v>7</v>
      </c>
      <c r="AZ108" s="41"/>
      <c r="BA108" s="41"/>
      <c r="BB108" s="42"/>
      <c r="BC108" s="182" t="s">
        <v>186</v>
      </c>
      <c r="BD108" s="183"/>
      <c r="BE108" s="183"/>
      <c r="BF108" s="183"/>
      <c r="BG108" s="183"/>
      <c r="BH108" s="183"/>
      <c r="BI108" s="183"/>
      <c r="BJ108" s="184"/>
      <c r="BK108" s="7"/>
    </row>
    <row r="109" spans="1:63" ht="87.75" customHeight="1" x14ac:dyDescent="0.25">
      <c r="A109" s="6"/>
      <c r="B109" s="40">
        <v>8</v>
      </c>
      <c r="C109" s="42"/>
      <c r="D109" s="52" t="s">
        <v>63</v>
      </c>
      <c r="E109" s="53"/>
      <c r="F109" s="53"/>
      <c r="G109" s="53"/>
      <c r="H109" s="53"/>
      <c r="I109" s="53"/>
      <c r="J109" s="54"/>
      <c r="K109" s="58" t="s">
        <v>108</v>
      </c>
      <c r="L109" s="59"/>
      <c r="M109" s="60"/>
      <c r="N109" s="17" t="s">
        <v>5</v>
      </c>
      <c r="O109" s="10" t="s">
        <v>5</v>
      </c>
      <c r="P109" s="46" t="s">
        <v>5</v>
      </c>
      <c r="Q109" s="47"/>
      <c r="R109" s="47"/>
      <c r="S109" s="48"/>
      <c r="T109" s="46" t="s">
        <v>5</v>
      </c>
      <c r="U109" s="47"/>
      <c r="V109" s="47"/>
      <c r="W109" s="48"/>
      <c r="X109" s="49" t="s">
        <v>5</v>
      </c>
      <c r="Y109" s="50"/>
      <c r="Z109" s="51"/>
      <c r="AA109" s="37" t="s">
        <v>7</v>
      </c>
      <c r="AB109" s="38"/>
      <c r="AC109" s="38"/>
      <c r="AD109" s="38"/>
      <c r="AE109" s="38"/>
      <c r="AF109" s="38"/>
      <c r="AG109" s="38"/>
      <c r="AH109" s="39"/>
      <c r="AI109" s="35" t="s">
        <v>187</v>
      </c>
      <c r="AJ109" s="38"/>
      <c r="AK109" s="38"/>
      <c r="AL109" s="38"/>
      <c r="AM109" s="38"/>
      <c r="AN109" s="38"/>
      <c r="AO109" s="38"/>
      <c r="AP109" s="38"/>
      <c r="AQ109" s="39"/>
      <c r="AR109" s="12" t="s">
        <v>5</v>
      </c>
      <c r="AS109" s="13" t="s">
        <v>6</v>
      </c>
      <c r="AT109" s="12" t="s">
        <v>7</v>
      </c>
      <c r="AU109" s="46" t="s">
        <v>5</v>
      </c>
      <c r="AV109" s="47"/>
      <c r="AW109" s="47"/>
      <c r="AX109" s="48"/>
      <c r="AY109" s="46" t="s">
        <v>7</v>
      </c>
      <c r="AZ109" s="47"/>
      <c r="BA109" s="47"/>
      <c r="BB109" s="48"/>
      <c r="BC109" s="52" t="s">
        <v>188</v>
      </c>
      <c r="BD109" s="183"/>
      <c r="BE109" s="183"/>
      <c r="BF109" s="183"/>
      <c r="BG109" s="183"/>
      <c r="BH109" s="183"/>
      <c r="BI109" s="183"/>
      <c r="BJ109" s="184"/>
      <c r="BK109" s="7"/>
    </row>
    <row r="110" spans="1:63" ht="87" customHeight="1" x14ac:dyDescent="0.25">
      <c r="A110" s="6"/>
      <c r="B110" s="40">
        <v>8.1</v>
      </c>
      <c r="C110" s="42"/>
      <c r="D110" s="52" t="s">
        <v>64</v>
      </c>
      <c r="E110" s="53"/>
      <c r="F110" s="53"/>
      <c r="G110" s="53"/>
      <c r="H110" s="53"/>
      <c r="I110" s="53"/>
      <c r="J110" s="54"/>
      <c r="K110" s="55" t="s">
        <v>14</v>
      </c>
      <c r="L110" s="56"/>
      <c r="M110" s="57"/>
      <c r="N110" s="10" t="s">
        <v>12</v>
      </c>
      <c r="O110" s="10" t="s">
        <v>6</v>
      </c>
      <c r="P110" s="40" t="s">
        <v>5</v>
      </c>
      <c r="Q110" s="41"/>
      <c r="R110" s="41"/>
      <c r="S110" s="42"/>
      <c r="T110" s="40" t="s">
        <v>5</v>
      </c>
      <c r="U110" s="41"/>
      <c r="V110" s="41"/>
      <c r="W110" s="42"/>
      <c r="X110" s="61" t="s">
        <v>62</v>
      </c>
      <c r="Y110" s="62"/>
      <c r="Z110" s="63"/>
      <c r="AA110" s="37" t="s">
        <v>7</v>
      </c>
      <c r="AB110" s="38"/>
      <c r="AC110" s="38"/>
      <c r="AD110" s="38"/>
      <c r="AE110" s="38"/>
      <c r="AF110" s="38"/>
      <c r="AG110" s="38"/>
      <c r="AH110" s="39"/>
      <c r="AI110" s="35" t="s">
        <v>187</v>
      </c>
      <c r="AJ110" s="38"/>
      <c r="AK110" s="38"/>
      <c r="AL110" s="38"/>
      <c r="AM110" s="38"/>
      <c r="AN110" s="38"/>
      <c r="AO110" s="38"/>
      <c r="AP110" s="38"/>
      <c r="AQ110" s="39"/>
      <c r="AR110" s="12" t="s">
        <v>5</v>
      </c>
      <c r="AS110" s="12" t="s">
        <v>7</v>
      </c>
      <c r="AT110" s="12" t="s">
        <v>7</v>
      </c>
      <c r="AU110" s="40" t="s">
        <v>5</v>
      </c>
      <c r="AV110" s="41"/>
      <c r="AW110" s="41"/>
      <c r="AX110" s="42"/>
      <c r="AY110" s="40" t="s">
        <v>7</v>
      </c>
      <c r="AZ110" s="41"/>
      <c r="BA110" s="41"/>
      <c r="BB110" s="42"/>
      <c r="BC110" s="182" t="s">
        <v>189</v>
      </c>
      <c r="BD110" s="183"/>
      <c r="BE110" s="183"/>
      <c r="BF110" s="183"/>
      <c r="BG110" s="183"/>
      <c r="BH110" s="183"/>
      <c r="BI110" s="183"/>
      <c r="BJ110" s="184"/>
      <c r="BK110" s="7"/>
    </row>
    <row r="111" spans="1:63" ht="32.25" customHeight="1" x14ac:dyDescent="0.25">
      <c r="A111" s="6"/>
      <c r="B111" s="40">
        <v>9</v>
      </c>
      <c r="C111" s="42"/>
      <c r="D111" s="52" t="s">
        <v>19</v>
      </c>
      <c r="E111" s="53"/>
      <c r="F111" s="53"/>
      <c r="G111" s="53"/>
      <c r="H111" s="53"/>
      <c r="I111" s="53"/>
      <c r="J111" s="54"/>
      <c r="K111" s="58" t="s">
        <v>14</v>
      </c>
      <c r="L111" s="59"/>
      <c r="M111" s="60"/>
      <c r="N111" s="17" t="s">
        <v>12</v>
      </c>
      <c r="O111" s="10" t="s">
        <v>6</v>
      </c>
      <c r="P111" s="40" t="s">
        <v>5</v>
      </c>
      <c r="Q111" s="41"/>
      <c r="R111" s="41"/>
      <c r="S111" s="42"/>
      <c r="T111" s="40" t="s">
        <v>5</v>
      </c>
      <c r="U111" s="41"/>
      <c r="V111" s="41"/>
      <c r="W111" s="42"/>
      <c r="X111" s="61" t="s">
        <v>15</v>
      </c>
      <c r="Y111" s="62"/>
      <c r="Z111" s="63"/>
      <c r="AA111" s="37" t="s">
        <v>7</v>
      </c>
      <c r="AB111" s="38"/>
      <c r="AC111" s="38"/>
      <c r="AD111" s="38"/>
      <c r="AE111" s="38"/>
      <c r="AF111" s="38"/>
      <c r="AG111" s="38"/>
      <c r="AH111" s="39"/>
      <c r="AI111" s="198" t="s">
        <v>190</v>
      </c>
      <c r="AJ111" s="86"/>
      <c r="AK111" s="86"/>
      <c r="AL111" s="86"/>
      <c r="AM111" s="86"/>
      <c r="AN111" s="86"/>
      <c r="AO111" s="86"/>
      <c r="AP111" s="86"/>
      <c r="AQ111" s="87"/>
      <c r="AR111" s="12" t="s">
        <v>5</v>
      </c>
      <c r="AS111" s="12" t="s">
        <v>7</v>
      </c>
      <c r="AT111" s="12" t="s">
        <v>7</v>
      </c>
      <c r="AU111" s="40" t="s">
        <v>5</v>
      </c>
      <c r="AV111" s="41"/>
      <c r="AW111" s="41"/>
      <c r="AX111" s="42"/>
      <c r="AY111" s="40" t="s">
        <v>7</v>
      </c>
      <c r="AZ111" s="41"/>
      <c r="BA111" s="41"/>
      <c r="BB111" s="42"/>
      <c r="BC111" s="182" t="s">
        <v>191</v>
      </c>
      <c r="BD111" s="183"/>
      <c r="BE111" s="183"/>
      <c r="BF111" s="183"/>
      <c r="BG111" s="183"/>
      <c r="BH111" s="183"/>
      <c r="BI111" s="183"/>
      <c r="BJ111" s="184"/>
      <c r="BK111" s="7"/>
    </row>
    <row r="112" spans="1:63" ht="96.75" customHeight="1" x14ac:dyDescent="0.25">
      <c r="A112" s="6"/>
      <c r="B112" s="40">
        <v>10</v>
      </c>
      <c r="C112" s="42"/>
      <c r="D112" s="52" t="s">
        <v>76</v>
      </c>
      <c r="E112" s="53"/>
      <c r="F112" s="53"/>
      <c r="G112" s="53"/>
      <c r="H112" s="53"/>
      <c r="I112" s="53"/>
      <c r="J112" s="54"/>
      <c r="K112" s="55" t="s">
        <v>14</v>
      </c>
      <c r="L112" s="56"/>
      <c r="M112" s="57"/>
      <c r="N112" s="10" t="s">
        <v>12</v>
      </c>
      <c r="O112" s="10" t="s">
        <v>6</v>
      </c>
      <c r="P112" s="40" t="s">
        <v>5</v>
      </c>
      <c r="Q112" s="41"/>
      <c r="R112" s="41"/>
      <c r="S112" s="42"/>
      <c r="T112" s="40" t="s">
        <v>5</v>
      </c>
      <c r="U112" s="41"/>
      <c r="V112" s="41"/>
      <c r="W112" s="42"/>
      <c r="X112" s="61" t="s">
        <v>75</v>
      </c>
      <c r="Y112" s="62"/>
      <c r="Z112" s="63"/>
      <c r="AA112" s="35" t="s">
        <v>192</v>
      </c>
      <c r="AB112" s="36"/>
      <c r="AC112" s="36"/>
      <c r="AD112" s="36"/>
      <c r="AE112" s="36"/>
      <c r="AF112" s="36"/>
      <c r="AG112" s="36"/>
      <c r="AH112" s="36"/>
      <c r="AI112" s="37" t="s">
        <v>16</v>
      </c>
      <c r="AJ112" s="38"/>
      <c r="AK112" s="38"/>
      <c r="AL112" s="38"/>
      <c r="AM112" s="38"/>
      <c r="AN112" s="38"/>
      <c r="AO112" s="38"/>
      <c r="AP112" s="38"/>
      <c r="AQ112" s="39"/>
      <c r="AR112" s="12" t="s">
        <v>5</v>
      </c>
      <c r="AS112" s="12" t="s">
        <v>7</v>
      </c>
      <c r="AT112" s="12" t="s">
        <v>7</v>
      </c>
      <c r="AU112" s="40" t="s">
        <v>83</v>
      </c>
      <c r="AV112" s="41"/>
      <c r="AW112" s="41"/>
      <c r="AX112" s="42"/>
      <c r="AY112" s="40" t="s">
        <v>89</v>
      </c>
      <c r="AZ112" s="41"/>
      <c r="BA112" s="41"/>
      <c r="BB112" s="42"/>
      <c r="BC112" s="52" t="s">
        <v>193</v>
      </c>
      <c r="BD112" s="183"/>
      <c r="BE112" s="183"/>
      <c r="BF112" s="183"/>
      <c r="BG112" s="183"/>
      <c r="BH112" s="183"/>
      <c r="BI112" s="183"/>
      <c r="BJ112" s="184"/>
      <c r="BK112" s="7"/>
    </row>
    <row r="113" spans="1:63" ht="82.5" customHeight="1" x14ac:dyDescent="0.25">
      <c r="A113" s="6"/>
      <c r="B113" s="46">
        <v>11</v>
      </c>
      <c r="C113" s="48"/>
      <c r="D113" s="185" t="s">
        <v>74</v>
      </c>
      <c r="E113" s="194"/>
      <c r="F113" s="194"/>
      <c r="G113" s="194"/>
      <c r="H113" s="194"/>
      <c r="I113" s="194"/>
      <c r="J113" s="195"/>
      <c r="K113" s="58" t="s">
        <v>108</v>
      </c>
      <c r="L113" s="59"/>
      <c r="M113" s="60"/>
      <c r="N113" s="17" t="s">
        <v>5</v>
      </c>
      <c r="O113" s="13" t="s">
        <v>5</v>
      </c>
      <c r="P113" s="46" t="s">
        <v>5</v>
      </c>
      <c r="Q113" s="47"/>
      <c r="R113" s="47"/>
      <c r="S113" s="48"/>
      <c r="T113" s="46" t="s">
        <v>5</v>
      </c>
      <c r="U113" s="47"/>
      <c r="V113" s="47"/>
      <c r="W113" s="48"/>
      <c r="X113" s="49" t="s">
        <v>5</v>
      </c>
      <c r="Y113" s="50"/>
      <c r="Z113" s="51"/>
      <c r="AA113" s="85" t="s">
        <v>7</v>
      </c>
      <c r="AB113" s="86"/>
      <c r="AC113" s="86"/>
      <c r="AD113" s="86"/>
      <c r="AE113" s="86"/>
      <c r="AF113" s="86"/>
      <c r="AG113" s="86"/>
      <c r="AH113" s="87"/>
      <c r="AI113" s="43" t="s">
        <v>187</v>
      </c>
      <c r="AJ113" s="86"/>
      <c r="AK113" s="86"/>
      <c r="AL113" s="86"/>
      <c r="AM113" s="86"/>
      <c r="AN113" s="86"/>
      <c r="AO113" s="86"/>
      <c r="AP113" s="86"/>
      <c r="AQ113" s="87"/>
      <c r="AR113" s="18" t="s">
        <v>5</v>
      </c>
      <c r="AS113" s="18" t="s">
        <v>7</v>
      </c>
      <c r="AT113" s="18" t="s">
        <v>7</v>
      </c>
      <c r="AU113" s="46" t="s">
        <v>5</v>
      </c>
      <c r="AV113" s="47"/>
      <c r="AW113" s="47"/>
      <c r="AX113" s="48"/>
      <c r="AY113" s="46" t="s">
        <v>7</v>
      </c>
      <c r="AZ113" s="47"/>
      <c r="BA113" s="47"/>
      <c r="BB113" s="48"/>
      <c r="BC113" s="185" t="s">
        <v>194</v>
      </c>
      <c r="BD113" s="92"/>
      <c r="BE113" s="92"/>
      <c r="BF113" s="92"/>
      <c r="BG113" s="92"/>
      <c r="BH113" s="92"/>
      <c r="BI113" s="92"/>
      <c r="BJ113" s="93"/>
      <c r="BK113" s="7"/>
    </row>
    <row r="114" spans="1:63" ht="87.75" customHeight="1" x14ac:dyDescent="0.25">
      <c r="A114" s="6"/>
      <c r="B114" s="40">
        <v>12</v>
      </c>
      <c r="C114" s="42"/>
      <c r="D114" s="52" t="s">
        <v>66</v>
      </c>
      <c r="E114" s="53"/>
      <c r="F114" s="53"/>
      <c r="G114" s="53"/>
      <c r="H114" s="53"/>
      <c r="I114" s="53"/>
      <c r="J114" s="54"/>
      <c r="K114" s="58" t="s">
        <v>20</v>
      </c>
      <c r="L114" s="59"/>
      <c r="M114" s="60"/>
      <c r="N114" s="13" t="s">
        <v>12</v>
      </c>
      <c r="O114" s="10" t="s">
        <v>5</v>
      </c>
      <c r="P114" s="40" t="s">
        <v>5</v>
      </c>
      <c r="Q114" s="41"/>
      <c r="R114" s="41"/>
      <c r="S114" s="42"/>
      <c r="T114" s="40" t="s">
        <v>5</v>
      </c>
      <c r="U114" s="41"/>
      <c r="V114" s="41"/>
      <c r="W114" s="42"/>
      <c r="X114" s="49" t="s">
        <v>41</v>
      </c>
      <c r="Y114" s="50"/>
      <c r="Z114" s="51"/>
      <c r="AA114" s="37" t="s">
        <v>7</v>
      </c>
      <c r="AB114" s="38"/>
      <c r="AC114" s="38"/>
      <c r="AD114" s="38"/>
      <c r="AE114" s="38"/>
      <c r="AF114" s="38"/>
      <c r="AG114" s="38"/>
      <c r="AH114" s="39"/>
      <c r="AI114" s="43" t="s">
        <v>187</v>
      </c>
      <c r="AJ114" s="86"/>
      <c r="AK114" s="86"/>
      <c r="AL114" s="86"/>
      <c r="AM114" s="86"/>
      <c r="AN114" s="86"/>
      <c r="AO114" s="86"/>
      <c r="AP114" s="86"/>
      <c r="AQ114" s="87"/>
      <c r="AR114" s="12" t="s">
        <v>5</v>
      </c>
      <c r="AS114" s="12" t="s">
        <v>7</v>
      </c>
      <c r="AT114" s="12" t="s">
        <v>7</v>
      </c>
      <c r="AU114" s="46" t="s">
        <v>5</v>
      </c>
      <c r="AV114" s="47"/>
      <c r="AW114" s="47"/>
      <c r="AX114" s="48"/>
      <c r="AY114" s="46" t="s">
        <v>7</v>
      </c>
      <c r="AZ114" s="47"/>
      <c r="BA114" s="47"/>
      <c r="BB114" s="48"/>
      <c r="BC114" s="182" t="s">
        <v>195</v>
      </c>
      <c r="BD114" s="183"/>
      <c r="BE114" s="183"/>
      <c r="BF114" s="183"/>
      <c r="BG114" s="183"/>
      <c r="BH114" s="183"/>
      <c r="BI114" s="183"/>
      <c r="BJ114" s="184"/>
      <c r="BK114" s="7"/>
    </row>
    <row r="115" spans="1:63" ht="84" customHeight="1" x14ac:dyDescent="0.25">
      <c r="A115" s="6"/>
      <c r="B115" s="40">
        <v>13</v>
      </c>
      <c r="C115" s="42"/>
      <c r="D115" s="52" t="s">
        <v>67</v>
      </c>
      <c r="E115" s="53"/>
      <c r="F115" s="53"/>
      <c r="G115" s="53"/>
      <c r="H115" s="53"/>
      <c r="I115" s="53"/>
      <c r="J115" s="54"/>
      <c r="K115" s="58" t="s">
        <v>20</v>
      </c>
      <c r="L115" s="59"/>
      <c r="M115" s="60"/>
      <c r="N115" s="13" t="s">
        <v>12</v>
      </c>
      <c r="O115" s="10" t="s">
        <v>5</v>
      </c>
      <c r="P115" s="40" t="s">
        <v>5</v>
      </c>
      <c r="Q115" s="41"/>
      <c r="R115" s="41"/>
      <c r="S115" s="42"/>
      <c r="T115" s="40" t="s">
        <v>5</v>
      </c>
      <c r="U115" s="41"/>
      <c r="V115" s="41"/>
      <c r="W115" s="42"/>
      <c r="X115" s="49" t="s">
        <v>68</v>
      </c>
      <c r="Y115" s="50"/>
      <c r="Z115" s="51"/>
      <c r="AA115" s="37" t="s">
        <v>7</v>
      </c>
      <c r="AB115" s="38"/>
      <c r="AC115" s="38"/>
      <c r="AD115" s="38"/>
      <c r="AE115" s="38"/>
      <c r="AF115" s="38"/>
      <c r="AG115" s="38"/>
      <c r="AH115" s="39"/>
      <c r="AI115" s="43" t="s">
        <v>187</v>
      </c>
      <c r="AJ115" s="86"/>
      <c r="AK115" s="86"/>
      <c r="AL115" s="86"/>
      <c r="AM115" s="86"/>
      <c r="AN115" s="86"/>
      <c r="AO115" s="86"/>
      <c r="AP115" s="86"/>
      <c r="AQ115" s="87"/>
      <c r="AR115" s="12" t="s">
        <v>5</v>
      </c>
      <c r="AS115" s="12" t="s">
        <v>7</v>
      </c>
      <c r="AT115" s="12" t="s">
        <v>7</v>
      </c>
      <c r="AU115" s="46" t="s">
        <v>5</v>
      </c>
      <c r="AV115" s="47"/>
      <c r="AW115" s="47"/>
      <c r="AX115" s="48"/>
      <c r="AY115" s="46" t="s">
        <v>7</v>
      </c>
      <c r="AZ115" s="47"/>
      <c r="BA115" s="47"/>
      <c r="BB115" s="48"/>
      <c r="BC115" s="182" t="s">
        <v>195</v>
      </c>
      <c r="BD115" s="183"/>
      <c r="BE115" s="183"/>
      <c r="BF115" s="183"/>
      <c r="BG115" s="183"/>
      <c r="BH115" s="183"/>
      <c r="BI115" s="183"/>
      <c r="BJ115" s="184"/>
      <c r="BK115" s="7"/>
    </row>
    <row r="116" spans="1:63" ht="83.25" customHeight="1" x14ac:dyDescent="0.25">
      <c r="A116" s="6"/>
      <c r="B116" s="40">
        <v>14</v>
      </c>
      <c r="C116" s="42"/>
      <c r="D116" s="52" t="s">
        <v>69</v>
      </c>
      <c r="E116" s="53"/>
      <c r="F116" s="53"/>
      <c r="G116" s="53"/>
      <c r="H116" s="53"/>
      <c r="I116" s="53"/>
      <c r="J116" s="54"/>
      <c r="K116" s="58" t="s">
        <v>70</v>
      </c>
      <c r="L116" s="59"/>
      <c r="M116" s="60"/>
      <c r="N116" s="13" t="s">
        <v>3</v>
      </c>
      <c r="O116" s="10" t="s">
        <v>5</v>
      </c>
      <c r="P116" s="40" t="s">
        <v>105</v>
      </c>
      <c r="Q116" s="41"/>
      <c r="R116" s="41"/>
      <c r="S116" s="42"/>
      <c r="T116" s="40" t="s">
        <v>71</v>
      </c>
      <c r="U116" s="41"/>
      <c r="V116" s="41"/>
      <c r="W116" s="42"/>
      <c r="X116" s="49" t="s">
        <v>5</v>
      </c>
      <c r="Y116" s="50"/>
      <c r="Z116" s="51"/>
      <c r="AA116" s="37" t="s">
        <v>7</v>
      </c>
      <c r="AB116" s="38"/>
      <c r="AC116" s="38"/>
      <c r="AD116" s="38"/>
      <c r="AE116" s="38"/>
      <c r="AF116" s="38"/>
      <c r="AG116" s="38"/>
      <c r="AH116" s="39"/>
      <c r="AI116" s="43" t="s">
        <v>187</v>
      </c>
      <c r="AJ116" s="86"/>
      <c r="AK116" s="86"/>
      <c r="AL116" s="86"/>
      <c r="AM116" s="86"/>
      <c r="AN116" s="86"/>
      <c r="AO116" s="86"/>
      <c r="AP116" s="86"/>
      <c r="AQ116" s="87"/>
      <c r="AR116" s="12" t="s">
        <v>5</v>
      </c>
      <c r="AS116" s="12" t="s">
        <v>7</v>
      </c>
      <c r="AT116" s="12" t="s">
        <v>7</v>
      </c>
      <c r="AU116" s="46" t="s">
        <v>5</v>
      </c>
      <c r="AV116" s="47"/>
      <c r="AW116" s="47"/>
      <c r="AX116" s="48"/>
      <c r="AY116" s="46" t="s">
        <v>7</v>
      </c>
      <c r="AZ116" s="47"/>
      <c r="BA116" s="47"/>
      <c r="BB116" s="48"/>
      <c r="BC116" s="182" t="s">
        <v>196</v>
      </c>
      <c r="BD116" s="183"/>
      <c r="BE116" s="183"/>
      <c r="BF116" s="183"/>
      <c r="BG116" s="183"/>
      <c r="BH116" s="183"/>
      <c r="BI116" s="183"/>
      <c r="BJ116" s="184"/>
      <c r="BK116" s="7"/>
    </row>
    <row r="117" spans="1:63" ht="83.25" customHeight="1" x14ac:dyDescent="0.25">
      <c r="A117" s="6"/>
      <c r="B117" s="40">
        <v>15</v>
      </c>
      <c r="C117" s="42"/>
      <c r="D117" s="52" t="s">
        <v>72</v>
      </c>
      <c r="E117" s="53"/>
      <c r="F117" s="53"/>
      <c r="G117" s="53"/>
      <c r="H117" s="53"/>
      <c r="I117" s="53"/>
      <c r="J117" s="54"/>
      <c r="K117" s="58" t="s">
        <v>70</v>
      </c>
      <c r="L117" s="59"/>
      <c r="M117" s="60"/>
      <c r="N117" s="13" t="s">
        <v>3</v>
      </c>
      <c r="O117" s="10" t="s">
        <v>5</v>
      </c>
      <c r="P117" s="40" t="s">
        <v>105</v>
      </c>
      <c r="Q117" s="41"/>
      <c r="R117" s="41"/>
      <c r="S117" s="42"/>
      <c r="T117" s="40" t="s">
        <v>73</v>
      </c>
      <c r="U117" s="41"/>
      <c r="V117" s="41"/>
      <c r="W117" s="42"/>
      <c r="X117" s="49" t="s">
        <v>5</v>
      </c>
      <c r="Y117" s="50"/>
      <c r="Z117" s="51"/>
      <c r="AA117" s="37" t="s">
        <v>7</v>
      </c>
      <c r="AB117" s="38"/>
      <c r="AC117" s="38"/>
      <c r="AD117" s="38"/>
      <c r="AE117" s="38"/>
      <c r="AF117" s="38"/>
      <c r="AG117" s="38"/>
      <c r="AH117" s="39"/>
      <c r="AI117" s="43" t="s">
        <v>187</v>
      </c>
      <c r="AJ117" s="86"/>
      <c r="AK117" s="86"/>
      <c r="AL117" s="86"/>
      <c r="AM117" s="86"/>
      <c r="AN117" s="86"/>
      <c r="AO117" s="86"/>
      <c r="AP117" s="86"/>
      <c r="AQ117" s="87"/>
      <c r="AR117" s="12" t="s">
        <v>5</v>
      </c>
      <c r="AS117" s="12" t="s">
        <v>7</v>
      </c>
      <c r="AT117" s="12" t="s">
        <v>7</v>
      </c>
      <c r="AU117" s="46" t="s">
        <v>5</v>
      </c>
      <c r="AV117" s="47"/>
      <c r="AW117" s="47"/>
      <c r="AX117" s="48"/>
      <c r="AY117" s="46" t="s">
        <v>7</v>
      </c>
      <c r="AZ117" s="47"/>
      <c r="BA117" s="47"/>
      <c r="BB117" s="48"/>
      <c r="BC117" s="182" t="s">
        <v>196</v>
      </c>
      <c r="BD117" s="183"/>
      <c r="BE117" s="183"/>
      <c r="BF117" s="183"/>
      <c r="BG117" s="183"/>
      <c r="BH117" s="183"/>
      <c r="BI117" s="183"/>
      <c r="BJ117" s="184"/>
      <c r="BK117" s="7"/>
    </row>
    <row r="118" spans="1:63" ht="87" customHeight="1" x14ac:dyDescent="0.25">
      <c r="A118" s="6"/>
      <c r="B118" s="40">
        <v>16</v>
      </c>
      <c r="C118" s="42"/>
      <c r="D118" s="52" t="s">
        <v>103</v>
      </c>
      <c r="E118" s="53"/>
      <c r="F118" s="53"/>
      <c r="G118" s="53"/>
      <c r="H118" s="53"/>
      <c r="I118" s="53"/>
      <c r="J118" s="54"/>
      <c r="K118" s="55" t="s">
        <v>14</v>
      </c>
      <c r="L118" s="56"/>
      <c r="M118" s="57"/>
      <c r="N118" s="10" t="s">
        <v>12</v>
      </c>
      <c r="O118" s="10" t="s">
        <v>6</v>
      </c>
      <c r="P118" s="40" t="s">
        <v>5</v>
      </c>
      <c r="Q118" s="41"/>
      <c r="R118" s="41"/>
      <c r="S118" s="42"/>
      <c r="T118" s="40" t="s">
        <v>5</v>
      </c>
      <c r="U118" s="41"/>
      <c r="V118" s="41"/>
      <c r="W118" s="42"/>
      <c r="X118" s="61" t="s">
        <v>65</v>
      </c>
      <c r="Y118" s="62"/>
      <c r="Z118" s="63"/>
      <c r="AA118" s="37" t="s">
        <v>7</v>
      </c>
      <c r="AB118" s="38"/>
      <c r="AC118" s="38"/>
      <c r="AD118" s="38"/>
      <c r="AE118" s="38"/>
      <c r="AF118" s="38"/>
      <c r="AG118" s="38"/>
      <c r="AH118" s="39"/>
      <c r="AI118" s="43" t="s">
        <v>187</v>
      </c>
      <c r="AJ118" s="86"/>
      <c r="AK118" s="86"/>
      <c r="AL118" s="86"/>
      <c r="AM118" s="86"/>
      <c r="AN118" s="86"/>
      <c r="AO118" s="86"/>
      <c r="AP118" s="86"/>
      <c r="AQ118" s="87"/>
      <c r="AR118" s="12" t="s">
        <v>5</v>
      </c>
      <c r="AS118" s="12" t="s">
        <v>7</v>
      </c>
      <c r="AT118" s="12" t="s">
        <v>7</v>
      </c>
      <c r="AU118" s="40" t="s">
        <v>5</v>
      </c>
      <c r="AV118" s="41"/>
      <c r="AW118" s="41"/>
      <c r="AX118" s="42"/>
      <c r="AY118" s="40" t="s">
        <v>7</v>
      </c>
      <c r="AZ118" s="41"/>
      <c r="BA118" s="41"/>
      <c r="BB118" s="42"/>
      <c r="BC118" s="182" t="s">
        <v>197</v>
      </c>
      <c r="BD118" s="183"/>
      <c r="BE118" s="183"/>
      <c r="BF118" s="183"/>
      <c r="BG118" s="183"/>
      <c r="BH118" s="183"/>
      <c r="BI118" s="183"/>
      <c r="BJ118" s="184"/>
      <c r="BK118" s="7"/>
    </row>
    <row r="119" spans="1:63" ht="126" customHeight="1" x14ac:dyDescent="0.25">
      <c r="A119" s="6"/>
      <c r="B119" s="40">
        <v>17</v>
      </c>
      <c r="C119" s="42"/>
      <c r="D119" s="52" t="s">
        <v>109</v>
      </c>
      <c r="E119" s="53"/>
      <c r="F119" s="53"/>
      <c r="G119" s="53"/>
      <c r="H119" s="53"/>
      <c r="I119" s="53"/>
      <c r="J119" s="54"/>
      <c r="K119" s="55" t="s">
        <v>14</v>
      </c>
      <c r="L119" s="56"/>
      <c r="M119" s="57"/>
      <c r="N119" s="10" t="s">
        <v>12</v>
      </c>
      <c r="O119" s="10" t="s">
        <v>6</v>
      </c>
      <c r="P119" s="40" t="s">
        <v>5</v>
      </c>
      <c r="Q119" s="41"/>
      <c r="R119" s="41"/>
      <c r="S119" s="42"/>
      <c r="T119" s="40" t="s">
        <v>5</v>
      </c>
      <c r="U119" s="41"/>
      <c r="V119" s="41"/>
      <c r="W119" s="42"/>
      <c r="X119" s="61" t="s">
        <v>113</v>
      </c>
      <c r="Y119" s="62"/>
      <c r="Z119" s="63"/>
      <c r="AA119" s="35" t="s">
        <v>198</v>
      </c>
      <c r="AB119" s="38"/>
      <c r="AC119" s="38"/>
      <c r="AD119" s="38"/>
      <c r="AE119" s="38"/>
      <c r="AF119" s="38"/>
      <c r="AG119" s="38"/>
      <c r="AH119" s="39"/>
      <c r="AI119" s="43" t="s">
        <v>16</v>
      </c>
      <c r="AJ119" s="86"/>
      <c r="AK119" s="86"/>
      <c r="AL119" s="86"/>
      <c r="AM119" s="86"/>
      <c r="AN119" s="86"/>
      <c r="AO119" s="86"/>
      <c r="AP119" s="86"/>
      <c r="AQ119" s="87"/>
      <c r="AR119" s="12" t="s">
        <v>5</v>
      </c>
      <c r="AS119" s="12" t="s">
        <v>7</v>
      </c>
      <c r="AT119" s="12" t="s">
        <v>7</v>
      </c>
      <c r="AU119" s="40" t="s">
        <v>5</v>
      </c>
      <c r="AV119" s="41"/>
      <c r="AW119" s="41"/>
      <c r="AX119" s="42"/>
      <c r="AY119" s="40" t="s">
        <v>7</v>
      </c>
      <c r="AZ119" s="41"/>
      <c r="BA119" s="41"/>
      <c r="BB119" s="42"/>
      <c r="BC119" s="182" t="s">
        <v>199</v>
      </c>
      <c r="BD119" s="183"/>
      <c r="BE119" s="183"/>
      <c r="BF119" s="183"/>
      <c r="BG119" s="183"/>
      <c r="BH119" s="183"/>
      <c r="BI119" s="183"/>
      <c r="BJ119" s="184"/>
      <c r="BK119" s="7"/>
    </row>
    <row r="120" spans="1:63" ht="168" customHeight="1" x14ac:dyDescent="0.25">
      <c r="A120" s="6"/>
      <c r="B120" s="95">
        <v>18</v>
      </c>
      <c r="C120" s="97"/>
      <c r="D120" s="110" t="s">
        <v>42</v>
      </c>
      <c r="E120" s="111"/>
      <c r="F120" s="111"/>
      <c r="G120" s="111"/>
      <c r="H120" s="111"/>
      <c r="I120" s="111"/>
      <c r="J120" s="112"/>
      <c r="K120" s="186" t="s">
        <v>14</v>
      </c>
      <c r="L120" s="187"/>
      <c r="M120" s="188"/>
      <c r="N120" s="14" t="s">
        <v>12</v>
      </c>
      <c r="O120" s="14" t="s">
        <v>6</v>
      </c>
      <c r="P120" s="95" t="s">
        <v>5</v>
      </c>
      <c r="Q120" s="96"/>
      <c r="R120" s="96"/>
      <c r="S120" s="97"/>
      <c r="T120" s="95" t="s">
        <v>5</v>
      </c>
      <c r="U120" s="96"/>
      <c r="V120" s="96"/>
      <c r="W120" s="97"/>
      <c r="X120" s="189" t="s">
        <v>42</v>
      </c>
      <c r="Y120" s="96"/>
      <c r="Z120" s="97"/>
      <c r="AA120" s="190" t="s">
        <v>200</v>
      </c>
      <c r="AB120" s="191"/>
      <c r="AC120" s="191"/>
      <c r="AD120" s="191"/>
      <c r="AE120" s="191"/>
      <c r="AF120" s="191"/>
      <c r="AG120" s="191"/>
      <c r="AH120" s="192"/>
      <c r="AI120" s="193" t="s">
        <v>201</v>
      </c>
      <c r="AJ120" s="123"/>
      <c r="AK120" s="123"/>
      <c r="AL120" s="123"/>
      <c r="AM120" s="123"/>
      <c r="AN120" s="123"/>
      <c r="AO120" s="123"/>
      <c r="AP120" s="123"/>
      <c r="AQ120" s="124"/>
      <c r="AR120" s="15" t="s">
        <v>5</v>
      </c>
      <c r="AS120" s="15" t="s">
        <v>7</v>
      </c>
      <c r="AT120" s="15" t="s">
        <v>7</v>
      </c>
      <c r="AU120" s="95" t="s">
        <v>5</v>
      </c>
      <c r="AV120" s="96"/>
      <c r="AW120" s="96"/>
      <c r="AX120" s="97"/>
      <c r="AY120" s="95" t="s">
        <v>7</v>
      </c>
      <c r="AZ120" s="96"/>
      <c r="BA120" s="96"/>
      <c r="BB120" s="97"/>
      <c r="BC120" s="110" t="s">
        <v>202</v>
      </c>
      <c r="BD120" s="196"/>
      <c r="BE120" s="196"/>
      <c r="BF120" s="196"/>
      <c r="BG120" s="196"/>
      <c r="BH120" s="196"/>
      <c r="BI120" s="196"/>
      <c r="BJ120" s="197"/>
      <c r="BK120" s="7"/>
    </row>
    <row r="121" spans="1:63" x14ac:dyDescent="0.25">
      <c r="A121" s="6"/>
      <c r="BK121" s="7"/>
    </row>
    <row r="122" spans="1:63" x14ac:dyDescent="0.25">
      <c r="A122" s="6"/>
      <c r="BK122" s="7"/>
    </row>
    <row r="123" spans="1:63" x14ac:dyDescent="0.25">
      <c r="A123" s="6"/>
      <c r="B123" s="8" t="s">
        <v>143</v>
      </c>
      <c r="C123" s="329"/>
      <c r="D123" s="329"/>
      <c r="BK123" s="7"/>
    </row>
    <row r="124" spans="1:63" x14ac:dyDescent="0.25">
      <c r="A124" s="6"/>
      <c r="C124" s="2" t="s">
        <v>48</v>
      </c>
      <c r="BK124" s="7"/>
    </row>
    <row r="125" spans="1:63" x14ac:dyDescent="0.25">
      <c r="A125" s="6"/>
      <c r="BK125" s="7"/>
    </row>
    <row r="126" spans="1:63" x14ac:dyDescent="0.25">
      <c r="A126" s="6"/>
      <c r="BK126" s="7"/>
    </row>
    <row r="127" spans="1:63" x14ac:dyDescent="0.25">
      <c r="A127" s="6"/>
      <c r="BK127" s="7"/>
    </row>
    <row r="128" spans="1:63" x14ac:dyDescent="0.25">
      <c r="A128" s="6"/>
      <c r="BK128" s="7"/>
    </row>
    <row r="129" spans="1:63" x14ac:dyDescent="0.25">
      <c r="A129" s="6"/>
      <c r="BK129" s="7"/>
    </row>
    <row r="130" spans="1:63" x14ac:dyDescent="0.25">
      <c r="A130" s="6"/>
      <c r="BK130" s="7"/>
    </row>
    <row r="131" spans="1:63" x14ac:dyDescent="0.25">
      <c r="A131" s="6"/>
      <c r="BK131" s="7"/>
    </row>
    <row r="132" spans="1:63" x14ac:dyDescent="0.25">
      <c r="A132" s="6"/>
      <c r="BK132" s="7"/>
    </row>
    <row r="133" spans="1:63" x14ac:dyDescent="0.25">
      <c r="A133" s="6"/>
      <c r="BK133" s="7"/>
    </row>
    <row r="134" spans="1:63" x14ac:dyDescent="0.25">
      <c r="A134" s="6"/>
      <c r="BK134" s="7"/>
    </row>
    <row r="135" spans="1:63" x14ac:dyDescent="0.25">
      <c r="A135" s="6"/>
      <c r="BK135" s="7"/>
    </row>
    <row r="136" spans="1:63" x14ac:dyDescent="0.25">
      <c r="A136" s="6"/>
      <c r="BK136" s="7"/>
    </row>
    <row r="137" spans="1:63" x14ac:dyDescent="0.25">
      <c r="A137" s="6"/>
      <c r="BK137" s="7"/>
    </row>
    <row r="138" spans="1:63" x14ac:dyDescent="0.25">
      <c r="A138" s="6"/>
      <c r="BK138" s="7"/>
    </row>
    <row r="139" spans="1:63" x14ac:dyDescent="0.25">
      <c r="A139" s="6"/>
      <c r="BK139" s="7"/>
    </row>
    <row r="140" spans="1:63" x14ac:dyDescent="0.25">
      <c r="A140" s="6"/>
      <c r="BK140" s="7"/>
    </row>
    <row r="141" spans="1:63" x14ac:dyDescent="0.25">
      <c r="A141" s="6"/>
      <c r="BK141" s="7"/>
    </row>
    <row r="142" spans="1:63" x14ac:dyDescent="0.25">
      <c r="A142" s="6"/>
      <c r="BK142" s="7"/>
    </row>
    <row r="143" spans="1:63" x14ac:dyDescent="0.25">
      <c r="A143" s="6"/>
      <c r="BK143" s="7"/>
    </row>
    <row r="144" spans="1:63" x14ac:dyDescent="0.25">
      <c r="A144" s="6"/>
      <c r="BK144" s="7"/>
    </row>
    <row r="145" spans="1:63" x14ac:dyDescent="0.25">
      <c r="A145" s="6"/>
      <c r="BK145" s="7"/>
    </row>
    <row r="146" spans="1:63" x14ac:dyDescent="0.25">
      <c r="A146" s="6"/>
      <c r="BK146" s="7"/>
    </row>
    <row r="147" spans="1:63" x14ac:dyDescent="0.25">
      <c r="A147" s="6"/>
      <c r="BK147" s="7"/>
    </row>
    <row r="148" spans="1:63" x14ac:dyDescent="0.25">
      <c r="A148" s="6"/>
      <c r="BK148" s="7"/>
    </row>
    <row r="149" spans="1:63" x14ac:dyDescent="0.25">
      <c r="A149" s="6"/>
      <c r="BK149" s="7"/>
    </row>
    <row r="150" spans="1:63" x14ac:dyDescent="0.25">
      <c r="A150" s="6"/>
      <c r="BK150" s="7"/>
    </row>
    <row r="151" spans="1:63" x14ac:dyDescent="0.25">
      <c r="A151" s="6"/>
      <c r="BK151" s="7"/>
    </row>
    <row r="152" spans="1:63" x14ac:dyDescent="0.25">
      <c r="A152" s="6"/>
      <c r="BK152" s="7"/>
    </row>
    <row r="153" spans="1:63" x14ac:dyDescent="0.25">
      <c r="A153" s="6"/>
      <c r="BK153" s="7"/>
    </row>
    <row r="154" spans="1:63" x14ac:dyDescent="0.25">
      <c r="A154" s="6"/>
      <c r="BK154" s="7"/>
    </row>
    <row r="155" spans="1:63" x14ac:dyDescent="0.25">
      <c r="A155" s="6"/>
      <c r="BK155" s="7"/>
    </row>
    <row r="156" spans="1:63" x14ac:dyDescent="0.25">
      <c r="A156" s="6"/>
      <c r="BK156" s="7"/>
    </row>
    <row r="157" spans="1:63" x14ac:dyDescent="0.25">
      <c r="A157" s="6"/>
      <c r="BK157" s="7"/>
    </row>
    <row r="158" spans="1:63" x14ac:dyDescent="0.25">
      <c r="A158" s="6"/>
      <c r="BK158" s="7"/>
    </row>
    <row r="159" spans="1:63" ht="15" customHeight="1" x14ac:dyDescent="0.25">
      <c r="A159" s="6"/>
      <c r="B159" s="8" t="s">
        <v>144</v>
      </c>
      <c r="BK159" s="7"/>
    </row>
    <row r="160" spans="1:63" x14ac:dyDescent="0.25">
      <c r="A160" s="6"/>
      <c r="BK160" s="7"/>
    </row>
    <row r="161" spans="1:63" ht="15.75" customHeight="1" x14ac:dyDescent="0.25">
      <c r="A161" s="6"/>
      <c r="B161" s="150" t="s">
        <v>145</v>
      </c>
      <c r="C161" s="151"/>
      <c r="D161" s="156" t="s">
        <v>146</v>
      </c>
      <c r="E161" s="157"/>
      <c r="F161" s="157"/>
      <c r="G161" s="157"/>
      <c r="H161" s="157"/>
      <c r="I161" s="157"/>
      <c r="J161" s="151"/>
      <c r="K161" s="156" t="s">
        <v>147</v>
      </c>
      <c r="L161" s="157"/>
      <c r="M161" s="151"/>
      <c r="N161" s="128" t="s">
        <v>3</v>
      </c>
      <c r="O161" s="174" t="s">
        <v>148</v>
      </c>
      <c r="P161" s="98" t="s">
        <v>149</v>
      </c>
      <c r="Q161" s="99"/>
      <c r="R161" s="99"/>
      <c r="S161" s="99"/>
      <c r="T161" s="99"/>
      <c r="U161" s="99"/>
      <c r="V161" s="99"/>
      <c r="W161" s="99"/>
      <c r="X161" s="99"/>
      <c r="Y161" s="99"/>
      <c r="Z161" s="99"/>
      <c r="AA161" s="99"/>
      <c r="AB161" s="99"/>
      <c r="AC161" s="99"/>
      <c r="AD161" s="99"/>
      <c r="AE161" s="99"/>
      <c r="AF161" s="99"/>
      <c r="AG161" s="99"/>
      <c r="AH161" s="99"/>
      <c r="AI161" s="99"/>
      <c r="AJ161" s="99"/>
      <c r="AK161" s="99"/>
      <c r="AL161" s="99"/>
      <c r="AM161" s="99"/>
      <c r="AN161" s="99"/>
      <c r="AO161" s="99"/>
      <c r="AP161" s="99"/>
      <c r="AQ161" s="100"/>
      <c r="AR161" s="127" t="s">
        <v>150</v>
      </c>
      <c r="AS161" s="66"/>
      <c r="AT161" s="66"/>
      <c r="AU161" s="66"/>
      <c r="AV161" s="66"/>
      <c r="AW161" s="66"/>
      <c r="AX161" s="66"/>
      <c r="AY161" s="66"/>
      <c r="AZ161" s="66"/>
      <c r="BA161" s="66"/>
      <c r="BB161" s="67"/>
      <c r="BC161" s="68" t="s">
        <v>151</v>
      </c>
      <c r="BD161" s="69"/>
      <c r="BE161" s="69"/>
      <c r="BF161" s="69"/>
      <c r="BG161" s="69"/>
      <c r="BH161" s="69"/>
      <c r="BI161" s="69"/>
      <c r="BJ161" s="70"/>
      <c r="BK161" s="7"/>
    </row>
    <row r="162" spans="1:63" ht="15.75" customHeight="1" x14ac:dyDescent="0.25">
      <c r="A162" s="6"/>
      <c r="B162" s="152"/>
      <c r="C162" s="153"/>
      <c r="D162" s="152"/>
      <c r="E162" s="158"/>
      <c r="F162" s="158"/>
      <c r="G162" s="158"/>
      <c r="H162" s="158"/>
      <c r="I162" s="158"/>
      <c r="J162" s="153"/>
      <c r="K162" s="152"/>
      <c r="L162" s="158"/>
      <c r="M162" s="153"/>
      <c r="N162" s="129"/>
      <c r="O162" s="175"/>
      <c r="P162" s="101" t="s">
        <v>152</v>
      </c>
      <c r="Q162" s="102"/>
      <c r="R162" s="102"/>
      <c r="S162" s="102"/>
      <c r="T162" s="102"/>
      <c r="U162" s="102"/>
      <c r="V162" s="102"/>
      <c r="W162" s="103"/>
      <c r="X162" s="104" t="s">
        <v>153</v>
      </c>
      <c r="Y162" s="105"/>
      <c r="Z162" s="106"/>
      <c r="AA162" s="104" t="s">
        <v>154</v>
      </c>
      <c r="AB162" s="105"/>
      <c r="AC162" s="105"/>
      <c r="AD162" s="105"/>
      <c r="AE162" s="105"/>
      <c r="AF162" s="105"/>
      <c r="AG162" s="105"/>
      <c r="AH162" s="106"/>
      <c r="AI162" s="104" t="s">
        <v>155</v>
      </c>
      <c r="AJ162" s="105"/>
      <c r="AK162" s="105"/>
      <c r="AL162" s="105"/>
      <c r="AM162" s="105"/>
      <c r="AN162" s="105"/>
      <c r="AO162" s="105"/>
      <c r="AP162" s="105"/>
      <c r="AQ162" s="106"/>
      <c r="AR162" s="125" t="s">
        <v>4</v>
      </c>
      <c r="AS162" s="166" t="s">
        <v>156</v>
      </c>
      <c r="AT162" s="168" t="s">
        <v>157</v>
      </c>
      <c r="AU162" s="127" t="s">
        <v>152</v>
      </c>
      <c r="AV162" s="66"/>
      <c r="AW162" s="66"/>
      <c r="AX162" s="66"/>
      <c r="AY162" s="66"/>
      <c r="AZ162" s="66"/>
      <c r="BA162" s="66"/>
      <c r="BB162" s="67"/>
      <c r="BC162" s="71"/>
      <c r="BD162" s="72"/>
      <c r="BE162" s="72"/>
      <c r="BF162" s="72"/>
      <c r="BG162" s="72"/>
      <c r="BH162" s="72"/>
      <c r="BI162" s="72"/>
      <c r="BJ162" s="73"/>
      <c r="BK162" s="7"/>
    </row>
    <row r="163" spans="1:63" x14ac:dyDescent="0.25">
      <c r="A163" s="6"/>
      <c r="B163" s="154"/>
      <c r="C163" s="155"/>
      <c r="D163" s="154"/>
      <c r="E163" s="159"/>
      <c r="F163" s="159"/>
      <c r="G163" s="159"/>
      <c r="H163" s="159"/>
      <c r="I163" s="159"/>
      <c r="J163" s="155"/>
      <c r="K163" s="154"/>
      <c r="L163" s="159"/>
      <c r="M163" s="155"/>
      <c r="N163" s="130"/>
      <c r="O163" s="176"/>
      <c r="P163" s="98" t="s">
        <v>158</v>
      </c>
      <c r="Q163" s="99"/>
      <c r="R163" s="99"/>
      <c r="S163" s="100"/>
      <c r="T163" s="98" t="s">
        <v>146</v>
      </c>
      <c r="U163" s="99"/>
      <c r="V163" s="99"/>
      <c r="W163" s="100"/>
      <c r="X163" s="107"/>
      <c r="Y163" s="108"/>
      <c r="Z163" s="109"/>
      <c r="AA163" s="107"/>
      <c r="AB163" s="108"/>
      <c r="AC163" s="108"/>
      <c r="AD163" s="108"/>
      <c r="AE163" s="108"/>
      <c r="AF163" s="108"/>
      <c r="AG163" s="108"/>
      <c r="AH163" s="109"/>
      <c r="AI163" s="107"/>
      <c r="AJ163" s="108"/>
      <c r="AK163" s="108"/>
      <c r="AL163" s="108"/>
      <c r="AM163" s="108"/>
      <c r="AN163" s="108"/>
      <c r="AO163" s="108"/>
      <c r="AP163" s="108"/>
      <c r="AQ163" s="109"/>
      <c r="AR163" s="126"/>
      <c r="AS163" s="167"/>
      <c r="AT163" s="169"/>
      <c r="AU163" s="127" t="s">
        <v>158</v>
      </c>
      <c r="AV163" s="66"/>
      <c r="AW163" s="66"/>
      <c r="AX163" s="149"/>
      <c r="AY163" s="65" t="s">
        <v>146</v>
      </c>
      <c r="AZ163" s="66"/>
      <c r="BA163" s="66"/>
      <c r="BB163" s="67"/>
      <c r="BC163" s="74"/>
      <c r="BD163" s="75"/>
      <c r="BE163" s="75"/>
      <c r="BF163" s="75"/>
      <c r="BG163" s="75"/>
      <c r="BH163" s="75"/>
      <c r="BI163" s="75"/>
      <c r="BJ163" s="76"/>
      <c r="BK163" s="7"/>
    </row>
    <row r="164" spans="1:63" s="329" customFormat="1" x14ac:dyDescent="0.25">
      <c r="A164" s="350"/>
      <c r="B164" s="351">
        <v>19</v>
      </c>
      <c r="C164" s="352"/>
      <c r="D164" s="347" t="s">
        <v>78</v>
      </c>
      <c r="E164" s="353"/>
      <c r="F164" s="353"/>
      <c r="G164" s="353"/>
      <c r="H164" s="353"/>
      <c r="I164" s="353"/>
      <c r="J164" s="354"/>
      <c r="K164" s="355" t="s">
        <v>10</v>
      </c>
      <c r="L164" s="356"/>
      <c r="M164" s="357"/>
      <c r="N164" s="358" t="s">
        <v>5</v>
      </c>
      <c r="O164" s="359" t="s">
        <v>6</v>
      </c>
      <c r="P164" s="351" t="s">
        <v>5</v>
      </c>
      <c r="Q164" s="360"/>
      <c r="R164" s="360"/>
      <c r="S164" s="352"/>
      <c r="T164" s="351" t="s">
        <v>5</v>
      </c>
      <c r="U164" s="360"/>
      <c r="V164" s="360"/>
      <c r="W164" s="352"/>
      <c r="X164" s="361" t="s">
        <v>77</v>
      </c>
      <c r="Y164" s="360"/>
      <c r="Z164" s="352"/>
      <c r="AA164" s="362" t="s">
        <v>7</v>
      </c>
      <c r="AB164" s="363"/>
      <c r="AC164" s="363"/>
      <c r="AD164" s="363"/>
      <c r="AE164" s="363"/>
      <c r="AF164" s="363"/>
      <c r="AG164" s="363"/>
      <c r="AH164" s="364"/>
      <c r="AI164" s="365" t="s">
        <v>7</v>
      </c>
      <c r="AJ164" s="333"/>
      <c r="AK164" s="333"/>
      <c r="AL164" s="333"/>
      <c r="AM164" s="333"/>
      <c r="AN164" s="333"/>
      <c r="AO164" s="333"/>
      <c r="AP164" s="333"/>
      <c r="AQ164" s="334"/>
      <c r="AR164" s="366" t="s">
        <v>5</v>
      </c>
      <c r="AS164" s="366" t="s">
        <v>7</v>
      </c>
      <c r="AT164" s="366" t="s">
        <v>7</v>
      </c>
      <c r="AU164" s="367" t="s">
        <v>5</v>
      </c>
      <c r="AV164" s="368"/>
      <c r="AW164" s="368"/>
      <c r="AX164" s="369"/>
      <c r="AY164" s="367" t="s">
        <v>7</v>
      </c>
      <c r="AZ164" s="368"/>
      <c r="BA164" s="368"/>
      <c r="BB164" s="369"/>
      <c r="BC164" s="335"/>
      <c r="BD164" s="336"/>
      <c r="BE164" s="336"/>
      <c r="BF164" s="336"/>
      <c r="BG164" s="336"/>
      <c r="BH164" s="336"/>
      <c r="BI164" s="336"/>
      <c r="BJ164" s="337"/>
      <c r="BK164" s="370"/>
    </row>
    <row r="165" spans="1:63" s="329" customFormat="1" ht="258" customHeight="1" x14ac:dyDescent="0.25">
      <c r="A165" s="350"/>
      <c r="B165" s="351">
        <v>19.100000000000001</v>
      </c>
      <c r="C165" s="352"/>
      <c r="D165" s="347" t="s">
        <v>79</v>
      </c>
      <c r="E165" s="353"/>
      <c r="F165" s="353"/>
      <c r="G165" s="353"/>
      <c r="H165" s="353"/>
      <c r="I165" s="353"/>
      <c r="J165" s="354"/>
      <c r="K165" s="355" t="s">
        <v>10</v>
      </c>
      <c r="L165" s="356"/>
      <c r="M165" s="357"/>
      <c r="N165" s="371" t="s">
        <v>13</v>
      </c>
      <c r="O165" s="359" t="s">
        <v>5</v>
      </c>
      <c r="P165" s="372" t="s">
        <v>203</v>
      </c>
      <c r="Q165" s="360"/>
      <c r="R165" s="360"/>
      <c r="S165" s="352"/>
      <c r="T165" s="351" t="s">
        <v>80</v>
      </c>
      <c r="U165" s="360"/>
      <c r="V165" s="360"/>
      <c r="W165" s="352"/>
      <c r="X165" s="373" t="s">
        <v>5</v>
      </c>
      <c r="Y165" s="374"/>
      <c r="Z165" s="375"/>
      <c r="AA165" s="376" t="s">
        <v>204</v>
      </c>
      <c r="AB165" s="363"/>
      <c r="AC165" s="363"/>
      <c r="AD165" s="363"/>
      <c r="AE165" s="363"/>
      <c r="AF165" s="363"/>
      <c r="AG165" s="363"/>
      <c r="AH165" s="364"/>
      <c r="AI165" s="365" t="s">
        <v>7</v>
      </c>
      <c r="AJ165" s="333"/>
      <c r="AK165" s="333"/>
      <c r="AL165" s="333"/>
      <c r="AM165" s="333"/>
      <c r="AN165" s="333"/>
      <c r="AO165" s="333"/>
      <c r="AP165" s="333"/>
      <c r="AQ165" s="334"/>
      <c r="AR165" s="366" t="s">
        <v>5</v>
      </c>
      <c r="AS165" s="366" t="s">
        <v>7</v>
      </c>
      <c r="AT165" s="366" t="s">
        <v>7</v>
      </c>
      <c r="AU165" s="367" t="s">
        <v>5</v>
      </c>
      <c r="AV165" s="368"/>
      <c r="AW165" s="368"/>
      <c r="AX165" s="369"/>
      <c r="AY165" s="367" t="s">
        <v>5</v>
      </c>
      <c r="AZ165" s="368"/>
      <c r="BA165" s="368"/>
      <c r="BB165" s="369"/>
      <c r="BC165" s="347" t="s">
        <v>241</v>
      </c>
      <c r="BD165" s="336"/>
      <c r="BE165" s="336"/>
      <c r="BF165" s="336"/>
      <c r="BG165" s="336"/>
      <c r="BH165" s="336"/>
      <c r="BI165" s="336"/>
      <c r="BJ165" s="337"/>
      <c r="BK165" s="370"/>
    </row>
    <row r="166" spans="1:63" s="329" customFormat="1" ht="51.75" customHeight="1" x14ac:dyDescent="0.25">
      <c r="A166" s="350"/>
      <c r="B166" s="351">
        <v>20</v>
      </c>
      <c r="C166" s="352"/>
      <c r="D166" s="347" t="s">
        <v>61</v>
      </c>
      <c r="E166" s="353"/>
      <c r="F166" s="353"/>
      <c r="G166" s="353"/>
      <c r="H166" s="353"/>
      <c r="I166" s="353"/>
      <c r="J166" s="354"/>
      <c r="K166" s="355" t="s">
        <v>10</v>
      </c>
      <c r="L166" s="356"/>
      <c r="M166" s="357"/>
      <c r="N166" s="358" t="s">
        <v>5</v>
      </c>
      <c r="O166" s="359" t="s">
        <v>6</v>
      </c>
      <c r="P166" s="351" t="s">
        <v>5</v>
      </c>
      <c r="Q166" s="360"/>
      <c r="R166" s="360"/>
      <c r="S166" s="352"/>
      <c r="T166" s="351" t="s">
        <v>5</v>
      </c>
      <c r="U166" s="360"/>
      <c r="V166" s="360"/>
      <c r="W166" s="352"/>
      <c r="X166" s="377" t="s">
        <v>81</v>
      </c>
      <c r="Y166" s="378"/>
      <c r="Z166" s="379"/>
      <c r="AA166" s="362" t="s">
        <v>7</v>
      </c>
      <c r="AB166" s="363"/>
      <c r="AC166" s="363"/>
      <c r="AD166" s="363"/>
      <c r="AE166" s="363"/>
      <c r="AF166" s="363"/>
      <c r="AG166" s="363"/>
      <c r="AH166" s="364"/>
      <c r="AI166" s="365" t="s">
        <v>7</v>
      </c>
      <c r="AJ166" s="333"/>
      <c r="AK166" s="333"/>
      <c r="AL166" s="333"/>
      <c r="AM166" s="333"/>
      <c r="AN166" s="333"/>
      <c r="AO166" s="333"/>
      <c r="AP166" s="333"/>
      <c r="AQ166" s="334"/>
      <c r="AR166" s="366" t="s">
        <v>5</v>
      </c>
      <c r="AS166" s="366" t="s">
        <v>7</v>
      </c>
      <c r="AT166" s="366" t="s">
        <v>7</v>
      </c>
      <c r="AU166" s="367" t="s">
        <v>5</v>
      </c>
      <c r="AV166" s="368"/>
      <c r="AW166" s="368"/>
      <c r="AX166" s="369"/>
      <c r="AY166" s="367" t="s">
        <v>7</v>
      </c>
      <c r="AZ166" s="368"/>
      <c r="BA166" s="368"/>
      <c r="BB166" s="369"/>
      <c r="BC166" s="335" t="s">
        <v>7</v>
      </c>
      <c r="BD166" s="336"/>
      <c r="BE166" s="336"/>
      <c r="BF166" s="336"/>
      <c r="BG166" s="336"/>
      <c r="BH166" s="336"/>
      <c r="BI166" s="336"/>
      <c r="BJ166" s="337"/>
      <c r="BK166" s="370"/>
    </row>
    <row r="167" spans="1:63" s="329" customFormat="1" ht="51.75" customHeight="1" x14ac:dyDescent="0.25">
      <c r="A167" s="350"/>
      <c r="B167" s="351">
        <v>20.100000000000001</v>
      </c>
      <c r="C167" s="352"/>
      <c r="D167" s="347" t="s">
        <v>117</v>
      </c>
      <c r="E167" s="353"/>
      <c r="F167" s="353"/>
      <c r="G167" s="353"/>
      <c r="H167" s="353"/>
      <c r="I167" s="353"/>
      <c r="J167" s="354"/>
      <c r="K167" s="355" t="s">
        <v>11</v>
      </c>
      <c r="L167" s="356"/>
      <c r="M167" s="357"/>
      <c r="N167" s="371" t="s">
        <v>3</v>
      </c>
      <c r="O167" s="359" t="s">
        <v>5</v>
      </c>
      <c r="P167" s="351" t="s">
        <v>46</v>
      </c>
      <c r="Q167" s="360"/>
      <c r="R167" s="360"/>
      <c r="S167" s="352"/>
      <c r="T167" s="351" t="s">
        <v>82</v>
      </c>
      <c r="U167" s="360"/>
      <c r="V167" s="360"/>
      <c r="W167" s="352"/>
      <c r="X167" s="373" t="s">
        <v>5</v>
      </c>
      <c r="Y167" s="374"/>
      <c r="Z167" s="375"/>
      <c r="AA167" s="362" t="s">
        <v>7</v>
      </c>
      <c r="AB167" s="363"/>
      <c r="AC167" s="363"/>
      <c r="AD167" s="363"/>
      <c r="AE167" s="363"/>
      <c r="AF167" s="363"/>
      <c r="AG167" s="363"/>
      <c r="AH167" s="364"/>
      <c r="AI167" s="365" t="s">
        <v>7</v>
      </c>
      <c r="AJ167" s="333"/>
      <c r="AK167" s="333"/>
      <c r="AL167" s="333"/>
      <c r="AM167" s="333"/>
      <c r="AN167" s="333"/>
      <c r="AO167" s="333"/>
      <c r="AP167" s="333"/>
      <c r="AQ167" s="334"/>
      <c r="AR167" s="366" t="s">
        <v>5</v>
      </c>
      <c r="AS167" s="371" t="s">
        <v>6</v>
      </c>
      <c r="AT167" s="366" t="s">
        <v>7</v>
      </c>
      <c r="AU167" s="367" t="s">
        <v>83</v>
      </c>
      <c r="AV167" s="368"/>
      <c r="AW167" s="368"/>
      <c r="AX167" s="369"/>
      <c r="AY167" s="367" t="s">
        <v>82</v>
      </c>
      <c r="AZ167" s="368"/>
      <c r="BA167" s="368"/>
      <c r="BB167" s="369"/>
      <c r="BC167" s="347" t="s">
        <v>242</v>
      </c>
      <c r="BD167" s="336"/>
      <c r="BE167" s="336"/>
      <c r="BF167" s="336"/>
      <c r="BG167" s="336"/>
      <c r="BH167" s="336"/>
      <c r="BI167" s="336"/>
      <c r="BJ167" s="337"/>
      <c r="BK167" s="370"/>
    </row>
    <row r="168" spans="1:63" s="329" customFormat="1" ht="111" customHeight="1" x14ac:dyDescent="0.25">
      <c r="A168" s="350"/>
      <c r="B168" s="351">
        <v>21</v>
      </c>
      <c r="C168" s="352"/>
      <c r="D168" s="347" t="s">
        <v>43</v>
      </c>
      <c r="E168" s="353"/>
      <c r="F168" s="353"/>
      <c r="G168" s="353"/>
      <c r="H168" s="353"/>
      <c r="I168" s="353"/>
      <c r="J168" s="354"/>
      <c r="K168" s="355" t="s">
        <v>10</v>
      </c>
      <c r="L168" s="356"/>
      <c r="M168" s="357"/>
      <c r="N168" s="358" t="s">
        <v>5</v>
      </c>
      <c r="O168" s="359" t="s">
        <v>6</v>
      </c>
      <c r="P168" s="351" t="s">
        <v>5</v>
      </c>
      <c r="Q168" s="360"/>
      <c r="R168" s="360"/>
      <c r="S168" s="352"/>
      <c r="T168" s="351" t="s">
        <v>5</v>
      </c>
      <c r="U168" s="360"/>
      <c r="V168" s="360"/>
      <c r="W168" s="352"/>
      <c r="X168" s="377" t="s">
        <v>21</v>
      </c>
      <c r="Y168" s="378"/>
      <c r="Z168" s="379"/>
      <c r="AA168" s="376" t="s">
        <v>205</v>
      </c>
      <c r="AB168" s="363"/>
      <c r="AC168" s="363"/>
      <c r="AD168" s="363"/>
      <c r="AE168" s="363"/>
      <c r="AF168" s="363"/>
      <c r="AG168" s="363"/>
      <c r="AH168" s="364"/>
      <c r="AI168" s="365" t="s">
        <v>7</v>
      </c>
      <c r="AJ168" s="333"/>
      <c r="AK168" s="333"/>
      <c r="AL168" s="333"/>
      <c r="AM168" s="333"/>
      <c r="AN168" s="333"/>
      <c r="AO168" s="333"/>
      <c r="AP168" s="333"/>
      <c r="AQ168" s="334"/>
      <c r="AR168" s="366" t="s">
        <v>5</v>
      </c>
      <c r="AS168" s="366" t="s">
        <v>7</v>
      </c>
      <c r="AT168" s="366" t="s">
        <v>7</v>
      </c>
      <c r="AU168" s="367" t="s">
        <v>46</v>
      </c>
      <c r="AV168" s="368"/>
      <c r="AW168" s="368"/>
      <c r="AX168" s="369"/>
      <c r="AY168" s="373" t="s">
        <v>206</v>
      </c>
      <c r="AZ168" s="368"/>
      <c r="BA168" s="368"/>
      <c r="BB168" s="369"/>
      <c r="BC168" s="335" t="s">
        <v>207</v>
      </c>
      <c r="BD168" s="336"/>
      <c r="BE168" s="336"/>
      <c r="BF168" s="336"/>
      <c r="BG168" s="336"/>
      <c r="BH168" s="336"/>
      <c r="BI168" s="336"/>
      <c r="BJ168" s="337"/>
      <c r="BK168" s="370"/>
    </row>
    <row r="169" spans="1:63" s="329" customFormat="1" ht="148.5" customHeight="1" x14ac:dyDescent="0.25">
      <c r="A169" s="350"/>
      <c r="B169" s="351">
        <v>21.1</v>
      </c>
      <c r="C169" s="352"/>
      <c r="D169" s="380" t="s">
        <v>24</v>
      </c>
      <c r="E169" s="381"/>
      <c r="F169" s="381"/>
      <c r="G169" s="381"/>
      <c r="H169" s="381"/>
      <c r="I169" s="381"/>
      <c r="J169" s="382"/>
      <c r="K169" s="355" t="s">
        <v>11</v>
      </c>
      <c r="L169" s="356"/>
      <c r="M169" s="357"/>
      <c r="N169" s="371" t="s">
        <v>3</v>
      </c>
      <c r="O169" s="359" t="s">
        <v>5</v>
      </c>
      <c r="P169" s="372" t="s">
        <v>208</v>
      </c>
      <c r="Q169" s="360"/>
      <c r="R169" s="360"/>
      <c r="S169" s="352"/>
      <c r="T169" s="351" t="s">
        <v>26</v>
      </c>
      <c r="U169" s="360"/>
      <c r="V169" s="360"/>
      <c r="W169" s="352"/>
      <c r="X169" s="373" t="s">
        <v>5</v>
      </c>
      <c r="Y169" s="374"/>
      <c r="Z169" s="375"/>
      <c r="AA169" s="362" t="s">
        <v>7</v>
      </c>
      <c r="AB169" s="363"/>
      <c r="AC169" s="363"/>
      <c r="AD169" s="363"/>
      <c r="AE169" s="363"/>
      <c r="AF169" s="363"/>
      <c r="AG169" s="363"/>
      <c r="AH169" s="364"/>
      <c r="AI169" s="383" t="s">
        <v>209</v>
      </c>
      <c r="AJ169" s="384"/>
      <c r="AK169" s="384"/>
      <c r="AL169" s="384"/>
      <c r="AM169" s="384"/>
      <c r="AN169" s="384"/>
      <c r="AO169" s="384"/>
      <c r="AP169" s="384"/>
      <c r="AQ169" s="385"/>
      <c r="AR169" s="366" t="s">
        <v>5</v>
      </c>
      <c r="AS169" s="371" t="s">
        <v>6</v>
      </c>
      <c r="AT169" s="366" t="s">
        <v>7</v>
      </c>
      <c r="AU169" s="351" t="s">
        <v>25</v>
      </c>
      <c r="AV169" s="360"/>
      <c r="AW169" s="360"/>
      <c r="AX169" s="352"/>
      <c r="AY169" s="351" t="s">
        <v>33</v>
      </c>
      <c r="AZ169" s="360"/>
      <c r="BA169" s="360"/>
      <c r="BB169" s="352"/>
      <c r="BC169" s="347" t="s">
        <v>210</v>
      </c>
      <c r="BD169" s="336"/>
      <c r="BE169" s="336"/>
      <c r="BF169" s="336"/>
      <c r="BG169" s="336"/>
      <c r="BH169" s="336"/>
      <c r="BI169" s="336"/>
      <c r="BJ169" s="337"/>
      <c r="BK169" s="370"/>
    </row>
    <row r="170" spans="1:63" s="329" customFormat="1" ht="147.75" customHeight="1" x14ac:dyDescent="0.25">
      <c r="A170" s="350"/>
      <c r="B170" s="351">
        <v>21.2</v>
      </c>
      <c r="C170" s="352"/>
      <c r="D170" s="347" t="s">
        <v>21</v>
      </c>
      <c r="E170" s="353"/>
      <c r="F170" s="353"/>
      <c r="G170" s="353"/>
      <c r="H170" s="353"/>
      <c r="I170" s="353"/>
      <c r="J170" s="354"/>
      <c r="K170" s="355" t="s">
        <v>11</v>
      </c>
      <c r="L170" s="356"/>
      <c r="M170" s="357"/>
      <c r="N170" s="371" t="s">
        <v>3</v>
      </c>
      <c r="O170" s="359" t="s">
        <v>5</v>
      </c>
      <c r="P170" s="372" t="s">
        <v>208</v>
      </c>
      <c r="Q170" s="360"/>
      <c r="R170" s="360"/>
      <c r="S170" s="352"/>
      <c r="T170" s="351" t="s">
        <v>26</v>
      </c>
      <c r="U170" s="360"/>
      <c r="V170" s="360"/>
      <c r="W170" s="352"/>
      <c r="X170" s="373" t="s">
        <v>5</v>
      </c>
      <c r="Y170" s="374"/>
      <c r="Z170" s="375"/>
      <c r="AA170" s="362" t="s">
        <v>7</v>
      </c>
      <c r="AB170" s="363"/>
      <c r="AC170" s="363"/>
      <c r="AD170" s="363"/>
      <c r="AE170" s="363"/>
      <c r="AF170" s="363"/>
      <c r="AG170" s="363"/>
      <c r="AH170" s="364"/>
      <c r="AI170" s="383" t="s">
        <v>211</v>
      </c>
      <c r="AJ170" s="384"/>
      <c r="AK170" s="384"/>
      <c r="AL170" s="384"/>
      <c r="AM170" s="384"/>
      <c r="AN170" s="384"/>
      <c r="AO170" s="384"/>
      <c r="AP170" s="384"/>
      <c r="AQ170" s="385"/>
      <c r="AR170" s="366" t="s">
        <v>5</v>
      </c>
      <c r="AS170" s="371" t="s">
        <v>6</v>
      </c>
      <c r="AT170" s="366" t="s">
        <v>7</v>
      </c>
      <c r="AU170" s="351" t="s">
        <v>25</v>
      </c>
      <c r="AV170" s="360"/>
      <c r="AW170" s="360"/>
      <c r="AX170" s="352"/>
      <c r="AY170" s="351" t="s">
        <v>34</v>
      </c>
      <c r="AZ170" s="360"/>
      <c r="BA170" s="360"/>
      <c r="BB170" s="352"/>
      <c r="BC170" s="347" t="s">
        <v>212</v>
      </c>
      <c r="BD170" s="336"/>
      <c r="BE170" s="336"/>
      <c r="BF170" s="336"/>
      <c r="BG170" s="336"/>
      <c r="BH170" s="336"/>
      <c r="BI170" s="336"/>
      <c r="BJ170" s="337"/>
      <c r="BK170" s="370"/>
    </row>
    <row r="171" spans="1:63" s="329" customFormat="1" x14ac:dyDescent="0.25">
      <c r="A171" s="350"/>
      <c r="B171" s="351">
        <v>22</v>
      </c>
      <c r="C171" s="352"/>
      <c r="D171" s="347" t="s">
        <v>27</v>
      </c>
      <c r="E171" s="353"/>
      <c r="F171" s="353"/>
      <c r="G171" s="353"/>
      <c r="H171" s="353"/>
      <c r="I171" s="353"/>
      <c r="J171" s="354"/>
      <c r="K171" s="355" t="s">
        <v>10</v>
      </c>
      <c r="L171" s="356"/>
      <c r="M171" s="357"/>
      <c r="N171" s="358" t="s">
        <v>5</v>
      </c>
      <c r="O171" s="359" t="s">
        <v>6</v>
      </c>
      <c r="P171" s="351" t="s">
        <v>5</v>
      </c>
      <c r="Q171" s="360"/>
      <c r="R171" s="360"/>
      <c r="S171" s="352"/>
      <c r="T171" s="351" t="s">
        <v>5</v>
      </c>
      <c r="U171" s="360"/>
      <c r="V171" s="360"/>
      <c r="W171" s="352"/>
      <c r="X171" s="377" t="s">
        <v>28</v>
      </c>
      <c r="Y171" s="378"/>
      <c r="Z171" s="379"/>
      <c r="AA171" s="362" t="s">
        <v>7</v>
      </c>
      <c r="AB171" s="363"/>
      <c r="AC171" s="363"/>
      <c r="AD171" s="363"/>
      <c r="AE171" s="363"/>
      <c r="AF171" s="363"/>
      <c r="AG171" s="363"/>
      <c r="AH171" s="364"/>
      <c r="AI171" s="365" t="s">
        <v>7</v>
      </c>
      <c r="AJ171" s="333"/>
      <c r="AK171" s="333"/>
      <c r="AL171" s="333"/>
      <c r="AM171" s="333"/>
      <c r="AN171" s="333"/>
      <c r="AO171" s="333"/>
      <c r="AP171" s="333"/>
      <c r="AQ171" s="334"/>
      <c r="AR171" s="366" t="s">
        <v>5</v>
      </c>
      <c r="AS171" s="366" t="s">
        <v>7</v>
      </c>
      <c r="AT171" s="366" t="s">
        <v>7</v>
      </c>
      <c r="AU171" s="367" t="s">
        <v>5</v>
      </c>
      <c r="AV171" s="368"/>
      <c r="AW171" s="368"/>
      <c r="AX171" s="369"/>
      <c r="AY171" s="367" t="s">
        <v>7</v>
      </c>
      <c r="AZ171" s="368"/>
      <c r="BA171" s="368"/>
      <c r="BB171" s="369"/>
      <c r="BC171" s="335" t="s">
        <v>7</v>
      </c>
      <c r="BD171" s="336"/>
      <c r="BE171" s="336"/>
      <c r="BF171" s="336"/>
      <c r="BG171" s="336"/>
      <c r="BH171" s="336"/>
      <c r="BI171" s="336"/>
      <c r="BJ171" s="337"/>
      <c r="BK171" s="370"/>
    </row>
    <row r="172" spans="1:63" s="329" customFormat="1" ht="149.25" customHeight="1" x14ac:dyDescent="0.25">
      <c r="A172" s="350"/>
      <c r="B172" s="351">
        <v>22.1</v>
      </c>
      <c r="C172" s="352"/>
      <c r="D172" s="347" t="s">
        <v>29</v>
      </c>
      <c r="E172" s="353"/>
      <c r="F172" s="353"/>
      <c r="G172" s="353"/>
      <c r="H172" s="353"/>
      <c r="I172" s="353"/>
      <c r="J172" s="354"/>
      <c r="K172" s="355" t="s">
        <v>11</v>
      </c>
      <c r="L172" s="356"/>
      <c r="M172" s="357"/>
      <c r="N172" s="371" t="s">
        <v>3</v>
      </c>
      <c r="O172" s="359" t="s">
        <v>5</v>
      </c>
      <c r="P172" s="372" t="s">
        <v>208</v>
      </c>
      <c r="Q172" s="360"/>
      <c r="R172" s="360"/>
      <c r="S172" s="352"/>
      <c r="T172" s="372" t="s">
        <v>213</v>
      </c>
      <c r="U172" s="360"/>
      <c r="V172" s="360"/>
      <c r="W172" s="352"/>
      <c r="X172" s="373" t="s">
        <v>5</v>
      </c>
      <c r="Y172" s="374"/>
      <c r="Z172" s="375"/>
      <c r="AA172" s="362" t="s">
        <v>7</v>
      </c>
      <c r="AB172" s="363"/>
      <c r="AC172" s="363"/>
      <c r="AD172" s="363"/>
      <c r="AE172" s="363"/>
      <c r="AF172" s="363"/>
      <c r="AG172" s="363"/>
      <c r="AH172" s="364"/>
      <c r="AI172" s="383" t="s">
        <v>214</v>
      </c>
      <c r="AJ172" s="384"/>
      <c r="AK172" s="384"/>
      <c r="AL172" s="384"/>
      <c r="AM172" s="384"/>
      <c r="AN172" s="384"/>
      <c r="AO172" s="384"/>
      <c r="AP172" s="384"/>
      <c r="AQ172" s="385"/>
      <c r="AR172" s="366" t="s">
        <v>5</v>
      </c>
      <c r="AS172" s="371" t="s">
        <v>6</v>
      </c>
      <c r="AT172" s="366" t="s">
        <v>7</v>
      </c>
      <c r="AU172" s="373" t="s">
        <v>215</v>
      </c>
      <c r="AV172" s="368"/>
      <c r="AW172" s="368"/>
      <c r="AX172" s="369"/>
      <c r="AY172" s="373" t="s">
        <v>216</v>
      </c>
      <c r="AZ172" s="368"/>
      <c r="BA172" s="368"/>
      <c r="BB172" s="369"/>
      <c r="BC172" s="347" t="s">
        <v>217</v>
      </c>
      <c r="BD172" s="336"/>
      <c r="BE172" s="336"/>
      <c r="BF172" s="336"/>
      <c r="BG172" s="336"/>
      <c r="BH172" s="336"/>
      <c r="BI172" s="336"/>
      <c r="BJ172" s="337"/>
      <c r="BK172" s="370"/>
    </row>
    <row r="173" spans="1:63" s="329" customFormat="1" x14ac:dyDescent="0.25">
      <c r="A173" s="350"/>
      <c r="B173" s="351">
        <v>23</v>
      </c>
      <c r="C173" s="352"/>
      <c r="D173" s="380" t="s">
        <v>31</v>
      </c>
      <c r="E173" s="381"/>
      <c r="F173" s="381"/>
      <c r="G173" s="381"/>
      <c r="H173" s="381"/>
      <c r="I173" s="381"/>
      <c r="J173" s="382"/>
      <c r="K173" s="355" t="s">
        <v>10</v>
      </c>
      <c r="L173" s="356"/>
      <c r="M173" s="357"/>
      <c r="N173" s="358" t="s">
        <v>5</v>
      </c>
      <c r="O173" s="359" t="s">
        <v>6</v>
      </c>
      <c r="P173" s="351" t="s">
        <v>5</v>
      </c>
      <c r="Q173" s="360"/>
      <c r="R173" s="360"/>
      <c r="S173" s="352"/>
      <c r="T173" s="351" t="s">
        <v>5</v>
      </c>
      <c r="U173" s="360"/>
      <c r="V173" s="360"/>
      <c r="W173" s="352"/>
      <c r="X173" s="361" t="s">
        <v>30</v>
      </c>
      <c r="Y173" s="360"/>
      <c r="Z173" s="352"/>
      <c r="AA173" s="362" t="s">
        <v>7</v>
      </c>
      <c r="AB173" s="363"/>
      <c r="AC173" s="363"/>
      <c r="AD173" s="363"/>
      <c r="AE173" s="363"/>
      <c r="AF173" s="363"/>
      <c r="AG173" s="363"/>
      <c r="AH173" s="364"/>
      <c r="AI173" s="365" t="s">
        <v>7</v>
      </c>
      <c r="AJ173" s="333"/>
      <c r="AK173" s="333"/>
      <c r="AL173" s="333"/>
      <c r="AM173" s="333"/>
      <c r="AN173" s="333"/>
      <c r="AO173" s="333"/>
      <c r="AP173" s="333"/>
      <c r="AQ173" s="334"/>
      <c r="AR173" s="366" t="s">
        <v>5</v>
      </c>
      <c r="AS173" s="366" t="s">
        <v>7</v>
      </c>
      <c r="AT173" s="366" t="s">
        <v>7</v>
      </c>
      <c r="AU173" s="367" t="s">
        <v>5</v>
      </c>
      <c r="AV173" s="368"/>
      <c r="AW173" s="368"/>
      <c r="AX173" s="369"/>
      <c r="AY173" s="367" t="s">
        <v>7</v>
      </c>
      <c r="AZ173" s="368"/>
      <c r="BA173" s="368"/>
      <c r="BB173" s="369"/>
      <c r="BC173" s="335" t="s">
        <v>7</v>
      </c>
      <c r="BD173" s="336"/>
      <c r="BE173" s="336"/>
      <c r="BF173" s="336"/>
      <c r="BG173" s="336"/>
      <c r="BH173" s="336"/>
      <c r="BI173" s="336"/>
      <c r="BJ173" s="337"/>
      <c r="BK173" s="370"/>
    </row>
    <row r="174" spans="1:63" s="329" customFormat="1" ht="159" customHeight="1" x14ac:dyDescent="0.25">
      <c r="A174" s="350"/>
      <c r="B174" s="351">
        <v>23.1</v>
      </c>
      <c r="C174" s="352"/>
      <c r="D174" s="380" t="s">
        <v>32</v>
      </c>
      <c r="E174" s="381"/>
      <c r="F174" s="381"/>
      <c r="G174" s="381"/>
      <c r="H174" s="381"/>
      <c r="I174" s="381"/>
      <c r="J174" s="382"/>
      <c r="K174" s="355" t="s">
        <v>10</v>
      </c>
      <c r="L174" s="356"/>
      <c r="M174" s="357"/>
      <c r="N174" s="371" t="s">
        <v>13</v>
      </c>
      <c r="O174" s="359" t="s">
        <v>5</v>
      </c>
      <c r="P174" s="372" t="s">
        <v>208</v>
      </c>
      <c r="Q174" s="360"/>
      <c r="R174" s="360"/>
      <c r="S174" s="352"/>
      <c r="T174" s="372" t="s">
        <v>218</v>
      </c>
      <c r="U174" s="360"/>
      <c r="V174" s="360"/>
      <c r="W174" s="352"/>
      <c r="X174" s="373" t="s">
        <v>5</v>
      </c>
      <c r="Y174" s="374"/>
      <c r="Z174" s="375"/>
      <c r="AA174" s="362" t="s">
        <v>7</v>
      </c>
      <c r="AB174" s="363"/>
      <c r="AC174" s="363"/>
      <c r="AD174" s="363"/>
      <c r="AE174" s="363"/>
      <c r="AF174" s="363"/>
      <c r="AG174" s="363"/>
      <c r="AH174" s="364"/>
      <c r="AI174" s="365" t="s">
        <v>7</v>
      </c>
      <c r="AJ174" s="333"/>
      <c r="AK174" s="333"/>
      <c r="AL174" s="333"/>
      <c r="AM174" s="333"/>
      <c r="AN174" s="333"/>
      <c r="AO174" s="333"/>
      <c r="AP174" s="333"/>
      <c r="AQ174" s="334"/>
      <c r="AR174" s="366" t="s">
        <v>5</v>
      </c>
      <c r="AS174" s="366" t="s">
        <v>7</v>
      </c>
      <c r="AT174" s="366" t="s">
        <v>7</v>
      </c>
      <c r="AU174" s="367" t="s">
        <v>5</v>
      </c>
      <c r="AV174" s="368"/>
      <c r="AW174" s="368"/>
      <c r="AX174" s="369"/>
      <c r="AY174" s="367" t="s">
        <v>7</v>
      </c>
      <c r="AZ174" s="368"/>
      <c r="BA174" s="368"/>
      <c r="BB174" s="369"/>
      <c r="BC174" s="347" t="s">
        <v>219</v>
      </c>
      <c r="BD174" s="336"/>
      <c r="BE174" s="336"/>
      <c r="BF174" s="336"/>
      <c r="BG174" s="336"/>
      <c r="BH174" s="336"/>
      <c r="BI174" s="336"/>
      <c r="BJ174" s="337"/>
      <c r="BK174" s="370"/>
    </row>
    <row r="175" spans="1:63" s="329" customFormat="1" ht="107.25" customHeight="1" x14ac:dyDescent="0.25">
      <c r="A175" s="350"/>
      <c r="B175" s="351">
        <v>24</v>
      </c>
      <c r="C175" s="352"/>
      <c r="D175" s="386" t="s">
        <v>86</v>
      </c>
      <c r="E175" s="387"/>
      <c r="F175" s="387"/>
      <c r="G175" s="387"/>
      <c r="H175" s="387"/>
      <c r="I175" s="387"/>
      <c r="J175" s="388"/>
      <c r="K175" s="355" t="s">
        <v>10</v>
      </c>
      <c r="L175" s="356"/>
      <c r="M175" s="357"/>
      <c r="N175" s="358" t="s">
        <v>5</v>
      </c>
      <c r="O175" s="359" t="s">
        <v>6</v>
      </c>
      <c r="P175" s="351" t="s">
        <v>5</v>
      </c>
      <c r="Q175" s="360"/>
      <c r="R175" s="360"/>
      <c r="S175" s="352"/>
      <c r="T175" s="351" t="s">
        <v>5</v>
      </c>
      <c r="U175" s="360"/>
      <c r="V175" s="360"/>
      <c r="W175" s="352"/>
      <c r="X175" s="377" t="s">
        <v>88</v>
      </c>
      <c r="Y175" s="378"/>
      <c r="Z175" s="379"/>
      <c r="AA175" s="376" t="s">
        <v>220</v>
      </c>
      <c r="AB175" s="363"/>
      <c r="AC175" s="363"/>
      <c r="AD175" s="363"/>
      <c r="AE175" s="363"/>
      <c r="AF175" s="363"/>
      <c r="AG175" s="363"/>
      <c r="AH175" s="364"/>
      <c r="AI175" s="365" t="s">
        <v>7</v>
      </c>
      <c r="AJ175" s="333"/>
      <c r="AK175" s="333"/>
      <c r="AL175" s="333"/>
      <c r="AM175" s="333"/>
      <c r="AN175" s="333"/>
      <c r="AO175" s="333"/>
      <c r="AP175" s="333"/>
      <c r="AQ175" s="334"/>
      <c r="AR175" s="366" t="s">
        <v>5</v>
      </c>
      <c r="AS175" s="366" t="s">
        <v>7</v>
      </c>
      <c r="AT175" s="366" t="s">
        <v>7</v>
      </c>
      <c r="AU175" s="367" t="s">
        <v>5</v>
      </c>
      <c r="AV175" s="368"/>
      <c r="AW175" s="368"/>
      <c r="AX175" s="369"/>
      <c r="AY175" s="367" t="s">
        <v>7</v>
      </c>
      <c r="AZ175" s="368"/>
      <c r="BA175" s="368"/>
      <c r="BB175" s="369"/>
      <c r="BC175" s="335" t="s">
        <v>7</v>
      </c>
      <c r="BD175" s="336"/>
      <c r="BE175" s="336"/>
      <c r="BF175" s="336"/>
      <c r="BG175" s="336"/>
      <c r="BH175" s="336"/>
      <c r="BI175" s="336"/>
      <c r="BJ175" s="337"/>
      <c r="BK175" s="370"/>
    </row>
    <row r="176" spans="1:63" s="329" customFormat="1" ht="123" customHeight="1" x14ac:dyDescent="0.25">
      <c r="A176" s="350"/>
      <c r="B176" s="351">
        <v>24.1</v>
      </c>
      <c r="C176" s="352"/>
      <c r="D176" s="386" t="s">
        <v>87</v>
      </c>
      <c r="E176" s="387"/>
      <c r="F176" s="387"/>
      <c r="G176" s="387"/>
      <c r="H176" s="387"/>
      <c r="I176" s="387"/>
      <c r="J176" s="388"/>
      <c r="K176" s="355" t="s">
        <v>11</v>
      </c>
      <c r="L176" s="356"/>
      <c r="M176" s="357"/>
      <c r="N176" s="371" t="s">
        <v>3</v>
      </c>
      <c r="O176" s="359" t="s">
        <v>5</v>
      </c>
      <c r="P176" s="351" t="s">
        <v>46</v>
      </c>
      <c r="Q176" s="360"/>
      <c r="R176" s="360"/>
      <c r="S176" s="352"/>
      <c r="T176" s="372" t="s">
        <v>221</v>
      </c>
      <c r="U176" s="360"/>
      <c r="V176" s="360"/>
      <c r="W176" s="352"/>
      <c r="X176" s="373" t="s">
        <v>5</v>
      </c>
      <c r="Y176" s="374"/>
      <c r="Z176" s="375"/>
      <c r="AA176" s="362" t="s">
        <v>7</v>
      </c>
      <c r="AB176" s="363"/>
      <c r="AC176" s="363"/>
      <c r="AD176" s="363"/>
      <c r="AE176" s="363"/>
      <c r="AF176" s="363"/>
      <c r="AG176" s="363"/>
      <c r="AH176" s="364"/>
      <c r="AI176" s="365" t="s">
        <v>7</v>
      </c>
      <c r="AJ176" s="333"/>
      <c r="AK176" s="333"/>
      <c r="AL176" s="333"/>
      <c r="AM176" s="333"/>
      <c r="AN176" s="333"/>
      <c r="AO176" s="333"/>
      <c r="AP176" s="333"/>
      <c r="AQ176" s="334"/>
      <c r="AR176" s="371" t="s">
        <v>6</v>
      </c>
      <c r="AS176" s="371" t="s">
        <v>6</v>
      </c>
      <c r="AT176" s="366" t="s">
        <v>7</v>
      </c>
      <c r="AU176" s="351" t="s">
        <v>83</v>
      </c>
      <c r="AV176" s="360"/>
      <c r="AW176" s="360"/>
      <c r="AX176" s="352"/>
      <c r="AY176" s="351" t="s">
        <v>85</v>
      </c>
      <c r="AZ176" s="360"/>
      <c r="BA176" s="360"/>
      <c r="BB176" s="352"/>
      <c r="BC176" s="347" t="s">
        <v>222</v>
      </c>
      <c r="BD176" s="336"/>
      <c r="BE176" s="336"/>
      <c r="BF176" s="336"/>
      <c r="BG176" s="336"/>
      <c r="BH176" s="336"/>
      <c r="BI176" s="336"/>
      <c r="BJ176" s="337"/>
      <c r="BK176" s="370"/>
    </row>
    <row r="177" spans="1:63" s="329" customFormat="1" ht="117.75" customHeight="1" x14ac:dyDescent="0.25">
      <c r="A177" s="350"/>
      <c r="B177" s="351">
        <v>25</v>
      </c>
      <c r="C177" s="352"/>
      <c r="D177" s="347" t="s">
        <v>110</v>
      </c>
      <c r="E177" s="353"/>
      <c r="F177" s="353"/>
      <c r="G177" s="353"/>
      <c r="H177" s="353"/>
      <c r="I177" s="353"/>
      <c r="J177" s="354"/>
      <c r="K177" s="355" t="s">
        <v>10</v>
      </c>
      <c r="L177" s="356"/>
      <c r="M177" s="357"/>
      <c r="N177" s="358" t="s">
        <v>5</v>
      </c>
      <c r="O177" s="359" t="s">
        <v>6</v>
      </c>
      <c r="P177" s="351" t="s">
        <v>5</v>
      </c>
      <c r="Q177" s="360"/>
      <c r="R177" s="360"/>
      <c r="S177" s="352"/>
      <c r="T177" s="351" t="s">
        <v>5</v>
      </c>
      <c r="U177" s="360"/>
      <c r="V177" s="360"/>
      <c r="W177" s="352"/>
      <c r="X177" s="377" t="s">
        <v>111</v>
      </c>
      <c r="Y177" s="378"/>
      <c r="Z177" s="379"/>
      <c r="AA177" s="376" t="s">
        <v>223</v>
      </c>
      <c r="AB177" s="363"/>
      <c r="AC177" s="363"/>
      <c r="AD177" s="363"/>
      <c r="AE177" s="363"/>
      <c r="AF177" s="363"/>
      <c r="AG177" s="363"/>
      <c r="AH177" s="364"/>
      <c r="AI177" s="365" t="s">
        <v>7</v>
      </c>
      <c r="AJ177" s="333"/>
      <c r="AK177" s="333"/>
      <c r="AL177" s="333"/>
      <c r="AM177" s="333"/>
      <c r="AN177" s="333"/>
      <c r="AO177" s="333"/>
      <c r="AP177" s="333"/>
      <c r="AQ177" s="334"/>
      <c r="AR177" s="366" t="s">
        <v>5</v>
      </c>
      <c r="AS177" s="366" t="s">
        <v>7</v>
      </c>
      <c r="AT177" s="366" t="s">
        <v>7</v>
      </c>
      <c r="AU177" s="367" t="s">
        <v>5</v>
      </c>
      <c r="AV177" s="368"/>
      <c r="AW177" s="368"/>
      <c r="AX177" s="369"/>
      <c r="AY177" s="367" t="s">
        <v>7</v>
      </c>
      <c r="AZ177" s="368"/>
      <c r="BA177" s="368"/>
      <c r="BB177" s="369"/>
      <c r="BC177" s="335" t="s">
        <v>7</v>
      </c>
      <c r="BD177" s="336"/>
      <c r="BE177" s="336"/>
      <c r="BF177" s="336"/>
      <c r="BG177" s="336"/>
      <c r="BH177" s="336"/>
      <c r="BI177" s="336"/>
      <c r="BJ177" s="337"/>
      <c r="BK177" s="370"/>
    </row>
    <row r="178" spans="1:63" s="329" customFormat="1" ht="140.25" customHeight="1" x14ac:dyDescent="0.25">
      <c r="A178" s="350"/>
      <c r="B178" s="351">
        <v>25.1</v>
      </c>
      <c r="C178" s="352"/>
      <c r="D178" s="347" t="s">
        <v>112</v>
      </c>
      <c r="E178" s="353"/>
      <c r="F178" s="353"/>
      <c r="G178" s="353"/>
      <c r="H178" s="353"/>
      <c r="I178" s="353"/>
      <c r="J178" s="354"/>
      <c r="K178" s="355" t="s">
        <v>10</v>
      </c>
      <c r="L178" s="356"/>
      <c r="M178" s="357"/>
      <c r="N178" s="371" t="s">
        <v>13</v>
      </c>
      <c r="O178" s="359" t="s">
        <v>5</v>
      </c>
      <c r="P178" s="372" t="s">
        <v>208</v>
      </c>
      <c r="Q178" s="360"/>
      <c r="R178" s="360"/>
      <c r="S178" s="352"/>
      <c r="T178" s="372" t="s">
        <v>224</v>
      </c>
      <c r="U178" s="360"/>
      <c r="V178" s="360"/>
      <c r="W178" s="352"/>
      <c r="X178" s="373" t="s">
        <v>5</v>
      </c>
      <c r="Y178" s="374"/>
      <c r="Z178" s="375"/>
      <c r="AA178" s="376" t="s">
        <v>225</v>
      </c>
      <c r="AB178" s="363"/>
      <c r="AC178" s="363"/>
      <c r="AD178" s="363"/>
      <c r="AE178" s="363"/>
      <c r="AF178" s="363"/>
      <c r="AG178" s="363"/>
      <c r="AH178" s="364"/>
      <c r="AI178" s="365" t="s">
        <v>7</v>
      </c>
      <c r="AJ178" s="333"/>
      <c r="AK178" s="333"/>
      <c r="AL178" s="333"/>
      <c r="AM178" s="333"/>
      <c r="AN178" s="333"/>
      <c r="AO178" s="333"/>
      <c r="AP178" s="333"/>
      <c r="AQ178" s="334"/>
      <c r="AR178" s="366" t="s">
        <v>5</v>
      </c>
      <c r="AS178" s="366" t="s">
        <v>7</v>
      </c>
      <c r="AT178" s="366" t="s">
        <v>7</v>
      </c>
      <c r="AU178" s="367" t="s">
        <v>5</v>
      </c>
      <c r="AV178" s="368"/>
      <c r="AW178" s="368"/>
      <c r="AX178" s="369"/>
      <c r="AY178" s="367" t="s">
        <v>7</v>
      </c>
      <c r="AZ178" s="368"/>
      <c r="BA178" s="368"/>
      <c r="BB178" s="369"/>
      <c r="BC178" s="347" t="s">
        <v>84</v>
      </c>
      <c r="BD178" s="336"/>
      <c r="BE178" s="336"/>
      <c r="BF178" s="336"/>
      <c r="BG178" s="336"/>
      <c r="BH178" s="336"/>
      <c r="BI178" s="336"/>
      <c r="BJ178" s="337"/>
      <c r="BK178" s="370"/>
    </row>
    <row r="179" spans="1:63" s="329" customFormat="1" x14ac:dyDescent="0.25">
      <c r="A179" s="350"/>
      <c r="B179" s="351">
        <v>26</v>
      </c>
      <c r="C179" s="352"/>
      <c r="D179" s="380" t="s">
        <v>90</v>
      </c>
      <c r="E179" s="381"/>
      <c r="F179" s="381"/>
      <c r="G179" s="381"/>
      <c r="H179" s="381"/>
      <c r="I179" s="381"/>
      <c r="J179" s="382"/>
      <c r="K179" s="355" t="s">
        <v>10</v>
      </c>
      <c r="L179" s="356"/>
      <c r="M179" s="357"/>
      <c r="N179" s="358" t="s">
        <v>5</v>
      </c>
      <c r="O179" s="359" t="s">
        <v>6</v>
      </c>
      <c r="P179" s="351" t="s">
        <v>5</v>
      </c>
      <c r="Q179" s="360"/>
      <c r="R179" s="360"/>
      <c r="S179" s="352"/>
      <c r="T179" s="351" t="s">
        <v>5</v>
      </c>
      <c r="U179" s="360"/>
      <c r="V179" s="360"/>
      <c r="W179" s="352"/>
      <c r="X179" s="361" t="s">
        <v>91</v>
      </c>
      <c r="Y179" s="360"/>
      <c r="Z179" s="352"/>
      <c r="AA179" s="362" t="s">
        <v>7</v>
      </c>
      <c r="AB179" s="363"/>
      <c r="AC179" s="363"/>
      <c r="AD179" s="363"/>
      <c r="AE179" s="363"/>
      <c r="AF179" s="363"/>
      <c r="AG179" s="363"/>
      <c r="AH179" s="364"/>
      <c r="AI179" s="365" t="s">
        <v>7</v>
      </c>
      <c r="AJ179" s="333"/>
      <c r="AK179" s="333"/>
      <c r="AL179" s="333"/>
      <c r="AM179" s="333"/>
      <c r="AN179" s="333"/>
      <c r="AO179" s="333"/>
      <c r="AP179" s="333"/>
      <c r="AQ179" s="334"/>
      <c r="AR179" s="366" t="s">
        <v>5</v>
      </c>
      <c r="AS179" s="366" t="s">
        <v>7</v>
      </c>
      <c r="AT179" s="366" t="s">
        <v>7</v>
      </c>
      <c r="AU179" s="367" t="s">
        <v>5</v>
      </c>
      <c r="AV179" s="368"/>
      <c r="AW179" s="368"/>
      <c r="AX179" s="369"/>
      <c r="AY179" s="367" t="s">
        <v>7</v>
      </c>
      <c r="AZ179" s="368"/>
      <c r="BA179" s="368"/>
      <c r="BB179" s="369"/>
      <c r="BC179" s="335" t="s">
        <v>7</v>
      </c>
      <c r="BD179" s="336"/>
      <c r="BE179" s="336"/>
      <c r="BF179" s="336"/>
      <c r="BG179" s="336"/>
      <c r="BH179" s="336"/>
      <c r="BI179" s="336"/>
      <c r="BJ179" s="337"/>
      <c r="BK179" s="370"/>
    </row>
    <row r="180" spans="1:63" s="329" customFormat="1" ht="86.25" customHeight="1" x14ac:dyDescent="0.25">
      <c r="A180" s="350"/>
      <c r="B180" s="351">
        <v>26.1</v>
      </c>
      <c r="C180" s="352"/>
      <c r="D180" s="380" t="s">
        <v>74</v>
      </c>
      <c r="E180" s="381"/>
      <c r="F180" s="381"/>
      <c r="G180" s="381"/>
      <c r="H180" s="381"/>
      <c r="I180" s="381"/>
      <c r="J180" s="382"/>
      <c r="K180" s="355" t="s">
        <v>11</v>
      </c>
      <c r="L180" s="356"/>
      <c r="M180" s="357"/>
      <c r="N180" s="371" t="s">
        <v>3</v>
      </c>
      <c r="O180" s="359" t="s">
        <v>5</v>
      </c>
      <c r="P180" s="372" t="s">
        <v>46</v>
      </c>
      <c r="Q180" s="378"/>
      <c r="R180" s="378"/>
      <c r="S180" s="379"/>
      <c r="T180" s="367" t="s">
        <v>101</v>
      </c>
      <c r="U180" s="368"/>
      <c r="V180" s="368"/>
      <c r="W180" s="369"/>
      <c r="X180" s="373" t="s">
        <v>5</v>
      </c>
      <c r="Y180" s="374"/>
      <c r="Z180" s="375"/>
      <c r="AA180" s="362" t="s">
        <v>7</v>
      </c>
      <c r="AB180" s="363"/>
      <c r="AC180" s="363"/>
      <c r="AD180" s="363"/>
      <c r="AE180" s="363"/>
      <c r="AF180" s="363"/>
      <c r="AG180" s="363"/>
      <c r="AH180" s="364"/>
      <c r="AI180" s="365" t="s">
        <v>7</v>
      </c>
      <c r="AJ180" s="333"/>
      <c r="AK180" s="333"/>
      <c r="AL180" s="333"/>
      <c r="AM180" s="333"/>
      <c r="AN180" s="333"/>
      <c r="AO180" s="333"/>
      <c r="AP180" s="333"/>
      <c r="AQ180" s="334"/>
      <c r="AR180" s="366" t="s">
        <v>5</v>
      </c>
      <c r="AS180" s="366" t="s">
        <v>7</v>
      </c>
      <c r="AT180" s="366" t="s">
        <v>7</v>
      </c>
      <c r="AU180" s="367" t="s">
        <v>83</v>
      </c>
      <c r="AV180" s="368"/>
      <c r="AW180" s="368"/>
      <c r="AX180" s="369"/>
      <c r="AY180" s="367" t="s">
        <v>101</v>
      </c>
      <c r="AZ180" s="368"/>
      <c r="BA180" s="368"/>
      <c r="BB180" s="369"/>
      <c r="BC180" s="347" t="s">
        <v>92</v>
      </c>
      <c r="BD180" s="336"/>
      <c r="BE180" s="336"/>
      <c r="BF180" s="336"/>
      <c r="BG180" s="336"/>
      <c r="BH180" s="336"/>
      <c r="BI180" s="336"/>
      <c r="BJ180" s="337"/>
      <c r="BK180" s="370"/>
    </row>
    <row r="181" spans="1:63" s="329" customFormat="1" ht="113.25" customHeight="1" x14ac:dyDescent="0.25">
      <c r="A181" s="350"/>
      <c r="B181" s="351">
        <v>27</v>
      </c>
      <c r="C181" s="352"/>
      <c r="D181" s="380" t="s">
        <v>93</v>
      </c>
      <c r="E181" s="381"/>
      <c r="F181" s="381"/>
      <c r="G181" s="381"/>
      <c r="H181" s="381"/>
      <c r="I181" s="381"/>
      <c r="J181" s="382"/>
      <c r="K181" s="355" t="s">
        <v>10</v>
      </c>
      <c r="L181" s="356"/>
      <c r="M181" s="357"/>
      <c r="N181" s="358" t="s">
        <v>5</v>
      </c>
      <c r="O181" s="359" t="s">
        <v>6</v>
      </c>
      <c r="P181" s="351" t="s">
        <v>5</v>
      </c>
      <c r="Q181" s="360"/>
      <c r="R181" s="360"/>
      <c r="S181" s="352"/>
      <c r="T181" s="351" t="s">
        <v>5</v>
      </c>
      <c r="U181" s="360"/>
      <c r="V181" s="360"/>
      <c r="W181" s="352"/>
      <c r="X181" s="361" t="s">
        <v>97</v>
      </c>
      <c r="Y181" s="360"/>
      <c r="Z181" s="352"/>
      <c r="AA181" s="376" t="s">
        <v>205</v>
      </c>
      <c r="AB181" s="363"/>
      <c r="AC181" s="363"/>
      <c r="AD181" s="363"/>
      <c r="AE181" s="363"/>
      <c r="AF181" s="363"/>
      <c r="AG181" s="363"/>
      <c r="AH181" s="364"/>
      <c r="AI181" s="365" t="s">
        <v>7</v>
      </c>
      <c r="AJ181" s="333"/>
      <c r="AK181" s="333"/>
      <c r="AL181" s="333"/>
      <c r="AM181" s="333"/>
      <c r="AN181" s="333"/>
      <c r="AO181" s="333"/>
      <c r="AP181" s="333"/>
      <c r="AQ181" s="334"/>
      <c r="AR181" s="366" t="s">
        <v>5</v>
      </c>
      <c r="AS181" s="366" t="s">
        <v>7</v>
      </c>
      <c r="AT181" s="366" t="s">
        <v>7</v>
      </c>
      <c r="AU181" s="367" t="s">
        <v>46</v>
      </c>
      <c r="AV181" s="368"/>
      <c r="AW181" s="368"/>
      <c r="AX181" s="369"/>
      <c r="AY181" s="373" t="s">
        <v>206</v>
      </c>
      <c r="AZ181" s="368"/>
      <c r="BA181" s="368"/>
      <c r="BB181" s="369"/>
      <c r="BC181" s="335" t="s">
        <v>207</v>
      </c>
      <c r="BD181" s="336"/>
      <c r="BE181" s="336"/>
      <c r="BF181" s="336"/>
      <c r="BG181" s="336"/>
      <c r="BH181" s="336"/>
      <c r="BI181" s="336"/>
      <c r="BJ181" s="337"/>
      <c r="BK181" s="370"/>
    </row>
    <row r="182" spans="1:63" s="329" customFormat="1" ht="166.5" customHeight="1" x14ac:dyDescent="0.25">
      <c r="A182" s="350"/>
      <c r="B182" s="351">
        <v>27.1</v>
      </c>
      <c r="C182" s="352"/>
      <c r="D182" s="380" t="s">
        <v>94</v>
      </c>
      <c r="E182" s="381"/>
      <c r="F182" s="381"/>
      <c r="G182" s="381"/>
      <c r="H182" s="381"/>
      <c r="I182" s="381"/>
      <c r="J182" s="382"/>
      <c r="K182" s="355" t="s">
        <v>11</v>
      </c>
      <c r="L182" s="356"/>
      <c r="M182" s="357"/>
      <c r="N182" s="371" t="s">
        <v>3</v>
      </c>
      <c r="O182" s="359" t="s">
        <v>5</v>
      </c>
      <c r="P182" s="372" t="s">
        <v>46</v>
      </c>
      <c r="Q182" s="378"/>
      <c r="R182" s="378"/>
      <c r="S182" s="379"/>
      <c r="T182" s="351" t="s">
        <v>54</v>
      </c>
      <c r="U182" s="360"/>
      <c r="V182" s="360"/>
      <c r="W182" s="352"/>
      <c r="X182" s="389" t="s">
        <v>226</v>
      </c>
      <c r="Y182" s="390"/>
      <c r="Z182" s="391"/>
      <c r="AA182" s="362" t="s">
        <v>7</v>
      </c>
      <c r="AB182" s="363"/>
      <c r="AC182" s="363"/>
      <c r="AD182" s="363"/>
      <c r="AE182" s="363"/>
      <c r="AF182" s="363"/>
      <c r="AG182" s="363"/>
      <c r="AH182" s="364"/>
      <c r="AI182" s="365" t="s">
        <v>7</v>
      </c>
      <c r="AJ182" s="333"/>
      <c r="AK182" s="333"/>
      <c r="AL182" s="333"/>
      <c r="AM182" s="333"/>
      <c r="AN182" s="333"/>
      <c r="AO182" s="333"/>
      <c r="AP182" s="333"/>
      <c r="AQ182" s="334"/>
      <c r="AR182" s="366" t="s">
        <v>5</v>
      </c>
      <c r="AS182" s="366" t="s">
        <v>7</v>
      </c>
      <c r="AT182" s="366" t="s">
        <v>7</v>
      </c>
      <c r="AU182" s="367" t="s">
        <v>83</v>
      </c>
      <c r="AV182" s="368"/>
      <c r="AW182" s="368"/>
      <c r="AX182" s="369"/>
      <c r="AY182" s="367" t="s">
        <v>114</v>
      </c>
      <c r="AZ182" s="368"/>
      <c r="BA182" s="368"/>
      <c r="BB182" s="369"/>
      <c r="BC182" s="347" t="s">
        <v>227</v>
      </c>
      <c r="BD182" s="336"/>
      <c r="BE182" s="336"/>
      <c r="BF182" s="336"/>
      <c r="BG182" s="336"/>
      <c r="BH182" s="336"/>
      <c r="BI182" s="336"/>
      <c r="BJ182" s="337"/>
      <c r="BK182" s="370"/>
    </row>
    <row r="183" spans="1:63" s="329" customFormat="1" x14ac:dyDescent="0.25">
      <c r="A183" s="350"/>
      <c r="B183" s="351">
        <v>28</v>
      </c>
      <c r="C183" s="352"/>
      <c r="D183" s="380" t="s">
        <v>95</v>
      </c>
      <c r="E183" s="381"/>
      <c r="F183" s="381"/>
      <c r="G183" s="381"/>
      <c r="H183" s="381"/>
      <c r="I183" s="381"/>
      <c r="J183" s="382"/>
      <c r="K183" s="355" t="s">
        <v>10</v>
      </c>
      <c r="L183" s="356"/>
      <c r="M183" s="357"/>
      <c r="N183" s="358" t="s">
        <v>5</v>
      </c>
      <c r="O183" s="359" t="s">
        <v>6</v>
      </c>
      <c r="P183" s="351" t="s">
        <v>5</v>
      </c>
      <c r="Q183" s="360"/>
      <c r="R183" s="360"/>
      <c r="S183" s="352"/>
      <c r="T183" s="351" t="s">
        <v>5</v>
      </c>
      <c r="U183" s="360"/>
      <c r="V183" s="360"/>
      <c r="W183" s="352"/>
      <c r="X183" s="361" t="s">
        <v>98</v>
      </c>
      <c r="Y183" s="360"/>
      <c r="Z183" s="352"/>
      <c r="AA183" s="362" t="s">
        <v>7</v>
      </c>
      <c r="AB183" s="363"/>
      <c r="AC183" s="363"/>
      <c r="AD183" s="363"/>
      <c r="AE183" s="363"/>
      <c r="AF183" s="363"/>
      <c r="AG183" s="363"/>
      <c r="AH183" s="364"/>
      <c r="AI183" s="365" t="s">
        <v>7</v>
      </c>
      <c r="AJ183" s="333"/>
      <c r="AK183" s="333"/>
      <c r="AL183" s="333"/>
      <c r="AM183" s="333"/>
      <c r="AN183" s="333"/>
      <c r="AO183" s="333"/>
      <c r="AP183" s="333"/>
      <c r="AQ183" s="334"/>
      <c r="AR183" s="366" t="s">
        <v>5</v>
      </c>
      <c r="AS183" s="366" t="s">
        <v>7</v>
      </c>
      <c r="AT183" s="366" t="s">
        <v>7</v>
      </c>
      <c r="AU183" s="367" t="s">
        <v>5</v>
      </c>
      <c r="AV183" s="368"/>
      <c r="AW183" s="368"/>
      <c r="AX183" s="369"/>
      <c r="AY183" s="367" t="s">
        <v>7</v>
      </c>
      <c r="AZ183" s="368"/>
      <c r="BA183" s="368"/>
      <c r="BB183" s="369"/>
      <c r="BC183" s="335" t="s">
        <v>7</v>
      </c>
      <c r="BD183" s="336"/>
      <c r="BE183" s="336"/>
      <c r="BF183" s="336"/>
      <c r="BG183" s="336"/>
      <c r="BH183" s="336"/>
      <c r="BI183" s="336"/>
      <c r="BJ183" s="337"/>
      <c r="BK183" s="370"/>
    </row>
    <row r="184" spans="1:63" s="329" customFormat="1" ht="165.75" customHeight="1" x14ac:dyDescent="0.25">
      <c r="A184" s="350"/>
      <c r="B184" s="351">
        <v>28.1</v>
      </c>
      <c r="C184" s="352"/>
      <c r="D184" s="380" t="s">
        <v>67</v>
      </c>
      <c r="E184" s="381"/>
      <c r="F184" s="381"/>
      <c r="G184" s="381"/>
      <c r="H184" s="381"/>
      <c r="I184" s="381"/>
      <c r="J184" s="382"/>
      <c r="K184" s="355" t="s">
        <v>11</v>
      </c>
      <c r="L184" s="356"/>
      <c r="M184" s="357"/>
      <c r="N184" s="371" t="s">
        <v>3</v>
      </c>
      <c r="O184" s="359" t="s">
        <v>5</v>
      </c>
      <c r="P184" s="372" t="s">
        <v>46</v>
      </c>
      <c r="Q184" s="378"/>
      <c r="R184" s="378"/>
      <c r="S184" s="379"/>
      <c r="T184" s="351" t="s">
        <v>55</v>
      </c>
      <c r="U184" s="360"/>
      <c r="V184" s="360"/>
      <c r="W184" s="352"/>
      <c r="X184" s="373" t="s">
        <v>41</v>
      </c>
      <c r="Y184" s="374"/>
      <c r="Z184" s="375"/>
      <c r="AA184" s="362" t="s">
        <v>7</v>
      </c>
      <c r="AB184" s="363"/>
      <c r="AC184" s="363"/>
      <c r="AD184" s="363"/>
      <c r="AE184" s="363"/>
      <c r="AF184" s="363"/>
      <c r="AG184" s="363"/>
      <c r="AH184" s="364"/>
      <c r="AI184" s="365" t="s">
        <v>7</v>
      </c>
      <c r="AJ184" s="333"/>
      <c r="AK184" s="333"/>
      <c r="AL184" s="333"/>
      <c r="AM184" s="333"/>
      <c r="AN184" s="333"/>
      <c r="AO184" s="333"/>
      <c r="AP184" s="333"/>
      <c r="AQ184" s="334"/>
      <c r="AR184" s="366" t="s">
        <v>5</v>
      </c>
      <c r="AS184" s="366" t="s">
        <v>7</v>
      </c>
      <c r="AT184" s="366" t="s">
        <v>7</v>
      </c>
      <c r="AU184" s="367" t="s">
        <v>83</v>
      </c>
      <c r="AV184" s="368"/>
      <c r="AW184" s="368"/>
      <c r="AX184" s="369"/>
      <c r="AY184" s="367" t="s">
        <v>115</v>
      </c>
      <c r="AZ184" s="368"/>
      <c r="BA184" s="368"/>
      <c r="BB184" s="369"/>
      <c r="BC184" s="347" t="s">
        <v>227</v>
      </c>
      <c r="BD184" s="336"/>
      <c r="BE184" s="336"/>
      <c r="BF184" s="336"/>
      <c r="BG184" s="336"/>
      <c r="BH184" s="336"/>
      <c r="BI184" s="336"/>
      <c r="BJ184" s="337"/>
      <c r="BK184" s="370"/>
    </row>
    <row r="185" spans="1:63" s="329" customFormat="1" x14ac:dyDescent="0.25">
      <c r="A185" s="350"/>
      <c r="B185" s="351">
        <v>29</v>
      </c>
      <c r="C185" s="352"/>
      <c r="D185" s="380" t="s">
        <v>96</v>
      </c>
      <c r="E185" s="381"/>
      <c r="F185" s="381"/>
      <c r="G185" s="381"/>
      <c r="H185" s="381"/>
      <c r="I185" s="381"/>
      <c r="J185" s="382"/>
      <c r="K185" s="355" t="s">
        <v>10</v>
      </c>
      <c r="L185" s="356"/>
      <c r="M185" s="357"/>
      <c r="N185" s="358" t="s">
        <v>5</v>
      </c>
      <c r="O185" s="359" t="s">
        <v>6</v>
      </c>
      <c r="P185" s="351" t="s">
        <v>5</v>
      </c>
      <c r="Q185" s="360"/>
      <c r="R185" s="360"/>
      <c r="S185" s="352"/>
      <c r="T185" s="351" t="s">
        <v>5</v>
      </c>
      <c r="U185" s="360"/>
      <c r="V185" s="360"/>
      <c r="W185" s="352"/>
      <c r="X185" s="361" t="s">
        <v>99</v>
      </c>
      <c r="Y185" s="360"/>
      <c r="Z185" s="352"/>
      <c r="AA185" s="362" t="s">
        <v>7</v>
      </c>
      <c r="AB185" s="363"/>
      <c r="AC185" s="363"/>
      <c r="AD185" s="363"/>
      <c r="AE185" s="363"/>
      <c r="AF185" s="363"/>
      <c r="AG185" s="363"/>
      <c r="AH185" s="364"/>
      <c r="AI185" s="365" t="s">
        <v>7</v>
      </c>
      <c r="AJ185" s="333"/>
      <c r="AK185" s="333"/>
      <c r="AL185" s="333"/>
      <c r="AM185" s="333"/>
      <c r="AN185" s="333"/>
      <c r="AO185" s="333"/>
      <c r="AP185" s="333"/>
      <c r="AQ185" s="334"/>
      <c r="AR185" s="366" t="s">
        <v>5</v>
      </c>
      <c r="AS185" s="366" t="s">
        <v>7</v>
      </c>
      <c r="AT185" s="366" t="s">
        <v>7</v>
      </c>
      <c r="AU185" s="367" t="s">
        <v>5</v>
      </c>
      <c r="AV185" s="368"/>
      <c r="AW185" s="368"/>
      <c r="AX185" s="369"/>
      <c r="AY185" s="367" t="s">
        <v>7</v>
      </c>
      <c r="AZ185" s="368"/>
      <c r="BA185" s="368"/>
      <c r="BB185" s="369"/>
      <c r="BC185" s="335" t="s">
        <v>7</v>
      </c>
      <c r="BD185" s="336"/>
      <c r="BE185" s="336"/>
      <c r="BF185" s="336"/>
      <c r="BG185" s="336"/>
      <c r="BH185" s="336"/>
      <c r="BI185" s="336"/>
      <c r="BJ185" s="337"/>
      <c r="BK185" s="370"/>
    </row>
    <row r="186" spans="1:63" s="329" customFormat="1" ht="150" customHeight="1" x14ac:dyDescent="0.25">
      <c r="A186" s="350"/>
      <c r="B186" s="351">
        <v>29.1</v>
      </c>
      <c r="C186" s="352"/>
      <c r="D186" s="380" t="s">
        <v>69</v>
      </c>
      <c r="E186" s="381"/>
      <c r="F186" s="381"/>
      <c r="G186" s="381"/>
      <c r="H186" s="381"/>
      <c r="I186" s="381"/>
      <c r="J186" s="382"/>
      <c r="K186" s="355" t="s">
        <v>11</v>
      </c>
      <c r="L186" s="356"/>
      <c r="M186" s="357"/>
      <c r="N186" s="371" t="s">
        <v>3</v>
      </c>
      <c r="O186" s="359" t="s">
        <v>5</v>
      </c>
      <c r="P186" s="372" t="s">
        <v>228</v>
      </c>
      <c r="Q186" s="378"/>
      <c r="R186" s="378"/>
      <c r="S186" s="379"/>
      <c r="T186" s="372" t="s">
        <v>229</v>
      </c>
      <c r="U186" s="360"/>
      <c r="V186" s="360"/>
      <c r="W186" s="352"/>
      <c r="X186" s="373" t="s">
        <v>5</v>
      </c>
      <c r="Y186" s="374"/>
      <c r="Z186" s="375"/>
      <c r="AA186" s="362" t="s">
        <v>7</v>
      </c>
      <c r="AB186" s="363"/>
      <c r="AC186" s="363"/>
      <c r="AD186" s="363"/>
      <c r="AE186" s="363"/>
      <c r="AF186" s="363"/>
      <c r="AG186" s="363"/>
      <c r="AH186" s="364"/>
      <c r="AI186" s="365" t="s">
        <v>7</v>
      </c>
      <c r="AJ186" s="333"/>
      <c r="AK186" s="333"/>
      <c r="AL186" s="333"/>
      <c r="AM186" s="333"/>
      <c r="AN186" s="333"/>
      <c r="AO186" s="333"/>
      <c r="AP186" s="333"/>
      <c r="AQ186" s="334"/>
      <c r="AR186" s="366" t="s">
        <v>5</v>
      </c>
      <c r="AS186" s="366" t="s">
        <v>7</v>
      </c>
      <c r="AT186" s="366" t="s">
        <v>7</v>
      </c>
      <c r="AU186" s="367" t="s">
        <v>83</v>
      </c>
      <c r="AV186" s="368"/>
      <c r="AW186" s="368"/>
      <c r="AX186" s="369"/>
      <c r="AY186" s="367" t="s">
        <v>56</v>
      </c>
      <c r="AZ186" s="368"/>
      <c r="BA186" s="368"/>
      <c r="BB186" s="369"/>
      <c r="BC186" s="347" t="s">
        <v>230</v>
      </c>
      <c r="BD186" s="336"/>
      <c r="BE186" s="336"/>
      <c r="BF186" s="336"/>
      <c r="BG186" s="336"/>
      <c r="BH186" s="336"/>
      <c r="BI186" s="336"/>
      <c r="BJ186" s="337"/>
      <c r="BK186" s="370"/>
    </row>
    <row r="187" spans="1:63" s="329" customFormat="1" x14ac:dyDescent="0.25">
      <c r="A187" s="350"/>
      <c r="B187" s="351">
        <v>30</v>
      </c>
      <c r="C187" s="352"/>
      <c r="D187" s="380" t="s">
        <v>100</v>
      </c>
      <c r="E187" s="381"/>
      <c r="F187" s="381"/>
      <c r="G187" s="381"/>
      <c r="H187" s="381"/>
      <c r="I187" s="381"/>
      <c r="J187" s="382"/>
      <c r="K187" s="355" t="s">
        <v>10</v>
      </c>
      <c r="L187" s="356"/>
      <c r="M187" s="357"/>
      <c r="N187" s="358" t="s">
        <v>5</v>
      </c>
      <c r="O187" s="359" t="s">
        <v>6</v>
      </c>
      <c r="P187" s="351" t="s">
        <v>5</v>
      </c>
      <c r="Q187" s="360"/>
      <c r="R187" s="360"/>
      <c r="S187" s="352"/>
      <c r="T187" s="351" t="s">
        <v>5</v>
      </c>
      <c r="U187" s="360"/>
      <c r="V187" s="360"/>
      <c r="W187" s="352"/>
      <c r="X187" s="361" t="s">
        <v>99</v>
      </c>
      <c r="Y187" s="360"/>
      <c r="Z187" s="352"/>
      <c r="AA187" s="362" t="s">
        <v>7</v>
      </c>
      <c r="AB187" s="363"/>
      <c r="AC187" s="363"/>
      <c r="AD187" s="363"/>
      <c r="AE187" s="363"/>
      <c r="AF187" s="363"/>
      <c r="AG187" s="363"/>
      <c r="AH187" s="364"/>
      <c r="AI187" s="365" t="s">
        <v>7</v>
      </c>
      <c r="AJ187" s="333"/>
      <c r="AK187" s="333"/>
      <c r="AL187" s="333"/>
      <c r="AM187" s="333"/>
      <c r="AN187" s="333"/>
      <c r="AO187" s="333"/>
      <c r="AP187" s="333"/>
      <c r="AQ187" s="334"/>
      <c r="AR187" s="366" t="s">
        <v>5</v>
      </c>
      <c r="AS187" s="366" t="s">
        <v>7</v>
      </c>
      <c r="AT187" s="366" t="s">
        <v>7</v>
      </c>
      <c r="AU187" s="367" t="s">
        <v>5</v>
      </c>
      <c r="AV187" s="368"/>
      <c r="AW187" s="368"/>
      <c r="AX187" s="369"/>
      <c r="AY187" s="367" t="s">
        <v>7</v>
      </c>
      <c r="AZ187" s="368"/>
      <c r="BA187" s="368"/>
      <c r="BB187" s="369"/>
      <c r="BC187" s="335" t="s">
        <v>7</v>
      </c>
      <c r="BD187" s="336"/>
      <c r="BE187" s="336"/>
      <c r="BF187" s="336"/>
      <c r="BG187" s="336"/>
      <c r="BH187" s="336"/>
      <c r="BI187" s="336"/>
      <c r="BJ187" s="337"/>
      <c r="BK187" s="370"/>
    </row>
    <row r="188" spans="1:63" s="329" customFormat="1" ht="150" customHeight="1" x14ac:dyDescent="0.25">
      <c r="A188" s="350"/>
      <c r="B188" s="351">
        <v>30.1</v>
      </c>
      <c r="C188" s="352"/>
      <c r="D188" s="380" t="s">
        <v>72</v>
      </c>
      <c r="E188" s="381"/>
      <c r="F188" s="381"/>
      <c r="G188" s="381"/>
      <c r="H188" s="381"/>
      <c r="I188" s="381"/>
      <c r="J188" s="382"/>
      <c r="K188" s="355" t="s">
        <v>11</v>
      </c>
      <c r="L188" s="356"/>
      <c r="M188" s="357"/>
      <c r="N188" s="371" t="s">
        <v>3</v>
      </c>
      <c r="O188" s="359" t="s">
        <v>5</v>
      </c>
      <c r="P188" s="372" t="s">
        <v>228</v>
      </c>
      <c r="Q188" s="378"/>
      <c r="R188" s="378"/>
      <c r="S188" s="379"/>
      <c r="T188" s="372" t="s">
        <v>231</v>
      </c>
      <c r="U188" s="360"/>
      <c r="V188" s="360"/>
      <c r="W188" s="352"/>
      <c r="X188" s="373" t="s">
        <v>5</v>
      </c>
      <c r="Y188" s="374"/>
      <c r="Z188" s="375"/>
      <c r="AA188" s="362" t="s">
        <v>7</v>
      </c>
      <c r="AB188" s="363"/>
      <c r="AC188" s="363"/>
      <c r="AD188" s="363"/>
      <c r="AE188" s="363"/>
      <c r="AF188" s="363"/>
      <c r="AG188" s="363"/>
      <c r="AH188" s="364"/>
      <c r="AI188" s="365" t="s">
        <v>7</v>
      </c>
      <c r="AJ188" s="333"/>
      <c r="AK188" s="333"/>
      <c r="AL188" s="333"/>
      <c r="AM188" s="333"/>
      <c r="AN188" s="333"/>
      <c r="AO188" s="333"/>
      <c r="AP188" s="333"/>
      <c r="AQ188" s="334"/>
      <c r="AR188" s="366" t="s">
        <v>5</v>
      </c>
      <c r="AS188" s="366" t="s">
        <v>7</v>
      </c>
      <c r="AT188" s="366" t="s">
        <v>7</v>
      </c>
      <c r="AU188" s="367" t="s">
        <v>83</v>
      </c>
      <c r="AV188" s="368"/>
      <c r="AW188" s="368"/>
      <c r="AX188" s="369"/>
      <c r="AY188" s="367" t="s">
        <v>57</v>
      </c>
      <c r="AZ188" s="368"/>
      <c r="BA188" s="368"/>
      <c r="BB188" s="369"/>
      <c r="BC188" s="347" t="s">
        <v>232</v>
      </c>
      <c r="BD188" s="336"/>
      <c r="BE188" s="336"/>
      <c r="BF188" s="336"/>
      <c r="BG188" s="336"/>
      <c r="BH188" s="336"/>
      <c r="BI188" s="336"/>
      <c r="BJ188" s="337"/>
      <c r="BK188" s="370"/>
    </row>
    <row r="189" spans="1:63" s="329" customFormat="1" ht="54.75" customHeight="1" x14ac:dyDescent="0.25">
      <c r="A189" s="350"/>
      <c r="B189" s="351">
        <v>31</v>
      </c>
      <c r="C189" s="352"/>
      <c r="D189" s="347" t="s">
        <v>37</v>
      </c>
      <c r="E189" s="353"/>
      <c r="F189" s="353"/>
      <c r="G189" s="353"/>
      <c r="H189" s="353"/>
      <c r="I189" s="353"/>
      <c r="J189" s="354"/>
      <c r="K189" s="392" t="s">
        <v>14</v>
      </c>
      <c r="L189" s="393"/>
      <c r="M189" s="394"/>
      <c r="N189" s="371" t="s">
        <v>12</v>
      </c>
      <c r="O189" s="371" t="s">
        <v>6</v>
      </c>
      <c r="P189" s="351" t="s">
        <v>5</v>
      </c>
      <c r="Q189" s="360"/>
      <c r="R189" s="360"/>
      <c r="S189" s="352"/>
      <c r="T189" s="351" t="s">
        <v>5</v>
      </c>
      <c r="U189" s="360"/>
      <c r="V189" s="360"/>
      <c r="W189" s="352"/>
      <c r="X189" s="395" t="s">
        <v>39</v>
      </c>
      <c r="Y189" s="368"/>
      <c r="Z189" s="369"/>
      <c r="AA189" s="362" t="s">
        <v>7</v>
      </c>
      <c r="AB189" s="363"/>
      <c r="AC189" s="363"/>
      <c r="AD189" s="363"/>
      <c r="AE189" s="363"/>
      <c r="AF189" s="363"/>
      <c r="AG189" s="363"/>
      <c r="AH189" s="364"/>
      <c r="AI189" s="344" t="s">
        <v>233</v>
      </c>
      <c r="AJ189" s="333"/>
      <c r="AK189" s="333"/>
      <c r="AL189" s="333"/>
      <c r="AM189" s="333"/>
      <c r="AN189" s="333"/>
      <c r="AO189" s="333"/>
      <c r="AP189" s="333"/>
      <c r="AQ189" s="334"/>
      <c r="AR189" s="366" t="s">
        <v>5</v>
      </c>
      <c r="AS189" s="366" t="s">
        <v>7</v>
      </c>
      <c r="AT189" s="366" t="s">
        <v>7</v>
      </c>
      <c r="AU189" s="367" t="s">
        <v>5</v>
      </c>
      <c r="AV189" s="368"/>
      <c r="AW189" s="368"/>
      <c r="AX189" s="369"/>
      <c r="AY189" s="367" t="s">
        <v>7</v>
      </c>
      <c r="AZ189" s="368"/>
      <c r="BA189" s="368"/>
      <c r="BB189" s="369"/>
      <c r="BC189" s="355" t="s">
        <v>234</v>
      </c>
      <c r="BD189" s="356"/>
      <c r="BE189" s="356"/>
      <c r="BF189" s="356"/>
      <c r="BG189" s="356"/>
      <c r="BH189" s="356"/>
      <c r="BI189" s="356"/>
      <c r="BJ189" s="357"/>
      <c r="BK189" s="370"/>
    </row>
    <row r="190" spans="1:63" s="329" customFormat="1" ht="98.25" customHeight="1" x14ac:dyDescent="0.25">
      <c r="A190" s="350"/>
      <c r="B190" s="351">
        <v>32</v>
      </c>
      <c r="C190" s="352"/>
      <c r="D190" s="347" t="s">
        <v>35</v>
      </c>
      <c r="E190" s="353"/>
      <c r="F190" s="353"/>
      <c r="G190" s="353"/>
      <c r="H190" s="353"/>
      <c r="I190" s="353"/>
      <c r="J190" s="354"/>
      <c r="K190" s="392" t="s">
        <v>14</v>
      </c>
      <c r="L190" s="393"/>
      <c r="M190" s="394"/>
      <c r="N190" s="359" t="s">
        <v>3</v>
      </c>
      <c r="O190" s="359" t="s">
        <v>6</v>
      </c>
      <c r="P190" s="351" t="s">
        <v>46</v>
      </c>
      <c r="Q190" s="360"/>
      <c r="R190" s="360"/>
      <c r="S190" s="352"/>
      <c r="T190" s="372" t="s">
        <v>235</v>
      </c>
      <c r="U190" s="360"/>
      <c r="V190" s="360"/>
      <c r="W190" s="352"/>
      <c r="X190" s="361" t="s">
        <v>7</v>
      </c>
      <c r="Y190" s="360"/>
      <c r="Z190" s="352"/>
      <c r="AA190" s="362" t="s">
        <v>7</v>
      </c>
      <c r="AB190" s="363"/>
      <c r="AC190" s="363"/>
      <c r="AD190" s="363"/>
      <c r="AE190" s="363"/>
      <c r="AF190" s="363"/>
      <c r="AG190" s="363"/>
      <c r="AH190" s="364"/>
      <c r="AI190" s="365" t="s">
        <v>7</v>
      </c>
      <c r="AJ190" s="333"/>
      <c r="AK190" s="333"/>
      <c r="AL190" s="333"/>
      <c r="AM190" s="333"/>
      <c r="AN190" s="333"/>
      <c r="AO190" s="333"/>
      <c r="AP190" s="333"/>
      <c r="AQ190" s="334"/>
      <c r="AR190" s="396" t="s">
        <v>5</v>
      </c>
      <c r="AS190" s="396" t="s">
        <v>5</v>
      </c>
      <c r="AT190" s="396" t="s">
        <v>5</v>
      </c>
      <c r="AU190" s="351" t="s">
        <v>46</v>
      </c>
      <c r="AV190" s="360"/>
      <c r="AW190" s="360"/>
      <c r="AX190" s="352"/>
      <c r="AY190" s="351" t="s">
        <v>36</v>
      </c>
      <c r="AZ190" s="360"/>
      <c r="BA190" s="360"/>
      <c r="BB190" s="352"/>
      <c r="BC190" s="376" t="s">
        <v>236</v>
      </c>
      <c r="BD190" s="397"/>
      <c r="BE190" s="397"/>
      <c r="BF190" s="397"/>
      <c r="BG190" s="397"/>
      <c r="BH190" s="397"/>
      <c r="BI190" s="397"/>
      <c r="BJ190" s="398"/>
      <c r="BK190" s="370"/>
    </row>
    <row r="191" spans="1:63" s="329" customFormat="1" ht="55.5" customHeight="1" x14ac:dyDescent="0.25">
      <c r="A191" s="350"/>
      <c r="B191" s="399">
        <v>33</v>
      </c>
      <c r="C191" s="400"/>
      <c r="D191" s="401" t="s">
        <v>38</v>
      </c>
      <c r="E191" s="402"/>
      <c r="F191" s="402"/>
      <c r="G191" s="402"/>
      <c r="H191" s="402"/>
      <c r="I191" s="402"/>
      <c r="J191" s="403"/>
      <c r="K191" s="404" t="s">
        <v>14</v>
      </c>
      <c r="L191" s="405"/>
      <c r="M191" s="406"/>
      <c r="N191" s="407" t="s">
        <v>12</v>
      </c>
      <c r="O191" s="407" t="s">
        <v>6</v>
      </c>
      <c r="P191" s="399" t="s">
        <v>5</v>
      </c>
      <c r="Q191" s="408"/>
      <c r="R191" s="408"/>
      <c r="S191" s="400"/>
      <c r="T191" s="399" t="s">
        <v>5</v>
      </c>
      <c r="U191" s="408"/>
      <c r="V191" s="408"/>
      <c r="W191" s="400"/>
      <c r="X191" s="409" t="s">
        <v>40</v>
      </c>
      <c r="Y191" s="408"/>
      <c r="Z191" s="400"/>
      <c r="AA191" s="410" t="s">
        <v>7</v>
      </c>
      <c r="AB191" s="411"/>
      <c r="AC191" s="411"/>
      <c r="AD191" s="411"/>
      <c r="AE191" s="411"/>
      <c r="AF191" s="411"/>
      <c r="AG191" s="411"/>
      <c r="AH191" s="412"/>
      <c r="AI191" s="413" t="s">
        <v>237</v>
      </c>
      <c r="AJ191" s="411"/>
      <c r="AK191" s="411"/>
      <c r="AL191" s="411"/>
      <c r="AM191" s="411"/>
      <c r="AN191" s="411"/>
      <c r="AO191" s="411"/>
      <c r="AP191" s="411"/>
      <c r="AQ191" s="412"/>
      <c r="AR191" s="414" t="s">
        <v>5</v>
      </c>
      <c r="AS191" s="414" t="s">
        <v>7</v>
      </c>
      <c r="AT191" s="414" t="s">
        <v>7</v>
      </c>
      <c r="AU191" s="399" t="s">
        <v>5</v>
      </c>
      <c r="AV191" s="408"/>
      <c r="AW191" s="408"/>
      <c r="AX191" s="400"/>
      <c r="AY191" s="399" t="s">
        <v>7</v>
      </c>
      <c r="AZ191" s="408"/>
      <c r="BA191" s="408"/>
      <c r="BB191" s="400"/>
      <c r="BC191" s="404" t="s">
        <v>238</v>
      </c>
      <c r="BD191" s="405"/>
      <c r="BE191" s="405"/>
      <c r="BF191" s="405"/>
      <c r="BG191" s="405"/>
      <c r="BH191" s="405"/>
      <c r="BI191" s="405"/>
      <c r="BJ191" s="406"/>
      <c r="BK191" s="370"/>
    </row>
    <row r="192" spans="1:63" x14ac:dyDescent="0.25">
      <c r="A192" s="6"/>
      <c r="BK192" s="7"/>
    </row>
    <row r="193" spans="1:63" x14ac:dyDescent="0.25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5"/>
    </row>
  </sheetData>
  <mergeCells count="707">
    <mergeCell ref="AU94:AX94"/>
    <mergeCell ref="B92:C94"/>
    <mergeCell ref="D92:J94"/>
    <mergeCell ref="K92:M94"/>
    <mergeCell ref="N92:N94"/>
    <mergeCell ref="O92:O94"/>
    <mergeCell ref="P92:AQ92"/>
    <mergeCell ref="AR92:BB92"/>
    <mergeCell ref="P93:W93"/>
    <mergeCell ref="X93:Z94"/>
    <mergeCell ref="AA93:AH94"/>
    <mergeCell ref="AI93:AQ94"/>
    <mergeCell ref="AR93:AR94"/>
    <mergeCell ref="AS93:AS94"/>
    <mergeCell ref="AT93:AT94"/>
    <mergeCell ref="AU93:BB93"/>
    <mergeCell ref="AY187:BB187"/>
    <mergeCell ref="BC187:BJ187"/>
    <mergeCell ref="B188:C188"/>
    <mergeCell ref="D188:J188"/>
    <mergeCell ref="K188:M188"/>
    <mergeCell ref="P188:S188"/>
    <mergeCell ref="T188:W188"/>
    <mergeCell ref="X188:Z188"/>
    <mergeCell ref="AA188:AH188"/>
    <mergeCell ref="AI188:AQ188"/>
    <mergeCell ref="AU188:AX188"/>
    <mergeCell ref="AY188:BB188"/>
    <mergeCell ref="BC188:BJ188"/>
    <mergeCell ref="B187:C187"/>
    <mergeCell ref="D187:J187"/>
    <mergeCell ref="K187:M187"/>
    <mergeCell ref="P187:S187"/>
    <mergeCell ref="T187:W187"/>
    <mergeCell ref="X187:Z187"/>
    <mergeCell ref="AA187:AH187"/>
    <mergeCell ref="AI187:AQ187"/>
    <mergeCell ref="AU187:AX187"/>
    <mergeCell ref="AY185:BB185"/>
    <mergeCell ref="BC185:BJ185"/>
    <mergeCell ref="B186:C186"/>
    <mergeCell ref="D186:J186"/>
    <mergeCell ref="K186:M186"/>
    <mergeCell ref="P186:S186"/>
    <mergeCell ref="T186:W186"/>
    <mergeCell ref="X186:Z186"/>
    <mergeCell ref="AA186:AH186"/>
    <mergeCell ref="AI186:AQ186"/>
    <mergeCell ref="AU186:AX186"/>
    <mergeCell ref="AY186:BB186"/>
    <mergeCell ref="BC186:BJ186"/>
    <mergeCell ref="B185:C185"/>
    <mergeCell ref="D185:J185"/>
    <mergeCell ref="K185:M185"/>
    <mergeCell ref="P185:S185"/>
    <mergeCell ref="T185:W185"/>
    <mergeCell ref="X185:Z185"/>
    <mergeCell ref="AA185:AH185"/>
    <mergeCell ref="AI185:AQ185"/>
    <mergeCell ref="AU185:AX185"/>
    <mergeCell ref="AY183:BB183"/>
    <mergeCell ref="BC183:BJ183"/>
    <mergeCell ref="B184:C184"/>
    <mergeCell ref="D184:J184"/>
    <mergeCell ref="K184:M184"/>
    <mergeCell ref="P184:S184"/>
    <mergeCell ref="T184:W184"/>
    <mergeCell ref="X184:Z184"/>
    <mergeCell ref="AA184:AH184"/>
    <mergeCell ref="AI184:AQ184"/>
    <mergeCell ref="AU184:AX184"/>
    <mergeCell ref="AY184:BB184"/>
    <mergeCell ref="BC184:BJ184"/>
    <mergeCell ref="B183:C183"/>
    <mergeCell ref="D183:J183"/>
    <mergeCell ref="K183:M183"/>
    <mergeCell ref="P183:S183"/>
    <mergeCell ref="T183:W183"/>
    <mergeCell ref="X183:Z183"/>
    <mergeCell ref="AA183:AH183"/>
    <mergeCell ref="AI183:AQ183"/>
    <mergeCell ref="AU183:AX183"/>
    <mergeCell ref="AY182:BB182"/>
    <mergeCell ref="BC182:BJ182"/>
    <mergeCell ref="B182:C182"/>
    <mergeCell ref="D182:J182"/>
    <mergeCell ref="K182:M182"/>
    <mergeCell ref="P182:S182"/>
    <mergeCell ref="T182:W182"/>
    <mergeCell ref="X182:Z182"/>
    <mergeCell ref="AA182:AH182"/>
    <mergeCell ref="AI182:AQ182"/>
    <mergeCell ref="AU182:AX182"/>
    <mergeCell ref="AY180:BB180"/>
    <mergeCell ref="BC180:BJ180"/>
    <mergeCell ref="B181:C181"/>
    <mergeCell ref="D181:J181"/>
    <mergeCell ref="K181:M181"/>
    <mergeCell ref="P181:S181"/>
    <mergeCell ref="T181:W181"/>
    <mergeCell ref="X181:Z181"/>
    <mergeCell ref="AA181:AH181"/>
    <mergeCell ref="AI181:AQ181"/>
    <mergeCell ref="AU181:AX181"/>
    <mergeCell ref="AY181:BB181"/>
    <mergeCell ref="BC181:BJ181"/>
    <mergeCell ref="B180:C180"/>
    <mergeCell ref="D180:J180"/>
    <mergeCell ref="K180:M180"/>
    <mergeCell ref="P180:S180"/>
    <mergeCell ref="T180:W180"/>
    <mergeCell ref="X180:Z180"/>
    <mergeCell ref="AA180:AH180"/>
    <mergeCell ref="AI180:AQ180"/>
    <mergeCell ref="AU180:AX180"/>
    <mergeCell ref="AY179:BB179"/>
    <mergeCell ref="BC179:BJ179"/>
    <mergeCell ref="B168:C168"/>
    <mergeCell ref="D168:J168"/>
    <mergeCell ref="K168:M168"/>
    <mergeCell ref="P168:S168"/>
    <mergeCell ref="T168:W168"/>
    <mergeCell ref="X168:Z168"/>
    <mergeCell ref="AA168:AH168"/>
    <mergeCell ref="AI168:AQ168"/>
    <mergeCell ref="B179:C179"/>
    <mergeCell ref="D179:J179"/>
    <mergeCell ref="K179:M179"/>
    <mergeCell ref="P179:S179"/>
    <mergeCell ref="T179:W179"/>
    <mergeCell ref="X179:Z179"/>
    <mergeCell ref="AA179:AH179"/>
    <mergeCell ref="AI179:AQ179"/>
    <mergeCell ref="AU179:AX179"/>
    <mergeCell ref="AI176:AQ176"/>
    <mergeCell ref="AU176:AX176"/>
    <mergeCell ref="AA175:AH175"/>
    <mergeCell ref="BC178:BJ178"/>
    <mergeCell ref="X178:Z178"/>
    <mergeCell ref="AA164:AH164"/>
    <mergeCell ref="AI164:AQ164"/>
    <mergeCell ref="P163:S163"/>
    <mergeCell ref="T163:W163"/>
    <mergeCell ref="AA167:AH167"/>
    <mergeCell ref="AI167:AQ167"/>
    <mergeCell ref="AU167:AX167"/>
    <mergeCell ref="AY167:BB167"/>
    <mergeCell ref="AU165:AX165"/>
    <mergeCell ref="AY165:BB165"/>
    <mergeCell ref="AU164:AX164"/>
    <mergeCell ref="AY164:BB164"/>
    <mergeCell ref="D111:J111"/>
    <mergeCell ref="K111:M111"/>
    <mergeCell ref="P111:S111"/>
    <mergeCell ref="T111:W111"/>
    <mergeCell ref="X111:Z111"/>
    <mergeCell ref="AA111:AH111"/>
    <mergeCell ref="AI111:AQ111"/>
    <mergeCell ref="AU111:AX111"/>
    <mergeCell ref="AY111:BB111"/>
    <mergeCell ref="K164:M164"/>
    <mergeCell ref="B164:C164"/>
    <mergeCell ref="D164:J164"/>
    <mergeCell ref="P167:S167"/>
    <mergeCell ref="T167:W167"/>
    <mergeCell ref="X167:Z167"/>
    <mergeCell ref="P117:S117"/>
    <mergeCell ref="T117:W117"/>
    <mergeCell ref="X117:Z117"/>
    <mergeCell ref="B167:C167"/>
    <mergeCell ref="D167:J167"/>
    <mergeCell ref="K167:M167"/>
    <mergeCell ref="P166:S166"/>
    <mergeCell ref="T166:W166"/>
    <mergeCell ref="B165:C165"/>
    <mergeCell ref="D165:J165"/>
    <mergeCell ref="K165:M165"/>
    <mergeCell ref="P165:S165"/>
    <mergeCell ref="T165:W165"/>
    <mergeCell ref="X166:Z166"/>
    <mergeCell ref="B166:C166"/>
    <mergeCell ref="D166:J166"/>
    <mergeCell ref="K166:M166"/>
    <mergeCell ref="B107:C107"/>
    <mergeCell ref="B108:C108"/>
    <mergeCell ref="B109:C109"/>
    <mergeCell ref="B110:C110"/>
    <mergeCell ref="B118:C118"/>
    <mergeCell ref="B113:C113"/>
    <mergeCell ref="B114:C114"/>
    <mergeCell ref="B115:C115"/>
    <mergeCell ref="B116:C116"/>
    <mergeCell ref="B117:C117"/>
    <mergeCell ref="B111:C111"/>
    <mergeCell ref="B112:C112"/>
    <mergeCell ref="AU120:AX120"/>
    <mergeCell ref="K119:M119"/>
    <mergeCell ref="P119:S119"/>
    <mergeCell ref="T119:W119"/>
    <mergeCell ref="X119:Z119"/>
    <mergeCell ref="AA119:AH119"/>
    <mergeCell ref="AI119:AQ119"/>
    <mergeCell ref="AU119:AX119"/>
    <mergeCell ref="BC117:BJ117"/>
    <mergeCell ref="AY120:BB120"/>
    <mergeCell ref="BC120:BJ120"/>
    <mergeCell ref="AI117:AQ117"/>
    <mergeCell ref="AY119:BB119"/>
    <mergeCell ref="AU117:AX117"/>
    <mergeCell ref="AY117:BB117"/>
    <mergeCell ref="AU118:AX118"/>
    <mergeCell ref="AY118:BB118"/>
    <mergeCell ref="BC119:BJ119"/>
    <mergeCell ref="AA113:AH113"/>
    <mergeCell ref="AI113:AQ113"/>
    <mergeCell ref="B120:C120"/>
    <mergeCell ref="D120:J120"/>
    <mergeCell ref="K120:M120"/>
    <mergeCell ref="P120:S120"/>
    <mergeCell ref="T120:W120"/>
    <mergeCell ref="X120:Z120"/>
    <mergeCell ref="AA120:AH120"/>
    <mergeCell ref="AI120:AQ120"/>
    <mergeCell ref="B119:C119"/>
    <mergeCell ref="X113:Z113"/>
    <mergeCell ref="D113:J113"/>
    <mergeCell ref="K113:M113"/>
    <mergeCell ref="P113:S113"/>
    <mergeCell ref="T113:W113"/>
    <mergeCell ref="D117:J117"/>
    <mergeCell ref="K117:M117"/>
    <mergeCell ref="AA117:AH117"/>
    <mergeCell ref="D119:J119"/>
    <mergeCell ref="BC115:BJ115"/>
    <mergeCell ref="D116:J116"/>
    <mergeCell ref="K116:M116"/>
    <mergeCell ref="P116:S116"/>
    <mergeCell ref="T116:W116"/>
    <mergeCell ref="X116:Z116"/>
    <mergeCell ref="AA116:AH116"/>
    <mergeCell ref="AI116:AQ116"/>
    <mergeCell ref="AU116:AX116"/>
    <mergeCell ref="AY116:BB116"/>
    <mergeCell ref="D115:J115"/>
    <mergeCell ref="K115:M115"/>
    <mergeCell ref="P115:S115"/>
    <mergeCell ref="T115:W115"/>
    <mergeCell ref="X115:Z115"/>
    <mergeCell ref="AA115:AH115"/>
    <mergeCell ref="AI115:AQ115"/>
    <mergeCell ref="AU115:AX115"/>
    <mergeCell ref="AY115:BB115"/>
    <mergeCell ref="D112:J112"/>
    <mergeCell ref="BC118:BJ118"/>
    <mergeCell ref="D114:J114"/>
    <mergeCell ref="K114:M114"/>
    <mergeCell ref="P114:S114"/>
    <mergeCell ref="T114:W114"/>
    <mergeCell ref="X114:Z114"/>
    <mergeCell ref="AA114:AH114"/>
    <mergeCell ref="AI114:AQ114"/>
    <mergeCell ref="AU114:AX114"/>
    <mergeCell ref="AY114:BB114"/>
    <mergeCell ref="BC114:BJ114"/>
    <mergeCell ref="D118:J118"/>
    <mergeCell ref="K118:M118"/>
    <mergeCell ref="P118:S118"/>
    <mergeCell ref="T118:W118"/>
    <mergeCell ref="X118:Z118"/>
    <mergeCell ref="AA118:AH118"/>
    <mergeCell ref="AI118:AQ118"/>
    <mergeCell ref="BC116:BJ116"/>
    <mergeCell ref="K112:M112"/>
    <mergeCell ref="P112:S112"/>
    <mergeCell ref="T112:W112"/>
    <mergeCell ref="X112:Z112"/>
    <mergeCell ref="D109:J109"/>
    <mergeCell ref="K109:M109"/>
    <mergeCell ref="P109:S109"/>
    <mergeCell ref="T109:W109"/>
    <mergeCell ref="X109:Z109"/>
    <mergeCell ref="AA109:AH109"/>
    <mergeCell ref="AI109:AQ109"/>
    <mergeCell ref="AU109:AX109"/>
    <mergeCell ref="AY109:BB109"/>
    <mergeCell ref="D110:J110"/>
    <mergeCell ref="K110:M110"/>
    <mergeCell ref="P110:S110"/>
    <mergeCell ref="T110:W110"/>
    <mergeCell ref="X110:Z110"/>
    <mergeCell ref="AA110:AH110"/>
    <mergeCell ref="AI110:AQ110"/>
    <mergeCell ref="AU110:AX110"/>
    <mergeCell ref="AY110:BB110"/>
    <mergeCell ref="AY104:BB104"/>
    <mergeCell ref="BC104:BJ104"/>
    <mergeCell ref="AY106:BB106"/>
    <mergeCell ref="BC106:BJ106"/>
    <mergeCell ref="AY105:BB105"/>
    <mergeCell ref="BC105:BJ105"/>
    <mergeCell ref="AU113:AX113"/>
    <mergeCell ref="AY113:BB113"/>
    <mergeCell ref="BC109:BJ109"/>
    <mergeCell ref="BC110:BJ110"/>
    <mergeCell ref="BC112:BJ112"/>
    <mergeCell ref="BC111:BJ111"/>
    <mergeCell ref="BC107:BJ107"/>
    <mergeCell ref="AY112:BB112"/>
    <mergeCell ref="BC113:BJ113"/>
    <mergeCell ref="AY108:BB108"/>
    <mergeCell ref="BC108:BJ108"/>
    <mergeCell ref="AY107:BB107"/>
    <mergeCell ref="B104:C104"/>
    <mergeCell ref="D104:J104"/>
    <mergeCell ref="K104:M104"/>
    <mergeCell ref="P104:S104"/>
    <mergeCell ref="T104:W104"/>
    <mergeCell ref="X104:Z104"/>
    <mergeCell ref="AA104:AH104"/>
    <mergeCell ref="AI104:AQ104"/>
    <mergeCell ref="AU104:AX104"/>
    <mergeCell ref="AY102:BB102"/>
    <mergeCell ref="BC102:BJ102"/>
    <mergeCell ref="B103:C103"/>
    <mergeCell ref="D103:J103"/>
    <mergeCell ref="K103:M103"/>
    <mergeCell ref="P103:S103"/>
    <mergeCell ref="T103:W103"/>
    <mergeCell ref="X103:Z103"/>
    <mergeCell ref="AA103:AH103"/>
    <mergeCell ref="AI103:AQ103"/>
    <mergeCell ref="AU103:AX103"/>
    <mergeCell ref="AY103:BB103"/>
    <mergeCell ref="BC103:BJ103"/>
    <mergeCell ref="B102:C102"/>
    <mergeCell ref="D102:J102"/>
    <mergeCell ref="K102:M102"/>
    <mergeCell ref="P102:S102"/>
    <mergeCell ref="T102:W102"/>
    <mergeCell ref="X102:Z102"/>
    <mergeCell ref="AA102:AH102"/>
    <mergeCell ref="AI102:AQ102"/>
    <mergeCell ref="AU102:AX102"/>
    <mergeCell ref="BC101:BJ101"/>
    <mergeCell ref="B98:C98"/>
    <mergeCell ref="D98:J98"/>
    <mergeCell ref="K98:M98"/>
    <mergeCell ref="P98:S98"/>
    <mergeCell ref="T98:W98"/>
    <mergeCell ref="X98:Z98"/>
    <mergeCell ref="AA98:AH98"/>
    <mergeCell ref="AI98:AQ98"/>
    <mergeCell ref="AU98:AX98"/>
    <mergeCell ref="AY98:BB98"/>
    <mergeCell ref="BC98:BJ98"/>
    <mergeCell ref="B101:C101"/>
    <mergeCell ref="D101:J101"/>
    <mergeCell ref="K101:M101"/>
    <mergeCell ref="P101:S101"/>
    <mergeCell ref="T101:W101"/>
    <mergeCell ref="X101:Z101"/>
    <mergeCell ref="AA101:AH101"/>
    <mergeCell ref="AI101:AQ101"/>
    <mergeCell ref="AU101:AX101"/>
    <mergeCell ref="AY99:BB99"/>
    <mergeCell ref="BC99:BJ99"/>
    <mergeCell ref="AY100:BB100"/>
    <mergeCell ref="BC100:BJ100"/>
    <mergeCell ref="B99:C99"/>
    <mergeCell ref="D99:J99"/>
    <mergeCell ref="K99:M99"/>
    <mergeCell ref="P99:S99"/>
    <mergeCell ref="T99:W99"/>
    <mergeCell ref="X99:Z99"/>
    <mergeCell ref="AA99:AH99"/>
    <mergeCell ref="AI99:AQ99"/>
    <mergeCell ref="AU99:AX99"/>
    <mergeCell ref="B100:C100"/>
    <mergeCell ref="D100:J100"/>
    <mergeCell ref="K100:M100"/>
    <mergeCell ref="P100:S100"/>
    <mergeCell ref="T100:W100"/>
    <mergeCell ref="X100:Z100"/>
    <mergeCell ref="AA100:AH100"/>
    <mergeCell ref="AI100:AQ100"/>
    <mergeCell ref="AU100:AX100"/>
    <mergeCell ref="AY101:BB101"/>
    <mergeCell ref="AY176:BB176"/>
    <mergeCell ref="BC176:BJ176"/>
    <mergeCell ref="D177:J177"/>
    <mergeCell ref="K177:M177"/>
    <mergeCell ref="P177:S177"/>
    <mergeCell ref="T177:W177"/>
    <mergeCell ref="AI175:AQ175"/>
    <mergeCell ref="AU175:AX175"/>
    <mergeCell ref="AA177:AH177"/>
    <mergeCell ref="AI177:AQ177"/>
    <mergeCell ref="AU177:AX177"/>
    <mergeCell ref="AY177:BB177"/>
    <mergeCell ref="BC177:BJ177"/>
    <mergeCell ref="X177:Z177"/>
    <mergeCell ref="AA173:AH173"/>
    <mergeCell ref="AI173:AQ173"/>
    <mergeCell ref="AU173:AX173"/>
    <mergeCell ref="AY173:BB173"/>
    <mergeCell ref="BC173:BJ173"/>
    <mergeCell ref="AI172:AQ172"/>
    <mergeCell ref="AU172:AX172"/>
    <mergeCell ref="AY172:BB172"/>
    <mergeCell ref="BC172:BJ172"/>
    <mergeCell ref="AA178:AH178"/>
    <mergeCell ref="AI178:AQ178"/>
    <mergeCell ref="AU178:AX178"/>
    <mergeCell ref="AY178:BB178"/>
    <mergeCell ref="AY175:BB175"/>
    <mergeCell ref="BC175:BJ175"/>
    <mergeCell ref="X175:Z175"/>
    <mergeCell ref="D175:J175"/>
    <mergeCell ref="AI174:AQ174"/>
    <mergeCell ref="AU174:AX174"/>
    <mergeCell ref="AY174:BB174"/>
    <mergeCell ref="BC174:BJ174"/>
    <mergeCell ref="AA174:AH174"/>
    <mergeCell ref="AA176:AH176"/>
    <mergeCell ref="AA171:AH171"/>
    <mergeCell ref="AI171:AQ171"/>
    <mergeCell ref="AU171:AX171"/>
    <mergeCell ref="AY171:BB171"/>
    <mergeCell ref="BC171:BJ171"/>
    <mergeCell ref="AA172:AH172"/>
    <mergeCell ref="AI165:AQ165"/>
    <mergeCell ref="AI170:AQ170"/>
    <mergeCell ref="AU170:AX170"/>
    <mergeCell ref="AY170:BB170"/>
    <mergeCell ref="BC170:BJ170"/>
    <mergeCell ref="AA169:AH169"/>
    <mergeCell ref="AI169:AQ169"/>
    <mergeCell ref="AU169:AX169"/>
    <mergeCell ref="AY169:BB169"/>
    <mergeCell ref="BC169:BJ169"/>
    <mergeCell ref="BC167:BJ167"/>
    <mergeCell ref="AU168:AX168"/>
    <mergeCell ref="AY168:BB168"/>
    <mergeCell ref="BC168:BJ168"/>
    <mergeCell ref="AA166:AH166"/>
    <mergeCell ref="BC164:BJ164"/>
    <mergeCell ref="X165:Z165"/>
    <mergeCell ref="B170:C170"/>
    <mergeCell ref="D170:J170"/>
    <mergeCell ref="K170:M170"/>
    <mergeCell ref="P170:S170"/>
    <mergeCell ref="T170:W170"/>
    <mergeCell ref="B169:C169"/>
    <mergeCell ref="D169:J169"/>
    <mergeCell ref="K169:M169"/>
    <mergeCell ref="P169:S169"/>
    <mergeCell ref="AI166:AQ166"/>
    <mergeCell ref="AU166:AX166"/>
    <mergeCell ref="AY166:BB166"/>
    <mergeCell ref="T169:W169"/>
    <mergeCell ref="X170:Z170"/>
    <mergeCell ref="X169:Z169"/>
    <mergeCell ref="AA170:AH170"/>
    <mergeCell ref="BC166:BJ166"/>
    <mergeCell ref="AA165:AH165"/>
    <mergeCell ref="P164:S164"/>
    <mergeCell ref="T164:W164"/>
    <mergeCell ref="X164:Z164"/>
    <mergeCell ref="BC165:BJ165"/>
    <mergeCell ref="T172:W172"/>
    <mergeCell ref="B171:C171"/>
    <mergeCell ref="D171:J171"/>
    <mergeCell ref="K171:M171"/>
    <mergeCell ref="P171:S171"/>
    <mergeCell ref="T171:W171"/>
    <mergeCell ref="B174:C174"/>
    <mergeCell ref="D174:J174"/>
    <mergeCell ref="K174:M174"/>
    <mergeCell ref="P174:S174"/>
    <mergeCell ref="T174:W174"/>
    <mergeCell ref="B173:C173"/>
    <mergeCell ref="D173:J173"/>
    <mergeCell ref="K173:M173"/>
    <mergeCell ref="P173:S173"/>
    <mergeCell ref="T173:W173"/>
    <mergeCell ref="X172:Z172"/>
    <mergeCell ref="X171:Z171"/>
    <mergeCell ref="X174:Z174"/>
    <mergeCell ref="X173:Z173"/>
    <mergeCell ref="B178:C178"/>
    <mergeCell ref="D178:J178"/>
    <mergeCell ref="K178:M178"/>
    <mergeCell ref="P178:S178"/>
    <mergeCell ref="T178:W178"/>
    <mergeCell ref="B177:C177"/>
    <mergeCell ref="B176:C176"/>
    <mergeCell ref="D176:J176"/>
    <mergeCell ref="K176:M176"/>
    <mergeCell ref="P176:S176"/>
    <mergeCell ref="T176:W176"/>
    <mergeCell ref="B175:C175"/>
    <mergeCell ref="K175:M175"/>
    <mergeCell ref="P175:S175"/>
    <mergeCell ref="T175:W175"/>
    <mergeCell ref="X176:Z176"/>
    <mergeCell ref="B172:C172"/>
    <mergeCell ref="D172:J172"/>
    <mergeCell ref="K172:M172"/>
    <mergeCell ref="P172:S172"/>
    <mergeCell ref="A4:G4"/>
    <mergeCell ref="H4:T4"/>
    <mergeCell ref="U4:Y4"/>
    <mergeCell ref="Z4:AO4"/>
    <mergeCell ref="AP4:BK4"/>
    <mergeCell ref="B161:C163"/>
    <mergeCell ref="D161:J163"/>
    <mergeCell ref="K161:M163"/>
    <mergeCell ref="N161:N163"/>
    <mergeCell ref="O161:O163"/>
    <mergeCell ref="AU163:AX163"/>
    <mergeCell ref="AY163:BB163"/>
    <mergeCell ref="O46:O48"/>
    <mergeCell ref="P161:AQ161"/>
    <mergeCell ref="AR161:BB161"/>
    <mergeCell ref="BC161:BJ163"/>
    <mergeCell ref="P162:W162"/>
    <mergeCell ref="X162:Z163"/>
    <mergeCell ref="AA162:AH163"/>
    <mergeCell ref="AI162:AQ163"/>
    <mergeCell ref="AR162:AR163"/>
    <mergeCell ref="AS162:AS163"/>
    <mergeCell ref="AT162:AT163"/>
    <mergeCell ref="K46:M48"/>
    <mergeCell ref="AY190:BB190"/>
    <mergeCell ref="BC190:BJ190"/>
    <mergeCell ref="AU162:BB162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B95:C95"/>
    <mergeCell ref="AY49:BB49"/>
    <mergeCell ref="BC49:BJ49"/>
    <mergeCell ref="B50:C50"/>
    <mergeCell ref="AS47:AS48"/>
    <mergeCell ref="AT47:AT48"/>
    <mergeCell ref="B190:C190"/>
    <mergeCell ref="D190:J190"/>
    <mergeCell ref="K190:M190"/>
    <mergeCell ref="P190:S190"/>
    <mergeCell ref="T190:W190"/>
    <mergeCell ref="X190:Z190"/>
    <mergeCell ref="AA190:AH190"/>
    <mergeCell ref="AI190:AQ190"/>
    <mergeCell ref="AU190:AX190"/>
    <mergeCell ref="AY189:BB189"/>
    <mergeCell ref="BC189:BJ189"/>
    <mergeCell ref="B189:C189"/>
    <mergeCell ref="D189:J189"/>
    <mergeCell ref="K189:M189"/>
    <mergeCell ref="P189:S189"/>
    <mergeCell ref="T189:W189"/>
    <mergeCell ref="X189:Z189"/>
    <mergeCell ref="AA189:AH189"/>
    <mergeCell ref="AI189:AQ189"/>
    <mergeCell ref="AU189:AX189"/>
    <mergeCell ref="AY191:BB191"/>
    <mergeCell ref="BC191:BJ191"/>
    <mergeCell ref="B191:C191"/>
    <mergeCell ref="D191:J191"/>
    <mergeCell ref="K191:M191"/>
    <mergeCell ref="P191:S191"/>
    <mergeCell ref="T191:W191"/>
    <mergeCell ref="X191:Z191"/>
    <mergeCell ref="AA191:AH191"/>
    <mergeCell ref="AI191:AQ191"/>
    <mergeCell ref="AU191:AX191"/>
    <mergeCell ref="N46:N48"/>
    <mergeCell ref="P46:AQ46"/>
    <mergeCell ref="AR46:BB46"/>
    <mergeCell ref="B49:C49"/>
    <mergeCell ref="D49:J49"/>
    <mergeCell ref="K49:M49"/>
    <mergeCell ref="P49:S49"/>
    <mergeCell ref="T49:W49"/>
    <mergeCell ref="X49:Z49"/>
    <mergeCell ref="AA49:AH49"/>
    <mergeCell ref="AI49:AQ49"/>
    <mergeCell ref="AU49:AX49"/>
    <mergeCell ref="P48:S48"/>
    <mergeCell ref="T48:W48"/>
    <mergeCell ref="AU48:AX48"/>
    <mergeCell ref="AY48:BB48"/>
    <mergeCell ref="AA47:AH48"/>
    <mergeCell ref="B46:C48"/>
    <mergeCell ref="D46:J48"/>
    <mergeCell ref="BC46:BJ48"/>
    <mergeCell ref="P47:W47"/>
    <mergeCell ref="X47:Z48"/>
    <mergeCell ref="B96:C96"/>
    <mergeCell ref="D96:J96"/>
    <mergeCell ref="K96:M96"/>
    <mergeCell ref="P96:S96"/>
    <mergeCell ref="T96:W96"/>
    <mergeCell ref="X96:Z96"/>
    <mergeCell ref="AA96:AH96"/>
    <mergeCell ref="AI96:AQ96"/>
    <mergeCell ref="AU96:AX96"/>
    <mergeCell ref="B51:C51"/>
    <mergeCell ref="D51:J51"/>
    <mergeCell ref="K51:M51"/>
    <mergeCell ref="P51:S51"/>
    <mergeCell ref="T51:W51"/>
    <mergeCell ref="X51:Z51"/>
    <mergeCell ref="AA51:AH51"/>
    <mergeCell ref="AI51:AQ51"/>
    <mergeCell ref="AU51:AX51"/>
    <mergeCell ref="AI47:AQ48"/>
    <mergeCell ref="AR47:AR48"/>
    <mergeCell ref="AU47:BB47"/>
    <mergeCell ref="BC50:BJ50"/>
    <mergeCell ref="D95:J95"/>
    <mergeCell ref="K95:M95"/>
    <mergeCell ref="P95:S95"/>
    <mergeCell ref="T95:W95"/>
    <mergeCell ref="X95:Z95"/>
    <mergeCell ref="AA95:AH95"/>
    <mergeCell ref="AI95:AQ95"/>
    <mergeCell ref="AU95:AX95"/>
    <mergeCell ref="AY95:BB95"/>
    <mergeCell ref="BC95:BJ95"/>
    <mergeCell ref="D50:J50"/>
    <mergeCell ref="K50:M50"/>
    <mergeCell ref="AY51:BB51"/>
    <mergeCell ref="BC51:BJ51"/>
    <mergeCell ref="P50:S50"/>
    <mergeCell ref="T50:W50"/>
    <mergeCell ref="X50:Z50"/>
    <mergeCell ref="AA50:AH50"/>
    <mergeCell ref="AI50:AQ50"/>
    <mergeCell ref="AU50:AX50"/>
    <mergeCell ref="AY50:BB50"/>
    <mergeCell ref="P94:S94"/>
    <mergeCell ref="T94:W94"/>
    <mergeCell ref="AY97:BB97"/>
    <mergeCell ref="BC97:BJ97"/>
    <mergeCell ref="AY96:BB96"/>
    <mergeCell ref="BC96:BJ96"/>
    <mergeCell ref="AY94:BB94"/>
    <mergeCell ref="BC92:BJ94"/>
    <mergeCell ref="B105:C105"/>
    <mergeCell ref="D105:J105"/>
    <mergeCell ref="K105:M105"/>
    <mergeCell ref="P105:S105"/>
    <mergeCell ref="T105:W105"/>
    <mergeCell ref="X105:Z105"/>
    <mergeCell ref="AA105:AH105"/>
    <mergeCell ref="AI105:AQ105"/>
    <mergeCell ref="AU105:AX105"/>
    <mergeCell ref="B97:C97"/>
    <mergeCell ref="D97:J97"/>
    <mergeCell ref="K97:M97"/>
    <mergeCell ref="P97:S97"/>
    <mergeCell ref="T97:W97"/>
    <mergeCell ref="X97:Z97"/>
    <mergeCell ref="AA97:AH97"/>
    <mergeCell ref="AI97:AQ97"/>
    <mergeCell ref="AU97:AX97"/>
    <mergeCell ref="B106:C106"/>
    <mergeCell ref="D106:J106"/>
    <mergeCell ref="K106:M106"/>
    <mergeCell ref="P106:S106"/>
    <mergeCell ref="T106:W106"/>
    <mergeCell ref="X106:Z106"/>
    <mergeCell ref="AA106:AH106"/>
    <mergeCell ref="AI106:AQ106"/>
    <mergeCell ref="AU106:AX106"/>
    <mergeCell ref="D108:J108"/>
    <mergeCell ref="K108:M108"/>
    <mergeCell ref="P108:S108"/>
    <mergeCell ref="D107:J107"/>
    <mergeCell ref="K107:M107"/>
    <mergeCell ref="P107:S107"/>
    <mergeCell ref="T108:W108"/>
    <mergeCell ref="X108:Z108"/>
    <mergeCell ref="AA108:AH108"/>
    <mergeCell ref="AA112:AH112"/>
    <mergeCell ref="AI112:AQ112"/>
    <mergeCell ref="AU112:AX112"/>
    <mergeCell ref="AI108:AQ108"/>
    <mergeCell ref="AU108:AX108"/>
    <mergeCell ref="T107:W107"/>
    <mergeCell ref="X107:Z107"/>
    <mergeCell ref="AA107:AH107"/>
    <mergeCell ref="AI107:AQ107"/>
    <mergeCell ref="AU107:AX107"/>
  </mergeCells>
  <dataValidations count="3">
    <dataValidation type="list" allowBlank="1" showInputMessage="1" showErrorMessage="1" sqref="AR176:AS176 AS172 AR97:AS98 AS106:AS107 AS109 AS167 AS169:AS170 O49:O51 O95:O120 O164:O191" xr:uid="{00000000-0002-0000-0200-000000000000}">
      <formula1>"－,●"</formula1>
    </dataValidation>
    <dataValidation type="list" allowBlank="1" showInputMessage="1" showErrorMessage="1" sqref="N187 N164 N166 N168 N171 N173:N175 N49:N51 N181 N183 N185 N95:N113 N118:N120 O118:O119 N177:N179 N189 N191" xr:uid="{00000000-0002-0000-0200-000001000000}">
      <formula1>"－,O,I"</formula1>
    </dataValidation>
    <dataValidation type="list" allowBlank="1" showInputMessage="1" showErrorMessage="1" sqref="N188:N190 N186 N165 N167 N169:N170 N172 N176 N180 N182 N184 N114:N117" xr:uid="{00000000-0002-0000-0200-000002000000}">
      <formula1>"－,O,I,I/O"</formula1>
    </dataValidation>
  </dataValidations>
  <pageMargins left="0.7" right="0.7" top="0.75" bottom="0.75" header="0.3" footer="0.3"/>
  <pageSetup scale="10" orientation="portrait" r:id="rId1"/>
  <rowBreaks count="1" manualBreakCount="1">
    <brk id="18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表紙</vt:lpstr>
      <vt:lpstr>改訂履歴</vt:lpstr>
      <vt:lpstr>SC0301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2024-12-16T06:56:54Z</dcterms:modified>
  <cp:category/>
  <cp:contentStatus/>
</cp:coreProperties>
</file>