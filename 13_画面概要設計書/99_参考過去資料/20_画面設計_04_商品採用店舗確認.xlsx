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20_画面設計\"/>
    </mc:Choice>
  </mc:AlternateContent>
  <xr:revisionPtr revIDLastSave="0" documentId="13_ncr:1_{C8113587-02BB-4C67-A898-CDBCD7C9479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401" sheetId="8" r:id="rId3"/>
    <sheet name="SCxxxx" sheetId="7" r:id="rId4"/>
  </sheets>
  <definedNames>
    <definedName name="_xlnm.Print_Area" localSheetId="2">'SC0401'!$A$1:$BK$72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8"/>
  <c r="Z4" i="8"/>
  <c r="H4" i="8"/>
  <c r="AT2" i="8"/>
  <c r="K2" i="8"/>
  <c r="A2" i="8"/>
  <c r="W1" i="8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8" s="1"/>
  <c r="BC2" i="4"/>
  <c r="BC2" i="7" s="1"/>
  <c r="AY2" i="4"/>
  <c r="AY2" i="8" s="1"/>
  <c r="AT2" i="4"/>
  <c r="AT2" i="7" s="1"/>
  <c r="AP2" i="4"/>
  <c r="AP2" i="8" s="1"/>
  <c r="BC2" i="3" l="1"/>
  <c r="BC2" i="8"/>
  <c r="AP2" i="7"/>
  <c r="BH2" i="7"/>
  <c r="AP2" i="3"/>
  <c r="BH2" i="3"/>
  <c r="AY2" i="7"/>
  <c r="AY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Du</author>
  </authors>
  <commentList>
    <comment ref="AA45" authorId="0" shapeId="0" xr:uid="{00000000-0006-0000-0200-000001000000}">
      <text>
        <r>
          <rPr>
            <b/>
            <sz val="9"/>
            <rFont val="Tahoma"/>
            <family val="2"/>
          </rPr>
          <t>Nguyen Thi Du:</t>
        </r>
        <r>
          <rPr>
            <sz val="9"/>
            <rFont val="Tahoma"/>
            <family val="2"/>
          </rPr>
          <t xml:space="preserve">
表示・非表示のコントロール</t>
        </r>
      </text>
    </comment>
  </commentList>
</comments>
</file>

<file path=xl/sharedStrings.xml><?xml version="1.0" encoding="utf-8"?>
<sst xmlns="http://schemas.openxmlformats.org/spreadsheetml/2006/main" count="343" uniqueCount="99">
  <si>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</si>
  <si>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</si>
  <si>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</si>
  <si>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</si>
  <si>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</si>
  <si>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</si>
  <si>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</si>
  <si>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</si>
  <si>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</si>
  <si>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</si>
  <si>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</si>
  <si>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</si>
  <si>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</si>
  <si>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</si>
  <si>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</si>
  <si>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</si>
  <si>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F04：クリア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</si>
  <si>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</si>
  <si>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000000"/>
        <rFont val="Meiryo UI"/>
        <family val="2"/>
      </rPr>
      <t>ウエルシア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</si>
  <si>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</si>
  <si>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</si>
  <si>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</si>
  <si>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</si>
  <si>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</si>
  <si>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</si>
  <si>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</si>
  <si>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</si>
  <si>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04_商品採用店舗確認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</si>
  <si>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</si>
  <si>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</si>
  <si>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</si>
  <si>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</si>
  <si>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</si>
  <si>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</si>
  <si>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</si>
  <si>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</si>
  <si>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</si>
  <si>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</si>
  <si>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</si>
  <si>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</si>
  <si>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</si>
  <si>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</si>
  <si>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</si>
  <si>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</si>
  <si>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</si>
  <si>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</si>
  <si>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■SC0401_主な商品採用店舗画面のイメージ</t>
  </si>
  <si>
    <t>■画面項目定義</t>
  </si>
  <si>
    <t>画面項目ID</t>
  </si>
  <si>
    <t>項目</t>
  </si>
  <si>
    <t>タイプ</t>
  </si>
  <si>
    <t>多言語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</si>
  <si>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</si>
  <si>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</si>
  <si>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</si>
  <si>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</si>
  <si>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</si>
  <si>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</si>
  <si>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</si>
  <si>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必須</t>
  </si>
  <si>
    <t>数字</t>
  </si>
  <si>
    <t>文字</t>
  </si>
  <si>
    <t>API名</t>
  </si>
  <si>
    <t>テキスト</t>
  </si>
  <si>
    <t>商品採用店舗確認</t>
  </si>
  <si>
    <t>ー</t>
  </si>
  <si>
    <r>
      <rPr>
        <sz val="11"/>
        <color rgb="FF000000"/>
        <rFont val="Meiryo UI"/>
        <family val="2"/>
      </rPr>
      <t>イベントID：SC0401-01</t>
    </r>
  </si>
  <si>
    <t>PLUコード</t>
  </si>
  <si>
    <t>EditText</t>
  </si>
  <si>
    <t>AP1506</t>
  </si>
  <si>
    <t>parent_item_code</t>
  </si>
  <si>
    <t>PLU</t>
  </si>
  <si>
    <r>
      <rPr>
        <sz val="11"/>
        <color rgb="FF000000"/>
        <rFont val="Meiryo UI"/>
        <family val="2"/>
      </rPr>
      <t>イベントID：SC0401-02</t>
    </r>
  </si>
  <si>
    <t>商品名称</t>
  </si>
  <si>
    <t>item_name</t>
  </si>
  <si>
    <t>デフォルト：無効</t>
  </si>
  <si>
    <t>belong_to</t>
  </si>
  <si>
    <r>
      <rPr>
        <sz val="11"/>
        <color rgb="FF000000"/>
        <rFont val="Meiryo UI"/>
        <family val="2"/>
      </rPr>
      <t xml:space="preserve">取扱店舗（タイトル） </t>
    </r>
  </si>
  <si>
    <t>取扱店舗</t>
  </si>
  <si>
    <t>チェックボックス</t>
  </si>
  <si>
    <t>belong_to = 1の場合に選択される。</t>
  </si>
  <si>
    <t>デフォルト： 無効。exist_in = 0又は1の場合は有効になる。</t>
  </si>
  <si>
    <t>AP0401</t>
  </si>
  <si>
    <t>belong_to = 2の場合に選択される。</t>
  </si>
  <si>
    <t>デフォルト： 無効。exist_in = 0又は2の場合は有効になる。</t>
  </si>
  <si>
    <t>ボタン</t>
  </si>
  <si>
    <t>項目1又は項目4に値がある場合は有効になる。</t>
  </si>
  <si>
    <r>
      <rPr>
        <sz val="11"/>
        <color rgb="FF000000"/>
        <rFont val="Meiryo UI"/>
        <family val="2"/>
      </rPr>
      <t>イベントID：SC0401-03</t>
    </r>
  </si>
  <si>
    <r>
      <rPr>
        <sz val="11"/>
        <color rgb="FF000000"/>
        <rFont val="Meiryo UI"/>
        <family val="2"/>
      </rPr>
      <t xml:space="preserve">F09:確定 </t>
    </r>
  </si>
  <si>
    <t>F09:確定</t>
  </si>
  <si>
    <t>対象会社選択変更があった場合は有効になる。</t>
  </si>
  <si>
    <r>
      <rPr>
        <sz val="11"/>
        <color rgb="FF000000"/>
        <rFont val="Meiryo UI"/>
        <family val="2"/>
      </rPr>
      <t>イベントID：SC0401-04</t>
    </r>
  </si>
  <si>
    <t>Android POS Control</t>
  </si>
  <si>
    <r>
      <rPr>
        <sz val="11"/>
        <color rgb="FF000000"/>
        <rFont val="Meiryo UI"/>
        <family val="2"/>
      </rPr>
      <t>Password</t>
    </r>
  </si>
  <si>
    <t xml:space="preserve">■イメージ </t>
  </si>
  <si>
    <t>User ID</t>
  </si>
  <si>
    <t>Login</t>
  </si>
  <si>
    <t>デフォルト：有効。AP1506の呼び出しが成功した場合は無効になる。</t>
  </si>
  <si>
    <t>belong_to = 0: Kasumi, 1: Welcia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</si>
</sst>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9"/>
      <name val="Tahoma"/>
      <family val="2"/>
    </font>
    <font>
      <b/>
      <sz val="9"/>
      <name val="Tahoma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8" fillId="0" borderId="0">
      <alignment vertical="center"/>
    </xf>
  </cellStyleXfs>
  <cellXfs count="26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horizontal="center" vertical="center"/>
    </xf>
    <xf numFmtId="0" fontId="3" fillId="0" borderId="19" xfId="6" applyFont="1" applyBorder="1" applyAlignment="1">
      <alignment vertical="center"/>
    </xf>
    <xf numFmtId="0" fontId="3" fillId="0" borderId="18" xfId="6" applyFont="1" applyBorder="1" applyAlignment="1">
      <alignment horizontal="center" vertical="center"/>
    </xf>
    <xf numFmtId="0" fontId="13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" xfId="0" applyFont="1" applyBorder="1"/>
    <xf numFmtId="0" fontId="13" fillId="0" borderId="4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11" xfId="0" applyFont="1" applyBorder="1"/>
    <xf numFmtId="0" fontId="13" fillId="0" borderId="6" xfId="0" applyFont="1" applyBorder="1"/>
    <xf numFmtId="0" fontId="13" fillId="0" borderId="12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3" xfId="0" applyFont="1" applyBorder="1"/>
    <xf numFmtId="0" fontId="13" fillId="0" borderId="0" xfId="6" applyFont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2" fontId="13" fillId="0" borderId="22" xfId="0" applyNumberFormat="1" applyFont="1" applyBorder="1" applyAlignment="1">
      <alignment horizontal="center" vertical="center"/>
    </xf>
    <xf numFmtId="2" fontId="13" fillId="0" borderId="23" xfId="0" applyNumberFormat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14" fontId="13" fillId="0" borderId="22" xfId="0" applyNumberFormat="1" applyFont="1" applyBorder="1" applyAlignment="1">
      <alignment horizontal="center" vertical="center"/>
    </xf>
    <xf numFmtId="14" fontId="13" fillId="0" borderId="23" xfId="0" applyNumberFormat="1" applyFont="1" applyBorder="1" applyAlignment="1">
      <alignment horizontal="center" vertical="center"/>
    </xf>
    <xf numFmtId="14" fontId="13" fillId="0" borderId="24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28" xfId="0" applyFont="1" applyBorder="1"/>
    <xf numFmtId="0" fontId="13" fillId="0" borderId="29" xfId="0" applyFont="1" applyBorder="1"/>
    <xf numFmtId="0" fontId="13" fillId="0" borderId="16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22" xfId="0" applyFont="1" applyBorder="1"/>
    <xf numFmtId="0" fontId="13" fillId="0" borderId="2" xfId="0" applyFont="1" applyBorder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9" fillId="2" borderId="0" xfId="0" applyFont="1" applyFill="1"/>
    <xf numFmtId="0" fontId="12" fillId="0" borderId="22" xfId="0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9" fillId="2" borderId="25" xfId="6" applyFont="1" applyFill="1" applyBorder="1" applyAlignment="1">
      <alignment horizontal="center" vertical="center"/>
    </xf>
    <xf numFmtId="0" fontId="9" fillId="2" borderId="26" xfId="6" applyFont="1" applyFill="1" applyBorder="1" applyAlignment="1">
      <alignment horizontal="center" vertical="center"/>
    </xf>
    <xf numFmtId="0" fontId="9" fillId="2" borderId="27" xfId="6" applyFont="1" applyFill="1" applyBorder="1" applyAlignment="1">
      <alignment horizontal="center" vertical="center"/>
    </xf>
    <xf numFmtId="0" fontId="12" fillId="0" borderId="22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0" borderId="24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4" fillId="0" borderId="25" xfId="6" applyFont="1" applyBorder="1" applyAlignment="1">
      <alignment horizontal="center" vertical="center"/>
    </xf>
    <xf numFmtId="0" fontId="4" fillId="3" borderId="22" xfId="6" applyFont="1" applyFill="1" applyBorder="1" applyAlignment="1">
      <alignment vertical="center" wrapText="1"/>
    </xf>
    <xf numFmtId="0" fontId="3" fillId="3" borderId="24" xfId="6" applyFont="1" applyFill="1" applyBorder="1" applyAlignment="1">
      <alignment vertical="center"/>
    </xf>
    <xf numFmtId="0" fontId="3" fillId="3" borderId="1" xfId="6" applyFont="1" applyFill="1" applyBorder="1" applyAlignment="1">
      <alignment vertical="center"/>
    </xf>
    <xf numFmtId="0" fontId="3" fillId="3" borderId="4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3" fillId="3" borderId="5" xfId="6" applyFont="1" applyFill="1" applyBorder="1" applyAlignment="1">
      <alignment vertical="center"/>
    </xf>
    <xf numFmtId="0" fontId="4" fillId="3" borderId="22" xfId="6" applyFont="1" applyFill="1" applyBorder="1" applyAlignment="1">
      <alignment vertical="center"/>
    </xf>
    <xf numFmtId="0" fontId="3" fillId="3" borderId="23" xfId="6" applyFont="1" applyFill="1" applyBorder="1" applyAlignment="1">
      <alignment vertical="center"/>
    </xf>
    <xf numFmtId="0" fontId="3" fillId="3" borderId="0" xfId="6" applyFont="1" applyFill="1" applyAlignment="1">
      <alignment vertical="center"/>
    </xf>
    <xf numFmtId="0" fontId="3" fillId="3" borderId="3" xfId="6" applyFont="1" applyFill="1" applyBorder="1" applyAlignment="1">
      <alignment vertical="center"/>
    </xf>
    <xf numFmtId="0" fontId="3" fillId="3" borderId="33" xfId="6" applyFont="1" applyFill="1" applyBorder="1" applyAlignment="1">
      <alignment vertical="center" shrinkToFit="1"/>
    </xf>
    <xf numFmtId="0" fontId="3" fillId="3" borderId="34" xfId="6" applyFont="1" applyFill="1" applyBorder="1" applyAlignment="1">
      <alignment vertical="center" shrinkToFit="1"/>
    </xf>
    <xf numFmtId="0" fontId="3" fillId="3" borderId="35" xfId="6" applyFont="1" applyFill="1" applyBorder="1" applyAlignment="1">
      <alignment vertical="center" shrinkToFit="1"/>
    </xf>
    <xf numFmtId="0" fontId="4" fillId="3" borderId="33" xfId="6" applyFont="1" applyFill="1" applyBorder="1" applyAlignment="1">
      <alignment vertical="center" wrapText="1"/>
    </xf>
    <xf numFmtId="0" fontId="4" fillId="3" borderId="34" xfId="6" applyFont="1" applyFill="1" applyBorder="1" applyAlignment="1">
      <alignment vertical="center" wrapText="1"/>
    </xf>
    <xf numFmtId="0" fontId="4" fillId="3" borderId="35" xfId="6" applyFont="1" applyFill="1" applyBorder="1" applyAlignment="1">
      <alignment vertical="center" wrapText="1"/>
    </xf>
    <xf numFmtId="0" fontId="4" fillId="4" borderId="2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/>
    </xf>
    <xf numFmtId="0" fontId="3" fillId="4" borderId="36" xfId="6" applyFont="1" applyFill="1" applyBorder="1" applyAlignment="1">
      <alignment vertical="center"/>
    </xf>
    <xf numFmtId="0" fontId="4" fillId="4" borderId="37" xfId="6" applyFont="1" applyFill="1" applyBorder="1" applyAlignment="1">
      <alignment vertical="center"/>
    </xf>
    <xf numFmtId="0" fontId="3" fillId="4" borderId="27" xfId="6" applyFont="1" applyFill="1" applyBorder="1" applyAlignment="1">
      <alignment vertical="center"/>
    </xf>
    <xf numFmtId="0" fontId="3" fillId="0" borderId="38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38" xfId="6" applyFont="1" applyBorder="1" applyAlignment="1">
      <alignment vertical="center"/>
    </xf>
    <xf numFmtId="0" fontId="3" fillId="0" borderId="39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4" fillId="0" borderId="38" xfId="6" applyFont="1" applyBorder="1" applyAlignment="1">
      <alignment vertical="center"/>
    </xf>
    <xf numFmtId="0" fontId="4" fillId="0" borderId="39" xfId="6" applyFont="1" applyBorder="1" applyAlignment="1">
      <alignment vertical="center"/>
    </xf>
    <xf numFmtId="0" fontId="4" fillId="0" borderId="21" xfId="6" applyFont="1" applyBorder="1" applyAlignment="1">
      <alignment vertical="center"/>
    </xf>
    <xf numFmtId="0" fontId="4" fillId="0" borderId="38" xfId="6" applyFont="1" applyBorder="1" applyAlignment="1">
      <alignment horizontal="center" vertical="center"/>
    </xf>
    <xf numFmtId="0" fontId="4" fillId="0" borderId="39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38" xfId="6" applyFont="1" applyBorder="1" applyAlignment="1">
      <alignment horizontal="left" vertical="center"/>
    </xf>
    <xf numFmtId="0" fontId="4" fillId="0" borderId="39" xfId="6" applyFont="1" applyBorder="1" applyAlignment="1">
      <alignment horizontal="left" vertical="center"/>
    </xf>
    <xf numFmtId="0" fontId="4" fillId="0" borderId="21" xfId="6" applyFont="1" applyBorder="1" applyAlignment="1">
      <alignment horizontal="left" vertical="center"/>
    </xf>
    <xf numFmtId="0" fontId="4" fillId="5" borderId="25" xfId="6" applyFont="1" applyFill="1" applyBorder="1" applyAlignment="1">
      <alignment vertical="center"/>
    </xf>
    <xf numFmtId="0" fontId="3" fillId="5" borderId="26" xfId="6" applyFont="1" applyFill="1" applyBorder="1" applyAlignment="1">
      <alignment vertical="center"/>
    </xf>
    <xf numFmtId="0" fontId="3" fillId="5" borderId="27" xfId="6" applyFont="1" applyFill="1" applyBorder="1" applyAlignment="1">
      <alignment vertical="center"/>
    </xf>
    <xf numFmtId="0" fontId="4" fillId="6" borderId="22" xfId="6" applyFont="1" applyFill="1" applyBorder="1" applyAlignment="1">
      <alignment vertical="center"/>
    </xf>
    <xf numFmtId="0" fontId="3" fillId="6" borderId="23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5" borderId="25" xfId="6" applyFont="1" applyFill="1" applyBorder="1"/>
    <xf numFmtId="0" fontId="4" fillId="5" borderId="26" xfId="6" applyFont="1" applyFill="1" applyBorder="1"/>
    <xf numFmtId="0" fontId="4" fillId="5" borderId="27" xfId="6" applyFont="1" applyFill="1" applyBorder="1"/>
    <xf numFmtId="0" fontId="4" fillId="5" borderId="2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4" fillId="4" borderId="22" xfId="6" applyFont="1" applyFill="1" applyBorder="1" applyAlignment="1">
      <alignment vertical="center" wrapText="1"/>
    </xf>
    <xf numFmtId="0" fontId="3" fillId="4" borderId="2" xfId="6" applyFont="1" applyFill="1" applyBorder="1" applyAlignment="1">
      <alignment vertical="center" wrapText="1"/>
    </xf>
    <xf numFmtId="0" fontId="4" fillId="4" borderId="33" xfId="6" applyFont="1" applyFill="1" applyBorder="1" applyAlignment="1">
      <alignment vertical="center" wrapText="1"/>
    </xf>
    <xf numFmtId="0" fontId="4" fillId="4" borderId="35" xfId="6" applyFont="1" applyFill="1" applyBorder="1" applyAlignment="1">
      <alignment vertical="center" wrapText="1"/>
    </xf>
    <xf numFmtId="0" fontId="4" fillId="4" borderId="24" xfId="6" applyFont="1" applyFill="1" applyBorder="1" applyAlignment="1">
      <alignment vertical="center" wrapText="1"/>
    </xf>
    <xf numFmtId="0" fontId="4" fillId="4" borderId="5" xfId="6" applyFont="1" applyFill="1" applyBorder="1" applyAlignment="1">
      <alignment vertical="center" wrapText="1"/>
    </xf>
    <xf numFmtId="0" fontId="4" fillId="0" borderId="38" xfId="6" applyFont="1" applyBorder="1" applyAlignment="1">
      <alignment horizontal="center" vertical="center" wrapText="1"/>
    </xf>
    <xf numFmtId="0" fontId="4" fillId="0" borderId="39" xfId="6" applyFont="1" applyBorder="1" applyAlignment="1">
      <alignment horizontal="center" vertical="center" wrapText="1"/>
    </xf>
    <xf numFmtId="0" fontId="4" fillId="0" borderId="21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left" vertical="center"/>
    </xf>
    <xf numFmtId="0" fontId="3" fillId="0" borderId="39" xfId="6" applyFont="1" applyBorder="1" applyAlignment="1">
      <alignment horizontal="left" vertical="center"/>
    </xf>
    <xf numFmtId="0" fontId="3" fillId="0" borderId="21" xfId="6" applyFont="1" applyBorder="1" applyAlignment="1">
      <alignment horizontal="left" vertical="center"/>
    </xf>
    <xf numFmtId="0" fontId="3" fillId="0" borderId="39" xfId="6" applyFont="1" applyBorder="1" applyAlignment="1">
      <alignment horizontal="center" vertical="center"/>
    </xf>
    <xf numFmtId="0" fontId="13" fillId="0" borderId="38" xfId="6" applyFont="1" applyBorder="1" applyAlignment="1">
      <alignment vertical="center" wrapText="1"/>
    </xf>
    <xf numFmtId="0" fontId="13" fillId="0" borderId="39" xfId="6" applyFont="1" applyBorder="1" applyAlignment="1">
      <alignment vertical="center" wrapText="1"/>
    </xf>
    <xf numFmtId="0" fontId="13" fillId="0" borderId="21" xfId="6" applyFont="1" applyBorder="1" applyAlignment="1">
      <alignment vertical="center" wrapText="1"/>
    </xf>
    <xf numFmtId="0" fontId="3" fillId="0" borderId="40" xfId="6" applyFont="1" applyBorder="1" applyAlignment="1">
      <alignment horizontal="center" vertical="center"/>
    </xf>
    <xf numFmtId="0" fontId="3" fillId="0" borderId="41" xfId="6" applyFont="1" applyBorder="1" applyAlignment="1">
      <alignment horizontal="center" vertical="center"/>
    </xf>
    <xf numFmtId="0" fontId="3" fillId="0" borderId="40" xfId="6" quotePrefix="1" applyFont="1" applyBorder="1" applyAlignment="1">
      <alignment vertical="center"/>
    </xf>
    <xf numFmtId="0" fontId="3" fillId="0" borderId="42" xfId="6" quotePrefix="1" applyFont="1" applyBorder="1" applyAlignment="1">
      <alignment vertical="center"/>
    </xf>
    <xf numFmtId="0" fontId="3" fillId="0" borderId="41" xfId="6" quotePrefix="1" applyFont="1" applyBorder="1" applyAlignment="1">
      <alignment vertical="center"/>
    </xf>
    <xf numFmtId="0" fontId="4" fillId="0" borderId="40" xfId="6" applyFont="1" applyBorder="1" applyAlignment="1">
      <alignment vertical="center"/>
    </xf>
    <xf numFmtId="0" fontId="3" fillId="0" borderId="42" xfId="6" applyFont="1" applyBorder="1" applyAlignment="1">
      <alignment vertical="center"/>
    </xf>
    <xf numFmtId="0" fontId="3" fillId="0" borderId="41" xfId="6" applyFont="1" applyBorder="1" applyAlignment="1">
      <alignment vertical="center"/>
    </xf>
    <xf numFmtId="0" fontId="4" fillId="0" borderId="40" xfId="6" applyFont="1" applyBorder="1" applyAlignment="1">
      <alignment horizontal="center" vertical="center"/>
    </xf>
    <xf numFmtId="0" fontId="3" fillId="0" borderId="42" xfId="6" applyFont="1" applyBorder="1" applyAlignment="1">
      <alignment horizontal="center" vertical="center"/>
    </xf>
    <xf numFmtId="0" fontId="4" fillId="0" borderId="40" xfId="6" applyFont="1" applyBorder="1" applyAlignment="1">
      <alignment horizontal="left" vertical="center"/>
    </xf>
    <xf numFmtId="0" fontId="3" fillId="0" borderId="42" xfId="6" applyFont="1" applyBorder="1" applyAlignment="1">
      <alignment horizontal="left" vertical="center"/>
    </xf>
    <xf numFmtId="0" fontId="3" fillId="0" borderId="41" xfId="6" applyFont="1" applyBorder="1" applyAlignment="1">
      <alignment horizontal="left" vertical="center"/>
    </xf>
    <xf numFmtId="0" fontId="3" fillId="0" borderId="30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0" xfId="6" quotePrefix="1" applyFont="1" applyBorder="1" applyAlignment="1">
      <alignment vertical="center"/>
    </xf>
    <xf numFmtId="0" fontId="3" fillId="0" borderId="31" xfId="6" quotePrefix="1" applyFont="1" applyBorder="1" applyAlignment="1">
      <alignment vertical="center"/>
    </xf>
    <xf numFmtId="0" fontId="3" fillId="0" borderId="32" xfId="6" quotePrefix="1" applyFont="1" applyBorder="1" applyAlignment="1">
      <alignment vertical="center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3" fillId="0" borderId="32" xfId="6" applyFont="1" applyBorder="1" applyAlignment="1">
      <alignment vertical="center"/>
    </xf>
    <xf numFmtId="0" fontId="3" fillId="0" borderId="31" xfId="6" applyFont="1" applyBorder="1" applyAlignment="1">
      <alignment horizontal="center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/>
    </xf>
    <xf numFmtId="0" fontId="3" fillId="0" borderId="40" xfId="6" quotePrefix="1" applyFont="1" applyBorder="1" applyAlignment="1">
      <alignment vertical="center" wrapText="1"/>
    </xf>
    <xf numFmtId="0" fontId="3" fillId="0" borderId="42" xfId="6" quotePrefix="1" applyFont="1" applyBorder="1" applyAlignment="1">
      <alignment vertical="center" wrapText="1"/>
    </xf>
    <xf numFmtId="0" fontId="3" fillId="0" borderId="41" xfId="6" quotePrefix="1" applyFont="1" applyBorder="1" applyAlignment="1">
      <alignment vertical="center" wrapText="1"/>
    </xf>
    <xf numFmtId="0" fontId="3" fillId="0" borderId="40" xfId="6" applyFont="1" applyBorder="1" applyAlignment="1">
      <alignment horizontal="left" vertical="center"/>
    </xf>
    <xf numFmtId="0" fontId="13" fillId="0" borderId="38" xfId="6" quotePrefix="1" applyFont="1" applyBorder="1" applyAlignment="1">
      <alignment vertical="center"/>
    </xf>
    <xf numFmtId="0" fontId="13" fillId="0" borderId="39" xfId="6" quotePrefix="1" applyFont="1" applyBorder="1" applyAlignment="1">
      <alignment vertical="center"/>
    </xf>
    <xf numFmtId="0" fontId="13" fillId="0" borderId="21" xfId="6" quotePrefix="1" applyFont="1" applyBorder="1" applyAlignment="1">
      <alignment vertical="center"/>
    </xf>
    <xf numFmtId="0" fontId="3" fillId="0" borderId="40" xfId="6" applyFont="1" applyBorder="1" applyAlignment="1">
      <alignment vertical="center"/>
    </xf>
    <xf numFmtId="0" fontId="4" fillId="0" borderId="40" xfId="6" quotePrefix="1" applyFont="1" applyBorder="1" applyAlignment="1">
      <alignment horizontal="center" vertical="center"/>
    </xf>
    <xf numFmtId="0" fontId="4" fillId="0" borderId="42" xfId="6" applyFont="1" applyBorder="1" applyAlignment="1">
      <alignment horizontal="center" vertical="center"/>
    </xf>
    <xf numFmtId="0" fontId="4" fillId="0" borderId="41" xfId="6" applyFont="1" applyBorder="1" applyAlignment="1">
      <alignment horizontal="center" vertical="center"/>
    </xf>
    <xf numFmtId="0" fontId="13" fillId="0" borderId="40" xfId="6" applyFont="1" applyBorder="1" applyAlignment="1">
      <alignment vertical="center"/>
    </xf>
    <xf numFmtId="0" fontId="13" fillId="0" borderId="42" xfId="6" applyFont="1" applyBorder="1" applyAlignment="1">
      <alignment vertical="center"/>
    </xf>
    <xf numFmtId="0" fontId="13" fillId="0" borderId="41" xfId="6" applyFont="1" applyBorder="1" applyAlignment="1">
      <alignment vertical="center"/>
    </xf>
    <xf numFmtId="0" fontId="4" fillId="0" borderId="30" xfId="6" applyFont="1" applyBorder="1" applyAlignment="1">
      <alignment horizontal="left" vertical="center"/>
    </xf>
    <xf numFmtId="0" fontId="13" fillId="0" borderId="30" xfId="6" applyFont="1" applyBorder="1" applyAlignment="1">
      <alignment vertical="center"/>
    </xf>
    <xf numFmtId="0" fontId="13" fillId="0" borderId="31" xfId="6" applyFont="1" applyBorder="1" applyAlignment="1">
      <alignment vertical="center"/>
    </xf>
    <xf numFmtId="0" fontId="13" fillId="0" borderId="32" xfId="6" applyFont="1" applyBorder="1" applyAlignment="1">
      <alignment vertical="center"/>
    </xf>
    <xf numFmtId="0" fontId="4" fillId="0" borderId="30" xfId="6" quotePrefix="1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3" fillId="0" borderId="40" xfId="6" quotePrefix="1" applyFont="1" applyBorder="1" applyAlignment="1">
      <alignment horizontal="center" vertical="center"/>
    </xf>
    <xf numFmtId="0" fontId="13" fillId="0" borderId="38" xfId="6" applyFont="1" applyBorder="1" applyAlignment="1">
      <alignment vertical="center"/>
    </xf>
    <xf numFmtId="0" fontId="13" fillId="0" borderId="39" xfId="6" applyFont="1" applyBorder="1" applyAlignment="1">
      <alignment vertical="center"/>
    </xf>
    <xf numFmtId="0" fontId="13" fillId="0" borderId="21" xfId="6" applyFont="1" applyBorder="1" applyAlignment="1">
      <alignment vertical="center"/>
    </xf>
    <xf numFmtId="0" fontId="4" fillId="0" borderId="40" xfId="6" quotePrefix="1" applyFont="1" applyBorder="1" applyAlignment="1">
      <alignment horizontal="center" vertical="center" wrapText="1"/>
    </xf>
    <xf numFmtId="0" fontId="4" fillId="0" borderId="42" xfId="6" applyFont="1" applyBorder="1" applyAlignment="1">
      <alignment horizontal="center" vertical="center" wrapText="1"/>
    </xf>
    <xf numFmtId="0" fontId="4" fillId="0" borderId="41" xfId="6" applyFont="1" applyBorder="1" applyAlignment="1">
      <alignment horizontal="center" vertical="center" wrapText="1"/>
    </xf>
    <xf numFmtId="0" fontId="5" fillId="0" borderId="40" xfId="6" applyFont="1" applyBorder="1" applyAlignment="1">
      <alignment vertical="center" wrapText="1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13" fillId="0" borderId="28" xfId="6" applyFont="1" applyBorder="1" applyAlignment="1">
      <alignment vertical="center" wrapText="1"/>
    </xf>
    <xf numFmtId="0" fontId="13" fillId="0" borderId="29" xfId="6" applyFont="1" applyBorder="1" applyAlignment="1">
      <alignment vertical="center" wrapText="1"/>
    </xf>
    <xf numFmtId="0" fontId="13" fillId="0" borderId="16" xfId="6" applyFont="1" applyBorder="1" applyAlignment="1">
      <alignment vertical="center" wrapText="1"/>
    </xf>
    <xf numFmtId="0" fontId="3" fillId="0" borderId="28" xfId="6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28" xfId="6" applyFont="1" applyBorder="1" applyAlignment="1">
      <alignment vertical="center"/>
    </xf>
    <xf numFmtId="0" fontId="4" fillId="0" borderId="29" xfId="6" applyFont="1" applyBorder="1" applyAlignment="1">
      <alignment vertical="center"/>
    </xf>
    <xf numFmtId="0" fontId="4" fillId="0" borderId="16" xfId="6" applyFont="1" applyBorder="1" applyAlignment="1">
      <alignment vertical="center"/>
    </xf>
    <xf numFmtId="0" fontId="4" fillId="0" borderId="28" xfId="6" applyFont="1" applyBorder="1" applyAlignment="1">
      <alignment horizontal="center" vertical="center"/>
    </xf>
    <xf numFmtId="0" fontId="4" fillId="0" borderId="29" xfId="6" applyFont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0" borderId="28" xfId="6" applyFont="1" applyBorder="1" applyAlignment="1">
      <alignment horizontal="left" vertical="center"/>
    </xf>
    <xf numFmtId="0" fontId="4" fillId="0" borderId="29" xfId="6" applyFont="1" applyBorder="1" applyAlignment="1">
      <alignment horizontal="left" vertical="center"/>
    </xf>
    <xf numFmtId="0" fontId="4" fillId="0" borderId="16" xfId="6" applyFont="1" applyBorder="1" applyAlignment="1">
      <alignment horizontal="left" vertical="center"/>
    </xf>
    <xf numFmtId="0" fontId="4" fillId="0" borderId="28" xfId="6" applyFont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3" fillId="0" borderId="28" xfId="6" applyFont="1" applyBorder="1" applyAlignment="1">
      <alignment horizontal="left" vertical="center"/>
    </xf>
    <xf numFmtId="0" fontId="3" fillId="0" borderId="29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4" borderId="22" xfId="6" applyFont="1" applyFill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22413</xdr:colOff>
      <xdr:row>9</xdr:row>
      <xdr:rowOff>0</xdr:rowOff>
    </xdr:from>
    <xdr:to>
      <xdr:col>38</xdr:col>
      <xdr:colOff>100853</xdr:colOff>
      <xdr:row>36</xdr:row>
      <xdr:rowOff>49320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828800"/>
          <a:ext cx="11049000" cy="5267325"/>
        </a:xfrm>
        <a:prstGeom prst="rect">
          <a:avLst/>
        </a:prstGeom>
      </xdr:spPr>
    </xdr:pic>
    <xdr:clientData/>
  </xdr:twoCellAnchor>
  <xdr:twoCellAnchor>
    <xdr:from>
      <xdr:col>8</xdr:col>
      <xdr:colOff>11206</xdr:colOff>
      <xdr:row>12</xdr:row>
      <xdr:rowOff>56029</xdr:rowOff>
    </xdr:from>
    <xdr:to>
      <xdr:col>9</xdr:col>
      <xdr:colOff>100852</xdr:colOff>
      <xdr:row>14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447925" y="24574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</a:t>
          </a:r>
        </a:p>
      </xdr:txBody>
    </xdr:sp>
    <xdr:clientData/>
  </xdr:twoCellAnchor>
  <xdr:twoCellAnchor>
    <xdr:from>
      <xdr:col>23</xdr:col>
      <xdr:colOff>179296</xdr:colOff>
      <xdr:row>12</xdr:row>
      <xdr:rowOff>56029</xdr:rowOff>
    </xdr:from>
    <xdr:to>
      <xdr:col>24</xdr:col>
      <xdr:colOff>268943</xdr:colOff>
      <xdr:row>14</xdr:row>
      <xdr:rowOff>11206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191375" y="2457450"/>
          <a:ext cx="3905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</a:t>
          </a:r>
        </a:p>
      </xdr:txBody>
    </xdr:sp>
    <xdr:clientData/>
  </xdr:twoCellAnchor>
  <xdr:twoCellAnchor>
    <xdr:from>
      <xdr:col>8</xdr:col>
      <xdr:colOff>11207</xdr:colOff>
      <xdr:row>14</xdr:row>
      <xdr:rowOff>89647</xdr:rowOff>
    </xdr:from>
    <xdr:to>
      <xdr:col>9</xdr:col>
      <xdr:colOff>100853</xdr:colOff>
      <xdr:row>16</xdr:row>
      <xdr:rowOff>44824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47925" y="2867025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</a:t>
          </a:r>
        </a:p>
      </xdr:txBody>
    </xdr:sp>
    <xdr:clientData/>
  </xdr:twoCellAnchor>
  <xdr:twoCellAnchor>
    <xdr:from>
      <xdr:col>23</xdr:col>
      <xdr:colOff>179296</xdr:colOff>
      <xdr:row>14</xdr:row>
      <xdr:rowOff>89647</xdr:rowOff>
    </xdr:from>
    <xdr:to>
      <xdr:col>24</xdr:col>
      <xdr:colOff>268943</xdr:colOff>
      <xdr:row>16</xdr:row>
      <xdr:rowOff>44824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91375" y="2867025"/>
          <a:ext cx="3905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</a:t>
          </a:r>
        </a:p>
      </xdr:txBody>
    </xdr:sp>
    <xdr:clientData/>
  </xdr:twoCellAnchor>
  <xdr:twoCellAnchor>
    <xdr:from>
      <xdr:col>8</xdr:col>
      <xdr:colOff>11207</xdr:colOff>
      <xdr:row>16</xdr:row>
      <xdr:rowOff>112059</xdr:rowOff>
    </xdr:from>
    <xdr:to>
      <xdr:col>9</xdr:col>
      <xdr:colOff>100853</xdr:colOff>
      <xdr:row>18</xdr:row>
      <xdr:rowOff>67236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447925" y="32766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</a:t>
          </a:r>
        </a:p>
      </xdr:txBody>
    </xdr:sp>
    <xdr:clientData/>
  </xdr:twoCellAnchor>
  <xdr:twoCellAnchor>
    <xdr:from>
      <xdr:col>23</xdr:col>
      <xdr:colOff>179296</xdr:colOff>
      <xdr:row>16</xdr:row>
      <xdr:rowOff>145677</xdr:rowOff>
    </xdr:from>
    <xdr:to>
      <xdr:col>24</xdr:col>
      <xdr:colOff>268943</xdr:colOff>
      <xdr:row>18</xdr:row>
      <xdr:rowOff>100854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7191375" y="3305175"/>
          <a:ext cx="3905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</a:t>
          </a:r>
        </a:p>
      </xdr:txBody>
    </xdr:sp>
    <xdr:clientData/>
  </xdr:twoCellAnchor>
  <xdr:twoCellAnchor>
    <xdr:from>
      <xdr:col>8</xdr:col>
      <xdr:colOff>11207</xdr:colOff>
      <xdr:row>18</xdr:row>
      <xdr:rowOff>156882</xdr:rowOff>
    </xdr:from>
    <xdr:to>
      <xdr:col>9</xdr:col>
      <xdr:colOff>100853</xdr:colOff>
      <xdr:row>20</xdr:row>
      <xdr:rowOff>112059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447925" y="36957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</a:t>
          </a:r>
        </a:p>
      </xdr:txBody>
    </xdr:sp>
    <xdr:clientData/>
  </xdr:twoCellAnchor>
  <xdr:twoCellAnchor>
    <xdr:from>
      <xdr:col>12</xdr:col>
      <xdr:colOff>89646</xdr:colOff>
      <xdr:row>20</xdr:row>
      <xdr:rowOff>100852</xdr:rowOff>
    </xdr:from>
    <xdr:to>
      <xdr:col>13</xdr:col>
      <xdr:colOff>168088</xdr:colOff>
      <xdr:row>22</xdr:row>
      <xdr:rowOff>67235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743325" y="4029075"/>
          <a:ext cx="390525" cy="342900"/>
        </a:xfrm>
        <a:prstGeom prst="borderCallout1">
          <a:avLst>
            <a:gd name="adj1" fmla="val 46750"/>
            <a:gd name="adj2" fmla="val 2012"/>
            <a:gd name="adj3" fmla="val -35371"/>
            <a:gd name="adj4" fmla="val -716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</a:t>
          </a:r>
        </a:p>
      </xdr:txBody>
    </xdr:sp>
    <xdr:clientData/>
  </xdr:twoCellAnchor>
  <xdr:twoCellAnchor>
    <xdr:from>
      <xdr:col>19</xdr:col>
      <xdr:colOff>33619</xdr:colOff>
      <xdr:row>20</xdr:row>
      <xdr:rowOff>145676</xdr:rowOff>
    </xdr:from>
    <xdr:to>
      <xdr:col>20</xdr:col>
      <xdr:colOff>112061</xdr:colOff>
      <xdr:row>22</xdr:row>
      <xdr:rowOff>112059</xdr:rowOff>
    </xdr:to>
    <xdr:sp macro="" textlink="" fLocksText="0">
      <xdr:nvSpPr>
        <xdr:cNvPr id="14" name="Callout: Lin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829300" y="4067175"/>
          <a:ext cx="381000" cy="352425"/>
        </a:xfrm>
        <a:prstGeom prst="borderCallout1">
          <a:avLst>
            <a:gd name="adj1" fmla="val 46750"/>
            <a:gd name="adj2" fmla="val 2012"/>
            <a:gd name="adj3" fmla="val -35371"/>
            <a:gd name="adj4" fmla="val -716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</a:t>
          </a:r>
        </a:p>
      </xdr:txBody>
    </xdr:sp>
    <xdr:clientData/>
  </xdr:twoCellAnchor>
  <xdr:twoCellAnchor>
    <xdr:from>
      <xdr:col>32</xdr:col>
      <xdr:colOff>112060</xdr:colOff>
      <xdr:row>31</xdr:row>
      <xdr:rowOff>179295</xdr:rowOff>
    </xdr:from>
    <xdr:to>
      <xdr:col>33</xdr:col>
      <xdr:colOff>190502</xdr:colOff>
      <xdr:row>33</xdr:row>
      <xdr:rowOff>123266</xdr:rowOff>
    </xdr:to>
    <xdr:sp macro="" textlink="" fLocksText="0">
      <xdr:nvSpPr>
        <xdr:cNvPr id="15" name="Callout: Lin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9867900" y="6229350"/>
          <a:ext cx="381000" cy="342900"/>
        </a:xfrm>
        <a:prstGeom prst="borderCallout1">
          <a:avLst>
            <a:gd name="adj1" fmla="val 91911"/>
            <a:gd name="adj2" fmla="val 55137"/>
            <a:gd name="adj3" fmla="val 180756"/>
            <a:gd name="adj4" fmla="val 125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</a:t>
          </a:r>
        </a:p>
      </xdr:txBody>
    </xdr:sp>
    <xdr:clientData/>
  </xdr:twoCellAnchor>
  <xdr:twoCellAnchor>
    <xdr:from>
      <xdr:col>35</xdr:col>
      <xdr:colOff>246530</xdr:colOff>
      <xdr:row>31</xdr:row>
      <xdr:rowOff>156883</xdr:rowOff>
    </xdr:from>
    <xdr:to>
      <xdr:col>37</xdr:col>
      <xdr:colOff>44825</xdr:colOff>
      <xdr:row>33</xdr:row>
      <xdr:rowOff>100854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0915650" y="6200775"/>
          <a:ext cx="409575" cy="352425"/>
        </a:xfrm>
        <a:prstGeom prst="borderCallout1">
          <a:avLst>
            <a:gd name="adj1" fmla="val 91911"/>
            <a:gd name="adj2" fmla="val 55137"/>
            <a:gd name="adj3" fmla="val 193659"/>
            <a:gd name="adj4" fmla="val 25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</a:t>
          </a:r>
        </a:p>
      </xdr:txBody>
    </xdr:sp>
    <xdr:clientData/>
  </xdr:twoCellAnchor>
  <xdr:twoCellAnchor>
    <xdr:from>
      <xdr:col>8</xdr:col>
      <xdr:colOff>11208</xdr:colOff>
      <xdr:row>9</xdr:row>
      <xdr:rowOff>11206</xdr:rowOff>
    </xdr:from>
    <xdr:to>
      <xdr:col>9</xdr:col>
      <xdr:colOff>100854</xdr:colOff>
      <xdr:row>10</xdr:row>
      <xdr:rowOff>156883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447925" y="183832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50" t="s">
        <v>29</v>
      </c>
      <c r="B1" s="51"/>
      <c r="C1" s="51"/>
      <c r="D1" s="51"/>
      <c r="E1" s="51"/>
      <c r="F1" s="51"/>
      <c r="G1" s="51"/>
      <c r="H1" s="51"/>
      <c r="I1" s="51"/>
      <c r="J1" s="52"/>
      <c r="K1" s="50" t="s">
        <v>30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72" t="s">
        <v>31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50" t="s">
        <v>32</v>
      </c>
      <c r="AQ1" s="51"/>
      <c r="AR1" s="51"/>
      <c r="AS1" s="52"/>
      <c r="AT1" s="50" t="s">
        <v>33</v>
      </c>
      <c r="AU1" s="51"/>
      <c r="AV1" s="51"/>
      <c r="AW1" s="51"/>
      <c r="AX1" s="52"/>
      <c r="AY1" s="50" t="s">
        <v>34</v>
      </c>
      <c r="AZ1" s="51"/>
      <c r="BA1" s="51"/>
      <c r="BB1" s="52"/>
      <c r="BC1" s="50" t="s">
        <v>35</v>
      </c>
      <c r="BD1" s="51"/>
      <c r="BE1" s="51"/>
      <c r="BF1" s="51"/>
      <c r="BG1" s="52"/>
      <c r="BH1" s="50" t="s">
        <v>36</v>
      </c>
      <c r="BI1" s="51"/>
      <c r="BJ1" s="51"/>
      <c r="BK1" s="52"/>
    </row>
    <row r="2" spans="1:63" ht="15" customHeight="1" x14ac:dyDescent="0.25">
      <c r="A2" s="71" t="s">
        <v>37</v>
      </c>
      <c r="B2" s="36"/>
      <c r="C2" s="36"/>
      <c r="D2" s="36"/>
      <c r="E2" s="36"/>
      <c r="F2" s="36"/>
      <c r="G2" s="36"/>
      <c r="H2" s="36"/>
      <c r="I2" s="36"/>
      <c r="J2" s="37"/>
      <c r="K2" s="35" t="s">
        <v>1</v>
      </c>
      <c r="L2" s="36"/>
      <c r="M2" s="36"/>
      <c r="N2" s="36"/>
      <c r="O2" s="36"/>
      <c r="P2" s="36"/>
      <c r="Q2" s="36"/>
      <c r="R2" s="36"/>
      <c r="S2" s="36"/>
      <c r="T2" s="36"/>
      <c r="U2" s="36"/>
      <c r="V2" s="37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35" t="str">
        <f>改訂履歴!$H$11</f>
        <v>DuNT</v>
      </c>
      <c r="AQ2" s="36"/>
      <c r="AR2" s="36"/>
      <c r="AS2" s="37"/>
      <c r="AT2" s="65">
        <f>改訂履歴!$B$11</f>
        <v>45448</v>
      </c>
      <c r="AU2" s="66"/>
      <c r="AV2" s="66"/>
      <c r="AW2" s="66"/>
      <c r="AX2" s="67"/>
      <c r="AY2" s="35" t="str">
        <f>LOOKUP(2,1/(改訂履歴!H11:H30000&lt;&gt;""),改訂履歴!H11:H30000)</f>
        <v>DuNT</v>
      </c>
      <c r="AZ2" s="36"/>
      <c r="BA2" s="36"/>
      <c r="BB2" s="37"/>
      <c r="BC2" s="65">
        <f>LOOKUP(2,1/(改訂履歴!B11:B30000&lt;&gt;""),改訂履歴!B11:B30000)</f>
        <v>45448</v>
      </c>
      <c r="BD2" s="66"/>
      <c r="BE2" s="66"/>
      <c r="BF2" s="66"/>
      <c r="BG2" s="67"/>
      <c r="BH2" s="59">
        <f>LOOKUP(2,1/(改訂履歴!O11:O30000&lt;&gt;""),改訂履歴!O11:O30000)</f>
        <v>0.1</v>
      </c>
      <c r="BI2" s="60"/>
      <c r="BJ2" s="60"/>
      <c r="BK2" s="61"/>
    </row>
    <row r="3" spans="1:63" ht="1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41"/>
      <c r="AQ3" s="42"/>
      <c r="AR3" s="42"/>
      <c r="AS3" s="43"/>
      <c r="AT3" s="68"/>
      <c r="AU3" s="69"/>
      <c r="AV3" s="69"/>
      <c r="AW3" s="69"/>
      <c r="AX3" s="70"/>
      <c r="AY3" s="41"/>
      <c r="AZ3" s="42"/>
      <c r="BA3" s="42"/>
      <c r="BB3" s="43"/>
      <c r="BC3" s="68"/>
      <c r="BD3" s="69"/>
      <c r="BE3" s="69"/>
      <c r="BF3" s="69"/>
      <c r="BG3" s="70"/>
      <c r="BH3" s="62"/>
      <c r="BI3" s="63"/>
      <c r="BJ3" s="63"/>
      <c r="BK3" s="64"/>
    </row>
    <row r="4" spans="1:63" ht="24.95" customHeight="1" x14ac:dyDescent="0.25">
      <c r="A4" s="50" t="s">
        <v>38</v>
      </c>
      <c r="B4" s="51"/>
      <c r="C4" s="51"/>
      <c r="D4" s="51"/>
      <c r="E4" s="51"/>
      <c r="F4" s="51"/>
      <c r="G4" s="52"/>
      <c r="H4" s="55" t="s">
        <v>27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  <c r="U4" s="50" t="s">
        <v>39</v>
      </c>
      <c r="V4" s="51"/>
      <c r="W4" s="51"/>
      <c r="X4" s="51"/>
      <c r="Y4" s="52"/>
      <c r="Z4" s="58" t="s">
        <v>40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55" t="str">
        <f t="array" aca="1" ref="AP4" ca="1">RIGHT(CELL("filename",$A$1),LEN(CELL("filename",$A$1))-FIND("]",CELL("filename",$A$1)))</f>
        <v>表紙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7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K10" s="23"/>
    </row>
    <row r="11" spans="1:63" ht="15" customHeight="1" x14ac:dyDescent="0.25">
      <c r="A11" s="22"/>
      <c r="BK11" s="23"/>
    </row>
    <row r="12" spans="1:63" ht="15" customHeight="1" x14ac:dyDescent="0.25">
      <c r="A12" s="22"/>
      <c r="BK12" s="23"/>
    </row>
    <row r="13" spans="1:63" ht="15" customHeight="1" x14ac:dyDescent="0.25">
      <c r="A13" s="22"/>
      <c r="BK13" s="23"/>
    </row>
    <row r="14" spans="1:63" ht="15" customHeight="1" thickBot="1" x14ac:dyDescent="0.3">
      <c r="A14" s="22"/>
      <c r="BK14" s="23"/>
    </row>
    <row r="15" spans="1:63" ht="15" customHeight="1" thickTop="1" x14ac:dyDescent="0.25">
      <c r="A15" s="22"/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6"/>
      <c r="BK15" s="23"/>
    </row>
    <row r="16" spans="1:63" ht="15" customHeight="1" x14ac:dyDescent="0.25">
      <c r="A16" s="22"/>
      <c r="K16" s="27"/>
      <c r="L16" s="53" t="s">
        <v>41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28"/>
      <c r="BK16" s="23"/>
    </row>
    <row r="17" spans="1:63" ht="15" customHeight="1" x14ac:dyDescent="0.25">
      <c r="A17" s="22"/>
      <c r="K17" s="27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28"/>
      <c r="BK17" s="23"/>
    </row>
    <row r="18" spans="1:63" ht="15" customHeight="1" x14ac:dyDescent="0.25">
      <c r="A18" s="22"/>
      <c r="K18" s="27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28"/>
      <c r="BK18" s="23"/>
    </row>
    <row r="19" spans="1:63" ht="15" customHeight="1" x14ac:dyDescent="0.25">
      <c r="A19" s="22"/>
      <c r="K19" s="27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28"/>
      <c r="BK19" s="23"/>
    </row>
    <row r="20" spans="1:63" ht="15" customHeight="1" x14ac:dyDescent="0.25">
      <c r="A20" s="22"/>
      <c r="K20" s="27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28"/>
      <c r="BK20" s="23"/>
    </row>
    <row r="21" spans="1:63" ht="15" customHeight="1" x14ac:dyDescent="0.25">
      <c r="A21" s="22"/>
      <c r="K21" s="27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28"/>
      <c r="BK21" s="23"/>
    </row>
    <row r="22" spans="1:63" ht="15" customHeight="1" thickBot="1" x14ac:dyDescent="0.3">
      <c r="A22" s="22"/>
      <c r="K22" s="27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8"/>
      <c r="BK22" s="23"/>
    </row>
    <row r="23" spans="1:63" ht="15" customHeight="1" x14ac:dyDescent="0.25">
      <c r="A23" s="22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28"/>
      <c r="BK23" s="23"/>
    </row>
    <row r="24" spans="1:63" ht="15" customHeight="1" x14ac:dyDescent="0.25">
      <c r="A24" s="22"/>
      <c r="K24" s="27"/>
      <c r="L24" s="54" t="str">
        <f>K2&amp;"/"&amp;H4&amp;"/"&amp;Z4</f>
        <v>POSサーバー/04_商品採用店舗確認/画面設計書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28"/>
      <c r="BK24" s="23"/>
    </row>
    <row r="25" spans="1:63" ht="15" customHeight="1" x14ac:dyDescent="0.25">
      <c r="A25" s="22"/>
      <c r="K25" s="2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28"/>
      <c r="BK25" s="23"/>
    </row>
    <row r="26" spans="1:63" ht="15" customHeight="1" x14ac:dyDescent="0.25">
      <c r="A26" s="22"/>
      <c r="K26" s="2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28"/>
      <c r="BK26" s="23"/>
    </row>
    <row r="27" spans="1:63" ht="15" customHeight="1" x14ac:dyDescent="0.25">
      <c r="A27" s="22"/>
      <c r="K27" s="2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28"/>
      <c r="BK27" s="23"/>
    </row>
    <row r="28" spans="1:63" ht="15" customHeight="1" x14ac:dyDescent="0.25">
      <c r="A28" s="22"/>
      <c r="K28" s="27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28"/>
      <c r="BK28" s="23"/>
    </row>
    <row r="29" spans="1:63" ht="15" customHeight="1" x14ac:dyDescent="0.25">
      <c r="A29" s="22"/>
      <c r="K29" s="27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28"/>
      <c r="BK29" s="23"/>
    </row>
    <row r="30" spans="1:63" ht="15" customHeight="1" x14ac:dyDescent="0.25">
      <c r="A30" s="22"/>
      <c r="K30" s="27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28"/>
      <c r="BK30" s="23"/>
    </row>
    <row r="31" spans="1:63" ht="15" customHeight="1" x14ac:dyDescent="0.25">
      <c r="A31" s="22"/>
      <c r="K31" s="27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28"/>
      <c r="BK31" s="23"/>
    </row>
    <row r="32" spans="1:63" ht="15" customHeight="1" x14ac:dyDescent="0.25">
      <c r="A32" s="22"/>
      <c r="K32" s="27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28"/>
      <c r="BK32" s="23"/>
    </row>
    <row r="33" spans="1:63" ht="15" customHeight="1" x14ac:dyDescent="0.25">
      <c r="A33" s="22"/>
      <c r="K33" s="27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28"/>
      <c r="BK33" s="23"/>
    </row>
    <row r="34" spans="1:63" ht="15" customHeight="1" x14ac:dyDescent="0.25">
      <c r="A34" s="22"/>
      <c r="K34" s="27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28"/>
      <c r="BK34" s="23"/>
    </row>
    <row r="35" spans="1:63" ht="15" customHeight="1" x14ac:dyDescent="0.25">
      <c r="A35" s="22"/>
      <c r="K35" s="27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28"/>
      <c r="BK35" s="23"/>
    </row>
    <row r="36" spans="1:63" ht="15" customHeight="1" x14ac:dyDescent="0.25">
      <c r="A36" s="22"/>
      <c r="K36" s="27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28"/>
      <c r="BK36" s="23"/>
    </row>
    <row r="37" spans="1:63" ht="15" customHeight="1" thickBot="1" x14ac:dyDescent="0.3">
      <c r="A37" s="22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3"/>
      <c r="BK37" s="23"/>
    </row>
    <row r="38" spans="1:63" ht="15" customHeight="1" thickTop="1" x14ac:dyDescent="0.25">
      <c r="A38" s="22"/>
      <c r="BK38" s="23"/>
    </row>
    <row r="39" spans="1:63" ht="15" customHeight="1" x14ac:dyDescent="0.25">
      <c r="A39" s="22"/>
      <c r="BK39" s="23"/>
    </row>
    <row r="40" spans="1:63" ht="15" customHeight="1" x14ac:dyDescent="0.25">
      <c r="A40" s="22"/>
      <c r="BK40" s="23"/>
    </row>
    <row r="41" spans="1:63" ht="15" customHeight="1" x14ac:dyDescent="0.25">
      <c r="A41" s="22"/>
      <c r="BK41" s="23"/>
    </row>
    <row r="42" spans="1:63" ht="15" customHeight="1" x14ac:dyDescent="0.25">
      <c r="A42" s="22"/>
      <c r="BK42" s="23"/>
    </row>
    <row r="43" spans="1:63" ht="15" customHeight="1" x14ac:dyDescent="0.25">
      <c r="A43" s="22"/>
      <c r="BK43" s="23"/>
    </row>
    <row r="44" spans="1:63" ht="15" customHeight="1" x14ac:dyDescent="0.25">
      <c r="A44" s="22"/>
      <c r="Q44" s="44" t="s">
        <v>42</v>
      </c>
      <c r="R44" s="45"/>
      <c r="S44" s="45"/>
      <c r="T44" s="45"/>
      <c r="U44" s="45"/>
      <c r="V44" s="45"/>
      <c r="W44" s="45"/>
      <c r="X44" s="45"/>
      <c r="Y44" s="45"/>
      <c r="Z44" s="46"/>
      <c r="AA44" s="44" t="s">
        <v>43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6"/>
      <c r="AQ44" s="44" t="s">
        <v>36</v>
      </c>
      <c r="AR44" s="45"/>
      <c r="AS44" s="45"/>
      <c r="AT44" s="45"/>
      <c r="AU44" s="46"/>
      <c r="BK44" s="23"/>
    </row>
    <row r="45" spans="1:63" ht="15" customHeight="1" x14ac:dyDescent="0.25">
      <c r="A45" s="22"/>
      <c r="Q45" s="47"/>
      <c r="R45" s="48"/>
      <c r="S45" s="48"/>
      <c r="T45" s="48"/>
      <c r="U45" s="48"/>
      <c r="V45" s="48"/>
      <c r="W45" s="48"/>
      <c r="X45" s="48"/>
      <c r="Y45" s="48"/>
      <c r="Z45" s="49"/>
      <c r="AA45" s="47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9"/>
      <c r="AQ45" s="47"/>
      <c r="AR45" s="48"/>
      <c r="AS45" s="48"/>
      <c r="AT45" s="48"/>
      <c r="AU45" s="49"/>
      <c r="BK45" s="23"/>
    </row>
    <row r="46" spans="1:63" ht="15" customHeight="1" x14ac:dyDescent="0.25">
      <c r="A46" s="22"/>
      <c r="Q46" s="35"/>
      <c r="R46" s="36"/>
      <c r="S46" s="36"/>
      <c r="T46" s="36"/>
      <c r="U46" s="36"/>
      <c r="V46" s="36"/>
      <c r="W46" s="36"/>
      <c r="X46" s="36"/>
      <c r="Y46" s="36"/>
      <c r="Z46" s="37"/>
      <c r="AA46" s="35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7"/>
      <c r="AQ46" s="35"/>
      <c r="AR46" s="36"/>
      <c r="AS46" s="36"/>
      <c r="AT46" s="36"/>
      <c r="AU46" s="37"/>
      <c r="BK46" s="23"/>
    </row>
    <row r="47" spans="1:63" ht="15" customHeight="1" x14ac:dyDescent="0.25">
      <c r="A47" s="22"/>
      <c r="Q47" s="38"/>
      <c r="R47" s="39"/>
      <c r="S47" s="39"/>
      <c r="T47" s="39"/>
      <c r="U47" s="39"/>
      <c r="V47" s="39"/>
      <c r="W47" s="39"/>
      <c r="X47" s="39"/>
      <c r="Y47" s="39"/>
      <c r="Z47" s="40"/>
      <c r="AA47" s="38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40"/>
      <c r="AQ47" s="38"/>
      <c r="AR47" s="39"/>
      <c r="AS47" s="39"/>
      <c r="AT47" s="39"/>
      <c r="AU47" s="40"/>
      <c r="BK47" s="23"/>
    </row>
    <row r="48" spans="1:63" ht="15" customHeight="1" x14ac:dyDescent="0.25">
      <c r="A48" s="22"/>
      <c r="Q48" s="38"/>
      <c r="R48" s="39"/>
      <c r="S48" s="39"/>
      <c r="T48" s="39"/>
      <c r="U48" s="39"/>
      <c r="V48" s="39"/>
      <c r="W48" s="39"/>
      <c r="X48" s="39"/>
      <c r="Y48" s="39"/>
      <c r="Z48" s="40"/>
      <c r="AA48" s="38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40"/>
      <c r="AQ48" s="38"/>
      <c r="AR48" s="39"/>
      <c r="AS48" s="39"/>
      <c r="AT48" s="39"/>
      <c r="AU48" s="40"/>
      <c r="BK48" s="23"/>
    </row>
    <row r="49" spans="1:63" ht="15" customHeight="1" x14ac:dyDescent="0.25">
      <c r="A49" s="22"/>
      <c r="Q49" s="41"/>
      <c r="R49" s="42"/>
      <c r="S49" s="42"/>
      <c r="T49" s="42"/>
      <c r="U49" s="42"/>
      <c r="V49" s="42"/>
      <c r="W49" s="42"/>
      <c r="X49" s="42"/>
      <c r="Y49" s="42"/>
      <c r="Z49" s="43"/>
      <c r="AA49" s="41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3"/>
      <c r="AQ49" s="41"/>
      <c r="AR49" s="42"/>
      <c r="AS49" s="42"/>
      <c r="AT49" s="42"/>
      <c r="AU49" s="43"/>
      <c r="BK49" s="23"/>
    </row>
    <row r="50" spans="1:63" ht="15" customHeight="1" x14ac:dyDescent="0.25">
      <c r="A50" s="22"/>
      <c r="BK50" s="23"/>
    </row>
    <row r="51" spans="1:63" ht="15" customHeight="1" x14ac:dyDescent="0.25">
      <c r="A51" s="22"/>
      <c r="BK51" s="23"/>
    </row>
    <row r="52" spans="1:63" ht="15" customHeight="1" x14ac:dyDescent="0.25">
      <c r="A52" s="22"/>
      <c r="BK52" s="23"/>
    </row>
    <row r="53" spans="1:63" ht="15" customHeight="1" x14ac:dyDescent="0.25">
      <c r="A53" s="22"/>
      <c r="BK53" s="23"/>
    </row>
    <row r="54" spans="1:63" ht="15" customHeight="1" x14ac:dyDescent="0.25">
      <c r="A54" s="22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50" t="s">
        <v>29</v>
      </c>
      <c r="B1" s="51"/>
      <c r="C1" s="51"/>
      <c r="D1" s="51"/>
      <c r="E1" s="51"/>
      <c r="F1" s="51"/>
      <c r="G1" s="51"/>
      <c r="H1" s="51"/>
      <c r="I1" s="51"/>
      <c r="J1" s="52"/>
      <c r="K1" s="50" t="s">
        <v>30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94" t="str">
        <f>IF(表紙!W1="","",表紙!W1)</f>
        <v>詳細設計書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50" t="s">
        <v>32</v>
      </c>
      <c r="AQ1" s="51"/>
      <c r="AR1" s="51"/>
      <c r="AS1" s="52"/>
      <c r="AT1" s="50" t="s">
        <v>33</v>
      </c>
      <c r="AU1" s="51"/>
      <c r="AV1" s="51"/>
      <c r="AW1" s="51"/>
      <c r="AX1" s="52"/>
      <c r="AY1" s="50" t="s">
        <v>34</v>
      </c>
      <c r="AZ1" s="51"/>
      <c r="BA1" s="51"/>
      <c r="BB1" s="52"/>
      <c r="BC1" s="50" t="s">
        <v>35</v>
      </c>
      <c r="BD1" s="51"/>
      <c r="BE1" s="51"/>
      <c r="BF1" s="51"/>
      <c r="BG1" s="52"/>
      <c r="BH1" s="50" t="s">
        <v>36</v>
      </c>
      <c r="BI1" s="51"/>
      <c r="BJ1" s="51"/>
      <c r="BK1" s="52"/>
    </row>
    <row r="2" spans="1:63" ht="15" customHeight="1" x14ac:dyDescent="0.25">
      <c r="A2" s="35" t="str">
        <f>IF(表紙!A2="","",表紙!A2)</f>
        <v>POSサーバー</v>
      </c>
      <c r="B2" s="36"/>
      <c r="C2" s="36"/>
      <c r="D2" s="36"/>
      <c r="E2" s="36"/>
      <c r="F2" s="36"/>
      <c r="G2" s="36"/>
      <c r="H2" s="36"/>
      <c r="I2" s="36"/>
      <c r="J2" s="37"/>
      <c r="K2" s="35" t="str">
        <f>IF(表紙!K2="","",表紙!K2)</f>
        <v>POSサーバー</v>
      </c>
      <c r="L2" s="36"/>
      <c r="M2" s="36"/>
      <c r="N2" s="36"/>
      <c r="O2" s="36"/>
      <c r="P2" s="36"/>
      <c r="Q2" s="36"/>
      <c r="R2" s="36"/>
      <c r="S2" s="36"/>
      <c r="T2" s="36"/>
      <c r="U2" s="36"/>
      <c r="V2" s="37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35" t="str">
        <f>IF(表紙!AP2="","",表紙!AP2)</f>
        <v>DuNT</v>
      </c>
      <c r="AQ2" s="36"/>
      <c r="AR2" s="36"/>
      <c r="AS2" s="37"/>
      <c r="AT2" s="65">
        <f>IF(表紙!AT2="","",表紙!AT2)</f>
        <v>45448</v>
      </c>
      <c r="AU2" s="66"/>
      <c r="AV2" s="66"/>
      <c r="AW2" s="66"/>
      <c r="AX2" s="67"/>
      <c r="AY2" s="35" t="str">
        <f>IF(表紙!AY2="","",表紙!AY2)</f>
        <v>DuNT</v>
      </c>
      <c r="AZ2" s="36"/>
      <c r="BA2" s="36"/>
      <c r="BB2" s="37"/>
      <c r="BC2" s="65">
        <f>IF(表紙!BC2="","",表紙!BC2)</f>
        <v>45448</v>
      </c>
      <c r="BD2" s="66"/>
      <c r="BE2" s="66"/>
      <c r="BF2" s="66"/>
      <c r="BG2" s="67"/>
      <c r="BH2" s="35">
        <f>IF(表紙!BH2="","",表紙!BH2)</f>
        <v>0.1</v>
      </c>
      <c r="BI2" s="36"/>
      <c r="BJ2" s="36"/>
      <c r="BK2" s="37"/>
    </row>
    <row r="3" spans="1:63" ht="1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41"/>
      <c r="AQ3" s="42"/>
      <c r="AR3" s="42"/>
      <c r="AS3" s="43"/>
      <c r="AT3" s="68"/>
      <c r="AU3" s="69"/>
      <c r="AV3" s="69"/>
      <c r="AW3" s="69"/>
      <c r="AX3" s="70"/>
      <c r="AY3" s="41"/>
      <c r="AZ3" s="42"/>
      <c r="BA3" s="42"/>
      <c r="BB3" s="43"/>
      <c r="BC3" s="68"/>
      <c r="BD3" s="69"/>
      <c r="BE3" s="69"/>
      <c r="BF3" s="69"/>
      <c r="BG3" s="70"/>
      <c r="BH3" s="41"/>
      <c r="BI3" s="42"/>
      <c r="BJ3" s="42"/>
      <c r="BK3" s="43"/>
    </row>
    <row r="4" spans="1:63" ht="24.95" customHeight="1" x14ac:dyDescent="0.25">
      <c r="A4" s="50" t="s">
        <v>38</v>
      </c>
      <c r="B4" s="51"/>
      <c r="C4" s="51"/>
      <c r="D4" s="51"/>
      <c r="E4" s="51"/>
      <c r="F4" s="51"/>
      <c r="G4" s="52"/>
      <c r="H4" s="55" t="str">
        <f>IF(表紙!H4="","",表紙!H4)</f>
        <v>04_商品採用店舗確認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  <c r="U4" s="50" t="s">
        <v>39</v>
      </c>
      <c r="V4" s="51"/>
      <c r="W4" s="51"/>
      <c r="X4" s="51"/>
      <c r="Y4" s="52"/>
      <c r="Z4" s="55" t="str">
        <f>IF(表紙!Z4="","",表紙!Z4)</f>
        <v>画面設計書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55" t="str">
        <f t="array" aca="1" ref="AP4" ca="1">RIGHT(CELL("filename",$A$1),LEN(CELL("filename",$A$1))-FIND("]",CELL("filename",$A$1)))</f>
        <v>改訂履歴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7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8" s="18" t="s">
        <v>0</v>
      </c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10" s="93" t="s">
        <v>35</v>
      </c>
      <c r="C10" s="93"/>
      <c r="D10" s="93"/>
      <c r="E10" s="93"/>
      <c r="F10" s="93"/>
      <c r="G10" s="93"/>
      <c r="H10" s="93" t="s">
        <v>34</v>
      </c>
      <c r="I10" s="93"/>
      <c r="J10" s="93"/>
      <c r="K10" s="93"/>
      <c r="L10" s="93"/>
      <c r="M10" s="93"/>
      <c r="N10" s="93"/>
      <c r="O10" s="93" t="s">
        <v>36</v>
      </c>
      <c r="P10" s="93"/>
      <c r="Q10" s="93"/>
      <c r="R10" s="93"/>
      <c r="S10" s="93" t="s">
        <v>44</v>
      </c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 t="s">
        <v>42</v>
      </c>
      <c r="AY10" s="93"/>
      <c r="AZ10" s="93"/>
      <c r="BA10" s="93"/>
      <c r="BB10" s="93"/>
      <c r="BC10" s="93"/>
      <c r="BD10" s="93" t="s">
        <v>43</v>
      </c>
      <c r="BE10" s="93"/>
      <c r="BF10" s="93"/>
      <c r="BG10" s="93"/>
      <c r="BH10" s="93"/>
      <c r="BI10" s="93"/>
      <c r="BJ10" s="93"/>
      <c r="BK10" s="23"/>
    </row>
    <row r="11" spans="1:63" ht="15" customHeight="1" x14ac:dyDescent="0.25">
      <c r="A11" s="22"/>
      <c r="B11" s="65">
        <v>45448</v>
      </c>
      <c r="C11" s="36"/>
      <c r="D11" s="36"/>
      <c r="E11" s="36"/>
      <c r="F11" s="36"/>
      <c r="G11" s="37"/>
      <c r="H11" s="71" t="s">
        <v>45</v>
      </c>
      <c r="I11" s="36"/>
      <c r="J11" s="36"/>
      <c r="K11" s="36"/>
      <c r="L11" s="36"/>
      <c r="M11" s="36"/>
      <c r="N11" s="37"/>
      <c r="O11" s="35">
        <v>0.1</v>
      </c>
      <c r="P11" s="36"/>
      <c r="Q11" s="36"/>
      <c r="R11" s="36"/>
      <c r="S11" s="81" t="s">
        <v>2</v>
      </c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3"/>
      <c r="AX11" s="84"/>
      <c r="AY11" s="84"/>
      <c r="AZ11" s="84"/>
      <c r="BA11" s="84"/>
      <c r="BB11" s="84"/>
      <c r="BC11" s="85"/>
      <c r="BD11" s="88"/>
      <c r="BE11" s="84"/>
      <c r="BF11" s="84"/>
      <c r="BG11" s="84"/>
      <c r="BH11" s="84"/>
      <c r="BI11" s="84"/>
      <c r="BJ11" s="85"/>
      <c r="BK11" s="23"/>
    </row>
    <row r="12" spans="1:63" ht="15" customHeight="1" x14ac:dyDescent="0.25">
      <c r="A12" s="22"/>
      <c r="B12" s="41"/>
      <c r="C12" s="42"/>
      <c r="D12" s="42"/>
      <c r="E12" s="42"/>
      <c r="F12" s="42"/>
      <c r="G12" s="43"/>
      <c r="H12" s="41"/>
      <c r="I12" s="42"/>
      <c r="J12" s="42"/>
      <c r="K12" s="42"/>
      <c r="L12" s="42"/>
      <c r="M12" s="42"/>
      <c r="N12" s="43"/>
      <c r="O12" s="41"/>
      <c r="P12" s="42"/>
      <c r="Q12" s="42"/>
      <c r="R12" s="42"/>
      <c r="S12" s="90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2"/>
      <c r="AX12" s="86"/>
      <c r="AY12" s="86"/>
      <c r="AZ12" s="86"/>
      <c r="BA12" s="86"/>
      <c r="BB12" s="86"/>
      <c r="BC12" s="87"/>
      <c r="BD12" s="89"/>
      <c r="BE12" s="86"/>
      <c r="BF12" s="86"/>
      <c r="BG12" s="86"/>
      <c r="BH12" s="86"/>
      <c r="BI12" s="86"/>
      <c r="BJ12" s="87"/>
      <c r="BK12" s="23"/>
    </row>
    <row r="13" spans="1:63" ht="15" customHeight="1" x14ac:dyDescent="0.25">
      <c r="A13" s="22"/>
      <c r="B13" s="65"/>
      <c r="C13" s="36"/>
      <c r="D13" s="36"/>
      <c r="E13" s="36"/>
      <c r="F13" s="36"/>
      <c r="G13" s="37"/>
      <c r="H13" s="35"/>
      <c r="I13" s="36"/>
      <c r="J13" s="36"/>
      <c r="K13" s="36"/>
      <c r="L13" s="36"/>
      <c r="M13" s="36"/>
      <c r="N13" s="37"/>
      <c r="O13" s="35"/>
      <c r="P13" s="36"/>
      <c r="Q13" s="36"/>
      <c r="R13" s="36"/>
      <c r="S13" s="81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3"/>
      <c r="AX13" s="84"/>
      <c r="AY13" s="84"/>
      <c r="AZ13" s="84"/>
      <c r="BA13" s="84"/>
      <c r="BB13" s="84"/>
      <c r="BC13" s="85"/>
      <c r="BD13" s="88"/>
      <c r="BE13" s="84"/>
      <c r="BF13" s="84"/>
      <c r="BG13" s="84"/>
      <c r="BH13" s="84"/>
      <c r="BI13" s="84"/>
      <c r="BJ13" s="85"/>
      <c r="BK13" s="23"/>
    </row>
    <row r="14" spans="1:63" ht="15" customHeight="1" x14ac:dyDescent="0.25">
      <c r="A14" s="22"/>
      <c r="B14" s="41"/>
      <c r="C14" s="42"/>
      <c r="D14" s="42"/>
      <c r="E14" s="42"/>
      <c r="F14" s="42"/>
      <c r="G14" s="43"/>
      <c r="H14" s="41"/>
      <c r="I14" s="42"/>
      <c r="J14" s="42"/>
      <c r="K14" s="42"/>
      <c r="L14" s="42"/>
      <c r="M14" s="42"/>
      <c r="N14" s="43"/>
      <c r="O14" s="41"/>
      <c r="P14" s="42"/>
      <c r="Q14" s="42"/>
      <c r="R14" s="42"/>
      <c r="S14" s="90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2"/>
      <c r="AX14" s="86"/>
      <c r="AY14" s="86"/>
      <c r="AZ14" s="86"/>
      <c r="BA14" s="86"/>
      <c r="BB14" s="86"/>
      <c r="BC14" s="87"/>
      <c r="BD14" s="89"/>
      <c r="BE14" s="86"/>
      <c r="BF14" s="86"/>
      <c r="BG14" s="86"/>
      <c r="BH14" s="86"/>
      <c r="BI14" s="86"/>
      <c r="BJ14" s="87"/>
      <c r="BK14" s="23"/>
    </row>
    <row r="15" spans="1:63" ht="15" customHeight="1" x14ac:dyDescent="0.25">
      <c r="A15" s="22"/>
      <c r="B15" s="35"/>
      <c r="C15" s="36"/>
      <c r="D15" s="36"/>
      <c r="E15" s="36"/>
      <c r="F15" s="36"/>
      <c r="G15" s="37"/>
      <c r="H15" s="35"/>
      <c r="I15" s="36"/>
      <c r="J15" s="36"/>
      <c r="K15" s="36"/>
      <c r="L15" s="36"/>
      <c r="M15" s="36"/>
      <c r="N15" s="37"/>
      <c r="O15" s="35"/>
      <c r="P15" s="36"/>
      <c r="Q15" s="36"/>
      <c r="R15" s="36"/>
      <c r="S15" s="81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3"/>
      <c r="AX15" s="84"/>
      <c r="AY15" s="84"/>
      <c r="AZ15" s="84"/>
      <c r="BA15" s="84"/>
      <c r="BB15" s="84"/>
      <c r="BC15" s="85"/>
      <c r="BD15" s="88"/>
      <c r="BE15" s="84"/>
      <c r="BF15" s="84"/>
      <c r="BG15" s="84"/>
      <c r="BH15" s="84"/>
      <c r="BI15" s="84"/>
      <c r="BJ15" s="85"/>
      <c r="BK15" s="23"/>
    </row>
    <row r="16" spans="1:63" ht="15" customHeight="1" x14ac:dyDescent="0.25">
      <c r="A16" s="22"/>
      <c r="B16" s="41"/>
      <c r="C16" s="42"/>
      <c r="D16" s="42"/>
      <c r="E16" s="42"/>
      <c r="F16" s="42"/>
      <c r="G16" s="43"/>
      <c r="H16" s="41"/>
      <c r="I16" s="42"/>
      <c r="J16" s="42"/>
      <c r="K16" s="42"/>
      <c r="L16" s="42"/>
      <c r="M16" s="42"/>
      <c r="N16" s="43"/>
      <c r="O16" s="41"/>
      <c r="P16" s="42"/>
      <c r="Q16" s="42"/>
      <c r="R16" s="42"/>
      <c r="S16" s="90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2"/>
      <c r="AX16" s="86"/>
      <c r="AY16" s="86"/>
      <c r="AZ16" s="86"/>
      <c r="BA16" s="86"/>
      <c r="BB16" s="86"/>
      <c r="BC16" s="87"/>
      <c r="BD16" s="89"/>
      <c r="BE16" s="86"/>
      <c r="BF16" s="86"/>
      <c r="BG16" s="86"/>
      <c r="BH16" s="86"/>
      <c r="BI16" s="86"/>
      <c r="BJ16" s="87"/>
      <c r="BK16" s="23"/>
    </row>
    <row r="17" spans="1:63" ht="15" customHeight="1" x14ac:dyDescent="0.25">
      <c r="A17" s="22"/>
      <c r="B17" s="35"/>
      <c r="C17" s="36"/>
      <c r="D17" s="36"/>
      <c r="E17" s="36"/>
      <c r="F17" s="36"/>
      <c r="G17" s="37"/>
      <c r="H17" s="35"/>
      <c r="I17" s="36"/>
      <c r="J17" s="36"/>
      <c r="K17" s="36"/>
      <c r="L17" s="36"/>
      <c r="M17" s="36"/>
      <c r="N17" s="37"/>
      <c r="O17" s="35"/>
      <c r="P17" s="36"/>
      <c r="Q17" s="36"/>
      <c r="R17" s="36"/>
      <c r="S17" s="81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3"/>
      <c r="AX17" s="84"/>
      <c r="AY17" s="84"/>
      <c r="AZ17" s="84"/>
      <c r="BA17" s="84"/>
      <c r="BB17" s="84"/>
      <c r="BC17" s="85"/>
      <c r="BD17" s="88"/>
      <c r="BE17" s="84"/>
      <c r="BF17" s="84"/>
      <c r="BG17" s="84"/>
      <c r="BH17" s="84"/>
      <c r="BI17" s="84"/>
      <c r="BJ17" s="85"/>
      <c r="BK17" s="23"/>
    </row>
    <row r="18" spans="1:63" ht="15" customHeight="1" x14ac:dyDescent="0.25">
      <c r="A18" s="22"/>
      <c r="B18" s="41"/>
      <c r="C18" s="42"/>
      <c r="D18" s="42"/>
      <c r="E18" s="42"/>
      <c r="F18" s="42"/>
      <c r="G18" s="43"/>
      <c r="H18" s="41"/>
      <c r="I18" s="42"/>
      <c r="J18" s="42"/>
      <c r="K18" s="42"/>
      <c r="L18" s="42"/>
      <c r="M18" s="42"/>
      <c r="N18" s="43"/>
      <c r="O18" s="41"/>
      <c r="P18" s="42"/>
      <c r="Q18" s="42"/>
      <c r="R18" s="42"/>
      <c r="S18" s="90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2"/>
      <c r="AX18" s="86"/>
      <c r="AY18" s="86"/>
      <c r="AZ18" s="86"/>
      <c r="BA18" s="86"/>
      <c r="BB18" s="86"/>
      <c r="BC18" s="87"/>
      <c r="BD18" s="89"/>
      <c r="BE18" s="86"/>
      <c r="BF18" s="86"/>
      <c r="BG18" s="86"/>
      <c r="BH18" s="86"/>
      <c r="BI18" s="86"/>
      <c r="BJ18" s="87"/>
      <c r="BK18" s="23"/>
    </row>
    <row r="19" spans="1:63" ht="15" customHeight="1" x14ac:dyDescent="0.25">
      <c r="A19" s="22"/>
      <c r="B19" s="35"/>
      <c r="C19" s="36"/>
      <c r="D19" s="36"/>
      <c r="E19" s="36"/>
      <c r="F19" s="36"/>
      <c r="G19" s="37"/>
      <c r="H19" s="35"/>
      <c r="I19" s="36"/>
      <c r="J19" s="36"/>
      <c r="K19" s="36"/>
      <c r="L19" s="36"/>
      <c r="M19" s="36"/>
      <c r="N19" s="37"/>
      <c r="O19" s="35"/>
      <c r="P19" s="36"/>
      <c r="Q19" s="36"/>
      <c r="R19" s="36"/>
      <c r="S19" s="81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3"/>
      <c r="AX19" s="84"/>
      <c r="AY19" s="84"/>
      <c r="AZ19" s="84"/>
      <c r="BA19" s="84"/>
      <c r="BB19" s="84"/>
      <c r="BC19" s="85"/>
      <c r="BD19" s="88"/>
      <c r="BE19" s="84"/>
      <c r="BF19" s="84"/>
      <c r="BG19" s="84"/>
      <c r="BH19" s="84"/>
      <c r="BI19" s="84"/>
      <c r="BJ19" s="85"/>
      <c r="BK19" s="23"/>
    </row>
    <row r="20" spans="1:63" ht="15" customHeight="1" x14ac:dyDescent="0.25">
      <c r="A20" s="22"/>
      <c r="B20" s="41"/>
      <c r="C20" s="42"/>
      <c r="D20" s="42"/>
      <c r="E20" s="42"/>
      <c r="F20" s="42"/>
      <c r="G20" s="43"/>
      <c r="H20" s="41"/>
      <c r="I20" s="42"/>
      <c r="J20" s="42"/>
      <c r="K20" s="42"/>
      <c r="L20" s="42"/>
      <c r="M20" s="42"/>
      <c r="N20" s="43"/>
      <c r="O20" s="41"/>
      <c r="P20" s="42"/>
      <c r="Q20" s="42"/>
      <c r="R20" s="42"/>
      <c r="S20" s="90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2"/>
      <c r="AX20" s="86"/>
      <c r="AY20" s="86"/>
      <c r="AZ20" s="86"/>
      <c r="BA20" s="86"/>
      <c r="BB20" s="86"/>
      <c r="BC20" s="87"/>
      <c r="BD20" s="89"/>
      <c r="BE20" s="86"/>
      <c r="BF20" s="86"/>
      <c r="BG20" s="86"/>
      <c r="BH20" s="86"/>
      <c r="BI20" s="86"/>
      <c r="BJ20" s="87"/>
      <c r="BK20" s="23"/>
    </row>
    <row r="21" spans="1:63" ht="15" customHeight="1" x14ac:dyDescent="0.25">
      <c r="A21" s="22"/>
      <c r="B21" s="35"/>
      <c r="C21" s="36"/>
      <c r="D21" s="36"/>
      <c r="E21" s="36"/>
      <c r="F21" s="36"/>
      <c r="G21" s="37"/>
      <c r="H21" s="35"/>
      <c r="I21" s="36"/>
      <c r="J21" s="36"/>
      <c r="K21" s="36"/>
      <c r="L21" s="36"/>
      <c r="M21" s="36"/>
      <c r="N21" s="37"/>
      <c r="O21" s="35"/>
      <c r="P21" s="36"/>
      <c r="Q21" s="36"/>
      <c r="R21" s="36"/>
      <c r="S21" s="81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3"/>
      <c r="AX21" s="84"/>
      <c r="AY21" s="84"/>
      <c r="AZ21" s="84"/>
      <c r="BA21" s="84"/>
      <c r="BB21" s="84"/>
      <c r="BC21" s="85"/>
      <c r="BD21" s="88"/>
      <c r="BE21" s="84"/>
      <c r="BF21" s="84"/>
      <c r="BG21" s="84"/>
      <c r="BH21" s="84"/>
      <c r="BI21" s="84"/>
      <c r="BJ21" s="85"/>
      <c r="BK21" s="23"/>
    </row>
    <row r="22" spans="1:63" ht="15" customHeight="1" x14ac:dyDescent="0.25">
      <c r="A22" s="22"/>
      <c r="B22" s="41"/>
      <c r="C22" s="42"/>
      <c r="D22" s="42"/>
      <c r="E22" s="42"/>
      <c r="F22" s="42"/>
      <c r="G22" s="43"/>
      <c r="H22" s="41"/>
      <c r="I22" s="42"/>
      <c r="J22" s="42"/>
      <c r="K22" s="42"/>
      <c r="L22" s="42"/>
      <c r="M22" s="42"/>
      <c r="N22" s="43"/>
      <c r="O22" s="41"/>
      <c r="P22" s="42"/>
      <c r="Q22" s="42"/>
      <c r="R22" s="42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2"/>
      <c r="AX22" s="86"/>
      <c r="AY22" s="86"/>
      <c r="AZ22" s="86"/>
      <c r="BA22" s="86"/>
      <c r="BB22" s="86"/>
      <c r="BC22" s="87"/>
      <c r="BD22" s="89"/>
      <c r="BE22" s="86"/>
      <c r="BF22" s="86"/>
      <c r="BG22" s="86"/>
      <c r="BH22" s="86"/>
      <c r="BI22" s="86"/>
      <c r="BJ22" s="87"/>
      <c r="BK22" s="23"/>
    </row>
    <row r="23" spans="1:63" ht="15" customHeight="1" x14ac:dyDescent="0.25">
      <c r="A23" s="22"/>
      <c r="B23" s="35"/>
      <c r="C23" s="36"/>
      <c r="D23" s="36"/>
      <c r="E23" s="36"/>
      <c r="F23" s="36"/>
      <c r="G23" s="37"/>
      <c r="H23" s="35"/>
      <c r="I23" s="36"/>
      <c r="J23" s="36"/>
      <c r="K23" s="36"/>
      <c r="L23" s="36"/>
      <c r="M23" s="36"/>
      <c r="N23" s="37"/>
      <c r="O23" s="35"/>
      <c r="P23" s="36"/>
      <c r="Q23" s="36"/>
      <c r="R23" s="36"/>
      <c r="S23" s="81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3"/>
      <c r="AX23" s="84"/>
      <c r="AY23" s="84"/>
      <c r="AZ23" s="84"/>
      <c r="BA23" s="84"/>
      <c r="BB23" s="84"/>
      <c r="BC23" s="85"/>
      <c r="BD23" s="88"/>
      <c r="BE23" s="84"/>
      <c r="BF23" s="84"/>
      <c r="BG23" s="84"/>
      <c r="BH23" s="84"/>
      <c r="BI23" s="84"/>
      <c r="BJ23" s="85"/>
      <c r="BK23" s="23"/>
    </row>
    <row r="24" spans="1:63" ht="15" customHeight="1" x14ac:dyDescent="0.25">
      <c r="A24" s="22"/>
      <c r="B24" s="41"/>
      <c r="C24" s="42"/>
      <c r="D24" s="42"/>
      <c r="E24" s="42"/>
      <c r="F24" s="42"/>
      <c r="G24" s="43"/>
      <c r="H24" s="41"/>
      <c r="I24" s="42"/>
      <c r="J24" s="42"/>
      <c r="K24" s="42"/>
      <c r="L24" s="42"/>
      <c r="M24" s="42"/>
      <c r="N24" s="43"/>
      <c r="O24" s="41"/>
      <c r="P24" s="42"/>
      <c r="Q24" s="42"/>
      <c r="R24" s="42"/>
      <c r="S24" s="90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2"/>
      <c r="AX24" s="86"/>
      <c r="AY24" s="86"/>
      <c r="AZ24" s="86"/>
      <c r="BA24" s="86"/>
      <c r="BB24" s="86"/>
      <c r="BC24" s="87"/>
      <c r="BD24" s="89"/>
      <c r="BE24" s="86"/>
      <c r="BF24" s="86"/>
      <c r="BG24" s="86"/>
      <c r="BH24" s="86"/>
      <c r="BI24" s="86"/>
      <c r="BJ24" s="87"/>
      <c r="BK24" s="23"/>
    </row>
    <row r="25" spans="1:63" ht="15" customHeight="1" x14ac:dyDescent="0.25">
      <c r="A25" s="22"/>
      <c r="B25" s="35"/>
      <c r="C25" s="36"/>
      <c r="D25" s="36"/>
      <c r="E25" s="36"/>
      <c r="F25" s="36"/>
      <c r="G25" s="37"/>
      <c r="H25" s="35"/>
      <c r="I25" s="36"/>
      <c r="J25" s="36"/>
      <c r="K25" s="36"/>
      <c r="L25" s="36"/>
      <c r="M25" s="36"/>
      <c r="N25" s="37"/>
      <c r="O25" s="35"/>
      <c r="P25" s="36"/>
      <c r="Q25" s="36"/>
      <c r="R25" s="36"/>
      <c r="S25" s="81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3"/>
      <c r="AX25" s="84"/>
      <c r="AY25" s="84"/>
      <c r="AZ25" s="84"/>
      <c r="BA25" s="84"/>
      <c r="BB25" s="84"/>
      <c r="BC25" s="85"/>
      <c r="BD25" s="88"/>
      <c r="BE25" s="84"/>
      <c r="BF25" s="84"/>
      <c r="BG25" s="84"/>
      <c r="BH25" s="84"/>
      <c r="BI25" s="84"/>
      <c r="BJ25" s="85"/>
      <c r="BK25" s="23"/>
    </row>
    <row r="26" spans="1:63" ht="15" customHeight="1" x14ac:dyDescent="0.25">
      <c r="A26" s="22"/>
      <c r="B26" s="41"/>
      <c r="C26" s="42"/>
      <c r="D26" s="42"/>
      <c r="E26" s="42"/>
      <c r="F26" s="42"/>
      <c r="G26" s="43"/>
      <c r="H26" s="41"/>
      <c r="I26" s="42"/>
      <c r="J26" s="42"/>
      <c r="K26" s="42"/>
      <c r="L26" s="42"/>
      <c r="M26" s="42"/>
      <c r="N26" s="43"/>
      <c r="O26" s="41"/>
      <c r="P26" s="42"/>
      <c r="Q26" s="42"/>
      <c r="R26" s="42"/>
      <c r="S26" s="90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2"/>
      <c r="AX26" s="86"/>
      <c r="AY26" s="86"/>
      <c r="AZ26" s="86"/>
      <c r="BA26" s="86"/>
      <c r="BB26" s="86"/>
      <c r="BC26" s="87"/>
      <c r="BD26" s="89"/>
      <c r="BE26" s="86"/>
      <c r="BF26" s="86"/>
      <c r="BG26" s="86"/>
      <c r="BH26" s="86"/>
      <c r="BI26" s="86"/>
      <c r="BJ26" s="87"/>
      <c r="BK26" s="23"/>
    </row>
    <row r="27" spans="1:63" ht="15" customHeight="1" x14ac:dyDescent="0.25">
      <c r="A27" s="22"/>
      <c r="B27" s="35"/>
      <c r="C27" s="36"/>
      <c r="D27" s="36"/>
      <c r="E27" s="36"/>
      <c r="F27" s="36"/>
      <c r="G27" s="37"/>
      <c r="H27" s="35"/>
      <c r="I27" s="36"/>
      <c r="J27" s="36"/>
      <c r="K27" s="36"/>
      <c r="L27" s="36"/>
      <c r="M27" s="36"/>
      <c r="N27" s="37"/>
      <c r="O27" s="35"/>
      <c r="P27" s="36"/>
      <c r="Q27" s="36"/>
      <c r="R27" s="36"/>
      <c r="S27" s="81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3"/>
      <c r="AX27" s="84"/>
      <c r="AY27" s="84"/>
      <c r="AZ27" s="84"/>
      <c r="BA27" s="84"/>
      <c r="BB27" s="84"/>
      <c r="BC27" s="85"/>
      <c r="BD27" s="88"/>
      <c r="BE27" s="84"/>
      <c r="BF27" s="84"/>
      <c r="BG27" s="84"/>
      <c r="BH27" s="84"/>
      <c r="BI27" s="84"/>
      <c r="BJ27" s="85"/>
      <c r="BK27" s="23"/>
    </row>
    <row r="28" spans="1:63" ht="15" customHeight="1" x14ac:dyDescent="0.25">
      <c r="A28" s="22"/>
      <c r="B28" s="41"/>
      <c r="C28" s="42"/>
      <c r="D28" s="42"/>
      <c r="E28" s="42"/>
      <c r="F28" s="42"/>
      <c r="G28" s="43"/>
      <c r="H28" s="41"/>
      <c r="I28" s="42"/>
      <c r="J28" s="42"/>
      <c r="K28" s="42"/>
      <c r="L28" s="42"/>
      <c r="M28" s="42"/>
      <c r="N28" s="43"/>
      <c r="O28" s="41"/>
      <c r="P28" s="42"/>
      <c r="Q28" s="42"/>
      <c r="R28" s="42"/>
      <c r="S28" s="90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2"/>
      <c r="AX28" s="86"/>
      <c r="AY28" s="86"/>
      <c r="AZ28" s="86"/>
      <c r="BA28" s="86"/>
      <c r="BB28" s="86"/>
      <c r="BC28" s="87"/>
      <c r="BD28" s="89"/>
      <c r="BE28" s="86"/>
      <c r="BF28" s="86"/>
      <c r="BG28" s="86"/>
      <c r="BH28" s="86"/>
      <c r="BI28" s="86"/>
      <c r="BJ28" s="87"/>
      <c r="BK28" s="23"/>
    </row>
    <row r="29" spans="1:63" ht="15" customHeight="1" x14ac:dyDescent="0.25">
      <c r="A29" s="22"/>
      <c r="B29" s="35"/>
      <c r="C29" s="36"/>
      <c r="D29" s="36"/>
      <c r="E29" s="36"/>
      <c r="F29" s="36"/>
      <c r="G29" s="37"/>
      <c r="H29" s="35"/>
      <c r="I29" s="36"/>
      <c r="J29" s="36"/>
      <c r="K29" s="36"/>
      <c r="L29" s="36"/>
      <c r="M29" s="36"/>
      <c r="N29" s="37"/>
      <c r="O29" s="35"/>
      <c r="P29" s="36"/>
      <c r="Q29" s="36"/>
      <c r="R29" s="36"/>
      <c r="S29" s="81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3"/>
      <c r="AX29" s="84"/>
      <c r="AY29" s="84"/>
      <c r="AZ29" s="84"/>
      <c r="BA29" s="84"/>
      <c r="BB29" s="84"/>
      <c r="BC29" s="85"/>
      <c r="BD29" s="88"/>
      <c r="BE29" s="84"/>
      <c r="BF29" s="84"/>
      <c r="BG29" s="84"/>
      <c r="BH29" s="84"/>
      <c r="BI29" s="84"/>
      <c r="BJ29" s="85"/>
      <c r="BK29" s="23"/>
    </row>
    <row r="30" spans="1:63" ht="15" customHeight="1" x14ac:dyDescent="0.25">
      <c r="A30" s="22"/>
      <c r="B30" s="41"/>
      <c r="C30" s="42"/>
      <c r="D30" s="42"/>
      <c r="E30" s="42"/>
      <c r="F30" s="42"/>
      <c r="G30" s="43"/>
      <c r="H30" s="41"/>
      <c r="I30" s="42"/>
      <c r="J30" s="42"/>
      <c r="K30" s="42"/>
      <c r="L30" s="42"/>
      <c r="M30" s="42"/>
      <c r="N30" s="43"/>
      <c r="O30" s="41"/>
      <c r="P30" s="42"/>
      <c r="Q30" s="42"/>
      <c r="R30" s="42"/>
      <c r="S30" s="90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2"/>
      <c r="AX30" s="86"/>
      <c r="AY30" s="86"/>
      <c r="AZ30" s="86"/>
      <c r="BA30" s="86"/>
      <c r="BB30" s="86"/>
      <c r="BC30" s="87"/>
      <c r="BD30" s="89"/>
      <c r="BE30" s="86"/>
      <c r="BF30" s="86"/>
      <c r="BG30" s="86"/>
      <c r="BH30" s="86"/>
      <c r="BI30" s="86"/>
      <c r="BJ30" s="87"/>
      <c r="BK30" s="23"/>
    </row>
    <row r="31" spans="1:63" ht="15" customHeight="1" x14ac:dyDescent="0.25">
      <c r="A31" s="22"/>
      <c r="B31" s="35"/>
      <c r="C31" s="36"/>
      <c r="D31" s="36"/>
      <c r="E31" s="36"/>
      <c r="F31" s="36"/>
      <c r="G31" s="37"/>
      <c r="H31" s="35"/>
      <c r="I31" s="36"/>
      <c r="J31" s="36"/>
      <c r="K31" s="36"/>
      <c r="L31" s="36"/>
      <c r="M31" s="36"/>
      <c r="N31" s="37"/>
      <c r="O31" s="35"/>
      <c r="P31" s="36"/>
      <c r="Q31" s="36"/>
      <c r="R31" s="36"/>
      <c r="S31" s="81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3"/>
      <c r="AX31" s="84"/>
      <c r="AY31" s="84"/>
      <c r="AZ31" s="84"/>
      <c r="BA31" s="84"/>
      <c r="BB31" s="84"/>
      <c r="BC31" s="85"/>
      <c r="BD31" s="88"/>
      <c r="BE31" s="84"/>
      <c r="BF31" s="84"/>
      <c r="BG31" s="84"/>
      <c r="BH31" s="84"/>
      <c r="BI31" s="84"/>
      <c r="BJ31" s="85"/>
      <c r="BK31" s="23"/>
    </row>
    <row r="32" spans="1:63" ht="15" customHeight="1" x14ac:dyDescent="0.25">
      <c r="A32" s="22"/>
      <c r="B32" s="41"/>
      <c r="C32" s="42"/>
      <c r="D32" s="42"/>
      <c r="E32" s="42"/>
      <c r="F32" s="42"/>
      <c r="G32" s="43"/>
      <c r="H32" s="41"/>
      <c r="I32" s="42"/>
      <c r="J32" s="42"/>
      <c r="K32" s="42"/>
      <c r="L32" s="42"/>
      <c r="M32" s="42"/>
      <c r="N32" s="43"/>
      <c r="O32" s="41"/>
      <c r="P32" s="42"/>
      <c r="Q32" s="42"/>
      <c r="R32" s="42"/>
      <c r="S32" s="90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2"/>
      <c r="AX32" s="86"/>
      <c r="AY32" s="86"/>
      <c r="AZ32" s="86"/>
      <c r="BA32" s="86"/>
      <c r="BB32" s="86"/>
      <c r="BC32" s="87"/>
      <c r="BD32" s="89"/>
      <c r="BE32" s="86"/>
      <c r="BF32" s="86"/>
      <c r="BG32" s="86"/>
      <c r="BH32" s="86"/>
      <c r="BI32" s="86"/>
      <c r="BJ32" s="87"/>
      <c r="BK32" s="23"/>
    </row>
    <row r="33" spans="1:63" ht="15" customHeight="1" x14ac:dyDescent="0.25">
      <c r="A33" s="22"/>
      <c r="B33" s="35"/>
      <c r="C33" s="36"/>
      <c r="D33" s="36"/>
      <c r="E33" s="36"/>
      <c r="F33" s="36"/>
      <c r="G33" s="37"/>
      <c r="H33" s="35"/>
      <c r="I33" s="36"/>
      <c r="J33" s="36"/>
      <c r="K33" s="36"/>
      <c r="L33" s="36"/>
      <c r="M33" s="36"/>
      <c r="N33" s="37"/>
      <c r="O33" s="35"/>
      <c r="P33" s="36"/>
      <c r="Q33" s="36"/>
      <c r="R33" s="36"/>
      <c r="S33" s="81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3"/>
      <c r="AX33" s="84"/>
      <c r="AY33" s="84"/>
      <c r="AZ33" s="84"/>
      <c r="BA33" s="84"/>
      <c r="BB33" s="84"/>
      <c r="BC33" s="85"/>
      <c r="BD33" s="88"/>
      <c r="BE33" s="84"/>
      <c r="BF33" s="84"/>
      <c r="BG33" s="84"/>
      <c r="BH33" s="84"/>
      <c r="BI33" s="84"/>
      <c r="BJ33" s="85"/>
      <c r="BK33" s="23"/>
    </row>
    <row r="34" spans="1:63" ht="15" customHeight="1" x14ac:dyDescent="0.25">
      <c r="A34" s="22"/>
      <c r="B34" s="41"/>
      <c r="C34" s="42"/>
      <c r="D34" s="42"/>
      <c r="E34" s="42"/>
      <c r="F34" s="42"/>
      <c r="G34" s="43"/>
      <c r="H34" s="41"/>
      <c r="I34" s="42"/>
      <c r="J34" s="42"/>
      <c r="K34" s="42"/>
      <c r="L34" s="42"/>
      <c r="M34" s="42"/>
      <c r="N34" s="43"/>
      <c r="O34" s="41"/>
      <c r="P34" s="42"/>
      <c r="Q34" s="42"/>
      <c r="R34" s="42"/>
      <c r="S34" s="90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2"/>
      <c r="AX34" s="86"/>
      <c r="AY34" s="86"/>
      <c r="AZ34" s="86"/>
      <c r="BA34" s="86"/>
      <c r="BB34" s="86"/>
      <c r="BC34" s="87"/>
      <c r="BD34" s="89"/>
      <c r="BE34" s="86"/>
      <c r="BF34" s="86"/>
      <c r="BG34" s="86"/>
      <c r="BH34" s="86"/>
      <c r="BI34" s="86"/>
      <c r="BJ34" s="87"/>
      <c r="BK34" s="23"/>
    </row>
    <row r="35" spans="1:63" ht="15" customHeight="1" x14ac:dyDescent="0.25">
      <c r="A35" s="22"/>
      <c r="B35" s="35"/>
      <c r="C35" s="36"/>
      <c r="D35" s="36"/>
      <c r="E35" s="36"/>
      <c r="F35" s="36"/>
      <c r="G35" s="37"/>
      <c r="H35" s="35"/>
      <c r="I35" s="36"/>
      <c r="J35" s="36"/>
      <c r="K35" s="36"/>
      <c r="L35" s="36"/>
      <c r="M35" s="36"/>
      <c r="N35" s="37"/>
      <c r="O35" s="35"/>
      <c r="P35" s="36"/>
      <c r="Q35" s="36"/>
      <c r="R35" s="36"/>
      <c r="S35" s="81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3"/>
      <c r="AX35" s="84"/>
      <c r="AY35" s="84"/>
      <c r="AZ35" s="84"/>
      <c r="BA35" s="84"/>
      <c r="BB35" s="84"/>
      <c r="BC35" s="85"/>
      <c r="BD35" s="88"/>
      <c r="BE35" s="84"/>
      <c r="BF35" s="84"/>
      <c r="BG35" s="84"/>
      <c r="BH35" s="84"/>
      <c r="BI35" s="84"/>
      <c r="BJ35" s="85"/>
      <c r="BK35" s="23"/>
    </row>
    <row r="36" spans="1:63" ht="15" customHeight="1" x14ac:dyDescent="0.25">
      <c r="A36" s="22"/>
      <c r="B36" s="41"/>
      <c r="C36" s="42"/>
      <c r="D36" s="42"/>
      <c r="E36" s="42"/>
      <c r="F36" s="42"/>
      <c r="G36" s="43"/>
      <c r="H36" s="41"/>
      <c r="I36" s="42"/>
      <c r="J36" s="42"/>
      <c r="K36" s="42"/>
      <c r="L36" s="42"/>
      <c r="M36" s="42"/>
      <c r="N36" s="43"/>
      <c r="O36" s="41"/>
      <c r="P36" s="42"/>
      <c r="Q36" s="42"/>
      <c r="R36" s="42"/>
      <c r="S36" s="90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2"/>
      <c r="AX36" s="86"/>
      <c r="AY36" s="86"/>
      <c r="AZ36" s="86"/>
      <c r="BA36" s="86"/>
      <c r="BB36" s="86"/>
      <c r="BC36" s="87"/>
      <c r="BD36" s="89"/>
      <c r="BE36" s="86"/>
      <c r="BF36" s="86"/>
      <c r="BG36" s="86"/>
      <c r="BH36" s="86"/>
      <c r="BI36" s="86"/>
      <c r="BJ36" s="87"/>
      <c r="BK36" s="23"/>
    </row>
    <row r="37" spans="1:63" ht="15" customHeight="1" x14ac:dyDescent="0.25">
      <c r="A37" s="22"/>
      <c r="B37" s="35"/>
      <c r="C37" s="36"/>
      <c r="D37" s="36"/>
      <c r="E37" s="36"/>
      <c r="F37" s="36"/>
      <c r="G37" s="37"/>
      <c r="H37" s="35"/>
      <c r="I37" s="36"/>
      <c r="J37" s="36"/>
      <c r="K37" s="36"/>
      <c r="L37" s="36"/>
      <c r="M37" s="36"/>
      <c r="N37" s="37"/>
      <c r="O37" s="35"/>
      <c r="P37" s="36"/>
      <c r="Q37" s="36"/>
      <c r="R37" s="36"/>
      <c r="S37" s="81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3"/>
      <c r="AX37" s="84"/>
      <c r="AY37" s="84"/>
      <c r="AZ37" s="84"/>
      <c r="BA37" s="84"/>
      <c r="BB37" s="84"/>
      <c r="BC37" s="85"/>
      <c r="BD37" s="88"/>
      <c r="BE37" s="84"/>
      <c r="BF37" s="84"/>
      <c r="BG37" s="84"/>
      <c r="BH37" s="84"/>
      <c r="BI37" s="84"/>
      <c r="BJ37" s="85"/>
      <c r="BK37" s="23"/>
    </row>
    <row r="38" spans="1:63" ht="15" customHeight="1" x14ac:dyDescent="0.25">
      <c r="A38" s="22"/>
      <c r="B38" s="41"/>
      <c r="C38" s="42"/>
      <c r="D38" s="42"/>
      <c r="E38" s="42"/>
      <c r="F38" s="42"/>
      <c r="G38" s="43"/>
      <c r="H38" s="41"/>
      <c r="I38" s="42"/>
      <c r="J38" s="42"/>
      <c r="K38" s="42"/>
      <c r="L38" s="42"/>
      <c r="M38" s="42"/>
      <c r="N38" s="43"/>
      <c r="O38" s="41"/>
      <c r="P38" s="42"/>
      <c r="Q38" s="42"/>
      <c r="R38" s="42"/>
      <c r="S38" s="90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2"/>
      <c r="AX38" s="86"/>
      <c r="AY38" s="86"/>
      <c r="AZ38" s="86"/>
      <c r="BA38" s="86"/>
      <c r="BB38" s="86"/>
      <c r="BC38" s="87"/>
      <c r="BD38" s="89"/>
      <c r="BE38" s="86"/>
      <c r="BF38" s="86"/>
      <c r="BG38" s="86"/>
      <c r="BH38" s="86"/>
      <c r="BI38" s="86"/>
      <c r="BJ38" s="87"/>
      <c r="BK38" s="23"/>
    </row>
    <row r="39" spans="1:63" ht="15" customHeight="1" x14ac:dyDescent="0.25">
      <c r="A39" s="22"/>
      <c r="B39" s="35"/>
      <c r="C39" s="36"/>
      <c r="D39" s="36"/>
      <c r="E39" s="36"/>
      <c r="F39" s="36"/>
      <c r="G39" s="37"/>
      <c r="H39" s="35"/>
      <c r="I39" s="36"/>
      <c r="J39" s="36"/>
      <c r="K39" s="36"/>
      <c r="L39" s="36"/>
      <c r="M39" s="36"/>
      <c r="N39" s="37"/>
      <c r="O39" s="35"/>
      <c r="P39" s="36"/>
      <c r="Q39" s="36"/>
      <c r="R39" s="36"/>
      <c r="S39" s="81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3"/>
      <c r="AX39" s="84"/>
      <c r="AY39" s="84"/>
      <c r="AZ39" s="84"/>
      <c r="BA39" s="84"/>
      <c r="BB39" s="84"/>
      <c r="BC39" s="85"/>
      <c r="BD39" s="88"/>
      <c r="BE39" s="84"/>
      <c r="BF39" s="84"/>
      <c r="BG39" s="84"/>
      <c r="BH39" s="84"/>
      <c r="BI39" s="84"/>
      <c r="BJ39" s="85"/>
      <c r="BK39" s="23"/>
    </row>
    <row r="40" spans="1:63" ht="15" customHeight="1" x14ac:dyDescent="0.25">
      <c r="A40" s="22"/>
      <c r="B40" s="41"/>
      <c r="C40" s="42"/>
      <c r="D40" s="42"/>
      <c r="E40" s="42"/>
      <c r="F40" s="42"/>
      <c r="G40" s="43"/>
      <c r="H40" s="41"/>
      <c r="I40" s="42"/>
      <c r="J40" s="42"/>
      <c r="K40" s="42"/>
      <c r="L40" s="42"/>
      <c r="M40" s="42"/>
      <c r="N40" s="43"/>
      <c r="O40" s="41"/>
      <c r="P40" s="42"/>
      <c r="Q40" s="42"/>
      <c r="R40" s="42"/>
      <c r="S40" s="90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2"/>
      <c r="AX40" s="86"/>
      <c r="AY40" s="86"/>
      <c r="AZ40" s="86"/>
      <c r="BA40" s="86"/>
      <c r="BB40" s="86"/>
      <c r="BC40" s="87"/>
      <c r="BD40" s="89"/>
      <c r="BE40" s="86"/>
      <c r="BF40" s="86"/>
      <c r="BG40" s="86"/>
      <c r="BH40" s="86"/>
      <c r="BI40" s="86"/>
      <c r="BJ40" s="87"/>
      <c r="BK40" s="23"/>
    </row>
    <row r="41" spans="1:63" ht="15" customHeight="1" x14ac:dyDescent="0.25">
      <c r="A41" s="22"/>
      <c r="B41" s="35"/>
      <c r="C41" s="36"/>
      <c r="D41" s="36"/>
      <c r="E41" s="36"/>
      <c r="F41" s="36"/>
      <c r="G41" s="37"/>
      <c r="H41" s="35"/>
      <c r="I41" s="36"/>
      <c r="J41" s="36"/>
      <c r="K41" s="36"/>
      <c r="L41" s="36"/>
      <c r="M41" s="36"/>
      <c r="N41" s="37"/>
      <c r="O41" s="35"/>
      <c r="P41" s="36"/>
      <c r="Q41" s="36"/>
      <c r="R41" s="36"/>
      <c r="S41" s="81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3"/>
      <c r="AX41" s="84"/>
      <c r="AY41" s="84"/>
      <c r="AZ41" s="84"/>
      <c r="BA41" s="84"/>
      <c r="BB41" s="84"/>
      <c r="BC41" s="85"/>
      <c r="BD41" s="88"/>
      <c r="BE41" s="84"/>
      <c r="BF41" s="84"/>
      <c r="BG41" s="84"/>
      <c r="BH41" s="84"/>
      <c r="BI41" s="84"/>
      <c r="BJ41" s="85"/>
      <c r="BK41" s="23"/>
    </row>
    <row r="42" spans="1:63" ht="15" customHeight="1" x14ac:dyDescent="0.25">
      <c r="A42" s="22"/>
      <c r="B42" s="41"/>
      <c r="C42" s="42"/>
      <c r="D42" s="42"/>
      <c r="E42" s="42"/>
      <c r="F42" s="42"/>
      <c r="G42" s="43"/>
      <c r="H42" s="41"/>
      <c r="I42" s="42"/>
      <c r="J42" s="42"/>
      <c r="K42" s="42"/>
      <c r="L42" s="42"/>
      <c r="M42" s="42"/>
      <c r="N42" s="43"/>
      <c r="O42" s="41"/>
      <c r="P42" s="42"/>
      <c r="Q42" s="42"/>
      <c r="R42" s="42"/>
      <c r="S42" s="90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2"/>
      <c r="AX42" s="86"/>
      <c r="AY42" s="86"/>
      <c r="AZ42" s="86"/>
      <c r="BA42" s="86"/>
      <c r="BB42" s="86"/>
      <c r="BC42" s="87"/>
      <c r="BD42" s="89"/>
      <c r="BE42" s="86"/>
      <c r="BF42" s="86"/>
      <c r="BG42" s="86"/>
      <c r="BH42" s="86"/>
      <c r="BI42" s="86"/>
      <c r="BJ42" s="87"/>
      <c r="BK42" s="23"/>
    </row>
    <row r="43" spans="1:63" ht="15" customHeight="1" x14ac:dyDescent="0.25">
      <c r="A43" s="22"/>
      <c r="B43" s="35"/>
      <c r="C43" s="36"/>
      <c r="D43" s="36"/>
      <c r="E43" s="36"/>
      <c r="F43" s="36"/>
      <c r="G43" s="37"/>
      <c r="H43" s="35"/>
      <c r="I43" s="36"/>
      <c r="J43" s="36"/>
      <c r="K43" s="36"/>
      <c r="L43" s="36"/>
      <c r="M43" s="36"/>
      <c r="N43" s="37"/>
      <c r="O43" s="35"/>
      <c r="P43" s="36"/>
      <c r="Q43" s="36"/>
      <c r="R43" s="36"/>
      <c r="S43" s="81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3"/>
      <c r="AX43" s="84"/>
      <c r="AY43" s="84"/>
      <c r="AZ43" s="84"/>
      <c r="BA43" s="84"/>
      <c r="BB43" s="84"/>
      <c r="BC43" s="85"/>
      <c r="BD43" s="88"/>
      <c r="BE43" s="84"/>
      <c r="BF43" s="84"/>
      <c r="BG43" s="84"/>
      <c r="BH43" s="84"/>
      <c r="BI43" s="84"/>
      <c r="BJ43" s="85"/>
      <c r="BK43" s="23"/>
    </row>
    <row r="44" spans="1:63" ht="15" customHeight="1" x14ac:dyDescent="0.25">
      <c r="A44" s="22"/>
      <c r="B44" s="41"/>
      <c r="C44" s="42"/>
      <c r="D44" s="42"/>
      <c r="E44" s="42"/>
      <c r="F44" s="42"/>
      <c r="G44" s="43"/>
      <c r="H44" s="41"/>
      <c r="I44" s="42"/>
      <c r="J44" s="42"/>
      <c r="K44" s="42"/>
      <c r="L44" s="42"/>
      <c r="M44" s="42"/>
      <c r="N44" s="43"/>
      <c r="O44" s="41"/>
      <c r="P44" s="42"/>
      <c r="Q44" s="42"/>
      <c r="R44" s="42"/>
      <c r="S44" s="90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2"/>
      <c r="AX44" s="86"/>
      <c r="AY44" s="86"/>
      <c r="AZ44" s="86"/>
      <c r="BA44" s="86"/>
      <c r="BB44" s="86"/>
      <c r="BC44" s="87"/>
      <c r="BD44" s="89"/>
      <c r="BE44" s="86"/>
      <c r="BF44" s="86"/>
      <c r="BG44" s="86"/>
      <c r="BH44" s="86"/>
      <c r="BI44" s="86"/>
      <c r="BJ44" s="87"/>
      <c r="BK44" s="23"/>
    </row>
    <row r="45" spans="1:63" ht="15" customHeight="1" x14ac:dyDescent="0.25">
      <c r="A45" s="22"/>
      <c r="B45" s="35"/>
      <c r="C45" s="36"/>
      <c r="D45" s="36"/>
      <c r="E45" s="36"/>
      <c r="F45" s="36"/>
      <c r="G45" s="37"/>
      <c r="H45" s="35"/>
      <c r="I45" s="36"/>
      <c r="J45" s="36"/>
      <c r="K45" s="36"/>
      <c r="L45" s="36"/>
      <c r="M45" s="36"/>
      <c r="N45" s="37"/>
      <c r="O45" s="35"/>
      <c r="P45" s="36"/>
      <c r="Q45" s="36"/>
      <c r="R45" s="36"/>
      <c r="S45" s="81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3"/>
      <c r="AX45" s="84"/>
      <c r="AY45" s="84"/>
      <c r="AZ45" s="84"/>
      <c r="BA45" s="84"/>
      <c r="BB45" s="84"/>
      <c r="BC45" s="85"/>
      <c r="BD45" s="88"/>
      <c r="BE45" s="84"/>
      <c r="BF45" s="84"/>
      <c r="BG45" s="84"/>
      <c r="BH45" s="84"/>
      <c r="BI45" s="84"/>
      <c r="BJ45" s="85"/>
      <c r="BK45" s="23"/>
    </row>
    <row r="46" spans="1:63" ht="15" customHeight="1" x14ac:dyDescent="0.25">
      <c r="A46" s="22"/>
      <c r="B46" s="41"/>
      <c r="C46" s="42"/>
      <c r="D46" s="42"/>
      <c r="E46" s="42"/>
      <c r="F46" s="42"/>
      <c r="G46" s="43"/>
      <c r="H46" s="41"/>
      <c r="I46" s="42"/>
      <c r="J46" s="42"/>
      <c r="K46" s="42"/>
      <c r="L46" s="42"/>
      <c r="M46" s="42"/>
      <c r="N46" s="43"/>
      <c r="O46" s="41"/>
      <c r="P46" s="42"/>
      <c r="Q46" s="42"/>
      <c r="R46" s="42"/>
      <c r="S46" s="90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2"/>
      <c r="AX46" s="86"/>
      <c r="AY46" s="86"/>
      <c r="AZ46" s="86"/>
      <c r="BA46" s="86"/>
      <c r="BB46" s="86"/>
      <c r="BC46" s="87"/>
      <c r="BD46" s="89"/>
      <c r="BE46" s="86"/>
      <c r="BF46" s="86"/>
      <c r="BG46" s="86"/>
      <c r="BH46" s="86"/>
      <c r="BI46" s="86"/>
      <c r="BJ46" s="87"/>
      <c r="BK46" s="23"/>
    </row>
    <row r="47" spans="1:63" ht="15" customHeight="1" x14ac:dyDescent="0.25">
      <c r="A47" s="22"/>
      <c r="B47" s="35"/>
      <c r="C47" s="36"/>
      <c r="D47" s="36"/>
      <c r="E47" s="36"/>
      <c r="F47" s="36"/>
      <c r="G47" s="37"/>
      <c r="H47" s="35"/>
      <c r="I47" s="36"/>
      <c r="J47" s="36"/>
      <c r="K47" s="36"/>
      <c r="L47" s="36"/>
      <c r="M47" s="36"/>
      <c r="N47" s="37"/>
      <c r="O47" s="35"/>
      <c r="P47" s="36"/>
      <c r="Q47" s="36"/>
      <c r="R47" s="36"/>
      <c r="S47" s="81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3"/>
      <c r="AX47" s="84"/>
      <c r="AY47" s="84"/>
      <c r="AZ47" s="84"/>
      <c r="BA47" s="84"/>
      <c r="BB47" s="84"/>
      <c r="BC47" s="85"/>
      <c r="BD47" s="88"/>
      <c r="BE47" s="84"/>
      <c r="BF47" s="84"/>
      <c r="BG47" s="84"/>
      <c r="BH47" s="84"/>
      <c r="BI47" s="84"/>
      <c r="BJ47" s="85"/>
      <c r="BK47" s="23"/>
    </row>
    <row r="48" spans="1:63" ht="15" customHeight="1" x14ac:dyDescent="0.25">
      <c r="A48" s="22"/>
      <c r="B48" s="41"/>
      <c r="C48" s="42"/>
      <c r="D48" s="42"/>
      <c r="E48" s="42"/>
      <c r="F48" s="42"/>
      <c r="G48" s="43"/>
      <c r="H48" s="41"/>
      <c r="I48" s="42"/>
      <c r="J48" s="42"/>
      <c r="K48" s="42"/>
      <c r="L48" s="42"/>
      <c r="M48" s="42"/>
      <c r="N48" s="43"/>
      <c r="O48" s="41"/>
      <c r="P48" s="42"/>
      <c r="Q48" s="42"/>
      <c r="R48" s="42"/>
      <c r="S48" s="90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2"/>
      <c r="AX48" s="86"/>
      <c r="AY48" s="86"/>
      <c r="AZ48" s="86"/>
      <c r="BA48" s="86"/>
      <c r="BB48" s="86"/>
      <c r="BC48" s="87"/>
      <c r="BD48" s="89"/>
      <c r="BE48" s="86"/>
      <c r="BF48" s="86"/>
      <c r="BG48" s="86"/>
      <c r="BH48" s="86"/>
      <c r="BI48" s="86"/>
      <c r="BJ48" s="87"/>
      <c r="BK48" s="23"/>
    </row>
    <row r="49" spans="1:63" ht="15" customHeight="1" x14ac:dyDescent="0.25">
      <c r="A49" s="22"/>
      <c r="B49" s="35"/>
      <c r="C49" s="36"/>
      <c r="D49" s="36"/>
      <c r="E49" s="36"/>
      <c r="F49" s="36"/>
      <c r="G49" s="37"/>
      <c r="H49" s="35"/>
      <c r="I49" s="36"/>
      <c r="J49" s="36"/>
      <c r="K49" s="36"/>
      <c r="L49" s="36"/>
      <c r="M49" s="36"/>
      <c r="N49" s="37"/>
      <c r="O49" s="35"/>
      <c r="P49" s="36"/>
      <c r="Q49" s="36"/>
      <c r="R49" s="36"/>
      <c r="S49" s="81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3"/>
      <c r="AX49" s="84"/>
      <c r="AY49" s="84"/>
      <c r="AZ49" s="84"/>
      <c r="BA49" s="84"/>
      <c r="BB49" s="84"/>
      <c r="BC49" s="85"/>
      <c r="BD49" s="88"/>
      <c r="BE49" s="84"/>
      <c r="BF49" s="84"/>
      <c r="BG49" s="84"/>
      <c r="BH49" s="84"/>
      <c r="BI49" s="84"/>
      <c r="BJ49" s="85"/>
      <c r="BK49" s="23"/>
    </row>
    <row r="50" spans="1:63" ht="15" customHeight="1" x14ac:dyDescent="0.25">
      <c r="A50" s="22"/>
      <c r="B50" s="41"/>
      <c r="C50" s="42"/>
      <c r="D50" s="42"/>
      <c r="E50" s="42"/>
      <c r="F50" s="42"/>
      <c r="G50" s="43"/>
      <c r="H50" s="41"/>
      <c r="I50" s="42"/>
      <c r="J50" s="42"/>
      <c r="K50" s="42"/>
      <c r="L50" s="42"/>
      <c r="M50" s="42"/>
      <c r="N50" s="43"/>
      <c r="O50" s="41"/>
      <c r="P50" s="42"/>
      <c r="Q50" s="42"/>
      <c r="R50" s="42"/>
      <c r="S50" s="90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2"/>
      <c r="AX50" s="86"/>
      <c r="AY50" s="86"/>
      <c r="AZ50" s="86"/>
      <c r="BA50" s="86"/>
      <c r="BB50" s="86"/>
      <c r="BC50" s="87"/>
      <c r="BD50" s="89"/>
      <c r="BE50" s="86"/>
      <c r="BF50" s="86"/>
      <c r="BG50" s="86"/>
      <c r="BH50" s="86"/>
      <c r="BI50" s="86"/>
      <c r="BJ50" s="87"/>
      <c r="BK50" s="23"/>
    </row>
    <row r="51" spans="1:63" ht="15" customHeight="1" x14ac:dyDescent="0.25">
      <c r="A51" s="22"/>
      <c r="B51" s="35"/>
      <c r="C51" s="36"/>
      <c r="D51" s="36"/>
      <c r="E51" s="36"/>
      <c r="F51" s="36"/>
      <c r="G51" s="37"/>
      <c r="H51" s="35"/>
      <c r="I51" s="36"/>
      <c r="J51" s="36"/>
      <c r="K51" s="36"/>
      <c r="L51" s="36"/>
      <c r="M51" s="36"/>
      <c r="N51" s="37"/>
      <c r="O51" s="35"/>
      <c r="P51" s="36"/>
      <c r="Q51" s="36"/>
      <c r="R51" s="36"/>
      <c r="S51" s="81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3"/>
      <c r="AX51" s="84"/>
      <c r="AY51" s="84"/>
      <c r="AZ51" s="84"/>
      <c r="BA51" s="84"/>
      <c r="BB51" s="84"/>
      <c r="BC51" s="85"/>
      <c r="BD51" s="88"/>
      <c r="BE51" s="84"/>
      <c r="BF51" s="84"/>
      <c r="BG51" s="84"/>
      <c r="BH51" s="84"/>
      <c r="BI51" s="84"/>
      <c r="BJ51" s="85"/>
      <c r="BK51" s="23"/>
    </row>
    <row r="52" spans="1:63" ht="15" customHeight="1" x14ac:dyDescent="0.25">
      <c r="A52" s="22"/>
      <c r="B52" s="41"/>
      <c r="C52" s="42"/>
      <c r="D52" s="42"/>
      <c r="E52" s="42"/>
      <c r="F52" s="42"/>
      <c r="G52" s="43"/>
      <c r="H52" s="41"/>
      <c r="I52" s="42"/>
      <c r="J52" s="42"/>
      <c r="K52" s="42"/>
      <c r="L52" s="42"/>
      <c r="M52" s="42"/>
      <c r="N52" s="43"/>
      <c r="O52" s="41"/>
      <c r="P52" s="42"/>
      <c r="Q52" s="42"/>
      <c r="R52" s="42"/>
      <c r="S52" s="90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2"/>
      <c r="AX52" s="86"/>
      <c r="AY52" s="86"/>
      <c r="AZ52" s="86"/>
      <c r="BA52" s="86"/>
      <c r="BB52" s="86"/>
      <c r="BC52" s="87"/>
      <c r="BD52" s="89"/>
      <c r="BE52" s="86"/>
      <c r="BF52" s="86"/>
      <c r="BG52" s="86"/>
      <c r="BH52" s="86"/>
      <c r="BI52" s="86"/>
      <c r="BJ52" s="87"/>
      <c r="BK52" s="23"/>
    </row>
    <row r="53" spans="1:63" ht="15" customHeight="1" x14ac:dyDescent="0.25">
      <c r="A53" s="22"/>
      <c r="B53" s="35"/>
      <c r="C53" s="36"/>
      <c r="D53" s="36"/>
      <c r="E53" s="36"/>
      <c r="F53" s="36"/>
      <c r="G53" s="37"/>
      <c r="H53" s="35"/>
      <c r="I53" s="36"/>
      <c r="J53" s="36"/>
      <c r="K53" s="36"/>
      <c r="L53" s="36"/>
      <c r="M53" s="36"/>
      <c r="N53" s="37"/>
      <c r="O53" s="35"/>
      <c r="P53" s="36"/>
      <c r="Q53" s="36"/>
      <c r="R53" s="36"/>
      <c r="S53" s="81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3"/>
      <c r="AX53" s="84"/>
      <c r="AY53" s="84"/>
      <c r="AZ53" s="84"/>
      <c r="BA53" s="84"/>
      <c r="BB53" s="84"/>
      <c r="BC53" s="85"/>
      <c r="BD53" s="88"/>
      <c r="BE53" s="84"/>
      <c r="BF53" s="84"/>
      <c r="BG53" s="84"/>
      <c r="BH53" s="84"/>
      <c r="BI53" s="84"/>
      <c r="BJ53" s="85"/>
      <c r="BK53" s="23"/>
    </row>
    <row r="54" spans="1:63" ht="15" customHeight="1" x14ac:dyDescent="0.25">
      <c r="A54" s="22"/>
      <c r="B54" s="41"/>
      <c r="C54" s="42"/>
      <c r="D54" s="42"/>
      <c r="E54" s="42"/>
      <c r="F54" s="42"/>
      <c r="G54" s="43"/>
      <c r="H54" s="41"/>
      <c r="I54" s="42"/>
      <c r="J54" s="42"/>
      <c r="K54" s="42"/>
      <c r="L54" s="42"/>
      <c r="M54" s="42"/>
      <c r="N54" s="43"/>
      <c r="O54" s="41"/>
      <c r="P54" s="42"/>
      <c r="Q54" s="42"/>
      <c r="R54" s="42"/>
      <c r="S54" s="90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2"/>
      <c r="AX54" s="86"/>
      <c r="AY54" s="86"/>
      <c r="AZ54" s="86"/>
      <c r="BA54" s="86"/>
      <c r="BB54" s="86"/>
      <c r="BC54" s="87"/>
      <c r="BD54" s="89"/>
      <c r="BE54" s="86"/>
      <c r="BF54" s="86"/>
      <c r="BG54" s="86"/>
      <c r="BH54" s="86"/>
      <c r="BI54" s="86"/>
      <c r="BJ54" s="87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457C-59FC-49E1-91D1-A3710E31D4CB}">
  <sheetPr>
    <pageSetUpPr fitToPage="1"/>
  </sheetPr>
  <dimension ref="A1:BK72"/>
  <sheetViews>
    <sheetView view="pageBreakPreview" zoomScale="85" zoomScaleNormal="100" zoomScaleSheetLayoutView="85" zoomScalePageLayoutView="55" workbookViewId="0">
      <selection sqref="A1:J1"/>
    </sheetView>
  </sheetViews>
  <sheetFormatPr defaultColWidth="10.109375" defaultRowHeight="15.75" x14ac:dyDescent="0.25"/>
  <cols>
    <col min="1" max="63" width="3.21875" style="1" customWidth="1"/>
    <col min="64" max="16384" width="10.109375" style="1"/>
  </cols>
  <sheetData>
    <row r="1" spans="1:63" ht="24.95" customHeight="1" x14ac:dyDescent="0.25">
      <c r="A1" s="101" t="s">
        <v>29</v>
      </c>
      <c r="B1" s="102"/>
      <c r="C1" s="102"/>
      <c r="D1" s="102"/>
      <c r="E1" s="102"/>
      <c r="F1" s="102"/>
      <c r="G1" s="102"/>
      <c r="H1" s="102"/>
      <c r="I1" s="102"/>
      <c r="J1" s="103"/>
      <c r="K1" s="101" t="s">
        <v>30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 s="104" t="str">
        <f>IF(表紙!W1="","",表紙!W1)</f>
        <v>詳細設計書</v>
      </c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6"/>
      <c r="AP1" s="50" t="s">
        <v>32</v>
      </c>
      <c r="AQ1" s="51"/>
      <c r="AR1" s="51"/>
      <c r="AS1" s="52"/>
      <c r="AT1" s="50" t="s">
        <v>33</v>
      </c>
      <c r="AU1" s="51"/>
      <c r="AV1" s="51"/>
      <c r="AW1" s="51"/>
      <c r="AX1" s="52"/>
      <c r="AY1" s="50" t="s">
        <v>34</v>
      </c>
      <c r="AZ1" s="51"/>
      <c r="BA1" s="51"/>
      <c r="BB1" s="52"/>
      <c r="BC1" s="50" t="s">
        <v>35</v>
      </c>
      <c r="BD1" s="51"/>
      <c r="BE1" s="51"/>
      <c r="BF1" s="51"/>
      <c r="BG1" s="52"/>
      <c r="BH1" s="50" t="s">
        <v>36</v>
      </c>
      <c r="BI1" s="51"/>
      <c r="BJ1" s="51"/>
      <c r="BK1" s="52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POSサーバー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107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9"/>
      <c r="AP2" s="35" t="str">
        <f>IF(表紙!AP2="","",表紙!AP2)</f>
        <v>DuNT</v>
      </c>
      <c r="AQ2" s="36"/>
      <c r="AR2" s="36"/>
      <c r="AS2" s="37"/>
      <c r="AT2" s="65">
        <f>IF(表紙!AT2="","",表紙!AT2)</f>
        <v>45448</v>
      </c>
      <c r="AU2" s="66"/>
      <c r="AV2" s="66"/>
      <c r="AW2" s="66"/>
      <c r="AX2" s="67"/>
      <c r="AY2" s="35" t="str">
        <f>IF(表紙!AY2="","",表紙!AY2)</f>
        <v>DuNT</v>
      </c>
      <c r="AZ2" s="36"/>
      <c r="BA2" s="36"/>
      <c r="BB2" s="37"/>
      <c r="BC2" s="65">
        <f>IF(表紙!BC2="","",表紙!BC2)</f>
        <v>45448</v>
      </c>
      <c r="BD2" s="66"/>
      <c r="BE2" s="66"/>
      <c r="BF2" s="66"/>
      <c r="BG2" s="67"/>
      <c r="BH2" s="35">
        <f>IF(表紙!BH2="","",表紙!BH2)</f>
        <v>0.1</v>
      </c>
      <c r="BI2" s="36"/>
      <c r="BJ2" s="36"/>
      <c r="BK2" s="37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10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2"/>
      <c r="AP3" s="41"/>
      <c r="AQ3" s="42"/>
      <c r="AR3" s="42"/>
      <c r="AS3" s="43"/>
      <c r="AT3" s="68"/>
      <c r="AU3" s="69"/>
      <c r="AV3" s="69"/>
      <c r="AW3" s="69"/>
      <c r="AX3" s="70"/>
      <c r="AY3" s="41"/>
      <c r="AZ3" s="42"/>
      <c r="BA3" s="42"/>
      <c r="BB3" s="43"/>
      <c r="BC3" s="68"/>
      <c r="BD3" s="69"/>
      <c r="BE3" s="69"/>
      <c r="BF3" s="69"/>
      <c r="BG3" s="70"/>
      <c r="BH3" s="41"/>
      <c r="BI3" s="42"/>
      <c r="BJ3" s="42"/>
      <c r="BK3" s="43"/>
    </row>
    <row r="4" spans="1:63" ht="24.95" customHeight="1" x14ac:dyDescent="0.25">
      <c r="A4" s="101" t="s">
        <v>38</v>
      </c>
      <c r="B4" s="102"/>
      <c r="C4" s="102"/>
      <c r="D4" s="102"/>
      <c r="E4" s="102"/>
      <c r="F4" s="102"/>
      <c r="G4" s="103"/>
      <c r="H4" s="113" t="str">
        <f>IF(表紙!H4="","",表紙!H4)</f>
        <v>04_商品採用店舗確認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101" t="s">
        <v>39</v>
      </c>
      <c r="V4" s="102"/>
      <c r="W4" s="102"/>
      <c r="X4" s="102"/>
      <c r="Y4" s="103"/>
      <c r="Z4" s="113" t="str">
        <f>IF(表紙!Z4="","",表紙!Z4)</f>
        <v>画面設計書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6" t="str">
        <f ca="1">MID(CELL("filename",A1),FIND("]",CELL("filename",A1))+1,255)</f>
        <v>SC0401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46</v>
      </c>
      <c r="C7" s="34"/>
      <c r="D7" s="34"/>
      <c r="E7" s="34"/>
      <c r="F7" s="34"/>
      <c r="G7" s="34"/>
      <c r="H7" s="34"/>
      <c r="I7" s="34"/>
      <c r="J7" s="34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4.2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x14ac:dyDescent="0.25">
      <c r="A28" s="5"/>
      <c r="BK28" s="6"/>
    </row>
    <row r="29" spans="1:63" x14ac:dyDescent="0.25">
      <c r="A29" s="5"/>
      <c r="BK29" s="6"/>
    </row>
    <row r="30" spans="1:63" x14ac:dyDescent="0.25">
      <c r="A30" s="5"/>
      <c r="BK30" s="6"/>
    </row>
    <row r="31" spans="1:63" x14ac:dyDescent="0.25">
      <c r="A31" s="5"/>
      <c r="BK31" s="6"/>
    </row>
    <row r="32" spans="1:63" x14ac:dyDescent="0.25">
      <c r="A32" s="5"/>
      <c r="BK32" s="6"/>
    </row>
    <row r="33" spans="1:63" x14ac:dyDescent="0.25">
      <c r="A33" s="5"/>
      <c r="BK33" s="6"/>
    </row>
    <row r="34" spans="1:63" x14ac:dyDescent="0.25">
      <c r="A34" s="5"/>
      <c r="BK34" s="6"/>
    </row>
    <row r="35" spans="1:63" x14ac:dyDescent="0.25">
      <c r="A35" s="5"/>
      <c r="BK35" s="6"/>
    </row>
    <row r="36" spans="1:63" x14ac:dyDescent="0.25">
      <c r="A36" s="5"/>
      <c r="BK36" s="6"/>
    </row>
    <row r="37" spans="1:63" x14ac:dyDescent="0.25">
      <c r="A37" s="5"/>
      <c r="BK37" s="6"/>
    </row>
    <row r="38" spans="1:63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K40" s="6"/>
    </row>
    <row r="41" spans="1:63" x14ac:dyDescent="0.25">
      <c r="A41" s="5"/>
      <c r="BK41" s="6"/>
    </row>
    <row r="42" spans="1:63" ht="15" customHeight="1" x14ac:dyDescent="0.25">
      <c r="A42" s="5"/>
      <c r="B42" s="7" t="s">
        <v>47</v>
      </c>
      <c r="BK42" s="6"/>
    </row>
    <row r="43" spans="1:63" x14ac:dyDescent="0.25">
      <c r="A43" s="5"/>
      <c r="BK43" s="6"/>
    </row>
    <row r="44" spans="1:63" ht="15.75" customHeight="1" x14ac:dyDescent="0.25">
      <c r="A44" s="5"/>
      <c r="B44" s="117" t="s">
        <v>48</v>
      </c>
      <c r="C44" s="118"/>
      <c r="D44" s="123" t="s">
        <v>49</v>
      </c>
      <c r="E44" s="124"/>
      <c r="F44" s="124"/>
      <c r="G44" s="124"/>
      <c r="H44" s="124"/>
      <c r="I44" s="124"/>
      <c r="J44" s="118"/>
      <c r="K44" s="123" t="s">
        <v>50</v>
      </c>
      <c r="L44" s="124"/>
      <c r="M44" s="118"/>
      <c r="N44" s="127" t="s">
        <v>3</v>
      </c>
      <c r="O44" s="130" t="s">
        <v>51</v>
      </c>
      <c r="P44" s="152" t="s">
        <v>52</v>
      </c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4"/>
      <c r="AR44" s="133" t="s">
        <v>53</v>
      </c>
      <c r="AS44" s="134"/>
      <c r="AT44" s="134"/>
      <c r="AU44" s="134"/>
      <c r="AV44" s="134"/>
      <c r="AW44" s="134"/>
      <c r="AX44" s="134"/>
      <c r="AY44" s="134"/>
      <c r="AZ44" s="134"/>
      <c r="BA44" s="134"/>
      <c r="BB44" s="137"/>
      <c r="BC44" s="155" t="s">
        <v>54</v>
      </c>
      <c r="BD44" s="156"/>
      <c r="BE44" s="156"/>
      <c r="BF44" s="156"/>
      <c r="BG44" s="156"/>
      <c r="BH44" s="156"/>
      <c r="BI44" s="156"/>
      <c r="BJ44" s="157"/>
      <c r="BK44" s="6"/>
    </row>
    <row r="45" spans="1:63" ht="15.75" customHeight="1" x14ac:dyDescent="0.25">
      <c r="A45" s="5"/>
      <c r="B45" s="119"/>
      <c r="C45" s="120"/>
      <c r="D45" s="119"/>
      <c r="E45" s="125"/>
      <c r="F45" s="125"/>
      <c r="G45" s="125"/>
      <c r="H45" s="125"/>
      <c r="I45" s="125"/>
      <c r="J45" s="120"/>
      <c r="K45" s="119"/>
      <c r="L45" s="125"/>
      <c r="M45" s="120"/>
      <c r="N45" s="128"/>
      <c r="O45" s="131"/>
      <c r="P45" s="164" t="s">
        <v>55</v>
      </c>
      <c r="Q45" s="165"/>
      <c r="R45" s="165"/>
      <c r="S45" s="165"/>
      <c r="T45" s="165"/>
      <c r="U45" s="165"/>
      <c r="V45" s="165"/>
      <c r="W45" s="166"/>
      <c r="X45" s="167" t="s">
        <v>56</v>
      </c>
      <c r="Y45" s="168"/>
      <c r="Z45" s="169"/>
      <c r="AA45" s="167" t="s">
        <v>57</v>
      </c>
      <c r="AB45" s="168"/>
      <c r="AC45" s="168"/>
      <c r="AD45" s="168"/>
      <c r="AE45" s="168"/>
      <c r="AF45" s="168"/>
      <c r="AG45" s="168"/>
      <c r="AH45" s="169"/>
      <c r="AI45" s="167" t="s">
        <v>58</v>
      </c>
      <c r="AJ45" s="168"/>
      <c r="AK45" s="168"/>
      <c r="AL45" s="168"/>
      <c r="AM45" s="168"/>
      <c r="AN45" s="168"/>
      <c r="AO45" s="168"/>
      <c r="AP45" s="168"/>
      <c r="AQ45" s="169"/>
      <c r="AR45" s="173" t="s">
        <v>59</v>
      </c>
      <c r="AS45" s="175" t="s">
        <v>60</v>
      </c>
      <c r="AT45" s="177" t="s">
        <v>61</v>
      </c>
      <c r="AU45" s="133" t="s">
        <v>55</v>
      </c>
      <c r="AV45" s="134"/>
      <c r="AW45" s="134"/>
      <c r="AX45" s="134"/>
      <c r="AY45" s="134"/>
      <c r="AZ45" s="134"/>
      <c r="BA45" s="134"/>
      <c r="BB45" s="137"/>
      <c r="BC45" s="158"/>
      <c r="BD45" s="159"/>
      <c r="BE45" s="159"/>
      <c r="BF45" s="159"/>
      <c r="BG45" s="159"/>
      <c r="BH45" s="159"/>
      <c r="BI45" s="159"/>
      <c r="BJ45" s="160"/>
      <c r="BK45" s="6"/>
    </row>
    <row r="46" spans="1:63" x14ac:dyDescent="0.25">
      <c r="A46" s="5"/>
      <c r="B46" s="121"/>
      <c r="C46" s="122"/>
      <c r="D46" s="121"/>
      <c r="E46" s="126"/>
      <c r="F46" s="126"/>
      <c r="G46" s="126"/>
      <c r="H46" s="126"/>
      <c r="I46" s="126"/>
      <c r="J46" s="122"/>
      <c r="K46" s="121"/>
      <c r="L46" s="126"/>
      <c r="M46" s="122"/>
      <c r="N46" s="129"/>
      <c r="O46" s="132"/>
      <c r="P46" s="152" t="s">
        <v>62</v>
      </c>
      <c r="Q46" s="153"/>
      <c r="R46" s="153"/>
      <c r="S46" s="154"/>
      <c r="T46" s="152" t="s">
        <v>49</v>
      </c>
      <c r="U46" s="153"/>
      <c r="V46" s="153"/>
      <c r="W46" s="154"/>
      <c r="X46" s="170"/>
      <c r="Y46" s="171"/>
      <c r="Z46" s="172"/>
      <c r="AA46" s="170"/>
      <c r="AB46" s="171"/>
      <c r="AC46" s="171"/>
      <c r="AD46" s="171"/>
      <c r="AE46" s="171"/>
      <c r="AF46" s="171"/>
      <c r="AG46" s="171"/>
      <c r="AH46" s="172"/>
      <c r="AI46" s="170"/>
      <c r="AJ46" s="171"/>
      <c r="AK46" s="171"/>
      <c r="AL46" s="171"/>
      <c r="AM46" s="171"/>
      <c r="AN46" s="171"/>
      <c r="AO46" s="171"/>
      <c r="AP46" s="171"/>
      <c r="AQ46" s="172"/>
      <c r="AR46" s="174"/>
      <c r="AS46" s="176"/>
      <c r="AT46" s="178"/>
      <c r="AU46" s="133" t="s">
        <v>62</v>
      </c>
      <c r="AV46" s="134"/>
      <c r="AW46" s="134"/>
      <c r="AX46" s="135"/>
      <c r="AY46" s="136" t="s">
        <v>49</v>
      </c>
      <c r="AZ46" s="134"/>
      <c r="BA46" s="134"/>
      <c r="BB46" s="137"/>
      <c r="BC46" s="161"/>
      <c r="BD46" s="162"/>
      <c r="BE46" s="162"/>
      <c r="BF46" s="162"/>
      <c r="BG46" s="162"/>
      <c r="BH46" s="162"/>
      <c r="BI46" s="162"/>
      <c r="BJ46" s="163"/>
      <c r="BK46" s="6"/>
    </row>
    <row r="47" spans="1:63" ht="15.75" customHeight="1" x14ac:dyDescent="0.25">
      <c r="A47" s="5"/>
      <c r="B47" s="243">
        <v>0</v>
      </c>
      <c r="C47" s="245"/>
      <c r="D47" s="249" t="s">
        <v>28</v>
      </c>
      <c r="E47" s="250"/>
      <c r="F47" s="250"/>
      <c r="G47" s="250"/>
      <c r="H47" s="250"/>
      <c r="I47" s="250"/>
      <c r="J47" s="251"/>
      <c r="K47" s="252" t="s">
        <v>63</v>
      </c>
      <c r="L47" s="253"/>
      <c r="M47" s="254"/>
      <c r="N47" s="8" t="s">
        <v>6</v>
      </c>
      <c r="O47" s="17" t="s">
        <v>7</v>
      </c>
      <c r="P47" s="255" t="s">
        <v>6</v>
      </c>
      <c r="Q47" s="256"/>
      <c r="R47" s="256"/>
      <c r="S47" s="257"/>
      <c r="T47" s="258" t="s">
        <v>6</v>
      </c>
      <c r="U47" s="259"/>
      <c r="V47" s="259"/>
      <c r="W47" s="260"/>
      <c r="X47" s="261" t="s">
        <v>64</v>
      </c>
      <c r="Y47" s="262"/>
      <c r="Z47" s="263"/>
      <c r="AA47" s="255" t="s">
        <v>65</v>
      </c>
      <c r="AB47" s="256"/>
      <c r="AC47" s="256"/>
      <c r="AD47" s="256"/>
      <c r="AE47" s="256"/>
      <c r="AF47" s="256"/>
      <c r="AG47" s="256"/>
      <c r="AH47" s="257"/>
      <c r="AI47" s="264" t="s">
        <v>8</v>
      </c>
      <c r="AJ47" s="265"/>
      <c r="AK47" s="265"/>
      <c r="AL47" s="265"/>
      <c r="AM47" s="265"/>
      <c r="AN47" s="265"/>
      <c r="AO47" s="265"/>
      <c r="AP47" s="265"/>
      <c r="AQ47" s="266"/>
      <c r="AR47" s="10" t="s">
        <v>6</v>
      </c>
      <c r="AS47" s="10" t="s">
        <v>8</v>
      </c>
      <c r="AT47" s="10" t="s">
        <v>8</v>
      </c>
      <c r="AU47" s="243" t="s">
        <v>9</v>
      </c>
      <c r="AV47" s="244"/>
      <c r="AW47" s="244"/>
      <c r="AX47" s="245"/>
      <c r="AY47" s="243" t="s">
        <v>8</v>
      </c>
      <c r="AZ47" s="244"/>
      <c r="BA47" s="244"/>
      <c r="BB47" s="245"/>
      <c r="BC47" s="246" t="s">
        <v>66</v>
      </c>
      <c r="BD47" s="247"/>
      <c r="BE47" s="247"/>
      <c r="BF47" s="247"/>
      <c r="BG47" s="247"/>
      <c r="BH47" s="247"/>
      <c r="BI47" s="247"/>
      <c r="BJ47" s="248"/>
      <c r="BK47" s="6"/>
    </row>
    <row r="48" spans="1:63" ht="15.75" customHeight="1" x14ac:dyDescent="0.25">
      <c r="A48" s="5"/>
      <c r="B48" s="138">
        <v>1</v>
      </c>
      <c r="C48" s="139"/>
      <c r="D48" s="140" t="s">
        <v>23</v>
      </c>
      <c r="E48" s="141"/>
      <c r="F48" s="141"/>
      <c r="G48" s="141"/>
      <c r="H48" s="141"/>
      <c r="I48" s="141"/>
      <c r="J48" s="142"/>
      <c r="K48" s="143" t="s">
        <v>63</v>
      </c>
      <c r="L48" s="144"/>
      <c r="M48" s="145"/>
      <c r="N48" s="15" t="s">
        <v>6</v>
      </c>
      <c r="O48" s="12" t="s">
        <v>7</v>
      </c>
      <c r="P48" s="146" t="s">
        <v>6</v>
      </c>
      <c r="Q48" s="147"/>
      <c r="R48" s="147"/>
      <c r="S48" s="148"/>
      <c r="T48" s="149" t="s">
        <v>6</v>
      </c>
      <c r="U48" s="150"/>
      <c r="V48" s="150"/>
      <c r="W48" s="151"/>
      <c r="X48" s="179" t="s">
        <v>67</v>
      </c>
      <c r="Y48" s="180"/>
      <c r="Z48" s="181"/>
      <c r="AA48" s="146" t="s">
        <v>65</v>
      </c>
      <c r="AB48" s="147"/>
      <c r="AC48" s="147"/>
      <c r="AD48" s="147"/>
      <c r="AE48" s="147"/>
      <c r="AF48" s="147"/>
      <c r="AG48" s="147"/>
      <c r="AH48" s="148"/>
      <c r="AI48" s="182" t="s">
        <v>8</v>
      </c>
      <c r="AJ48" s="183"/>
      <c r="AK48" s="183"/>
      <c r="AL48" s="183"/>
      <c r="AM48" s="183"/>
      <c r="AN48" s="183"/>
      <c r="AO48" s="183"/>
      <c r="AP48" s="183"/>
      <c r="AQ48" s="184"/>
      <c r="AR48" s="16" t="s">
        <v>6</v>
      </c>
      <c r="AS48" s="16" t="s">
        <v>8</v>
      </c>
      <c r="AT48" s="16" t="s">
        <v>8</v>
      </c>
      <c r="AU48" s="138" t="s">
        <v>9</v>
      </c>
      <c r="AV48" s="185"/>
      <c r="AW48" s="185"/>
      <c r="AX48" s="139"/>
      <c r="AY48" s="138" t="s">
        <v>8</v>
      </c>
      <c r="AZ48" s="185"/>
      <c r="BA48" s="185"/>
      <c r="BB48" s="139"/>
      <c r="BC48" s="186"/>
      <c r="BD48" s="187"/>
      <c r="BE48" s="187"/>
      <c r="BF48" s="187"/>
      <c r="BG48" s="187"/>
      <c r="BH48" s="187"/>
      <c r="BI48" s="187"/>
      <c r="BJ48" s="188"/>
      <c r="BK48" s="6"/>
    </row>
    <row r="49" spans="1:63" ht="15.75" customHeight="1" x14ac:dyDescent="0.25">
      <c r="A49" s="5"/>
      <c r="B49" s="189">
        <v>2</v>
      </c>
      <c r="C49" s="190"/>
      <c r="D49" s="191" t="s">
        <v>24</v>
      </c>
      <c r="E49" s="192"/>
      <c r="F49" s="192"/>
      <c r="G49" s="192"/>
      <c r="H49" s="192"/>
      <c r="I49" s="192"/>
      <c r="J49" s="193"/>
      <c r="K49" s="194" t="s">
        <v>68</v>
      </c>
      <c r="L49" s="195"/>
      <c r="M49" s="196"/>
      <c r="N49" s="9" t="s">
        <v>11</v>
      </c>
      <c r="O49" s="9" t="s">
        <v>6</v>
      </c>
      <c r="P49" s="197" t="s">
        <v>69</v>
      </c>
      <c r="Q49" s="198"/>
      <c r="R49" s="198"/>
      <c r="S49" s="190"/>
      <c r="T49" s="199" t="s">
        <v>70</v>
      </c>
      <c r="U49" s="200"/>
      <c r="V49" s="200"/>
      <c r="W49" s="201"/>
      <c r="X49" s="222"/>
      <c r="Y49" s="223"/>
      <c r="Z49" s="224"/>
      <c r="AA49" s="189" t="s">
        <v>8</v>
      </c>
      <c r="AB49" s="198"/>
      <c r="AC49" s="198"/>
      <c r="AD49" s="198"/>
      <c r="AE49" s="198"/>
      <c r="AF49" s="198"/>
      <c r="AG49" s="198"/>
      <c r="AH49" s="190"/>
      <c r="AI49" s="199" t="s">
        <v>97</v>
      </c>
      <c r="AJ49" s="200"/>
      <c r="AK49" s="200"/>
      <c r="AL49" s="200"/>
      <c r="AM49" s="200"/>
      <c r="AN49" s="200"/>
      <c r="AO49" s="200"/>
      <c r="AP49" s="200"/>
      <c r="AQ49" s="201"/>
      <c r="AR49" s="11" t="s">
        <v>6</v>
      </c>
      <c r="AS49" s="11" t="s">
        <v>8</v>
      </c>
      <c r="AT49" s="11" t="s">
        <v>8</v>
      </c>
      <c r="AU49" s="197" t="s">
        <v>69</v>
      </c>
      <c r="AV49" s="198"/>
      <c r="AW49" s="198"/>
      <c r="AX49" s="190"/>
      <c r="AY49" s="197" t="s">
        <v>71</v>
      </c>
      <c r="AZ49" s="198"/>
      <c r="BA49" s="198"/>
      <c r="BB49" s="190"/>
      <c r="BC49" s="225" t="s">
        <v>72</v>
      </c>
      <c r="BD49" s="226"/>
      <c r="BE49" s="226"/>
      <c r="BF49" s="226"/>
      <c r="BG49" s="226"/>
      <c r="BH49" s="226"/>
      <c r="BI49" s="226"/>
      <c r="BJ49" s="227"/>
      <c r="BK49" s="6"/>
    </row>
    <row r="50" spans="1:63" x14ac:dyDescent="0.25">
      <c r="A50" s="5"/>
      <c r="B50" s="189">
        <v>3</v>
      </c>
      <c r="C50" s="190"/>
      <c r="D50" s="214" t="s">
        <v>22</v>
      </c>
      <c r="E50" s="215"/>
      <c r="F50" s="215"/>
      <c r="G50" s="215"/>
      <c r="H50" s="215"/>
      <c r="I50" s="215"/>
      <c r="J50" s="216"/>
      <c r="K50" s="221" t="s">
        <v>5</v>
      </c>
      <c r="L50" s="195"/>
      <c r="M50" s="196"/>
      <c r="N50" s="9" t="s">
        <v>6</v>
      </c>
      <c r="O50" s="9" t="s">
        <v>7</v>
      </c>
      <c r="P50" s="197" t="s">
        <v>6</v>
      </c>
      <c r="Q50" s="198"/>
      <c r="R50" s="198"/>
      <c r="S50" s="190"/>
      <c r="T50" s="217"/>
      <c r="U50" s="200"/>
      <c r="V50" s="200"/>
      <c r="W50" s="201"/>
      <c r="X50" s="239" t="s">
        <v>73</v>
      </c>
      <c r="Y50" s="240"/>
      <c r="Z50" s="241"/>
      <c r="AA50" s="189" t="s">
        <v>8</v>
      </c>
      <c r="AB50" s="198"/>
      <c r="AC50" s="198"/>
      <c r="AD50" s="198"/>
      <c r="AE50" s="198"/>
      <c r="AF50" s="198"/>
      <c r="AG50" s="198"/>
      <c r="AH50" s="190"/>
      <c r="AI50" s="199" t="s">
        <v>65</v>
      </c>
      <c r="AJ50" s="200"/>
      <c r="AK50" s="200"/>
      <c r="AL50" s="200"/>
      <c r="AM50" s="200"/>
      <c r="AN50" s="200"/>
      <c r="AO50" s="200"/>
      <c r="AP50" s="200"/>
      <c r="AQ50" s="201"/>
      <c r="AR50" s="11" t="s">
        <v>6</v>
      </c>
      <c r="AS50" s="11" t="s">
        <v>8</v>
      </c>
      <c r="AT50" s="11" t="s">
        <v>8</v>
      </c>
      <c r="AU50" s="189" t="s">
        <v>9</v>
      </c>
      <c r="AV50" s="198"/>
      <c r="AW50" s="198"/>
      <c r="AX50" s="190"/>
      <c r="AY50" s="189" t="s">
        <v>8</v>
      </c>
      <c r="AZ50" s="198"/>
      <c r="BA50" s="198"/>
      <c r="BB50" s="190"/>
      <c r="BC50" s="225"/>
      <c r="BD50" s="226"/>
      <c r="BE50" s="226"/>
      <c r="BF50" s="226"/>
      <c r="BG50" s="226"/>
      <c r="BH50" s="226"/>
      <c r="BI50" s="226"/>
      <c r="BJ50" s="227"/>
      <c r="BK50" s="6"/>
    </row>
    <row r="51" spans="1:63" x14ac:dyDescent="0.25">
      <c r="A51" s="5"/>
      <c r="B51" s="189">
        <v>4</v>
      </c>
      <c r="C51" s="190"/>
      <c r="D51" s="218" t="s">
        <v>21</v>
      </c>
      <c r="E51" s="219"/>
      <c r="F51" s="219"/>
      <c r="G51" s="219"/>
      <c r="H51" s="219"/>
      <c r="I51" s="219"/>
      <c r="J51" s="220"/>
      <c r="K51" s="221" t="s">
        <v>5</v>
      </c>
      <c r="L51" s="195"/>
      <c r="M51" s="196"/>
      <c r="N51" s="12" t="s">
        <v>10</v>
      </c>
      <c r="O51" s="9" t="s">
        <v>6</v>
      </c>
      <c r="P51" s="197" t="s">
        <v>69</v>
      </c>
      <c r="Q51" s="198"/>
      <c r="R51" s="198"/>
      <c r="S51" s="190"/>
      <c r="T51" s="199" t="s">
        <v>74</v>
      </c>
      <c r="U51" s="200"/>
      <c r="V51" s="200"/>
      <c r="W51" s="201"/>
      <c r="X51" s="235"/>
      <c r="Y51" s="198"/>
      <c r="Z51" s="190"/>
      <c r="AA51" s="189" t="s">
        <v>8</v>
      </c>
      <c r="AB51" s="198"/>
      <c r="AC51" s="198"/>
      <c r="AD51" s="198"/>
      <c r="AE51" s="198"/>
      <c r="AF51" s="198"/>
      <c r="AG51" s="198"/>
      <c r="AH51" s="190"/>
      <c r="AI51" s="199" t="s">
        <v>75</v>
      </c>
      <c r="AJ51" s="200"/>
      <c r="AK51" s="200"/>
      <c r="AL51" s="200"/>
      <c r="AM51" s="200"/>
      <c r="AN51" s="200"/>
      <c r="AO51" s="200"/>
      <c r="AP51" s="200"/>
      <c r="AQ51" s="201"/>
      <c r="AR51" s="11" t="s">
        <v>6</v>
      </c>
      <c r="AS51" s="11" t="s">
        <v>8</v>
      </c>
      <c r="AT51" s="11" t="s">
        <v>8</v>
      </c>
      <c r="AU51" s="189" t="s">
        <v>9</v>
      </c>
      <c r="AV51" s="198"/>
      <c r="AW51" s="198"/>
      <c r="AX51" s="190"/>
      <c r="AY51" s="189" t="s">
        <v>8</v>
      </c>
      <c r="AZ51" s="198"/>
      <c r="BA51" s="198"/>
      <c r="BB51" s="190"/>
      <c r="BC51" s="236"/>
      <c r="BD51" s="237"/>
      <c r="BE51" s="237"/>
      <c r="BF51" s="237"/>
      <c r="BG51" s="237"/>
      <c r="BH51" s="237"/>
      <c r="BI51" s="237"/>
      <c r="BJ51" s="238"/>
      <c r="BK51" s="6"/>
    </row>
    <row r="52" spans="1:63" x14ac:dyDescent="0.25">
      <c r="A52" s="5"/>
      <c r="B52" s="189">
        <v>5</v>
      </c>
      <c r="C52" s="190"/>
      <c r="D52" s="214" t="s">
        <v>20</v>
      </c>
      <c r="E52" s="215"/>
      <c r="F52" s="215"/>
      <c r="G52" s="215"/>
      <c r="H52" s="215"/>
      <c r="I52" s="215"/>
      <c r="J52" s="216"/>
      <c r="K52" s="221" t="s">
        <v>5</v>
      </c>
      <c r="L52" s="195"/>
      <c r="M52" s="196"/>
      <c r="N52" s="12" t="s">
        <v>6</v>
      </c>
      <c r="O52" s="9" t="s">
        <v>7</v>
      </c>
      <c r="P52" s="189" t="s">
        <v>9</v>
      </c>
      <c r="Q52" s="198"/>
      <c r="R52" s="198"/>
      <c r="S52" s="190"/>
      <c r="T52" s="217" t="s">
        <v>9</v>
      </c>
      <c r="U52" s="200"/>
      <c r="V52" s="200"/>
      <c r="W52" s="201"/>
      <c r="X52" s="235" t="s">
        <v>25</v>
      </c>
      <c r="Y52" s="198"/>
      <c r="Z52" s="190"/>
      <c r="AA52" s="189" t="s">
        <v>8</v>
      </c>
      <c r="AB52" s="198"/>
      <c r="AC52" s="198"/>
      <c r="AD52" s="198"/>
      <c r="AE52" s="198"/>
      <c r="AF52" s="198"/>
      <c r="AG52" s="198"/>
      <c r="AH52" s="190"/>
      <c r="AI52" s="217" t="s">
        <v>8</v>
      </c>
      <c r="AJ52" s="200"/>
      <c r="AK52" s="200"/>
      <c r="AL52" s="200"/>
      <c r="AM52" s="200"/>
      <c r="AN52" s="200"/>
      <c r="AO52" s="200"/>
      <c r="AP52" s="200"/>
      <c r="AQ52" s="201"/>
      <c r="AR52" s="11" t="s">
        <v>6</v>
      </c>
      <c r="AS52" s="11" t="s">
        <v>8</v>
      </c>
      <c r="AT52" s="11" t="s">
        <v>8</v>
      </c>
      <c r="AU52" s="189" t="s">
        <v>9</v>
      </c>
      <c r="AV52" s="198"/>
      <c r="AW52" s="198"/>
      <c r="AX52" s="190"/>
      <c r="AY52" s="189" t="s">
        <v>8</v>
      </c>
      <c r="AZ52" s="198"/>
      <c r="BA52" s="198"/>
      <c r="BB52" s="190"/>
      <c r="BC52" s="225"/>
      <c r="BD52" s="226"/>
      <c r="BE52" s="226"/>
      <c r="BF52" s="226"/>
      <c r="BG52" s="226"/>
      <c r="BH52" s="226"/>
      <c r="BI52" s="226"/>
      <c r="BJ52" s="227"/>
      <c r="BK52" s="6"/>
    </row>
    <row r="53" spans="1:63" x14ac:dyDescent="0.25">
      <c r="A53" s="5"/>
      <c r="B53" s="189">
        <v>6</v>
      </c>
      <c r="C53" s="190"/>
      <c r="D53" s="191" t="s">
        <v>19</v>
      </c>
      <c r="E53" s="192"/>
      <c r="F53" s="192"/>
      <c r="G53" s="192"/>
      <c r="H53" s="192"/>
      <c r="I53" s="192"/>
      <c r="J53" s="193"/>
      <c r="K53" s="221" t="s">
        <v>5</v>
      </c>
      <c r="L53" s="195"/>
      <c r="M53" s="196"/>
      <c r="N53" s="9" t="s">
        <v>10</v>
      </c>
      <c r="O53" s="9" t="s">
        <v>6</v>
      </c>
      <c r="P53" s="197" t="s">
        <v>69</v>
      </c>
      <c r="Q53" s="198"/>
      <c r="R53" s="198"/>
      <c r="S53" s="190"/>
      <c r="T53" s="199" t="s">
        <v>76</v>
      </c>
      <c r="U53" s="200"/>
      <c r="V53" s="200"/>
      <c r="W53" s="201"/>
      <c r="X53" s="222"/>
      <c r="Y53" s="223"/>
      <c r="Z53" s="224"/>
      <c r="AA53" s="199" t="s">
        <v>98</v>
      </c>
      <c r="AB53" s="200"/>
      <c r="AC53" s="200"/>
      <c r="AD53" s="200"/>
      <c r="AE53" s="200"/>
      <c r="AF53" s="200"/>
      <c r="AG53" s="200"/>
      <c r="AH53" s="201"/>
      <c r="AI53" s="199" t="s">
        <v>75</v>
      </c>
      <c r="AJ53" s="200"/>
      <c r="AK53" s="200"/>
      <c r="AL53" s="200"/>
      <c r="AM53" s="200"/>
      <c r="AN53" s="200"/>
      <c r="AO53" s="200"/>
      <c r="AP53" s="200"/>
      <c r="AQ53" s="201"/>
      <c r="AR53" s="11" t="s">
        <v>6</v>
      </c>
      <c r="AS53" s="11" t="s">
        <v>8</v>
      </c>
      <c r="AT53" s="11" t="s">
        <v>8</v>
      </c>
      <c r="AU53" s="189" t="s">
        <v>9</v>
      </c>
      <c r="AV53" s="198"/>
      <c r="AW53" s="198"/>
      <c r="AX53" s="190"/>
      <c r="AY53" s="189" t="s">
        <v>8</v>
      </c>
      <c r="AZ53" s="198"/>
      <c r="BA53" s="198"/>
      <c r="BB53" s="190"/>
      <c r="BC53" s="242"/>
      <c r="BD53" s="226"/>
      <c r="BE53" s="226"/>
      <c r="BF53" s="226"/>
      <c r="BG53" s="226"/>
      <c r="BH53" s="226"/>
      <c r="BI53" s="226"/>
      <c r="BJ53" s="227"/>
      <c r="BK53" s="6"/>
    </row>
    <row r="54" spans="1:63" x14ac:dyDescent="0.25">
      <c r="A54" s="5"/>
      <c r="B54" s="189">
        <v>7</v>
      </c>
      <c r="C54" s="190"/>
      <c r="D54" s="214" t="s">
        <v>77</v>
      </c>
      <c r="E54" s="215"/>
      <c r="F54" s="215"/>
      <c r="G54" s="215"/>
      <c r="H54" s="215"/>
      <c r="I54" s="215"/>
      <c r="J54" s="216"/>
      <c r="K54" s="221" t="s">
        <v>5</v>
      </c>
      <c r="L54" s="195"/>
      <c r="M54" s="196"/>
      <c r="N54" s="9" t="s">
        <v>6</v>
      </c>
      <c r="O54" s="9" t="s">
        <v>7</v>
      </c>
      <c r="P54" s="197" t="s">
        <v>6</v>
      </c>
      <c r="Q54" s="198"/>
      <c r="R54" s="198"/>
      <c r="S54" s="190"/>
      <c r="T54" s="217"/>
      <c r="U54" s="200"/>
      <c r="V54" s="200"/>
      <c r="W54" s="201"/>
      <c r="X54" s="239" t="s">
        <v>78</v>
      </c>
      <c r="Y54" s="240"/>
      <c r="Z54" s="241"/>
      <c r="AA54" s="189" t="s">
        <v>8</v>
      </c>
      <c r="AB54" s="198"/>
      <c r="AC54" s="198"/>
      <c r="AD54" s="198"/>
      <c r="AE54" s="198"/>
      <c r="AF54" s="198"/>
      <c r="AG54" s="198"/>
      <c r="AH54" s="190"/>
      <c r="AI54" s="217" t="s">
        <v>8</v>
      </c>
      <c r="AJ54" s="200"/>
      <c r="AK54" s="200"/>
      <c r="AL54" s="200"/>
      <c r="AM54" s="200"/>
      <c r="AN54" s="200"/>
      <c r="AO54" s="200"/>
      <c r="AP54" s="200"/>
      <c r="AQ54" s="201"/>
      <c r="AR54" s="11" t="s">
        <v>6</v>
      </c>
      <c r="AS54" s="11" t="s">
        <v>8</v>
      </c>
      <c r="AT54" s="11" t="s">
        <v>8</v>
      </c>
      <c r="AU54" s="189" t="s">
        <v>9</v>
      </c>
      <c r="AV54" s="198"/>
      <c r="AW54" s="198"/>
      <c r="AX54" s="190"/>
      <c r="AY54" s="189" t="s">
        <v>8</v>
      </c>
      <c r="AZ54" s="198"/>
      <c r="BA54" s="198"/>
      <c r="BB54" s="190"/>
      <c r="BC54" s="225"/>
      <c r="BD54" s="226"/>
      <c r="BE54" s="226"/>
      <c r="BF54" s="226"/>
      <c r="BG54" s="226"/>
      <c r="BH54" s="226"/>
      <c r="BI54" s="226"/>
      <c r="BJ54" s="227"/>
      <c r="BK54" s="6"/>
    </row>
    <row r="55" spans="1:63" x14ac:dyDescent="0.25">
      <c r="A55" s="5"/>
      <c r="B55" s="189">
        <v>8</v>
      </c>
      <c r="C55" s="190"/>
      <c r="D55" s="218" t="s">
        <v>17</v>
      </c>
      <c r="E55" s="219"/>
      <c r="F55" s="219"/>
      <c r="G55" s="219"/>
      <c r="H55" s="219"/>
      <c r="I55" s="219"/>
      <c r="J55" s="220"/>
      <c r="K55" s="194" t="s">
        <v>79</v>
      </c>
      <c r="L55" s="195"/>
      <c r="M55" s="196"/>
      <c r="N55" s="12" t="s">
        <v>10</v>
      </c>
      <c r="O55" s="9" t="s">
        <v>7</v>
      </c>
      <c r="P55" s="197" t="s">
        <v>69</v>
      </c>
      <c r="Q55" s="198"/>
      <c r="R55" s="198"/>
      <c r="S55" s="190"/>
      <c r="T55" s="199" t="s">
        <v>76</v>
      </c>
      <c r="U55" s="200"/>
      <c r="V55" s="200"/>
      <c r="W55" s="201"/>
      <c r="X55" s="235" t="s">
        <v>17</v>
      </c>
      <c r="Y55" s="198"/>
      <c r="Z55" s="190"/>
      <c r="AA55" s="199" t="s">
        <v>80</v>
      </c>
      <c r="AB55" s="200"/>
      <c r="AC55" s="200"/>
      <c r="AD55" s="200"/>
      <c r="AE55" s="200"/>
      <c r="AF55" s="200"/>
      <c r="AG55" s="200"/>
      <c r="AH55" s="201"/>
      <c r="AI55" s="199" t="s">
        <v>81</v>
      </c>
      <c r="AJ55" s="200"/>
      <c r="AK55" s="200"/>
      <c r="AL55" s="200"/>
      <c r="AM55" s="200"/>
      <c r="AN55" s="200"/>
      <c r="AO55" s="200"/>
      <c r="AP55" s="200"/>
      <c r="AQ55" s="201"/>
      <c r="AR55" s="11" t="s">
        <v>6</v>
      </c>
      <c r="AS55" s="11" t="s">
        <v>8</v>
      </c>
      <c r="AT55" s="11" t="s">
        <v>8</v>
      </c>
      <c r="AU55" s="197" t="s">
        <v>82</v>
      </c>
      <c r="AV55" s="198"/>
      <c r="AW55" s="198"/>
      <c r="AX55" s="190"/>
      <c r="AY55" s="197" t="s">
        <v>76</v>
      </c>
      <c r="AZ55" s="198"/>
      <c r="BA55" s="198"/>
      <c r="BB55" s="190"/>
      <c r="BC55" s="236"/>
      <c r="BD55" s="237"/>
      <c r="BE55" s="237"/>
      <c r="BF55" s="237"/>
      <c r="BG55" s="237"/>
      <c r="BH55" s="237"/>
      <c r="BI55" s="237"/>
      <c r="BJ55" s="238"/>
      <c r="BK55" s="6"/>
    </row>
    <row r="56" spans="1:63" x14ac:dyDescent="0.25">
      <c r="A56" s="5"/>
      <c r="B56" s="189">
        <v>9</v>
      </c>
      <c r="C56" s="190"/>
      <c r="D56" s="214" t="s">
        <v>18</v>
      </c>
      <c r="E56" s="215"/>
      <c r="F56" s="215"/>
      <c r="G56" s="215"/>
      <c r="H56" s="215"/>
      <c r="I56" s="215"/>
      <c r="J56" s="216"/>
      <c r="K56" s="194" t="s">
        <v>79</v>
      </c>
      <c r="L56" s="195"/>
      <c r="M56" s="196"/>
      <c r="N56" s="12" t="s">
        <v>10</v>
      </c>
      <c r="O56" s="9" t="s">
        <v>7</v>
      </c>
      <c r="P56" s="197" t="s">
        <v>69</v>
      </c>
      <c r="Q56" s="198"/>
      <c r="R56" s="198"/>
      <c r="S56" s="190"/>
      <c r="T56" s="199" t="s">
        <v>76</v>
      </c>
      <c r="U56" s="200"/>
      <c r="V56" s="200"/>
      <c r="W56" s="201"/>
      <c r="X56" s="235" t="s">
        <v>18</v>
      </c>
      <c r="Y56" s="198"/>
      <c r="Z56" s="190"/>
      <c r="AA56" s="199" t="s">
        <v>83</v>
      </c>
      <c r="AB56" s="200"/>
      <c r="AC56" s="200"/>
      <c r="AD56" s="200"/>
      <c r="AE56" s="200"/>
      <c r="AF56" s="200"/>
      <c r="AG56" s="200"/>
      <c r="AH56" s="201"/>
      <c r="AI56" s="199" t="s">
        <v>84</v>
      </c>
      <c r="AJ56" s="200"/>
      <c r="AK56" s="200"/>
      <c r="AL56" s="200"/>
      <c r="AM56" s="200"/>
      <c r="AN56" s="200"/>
      <c r="AO56" s="200"/>
      <c r="AP56" s="200"/>
      <c r="AQ56" s="201"/>
      <c r="AR56" s="11" t="s">
        <v>6</v>
      </c>
      <c r="AS56" s="11" t="s">
        <v>8</v>
      </c>
      <c r="AT56" s="11" t="s">
        <v>8</v>
      </c>
      <c r="AU56" s="197" t="s">
        <v>82</v>
      </c>
      <c r="AV56" s="198"/>
      <c r="AW56" s="198"/>
      <c r="AX56" s="190"/>
      <c r="AY56" s="197" t="s">
        <v>76</v>
      </c>
      <c r="AZ56" s="198"/>
      <c r="BA56" s="198"/>
      <c r="BB56" s="190"/>
      <c r="BC56" s="225"/>
      <c r="BD56" s="226"/>
      <c r="BE56" s="226"/>
      <c r="BF56" s="226"/>
      <c r="BG56" s="226"/>
      <c r="BH56" s="226"/>
      <c r="BI56" s="226"/>
      <c r="BJ56" s="227"/>
      <c r="BK56" s="6"/>
    </row>
    <row r="57" spans="1:63" x14ac:dyDescent="0.25">
      <c r="A57" s="5"/>
      <c r="B57" s="189">
        <v>10</v>
      </c>
      <c r="C57" s="190"/>
      <c r="D57" s="214" t="s">
        <v>16</v>
      </c>
      <c r="E57" s="215"/>
      <c r="F57" s="215"/>
      <c r="G57" s="215"/>
      <c r="H57" s="215"/>
      <c r="I57" s="215"/>
      <c r="J57" s="216"/>
      <c r="K57" s="194" t="s">
        <v>85</v>
      </c>
      <c r="L57" s="195"/>
      <c r="M57" s="196"/>
      <c r="N57" s="12" t="s">
        <v>11</v>
      </c>
      <c r="O57" s="9" t="s">
        <v>7</v>
      </c>
      <c r="P57" s="189" t="s">
        <v>9</v>
      </c>
      <c r="Q57" s="198"/>
      <c r="R57" s="198"/>
      <c r="S57" s="190"/>
      <c r="T57" s="217" t="s">
        <v>9</v>
      </c>
      <c r="U57" s="200"/>
      <c r="V57" s="200"/>
      <c r="W57" s="201"/>
      <c r="X57" s="235" t="s">
        <v>26</v>
      </c>
      <c r="Y57" s="198"/>
      <c r="Z57" s="190"/>
      <c r="AA57" s="197" t="s">
        <v>65</v>
      </c>
      <c r="AB57" s="198"/>
      <c r="AC57" s="198"/>
      <c r="AD57" s="198"/>
      <c r="AE57" s="198"/>
      <c r="AF57" s="198"/>
      <c r="AG57" s="198"/>
      <c r="AH57" s="190"/>
      <c r="AI57" s="199" t="s">
        <v>86</v>
      </c>
      <c r="AJ57" s="200"/>
      <c r="AK57" s="200"/>
      <c r="AL57" s="200"/>
      <c r="AM57" s="200"/>
      <c r="AN57" s="200"/>
      <c r="AO57" s="200"/>
      <c r="AP57" s="200"/>
      <c r="AQ57" s="201"/>
      <c r="AR57" s="11" t="s">
        <v>6</v>
      </c>
      <c r="AS57" s="11" t="s">
        <v>8</v>
      </c>
      <c r="AT57" s="11" t="s">
        <v>8</v>
      </c>
      <c r="AU57" s="189" t="s">
        <v>9</v>
      </c>
      <c r="AV57" s="198"/>
      <c r="AW57" s="198"/>
      <c r="AX57" s="190"/>
      <c r="AY57" s="189" t="s">
        <v>8</v>
      </c>
      <c r="AZ57" s="198"/>
      <c r="BA57" s="198"/>
      <c r="BB57" s="190"/>
      <c r="BC57" s="225" t="s">
        <v>87</v>
      </c>
      <c r="BD57" s="226"/>
      <c r="BE57" s="226"/>
      <c r="BF57" s="226"/>
      <c r="BG57" s="226"/>
      <c r="BH57" s="226"/>
      <c r="BI57" s="226"/>
      <c r="BJ57" s="227"/>
      <c r="BK57" s="6"/>
    </row>
    <row r="58" spans="1:63" x14ac:dyDescent="0.25">
      <c r="A58" s="5"/>
      <c r="B58" s="202">
        <v>11</v>
      </c>
      <c r="C58" s="203"/>
      <c r="D58" s="204" t="s">
        <v>88</v>
      </c>
      <c r="E58" s="205"/>
      <c r="F58" s="205"/>
      <c r="G58" s="205"/>
      <c r="H58" s="205"/>
      <c r="I58" s="205"/>
      <c r="J58" s="206"/>
      <c r="K58" s="207" t="s">
        <v>13</v>
      </c>
      <c r="L58" s="208"/>
      <c r="M58" s="209"/>
      <c r="N58" s="13" t="s">
        <v>11</v>
      </c>
      <c r="O58" s="13" t="s">
        <v>7</v>
      </c>
      <c r="P58" s="202" t="s">
        <v>9</v>
      </c>
      <c r="Q58" s="210"/>
      <c r="R58" s="210"/>
      <c r="S58" s="203"/>
      <c r="T58" s="211" t="s">
        <v>9</v>
      </c>
      <c r="U58" s="212"/>
      <c r="V58" s="212"/>
      <c r="W58" s="213"/>
      <c r="X58" s="232" t="s">
        <v>89</v>
      </c>
      <c r="Y58" s="233"/>
      <c r="Z58" s="234"/>
      <c r="AA58" s="202" t="s">
        <v>8</v>
      </c>
      <c r="AB58" s="210"/>
      <c r="AC58" s="210"/>
      <c r="AD58" s="210"/>
      <c r="AE58" s="210"/>
      <c r="AF58" s="210"/>
      <c r="AG58" s="210"/>
      <c r="AH58" s="203"/>
      <c r="AI58" s="228" t="s">
        <v>90</v>
      </c>
      <c r="AJ58" s="212"/>
      <c r="AK58" s="212"/>
      <c r="AL58" s="212"/>
      <c r="AM58" s="212"/>
      <c r="AN58" s="212"/>
      <c r="AO58" s="212"/>
      <c r="AP58" s="212"/>
      <c r="AQ58" s="213"/>
      <c r="AR58" s="14" t="s">
        <v>6</v>
      </c>
      <c r="AS58" s="14" t="s">
        <v>8</v>
      </c>
      <c r="AT58" s="14" t="s">
        <v>8</v>
      </c>
      <c r="AU58" s="202" t="s">
        <v>9</v>
      </c>
      <c r="AV58" s="210"/>
      <c r="AW58" s="210"/>
      <c r="AX58" s="203"/>
      <c r="AY58" s="202" t="s">
        <v>8</v>
      </c>
      <c r="AZ58" s="210"/>
      <c r="BA58" s="210"/>
      <c r="BB58" s="203"/>
      <c r="BC58" s="229" t="s">
        <v>91</v>
      </c>
      <c r="BD58" s="230"/>
      <c r="BE58" s="230"/>
      <c r="BF58" s="230"/>
      <c r="BG58" s="230"/>
      <c r="BH58" s="230"/>
      <c r="BI58" s="230"/>
      <c r="BJ58" s="231"/>
      <c r="BK58" s="6"/>
    </row>
    <row r="59" spans="1:63" x14ac:dyDescent="0.25">
      <c r="A59" s="5"/>
      <c r="BK59" s="6"/>
    </row>
    <row r="60" spans="1:63" x14ac:dyDescent="0.25">
      <c r="A60" s="5"/>
      <c r="BK60" s="6"/>
    </row>
    <row r="72" spans="1:63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4"/>
    </row>
  </sheetData>
  <mergeCells count="172">
    <mergeCell ref="AY47:BB47"/>
    <mergeCell ref="BC47:BJ47"/>
    <mergeCell ref="B47:C47"/>
    <mergeCell ref="D47:J47"/>
    <mergeCell ref="K47:M47"/>
    <mergeCell ref="P47:S47"/>
    <mergeCell ref="T47:W47"/>
    <mergeCell ref="X47:Z47"/>
    <mergeCell ref="AA47:AH47"/>
    <mergeCell ref="AI47:AQ47"/>
    <mergeCell ref="AU47:AX47"/>
    <mergeCell ref="X56:Z56"/>
    <mergeCell ref="AA56:AH56"/>
    <mergeCell ref="AI56:AQ56"/>
    <mergeCell ref="AU56:AX56"/>
    <mergeCell ref="AY56:BB56"/>
    <mergeCell ref="BC56:BJ56"/>
    <mergeCell ref="AA52:AH52"/>
    <mergeCell ref="AI52:AQ52"/>
    <mergeCell ref="AU52:AX52"/>
    <mergeCell ref="AY52:BB52"/>
    <mergeCell ref="BC52:BJ52"/>
    <mergeCell ref="X52:Z52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6:C56"/>
    <mergeCell ref="D56:J56"/>
    <mergeCell ref="K56:M56"/>
    <mergeCell ref="P56:S56"/>
    <mergeCell ref="T56:W56"/>
    <mergeCell ref="B52:C52"/>
    <mergeCell ref="D52:J52"/>
    <mergeCell ref="K52:M52"/>
    <mergeCell ref="P52:S52"/>
    <mergeCell ref="T52:W52"/>
    <mergeCell ref="T54:W54"/>
    <mergeCell ref="B53:C53"/>
    <mergeCell ref="D53:J53"/>
    <mergeCell ref="K53:M53"/>
    <mergeCell ref="P53:S53"/>
    <mergeCell ref="T53:W53"/>
    <mergeCell ref="X51:Z51"/>
    <mergeCell ref="AA51:AH51"/>
    <mergeCell ref="AI51:AQ51"/>
    <mergeCell ref="AU51:AX51"/>
    <mergeCell ref="AY51:BB51"/>
    <mergeCell ref="BC51:BJ51"/>
    <mergeCell ref="AA50:AH50"/>
    <mergeCell ref="AI50:AQ50"/>
    <mergeCell ref="AU50:AX50"/>
    <mergeCell ref="AY50:BB50"/>
    <mergeCell ref="BC50:BJ50"/>
    <mergeCell ref="X50:Z50"/>
    <mergeCell ref="B51:C51"/>
    <mergeCell ref="D51:J51"/>
    <mergeCell ref="K51:M51"/>
    <mergeCell ref="P51:S51"/>
    <mergeCell ref="T51:W51"/>
    <mergeCell ref="B50:C50"/>
    <mergeCell ref="D50:J50"/>
    <mergeCell ref="K50:M50"/>
    <mergeCell ref="P50:S50"/>
    <mergeCell ref="T50:W50"/>
    <mergeCell ref="X49:Z49"/>
    <mergeCell ref="AA49:AH49"/>
    <mergeCell ref="AI49:AQ49"/>
    <mergeCell ref="AU49:AX49"/>
    <mergeCell ref="AY49:BB49"/>
    <mergeCell ref="BC49:BJ49"/>
    <mergeCell ref="AA58:AH58"/>
    <mergeCell ref="AI58:AQ58"/>
    <mergeCell ref="AU58:AX58"/>
    <mergeCell ref="AY58:BB58"/>
    <mergeCell ref="BC58:BJ58"/>
    <mergeCell ref="X58:Z58"/>
    <mergeCell ref="X57:Z57"/>
    <mergeCell ref="AA57:AH57"/>
    <mergeCell ref="AI57:AQ57"/>
    <mergeCell ref="AU57:AX57"/>
    <mergeCell ref="AY57:BB57"/>
    <mergeCell ref="BC57:BJ57"/>
    <mergeCell ref="AA55:AH55"/>
    <mergeCell ref="AI55:AQ55"/>
    <mergeCell ref="AU55:AX55"/>
    <mergeCell ref="AY55:BB55"/>
    <mergeCell ref="BC55:BJ55"/>
    <mergeCell ref="X55:Z55"/>
    <mergeCell ref="B49:C49"/>
    <mergeCell ref="D49:J49"/>
    <mergeCell ref="K49:M49"/>
    <mergeCell ref="P49:S49"/>
    <mergeCell ref="T49:W49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B55:C55"/>
    <mergeCell ref="D55:J55"/>
    <mergeCell ref="K55:M55"/>
    <mergeCell ref="P55:S55"/>
    <mergeCell ref="T55:W55"/>
    <mergeCell ref="B54:C54"/>
    <mergeCell ref="D54:J54"/>
    <mergeCell ref="K54:M54"/>
    <mergeCell ref="P54:S54"/>
    <mergeCell ref="B48:C48"/>
    <mergeCell ref="D48:J48"/>
    <mergeCell ref="K48:M48"/>
    <mergeCell ref="P48:S48"/>
    <mergeCell ref="T48:W48"/>
    <mergeCell ref="P44:AQ44"/>
    <mergeCell ref="AR44:BB44"/>
    <mergeCell ref="BC44:BJ46"/>
    <mergeCell ref="P45:W45"/>
    <mergeCell ref="X45:Z46"/>
    <mergeCell ref="AA45:AH46"/>
    <mergeCell ref="AI45:AQ46"/>
    <mergeCell ref="AR45:AR46"/>
    <mergeCell ref="AS45:AS46"/>
    <mergeCell ref="AT45:AT46"/>
    <mergeCell ref="X48:Z48"/>
    <mergeCell ref="AA48:AH48"/>
    <mergeCell ref="AI48:AQ48"/>
    <mergeCell ref="AU48:AX48"/>
    <mergeCell ref="AY48:BB48"/>
    <mergeCell ref="BC48:BJ48"/>
    <mergeCell ref="AU45:BB45"/>
    <mergeCell ref="P46:S46"/>
    <mergeCell ref="T46:W46"/>
    <mergeCell ref="A4:G4"/>
    <mergeCell ref="H4:T4"/>
    <mergeCell ref="U4:Y4"/>
    <mergeCell ref="Z4:AO4"/>
    <mergeCell ref="AP4:BK4"/>
    <mergeCell ref="B44:C46"/>
    <mergeCell ref="D44:J46"/>
    <mergeCell ref="K44:M46"/>
    <mergeCell ref="N44:N46"/>
    <mergeCell ref="O44:O46"/>
    <mergeCell ref="AU46:AX46"/>
    <mergeCell ref="AY46:BB4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47:O58" xr:uid="{00000000-0002-0000-0200-000000000000}">
      <formula1>"－,●"</formula1>
    </dataValidation>
    <dataValidation type="list" allowBlank="1" showInputMessage="1" showErrorMessage="1" sqref="N47:N58" xr:uid="{00000000-0002-0000-0200-000001000000}">
      <formula1>"－,O,I"</formula1>
    </dataValidation>
  </dataValidations>
  <pageMargins left="0.7" right="0.7" top="0.75" bottom="0.75" header="0.3" footer="0.3"/>
  <pageSetup scale="3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10.109375" defaultRowHeight="15.75" x14ac:dyDescent="0.25"/>
  <cols>
    <col min="1" max="63" width="3.21875" style="1" customWidth="1"/>
    <col min="64" max="16384" width="10.109375" style="1"/>
  </cols>
  <sheetData>
    <row r="1" spans="1:63" ht="24.95" customHeight="1" x14ac:dyDescent="0.25">
      <c r="A1" s="101" t="s">
        <v>29</v>
      </c>
      <c r="B1" s="102"/>
      <c r="C1" s="102"/>
      <c r="D1" s="102"/>
      <c r="E1" s="102"/>
      <c r="F1" s="102"/>
      <c r="G1" s="102"/>
      <c r="H1" s="102"/>
      <c r="I1" s="102"/>
      <c r="J1" s="103"/>
      <c r="K1" s="101" t="s">
        <v>30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 s="104" t="str">
        <f>IF(表紙!W1="","",表紙!W1)</f>
        <v>詳細設計書</v>
      </c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6"/>
      <c r="AP1" s="50" t="s">
        <v>32</v>
      </c>
      <c r="AQ1" s="51"/>
      <c r="AR1" s="51"/>
      <c r="AS1" s="52"/>
      <c r="AT1" s="50" t="s">
        <v>33</v>
      </c>
      <c r="AU1" s="51"/>
      <c r="AV1" s="51"/>
      <c r="AW1" s="51"/>
      <c r="AX1" s="52"/>
      <c r="AY1" s="50" t="s">
        <v>34</v>
      </c>
      <c r="AZ1" s="51"/>
      <c r="BA1" s="51"/>
      <c r="BB1" s="52"/>
      <c r="BC1" s="50" t="s">
        <v>35</v>
      </c>
      <c r="BD1" s="51"/>
      <c r="BE1" s="51"/>
      <c r="BF1" s="51"/>
      <c r="BG1" s="52"/>
      <c r="BH1" s="50" t="s">
        <v>36</v>
      </c>
      <c r="BI1" s="51"/>
      <c r="BJ1" s="51"/>
      <c r="BK1" s="52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POSサーバー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107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9"/>
      <c r="AP2" s="35" t="str">
        <f>IF(表紙!AP2="","",表紙!AP2)</f>
        <v>DuNT</v>
      </c>
      <c r="AQ2" s="36"/>
      <c r="AR2" s="36"/>
      <c r="AS2" s="37"/>
      <c r="AT2" s="65">
        <f>IF(表紙!AT2="","",表紙!AT2)</f>
        <v>45448</v>
      </c>
      <c r="AU2" s="66"/>
      <c r="AV2" s="66"/>
      <c r="AW2" s="66"/>
      <c r="AX2" s="67"/>
      <c r="AY2" s="35" t="str">
        <f>IF(表紙!AY2="","",表紙!AY2)</f>
        <v>DuNT</v>
      </c>
      <c r="AZ2" s="36"/>
      <c r="BA2" s="36"/>
      <c r="BB2" s="37"/>
      <c r="BC2" s="65">
        <f>IF(表紙!BC2="","",表紙!BC2)</f>
        <v>45448</v>
      </c>
      <c r="BD2" s="66"/>
      <c r="BE2" s="66"/>
      <c r="BF2" s="66"/>
      <c r="BG2" s="67"/>
      <c r="BH2" s="35">
        <f>IF(表紙!BH2="","",表紙!BH2)</f>
        <v>0.1</v>
      </c>
      <c r="BI2" s="36"/>
      <c r="BJ2" s="36"/>
      <c r="BK2" s="37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10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2"/>
      <c r="AP3" s="41"/>
      <c r="AQ3" s="42"/>
      <c r="AR3" s="42"/>
      <c r="AS3" s="43"/>
      <c r="AT3" s="68"/>
      <c r="AU3" s="69"/>
      <c r="AV3" s="69"/>
      <c r="AW3" s="69"/>
      <c r="AX3" s="70"/>
      <c r="AY3" s="41"/>
      <c r="AZ3" s="42"/>
      <c r="BA3" s="42"/>
      <c r="BB3" s="43"/>
      <c r="BC3" s="68"/>
      <c r="BD3" s="69"/>
      <c r="BE3" s="69"/>
      <c r="BF3" s="69"/>
      <c r="BG3" s="70"/>
      <c r="BH3" s="41"/>
      <c r="BI3" s="42"/>
      <c r="BJ3" s="42"/>
      <c r="BK3" s="43"/>
    </row>
    <row r="4" spans="1:63" ht="24.95" customHeight="1" x14ac:dyDescent="0.25">
      <c r="A4" s="101" t="s">
        <v>38</v>
      </c>
      <c r="B4" s="102"/>
      <c r="C4" s="102"/>
      <c r="D4" s="102"/>
      <c r="E4" s="102"/>
      <c r="F4" s="102"/>
      <c r="G4" s="103"/>
      <c r="H4" s="113" t="str">
        <f>IF(表紙!H4="","",表紙!H4)</f>
        <v>04_商品採用店舗確認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101" t="s">
        <v>39</v>
      </c>
      <c r="V4" s="102"/>
      <c r="W4" s="102"/>
      <c r="X4" s="102"/>
      <c r="Y4" s="103"/>
      <c r="Z4" s="113" t="str">
        <f>IF(表紙!Z4="","",表紙!Z4)</f>
        <v>画面設計書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6" t="str">
        <f ca="1">MID(CELL("filename",A1),FIND("]",CELL("filename",A1))+1,255)</f>
        <v>SCxxxx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94</v>
      </c>
      <c r="C7" s="34"/>
      <c r="D7" s="34"/>
      <c r="E7" s="34"/>
      <c r="F7" s="34"/>
      <c r="G7" s="34"/>
      <c r="H7" s="34"/>
      <c r="I7" s="34"/>
      <c r="J7" s="34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4.2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x14ac:dyDescent="0.25">
      <c r="A28" s="5"/>
      <c r="BK28" s="6"/>
    </row>
    <row r="29" spans="1:63" x14ac:dyDescent="0.25">
      <c r="A29" s="5"/>
      <c r="BK29" s="6"/>
    </row>
    <row r="30" spans="1:63" x14ac:dyDescent="0.25">
      <c r="A30" s="5"/>
      <c r="BK30" s="6"/>
    </row>
    <row r="31" spans="1:63" x14ac:dyDescent="0.25">
      <c r="A31" s="5"/>
      <c r="BK31" s="6"/>
    </row>
    <row r="32" spans="1:63" x14ac:dyDescent="0.25">
      <c r="A32" s="5"/>
      <c r="BK32" s="6"/>
    </row>
    <row r="33" spans="1:63" x14ac:dyDescent="0.25">
      <c r="A33" s="5"/>
      <c r="BK33" s="6"/>
    </row>
    <row r="34" spans="1:63" x14ac:dyDescent="0.25">
      <c r="A34" s="5"/>
      <c r="BK34" s="6"/>
    </row>
    <row r="35" spans="1:63" ht="15" customHeight="1" x14ac:dyDescent="0.25">
      <c r="A35" s="5"/>
      <c r="B35" s="7" t="s">
        <v>47</v>
      </c>
      <c r="BK35" s="6"/>
    </row>
    <row r="36" spans="1:63" x14ac:dyDescent="0.25">
      <c r="A36" s="5"/>
      <c r="BK36" s="6"/>
    </row>
    <row r="37" spans="1:63" ht="15.75" customHeight="1" x14ac:dyDescent="0.25">
      <c r="A37" s="5"/>
      <c r="B37" s="117" t="s">
        <v>48</v>
      </c>
      <c r="C37" s="118"/>
      <c r="D37" s="123" t="s">
        <v>49</v>
      </c>
      <c r="E37" s="124"/>
      <c r="F37" s="124"/>
      <c r="G37" s="124"/>
      <c r="H37" s="124"/>
      <c r="I37" s="124"/>
      <c r="J37" s="118"/>
      <c r="K37" s="123" t="s">
        <v>50</v>
      </c>
      <c r="L37" s="124"/>
      <c r="M37" s="118"/>
      <c r="N37" s="127" t="s">
        <v>3</v>
      </c>
      <c r="O37" s="130" t="s">
        <v>51</v>
      </c>
      <c r="P37" s="152" t="s">
        <v>52</v>
      </c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4"/>
      <c r="AR37" s="133" t="s">
        <v>53</v>
      </c>
      <c r="AS37" s="134"/>
      <c r="AT37" s="134"/>
      <c r="AU37" s="134"/>
      <c r="AV37" s="134"/>
      <c r="AW37" s="134"/>
      <c r="AX37" s="134"/>
      <c r="AY37" s="134"/>
      <c r="AZ37" s="134"/>
      <c r="BA37" s="134"/>
      <c r="BB37" s="137"/>
      <c r="BC37" s="155" t="s">
        <v>54</v>
      </c>
      <c r="BD37" s="156"/>
      <c r="BE37" s="156"/>
      <c r="BF37" s="156"/>
      <c r="BG37" s="156"/>
      <c r="BH37" s="156"/>
      <c r="BI37" s="156"/>
      <c r="BJ37" s="157"/>
      <c r="BK37" s="6"/>
    </row>
    <row r="38" spans="1:63" ht="15.75" customHeight="1" x14ac:dyDescent="0.25">
      <c r="A38" s="5"/>
      <c r="B38" s="119"/>
      <c r="C38" s="120"/>
      <c r="D38" s="119"/>
      <c r="E38" s="125"/>
      <c r="F38" s="125"/>
      <c r="G38" s="125"/>
      <c r="H38" s="125"/>
      <c r="I38" s="125"/>
      <c r="J38" s="120"/>
      <c r="K38" s="119"/>
      <c r="L38" s="125"/>
      <c r="M38" s="120"/>
      <c r="N38" s="128"/>
      <c r="O38" s="131"/>
      <c r="P38" s="164" t="s">
        <v>55</v>
      </c>
      <c r="Q38" s="165"/>
      <c r="R38" s="165"/>
      <c r="S38" s="165"/>
      <c r="T38" s="165"/>
      <c r="U38" s="165"/>
      <c r="V38" s="165"/>
      <c r="W38" s="166"/>
      <c r="X38" s="167" t="s">
        <v>56</v>
      </c>
      <c r="Y38" s="168"/>
      <c r="Z38" s="169"/>
      <c r="AA38" s="167" t="s">
        <v>57</v>
      </c>
      <c r="AB38" s="168"/>
      <c r="AC38" s="168"/>
      <c r="AD38" s="168"/>
      <c r="AE38" s="168"/>
      <c r="AF38" s="168"/>
      <c r="AG38" s="168"/>
      <c r="AH38" s="169"/>
      <c r="AI38" s="167" t="s">
        <v>58</v>
      </c>
      <c r="AJ38" s="168"/>
      <c r="AK38" s="168"/>
      <c r="AL38" s="168"/>
      <c r="AM38" s="168"/>
      <c r="AN38" s="168"/>
      <c r="AO38" s="168"/>
      <c r="AP38" s="168"/>
      <c r="AQ38" s="169"/>
      <c r="AR38" s="267" t="s">
        <v>4</v>
      </c>
      <c r="AS38" s="175" t="s">
        <v>60</v>
      </c>
      <c r="AT38" s="177" t="s">
        <v>61</v>
      </c>
      <c r="AU38" s="133" t="s">
        <v>55</v>
      </c>
      <c r="AV38" s="134"/>
      <c r="AW38" s="134"/>
      <c r="AX38" s="134"/>
      <c r="AY38" s="134"/>
      <c r="AZ38" s="134"/>
      <c r="BA38" s="134"/>
      <c r="BB38" s="137"/>
      <c r="BC38" s="158"/>
      <c r="BD38" s="159"/>
      <c r="BE38" s="159"/>
      <c r="BF38" s="159"/>
      <c r="BG38" s="159"/>
      <c r="BH38" s="159"/>
      <c r="BI38" s="159"/>
      <c r="BJ38" s="160"/>
      <c r="BK38" s="6"/>
    </row>
    <row r="39" spans="1:63" x14ac:dyDescent="0.25">
      <c r="A39" s="5"/>
      <c r="B39" s="121"/>
      <c r="C39" s="122"/>
      <c r="D39" s="121"/>
      <c r="E39" s="126"/>
      <c r="F39" s="126"/>
      <c r="G39" s="126"/>
      <c r="H39" s="126"/>
      <c r="I39" s="126"/>
      <c r="J39" s="122"/>
      <c r="K39" s="121"/>
      <c r="L39" s="126"/>
      <c r="M39" s="122"/>
      <c r="N39" s="129"/>
      <c r="O39" s="132"/>
      <c r="P39" s="152" t="s">
        <v>62</v>
      </c>
      <c r="Q39" s="153"/>
      <c r="R39" s="153"/>
      <c r="S39" s="154"/>
      <c r="T39" s="152" t="s">
        <v>49</v>
      </c>
      <c r="U39" s="153"/>
      <c r="V39" s="153"/>
      <c r="W39" s="154"/>
      <c r="X39" s="170"/>
      <c r="Y39" s="171"/>
      <c r="Z39" s="172"/>
      <c r="AA39" s="170"/>
      <c r="AB39" s="171"/>
      <c r="AC39" s="171"/>
      <c r="AD39" s="171"/>
      <c r="AE39" s="171"/>
      <c r="AF39" s="171"/>
      <c r="AG39" s="171"/>
      <c r="AH39" s="172"/>
      <c r="AI39" s="170"/>
      <c r="AJ39" s="171"/>
      <c r="AK39" s="171"/>
      <c r="AL39" s="171"/>
      <c r="AM39" s="171"/>
      <c r="AN39" s="171"/>
      <c r="AO39" s="171"/>
      <c r="AP39" s="171"/>
      <c r="AQ39" s="172"/>
      <c r="AR39" s="174"/>
      <c r="AS39" s="176"/>
      <c r="AT39" s="178"/>
      <c r="AU39" s="133" t="s">
        <v>62</v>
      </c>
      <c r="AV39" s="134"/>
      <c r="AW39" s="134"/>
      <c r="AX39" s="135"/>
      <c r="AY39" s="136" t="s">
        <v>49</v>
      </c>
      <c r="AZ39" s="134"/>
      <c r="BA39" s="134"/>
      <c r="BB39" s="137"/>
      <c r="BC39" s="161"/>
      <c r="BD39" s="162"/>
      <c r="BE39" s="162"/>
      <c r="BF39" s="162"/>
      <c r="BG39" s="162"/>
      <c r="BH39" s="162"/>
      <c r="BI39" s="162"/>
      <c r="BJ39" s="163"/>
      <c r="BK39" s="6"/>
    </row>
    <row r="40" spans="1:63" ht="15.75" customHeight="1" x14ac:dyDescent="0.25">
      <c r="A40" s="5"/>
      <c r="B40" s="243">
        <v>1</v>
      </c>
      <c r="C40" s="245"/>
      <c r="D40" s="249"/>
      <c r="E40" s="250"/>
      <c r="F40" s="250"/>
      <c r="G40" s="250"/>
      <c r="H40" s="250"/>
      <c r="I40" s="250"/>
      <c r="J40" s="251"/>
      <c r="K40" s="221" t="s">
        <v>5</v>
      </c>
      <c r="L40" s="195"/>
      <c r="M40" s="196"/>
      <c r="N40" s="8" t="s">
        <v>6</v>
      </c>
      <c r="O40" s="9" t="s">
        <v>7</v>
      </c>
      <c r="P40" s="255" t="s">
        <v>6</v>
      </c>
      <c r="Q40" s="244"/>
      <c r="R40" s="244"/>
      <c r="S40" s="245"/>
      <c r="T40" s="255" t="s">
        <v>6</v>
      </c>
      <c r="U40" s="244"/>
      <c r="V40" s="244"/>
      <c r="W40" s="245"/>
      <c r="X40" s="261" t="s">
        <v>92</v>
      </c>
      <c r="Y40" s="262"/>
      <c r="Z40" s="263"/>
      <c r="AA40" s="243" t="s">
        <v>8</v>
      </c>
      <c r="AB40" s="244"/>
      <c r="AC40" s="244"/>
      <c r="AD40" s="244"/>
      <c r="AE40" s="244"/>
      <c r="AF40" s="244"/>
      <c r="AG40" s="244"/>
      <c r="AH40" s="245"/>
      <c r="AI40" s="264" t="s">
        <v>6</v>
      </c>
      <c r="AJ40" s="265"/>
      <c r="AK40" s="265"/>
      <c r="AL40" s="265"/>
      <c r="AM40" s="265"/>
      <c r="AN40" s="265"/>
      <c r="AO40" s="265"/>
      <c r="AP40" s="265"/>
      <c r="AQ40" s="266"/>
      <c r="AR40" s="10" t="s">
        <v>6</v>
      </c>
      <c r="AS40" s="10" t="s">
        <v>8</v>
      </c>
      <c r="AT40" s="10" t="s">
        <v>8</v>
      </c>
      <c r="AU40" s="243" t="s">
        <v>9</v>
      </c>
      <c r="AV40" s="244"/>
      <c r="AW40" s="244"/>
      <c r="AX40" s="245"/>
      <c r="AY40" s="243" t="s">
        <v>8</v>
      </c>
      <c r="AZ40" s="244"/>
      <c r="BA40" s="244"/>
      <c r="BB40" s="245"/>
      <c r="BC40" s="246"/>
      <c r="BD40" s="247"/>
      <c r="BE40" s="247"/>
      <c r="BF40" s="247"/>
      <c r="BG40" s="247"/>
      <c r="BH40" s="247"/>
      <c r="BI40" s="247"/>
      <c r="BJ40" s="248"/>
      <c r="BK40" s="6"/>
    </row>
    <row r="41" spans="1:63" x14ac:dyDescent="0.25">
      <c r="A41" s="5"/>
      <c r="B41" s="189">
        <v>2</v>
      </c>
      <c r="C41" s="190"/>
      <c r="D41" s="191"/>
      <c r="E41" s="192"/>
      <c r="F41" s="192"/>
      <c r="G41" s="192"/>
      <c r="H41" s="192"/>
      <c r="I41" s="192"/>
      <c r="J41" s="193"/>
      <c r="K41" s="221" t="s">
        <v>5</v>
      </c>
      <c r="L41" s="195"/>
      <c r="M41" s="196"/>
      <c r="N41" s="9" t="s">
        <v>10</v>
      </c>
      <c r="O41" s="9" t="s">
        <v>7</v>
      </c>
      <c r="P41" s="189" t="s">
        <v>9</v>
      </c>
      <c r="Q41" s="198"/>
      <c r="R41" s="198"/>
      <c r="S41" s="190"/>
      <c r="T41" s="189" t="s">
        <v>9</v>
      </c>
      <c r="U41" s="198"/>
      <c r="V41" s="198"/>
      <c r="W41" s="190"/>
      <c r="X41" s="222" t="s">
        <v>95</v>
      </c>
      <c r="Y41" s="223"/>
      <c r="Z41" s="224"/>
      <c r="AA41" s="189" t="s">
        <v>8</v>
      </c>
      <c r="AB41" s="198"/>
      <c r="AC41" s="198"/>
      <c r="AD41" s="198"/>
      <c r="AE41" s="198"/>
      <c r="AF41" s="198"/>
      <c r="AG41" s="198"/>
      <c r="AH41" s="190"/>
      <c r="AI41" s="217" t="s">
        <v>8</v>
      </c>
      <c r="AJ41" s="200"/>
      <c r="AK41" s="200"/>
      <c r="AL41" s="200"/>
      <c r="AM41" s="200"/>
      <c r="AN41" s="200"/>
      <c r="AO41" s="200"/>
      <c r="AP41" s="200"/>
      <c r="AQ41" s="201"/>
      <c r="AR41" s="11" t="s">
        <v>6</v>
      </c>
      <c r="AS41" s="11" t="s">
        <v>8</v>
      </c>
      <c r="AT41" s="11" t="s">
        <v>8</v>
      </c>
      <c r="AU41" s="189" t="s">
        <v>9</v>
      </c>
      <c r="AV41" s="198"/>
      <c r="AW41" s="198"/>
      <c r="AX41" s="190"/>
      <c r="AY41" s="189" t="s">
        <v>8</v>
      </c>
      <c r="AZ41" s="198"/>
      <c r="BA41" s="198"/>
      <c r="BB41" s="190"/>
      <c r="BC41" s="242"/>
      <c r="BD41" s="226"/>
      <c r="BE41" s="226"/>
      <c r="BF41" s="226"/>
      <c r="BG41" s="226"/>
      <c r="BH41" s="226"/>
      <c r="BI41" s="226"/>
      <c r="BJ41" s="227"/>
      <c r="BK41" s="6"/>
    </row>
    <row r="42" spans="1:63" x14ac:dyDescent="0.25">
      <c r="A42" s="5"/>
      <c r="B42" s="189">
        <v>3</v>
      </c>
      <c r="C42" s="190"/>
      <c r="D42" s="214"/>
      <c r="E42" s="215"/>
      <c r="F42" s="215"/>
      <c r="G42" s="215"/>
      <c r="H42" s="215"/>
      <c r="I42" s="215"/>
      <c r="J42" s="216"/>
      <c r="K42" s="221" t="s">
        <v>5</v>
      </c>
      <c r="L42" s="195"/>
      <c r="M42" s="196"/>
      <c r="N42" s="9" t="s">
        <v>11</v>
      </c>
      <c r="O42" s="9" t="s">
        <v>6</v>
      </c>
      <c r="P42" s="197" t="s">
        <v>6</v>
      </c>
      <c r="Q42" s="198"/>
      <c r="R42" s="198"/>
      <c r="S42" s="190"/>
      <c r="T42" s="189"/>
      <c r="U42" s="198"/>
      <c r="V42" s="198"/>
      <c r="W42" s="190"/>
      <c r="X42" s="239" t="s">
        <v>6</v>
      </c>
      <c r="Y42" s="240"/>
      <c r="Z42" s="241"/>
      <c r="AA42" s="189" t="s">
        <v>8</v>
      </c>
      <c r="AB42" s="198"/>
      <c r="AC42" s="198"/>
      <c r="AD42" s="198"/>
      <c r="AE42" s="198"/>
      <c r="AF42" s="198"/>
      <c r="AG42" s="198"/>
      <c r="AH42" s="190"/>
      <c r="AI42" s="217" t="s">
        <v>8</v>
      </c>
      <c r="AJ42" s="200"/>
      <c r="AK42" s="200"/>
      <c r="AL42" s="200"/>
      <c r="AM42" s="200"/>
      <c r="AN42" s="200"/>
      <c r="AO42" s="200"/>
      <c r="AP42" s="200"/>
      <c r="AQ42" s="201"/>
      <c r="AR42" s="11" t="s">
        <v>6</v>
      </c>
      <c r="AS42" s="11" t="s">
        <v>8</v>
      </c>
      <c r="AT42" s="11" t="s">
        <v>8</v>
      </c>
      <c r="AU42" s="189" t="s">
        <v>9</v>
      </c>
      <c r="AV42" s="198"/>
      <c r="AW42" s="198"/>
      <c r="AX42" s="190"/>
      <c r="AY42" s="189" t="s">
        <v>8</v>
      </c>
      <c r="AZ42" s="198"/>
      <c r="BA42" s="198"/>
      <c r="BB42" s="190"/>
      <c r="BC42" s="225"/>
      <c r="BD42" s="226"/>
      <c r="BE42" s="226"/>
      <c r="BF42" s="226"/>
      <c r="BG42" s="226"/>
      <c r="BH42" s="226"/>
      <c r="BI42" s="226"/>
      <c r="BJ42" s="227"/>
      <c r="BK42" s="6"/>
    </row>
    <row r="43" spans="1:63" x14ac:dyDescent="0.25">
      <c r="A43" s="5"/>
      <c r="B43" s="189">
        <v>4</v>
      </c>
      <c r="C43" s="190"/>
      <c r="D43" s="218"/>
      <c r="E43" s="219"/>
      <c r="F43" s="219"/>
      <c r="G43" s="219"/>
      <c r="H43" s="219"/>
      <c r="I43" s="219"/>
      <c r="J43" s="220"/>
      <c r="K43" s="221" t="s">
        <v>5</v>
      </c>
      <c r="L43" s="195"/>
      <c r="M43" s="196"/>
      <c r="N43" s="12" t="s">
        <v>10</v>
      </c>
      <c r="O43" s="9" t="s">
        <v>7</v>
      </c>
      <c r="P43" s="189" t="s">
        <v>9</v>
      </c>
      <c r="Q43" s="198"/>
      <c r="R43" s="198"/>
      <c r="S43" s="190"/>
      <c r="T43" s="189" t="s">
        <v>9</v>
      </c>
      <c r="U43" s="198"/>
      <c r="V43" s="198"/>
      <c r="W43" s="190"/>
      <c r="X43" s="235" t="s">
        <v>93</v>
      </c>
      <c r="Y43" s="198"/>
      <c r="Z43" s="190"/>
      <c r="AA43" s="189" t="s">
        <v>8</v>
      </c>
      <c r="AB43" s="198"/>
      <c r="AC43" s="198"/>
      <c r="AD43" s="198"/>
      <c r="AE43" s="198"/>
      <c r="AF43" s="198"/>
      <c r="AG43" s="198"/>
      <c r="AH43" s="190"/>
      <c r="AI43" s="217" t="s">
        <v>8</v>
      </c>
      <c r="AJ43" s="200"/>
      <c r="AK43" s="200"/>
      <c r="AL43" s="200"/>
      <c r="AM43" s="200"/>
      <c r="AN43" s="200"/>
      <c r="AO43" s="200"/>
      <c r="AP43" s="200"/>
      <c r="AQ43" s="201"/>
      <c r="AR43" s="11" t="s">
        <v>6</v>
      </c>
      <c r="AS43" s="11" t="s">
        <v>8</v>
      </c>
      <c r="AT43" s="11" t="s">
        <v>8</v>
      </c>
      <c r="AU43" s="189" t="s">
        <v>9</v>
      </c>
      <c r="AV43" s="198"/>
      <c r="AW43" s="198"/>
      <c r="AX43" s="190"/>
      <c r="AY43" s="189" t="s">
        <v>8</v>
      </c>
      <c r="AZ43" s="198"/>
      <c r="BA43" s="198"/>
      <c r="BB43" s="190"/>
      <c r="BC43" s="236"/>
      <c r="BD43" s="237"/>
      <c r="BE43" s="237"/>
      <c r="BF43" s="237"/>
      <c r="BG43" s="237"/>
      <c r="BH43" s="237"/>
      <c r="BI43" s="237"/>
      <c r="BJ43" s="238"/>
      <c r="BK43" s="6"/>
    </row>
    <row r="44" spans="1:63" x14ac:dyDescent="0.25">
      <c r="A44" s="5"/>
      <c r="B44" s="189">
        <v>5</v>
      </c>
      <c r="C44" s="190"/>
      <c r="D44" s="214"/>
      <c r="E44" s="215"/>
      <c r="F44" s="215"/>
      <c r="G44" s="215"/>
      <c r="H44" s="215"/>
      <c r="I44" s="215"/>
      <c r="J44" s="216"/>
      <c r="K44" s="221" t="s">
        <v>12</v>
      </c>
      <c r="L44" s="195"/>
      <c r="M44" s="196"/>
      <c r="N44" s="12" t="s">
        <v>11</v>
      </c>
      <c r="O44" s="9" t="s">
        <v>6</v>
      </c>
      <c r="P44" s="189" t="s">
        <v>9</v>
      </c>
      <c r="Q44" s="198"/>
      <c r="R44" s="198"/>
      <c r="S44" s="190"/>
      <c r="T44" s="189" t="s">
        <v>9</v>
      </c>
      <c r="U44" s="198"/>
      <c r="V44" s="198"/>
      <c r="W44" s="190"/>
      <c r="X44" s="235" t="s">
        <v>6</v>
      </c>
      <c r="Y44" s="198"/>
      <c r="Z44" s="190"/>
      <c r="AA44" s="189" t="s">
        <v>8</v>
      </c>
      <c r="AB44" s="198"/>
      <c r="AC44" s="198"/>
      <c r="AD44" s="198"/>
      <c r="AE44" s="198"/>
      <c r="AF44" s="198"/>
      <c r="AG44" s="198"/>
      <c r="AH44" s="190"/>
      <c r="AI44" s="217" t="s">
        <v>8</v>
      </c>
      <c r="AJ44" s="200"/>
      <c r="AK44" s="200"/>
      <c r="AL44" s="200"/>
      <c r="AM44" s="200"/>
      <c r="AN44" s="200"/>
      <c r="AO44" s="200"/>
      <c r="AP44" s="200"/>
      <c r="AQ44" s="201"/>
      <c r="AR44" s="11" t="s">
        <v>6</v>
      </c>
      <c r="AS44" s="11" t="s">
        <v>8</v>
      </c>
      <c r="AT44" s="11" t="s">
        <v>8</v>
      </c>
      <c r="AU44" s="189" t="s">
        <v>9</v>
      </c>
      <c r="AV44" s="198"/>
      <c r="AW44" s="198"/>
      <c r="AX44" s="190"/>
      <c r="AY44" s="189" t="s">
        <v>8</v>
      </c>
      <c r="AZ44" s="198"/>
      <c r="BA44" s="198"/>
      <c r="BB44" s="190"/>
      <c r="BC44" s="225"/>
      <c r="BD44" s="226"/>
      <c r="BE44" s="226"/>
      <c r="BF44" s="226"/>
      <c r="BG44" s="226"/>
      <c r="BH44" s="226"/>
      <c r="BI44" s="226"/>
      <c r="BJ44" s="227"/>
      <c r="BK44" s="6"/>
    </row>
    <row r="45" spans="1:63" x14ac:dyDescent="0.25">
      <c r="A45" s="5"/>
      <c r="B45" s="202">
        <v>6</v>
      </c>
      <c r="C45" s="203"/>
      <c r="D45" s="204"/>
      <c r="E45" s="205"/>
      <c r="F45" s="205"/>
      <c r="G45" s="205"/>
      <c r="H45" s="205"/>
      <c r="I45" s="205"/>
      <c r="J45" s="206"/>
      <c r="K45" s="207" t="s">
        <v>13</v>
      </c>
      <c r="L45" s="208"/>
      <c r="M45" s="209"/>
      <c r="N45" s="13" t="s">
        <v>11</v>
      </c>
      <c r="O45" s="13" t="s">
        <v>7</v>
      </c>
      <c r="P45" s="202" t="s">
        <v>9</v>
      </c>
      <c r="Q45" s="210"/>
      <c r="R45" s="210"/>
      <c r="S45" s="203"/>
      <c r="T45" s="202" t="s">
        <v>9</v>
      </c>
      <c r="U45" s="210"/>
      <c r="V45" s="210"/>
      <c r="W45" s="203"/>
      <c r="X45" s="232" t="s">
        <v>96</v>
      </c>
      <c r="Y45" s="233"/>
      <c r="Z45" s="234"/>
      <c r="AA45" s="202" t="s">
        <v>8</v>
      </c>
      <c r="AB45" s="210"/>
      <c r="AC45" s="210"/>
      <c r="AD45" s="210"/>
      <c r="AE45" s="210"/>
      <c r="AF45" s="210"/>
      <c r="AG45" s="210"/>
      <c r="AH45" s="203"/>
      <c r="AI45" s="211" t="s">
        <v>14</v>
      </c>
      <c r="AJ45" s="212"/>
      <c r="AK45" s="212"/>
      <c r="AL45" s="212"/>
      <c r="AM45" s="212"/>
      <c r="AN45" s="212"/>
      <c r="AO45" s="212"/>
      <c r="AP45" s="212"/>
      <c r="AQ45" s="213"/>
      <c r="AR45" s="14" t="s">
        <v>6</v>
      </c>
      <c r="AS45" s="14" t="s">
        <v>8</v>
      </c>
      <c r="AT45" s="14" t="s">
        <v>8</v>
      </c>
      <c r="AU45" s="202" t="s">
        <v>9</v>
      </c>
      <c r="AV45" s="210"/>
      <c r="AW45" s="210"/>
      <c r="AX45" s="203"/>
      <c r="AY45" s="202" t="s">
        <v>8</v>
      </c>
      <c r="AZ45" s="210"/>
      <c r="BA45" s="210"/>
      <c r="BB45" s="203"/>
      <c r="BC45" s="229" t="s">
        <v>15</v>
      </c>
      <c r="BD45" s="230"/>
      <c r="BE45" s="230"/>
      <c r="BF45" s="230"/>
      <c r="BG45" s="230"/>
      <c r="BH45" s="230"/>
      <c r="BI45" s="230"/>
      <c r="BJ45" s="231"/>
      <c r="BK45" s="6"/>
    </row>
    <row r="46" spans="1:63" x14ac:dyDescent="0.25">
      <c r="A46" s="5"/>
      <c r="BK46" s="6"/>
    </row>
    <row r="47" spans="1:63" x14ac:dyDescent="0.25">
      <c r="A47" s="5"/>
      <c r="BK47" s="6"/>
    </row>
    <row r="48" spans="1:63" x14ac:dyDescent="0.25">
      <c r="A48" s="5"/>
      <c r="BK48" s="6"/>
    </row>
    <row r="49" spans="1:63" x14ac:dyDescent="0.25">
      <c r="A49" s="5"/>
      <c r="BK49" s="6"/>
    </row>
    <row r="50" spans="1:63" x14ac:dyDescent="0.25">
      <c r="A50" s="5"/>
      <c r="BK50" s="6"/>
    </row>
    <row r="51" spans="1:63" x14ac:dyDescent="0.25">
      <c r="A51" s="5"/>
      <c r="BK51" s="6"/>
    </row>
    <row r="52" spans="1:63" x14ac:dyDescent="0.25">
      <c r="A52" s="5"/>
      <c r="BK52" s="6"/>
    </row>
    <row r="53" spans="1:63" x14ac:dyDescent="0.25">
      <c r="A53" s="5"/>
      <c r="BK53" s="6"/>
    </row>
    <row r="54" spans="1:63" x14ac:dyDescent="0.25">
      <c r="A54" s="5"/>
      <c r="BK54" s="6"/>
    </row>
    <row r="55" spans="1:63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4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3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946D85-3DFC-46CF-ADEC-E9A6706899F1}"/>
</file>

<file path=customXml/itemProps2.xml><?xml version="1.0" encoding="utf-8"?>
<ds:datastoreItem xmlns:ds="http://schemas.openxmlformats.org/officeDocument/2006/customXml" ds:itemID="{7BD604E8-6F13-42B8-B94E-15C0A4371FBE}"/>
</file>

<file path=customXml/itemProps3.xml><?xml version="1.0" encoding="utf-8"?>
<ds:datastoreItem xmlns:ds="http://schemas.openxmlformats.org/officeDocument/2006/customXml" ds:itemID="{345DE705-A760-4ADD-AC69-19511941C8D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表紙</vt:lpstr>
      <vt:lpstr>改訂履歴</vt:lpstr>
      <vt:lpstr>SC0401</vt:lpstr>
      <vt:lpstr>SCxxxx</vt:lpstr>
      <vt:lpstr>'SC0401'!Print_Area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2024-06-19T09:02:59Z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