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C96F152-0DFA-4049-905D-97BA19159A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6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7" l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51" i="7"/>
  <c r="AP4" i="7"/>
  <c r="Z4" i="7"/>
  <c r="H4" i="7"/>
  <c r="BH2" i="7"/>
  <c r="BC2" i="7"/>
  <c r="AY2" i="7"/>
  <c r="AT2" i="7"/>
  <c r="AP2" i="7"/>
  <c r="K2" i="7"/>
  <c r="A2" i="7"/>
  <c r="W1" i="7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  <c r="B77" i="7" l="1"/>
  <c r="B75" i="7"/>
  <c r="B76" i="7" s="1"/>
</calcChain>
</file>

<file path=xl/sharedStrings.xml><?xml version="1.0" encoding="utf-8"?>
<sst xmlns="http://schemas.openxmlformats.org/spreadsheetml/2006/main" count="466" uniqueCount="139">
  <si>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</si>
  <si>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</si>
  <si>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</si>
  <si>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</si>
  <si>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</si>
  <si>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</si>
  <si>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</si>
  <si>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</si>
  <si>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</si>
  <si>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</si>
  <si>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</si>
  <si>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</si>
  <si>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06_1, 7, 8 定番変更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</si>
  <si>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</si>
  <si>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予約日付（タイトル）</t>
    </r>
  </si>
  <si>
    <r>
      <rPr>
        <sz val="11"/>
        <color rgb="FF000000"/>
        <rFont val="Meiryo UI"/>
        <family val="2"/>
      </rPr>
      <t>予約日付（値）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</si>
  <si>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</si>
  <si>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</si>
  <si>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</si>
  <si>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</si>
  <si>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</si>
  <si>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部門名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</si>
  <si>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</si>
  <si>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</si>
  <si>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</si>
  <si>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</si>
  <si>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</si>
  <si>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</si>
  <si>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</si>
  <si>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</si>
  <si>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</si>
  <si>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</si>
  <si>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</si>
  <si>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定番売価 (タイトル)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</si>
  <si>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</si>
  <si>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現在売価（値）</t>
    </r>
  </si>
  <si>
    <r>
      <rPr>
        <sz val="11"/>
        <color rgb="FF000000"/>
        <rFont val="Meiryo UI"/>
        <family val="2"/>
      </rPr>
      <t>現在売価（タイトル）</t>
    </r>
  </si>
  <si>
    <r>
      <rPr>
        <sz val="11"/>
        <color rgb="FF000000"/>
        <rFont val="Meiryo UI"/>
        <family val="2"/>
      </rPr>
      <t>変更売価（タイトル）</t>
    </r>
  </si>
  <si>
    <r>
      <rPr>
        <sz val="11"/>
        <color rgb="FF000000"/>
        <rFont val="Meiryo UI"/>
        <family val="2"/>
      </rPr>
      <t>変更売価（値）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</si>
  <si>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</si>
  <si>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変更売価</t>
    </r>
  </si>
  <si>
    <r>
      <rPr>
        <sz val="11"/>
        <color rgb="FF000000"/>
        <rFont val="Meiryo UI"/>
        <family val="2"/>
      </rPr>
      <t>PLUコード切替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</si>
  <si>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</si>
  <si>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</si>
  <si>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</si>
  <si>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F07:印刷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</si>
  <si>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</si>
  <si>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F09:確定</t>
    </r>
  </si>
  <si>
    <r>
      <rPr>
        <sz val="11"/>
        <color rgb="FF000000"/>
        <rFont val="Meiryo UI"/>
        <family val="2"/>
      </rPr>
      <t>前頁</t>
    </r>
  </si>
  <si>
    <r>
      <rPr>
        <sz val="11"/>
        <color rgb="FF000000"/>
        <rFont val="Meiryo UI"/>
        <family val="2"/>
      </rPr>
      <t>次頁</t>
    </r>
  </si>
  <si>
    <r>
      <rPr>
        <sz val="11"/>
        <color rgb="FF000000"/>
        <rFont val="Meiryo UI"/>
        <family val="2"/>
      </rPr>
      <t>共通ページングをご参照ください。</t>
    </r>
  </si>
  <si>
    <r>
      <rPr>
        <sz val="11"/>
        <color rgb="FF000000"/>
        <rFont val="Meiryo UI"/>
        <family val="2"/>
      </rPr>
      <t>定番売価適用日が未来の日付の場合のみ有効にする。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</si>
  <si>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</si>
  <si>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</si>
  <si>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</si>
  <si>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</si>
  <si>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</si>
  <si>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</si>
  <si>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</si>
  <si>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</si>
  <si>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</si>
  <si>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</si>
  <si>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</si>
  <si>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</si>
  <si>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</si>
  <si>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</si>
  <si>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</si>
  <si>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</si>
  <si>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</si>
  <si>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</si>
  <si>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</si>
  <si>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</si>
  <si>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</si>
  <si>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</si>
  <si>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</si>
  <si>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</si>
  <si>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</si>
  <si>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</si>
  <si>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</si>
  <si>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</si>
  <si>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</si>
  <si>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</si>
  <si>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</si>
  <si>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</si>
  <si>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</si>
  <si>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</si>
  <si>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</si>
  <si>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1, 7, 8定番変更</t>
  </si>
  <si>
    <r>
      <rPr>
        <sz val="11"/>
        <color rgb="FF000000"/>
        <rFont val="Meiryo UI"/>
        <family val="2"/>
      </rPr>
      <t>イベントID：SC0601-01</t>
    </r>
  </si>
  <si>
    <t>予約日付*</t>
  </si>
  <si>
    <t>DatePicker</t>
  </si>
  <si>
    <t>明日</t>
  </si>
  <si>
    <t>AP0601</t>
  </si>
  <si>
    <t>booking_date</t>
  </si>
  <si>
    <r>
      <rPr>
        <sz val="11"/>
        <color rgb="FF000000"/>
        <rFont val="Meiryo UI"/>
        <family val="2"/>
      </rPr>
      <t>過去日選択不許可。フォーマット: yyyy/mm/dd</t>
    </r>
  </si>
  <si>
    <t>AP0114
AP0601</t>
  </si>
  <si>
    <t>code_level_1
group_code</t>
  </si>
  <si>
    <r>
      <rPr>
        <sz val="11"/>
        <color rgb="FF000000"/>
        <rFont val="Meiryo UI"/>
        <family val="2"/>
      </rPr>
      <t>イベントID：SC0601-02
最大数字の2桁。</t>
    </r>
  </si>
  <si>
    <t>AP0114</t>
  </si>
  <si>
    <t>description_level_one</t>
  </si>
  <si>
    <t>成功した場合、description_level_oneを表示する。404エラーの場合、エラーメッセージを表示する。</t>
  </si>
  <si>
    <t>ボタン</t>
  </si>
  <si>
    <t>F12 : 検索</t>
  </si>
  <si>
    <t>選択を選択し、予約日付を選択した場合に有効にする。</t>
  </si>
  <si>
    <r>
      <rPr>
        <sz val="11"/>
        <color rgb="FF000000"/>
        <rFont val="Meiryo UI"/>
        <family val="2"/>
      </rPr>
      <t>イベントID：SC0601-03</t>
    </r>
  </si>
  <si>
    <t>チェックボックス</t>
  </si>
  <si>
    <t>予約日付が未来の日付の場合に有効にする。</t>
  </si>
  <si>
    <r>
      <rPr>
        <sz val="11"/>
        <color rgb="FF000000"/>
        <rFont val="Meiryo UI"/>
        <family val="2"/>
      </rPr>
      <t>イベントID：SC0601-11</t>
    </r>
  </si>
  <si>
    <t>商品コード</t>
  </si>
  <si>
    <t>ー</t>
  </si>
  <si>
    <t>EditText</t>
  </si>
  <si>
    <t>AP0601
AP1506</t>
  </si>
  <si>
    <t xml:space="preserve">my_company_codeの6番目と7番目の2桁 
</t>
  </si>
  <si>
    <t>予約日が未来の日付で、商品コード入力モードの場合に有効にし、PLUコード入力モードの場合または予約日が今日の場合に無効にする。</t>
  </si>
  <si>
    <t>AP0602</t>
  </si>
  <si>
    <t>group_code</t>
  </si>
  <si>
    <t xml:space="preserve">my_company_code（最後の6桁）
</t>
  </si>
  <si>
    <r>
      <rPr>
        <sz val="11"/>
        <color rgb="FF000000"/>
        <rFont val="Meiryo UI"/>
        <family val="2"/>
      </rPr>
      <t>イベントID：SC0601-04</t>
    </r>
  </si>
  <si>
    <t>テキスト</t>
  </si>
  <si>
    <t>item_code</t>
  </si>
  <si>
    <t>PLUコード入力モードの場合は有効にし、商品コード入力モードの場合は無効にする。</t>
  </si>
  <si>
    <t>商品名称</t>
  </si>
  <si>
    <t>description</t>
  </si>
  <si>
    <t>現在売価</t>
  </si>
  <si>
    <t>current_price</t>
  </si>
  <si>
    <t>standard_price</t>
  </si>
  <si>
    <r>
      <rPr>
        <sz val="11"/>
        <color rgb="FF000000"/>
        <rFont val="Meiryo UI"/>
        <family val="2"/>
      </rPr>
      <t>イベントID：SC0601-12</t>
    </r>
  </si>
  <si>
    <t xml:space="preserve">商品コード切替 </t>
  </si>
  <si>
    <r>
      <rPr>
        <sz val="11"/>
        <color rgb="FF000000"/>
        <rFont val="Meiryo UI"/>
        <family val="2"/>
      </rPr>
      <t>商品コード入力モードで表示されている場合、PLUコード切替を表示する。PLUコード入力モードで表示されている場合、商品コード切替を表示する。</t>
    </r>
  </si>
  <si>
    <t>有効</t>
  </si>
  <si>
    <r>
      <rPr>
        <sz val="11"/>
        <color rgb="FF000000"/>
        <rFont val="Meiryo UI"/>
        <family val="2"/>
      </rPr>
      <t>イベントID：SC0601-05</t>
    </r>
  </si>
  <si>
    <r>
      <rPr>
        <sz val="11"/>
        <color rgb="FF000000"/>
        <rFont val="Meiryo UI"/>
        <family val="2"/>
      </rPr>
      <t>イベントID：SC0601-06</t>
    </r>
  </si>
  <si>
    <r>
      <rPr>
        <sz val="11"/>
        <color rgb="FF000000"/>
        <rFont val="Meiryo UI"/>
        <family val="2"/>
      </rPr>
      <t>イベントID：SC0601-07</t>
    </r>
  </si>
  <si>
    <r>
      <rPr>
        <sz val="11"/>
        <color rgb="FF000000"/>
        <rFont val="Meiryo UI"/>
        <family val="2"/>
      </rPr>
      <t>イベントID：SC0601-08</t>
    </r>
  </si>
  <si>
    <t>共通ページングをご参照ください。</t>
  </si>
  <si>
    <r>
      <rPr>
        <sz val="11"/>
        <color rgb="FF000000"/>
        <rFont val="Meiryo UI"/>
        <family val="2"/>
      </rPr>
      <t>イベントID：SC0601-09</t>
    </r>
  </si>
  <si>
    <t>次頁</t>
  </si>
  <si>
    <r>
      <rPr>
        <sz val="11"/>
        <color rgb="FF000000"/>
        <rFont val="Meiryo UI"/>
        <family val="2"/>
      </rPr>
      <t>イベントID：SC0601-10</t>
    </r>
  </si>
  <si>
    <t>テーブル内のデータに変更があった場合のみ有効にする。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</si>
</sst>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0"/>
      <color rgb="FF000000"/>
      <name val="Meiryo UI"/>
      <family val="2"/>
    </font>
    <font>
      <sz val="10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8" fillId="0" borderId="0">
      <alignment vertical="center"/>
    </xf>
  </cellStyleXfs>
  <cellXfs count="271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 wrapText="1"/>
    </xf>
    <xf numFmtId="0" fontId="3" fillId="0" borderId="17" xfId="6" applyFont="1" applyBorder="1" applyAlignment="1">
      <alignment horizontal="left" vertical="center" wrapText="1"/>
    </xf>
    <xf numFmtId="0" fontId="3" fillId="0" borderId="4" xfId="6" applyFont="1" applyBorder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2" xfId="6" quotePrefix="1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3" fillId="0" borderId="32" xfId="6" applyFont="1" applyBorder="1" applyAlignment="1">
      <alignment horizontal="left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4" fillId="0" borderId="32" xfId="6" quotePrefix="1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/>
    </xf>
    <xf numFmtId="0" fontId="3" fillId="0" borderId="32" xfId="6" applyFont="1" applyBorder="1" applyAlignment="1">
      <alignment vertical="center"/>
    </xf>
    <xf numFmtId="0" fontId="3" fillId="0" borderId="32" xfId="6" quotePrefix="1" applyFont="1" applyBorder="1" applyAlignment="1">
      <alignment vertical="center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4" fillId="0" borderId="32" xfId="6" applyFont="1" applyBorder="1" applyAlignment="1">
      <alignment horizontal="center" vertical="center" wrapText="1"/>
    </xf>
    <xf numFmtId="0" fontId="3" fillId="0" borderId="33" xfId="6" applyFont="1" applyBorder="1" applyAlignment="1">
      <alignment horizontal="center" vertical="center" wrapText="1"/>
    </xf>
    <xf numFmtId="0" fontId="3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 wrapText="1"/>
    </xf>
    <xf numFmtId="0" fontId="3" fillId="0" borderId="33" xfId="6" applyFont="1" applyBorder="1" applyAlignment="1">
      <alignment horizontal="left" vertical="center" wrapText="1"/>
    </xf>
    <xf numFmtId="0" fontId="3" fillId="0" borderId="34" xfId="6" applyFont="1" applyBorder="1" applyAlignment="1">
      <alignment horizontal="left" vertical="center" wrapText="1"/>
    </xf>
    <xf numFmtId="0" fontId="4" fillId="8" borderId="32" xfId="6" applyFont="1" applyFill="1" applyBorder="1" applyAlignment="1">
      <alignment horizontal="center" vertical="center" wrapText="1"/>
    </xf>
    <xf numFmtId="0" fontId="3" fillId="8" borderId="33" xfId="6" applyFont="1" applyFill="1" applyBorder="1" applyAlignment="1">
      <alignment horizontal="center" vertical="center"/>
    </xf>
    <xf numFmtId="0" fontId="3" fillId="8" borderId="34" xfId="6" applyFont="1" applyFill="1" applyBorder="1" applyAlignment="1">
      <alignment horizontal="center" vertical="center"/>
    </xf>
    <xf numFmtId="0" fontId="4" fillId="3" borderId="32" xfId="6" applyFont="1" applyFill="1" applyBorder="1" applyAlignment="1">
      <alignment horizontal="center" vertical="center"/>
    </xf>
    <xf numFmtId="0" fontId="3" fillId="3" borderId="33" xfId="6" applyFont="1" applyFill="1" applyBorder="1" applyAlignment="1">
      <alignment horizontal="center" vertical="center"/>
    </xf>
    <xf numFmtId="0" fontId="3" fillId="3" borderId="34" xfId="6" applyFont="1" applyFill="1" applyBorder="1" applyAlignment="1">
      <alignment horizontal="center" vertical="center"/>
    </xf>
    <xf numFmtId="0" fontId="4" fillId="0" borderId="32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5" fillId="0" borderId="32" xfId="6" applyFont="1" applyBorder="1" applyAlignment="1">
      <alignment vertical="center" wrapText="1"/>
    </xf>
    <xf numFmtId="0" fontId="4" fillId="8" borderId="32" xfId="6" applyFont="1" applyFill="1" applyBorder="1" applyAlignment="1">
      <alignment horizontal="center" vertical="center"/>
    </xf>
    <xf numFmtId="0" fontId="6" fillId="0" borderId="32" xfId="6" applyFont="1" applyBorder="1" applyAlignment="1">
      <alignment horizontal="left" vertical="center" wrapText="1"/>
    </xf>
    <xf numFmtId="0" fontId="7" fillId="0" borderId="33" xfId="6" applyFont="1" applyBorder="1" applyAlignment="1">
      <alignment horizontal="left" vertical="center" wrapText="1"/>
    </xf>
    <xf numFmtId="0" fontId="7" fillId="0" borderId="34" xfId="6" applyFont="1" applyBorder="1" applyAlignment="1">
      <alignment horizontal="left" vertical="center" wrapText="1"/>
    </xf>
    <xf numFmtId="0" fontId="4" fillId="0" borderId="32" xfId="6" applyFont="1" applyBorder="1" applyAlignment="1">
      <alignment horizontal="left" vertical="top" wrapText="1"/>
    </xf>
    <xf numFmtId="0" fontId="3" fillId="0" borderId="33" xfId="6" applyFont="1" applyBorder="1" applyAlignment="1">
      <alignment horizontal="left" vertical="top" wrapText="1"/>
    </xf>
    <xf numFmtId="0" fontId="3" fillId="0" borderId="34" xfId="6" applyFont="1" applyBorder="1" applyAlignment="1">
      <alignment horizontal="left" vertical="top" wrapText="1"/>
    </xf>
    <xf numFmtId="0" fontId="3" fillId="0" borderId="32" xfId="6" applyFont="1" applyBorder="1" applyAlignment="1">
      <alignment horizontal="left" vertical="center" wrapText="1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7" borderId="24" xfId="6" applyFont="1" applyFill="1" applyBorder="1" applyAlignment="1">
      <alignment vertical="center" wrapText="1"/>
    </xf>
    <xf numFmtId="0" fontId="3" fillId="7" borderId="26" xfId="6" applyFont="1" applyFill="1" applyBorder="1" applyAlignment="1">
      <alignment vertical="center"/>
    </xf>
    <xf numFmtId="0" fontId="3" fillId="7" borderId="1" xfId="6" applyFont="1" applyFill="1" applyBorder="1" applyAlignment="1">
      <alignment vertical="center"/>
    </xf>
    <xf numFmtId="0" fontId="3" fillId="7" borderId="4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4" fillId="7" borderId="24" xfId="6" applyFont="1" applyFill="1" applyBorder="1" applyAlignment="1">
      <alignment vertical="center"/>
    </xf>
    <xf numFmtId="0" fontId="3" fillId="7" borderId="25" xfId="6" applyFont="1" applyFill="1" applyBorder="1" applyAlignment="1">
      <alignment vertical="center"/>
    </xf>
    <xf numFmtId="0" fontId="3" fillId="7" borderId="0" xfId="6" applyFont="1" applyFill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38" xfId="6" applyFont="1" applyFill="1" applyBorder="1" applyAlignment="1">
      <alignment vertical="center" shrinkToFit="1"/>
    </xf>
    <xf numFmtId="0" fontId="3" fillId="7" borderId="40" xfId="6" applyFont="1" applyFill="1" applyBorder="1" applyAlignment="1">
      <alignment vertical="center" shrinkToFit="1"/>
    </xf>
    <xf numFmtId="0" fontId="3" fillId="7" borderId="39" xfId="6" applyFont="1" applyFill="1" applyBorder="1" applyAlignment="1">
      <alignment vertical="center" shrinkToFit="1"/>
    </xf>
    <xf numFmtId="0" fontId="4" fillId="7" borderId="38" xfId="6" applyFont="1" applyFill="1" applyBorder="1" applyAlignment="1">
      <alignment vertical="center" wrapText="1"/>
    </xf>
    <xf numFmtId="0" fontId="4" fillId="7" borderId="40" xfId="6" applyFont="1" applyFill="1" applyBorder="1" applyAlignment="1">
      <alignment vertical="center" wrapText="1"/>
    </xf>
    <xf numFmtId="0" fontId="4" fillId="7" borderId="39" xfId="6" applyFont="1" applyFill="1" applyBorder="1" applyAlignment="1">
      <alignment vertical="center" wrapText="1"/>
    </xf>
    <xf numFmtId="0" fontId="4" fillId="5" borderId="21" xfId="6" applyFont="1" applyFill="1" applyBorder="1" applyAlignment="1">
      <alignment vertical="center"/>
    </xf>
    <xf numFmtId="0" fontId="3" fillId="5" borderId="22" xfId="6" applyFont="1" applyFill="1" applyBorder="1" applyAlignment="1">
      <alignment vertical="center"/>
    </xf>
    <xf numFmtId="0" fontId="3" fillId="5" borderId="41" xfId="6" applyFont="1" applyFill="1" applyBorder="1" applyAlignment="1">
      <alignment vertical="center"/>
    </xf>
    <xf numFmtId="0" fontId="4" fillId="5" borderId="4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0" borderId="27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7" xfId="6" applyFont="1" applyBorder="1" applyAlignment="1">
      <alignment vertical="center"/>
    </xf>
    <xf numFmtId="0" fontId="3" fillId="0" borderId="28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4" fillId="4" borderId="21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/>
    </xf>
    <xf numFmtId="0" fontId="3" fillId="4" borderId="23" xfId="6" applyFont="1" applyFill="1" applyBorder="1" applyAlignment="1">
      <alignment vertical="center"/>
    </xf>
    <xf numFmtId="0" fontId="4" fillId="6" borderId="24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/>
    </xf>
    <xf numFmtId="0" fontId="3" fillId="6" borderId="26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4" borderId="21" xfId="6" applyFont="1" applyFill="1" applyBorder="1"/>
    <xf numFmtId="0" fontId="4" fillId="4" borderId="22" xfId="6" applyFont="1" applyFill="1" applyBorder="1"/>
    <xf numFmtId="0" fontId="4" fillId="4" borderId="23" xfId="6" applyFont="1" applyFill="1" applyBorder="1"/>
    <xf numFmtId="0" fontId="4" fillId="4" borderId="24" xfId="6" applyFont="1" applyFill="1" applyBorder="1" applyAlignment="1">
      <alignment vertical="center"/>
    </xf>
    <xf numFmtId="0" fontId="3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 wrapText="1"/>
    </xf>
    <xf numFmtId="0" fontId="3" fillId="5" borderId="2" xfId="6" applyFont="1" applyFill="1" applyBorder="1" applyAlignment="1">
      <alignment vertical="center" wrapText="1"/>
    </xf>
    <xf numFmtId="0" fontId="4" fillId="5" borderId="38" xfId="6" applyFont="1" applyFill="1" applyBorder="1" applyAlignment="1">
      <alignment vertical="center" wrapText="1"/>
    </xf>
    <xf numFmtId="0" fontId="4" fillId="5" borderId="39" xfId="6" applyFont="1" applyFill="1" applyBorder="1" applyAlignment="1">
      <alignment vertical="center" wrapText="1"/>
    </xf>
    <xf numFmtId="0" fontId="4" fillId="5" borderId="26" xfId="6" applyFont="1" applyFill="1" applyBorder="1" applyAlignment="1">
      <alignment vertical="center" wrapText="1"/>
    </xf>
    <xf numFmtId="0" fontId="4" fillId="5" borderId="5" xfId="6" applyFont="1" applyFill="1" applyBorder="1" applyAlignment="1">
      <alignment vertical="center" wrapText="1"/>
    </xf>
    <xf numFmtId="0" fontId="4" fillId="0" borderId="27" xfId="6" applyFont="1" applyBorder="1" applyAlignment="1">
      <alignment horizontal="left" vertical="center" wrapText="1"/>
    </xf>
    <xf numFmtId="0" fontId="4" fillId="0" borderId="28" xfId="6" applyFont="1" applyBorder="1" applyAlignment="1">
      <alignment horizontal="left" vertical="center" wrapText="1"/>
    </xf>
    <xf numFmtId="0" fontId="4" fillId="0" borderId="16" xfId="6" applyFont="1" applyBorder="1" applyAlignment="1">
      <alignment horizontal="left" vertical="center" wrapText="1"/>
    </xf>
    <xf numFmtId="0" fontId="3" fillId="0" borderId="27" xfId="6" applyFont="1" applyBorder="1" applyAlignment="1">
      <alignment horizontal="left" vertical="center"/>
    </xf>
    <xf numFmtId="0" fontId="3" fillId="0" borderId="28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2" xfId="6" quotePrefix="1" applyFont="1" applyBorder="1" applyAlignment="1">
      <alignment horizontal="left" vertical="center" wrapText="1"/>
    </xf>
    <xf numFmtId="0" fontId="3" fillId="0" borderId="33" xfId="6" quotePrefix="1" applyFont="1" applyBorder="1" applyAlignment="1">
      <alignment horizontal="left" vertical="center" wrapText="1"/>
    </xf>
    <xf numFmtId="0" fontId="3" fillId="0" borderId="34" xfId="6" quotePrefix="1" applyFont="1" applyBorder="1" applyAlignment="1">
      <alignment horizontal="left" vertical="center" wrapText="1"/>
    </xf>
    <xf numFmtId="0" fontId="4" fillId="0" borderId="32" xfId="6" quotePrefix="1" applyFont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 wrapText="1"/>
    </xf>
    <xf numFmtId="0" fontId="4" fillId="0" borderId="34" xfId="6" applyFont="1" applyBorder="1" applyAlignment="1">
      <alignment horizontal="left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3" fillId="3" borderId="33" xfId="6" applyFont="1" applyFill="1" applyBorder="1" applyAlignment="1">
      <alignment horizontal="center" vertical="center" wrapText="1"/>
    </xf>
    <xf numFmtId="0" fontId="3" fillId="3" borderId="34" xfId="6" applyFont="1" applyFill="1" applyBorder="1" applyAlignment="1">
      <alignment horizontal="center" vertical="center" wrapText="1"/>
    </xf>
    <xf numFmtId="0" fontId="3" fillId="0" borderId="29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29" xfId="6" applyFont="1" applyBorder="1" applyAlignment="1">
      <alignment horizontal="left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29" xfId="6" quotePrefix="1" applyFont="1" applyBorder="1" applyAlignment="1">
      <alignment vertical="center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4" fillId="0" borderId="29" xfId="6" quotePrefix="1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3" fillId="0" borderId="0" xfId="0" applyFont="1"/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3" fillId="0" borderId="24" xfId="0" applyNumberFormat="1" applyFont="1" applyBorder="1" applyAlignment="1">
      <alignment horizontal="center" vertical="center"/>
    </xf>
    <xf numFmtId="14" fontId="13" fillId="0" borderId="25" xfId="0" applyNumberFormat="1" applyFont="1" applyBorder="1" applyAlignment="1">
      <alignment horizontal="center" vertical="center"/>
    </xf>
    <xf numFmtId="14" fontId="13" fillId="0" borderId="26" xfId="0" applyNumberFormat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0" borderId="6" xfId="0" applyFont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3" xfId="0" applyFont="1" applyBorder="1"/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2" borderId="0" xfId="0" applyFont="1" applyFill="1"/>
    <xf numFmtId="0" fontId="13" fillId="0" borderId="27" xfId="0" applyFont="1" applyBorder="1"/>
    <xf numFmtId="0" fontId="13" fillId="0" borderId="28" xfId="0" applyFont="1" applyBorder="1"/>
    <xf numFmtId="0" fontId="13" fillId="0" borderId="16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4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2" xfId="0" applyFont="1" applyBorder="1"/>
    <xf numFmtId="0" fontId="9" fillId="2" borderId="21" xfId="6" applyFont="1" applyFill="1" applyBorder="1" applyAlignment="1">
      <alignment horizontal="center" vertical="center"/>
    </xf>
    <xf numFmtId="0" fontId="9" fillId="2" borderId="22" xfId="6" applyFont="1" applyFill="1" applyBorder="1" applyAlignment="1">
      <alignment horizontal="center" vertical="center"/>
    </xf>
    <xf numFmtId="0" fontId="9" fillId="2" borderId="23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/>
    </xf>
    <xf numFmtId="0" fontId="12" fillId="0" borderId="25" xfId="6" applyFont="1" applyBorder="1" applyAlignment="1">
      <alignment horizontal="center" vertical="center"/>
    </xf>
    <xf numFmtId="0" fontId="12" fillId="0" borderId="26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3" fillId="0" borderId="0" xfId="6" applyFont="1" applyAlignment="1">
      <alignment vertical="center"/>
    </xf>
    <xf numFmtId="0" fontId="13" fillId="0" borderId="27" xfId="6" applyFont="1" applyBorder="1" applyAlignment="1">
      <alignment vertical="center" wrapText="1"/>
    </xf>
    <xf numFmtId="0" fontId="13" fillId="0" borderId="28" xfId="6" applyFont="1" applyBorder="1" applyAlignment="1">
      <alignment vertical="center" wrapText="1"/>
    </xf>
    <xf numFmtId="0" fontId="13" fillId="0" borderId="16" xfId="6" applyFont="1" applyBorder="1" applyAlignment="1">
      <alignment vertical="center" wrapText="1"/>
    </xf>
    <xf numFmtId="0" fontId="13" fillId="0" borderId="33" xfId="6" applyFont="1" applyBorder="1" applyAlignment="1">
      <alignment vertical="center"/>
    </xf>
    <xf numFmtId="0" fontId="13" fillId="0" borderId="34" xfId="6" applyFont="1" applyBorder="1" applyAlignment="1">
      <alignment vertical="center"/>
    </xf>
    <xf numFmtId="0" fontId="13" fillId="0" borderId="32" xfId="6" applyFont="1" applyBorder="1" applyAlignment="1">
      <alignment vertical="center" wrapText="1"/>
    </xf>
    <xf numFmtId="0" fontId="13" fillId="0" borderId="33" xfId="6" applyFont="1" applyBorder="1" applyAlignment="1">
      <alignment vertical="center" wrapText="1"/>
    </xf>
    <xf numFmtId="0" fontId="13" fillId="0" borderId="34" xfId="6" applyFont="1" applyBorder="1" applyAlignment="1">
      <alignment vertical="center" wrapText="1"/>
    </xf>
    <xf numFmtId="0" fontId="13" fillId="0" borderId="35" xfId="6" quotePrefix="1" applyFont="1" applyBorder="1" applyAlignment="1">
      <alignment vertical="center" wrapText="1"/>
    </xf>
    <xf numFmtId="0" fontId="13" fillId="0" borderId="36" xfId="6" quotePrefix="1" applyFont="1" applyBorder="1" applyAlignment="1">
      <alignment vertical="center" wrapText="1"/>
    </xf>
    <xf numFmtId="0" fontId="13" fillId="0" borderId="37" xfId="6" quotePrefix="1" applyFont="1" applyBorder="1" applyAlignment="1">
      <alignment vertical="center" wrapText="1"/>
    </xf>
    <xf numFmtId="0" fontId="13" fillId="0" borderId="35" xfId="6" applyFont="1" applyBorder="1" applyAlignment="1">
      <alignment vertical="center"/>
    </xf>
    <xf numFmtId="0" fontId="13" fillId="0" borderId="36" xfId="6" applyFont="1" applyBorder="1" applyAlignment="1">
      <alignment vertical="center"/>
    </xf>
    <xf numFmtId="0" fontId="13" fillId="0" borderId="37" xfId="6" applyFont="1" applyBorder="1" applyAlignment="1">
      <alignment vertical="center"/>
    </xf>
    <xf numFmtId="0" fontId="13" fillId="0" borderId="32" xfId="6" applyFont="1" applyBorder="1" applyAlignment="1">
      <alignment vertical="center"/>
    </xf>
    <xf numFmtId="0" fontId="13" fillId="0" borderId="35" xfId="6" quotePrefix="1" applyFont="1" applyBorder="1" applyAlignment="1">
      <alignment vertical="center"/>
    </xf>
    <xf numFmtId="0" fontId="13" fillId="0" borderId="36" xfId="6" quotePrefix="1" applyFont="1" applyBorder="1" applyAlignment="1">
      <alignment vertical="center"/>
    </xf>
    <xf numFmtId="0" fontId="13" fillId="0" borderId="37" xfId="6" quotePrefix="1" applyFont="1" applyBorder="1" applyAlignment="1">
      <alignment vertical="center"/>
    </xf>
    <xf numFmtId="0" fontId="13" fillId="0" borderId="29" xfId="6" applyFont="1" applyBorder="1" applyAlignment="1">
      <alignment vertical="center"/>
    </xf>
    <xf numFmtId="0" fontId="13" fillId="0" borderId="30" xfId="6" applyFont="1" applyBorder="1" applyAlignment="1">
      <alignment vertical="center"/>
    </xf>
    <xf numFmtId="0" fontId="13" fillId="0" borderId="31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56</xdr:col>
      <xdr:colOff>175275</xdr:colOff>
      <xdr:row>40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573250" cy="6096000"/>
        </a:xfrm>
        <a:prstGeom prst="rect">
          <a:avLst/>
        </a:prstGeom>
      </xdr:spPr>
    </xdr:pic>
    <xdr:clientData/>
  </xdr:twoCellAnchor>
  <xdr:twoCellAnchor>
    <xdr:from>
      <xdr:col>6</xdr:col>
      <xdr:colOff>82923</xdr:colOff>
      <xdr:row>14</xdr:row>
      <xdr:rowOff>139690</xdr:rowOff>
    </xdr:from>
    <xdr:to>
      <xdr:col>7</xdr:col>
      <xdr:colOff>100461</xdr:colOff>
      <xdr:row>15</xdr:row>
      <xdr:rowOff>173308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685925" y="29241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10</xdr:col>
      <xdr:colOff>11206</xdr:colOff>
      <xdr:row>16</xdr:row>
      <xdr:rowOff>146413</xdr:rowOff>
    </xdr:from>
    <xdr:to>
      <xdr:col>11</xdr:col>
      <xdr:colOff>28744</xdr:colOff>
      <xdr:row>17</xdr:row>
      <xdr:rowOff>180031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76525" y="33051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6</xdr:col>
      <xdr:colOff>17930</xdr:colOff>
      <xdr:row>19</xdr:row>
      <xdr:rowOff>18666</xdr:rowOff>
    </xdr:from>
    <xdr:to>
      <xdr:col>7</xdr:col>
      <xdr:colOff>35468</xdr:colOff>
      <xdr:row>20</xdr:row>
      <xdr:rowOff>52284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619250" y="37528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</xdr:col>
      <xdr:colOff>35860</xdr:colOff>
      <xdr:row>21</xdr:row>
      <xdr:rowOff>14183</xdr:rowOff>
    </xdr:from>
    <xdr:to>
      <xdr:col>5</xdr:col>
      <xdr:colOff>53398</xdr:colOff>
      <xdr:row>22</xdr:row>
      <xdr:rowOff>47801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04900" y="412432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98613</xdr:colOff>
      <xdr:row>23</xdr:row>
      <xdr:rowOff>110555</xdr:rowOff>
    </xdr:from>
    <xdr:to>
      <xdr:col>9</xdr:col>
      <xdr:colOff>116151</xdr:colOff>
      <xdr:row>24</xdr:row>
      <xdr:rowOff>144173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228850" y="46101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7</xdr:col>
      <xdr:colOff>217395</xdr:colOff>
      <xdr:row>37</xdr:row>
      <xdr:rowOff>117279</xdr:rowOff>
    </xdr:from>
    <xdr:to>
      <xdr:col>8</xdr:col>
      <xdr:colOff>234934</xdr:colOff>
      <xdr:row>38</xdr:row>
      <xdr:rowOff>150897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085975" y="72771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15</xdr:col>
      <xdr:colOff>89649</xdr:colOff>
      <xdr:row>10</xdr:row>
      <xdr:rowOff>180033</xdr:rowOff>
    </xdr:from>
    <xdr:to>
      <xdr:col>16</xdr:col>
      <xdr:colOff>107188</xdr:colOff>
      <xdr:row>12</xdr:row>
      <xdr:rowOff>23151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086225" y="22002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15</xdr:col>
      <xdr:colOff>26895</xdr:colOff>
      <xdr:row>14</xdr:row>
      <xdr:rowOff>38837</xdr:rowOff>
    </xdr:from>
    <xdr:to>
      <xdr:col>16</xdr:col>
      <xdr:colOff>44434</xdr:colOff>
      <xdr:row>15</xdr:row>
      <xdr:rowOff>72455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029075" y="28194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18</xdr:col>
      <xdr:colOff>161366</xdr:colOff>
      <xdr:row>11</xdr:row>
      <xdr:rowOff>16426</xdr:rowOff>
    </xdr:from>
    <xdr:to>
      <xdr:col>19</xdr:col>
      <xdr:colOff>178905</xdr:colOff>
      <xdr:row>12</xdr:row>
      <xdr:rowOff>50044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962525" y="22288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17</xdr:col>
      <xdr:colOff>123264</xdr:colOff>
      <xdr:row>14</xdr:row>
      <xdr:rowOff>739</xdr:rowOff>
    </xdr:from>
    <xdr:to>
      <xdr:col>18</xdr:col>
      <xdr:colOff>116541</xdr:colOff>
      <xdr:row>15</xdr:row>
      <xdr:rowOff>5221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657725" y="27813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21</xdr:col>
      <xdr:colOff>51546</xdr:colOff>
      <xdr:row>14</xdr:row>
      <xdr:rowOff>7461</xdr:rowOff>
    </xdr:from>
    <xdr:to>
      <xdr:col>22</xdr:col>
      <xdr:colOff>44823</xdr:colOff>
      <xdr:row>15</xdr:row>
      <xdr:rowOff>11943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648325" y="27908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10</xdr:col>
      <xdr:colOff>54178</xdr:colOff>
      <xdr:row>8</xdr:row>
      <xdr:rowOff>173308</xdr:rowOff>
    </xdr:from>
    <xdr:to>
      <xdr:col>11</xdr:col>
      <xdr:colOff>71716</xdr:colOff>
      <xdr:row>10</xdr:row>
      <xdr:rowOff>16426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724150" y="18097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24</xdr:col>
      <xdr:colOff>170458</xdr:colOff>
      <xdr:row>11</xdr:row>
      <xdr:rowOff>22412</xdr:rowOff>
    </xdr:from>
    <xdr:to>
      <xdr:col>25</xdr:col>
      <xdr:colOff>163736</xdr:colOff>
      <xdr:row>12</xdr:row>
      <xdr:rowOff>26894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6572250" y="22288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25</xdr:col>
      <xdr:colOff>53918</xdr:colOff>
      <xdr:row>13</xdr:row>
      <xdr:rowOff>174812</xdr:rowOff>
    </xdr:from>
    <xdr:to>
      <xdr:col>26</xdr:col>
      <xdr:colOff>47195</xdr:colOff>
      <xdr:row>14</xdr:row>
      <xdr:rowOff>179294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6724650" y="27622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32</xdr:col>
      <xdr:colOff>60641</xdr:colOff>
      <xdr:row>11</xdr:row>
      <xdr:rowOff>2241</xdr:rowOff>
    </xdr:from>
    <xdr:to>
      <xdr:col>33</xdr:col>
      <xdr:colOff>53919</xdr:colOff>
      <xdr:row>12</xdr:row>
      <xdr:rowOff>6723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591550" y="22098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32</xdr:col>
      <xdr:colOff>129</xdr:colOff>
      <xdr:row>13</xdr:row>
      <xdr:rowOff>177053</xdr:rowOff>
    </xdr:from>
    <xdr:to>
      <xdr:col>32</xdr:col>
      <xdr:colOff>228730</xdr:colOff>
      <xdr:row>14</xdr:row>
      <xdr:rowOff>181535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2771775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40</xdr:col>
      <xdr:colOff>6723</xdr:colOff>
      <xdr:row>10</xdr:row>
      <xdr:rowOff>186018</xdr:rowOff>
    </xdr:from>
    <xdr:to>
      <xdr:col>41</xdr:col>
      <xdr:colOff>0</xdr:colOff>
      <xdr:row>12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677525" y="22098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40</xdr:col>
      <xdr:colOff>6723</xdr:colOff>
      <xdr:row>14</xdr:row>
      <xdr:rowOff>0</xdr:rowOff>
    </xdr:from>
    <xdr:to>
      <xdr:col>41</xdr:col>
      <xdr:colOff>0</xdr:colOff>
      <xdr:row>15</xdr:row>
      <xdr:rowOff>4482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677525" y="2781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46</xdr:col>
      <xdr:colOff>29135</xdr:colOff>
      <xdr:row>10</xdr:row>
      <xdr:rowOff>186018</xdr:rowOff>
    </xdr:from>
    <xdr:to>
      <xdr:col>47</xdr:col>
      <xdr:colOff>22412</xdr:colOff>
      <xdr:row>12</xdr:row>
      <xdr:rowOff>0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2296775" y="22098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46</xdr:col>
      <xdr:colOff>17929</xdr:colOff>
      <xdr:row>14</xdr:row>
      <xdr:rowOff>0</xdr:rowOff>
    </xdr:from>
    <xdr:to>
      <xdr:col>47</xdr:col>
      <xdr:colOff>11206</xdr:colOff>
      <xdr:row>15</xdr:row>
      <xdr:rowOff>4482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2287250" y="2781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53</xdr:col>
      <xdr:colOff>0</xdr:colOff>
      <xdr:row>11</xdr:row>
      <xdr:rowOff>0</xdr:rowOff>
    </xdr:from>
    <xdr:to>
      <xdr:col>53</xdr:col>
      <xdr:colOff>228601</xdr:colOff>
      <xdr:row>12</xdr:row>
      <xdr:rowOff>4482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4135100" y="220980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53</xdr:col>
      <xdr:colOff>6723</xdr:colOff>
      <xdr:row>13</xdr:row>
      <xdr:rowOff>186018</xdr:rowOff>
    </xdr:from>
    <xdr:to>
      <xdr:col>54</xdr:col>
      <xdr:colOff>0</xdr:colOff>
      <xdr:row>15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4144625" y="2781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20</xdr:col>
      <xdr:colOff>62751</xdr:colOff>
      <xdr:row>34</xdr:row>
      <xdr:rowOff>89647</xdr:rowOff>
    </xdr:from>
    <xdr:to>
      <xdr:col>21</xdr:col>
      <xdr:colOff>56029</xdr:colOff>
      <xdr:row>35</xdr:row>
      <xdr:rowOff>94129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400675" y="66770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41</xdr:col>
      <xdr:colOff>71846</xdr:colOff>
      <xdr:row>38</xdr:row>
      <xdr:rowOff>136714</xdr:rowOff>
    </xdr:from>
    <xdr:to>
      <xdr:col>42</xdr:col>
      <xdr:colOff>65124</xdr:colOff>
      <xdr:row>39</xdr:row>
      <xdr:rowOff>141196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010900" y="74866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47</xdr:col>
      <xdr:colOff>67364</xdr:colOff>
      <xdr:row>38</xdr:row>
      <xdr:rowOff>143437</xdr:rowOff>
    </xdr:from>
    <xdr:to>
      <xdr:col>48</xdr:col>
      <xdr:colOff>60642</xdr:colOff>
      <xdr:row>39</xdr:row>
      <xdr:rowOff>147919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2601575" y="7496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52</xdr:col>
      <xdr:colOff>230970</xdr:colOff>
      <xdr:row>38</xdr:row>
      <xdr:rowOff>161367</xdr:rowOff>
    </xdr:from>
    <xdr:to>
      <xdr:col>53</xdr:col>
      <xdr:colOff>224248</xdr:colOff>
      <xdr:row>39</xdr:row>
      <xdr:rowOff>165849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4097000" y="75152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49</xdr:col>
      <xdr:colOff>181665</xdr:colOff>
      <xdr:row>33</xdr:row>
      <xdr:rowOff>89649</xdr:rowOff>
    </xdr:from>
    <xdr:to>
      <xdr:col>50</xdr:col>
      <xdr:colOff>174943</xdr:colOff>
      <xdr:row>34</xdr:row>
      <xdr:rowOff>94131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3249275" y="64865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53</xdr:col>
      <xdr:colOff>177183</xdr:colOff>
      <xdr:row>33</xdr:row>
      <xdr:rowOff>85167</xdr:rowOff>
    </xdr:from>
    <xdr:to>
      <xdr:col>54</xdr:col>
      <xdr:colOff>170460</xdr:colOff>
      <xdr:row>34</xdr:row>
      <xdr:rowOff>89649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4316075" y="64865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 editAs="oneCell">
    <xdr:from>
      <xdr:col>2</xdr:col>
      <xdr:colOff>0</xdr:colOff>
      <xdr:row>80</xdr:row>
      <xdr:rowOff>1</xdr:rowOff>
    </xdr:from>
    <xdr:to>
      <xdr:col>55</xdr:col>
      <xdr:colOff>29020</xdr:colOff>
      <xdr:row>110</xdr:row>
      <xdr:rowOff>67236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21650325"/>
          <a:ext cx="14163675" cy="588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53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54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">
        <v>55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56</v>
      </c>
      <c r="AQ1" s="164"/>
      <c r="AR1" s="164"/>
      <c r="AS1" s="165"/>
      <c r="AT1" s="163" t="s">
        <v>57</v>
      </c>
      <c r="AU1" s="164"/>
      <c r="AV1" s="164"/>
      <c r="AW1" s="164"/>
      <c r="AX1" s="165"/>
      <c r="AY1" s="163" t="s">
        <v>58</v>
      </c>
      <c r="AZ1" s="164"/>
      <c r="BA1" s="164"/>
      <c r="BB1" s="165"/>
      <c r="BC1" s="163" t="s">
        <v>59</v>
      </c>
      <c r="BD1" s="164"/>
      <c r="BE1" s="164"/>
      <c r="BF1" s="164"/>
      <c r="BG1" s="165"/>
      <c r="BH1" s="163" t="s">
        <v>60</v>
      </c>
      <c r="BI1" s="164"/>
      <c r="BJ1" s="164"/>
      <c r="BK1" s="165"/>
    </row>
    <row r="2" spans="1:63" ht="15" customHeight="1" x14ac:dyDescent="0.25">
      <c r="A2" s="21" t="s">
        <v>61</v>
      </c>
      <c r="B2" s="170"/>
      <c r="C2" s="170"/>
      <c r="D2" s="170"/>
      <c r="E2" s="170"/>
      <c r="F2" s="170"/>
      <c r="G2" s="170"/>
      <c r="H2" s="170"/>
      <c r="I2" s="170"/>
      <c r="J2" s="171"/>
      <c r="K2" s="172" t="s">
        <v>1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tr">
        <f>改訂履歴!$H$11</f>
        <v>DuNT</v>
      </c>
      <c r="AQ2" s="170"/>
      <c r="AR2" s="170"/>
      <c r="AS2" s="171"/>
      <c r="AT2" s="176">
        <f>改訂履歴!$B$11</f>
        <v>45558</v>
      </c>
      <c r="AU2" s="177"/>
      <c r="AV2" s="177"/>
      <c r="AW2" s="177"/>
      <c r="AX2" s="178"/>
      <c r="AY2" s="172" t="str">
        <f>LOOKUP(2,1/(改訂履歴!H11:H30000&lt;&gt;""),改訂履歴!H11:H30000)</f>
        <v>DuNT</v>
      </c>
      <c r="AZ2" s="170"/>
      <c r="BA2" s="170"/>
      <c r="BB2" s="171"/>
      <c r="BC2" s="176">
        <f>LOOKUP(2,1/(改訂履歴!B11:B30000&lt;&gt;""),改訂履歴!B11:B30000)</f>
        <v>45558</v>
      </c>
      <c r="BD2" s="177"/>
      <c r="BE2" s="177"/>
      <c r="BF2" s="177"/>
      <c r="BG2" s="178"/>
      <c r="BH2" s="179">
        <f>LOOKUP(2,1/(改訂履歴!O11:O30000&lt;&gt;""),改訂履歴!O11:O30000)</f>
        <v>0.1</v>
      </c>
      <c r="BI2" s="180"/>
      <c r="BJ2" s="180"/>
      <c r="BK2" s="18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91"/>
      <c r="BI3" s="192"/>
      <c r="BJ3" s="192"/>
      <c r="BK3" s="193"/>
    </row>
    <row r="4" spans="1:63" ht="24.95" customHeight="1" x14ac:dyDescent="0.25">
      <c r="A4" s="163" t="s">
        <v>62</v>
      </c>
      <c r="B4" s="164"/>
      <c r="C4" s="164"/>
      <c r="D4" s="164"/>
      <c r="E4" s="164"/>
      <c r="F4" s="164"/>
      <c r="G4" s="165"/>
      <c r="H4" s="194" t="s">
        <v>12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63</v>
      </c>
      <c r="V4" s="164"/>
      <c r="W4" s="164"/>
      <c r="X4" s="164"/>
      <c r="Y4" s="165"/>
      <c r="Z4" s="20" t="s">
        <v>64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表紙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K10" s="201"/>
    </row>
    <row r="11" spans="1:63" ht="15" customHeight="1" x14ac:dyDescent="0.25">
      <c r="A11" s="200"/>
      <c r="BK11" s="201"/>
    </row>
    <row r="12" spans="1:63" ht="15" customHeight="1" x14ac:dyDescent="0.25">
      <c r="A12" s="200"/>
      <c r="BK12" s="201"/>
    </row>
    <row r="13" spans="1:63" ht="15" customHeight="1" x14ac:dyDescent="0.25">
      <c r="A13" s="200"/>
      <c r="BK13" s="201"/>
    </row>
    <row r="14" spans="1:63" ht="15" customHeight="1" thickBot="1" x14ac:dyDescent="0.3">
      <c r="A14" s="200"/>
      <c r="BK14" s="201"/>
    </row>
    <row r="15" spans="1:63" ht="15" customHeight="1" thickTop="1" x14ac:dyDescent="0.25">
      <c r="A15" s="200"/>
      <c r="K15" s="202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4"/>
      <c r="BK15" s="201"/>
    </row>
    <row r="16" spans="1:63" ht="15" customHeight="1" x14ac:dyDescent="0.25">
      <c r="A16" s="200"/>
      <c r="K16" s="205"/>
      <c r="L16" s="206" t="s">
        <v>65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8"/>
      <c r="BK16" s="201"/>
    </row>
    <row r="17" spans="1:63" ht="15" customHeight="1" x14ac:dyDescent="0.25">
      <c r="A17" s="200"/>
      <c r="K17" s="205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8"/>
      <c r="BK17" s="201"/>
    </row>
    <row r="18" spans="1:63" ht="15" customHeight="1" x14ac:dyDescent="0.25">
      <c r="A18" s="200"/>
      <c r="K18" s="205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8"/>
      <c r="BK18" s="201"/>
    </row>
    <row r="19" spans="1:63" ht="15" customHeight="1" x14ac:dyDescent="0.25">
      <c r="A19" s="200"/>
      <c r="K19" s="205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8"/>
      <c r="BK19" s="201"/>
    </row>
    <row r="20" spans="1:63" ht="15" customHeight="1" x14ac:dyDescent="0.25">
      <c r="A20" s="200"/>
      <c r="K20" s="205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8"/>
      <c r="BK20" s="201"/>
    </row>
    <row r="21" spans="1:63" ht="15" customHeight="1" x14ac:dyDescent="0.25">
      <c r="A21" s="200"/>
      <c r="K21" s="205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8"/>
      <c r="BK21" s="201"/>
    </row>
    <row r="22" spans="1:63" ht="15" customHeight="1" thickBot="1" x14ac:dyDescent="0.3">
      <c r="A22" s="200"/>
      <c r="K22" s="205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8"/>
      <c r="BK22" s="201"/>
    </row>
    <row r="23" spans="1:63" ht="15" customHeight="1" x14ac:dyDescent="0.25">
      <c r="A23" s="200"/>
      <c r="K23" s="205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08"/>
      <c r="BK23" s="201"/>
    </row>
    <row r="24" spans="1:63" ht="15" customHeight="1" x14ac:dyDescent="0.25">
      <c r="A24" s="200"/>
      <c r="K24" s="205"/>
      <c r="L24" s="207" t="str">
        <f>K2&amp;"/"&amp;H4&amp;"/"&amp;Z4</f>
        <v>POSサーバ/06_1, 7, 8 定番変更/画面設計書</v>
      </c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8"/>
      <c r="BK24" s="201"/>
    </row>
    <row r="25" spans="1:63" ht="15" customHeight="1" x14ac:dyDescent="0.25">
      <c r="A25" s="200"/>
      <c r="K25" s="205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8"/>
      <c r="BK25" s="201"/>
    </row>
    <row r="26" spans="1:63" ht="15" customHeight="1" x14ac:dyDescent="0.25">
      <c r="A26" s="200"/>
      <c r="K26" s="205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8"/>
      <c r="BK26" s="201"/>
    </row>
    <row r="27" spans="1:63" ht="15" customHeight="1" x14ac:dyDescent="0.25">
      <c r="A27" s="200"/>
      <c r="K27" s="205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8"/>
      <c r="BK27" s="201"/>
    </row>
    <row r="28" spans="1:63" ht="15" customHeight="1" x14ac:dyDescent="0.25">
      <c r="A28" s="200"/>
      <c r="K28" s="205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8"/>
      <c r="BK28" s="201"/>
    </row>
    <row r="29" spans="1:63" ht="15" customHeight="1" x14ac:dyDescent="0.25">
      <c r="A29" s="200"/>
      <c r="K29" s="205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8"/>
      <c r="BK29" s="201"/>
    </row>
    <row r="30" spans="1:63" ht="15" customHeight="1" x14ac:dyDescent="0.25">
      <c r="A30" s="200"/>
      <c r="K30" s="205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8"/>
      <c r="BK30" s="201"/>
    </row>
    <row r="31" spans="1:63" ht="15" customHeight="1" x14ac:dyDescent="0.25">
      <c r="A31" s="200"/>
      <c r="K31" s="205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8"/>
      <c r="BK31" s="201"/>
    </row>
    <row r="32" spans="1:63" ht="15" customHeight="1" x14ac:dyDescent="0.25">
      <c r="A32" s="200"/>
      <c r="K32" s="205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8"/>
      <c r="BK32" s="201"/>
    </row>
    <row r="33" spans="1:63" ht="15" customHeight="1" x14ac:dyDescent="0.25">
      <c r="A33" s="200"/>
      <c r="K33" s="205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8"/>
      <c r="BK33" s="201"/>
    </row>
    <row r="34" spans="1:63" ht="15" customHeight="1" x14ac:dyDescent="0.25">
      <c r="A34" s="200"/>
      <c r="K34" s="205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8"/>
      <c r="BK34" s="201"/>
    </row>
    <row r="35" spans="1:63" ht="15" customHeight="1" x14ac:dyDescent="0.25">
      <c r="A35" s="200"/>
      <c r="K35" s="205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8"/>
      <c r="BK35" s="201"/>
    </row>
    <row r="36" spans="1:63" ht="15" customHeight="1" x14ac:dyDescent="0.25">
      <c r="A36" s="200"/>
      <c r="K36" s="205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8"/>
      <c r="BK36" s="201"/>
    </row>
    <row r="37" spans="1:63" ht="15" customHeight="1" thickBot="1" x14ac:dyDescent="0.3">
      <c r="A37" s="200"/>
      <c r="K37" s="211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3"/>
      <c r="BK37" s="201"/>
    </row>
    <row r="38" spans="1:63" ht="15" customHeight="1" thickTop="1" x14ac:dyDescent="0.25">
      <c r="A38" s="200"/>
      <c r="BK38" s="201"/>
    </row>
    <row r="39" spans="1:63" ht="15" customHeight="1" x14ac:dyDescent="0.25">
      <c r="A39" s="200"/>
      <c r="BK39" s="201"/>
    </row>
    <row r="40" spans="1:63" ht="15" customHeight="1" x14ac:dyDescent="0.25">
      <c r="A40" s="200"/>
      <c r="BK40" s="201"/>
    </row>
    <row r="41" spans="1:63" ht="15" customHeight="1" x14ac:dyDescent="0.25">
      <c r="A41" s="200"/>
      <c r="BK41" s="201"/>
    </row>
    <row r="42" spans="1:63" ht="15" customHeight="1" x14ac:dyDescent="0.25">
      <c r="A42" s="200"/>
      <c r="BK42" s="201"/>
    </row>
    <row r="43" spans="1:63" ht="15" customHeight="1" x14ac:dyDescent="0.25">
      <c r="A43" s="200"/>
      <c r="BK43" s="201"/>
    </row>
    <row r="44" spans="1:63" ht="15" customHeight="1" x14ac:dyDescent="0.25">
      <c r="A44" s="200"/>
      <c r="Q44" s="214" t="s">
        <v>66</v>
      </c>
      <c r="R44" s="215"/>
      <c r="S44" s="215"/>
      <c r="T44" s="215"/>
      <c r="U44" s="215"/>
      <c r="V44" s="215"/>
      <c r="W44" s="215"/>
      <c r="X44" s="215"/>
      <c r="Y44" s="215"/>
      <c r="Z44" s="216"/>
      <c r="AA44" s="214" t="s">
        <v>67</v>
      </c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6"/>
      <c r="AQ44" s="214" t="s">
        <v>60</v>
      </c>
      <c r="AR44" s="215"/>
      <c r="AS44" s="215"/>
      <c r="AT44" s="215"/>
      <c r="AU44" s="216"/>
      <c r="BK44" s="201"/>
    </row>
    <row r="45" spans="1:63" ht="15" customHeight="1" x14ac:dyDescent="0.25">
      <c r="A45" s="200"/>
      <c r="Q45" s="217"/>
      <c r="R45" s="218"/>
      <c r="S45" s="218"/>
      <c r="T45" s="218"/>
      <c r="U45" s="218"/>
      <c r="V45" s="218"/>
      <c r="W45" s="218"/>
      <c r="X45" s="218"/>
      <c r="Y45" s="218"/>
      <c r="Z45" s="219"/>
      <c r="AA45" s="217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217"/>
      <c r="AR45" s="218"/>
      <c r="AS45" s="218"/>
      <c r="AT45" s="218"/>
      <c r="AU45" s="219"/>
      <c r="BK45" s="201"/>
    </row>
    <row r="46" spans="1:63" ht="15" customHeight="1" x14ac:dyDescent="0.25">
      <c r="A46" s="200"/>
      <c r="Q46" s="172"/>
      <c r="R46" s="170"/>
      <c r="S46" s="170"/>
      <c r="T46" s="170"/>
      <c r="U46" s="170"/>
      <c r="V46" s="170"/>
      <c r="W46" s="170"/>
      <c r="X46" s="170"/>
      <c r="Y46" s="170"/>
      <c r="Z46" s="171"/>
      <c r="AA46" s="172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  <c r="AQ46" s="172"/>
      <c r="AR46" s="170"/>
      <c r="AS46" s="170"/>
      <c r="AT46" s="170"/>
      <c r="AU46" s="171"/>
      <c r="BK46" s="201"/>
    </row>
    <row r="47" spans="1:63" ht="15" customHeight="1" x14ac:dyDescent="0.25">
      <c r="A47" s="200"/>
      <c r="Q47" s="220"/>
      <c r="R47" s="221"/>
      <c r="S47" s="221"/>
      <c r="T47" s="221"/>
      <c r="U47" s="221"/>
      <c r="V47" s="221"/>
      <c r="W47" s="221"/>
      <c r="X47" s="221"/>
      <c r="Y47" s="221"/>
      <c r="Z47" s="222"/>
      <c r="AA47" s="220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2"/>
      <c r="AQ47" s="220"/>
      <c r="AR47" s="221"/>
      <c r="AS47" s="221"/>
      <c r="AT47" s="221"/>
      <c r="AU47" s="222"/>
      <c r="BK47" s="201"/>
    </row>
    <row r="48" spans="1:63" ht="15" customHeight="1" x14ac:dyDescent="0.25">
      <c r="A48" s="200"/>
      <c r="Q48" s="220"/>
      <c r="R48" s="221"/>
      <c r="S48" s="221"/>
      <c r="T48" s="221"/>
      <c r="U48" s="221"/>
      <c r="V48" s="221"/>
      <c r="W48" s="221"/>
      <c r="X48" s="221"/>
      <c r="Y48" s="221"/>
      <c r="Z48" s="222"/>
      <c r="AA48" s="220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2"/>
      <c r="AQ48" s="220"/>
      <c r="AR48" s="221"/>
      <c r="AS48" s="221"/>
      <c r="AT48" s="221"/>
      <c r="AU48" s="222"/>
      <c r="BK48" s="201"/>
    </row>
    <row r="49" spans="1:63" ht="15" customHeight="1" x14ac:dyDescent="0.25">
      <c r="A49" s="200"/>
      <c r="Q49" s="182"/>
      <c r="R49" s="183"/>
      <c r="S49" s="183"/>
      <c r="T49" s="183"/>
      <c r="U49" s="183"/>
      <c r="V49" s="183"/>
      <c r="W49" s="183"/>
      <c r="X49" s="183"/>
      <c r="Y49" s="183"/>
      <c r="Z49" s="184"/>
      <c r="AA49" s="182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4"/>
      <c r="AQ49" s="182"/>
      <c r="AR49" s="183"/>
      <c r="AS49" s="183"/>
      <c r="AT49" s="183"/>
      <c r="AU49" s="184"/>
      <c r="BK49" s="201"/>
    </row>
    <row r="50" spans="1:63" ht="15" customHeight="1" x14ac:dyDescent="0.25">
      <c r="A50" s="200"/>
      <c r="BK50" s="201"/>
    </row>
    <row r="51" spans="1:63" ht="15" customHeight="1" x14ac:dyDescent="0.25">
      <c r="A51" s="200"/>
      <c r="BK51" s="201"/>
    </row>
    <row r="52" spans="1:63" ht="15" customHeight="1" x14ac:dyDescent="0.25">
      <c r="A52" s="200"/>
      <c r="BK52" s="201"/>
    </row>
    <row r="53" spans="1:63" ht="15" customHeight="1" x14ac:dyDescent="0.25">
      <c r="A53" s="200"/>
      <c r="BK53" s="201"/>
    </row>
    <row r="54" spans="1:63" ht="15" customHeight="1" x14ac:dyDescent="0.25">
      <c r="A54" s="200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53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54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223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56</v>
      </c>
      <c r="AQ1" s="164"/>
      <c r="AR1" s="164"/>
      <c r="AS1" s="165"/>
      <c r="AT1" s="163" t="s">
        <v>57</v>
      </c>
      <c r="AU1" s="164"/>
      <c r="AV1" s="164"/>
      <c r="AW1" s="164"/>
      <c r="AX1" s="165"/>
      <c r="AY1" s="163" t="s">
        <v>58</v>
      </c>
      <c r="AZ1" s="164"/>
      <c r="BA1" s="164"/>
      <c r="BB1" s="165"/>
      <c r="BC1" s="163" t="s">
        <v>59</v>
      </c>
      <c r="BD1" s="164"/>
      <c r="BE1" s="164"/>
      <c r="BF1" s="164"/>
      <c r="BG1" s="165"/>
      <c r="BH1" s="163" t="s">
        <v>60</v>
      </c>
      <c r="BI1" s="164"/>
      <c r="BJ1" s="164"/>
      <c r="BK1" s="165"/>
    </row>
    <row r="2" spans="1:63" ht="15" customHeight="1" x14ac:dyDescent="0.25">
      <c r="A2" s="172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72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tr">
        <f>IF(表紙!AP2="","",表紙!AP2)</f>
        <v>DuNT</v>
      </c>
      <c r="AQ2" s="170"/>
      <c r="AR2" s="170"/>
      <c r="AS2" s="171"/>
      <c r="AT2" s="176">
        <f>IF(表紙!AT2="","",表紙!AT2)</f>
        <v>45558</v>
      </c>
      <c r="AU2" s="177"/>
      <c r="AV2" s="177"/>
      <c r="AW2" s="177"/>
      <c r="AX2" s="178"/>
      <c r="AY2" s="172" t="str">
        <f>IF(表紙!AY2="","",表紙!AY2)</f>
        <v>DuNT</v>
      </c>
      <c r="AZ2" s="170"/>
      <c r="BA2" s="170"/>
      <c r="BB2" s="171"/>
      <c r="BC2" s="176">
        <f>IF(表紙!BC2="","",表紙!BC2)</f>
        <v>45558</v>
      </c>
      <c r="BD2" s="177"/>
      <c r="BE2" s="177"/>
      <c r="BF2" s="177"/>
      <c r="BG2" s="178"/>
      <c r="BH2" s="172">
        <f>IF(表紙!BH2="","",表紙!BH2)</f>
        <v>0.1</v>
      </c>
      <c r="BI2" s="170"/>
      <c r="BJ2" s="170"/>
      <c r="BK2" s="17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163" t="s">
        <v>68</v>
      </c>
      <c r="B4" s="164"/>
      <c r="C4" s="164"/>
      <c r="D4" s="164"/>
      <c r="E4" s="164"/>
      <c r="F4" s="164"/>
      <c r="G4" s="165"/>
      <c r="H4" s="194" t="str">
        <f>IF(表紙!H4="","",表紙!H4)</f>
        <v>06_1, 7, 8 定番変更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63</v>
      </c>
      <c r="V4" s="164"/>
      <c r="W4" s="164"/>
      <c r="X4" s="164"/>
      <c r="Y4" s="165"/>
      <c r="Z4" s="194" t="str">
        <f>IF(表紙!Z4="","",表紙!Z4)</f>
        <v>画面設計書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改訂履歴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8" s="169" t="s">
        <v>0</v>
      </c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10" s="224" t="s">
        <v>59</v>
      </c>
      <c r="C10" s="224"/>
      <c r="D10" s="224"/>
      <c r="E10" s="224"/>
      <c r="F10" s="224"/>
      <c r="G10" s="224"/>
      <c r="H10" s="224" t="s">
        <v>58</v>
      </c>
      <c r="I10" s="224"/>
      <c r="J10" s="224"/>
      <c r="K10" s="224"/>
      <c r="L10" s="224"/>
      <c r="M10" s="224"/>
      <c r="N10" s="224"/>
      <c r="O10" s="224" t="s">
        <v>60</v>
      </c>
      <c r="P10" s="224"/>
      <c r="Q10" s="224"/>
      <c r="R10" s="224"/>
      <c r="S10" s="224" t="s">
        <v>69</v>
      </c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 t="s">
        <v>66</v>
      </c>
      <c r="AY10" s="224"/>
      <c r="AZ10" s="224"/>
      <c r="BA10" s="224"/>
      <c r="BB10" s="224"/>
      <c r="BC10" s="224"/>
      <c r="BD10" s="224" t="s">
        <v>67</v>
      </c>
      <c r="BE10" s="224"/>
      <c r="BF10" s="224"/>
      <c r="BG10" s="224"/>
      <c r="BH10" s="224"/>
      <c r="BI10" s="224"/>
      <c r="BJ10" s="224"/>
      <c r="BK10" s="201"/>
    </row>
    <row r="11" spans="1:63" ht="15" customHeight="1" x14ac:dyDescent="0.25">
      <c r="A11" s="200"/>
      <c r="B11" s="176">
        <v>45558</v>
      </c>
      <c r="C11" s="170"/>
      <c r="D11" s="170"/>
      <c r="E11" s="170"/>
      <c r="F11" s="170"/>
      <c r="G11" s="171"/>
      <c r="H11" s="21" t="s">
        <v>70</v>
      </c>
      <c r="I11" s="170"/>
      <c r="J11" s="170"/>
      <c r="K11" s="170"/>
      <c r="L11" s="170"/>
      <c r="M11" s="170"/>
      <c r="N11" s="171"/>
      <c r="O11" s="172">
        <v>0.1</v>
      </c>
      <c r="P11" s="170"/>
      <c r="Q11" s="170"/>
      <c r="R11" s="170"/>
      <c r="S11" s="225" t="s">
        <v>2</v>
      </c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7"/>
      <c r="AX11" s="228"/>
      <c r="AY11" s="228"/>
      <c r="AZ11" s="228"/>
      <c r="BA11" s="228"/>
      <c r="BB11" s="228"/>
      <c r="BC11" s="229"/>
      <c r="BD11" s="230"/>
      <c r="BE11" s="228"/>
      <c r="BF11" s="228"/>
      <c r="BG11" s="228"/>
      <c r="BH11" s="228"/>
      <c r="BI11" s="228"/>
      <c r="BJ11" s="229"/>
      <c r="BK11" s="201"/>
    </row>
    <row r="12" spans="1:63" ht="15" customHeight="1" x14ac:dyDescent="0.25">
      <c r="A12" s="200"/>
      <c r="B12" s="182"/>
      <c r="C12" s="183"/>
      <c r="D12" s="183"/>
      <c r="E12" s="183"/>
      <c r="F12" s="183"/>
      <c r="G12" s="184"/>
      <c r="H12" s="182"/>
      <c r="I12" s="183"/>
      <c r="J12" s="183"/>
      <c r="K12" s="183"/>
      <c r="L12" s="183"/>
      <c r="M12" s="183"/>
      <c r="N12" s="184"/>
      <c r="O12" s="182"/>
      <c r="P12" s="183"/>
      <c r="Q12" s="183"/>
      <c r="R12" s="183"/>
      <c r="S12" s="231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3"/>
      <c r="AX12" s="234"/>
      <c r="AY12" s="234"/>
      <c r="AZ12" s="234"/>
      <c r="BA12" s="234"/>
      <c r="BB12" s="234"/>
      <c r="BC12" s="235"/>
      <c r="BD12" s="236"/>
      <c r="BE12" s="234"/>
      <c r="BF12" s="234"/>
      <c r="BG12" s="234"/>
      <c r="BH12" s="234"/>
      <c r="BI12" s="234"/>
      <c r="BJ12" s="235"/>
      <c r="BK12" s="201"/>
    </row>
    <row r="13" spans="1:63" ht="15" customHeight="1" x14ac:dyDescent="0.25">
      <c r="A13" s="200"/>
      <c r="B13" s="176"/>
      <c r="C13" s="170"/>
      <c r="D13" s="170"/>
      <c r="E13" s="170"/>
      <c r="F13" s="170"/>
      <c r="G13" s="171"/>
      <c r="H13" s="172"/>
      <c r="I13" s="170"/>
      <c r="J13" s="170"/>
      <c r="K13" s="170"/>
      <c r="L13" s="170"/>
      <c r="M13" s="170"/>
      <c r="N13" s="171"/>
      <c r="O13" s="172"/>
      <c r="P13" s="170"/>
      <c r="Q13" s="170"/>
      <c r="R13" s="170"/>
      <c r="S13" s="225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7"/>
      <c r="AX13" s="228"/>
      <c r="AY13" s="228"/>
      <c r="AZ13" s="228"/>
      <c r="BA13" s="228"/>
      <c r="BB13" s="228"/>
      <c r="BC13" s="229"/>
      <c r="BD13" s="230"/>
      <c r="BE13" s="228"/>
      <c r="BF13" s="228"/>
      <c r="BG13" s="228"/>
      <c r="BH13" s="228"/>
      <c r="BI13" s="228"/>
      <c r="BJ13" s="229"/>
      <c r="BK13" s="201"/>
    </row>
    <row r="14" spans="1:63" ht="15" customHeight="1" x14ac:dyDescent="0.25">
      <c r="A14" s="200"/>
      <c r="B14" s="182"/>
      <c r="C14" s="183"/>
      <c r="D14" s="183"/>
      <c r="E14" s="183"/>
      <c r="F14" s="183"/>
      <c r="G14" s="184"/>
      <c r="H14" s="182"/>
      <c r="I14" s="183"/>
      <c r="J14" s="183"/>
      <c r="K14" s="183"/>
      <c r="L14" s="183"/>
      <c r="M14" s="183"/>
      <c r="N14" s="184"/>
      <c r="O14" s="182"/>
      <c r="P14" s="183"/>
      <c r="Q14" s="183"/>
      <c r="R14" s="183"/>
      <c r="S14" s="231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3"/>
      <c r="AX14" s="234"/>
      <c r="AY14" s="234"/>
      <c r="AZ14" s="234"/>
      <c r="BA14" s="234"/>
      <c r="BB14" s="234"/>
      <c r="BC14" s="235"/>
      <c r="BD14" s="236"/>
      <c r="BE14" s="234"/>
      <c r="BF14" s="234"/>
      <c r="BG14" s="234"/>
      <c r="BH14" s="234"/>
      <c r="BI14" s="234"/>
      <c r="BJ14" s="235"/>
      <c r="BK14" s="201"/>
    </row>
    <row r="15" spans="1:63" ht="15" customHeight="1" x14ac:dyDescent="0.25">
      <c r="A15" s="200"/>
      <c r="B15" s="172"/>
      <c r="C15" s="170"/>
      <c r="D15" s="170"/>
      <c r="E15" s="170"/>
      <c r="F15" s="170"/>
      <c r="G15" s="171"/>
      <c r="H15" s="172"/>
      <c r="I15" s="170"/>
      <c r="J15" s="170"/>
      <c r="K15" s="170"/>
      <c r="L15" s="170"/>
      <c r="M15" s="170"/>
      <c r="N15" s="171"/>
      <c r="O15" s="172"/>
      <c r="P15" s="170"/>
      <c r="Q15" s="170"/>
      <c r="R15" s="170"/>
      <c r="S15" s="225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7"/>
      <c r="AX15" s="228"/>
      <c r="AY15" s="228"/>
      <c r="AZ15" s="228"/>
      <c r="BA15" s="228"/>
      <c r="BB15" s="228"/>
      <c r="BC15" s="229"/>
      <c r="BD15" s="230"/>
      <c r="BE15" s="228"/>
      <c r="BF15" s="228"/>
      <c r="BG15" s="228"/>
      <c r="BH15" s="228"/>
      <c r="BI15" s="228"/>
      <c r="BJ15" s="229"/>
      <c r="BK15" s="201"/>
    </row>
    <row r="16" spans="1:63" ht="15" customHeight="1" x14ac:dyDescent="0.25">
      <c r="A16" s="200"/>
      <c r="B16" s="182"/>
      <c r="C16" s="183"/>
      <c r="D16" s="183"/>
      <c r="E16" s="183"/>
      <c r="F16" s="183"/>
      <c r="G16" s="184"/>
      <c r="H16" s="182"/>
      <c r="I16" s="183"/>
      <c r="J16" s="183"/>
      <c r="K16" s="183"/>
      <c r="L16" s="183"/>
      <c r="M16" s="183"/>
      <c r="N16" s="184"/>
      <c r="O16" s="182"/>
      <c r="P16" s="183"/>
      <c r="Q16" s="183"/>
      <c r="R16" s="183"/>
      <c r="S16" s="231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  <c r="AP16" s="232"/>
      <c r="AQ16" s="232"/>
      <c r="AR16" s="232"/>
      <c r="AS16" s="232"/>
      <c r="AT16" s="232"/>
      <c r="AU16" s="232"/>
      <c r="AV16" s="232"/>
      <c r="AW16" s="233"/>
      <c r="AX16" s="234"/>
      <c r="AY16" s="234"/>
      <c r="AZ16" s="234"/>
      <c r="BA16" s="234"/>
      <c r="BB16" s="234"/>
      <c r="BC16" s="235"/>
      <c r="BD16" s="236"/>
      <c r="BE16" s="234"/>
      <c r="BF16" s="234"/>
      <c r="BG16" s="234"/>
      <c r="BH16" s="234"/>
      <c r="BI16" s="234"/>
      <c r="BJ16" s="235"/>
      <c r="BK16" s="201"/>
    </row>
    <row r="17" spans="1:63" ht="15" customHeight="1" x14ac:dyDescent="0.25">
      <c r="A17" s="200"/>
      <c r="B17" s="172"/>
      <c r="C17" s="170"/>
      <c r="D17" s="170"/>
      <c r="E17" s="170"/>
      <c r="F17" s="170"/>
      <c r="G17" s="171"/>
      <c r="H17" s="172"/>
      <c r="I17" s="170"/>
      <c r="J17" s="170"/>
      <c r="K17" s="170"/>
      <c r="L17" s="170"/>
      <c r="M17" s="170"/>
      <c r="N17" s="171"/>
      <c r="O17" s="172"/>
      <c r="P17" s="170"/>
      <c r="Q17" s="170"/>
      <c r="R17" s="170"/>
      <c r="S17" s="225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7"/>
      <c r="AX17" s="228"/>
      <c r="AY17" s="228"/>
      <c r="AZ17" s="228"/>
      <c r="BA17" s="228"/>
      <c r="BB17" s="228"/>
      <c r="BC17" s="229"/>
      <c r="BD17" s="230"/>
      <c r="BE17" s="228"/>
      <c r="BF17" s="228"/>
      <c r="BG17" s="228"/>
      <c r="BH17" s="228"/>
      <c r="BI17" s="228"/>
      <c r="BJ17" s="229"/>
      <c r="BK17" s="201"/>
    </row>
    <row r="18" spans="1:63" ht="15" customHeight="1" x14ac:dyDescent="0.25">
      <c r="A18" s="200"/>
      <c r="B18" s="182"/>
      <c r="C18" s="183"/>
      <c r="D18" s="183"/>
      <c r="E18" s="183"/>
      <c r="F18" s="183"/>
      <c r="G18" s="184"/>
      <c r="H18" s="182"/>
      <c r="I18" s="183"/>
      <c r="J18" s="183"/>
      <c r="K18" s="183"/>
      <c r="L18" s="183"/>
      <c r="M18" s="183"/>
      <c r="N18" s="184"/>
      <c r="O18" s="182"/>
      <c r="P18" s="183"/>
      <c r="Q18" s="183"/>
      <c r="R18" s="183"/>
      <c r="S18" s="231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3"/>
      <c r="AX18" s="234"/>
      <c r="AY18" s="234"/>
      <c r="AZ18" s="234"/>
      <c r="BA18" s="234"/>
      <c r="BB18" s="234"/>
      <c r="BC18" s="235"/>
      <c r="BD18" s="236"/>
      <c r="BE18" s="234"/>
      <c r="BF18" s="234"/>
      <c r="BG18" s="234"/>
      <c r="BH18" s="234"/>
      <c r="BI18" s="234"/>
      <c r="BJ18" s="235"/>
      <c r="BK18" s="201"/>
    </row>
    <row r="19" spans="1:63" ht="15" customHeight="1" x14ac:dyDescent="0.25">
      <c r="A19" s="200"/>
      <c r="B19" s="172"/>
      <c r="C19" s="170"/>
      <c r="D19" s="170"/>
      <c r="E19" s="170"/>
      <c r="F19" s="170"/>
      <c r="G19" s="171"/>
      <c r="H19" s="172"/>
      <c r="I19" s="170"/>
      <c r="J19" s="170"/>
      <c r="K19" s="170"/>
      <c r="L19" s="170"/>
      <c r="M19" s="170"/>
      <c r="N19" s="171"/>
      <c r="O19" s="172"/>
      <c r="P19" s="170"/>
      <c r="Q19" s="170"/>
      <c r="R19" s="170"/>
      <c r="S19" s="225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7"/>
      <c r="AX19" s="228"/>
      <c r="AY19" s="228"/>
      <c r="AZ19" s="228"/>
      <c r="BA19" s="228"/>
      <c r="BB19" s="228"/>
      <c r="BC19" s="229"/>
      <c r="BD19" s="230"/>
      <c r="BE19" s="228"/>
      <c r="BF19" s="228"/>
      <c r="BG19" s="228"/>
      <c r="BH19" s="228"/>
      <c r="BI19" s="228"/>
      <c r="BJ19" s="229"/>
      <c r="BK19" s="201"/>
    </row>
    <row r="20" spans="1:63" ht="15" customHeight="1" x14ac:dyDescent="0.25">
      <c r="A20" s="200"/>
      <c r="B20" s="182"/>
      <c r="C20" s="183"/>
      <c r="D20" s="183"/>
      <c r="E20" s="183"/>
      <c r="F20" s="183"/>
      <c r="G20" s="184"/>
      <c r="H20" s="182"/>
      <c r="I20" s="183"/>
      <c r="J20" s="183"/>
      <c r="K20" s="183"/>
      <c r="L20" s="183"/>
      <c r="M20" s="183"/>
      <c r="N20" s="184"/>
      <c r="O20" s="182"/>
      <c r="P20" s="183"/>
      <c r="Q20" s="183"/>
      <c r="R20" s="183"/>
      <c r="S20" s="231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3"/>
      <c r="AX20" s="234"/>
      <c r="AY20" s="234"/>
      <c r="AZ20" s="234"/>
      <c r="BA20" s="234"/>
      <c r="BB20" s="234"/>
      <c r="BC20" s="235"/>
      <c r="BD20" s="236"/>
      <c r="BE20" s="234"/>
      <c r="BF20" s="234"/>
      <c r="BG20" s="234"/>
      <c r="BH20" s="234"/>
      <c r="BI20" s="234"/>
      <c r="BJ20" s="235"/>
      <c r="BK20" s="201"/>
    </row>
    <row r="21" spans="1:63" ht="15" customHeight="1" x14ac:dyDescent="0.25">
      <c r="A21" s="200"/>
      <c r="B21" s="172"/>
      <c r="C21" s="170"/>
      <c r="D21" s="170"/>
      <c r="E21" s="170"/>
      <c r="F21" s="170"/>
      <c r="G21" s="171"/>
      <c r="H21" s="172"/>
      <c r="I21" s="170"/>
      <c r="J21" s="170"/>
      <c r="K21" s="170"/>
      <c r="L21" s="170"/>
      <c r="M21" s="170"/>
      <c r="N21" s="171"/>
      <c r="O21" s="172"/>
      <c r="P21" s="170"/>
      <c r="Q21" s="170"/>
      <c r="R21" s="170"/>
      <c r="S21" s="225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7"/>
      <c r="AX21" s="228"/>
      <c r="AY21" s="228"/>
      <c r="AZ21" s="228"/>
      <c r="BA21" s="228"/>
      <c r="BB21" s="228"/>
      <c r="BC21" s="229"/>
      <c r="BD21" s="230"/>
      <c r="BE21" s="228"/>
      <c r="BF21" s="228"/>
      <c r="BG21" s="228"/>
      <c r="BH21" s="228"/>
      <c r="BI21" s="228"/>
      <c r="BJ21" s="229"/>
      <c r="BK21" s="201"/>
    </row>
    <row r="22" spans="1:63" ht="15" customHeight="1" x14ac:dyDescent="0.25">
      <c r="A22" s="200"/>
      <c r="B22" s="182"/>
      <c r="C22" s="183"/>
      <c r="D22" s="183"/>
      <c r="E22" s="183"/>
      <c r="F22" s="183"/>
      <c r="G22" s="184"/>
      <c r="H22" s="182"/>
      <c r="I22" s="183"/>
      <c r="J22" s="183"/>
      <c r="K22" s="183"/>
      <c r="L22" s="183"/>
      <c r="M22" s="183"/>
      <c r="N22" s="184"/>
      <c r="O22" s="182"/>
      <c r="P22" s="183"/>
      <c r="Q22" s="183"/>
      <c r="R22" s="183"/>
      <c r="S22" s="231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3"/>
      <c r="AX22" s="234"/>
      <c r="AY22" s="234"/>
      <c r="AZ22" s="234"/>
      <c r="BA22" s="234"/>
      <c r="BB22" s="234"/>
      <c r="BC22" s="235"/>
      <c r="BD22" s="236"/>
      <c r="BE22" s="234"/>
      <c r="BF22" s="234"/>
      <c r="BG22" s="234"/>
      <c r="BH22" s="234"/>
      <c r="BI22" s="234"/>
      <c r="BJ22" s="235"/>
      <c r="BK22" s="201"/>
    </row>
    <row r="23" spans="1:63" ht="15" customHeight="1" x14ac:dyDescent="0.25">
      <c r="A23" s="200"/>
      <c r="B23" s="172"/>
      <c r="C23" s="170"/>
      <c r="D23" s="170"/>
      <c r="E23" s="170"/>
      <c r="F23" s="170"/>
      <c r="G23" s="171"/>
      <c r="H23" s="172"/>
      <c r="I23" s="170"/>
      <c r="J23" s="170"/>
      <c r="K23" s="170"/>
      <c r="L23" s="170"/>
      <c r="M23" s="170"/>
      <c r="N23" s="171"/>
      <c r="O23" s="172"/>
      <c r="P23" s="170"/>
      <c r="Q23" s="170"/>
      <c r="R23" s="170"/>
      <c r="S23" s="225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7"/>
      <c r="AX23" s="228"/>
      <c r="AY23" s="228"/>
      <c r="AZ23" s="228"/>
      <c r="BA23" s="228"/>
      <c r="BB23" s="228"/>
      <c r="BC23" s="229"/>
      <c r="BD23" s="230"/>
      <c r="BE23" s="228"/>
      <c r="BF23" s="228"/>
      <c r="BG23" s="228"/>
      <c r="BH23" s="228"/>
      <c r="BI23" s="228"/>
      <c r="BJ23" s="229"/>
      <c r="BK23" s="201"/>
    </row>
    <row r="24" spans="1:63" ht="15" customHeight="1" x14ac:dyDescent="0.25">
      <c r="A24" s="200"/>
      <c r="B24" s="182"/>
      <c r="C24" s="183"/>
      <c r="D24" s="183"/>
      <c r="E24" s="183"/>
      <c r="F24" s="183"/>
      <c r="G24" s="184"/>
      <c r="H24" s="182"/>
      <c r="I24" s="183"/>
      <c r="J24" s="183"/>
      <c r="K24" s="183"/>
      <c r="L24" s="183"/>
      <c r="M24" s="183"/>
      <c r="N24" s="184"/>
      <c r="O24" s="182"/>
      <c r="P24" s="183"/>
      <c r="Q24" s="183"/>
      <c r="R24" s="183"/>
      <c r="S24" s="231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3"/>
      <c r="AX24" s="234"/>
      <c r="AY24" s="234"/>
      <c r="AZ24" s="234"/>
      <c r="BA24" s="234"/>
      <c r="BB24" s="234"/>
      <c r="BC24" s="235"/>
      <c r="BD24" s="236"/>
      <c r="BE24" s="234"/>
      <c r="BF24" s="234"/>
      <c r="BG24" s="234"/>
      <c r="BH24" s="234"/>
      <c r="BI24" s="234"/>
      <c r="BJ24" s="235"/>
      <c r="BK24" s="201"/>
    </row>
    <row r="25" spans="1:63" ht="15" customHeight="1" x14ac:dyDescent="0.25">
      <c r="A25" s="200"/>
      <c r="B25" s="172"/>
      <c r="C25" s="170"/>
      <c r="D25" s="170"/>
      <c r="E25" s="170"/>
      <c r="F25" s="170"/>
      <c r="G25" s="171"/>
      <c r="H25" s="172"/>
      <c r="I25" s="170"/>
      <c r="J25" s="170"/>
      <c r="K25" s="170"/>
      <c r="L25" s="170"/>
      <c r="M25" s="170"/>
      <c r="N25" s="171"/>
      <c r="O25" s="172"/>
      <c r="P25" s="170"/>
      <c r="Q25" s="170"/>
      <c r="R25" s="170"/>
      <c r="S25" s="225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7"/>
      <c r="AX25" s="228"/>
      <c r="AY25" s="228"/>
      <c r="AZ25" s="228"/>
      <c r="BA25" s="228"/>
      <c r="BB25" s="228"/>
      <c r="BC25" s="229"/>
      <c r="BD25" s="230"/>
      <c r="BE25" s="228"/>
      <c r="BF25" s="228"/>
      <c r="BG25" s="228"/>
      <c r="BH25" s="228"/>
      <c r="BI25" s="228"/>
      <c r="BJ25" s="229"/>
      <c r="BK25" s="201"/>
    </row>
    <row r="26" spans="1:63" ht="15" customHeight="1" x14ac:dyDescent="0.25">
      <c r="A26" s="200"/>
      <c r="B26" s="182"/>
      <c r="C26" s="183"/>
      <c r="D26" s="183"/>
      <c r="E26" s="183"/>
      <c r="F26" s="183"/>
      <c r="G26" s="184"/>
      <c r="H26" s="182"/>
      <c r="I26" s="183"/>
      <c r="J26" s="183"/>
      <c r="K26" s="183"/>
      <c r="L26" s="183"/>
      <c r="M26" s="183"/>
      <c r="N26" s="184"/>
      <c r="O26" s="182"/>
      <c r="P26" s="183"/>
      <c r="Q26" s="183"/>
      <c r="R26" s="183"/>
      <c r="S26" s="231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3"/>
      <c r="AX26" s="234"/>
      <c r="AY26" s="234"/>
      <c r="AZ26" s="234"/>
      <c r="BA26" s="234"/>
      <c r="BB26" s="234"/>
      <c r="BC26" s="235"/>
      <c r="BD26" s="236"/>
      <c r="BE26" s="234"/>
      <c r="BF26" s="234"/>
      <c r="BG26" s="234"/>
      <c r="BH26" s="234"/>
      <c r="BI26" s="234"/>
      <c r="BJ26" s="235"/>
      <c r="BK26" s="201"/>
    </row>
    <row r="27" spans="1:63" ht="15" customHeight="1" x14ac:dyDescent="0.25">
      <c r="A27" s="200"/>
      <c r="B27" s="172"/>
      <c r="C27" s="170"/>
      <c r="D27" s="170"/>
      <c r="E27" s="170"/>
      <c r="F27" s="170"/>
      <c r="G27" s="171"/>
      <c r="H27" s="172"/>
      <c r="I27" s="170"/>
      <c r="J27" s="170"/>
      <c r="K27" s="170"/>
      <c r="L27" s="170"/>
      <c r="M27" s="170"/>
      <c r="N27" s="171"/>
      <c r="O27" s="172"/>
      <c r="P27" s="170"/>
      <c r="Q27" s="170"/>
      <c r="R27" s="170"/>
      <c r="S27" s="225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7"/>
      <c r="AX27" s="228"/>
      <c r="AY27" s="228"/>
      <c r="AZ27" s="228"/>
      <c r="BA27" s="228"/>
      <c r="BB27" s="228"/>
      <c r="BC27" s="229"/>
      <c r="BD27" s="230"/>
      <c r="BE27" s="228"/>
      <c r="BF27" s="228"/>
      <c r="BG27" s="228"/>
      <c r="BH27" s="228"/>
      <c r="BI27" s="228"/>
      <c r="BJ27" s="229"/>
      <c r="BK27" s="201"/>
    </row>
    <row r="28" spans="1:63" ht="15" customHeight="1" x14ac:dyDescent="0.25">
      <c r="A28" s="200"/>
      <c r="B28" s="182"/>
      <c r="C28" s="183"/>
      <c r="D28" s="183"/>
      <c r="E28" s="183"/>
      <c r="F28" s="183"/>
      <c r="G28" s="184"/>
      <c r="H28" s="182"/>
      <c r="I28" s="183"/>
      <c r="J28" s="183"/>
      <c r="K28" s="183"/>
      <c r="L28" s="183"/>
      <c r="M28" s="183"/>
      <c r="N28" s="184"/>
      <c r="O28" s="182"/>
      <c r="P28" s="183"/>
      <c r="Q28" s="183"/>
      <c r="R28" s="183"/>
      <c r="S28" s="231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3"/>
      <c r="AX28" s="234"/>
      <c r="AY28" s="234"/>
      <c r="AZ28" s="234"/>
      <c r="BA28" s="234"/>
      <c r="BB28" s="234"/>
      <c r="BC28" s="235"/>
      <c r="BD28" s="236"/>
      <c r="BE28" s="234"/>
      <c r="BF28" s="234"/>
      <c r="BG28" s="234"/>
      <c r="BH28" s="234"/>
      <c r="BI28" s="234"/>
      <c r="BJ28" s="235"/>
      <c r="BK28" s="201"/>
    </row>
    <row r="29" spans="1:63" ht="15" customHeight="1" x14ac:dyDescent="0.25">
      <c r="A29" s="200"/>
      <c r="B29" s="172"/>
      <c r="C29" s="170"/>
      <c r="D29" s="170"/>
      <c r="E29" s="170"/>
      <c r="F29" s="170"/>
      <c r="G29" s="171"/>
      <c r="H29" s="172"/>
      <c r="I29" s="170"/>
      <c r="J29" s="170"/>
      <c r="K29" s="170"/>
      <c r="L29" s="170"/>
      <c r="M29" s="170"/>
      <c r="N29" s="171"/>
      <c r="O29" s="172"/>
      <c r="P29" s="170"/>
      <c r="Q29" s="170"/>
      <c r="R29" s="170"/>
      <c r="S29" s="225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7"/>
      <c r="AX29" s="228"/>
      <c r="AY29" s="228"/>
      <c r="AZ29" s="228"/>
      <c r="BA29" s="228"/>
      <c r="BB29" s="228"/>
      <c r="BC29" s="229"/>
      <c r="BD29" s="230"/>
      <c r="BE29" s="228"/>
      <c r="BF29" s="228"/>
      <c r="BG29" s="228"/>
      <c r="BH29" s="228"/>
      <c r="BI29" s="228"/>
      <c r="BJ29" s="229"/>
      <c r="BK29" s="201"/>
    </row>
    <row r="30" spans="1:63" ht="15" customHeight="1" x14ac:dyDescent="0.25">
      <c r="A30" s="200"/>
      <c r="B30" s="182"/>
      <c r="C30" s="183"/>
      <c r="D30" s="183"/>
      <c r="E30" s="183"/>
      <c r="F30" s="183"/>
      <c r="G30" s="184"/>
      <c r="H30" s="182"/>
      <c r="I30" s="183"/>
      <c r="J30" s="183"/>
      <c r="K30" s="183"/>
      <c r="L30" s="183"/>
      <c r="M30" s="183"/>
      <c r="N30" s="184"/>
      <c r="O30" s="182"/>
      <c r="P30" s="183"/>
      <c r="Q30" s="183"/>
      <c r="R30" s="183"/>
      <c r="S30" s="231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3"/>
      <c r="AX30" s="234"/>
      <c r="AY30" s="234"/>
      <c r="AZ30" s="234"/>
      <c r="BA30" s="234"/>
      <c r="BB30" s="234"/>
      <c r="BC30" s="235"/>
      <c r="BD30" s="236"/>
      <c r="BE30" s="234"/>
      <c r="BF30" s="234"/>
      <c r="BG30" s="234"/>
      <c r="BH30" s="234"/>
      <c r="BI30" s="234"/>
      <c r="BJ30" s="235"/>
      <c r="BK30" s="201"/>
    </row>
    <row r="31" spans="1:63" ht="15" customHeight="1" x14ac:dyDescent="0.25">
      <c r="A31" s="200"/>
      <c r="B31" s="172"/>
      <c r="C31" s="170"/>
      <c r="D31" s="170"/>
      <c r="E31" s="170"/>
      <c r="F31" s="170"/>
      <c r="G31" s="171"/>
      <c r="H31" s="172"/>
      <c r="I31" s="170"/>
      <c r="J31" s="170"/>
      <c r="K31" s="170"/>
      <c r="L31" s="170"/>
      <c r="M31" s="170"/>
      <c r="N31" s="171"/>
      <c r="O31" s="172"/>
      <c r="P31" s="170"/>
      <c r="Q31" s="170"/>
      <c r="R31" s="170"/>
      <c r="S31" s="225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7"/>
      <c r="AX31" s="228"/>
      <c r="AY31" s="228"/>
      <c r="AZ31" s="228"/>
      <c r="BA31" s="228"/>
      <c r="BB31" s="228"/>
      <c r="BC31" s="229"/>
      <c r="BD31" s="230"/>
      <c r="BE31" s="228"/>
      <c r="BF31" s="228"/>
      <c r="BG31" s="228"/>
      <c r="BH31" s="228"/>
      <c r="BI31" s="228"/>
      <c r="BJ31" s="229"/>
      <c r="BK31" s="201"/>
    </row>
    <row r="32" spans="1:63" ht="15" customHeight="1" x14ac:dyDescent="0.25">
      <c r="A32" s="200"/>
      <c r="B32" s="182"/>
      <c r="C32" s="183"/>
      <c r="D32" s="183"/>
      <c r="E32" s="183"/>
      <c r="F32" s="183"/>
      <c r="G32" s="184"/>
      <c r="H32" s="182"/>
      <c r="I32" s="183"/>
      <c r="J32" s="183"/>
      <c r="K32" s="183"/>
      <c r="L32" s="183"/>
      <c r="M32" s="183"/>
      <c r="N32" s="184"/>
      <c r="O32" s="182"/>
      <c r="P32" s="183"/>
      <c r="Q32" s="183"/>
      <c r="R32" s="183"/>
      <c r="S32" s="231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3"/>
      <c r="AX32" s="234"/>
      <c r="AY32" s="234"/>
      <c r="AZ32" s="234"/>
      <c r="BA32" s="234"/>
      <c r="BB32" s="234"/>
      <c r="BC32" s="235"/>
      <c r="BD32" s="236"/>
      <c r="BE32" s="234"/>
      <c r="BF32" s="234"/>
      <c r="BG32" s="234"/>
      <c r="BH32" s="234"/>
      <c r="BI32" s="234"/>
      <c r="BJ32" s="235"/>
      <c r="BK32" s="201"/>
    </row>
    <row r="33" spans="1:63" ht="15" customHeight="1" x14ac:dyDescent="0.25">
      <c r="A33" s="200"/>
      <c r="B33" s="172"/>
      <c r="C33" s="170"/>
      <c r="D33" s="170"/>
      <c r="E33" s="170"/>
      <c r="F33" s="170"/>
      <c r="G33" s="171"/>
      <c r="H33" s="172"/>
      <c r="I33" s="170"/>
      <c r="J33" s="170"/>
      <c r="K33" s="170"/>
      <c r="L33" s="170"/>
      <c r="M33" s="170"/>
      <c r="N33" s="171"/>
      <c r="O33" s="172"/>
      <c r="P33" s="170"/>
      <c r="Q33" s="170"/>
      <c r="R33" s="170"/>
      <c r="S33" s="225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7"/>
      <c r="AX33" s="228"/>
      <c r="AY33" s="228"/>
      <c r="AZ33" s="228"/>
      <c r="BA33" s="228"/>
      <c r="BB33" s="228"/>
      <c r="BC33" s="229"/>
      <c r="BD33" s="230"/>
      <c r="BE33" s="228"/>
      <c r="BF33" s="228"/>
      <c r="BG33" s="228"/>
      <c r="BH33" s="228"/>
      <c r="BI33" s="228"/>
      <c r="BJ33" s="229"/>
      <c r="BK33" s="201"/>
    </row>
    <row r="34" spans="1:63" ht="15" customHeight="1" x14ac:dyDescent="0.25">
      <c r="A34" s="200"/>
      <c r="B34" s="182"/>
      <c r="C34" s="183"/>
      <c r="D34" s="183"/>
      <c r="E34" s="183"/>
      <c r="F34" s="183"/>
      <c r="G34" s="184"/>
      <c r="H34" s="182"/>
      <c r="I34" s="183"/>
      <c r="J34" s="183"/>
      <c r="K34" s="183"/>
      <c r="L34" s="183"/>
      <c r="M34" s="183"/>
      <c r="N34" s="184"/>
      <c r="O34" s="182"/>
      <c r="P34" s="183"/>
      <c r="Q34" s="183"/>
      <c r="R34" s="183"/>
      <c r="S34" s="231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3"/>
      <c r="AX34" s="234"/>
      <c r="AY34" s="234"/>
      <c r="AZ34" s="234"/>
      <c r="BA34" s="234"/>
      <c r="BB34" s="234"/>
      <c r="BC34" s="235"/>
      <c r="BD34" s="236"/>
      <c r="BE34" s="234"/>
      <c r="BF34" s="234"/>
      <c r="BG34" s="234"/>
      <c r="BH34" s="234"/>
      <c r="BI34" s="234"/>
      <c r="BJ34" s="235"/>
      <c r="BK34" s="201"/>
    </row>
    <row r="35" spans="1:63" ht="15" customHeight="1" x14ac:dyDescent="0.25">
      <c r="A35" s="200"/>
      <c r="B35" s="172"/>
      <c r="C35" s="170"/>
      <c r="D35" s="170"/>
      <c r="E35" s="170"/>
      <c r="F35" s="170"/>
      <c r="G35" s="171"/>
      <c r="H35" s="172"/>
      <c r="I35" s="170"/>
      <c r="J35" s="170"/>
      <c r="K35" s="170"/>
      <c r="L35" s="170"/>
      <c r="M35" s="170"/>
      <c r="N35" s="171"/>
      <c r="O35" s="172"/>
      <c r="P35" s="170"/>
      <c r="Q35" s="170"/>
      <c r="R35" s="170"/>
      <c r="S35" s="225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7"/>
      <c r="AX35" s="228"/>
      <c r="AY35" s="228"/>
      <c r="AZ35" s="228"/>
      <c r="BA35" s="228"/>
      <c r="BB35" s="228"/>
      <c r="BC35" s="229"/>
      <c r="BD35" s="230"/>
      <c r="BE35" s="228"/>
      <c r="BF35" s="228"/>
      <c r="BG35" s="228"/>
      <c r="BH35" s="228"/>
      <c r="BI35" s="228"/>
      <c r="BJ35" s="229"/>
      <c r="BK35" s="201"/>
    </row>
    <row r="36" spans="1:63" ht="15" customHeight="1" x14ac:dyDescent="0.25">
      <c r="A36" s="200"/>
      <c r="B36" s="182"/>
      <c r="C36" s="183"/>
      <c r="D36" s="183"/>
      <c r="E36" s="183"/>
      <c r="F36" s="183"/>
      <c r="G36" s="184"/>
      <c r="H36" s="182"/>
      <c r="I36" s="183"/>
      <c r="J36" s="183"/>
      <c r="K36" s="183"/>
      <c r="L36" s="183"/>
      <c r="M36" s="183"/>
      <c r="N36" s="184"/>
      <c r="O36" s="182"/>
      <c r="P36" s="183"/>
      <c r="Q36" s="183"/>
      <c r="R36" s="183"/>
      <c r="S36" s="231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3"/>
      <c r="AX36" s="234"/>
      <c r="AY36" s="234"/>
      <c r="AZ36" s="234"/>
      <c r="BA36" s="234"/>
      <c r="BB36" s="234"/>
      <c r="BC36" s="235"/>
      <c r="BD36" s="236"/>
      <c r="BE36" s="234"/>
      <c r="BF36" s="234"/>
      <c r="BG36" s="234"/>
      <c r="BH36" s="234"/>
      <c r="BI36" s="234"/>
      <c r="BJ36" s="235"/>
      <c r="BK36" s="201"/>
    </row>
    <row r="37" spans="1:63" ht="15" customHeight="1" x14ac:dyDescent="0.25">
      <c r="A37" s="200"/>
      <c r="B37" s="172"/>
      <c r="C37" s="170"/>
      <c r="D37" s="170"/>
      <c r="E37" s="170"/>
      <c r="F37" s="170"/>
      <c r="G37" s="171"/>
      <c r="H37" s="172"/>
      <c r="I37" s="170"/>
      <c r="J37" s="170"/>
      <c r="K37" s="170"/>
      <c r="L37" s="170"/>
      <c r="M37" s="170"/>
      <c r="N37" s="171"/>
      <c r="O37" s="172"/>
      <c r="P37" s="170"/>
      <c r="Q37" s="170"/>
      <c r="R37" s="170"/>
      <c r="S37" s="225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7"/>
      <c r="AX37" s="228"/>
      <c r="AY37" s="228"/>
      <c r="AZ37" s="228"/>
      <c r="BA37" s="228"/>
      <c r="BB37" s="228"/>
      <c r="BC37" s="229"/>
      <c r="BD37" s="230"/>
      <c r="BE37" s="228"/>
      <c r="BF37" s="228"/>
      <c r="BG37" s="228"/>
      <c r="BH37" s="228"/>
      <c r="BI37" s="228"/>
      <c r="BJ37" s="229"/>
      <c r="BK37" s="201"/>
    </row>
    <row r="38" spans="1:63" ht="15" customHeight="1" x14ac:dyDescent="0.25">
      <c r="A38" s="200"/>
      <c r="B38" s="182"/>
      <c r="C38" s="183"/>
      <c r="D38" s="183"/>
      <c r="E38" s="183"/>
      <c r="F38" s="183"/>
      <c r="G38" s="184"/>
      <c r="H38" s="182"/>
      <c r="I38" s="183"/>
      <c r="J38" s="183"/>
      <c r="K38" s="183"/>
      <c r="L38" s="183"/>
      <c r="M38" s="183"/>
      <c r="N38" s="184"/>
      <c r="O38" s="182"/>
      <c r="P38" s="183"/>
      <c r="Q38" s="183"/>
      <c r="R38" s="183"/>
      <c r="S38" s="231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3"/>
      <c r="AX38" s="234"/>
      <c r="AY38" s="234"/>
      <c r="AZ38" s="234"/>
      <c r="BA38" s="234"/>
      <c r="BB38" s="234"/>
      <c r="BC38" s="235"/>
      <c r="BD38" s="236"/>
      <c r="BE38" s="234"/>
      <c r="BF38" s="234"/>
      <c r="BG38" s="234"/>
      <c r="BH38" s="234"/>
      <c r="BI38" s="234"/>
      <c r="BJ38" s="235"/>
      <c r="BK38" s="201"/>
    </row>
    <row r="39" spans="1:63" ht="15" customHeight="1" x14ac:dyDescent="0.25">
      <c r="A39" s="200"/>
      <c r="B39" s="172"/>
      <c r="C39" s="170"/>
      <c r="D39" s="170"/>
      <c r="E39" s="170"/>
      <c r="F39" s="170"/>
      <c r="G39" s="171"/>
      <c r="H39" s="172"/>
      <c r="I39" s="170"/>
      <c r="J39" s="170"/>
      <c r="K39" s="170"/>
      <c r="L39" s="170"/>
      <c r="M39" s="170"/>
      <c r="N39" s="171"/>
      <c r="O39" s="172"/>
      <c r="P39" s="170"/>
      <c r="Q39" s="170"/>
      <c r="R39" s="170"/>
      <c r="S39" s="225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7"/>
      <c r="AX39" s="228"/>
      <c r="AY39" s="228"/>
      <c r="AZ39" s="228"/>
      <c r="BA39" s="228"/>
      <c r="BB39" s="228"/>
      <c r="BC39" s="229"/>
      <c r="BD39" s="230"/>
      <c r="BE39" s="228"/>
      <c r="BF39" s="228"/>
      <c r="BG39" s="228"/>
      <c r="BH39" s="228"/>
      <c r="BI39" s="228"/>
      <c r="BJ39" s="229"/>
      <c r="BK39" s="201"/>
    </row>
    <row r="40" spans="1:63" ht="15" customHeight="1" x14ac:dyDescent="0.25">
      <c r="A40" s="200"/>
      <c r="B40" s="182"/>
      <c r="C40" s="183"/>
      <c r="D40" s="183"/>
      <c r="E40" s="183"/>
      <c r="F40" s="183"/>
      <c r="G40" s="184"/>
      <c r="H40" s="182"/>
      <c r="I40" s="183"/>
      <c r="J40" s="183"/>
      <c r="K40" s="183"/>
      <c r="L40" s="183"/>
      <c r="M40" s="183"/>
      <c r="N40" s="184"/>
      <c r="O40" s="182"/>
      <c r="P40" s="183"/>
      <c r="Q40" s="183"/>
      <c r="R40" s="183"/>
      <c r="S40" s="231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3"/>
      <c r="AX40" s="234"/>
      <c r="AY40" s="234"/>
      <c r="AZ40" s="234"/>
      <c r="BA40" s="234"/>
      <c r="BB40" s="234"/>
      <c r="BC40" s="235"/>
      <c r="BD40" s="236"/>
      <c r="BE40" s="234"/>
      <c r="BF40" s="234"/>
      <c r="BG40" s="234"/>
      <c r="BH40" s="234"/>
      <c r="BI40" s="234"/>
      <c r="BJ40" s="235"/>
      <c r="BK40" s="201"/>
    </row>
    <row r="41" spans="1:63" ht="15" customHeight="1" x14ac:dyDescent="0.25">
      <c r="A41" s="200"/>
      <c r="B41" s="172"/>
      <c r="C41" s="170"/>
      <c r="D41" s="170"/>
      <c r="E41" s="170"/>
      <c r="F41" s="170"/>
      <c r="G41" s="171"/>
      <c r="H41" s="172"/>
      <c r="I41" s="170"/>
      <c r="J41" s="170"/>
      <c r="K41" s="170"/>
      <c r="L41" s="170"/>
      <c r="M41" s="170"/>
      <c r="N41" s="171"/>
      <c r="O41" s="172"/>
      <c r="P41" s="170"/>
      <c r="Q41" s="170"/>
      <c r="R41" s="170"/>
      <c r="S41" s="225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7"/>
      <c r="AX41" s="228"/>
      <c r="AY41" s="228"/>
      <c r="AZ41" s="228"/>
      <c r="BA41" s="228"/>
      <c r="BB41" s="228"/>
      <c r="BC41" s="229"/>
      <c r="BD41" s="230"/>
      <c r="BE41" s="228"/>
      <c r="BF41" s="228"/>
      <c r="BG41" s="228"/>
      <c r="BH41" s="228"/>
      <c r="BI41" s="228"/>
      <c r="BJ41" s="229"/>
      <c r="BK41" s="201"/>
    </row>
    <row r="42" spans="1:63" ht="15" customHeight="1" x14ac:dyDescent="0.25">
      <c r="A42" s="200"/>
      <c r="B42" s="182"/>
      <c r="C42" s="183"/>
      <c r="D42" s="183"/>
      <c r="E42" s="183"/>
      <c r="F42" s="183"/>
      <c r="G42" s="184"/>
      <c r="H42" s="182"/>
      <c r="I42" s="183"/>
      <c r="J42" s="183"/>
      <c r="K42" s="183"/>
      <c r="L42" s="183"/>
      <c r="M42" s="183"/>
      <c r="N42" s="184"/>
      <c r="O42" s="182"/>
      <c r="P42" s="183"/>
      <c r="Q42" s="183"/>
      <c r="R42" s="183"/>
      <c r="S42" s="231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3"/>
      <c r="AX42" s="234"/>
      <c r="AY42" s="234"/>
      <c r="AZ42" s="234"/>
      <c r="BA42" s="234"/>
      <c r="BB42" s="234"/>
      <c r="BC42" s="235"/>
      <c r="BD42" s="236"/>
      <c r="BE42" s="234"/>
      <c r="BF42" s="234"/>
      <c r="BG42" s="234"/>
      <c r="BH42" s="234"/>
      <c r="BI42" s="234"/>
      <c r="BJ42" s="235"/>
      <c r="BK42" s="201"/>
    </row>
    <row r="43" spans="1:63" ht="15" customHeight="1" x14ac:dyDescent="0.25">
      <c r="A43" s="200"/>
      <c r="B43" s="172"/>
      <c r="C43" s="170"/>
      <c r="D43" s="170"/>
      <c r="E43" s="170"/>
      <c r="F43" s="170"/>
      <c r="G43" s="171"/>
      <c r="H43" s="172"/>
      <c r="I43" s="170"/>
      <c r="J43" s="170"/>
      <c r="K43" s="170"/>
      <c r="L43" s="170"/>
      <c r="M43" s="170"/>
      <c r="N43" s="171"/>
      <c r="O43" s="172"/>
      <c r="P43" s="170"/>
      <c r="Q43" s="170"/>
      <c r="R43" s="170"/>
      <c r="S43" s="225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7"/>
      <c r="AX43" s="228"/>
      <c r="AY43" s="228"/>
      <c r="AZ43" s="228"/>
      <c r="BA43" s="228"/>
      <c r="BB43" s="228"/>
      <c r="BC43" s="229"/>
      <c r="BD43" s="230"/>
      <c r="BE43" s="228"/>
      <c r="BF43" s="228"/>
      <c r="BG43" s="228"/>
      <c r="BH43" s="228"/>
      <c r="BI43" s="228"/>
      <c r="BJ43" s="229"/>
      <c r="BK43" s="201"/>
    </row>
    <row r="44" spans="1:63" ht="15" customHeight="1" x14ac:dyDescent="0.25">
      <c r="A44" s="200"/>
      <c r="B44" s="182"/>
      <c r="C44" s="183"/>
      <c r="D44" s="183"/>
      <c r="E44" s="183"/>
      <c r="F44" s="183"/>
      <c r="G44" s="184"/>
      <c r="H44" s="182"/>
      <c r="I44" s="183"/>
      <c r="J44" s="183"/>
      <c r="K44" s="183"/>
      <c r="L44" s="183"/>
      <c r="M44" s="183"/>
      <c r="N44" s="184"/>
      <c r="O44" s="182"/>
      <c r="P44" s="183"/>
      <c r="Q44" s="183"/>
      <c r="R44" s="183"/>
      <c r="S44" s="231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3"/>
      <c r="AX44" s="234"/>
      <c r="AY44" s="234"/>
      <c r="AZ44" s="234"/>
      <c r="BA44" s="234"/>
      <c r="BB44" s="234"/>
      <c r="BC44" s="235"/>
      <c r="BD44" s="236"/>
      <c r="BE44" s="234"/>
      <c r="BF44" s="234"/>
      <c r="BG44" s="234"/>
      <c r="BH44" s="234"/>
      <c r="BI44" s="234"/>
      <c r="BJ44" s="235"/>
      <c r="BK44" s="201"/>
    </row>
    <row r="45" spans="1:63" ht="15" customHeight="1" x14ac:dyDescent="0.25">
      <c r="A45" s="200"/>
      <c r="B45" s="172"/>
      <c r="C45" s="170"/>
      <c r="D45" s="170"/>
      <c r="E45" s="170"/>
      <c r="F45" s="170"/>
      <c r="G45" s="171"/>
      <c r="H45" s="172"/>
      <c r="I45" s="170"/>
      <c r="J45" s="170"/>
      <c r="K45" s="170"/>
      <c r="L45" s="170"/>
      <c r="M45" s="170"/>
      <c r="N45" s="171"/>
      <c r="O45" s="172"/>
      <c r="P45" s="170"/>
      <c r="Q45" s="170"/>
      <c r="R45" s="170"/>
      <c r="S45" s="225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7"/>
      <c r="AX45" s="228"/>
      <c r="AY45" s="228"/>
      <c r="AZ45" s="228"/>
      <c r="BA45" s="228"/>
      <c r="BB45" s="228"/>
      <c r="BC45" s="229"/>
      <c r="BD45" s="230"/>
      <c r="BE45" s="228"/>
      <c r="BF45" s="228"/>
      <c r="BG45" s="228"/>
      <c r="BH45" s="228"/>
      <c r="BI45" s="228"/>
      <c r="BJ45" s="229"/>
      <c r="BK45" s="201"/>
    </row>
    <row r="46" spans="1:63" ht="15" customHeight="1" x14ac:dyDescent="0.25">
      <c r="A46" s="200"/>
      <c r="B46" s="182"/>
      <c r="C46" s="183"/>
      <c r="D46" s="183"/>
      <c r="E46" s="183"/>
      <c r="F46" s="183"/>
      <c r="G46" s="184"/>
      <c r="H46" s="182"/>
      <c r="I46" s="183"/>
      <c r="J46" s="183"/>
      <c r="K46" s="183"/>
      <c r="L46" s="183"/>
      <c r="M46" s="183"/>
      <c r="N46" s="184"/>
      <c r="O46" s="182"/>
      <c r="P46" s="183"/>
      <c r="Q46" s="183"/>
      <c r="R46" s="183"/>
      <c r="S46" s="231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3"/>
      <c r="AX46" s="234"/>
      <c r="AY46" s="234"/>
      <c r="AZ46" s="234"/>
      <c r="BA46" s="234"/>
      <c r="BB46" s="234"/>
      <c r="BC46" s="235"/>
      <c r="BD46" s="236"/>
      <c r="BE46" s="234"/>
      <c r="BF46" s="234"/>
      <c r="BG46" s="234"/>
      <c r="BH46" s="234"/>
      <c r="BI46" s="234"/>
      <c r="BJ46" s="235"/>
      <c r="BK46" s="201"/>
    </row>
    <row r="47" spans="1:63" ht="15" customHeight="1" x14ac:dyDescent="0.25">
      <c r="A47" s="200"/>
      <c r="B47" s="172"/>
      <c r="C47" s="170"/>
      <c r="D47" s="170"/>
      <c r="E47" s="170"/>
      <c r="F47" s="170"/>
      <c r="G47" s="171"/>
      <c r="H47" s="172"/>
      <c r="I47" s="170"/>
      <c r="J47" s="170"/>
      <c r="K47" s="170"/>
      <c r="L47" s="170"/>
      <c r="M47" s="170"/>
      <c r="N47" s="171"/>
      <c r="O47" s="172"/>
      <c r="P47" s="170"/>
      <c r="Q47" s="170"/>
      <c r="R47" s="170"/>
      <c r="S47" s="225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7"/>
      <c r="AX47" s="228"/>
      <c r="AY47" s="228"/>
      <c r="AZ47" s="228"/>
      <c r="BA47" s="228"/>
      <c r="BB47" s="228"/>
      <c r="BC47" s="229"/>
      <c r="BD47" s="230"/>
      <c r="BE47" s="228"/>
      <c r="BF47" s="228"/>
      <c r="BG47" s="228"/>
      <c r="BH47" s="228"/>
      <c r="BI47" s="228"/>
      <c r="BJ47" s="229"/>
      <c r="BK47" s="201"/>
    </row>
    <row r="48" spans="1:63" ht="15" customHeight="1" x14ac:dyDescent="0.25">
      <c r="A48" s="200"/>
      <c r="B48" s="182"/>
      <c r="C48" s="183"/>
      <c r="D48" s="183"/>
      <c r="E48" s="183"/>
      <c r="F48" s="183"/>
      <c r="G48" s="184"/>
      <c r="H48" s="182"/>
      <c r="I48" s="183"/>
      <c r="J48" s="183"/>
      <c r="K48" s="183"/>
      <c r="L48" s="183"/>
      <c r="M48" s="183"/>
      <c r="N48" s="184"/>
      <c r="O48" s="182"/>
      <c r="P48" s="183"/>
      <c r="Q48" s="183"/>
      <c r="R48" s="183"/>
      <c r="S48" s="231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3"/>
      <c r="AX48" s="234"/>
      <c r="AY48" s="234"/>
      <c r="AZ48" s="234"/>
      <c r="BA48" s="234"/>
      <c r="BB48" s="234"/>
      <c r="BC48" s="235"/>
      <c r="BD48" s="236"/>
      <c r="BE48" s="234"/>
      <c r="BF48" s="234"/>
      <c r="BG48" s="234"/>
      <c r="BH48" s="234"/>
      <c r="BI48" s="234"/>
      <c r="BJ48" s="235"/>
      <c r="BK48" s="201"/>
    </row>
    <row r="49" spans="1:63" ht="15" customHeight="1" x14ac:dyDescent="0.25">
      <c r="A49" s="200"/>
      <c r="B49" s="172"/>
      <c r="C49" s="170"/>
      <c r="D49" s="170"/>
      <c r="E49" s="170"/>
      <c r="F49" s="170"/>
      <c r="G49" s="171"/>
      <c r="H49" s="172"/>
      <c r="I49" s="170"/>
      <c r="J49" s="170"/>
      <c r="K49" s="170"/>
      <c r="L49" s="170"/>
      <c r="M49" s="170"/>
      <c r="N49" s="171"/>
      <c r="O49" s="172"/>
      <c r="P49" s="170"/>
      <c r="Q49" s="170"/>
      <c r="R49" s="170"/>
      <c r="S49" s="225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7"/>
      <c r="AX49" s="228"/>
      <c r="AY49" s="228"/>
      <c r="AZ49" s="228"/>
      <c r="BA49" s="228"/>
      <c r="BB49" s="228"/>
      <c r="BC49" s="229"/>
      <c r="BD49" s="230"/>
      <c r="BE49" s="228"/>
      <c r="BF49" s="228"/>
      <c r="BG49" s="228"/>
      <c r="BH49" s="228"/>
      <c r="BI49" s="228"/>
      <c r="BJ49" s="229"/>
      <c r="BK49" s="201"/>
    </row>
    <row r="50" spans="1:63" ht="15" customHeight="1" x14ac:dyDescent="0.25">
      <c r="A50" s="200"/>
      <c r="B50" s="182"/>
      <c r="C50" s="183"/>
      <c r="D50" s="183"/>
      <c r="E50" s="183"/>
      <c r="F50" s="183"/>
      <c r="G50" s="184"/>
      <c r="H50" s="182"/>
      <c r="I50" s="183"/>
      <c r="J50" s="183"/>
      <c r="K50" s="183"/>
      <c r="L50" s="183"/>
      <c r="M50" s="183"/>
      <c r="N50" s="184"/>
      <c r="O50" s="182"/>
      <c r="P50" s="183"/>
      <c r="Q50" s="183"/>
      <c r="R50" s="183"/>
      <c r="S50" s="231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3"/>
      <c r="AX50" s="234"/>
      <c r="AY50" s="234"/>
      <c r="AZ50" s="234"/>
      <c r="BA50" s="234"/>
      <c r="BB50" s="234"/>
      <c r="BC50" s="235"/>
      <c r="BD50" s="236"/>
      <c r="BE50" s="234"/>
      <c r="BF50" s="234"/>
      <c r="BG50" s="234"/>
      <c r="BH50" s="234"/>
      <c r="BI50" s="234"/>
      <c r="BJ50" s="235"/>
      <c r="BK50" s="201"/>
    </row>
    <row r="51" spans="1:63" ht="15" customHeight="1" x14ac:dyDescent="0.25">
      <c r="A51" s="200"/>
      <c r="B51" s="172"/>
      <c r="C51" s="170"/>
      <c r="D51" s="170"/>
      <c r="E51" s="170"/>
      <c r="F51" s="170"/>
      <c r="G51" s="171"/>
      <c r="H51" s="172"/>
      <c r="I51" s="170"/>
      <c r="J51" s="170"/>
      <c r="K51" s="170"/>
      <c r="L51" s="170"/>
      <c r="M51" s="170"/>
      <c r="N51" s="171"/>
      <c r="O51" s="172"/>
      <c r="P51" s="170"/>
      <c r="Q51" s="170"/>
      <c r="R51" s="170"/>
      <c r="S51" s="225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7"/>
      <c r="AX51" s="228"/>
      <c r="AY51" s="228"/>
      <c r="AZ51" s="228"/>
      <c r="BA51" s="228"/>
      <c r="BB51" s="228"/>
      <c r="BC51" s="229"/>
      <c r="BD51" s="230"/>
      <c r="BE51" s="228"/>
      <c r="BF51" s="228"/>
      <c r="BG51" s="228"/>
      <c r="BH51" s="228"/>
      <c r="BI51" s="228"/>
      <c r="BJ51" s="229"/>
      <c r="BK51" s="201"/>
    </row>
    <row r="52" spans="1:63" ht="15" customHeight="1" x14ac:dyDescent="0.25">
      <c r="A52" s="200"/>
      <c r="B52" s="182"/>
      <c r="C52" s="183"/>
      <c r="D52" s="183"/>
      <c r="E52" s="183"/>
      <c r="F52" s="183"/>
      <c r="G52" s="184"/>
      <c r="H52" s="182"/>
      <c r="I52" s="183"/>
      <c r="J52" s="183"/>
      <c r="K52" s="183"/>
      <c r="L52" s="183"/>
      <c r="M52" s="183"/>
      <c r="N52" s="184"/>
      <c r="O52" s="182"/>
      <c r="P52" s="183"/>
      <c r="Q52" s="183"/>
      <c r="R52" s="183"/>
      <c r="S52" s="231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3"/>
      <c r="AX52" s="234"/>
      <c r="AY52" s="234"/>
      <c r="AZ52" s="234"/>
      <c r="BA52" s="234"/>
      <c r="BB52" s="234"/>
      <c r="BC52" s="235"/>
      <c r="BD52" s="236"/>
      <c r="BE52" s="234"/>
      <c r="BF52" s="234"/>
      <c r="BG52" s="234"/>
      <c r="BH52" s="234"/>
      <c r="BI52" s="234"/>
      <c r="BJ52" s="235"/>
      <c r="BK52" s="201"/>
    </row>
    <row r="53" spans="1:63" ht="15" customHeight="1" x14ac:dyDescent="0.25">
      <c r="A53" s="200"/>
      <c r="B53" s="172"/>
      <c r="C53" s="170"/>
      <c r="D53" s="170"/>
      <c r="E53" s="170"/>
      <c r="F53" s="170"/>
      <c r="G53" s="171"/>
      <c r="H53" s="172"/>
      <c r="I53" s="170"/>
      <c r="J53" s="170"/>
      <c r="K53" s="170"/>
      <c r="L53" s="170"/>
      <c r="M53" s="170"/>
      <c r="N53" s="171"/>
      <c r="O53" s="172"/>
      <c r="P53" s="170"/>
      <c r="Q53" s="170"/>
      <c r="R53" s="170"/>
      <c r="S53" s="225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7"/>
      <c r="AX53" s="228"/>
      <c r="AY53" s="228"/>
      <c r="AZ53" s="228"/>
      <c r="BA53" s="228"/>
      <c r="BB53" s="228"/>
      <c r="BC53" s="229"/>
      <c r="BD53" s="230"/>
      <c r="BE53" s="228"/>
      <c r="BF53" s="228"/>
      <c r="BG53" s="228"/>
      <c r="BH53" s="228"/>
      <c r="BI53" s="228"/>
      <c r="BJ53" s="229"/>
      <c r="BK53" s="201"/>
    </row>
    <row r="54" spans="1:63" ht="15" customHeight="1" x14ac:dyDescent="0.25">
      <c r="A54" s="200"/>
      <c r="B54" s="182"/>
      <c r="C54" s="183"/>
      <c r="D54" s="183"/>
      <c r="E54" s="183"/>
      <c r="F54" s="183"/>
      <c r="G54" s="184"/>
      <c r="H54" s="182"/>
      <c r="I54" s="183"/>
      <c r="J54" s="183"/>
      <c r="K54" s="183"/>
      <c r="L54" s="183"/>
      <c r="M54" s="183"/>
      <c r="N54" s="184"/>
      <c r="O54" s="182"/>
      <c r="P54" s="183"/>
      <c r="Q54" s="183"/>
      <c r="R54" s="183"/>
      <c r="S54" s="231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3"/>
      <c r="AX54" s="234"/>
      <c r="AY54" s="234"/>
      <c r="AZ54" s="234"/>
      <c r="BA54" s="234"/>
      <c r="BB54" s="234"/>
      <c r="BC54" s="235"/>
      <c r="BD54" s="236"/>
      <c r="BE54" s="234"/>
      <c r="BF54" s="234"/>
      <c r="BG54" s="234"/>
      <c r="BH54" s="234"/>
      <c r="BI54" s="234"/>
      <c r="BJ54" s="235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1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37" t="s">
        <v>53</v>
      </c>
      <c r="B1" s="238"/>
      <c r="C1" s="238"/>
      <c r="D1" s="238"/>
      <c r="E1" s="238"/>
      <c r="F1" s="238"/>
      <c r="G1" s="238"/>
      <c r="H1" s="238"/>
      <c r="I1" s="238"/>
      <c r="J1" s="239"/>
      <c r="K1" s="237" t="s">
        <v>54</v>
      </c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9"/>
      <c r="W1" s="240" t="str">
        <f>IF(表紙!W1="","",表紙!W1)</f>
        <v>詳細設計書</v>
      </c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2"/>
      <c r="AP1" s="163" t="s">
        <v>56</v>
      </c>
      <c r="AQ1" s="164"/>
      <c r="AR1" s="164"/>
      <c r="AS1" s="165"/>
      <c r="AT1" s="163" t="s">
        <v>57</v>
      </c>
      <c r="AU1" s="164"/>
      <c r="AV1" s="164"/>
      <c r="AW1" s="164"/>
      <c r="AX1" s="165"/>
      <c r="AY1" s="163" t="s">
        <v>58</v>
      </c>
      <c r="AZ1" s="164"/>
      <c r="BA1" s="164"/>
      <c r="BB1" s="165"/>
      <c r="BC1" s="163" t="s">
        <v>59</v>
      </c>
      <c r="BD1" s="164"/>
      <c r="BE1" s="164"/>
      <c r="BF1" s="164"/>
      <c r="BG1" s="165"/>
      <c r="BH1" s="163" t="s">
        <v>60</v>
      </c>
      <c r="BI1" s="164"/>
      <c r="BJ1" s="164"/>
      <c r="BK1" s="165"/>
    </row>
    <row r="2" spans="1:63" ht="15" customHeight="1" x14ac:dyDescent="0.25">
      <c r="A2" s="68" t="str">
        <f>IF(表紙!A2="","",表紙!A2)</f>
        <v>POSサーバー</v>
      </c>
      <c r="B2" s="69"/>
      <c r="C2" s="69"/>
      <c r="D2" s="69"/>
      <c r="E2" s="69"/>
      <c r="F2" s="69"/>
      <c r="G2" s="69"/>
      <c r="H2" s="69"/>
      <c r="I2" s="69"/>
      <c r="J2" s="70"/>
      <c r="K2" s="68" t="str">
        <f>IF(表紙!K2="","",表紙!K2)</f>
        <v>POSサーバ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172" t="str">
        <f>IF(表紙!AP2="","",表紙!AP2)</f>
        <v>DuNT</v>
      </c>
      <c r="AQ2" s="170"/>
      <c r="AR2" s="170"/>
      <c r="AS2" s="171"/>
      <c r="AT2" s="176">
        <f>IF(表紙!AT2="","",表紙!AT2)</f>
        <v>45558</v>
      </c>
      <c r="AU2" s="177"/>
      <c r="AV2" s="177"/>
      <c r="AW2" s="177"/>
      <c r="AX2" s="178"/>
      <c r="AY2" s="172" t="str">
        <f>IF(表紙!AY2="","",表紙!AY2)</f>
        <v>DuNT</v>
      </c>
      <c r="AZ2" s="170"/>
      <c r="BA2" s="170"/>
      <c r="BB2" s="171"/>
      <c r="BC2" s="176">
        <f>IF(表紙!BC2="","",表紙!BC2)</f>
        <v>45558</v>
      </c>
      <c r="BD2" s="177"/>
      <c r="BE2" s="177"/>
      <c r="BF2" s="177"/>
      <c r="BG2" s="178"/>
      <c r="BH2" s="172">
        <f>IF(表紙!BH2="","",表紙!BH2)</f>
        <v>0.1</v>
      </c>
      <c r="BI2" s="170"/>
      <c r="BJ2" s="170"/>
      <c r="BK2" s="171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46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8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37" t="s">
        <v>62</v>
      </c>
      <c r="B4" s="238"/>
      <c r="C4" s="238"/>
      <c r="D4" s="238"/>
      <c r="E4" s="238"/>
      <c r="F4" s="238"/>
      <c r="G4" s="239"/>
      <c r="H4" s="74" t="str">
        <f>IF(表紙!H4="","",表紙!H4)</f>
        <v>06_1, 7, 8 定番変更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237" t="s">
        <v>63</v>
      </c>
      <c r="V4" s="238"/>
      <c r="W4" s="238"/>
      <c r="X4" s="238"/>
      <c r="Y4" s="239"/>
      <c r="Z4" s="74" t="str">
        <f>IF(表紙!Z4="","",表紙!Z4)</f>
        <v>画面設計書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7" t="str">
        <f ca="1">MID(CELL("filename",A1),FIND("]",CELL("filename",A1))+1,255)</f>
        <v>SC0601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71</v>
      </c>
      <c r="C7" s="249"/>
      <c r="D7" s="249"/>
      <c r="E7" s="249"/>
      <c r="F7" s="249"/>
      <c r="G7" s="249"/>
      <c r="H7" s="249"/>
      <c r="I7" s="249"/>
      <c r="J7" s="249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ht="15" customHeight="1" x14ac:dyDescent="0.25">
      <c r="A39" s="5"/>
      <c r="BK39" s="6"/>
    </row>
    <row r="40" spans="1:63" ht="15" customHeight="1" x14ac:dyDescent="0.25">
      <c r="A40" s="5"/>
      <c r="BK40" s="6"/>
    </row>
    <row r="41" spans="1:63" ht="15" customHeight="1" x14ac:dyDescent="0.25">
      <c r="A41" s="5"/>
      <c r="BK41" s="6"/>
    </row>
    <row r="42" spans="1:63" ht="15" customHeight="1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ht="15" customHeight="1" x14ac:dyDescent="0.25">
      <c r="A45" s="5"/>
      <c r="B45" s="7" t="s">
        <v>72</v>
      </c>
      <c r="BK45" s="6"/>
    </row>
    <row r="46" spans="1:63" x14ac:dyDescent="0.25">
      <c r="A46" s="5"/>
      <c r="BK46" s="6"/>
    </row>
    <row r="47" spans="1:63" ht="15.75" customHeight="1" x14ac:dyDescent="0.25">
      <c r="A47" s="5"/>
      <c r="B47" s="78" t="s">
        <v>73</v>
      </c>
      <c r="C47" s="79"/>
      <c r="D47" s="84" t="s">
        <v>74</v>
      </c>
      <c r="E47" s="85"/>
      <c r="F47" s="85"/>
      <c r="G47" s="85"/>
      <c r="H47" s="85"/>
      <c r="I47" s="85"/>
      <c r="J47" s="79"/>
      <c r="K47" s="84" t="s">
        <v>75</v>
      </c>
      <c r="L47" s="85"/>
      <c r="M47" s="79"/>
      <c r="N47" s="88" t="s">
        <v>3</v>
      </c>
      <c r="O47" s="91" t="s">
        <v>76</v>
      </c>
      <c r="P47" s="106" t="s">
        <v>77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8"/>
      <c r="AR47" s="94" t="s">
        <v>78</v>
      </c>
      <c r="AS47" s="95"/>
      <c r="AT47" s="95"/>
      <c r="AU47" s="95"/>
      <c r="AV47" s="95"/>
      <c r="AW47" s="95"/>
      <c r="AX47" s="95"/>
      <c r="AY47" s="95"/>
      <c r="AZ47" s="95"/>
      <c r="BA47" s="95"/>
      <c r="BB47" s="98"/>
      <c r="BC47" s="109" t="s">
        <v>79</v>
      </c>
      <c r="BD47" s="110"/>
      <c r="BE47" s="110"/>
      <c r="BF47" s="110"/>
      <c r="BG47" s="110"/>
      <c r="BH47" s="110"/>
      <c r="BI47" s="110"/>
      <c r="BJ47" s="111"/>
      <c r="BK47" s="6"/>
    </row>
    <row r="48" spans="1:63" ht="15.75" customHeight="1" x14ac:dyDescent="0.25">
      <c r="A48" s="5"/>
      <c r="B48" s="80"/>
      <c r="C48" s="81"/>
      <c r="D48" s="80"/>
      <c r="E48" s="86"/>
      <c r="F48" s="86"/>
      <c r="G48" s="86"/>
      <c r="H48" s="86"/>
      <c r="I48" s="86"/>
      <c r="J48" s="81"/>
      <c r="K48" s="80"/>
      <c r="L48" s="86"/>
      <c r="M48" s="81"/>
      <c r="N48" s="89"/>
      <c r="O48" s="92"/>
      <c r="P48" s="118" t="s">
        <v>80</v>
      </c>
      <c r="Q48" s="119"/>
      <c r="R48" s="119"/>
      <c r="S48" s="119"/>
      <c r="T48" s="119"/>
      <c r="U48" s="119"/>
      <c r="V48" s="119"/>
      <c r="W48" s="120"/>
      <c r="X48" s="121" t="s">
        <v>81</v>
      </c>
      <c r="Y48" s="122"/>
      <c r="Z48" s="123"/>
      <c r="AA48" s="121" t="s">
        <v>82</v>
      </c>
      <c r="AB48" s="122"/>
      <c r="AC48" s="122"/>
      <c r="AD48" s="122"/>
      <c r="AE48" s="122"/>
      <c r="AF48" s="122"/>
      <c r="AG48" s="122"/>
      <c r="AH48" s="123"/>
      <c r="AI48" s="121" t="s">
        <v>83</v>
      </c>
      <c r="AJ48" s="122"/>
      <c r="AK48" s="122"/>
      <c r="AL48" s="122"/>
      <c r="AM48" s="122"/>
      <c r="AN48" s="122"/>
      <c r="AO48" s="122"/>
      <c r="AP48" s="122"/>
      <c r="AQ48" s="123"/>
      <c r="AR48" s="127" t="s">
        <v>4</v>
      </c>
      <c r="AS48" s="129" t="s">
        <v>84</v>
      </c>
      <c r="AT48" s="131" t="s">
        <v>85</v>
      </c>
      <c r="AU48" s="94" t="s">
        <v>80</v>
      </c>
      <c r="AV48" s="95"/>
      <c r="AW48" s="95"/>
      <c r="AX48" s="95"/>
      <c r="AY48" s="95"/>
      <c r="AZ48" s="95"/>
      <c r="BA48" s="95"/>
      <c r="BB48" s="98"/>
      <c r="BC48" s="112"/>
      <c r="BD48" s="113"/>
      <c r="BE48" s="113"/>
      <c r="BF48" s="113"/>
      <c r="BG48" s="113"/>
      <c r="BH48" s="113"/>
      <c r="BI48" s="113"/>
      <c r="BJ48" s="114"/>
      <c r="BK48" s="6"/>
    </row>
    <row r="49" spans="1:63" x14ac:dyDescent="0.25">
      <c r="A49" s="5"/>
      <c r="B49" s="82"/>
      <c r="C49" s="83"/>
      <c r="D49" s="82"/>
      <c r="E49" s="87"/>
      <c r="F49" s="87"/>
      <c r="G49" s="87"/>
      <c r="H49" s="87"/>
      <c r="I49" s="87"/>
      <c r="J49" s="83"/>
      <c r="K49" s="82"/>
      <c r="L49" s="87"/>
      <c r="M49" s="83"/>
      <c r="N49" s="90"/>
      <c r="O49" s="93"/>
      <c r="P49" s="106" t="s">
        <v>86</v>
      </c>
      <c r="Q49" s="107"/>
      <c r="R49" s="107"/>
      <c r="S49" s="108"/>
      <c r="T49" s="106" t="s">
        <v>74</v>
      </c>
      <c r="U49" s="107"/>
      <c r="V49" s="107"/>
      <c r="W49" s="108"/>
      <c r="X49" s="124"/>
      <c r="Y49" s="125"/>
      <c r="Z49" s="126"/>
      <c r="AA49" s="124"/>
      <c r="AB49" s="125"/>
      <c r="AC49" s="125"/>
      <c r="AD49" s="125"/>
      <c r="AE49" s="125"/>
      <c r="AF49" s="125"/>
      <c r="AG49" s="125"/>
      <c r="AH49" s="126"/>
      <c r="AI49" s="124"/>
      <c r="AJ49" s="125"/>
      <c r="AK49" s="125"/>
      <c r="AL49" s="125"/>
      <c r="AM49" s="125"/>
      <c r="AN49" s="125"/>
      <c r="AO49" s="125"/>
      <c r="AP49" s="125"/>
      <c r="AQ49" s="126"/>
      <c r="AR49" s="128"/>
      <c r="AS49" s="130"/>
      <c r="AT49" s="132"/>
      <c r="AU49" s="94" t="s">
        <v>86</v>
      </c>
      <c r="AV49" s="95"/>
      <c r="AW49" s="95"/>
      <c r="AX49" s="96"/>
      <c r="AY49" s="97" t="s">
        <v>74</v>
      </c>
      <c r="AZ49" s="95"/>
      <c r="BA49" s="95"/>
      <c r="BB49" s="98"/>
      <c r="BC49" s="115"/>
      <c r="BD49" s="116"/>
      <c r="BE49" s="116"/>
      <c r="BF49" s="116"/>
      <c r="BG49" s="116"/>
      <c r="BH49" s="116"/>
      <c r="BI49" s="116"/>
      <c r="BJ49" s="117"/>
      <c r="BK49" s="6"/>
    </row>
    <row r="50" spans="1:63" ht="31.5" customHeight="1" x14ac:dyDescent="0.25">
      <c r="A50" s="5"/>
      <c r="B50" s="99">
        <v>0</v>
      </c>
      <c r="C50" s="100"/>
      <c r="D50" s="101" t="s">
        <v>13</v>
      </c>
      <c r="E50" s="102"/>
      <c r="F50" s="102"/>
      <c r="G50" s="102"/>
      <c r="H50" s="102"/>
      <c r="I50" s="102"/>
      <c r="J50" s="103"/>
      <c r="K50" s="40" t="s">
        <v>5</v>
      </c>
      <c r="L50" s="29"/>
      <c r="M50" s="30"/>
      <c r="N50" s="8" t="s">
        <v>6</v>
      </c>
      <c r="O50" s="9" t="s">
        <v>7</v>
      </c>
      <c r="P50" s="104" t="s">
        <v>6</v>
      </c>
      <c r="Q50" s="105"/>
      <c r="R50" s="105"/>
      <c r="S50" s="100"/>
      <c r="T50" s="104" t="s">
        <v>6</v>
      </c>
      <c r="U50" s="105"/>
      <c r="V50" s="105"/>
      <c r="W50" s="100"/>
      <c r="X50" s="133" t="s">
        <v>87</v>
      </c>
      <c r="Y50" s="134"/>
      <c r="Z50" s="135"/>
      <c r="AA50" s="99" t="s">
        <v>8</v>
      </c>
      <c r="AB50" s="105"/>
      <c r="AC50" s="105"/>
      <c r="AD50" s="105"/>
      <c r="AE50" s="105"/>
      <c r="AF50" s="105"/>
      <c r="AG50" s="105"/>
      <c r="AH50" s="100"/>
      <c r="AI50" s="136" t="s">
        <v>6</v>
      </c>
      <c r="AJ50" s="137"/>
      <c r="AK50" s="137"/>
      <c r="AL50" s="137"/>
      <c r="AM50" s="137"/>
      <c r="AN50" s="137"/>
      <c r="AO50" s="137"/>
      <c r="AP50" s="137"/>
      <c r="AQ50" s="138"/>
      <c r="AR50" s="10" t="s">
        <v>6</v>
      </c>
      <c r="AS50" s="10" t="s">
        <v>8</v>
      </c>
      <c r="AT50" s="10" t="s">
        <v>8</v>
      </c>
      <c r="AU50" s="99" t="s">
        <v>9</v>
      </c>
      <c r="AV50" s="105"/>
      <c r="AW50" s="105"/>
      <c r="AX50" s="100"/>
      <c r="AY50" s="99" t="s">
        <v>8</v>
      </c>
      <c r="AZ50" s="105"/>
      <c r="BA50" s="105"/>
      <c r="BB50" s="100"/>
      <c r="BC50" s="250" t="s">
        <v>88</v>
      </c>
      <c r="BD50" s="251"/>
      <c r="BE50" s="251"/>
      <c r="BF50" s="251"/>
      <c r="BG50" s="251"/>
      <c r="BH50" s="251"/>
      <c r="BI50" s="251"/>
      <c r="BJ50" s="252"/>
      <c r="BK50" s="6"/>
    </row>
    <row r="51" spans="1:63" x14ac:dyDescent="0.25">
      <c r="A51" s="5"/>
      <c r="B51" s="22">
        <f>B50+1</f>
        <v>1</v>
      </c>
      <c r="C51" s="24"/>
      <c r="D51" s="41" t="s">
        <v>14</v>
      </c>
      <c r="E51" s="42"/>
      <c r="F51" s="42"/>
      <c r="G51" s="42"/>
      <c r="H51" s="42"/>
      <c r="I51" s="42"/>
      <c r="J51" s="43"/>
      <c r="K51" s="40" t="s">
        <v>5</v>
      </c>
      <c r="L51" s="29"/>
      <c r="M51" s="30"/>
      <c r="N51" s="15" t="s">
        <v>6</v>
      </c>
      <c r="O51" s="9" t="s">
        <v>7</v>
      </c>
      <c r="P51" s="22" t="s">
        <v>9</v>
      </c>
      <c r="Q51" s="23"/>
      <c r="R51" s="23"/>
      <c r="S51" s="24"/>
      <c r="T51" s="22" t="s">
        <v>9</v>
      </c>
      <c r="U51" s="23"/>
      <c r="V51" s="23"/>
      <c r="W51" s="24"/>
      <c r="X51" s="56" t="s">
        <v>89</v>
      </c>
      <c r="Y51" s="57"/>
      <c r="Z51" s="58"/>
      <c r="AA51" s="22" t="s">
        <v>8</v>
      </c>
      <c r="AB51" s="23"/>
      <c r="AC51" s="23"/>
      <c r="AD51" s="23"/>
      <c r="AE51" s="23"/>
      <c r="AF51" s="23"/>
      <c r="AG51" s="23"/>
      <c r="AH51" s="24"/>
      <c r="AI51" s="33" t="s">
        <v>8</v>
      </c>
      <c r="AJ51" s="34"/>
      <c r="AK51" s="34"/>
      <c r="AL51" s="34"/>
      <c r="AM51" s="34"/>
      <c r="AN51" s="34"/>
      <c r="AO51" s="34"/>
      <c r="AP51" s="34"/>
      <c r="AQ51" s="35"/>
      <c r="AR51" s="11" t="s">
        <v>6</v>
      </c>
      <c r="AS51" s="11" t="s">
        <v>8</v>
      </c>
      <c r="AT51" s="11" t="s">
        <v>8</v>
      </c>
      <c r="AU51" s="22" t="s">
        <v>9</v>
      </c>
      <c r="AV51" s="23"/>
      <c r="AW51" s="23"/>
      <c r="AX51" s="24"/>
      <c r="AY51" s="22" t="s">
        <v>8</v>
      </c>
      <c r="AZ51" s="23"/>
      <c r="BA51" s="23"/>
      <c r="BB51" s="24"/>
      <c r="BC51" s="59"/>
      <c r="BD51" s="253"/>
      <c r="BE51" s="253"/>
      <c r="BF51" s="253"/>
      <c r="BG51" s="253"/>
      <c r="BH51" s="253"/>
      <c r="BI51" s="253"/>
      <c r="BJ51" s="254"/>
      <c r="BK51" s="6"/>
    </row>
    <row r="52" spans="1:63" ht="50.25" customHeight="1" x14ac:dyDescent="0.25">
      <c r="A52" s="5"/>
      <c r="B52" s="22">
        <f t="shared" ref="B52:B74" si="0">B51+1</f>
        <v>2</v>
      </c>
      <c r="C52" s="24"/>
      <c r="D52" s="25" t="s">
        <v>15</v>
      </c>
      <c r="E52" s="26"/>
      <c r="F52" s="26"/>
      <c r="G52" s="26"/>
      <c r="H52" s="26"/>
      <c r="I52" s="26"/>
      <c r="J52" s="27"/>
      <c r="K52" s="28" t="s">
        <v>90</v>
      </c>
      <c r="L52" s="29"/>
      <c r="M52" s="30"/>
      <c r="N52" s="9" t="s">
        <v>16</v>
      </c>
      <c r="O52" s="9" t="s">
        <v>6</v>
      </c>
      <c r="P52" s="32" t="s">
        <v>6</v>
      </c>
      <c r="Q52" s="23"/>
      <c r="R52" s="23"/>
      <c r="S52" s="24"/>
      <c r="T52" s="32" t="s">
        <v>6</v>
      </c>
      <c r="U52" s="23"/>
      <c r="V52" s="23"/>
      <c r="W52" s="24"/>
      <c r="X52" s="36" t="s">
        <v>91</v>
      </c>
      <c r="Y52" s="37"/>
      <c r="Z52" s="38"/>
      <c r="AA52" s="22" t="s">
        <v>8</v>
      </c>
      <c r="AB52" s="23"/>
      <c r="AC52" s="23"/>
      <c r="AD52" s="23"/>
      <c r="AE52" s="23"/>
      <c r="AF52" s="23"/>
      <c r="AG52" s="23"/>
      <c r="AH52" s="24"/>
      <c r="AI52" s="33" t="s">
        <v>8</v>
      </c>
      <c r="AJ52" s="34"/>
      <c r="AK52" s="34"/>
      <c r="AL52" s="34"/>
      <c r="AM52" s="34"/>
      <c r="AN52" s="34"/>
      <c r="AO52" s="34"/>
      <c r="AP52" s="34"/>
      <c r="AQ52" s="35"/>
      <c r="AR52" s="9" t="s">
        <v>7</v>
      </c>
      <c r="AS52" s="11" t="s">
        <v>8</v>
      </c>
      <c r="AT52" s="11" t="s">
        <v>8</v>
      </c>
      <c r="AU52" s="60" t="s">
        <v>92</v>
      </c>
      <c r="AV52" s="51"/>
      <c r="AW52" s="51"/>
      <c r="AX52" s="52"/>
      <c r="AY52" s="60" t="s">
        <v>93</v>
      </c>
      <c r="AZ52" s="51"/>
      <c r="BA52" s="51"/>
      <c r="BB52" s="52"/>
      <c r="BC52" s="255" t="s">
        <v>94</v>
      </c>
      <c r="BD52" s="256"/>
      <c r="BE52" s="256"/>
      <c r="BF52" s="256"/>
      <c r="BG52" s="256"/>
      <c r="BH52" s="256"/>
      <c r="BI52" s="256"/>
      <c r="BJ52" s="257"/>
      <c r="BK52" s="6"/>
    </row>
    <row r="53" spans="1:63" ht="32.25" customHeight="1" x14ac:dyDescent="0.25">
      <c r="A53" s="5"/>
      <c r="B53" s="22">
        <f t="shared" si="0"/>
        <v>3</v>
      </c>
      <c r="C53" s="24"/>
      <c r="D53" s="258" t="s">
        <v>19</v>
      </c>
      <c r="E53" s="259"/>
      <c r="F53" s="259"/>
      <c r="G53" s="259"/>
      <c r="H53" s="259"/>
      <c r="I53" s="259"/>
      <c r="J53" s="260"/>
      <c r="K53" s="40" t="s">
        <v>5</v>
      </c>
      <c r="L53" s="29"/>
      <c r="M53" s="30"/>
      <c r="N53" s="12" t="s">
        <v>6</v>
      </c>
      <c r="O53" s="9" t="s">
        <v>7</v>
      </c>
      <c r="P53" s="22" t="s">
        <v>9</v>
      </c>
      <c r="Q53" s="23"/>
      <c r="R53" s="23"/>
      <c r="S53" s="24"/>
      <c r="T53" s="22" t="s">
        <v>9</v>
      </c>
      <c r="U53" s="23"/>
      <c r="V53" s="23"/>
      <c r="W53" s="24"/>
      <c r="X53" s="31" t="s">
        <v>22</v>
      </c>
      <c r="Y53" s="23"/>
      <c r="Z53" s="24"/>
      <c r="AA53" s="22" t="s">
        <v>8</v>
      </c>
      <c r="AB53" s="23"/>
      <c r="AC53" s="23"/>
      <c r="AD53" s="23"/>
      <c r="AE53" s="23"/>
      <c r="AF53" s="23"/>
      <c r="AG53" s="23"/>
      <c r="AH53" s="24"/>
      <c r="AI53" s="33" t="s">
        <v>8</v>
      </c>
      <c r="AJ53" s="34"/>
      <c r="AK53" s="34"/>
      <c r="AL53" s="34"/>
      <c r="AM53" s="34"/>
      <c r="AN53" s="34"/>
      <c r="AO53" s="34"/>
      <c r="AP53" s="34"/>
      <c r="AQ53" s="35"/>
      <c r="AR53" s="11" t="s">
        <v>6</v>
      </c>
      <c r="AS53" s="11" t="s">
        <v>8</v>
      </c>
      <c r="AT53" s="11" t="s">
        <v>8</v>
      </c>
      <c r="AU53" s="22" t="s">
        <v>9</v>
      </c>
      <c r="AV53" s="23"/>
      <c r="AW53" s="23"/>
      <c r="AX53" s="24"/>
      <c r="AY53" s="22" t="s">
        <v>8</v>
      </c>
      <c r="AZ53" s="23"/>
      <c r="BA53" s="23"/>
      <c r="BB53" s="24"/>
      <c r="BC53" s="261"/>
      <c r="BD53" s="262"/>
      <c r="BE53" s="262"/>
      <c r="BF53" s="262"/>
      <c r="BG53" s="262"/>
      <c r="BH53" s="262"/>
      <c r="BI53" s="262"/>
      <c r="BJ53" s="263"/>
      <c r="BK53" s="6"/>
    </row>
    <row r="54" spans="1:63" ht="31.5" customHeight="1" x14ac:dyDescent="0.25">
      <c r="A54" s="5"/>
      <c r="B54" s="22">
        <f t="shared" si="0"/>
        <v>4</v>
      </c>
      <c r="C54" s="24"/>
      <c r="D54" s="25" t="s">
        <v>20</v>
      </c>
      <c r="E54" s="26"/>
      <c r="F54" s="26"/>
      <c r="G54" s="26"/>
      <c r="H54" s="26"/>
      <c r="I54" s="26"/>
      <c r="J54" s="27"/>
      <c r="K54" s="40" t="s">
        <v>10</v>
      </c>
      <c r="L54" s="29"/>
      <c r="M54" s="30"/>
      <c r="N54" s="12" t="s">
        <v>16</v>
      </c>
      <c r="O54" s="9" t="s">
        <v>6</v>
      </c>
      <c r="P54" s="22" t="s">
        <v>9</v>
      </c>
      <c r="Q54" s="23"/>
      <c r="R54" s="23"/>
      <c r="S54" s="24"/>
      <c r="T54" s="22" t="s">
        <v>9</v>
      </c>
      <c r="U54" s="23"/>
      <c r="V54" s="23"/>
      <c r="W54" s="24"/>
      <c r="X54" s="36" t="s">
        <v>6</v>
      </c>
      <c r="Y54" s="37"/>
      <c r="Z54" s="38"/>
      <c r="AA54" s="22" t="s">
        <v>8</v>
      </c>
      <c r="AB54" s="23"/>
      <c r="AC54" s="23"/>
      <c r="AD54" s="23"/>
      <c r="AE54" s="23"/>
      <c r="AF54" s="23"/>
      <c r="AG54" s="23"/>
      <c r="AH54" s="24"/>
      <c r="AI54" s="33" t="s">
        <v>8</v>
      </c>
      <c r="AJ54" s="34"/>
      <c r="AK54" s="34"/>
      <c r="AL54" s="34"/>
      <c r="AM54" s="34"/>
      <c r="AN54" s="34"/>
      <c r="AO54" s="34"/>
      <c r="AP54" s="34"/>
      <c r="AQ54" s="35"/>
      <c r="AR54" s="11" t="s">
        <v>6</v>
      </c>
      <c r="AS54" s="9" t="s">
        <v>7</v>
      </c>
      <c r="AT54" s="11" t="s">
        <v>8</v>
      </c>
      <c r="AU54" s="50" t="s">
        <v>95</v>
      </c>
      <c r="AV54" s="51"/>
      <c r="AW54" s="51"/>
      <c r="AX54" s="52"/>
      <c r="AY54" s="50" t="s">
        <v>96</v>
      </c>
      <c r="AZ54" s="51"/>
      <c r="BA54" s="51"/>
      <c r="BB54" s="52"/>
      <c r="BC54" s="255" t="s">
        <v>97</v>
      </c>
      <c r="BD54" s="253"/>
      <c r="BE54" s="253"/>
      <c r="BF54" s="253"/>
      <c r="BG54" s="253"/>
      <c r="BH54" s="253"/>
      <c r="BI54" s="253"/>
      <c r="BJ54" s="254"/>
      <c r="BK54" s="6"/>
    </row>
    <row r="55" spans="1:63" ht="63" customHeight="1" x14ac:dyDescent="0.25">
      <c r="A55" s="5"/>
      <c r="B55" s="22">
        <f t="shared" si="0"/>
        <v>5</v>
      </c>
      <c r="C55" s="24"/>
      <c r="D55" s="41" t="s">
        <v>21</v>
      </c>
      <c r="E55" s="42"/>
      <c r="F55" s="42"/>
      <c r="G55" s="42"/>
      <c r="H55" s="42"/>
      <c r="I55" s="42"/>
      <c r="J55" s="43"/>
      <c r="K55" s="40" t="s">
        <v>5</v>
      </c>
      <c r="L55" s="29"/>
      <c r="M55" s="30"/>
      <c r="N55" s="9" t="s">
        <v>23</v>
      </c>
      <c r="O55" s="9" t="s">
        <v>6</v>
      </c>
      <c r="P55" s="32" t="s">
        <v>98</v>
      </c>
      <c r="Q55" s="23"/>
      <c r="R55" s="23"/>
      <c r="S55" s="24"/>
      <c r="T55" s="44" t="s">
        <v>99</v>
      </c>
      <c r="U55" s="45"/>
      <c r="V55" s="45"/>
      <c r="W55" s="46"/>
      <c r="X55" s="36" t="s">
        <v>6</v>
      </c>
      <c r="Y55" s="37"/>
      <c r="Z55" s="38"/>
      <c r="AA55" s="47" t="s">
        <v>100</v>
      </c>
      <c r="AB55" s="48"/>
      <c r="AC55" s="48"/>
      <c r="AD55" s="48"/>
      <c r="AE55" s="48"/>
      <c r="AF55" s="48"/>
      <c r="AG55" s="48"/>
      <c r="AH55" s="49"/>
      <c r="AI55" s="33" t="s">
        <v>8</v>
      </c>
      <c r="AJ55" s="34"/>
      <c r="AK55" s="34"/>
      <c r="AL55" s="34"/>
      <c r="AM55" s="34"/>
      <c r="AN55" s="34"/>
      <c r="AO55" s="34"/>
      <c r="AP55" s="34"/>
      <c r="AQ55" s="35"/>
      <c r="AR55" s="11" t="s">
        <v>6</v>
      </c>
      <c r="AS55" s="11" t="s">
        <v>8</v>
      </c>
      <c r="AT55" s="11" t="s">
        <v>8</v>
      </c>
      <c r="AU55" s="22" t="s">
        <v>9</v>
      </c>
      <c r="AV55" s="23"/>
      <c r="AW55" s="23"/>
      <c r="AX55" s="24"/>
      <c r="AY55" s="22" t="s">
        <v>8</v>
      </c>
      <c r="AZ55" s="23"/>
      <c r="BA55" s="23"/>
      <c r="BB55" s="24"/>
      <c r="BC55" s="264"/>
      <c r="BD55" s="253"/>
      <c r="BE55" s="253"/>
      <c r="BF55" s="253"/>
      <c r="BG55" s="253"/>
      <c r="BH55" s="253"/>
      <c r="BI55" s="253"/>
      <c r="BJ55" s="254"/>
      <c r="BK55" s="6"/>
    </row>
    <row r="56" spans="1:63" x14ac:dyDescent="0.25">
      <c r="A56" s="5"/>
      <c r="B56" s="22">
        <f t="shared" si="0"/>
        <v>6</v>
      </c>
      <c r="C56" s="24"/>
      <c r="D56" s="25" t="s">
        <v>24</v>
      </c>
      <c r="E56" s="26"/>
      <c r="F56" s="26"/>
      <c r="G56" s="26"/>
      <c r="H56" s="26"/>
      <c r="I56" s="26"/>
      <c r="J56" s="27"/>
      <c r="K56" s="28" t="s">
        <v>101</v>
      </c>
      <c r="L56" s="29"/>
      <c r="M56" s="30"/>
      <c r="N56" s="9" t="s">
        <v>16</v>
      </c>
      <c r="O56" s="9" t="s">
        <v>7</v>
      </c>
      <c r="P56" s="32" t="s">
        <v>6</v>
      </c>
      <c r="Q56" s="23"/>
      <c r="R56" s="23"/>
      <c r="S56" s="24"/>
      <c r="T56" s="22" t="s">
        <v>9</v>
      </c>
      <c r="U56" s="23"/>
      <c r="V56" s="23"/>
      <c r="W56" s="24"/>
      <c r="X56" s="36" t="s">
        <v>102</v>
      </c>
      <c r="Y56" s="37"/>
      <c r="Z56" s="38"/>
      <c r="AA56" s="22" t="s">
        <v>8</v>
      </c>
      <c r="AB56" s="23"/>
      <c r="AC56" s="23"/>
      <c r="AD56" s="23"/>
      <c r="AE56" s="23"/>
      <c r="AF56" s="23"/>
      <c r="AG56" s="23"/>
      <c r="AH56" s="24"/>
      <c r="AI56" s="39" t="s">
        <v>103</v>
      </c>
      <c r="AJ56" s="34"/>
      <c r="AK56" s="34"/>
      <c r="AL56" s="34"/>
      <c r="AM56" s="34"/>
      <c r="AN56" s="34"/>
      <c r="AO56" s="34"/>
      <c r="AP56" s="34"/>
      <c r="AQ56" s="35"/>
      <c r="AR56" s="11" t="s">
        <v>6</v>
      </c>
      <c r="AS56" s="11" t="s">
        <v>8</v>
      </c>
      <c r="AT56" s="11" t="s">
        <v>8</v>
      </c>
      <c r="AU56" s="22" t="s">
        <v>9</v>
      </c>
      <c r="AV56" s="23"/>
      <c r="AW56" s="23"/>
      <c r="AX56" s="24"/>
      <c r="AY56" s="22" t="s">
        <v>8</v>
      </c>
      <c r="AZ56" s="23"/>
      <c r="BA56" s="23"/>
      <c r="BB56" s="24"/>
      <c r="BC56" s="255" t="s">
        <v>104</v>
      </c>
      <c r="BD56" s="253"/>
      <c r="BE56" s="253"/>
      <c r="BF56" s="253"/>
      <c r="BG56" s="253"/>
      <c r="BH56" s="253"/>
      <c r="BI56" s="253"/>
      <c r="BJ56" s="254"/>
      <c r="BK56" s="6"/>
    </row>
    <row r="57" spans="1:63" x14ac:dyDescent="0.25">
      <c r="A57" s="5"/>
      <c r="B57" s="22">
        <f t="shared" si="0"/>
        <v>7</v>
      </c>
      <c r="C57" s="24"/>
      <c r="D57" s="265" t="s">
        <v>26</v>
      </c>
      <c r="E57" s="266"/>
      <c r="F57" s="266"/>
      <c r="G57" s="266"/>
      <c r="H57" s="266"/>
      <c r="I57" s="266"/>
      <c r="J57" s="267"/>
      <c r="K57" s="40" t="s">
        <v>5</v>
      </c>
      <c r="L57" s="29"/>
      <c r="M57" s="30"/>
      <c r="N57" s="12" t="s">
        <v>6</v>
      </c>
      <c r="O57" s="9" t="s">
        <v>7</v>
      </c>
      <c r="P57" s="22" t="s">
        <v>9</v>
      </c>
      <c r="Q57" s="23"/>
      <c r="R57" s="23"/>
      <c r="S57" s="24"/>
      <c r="T57" s="22" t="s">
        <v>9</v>
      </c>
      <c r="U57" s="23"/>
      <c r="V57" s="23"/>
      <c r="W57" s="24"/>
      <c r="X57" s="31" t="s">
        <v>25</v>
      </c>
      <c r="Y57" s="23"/>
      <c r="Z57" s="24"/>
      <c r="AA57" s="22" t="s">
        <v>8</v>
      </c>
      <c r="AB57" s="23"/>
      <c r="AC57" s="23"/>
      <c r="AD57" s="23"/>
      <c r="AE57" s="23"/>
      <c r="AF57" s="23"/>
      <c r="AG57" s="23"/>
      <c r="AH57" s="24"/>
      <c r="AI57" s="33" t="s">
        <v>8</v>
      </c>
      <c r="AJ57" s="34"/>
      <c r="AK57" s="34"/>
      <c r="AL57" s="34"/>
      <c r="AM57" s="34"/>
      <c r="AN57" s="34"/>
      <c r="AO57" s="34"/>
      <c r="AP57" s="34"/>
      <c r="AQ57" s="35"/>
      <c r="AR57" s="11" t="s">
        <v>6</v>
      </c>
      <c r="AS57" s="11" t="s">
        <v>8</v>
      </c>
      <c r="AT57" s="11" t="s">
        <v>8</v>
      </c>
      <c r="AU57" s="22" t="s">
        <v>9</v>
      </c>
      <c r="AV57" s="23"/>
      <c r="AW57" s="23"/>
      <c r="AX57" s="24"/>
      <c r="AY57" s="22" t="s">
        <v>8</v>
      </c>
      <c r="AZ57" s="23"/>
      <c r="BA57" s="23"/>
      <c r="BB57" s="24"/>
      <c r="BC57" s="261"/>
      <c r="BD57" s="262"/>
      <c r="BE57" s="262"/>
      <c r="BF57" s="262"/>
      <c r="BG57" s="262"/>
      <c r="BH57" s="262"/>
      <c r="BI57" s="262"/>
      <c r="BJ57" s="263"/>
      <c r="BK57" s="6"/>
    </row>
    <row r="58" spans="1:63" x14ac:dyDescent="0.25">
      <c r="A58" s="5"/>
      <c r="B58" s="22">
        <f t="shared" si="0"/>
        <v>8</v>
      </c>
      <c r="C58" s="24"/>
      <c r="D58" s="25" t="s">
        <v>27</v>
      </c>
      <c r="E58" s="26"/>
      <c r="F58" s="26"/>
      <c r="G58" s="26"/>
      <c r="H58" s="26"/>
      <c r="I58" s="26"/>
      <c r="J58" s="27"/>
      <c r="K58" s="28" t="s">
        <v>105</v>
      </c>
      <c r="L58" s="29"/>
      <c r="M58" s="30"/>
      <c r="N58" s="12" t="s">
        <v>16</v>
      </c>
      <c r="O58" s="9" t="s">
        <v>6</v>
      </c>
      <c r="P58" s="22" t="s">
        <v>9</v>
      </c>
      <c r="Q58" s="23"/>
      <c r="R58" s="23"/>
      <c r="S58" s="24"/>
      <c r="T58" s="22" t="s">
        <v>9</v>
      </c>
      <c r="U58" s="23"/>
      <c r="V58" s="23"/>
      <c r="W58" s="24"/>
      <c r="X58" s="36" t="s">
        <v>6</v>
      </c>
      <c r="Y58" s="37"/>
      <c r="Z58" s="38"/>
      <c r="AA58" s="22" t="s">
        <v>8</v>
      </c>
      <c r="AB58" s="23"/>
      <c r="AC58" s="23"/>
      <c r="AD58" s="23"/>
      <c r="AE58" s="23"/>
      <c r="AF58" s="23"/>
      <c r="AG58" s="23"/>
      <c r="AH58" s="24"/>
      <c r="AI58" s="39" t="s">
        <v>106</v>
      </c>
      <c r="AJ58" s="34"/>
      <c r="AK58" s="34"/>
      <c r="AL58" s="34"/>
      <c r="AM58" s="34"/>
      <c r="AN58" s="34"/>
      <c r="AO58" s="34"/>
      <c r="AP58" s="34"/>
      <c r="AQ58" s="35"/>
      <c r="AR58" s="11" t="s">
        <v>6</v>
      </c>
      <c r="AS58" s="11" t="s">
        <v>8</v>
      </c>
      <c r="AT58" s="11" t="s">
        <v>8</v>
      </c>
      <c r="AU58" s="22" t="s">
        <v>9</v>
      </c>
      <c r="AV58" s="23"/>
      <c r="AW58" s="23"/>
      <c r="AX58" s="24"/>
      <c r="AY58" s="22" t="s">
        <v>8</v>
      </c>
      <c r="AZ58" s="23"/>
      <c r="BA58" s="23"/>
      <c r="BB58" s="24"/>
      <c r="BC58" s="264" t="s">
        <v>107</v>
      </c>
      <c r="BD58" s="253"/>
      <c r="BE58" s="253"/>
      <c r="BF58" s="253"/>
      <c r="BG58" s="253"/>
      <c r="BH58" s="253"/>
      <c r="BI58" s="253"/>
      <c r="BJ58" s="254"/>
      <c r="BK58" s="6"/>
    </row>
    <row r="59" spans="1:63" x14ac:dyDescent="0.25">
      <c r="A59" s="5"/>
      <c r="B59" s="22">
        <f t="shared" si="0"/>
        <v>9</v>
      </c>
      <c r="C59" s="24"/>
      <c r="D59" s="41" t="s">
        <v>17</v>
      </c>
      <c r="E59" s="42"/>
      <c r="F59" s="42"/>
      <c r="G59" s="42"/>
      <c r="H59" s="42"/>
      <c r="I59" s="42"/>
      <c r="J59" s="43"/>
      <c r="K59" s="40" t="s">
        <v>5</v>
      </c>
      <c r="L59" s="29"/>
      <c r="M59" s="30"/>
      <c r="N59" s="9" t="s">
        <v>6</v>
      </c>
      <c r="O59" s="9" t="s">
        <v>7</v>
      </c>
      <c r="P59" s="22" t="s">
        <v>9</v>
      </c>
      <c r="Q59" s="23"/>
      <c r="R59" s="23"/>
      <c r="S59" s="24"/>
      <c r="T59" s="22" t="s">
        <v>9</v>
      </c>
      <c r="U59" s="23"/>
      <c r="V59" s="23"/>
      <c r="W59" s="24"/>
      <c r="X59" s="56" t="s">
        <v>108</v>
      </c>
      <c r="Y59" s="57"/>
      <c r="Z59" s="58"/>
      <c r="AA59" s="22" t="s">
        <v>8</v>
      </c>
      <c r="AB59" s="23"/>
      <c r="AC59" s="23"/>
      <c r="AD59" s="23"/>
      <c r="AE59" s="23"/>
      <c r="AF59" s="23"/>
      <c r="AG59" s="23"/>
      <c r="AH59" s="24"/>
      <c r="AI59" s="39" t="s">
        <v>109</v>
      </c>
      <c r="AJ59" s="34"/>
      <c r="AK59" s="34"/>
      <c r="AL59" s="34"/>
      <c r="AM59" s="34"/>
      <c r="AN59" s="34"/>
      <c r="AO59" s="34"/>
      <c r="AP59" s="34"/>
      <c r="AQ59" s="35"/>
      <c r="AR59" s="11" t="s">
        <v>6</v>
      </c>
      <c r="AS59" s="11" t="s">
        <v>8</v>
      </c>
      <c r="AT59" s="11" t="s">
        <v>8</v>
      </c>
      <c r="AU59" s="22" t="s">
        <v>9</v>
      </c>
      <c r="AV59" s="23"/>
      <c r="AW59" s="23"/>
      <c r="AX59" s="24"/>
      <c r="AY59" s="22" t="s">
        <v>8</v>
      </c>
      <c r="AZ59" s="23"/>
      <c r="BA59" s="23"/>
      <c r="BB59" s="24"/>
      <c r="BC59" s="59"/>
      <c r="BD59" s="253"/>
      <c r="BE59" s="253"/>
      <c r="BF59" s="253"/>
      <c r="BG59" s="253"/>
      <c r="BH59" s="253"/>
      <c r="BI59" s="253"/>
      <c r="BJ59" s="254"/>
      <c r="BK59" s="6"/>
    </row>
    <row r="60" spans="1:63" ht="91.5" customHeight="1" x14ac:dyDescent="0.25">
      <c r="A60" s="5"/>
      <c r="B60" s="22">
        <f t="shared" si="0"/>
        <v>10</v>
      </c>
      <c r="C60" s="24"/>
      <c r="D60" s="25" t="s">
        <v>20</v>
      </c>
      <c r="E60" s="26"/>
      <c r="F60" s="26"/>
      <c r="G60" s="26"/>
      <c r="H60" s="26"/>
      <c r="I60" s="26"/>
      <c r="J60" s="27"/>
      <c r="K60" s="28" t="s">
        <v>110</v>
      </c>
      <c r="L60" s="29"/>
      <c r="M60" s="30"/>
      <c r="N60" s="9" t="s">
        <v>3</v>
      </c>
      <c r="O60" s="9" t="s">
        <v>6</v>
      </c>
      <c r="P60" s="44" t="s">
        <v>111</v>
      </c>
      <c r="Q60" s="23"/>
      <c r="R60" s="23"/>
      <c r="S60" s="24"/>
      <c r="T60" s="61" t="s">
        <v>112</v>
      </c>
      <c r="U60" s="62"/>
      <c r="V60" s="62"/>
      <c r="W60" s="63"/>
      <c r="X60" s="36" t="s">
        <v>6</v>
      </c>
      <c r="Y60" s="37"/>
      <c r="Z60" s="38"/>
      <c r="AA60" s="22"/>
      <c r="AB60" s="23"/>
      <c r="AC60" s="23"/>
      <c r="AD60" s="23"/>
      <c r="AE60" s="23"/>
      <c r="AF60" s="23"/>
      <c r="AG60" s="23"/>
      <c r="AH60" s="24"/>
      <c r="AI60" s="64" t="s">
        <v>113</v>
      </c>
      <c r="AJ60" s="65"/>
      <c r="AK60" s="65"/>
      <c r="AL60" s="65"/>
      <c r="AM60" s="65"/>
      <c r="AN60" s="65"/>
      <c r="AO60" s="65"/>
      <c r="AP60" s="65"/>
      <c r="AQ60" s="66"/>
      <c r="AR60" s="11" t="s">
        <v>6</v>
      </c>
      <c r="AS60" s="11" t="s">
        <v>8</v>
      </c>
      <c r="AT60" s="11" t="s">
        <v>8</v>
      </c>
      <c r="AU60" s="53" t="s">
        <v>114</v>
      </c>
      <c r="AV60" s="54"/>
      <c r="AW60" s="54"/>
      <c r="AX60" s="55"/>
      <c r="AY60" s="53" t="s">
        <v>115</v>
      </c>
      <c r="AZ60" s="54"/>
      <c r="BA60" s="54"/>
      <c r="BB60" s="55"/>
      <c r="BC60" s="264"/>
      <c r="BD60" s="253"/>
      <c r="BE60" s="253"/>
      <c r="BF60" s="253"/>
      <c r="BG60" s="253"/>
      <c r="BH60" s="253"/>
      <c r="BI60" s="253"/>
      <c r="BJ60" s="254"/>
      <c r="BK60" s="6"/>
    </row>
    <row r="61" spans="1:63" ht="107.25" customHeight="1" x14ac:dyDescent="0.25">
      <c r="A61" s="5"/>
      <c r="B61" s="22">
        <f t="shared" si="0"/>
        <v>11</v>
      </c>
      <c r="C61" s="24"/>
      <c r="D61" s="265" t="s">
        <v>18</v>
      </c>
      <c r="E61" s="266"/>
      <c r="F61" s="266"/>
      <c r="G61" s="266"/>
      <c r="H61" s="266"/>
      <c r="I61" s="266"/>
      <c r="J61" s="267"/>
      <c r="K61" s="28" t="s">
        <v>110</v>
      </c>
      <c r="L61" s="29"/>
      <c r="M61" s="30"/>
      <c r="N61" s="12" t="s">
        <v>3</v>
      </c>
      <c r="O61" s="9" t="s">
        <v>6</v>
      </c>
      <c r="P61" s="44" t="s">
        <v>111</v>
      </c>
      <c r="Q61" s="23"/>
      <c r="R61" s="23"/>
      <c r="S61" s="24"/>
      <c r="T61" s="47" t="s">
        <v>116</v>
      </c>
      <c r="U61" s="48"/>
      <c r="V61" s="48"/>
      <c r="W61" s="49"/>
      <c r="X61" s="36" t="s">
        <v>6</v>
      </c>
      <c r="Y61" s="37"/>
      <c r="Z61" s="38"/>
      <c r="AA61" s="22" t="s">
        <v>8</v>
      </c>
      <c r="AB61" s="23"/>
      <c r="AC61" s="23"/>
      <c r="AD61" s="23"/>
      <c r="AE61" s="23"/>
      <c r="AF61" s="23"/>
      <c r="AG61" s="23"/>
      <c r="AH61" s="24"/>
      <c r="AI61" s="47" t="s">
        <v>113</v>
      </c>
      <c r="AJ61" s="48"/>
      <c r="AK61" s="48"/>
      <c r="AL61" s="48"/>
      <c r="AM61" s="48"/>
      <c r="AN61" s="48"/>
      <c r="AO61" s="48"/>
      <c r="AP61" s="48"/>
      <c r="AQ61" s="49"/>
      <c r="AR61" s="11" t="s">
        <v>6</v>
      </c>
      <c r="AS61" s="11" t="s">
        <v>8</v>
      </c>
      <c r="AT61" s="11" t="s">
        <v>8</v>
      </c>
      <c r="AU61" s="22" t="s">
        <v>9</v>
      </c>
      <c r="AV61" s="23"/>
      <c r="AW61" s="23"/>
      <c r="AX61" s="24"/>
      <c r="AY61" s="22" t="s">
        <v>8</v>
      </c>
      <c r="AZ61" s="23"/>
      <c r="BA61" s="23"/>
      <c r="BB61" s="24"/>
      <c r="BC61" s="261" t="s">
        <v>117</v>
      </c>
      <c r="BD61" s="262"/>
      <c r="BE61" s="262"/>
      <c r="BF61" s="262"/>
      <c r="BG61" s="262"/>
      <c r="BH61" s="262"/>
      <c r="BI61" s="262"/>
      <c r="BJ61" s="263"/>
      <c r="BK61" s="6"/>
    </row>
    <row r="62" spans="1:63" x14ac:dyDescent="0.25">
      <c r="A62" s="5"/>
      <c r="B62" s="22">
        <f t="shared" si="0"/>
        <v>12</v>
      </c>
      <c r="C62" s="24"/>
      <c r="D62" s="25" t="s">
        <v>28</v>
      </c>
      <c r="E62" s="26"/>
      <c r="F62" s="26"/>
      <c r="G62" s="26"/>
      <c r="H62" s="26"/>
      <c r="I62" s="26"/>
      <c r="J62" s="27"/>
      <c r="K62" s="28" t="s">
        <v>118</v>
      </c>
      <c r="L62" s="29"/>
      <c r="M62" s="30"/>
      <c r="N62" s="12" t="s">
        <v>6</v>
      </c>
      <c r="O62" s="9" t="s">
        <v>7</v>
      </c>
      <c r="P62" s="22" t="s">
        <v>9</v>
      </c>
      <c r="Q62" s="23"/>
      <c r="R62" s="23"/>
      <c r="S62" s="24"/>
      <c r="T62" s="22" t="s">
        <v>9</v>
      </c>
      <c r="U62" s="23"/>
      <c r="V62" s="23"/>
      <c r="W62" s="24"/>
      <c r="X62" s="31" t="s">
        <v>30</v>
      </c>
      <c r="Y62" s="23"/>
      <c r="Z62" s="24"/>
      <c r="AA62" s="22" t="s">
        <v>8</v>
      </c>
      <c r="AB62" s="23"/>
      <c r="AC62" s="23"/>
      <c r="AD62" s="23"/>
      <c r="AE62" s="23"/>
      <c r="AF62" s="23"/>
      <c r="AG62" s="23"/>
      <c r="AH62" s="24"/>
      <c r="AI62" s="33" t="s">
        <v>8</v>
      </c>
      <c r="AJ62" s="34"/>
      <c r="AK62" s="34"/>
      <c r="AL62" s="34"/>
      <c r="AM62" s="34"/>
      <c r="AN62" s="34"/>
      <c r="AO62" s="34"/>
      <c r="AP62" s="34"/>
      <c r="AQ62" s="35"/>
      <c r="AR62" s="11" t="s">
        <v>6</v>
      </c>
      <c r="AS62" s="11" t="s">
        <v>8</v>
      </c>
      <c r="AT62" s="11" t="s">
        <v>8</v>
      </c>
      <c r="AU62" s="22" t="s">
        <v>9</v>
      </c>
      <c r="AV62" s="23"/>
      <c r="AW62" s="23"/>
      <c r="AX62" s="24"/>
      <c r="AY62" s="22" t="s">
        <v>8</v>
      </c>
      <c r="AZ62" s="23"/>
      <c r="BA62" s="23"/>
      <c r="BB62" s="24"/>
      <c r="BC62" s="264"/>
      <c r="BD62" s="253"/>
      <c r="BE62" s="253"/>
      <c r="BF62" s="253"/>
      <c r="BG62" s="253"/>
      <c r="BH62" s="253"/>
      <c r="BI62" s="253"/>
      <c r="BJ62" s="254"/>
      <c r="BK62" s="6"/>
    </row>
    <row r="63" spans="1:63" ht="65.25" customHeight="1" x14ac:dyDescent="0.25">
      <c r="A63" s="5"/>
      <c r="B63" s="22">
        <f t="shared" si="0"/>
        <v>13</v>
      </c>
      <c r="C63" s="24"/>
      <c r="D63" s="41" t="s">
        <v>29</v>
      </c>
      <c r="E63" s="42"/>
      <c r="F63" s="42"/>
      <c r="G63" s="42"/>
      <c r="H63" s="42"/>
      <c r="I63" s="42"/>
      <c r="J63" s="43"/>
      <c r="K63" s="28" t="s">
        <v>110</v>
      </c>
      <c r="L63" s="29"/>
      <c r="M63" s="30"/>
      <c r="N63" s="9" t="s">
        <v>3</v>
      </c>
      <c r="O63" s="9" t="s">
        <v>6</v>
      </c>
      <c r="P63" s="32" t="s">
        <v>92</v>
      </c>
      <c r="Q63" s="23"/>
      <c r="R63" s="23"/>
      <c r="S63" s="24"/>
      <c r="T63" s="47" t="s">
        <v>119</v>
      </c>
      <c r="U63" s="48"/>
      <c r="V63" s="48"/>
      <c r="W63" s="49"/>
      <c r="X63" s="56"/>
      <c r="Y63" s="57"/>
      <c r="Z63" s="58"/>
      <c r="AA63" s="22" t="s">
        <v>8</v>
      </c>
      <c r="AB63" s="23"/>
      <c r="AC63" s="23"/>
      <c r="AD63" s="23"/>
      <c r="AE63" s="23"/>
      <c r="AF63" s="23"/>
      <c r="AG63" s="23"/>
      <c r="AH63" s="24"/>
      <c r="AI63" s="47" t="s">
        <v>120</v>
      </c>
      <c r="AJ63" s="34"/>
      <c r="AK63" s="34"/>
      <c r="AL63" s="34"/>
      <c r="AM63" s="34"/>
      <c r="AN63" s="34"/>
      <c r="AO63" s="34"/>
      <c r="AP63" s="34"/>
      <c r="AQ63" s="35"/>
      <c r="AR63" s="11" t="s">
        <v>6</v>
      </c>
      <c r="AS63" s="11" t="s">
        <v>8</v>
      </c>
      <c r="AT63" s="11" t="s">
        <v>8</v>
      </c>
      <c r="AU63" s="53" t="s">
        <v>114</v>
      </c>
      <c r="AV63" s="54"/>
      <c r="AW63" s="54"/>
      <c r="AX63" s="55"/>
      <c r="AY63" s="53" t="s">
        <v>119</v>
      </c>
      <c r="AZ63" s="54"/>
      <c r="BA63" s="54"/>
      <c r="BB63" s="55"/>
      <c r="BC63" s="261" t="s">
        <v>117</v>
      </c>
      <c r="BD63" s="262"/>
      <c r="BE63" s="262"/>
      <c r="BF63" s="262"/>
      <c r="BG63" s="262"/>
      <c r="BH63" s="262"/>
      <c r="BI63" s="262"/>
      <c r="BJ63" s="263"/>
      <c r="BK63" s="6"/>
    </row>
    <row r="64" spans="1:63" x14ac:dyDescent="0.25">
      <c r="A64" s="5"/>
      <c r="B64" s="22">
        <f t="shared" si="0"/>
        <v>14</v>
      </c>
      <c r="C64" s="24"/>
      <c r="D64" s="25" t="s">
        <v>31</v>
      </c>
      <c r="E64" s="26"/>
      <c r="F64" s="26"/>
      <c r="G64" s="26"/>
      <c r="H64" s="26"/>
      <c r="I64" s="26"/>
      <c r="J64" s="27"/>
      <c r="K64" s="40" t="s">
        <v>5</v>
      </c>
      <c r="L64" s="29"/>
      <c r="M64" s="30"/>
      <c r="N64" s="9" t="s">
        <v>6</v>
      </c>
      <c r="O64" s="9" t="s">
        <v>6</v>
      </c>
      <c r="P64" s="32" t="s">
        <v>6</v>
      </c>
      <c r="Q64" s="23"/>
      <c r="R64" s="23"/>
      <c r="S64" s="24"/>
      <c r="T64" s="22" t="s">
        <v>9</v>
      </c>
      <c r="U64" s="23"/>
      <c r="V64" s="23"/>
      <c r="W64" s="24"/>
      <c r="X64" s="36" t="s">
        <v>121</v>
      </c>
      <c r="Y64" s="37"/>
      <c r="Z64" s="38"/>
      <c r="AA64" s="22" t="s">
        <v>8</v>
      </c>
      <c r="AB64" s="23"/>
      <c r="AC64" s="23"/>
      <c r="AD64" s="23"/>
      <c r="AE64" s="23"/>
      <c r="AF64" s="23"/>
      <c r="AG64" s="23"/>
      <c r="AH64" s="24"/>
      <c r="AI64" s="33" t="s">
        <v>8</v>
      </c>
      <c r="AJ64" s="34"/>
      <c r="AK64" s="34"/>
      <c r="AL64" s="34"/>
      <c r="AM64" s="34"/>
      <c r="AN64" s="34"/>
      <c r="AO64" s="34"/>
      <c r="AP64" s="34"/>
      <c r="AQ64" s="35"/>
      <c r="AR64" s="11" t="s">
        <v>6</v>
      </c>
      <c r="AS64" s="11" t="s">
        <v>8</v>
      </c>
      <c r="AT64" s="11" t="s">
        <v>8</v>
      </c>
      <c r="AU64" s="22" t="s">
        <v>9</v>
      </c>
      <c r="AV64" s="23"/>
      <c r="AW64" s="23"/>
      <c r="AX64" s="24"/>
      <c r="AY64" s="22" t="s">
        <v>8</v>
      </c>
      <c r="AZ64" s="23"/>
      <c r="BA64" s="23"/>
      <c r="BB64" s="24"/>
      <c r="BC64" s="264"/>
      <c r="BD64" s="253"/>
      <c r="BE64" s="253"/>
      <c r="BF64" s="253"/>
      <c r="BG64" s="253"/>
      <c r="BH64" s="253"/>
      <c r="BI64" s="253"/>
      <c r="BJ64" s="254"/>
      <c r="BK64" s="6"/>
    </row>
    <row r="65" spans="1:63" ht="31.5" customHeight="1" x14ac:dyDescent="0.25">
      <c r="A65" s="5"/>
      <c r="B65" s="22">
        <f t="shared" si="0"/>
        <v>15</v>
      </c>
      <c r="C65" s="24"/>
      <c r="D65" s="265" t="s">
        <v>32</v>
      </c>
      <c r="E65" s="266"/>
      <c r="F65" s="266"/>
      <c r="G65" s="266"/>
      <c r="H65" s="266"/>
      <c r="I65" s="266"/>
      <c r="J65" s="267"/>
      <c r="K65" s="40" t="s">
        <v>5</v>
      </c>
      <c r="L65" s="29"/>
      <c r="M65" s="30"/>
      <c r="N65" s="12" t="s">
        <v>23</v>
      </c>
      <c r="O65" s="9" t="s">
        <v>6</v>
      </c>
      <c r="P65" s="44" t="s">
        <v>111</v>
      </c>
      <c r="Q65" s="23"/>
      <c r="R65" s="23"/>
      <c r="S65" s="24"/>
      <c r="T65" s="47" t="s">
        <v>122</v>
      </c>
      <c r="U65" s="48"/>
      <c r="V65" s="48"/>
      <c r="W65" s="49"/>
      <c r="X65" s="31"/>
      <c r="Y65" s="23"/>
      <c r="Z65" s="24"/>
      <c r="AA65" s="22" t="s">
        <v>8</v>
      </c>
      <c r="AB65" s="23"/>
      <c r="AC65" s="23"/>
      <c r="AD65" s="23"/>
      <c r="AE65" s="23"/>
      <c r="AF65" s="23"/>
      <c r="AG65" s="23"/>
      <c r="AH65" s="24"/>
      <c r="AI65" s="33" t="s">
        <v>8</v>
      </c>
      <c r="AJ65" s="34"/>
      <c r="AK65" s="34"/>
      <c r="AL65" s="34"/>
      <c r="AM65" s="34"/>
      <c r="AN65" s="34"/>
      <c r="AO65" s="34"/>
      <c r="AP65" s="34"/>
      <c r="AQ65" s="35"/>
      <c r="AR65" s="11" t="s">
        <v>6</v>
      </c>
      <c r="AS65" s="11" t="s">
        <v>8</v>
      </c>
      <c r="AT65" s="11" t="s">
        <v>8</v>
      </c>
      <c r="AU65" s="22" t="s">
        <v>9</v>
      </c>
      <c r="AV65" s="23"/>
      <c r="AW65" s="23"/>
      <c r="AX65" s="24"/>
      <c r="AY65" s="22" t="s">
        <v>8</v>
      </c>
      <c r="AZ65" s="23"/>
      <c r="BA65" s="23"/>
      <c r="BB65" s="24"/>
      <c r="BC65" s="261"/>
      <c r="BD65" s="262"/>
      <c r="BE65" s="262"/>
      <c r="BF65" s="262"/>
      <c r="BG65" s="262"/>
      <c r="BH65" s="262"/>
      <c r="BI65" s="262"/>
      <c r="BJ65" s="263"/>
      <c r="BK65" s="6"/>
    </row>
    <row r="66" spans="1:63" x14ac:dyDescent="0.25">
      <c r="A66" s="5"/>
      <c r="B66" s="22">
        <f t="shared" si="0"/>
        <v>16</v>
      </c>
      <c r="C66" s="24"/>
      <c r="D66" s="25" t="s">
        <v>33</v>
      </c>
      <c r="E66" s="26"/>
      <c r="F66" s="26"/>
      <c r="G66" s="26"/>
      <c r="H66" s="26"/>
      <c r="I66" s="26"/>
      <c r="J66" s="27"/>
      <c r="K66" s="28" t="s">
        <v>118</v>
      </c>
      <c r="L66" s="29"/>
      <c r="M66" s="30"/>
      <c r="N66" s="12" t="s">
        <v>6</v>
      </c>
      <c r="O66" s="9" t="s">
        <v>7</v>
      </c>
      <c r="P66" s="22" t="s">
        <v>9</v>
      </c>
      <c r="Q66" s="23"/>
      <c r="R66" s="23"/>
      <c r="S66" s="24"/>
      <c r="T66" s="22" t="s">
        <v>9</v>
      </c>
      <c r="U66" s="23"/>
      <c r="V66" s="23"/>
      <c r="W66" s="24"/>
      <c r="X66" s="31" t="s">
        <v>39</v>
      </c>
      <c r="Y66" s="23"/>
      <c r="Z66" s="24"/>
      <c r="AA66" s="22" t="s">
        <v>8</v>
      </c>
      <c r="AB66" s="23"/>
      <c r="AC66" s="23"/>
      <c r="AD66" s="23"/>
      <c r="AE66" s="23"/>
      <c r="AF66" s="23"/>
      <c r="AG66" s="23"/>
      <c r="AH66" s="24"/>
      <c r="AI66" s="33" t="s">
        <v>8</v>
      </c>
      <c r="AJ66" s="34"/>
      <c r="AK66" s="34"/>
      <c r="AL66" s="34"/>
      <c r="AM66" s="34"/>
      <c r="AN66" s="34"/>
      <c r="AO66" s="34"/>
      <c r="AP66" s="34"/>
      <c r="AQ66" s="35"/>
      <c r="AR66" s="11" t="s">
        <v>6</v>
      </c>
      <c r="AS66" s="11" t="s">
        <v>8</v>
      </c>
      <c r="AT66" s="11" t="s">
        <v>8</v>
      </c>
      <c r="AU66" s="22" t="s">
        <v>9</v>
      </c>
      <c r="AV66" s="23"/>
      <c r="AW66" s="23"/>
      <c r="AX66" s="24"/>
      <c r="AY66" s="22" t="s">
        <v>8</v>
      </c>
      <c r="AZ66" s="23"/>
      <c r="BA66" s="23"/>
      <c r="BB66" s="24"/>
      <c r="BC66" s="264"/>
      <c r="BD66" s="253"/>
      <c r="BE66" s="253"/>
      <c r="BF66" s="253"/>
      <c r="BG66" s="253"/>
      <c r="BH66" s="253"/>
      <c r="BI66" s="253"/>
      <c r="BJ66" s="254"/>
      <c r="BK66" s="6"/>
    </row>
    <row r="67" spans="1:63" ht="31.5" customHeight="1" x14ac:dyDescent="0.25">
      <c r="A67" s="5"/>
      <c r="B67" s="22">
        <f t="shared" si="0"/>
        <v>17</v>
      </c>
      <c r="C67" s="24"/>
      <c r="D67" s="41" t="s">
        <v>34</v>
      </c>
      <c r="E67" s="42"/>
      <c r="F67" s="42"/>
      <c r="G67" s="42"/>
      <c r="H67" s="42"/>
      <c r="I67" s="42"/>
      <c r="J67" s="43"/>
      <c r="K67" s="40" t="s">
        <v>5</v>
      </c>
      <c r="L67" s="29"/>
      <c r="M67" s="30"/>
      <c r="N67" s="9" t="s">
        <v>23</v>
      </c>
      <c r="O67" s="9" t="s">
        <v>6</v>
      </c>
      <c r="P67" s="44" t="s">
        <v>111</v>
      </c>
      <c r="Q67" s="23"/>
      <c r="R67" s="23"/>
      <c r="S67" s="24"/>
      <c r="T67" s="67" t="s">
        <v>52</v>
      </c>
      <c r="U67" s="48"/>
      <c r="V67" s="48"/>
      <c r="W67" s="49"/>
      <c r="X67" s="56"/>
      <c r="Y67" s="57"/>
      <c r="Z67" s="58"/>
      <c r="AA67" s="22" t="s">
        <v>8</v>
      </c>
      <c r="AB67" s="23"/>
      <c r="AC67" s="23"/>
      <c r="AD67" s="23"/>
      <c r="AE67" s="23"/>
      <c r="AF67" s="23"/>
      <c r="AG67" s="23"/>
      <c r="AH67" s="24"/>
      <c r="AI67" s="33" t="s">
        <v>8</v>
      </c>
      <c r="AJ67" s="34"/>
      <c r="AK67" s="34"/>
      <c r="AL67" s="34"/>
      <c r="AM67" s="34"/>
      <c r="AN67" s="34"/>
      <c r="AO67" s="34"/>
      <c r="AP67" s="34"/>
      <c r="AQ67" s="35"/>
      <c r="AR67" s="11" t="s">
        <v>6</v>
      </c>
      <c r="AS67" s="11" t="s">
        <v>8</v>
      </c>
      <c r="AT67" s="11" t="s">
        <v>8</v>
      </c>
      <c r="AU67" s="22" t="s">
        <v>9</v>
      </c>
      <c r="AV67" s="23"/>
      <c r="AW67" s="23"/>
      <c r="AX67" s="24"/>
      <c r="AY67" s="22" t="s">
        <v>8</v>
      </c>
      <c r="AZ67" s="23"/>
      <c r="BA67" s="23"/>
      <c r="BB67" s="24"/>
      <c r="BC67" s="59"/>
      <c r="BD67" s="253"/>
      <c r="BE67" s="253"/>
      <c r="BF67" s="253"/>
      <c r="BG67" s="253"/>
      <c r="BH67" s="253"/>
      <c r="BI67" s="253"/>
      <c r="BJ67" s="254"/>
      <c r="BK67" s="6"/>
    </row>
    <row r="68" spans="1:63" x14ac:dyDescent="0.25">
      <c r="A68" s="5"/>
      <c r="B68" s="22">
        <f t="shared" si="0"/>
        <v>18</v>
      </c>
      <c r="C68" s="24"/>
      <c r="D68" s="25" t="s">
        <v>36</v>
      </c>
      <c r="E68" s="26"/>
      <c r="F68" s="26"/>
      <c r="G68" s="26"/>
      <c r="H68" s="26"/>
      <c r="I68" s="26"/>
      <c r="J68" s="27"/>
      <c r="K68" s="40" t="s">
        <v>5</v>
      </c>
      <c r="L68" s="29"/>
      <c r="M68" s="30"/>
      <c r="N68" s="9" t="s">
        <v>6</v>
      </c>
      <c r="O68" s="9" t="s">
        <v>7</v>
      </c>
      <c r="P68" s="32" t="s">
        <v>6</v>
      </c>
      <c r="Q68" s="23"/>
      <c r="R68" s="23"/>
      <c r="S68" s="24"/>
      <c r="T68" s="22"/>
      <c r="U68" s="23"/>
      <c r="V68" s="23"/>
      <c r="W68" s="24"/>
      <c r="X68" s="36" t="s">
        <v>123</v>
      </c>
      <c r="Y68" s="37"/>
      <c r="Z68" s="38"/>
      <c r="AA68" s="22" t="s">
        <v>8</v>
      </c>
      <c r="AB68" s="23"/>
      <c r="AC68" s="23"/>
      <c r="AD68" s="23"/>
      <c r="AE68" s="23"/>
      <c r="AF68" s="23"/>
      <c r="AG68" s="23"/>
      <c r="AH68" s="24"/>
      <c r="AI68" s="33" t="s">
        <v>8</v>
      </c>
      <c r="AJ68" s="34"/>
      <c r="AK68" s="34"/>
      <c r="AL68" s="34"/>
      <c r="AM68" s="34"/>
      <c r="AN68" s="34"/>
      <c r="AO68" s="34"/>
      <c r="AP68" s="34"/>
      <c r="AQ68" s="35"/>
      <c r="AR68" s="11" t="s">
        <v>6</v>
      </c>
      <c r="AS68" s="11" t="s">
        <v>8</v>
      </c>
      <c r="AT68" s="11" t="s">
        <v>8</v>
      </c>
      <c r="AU68" s="22" t="s">
        <v>9</v>
      </c>
      <c r="AV68" s="23"/>
      <c r="AW68" s="23"/>
      <c r="AX68" s="24"/>
      <c r="AY68" s="22" t="s">
        <v>8</v>
      </c>
      <c r="AZ68" s="23"/>
      <c r="BA68" s="23"/>
      <c r="BB68" s="24"/>
      <c r="BC68" s="264"/>
      <c r="BD68" s="253"/>
      <c r="BE68" s="253"/>
      <c r="BF68" s="253"/>
      <c r="BG68" s="253"/>
      <c r="BH68" s="253"/>
      <c r="BI68" s="253"/>
      <c r="BJ68" s="254"/>
      <c r="BK68" s="6"/>
    </row>
    <row r="69" spans="1:63" ht="32.25" customHeight="1" x14ac:dyDescent="0.25">
      <c r="A69" s="5"/>
      <c r="B69" s="22">
        <f t="shared" si="0"/>
        <v>19</v>
      </c>
      <c r="C69" s="24"/>
      <c r="D69" s="265" t="s">
        <v>35</v>
      </c>
      <c r="E69" s="266"/>
      <c r="F69" s="266"/>
      <c r="G69" s="266"/>
      <c r="H69" s="266"/>
      <c r="I69" s="266"/>
      <c r="J69" s="267"/>
      <c r="K69" s="40" t="s">
        <v>5</v>
      </c>
      <c r="L69" s="29"/>
      <c r="M69" s="30"/>
      <c r="N69" s="12" t="s">
        <v>23</v>
      </c>
      <c r="O69" s="9" t="s">
        <v>6</v>
      </c>
      <c r="P69" s="44" t="s">
        <v>111</v>
      </c>
      <c r="Q69" s="23"/>
      <c r="R69" s="23"/>
      <c r="S69" s="24"/>
      <c r="T69" s="47" t="s">
        <v>124</v>
      </c>
      <c r="U69" s="48"/>
      <c r="V69" s="48"/>
      <c r="W69" s="49"/>
      <c r="X69" s="31"/>
      <c r="Y69" s="23"/>
      <c r="Z69" s="24"/>
      <c r="AA69" s="22" t="s">
        <v>8</v>
      </c>
      <c r="AB69" s="23"/>
      <c r="AC69" s="23"/>
      <c r="AD69" s="23"/>
      <c r="AE69" s="23"/>
      <c r="AF69" s="23"/>
      <c r="AG69" s="23"/>
      <c r="AH69" s="24"/>
      <c r="AI69" s="33" t="s">
        <v>8</v>
      </c>
      <c r="AJ69" s="34"/>
      <c r="AK69" s="34"/>
      <c r="AL69" s="34"/>
      <c r="AM69" s="34"/>
      <c r="AN69" s="34"/>
      <c r="AO69" s="34"/>
      <c r="AP69" s="34"/>
      <c r="AQ69" s="35"/>
      <c r="AR69" s="11" t="s">
        <v>6</v>
      </c>
      <c r="AS69" s="11" t="s">
        <v>8</v>
      </c>
      <c r="AT69" s="11" t="s">
        <v>8</v>
      </c>
      <c r="AU69" s="22" t="s">
        <v>9</v>
      </c>
      <c r="AV69" s="23"/>
      <c r="AW69" s="23"/>
      <c r="AX69" s="24"/>
      <c r="AY69" s="22" t="s">
        <v>8</v>
      </c>
      <c r="AZ69" s="23"/>
      <c r="BA69" s="23"/>
      <c r="BB69" s="24"/>
      <c r="BC69" s="261"/>
      <c r="BD69" s="262"/>
      <c r="BE69" s="262"/>
      <c r="BF69" s="262"/>
      <c r="BG69" s="262"/>
      <c r="BH69" s="262"/>
      <c r="BI69" s="262"/>
      <c r="BJ69" s="263"/>
      <c r="BK69" s="6"/>
    </row>
    <row r="70" spans="1:63" x14ac:dyDescent="0.25">
      <c r="A70" s="5"/>
      <c r="B70" s="22">
        <f t="shared" si="0"/>
        <v>20</v>
      </c>
      <c r="C70" s="24"/>
      <c r="D70" s="25" t="s">
        <v>37</v>
      </c>
      <c r="E70" s="26"/>
      <c r="F70" s="26"/>
      <c r="G70" s="26"/>
      <c r="H70" s="26"/>
      <c r="I70" s="26"/>
      <c r="J70" s="27"/>
      <c r="K70" s="28" t="s">
        <v>118</v>
      </c>
      <c r="L70" s="29"/>
      <c r="M70" s="30"/>
      <c r="N70" s="12" t="s">
        <v>6</v>
      </c>
      <c r="O70" s="9" t="s">
        <v>7</v>
      </c>
      <c r="P70" s="22" t="s">
        <v>9</v>
      </c>
      <c r="Q70" s="23"/>
      <c r="R70" s="23"/>
      <c r="S70" s="24"/>
      <c r="T70" s="22" t="s">
        <v>9</v>
      </c>
      <c r="U70" s="23"/>
      <c r="V70" s="23"/>
      <c r="W70" s="24"/>
      <c r="X70" s="31" t="s">
        <v>40</v>
      </c>
      <c r="Y70" s="23"/>
      <c r="Z70" s="24"/>
      <c r="AA70" s="22" t="s">
        <v>8</v>
      </c>
      <c r="AB70" s="23"/>
      <c r="AC70" s="23"/>
      <c r="AD70" s="23"/>
      <c r="AE70" s="23"/>
      <c r="AF70" s="23"/>
      <c r="AG70" s="23"/>
      <c r="AH70" s="24"/>
      <c r="AI70" s="33" t="s">
        <v>8</v>
      </c>
      <c r="AJ70" s="34"/>
      <c r="AK70" s="34"/>
      <c r="AL70" s="34"/>
      <c r="AM70" s="34"/>
      <c r="AN70" s="34"/>
      <c r="AO70" s="34"/>
      <c r="AP70" s="34"/>
      <c r="AQ70" s="35"/>
      <c r="AR70" s="11" t="s">
        <v>6</v>
      </c>
      <c r="AS70" s="11" t="s">
        <v>8</v>
      </c>
      <c r="AT70" s="11" t="s">
        <v>8</v>
      </c>
      <c r="AU70" s="22" t="s">
        <v>9</v>
      </c>
      <c r="AV70" s="23"/>
      <c r="AW70" s="23"/>
      <c r="AX70" s="24"/>
      <c r="AY70" s="22" t="s">
        <v>8</v>
      </c>
      <c r="AZ70" s="23"/>
      <c r="BA70" s="23"/>
      <c r="BB70" s="24"/>
      <c r="BC70" s="264"/>
      <c r="BD70" s="253"/>
      <c r="BE70" s="253"/>
      <c r="BF70" s="253"/>
      <c r="BG70" s="253"/>
      <c r="BH70" s="253"/>
      <c r="BI70" s="253"/>
      <c r="BJ70" s="254"/>
      <c r="BK70" s="6"/>
    </row>
    <row r="71" spans="1:63" s="19" customFormat="1" ht="60" customHeight="1" x14ac:dyDescent="0.25">
      <c r="A71" s="16"/>
      <c r="B71" s="22">
        <f t="shared" ref="B71" si="1">B70+1</f>
        <v>21</v>
      </c>
      <c r="C71" s="24"/>
      <c r="D71" s="139" t="s">
        <v>38</v>
      </c>
      <c r="E71" s="140"/>
      <c r="F71" s="140"/>
      <c r="G71" s="140"/>
      <c r="H71" s="140"/>
      <c r="I71" s="140"/>
      <c r="J71" s="141"/>
      <c r="K71" s="47" t="s">
        <v>110</v>
      </c>
      <c r="L71" s="48"/>
      <c r="M71" s="49"/>
      <c r="N71" s="17" t="s">
        <v>16</v>
      </c>
      <c r="O71" s="17" t="s">
        <v>6</v>
      </c>
      <c r="P71" s="44" t="s">
        <v>92</v>
      </c>
      <c r="Q71" s="45"/>
      <c r="R71" s="45"/>
      <c r="S71" s="46"/>
      <c r="T71" s="47" t="s">
        <v>125</v>
      </c>
      <c r="U71" s="48"/>
      <c r="V71" s="48"/>
      <c r="W71" s="49"/>
      <c r="X71" s="142"/>
      <c r="Y71" s="143"/>
      <c r="Z71" s="144"/>
      <c r="AA71" s="22" t="s">
        <v>8</v>
      </c>
      <c r="AB71" s="23"/>
      <c r="AC71" s="23"/>
      <c r="AD71" s="23"/>
      <c r="AE71" s="23"/>
      <c r="AF71" s="23"/>
      <c r="AG71" s="23"/>
      <c r="AH71" s="24"/>
      <c r="AI71" s="67" t="s">
        <v>51</v>
      </c>
      <c r="AJ71" s="48"/>
      <c r="AK71" s="48"/>
      <c r="AL71" s="48"/>
      <c r="AM71" s="48"/>
      <c r="AN71" s="48"/>
      <c r="AO71" s="48"/>
      <c r="AP71" s="48"/>
      <c r="AQ71" s="49"/>
      <c r="AR71" s="17" t="s">
        <v>6</v>
      </c>
      <c r="AS71" s="17" t="s">
        <v>8</v>
      </c>
      <c r="AT71" s="17" t="s">
        <v>8</v>
      </c>
      <c r="AU71" s="53" t="s">
        <v>114</v>
      </c>
      <c r="AV71" s="54"/>
      <c r="AW71" s="54"/>
      <c r="AX71" s="55"/>
      <c r="AY71" s="145" t="s">
        <v>115</v>
      </c>
      <c r="AZ71" s="146"/>
      <c r="BA71" s="146"/>
      <c r="BB71" s="147"/>
      <c r="BC71" s="255" t="s">
        <v>126</v>
      </c>
      <c r="BD71" s="253"/>
      <c r="BE71" s="253"/>
      <c r="BF71" s="253"/>
      <c r="BG71" s="253"/>
      <c r="BH71" s="253"/>
      <c r="BI71" s="253"/>
      <c r="BJ71" s="254"/>
      <c r="BK71" s="18"/>
    </row>
    <row r="72" spans="1:63" ht="79.5" customHeight="1" x14ac:dyDescent="0.25">
      <c r="A72" s="5"/>
      <c r="B72" s="22">
        <f t="shared" si="0"/>
        <v>22</v>
      </c>
      <c r="C72" s="24"/>
      <c r="D72" s="25" t="s">
        <v>41</v>
      </c>
      <c r="E72" s="26"/>
      <c r="F72" s="26"/>
      <c r="G72" s="26"/>
      <c r="H72" s="26"/>
      <c r="I72" s="26"/>
      <c r="J72" s="27"/>
      <c r="K72" s="28" t="s">
        <v>101</v>
      </c>
      <c r="L72" s="29"/>
      <c r="M72" s="30"/>
      <c r="N72" s="9" t="s">
        <v>16</v>
      </c>
      <c r="O72" s="9" t="s">
        <v>7</v>
      </c>
      <c r="P72" s="32" t="s">
        <v>6</v>
      </c>
      <c r="Q72" s="23"/>
      <c r="R72" s="23"/>
      <c r="S72" s="24"/>
      <c r="T72" s="22" t="s">
        <v>9</v>
      </c>
      <c r="U72" s="23"/>
      <c r="V72" s="23"/>
      <c r="W72" s="24"/>
      <c r="X72" s="142" t="s">
        <v>127</v>
      </c>
      <c r="Y72" s="143"/>
      <c r="Z72" s="144"/>
      <c r="AA72" s="67" t="s">
        <v>128</v>
      </c>
      <c r="AB72" s="48"/>
      <c r="AC72" s="48"/>
      <c r="AD72" s="48"/>
      <c r="AE72" s="48"/>
      <c r="AF72" s="48"/>
      <c r="AG72" s="48"/>
      <c r="AH72" s="49"/>
      <c r="AI72" s="39" t="s">
        <v>129</v>
      </c>
      <c r="AJ72" s="34"/>
      <c r="AK72" s="34"/>
      <c r="AL72" s="34"/>
      <c r="AM72" s="34"/>
      <c r="AN72" s="34"/>
      <c r="AO72" s="34"/>
      <c r="AP72" s="34"/>
      <c r="AQ72" s="35"/>
      <c r="AR72" s="11" t="s">
        <v>6</v>
      </c>
      <c r="AS72" s="11" t="s">
        <v>8</v>
      </c>
      <c r="AT72" s="11" t="s">
        <v>8</v>
      </c>
      <c r="AU72" s="22" t="s">
        <v>9</v>
      </c>
      <c r="AV72" s="23"/>
      <c r="AW72" s="23"/>
      <c r="AX72" s="24"/>
      <c r="AY72" s="22" t="s">
        <v>8</v>
      </c>
      <c r="AZ72" s="23"/>
      <c r="BA72" s="23"/>
      <c r="BB72" s="24"/>
      <c r="BC72" s="255" t="s">
        <v>130</v>
      </c>
      <c r="BD72" s="253"/>
      <c r="BE72" s="253"/>
      <c r="BF72" s="253"/>
      <c r="BG72" s="253"/>
      <c r="BH72" s="253"/>
      <c r="BI72" s="253"/>
      <c r="BJ72" s="254"/>
      <c r="BK72" s="6"/>
    </row>
    <row r="73" spans="1:63" ht="15.75" customHeight="1" x14ac:dyDescent="0.25">
      <c r="A73" s="5"/>
      <c r="B73" s="22">
        <f t="shared" si="0"/>
        <v>23</v>
      </c>
      <c r="C73" s="24"/>
      <c r="D73" s="265" t="s">
        <v>42</v>
      </c>
      <c r="E73" s="266"/>
      <c r="F73" s="266"/>
      <c r="G73" s="266"/>
      <c r="H73" s="266"/>
      <c r="I73" s="266"/>
      <c r="J73" s="267"/>
      <c r="K73" s="28" t="s">
        <v>101</v>
      </c>
      <c r="L73" s="29"/>
      <c r="M73" s="30"/>
      <c r="N73" s="12" t="s">
        <v>6</v>
      </c>
      <c r="O73" s="9" t="s">
        <v>7</v>
      </c>
      <c r="P73" s="22" t="s">
        <v>9</v>
      </c>
      <c r="Q73" s="23"/>
      <c r="R73" s="23"/>
      <c r="S73" s="24"/>
      <c r="T73" s="22" t="s">
        <v>9</v>
      </c>
      <c r="U73" s="23"/>
      <c r="V73" s="23"/>
      <c r="W73" s="24"/>
      <c r="X73" s="31" t="s">
        <v>43</v>
      </c>
      <c r="Y73" s="23"/>
      <c r="Z73" s="24"/>
      <c r="AA73" s="22" t="s">
        <v>8</v>
      </c>
      <c r="AB73" s="23"/>
      <c r="AC73" s="23"/>
      <c r="AD73" s="23"/>
      <c r="AE73" s="23"/>
      <c r="AF73" s="23"/>
      <c r="AG73" s="23"/>
      <c r="AH73" s="24"/>
      <c r="AI73" s="33" t="s">
        <v>8</v>
      </c>
      <c r="AJ73" s="34"/>
      <c r="AK73" s="34"/>
      <c r="AL73" s="34"/>
      <c r="AM73" s="34"/>
      <c r="AN73" s="34"/>
      <c r="AO73" s="34"/>
      <c r="AP73" s="34"/>
      <c r="AQ73" s="35"/>
      <c r="AR73" s="11" t="s">
        <v>6</v>
      </c>
      <c r="AS73" s="11" t="s">
        <v>8</v>
      </c>
      <c r="AT73" s="11" t="s">
        <v>8</v>
      </c>
      <c r="AU73" s="22" t="s">
        <v>9</v>
      </c>
      <c r="AV73" s="23"/>
      <c r="AW73" s="23"/>
      <c r="AX73" s="24"/>
      <c r="AY73" s="22" t="s">
        <v>8</v>
      </c>
      <c r="AZ73" s="23"/>
      <c r="BA73" s="23"/>
      <c r="BB73" s="24"/>
      <c r="BC73" s="255" t="s">
        <v>131</v>
      </c>
      <c r="BD73" s="256"/>
      <c r="BE73" s="256"/>
      <c r="BF73" s="256"/>
      <c r="BG73" s="256"/>
      <c r="BH73" s="256"/>
      <c r="BI73" s="256"/>
      <c r="BJ73" s="257"/>
      <c r="BK73" s="6"/>
    </row>
    <row r="74" spans="1:63" ht="15.75" customHeight="1" x14ac:dyDescent="0.25">
      <c r="A74" s="5"/>
      <c r="B74" s="22">
        <f t="shared" si="0"/>
        <v>24</v>
      </c>
      <c r="C74" s="24"/>
      <c r="D74" s="25" t="s">
        <v>44</v>
      </c>
      <c r="E74" s="26"/>
      <c r="F74" s="26"/>
      <c r="G74" s="26"/>
      <c r="H74" s="26"/>
      <c r="I74" s="26"/>
      <c r="J74" s="27"/>
      <c r="K74" s="28" t="s">
        <v>101</v>
      </c>
      <c r="L74" s="29"/>
      <c r="M74" s="30"/>
      <c r="N74" s="12" t="s">
        <v>6</v>
      </c>
      <c r="O74" s="9" t="s">
        <v>7</v>
      </c>
      <c r="P74" s="22" t="s">
        <v>9</v>
      </c>
      <c r="Q74" s="23"/>
      <c r="R74" s="23"/>
      <c r="S74" s="24"/>
      <c r="T74" s="22" t="s">
        <v>9</v>
      </c>
      <c r="U74" s="23"/>
      <c r="V74" s="23"/>
      <c r="W74" s="24"/>
      <c r="X74" s="31" t="s">
        <v>45</v>
      </c>
      <c r="Y74" s="23"/>
      <c r="Z74" s="24"/>
      <c r="AA74" s="22" t="s">
        <v>8</v>
      </c>
      <c r="AB74" s="23"/>
      <c r="AC74" s="23"/>
      <c r="AD74" s="23"/>
      <c r="AE74" s="23"/>
      <c r="AF74" s="23"/>
      <c r="AG74" s="23"/>
      <c r="AH74" s="24"/>
      <c r="AI74" s="33" t="s">
        <v>8</v>
      </c>
      <c r="AJ74" s="34"/>
      <c r="AK74" s="34"/>
      <c r="AL74" s="34"/>
      <c r="AM74" s="34"/>
      <c r="AN74" s="34"/>
      <c r="AO74" s="34"/>
      <c r="AP74" s="34"/>
      <c r="AQ74" s="35"/>
      <c r="AR74" s="11" t="s">
        <v>6</v>
      </c>
      <c r="AS74" s="11" t="s">
        <v>8</v>
      </c>
      <c r="AT74" s="11" t="s">
        <v>8</v>
      </c>
      <c r="AU74" s="22" t="s">
        <v>9</v>
      </c>
      <c r="AV74" s="23"/>
      <c r="AW74" s="23"/>
      <c r="AX74" s="24"/>
      <c r="AY74" s="22" t="s">
        <v>8</v>
      </c>
      <c r="AZ74" s="23"/>
      <c r="BA74" s="23"/>
      <c r="BB74" s="24"/>
      <c r="BC74" s="255" t="s">
        <v>132</v>
      </c>
      <c r="BD74" s="256"/>
      <c r="BE74" s="256"/>
      <c r="BF74" s="256"/>
      <c r="BG74" s="256"/>
      <c r="BH74" s="256"/>
      <c r="BI74" s="256"/>
      <c r="BJ74" s="257"/>
      <c r="BK74" s="6"/>
    </row>
    <row r="75" spans="1:63" ht="15.75" customHeight="1" x14ac:dyDescent="0.25">
      <c r="A75" s="5"/>
      <c r="B75" s="22">
        <f t="shared" ref="B75:B76" si="2">B74+1</f>
        <v>25</v>
      </c>
      <c r="C75" s="24"/>
      <c r="D75" s="265" t="s">
        <v>46</v>
      </c>
      <c r="E75" s="266"/>
      <c r="F75" s="266"/>
      <c r="G75" s="266"/>
      <c r="H75" s="266"/>
      <c r="I75" s="266"/>
      <c r="J75" s="267"/>
      <c r="K75" s="28" t="s">
        <v>101</v>
      </c>
      <c r="L75" s="29"/>
      <c r="M75" s="30"/>
      <c r="N75" s="12" t="s">
        <v>6</v>
      </c>
      <c r="O75" s="9" t="s">
        <v>7</v>
      </c>
      <c r="P75" s="22" t="s">
        <v>9</v>
      </c>
      <c r="Q75" s="23"/>
      <c r="R75" s="23"/>
      <c r="S75" s="24"/>
      <c r="T75" s="22" t="s">
        <v>9</v>
      </c>
      <c r="U75" s="23"/>
      <c r="V75" s="23"/>
      <c r="W75" s="24"/>
      <c r="X75" s="31" t="s">
        <v>47</v>
      </c>
      <c r="Y75" s="23"/>
      <c r="Z75" s="24"/>
      <c r="AA75" s="22" t="s">
        <v>8</v>
      </c>
      <c r="AB75" s="23"/>
      <c r="AC75" s="23"/>
      <c r="AD75" s="23"/>
      <c r="AE75" s="23"/>
      <c r="AF75" s="23"/>
      <c r="AG75" s="23"/>
      <c r="AH75" s="24"/>
      <c r="AI75" s="39" t="s">
        <v>138</v>
      </c>
      <c r="AJ75" s="34"/>
      <c r="AK75" s="34"/>
      <c r="AL75" s="34"/>
      <c r="AM75" s="34"/>
      <c r="AN75" s="34"/>
      <c r="AO75" s="34"/>
      <c r="AP75" s="34"/>
      <c r="AQ75" s="35"/>
      <c r="AR75" s="11" t="s">
        <v>6</v>
      </c>
      <c r="AS75" s="11" t="s">
        <v>8</v>
      </c>
      <c r="AT75" s="11" t="s">
        <v>8</v>
      </c>
      <c r="AU75" s="22" t="s">
        <v>9</v>
      </c>
      <c r="AV75" s="23"/>
      <c r="AW75" s="23"/>
      <c r="AX75" s="24"/>
      <c r="AY75" s="22" t="s">
        <v>8</v>
      </c>
      <c r="AZ75" s="23"/>
      <c r="BA75" s="23"/>
      <c r="BB75" s="24"/>
      <c r="BC75" s="255" t="s">
        <v>133</v>
      </c>
      <c r="BD75" s="256"/>
      <c r="BE75" s="256"/>
      <c r="BF75" s="256"/>
      <c r="BG75" s="256"/>
      <c r="BH75" s="256"/>
      <c r="BI75" s="256"/>
      <c r="BJ75" s="257"/>
      <c r="BK75" s="6"/>
    </row>
    <row r="76" spans="1:63" ht="15.75" customHeight="1" x14ac:dyDescent="0.25">
      <c r="A76" s="5"/>
      <c r="B76" s="22">
        <f t="shared" si="2"/>
        <v>26</v>
      </c>
      <c r="C76" s="24"/>
      <c r="D76" s="25" t="s">
        <v>48</v>
      </c>
      <c r="E76" s="26"/>
      <c r="F76" s="26"/>
      <c r="G76" s="26"/>
      <c r="H76" s="26"/>
      <c r="I76" s="26"/>
      <c r="J76" s="27"/>
      <c r="K76" s="28" t="s">
        <v>101</v>
      </c>
      <c r="L76" s="29"/>
      <c r="M76" s="30"/>
      <c r="N76" s="12" t="s">
        <v>6</v>
      </c>
      <c r="O76" s="9" t="s">
        <v>7</v>
      </c>
      <c r="P76" s="22" t="s">
        <v>9</v>
      </c>
      <c r="Q76" s="23"/>
      <c r="R76" s="23"/>
      <c r="S76" s="24"/>
      <c r="T76" s="22" t="s">
        <v>9</v>
      </c>
      <c r="U76" s="23"/>
      <c r="V76" s="23"/>
      <c r="W76" s="24"/>
      <c r="X76" s="31" t="s">
        <v>48</v>
      </c>
      <c r="Y76" s="23"/>
      <c r="Z76" s="24"/>
      <c r="AA76" s="32" t="s">
        <v>134</v>
      </c>
      <c r="AB76" s="23"/>
      <c r="AC76" s="23"/>
      <c r="AD76" s="23"/>
      <c r="AE76" s="23"/>
      <c r="AF76" s="23"/>
      <c r="AG76" s="23"/>
      <c r="AH76" s="24"/>
      <c r="AI76" s="33" t="s">
        <v>50</v>
      </c>
      <c r="AJ76" s="34"/>
      <c r="AK76" s="34"/>
      <c r="AL76" s="34"/>
      <c r="AM76" s="34"/>
      <c r="AN76" s="34"/>
      <c r="AO76" s="34"/>
      <c r="AP76" s="34"/>
      <c r="AQ76" s="35"/>
      <c r="AR76" s="11" t="s">
        <v>6</v>
      </c>
      <c r="AS76" s="11" t="s">
        <v>8</v>
      </c>
      <c r="AT76" s="11" t="s">
        <v>8</v>
      </c>
      <c r="AU76" s="22" t="s">
        <v>9</v>
      </c>
      <c r="AV76" s="23"/>
      <c r="AW76" s="23"/>
      <c r="AX76" s="24"/>
      <c r="AY76" s="22" t="s">
        <v>8</v>
      </c>
      <c r="AZ76" s="23"/>
      <c r="BA76" s="23"/>
      <c r="BB76" s="24"/>
      <c r="BC76" s="264" t="s">
        <v>135</v>
      </c>
      <c r="BD76" s="253"/>
      <c r="BE76" s="253"/>
      <c r="BF76" s="253"/>
      <c r="BG76" s="253"/>
      <c r="BH76" s="253"/>
      <c r="BI76" s="253"/>
      <c r="BJ76" s="254"/>
      <c r="BK76" s="6"/>
    </row>
    <row r="77" spans="1:63" ht="15.75" customHeight="1" x14ac:dyDescent="0.25">
      <c r="A77" s="5"/>
      <c r="B77" s="148">
        <f>B74+1</f>
        <v>25</v>
      </c>
      <c r="C77" s="150"/>
      <c r="D77" s="154" t="s">
        <v>49</v>
      </c>
      <c r="E77" s="155"/>
      <c r="F77" s="155"/>
      <c r="G77" s="155"/>
      <c r="H77" s="155"/>
      <c r="I77" s="155"/>
      <c r="J77" s="156"/>
      <c r="K77" s="157" t="s">
        <v>11</v>
      </c>
      <c r="L77" s="158"/>
      <c r="M77" s="159"/>
      <c r="N77" s="13" t="s">
        <v>6</v>
      </c>
      <c r="O77" s="13" t="s">
        <v>7</v>
      </c>
      <c r="P77" s="148" t="s">
        <v>9</v>
      </c>
      <c r="Q77" s="149"/>
      <c r="R77" s="149"/>
      <c r="S77" s="150"/>
      <c r="T77" s="148" t="s">
        <v>9</v>
      </c>
      <c r="U77" s="149"/>
      <c r="V77" s="149"/>
      <c r="W77" s="150"/>
      <c r="X77" s="160" t="s">
        <v>136</v>
      </c>
      <c r="Y77" s="161"/>
      <c r="Z77" s="162"/>
      <c r="AA77" s="148" t="s">
        <v>50</v>
      </c>
      <c r="AB77" s="149"/>
      <c r="AC77" s="149"/>
      <c r="AD77" s="149"/>
      <c r="AE77" s="149"/>
      <c r="AF77" s="149"/>
      <c r="AG77" s="149"/>
      <c r="AH77" s="150"/>
      <c r="AI77" s="151" t="s">
        <v>50</v>
      </c>
      <c r="AJ77" s="152"/>
      <c r="AK77" s="152"/>
      <c r="AL77" s="152"/>
      <c r="AM77" s="152"/>
      <c r="AN77" s="152"/>
      <c r="AO77" s="152"/>
      <c r="AP77" s="152"/>
      <c r="AQ77" s="153"/>
      <c r="AR77" s="14" t="s">
        <v>6</v>
      </c>
      <c r="AS77" s="14" t="s">
        <v>8</v>
      </c>
      <c r="AT77" s="14" t="s">
        <v>8</v>
      </c>
      <c r="AU77" s="148" t="s">
        <v>9</v>
      </c>
      <c r="AV77" s="149"/>
      <c r="AW77" s="149"/>
      <c r="AX77" s="150"/>
      <c r="AY77" s="148" t="s">
        <v>8</v>
      </c>
      <c r="AZ77" s="149"/>
      <c r="BA77" s="149"/>
      <c r="BB77" s="150"/>
      <c r="BC77" s="268" t="s">
        <v>137</v>
      </c>
      <c r="BD77" s="269"/>
      <c r="BE77" s="269"/>
      <c r="BF77" s="269"/>
      <c r="BG77" s="269"/>
      <c r="BH77" s="269"/>
      <c r="BI77" s="269"/>
      <c r="BJ77" s="270"/>
      <c r="BK77" s="6"/>
    </row>
    <row r="78" spans="1:63" x14ac:dyDescent="0.25">
      <c r="A78" s="5"/>
      <c r="BK78" s="6"/>
    </row>
    <row r="79" spans="1:63" ht="15" customHeight="1" x14ac:dyDescent="0.25">
      <c r="A79" s="5"/>
      <c r="BK79" s="6"/>
    </row>
    <row r="80" spans="1:63" ht="15" customHeight="1" x14ac:dyDescent="0.25">
      <c r="A80" s="5"/>
      <c r="BK80" s="6"/>
    </row>
    <row r="81" spans="1:63" ht="15" customHeight="1" x14ac:dyDescent="0.25">
      <c r="A81" s="5"/>
      <c r="BK81" s="6"/>
    </row>
    <row r="82" spans="1:63" ht="15" customHeight="1" x14ac:dyDescent="0.25">
      <c r="A82" s="5"/>
      <c r="BK82" s="6"/>
    </row>
    <row r="83" spans="1:63" ht="15" customHeight="1" x14ac:dyDescent="0.25">
      <c r="A83" s="5"/>
      <c r="BK83" s="6"/>
    </row>
    <row r="84" spans="1:63" ht="15" customHeight="1" x14ac:dyDescent="0.25">
      <c r="A84" s="5"/>
      <c r="BK84" s="6"/>
    </row>
    <row r="85" spans="1:63" ht="15" customHeight="1" x14ac:dyDescent="0.25">
      <c r="A85" s="5"/>
      <c r="BK85" s="6"/>
    </row>
    <row r="86" spans="1:63" ht="15" customHeight="1" x14ac:dyDescent="0.25">
      <c r="A86" s="5"/>
      <c r="BK86" s="6"/>
    </row>
    <row r="87" spans="1:63" ht="15" customHeight="1" x14ac:dyDescent="0.25">
      <c r="A87" s="5"/>
      <c r="BK87" s="6"/>
    </row>
    <row r="88" spans="1:63" ht="15" customHeight="1" x14ac:dyDescent="0.25">
      <c r="A88" s="5"/>
      <c r="BK88" s="6"/>
    </row>
    <row r="89" spans="1:63" ht="15" customHeight="1" x14ac:dyDescent="0.25">
      <c r="A89" s="5"/>
      <c r="BK89" s="6"/>
    </row>
    <row r="90" spans="1:63" ht="15" customHeight="1" x14ac:dyDescent="0.25">
      <c r="A90" s="5"/>
      <c r="BK90" s="6"/>
    </row>
    <row r="91" spans="1:63" ht="15" customHeight="1" x14ac:dyDescent="0.25">
      <c r="A91" s="5"/>
      <c r="BK91" s="6"/>
    </row>
    <row r="92" spans="1:63" ht="15" customHeight="1" x14ac:dyDescent="0.25">
      <c r="A92" s="5"/>
      <c r="BK92" s="6"/>
    </row>
    <row r="93" spans="1:63" ht="15" customHeight="1" x14ac:dyDescent="0.25">
      <c r="A93" s="5"/>
      <c r="BK93" s="6"/>
    </row>
    <row r="94" spans="1:63" ht="15" customHeight="1" x14ac:dyDescent="0.25">
      <c r="A94" s="5"/>
      <c r="BK94" s="6"/>
    </row>
    <row r="95" spans="1:63" ht="15" customHeight="1" x14ac:dyDescent="0.25">
      <c r="A95" s="5"/>
      <c r="BK95" s="6"/>
    </row>
    <row r="96" spans="1:63" ht="14.25" customHeight="1" x14ac:dyDescent="0.25">
      <c r="A96" s="5"/>
      <c r="BK96" s="6"/>
    </row>
    <row r="97" spans="1:63" ht="15" customHeight="1" x14ac:dyDescent="0.25">
      <c r="A97" s="5"/>
      <c r="BK97" s="6"/>
    </row>
    <row r="98" spans="1:63" ht="15" customHeight="1" x14ac:dyDescent="0.25">
      <c r="A98" s="5"/>
      <c r="BK98" s="6"/>
    </row>
    <row r="99" spans="1:63" x14ac:dyDescent="0.25">
      <c r="A99" s="5"/>
      <c r="BK99" s="6"/>
    </row>
    <row r="100" spans="1:63" x14ac:dyDescent="0.25">
      <c r="A100" s="5"/>
      <c r="BK100" s="6"/>
    </row>
    <row r="101" spans="1:63" x14ac:dyDescent="0.25">
      <c r="A101" s="5"/>
      <c r="BK101" s="6"/>
    </row>
    <row r="102" spans="1:63" x14ac:dyDescent="0.25">
      <c r="A102" s="5"/>
      <c r="BK102" s="6"/>
    </row>
    <row r="103" spans="1:63" x14ac:dyDescent="0.25">
      <c r="A103" s="5"/>
      <c r="BK103" s="6"/>
    </row>
    <row r="104" spans="1:63" x14ac:dyDescent="0.25">
      <c r="A104" s="5"/>
      <c r="BK104" s="6"/>
    </row>
    <row r="105" spans="1:63" x14ac:dyDescent="0.25">
      <c r="A105" s="5"/>
      <c r="BK105" s="6"/>
    </row>
    <row r="106" spans="1:63" x14ac:dyDescent="0.25">
      <c r="A106" s="5"/>
      <c r="BK106" s="6"/>
    </row>
    <row r="107" spans="1:63" x14ac:dyDescent="0.25">
      <c r="A107" s="5"/>
      <c r="BK107" s="6"/>
    </row>
    <row r="108" spans="1:63" x14ac:dyDescent="0.25">
      <c r="A108" s="5"/>
      <c r="BK108" s="6"/>
    </row>
    <row r="109" spans="1:63" x14ac:dyDescent="0.25">
      <c r="A109" s="5"/>
      <c r="BK109" s="6"/>
    </row>
    <row r="110" spans="1:63" x14ac:dyDescent="0.25">
      <c r="A110" s="5"/>
      <c r="BK110" s="6"/>
    </row>
    <row r="111" spans="1:63" x14ac:dyDescent="0.25">
      <c r="A111" s="5"/>
      <c r="BK111" s="6"/>
    </row>
    <row r="112" spans="1:63" x14ac:dyDescent="0.25">
      <c r="A112" s="5"/>
      <c r="BK112" s="6"/>
    </row>
    <row r="113" spans="1:63" x14ac:dyDescent="0.25">
      <c r="A113" s="5"/>
      <c r="BK113" s="6"/>
    </row>
    <row r="114" spans="1:63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4"/>
    </row>
  </sheetData>
  <mergeCells count="348">
    <mergeCell ref="AA77:AH77"/>
    <mergeCell ref="AI77:AQ77"/>
    <mergeCell ref="AU77:AX77"/>
    <mergeCell ref="AY77:BB77"/>
    <mergeCell ref="BC77:BJ77"/>
    <mergeCell ref="B77:C77"/>
    <mergeCell ref="D77:J77"/>
    <mergeCell ref="K77:M77"/>
    <mergeCell ref="P77:S77"/>
    <mergeCell ref="T77:W77"/>
    <mergeCell ref="X77:Z77"/>
    <mergeCell ref="X74:Z74"/>
    <mergeCell ref="AA74:AH74"/>
    <mergeCell ref="AI74:AQ74"/>
    <mergeCell ref="AU74:AX74"/>
    <mergeCell ref="AY74:BB74"/>
    <mergeCell ref="BC74:BJ74"/>
    <mergeCell ref="AA73:AH73"/>
    <mergeCell ref="AI73:AQ73"/>
    <mergeCell ref="AU73:AX73"/>
    <mergeCell ref="AY73:BB73"/>
    <mergeCell ref="BC73:BJ73"/>
    <mergeCell ref="X73:Z73"/>
    <mergeCell ref="B74:C74"/>
    <mergeCell ref="D74:J74"/>
    <mergeCell ref="K74:M74"/>
    <mergeCell ref="P74:S74"/>
    <mergeCell ref="T74:W74"/>
    <mergeCell ref="B73:C73"/>
    <mergeCell ref="D73:J73"/>
    <mergeCell ref="K73:M73"/>
    <mergeCell ref="P73:S73"/>
    <mergeCell ref="T73:W73"/>
    <mergeCell ref="X72:Z72"/>
    <mergeCell ref="AA72:AH72"/>
    <mergeCell ref="AI72:AQ72"/>
    <mergeCell ref="AU72:AX72"/>
    <mergeCell ref="AY72:BB72"/>
    <mergeCell ref="BC72:BJ72"/>
    <mergeCell ref="AA71:AH71"/>
    <mergeCell ref="AI71:AQ71"/>
    <mergeCell ref="AU71:AX71"/>
    <mergeCell ref="AY71:BB71"/>
    <mergeCell ref="BC71:BJ71"/>
    <mergeCell ref="X71:Z71"/>
    <mergeCell ref="B72:C72"/>
    <mergeCell ref="D72:J72"/>
    <mergeCell ref="K72:M72"/>
    <mergeCell ref="P72:S72"/>
    <mergeCell ref="T72:W72"/>
    <mergeCell ref="B71:C71"/>
    <mergeCell ref="D71:J71"/>
    <mergeCell ref="K71:M71"/>
    <mergeCell ref="P71:S71"/>
    <mergeCell ref="T71:W71"/>
    <mergeCell ref="B50:C50"/>
    <mergeCell ref="D50:J50"/>
    <mergeCell ref="K50:M50"/>
    <mergeCell ref="P50:S50"/>
    <mergeCell ref="T50:W50"/>
    <mergeCell ref="P47:AQ47"/>
    <mergeCell ref="AR47:BB47"/>
    <mergeCell ref="BC47:BJ49"/>
    <mergeCell ref="P48:W48"/>
    <mergeCell ref="X48:Z49"/>
    <mergeCell ref="AA48:AH49"/>
    <mergeCell ref="AI48:AQ49"/>
    <mergeCell ref="AR48:AR49"/>
    <mergeCell ref="AS48:AS49"/>
    <mergeCell ref="AT48:AT49"/>
    <mergeCell ref="X50:Z50"/>
    <mergeCell ref="AA50:AH50"/>
    <mergeCell ref="AI50:AQ50"/>
    <mergeCell ref="AU50:AX50"/>
    <mergeCell ref="AY50:BB50"/>
    <mergeCell ref="BC50:BJ50"/>
    <mergeCell ref="AU48:BB48"/>
    <mergeCell ref="P49:S49"/>
    <mergeCell ref="T49:W49"/>
    <mergeCell ref="A4:G4"/>
    <mergeCell ref="H4:T4"/>
    <mergeCell ref="U4:Y4"/>
    <mergeCell ref="Z4:AO4"/>
    <mergeCell ref="AP4:BK4"/>
    <mergeCell ref="B47:C49"/>
    <mergeCell ref="D47:J49"/>
    <mergeCell ref="K47:M49"/>
    <mergeCell ref="N47:N49"/>
    <mergeCell ref="O47:O49"/>
    <mergeCell ref="AU49:AX49"/>
    <mergeCell ref="AY49:BB4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Y67:BB67"/>
    <mergeCell ref="BC67:BJ67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0:BB60"/>
    <mergeCell ref="BC60:BJ60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2:BB62"/>
    <mergeCell ref="BC62:BJ62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8:BB68"/>
    <mergeCell ref="BC68:BJ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9:BB69"/>
    <mergeCell ref="BC69:BJ69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70:BB70"/>
    <mergeCell ref="BC70:BJ70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4:BB64"/>
    <mergeCell ref="BC64:BJ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6:BB66"/>
    <mergeCell ref="BC66:BJ66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Y51:BB51"/>
    <mergeCell ref="BC51:BJ51"/>
    <mergeCell ref="B52:C52"/>
    <mergeCell ref="D52:J52"/>
    <mergeCell ref="K52:M52"/>
    <mergeCell ref="P52:S52"/>
    <mergeCell ref="T52:W52"/>
    <mergeCell ref="X52:Z52"/>
    <mergeCell ref="AA52:AH52"/>
    <mergeCell ref="AI52:AQ52"/>
    <mergeCell ref="AU52:AX52"/>
    <mergeCell ref="AY52:BB52"/>
    <mergeCell ref="BC52:BJ52"/>
    <mergeCell ref="AY53:BB53"/>
    <mergeCell ref="BC53:BJ53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AY54:BB54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  <mergeCell ref="AY55:BB55"/>
    <mergeCell ref="BC54:BJ54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AY56:BB56"/>
    <mergeCell ref="BC56:BJ56"/>
    <mergeCell ref="BC55:BJ55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AY57:BB57"/>
    <mergeCell ref="BC57:BJ57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75:BB75"/>
    <mergeCell ref="BC75:BJ75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75:C75"/>
    <mergeCell ref="D75:J75"/>
    <mergeCell ref="K75:M75"/>
    <mergeCell ref="P75:S75"/>
    <mergeCell ref="T75:W75"/>
    <mergeCell ref="X75:Z75"/>
    <mergeCell ref="AA75:AH75"/>
    <mergeCell ref="AI75:AQ75"/>
    <mergeCell ref="AU75:AX75"/>
  </mergeCells>
  <dataValidations count="2">
    <dataValidation type="list" allowBlank="1" showInputMessage="1" showErrorMessage="1" sqref="O50:O77 AR52 AS54" xr:uid="{00000000-0002-0000-0200-000000000000}">
      <formula1>"－,●"</formula1>
    </dataValidation>
    <dataValidation type="list" allowBlank="1" showInputMessage="1" showErrorMessage="1" sqref="N50:N77" xr:uid="{00000000-0002-0000-0200-000001000000}">
      <formula1>"ー,I,O,I/O"</formula1>
    </dataValidation>
  </dataValidations>
  <pageMargins left="0.7" right="0.7" top="0.75" bottom="0.75" header="0.3" footer="0.3"/>
  <pageSetup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SC0601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2024-10-01T06:39:36Z</dcterms:modified>
  <cp:category/>
  <cp:contentStatus/>
</cp:coreProperties>
</file>