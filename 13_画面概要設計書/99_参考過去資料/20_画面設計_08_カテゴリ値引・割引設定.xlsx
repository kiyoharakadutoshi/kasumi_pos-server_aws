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9A59D27-5353-4A09-A8D6-F3C90861FB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201" sheetId="7" r:id="rId3"/>
    <sheet name="MD0801" sheetId="9" r:id="rId4"/>
  </sheets>
  <definedNames>
    <definedName name="_xlnm.Print_Area" localSheetId="3">'MD0801'!$A$1:$BK$67</definedName>
    <definedName name="_xlnm.Print_Area" localSheetId="2">'SC3201'!$A$1:$BK$120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9" l="1"/>
  <c r="AP4" i="9"/>
  <c r="Z4" i="9"/>
  <c r="H4" i="9"/>
  <c r="BC2" i="9"/>
  <c r="K2" i="9"/>
  <c r="A2" i="9"/>
  <c r="W1" i="9"/>
  <c r="B85" i="7"/>
  <c r="B86" i="7" s="1"/>
  <c r="B87" i="7" s="1"/>
  <c r="B88" i="7" s="1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7" s="1"/>
  <c r="AP2" i="4"/>
  <c r="AP2" i="9" s="1"/>
  <c r="AP2" i="3" l="1"/>
  <c r="BH2" i="3"/>
  <c r="AP2" i="7"/>
  <c r="BH2" i="7"/>
  <c r="AT2" i="9"/>
  <c r="AY2" i="3"/>
  <c r="AY2" i="7"/>
  <c r="AT2" i="3"/>
  <c r="BC2" i="3"/>
</calcChain>
</file>

<file path=xl/sharedStrings.xml><?xml version="1.0" encoding="utf-8"?>
<sst xmlns="http://schemas.openxmlformats.org/spreadsheetml/2006/main" count="839" uniqueCount="189">
  <si>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</si>
  <si>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</si>
  <si>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</si>
  <si>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</si>
  <si>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</si>
  <si>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</si>
  <si>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</si>
  <si>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</si>
  <si>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</si>
  <si>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</si>
  <si>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</si>
  <si>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</si>
  <si>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</si>
  <si>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前画面</t>
    </r>
  </si>
  <si>
    <r>
      <rPr>
        <sz val="11"/>
        <color rgb="FF000000"/>
        <rFont val="Meiryo UI"/>
        <family val="2"/>
      </rPr>
      <t>08_カテゴリ値引／割引設定</t>
    </r>
  </si>
  <si>
    <r>
      <rPr>
        <sz val="11"/>
        <color rgb="FF000000"/>
        <rFont val="Meiryo UI"/>
        <family val="2"/>
      </rPr>
      <t>カテゴリ値引／割引情報</t>
    </r>
  </si>
  <si>
    <r>
      <rPr>
        <sz val="11"/>
        <color rgb="FF000000"/>
        <rFont val="Meiryo UI"/>
        <family val="2"/>
      </rPr>
      <t>選択（タイトル）</t>
    </r>
  </si>
  <si>
    <r>
      <rPr>
        <sz val="11"/>
        <color rgb="FF000000"/>
        <rFont val="Meiryo UI"/>
        <family val="2"/>
      </rPr>
      <t>選択（値）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</si>
  <si>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</si>
  <si>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</si>
  <si>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</si>
  <si>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AP0801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</si>
  <si>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</si>
  <si>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コードと名称</t>
    </r>
  </si>
  <si>
    <r>
      <rPr>
        <sz val="11"/>
        <color rgb="FF000000"/>
        <rFont val="Meiryo UI"/>
        <family val="2"/>
      </rPr>
      <t>コードと名称（タイトル）</t>
    </r>
  </si>
  <si>
    <r>
      <rPr>
        <sz val="11"/>
        <color rgb="FF000000"/>
        <rFont val="Meiryo UI"/>
        <family val="2"/>
      </rPr>
      <t>コードと名称（値）</t>
    </r>
  </si>
  <si>
    <r>
      <rPr>
        <sz val="11"/>
        <color rgb="FF000000"/>
        <rFont val="Meiryo UI"/>
        <family val="2"/>
      </rPr>
      <t>タイムサービス（タイトル）</t>
    </r>
  </si>
  <si>
    <r>
      <rPr>
        <sz val="11"/>
        <color rgb="FF000000"/>
        <rFont val="Meiryo UI"/>
        <family val="2"/>
      </rPr>
      <t>タイムサービス（値）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</si>
  <si>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</si>
  <si>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開始日時（タイトル）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</si>
  <si>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</si>
  <si>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</si>
  <si>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</si>
  <si>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終了日時（値）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</si>
  <si>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</si>
  <si>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値引種類と金額（タイトル）</t>
    </r>
  </si>
  <si>
    <r>
      <rPr>
        <sz val="11"/>
        <color rgb="FF000000"/>
        <rFont val="Meiryo UI"/>
        <family val="2"/>
      </rPr>
      <t>値引種類と金額（値）</t>
    </r>
  </si>
  <si>
    <r>
      <rPr>
        <sz val="11"/>
        <color rgb="FF000000"/>
        <rFont val="Meiryo UI"/>
        <family val="2"/>
      </rPr>
      <t>部門（タイトル）</t>
    </r>
  </si>
  <si>
    <r>
      <rPr>
        <sz val="11"/>
        <color rgb="FF000000"/>
        <rFont val="Meiryo UI"/>
        <family val="2"/>
      </rPr>
      <t>部門（値）</t>
    </r>
  </si>
  <si>
    <r>
      <rPr>
        <sz val="11"/>
        <color rgb="FF000000"/>
        <rFont val="Meiryo UI"/>
        <family val="2"/>
      </rPr>
      <t>割引率（タイトル）</t>
    </r>
  </si>
  <si>
    <r>
      <rPr>
        <sz val="11"/>
        <color rgb="FF000000"/>
        <rFont val="Meiryo UI"/>
        <family val="2"/>
      </rPr>
      <t>割引率（値）</t>
    </r>
  </si>
  <si>
    <r>
      <rPr>
        <sz val="11"/>
        <color rgb="FF000000"/>
        <rFont val="Meiryo UI"/>
        <family val="2"/>
      </rPr>
      <t>期間（タイトル）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</si>
  <si>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</si>
  <si>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</si>
  <si>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開始時刻（値）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</si>
  <si>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</si>
  <si>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階層表示</t>
    </r>
  </si>
  <si>
    <r>
      <rPr>
        <sz val="11"/>
        <color rgb="FF000000"/>
        <rFont val="Meiryo UI"/>
        <family val="2"/>
      </rPr>
      <t>全選択/全解除</t>
    </r>
  </si>
  <si>
    <r>
      <rPr>
        <sz val="11"/>
        <color rgb="FF000000"/>
        <rFont val="Meiryo UI"/>
        <family val="2"/>
      </rPr>
      <t>選択対象のみ表示</t>
    </r>
  </si>
  <si>
    <r>
      <rPr>
        <sz val="11"/>
        <color rgb="FF000000"/>
        <rFont val="Meiryo UI"/>
        <family val="2"/>
      </rPr>
      <t>展開・折りたたみ</t>
    </r>
  </si>
  <si>
    <t>+/-</t>
  </si>
  <si>
    <r>
      <rPr>
        <sz val="11"/>
        <color rgb="FF000000"/>
        <rFont val="Meiryo UI"/>
        <family val="2"/>
      </rPr>
      <t>・デフォルト：無効</t>
    </r>
  </si>
  <si>
    <r>
      <rPr>
        <sz val="11"/>
        <color rgb="FF000000"/>
        <rFont val="Meiryo UI"/>
        <family val="2"/>
      </rPr>
      <t>品群（タイトル）</t>
    </r>
  </si>
  <si>
    <r>
      <rPr>
        <sz val="11"/>
        <color rgb="FF000000"/>
        <rFont val="Meiryo UI"/>
        <family val="2"/>
      </rPr>
      <t>品群（値）</t>
    </r>
  </si>
  <si>
    <r>
      <rPr>
        <sz val="11"/>
        <color rgb="FF000000"/>
        <rFont val="Meiryo UI"/>
        <family val="2"/>
      </rPr>
      <t>品種（タイトル）</t>
    </r>
  </si>
  <si>
    <r>
      <rPr>
        <sz val="11"/>
        <color rgb="FF000000"/>
        <rFont val="Meiryo UI"/>
        <family val="2"/>
      </rPr>
      <t>品種（値）</t>
    </r>
  </si>
  <si>
    <r>
      <rPr>
        <sz val="11"/>
        <color rgb="FF000000"/>
        <rFont val="Meiryo UI"/>
        <family val="2"/>
      </rPr>
      <t>分類（タイトル）</t>
    </r>
  </si>
  <si>
    <r>
      <rPr>
        <sz val="11"/>
        <color rgb="FF000000"/>
        <rFont val="Meiryo UI"/>
        <family val="2"/>
      </rPr>
      <t>分類（値）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</si>
  <si>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</si>
  <si>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名称（値）</t>
    </r>
  </si>
  <si>
    <r>
      <rPr>
        <sz val="11"/>
        <color rgb="FF000000"/>
        <rFont val="Meiryo UI"/>
        <family val="2"/>
      </rPr>
      <t>現在のレコードの階層名を表示する。</t>
    </r>
  </si>
  <si>
    <r>
      <rPr>
        <sz val="11"/>
        <color rgb="FF000000"/>
        <rFont val="Meiryo UI"/>
        <family val="2"/>
      </rPr>
      <t>選択（値)</t>
    </r>
  </si>
  <si>
    <r>
      <rPr>
        <sz val="11"/>
        <color rgb="FF000000"/>
        <rFont val="Meiryo UI"/>
        <family val="2"/>
      </rPr>
      <t>・デフォルト：有効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</si>
  <si>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</si>
  <si>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</si>
  <si>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</si>
  <si>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品群と品種のレコードにデータを表示しない。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</si>
  <si>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</si>
  <si>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</si>
  <si>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</si>
  <si>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</si>
  <si>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</si>
  <si>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</si>
  <si>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</si>
  <si>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</si>
  <si>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</si>
  <si>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</si>
  <si>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</si>
  <si>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</si>
  <si>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</si>
  <si>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</si>
  <si>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</si>
  <si>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</si>
  <si>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</si>
  <si>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■初期画面のイメージ</t>
  </si>
  <si>
    <t>■データがある画面のイメージ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</si>
  <si>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</si>
  <si>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</si>
  <si>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</si>
  <si>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</si>
  <si>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</si>
  <si>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</si>
  <si>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</si>
  <si>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</si>
  <si>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</si>
  <si>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</si>
  <si>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</si>
  <si>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</si>
  <si>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</si>
  <si>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</si>
  <si>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</si>
  <si>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</si>
  <si>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>カテゴリ値引／割引</t>
  </si>
  <si>
    <r>
      <rPr>
        <sz val="11"/>
        <color rgb="FF000000"/>
        <rFont val="Meiryo UI"/>
        <family val="2"/>
      </rPr>
      <t>イベントID：SC0801-01</t>
    </r>
  </si>
  <si>
    <t>カテゴリ値引／割引情報</t>
  </si>
  <si>
    <t>ー</t>
  </si>
  <si>
    <t>ボタン</t>
  </si>
  <si>
    <t>新規</t>
  </si>
  <si>
    <r>
      <rPr>
        <sz val="11"/>
        <color rgb="FF000000"/>
        <rFont val="Meiryo UI"/>
        <family val="2"/>
      </rPr>
      <t>・デフォルト：有効
新規モードで表示されている場合、無効になる。</t>
    </r>
  </si>
  <si>
    <r>
      <rPr>
        <sz val="11"/>
        <color rgb="FF000000"/>
        <rFont val="Meiryo UI"/>
        <family val="2"/>
      </rPr>
      <t>イベントID：SC0801-02</t>
    </r>
  </si>
  <si>
    <r>
      <rPr>
        <sz val="11"/>
        <color rgb="FF000000"/>
        <rFont val="Meiryo UI"/>
        <family val="2"/>
      </rPr>
      <t>イベントID：SC0801-03</t>
    </r>
  </si>
  <si>
    <t>部門</t>
  </si>
  <si>
    <t>Edit Text</t>
  </si>
  <si>
    <t>AP0802</t>
  </si>
  <si>
    <t>code_level_one</t>
  </si>
  <si>
    <t>・デフォルト：無効
・新規モードの場合に有効になる。</t>
  </si>
  <si>
    <t>AP1507</t>
  </si>
  <si>
    <r>
      <rPr>
        <sz val="11"/>
        <color rgb="FF000000"/>
        <rFont val="Meiryo UI"/>
        <family val="2"/>
      </rPr>
      <t>最大数字の2桁。フォーカスアウト時に「0」を追加する。</t>
    </r>
  </si>
  <si>
    <t>割引率</t>
  </si>
  <si>
    <t>discount_type_code
discount_value</t>
  </si>
  <si>
    <t>・デフォルト：無効
・新規モード、編集モードの場合は有効になる。</t>
  </si>
  <si>
    <t>AP0804</t>
  </si>
  <si>
    <r>
      <rPr>
        <sz val="11"/>
        <color rgb="FF000000"/>
        <rFont val="Meiryo UI"/>
        <family val="2"/>
      </rPr>
      <t>最大数字の2桁。
・1～99の範囲内でのみ入力可能。
・{discount_type_code} = 2 (割引)の場合に表示する、</t>
    </r>
  </si>
  <si>
    <r>
      <rPr>
        <sz val="11"/>
        <color rgb="FF000000"/>
        <rFont val="Meiryo UI"/>
        <family val="2"/>
      </rPr>
      <t>最大数字の2桁。
・1～99の範囲内でのみ入力可能。
・{discount_type_code} = 1 (値引)の場合に表示する。</t>
    </r>
  </si>
  <si>
    <t>期間</t>
  </si>
  <si>
    <t>カレンダー</t>
  </si>
  <si>
    <t>start_date_time</t>
  </si>
  <si>
    <r>
      <rPr>
        <sz val="11"/>
        <color rgb="FF000000"/>
        <rFont val="Meiryo UI"/>
        <family val="2"/>
      </rPr>
      <t>・形式：yy/MM/dd(E)
・date pickerタイプを選択するか、edit textタイプを入力できる。入力すると、曜日を自動的に埋め込む。
・エラーがツールチップ形式で表示され、項目の罫線が赤くなる。</t>
    </r>
  </si>
  <si>
    <t>end_date_time</t>
  </si>
  <si>
    <t>ドロップダウン</t>
  </si>
  <si>
    <t>start_service_time</t>
  </si>
  <si>
    <r>
      <rPr>
        <sz val="11"/>
        <color rgb="FF000000"/>
        <rFont val="Meiryo UI"/>
        <family val="2"/>
      </rPr>
      <t>・形式：HH:mm
・date pickerタイプを選択するか、edit textタイプを入力できる。
・エラーがツールチップ形式で表示され、項目の罫線が赤くなる。</t>
    </r>
  </si>
  <si>
    <t>end_service_time</t>
  </si>
  <si>
    <t>タイムサービス</t>
  </si>
  <si>
    <t>type_time_service</t>
  </si>
  <si>
    <r>
      <rPr>
        <sz val="11"/>
        <color rgb="FF000000"/>
        <rFont val="Meiryo UI"/>
        <family val="2"/>
      </rPr>
      <t>・ドロップダウンに表示される値：
 0 : 通常
 1 : タイムサービス</t>
    </r>
  </si>
  <si>
    <t>階層表示</t>
  </si>
  <si>
    <r>
      <rPr>
        <sz val="11"/>
        <color rgb="FF000000"/>
        <rFont val="Meiryo UI"/>
        <family val="2"/>
      </rPr>
      <t>・デフォルト：無効
・新規モードの場合に有効になる。</t>
    </r>
  </si>
  <si>
    <r>
      <rPr>
        <sz val="11"/>
        <color rgb="FF000000"/>
        <rFont val="Meiryo UI"/>
        <family val="2"/>
      </rPr>
      <t>イベントID：SC0801-04</t>
    </r>
  </si>
  <si>
    <t xml:space="preserve">選択対象のみ表示
OR
全件表示 </t>
  </si>
  <si>
    <t>・「階層表示」ボタンをタッチした後に表示する（階層データがある場合）</t>
  </si>
  <si>
    <r>
      <rPr>
        <sz val="11"/>
        <color rgb="FF000000"/>
        <rFont val="Meiryo UI"/>
        <family val="2"/>
      </rPr>
      <t>・新規モードの場合に有効になる。
・編集モードの場合に無効になる。</t>
    </r>
  </si>
  <si>
    <r>
      <rPr>
        <sz val="11"/>
        <color rgb="FF000000"/>
        <rFont val="Meiryo UI"/>
        <family val="2"/>
      </rPr>
      <t>イベントID：SC0801-05</t>
    </r>
  </si>
  <si>
    <t>全選択/全解除</t>
  </si>
  <si>
    <r>
      <rPr>
        <sz val="11"/>
        <color rgb="FF000000"/>
        <rFont val="Meiryo UI"/>
        <family val="2"/>
      </rPr>
      <t>イベントID：SC0801-06</t>
    </r>
  </si>
  <si>
    <t>・新規作成モードで、商品の階層データがある場合に表示する。
・編集モードまたは最下位階層の場合に表示しない。</t>
  </si>
  <si>
    <r>
      <rPr>
        <sz val="11"/>
        <color rgb="FF000000"/>
        <rFont val="Meiryo UI"/>
        <family val="2"/>
      </rPr>
      <t>イベントID：SC0801-07</t>
    </r>
  </si>
  <si>
    <t>品群</t>
  </si>
  <si>
    <t>code_level_two
level_two</t>
  </si>
  <si>
    <t>AP0804
AP0803</t>
  </si>
  <si>
    <r>
      <rPr>
        <sz val="11"/>
        <color rgb="FF000000"/>
        <rFont val="Meiryo UI"/>
        <family val="2"/>
      </rPr>
      <t>md_hierarchy_code
md_hierarchy_level</t>
    </r>
  </si>
  <si>
    <r>
      <rPr>
        <sz val="11"/>
        <color rgb="FF000000"/>
        <rFont val="Meiryo UI"/>
        <family val="2"/>
      </rPr>
      <t>・新規作成の場合、品種と分類のレコードにデータを表示しない。
・編集の場合、品種と分類のレコードにデータを表示する。</t>
    </r>
  </si>
  <si>
    <t>品種</t>
  </si>
  <si>
    <t>code_level_three
level_three</t>
  </si>
  <si>
    <r>
      <rPr>
        <sz val="11"/>
        <color rgb="FF000000"/>
        <rFont val="Meiryo UI"/>
        <family val="2"/>
      </rPr>
      <t>・新規作成の場合、品群と分類のレコードにデータを表示しない。
・編集の場合、品群のレコードにデータを表示せず、分類のレコードにデータを表示する。</t>
    </r>
  </si>
  <si>
    <t>分類</t>
  </si>
  <si>
    <t>code_level_four
level_four</t>
  </si>
  <si>
    <t>名称</t>
  </si>
  <si>
    <t>description_level_one
description_level_two
description_level_three
description_level_four</t>
  </si>
  <si>
    <t>選択</t>
  </si>
  <si>
    <t>チェックボックス</t>
  </si>
  <si>
    <r>
      <rPr>
        <sz val="11"/>
        <color rgb="FF000000"/>
        <rFont val="Meiryo UI"/>
        <family val="2"/>
      </rPr>
      <t>イベントID：SC0801-08</t>
    </r>
  </si>
  <si>
    <t>F8：クリア</t>
  </si>
  <si>
    <r>
      <rPr>
        <sz val="11"/>
        <color rgb="FF000000"/>
        <rFont val="Meiryo UI"/>
        <family val="2"/>
      </rPr>
      <t>・デフォルト：無効
・新規モード、編集モードの場合は有効になる。</t>
    </r>
  </si>
  <si>
    <r>
      <rPr>
        <sz val="11"/>
        <color rgb="FF000000"/>
        <rFont val="Meiryo UI"/>
        <family val="2"/>
      </rPr>
      <t>イベントID：SC0801-09</t>
    </r>
  </si>
  <si>
    <t>F10：削除</t>
  </si>
  <si>
    <r>
      <rPr>
        <sz val="11"/>
        <color rgb="FF000000"/>
        <rFont val="Meiryo UI"/>
        <family val="2"/>
      </rPr>
      <t>・デフォルト：無効
・編集モードの場合に有効になる。</t>
    </r>
  </si>
  <si>
    <r>
      <rPr>
        <sz val="11"/>
        <color rgb="FF000000"/>
        <rFont val="Meiryo UI"/>
        <family val="2"/>
      </rPr>
      <t>イベントID：SC0801-10</t>
    </r>
  </si>
  <si>
    <t>F11：確定</t>
  </si>
  <si>
    <r>
      <rPr>
        <sz val="11"/>
        <color rgb="FF000000"/>
        <rFont val="Meiryo UI"/>
        <family val="2"/>
      </rPr>
      <t>・デフォルト：無効
・画面にバリデーションチェックエラーがある場合、ボタンが無効になる。
・画面に変更がある場合、有効にする。</t>
    </r>
  </si>
  <si>
    <r>
      <rPr>
        <sz val="11"/>
        <color rgb="FF000000"/>
        <rFont val="Meiryo UI"/>
        <family val="2"/>
      </rPr>
      <t>イベントID：SC0801-11</t>
    </r>
  </si>
  <si>
    <t>■カテゴリ値引/割引情報モーダル</t>
  </si>
  <si>
    <r>
      <rPr>
        <sz val="11"/>
        <color rgb="FF000000"/>
        <rFont val="Meiryo UI"/>
        <family val="2"/>
      </rPr>
      <t>イベントID：MD0801-01</t>
    </r>
  </si>
  <si>
    <t>デフォルト：有効</t>
  </si>
  <si>
    <r>
      <rPr>
        <sz val="11"/>
        <color rgb="FF000000"/>
        <rFont val="Meiryo UI"/>
        <family val="2"/>
      </rPr>
      <t>イベントID：MD0801-02</t>
    </r>
  </si>
  <si>
    <t>O</t>
  </si>
  <si>
    <t>I/O</t>
  </si>
  <si>
    <t>md_hierarchy_code
description</t>
  </si>
  <si>
    <r>
      <rPr>
        <sz val="11"/>
        <color rgb="FF000000"/>
        <rFont val="Meiryo UI"/>
        <family val="2"/>
      </rPr>
      <t>表示形式：
{md_hierarchy_code}:{description}</t>
    </r>
  </si>
  <si>
    <r>
      <rPr>
        <sz val="11"/>
        <color rgb="FF000000"/>
        <rFont val="Meiryo UI"/>
        <family val="2"/>
      </rPr>
      <t>表示形式：
  0 : 通常
  1 : タイムサービス</t>
    </r>
  </si>
  <si>
    <t>開始日時</t>
  </si>
  <si>
    <r>
      <rPr>
        <sz val="11"/>
        <color rgb="FF000000"/>
        <rFont val="Meiryo UI"/>
        <family val="2"/>
      </rPr>
      <t>表示形式：
yy/MM/dd</t>
    </r>
  </si>
  <si>
    <t>終了日時</t>
  </si>
  <si>
    <t>値引種類と金額</t>
  </si>
  <si>
    <r>
      <rPr>
        <sz val="11"/>
        <color rgb="FF000000"/>
        <rFont val="Meiryo UI"/>
        <family val="2"/>
      </rPr>
      <t>discount_type_code
discount_value</t>
    </r>
  </si>
  <si>
    <r>
      <rPr>
        <sz val="11"/>
        <color rgb="FF000000"/>
        <rFont val="Meiryo UI"/>
        <family val="2"/>
      </rPr>
      <t>・値引の場合、以下のフォーマットで表示する。
値引:{discount_value}円
'・割引の場合、以下のフォーマットで表示する。
割引:{discount_value}%</t>
    </r>
  </si>
  <si>
    <t>前画面</t>
  </si>
  <si>
    <r>
      <rPr>
        <sz val="11"/>
        <color rgb="FF000000"/>
        <rFont val="Meiryo UI"/>
        <family val="2"/>
      </rPr>
      <t>イベントID：MD0801-03</t>
    </r>
  </si>
  <si>
    <r>
      <rPr>
        <sz val="11"/>
        <color rgb="FF000000"/>
        <rFont val="Meiryo UI"/>
        <family val="2"/>
      </rPr>
      <t>・カテゴリ値引・割引の有効：
  0: 実施中 
  1: 終了
  2: 未実施 
  3: NG
  =&gt;ロジック判定の詳細はAP0801をご参照ください。
・状態が「実施中」の場合、行の背景色は緑色になる。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</si>
</sst>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29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 wrapText="1"/>
    </xf>
    <xf numFmtId="0" fontId="3" fillId="0" borderId="34" xfId="6" applyFont="1" applyBorder="1" applyAlignment="1">
      <alignment horizontal="center" vertical="center"/>
    </xf>
    <xf numFmtId="0" fontId="3" fillId="0" borderId="35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3" fillId="0" borderId="35" xfId="6" quotePrefix="1" applyFont="1" applyBorder="1" applyAlignment="1">
      <alignment vertical="center" wrapText="1"/>
    </xf>
    <xf numFmtId="0" fontId="4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5" xfId="6" applyFont="1" applyBorder="1" applyAlignment="1">
      <alignment vertical="center"/>
    </xf>
    <xf numFmtId="0" fontId="4" fillId="0" borderId="33" xfId="6" applyFont="1" applyBorder="1" applyAlignment="1">
      <alignment horizontal="center" vertical="center"/>
    </xf>
    <xf numFmtId="0" fontId="4" fillId="0" borderId="33" xfId="6" quotePrefix="1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5" xfId="6" applyFont="1" applyBorder="1" applyAlignment="1">
      <alignment horizontal="left" vertical="center"/>
    </xf>
    <xf numFmtId="0" fontId="4" fillId="0" borderId="33" xfId="6" applyFont="1" applyBorder="1" applyAlignment="1">
      <alignment horizontal="center" vertical="center" wrapText="1"/>
    </xf>
    <xf numFmtId="0" fontId="4" fillId="0" borderId="33" xfId="6" quotePrefix="1" applyFont="1" applyBorder="1" applyAlignment="1">
      <alignment horizontal="left" vertical="center" wrapText="1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3" xfId="6" quotePrefix="1" applyFont="1" applyBorder="1" applyAlignment="1">
      <alignment horizontal="center"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3" fillId="0" borderId="35" xfId="6" quotePrefix="1" applyFont="1" applyBorder="1" applyAlignment="1">
      <alignment vertical="center"/>
    </xf>
    <xf numFmtId="0" fontId="4" fillId="0" borderId="33" xfId="6" quotePrefix="1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3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left" vertical="center"/>
    </xf>
    <xf numFmtId="0" fontId="3" fillId="0" borderId="24" xfId="6" applyFont="1" applyBorder="1" applyAlignment="1">
      <alignment horizontal="left" vertical="center"/>
    </xf>
    <xf numFmtId="0" fontId="3" fillId="0" borderId="25" xfId="6" applyFont="1" applyBorder="1" applyAlignment="1">
      <alignment horizontal="left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6" borderId="26" xfId="6" applyFont="1" applyFill="1" applyBorder="1" applyAlignment="1">
      <alignment vertical="center" wrapText="1"/>
    </xf>
    <xf numFmtId="0" fontId="3" fillId="6" borderId="20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6" borderId="26" xfId="6" applyFont="1" applyFill="1" applyBorder="1" applyAlignment="1">
      <alignment vertical="center"/>
    </xf>
    <xf numFmtId="0" fontId="3" fillId="6" borderId="27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22" xfId="6" applyFont="1" applyFill="1" applyBorder="1" applyAlignment="1">
      <alignment vertical="center" shrinkToFit="1"/>
    </xf>
    <xf numFmtId="0" fontId="3" fillId="6" borderId="37" xfId="6" applyFont="1" applyFill="1" applyBorder="1" applyAlignment="1">
      <alignment vertical="center" shrinkToFit="1"/>
    </xf>
    <xf numFmtId="0" fontId="3" fillId="6" borderId="36" xfId="6" applyFont="1" applyFill="1" applyBorder="1" applyAlignment="1">
      <alignment vertical="center" shrinkToFit="1"/>
    </xf>
    <xf numFmtId="0" fontId="4" fillId="6" borderId="22" xfId="6" applyFont="1" applyFill="1" applyBorder="1" applyAlignment="1">
      <alignment vertical="center" wrapText="1"/>
    </xf>
    <xf numFmtId="0" fontId="4" fillId="6" borderId="37" xfId="6" applyFont="1" applyFill="1" applyBorder="1" applyAlignment="1">
      <alignment vertical="center" wrapText="1"/>
    </xf>
    <xf numFmtId="0" fontId="4" fillId="6" borderId="36" xfId="6" applyFont="1" applyFill="1" applyBorder="1" applyAlignment="1">
      <alignment vertical="center" wrapText="1"/>
    </xf>
    <xf numFmtId="0" fontId="4" fillId="4" borderId="23" xfId="6" applyFont="1" applyFill="1" applyBorder="1" applyAlignment="1">
      <alignment vertical="center"/>
    </xf>
    <xf numFmtId="0" fontId="3" fillId="4" borderId="24" xfId="6" applyFont="1" applyFill="1" applyBorder="1" applyAlignment="1">
      <alignment vertical="center"/>
    </xf>
    <xf numFmtId="0" fontId="3" fillId="4" borderId="38" xfId="6" applyFont="1" applyFill="1" applyBorder="1" applyAlignment="1">
      <alignment vertical="center"/>
    </xf>
    <xf numFmtId="0" fontId="4" fillId="4" borderId="39" xfId="6" applyFont="1" applyFill="1" applyBorder="1" applyAlignment="1">
      <alignment vertical="center"/>
    </xf>
    <xf numFmtId="0" fontId="3" fillId="4" borderId="25" xfId="6" applyFont="1" applyFill="1" applyBorder="1" applyAlignment="1">
      <alignment vertical="center"/>
    </xf>
    <xf numFmtId="0" fontId="3" fillId="0" borderId="28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6" xfId="6" applyFont="1" applyBorder="1" applyAlignment="1">
      <alignment horizontal="center" vertical="center"/>
    </xf>
    <xf numFmtId="0" fontId="4" fillId="3" borderId="23" xfId="6" applyFont="1" applyFill="1" applyBorder="1" applyAlignment="1">
      <alignment vertical="center"/>
    </xf>
    <xf numFmtId="0" fontId="3" fillId="3" borderId="24" xfId="6" applyFont="1" applyFill="1" applyBorder="1" applyAlignment="1">
      <alignment vertical="center"/>
    </xf>
    <xf numFmtId="0" fontId="3" fillId="3" borderId="25" xfId="6" applyFont="1" applyFill="1" applyBorder="1" applyAlignment="1">
      <alignment vertical="center"/>
    </xf>
    <xf numFmtId="0" fontId="4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3" fillId="5" borderId="20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3" borderId="23" xfId="6" applyFont="1" applyFill="1" applyBorder="1"/>
    <xf numFmtId="0" fontId="4" fillId="3" borderId="24" xfId="6" applyFont="1" applyFill="1" applyBorder="1"/>
    <xf numFmtId="0" fontId="4" fillId="3" borderId="25" xfId="6" applyFont="1" applyFill="1" applyBorder="1"/>
    <xf numFmtId="0" fontId="4" fillId="3" borderId="26" xfId="6" applyFont="1" applyFill="1" applyBorder="1" applyAlignment="1">
      <alignment vertical="center"/>
    </xf>
    <xf numFmtId="0" fontId="3" fillId="3" borderId="27" xfId="6" applyFont="1" applyFill="1" applyBorder="1" applyAlignment="1">
      <alignment vertical="center"/>
    </xf>
    <xf numFmtId="0" fontId="3" fillId="3" borderId="20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22" xfId="6" applyFont="1" applyFill="1" applyBorder="1" applyAlignment="1">
      <alignment vertical="center" wrapText="1"/>
    </xf>
    <xf numFmtId="0" fontId="4" fillId="4" borderId="36" xfId="6" applyFont="1" applyFill="1" applyBorder="1" applyAlignment="1">
      <alignment vertical="center" wrapText="1"/>
    </xf>
    <xf numFmtId="0" fontId="4" fillId="4" borderId="20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4" fillId="0" borderId="26" xfId="6" applyFont="1" applyBorder="1" applyAlignment="1">
      <alignment horizontal="center" vertical="center" wrapText="1"/>
    </xf>
    <xf numFmtId="0" fontId="4" fillId="0" borderId="27" xfId="6" applyFont="1" applyBorder="1" applyAlignment="1">
      <alignment horizontal="center" vertical="center" wrapText="1"/>
    </xf>
    <xf numFmtId="0" fontId="4" fillId="0" borderId="20" xfId="6" applyFont="1" applyBorder="1" applyAlignment="1">
      <alignment horizontal="center" vertical="center" wrapText="1"/>
    </xf>
    <xf numFmtId="0" fontId="3" fillId="0" borderId="26" xfId="6" applyFont="1" applyBorder="1" applyAlignment="1">
      <alignment horizontal="left" vertical="center"/>
    </xf>
    <xf numFmtId="0" fontId="3" fillId="0" borderId="27" xfId="6" applyFont="1" applyBorder="1" applyAlignment="1">
      <alignment horizontal="left" vertical="center"/>
    </xf>
    <xf numFmtId="0" fontId="3" fillId="0" borderId="20" xfId="6" applyFont="1" applyBorder="1" applyAlignment="1">
      <alignment horizontal="left" vertical="center"/>
    </xf>
    <xf numFmtId="0" fontId="3" fillId="0" borderId="33" xfId="6" quotePrefix="1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3" fillId="0" borderId="35" xfId="6" applyFont="1" applyBorder="1" applyAlignment="1">
      <alignment horizontal="left" vertical="center" wrapText="1"/>
    </xf>
    <xf numFmtId="0" fontId="3" fillId="0" borderId="33" xfId="6" quotePrefix="1" applyFont="1" applyBorder="1" applyAlignment="1">
      <alignment horizontal="left" vertical="center"/>
    </xf>
    <xf numFmtId="0" fontId="3" fillId="0" borderId="30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0" xfId="6" quotePrefix="1" applyFont="1" applyBorder="1" applyAlignment="1">
      <alignment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4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4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4" fillId="0" borderId="30" xfId="6" quotePrefix="1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4" fillId="0" borderId="33" xfId="6" applyFont="1" applyBorder="1" applyAlignment="1">
      <alignment horizontal="left" vertical="center"/>
    </xf>
    <xf numFmtId="0" fontId="4" fillId="5" borderId="33" xfId="6" applyFont="1" applyFill="1" applyBorder="1" applyAlignment="1">
      <alignment horizontal="center" vertical="center"/>
    </xf>
    <xf numFmtId="0" fontId="3" fillId="5" borderId="34" xfId="6" applyFont="1" applyFill="1" applyBorder="1" applyAlignment="1">
      <alignment horizontal="center" vertical="center"/>
    </xf>
    <xf numFmtId="0" fontId="3" fillId="5" borderId="35" xfId="6" applyFont="1" applyFill="1" applyBorder="1" applyAlignment="1">
      <alignment horizontal="center" vertical="center"/>
    </xf>
    <xf numFmtId="0" fontId="3" fillId="0" borderId="33" xfId="6" applyFont="1" applyBorder="1" applyAlignment="1">
      <alignment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4" fillId="0" borderId="30" xfId="6" applyFont="1" applyBorder="1" applyAlignment="1">
      <alignment horizontal="left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0" xfId="0" applyFont="1"/>
    <xf numFmtId="0" fontId="10" fillId="0" borderId="2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0" fillId="0" borderId="26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6" xfId="0" applyFont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3" xfId="0" applyFont="1" applyBorder="1"/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6" fillId="2" borderId="0" xfId="0" applyFont="1" applyFill="1"/>
    <xf numFmtId="0" fontId="10" fillId="0" borderId="28" xfId="0" applyFont="1" applyBorder="1"/>
    <xf numFmtId="0" fontId="10" fillId="0" borderId="29" xfId="0" applyFont="1" applyBorder="1"/>
    <xf numFmtId="0" fontId="10" fillId="0" borderId="16" xfId="0" applyFont="1" applyBorder="1"/>
    <xf numFmtId="0" fontId="10" fillId="0" borderId="27" xfId="0" applyFont="1" applyBorder="1"/>
    <xf numFmtId="0" fontId="10" fillId="0" borderId="20" xfId="0" applyFont="1" applyBorder="1"/>
    <xf numFmtId="0" fontId="10" fillId="0" borderId="26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" xfId="0" applyFont="1" applyBorder="1"/>
    <xf numFmtId="14" fontId="13" fillId="0" borderId="26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16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6" fillId="2" borderId="23" xfId="6" applyFont="1" applyFill="1" applyBorder="1" applyAlignment="1">
      <alignment horizontal="center" vertical="center"/>
    </xf>
    <xf numFmtId="0" fontId="6" fillId="2" borderId="24" xfId="6" applyFont="1" applyFill="1" applyBorder="1" applyAlignment="1">
      <alignment horizontal="center" vertical="center"/>
    </xf>
    <xf numFmtId="0" fontId="6" fillId="2" borderId="25" xfId="6" applyFont="1" applyFill="1" applyBorder="1" applyAlignment="1">
      <alignment horizontal="center" vertical="center"/>
    </xf>
    <xf numFmtId="0" fontId="9" fillId="0" borderId="26" xfId="6" applyFont="1" applyBorder="1" applyAlignment="1">
      <alignment horizontal="center" vertical="center"/>
    </xf>
    <xf numFmtId="0" fontId="9" fillId="0" borderId="27" xfId="6" applyFont="1" applyBorder="1" applyAlignment="1">
      <alignment horizontal="center" vertical="center"/>
    </xf>
    <xf numFmtId="0" fontId="9" fillId="0" borderId="20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0" fillId="0" borderId="0" xfId="6" applyFont="1" applyAlignment="1">
      <alignment vertical="center"/>
    </xf>
    <xf numFmtId="0" fontId="10" fillId="0" borderId="26" xfId="6" applyFont="1" applyBorder="1" applyAlignment="1">
      <alignment vertical="center" wrapText="1"/>
    </xf>
    <xf numFmtId="0" fontId="10" fillId="0" borderId="27" xfId="6" applyFont="1" applyBorder="1" applyAlignment="1">
      <alignment vertical="center" wrapText="1"/>
    </xf>
    <xf numFmtId="0" fontId="10" fillId="0" borderId="20" xfId="6" applyFont="1" applyBorder="1" applyAlignment="1">
      <alignment vertical="center" wrapText="1"/>
    </xf>
    <xf numFmtId="0" fontId="10" fillId="0" borderId="33" xfId="6" applyFont="1" applyBorder="1" applyAlignment="1">
      <alignment vertical="center" wrapText="1"/>
    </xf>
    <xf numFmtId="0" fontId="10" fillId="0" borderId="34" xfId="6" applyFont="1" applyBorder="1" applyAlignment="1">
      <alignment vertical="center"/>
    </xf>
    <xf numFmtId="0" fontId="10" fillId="0" borderId="35" xfId="6" applyFont="1" applyBorder="1" applyAlignment="1">
      <alignment vertical="center"/>
    </xf>
    <xf numFmtId="0" fontId="10" fillId="0" borderId="33" xfId="6" quotePrefix="1" applyFont="1" applyBorder="1" applyAlignment="1">
      <alignment horizontal="left" vertical="center" wrapText="1"/>
    </xf>
    <xf numFmtId="0" fontId="10" fillId="0" borderId="34" xfId="6" applyFont="1" applyBorder="1" applyAlignment="1">
      <alignment horizontal="left" vertical="center" wrapText="1"/>
    </xf>
    <xf numFmtId="0" fontId="10" fillId="0" borderId="35" xfId="6" applyFont="1" applyBorder="1" applyAlignment="1">
      <alignment horizontal="left" vertical="center" wrapText="1"/>
    </xf>
    <xf numFmtId="0" fontId="10" fillId="0" borderId="40" xfId="6" quotePrefix="1" applyFont="1" applyBorder="1" applyAlignment="1">
      <alignment vertical="center" wrapText="1"/>
    </xf>
    <xf numFmtId="0" fontId="10" fillId="0" borderId="41" xfId="6" quotePrefix="1" applyFont="1" applyBorder="1" applyAlignment="1">
      <alignment vertical="center" wrapText="1"/>
    </xf>
    <xf numFmtId="0" fontId="10" fillId="0" borderId="42" xfId="6" quotePrefix="1" applyFont="1" applyBorder="1" applyAlignment="1">
      <alignment vertical="center" wrapText="1"/>
    </xf>
    <xf numFmtId="0" fontId="10" fillId="0" borderId="33" xfId="6" quotePrefix="1" applyFont="1" applyBorder="1" applyAlignment="1">
      <alignment vertical="center" wrapText="1"/>
    </xf>
    <xf numFmtId="0" fontId="10" fillId="0" borderId="34" xfId="6" applyFont="1" applyBorder="1" applyAlignment="1">
      <alignment vertical="center" wrapText="1"/>
    </xf>
    <xf numFmtId="0" fontId="10" fillId="0" borderId="35" xfId="6" applyFont="1" applyBorder="1" applyAlignment="1">
      <alignment vertical="center" wrapText="1"/>
    </xf>
    <xf numFmtId="0" fontId="10" fillId="0" borderId="40" xfId="6" quotePrefix="1" applyFont="1" applyBorder="1" applyAlignment="1">
      <alignment vertical="center"/>
    </xf>
    <xf numFmtId="0" fontId="10" fillId="0" borderId="41" xfId="6" quotePrefix="1" applyFont="1" applyBorder="1" applyAlignment="1">
      <alignment vertical="center"/>
    </xf>
    <xf numFmtId="0" fontId="10" fillId="0" borderId="42" xfId="6" quotePrefix="1" applyFont="1" applyBorder="1" applyAlignment="1">
      <alignment vertical="center"/>
    </xf>
    <xf numFmtId="0" fontId="10" fillId="0" borderId="41" xfId="6" applyFont="1" applyBorder="1" applyAlignment="1">
      <alignment vertical="center"/>
    </xf>
    <xf numFmtId="0" fontId="10" fillId="0" borderId="42" xfId="6" applyFont="1" applyBorder="1" applyAlignment="1">
      <alignment vertical="center"/>
    </xf>
    <xf numFmtId="0" fontId="10" fillId="0" borderId="30" xfId="6" quotePrefix="1" applyFont="1" applyBorder="1" applyAlignment="1">
      <alignment horizontal="left" vertical="center" wrapText="1"/>
    </xf>
    <xf numFmtId="0" fontId="10" fillId="0" borderId="31" xfId="6" applyFont="1" applyBorder="1" applyAlignment="1">
      <alignment horizontal="left" vertical="center"/>
    </xf>
    <xf numFmtId="0" fontId="10" fillId="0" borderId="32" xfId="6" applyFont="1" applyBorder="1" applyAlignment="1">
      <alignment horizontal="left" vertical="center"/>
    </xf>
    <xf numFmtId="0" fontId="10" fillId="0" borderId="30" xfId="6" applyFont="1" applyBorder="1" applyAlignment="1">
      <alignment vertical="center" wrapText="1"/>
    </xf>
    <xf numFmtId="0" fontId="10" fillId="0" borderId="31" xfId="6" applyFont="1" applyBorder="1" applyAlignment="1">
      <alignment vertical="center"/>
    </xf>
    <xf numFmtId="0" fontId="10" fillId="0" borderId="32" xfId="6" applyFont="1" applyBorder="1" applyAlignment="1">
      <alignment vertical="center"/>
    </xf>
    <xf numFmtId="0" fontId="10" fillId="0" borderId="28" xfId="6" applyFont="1" applyBorder="1" applyAlignment="1">
      <alignment vertical="center" wrapText="1"/>
    </xf>
    <xf numFmtId="0" fontId="10" fillId="0" borderId="29" xfId="6" applyFont="1" applyBorder="1" applyAlignment="1">
      <alignment vertical="center" wrapText="1"/>
    </xf>
    <xf numFmtId="0" fontId="10" fillId="0" borderId="16" xfId="6" applyFont="1" applyBorder="1" applyAlignment="1">
      <alignment vertical="center" wrapText="1"/>
    </xf>
    <xf numFmtId="0" fontId="10" fillId="0" borderId="40" xfId="6" applyFont="1" applyBorder="1" applyAlignment="1">
      <alignment vertical="center"/>
    </xf>
    <xf numFmtId="0" fontId="10" fillId="0" borderId="33" xfId="6" applyFont="1" applyBorder="1" applyAlignment="1">
      <alignment horizontal="left" vertical="center" wrapText="1"/>
    </xf>
    <xf numFmtId="0" fontId="10" fillId="0" borderId="33" xfId="6" applyFont="1" applyBorder="1" applyAlignment="1">
      <alignment vertical="center"/>
    </xf>
    <xf numFmtId="0" fontId="10" fillId="0" borderId="31" xfId="6" applyFont="1" applyBorder="1" applyAlignment="1">
      <alignment horizontal="left" vertical="center" wrapText="1"/>
    </xf>
    <xf numFmtId="0" fontId="10" fillId="0" borderId="32" xfId="6" applyFont="1" applyBorder="1" applyAlignment="1">
      <alignment horizontal="left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45</xdr:row>
      <xdr:rowOff>0</xdr:rowOff>
    </xdr:from>
    <xdr:to>
      <xdr:col>55</xdr:col>
      <xdr:colOff>235323</xdr:colOff>
      <xdr:row>76</xdr:row>
      <xdr:rowOff>54523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8715375"/>
          <a:ext cx="14401800" cy="6257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56</xdr:col>
      <xdr:colOff>0</xdr:colOff>
      <xdr:row>41</xdr:row>
      <xdr:rowOff>20906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638300"/>
          <a:ext cx="14401800" cy="6305550"/>
        </a:xfrm>
        <a:prstGeom prst="rect">
          <a:avLst/>
        </a:prstGeom>
      </xdr:spPr>
    </xdr:pic>
    <xdr:clientData/>
  </xdr:twoCellAnchor>
  <xdr:twoCellAnchor>
    <xdr:from>
      <xdr:col>10</xdr:col>
      <xdr:colOff>172962</xdr:colOff>
      <xdr:row>44</xdr:row>
      <xdr:rowOff>22411</xdr:rowOff>
    </xdr:from>
    <xdr:to>
      <xdr:col>11</xdr:col>
      <xdr:colOff>190500</xdr:colOff>
      <xdr:row>45</xdr:row>
      <xdr:rowOff>44824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838450" y="85344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217785</xdr:colOff>
      <xdr:row>47</xdr:row>
      <xdr:rowOff>168088</xdr:rowOff>
    </xdr:from>
    <xdr:to>
      <xdr:col>8</xdr:col>
      <xdr:colOff>0</xdr:colOff>
      <xdr:row>48</xdr:row>
      <xdr:rowOff>190500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819275" y="928687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67235</xdr:colOff>
      <xdr:row>47</xdr:row>
      <xdr:rowOff>0</xdr:rowOff>
    </xdr:from>
    <xdr:to>
      <xdr:col>12</xdr:col>
      <xdr:colOff>84774</xdr:colOff>
      <xdr:row>48</xdr:row>
      <xdr:rowOff>22412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000375" y="91154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217785</xdr:colOff>
      <xdr:row>47</xdr:row>
      <xdr:rowOff>0</xdr:rowOff>
    </xdr:from>
    <xdr:to>
      <xdr:col>15</xdr:col>
      <xdr:colOff>0</xdr:colOff>
      <xdr:row>48</xdr:row>
      <xdr:rowOff>22412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686175" y="911542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49</xdr:row>
      <xdr:rowOff>168088</xdr:rowOff>
    </xdr:from>
    <xdr:to>
      <xdr:col>22</xdr:col>
      <xdr:colOff>17538</xdr:colOff>
      <xdr:row>50</xdr:row>
      <xdr:rowOff>190500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600700" y="96869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49</xdr:row>
      <xdr:rowOff>179294</xdr:rowOff>
    </xdr:from>
    <xdr:to>
      <xdr:col>25</xdr:col>
      <xdr:colOff>221877</xdr:colOff>
      <xdr:row>51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6400800" y="9696450"/>
          <a:ext cx="4857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217785</xdr:colOff>
      <xdr:row>49</xdr:row>
      <xdr:rowOff>100853</xdr:rowOff>
    </xdr:from>
    <xdr:to>
      <xdr:col>6</xdr:col>
      <xdr:colOff>0</xdr:colOff>
      <xdr:row>50</xdr:row>
      <xdr:rowOff>123265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85875" y="9620250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217785</xdr:colOff>
      <xdr:row>49</xdr:row>
      <xdr:rowOff>112059</xdr:rowOff>
    </xdr:from>
    <xdr:to>
      <xdr:col>9</xdr:col>
      <xdr:colOff>204338</xdr:colOff>
      <xdr:row>50</xdr:row>
      <xdr:rowOff>134471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085975" y="9629775"/>
          <a:ext cx="5143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217785</xdr:colOff>
      <xdr:row>47</xdr:row>
      <xdr:rowOff>11206</xdr:rowOff>
    </xdr:from>
    <xdr:to>
      <xdr:col>23</xdr:col>
      <xdr:colOff>0</xdr:colOff>
      <xdr:row>48</xdr:row>
      <xdr:rowOff>33618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819775" y="912495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217785</xdr:colOff>
      <xdr:row>47</xdr:row>
      <xdr:rowOff>11206</xdr:rowOff>
    </xdr:from>
    <xdr:to>
      <xdr:col>26</xdr:col>
      <xdr:colOff>204338</xdr:colOff>
      <xdr:row>48</xdr:row>
      <xdr:rowOff>33618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6619875" y="9124950"/>
          <a:ext cx="5143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56029</xdr:colOff>
      <xdr:row>47</xdr:row>
      <xdr:rowOff>11206</xdr:rowOff>
    </xdr:from>
    <xdr:to>
      <xdr:col>31</xdr:col>
      <xdr:colOff>42582</xdr:colOff>
      <xdr:row>48</xdr:row>
      <xdr:rowOff>33618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7791450" y="9124950"/>
          <a:ext cx="5143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36</xdr:col>
      <xdr:colOff>67235</xdr:colOff>
      <xdr:row>47</xdr:row>
      <xdr:rowOff>0</xdr:rowOff>
    </xdr:from>
    <xdr:to>
      <xdr:col>38</xdr:col>
      <xdr:colOff>53788</xdr:colOff>
      <xdr:row>48</xdr:row>
      <xdr:rowOff>22412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9667875" y="9115425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7.4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33</xdr:col>
      <xdr:colOff>136712</xdr:colOff>
      <xdr:row>47</xdr:row>
      <xdr:rowOff>11206</xdr:rowOff>
    </xdr:from>
    <xdr:to>
      <xdr:col>35</xdr:col>
      <xdr:colOff>123264</xdr:colOff>
      <xdr:row>48</xdr:row>
      <xdr:rowOff>33618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8934450" y="912495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7.3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42</xdr:col>
      <xdr:colOff>217785</xdr:colOff>
      <xdr:row>47</xdr:row>
      <xdr:rowOff>0</xdr:rowOff>
    </xdr:from>
    <xdr:to>
      <xdr:col>44</xdr:col>
      <xdr:colOff>0</xdr:colOff>
      <xdr:row>48</xdr:row>
      <xdr:rowOff>22412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1420475" y="911542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45</xdr:col>
      <xdr:colOff>217785</xdr:colOff>
      <xdr:row>47</xdr:row>
      <xdr:rowOff>0</xdr:rowOff>
    </xdr:from>
    <xdr:to>
      <xdr:col>47</xdr:col>
      <xdr:colOff>204338</xdr:colOff>
      <xdr:row>48</xdr:row>
      <xdr:rowOff>22412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12220575" y="9115425"/>
          <a:ext cx="5143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212912</xdr:colOff>
      <xdr:row>59</xdr:row>
      <xdr:rowOff>78442</xdr:rowOff>
    </xdr:from>
    <xdr:to>
      <xdr:col>4</xdr:col>
      <xdr:colOff>199465</xdr:colOff>
      <xdr:row>60</xdr:row>
      <xdr:rowOff>100854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742950" y="11591925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103094</xdr:colOff>
      <xdr:row>54</xdr:row>
      <xdr:rowOff>0</xdr:rowOff>
    </xdr:from>
    <xdr:to>
      <xdr:col>8</xdr:col>
      <xdr:colOff>89647</xdr:colOff>
      <xdr:row>55</xdr:row>
      <xdr:rowOff>22412</xdr:rowOff>
    </xdr:to>
    <xdr:sp macro="" textlink="" fLocksText="0">
      <xdr:nvSpPr>
        <xdr:cNvPr id="67" name="Rectangl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704975" y="10515600"/>
          <a:ext cx="5143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56030</xdr:colOff>
      <xdr:row>59</xdr:row>
      <xdr:rowOff>78442</xdr:rowOff>
    </xdr:from>
    <xdr:to>
      <xdr:col>8</xdr:col>
      <xdr:colOff>134023</xdr:colOff>
      <xdr:row>60</xdr:row>
      <xdr:rowOff>100854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657350" y="11591925"/>
          <a:ext cx="6096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13.1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114299</xdr:colOff>
      <xdr:row>53</xdr:row>
      <xdr:rowOff>190499</xdr:rowOff>
    </xdr:from>
    <xdr:to>
      <xdr:col>13</xdr:col>
      <xdr:colOff>100852</xdr:colOff>
      <xdr:row>55</xdr:row>
      <xdr:rowOff>11206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3048000" y="10506075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67235</xdr:colOff>
      <xdr:row>59</xdr:row>
      <xdr:rowOff>67236</xdr:rowOff>
    </xdr:from>
    <xdr:to>
      <xdr:col>13</xdr:col>
      <xdr:colOff>145228</xdr:colOff>
      <xdr:row>60</xdr:row>
      <xdr:rowOff>89648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000375" y="11582400"/>
          <a:ext cx="6096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14.1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114299</xdr:colOff>
      <xdr:row>53</xdr:row>
      <xdr:rowOff>179293</xdr:rowOff>
    </xdr:from>
    <xdr:to>
      <xdr:col>17</xdr:col>
      <xdr:colOff>100852</xdr:colOff>
      <xdr:row>55</xdr:row>
      <xdr:rowOff>0</xdr:rowOff>
    </xdr:to>
    <xdr:sp macro="" textlink="" fLocksText="0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4114800" y="10496550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67235</xdr:colOff>
      <xdr:row>59</xdr:row>
      <xdr:rowOff>56030</xdr:rowOff>
    </xdr:from>
    <xdr:to>
      <xdr:col>17</xdr:col>
      <xdr:colOff>145228</xdr:colOff>
      <xdr:row>60</xdr:row>
      <xdr:rowOff>78442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4067175" y="11572875"/>
          <a:ext cx="6096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15.1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36</xdr:col>
      <xdr:colOff>13447</xdr:colOff>
      <xdr:row>54</xdr:row>
      <xdr:rowOff>0</xdr:rowOff>
    </xdr:from>
    <xdr:to>
      <xdr:col>38</xdr:col>
      <xdr:colOff>0</xdr:colOff>
      <xdr:row>55</xdr:row>
      <xdr:rowOff>22412</xdr:rowOff>
    </xdr:to>
    <xdr:sp macro="" textlink="" fLocksText="0">
      <xdr:nvSpPr>
        <xdr:cNvPr id="73" name="Rectangl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9610725" y="10515600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201706</xdr:colOff>
      <xdr:row>59</xdr:row>
      <xdr:rowOff>78442</xdr:rowOff>
    </xdr:from>
    <xdr:to>
      <xdr:col>38</xdr:col>
      <xdr:colOff>44376</xdr:colOff>
      <xdr:row>60</xdr:row>
      <xdr:rowOff>100854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9534525" y="11591925"/>
          <a:ext cx="647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16.1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53</xdr:col>
      <xdr:colOff>0</xdr:colOff>
      <xdr:row>54</xdr:row>
      <xdr:rowOff>0</xdr:rowOff>
    </xdr:from>
    <xdr:to>
      <xdr:col>54</xdr:col>
      <xdr:colOff>221876</xdr:colOff>
      <xdr:row>55</xdr:row>
      <xdr:rowOff>22412</xdr:rowOff>
    </xdr:to>
    <xdr:sp macro="" textlink="" fLocksText="0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14135100" y="10515600"/>
          <a:ext cx="4857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52</xdr:col>
      <xdr:colOff>188259</xdr:colOff>
      <xdr:row>59</xdr:row>
      <xdr:rowOff>78442</xdr:rowOff>
    </xdr:from>
    <xdr:to>
      <xdr:col>55</xdr:col>
      <xdr:colOff>30929</xdr:colOff>
      <xdr:row>60</xdr:row>
      <xdr:rowOff>100854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4058900" y="11591925"/>
          <a:ext cx="6381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17.1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44</xdr:col>
      <xdr:colOff>13447</xdr:colOff>
      <xdr:row>73</xdr:row>
      <xdr:rowOff>179294</xdr:rowOff>
    </xdr:from>
    <xdr:to>
      <xdr:col>46</xdr:col>
      <xdr:colOff>0</xdr:colOff>
      <xdr:row>75</xdr:row>
      <xdr:rowOff>0</xdr:rowOff>
    </xdr:to>
    <xdr:sp macro="" textlink="" fLocksText="0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1744325" y="14497050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48</xdr:col>
      <xdr:colOff>159124</xdr:colOff>
      <xdr:row>73</xdr:row>
      <xdr:rowOff>179294</xdr:rowOff>
    </xdr:from>
    <xdr:to>
      <xdr:col>50</xdr:col>
      <xdr:colOff>145677</xdr:colOff>
      <xdr:row>75</xdr:row>
      <xdr:rowOff>0</xdr:rowOff>
    </xdr:to>
    <xdr:sp macro="" textlink="" fLocksText="0">
      <xdr:nvSpPr>
        <xdr:cNvPr id="78" name="Rectangl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12963525" y="14497050"/>
          <a:ext cx="5143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52</xdr:col>
      <xdr:colOff>134470</xdr:colOff>
      <xdr:row>73</xdr:row>
      <xdr:rowOff>168089</xdr:rowOff>
    </xdr:from>
    <xdr:to>
      <xdr:col>54</xdr:col>
      <xdr:colOff>121023</xdr:colOff>
      <xdr:row>74</xdr:row>
      <xdr:rowOff>190501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4001750" y="14487525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22412</xdr:colOff>
      <xdr:row>49</xdr:row>
      <xdr:rowOff>89647</xdr:rowOff>
    </xdr:from>
    <xdr:to>
      <xdr:col>15</xdr:col>
      <xdr:colOff>39950</xdr:colOff>
      <xdr:row>50</xdr:row>
      <xdr:rowOff>112059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3752850" y="96012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22412</xdr:colOff>
      <xdr:row>49</xdr:row>
      <xdr:rowOff>100853</xdr:rowOff>
    </xdr:from>
    <xdr:to>
      <xdr:col>19</xdr:col>
      <xdr:colOff>8965</xdr:colOff>
      <xdr:row>50</xdr:row>
      <xdr:rowOff>123265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4552950" y="9620250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60903</xdr:colOff>
      <xdr:row>49</xdr:row>
      <xdr:rowOff>168088</xdr:rowOff>
    </xdr:from>
    <xdr:to>
      <xdr:col>30</xdr:col>
      <xdr:colOff>78441</xdr:colOff>
      <xdr:row>50</xdr:row>
      <xdr:rowOff>190500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7791450" y="96869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52</xdr:col>
      <xdr:colOff>0</xdr:colOff>
      <xdr:row>52</xdr:row>
      <xdr:rowOff>0</xdr:rowOff>
    </xdr:from>
    <xdr:to>
      <xdr:col>53</xdr:col>
      <xdr:colOff>221877</xdr:colOff>
      <xdr:row>53</xdr:row>
      <xdr:rowOff>22412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13868400" y="10115550"/>
          <a:ext cx="4857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46</xdr:col>
      <xdr:colOff>201706</xdr:colOff>
      <xdr:row>52</xdr:row>
      <xdr:rowOff>0</xdr:rowOff>
    </xdr:from>
    <xdr:to>
      <xdr:col>48</xdr:col>
      <xdr:colOff>188259</xdr:colOff>
      <xdr:row>53</xdr:row>
      <xdr:rowOff>22412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12468225" y="10115550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108417</xdr:rowOff>
    </xdr:from>
    <xdr:to>
      <xdr:col>50</xdr:col>
      <xdr:colOff>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743075"/>
          <a:ext cx="12801600" cy="5610225"/>
        </a:xfrm>
        <a:prstGeom prst="rect">
          <a:avLst/>
        </a:prstGeom>
      </xdr:spPr>
    </xdr:pic>
    <xdr:clientData/>
  </xdr:twoCellAnchor>
  <xdr:twoCellAnchor>
    <xdr:from>
      <xdr:col>16</xdr:col>
      <xdr:colOff>217786</xdr:colOff>
      <xdr:row>12</xdr:row>
      <xdr:rowOff>0</xdr:rowOff>
    </xdr:from>
    <xdr:to>
      <xdr:col>18</xdr:col>
      <xdr:colOff>0</xdr:colOff>
      <xdr:row>13</xdr:row>
      <xdr:rowOff>33618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486275" y="240030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9</xdr:col>
      <xdr:colOff>56030</xdr:colOff>
      <xdr:row>14</xdr:row>
      <xdr:rowOff>156882</xdr:rowOff>
    </xdr:from>
    <xdr:to>
      <xdr:col>10</xdr:col>
      <xdr:colOff>73569</xdr:colOff>
      <xdr:row>16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457450" y="29337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 1</a:t>
          </a:r>
        </a:p>
      </xdr:txBody>
    </xdr:sp>
    <xdr:clientData/>
  </xdr:twoCellAnchor>
  <xdr:twoCellAnchor>
    <xdr:from>
      <xdr:col>8</xdr:col>
      <xdr:colOff>181536</xdr:colOff>
      <xdr:row>19</xdr:row>
      <xdr:rowOff>0</xdr:rowOff>
    </xdr:from>
    <xdr:to>
      <xdr:col>10</xdr:col>
      <xdr:colOff>168089</xdr:colOff>
      <xdr:row>20</xdr:row>
      <xdr:rowOff>33618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231457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1.1</a:t>
          </a:r>
        </a:p>
      </xdr:txBody>
    </xdr:sp>
    <xdr:clientData/>
  </xdr:twoCellAnchor>
  <xdr:twoCellAnchor>
    <xdr:from>
      <xdr:col>12</xdr:col>
      <xdr:colOff>0</xdr:colOff>
      <xdr:row>14</xdr:row>
      <xdr:rowOff>156882</xdr:rowOff>
    </xdr:from>
    <xdr:to>
      <xdr:col>13</xdr:col>
      <xdr:colOff>17538</xdr:colOff>
      <xdr:row>16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200400" y="29337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11</xdr:col>
      <xdr:colOff>125505</xdr:colOff>
      <xdr:row>19</xdr:row>
      <xdr:rowOff>0</xdr:rowOff>
    </xdr:from>
    <xdr:to>
      <xdr:col>13</xdr:col>
      <xdr:colOff>112058</xdr:colOff>
      <xdr:row>20</xdr:row>
      <xdr:rowOff>33618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305752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  <xdr:twoCellAnchor>
    <xdr:from>
      <xdr:col>18</xdr:col>
      <xdr:colOff>217785</xdr:colOff>
      <xdr:row>14</xdr:row>
      <xdr:rowOff>145676</xdr:rowOff>
    </xdr:from>
    <xdr:to>
      <xdr:col>20</xdr:col>
      <xdr:colOff>0</xdr:colOff>
      <xdr:row>15</xdr:row>
      <xdr:rowOff>179294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019675" y="292417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18</xdr:col>
      <xdr:colOff>107967</xdr:colOff>
      <xdr:row>18</xdr:row>
      <xdr:rowOff>179294</xdr:rowOff>
    </xdr:from>
    <xdr:to>
      <xdr:col>20</xdr:col>
      <xdr:colOff>94520</xdr:colOff>
      <xdr:row>20</xdr:row>
      <xdr:rowOff>22412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4905375" y="3724275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27</xdr:col>
      <xdr:colOff>78441</xdr:colOff>
      <xdr:row>14</xdr:row>
      <xdr:rowOff>156882</xdr:rowOff>
    </xdr:from>
    <xdr:to>
      <xdr:col>28</xdr:col>
      <xdr:colOff>95979</xdr:colOff>
      <xdr:row>16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7277100" y="29337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26</xdr:col>
      <xdr:colOff>203946</xdr:colOff>
      <xdr:row>19</xdr:row>
      <xdr:rowOff>0</xdr:rowOff>
    </xdr:from>
    <xdr:to>
      <xdr:col>28</xdr:col>
      <xdr:colOff>190499</xdr:colOff>
      <xdr:row>20</xdr:row>
      <xdr:rowOff>33618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13422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32</xdr:col>
      <xdr:colOff>0</xdr:colOff>
      <xdr:row>14</xdr:row>
      <xdr:rowOff>156882</xdr:rowOff>
    </xdr:from>
    <xdr:to>
      <xdr:col>33</xdr:col>
      <xdr:colOff>17539</xdr:colOff>
      <xdr:row>16</xdr:row>
      <xdr:rowOff>0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8534400" y="29337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31</xdr:col>
      <xdr:colOff>125506</xdr:colOff>
      <xdr:row>19</xdr:row>
      <xdr:rowOff>0</xdr:rowOff>
    </xdr:from>
    <xdr:to>
      <xdr:col>33</xdr:col>
      <xdr:colOff>112059</xdr:colOff>
      <xdr:row>20</xdr:row>
      <xdr:rowOff>33618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39152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5.1</a:t>
          </a:r>
        </a:p>
      </xdr:txBody>
    </xdr:sp>
    <xdr:clientData/>
  </xdr:twoCellAnchor>
  <xdr:twoCellAnchor>
    <xdr:from>
      <xdr:col>35</xdr:col>
      <xdr:colOff>217785</xdr:colOff>
      <xdr:row>14</xdr:row>
      <xdr:rowOff>156882</xdr:rowOff>
    </xdr:from>
    <xdr:to>
      <xdr:col>37</xdr:col>
      <xdr:colOff>0</xdr:colOff>
      <xdr:row>16</xdr:row>
      <xdr:rowOff>0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9553575" y="293370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35</xdr:col>
      <xdr:colOff>107967</xdr:colOff>
      <xdr:row>19</xdr:row>
      <xdr:rowOff>0</xdr:rowOff>
    </xdr:from>
    <xdr:to>
      <xdr:col>37</xdr:col>
      <xdr:colOff>94520</xdr:colOff>
      <xdr:row>20</xdr:row>
      <xdr:rowOff>33618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943927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6.1</a:t>
          </a:r>
        </a:p>
      </xdr:txBody>
    </xdr:sp>
    <xdr:clientData/>
  </xdr:twoCellAnchor>
  <xdr:twoCellAnchor>
    <xdr:from>
      <xdr:col>40</xdr:col>
      <xdr:colOff>217785</xdr:colOff>
      <xdr:row>14</xdr:row>
      <xdr:rowOff>156882</xdr:rowOff>
    </xdr:from>
    <xdr:to>
      <xdr:col>42</xdr:col>
      <xdr:colOff>0</xdr:colOff>
      <xdr:row>16</xdr:row>
      <xdr:rowOff>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0887075" y="293370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40</xdr:col>
      <xdr:colOff>107967</xdr:colOff>
      <xdr:row>19</xdr:row>
      <xdr:rowOff>0</xdr:rowOff>
    </xdr:from>
    <xdr:to>
      <xdr:col>42</xdr:col>
      <xdr:colOff>94520</xdr:colOff>
      <xdr:row>20</xdr:row>
      <xdr:rowOff>33618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772775" y="3733800"/>
          <a:ext cx="5238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7.1</a:t>
          </a:r>
        </a:p>
      </xdr:txBody>
    </xdr:sp>
    <xdr:clientData/>
  </xdr:twoCellAnchor>
  <xdr:twoCellAnchor>
    <xdr:from>
      <xdr:col>42</xdr:col>
      <xdr:colOff>217785</xdr:colOff>
      <xdr:row>11</xdr:row>
      <xdr:rowOff>145676</xdr:rowOff>
    </xdr:from>
    <xdr:to>
      <xdr:col>44</xdr:col>
      <xdr:colOff>0</xdr:colOff>
      <xdr:row>12</xdr:row>
      <xdr:rowOff>179294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1420475" y="235267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1" customWidth="1"/>
    <col min="61" max="16384" width="2.77734375" style="161"/>
  </cols>
  <sheetData>
    <row r="1" spans="1:63" ht="24.95" customHeight="1" x14ac:dyDescent="0.25">
      <c r="A1" s="155" t="s">
        <v>67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68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">
        <v>69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155" t="s">
        <v>70</v>
      </c>
      <c r="AQ1" s="156"/>
      <c r="AR1" s="156"/>
      <c r="AS1" s="157"/>
      <c r="AT1" s="155" t="s">
        <v>71</v>
      </c>
      <c r="AU1" s="156"/>
      <c r="AV1" s="156"/>
      <c r="AW1" s="156"/>
      <c r="AX1" s="157"/>
      <c r="AY1" s="155" t="s">
        <v>72</v>
      </c>
      <c r="AZ1" s="156"/>
      <c r="BA1" s="156"/>
      <c r="BB1" s="157"/>
      <c r="BC1" s="155" t="s">
        <v>73</v>
      </c>
      <c r="BD1" s="156"/>
      <c r="BE1" s="156"/>
      <c r="BF1" s="156"/>
      <c r="BG1" s="157"/>
      <c r="BH1" s="155" t="s">
        <v>74</v>
      </c>
      <c r="BI1" s="156"/>
      <c r="BJ1" s="156"/>
      <c r="BK1" s="157"/>
    </row>
    <row r="2" spans="1:63" ht="15" customHeight="1" x14ac:dyDescent="0.25">
      <c r="A2" s="19" t="s">
        <v>75</v>
      </c>
      <c r="B2" s="162"/>
      <c r="C2" s="162"/>
      <c r="D2" s="162"/>
      <c r="E2" s="162"/>
      <c r="F2" s="162"/>
      <c r="G2" s="162"/>
      <c r="H2" s="162"/>
      <c r="I2" s="162"/>
      <c r="J2" s="163"/>
      <c r="K2" s="164" t="s">
        <v>1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164" t="str">
        <f>改訂履歴!$H$11</f>
        <v>TuyenNH</v>
      </c>
      <c r="AQ2" s="162"/>
      <c r="AR2" s="162"/>
      <c r="AS2" s="163"/>
      <c r="AT2" s="168">
        <f>改訂履歴!$B$11</f>
        <v>45644</v>
      </c>
      <c r="AU2" s="169"/>
      <c r="AV2" s="169"/>
      <c r="AW2" s="169"/>
      <c r="AX2" s="170"/>
      <c r="AY2" s="164" t="str">
        <f>LOOKUP(2,1/(改訂履歴!H11:H30000&lt;&gt;""),改訂履歴!H11:H30000)</f>
        <v>TuyenNH</v>
      </c>
      <c r="AZ2" s="162"/>
      <c r="BA2" s="162"/>
      <c r="BB2" s="163"/>
      <c r="BC2" s="168">
        <f>LOOKUP(2,1/(改訂履歴!B11:B30000&lt;&gt;""),改訂履歴!B11:B30000)</f>
        <v>45644</v>
      </c>
      <c r="BD2" s="169"/>
      <c r="BE2" s="169"/>
      <c r="BF2" s="169"/>
      <c r="BG2" s="170"/>
      <c r="BH2" s="171">
        <f>LOOKUP(2,1/(改訂履歴!O11:O30000&lt;&gt;""),改訂履歴!O11:O30000)</f>
        <v>0.1</v>
      </c>
      <c r="BI2" s="172"/>
      <c r="BJ2" s="172"/>
      <c r="BK2" s="173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83"/>
      <c r="BI3" s="184"/>
      <c r="BJ3" s="184"/>
      <c r="BK3" s="185"/>
    </row>
    <row r="4" spans="1:63" ht="24.95" customHeight="1" x14ac:dyDescent="0.25">
      <c r="A4" s="155" t="s">
        <v>76</v>
      </c>
      <c r="B4" s="156"/>
      <c r="C4" s="156"/>
      <c r="D4" s="156"/>
      <c r="E4" s="156"/>
      <c r="F4" s="156"/>
      <c r="G4" s="157"/>
      <c r="H4" s="186" t="s">
        <v>14</v>
      </c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55" t="s">
        <v>77</v>
      </c>
      <c r="V4" s="156"/>
      <c r="W4" s="156"/>
      <c r="X4" s="156"/>
      <c r="Y4" s="157"/>
      <c r="Z4" s="18" t="s">
        <v>78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t="array" aca="1" ref="AP4" ca="1">RIGHT(CELL("filename",$A$1),LEN(CELL("filename",$A$1))-FIND("]",CELL("filename",$A$1)))</f>
        <v>表紙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19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4"/>
    </row>
    <row r="6" spans="1:63" ht="15" customHeight="1" x14ac:dyDescent="0.25">
      <c r="A6" s="195"/>
      <c r="BK6" s="196"/>
    </row>
    <row r="7" spans="1:63" ht="15" customHeight="1" x14ac:dyDescent="0.25">
      <c r="A7" s="195"/>
      <c r="BK7" s="196"/>
    </row>
    <row r="8" spans="1:63" ht="15" customHeight="1" x14ac:dyDescent="0.25">
      <c r="A8" s="195"/>
      <c r="BK8" s="196"/>
    </row>
    <row r="9" spans="1:63" ht="15" customHeight="1" x14ac:dyDescent="0.25">
      <c r="A9" s="195"/>
      <c r="BK9" s="196"/>
    </row>
    <row r="10" spans="1:63" ht="15" customHeight="1" x14ac:dyDescent="0.25">
      <c r="A10" s="195"/>
      <c r="BK10" s="196"/>
    </row>
    <row r="11" spans="1:63" ht="15" customHeight="1" x14ac:dyDescent="0.25">
      <c r="A11" s="195"/>
      <c r="BK11" s="196"/>
    </row>
    <row r="12" spans="1:63" ht="15" customHeight="1" x14ac:dyDescent="0.25">
      <c r="A12" s="195"/>
      <c r="BK12" s="196"/>
    </row>
    <row r="13" spans="1:63" ht="15" customHeight="1" x14ac:dyDescent="0.25">
      <c r="A13" s="195"/>
      <c r="BK13" s="196"/>
    </row>
    <row r="14" spans="1:63" ht="15" customHeight="1" thickBot="1" x14ac:dyDescent="0.3">
      <c r="A14" s="195"/>
      <c r="BK14" s="196"/>
    </row>
    <row r="15" spans="1:63" ht="15" customHeight="1" thickTop="1" x14ac:dyDescent="0.25">
      <c r="A15" s="195"/>
      <c r="K15" s="197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9"/>
      <c r="BK15" s="196"/>
    </row>
    <row r="16" spans="1:63" ht="15" customHeight="1" x14ac:dyDescent="0.25">
      <c r="A16" s="195"/>
      <c r="K16" s="200"/>
      <c r="L16" s="201" t="s">
        <v>79</v>
      </c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3"/>
      <c r="BK16" s="196"/>
    </row>
    <row r="17" spans="1:63" ht="15" customHeight="1" x14ac:dyDescent="0.25">
      <c r="A17" s="195"/>
      <c r="K17" s="200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3"/>
      <c r="BK17" s="196"/>
    </row>
    <row r="18" spans="1:63" ht="15" customHeight="1" x14ac:dyDescent="0.25">
      <c r="A18" s="195"/>
      <c r="K18" s="200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3"/>
      <c r="BK18" s="196"/>
    </row>
    <row r="19" spans="1:63" ht="15" customHeight="1" x14ac:dyDescent="0.25">
      <c r="A19" s="195"/>
      <c r="K19" s="200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3"/>
      <c r="BK19" s="196"/>
    </row>
    <row r="20" spans="1:63" ht="15" customHeight="1" x14ac:dyDescent="0.25">
      <c r="A20" s="195"/>
      <c r="K20" s="200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3"/>
      <c r="BK20" s="196"/>
    </row>
    <row r="21" spans="1:63" ht="15" customHeight="1" x14ac:dyDescent="0.25">
      <c r="A21" s="195"/>
      <c r="K21" s="200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3"/>
      <c r="BK21" s="196"/>
    </row>
    <row r="22" spans="1:63" ht="15" customHeight="1" thickBot="1" x14ac:dyDescent="0.3">
      <c r="A22" s="195"/>
      <c r="K22" s="200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3"/>
      <c r="BK22" s="196"/>
    </row>
    <row r="23" spans="1:63" ht="15" customHeight="1" x14ac:dyDescent="0.25">
      <c r="A23" s="195"/>
      <c r="K23" s="200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3"/>
      <c r="BK23" s="196"/>
    </row>
    <row r="24" spans="1:63" ht="15" customHeight="1" x14ac:dyDescent="0.25">
      <c r="A24" s="195"/>
      <c r="K24" s="200"/>
      <c r="L24" s="202" t="str">
        <f>K2&amp;"/"&amp;H4&amp;"/"&amp;Z4</f>
        <v>POSサーバ/08_カテゴリ値引／割引設定/画面設計書</v>
      </c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3"/>
      <c r="BK24" s="196"/>
    </row>
    <row r="25" spans="1:63" ht="15" customHeight="1" x14ac:dyDescent="0.25">
      <c r="A25" s="195"/>
      <c r="K25" s="200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3"/>
      <c r="BK25" s="196"/>
    </row>
    <row r="26" spans="1:63" ht="15" customHeight="1" x14ac:dyDescent="0.25">
      <c r="A26" s="195"/>
      <c r="K26" s="200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3"/>
      <c r="BK26" s="196"/>
    </row>
    <row r="27" spans="1:63" ht="15" customHeight="1" x14ac:dyDescent="0.25">
      <c r="A27" s="195"/>
      <c r="K27" s="200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3"/>
      <c r="BK27" s="196"/>
    </row>
    <row r="28" spans="1:63" ht="15" customHeight="1" x14ac:dyDescent="0.25">
      <c r="A28" s="195"/>
      <c r="K28" s="200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3"/>
      <c r="BK28" s="196"/>
    </row>
    <row r="29" spans="1:63" ht="15" customHeight="1" x14ac:dyDescent="0.25">
      <c r="A29" s="195"/>
      <c r="K29" s="200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3"/>
      <c r="BK29" s="196"/>
    </row>
    <row r="30" spans="1:63" ht="15" customHeight="1" x14ac:dyDescent="0.25">
      <c r="A30" s="195"/>
      <c r="K30" s="200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3"/>
      <c r="BK30" s="196"/>
    </row>
    <row r="31" spans="1:63" ht="15" customHeight="1" x14ac:dyDescent="0.25">
      <c r="A31" s="195"/>
      <c r="K31" s="200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3"/>
      <c r="BK31" s="196"/>
    </row>
    <row r="32" spans="1:63" ht="15" customHeight="1" x14ac:dyDescent="0.25">
      <c r="A32" s="195"/>
      <c r="K32" s="200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3"/>
      <c r="BK32" s="196"/>
    </row>
    <row r="33" spans="1:63" ht="15" customHeight="1" x14ac:dyDescent="0.25">
      <c r="A33" s="195"/>
      <c r="K33" s="200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3"/>
      <c r="BK33" s="196"/>
    </row>
    <row r="34" spans="1:63" ht="15" customHeight="1" x14ac:dyDescent="0.25">
      <c r="A34" s="195"/>
      <c r="K34" s="200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3"/>
      <c r="BK34" s="196"/>
    </row>
    <row r="35" spans="1:63" ht="15" customHeight="1" x14ac:dyDescent="0.25">
      <c r="A35" s="195"/>
      <c r="K35" s="200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3"/>
      <c r="BK35" s="196"/>
    </row>
    <row r="36" spans="1:63" ht="15" customHeight="1" x14ac:dyDescent="0.25">
      <c r="A36" s="195"/>
      <c r="K36" s="200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3"/>
      <c r="BK36" s="196"/>
    </row>
    <row r="37" spans="1:63" ht="15" customHeight="1" thickBot="1" x14ac:dyDescent="0.3">
      <c r="A37" s="195"/>
      <c r="K37" s="206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8"/>
      <c r="BK37" s="196"/>
    </row>
    <row r="38" spans="1:63" ht="15" customHeight="1" thickTop="1" x14ac:dyDescent="0.25">
      <c r="A38" s="195"/>
      <c r="BK38" s="196"/>
    </row>
    <row r="39" spans="1:63" ht="15" customHeight="1" x14ac:dyDescent="0.25">
      <c r="A39" s="195"/>
      <c r="BK39" s="196"/>
    </row>
    <row r="40" spans="1:63" ht="15" customHeight="1" x14ac:dyDescent="0.25">
      <c r="A40" s="195"/>
      <c r="BK40" s="196"/>
    </row>
    <row r="41" spans="1:63" ht="15" customHeight="1" x14ac:dyDescent="0.25">
      <c r="A41" s="195"/>
      <c r="BK41" s="196"/>
    </row>
    <row r="42" spans="1:63" ht="15" customHeight="1" x14ac:dyDescent="0.25">
      <c r="A42" s="195"/>
      <c r="BK42" s="196"/>
    </row>
    <row r="43" spans="1:63" ht="15" customHeight="1" x14ac:dyDescent="0.25">
      <c r="A43" s="195"/>
      <c r="BK43" s="196"/>
    </row>
    <row r="44" spans="1:63" ht="15" customHeight="1" x14ac:dyDescent="0.25">
      <c r="A44" s="195"/>
      <c r="Q44" s="209" t="s">
        <v>80</v>
      </c>
      <c r="R44" s="210"/>
      <c r="S44" s="210"/>
      <c r="T44" s="210"/>
      <c r="U44" s="210"/>
      <c r="V44" s="210"/>
      <c r="W44" s="210"/>
      <c r="X44" s="210"/>
      <c r="Y44" s="210"/>
      <c r="Z44" s="211"/>
      <c r="AA44" s="209" t="s">
        <v>81</v>
      </c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1"/>
      <c r="AQ44" s="209" t="s">
        <v>74</v>
      </c>
      <c r="AR44" s="210"/>
      <c r="AS44" s="210"/>
      <c r="AT44" s="210"/>
      <c r="AU44" s="211"/>
      <c r="BK44" s="196"/>
    </row>
    <row r="45" spans="1:63" ht="15" customHeight="1" x14ac:dyDescent="0.25">
      <c r="A45" s="195"/>
      <c r="Q45" s="212"/>
      <c r="R45" s="213"/>
      <c r="S45" s="213"/>
      <c r="T45" s="213"/>
      <c r="U45" s="213"/>
      <c r="V45" s="213"/>
      <c r="W45" s="213"/>
      <c r="X45" s="213"/>
      <c r="Y45" s="213"/>
      <c r="Z45" s="214"/>
      <c r="AA45" s="212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4"/>
      <c r="AQ45" s="212"/>
      <c r="AR45" s="213"/>
      <c r="AS45" s="213"/>
      <c r="AT45" s="213"/>
      <c r="AU45" s="214"/>
      <c r="BK45" s="196"/>
    </row>
    <row r="46" spans="1:63" ht="15" customHeight="1" x14ac:dyDescent="0.25">
      <c r="A46" s="195"/>
      <c r="Q46" s="164"/>
      <c r="R46" s="162"/>
      <c r="S46" s="162"/>
      <c r="T46" s="162"/>
      <c r="U46" s="162"/>
      <c r="V46" s="162"/>
      <c r="W46" s="162"/>
      <c r="X46" s="162"/>
      <c r="Y46" s="162"/>
      <c r="Z46" s="163"/>
      <c r="AA46" s="164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3"/>
      <c r="AQ46" s="164"/>
      <c r="AR46" s="162"/>
      <c r="AS46" s="162"/>
      <c r="AT46" s="162"/>
      <c r="AU46" s="163"/>
      <c r="BK46" s="196"/>
    </row>
    <row r="47" spans="1:63" ht="15" customHeight="1" x14ac:dyDescent="0.25">
      <c r="A47" s="195"/>
      <c r="Q47" s="215"/>
      <c r="R47" s="216"/>
      <c r="S47" s="216"/>
      <c r="T47" s="216"/>
      <c r="U47" s="216"/>
      <c r="V47" s="216"/>
      <c r="W47" s="216"/>
      <c r="X47" s="216"/>
      <c r="Y47" s="216"/>
      <c r="Z47" s="217"/>
      <c r="AA47" s="215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7"/>
      <c r="AQ47" s="215"/>
      <c r="AR47" s="216"/>
      <c r="AS47" s="216"/>
      <c r="AT47" s="216"/>
      <c r="AU47" s="217"/>
      <c r="BK47" s="196"/>
    </row>
    <row r="48" spans="1:63" ht="15" customHeight="1" x14ac:dyDescent="0.25">
      <c r="A48" s="195"/>
      <c r="Q48" s="215"/>
      <c r="R48" s="216"/>
      <c r="S48" s="216"/>
      <c r="T48" s="216"/>
      <c r="U48" s="216"/>
      <c r="V48" s="216"/>
      <c r="W48" s="216"/>
      <c r="X48" s="216"/>
      <c r="Y48" s="216"/>
      <c r="Z48" s="217"/>
      <c r="AA48" s="215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7"/>
      <c r="AQ48" s="215"/>
      <c r="AR48" s="216"/>
      <c r="AS48" s="216"/>
      <c r="AT48" s="216"/>
      <c r="AU48" s="217"/>
      <c r="BK48" s="196"/>
    </row>
    <row r="49" spans="1:63" ht="15" customHeight="1" x14ac:dyDescent="0.25">
      <c r="A49" s="195"/>
      <c r="Q49" s="174"/>
      <c r="R49" s="175"/>
      <c r="S49" s="175"/>
      <c r="T49" s="175"/>
      <c r="U49" s="175"/>
      <c r="V49" s="175"/>
      <c r="W49" s="175"/>
      <c r="X49" s="175"/>
      <c r="Y49" s="175"/>
      <c r="Z49" s="176"/>
      <c r="AA49" s="174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6"/>
      <c r="AQ49" s="174"/>
      <c r="AR49" s="175"/>
      <c r="AS49" s="175"/>
      <c r="AT49" s="175"/>
      <c r="AU49" s="176"/>
      <c r="BK49" s="196"/>
    </row>
    <row r="50" spans="1:63" ht="15" customHeight="1" x14ac:dyDescent="0.25">
      <c r="A50" s="195"/>
      <c r="BK50" s="196"/>
    </row>
    <row r="51" spans="1:63" ht="15" customHeight="1" x14ac:dyDescent="0.25">
      <c r="A51" s="195"/>
      <c r="BK51" s="196"/>
    </row>
    <row r="52" spans="1:63" ht="15" customHeight="1" x14ac:dyDescent="0.25">
      <c r="A52" s="195"/>
      <c r="BK52" s="196"/>
    </row>
    <row r="53" spans="1:63" ht="15" customHeight="1" x14ac:dyDescent="0.25">
      <c r="A53" s="195"/>
      <c r="BK53" s="196"/>
    </row>
    <row r="54" spans="1:63" ht="15" customHeight="1" x14ac:dyDescent="0.25">
      <c r="A54" s="195"/>
      <c r="BK54" s="196"/>
    </row>
    <row r="55" spans="1:63" ht="15" customHeight="1" x14ac:dyDescent="0.25">
      <c r="A55" s="192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  <c r="BH55" s="193"/>
      <c r="BI55" s="193"/>
      <c r="BJ55" s="193"/>
      <c r="BK55" s="194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1" customWidth="1"/>
    <col min="61" max="16384" width="2.77734375" style="161"/>
  </cols>
  <sheetData>
    <row r="1" spans="1:63" ht="24.95" customHeight="1" x14ac:dyDescent="0.25">
      <c r="A1" s="155" t="s">
        <v>67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68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21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155" t="s">
        <v>70</v>
      </c>
      <c r="AQ1" s="156"/>
      <c r="AR1" s="156"/>
      <c r="AS1" s="157"/>
      <c r="AT1" s="155" t="s">
        <v>71</v>
      </c>
      <c r="AU1" s="156"/>
      <c r="AV1" s="156"/>
      <c r="AW1" s="156"/>
      <c r="AX1" s="157"/>
      <c r="AY1" s="155" t="s">
        <v>72</v>
      </c>
      <c r="AZ1" s="156"/>
      <c r="BA1" s="156"/>
      <c r="BB1" s="157"/>
      <c r="BC1" s="155" t="s">
        <v>73</v>
      </c>
      <c r="BD1" s="156"/>
      <c r="BE1" s="156"/>
      <c r="BF1" s="156"/>
      <c r="BG1" s="157"/>
      <c r="BH1" s="155" t="s">
        <v>74</v>
      </c>
      <c r="BI1" s="156"/>
      <c r="BJ1" s="156"/>
      <c r="BK1" s="157"/>
    </row>
    <row r="2" spans="1:63" ht="15" customHeight="1" x14ac:dyDescent="0.25">
      <c r="A2" s="164" t="str">
        <f>IF(表紙!A2="","",表紙!A2)</f>
        <v>POSサーバー</v>
      </c>
      <c r="B2" s="162"/>
      <c r="C2" s="162"/>
      <c r="D2" s="162"/>
      <c r="E2" s="162"/>
      <c r="F2" s="162"/>
      <c r="G2" s="162"/>
      <c r="H2" s="162"/>
      <c r="I2" s="162"/>
      <c r="J2" s="163"/>
      <c r="K2" s="164" t="str">
        <f>IF(表紙!K2="","",表紙!K2)</f>
        <v>POSサーバ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45644</v>
      </c>
      <c r="AU2" s="169"/>
      <c r="AV2" s="169"/>
      <c r="AW2" s="169"/>
      <c r="AX2" s="170"/>
      <c r="AY2" s="164" t="str">
        <f>IF(表紙!AY2="","",表紙!AY2)</f>
        <v>TuyenNH</v>
      </c>
      <c r="AZ2" s="162"/>
      <c r="BA2" s="162"/>
      <c r="BB2" s="163"/>
      <c r="BC2" s="168">
        <f>IF(表紙!BC2="","",表紙!BC2)</f>
        <v>45644</v>
      </c>
      <c r="BD2" s="169"/>
      <c r="BE2" s="169"/>
      <c r="BF2" s="169"/>
      <c r="BG2" s="170"/>
      <c r="BH2" s="164">
        <f>IF(表紙!BH2="","",表紙!BH2)</f>
        <v>0.1</v>
      </c>
      <c r="BI2" s="162"/>
      <c r="BJ2" s="162"/>
      <c r="BK2" s="163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155" t="s">
        <v>76</v>
      </c>
      <c r="B4" s="156"/>
      <c r="C4" s="156"/>
      <c r="D4" s="156"/>
      <c r="E4" s="156"/>
      <c r="F4" s="156"/>
      <c r="G4" s="157"/>
      <c r="H4" s="191" t="str">
        <f>IF(表紙!H4="","",表紙!H4)</f>
        <v>08_カテゴリ値引／割引設定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55" t="s">
        <v>77</v>
      </c>
      <c r="V4" s="156"/>
      <c r="W4" s="156"/>
      <c r="X4" s="156"/>
      <c r="Y4" s="157"/>
      <c r="Z4" s="191" t="str">
        <f>IF(表紙!Z4="","",表紙!Z4)</f>
        <v>画面設計書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t="array" aca="1" ref="AP4" ca="1">RIGHT(CELL("filename",$A$1),LEN(CELL("filename",$A$1))-FIND("]",CELL("filename",$A$1)))</f>
        <v>改訂履歴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19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4"/>
    </row>
    <row r="6" spans="1:63" ht="15" customHeight="1" x14ac:dyDescent="0.25">
      <c r="A6" s="195"/>
      <c r="BK6" s="196"/>
    </row>
    <row r="7" spans="1:63" ht="15" customHeight="1" x14ac:dyDescent="0.25">
      <c r="A7" s="195"/>
      <c r="BK7" s="196"/>
    </row>
    <row r="8" spans="1:63" ht="15" customHeight="1" x14ac:dyDescent="0.25">
      <c r="A8" s="195"/>
      <c r="B8" s="161" t="s">
        <v>0</v>
      </c>
      <c r="BK8" s="196"/>
    </row>
    <row r="9" spans="1:63" ht="15" customHeight="1" x14ac:dyDescent="0.25">
      <c r="A9" s="195"/>
      <c r="BK9" s="196"/>
    </row>
    <row r="10" spans="1:63" ht="15" customHeight="1" x14ac:dyDescent="0.25">
      <c r="A10" s="195"/>
      <c r="B10" s="219" t="s">
        <v>73</v>
      </c>
      <c r="C10" s="219"/>
      <c r="D10" s="219"/>
      <c r="E10" s="219"/>
      <c r="F10" s="219"/>
      <c r="G10" s="219"/>
      <c r="H10" s="219" t="s">
        <v>72</v>
      </c>
      <c r="I10" s="219"/>
      <c r="J10" s="219"/>
      <c r="K10" s="219"/>
      <c r="L10" s="219"/>
      <c r="M10" s="219"/>
      <c r="N10" s="219"/>
      <c r="O10" s="219" t="s">
        <v>74</v>
      </c>
      <c r="P10" s="219"/>
      <c r="Q10" s="219"/>
      <c r="R10" s="219"/>
      <c r="S10" s="219" t="s">
        <v>82</v>
      </c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 t="s">
        <v>80</v>
      </c>
      <c r="AY10" s="219"/>
      <c r="AZ10" s="219"/>
      <c r="BA10" s="219"/>
      <c r="BB10" s="219"/>
      <c r="BC10" s="219"/>
      <c r="BD10" s="219" t="s">
        <v>81</v>
      </c>
      <c r="BE10" s="219"/>
      <c r="BF10" s="219"/>
      <c r="BG10" s="219"/>
      <c r="BH10" s="219"/>
      <c r="BI10" s="219"/>
      <c r="BJ10" s="219"/>
      <c r="BK10" s="196"/>
    </row>
    <row r="11" spans="1:63" ht="15" customHeight="1" x14ac:dyDescent="0.25">
      <c r="A11" s="195"/>
      <c r="B11" s="168">
        <v>45644</v>
      </c>
      <c r="C11" s="162"/>
      <c r="D11" s="162"/>
      <c r="E11" s="162"/>
      <c r="F11" s="162"/>
      <c r="G11" s="163"/>
      <c r="H11" s="19" t="s">
        <v>83</v>
      </c>
      <c r="I11" s="162"/>
      <c r="J11" s="162"/>
      <c r="K11" s="162"/>
      <c r="L11" s="162"/>
      <c r="M11" s="162"/>
      <c r="N11" s="163"/>
      <c r="O11" s="164">
        <v>0.1</v>
      </c>
      <c r="P11" s="162"/>
      <c r="Q11" s="162"/>
      <c r="R11" s="162"/>
      <c r="S11" s="220" t="s">
        <v>2</v>
      </c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2"/>
      <c r="AX11" s="223"/>
      <c r="AY11" s="223"/>
      <c r="AZ11" s="223"/>
      <c r="BA11" s="223"/>
      <c r="BB11" s="223"/>
      <c r="BC11" s="224"/>
      <c r="BD11" s="225"/>
      <c r="BE11" s="223"/>
      <c r="BF11" s="223"/>
      <c r="BG11" s="223"/>
      <c r="BH11" s="223"/>
      <c r="BI11" s="223"/>
      <c r="BJ11" s="224"/>
      <c r="BK11" s="196"/>
    </row>
    <row r="12" spans="1:63" ht="15" customHeight="1" x14ac:dyDescent="0.25">
      <c r="A12" s="195"/>
      <c r="B12" s="174"/>
      <c r="C12" s="175"/>
      <c r="D12" s="175"/>
      <c r="E12" s="175"/>
      <c r="F12" s="175"/>
      <c r="G12" s="176"/>
      <c r="H12" s="174"/>
      <c r="I12" s="175"/>
      <c r="J12" s="175"/>
      <c r="K12" s="175"/>
      <c r="L12" s="175"/>
      <c r="M12" s="175"/>
      <c r="N12" s="176"/>
      <c r="O12" s="174"/>
      <c r="P12" s="175"/>
      <c r="Q12" s="175"/>
      <c r="R12" s="175"/>
      <c r="S12" s="226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8"/>
      <c r="AX12" s="229"/>
      <c r="AY12" s="229"/>
      <c r="AZ12" s="229"/>
      <c r="BA12" s="229"/>
      <c r="BB12" s="229"/>
      <c r="BC12" s="230"/>
      <c r="BD12" s="231"/>
      <c r="BE12" s="229"/>
      <c r="BF12" s="229"/>
      <c r="BG12" s="229"/>
      <c r="BH12" s="229"/>
      <c r="BI12" s="229"/>
      <c r="BJ12" s="230"/>
      <c r="BK12" s="196"/>
    </row>
    <row r="13" spans="1:63" ht="15" customHeight="1" x14ac:dyDescent="0.25">
      <c r="A13" s="195"/>
      <c r="B13" s="232"/>
      <c r="C13" s="233"/>
      <c r="D13" s="233"/>
      <c r="E13" s="233"/>
      <c r="F13" s="233"/>
      <c r="G13" s="234"/>
      <c r="H13" s="235"/>
      <c r="I13" s="233"/>
      <c r="J13" s="233"/>
      <c r="K13" s="233"/>
      <c r="L13" s="233"/>
      <c r="M13" s="233"/>
      <c r="N13" s="234"/>
      <c r="O13" s="235"/>
      <c r="P13" s="233"/>
      <c r="Q13" s="233"/>
      <c r="R13" s="233"/>
      <c r="S13" s="236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8"/>
      <c r="AX13" s="223"/>
      <c r="AY13" s="223"/>
      <c r="AZ13" s="223"/>
      <c r="BA13" s="223"/>
      <c r="BB13" s="223"/>
      <c r="BC13" s="224"/>
      <c r="BD13" s="225"/>
      <c r="BE13" s="223"/>
      <c r="BF13" s="223"/>
      <c r="BG13" s="223"/>
      <c r="BH13" s="223"/>
      <c r="BI13" s="223"/>
      <c r="BJ13" s="224"/>
      <c r="BK13" s="196"/>
    </row>
    <row r="14" spans="1:63" ht="15" customHeight="1" x14ac:dyDescent="0.25">
      <c r="A14" s="195"/>
      <c r="B14" s="239"/>
      <c r="C14" s="240"/>
      <c r="D14" s="240"/>
      <c r="E14" s="240"/>
      <c r="F14" s="240"/>
      <c r="G14" s="241"/>
      <c r="H14" s="239"/>
      <c r="I14" s="240"/>
      <c r="J14" s="240"/>
      <c r="K14" s="240"/>
      <c r="L14" s="240"/>
      <c r="M14" s="240"/>
      <c r="N14" s="241"/>
      <c r="O14" s="239"/>
      <c r="P14" s="240"/>
      <c r="Q14" s="240"/>
      <c r="R14" s="240"/>
      <c r="S14" s="242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4"/>
      <c r="AX14" s="229"/>
      <c r="AY14" s="229"/>
      <c r="AZ14" s="229"/>
      <c r="BA14" s="229"/>
      <c r="BB14" s="229"/>
      <c r="BC14" s="230"/>
      <c r="BD14" s="231"/>
      <c r="BE14" s="229"/>
      <c r="BF14" s="229"/>
      <c r="BG14" s="229"/>
      <c r="BH14" s="229"/>
      <c r="BI14" s="229"/>
      <c r="BJ14" s="230"/>
      <c r="BK14" s="196"/>
    </row>
    <row r="15" spans="1:63" ht="15" customHeight="1" x14ac:dyDescent="0.25">
      <c r="A15" s="195"/>
      <c r="B15" s="164"/>
      <c r="C15" s="162"/>
      <c r="D15" s="162"/>
      <c r="E15" s="162"/>
      <c r="F15" s="162"/>
      <c r="G15" s="163"/>
      <c r="H15" s="164"/>
      <c r="I15" s="162"/>
      <c r="J15" s="162"/>
      <c r="K15" s="162"/>
      <c r="L15" s="162"/>
      <c r="M15" s="162"/>
      <c r="N15" s="163"/>
      <c r="O15" s="164"/>
      <c r="P15" s="162"/>
      <c r="Q15" s="162"/>
      <c r="R15" s="162"/>
      <c r="S15" s="220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2"/>
      <c r="AX15" s="223"/>
      <c r="AY15" s="223"/>
      <c r="AZ15" s="223"/>
      <c r="BA15" s="223"/>
      <c r="BB15" s="223"/>
      <c r="BC15" s="224"/>
      <c r="BD15" s="225"/>
      <c r="BE15" s="223"/>
      <c r="BF15" s="223"/>
      <c r="BG15" s="223"/>
      <c r="BH15" s="223"/>
      <c r="BI15" s="223"/>
      <c r="BJ15" s="224"/>
      <c r="BK15" s="196"/>
    </row>
    <row r="16" spans="1:63" ht="15" customHeight="1" x14ac:dyDescent="0.25">
      <c r="A16" s="195"/>
      <c r="B16" s="174"/>
      <c r="C16" s="175"/>
      <c r="D16" s="175"/>
      <c r="E16" s="175"/>
      <c r="F16" s="175"/>
      <c r="G16" s="176"/>
      <c r="H16" s="174"/>
      <c r="I16" s="175"/>
      <c r="J16" s="175"/>
      <c r="K16" s="175"/>
      <c r="L16" s="175"/>
      <c r="M16" s="175"/>
      <c r="N16" s="176"/>
      <c r="O16" s="174"/>
      <c r="P16" s="175"/>
      <c r="Q16" s="175"/>
      <c r="R16" s="175"/>
      <c r="S16" s="226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8"/>
      <c r="AX16" s="229"/>
      <c r="AY16" s="229"/>
      <c r="AZ16" s="229"/>
      <c r="BA16" s="229"/>
      <c r="BB16" s="229"/>
      <c r="BC16" s="230"/>
      <c r="BD16" s="231"/>
      <c r="BE16" s="229"/>
      <c r="BF16" s="229"/>
      <c r="BG16" s="229"/>
      <c r="BH16" s="229"/>
      <c r="BI16" s="229"/>
      <c r="BJ16" s="230"/>
      <c r="BK16" s="196"/>
    </row>
    <row r="17" spans="1:63" ht="15" customHeight="1" x14ac:dyDescent="0.25">
      <c r="A17" s="195"/>
      <c r="B17" s="164"/>
      <c r="C17" s="162"/>
      <c r="D17" s="162"/>
      <c r="E17" s="162"/>
      <c r="F17" s="162"/>
      <c r="G17" s="163"/>
      <c r="H17" s="164"/>
      <c r="I17" s="162"/>
      <c r="J17" s="162"/>
      <c r="K17" s="162"/>
      <c r="L17" s="162"/>
      <c r="M17" s="162"/>
      <c r="N17" s="163"/>
      <c r="O17" s="164"/>
      <c r="P17" s="162"/>
      <c r="Q17" s="162"/>
      <c r="R17" s="162"/>
      <c r="S17" s="220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2"/>
      <c r="AX17" s="223"/>
      <c r="AY17" s="223"/>
      <c r="AZ17" s="223"/>
      <c r="BA17" s="223"/>
      <c r="BB17" s="223"/>
      <c r="BC17" s="224"/>
      <c r="BD17" s="225"/>
      <c r="BE17" s="223"/>
      <c r="BF17" s="223"/>
      <c r="BG17" s="223"/>
      <c r="BH17" s="223"/>
      <c r="BI17" s="223"/>
      <c r="BJ17" s="224"/>
      <c r="BK17" s="196"/>
    </row>
    <row r="18" spans="1:63" ht="15" customHeight="1" x14ac:dyDescent="0.25">
      <c r="A18" s="195"/>
      <c r="B18" s="174"/>
      <c r="C18" s="175"/>
      <c r="D18" s="175"/>
      <c r="E18" s="175"/>
      <c r="F18" s="175"/>
      <c r="G18" s="176"/>
      <c r="H18" s="174"/>
      <c r="I18" s="175"/>
      <c r="J18" s="175"/>
      <c r="K18" s="175"/>
      <c r="L18" s="175"/>
      <c r="M18" s="175"/>
      <c r="N18" s="176"/>
      <c r="O18" s="174"/>
      <c r="P18" s="175"/>
      <c r="Q18" s="175"/>
      <c r="R18" s="175"/>
      <c r="S18" s="226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8"/>
      <c r="AX18" s="229"/>
      <c r="AY18" s="229"/>
      <c r="AZ18" s="229"/>
      <c r="BA18" s="229"/>
      <c r="BB18" s="229"/>
      <c r="BC18" s="230"/>
      <c r="BD18" s="231"/>
      <c r="BE18" s="229"/>
      <c r="BF18" s="229"/>
      <c r="BG18" s="229"/>
      <c r="BH18" s="229"/>
      <c r="BI18" s="229"/>
      <c r="BJ18" s="230"/>
      <c r="BK18" s="196"/>
    </row>
    <row r="19" spans="1:63" ht="15" customHeight="1" x14ac:dyDescent="0.25">
      <c r="A19" s="195"/>
      <c r="B19" s="164"/>
      <c r="C19" s="162"/>
      <c r="D19" s="162"/>
      <c r="E19" s="162"/>
      <c r="F19" s="162"/>
      <c r="G19" s="163"/>
      <c r="H19" s="164"/>
      <c r="I19" s="162"/>
      <c r="J19" s="162"/>
      <c r="K19" s="162"/>
      <c r="L19" s="162"/>
      <c r="M19" s="162"/>
      <c r="N19" s="163"/>
      <c r="O19" s="164"/>
      <c r="P19" s="162"/>
      <c r="Q19" s="162"/>
      <c r="R19" s="162"/>
      <c r="S19" s="220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2"/>
      <c r="AX19" s="223"/>
      <c r="AY19" s="223"/>
      <c r="AZ19" s="223"/>
      <c r="BA19" s="223"/>
      <c r="BB19" s="223"/>
      <c r="BC19" s="224"/>
      <c r="BD19" s="225"/>
      <c r="BE19" s="223"/>
      <c r="BF19" s="223"/>
      <c r="BG19" s="223"/>
      <c r="BH19" s="223"/>
      <c r="BI19" s="223"/>
      <c r="BJ19" s="224"/>
      <c r="BK19" s="196"/>
    </row>
    <row r="20" spans="1:63" ht="15" customHeight="1" x14ac:dyDescent="0.25">
      <c r="A20" s="195"/>
      <c r="B20" s="174"/>
      <c r="C20" s="175"/>
      <c r="D20" s="175"/>
      <c r="E20" s="175"/>
      <c r="F20" s="175"/>
      <c r="G20" s="176"/>
      <c r="H20" s="174"/>
      <c r="I20" s="175"/>
      <c r="J20" s="175"/>
      <c r="K20" s="175"/>
      <c r="L20" s="175"/>
      <c r="M20" s="175"/>
      <c r="N20" s="176"/>
      <c r="O20" s="174"/>
      <c r="P20" s="175"/>
      <c r="Q20" s="175"/>
      <c r="R20" s="175"/>
      <c r="S20" s="226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8"/>
      <c r="AX20" s="229"/>
      <c r="AY20" s="229"/>
      <c r="AZ20" s="229"/>
      <c r="BA20" s="229"/>
      <c r="BB20" s="229"/>
      <c r="BC20" s="230"/>
      <c r="BD20" s="231"/>
      <c r="BE20" s="229"/>
      <c r="BF20" s="229"/>
      <c r="BG20" s="229"/>
      <c r="BH20" s="229"/>
      <c r="BI20" s="229"/>
      <c r="BJ20" s="230"/>
      <c r="BK20" s="196"/>
    </row>
    <row r="21" spans="1:63" ht="15" customHeight="1" x14ac:dyDescent="0.25">
      <c r="A21" s="195"/>
      <c r="B21" s="164"/>
      <c r="C21" s="162"/>
      <c r="D21" s="162"/>
      <c r="E21" s="162"/>
      <c r="F21" s="162"/>
      <c r="G21" s="163"/>
      <c r="H21" s="164"/>
      <c r="I21" s="162"/>
      <c r="J21" s="162"/>
      <c r="K21" s="162"/>
      <c r="L21" s="162"/>
      <c r="M21" s="162"/>
      <c r="N21" s="163"/>
      <c r="O21" s="164"/>
      <c r="P21" s="162"/>
      <c r="Q21" s="162"/>
      <c r="R21" s="162"/>
      <c r="S21" s="220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2"/>
      <c r="AX21" s="223"/>
      <c r="AY21" s="223"/>
      <c r="AZ21" s="223"/>
      <c r="BA21" s="223"/>
      <c r="BB21" s="223"/>
      <c r="BC21" s="224"/>
      <c r="BD21" s="225"/>
      <c r="BE21" s="223"/>
      <c r="BF21" s="223"/>
      <c r="BG21" s="223"/>
      <c r="BH21" s="223"/>
      <c r="BI21" s="223"/>
      <c r="BJ21" s="224"/>
      <c r="BK21" s="196"/>
    </row>
    <row r="22" spans="1:63" ht="15" customHeight="1" x14ac:dyDescent="0.25">
      <c r="A22" s="195"/>
      <c r="B22" s="174"/>
      <c r="C22" s="175"/>
      <c r="D22" s="175"/>
      <c r="E22" s="175"/>
      <c r="F22" s="175"/>
      <c r="G22" s="176"/>
      <c r="H22" s="174"/>
      <c r="I22" s="175"/>
      <c r="J22" s="175"/>
      <c r="K22" s="175"/>
      <c r="L22" s="175"/>
      <c r="M22" s="175"/>
      <c r="N22" s="176"/>
      <c r="O22" s="174"/>
      <c r="P22" s="175"/>
      <c r="Q22" s="175"/>
      <c r="R22" s="175"/>
      <c r="S22" s="226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8"/>
      <c r="AX22" s="229"/>
      <c r="AY22" s="229"/>
      <c r="AZ22" s="229"/>
      <c r="BA22" s="229"/>
      <c r="BB22" s="229"/>
      <c r="BC22" s="230"/>
      <c r="BD22" s="231"/>
      <c r="BE22" s="229"/>
      <c r="BF22" s="229"/>
      <c r="BG22" s="229"/>
      <c r="BH22" s="229"/>
      <c r="BI22" s="229"/>
      <c r="BJ22" s="230"/>
      <c r="BK22" s="196"/>
    </row>
    <row r="23" spans="1:63" ht="15" customHeight="1" x14ac:dyDescent="0.25">
      <c r="A23" s="195"/>
      <c r="B23" s="164"/>
      <c r="C23" s="162"/>
      <c r="D23" s="162"/>
      <c r="E23" s="162"/>
      <c r="F23" s="162"/>
      <c r="G23" s="163"/>
      <c r="H23" s="164"/>
      <c r="I23" s="162"/>
      <c r="J23" s="162"/>
      <c r="K23" s="162"/>
      <c r="L23" s="162"/>
      <c r="M23" s="162"/>
      <c r="N23" s="163"/>
      <c r="O23" s="164"/>
      <c r="P23" s="162"/>
      <c r="Q23" s="162"/>
      <c r="R23" s="162"/>
      <c r="S23" s="220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2"/>
      <c r="AX23" s="223"/>
      <c r="AY23" s="223"/>
      <c r="AZ23" s="223"/>
      <c r="BA23" s="223"/>
      <c r="BB23" s="223"/>
      <c r="BC23" s="224"/>
      <c r="BD23" s="225"/>
      <c r="BE23" s="223"/>
      <c r="BF23" s="223"/>
      <c r="BG23" s="223"/>
      <c r="BH23" s="223"/>
      <c r="BI23" s="223"/>
      <c r="BJ23" s="224"/>
      <c r="BK23" s="196"/>
    </row>
    <row r="24" spans="1:63" ht="15" customHeight="1" x14ac:dyDescent="0.25">
      <c r="A24" s="195"/>
      <c r="B24" s="174"/>
      <c r="C24" s="175"/>
      <c r="D24" s="175"/>
      <c r="E24" s="175"/>
      <c r="F24" s="175"/>
      <c r="G24" s="176"/>
      <c r="H24" s="174"/>
      <c r="I24" s="175"/>
      <c r="J24" s="175"/>
      <c r="K24" s="175"/>
      <c r="L24" s="175"/>
      <c r="M24" s="175"/>
      <c r="N24" s="176"/>
      <c r="O24" s="174"/>
      <c r="P24" s="175"/>
      <c r="Q24" s="175"/>
      <c r="R24" s="175"/>
      <c r="S24" s="226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8"/>
      <c r="AX24" s="229"/>
      <c r="AY24" s="229"/>
      <c r="AZ24" s="229"/>
      <c r="BA24" s="229"/>
      <c r="BB24" s="229"/>
      <c r="BC24" s="230"/>
      <c r="BD24" s="231"/>
      <c r="BE24" s="229"/>
      <c r="BF24" s="229"/>
      <c r="BG24" s="229"/>
      <c r="BH24" s="229"/>
      <c r="BI24" s="229"/>
      <c r="BJ24" s="230"/>
      <c r="BK24" s="196"/>
    </row>
    <row r="25" spans="1:63" ht="15" customHeight="1" x14ac:dyDescent="0.25">
      <c r="A25" s="195"/>
      <c r="B25" s="164"/>
      <c r="C25" s="162"/>
      <c r="D25" s="162"/>
      <c r="E25" s="162"/>
      <c r="F25" s="162"/>
      <c r="G25" s="163"/>
      <c r="H25" s="164"/>
      <c r="I25" s="162"/>
      <c r="J25" s="162"/>
      <c r="K25" s="162"/>
      <c r="L25" s="162"/>
      <c r="M25" s="162"/>
      <c r="N25" s="163"/>
      <c r="O25" s="164"/>
      <c r="P25" s="162"/>
      <c r="Q25" s="162"/>
      <c r="R25" s="162"/>
      <c r="S25" s="220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2"/>
      <c r="AX25" s="223"/>
      <c r="AY25" s="223"/>
      <c r="AZ25" s="223"/>
      <c r="BA25" s="223"/>
      <c r="BB25" s="223"/>
      <c r="BC25" s="224"/>
      <c r="BD25" s="225"/>
      <c r="BE25" s="223"/>
      <c r="BF25" s="223"/>
      <c r="BG25" s="223"/>
      <c r="BH25" s="223"/>
      <c r="BI25" s="223"/>
      <c r="BJ25" s="224"/>
      <c r="BK25" s="196"/>
    </row>
    <row r="26" spans="1:63" ht="15" customHeight="1" x14ac:dyDescent="0.25">
      <c r="A26" s="195"/>
      <c r="B26" s="174"/>
      <c r="C26" s="175"/>
      <c r="D26" s="175"/>
      <c r="E26" s="175"/>
      <c r="F26" s="175"/>
      <c r="G26" s="176"/>
      <c r="H26" s="174"/>
      <c r="I26" s="175"/>
      <c r="J26" s="175"/>
      <c r="K26" s="175"/>
      <c r="L26" s="175"/>
      <c r="M26" s="175"/>
      <c r="N26" s="176"/>
      <c r="O26" s="174"/>
      <c r="P26" s="175"/>
      <c r="Q26" s="175"/>
      <c r="R26" s="175"/>
      <c r="S26" s="226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8"/>
      <c r="AX26" s="229"/>
      <c r="AY26" s="229"/>
      <c r="AZ26" s="229"/>
      <c r="BA26" s="229"/>
      <c r="BB26" s="229"/>
      <c r="BC26" s="230"/>
      <c r="BD26" s="231"/>
      <c r="BE26" s="229"/>
      <c r="BF26" s="229"/>
      <c r="BG26" s="229"/>
      <c r="BH26" s="229"/>
      <c r="BI26" s="229"/>
      <c r="BJ26" s="230"/>
      <c r="BK26" s="196"/>
    </row>
    <row r="27" spans="1:63" ht="15" customHeight="1" x14ac:dyDescent="0.25">
      <c r="A27" s="195"/>
      <c r="B27" s="164"/>
      <c r="C27" s="162"/>
      <c r="D27" s="162"/>
      <c r="E27" s="162"/>
      <c r="F27" s="162"/>
      <c r="G27" s="163"/>
      <c r="H27" s="164"/>
      <c r="I27" s="162"/>
      <c r="J27" s="162"/>
      <c r="K27" s="162"/>
      <c r="L27" s="162"/>
      <c r="M27" s="162"/>
      <c r="N27" s="163"/>
      <c r="O27" s="164"/>
      <c r="P27" s="162"/>
      <c r="Q27" s="162"/>
      <c r="R27" s="162"/>
      <c r="S27" s="220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2"/>
      <c r="AX27" s="223"/>
      <c r="AY27" s="223"/>
      <c r="AZ27" s="223"/>
      <c r="BA27" s="223"/>
      <c r="BB27" s="223"/>
      <c r="BC27" s="224"/>
      <c r="BD27" s="225"/>
      <c r="BE27" s="223"/>
      <c r="BF27" s="223"/>
      <c r="BG27" s="223"/>
      <c r="BH27" s="223"/>
      <c r="BI27" s="223"/>
      <c r="BJ27" s="224"/>
      <c r="BK27" s="196"/>
    </row>
    <row r="28" spans="1:63" ht="15" customHeight="1" x14ac:dyDescent="0.25">
      <c r="A28" s="195"/>
      <c r="B28" s="174"/>
      <c r="C28" s="175"/>
      <c r="D28" s="175"/>
      <c r="E28" s="175"/>
      <c r="F28" s="175"/>
      <c r="G28" s="176"/>
      <c r="H28" s="174"/>
      <c r="I28" s="175"/>
      <c r="J28" s="175"/>
      <c r="K28" s="175"/>
      <c r="L28" s="175"/>
      <c r="M28" s="175"/>
      <c r="N28" s="176"/>
      <c r="O28" s="174"/>
      <c r="P28" s="175"/>
      <c r="Q28" s="175"/>
      <c r="R28" s="175"/>
      <c r="S28" s="226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8"/>
      <c r="AX28" s="229"/>
      <c r="AY28" s="229"/>
      <c r="AZ28" s="229"/>
      <c r="BA28" s="229"/>
      <c r="BB28" s="229"/>
      <c r="BC28" s="230"/>
      <c r="BD28" s="231"/>
      <c r="BE28" s="229"/>
      <c r="BF28" s="229"/>
      <c r="BG28" s="229"/>
      <c r="BH28" s="229"/>
      <c r="BI28" s="229"/>
      <c r="BJ28" s="230"/>
      <c r="BK28" s="196"/>
    </row>
    <row r="29" spans="1:63" ht="15" customHeight="1" x14ac:dyDescent="0.25">
      <c r="A29" s="195"/>
      <c r="B29" s="164"/>
      <c r="C29" s="162"/>
      <c r="D29" s="162"/>
      <c r="E29" s="162"/>
      <c r="F29" s="162"/>
      <c r="G29" s="163"/>
      <c r="H29" s="164"/>
      <c r="I29" s="162"/>
      <c r="J29" s="162"/>
      <c r="K29" s="162"/>
      <c r="L29" s="162"/>
      <c r="M29" s="162"/>
      <c r="N29" s="163"/>
      <c r="O29" s="164"/>
      <c r="P29" s="162"/>
      <c r="Q29" s="162"/>
      <c r="R29" s="162"/>
      <c r="S29" s="220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2"/>
      <c r="AX29" s="223"/>
      <c r="AY29" s="223"/>
      <c r="AZ29" s="223"/>
      <c r="BA29" s="223"/>
      <c r="BB29" s="223"/>
      <c r="BC29" s="224"/>
      <c r="BD29" s="225"/>
      <c r="BE29" s="223"/>
      <c r="BF29" s="223"/>
      <c r="BG29" s="223"/>
      <c r="BH29" s="223"/>
      <c r="BI29" s="223"/>
      <c r="BJ29" s="224"/>
      <c r="BK29" s="196"/>
    </row>
    <row r="30" spans="1:63" ht="15" customHeight="1" x14ac:dyDescent="0.25">
      <c r="A30" s="195"/>
      <c r="B30" s="174"/>
      <c r="C30" s="175"/>
      <c r="D30" s="175"/>
      <c r="E30" s="175"/>
      <c r="F30" s="175"/>
      <c r="G30" s="176"/>
      <c r="H30" s="174"/>
      <c r="I30" s="175"/>
      <c r="J30" s="175"/>
      <c r="K30" s="175"/>
      <c r="L30" s="175"/>
      <c r="M30" s="175"/>
      <c r="N30" s="176"/>
      <c r="O30" s="174"/>
      <c r="P30" s="175"/>
      <c r="Q30" s="175"/>
      <c r="R30" s="175"/>
      <c r="S30" s="226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8"/>
      <c r="AX30" s="229"/>
      <c r="AY30" s="229"/>
      <c r="AZ30" s="229"/>
      <c r="BA30" s="229"/>
      <c r="BB30" s="229"/>
      <c r="BC30" s="230"/>
      <c r="BD30" s="231"/>
      <c r="BE30" s="229"/>
      <c r="BF30" s="229"/>
      <c r="BG30" s="229"/>
      <c r="BH30" s="229"/>
      <c r="BI30" s="229"/>
      <c r="BJ30" s="230"/>
      <c r="BK30" s="196"/>
    </row>
    <row r="31" spans="1:63" ht="15" customHeight="1" x14ac:dyDescent="0.25">
      <c r="A31" s="195"/>
      <c r="B31" s="164"/>
      <c r="C31" s="162"/>
      <c r="D31" s="162"/>
      <c r="E31" s="162"/>
      <c r="F31" s="162"/>
      <c r="G31" s="163"/>
      <c r="H31" s="164"/>
      <c r="I31" s="162"/>
      <c r="J31" s="162"/>
      <c r="K31" s="162"/>
      <c r="L31" s="162"/>
      <c r="M31" s="162"/>
      <c r="N31" s="163"/>
      <c r="O31" s="164"/>
      <c r="P31" s="162"/>
      <c r="Q31" s="162"/>
      <c r="R31" s="162"/>
      <c r="S31" s="220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2"/>
      <c r="AX31" s="223"/>
      <c r="AY31" s="223"/>
      <c r="AZ31" s="223"/>
      <c r="BA31" s="223"/>
      <c r="BB31" s="223"/>
      <c r="BC31" s="224"/>
      <c r="BD31" s="225"/>
      <c r="BE31" s="223"/>
      <c r="BF31" s="223"/>
      <c r="BG31" s="223"/>
      <c r="BH31" s="223"/>
      <c r="BI31" s="223"/>
      <c r="BJ31" s="224"/>
      <c r="BK31" s="196"/>
    </row>
    <row r="32" spans="1:63" ht="15" customHeight="1" x14ac:dyDescent="0.25">
      <c r="A32" s="195"/>
      <c r="B32" s="174"/>
      <c r="C32" s="175"/>
      <c r="D32" s="175"/>
      <c r="E32" s="175"/>
      <c r="F32" s="175"/>
      <c r="G32" s="176"/>
      <c r="H32" s="174"/>
      <c r="I32" s="175"/>
      <c r="J32" s="175"/>
      <c r="K32" s="175"/>
      <c r="L32" s="175"/>
      <c r="M32" s="175"/>
      <c r="N32" s="176"/>
      <c r="O32" s="174"/>
      <c r="P32" s="175"/>
      <c r="Q32" s="175"/>
      <c r="R32" s="175"/>
      <c r="S32" s="226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8"/>
      <c r="AX32" s="229"/>
      <c r="AY32" s="229"/>
      <c r="AZ32" s="229"/>
      <c r="BA32" s="229"/>
      <c r="BB32" s="229"/>
      <c r="BC32" s="230"/>
      <c r="BD32" s="231"/>
      <c r="BE32" s="229"/>
      <c r="BF32" s="229"/>
      <c r="BG32" s="229"/>
      <c r="BH32" s="229"/>
      <c r="BI32" s="229"/>
      <c r="BJ32" s="230"/>
      <c r="BK32" s="196"/>
    </row>
    <row r="33" spans="1:63" ht="15" customHeight="1" x14ac:dyDescent="0.25">
      <c r="A33" s="195"/>
      <c r="B33" s="164"/>
      <c r="C33" s="162"/>
      <c r="D33" s="162"/>
      <c r="E33" s="162"/>
      <c r="F33" s="162"/>
      <c r="G33" s="163"/>
      <c r="H33" s="164"/>
      <c r="I33" s="162"/>
      <c r="J33" s="162"/>
      <c r="K33" s="162"/>
      <c r="L33" s="162"/>
      <c r="M33" s="162"/>
      <c r="N33" s="163"/>
      <c r="O33" s="164"/>
      <c r="P33" s="162"/>
      <c r="Q33" s="162"/>
      <c r="R33" s="162"/>
      <c r="S33" s="220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2"/>
      <c r="AX33" s="223"/>
      <c r="AY33" s="223"/>
      <c r="AZ33" s="223"/>
      <c r="BA33" s="223"/>
      <c r="BB33" s="223"/>
      <c r="BC33" s="224"/>
      <c r="BD33" s="225"/>
      <c r="BE33" s="223"/>
      <c r="BF33" s="223"/>
      <c r="BG33" s="223"/>
      <c r="BH33" s="223"/>
      <c r="BI33" s="223"/>
      <c r="BJ33" s="224"/>
      <c r="BK33" s="196"/>
    </row>
    <row r="34" spans="1:63" ht="15" customHeight="1" x14ac:dyDescent="0.25">
      <c r="A34" s="195"/>
      <c r="B34" s="174"/>
      <c r="C34" s="175"/>
      <c r="D34" s="175"/>
      <c r="E34" s="175"/>
      <c r="F34" s="175"/>
      <c r="G34" s="176"/>
      <c r="H34" s="174"/>
      <c r="I34" s="175"/>
      <c r="J34" s="175"/>
      <c r="K34" s="175"/>
      <c r="L34" s="175"/>
      <c r="M34" s="175"/>
      <c r="N34" s="176"/>
      <c r="O34" s="174"/>
      <c r="P34" s="175"/>
      <c r="Q34" s="175"/>
      <c r="R34" s="175"/>
      <c r="S34" s="226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8"/>
      <c r="AX34" s="229"/>
      <c r="AY34" s="229"/>
      <c r="AZ34" s="229"/>
      <c r="BA34" s="229"/>
      <c r="BB34" s="229"/>
      <c r="BC34" s="230"/>
      <c r="BD34" s="231"/>
      <c r="BE34" s="229"/>
      <c r="BF34" s="229"/>
      <c r="BG34" s="229"/>
      <c r="BH34" s="229"/>
      <c r="BI34" s="229"/>
      <c r="BJ34" s="230"/>
      <c r="BK34" s="196"/>
    </row>
    <row r="35" spans="1:63" ht="15" customHeight="1" x14ac:dyDescent="0.25">
      <c r="A35" s="195"/>
      <c r="B35" s="164"/>
      <c r="C35" s="162"/>
      <c r="D35" s="162"/>
      <c r="E35" s="162"/>
      <c r="F35" s="162"/>
      <c r="G35" s="163"/>
      <c r="H35" s="164"/>
      <c r="I35" s="162"/>
      <c r="J35" s="162"/>
      <c r="K35" s="162"/>
      <c r="L35" s="162"/>
      <c r="M35" s="162"/>
      <c r="N35" s="163"/>
      <c r="O35" s="164"/>
      <c r="P35" s="162"/>
      <c r="Q35" s="162"/>
      <c r="R35" s="162"/>
      <c r="S35" s="220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2"/>
      <c r="AX35" s="223"/>
      <c r="AY35" s="223"/>
      <c r="AZ35" s="223"/>
      <c r="BA35" s="223"/>
      <c r="BB35" s="223"/>
      <c r="BC35" s="224"/>
      <c r="BD35" s="225"/>
      <c r="BE35" s="223"/>
      <c r="BF35" s="223"/>
      <c r="BG35" s="223"/>
      <c r="BH35" s="223"/>
      <c r="BI35" s="223"/>
      <c r="BJ35" s="224"/>
      <c r="BK35" s="196"/>
    </row>
    <row r="36" spans="1:63" ht="15" customHeight="1" x14ac:dyDescent="0.25">
      <c r="A36" s="195"/>
      <c r="B36" s="174"/>
      <c r="C36" s="175"/>
      <c r="D36" s="175"/>
      <c r="E36" s="175"/>
      <c r="F36" s="175"/>
      <c r="G36" s="176"/>
      <c r="H36" s="174"/>
      <c r="I36" s="175"/>
      <c r="J36" s="175"/>
      <c r="K36" s="175"/>
      <c r="L36" s="175"/>
      <c r="M36" s="175"/>
      <c r="N36" s="176"/>
      <c r="O36" s="174"/>
      <c r="P36" s="175"/>
      <c r="Q36" s="175"/>
      <c r="R36" s="175"/>
      <c r="S36" s="226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8"/>
      <c r="AX36" s="229"/>
      <c r="AY36" s="229"/>
      <c r="AZ36" s="229"/>
      <c r="BA36" s="229"/>
      <c r="BB36" s="229"/>
      <c r="BC36" s="230"/>
      <c r="BD36" s="231"/>
      <c r="BE36" s="229"/>
      <c r="BF36" s="229"/>
      <c r="BG36" s="229"/>
      <c r="BH36" s="229"/>
      <c r="BI36" s="229"/>
      <c r="BJ36" s="230"/>
      <c r="BK36" s="196"/>
    </row>
    <row r="37" spans="1:63" ht="15" customHeight="1" x14ac:dyDescent="0.25">
      <c r="A37" s="195"/>
      <c r="B37" s="164"/>
      <c r="C37" s="162"/>
      <c r="D37" s="162"/>
      <c r="E37" s="162"/>
      <c r="F37" s="162"/>
      <c r="G37" s="163"/>
      <c r="H37" s="164"/>
      <c r="I37" s="162"/>
      <c r="J37" s="162"/>
      <c r="K37" s="162"/>
      <c r="L37" s="162"/>
      <c r="M37" s="162"/>
      <c r="N37" s="163"/>
      <c r="O37" s="164"/>
      <c r="P37" s="162"/>
      <c r="Q37" s="162"/>
      <c r="R37" s="162"/>
      <c r="S37" s="220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2"/>
      <c r="AX37" s="223"/>
      <c r="AY37" s="223"/>
      <c r="AZ37" s="223"/>
      <c r="BA37" s="223"/>
      <c r="BB37" s="223"/>
      <c r="BC37" s="224"/>
      <c r="BD37" s="225"/>
      <c r="BE37" s="223"/>
      <c r="BF37" s="223"/>
      <c r="BG37" s="223"/>
      <c r="BH37" s="223"/>
      <c r="BI37" s="223"/>
      <c r="BJ37" s="224"/>
      <c r="BK37" s="196"/>
    </row>
    <row r="38" spans="1:63" ht="15" customHeight="1" x14ac:dyDescent="0.25">
      <c r="A38" s="195"/>
      <c r="B38" s="174"/>
      <c r="C38" s="175"/>
      <c r="D38" s="175"/>
      <c r="E38" s="175"/>
      <c r="F38" s="175"/>
      <c r="G38" s="176"/>
      <c r="H38" s="174"/>
      <c r="I38" s="175"/>
      <c r="J38" s="175"/>
      <c r="K38" s="175"/>
      <c r="L38" s="175"/>
      <c r="M38" s="175"/>
      <c r="N38" s="176"/>
      <c r="O38" s="174"/>
      <c r="P38" s="175"/>
      <c r="Q38" s="175"/>
      <c r="R38" s="175"/>
      <c r="S38" s="226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8"/>
      <c r="AX38" s="229"/>
      <c r="AY38" s="229"/>
      <c r="AZ38" s="229"/>
      <c r="BA38" s="229"/>
      <c r="BB38" s="229"/>
      <c r="BC38" s="230"/>
      <c r="BD38" s="231"/>
      <c r="BE38" s="229"/>
      <c r="BF38" s="229"/>
      <c r="BG38" s="229"/>
      <c r="BH38" s="229"/>
      <c r="BI38" s="229"/>
      <c r="BJ38" s="230"/>
      <c r="BK38" s="196"/>
    </row>
    <row r="39" spans="1:63" ht="15" customHeight="1" x14ac:dyDescent="0.25">
      <c r="A39" s="195"/>
      <c r="B39" s="164"/>
      <c r="C39" s="162"/>
      <c r="D39" s="162"/>
      <c r="E39" s="162"/>
      <c r="F39" s="162"/>
      <c r="G39" s="163"/>
      <c r="H39" s="164"/>
      <c r="I39" s="162"/>
      <c r="J39" s="162"/>
      <c r="K39" s="162"/>
      <c r="L39" s="162"/>
      <c r="M39" s="162"/>
      <c r="N39" s="163"/>
      <c r="O39" s="164"/>
      <c r="P39" s="162"/>
      <c r="Q39" s="162"/>
      <c r="R39" s="162"/>
      <c r="S39" s="220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2"/>
      <c r="AX39" s="223"/>
      <c r="AY39" s="223"/>
      <c r="AZ39" s="223"/>
      <c r="BA39" s="223"/>
      <c r="BB39" s="223"/>
      <c r="BC39" s="224"/>
      <c r="BD39" s="225"/>
      <c r="BE39" s="223"/>
      <c r="BF39" s="223"/>
      <c r="BG39" s="223"/>
      <c r="BH39" s="223"/>
      <c r="BI39" s="223"/>
      <c r="BJ39" s="224"/>
      <c r="BK39" s="196"/>
    </row>
    <row r="40" spans="1:63" ht="15" customHeight="1" x14ac:dyDescent="0.25">
      <c r="A40" s="195"/>
      <c r="B40" s="174"/>
      <c r="C40" s="175"/>
      <c r="D40" s="175"/>
      <c r="E40" s="175"/>
      <c r="F40" s="175"/>
      <c r="G40" s="176"/>
      <c r="H40" s="174"/>
      <c r="I40" s="175"/>
      <c r="J40" s="175"/>
      <c r="K40" s="175"/>
      <c r="L40" s="175"/>
      <c r="M40" s="175"/>
      <c r="N40" s="176"/>
      <c r="O40" s="174"/>
      <c r="P40" s="175"/>
      <c r="Q40" s="175"/>
      <c r="R40" s="175"/>
      <c r="S40" s="226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8"/>
      <c r="AX40" s="229"/>
      <c r="AY40" s="229"/>
      <c r="AZ40" s="229"/>
      <c r="BA40" s="229"/>
      <c r="BB40" s="229"/>
      <c r="BC40" s="230"/>
      <c r="BD40" s="231"/>
      <c r="BE40" s="229"/>
      <c r="BF40" s="229"/>
      <c r="BG40" s="229"/>
      <c r="BH40" s="229"/>
      <c r="BI40" s="229"/>
      <c r="BJ40" s="230"/>
      <c r="BK40" s="196"/>
    </row>
    <row r="41" spans="1:63" ht="15" customHeight="1" x14ac:dyDescent="0.25">
      <c r="A41" s="195"/>
      <c r="B41" s="164"/>
      <c r="C41" s="162"/>
      <c r="D41" s="162"/>
      <c r="E41" s="162"/>
      <c r="F41" s="162"/>
      <c r="G41" s="163"/>
      <c r="H41" s="164"/>
      <c r="I41" s="162"/>
      <c r="J41" s="162"/>
      <c r="K41" s="162"/>
      <c r="L41" s="162"/>
      <c r="M41" s="162"/>
      <c r="N41" s="163"/>
      <c r="O41" s="164"/>
      <c r="P41" s="162"/>
      <c r="Q41" s="162"/>
      <c r="R41" s="162"/>
      <c r="S41" s="220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2"/>
      <c r="AX41" s="223"/>
      <c r="AY41" s="223"/>
      <c r="AZ41" s="223"/>
      <c r="BA41" s="223"/>
      <c r="BB41" s="223"/>
      <c r="BC41" s="224"/>
      <c r="BD41" s="225"/>
      <c r="BE41" s="223"/>
      <c r="BF41" s="223"/>
      <c r="BG41" s="223"/>
      <c r="BH41" s="223"/>
      <c r="BI41" s="223"/>
      <c r="BJ41" s="224"/>
      <c r="BK41" s="196"/>
    </row>
    <row r="42" spans="1:63" ht="15" customHeight="1" x14ac:dyDescent="0.25">
      <c r="A42" s="195"/>
      <c r="B42" s="174"/>
      <c r="C42" s="175"/>
      <c r="D42" s="175"/>
      <c r="E42" s="175"/>
      <c r="F42" s="175"/>
      <c r="G42" s="176"/>
      <c r="H42" s="174"/>
      <c r="I42" s="175"/>
      <c r="J42" s="175"/>
      <c r="K42" s="175"/>
      <c r="L42" s="175"/>
      <c r="M42" s="175"/>
      <c r="N42" s="176"/>
      <c r="O42" s="174"/>
      <c r="P42" s="175"/>
      <c r="Q42" s="175"/>
      <c r="R42" s="175"/>
      <c r="S42" s="226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8"/>
      <c r="AX42" s="229"/>
      <c r="AY42" s="229"/>
      <c r="AZ42" s="229"/>
      <c r="BA42" s="229"/>
      <c r="BB42" s="229"/>
      <c r="BC42" s="230"/>
      <c r="BD42" s="231"/>
      <c r="BE42" s="229"/>
      <c r="BF42" s="229"/>
      <c r="BG42" s="229"/>
      <c r="BH42" s="229"/>
      <c r="BI42" s="229"/>
      <c r="BJ42" s="230"/>
      <c r="BK42" s="196"/>
    </row>
    <row r="43" spans="1:63" ht="15" customHeight="1" x14ac:dyDescent="0.25">
      <c r="A43" s="195"/>
      <c r="B43" s="164"/>
      <c r="C43" s="162"/>
      <c r="D43" s="162"/>
      <c r="E43" s="162"/>
      <c r="F43" s="162"/>
      <c r="G43" s="163"/>
      <c r="H43" s="164"/>
      <c r="I43" s="162"/>
      <c r="J43" s="162"/>
      <c r="K43" s="162"/>
      <c r="L43" s="162"/>
      <c r="M43" s="162"/>
      <c r="N43" s="163"/>
      <c r="O43" s="164"/>
      <c r="P43" s="162"/>
      <c r="Q43" s="162"/>
      <c r="R43" s="162"/>
      <c r="S43" s="220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2"/>
      <c r="AX43" s="223"/>
      <c r="AY43" s="223"/>
      <c r="AZ43" s="223"/>
      <c r="BA43" s="223"/>
      <c r="BB43" s="223"/>
      <c r="BC43" s="224"/>
      <c r="BD43" s="225"/>
      <c r="BE43" s="223"/>
      <c r="BF43" s="223"/>
      <c r="BG43" s="223"/>
      <c r="BH43" s="223"/>
      <c r="BI43" s="223"/>
      <c r="BJ43" s="224"/>
      <c r="BK43" s="196"/>
    </row>
    <row r="44" spans="1:63" ht="15" customHeight="1" x14ac:dyDescent="0.25">
      <c r="A44" s="195"/>
      <c r="B44" s="174"/>
      <c r="C44" s="175"/>
      <c r="D44" s="175"/>
      <c r="E44" s="175"/>
      <c r="F44" s="175"/>
      <c r="G44" s="176"/>
      <c r="H44" s="174"/>
      <c r="I44" s="175"/>
      <c r="J44" s="175"/>
      <c r="K44" s="175"/>
      <c r="L44" s="175"/>
      <c r="M44" s="175"/>
      <c r="N44" s="176"/>
      <c r="O44" s="174"/>
      <c r="P44" s="175"/>
      <c r="Q44" s="175"/>
      <c r="R44" s="175"/>
      <c r="S44" s="226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8"/>
      <c r="AX44" s="229"/>
      <c r="AY44" s="229"/>
      <c r="AZ44" s="229"/>
      <c r="BA44" s="229"/>
      <c r="BB44" s="229"/>
      <c r="BC44" s="230"/>
      <c r="BD44" s="231"/>
      <c r="BE44" s="229"/>
      <c r="BF44" s="229"/>
      <c r="BG44" s="229"/>
      <c r="BH44" s="229"/>
      <c r="BI44" s="229"/>
      <c r="BJ44" s="230"/>
      <c r="BK44" s="196"/>
    </row>
    <row r="45" spans="1:63" ht="15" customHeight="1" x14ac:dyDescent="0.25">
      <c r="A45" s="195"/>
      <c r="B45" s="164"/>
      <c r="C45" s="162"/>
      <c r="D45" s="162"/>
      <c r="E45" s="162"/>
      <c r="F45" s="162"/>
      <c r="G45" s="163"/>
      <c r="H45" s="164"/>
      <c r="I45" s="162"/>
      <c r="J45" s="162"/>
      <c r="K45" s="162"/>
      <c r="L45" s="162"/>
      <c r="M45" s="162"/>
      <c r="N45" s="163"/>
      <c r="O45" s="164"/>
      <c r="P45" s="162"/>
      <c r="Q45" s="162"/>
      <c r="R45" s="162"/>
      <c r="S45" s="220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2"/>
      <c r="AX45" s="223"/>
      <c r="AY45" s="223"/>
      <c r="AZ45" s="223"/>
      <c r="BA45" s="223"/>
      <c r="BB45" s="223"/>
      <c r="BC45" s="224"/>
      <c r="BD45" s="225"/>
      <c r="BE45" s="223"/>
      <c r="BF45" s="223"/>
      <c r="BG45" s="223"/>
      <c r="BH45" s="223"/>
      <c r="BI45" s="223"/>
      <c r="BJ45" s="224"/>
      <c r="BK45" s="196"/>
    </row>
    <row r="46" spans="1:63" ht="15" customHeight="1" x14ac:dyDescent="0.25">
      <c r="A46" s="195"/>
      <c r="B46" s="174"/>
      <c r="C46" s="175"/>
      <c r="D46" s="175"/>
      <c r="E46" s="175"/>
      <c r="F46" s="175"/>
      <c r="G46" s="176"/>
      <c r="H46" s="174"/>
      <c r="I46" s="175"/>
      <c r="J46" s="175"/>
      <c r="K46" s="175"/>
      <c r="L46" s="175"/>
      <c r="M46" s="175"/>
      <c r="N46" s="176"/>
      <c r="O46" s="174"/>
      <c r="P46" s="175"/>
      <c r="Q46" s="175"/>
      <c r="R46" s="175"/>
      <c r="S46" s="226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8"/>
      <c r="AX46" s="229"/>
      <c r="AY46" s="229"/>
      <c r="AZ46" s="229"/>
      <c r="BA46" s="229"/>
      <c r="BB46" s="229"/>
      <c r="BC46" s="230"/>
      <c r="BD46" s="231"/>
      <c r="BE46" s="229"/>
      <c r="BF46" s="229"/>
      <c r="BG46" s="229"/>
      <c r="BH46" s="229"/>
      <c r="BI46" s="229"/>
      <c r="BJ46" s="230"/>
      <c r="BK46" s="196"/>
    </row>
    <row r="47" spans="1:63" ht="15" customHeight="1" x14ac:dyDescent="0.25">
      <c r="A47" s="195"/>
      <c r="B47" s="164"/>
      <c r="C47" s="162"/>
      <c r="D47" s="162"/>
      <c r="E47" s="162"/>
      <c r="F47" s="162"/>
      <c r="G47" s="163"/>
      <c r="H47" s="164"/>
      <c r="I47" s="162"/>
      <c r="J47" s="162"/>
      <c r="K47" s="162"/>
      <c r="L47" s="162"/>
      <c r="M47" s="162"/>
      <c r="N47" s="163"/>
      <c r="O47" s="164"/>
      <c r="P47" s="162"/>
      <c r="Q47" s="162"/>
      <c r="R47" s="162"/>
      <c r="S47" s="220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2"/>
      <c r="AX47" s="223"/>
      <c r="AY47" s="223"/>
      <c r="AZ47" s="223"/>
      <c r="BA47" s="223"/>
      <c r="BB47" s="223"/>
      <c r="BC47" s="224"/>
      <c r="BD47" s="225"/>
      <c r="BE47" s="223"/>
      <c r="BF47" s="223"/>
      <c r="BG47" s="223"/>
      <c r="BH47" s="223"/>
      <c r="BI47" s="223"/>
      <c r="BJ47" s="224"/>
      <c r="BK47" s="196"/>
    </row>
    <row r="48" spans="1:63" ht="15" customHeight="1" x14ac:dyDescent="0.25">
      <c r="A48" s="195"/>
      <c r="B48" s="174"/>
      <c r="C48" s="175"/>
      <c r="D48" s="175"/>
      <c r="E48" s="175"/>
      <c r="F48" s="175"/>
      <c r="G48" s="176"/>
      <c r="H48" s="174"/>
      <c r="I48" s="175"/>
      <c r="J48" s="175"/>
      <c r="K48" s="175"/>
      <c r="L48" s="175"/>
      <c r="M48" s="175"/>
      <c r="N48" s="176"/>
      <c r="O48" s="174"/>
      <c r="P48" s="175"/>
      <c r="Q48" s="175"/>
      <c r="R48" s="175"/>
      <c r="S48" s="226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8"/>
      <c r="AX48" s="229"/>
      <c r="AY48" s="229"/>
      <c r="AZ48" s="229"/>
      <c r="BA48" s="229"/>
      <c r="BB48" s="229"/>
      <c r="BC48" s="230"/>
      <c r="BD48" s="231"/>
      <c r="BE48" s="229"/>
      <c r="BF48" s="229"/>
      <c r="BG48" s="229"/>
      <c r="BH48" s="229"/>
      <c r="BI48" s="229"/>
      <c r="BJ48" s="230"/>
      <c r="BK48" s="196"/>
    </row>
    <row r="49" spans="1:63" ht="15" customHeight="1" x14ac:dyDescent="0.25">
      <c r="A49" s="195"/>
      <c r="B49" s="164"/>
      <c r="C49" s="162"/>
      <c r="D49" s="162"/>
      <c r="E49" s="162"/>
      <c r="F49" s="162"/>
      <c r="G49" s="163"/>
      <c r="H49" s="164"/>
      <c r="I49" s="162"/>
      <c r="J49" s="162"/>
      <c r="K49" s="162"/>
      <c r="L49" s="162"/>
      <c r="M49" s="162"/>
      <c r="N49" s="163"/>
      <c r="O49" s="164"/>
      <c r="P49" s="162"/>
      <c r="Q49" s="162"/>
      <c r="R49" s="162"/>
      <c r="S49" s="220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2"/>
      <c r="AX49" s="223"/>
      <c r="AY49" s="223"/>
      <c r="AZ49" s="223"/>
      <c r="BA49" s="223"/>
      <c r="BB49" s="223"/>
      <c r="BC49" s="224"/>
      <c r="BD49" s="225"/>
      <c r="BE49" s="223"/>
      <c r="BF49" s="223"/>
      <c r="BG49" s="223"/>
      <c r="BH49" s="223"/>
      <c r="BI49" s="223"/>
      <c r="BJ49" s="224"/>
      <c r="BK49" s="196"/>
    </row>
    <row r="50" spans="1:63" ht="15" customHeight="1" x14ac:dyDescent="0.25">
      <c r="A50" s="195"/>
      <c r="B50" s="174"/>
      <c r="C50" s="175"/>
      <c r="D50" s="175"/>
      <c r="E50" s="175"/>
      <c r="F50" s="175"/>
      <c r="G50" s="176"/>
      <c r="H50" s="174"/>
      <c r="I50" s="175"/>
      <c r="J50" s="175"/>
      <c r="K50" s="175"/>
      <c r="L50" s="175"/>
      <c r="M50" s="175"/>
      <c r="N50" s="176"/>
      <c r="O50" s="174"/>
      <c r="P50" s="175"/>
      <c r="Q50" s="175"/>
      <c r="R50" s="175"/>
      <c r="S50" s="226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8"/>
      <c r="AX50" s="229"/>
      <c r="AY50" s="229"/>
      <c r="AZ50" s="229"/>
      <c r="BA50" s="229"/>
      <c r="BB50" s="229"/>
      <c r="BC50" s="230"/>
      <c r="BD50" s="231"/>
      <c r="BE50" s="229"/>
      <c r="BF50" s="229"/>
      <c r="BG50" s="229"/>
      <c r="BH50" s="229"/>
      <c r="BI50" s="229"/>
      <c r="BJ50" s="230"/>
      <c r="BK50" s="196"/>
    </row>
    <row r="51" spans="1:63" ht="15" customHeight="1" x14ac:dyDescent="0.25">
      <c r="A51" s="195"/>
      <c r="B51" s="164"/>
      <c r="C51" s="162"/>
      <c r="D51" s="162"/>
      <c r="E51" s="162"/>
      <c r="F51" s="162"/>
      <c r="G51" s="163"/>
      <c r="H51" s="164"/>
      <c r="I51" s="162"/>
      <c r="J51" s="162"/>
      <c r="K51" s="162"/>
      <c r="L51" s="162"/>
      <c r="M51" s="162"/>
      <c r="N51" s="163"/>
      <c r="O51" s="164"/>
      <c r="P51" s="162"/>
      <c r="Q51" s="162"/>
      <c r="R51" s="162"/>
      <c r="S51" s="220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2"/>
      <c r="AX51" s="223"/>
      <c r="AY51" s="223"/>
      <c r="AZ51" s="223"/>
      <c r="BA51" s="223"/>
      <c r="BB51" s="223"/>
      <c r="BC51" s="224"/>
      <c r="BD51" s="225"/>
      <c r="BE51" s="223"/>
      <c r="BF51" s="223"/>
      <c r="BG51" s="223"/>
      <c r="BH51" s="223"/>
      <c r="BI51" s="223"/>
      <c r="BJ51" s="224"/>
      <c r="BK51" s="196"/>
    </row>
    <row r="52" spans="1:63" ht="15" customHeight="1" x14ac:dyDescent="0.25">
      <c r="A52" s="195"/>
      <c r="B52" s="174"/>
      <c r="C52" s="175"/>
      <c r="D52" s="175"/>
      <c r="E52" s="175"/>
      <c r="F52" s="175"/>
      <c r="G52" s="176"/>
      <c r="H52" s="174"/>
      <c r="I52" s="175"/>
      <c r="J52" s="175"/>
      <c r="K52" s="175"/>
      <c r="L52" s="175"/>
      <c r="M52" s="175"/>
      <c r="N52" s="176"/>
      <c r="O52" s="174"/>
      <c r="P52" s="175"/>
      <c r="Q52" s="175"/>
      <c r="R52" s="175"/>
      <c r="S52" s="226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8"/>
      <c r="AX52" s="229"/>
      <c r="AY52" s="229"/>
      <c r="AZ52" s="229"/>
      <c r="BA52" s="229"/>
      <c r="BB52" s="229"/>
      <c r="BC52" s="230"/>
      <c r="BD52" s="231"/>
      <c r="BE52" s="229"/>
      <c r="BF52" s="229"/>
      <c r="BG52" s="229"/>
      <c r="BH52" s="229"/>
      <c r="BI52" s="229"/>
      <c r="BJ52" s="230"/>
      <c r="BK52" s="196"/>
    </row>
    <row r="53" spans="1:63" ht="15" customHeight="1" x14ac:dyDescent="0.25">
      <c r="A53" s="195"/>
      <c r="B53" s="164"/>
      <c r="C53" s="162"/>
      <c r="D53" s="162"/>
      <c r="E53" s="162"/>
      <c r="F53" s="162"/>
      <c r="G53" s="163"/>
      <c r="H53" s="164"/>
      <c r="I53" s="162"/>
      <c r="J53" s="162"/>
      <c r="K53" s="162"/>
      <c r="L53" s="162"/>
      <c r="M53" s="162"/>
      <c r="N53" s="163"/>
      <c r="O53" s="164"/>
      <c r="P53" s="162"/>
      <c r="Q53" s="162"/>
      <c r="R53" s="162"/>
      <c r="S53" s="220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2"/>
      <c r="AX53" s="223"/>
      <c r="AY53" s="223"/>
      <c r="AZ53" s="223"/>
      <c r="BA53" s="223"/>
      <c r="BB53" s="223"/>
      <c r="BC53" s="224"/>
      <c r="BD53" s="225"/>
      <c r="BE53" s="223"/>
      <c r="BF53" s="223"/>
      <c r="BG53" s="223"/>
      <c r="BH53" s="223"/>
      <c r="BI53" s="223"/>
      <c r="BJ53" s="224"/>
      <c r="BK53" s="196"/>
    </row>
    <row r="54" spans="1:63" ht="15" customHeight="1" x14ac:dyDescent="0.25">
      <c r="A54" s="195"/>
      <c r="B54" s="174"/>
      <c r="C54" s="175"/>
      <c r="D54" s="175"/>
      <c r="E54" s="175"/>
      <c r="F54" s="175"/>
      <c r="G54" s="176"/>
      <c r="H54" s="174"/>
      <c r="I54" s="175"/>
      <c r="J54" s="175"/>
      <c r="K54" s="175"/>
      <c r="L54" s="175"/>
      <c r="M54" s="175"/>
      <c r="N54" s="176"/>
      <c r="O54" s="174"/>
      <c r="P54" s="175"/>
      <c r="Q54" s="175"/>
      <c r="R54" s="175"/>
      <c r="S54" s="226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8"/>
      <c r="AX54" s="229"/>
      <c r="AY54" s="229"/>
      <c r="AZ54" s="229"/>
      <c r="BA54" s="229"/>
      <c r="BB54" s="229"/>
      <c r="BC54" s="230"/>
      <c r="BD54" s="231"/>
      <c r="BE54" s="229"/>
      <c r="BF54" s="229"/>
      <c r="BG54" s="229"/>
      <c r="BH54" s="229"/>
      <c r="BI54" s="229"/>
      <c r="BJ54" s="230"/>
      <c r="BK54" s="196"/>
    </row>
    <row r="55" spans="1:63" ht="15" customHeight="1" x14ac:dyDescent="0.25">
      <c r="A55" s="192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  <c r="BH55" s="193"/>
      <c r="BI55" s="193"/>
      <c r="BJ55" s="193"/>
      <c r="BK55" s="194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1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45" t="s">
        <v>67</v>
      </c>
      <c r="B1" s="246"/>
      <c r="C1" s="246"/>
      <c r="D1" s="246"/>
      <c r="E1" s="246"/>
      <c r="F1" s="246"/>
      <c r="G1" s="246"/>
      <c r="H1" s="246"/>
      <c r="I1" s="246"/>
      <c r="J1" s="247"/>
      <c r="K1" s="245" t="s">
        <v>68</v>
      </c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W1" s="248" t="str">
        <f>IF(表紙!W1="","",表紙!W1)</f>
        <v>詳細設計書</v>
      </c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50"/>
      <c r="AP1" s="155" t="s">
        <v>70</v>
      </c>
      <c r="AQ1" s="156"/>
      <c r="AR1" s="156"/>
      <c r="AS1" s="157"/>
      <c r="AT1" s="155" t="s">
        <v>71</v>
      </c>
      <c r="AU1" s="156"/>
      <c r="AV1" s="156"/>
      <c r="AW1" s="156"/>
      <c r="AX1" s="157"/>
      <c r="AY1" s="155" t="s">
        <v>72</v>
      </c>
      <c r="AZ1" s="156"/>
      <c r="BA1" s="156"/>
      <c r="BB1" s="157"/>
      <c r="BC1" s="155" t="s">
        <v>73</v>
      </c>
      <c r="BD1" s="156"/>
      <c r="BE1" s="156"/>
      <c r="BF1" s="156"/>
      <c r="BG1" s="157"/>
      <c r="BH1" s="155" t="s">
        <v>74</v>
      </c>
      <c r="BI1" s="156"/>
      <c r="BJ1" s="156"/>
      <c r="BK1" s="157"/>
    </row>
    <row r="2" spans="1:63" ht="15" customHeight="1" x14ac:dyDescent="0.25">
      <c r="A2" s="48" t="str">
        <f>IF(表紙!A2="","",表紙!A2)</f>
        <v>POSサーバー</v>
      </c>
      <c r="B2" s="49"/>
      <c r="C2" s="49"/>
      <c r="D2" s="49"/>
      <c r="E2" s="49"/>
      <c r="F2" s="49"/>
      <c r="G2" s="49"/>
      <c r="H2" s="49"/>
      <c r="I2" s="49"/>
      <c r="J2" s="50"/>
      <c r="K2" s="48" t="str">
        <f>IF(表紙!K2="","",表紙!K2)</f>
        <v>POSサーバ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45644</v>
      </c>
      <c r="AU2" s="169"/>
      <c r="AV2" s="169"/>
      <c r="AW2" s="169"/>
      <c r="AX2" s="170"/>
      <c r="AY2" s="164" t="str">
        <f>IF(表紙!AY2="","",表紙!AY2)</f>
        <v>TuyenNH</v>
      </c>
      <c r="AZ2" s="162"/>
      <c r="BA2" s="162"/>
      <c r="BB2" s="163"/>
      <c r="BC2" s="168">
        <f>IF(表紙!BC2="","",表紙!BC2)</f>
        <v>45644</v>
      </c>
      <c r="BD2" s="169"/>
      <c r="BE2" s="169"/>
      <c r="BF2" s="169"/>
      <c r="BG2" s="170"/>
      <c r="BH2" s="164">
        <f>IF(表紙!BH2="","",表紙!BH2)</f>
        <v>0.1</v>
      </c>
      <c r="BI2" s="162"/>
      <c r="BJ2" s="162"/>
      <c r="BK2" s="163"/>
    </row>
    <row r="3" spans="1:63" ht="15" customHeight="1" x14ac:dyDescent="0.25">
      <c r="A3" s="51"/>
      <c r="B3" s="52"/>
      <c r="C3" s="52"/>
      <c r="D3" s="52"/>
      <c r="E3" s="52"/>
      <c r="F3" s="52"/>
      <c r="G3" s="52"/>
      <c r="H3" s="52"/>
      <c r="I3" s="52"/>
      <c r="J3" s="53"/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254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6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45" t="s">
        <v>76</v>
      </c>
      <c r="B4" s="246"/>
      <c r="C4" s="246"/>
      <c r="D4" s="246"/>
      <c r="E4" s="246"/>
      <c r="F4" s="246"/>
      <c r="G4" s="247"/>
      <c r="H4" s="54" t="str">
        <f>IF(表紙!H4="","",表紙!H4)</f>
        <v>08_カテゴリ値引／割引設定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245" t="s">
        <v>77</v>
      </c>
      <c r="V4" s="246"/>
      <c r="W4" s="246"/>
      <c r="X4" s="246"/>
      <c r="Y4" s="247"/>
      <c r="Z4" s="57" t="str">
        <f>IF(表紙!Z4="","",表紙!Z4)</f>
        <v>画面設計書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SC3201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84</v>
      </c>
      <c r="C7" s="257"/>
      <c r="D7" s="257"/>
      <c r="E7" s="257"/>
      <c r="F7" s="257"/>
      <c r="G7" s="257"/>
      <c r="H7" s="257"/>
      <c r="I7" s="257"/>
      <c r="J7" s="257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ht="15" customHeight="1" x14ac:dyDescent="0.25">
      <c r="A40" s="5"/>
      <c r="BK40" s="6"/>
    </row>
    <row r="41" spans="1:63" ht="15" customHeight="1" x14ac:dyDescent="0.25">
      <c r="A41" s="5"/>
      <c r="BK41" s="6"/>
    </row>
    <row r="42" spans="1:63" ht="15" customHeight="1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44" s="7" t="s">
        <v>85</v>
      </c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x14ac:dyDescent="0.25">
      <c r="A47" s="5"/>
      <c r="BK47" s="6"/>
    </row>
    <row r="48" spans="1:63" x14ac:dyDescent="0.25">
      <c r="A48" s="5"/>
      <c r="BK48" s="6"/>
    </row>
    <row r="49" spans="1:63" x14ac:dyDescent="0.25">
      <c r="A49" s="5"/>
      <c r="BK49" s="6"/>
    </row>
    <row r="50" spans="1:63" x14ac:dyDescent="0.25">
      <c r="A50" s="5"/>
      <c r="BK50" s="6"/>
    </row>
    <row r="51" spans="1:63" x14ac:dyDescent="0.25">
      <c r="A51" s="5"/>
      <c r="BK51" s="6"/>
    </row>
    <row r="52" spans="1:63" x14ac:dyDescent="0.25">
      <c r="A52" s="5"/>
      <c r="BK52" s="6"/>
    </row>
    <row r="53" spans="1:63" x14ac:dyDescent="0.25">
      <c r="A53" s="5"/>
      <c r="BK53" s="6"/>
    </row>
    <row r="54" spans="1:63" x14ac:dyDescent="0.25">
      <c r="A54" s="5"/>
      <c r="BK54" s="6"/>
    </row>
    <row r="55" spans="1:63" x14ac:dyDescent="0.25">
      <c r="A55" s="5"/>
      <c r="BK55" s="6"/>
    </row>
    <row r="56" spans="1:63" x14ac:dyDescent="0.25">
      <c r="A56" s="5"/>
      <c r="BK56" s="6"/>
    </row>
    <row r="57" spans="1:63" x14ac:dyDescent="0.25">
      <c r="A57" s="5"/>
      <c r="BK57" s="6"/>
    </row>
    <row r="58" spans="1:63" x14ac:dyDescent="0.25">
      <c r="A58" s="5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61" spans="1:63" x14ac:dyDescent="0.25">
      <c r="A61" s="5"/>
      <c r="BK61" s="6"/>
    </row>
    <row r="62" spans="1:63" x14ac:dyDescent="0.25">
      <c r="A62" s="5"/>
      <c r="BK62" s="6"/>
    </row>
    <row r="63" spans="1:63" x14ac:dyDescent="0.25">
      <c r="A63" s="5"/>
      <c r="BK63" s="6"/>
    </row>
    <row r="64" spans="1:63" x14ac:dyDescent="0.25">
      <c r="A64" s="5"/>
      <c r="BK64" s="6"/>
    </row>
    <row r="65" spans="1:63" x14ac:dyDescent="0.25">
      <c r="A65" s="5"/>
      <c r="BK65" s="6"/>
    </row>
    <row r="66" spans="1:63" x14ac:dyDescent="0.25">
      <c r="A66" s="5"/>
      <c r="BK66" s="6"/>
    </row>
    <row r="67" spans="1:63" x14ac:dyDescent="0.25">
      <c r="A67" s="5"/>
      <c r="BK67" s="6"/>
    </row>
    <row r="68" spans="1:63" x14ac:dyDescent="0.25">
      <c r="A68" s="5"/>
      <c r="BK68" s="6"/>
    </row>
    <row r="69" spans="1:63" x14ac:dyDescent="0.25">
      <c r="A69" s="5"/>
      <c r="BK69" s="6"/>
    </row>
    <row r="70" spans="1:63" x14ac:dyDescent="0.25">
      <c r="A70" s="5"/>
      <c r="BK70" s="6"/>
    </row>
    <row r="71" spans="1:63" x14ac:dyDescent="0.25">
      <c r="A71" s="5"/>
      <c r="BK71" s="6"/>
    </row>
    <row r="72" spans="1:63" x14ac:dyDescent="0.25">
      <c r="A72" s="5"/>
      <c r="BK72" s="6"/>
    </row>
    <row r="73" spans="1:63" x14ac:dyDescent="0.25">
      <c r="A73" s="5"/>
      <c r="BK73" s="6"/>
    </row>
    <row r="74" spans="1:63" x14ac:dyDescent="0.25">
      <c r="A74" s="5"/>
      <c r="BK74" s="6"/>
    </row>
    <row r="75" spans="1:63" x14ac:dyDescent="0.25">
      <c r="A75" s="5"/>
      <c r="BK75" s="6"/>
    </row>
    <row r="76" spans="1:63" x14ac:dyDescent="0.25">
      <c r="A76" s="5"/>
      <c r="BK76" s="6"/>
    </row>
    <row r="77" spans="1:63" x14ac:dyDescent="0.25">
      <c r="A77" s="5"/>
      <c r="BK77" s="6"/>
    </row>
    <row r="78" spans="1:63" x14ac:dyDescent="0.25">
      <c r="A78" s="5"/>
      <c r="BK78" s="6"/>
    </row>
    <row r="79" spans="1:63" ht="15" customHeight="1" x14ac:dyDescent="0.25">
      <c r="A79" s="5"/>
      <c r="B79" s="7" t="s">
        <v>86</v>
      </c>
      <c r="BK79" s="6"/>
    </row>
    <row r="80" spans="1:63" x14ac:dyDescent="0.25">
      <c r="A80" s="5"/>
      <c r="BK80" s="6"/>
    </row>
    <row r="81" spans="1:63" ht="15.75" customHeight="1" x14ac:dyDescent="0.25">
      <c r="A81" s="5"/>
      <c r="B81" s="61" t="s">
        <v>87</v>
      </c>
      <c r="C81" s="62"/>
      <c r="D81" s="67" t="s">
        <v>88</v>
      </c>
      <c r="E81" s="68"/>
      <c r="F81" s="68"/>
      <c r="G81" s="68"/>
      <c r="H81" s="68"/>
      <c r="I81" s="68"/>
      <c r="J81" s="62"/>
      <c r="K81" s="67" t="s">
        <v>89</v>
      </c>
      <c r="L81" s="68"/>
      <c r="M81" s="62"/>
      <c r="N81" s="71" t="s">
        <v>3</v>
      </c>
      <c r="O81" s="74" t="s">
        <v>90</v>
      </c>
      <c r="P81" s="88" t="s">
        <v>91</v>
      </c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90"/>
      <c r="AR81" s="77" t="s">
        <v>92</v>
      </c>
      <c r="AS81" s="78"/>
      <c r="AT81" s="78"/>
      <c r="AU81" s="78"/>
      <c r="AV81" s="78"/>
      <c r="AW81" s="78"/>
      <c r="AX81" s="78"/>
      <c r="AY81" s="78"/>
      <c r="AZ81" s="78"/>
      <c r="BA81" s="78"/>
      <c r="BB81" s="81"/>
      <c r="BC81" s="91" t="s">
        <v>93</v>
      </c>
      <c r="BD81" s="92"/>
      <c r="BE81" s="92"/>
      <c r="BF81" s="92"/>
      <c r="BG81" s="92"/>
      <c r="BH81" s="92"/>
      <c r="BI81" s="92"/>
      <c r="BJ81" s="93"/>
      <c r="BK81" s="6"/>
    </row>
    <row r="82" spans="1:63" ht="15.75" customHeight="1" x14ac:dyDescent="0.25">
      <c r="A82" s="5"/>
      <c r="B82" s="63"/>
      <c r="C82" s="64"/>
      <c r="D82" s="63"/>
      <c r="E82" s="69"/>
      <c r="F82" s="69"/>
      <c r="G82" s="69"/>
      <c r="H82" s="69"/>
      <c r="I82" s="69"/>
      <c r="J82" s="64"/>
      <c r="K82" s="63"/>
      <c r="L82" s="69"/>
      <c r="M82" s="64"/>
      <c r="N82" s="72"/>
      <c r="O82" s="75"/>
      <c r="P82" s="100" t="s">
        <v>94</v>
      </c>
      <c r="Q82" s="101"/>
      <c r="R82" s="101"/>
      <c r="S82" s="101"/>
      <c r="T82" s="101"/>
      <c r="U82" s="101"/>
      <c r="V82" s="101"/>
      <c r="W82" s="102"/>
      <c r="X82" s="103" t="s">
        <v>95</v>
      </c>
      <c r="Y82" s="104"/>
      <c r="Z82" s="105"/>
      <c r="AA82" s="103" t="s">
        <v>96</v>
      </c>
      <c r="AB82" s="104"/>
      <c r="AC82" s="104"/>
      <c r="AD82" s="104"/>
      <c r="AE82" s="104"/>
      <c r="AF82" s="104"/>
      <c r="AG82" s="104"/>
      <c r="AH82" s="105"/>
      <c r="AI82" s="103" t="s">
        <v>97</v>
      </c>
      <c r="AJ82" s="104"/>
      <c r="AK82" s="104"/>
      <c r="AL82" s="104"/>
      <c r="AM82" s="104"/>
      <c r="AN82" s="104"/>
      <c r="AO82" s="104"/>
      <c r="AP82" s="104"/>
      <c r="AQ82" s="105"/>
      <c r="AR82" s="109" t="s">
        <v>4</v>
      </c>
      <c r="AS82" s="111" t="s">
        <v>98</v>
      </c>
      <c r="AT82" s="113" t="s">
        <v>99</v>
      </c>
      <c r="AU82" s="77" t="s">
        <v>94</v>
      </c>
      <c r="AV82" s="78"/>
      <c r="AW82" s="78"/>
      <c r="AX82" s="78"/>
      <c r="AY82" s="78"/>
      <c r="AZ82" s="78"/>
      <c r="BA82" s="78"/>
      <c r="BB82" s="81"/>
      <c r="BC82" s="94"/>
      <c r="BD82" s="95"/>
      <c r="BE82" s="95"/>
      <c r="BF82" s="95"/>
      <c r="BG82" s="95"/>
      <c r="BH82" s="95"/>
      <c r="BI82" s="95"/>
      <c r="BJ82" s="96"/>
      <c r="BK82" s="6"/>
    </row>
    <row r="83" spans="1:63" x14ac:dyDescent="0.25">
      <c r="A83" s="5"/>
      <c r="B83" s="65"/>
      <c r="C83" s="66"/>
      <c r="D83" s="65"/>
      <c r="E83" s="70"/>
      <c r="F83" s="70"/>
      <c r="G83" s="70"/>
      <c r="H83" s="70"/>
      <c r="I83" s="70"/>
      <c r="J83" s="66"/>
      <c r="K83" s="65"/>
      <c r="L83" s="70"/>
      <c r="M83" s="66"/>
      <c r="N83" s="73"/>
      <c r="O83" s="76"/>
      <c r="P83" s="88" t="s">
        <v>100</v>
      </c>
      <c r="Q83" s="89"/>
      <c r="R83" s="89"/>
      <c r="S83" s="90"/>
      <c r="T83" s="88" t="s">
        <v>88</v>
      </c>
      <c r="U83" s="89"/>
      <c r="V83" s="89"/>
      <c r="W83" s="90"/>
      <c r="X83" s="106"/>
      <c r="Y83" s="107"/>
      <c r="Z83" s="108"/>
      <c r="AA83" s="106"/>
      <c r="AB83" s="107"/>
      <c r="AC83" s="107"/>
      <c r="AD83" s="107"/>
      <c r="AE83" s="107"/>
      <c r="AF83" s="107"/>
      <c r="AG83" s="107"/>
      <c r="AH83" s="108"/>
      <c r="AI83" s="106"/>
      <c r="AJ83" s="107"/>
      <c r="AK83" s="107"/>
      <c r="AL83" s="107"/>
      <c r="AM83" s="107"/>
      <c r="AN83" s="107"/>
      <c r="AO83" s="107"/>
      <c r="AP83" s="107"/>
      <c r="AQ83" s="108"/>
      <c r="AR83" s="110"/>
      <c r="AS83" s="112"/>
      <c r="AT83" s="114"/>
      <c r="AU83" s="77" t="s">
        <v>100</v>
      </c>
      <c r="AV83" s="78"/>
      <c r="AW83" s="78"/>
      <c r="AX83" s="79"/>
      <c r="AY83" s="80" t="s">
        <v>88</v>
      </c>
      <c r="AZ83" s="78"/>
      <c r="BA83" s="78"/>
      <c r="BB83" s="81"/>
      <c r="BC83" s="97"/>
      <c r="BD83" s="98"/>
      <c r="BE83" s="98"/>
      <c r="BF83" s="98"/>
      <c r="BG83" s="98"/>
      <c r="BH83" s="98"/>
      <c r="BI83" s="98"/>
      <c r="BJ83" s="99"/>
      <c r="BK83" s="6"/>
    </row>
    <row r="84" spans="1:63" ht="31.5" customHeight="1" x14ac:dyDescent="0.25">
      <c r="A84" s="5"/>
      <c r="B84" s="82">
        <v>0</v>
      </c>
      <c r="C84" s="83"/>
      <c r="D84" s="84" t="s">
        <v>9</v>
      </c>
      <c r="E84" s="85"/>
      <c r="F84" s="85"/>
      <c r="G84" s="85"/>
      <c r="H84" s="85"/>
      <c r="I84" s="85"/>
      <c r="J84" s="86"/>
      <c r="K84" s="27" t="s">
        <v>101</v>
      </c>
      <c r="L84" s="28"/>
      <c r="M84" s="29"/>
      <c r="N84" s="15" t="s">
        <v>5</v>
      </c>
      <c r="O84" s="16" t="s">
        <v>6</v>
      </c>
      <c r="P84" s="87" t="s">
        <v>5</v>
      </c>
      <c r="Q84" s="49"/>
      <c r="R84" s="49"/>
      <c r="S84" s="50"/>
      <c r="T84" s="87" t="s">
        <v>5</v>
      </c>
      <c r="U84" s="49"/>
      <c r="V84" s="49"/>
      <c r="W84" s="50"/>
      <c r="X84" s="115" t="s">
        <v>102</v>
      </c>
      <c r="Y84" s="116"/>
      <c r="Z84" s="117"/>
      <c r="AA84" s="48" t="s">
        <v>7</v>
      </c>
      <c r="AB84" s="49"/>
      <c r="AC84" s="49"/>
      <c r="AD84" s="49"/>
      <c r="AE84" s="49"/>
      <c r="AF84" s="49"/>
      <c r="AG84" s="49"/>
      <c r="AH84" s="50"/>
      <c r="AI84" s="118" t="s">
        <v>5</v>
      </c>
      <c r="AJ84" s="119"/>
      <c r="AK84" s="119"/>
      <c r="AL84" s="119"/>
      <c r="AM84" s="119"/>
      <c r="AN84" s="119"/>
      <c r="AO84" s="119"/>
      <c r="AP84" s="119"/>
      <c r="AQ84" s="120"/>
      <c r="AR84" s="17" t="s">
        <v>5</v>
      </c>
      <c r="AS84" s="17" t="s">
        <v>7</v>
      </c>
      <c r="AT84" s="17" t="s">
        <v>7</v>
      </c>
      <c r="AU84" s="48" t="s">
        <v>8</v>
      </c>
      <c r="AV84" s="49"/>
      <c r="AW84" s="49"/>
      <c r="AX84" s="50"/>
      <c r="AY84" s="48" t="s">
        <v>7</v>
      </c>
      <c r="AZ84" s="49"/>
      <c r="BA84" s="49"/>
      <c r="BB84" s="50"/>
      <c r="BC84" s="258" t="s">
        <v>103</v>
      </c>
      <c r="BD84" s="259"/>
      <c r="BE84" s="259"/>
      <c r="BF84" s="259"/>
      <c r="BG84" s="259"/>
      <c r="BH84" s="259"/>
      <c r="BI84" s="259"/>
      <c r="BJ84" s="260"/>
      <c r="BK84" s="6"/>
    </row>
    <row r="85" spans="1:63" x14ac:dyDescent="0.25">
      <c r="A85" s="5"/>
      <c r="B85" s="23">
        <f>B84+1</f>
        <v>1</v>
      </c>
      <c r="C85" s="22"/>
      <c r="D85" s="42" t="s">
        <v>15</v>
      </c>
      <c r="E85" s="43"/>
      <c r="F85" s="43"/>
      <c r="G85" s="43"/>
      <c r="H85" s="43"/>
      <c r="I85" s="43"/>
      <c r="J85" s="44"/>
      <c r="K85" s="27" t="s">
        <v>101</v>
      </c>
      <c r="L85" s="28"/>
      <c r="M85" s="29"/>
      <c r="N85" s="9" t="s">
        <v>5</v>
      </c>
      <c r="O85" s="9" t="s">
        <v>6</v>
      </c>
      <c r="P85" s="30" t="s">
        <v>5</v>
      </c>
      <c r="Q85" s="21"/>
      <c r="R85" s="21"/>
      <c r="S85" s="22"/>
      <c r="T85" s="30" t="s">
        <v>5</v>
      </c>
      <c r="U85" s="21"/>
      <c r="V85" s="21"/>
      <c r="W85" s="22"/>
      <c r="X85" s="45" t="s">
        <v>104</v>
      </c>
      <c r="Y85" s="46"/>
      <c r="Z85" s="47"/>
      <c r="AA85" s="23" t="s">
        <v>7</v>
      </c>
      <c r="AB85" s="21"/>
      <c r="AC85" s="21"/>
      <c r="AD85" s="21"/>
      <c r="AE85" s="21"/>
      <c r="AF85" s="21"/>
      <c r="AG85" s="21"/>
      <c r="AH85" s="22"/>
      <c r="AI85" s="34" t="s">
        <v>5</v>
      </c>
      <c r="AJ85" s="35"/>
      <c r="AK85" s="35"/>
      <c r="AL85" s="35"/>
      <c r="AM85" s="35"/>
      <c r="AN85" s="35"/>
      <c r="AO85" s="35"/>
      <c r="AP85" s="35"/>
      <c r="AQ85" s="36"/>
      <c r="AR85" s="11" t="s">
        <v>5</v>
      </c>
      <c r="AS85" s="11" t="s">
        <v>7</v>
      </c>
      <c r="AT85" s="11" t="s">
        <v>7</v>
      </c>
      <c r="AU85" s="23" t="s">
        <v>8</v>
      </c>
      <c r="AV85" s="21"/>
      <c r="AW85" s="21"/>
      <c r="AX85" s="22"/>
      <c r="AY85" s="30" t="s">
        <v>105</v>
      </c>
      <c r="AZ85" s="21"/>
      <c r="BA85" s="21"/>
      <c r="BB85" s="22"/>
      <c r="BC85" s="261" t="s">
        <v>7</v>
      </c>
      <c r="BD85" s="262"/>
      <c r="BE85" s="262"/>
      <c r="BF85" s="262"/>
      <c r="BG85" s="262"/>
      <c r="BH85" s="262"/>
      <c r="BI85" s="262"/>
      <c r="BJ85" s="263"/>
      <c r="BK85" s="6"/>
    </row>
    <row r="86" spans="1:63" ht="50.25" customHeight="1" x14ac:dyDescent="0.25">
      <c r="A86" s="5"/>
      <c r="B86" s="23">
        <f t="shared" ref="B86:B88" si="0">B85+1</f>
        <v>2</v>
      </c>
      <c r="C86" s="22"/>
      <c r="D86" s="24" t="s">
        <v>2</v>
      </c>
      <c r="E86" s="25"/>
      <c r="F86" s="25"/>
      <c r="G86" s="25"/>
      <c r="H86" s="25"/>
      <c r="I86" s="25"/>
      <c r="J86" s="26"/>
      <c r="K86" s="27" t="s">
        <v>106</v>
      </c>
      <c r="L86" s="28"/>
      <c r="M86" s="29"/>
      <c r="N86" s="9" t="s">
        <v>10</v>
      </c>
      <c r="O86" s="9" t="s">
        <v>6</v>
      </c>
      <c r="P86" s="30" t="s">
        <v>5</v>
      </c>
      <c r="Q86" s="21"/>
      <c r="R86" s="21"/>
      <c r="S86" s="22"/>
      <c r="T86" s="30" t="s">
        <v>5</v>
      </c>
      <c r="U86" s="21"/>
      <c r="V86" s="21"/>
      <c r="W86" s="22"/>
      <c r="X86" s="31" t="s">
        <v>107</v>
      </c>
      <c r="Y86" s="32"/>
      <c r="Z86" s="33"/>
      <c r="AA86" s="23" t="s">
        <v>7</v>
      </c>
      <c r="AB86" s="21"/>
      <c r="AC86" s="21"/>
      <c r="AD86" s="21"/>
      <c r="AE86" s="21"/>
      <c r="AF86" s="21"/>
      <c r="AG86" s="21"/>
      <c r="AH86" s="22"/>
      <c r="AI86" s="264" t="s">
        <v>108</v>
      </c>
      <c r="AJ86" s="265"/>
      <c r="AK86" s="265"/>
      <c r="AL86" s="265"/>
      <c r="AM86" s="265"/>
      <c r="AN86" s="265"/>
      <c r="AO86" s="265"/>
      <c r="AP86" s="265"/>
      <c r="AQ86" s="266"/>
      <c r="AR86" s="11" t="s">
        <v>5</v>
      </c>
      <c r="AS86" s="11" t="s">
        <v>7</v>
      </c>
      <c r="AT86" s="11" t="s">
        <v>7</v>
      </c>
      <c r="AU86" s="23" t="s">
        <v>8</v>
      </c>
      <c r="AV86" s="21"/>
      <c r="AW86" s="21"/>
      <c r="AX86" s="22"/>
      <c r="AY86" s="30" t="s">
        <v>105</v>
      </c>
      <c r="AZ86" s="21"/>
      <c r="BA86" s="21"/>
      <c r="BB86" s="22"/>
      <c r="BC86" s="261" t="s">
        <v>109</v>
      </c>
      <c r="BD86" s="262"/>
      <c r="BE86" s="262"/>
      <c r="BF86" s="262"/>
      <c r="BG86" s="262"/>
      <c r="BH86" s="262"/>
      <c r="BI86" s="262"/>
      <c r="BJ86" s="263"/>
      <c r="BK86" s="6"/>
    </row>
    <row r="87" spans="1:63" ht="32.25" customHeight="1" x14ac:dyDescent="0.25">
      <c r="A87" s="5"/>
      <c r="B87" s="23">
        <f t="shared" si="0"/>
        <v>3</v>
      </c>
      <c r="C87" s="22"/>
      <c r="D87" s="267" t="s">
        <v>12</v>
      </c>
      <c r="E87" s="268"/>
      <c r="F87" s="268"/>
      <c r="G87" s="268"/>
      <c r="H87" s="268"/>
      <c r="I87" s="268"/>
      <c r="J87" s="269"/>
      <c r="K87" s="27" t="s">
        <v>106</v>
      </c>
      <c r="L87" s="28"/>
      <c r="M87" s="29"/>
      <c r="N87" s="9" t="s">
        <v>10</v>
      </c>
      <c r="O87" s="9" t="s">
        <v>6</v>
      </c>
      <c r="P87" s="30" t="s">
        <v>5</v>
      </c>
      <c r="Q87" s="21"/>
      <c r="R87" s="21"/>
      <c r="S87" s="22"/>
      <c r="T87" s="30" t="s">
        <v>5</v>
      </c>
      <c r="U87" s="21"/>
      <c r="V87" s="21"/>
      <c r="W87" s="22"/>
      <c r="X87" s="41" t="s">
        <v>12</v>
      </c>
      <c r="Y87" s="21"/>
      <c r="Z87" s="22"/>
      <c r="AA87" s="23" t="s">
        <v>7</v>
      </c>
      <c r="AB87" s="21"/>
      <c r="AC87" s="21"/>
      <c r="AD87" s="21"/>
      <c r="AE87" s="21"/>
      <c r="AF87" s="21"/>
      <c r="AG87" s="21"/>
      <c r="AH87" s="22"/>
      <c r="AI87" s="264" t="s">
        <v>108</v>
      </c>
      <c r="AJ87" s="265"/>
      <c r="AK87" s="265"/>
      <c r="AL87" s="265"/>
      <c r="AM87" s="265"/>
      <c r="AN87" s="265"/>
      <c r="AO87" s="265"/>
      <c r="AP87" s="265"/>
      <c r="AQ87" s="266"/>
      <c r="AR87" s="11" t="s">
        <v>5</v>
      </c>
      <c r="AS87" s="11" t="s">
        <v>7</v>
      </c>
      <c r="AT87" s="11" t="s">
        <v>7</v>
      </c>
      <c r="AU87" s="23" t="s">
        <v>8</v>
      </c>
      <c r="AV87" s="21"/>
      <c r="AW87" s="21"/>
      <c r="AX87" s="22"/>
      <c r="AY87" s="30" t="s">
        <v>105</v>
      </c>
      <c r="AZ87" s="21"/>
      <c r="BA87" s="21"/>
      <c r="BB87" s="22"/>
      <c r="BC87" s="261" t="s">
        <v>110</v>
      </c>
      <c r="BD87" s="262"/>
      <c r="BE87" s="262"/>
      <c r="BF87" s="262"/>
      <c r="BG87" s="262"/>
      <c r="BH87" s="262"/>
      <c r="BI87" s="262"/>
      <c r="BJ87" s="263"/>
      <c r="BK87" s="6"/>
    </row>
    <row r="88" spans="1:63" ht="62.25" customHeight="1" x14ac:dyDescent="0.25">
      <c r="A88" s="5"/>
      <c r="B88" s="23">
        <f t="shared" si="0"/>
        <v>4</v>
      </c>
      <c r="C88" s="22"/>
      <c r="D88" s="24" t="s">
        <v>37</v>
      </c>
      <c r="E88" s="25"/>
      <c r="F88" s="25"/>
      <c r="G88" s="25"/>
      <c r="H88" s="25"/>
      <c r="I88" s="25"/>
      <c r="J88" s="26"/>
      <c r="K88" s="27" t="s">
        <v>101</v>
      </c>
      <c r="L88" s="28"/>
      <c r="M88" s="29"/>
      <c r="N88" s="9" t="s">
        <v>5</v>
      </c>
      <c r="O88" s="9" t="s">
        <v>6</v>
      </c>
      <c r="P88" s="30" t="s">
        <v>5</v>
      </c>
      <c r="Q88" s="21"/>
      <c r="R88" s="21"/>
      <c r="S88" s="22"/>
      <c r="T88" s="30" t="s">
        <v>5</v>
      </c>
      <c r="U88" s="21"/>
      <c r="V88" s="21"/>
      <c r="W88" s="22"/>
      <c r="X88" s="31" t="s">
        <v>111</v>
      </c>
      <c r="Y88" s="32"/>
      <c r="Z88" s="33"/>
      <c r="AA88" s="23" t="s">
        <v>7</v>
      </c>
      <c r="AB88" s="21"/>
      <c r="AC88" s="21"/>
      <c r="AD88" s="21"/>
      <c r="AE88" s="21"/>
      <c r="AF88" s="21"/>
      <c r="AG88" s="21"/>
      <c r="AH88" s="22"/>
      <c r="AI88" s="34" t="s">
        <v>5</v>
      </c>
      <c r="AJ88" s="35"/>
      <c r="AK88" s="35"/>
      <c r="AL88" s="35"/>
      <c r="AM88" s="35"/>
      <c r="AN88" s="35"/>
      <c r="AO88" s="35"/>
      <c r="AP88" s="35"/>
      <c r="AQ88" s="36"/>
      <c r="AR88" s="11" t="s">
        <v>5</v>
      </c>
      <c r="AS88" s="11" t="s">
        <v>7</v>
      </c>
      <c r="AT88" s="11" t="s">
        <v>7</v>
      </c>
      <c r="AU88" s="23" t="s">
        <v>8</v>
      </c>
      <c r="AV88" s="21"/>
      <c r="AW88" s="21"/>
      <c r="AX88" s="22"/>
      <c r="AY88" s="30" t="s">
        <v>105</v>
      </c>
      <c r="AZ88" s="21"/>
      <c r="BA88" s="21"/>
      <c r="BB88" s="22"/>
      <c r="BC88" s="261" t="s">
        <v>7</v>
      </c>
      <c r="BD88" s="262"/>
      <c r="BE88" s="262"/>
      <c r="BF88" s="262"/>
      <c r="BG88" s="262"/>
      <c r="BH88" s="262"/>
      <c r="BI88" s="262"/>
      <c r="BJ88" s="263"/>
      <c r="BK88" s="6"/>
    </row>
    <row r="89" spans="1:63" ht="52.5" customHeight="1" x14ac:dyDescent="0.25">
      <c r="A89" s="5"/>
      <c r="B89" s="23">
        <v>4.0999999999999996</v>
      </c>
      <c r="C89" s="22"/>
      <c r="D89" s="24" t="s">
        <v>38</v>
      </c>
      <c r="E89" s="25"/>
      <c r="F89" s="25"/>
      <c r="G89" s="25"/>
      <c r="H89" s="25"/>
      <c r="I89" s="25"/>
      <c r="J89" s="26"/>
      <c r="K89" s="27" t="s">
        <v>112</v>
      </c>
      <c r="L89" s="28"/>
      <c r="M89" s="29"/>
      <c r="N89" s="9" t="s">
        <v>11</v>
      </c>
      <c r="O89" s="9" t="s">
        <v>5</v>
      </c>
      <c r="P89" s="30" t="s">
        <v>113</v>
      </c>
      <c r="Q89" s="21"/>
      <c r="R89" s="21"/>
      <c r="S89" s="22"/>
      <c r="T89" s="37" t="s">
        <v>114</v>
      </c>
      <c r="U89" s="39"/>
      <c r="V89" s="39"/>
      <c r="W89" s="40"/>
      <c r="X89" s="31" t="s">
        <v>5</v>
      </c>
      <c r="Y89" s="32"/>
      <c r="Z89" s="33"/>
      <c r="AA89" s="23" t="s">
        <v>7</v>
      </c>
      <c r="AB89" s="21"/>
      <c r="AC89" s="21"/>
      <c r="AD89" s="21"/>
      <c r="AE89" s="21"/>
      <c r="AF89" s="21"/>
      <c r="AG89" s="21"/>
      <c r="AH89" s="22"/>
      <c r="AI89" s="38" t="s">
        <v>115</v>
      </c>
      <c r="AJ89" s="35"/>
      <c r="AK89" s="35"/>
      <c r="AL89" s="35"/>
      <c r="AM89" s="35"/>
      <c r="AN89" s="35"/>
      <c r="AO89" s="35"/>
      <c r="AP89" s="35"/>
      <c r="AQ89" s="36"/>
      <c r="AR89" s="9" t="s">
        <v>6</v>
      </c>
      <c r="AS89" s="9" t="s">
        <v>6</v>
      </c>
      <c r="AT89" s="9" t="s">
        <v>5</v>
      </c>
      <c r="AU89" s="30" t="s">
        <v>116</v>
      </c>
      <c r="AV89" s="21"/>
      <c r="AW89" s="21"/>
      <c r="AX89" s="22"/>
      <c r="AY89" s="30" t="s">
        <v>105</v>
      </c>
      <c r="AZ89" s="21"/>
      <c r="BA89" s="21"/>
      <c r="BB89" s="22"/>
      <c r="BC89" s="270" t="s">
        <v>117</v>
      </c>
      <c r="BD89" s="271"/>
      <c r="BE89" s="271"/>
      <c r="BF89" s="271"/>
      <c r="BG89" s="271"/>
      <c r="BH89" s="271"/>
      <c r="BI89" s="271"/>
      <c r="BJ89" s="272"/>
      <c r="BK89" s="6"/>
    </row>
    <row r="90" spans="1:63" x14ac:dyDescent="0.25">
      <c r="A90" s="5"/>
      <c r="B90" s="23">
        <v>5</v>
      </c>
      <c r="C90" s="22"/>
      <c r="D90" s="24" t="s">
        <v>39</v>
      </c>
      <c r="E90" s="25"/>
      <c r="F90" s="25"/>
      <c r="G90" s="25"/>
      <c r="H90" s="25"/>
      <c r="I90" s="25"/>
      <c r="J90" s="26"/>
      <c r="K90" s="27" t="s">
        <v>101</v>
      </c>
      <c r="L90" s="28"/>
      <c r="M90" s="29"/>
      <c r="N90" s="9" t="s">
        <v>5</v>
      </c>
      <c r="O90" s="9" t="s">
        <v>6</v>
      </c>
      <c r="P90" s="30" t="s">
        <v>5</v>
      </c>
      <c r="Q90" s="21"/>
      <c r="R90" s="21"/>
      <c r="S90" s="22"/>
      <c r="T90" s="30" t="s">
        <v>5</v>
      </c>
      <c r="U90" s="21"/>
      <c r="V90" s="21"/>
      <c r="W90" s="22"/>
      <c r="X90" s="31" t="s">
        <v>118</v>
      </c>
      <c r="Y90" s="32"/>
      <c r="Z90" s="33"/>
      <c r="AA90" s="23" t="s">
        <v>7</v>
      </c>
      <c r="AB90" s="21"/>
      <c r="AC90" s="21"/>
      <c r="AD90" s="21"/>
      <c r="AE90" s="21"/>
      <c r="AF90" s="21"/>
      <c r="AG90" s="21"/>
      <c r="AH90" s="22"/>
      <c r="AI90" s="34" t="s">
        <v>5</v>
      </c>
      <c r="AJ90" s="35"/>
      <c r="AK90" s="35"/>
      <c r="AL90" s="35"/>
      <c r="AM90" s="35"/>
      <c r="AN90" s="35"/>
      <c r="AO90" s="35"/>
      <c r="AP90" s="35"/>
      <c r="AQ90" s="36"/>
      <c r="AR90" s="11" t="s">
        <v>5</v>
      </c>
      <c r="AS90" s="11" t="s">
        <v>7</v>
      </c>
      <c r="AT90" s="11" t="s">
        <v>7</v>
      </c>
      <c r="AU90" s="23" t="s">
        <v>8</v>
      </c>
      <c r="AV90" s="21"/>
      <c r="AW90" s="21"/>
      <c r="AX90" s="22"/>
      <c r="AY90" s="30" t="s">
        <v>105</v>
      </c>
      <c r="AZ90" s="21"/>
      <c r="BA90" s="21"/>
      <c r="BB90" s="22"/>
      <c r="BC90" s="261" t="s">
        <v>7</v>
      </c>
      <c r="BD90" s="262"/>
      <c r="BE90" s="262"/>
      <c r="BF90" s="262"/>
      <c r="BG90" s="262"/>
      <c r="BH90" s="262"/>
      <c r="BI90" s="262"/>
      <c r="BJ90" s="263"/>
      <c r="BK90" s="6"/>
    </row>
    <row r="91" spans="1:63" ht="114" customHeight="1" x14ac:dyDescent="0.25">
      <c r="A91" s="5"/>
      <c r="B91" s="23">
        <v>5.0999999999999996</v>
      </c>
      <c r="C91" s="22"/>
      <c r="D91" s="24" t="s">
        <v>40</v>
      </c>
      <c r="E91" s="25"/>
      <c r="F91" s="25"/>
      <c r="G91" s="25"/>
      <c r="H91" s="25"/>
      <c r="I91" s="25"/>
      <c r="J91" s="26"/>
      <c r="K91" s="27" t="s">
        <v>112</v>
      </c>
      <c r="L91" s="28"/>
      <c r="M91" s="29"/>
      <c r="N91" s="9" t="s">
        <v>3</v>
      </c>
      <c r="O91" s="9" t="s">
        <v>5</v>
      </c>
      <c r="P91" s="30" t="s">
        <v>113</v>
      </c>
      <c r="Q91" s="21"/>
      <c r="R91" s="21"/>
      <c r="S91" s="22"/>
      <c r="T91" s="37" t="s">
        <v>119</v>
      </c>
      <c r="U91" s="39"/>
      <c r="V91" s="39"/>
      <c r="W91" s="40"/>
      <c r="X91" s="31" t="s">
        <v>5</v>
      </c>
      <c r="Y91" s="32"/>
      <c r="Z91" s="33"/>
      <c r="AA91" s="23" t="s">
        <v>7</v>
      </c>
      <c r="AB91" s="21"/>
      <c r="AC91" s="21"/>
      <c r="AD91" s="21"/>
      <c r="AE91" s="21"/>
      <c r="AF91" s="21"/>
      <c r="AG91" s="21"/>
      <c r="AH91" s="22"/>
      <c r="AI91" s="38" t="s">
        <v>120</v>
      </c>
      <c r="AJ91" s="35"/>
      <c r="AK91" s="35"/>
      <c r="AL91" s="35"/>
      <c r="AM91" s="35"/>
      <c r="AN91" s="35"/>
      <c r="AO91" s="35"/>
      <c r="AP91" s="35"/>
      <c r="AQ91" s="36"/>
      <c r="AR91" s="9" t="s">
        <v>5</v>
      </c>
      <c r="AS91" s="9" t="s">
        <v>6</v>
      </c>
      <c r="AT91" s="9" t="s">
        <v>5</v>
      </c>
      <c r="AU91" s="30" t="s">
        <v>121</v>
      </c>
      <c r="AV91" s="21"/>
      <c r="AW91" s="21"/>
      <c r="AX91" s="22"/>
      <c r="AY91" s="37" t="s">
        <v>119</v>
      </c>
      <c r="AZ91" s="21"/>
      <c r="BA91" s="21"/>
      <c r="BB91" s="22"/>
      <c r="BC91" s="270" t="s">
        <v>122</v>
      </c>
      <c r="BD91" s="271"/>
      <c r="BE91" s="271"/>
      <c r="BF91" s="271"/>
      <c r="BG91" s="271"/>
      <c r="BH91" s="271"/>
      <c r="BI91" s="271"/>
      <c r="BJ91" s="272"/>
      <c r="BK91" s="6"/>
    </row>
    <row r="92" spans="1:63" x14ac:dyDescent="0.25">
      <c r="A92" s="5"/>
      <c r="B92" s="23">
        <v>6</v>
      </c>
      <c r="C92" s="22"/>
      <c r="D92" s="24" t="s">
        <v>39</v>
      </c>
      <c r="E92" s="25"/>
      <c r="F92" s="25"/>
      <c r="G92" s="25"/>
      <c r="H92" s="25"/>
      <c r="I92" s="25"/>
      <c r="J92" s="26"/>
      <c r="K92" s="27" t="s">
        <v>101</v>
      </c>
      <c r="L92" s="28"/>
      <c r="M92" s="29"/>
      <c r="N92" s="9" t="s">
        <v>5</v>
      </c>
      <c r="O92" s="9" t="s">
        <v>6</v>
      </c>
      <c r="P92" s="30" t="s">
        <v>5</v>
      </c>
      <c r="Q92" s="21"/>
      <c r="R92" s="21"/>
      <c r="S92" s="22"/>
      <c r="T92" s="30" t="s">
        <v>5</v>
      </c>
      <c r="U92" s="21"/>
      <c r="V92" s="21"/>
      <c r="W92" s="22"/>
      <c r="X92" s="31" t="s">
        <v>118</v>
      </c>
      <c r="Y92" s="32"/>
      <c r="Z92" s="33"/>
      <c r="AA92" s="23" t="s">
        <v>7</v>
      </c>
      <c r="AB92" s="21"/>
      <c r="AC92" s="21"/>
      <c r="AD92" s="21"/>
      <c r="AE92" s="21"/>
      <c r="AF92" s="21"/>
      <c r="AG92" s="21"/>
      <c r="AH92" s="22"/>
      <c r="AI92" s="34" t="s">
        <v>5</v>
      </c>
      <c r="AJ92" s="35"/>
      <c r="AK92" s="35"/>
      <c r="AL92" s="35"/>
      <c r="AM92" s="35"/>
      <c r="AN92" s="35"/>
      <c r="AO92" s="35"/>
      <c r="AP92" s="35"/>
      <c r="AQ92" s="36"/>
      <c r="AR92" s="11" t="s">
        <v>5</v>
      </c>
      <c r="AS92" s="11" t="s">
        <v>7</v>
      </c>
      <c r="AT92" s="11" t="s">
        <v>7</v>
      </c>
      <c r="AU92" s="23" t="s">
        <v>8</v>
      </c>
      <c r="AV92" s="21"/>
      <c r="AW92" s="21"/>
      <c r="AX92" s="22"/>
      <c r="AY92" s="30" t="s">
        <v>105</v>
      </c>
      <c r="AZ92" s="21"/>
      <c r="BA92" s="21"/>
      <c r="BB92" s="22"/>
      <c r="BC92" s="261" t="s">
        <v>7</v>
      </c>
      <c r="BD92" s="262"/>
      <c r="BE92" s="262"/>
      <c r="BF92" s="262"/>
      <c r="BG92" s="262"/>
      <c r="BH92" s="262"/>
      <c r="BI92" s="262"/>
      <c r="BJ92" s="263"/>
      <c r="BK92" s="6"/>
    </row>
    <row r="93" spans="1:63" ht="100.5" customHeight="1" x14ac:dyDescent="0.25">
      <c r="A93" s="5"/>
      <c r="B93" s="23">
        <v>6.1</v>
      </c>
      <c r="C93" s="22"/>
      <c r="D93" s="24" t="s">
        <v>40</v>
      </c>
      <c r="E93" s="25"/>
      <c r="F93" s="25"/>
      <c r="G93" s="25"/>
      <c r="H93" s="25"/>
      <c r="I93" s="25"/>
      <c r="J93" s="26"/>
      <c r="K93" s="27" t="s">
        <v>112</v>
      </c>
      <c r="L93" s="28"/>
      <c r="M93" s="29"/>
      <c r="N93" s="9" t="s">
        <v>3</v>
      </c>
      <c r="O93" s="9" t="s">
        <v>5</v>
      </c>
      <c r="P93" s="30" t="s">
        <v>113</v>
      </c>
      <c r="Q93" s="21"/>
      <c r="R93" s="21"/>
      <c r="S93" s="22"/>
      <c r="T93" s="37" t="s">
        <v>119</v>
      </c>
      <c r="U93" s="39"/>
      <c r="V93" s="39"/>
      <c r="W93" s="40"/>
      <c r="X93" s="31" t="s">
        <v>5</v>
      </c>
      <c r="Y93" s="32"/>
      <c r="Z93" s="33"/>
      <c r="AA93" s="23" t="s">
        <v>7</v>
      </c>
      <c r="AB93" s="21"/>
      <c r="AC93" s="21"/>
      <c r="AD93" s="21"/>
      <c r="AE93" s="21"/>
      <c r="AF93" s="21"/>
      <c r="AG93" s="21"/>
      <c r="AH93" s="22"/>
      <c r="AI93" s="38" t="s">
        <v>120</v>
      </c>
      <c r="AJ93" s="35"/>
      <c r="AK93" s="35"/>
      <c r="AL93" s="35"/>
      <c r="AM93" s="35"/>
      <c r="AN93" s="35"/>
      <c r="AO93" s="35"/>
      <c r="AP93" s="35"/>
      <c r="AQ93" s="36"/>
      <c r="AR93" s="9" t="s">
        <v>5</v>
      </c>
      <c r="AS93" s="9" t="s">
        <v>6</v>
      </c>
      <c r="AT93" s="9" t="s">
        <v>5</v>
      </c>
      <c r="AU93" s="30" t="s">
        <v>121</v>
      </c>
      <c r="AV93" s="21"/>
      <c r="AW93" s="21"/>
      <c r="AX93" s="22"/>
      <c r="AY93" s="37" t="s">
        <v>119</v>
      </c>
      <c r="AZ93" s="21"/>
      <c r="BA93" s="21"/>
      <c r="BB93" s="22"/>
      <c r="BC93" s="270" t="s">
        <v>123</v>
      </c>
      <c r="BD93" s="271"/>
      <c r="BE93" s="271"/>
      <c r="BF93" s="271"/>
      <c r="BG93" s="271"/>
      <c r="BH93" s="271"/>
      <c r="BI93" s="271"/>
      <c r="BJ93" s="272"/>
      <c r="BK93" s="6"/>
    </row>
    <row r="94" spans="1:63" ht="47.25" customHeight="1" x14ac:dyDescent="0.25">
      <c r="A94" s="5"/>
      <c r="B94" s="23">
        <v>7</v>
      </c>
      <c r="C94" s="22"/>
      <c r="D94" s="273" t="s">
        <v>41</v>
      </c>
      <c r="E94" s="274"/>
      <c r="F94" s="274"/>
      <c r="G94" s="274"/>
      <c r="H94" s="274"/>
      <c r="I94" s="274"/>
      <c r="J94" s="275"/>
      <c r="K94" s="27" t="s">
        <v>101</v>
      </c>
      <c r="L94" s="28"/>
      <c r="M94" s="29"/>
      <c r="N94" s="9" t="s">
        <v>5</v>
      </c>
      <c r="O94" s="9" t="s">
        <v>6</v>
      </c>
      <c r="P94" s="30" t="s">
        <v>5</v>
      </c>
      <c r="Q94" s="21"/>
      <c r="R94" s="21"/>
      <c r="S94" s="22"/>
      <c r="T94" s="30" t="s">
        <v>5</v>
      </c>
      <c r="U94" s="21"/>
      <c r="V94" s="21"/>
      <c r="W94" s="22"/>
      <c r="X94" s="31" t="s">
        <v>124</v>
      </c>
      <c r="Y94" s="32"/>
      <c r="Z94" s="33"/>
      <c r="AA94" s="23" t="s">
        <v>7</v>
      </c>
      <c r="AB94" s="21"/>
      <c r="AC94" s="21"/>
      <c r="AD94" s="21"/>
      <c r="AE94" s="21"/>
      <c r="AF94" s="21"/>
      <c r="AG94" s="21"/>
      <c r="AH94" s="22"/>
      <c r="AI94" s="34" t="s">
        <v>5</v>
      </c>
      <c r="AJ94" s="35"/>
      <c r="AK94" s="35"/>
      <c r="AL94" s="35"/>
      <c r="AM94" s="35"/>
      <c r="AN94" s="35"/>
      <c r="AO94" s="35"/>
      <c r="AP94" s="35"/>
      <c r="AQ94" s="36"/>
      <c r="AR94" s="11" t="s">
        <v>5</v>
      </c>
      <c r="AS94" s="11" t="s">
        <v>7</v>
      </c>
      <c r="AT94" s="11" t="s">
        <v>7</v>
      </c>
      <c r="AU94" s="23" t="s">
        <v>8</v>
      </c>
      <c r="AV94" s="21"/>
      <c r="AW94" s="21"/>
      <c r="AX94" s="22"/>
      <c r="AY94" s="30" t="s">
        <v>105</v>
      </c>
      <c r="AZ94" s="21"/>
      <c r="BA94" s="21"/>
      <c r="BB94" s="22"/>
      <c r="BC94" s="261" t="s">
        <v>7</v>
      </c>
      <c r="BD94" s="262"/>
      <c r="BE94" s="262"/>
      <c r="BF94" s="262"/>
      <c r="BG94" s="262"/>
      <c r="BH94" s="262"/>
      <c r="BI94" s="262"/>
      <c r="BJ94" s="263"/>
      <c r="BK94" s="6"/>
    </row>
    <row r="95" spans="1:63" ht="138.75" customHeight="1" x14ac:dyDescent="0.25">
      <c r="A95" s="5"/>
      <c r="B95" s="23">
        <v>7.1</v>
      </c>
      <c r="C95" s="22"/>
      <c r="D95" s="273" t="s">
        <v>42</v>
      </c>
      <c r="E95" s="274"/>
      <c r="F95" s="274"/>
      <c r="G95" s="274"/>
      <c r="H95" s="274"/>
      <c r="I95" s="274"/>
      <c r="J95" s="275"/>
      <c r="K95" s="27" t="s">
        <v>125</v>
      </c>
      <c r="L95" s="28"/>
      <c r="M95" s="29"/>
      <c r="N95" s="9" t="s">
        <v>3</v>
      </c>
      <c r="O95" s="9" t="s">
        <v>5</v>
      </c>
      <c r="P95" s="30" t="s">
        <v>113</v>
      </c>
      <c r="Q95" s="21"/>
      <c r="R95" s="21"/>
      <c r="S95" s="22"/>
      <c r="T95" s="30" t="s">
        <v>126</v>
      </c>
      <c r="U95" s="21"/>
      <c r="V95" s="21"/>
      <c r="W95" s="22"/>
      <c r="X95" s="31" t="s">
        <v>5</v>
      </c>
      <c r="Y95" s="32"/>
      <c r="Z95" s="33"/>
      <c r="AA95" s="23" t="s">
        <v>7</v>
      </c>
      <c r="AB95" s="21"/>
      <c r="AC95" s="21"/>
      <c r="AD95" s="21"/>
      <c r="AE95" s="21"/>
      <c r="AF95" s="21"/>
      <c r="AG95" s="21"/>
      <c r="AH95" s="22"/>
      <c r="AI95" s="38" t="s">
        <v>120</v>
      </c>
      <c r="AJ95" s="35"/>
      <c r="AK95" s="35"/>
      <c r="AL95" s="35"/>
      <c r="AM95" s="35"/>
      <c r="AN95" s="35"/>
      <c r="AO95" s="35"/>
      <c r="AP95" s="35"/>
      <c r="AQ95" s="36"/>
      <c r="AR95" s="9" t="s">
        <v>6</v>
      </c>
      <c r="AS95" s="11" t="s">
        <v>7</v>
      </c>
      <c r="AT95" s="11" t="s">
        <v>7</v>
      </c>
      <c r="AU95" s="30" t="s">
        <v>121</v>
      </c>
      <c r="AV95" s="21"/>
      <c r="AW95" s="21"/>
      <c r="AX95" s="22"/>
      <c r="AY95" s="30" t="s">
        <v>126</v>
      </c>
      <c r="AZ95" s="21"/>
      <c r="BA95" s="21"/>
      <c r="BB95" s="22"/>
      <c r="BC95" s="267" t="s">
        <v>127</v>
      </c>
      <c r="BD95" s="276"/>
      <c r="BE95" s="276"/>
      <c r="BF95" s="276"/>
      <c r="BG95" s="276"/>
      <c r="BH95" s="276"/>
      <c r="BI95" s="276"/>
      <c r="BJ95" s="277"/>
      <c r="BK95" s="6"/>
    </row>
    <row r="96" spans="1:63" ht="127.5" customHeight="1" x14ac:dyDescent="0.25">
      <c r="A96" s="5"/>
      <c r="B96" s="23">
        <v>7.2</v>
      </c>
      <c r="C96" s="22"/>
      <c r="D96" s="273" t="s">
        <v>43</v>
      </c>
      <c r="E96" s="274"/>
      <c r="F96" s="274"/>
      <c r="G96" s="274"/>
      <c r="H96" s="274"/>
      <c r="I96" s="274"/>
      <c r="J96" s="275"/>
      <c r="K96" s="27" t="s">
        <v>125</v>
      </c>
      <c r="L96" s="28"/>
      <c r="M96" s="29"/>
      <c r="N96" s="9" t="s">
        <v>3</v>
      </c>
      <c r="O96" s="9" t="s">
        <v>5</v>
      </c>
      <c r="P96" s="30" t="s">
        <v>113</v>
      </c>
      <c r="Q96" s="21"/>
      <c r="R96" s="21"/>
      <c r="S96" s="22"/>
      <c r="T96" s="30" t="s">
        <v>128</v>
      </c>
      <c r="U96" s="21"/>
      <c r="V96" s="21"/>
      <c r="W96" s="22"/>
      <c r="X96" s="31" t="s">
        <v>5</v>
      </c>
      <c r="Y96" s="32"/>
      <c r="Z96" s="33"/>
      <c r="AA96" s="23" t="s">
        <v>7</v>
      </c>
      <c r="AB96" s="21"/>
      <c r="AC96" s="21"/>
      <c r="AD96" s="21"/>
      <c r="AE96" s="21"/>
      <c r="AF96" s="21"/>
      <c r="AG96" s="21"/>
      <c r="AH96" s="22"/>
      <c r="AI96" s="38" t="s">
        <v>120</v>
      </c>
      <c r="AJ96" s="35"/>
      <c r="AK96" s="35"/>
      <c r="AL96" s="35"/>
      <c r="AM96" s="35"/>
      <c r="AN96" s="35"/>
      <c r="AO96" s="35"/>
      <c r="AP96" s="35"/>
      <c r="AQ96" s="36"/>
      <c r="AR96" s="9" t="s">
        <v>6</v>
      </c>
      <c r="AS96" s="11" t="s">
        <v>7</v>
      </c>
      <c r="AT96" s="11" t="s">
        <v>7</v>
      </c>
      <c r="AU96" s="30" t="s">
        <v>121</v>
      </c>
      <c r="AV96" s="21"/>
      <c r="AW96" s="21"/>
      <c r="AX96" s="22"/>
      <c r="AY96" s="30" t="s">
        <v>128</v>
      </c>
      <c r="AZ96" s="21"/>
      <c r="BA96" s="21"/>
      <c r="BB96" s="22"/>
      <c r="BC96" s="267" t="s">
        <v>127</v>
      </c>
      <c r="BD96" s="276"/>
      <c r="BE96" s="276"/>
      <c r="BF96" s="276"/>
      <c r="BG96" s="276"/>
      <c r="BH96" s="276"/>
      <c r="BI96" s="276"/>
      <c r="BJ96" s="277"/>
      <c r="BK96" s="6"/>
    </row>
    <row r="97" spans="1:63" ht="116.25" customHeight="1" x14ac:dyDescent="0.25">
      <c r="A97" s="5"/>
      <c r="B97" s="23">
        <v>7.3</v>
      </c>
      <c r="C97" s="22"/>
      <c r="D97" s="273" t="s">
        <v>44</v>
      </c>
      <c r="E97" s="274"/>
      <c r="F97" s="274"/>
      <c r="G97" s="274"/>
      <c r="H97" s="274"/>
      <c r="I97" s="274"/>
      <c r="J97" s="275"/>
      <c r="K97" s="27" t="s">
        <v>129</v>
      </c>
      <c r="L97" s="28"/>
      <c r="M97" s="29"/>
      <c r="N97" s="9" t="s">
        <v>3</v>
      </c>
      <c r="O97" s="9" t="s">
        <v>5</v>
      </c>
      <c r="P97" s="30" t="s">
        <v>113</v>
      </c>
      <c r="Q97" s="21"/>
      <c r="R97" s="21"/>
      <c r="S97" s="22"/>
      <c r="T97" s="30" t="s">
        <v>130</v>
      </c>
      <c r="U97" s="21"/>
      <c r="V97" s="21"/>
      <c r="W97" s="22"/>
      <c r="X97" s="31" t="s">
        <v>5</v>
      </c>
      <c r="Y97" s="32"/>
      <c r="Z97" s="33"/>
      <c r="AA97" s="23" t="s">
        <v>7</v>
      </c>
      <c r="AB97" s="21"/>
      <c r="AC97" s="21"/>
      <c r="AD97" s="21"/>
      <c r="AE97" s="21"/>
      <c r="AF97" s="21"/>
      <c r="AG97" s="21"/>
      <c r="AH97" s="22"/>
      <c r="AI97" s="38" t="s">
        <v>120</v>
      </c>
      <c r="AJ97" s="35"/>
      <c r="AK97" s="35"/>
      <c r="AL97" s="35"/>
      <c r="AM97" s="35"/>
      <c r="AN97" s="35"/>
      <c r="AO97" s="35"/>
      <c r="AP97" s="35"/>
      <c r="AQ97" s="36"/>
      <c r="AR97" s="9" t="s">
        <v>6</v>
      </c>
      <c r="AS97" s="11" t="s">
        <v>7</v>
      </c>
      <c r="AT97" s="11" t="s">
        <v>7</v>
      </c>
      <c r="AU97" s="30" t="s">
        <v>121</v>
      </c>
      <c r="AV97" s="21"/>
      <c r="AW97" s="21"/>
      <c r="AX97" s="22"/>
      <c r="AY97" s="30" t="s">
        <v>130</v>
      </c>
      <c r="AZ97" s="21"/>
      <c r="BA97" s="21"/>
      <c r="BB97" s="22"/>
      <c r="BC97" s="267" t="s">
        <v>131</v>
      </c>
      <c r="BD97" s="276"/>
      <c r="BE97" s="276"/>
      <c r="BF97" s="276"/>
      <c r="BG97" s="276"/>
      <c r="BH97" s="276"/>
      <c r="BI97" s="276"/>
      <c r="BJ97" s="277"/>
      <c r="BK97" s="6"/>
    </row>
    <row r="98" spans="1:63" ht="117.75" customHeight="1" x14ac:dyDescent="0.25">
      <c r="A98" s="5"/>
      <c r="B98" s="23">
        <v>7.4</v>
      </c>
      <c r="C98" s="22"/>
      <c r="D98" s="273" t="s">
        <v>45</v>
      </c>
      <c r="E98" s="274"/>
      <c r="F98" s="274"/>
      <c r="G98" s="274"/>
      <c r="H98" s="274"/>
      <c r="I98" s="274"/>
      <c r="J98" s="275"/>
      <c r="K98" s="27" t="s">
        <v>129</v>
      </c>
      <c r="L98" s="28"/>
      <c r="M98" s="29"/>
      <c r="N98" s="9" t="s">
        <v>3</v>
      </c>
      <c r="O98" s="9" t="s">
        <v>5</v>
      </c>
      <c r="P98" s="30" t="s">
        <v>113</v>
      </c>
      <c r="Q98" s="21"/>
      <c r="R98" s="21"/>
      <c r="S98" s="22"/>
      <c r="T98" s="30" t="s">
        <v>132</v>
      </c>
      <c r="U98" s="21"/>
      <c r="V98" s="21"/>
      <c r="W98" s="22"/>
      <c r="X98" s="31" t="s">
        <v>5</v>
      </c>
      <c r="Y98" s="32"/>
      <c r="Z98" s="33"/>
      <c r="AA98" s="23" t="s">
        <v>7</v>
      </c>
      <c r="AB98" s="21"/>
      <c r="AC98" s="21"/>
      <c r="AD98" s="21"/>
      <c r="AE98" s="21"/>
      <c r="AF98" s="21"/>
      <c r="AG98" s="21"/>
      <c r="AH98" s="22"/>
      <c r="AI98" s="38" t="s">
        <v>120</v>
      </c>
      <c r="AJ98" s="35"/>
      <c r="AK98" s="35"/>
      <c r="AL98" s="35"/>
      <c r="AM98" s="35"/>
      <c r="AN98" s="35"/>
      <c r="AO98" s="35"/>
      <c r="AP98" s="35"/>
      <c r="AQ98" s="36"/>
      <c r="AR98" s="9" t="s">
        <v>6</v>
      </c>
      <c r="AS98" s="11" t="s">
        <v>7</v>
      </c>
      <c r="AT98" s="11" t="s">
        <v>7</v>
      </c>
      <c r="AU98" s="30" t="s">
        <v>121</v>
      </c>
      <c r="AV98" s="21"/>
      <c r="AW98" s="21"/>
      <c r="AX98" s="22"/>
      <c r="AY98" s="30" t="s">
        <v>132</v>
      </c>
      <c r="AZ98" s="21"/>
      <c r="BA98" s="21"/>
      <c r="BB98" s="22"/>
      <c r="BC98" s="267" t="s">
        <v>131</v>
      </c>
      <c r="BD98" s="276"/>
      <c r="BE98" s="276"/>
      <c r="BF98" s="276"/>
      <c r="BG98" s="276"/>
      <c r="BH98" s="276"/>
      <c r="BI98" s="276"/>
      <c r="BJ98" s="277"/>
      <c r="BK98" s="6"/>
    </row>
    <row r="99" spans="1:63" ht="51.75" customHeight="1" x14ac:dyDescent="0.25">
      <c r="A99" s="5"/>
      <c r="B99" s="23">
        <v>8</v>
      </c>
      <c r="C99" s="22"/>
      <c r="D99" s="273" t="s">
        <v>26</v>
      </c>
      <c r="E99" s="274"/>
      <c r="F99" s="274"/>
      <c r="G99" s="274"/>
      <c r="H99" s="274"/>
      <c r="I99" s="274"/>
      <c r="J99" s="275"/>
      <c r="K99" s="27" t="s">
        <v>101</v>
      </c>
      <c r="L99" s="28"/>
      <c r="M99" s="29"/>
      <c r="N99" s="9" t="s">
        <v>5</v>
      </c>
      <c r="O99" s="9" t="s">
        <v>6</v>
      </c>
      <c r="P99" s="30" t="s">
        <v>5</v>
      </c>
      <c r="Q99" s="21"/>
      <c r="R99" s="21"/>
      <c r="S99" s="22"/>
      <c r="T99" s="30" t="s">
        <v>5</v>
      </c>
      <c r="U99" s="21"/>
      <c r="V99" s="21"/>
      <c r="W99" s="22"/>
      <c r="X99" s="31" t="s">
        <v>133</v>
      </c>
      <c r="Y99" s="32"/>
      <c r="Z99" s="33"/>
      <c r="AA99" s="23" t="s">
        <v>7</v>
      </c>
      <c r="AB99" s="21"/>
      <c r="AC99" s="21"/>
      <c r="AD99" s="21"/>
      <c r="AE99" s="21"/>
      <c r="AF99" s="21"/>
      <c r="AG99" s="21"/>
      <c r="AH99" s="22"/>
      <c r="AI99" s="34" t="s">
        <v>5</v>
      </c>
      <c r="AJ99" s="35"/>
      <c r="AK99" s="35"/>
      <c r="AL99" s="35"/>
      <c r="AM99" s="35"/>
      <c r="AN99" s="35"/>
      <c r="AO99" s="35"/>
      <c r="AP99" s="35"/>
      <c r="AQ99" s="36"/>
      <c r="AR99" s="11" t="s">
        <v>5</v>
      </c>
      <c r="AS99" s="11" t="s">
        <v>7</v>
      </c>
      <c r="AT99" s="11" t="s">
        <v>7</v>
      </c>
      <c r="AU99" s="23" t="s">
        <v>8</v>
      </c>
      <c r="AV99" s="21"/>
      <c r="AW99" s="21"/>
      <c r="AX99" s="22"/>
      <c r="AY99" s="30" t="s">
        <v>105</v>
      </c>
      <c r="AZ99" s="21"/>
      <c r="BA99" s="21"/>
      <c r="BB99" s="22"/>
      <c r="BC99" s="261" t="s">
        <v>7</v>
      </c>
      <c r="BD99" s="262"/>
      <c r="BE99" s="262"/>
      <c r="BF99" s="262"/>
      <c r="BG99" s="262"/>
      <c r="BH99" s="262"/>
      <c r="BI99" s="262"/>
      <c r="BJ99" s="263"/>
      <c r="BK99" s="6"/>
    </row>
    <row r="100" spans="1:63" ht="78.75" customHeight="1" x14ac:dyDescent="0.25">
      <c r="A100" s="5"/>
      <c r="B100" s="23">
        <v>8.1</v>
      </c>
      <c r="C100" s="22"/>
      <c r="D100" s="273" t="s">
        <v>27</v>
      </c>
      <c r="E100" s="274"/>
      <c r="F100" s="274"/>
      <c r="G100" s="274"/>
      <c r="H100" s="274"/>
      <c r="I100" s="274"/>
      <c r="J100" s="275"/>
      <c r="K100" s="27" t="s">
        <v>129</v>
      </c>
      <c r="L100" s="28"/>
      <c r="M100" s="29"/>
      <c r="N100" s="9" t="s">
        <v>3</v>
      </c>
      <c r="O100" s="9" t="s">
        <v>5</v>
      </c>
      <c r="P100" s="30" t="s">
        <v>113</v>
      </c>
      <c r="Q100" s="21"/>
      <c r="R100" s="21"/>
      <c r="S100" s="22"/>
      <c r="T100" s="30" t="s">
        <v>134</v>
      </c>
      <c r="U100" s="21"/>
      <c r="V100" s="21"/>
      <c r="W100" s="22"/>
      <c r="X100" s="31" t="s">
        <v>5</v>
      </c>
      <c r="Y100" s="32"/>
      <c r="Z100" s="33"/>
      <c r="AA100" s="23" t="s">
        <v>7</v>
      </c>
      <c r="AB100" s="21"/>
      <c r="AC100" s="21"/>
      <c r="AD100" s="21"/>
      <c r="AE100" s="21"/>
      <c r="AF100" s="21"/>
      <c r="AG100" s="21"/>
      <c r="AH100" s="22"/>
      <c r="AI100" s="38" t="s">
        <v>120</v>
      </c>
      <c r="AJ100" s="35"/>
      <c r="AK100" s="35"/>
      <c r="AL100" s="35"/>
      <c r="AM100" s="35"/>
      <c r="AN100" s="35"/>
      <c r="AO100" s="35"/>
      <c r="AP100" s="35"/>
      <c r="AQ100" s="36"/>
      <c r="AR100" s="9" t="s">
        <v>6</v>
      </c>
      <c r="AS100" s="11" t="s">
        <v>7</v>
      </c>
      <c r="AT100" s="11" t="s">
        <v>7</v>
      </c>
      <c r="AU100" s="30" t="s">
        <v>121</v>
      </c>
      <c r="AV100" s="21"/>
      <c r="AW100" s="21"/>
      <c r="AX100" s="22"/>
      <c r="AY100" s="23" t="s">
        <v>28</v>
      </c>
      <c r="AZ100" s="21"/>
      <c r="BA100" s="21"/>
      <c r="BB100" s="22"/>
      <c r="BC100" s="267" t="s">
        <v>135</v>
      </c>
      <c r="BD100" s="276"/>
      <c r="BE100" s="276"/>
      <c r="BF100" s="276"/>
      <c r="BG100" s="276"/>
      <c r="BH100" s="276"/>
      <c r="BI100" s="276"/>
      <c r="BJ100" s="277"/>
      <c r="BK100" s="6"/>
    </row>
    <row r="101" spans="1:63" ht="51.75" customHeight="1" x14ac:dyDescent="0.25">
      <c r="A101" s="5"/>
      <c r="B101" s="23">
        <v>9</v>
      </c>
      <c r="C101" s="22"/>
      <c r="D101" s="273" t="s">
        <v>46</v>
      </c>
      <c r="E101" s="274"/>
      <c r="F101" s="274"/>
      <c r="G101" s="274"/>
      <c r="H101" s="274"/>
      <c r="I101" s="274"/>
      <c r="J101" s="275"/>
      <c r="K101" s="27" t="s">
        <v>106</v>
      </c>
      <c r="L101" s="28"/>
      <c r="M101" s="29"/>
      <c r="N101" s="9" t="s">
        <v>5</v>
      </c>
      <c r="O101" s="9" t="s">
        <v>6</v>
      </c>
      <c r="P101" s="30" t="s">
        <v>5</v>
      </c>
      <c r="Q101" s="21"/>
      <c r="R101" s="21"/>
      <c r="S101" s="22"/>
      <c r="T101" s="30" t="s">
        <v>5</v>
      </c>
      <c r="U101" s="21"/>
      <c r="V101" s="21"/>
      <c r="W101" s="22"/>
      <c r="X101" s="31" t="s">
        <v>136</v>
      </c>
      <c r="Y101" s="32"/>
      <c r="Z101" s="33"/>
      <c r="AA101" s="23" t="s">
        <v>7</v>
      </c>
      <c r="AB101" s="21"/>
      <c r="AC101" s="21"/>
      <c r="AD101" s="21"/>
      <c r="AE101" s="21"/>
      <c r="AF101" s="21"/>
      <c r="AG101" s="21"/>
      <c r="AH101" s="22"/>
      <c r="AI101" s="264" t="s">
        <v>137</v>
      </c>
      <c r="AJ101" s="265"/>
      <c r="AK101" s="265"/>
      <c r="AL101" s="265"/>
      <c r="AM101" s="265"/>
      <c r="AN101" s="265"/>
      <c r="AO101" s="265"/>
      <c r="AP101" s="265"/>
      <c r="AQ101" s="266"/>
      <c r="AR101" s="11" t="s">
        <v>5</v>
      </c>
      <c r="AS101" s="11" t="s">
        <v>7</v>
      </c>
      <c r="AT101" s="11" t="s">
        <v>7</v>
      </c>
      <c r="AU101" s="23" t="s">
        <v>8</v>
      </c>
      <c r="AV101" s="21"/>
      <c r="AW101" s="21"/>
      <c r="AX101" s="22"/>
      <c r="AY101" s="30" t="s">
        <v>105</v>
      </c>
      <c r="AZ101" s="21"/>
      <c r="BA101" s="21"/>
      <c r="BB101" s="22"/>
      <c r="BC101" s="261" t="s">
        <v>138</v>
      </c>
      <c r="BD101" s="262"/>
      <c r="BE101" s="262"/>
      <c r="BF101" s="262"/>
      <c r="BG101" s="262"/>
      <c r="BH101" s="262"/>
      <c r="BI101" s="262"/>
      <c r="BJ101" s="263"/>
      <c r="BK101" s="6"/>
    </row>
    <row r="102" spans="1:63" ht="69" customHeight="1" x14ac:dyDescent="0.25">
      <c r="A102" s="5"/>
      <c r="B102" s="23">
        <v>10</v>
      </c>
      <c r="C102" s="22"/>
      <c r="D102" s="273" t="s">
        <v>48</v>
      </c>
      <c r="E102" s="274"/>
      <c r="F102" s="274"/>
      <c r="G102" s="274"/>
      <c r="H102" s="274"/>
      <c r="I102" s="274"/>
      <c r="J102" s="275"/>
      <c r="K102" s="27" t="s">
        <v>106</v>
      </c>
      <c r="L102" s="28"/>
      <c r="M102" s="29"/>
      <c r="N102" s="9" t="s">
        <v>5</v>
      </c>
      <c r="O102" s="9" t="s">
        <v>6</v>
      </c>
      <c r="P102" s="30" t="s">
        <v>5</v>
      </c>
      <c r="Q102" s="21"/>
      <c r="R102" s="21"/>
      <c r="S102" s="22"/>
      <c r="T102" s="30" t="s">
        <v>5</v>
      </c>
      <c r="U102" s="21"/>
      <c r="V102" s="21"/>
      <c r="W102" s="22"/>
      <c r="X102" s="31" t="s">
        <v>139</v>
      </c>
      <c r="Y102" s="32"/>
      <c r="Z102" s="33"/>
      <c r="AA102" s="38" t="s">
        <v>140</v>
      </c>
      <c r="AB102" s="35"/>
      <c r="AC102" s="35"/>
      <c r="AD102" s="35"/>
      <c r="AE102" s="35"/>
      <c r="AF102" s="35"/>
      <c r="AG102" s="35"/>
      <c r="AH102" s="36"/>
      <c r="AI102" s="264" t="s">
        <v>141</v>
      </c>
      <c r="AJ102" s="265"/>
      <c r="AK102" s="265"/>
      <c r="AL102" s="265"/>
      <c r="AM102" s="265"/>
      <c r="AN102" s="265"/>
      <c r="AO102" s="265"/>
      <c r="AP102" s="265"/>
      <c r="AQ102" s="266"/>
      <c r="AR102" s="11" t="s">
        <v>5</v>
      </c>
      <c r="AS102" s="11" t="s">
        <v>7</v>
      </c>
      <c r="AT102" s="11" t="s">
        <v>7</v>
      </c>
      <c r="AU102" s="23" t="s">
        <v>8</v>
      </c>
      <c r="AV102" s="21"/>
      <c r="AW102" s="21"/>
      <c r="AX102" s="22"/>
      <c r="AY102" s="30" t="s">
        <v>105</v>
      </c>
      <c r="AZ102" s="21"/>
      <c r="BA102" s="21"/>
      <c r="BB102" s="22"/>
      <c r="BC102" s="261" t="s">
        <v>142</v>
      </c>
      <c r="BD102" s="262"/>
      <c r="BE102" s="262"/>
      <c r="BF102" s="262"/>
      <c r="BG102" s="262"/>
      <c r="BH102" s="262"/>
      <c r="BI102" s="262"/>
      <c r="BJ102" s="263"/>
      <c r="BK102" s="6"/>
    </row>
    <row r="103" spans="1:63" ht="51.75" customHeight="1" x14ac:dyDescent="0.25">
      <c r="A103" s="5"/>
      <c r="B103" s="23">
        <v>11</v>
      </c>
      <c r="C103" s="22"/>
      <c r="D103" s="273" t="s">
        <v>47</v>
      </c>
      <c r="E103" s="274"/>
      <c r="F103" s="274"/>
      <c r="G103" s="274"/>
      <c r="H103" s="274"/>
      <c r="I103" s="274"/>
      <c r="J103" s="275"/>
      <c r="K103" s="27" t="s">
        <v>106</v>
      </c>
      <c r="L103" s="28"/>
      <c r="M103" s="29"/>
      <c r="N103" s="9" t="s">
        <v>5</v>
      </c>
      <c r="O103" s="9" t="s">
        <v>6</v>
      </c>
      <c r="P103" s="30" t="s">
        <v>5</v>
      </c>
      <c r="Q103" s="21"/>
      <c r="R103" s="21"/>
      <c r="S103" s="22"/>
      <c r="T103" s="30" t="s">
        <v>5</v>
      </c>
      <c r="U103" s="21"/>
      <c r="V103" s="21"/>
      <c r="W103" s="22"/>
      <c r="X103" s="31" t="s">
        <v>143</v>
      </c>
      <c r="Y103" s="32"/>
      <c r="Z103" s="33"/>
      <c r="AA103" s="38" t="s">
        <v>140</v>
      </c>
      <c r="AB103" s="35"/>
      <c r="AC103" s="35"/>
      <c r="AD103" s="35"/>
      <c r="AE103" s="35"/>
      <c r="AF103" s="35"/>
      <c r="AG103" s="35"/>
      <c r="AH103" s="36"/>
      <c r="AI103" s="264" t="s">
        <v>141</v>
      </c>
      <c r="AJ103" s="265"/>
      <c r="AK103" s="265"/>
      <c r="AL103" s="265"/>
      <c r="AM103" s="265"/>
      <c r="AN103" s="265"/>
      <c r="AO103" s="265"/>
      <c r="AP103" s="265"/>
      <c r="AQ103" s="266"/>
      <c r="AR103" s="11" t="s">
        <v>5</v>
      </c>
      <c r="AS103" s="11" t="s">
        <v>7</v>
      </c>
      <c r="AT103" s="11" t="s">
        <v>7</v>
      </c>
      <c r="AU103" s="23" t="s">
        <v>8</v>
      </c>
      <c r="AV103" s="21"/>
      <c r="AW103" s="21"/>
      <c r="AX103" s="22"/>
      <c r="AY103" s="30" t="s">
        <v>105</v>
      </c>
      <c r="AZ103" s="21"/>
      <c r="BA103" s="21"/>
      <c r="BB103" s="22"/>
      <c r="BC103" s="261" t="s">
        <v>144</v>
      </c>
      <c r="BD103" s="262"/>
      <c r="BE103" s="262"/>
      <c r="BF103" s="262"/>
      <c r="BG103" s="262"/>
      <c r="BH103" s="262"/>
      <c r="BI103" s="262"/>
      <c r="BJ103" s="263"/>
      <c r="BK103" s="6"/>
    </row>
    <row r="104" spans="1:63" ht="110.25" customHeight="1" x14ac:dyDescent="0.25">
      <c r="A104" s="5"/>
      <c r="B104" s="23">
        <v>12</v>
      </c>
      <c r="C104" s="22"/>
      <c r="D104" s="273" t="s">
        <v>49</v>
      </c>
      <c r="E104" s="274"/>
      <c r="F104" s="274"/>
      <c r="G104" s="274"/>
      <c r="H104" s="274"/>
      <c r="I104" s="274"/>
      <c r="J104" s="275"/>
      <c r="K104" s="27" t="s">
        <v>106</v>
      </c>
      <c r="L104" s="28"/>
      <c r="M104" s="29"/>
      <c r="N104" s="9" t="s">
        <v>5</v>
      </c>
      <c r="O104" s="9" t="s">
        <v>5</v>
      </c>
      <c r="P104" s="30" t="s">
        <v>5</v>
      </c>
      <c r="Q104" s="21"/>
      <c r="R104" s="21"/>
      <c r="S104" s="22"/>
      <c r="T104" s="30" t="s">
        <v>5</v>
      </c>
      <c r="U104" s="21"/>
      <c r="V104" s="21"/>
      <c r="W104" s="22"/>
      <c r="X104" s="31" t="s">
        <v>50</v>
      </c>
      <c r="Y104" s="32"/>
      <c r="Z104" s="33"/>
      <c r="AA104" s="38" t="s">
        <v>145</v>
      </c>
      <c r="AB104" s="35"/>
      <c r="AC104" s="35"/>
      <c r="AD104" s="35"/>
      <c r="AE104" s="35"/>
      <c r="AF104" s="35"/>
      <c r="AG104" s="35"/>
      <c r="AH104" s="36"/>
      <c r="AI104" s="264" t="s">
        <v>51</v>
      </c>
      <c r="AJ104" s="265"/>
      <c r="AK104" s="265"/>
      <c r="AL104" s="265"/>
      <c r="AM104" s="265"/>
      <c r="AN104" s="265"/>
      <c r="AO104" s="265"/>
      <c r="AP104" s="265"/>
      <c r="AQ104" s="266"/>
      <c r="AR104" s="11" t="s">
        <v>5</v>
      </c>
      <c r="AS104" s="11" t="s">
        <v>7</v>
      </c>
      <c r="AT104" s="11" t="s">
        <v>7</v>
      </c>
      <c r="AU104" s="23" t="s">
        <v>8</v>
      </c>
      <c r="AV104" s="21"/>
      <c r="AW104" s="21"/>
      <c r="AX104" s="22"/>
      <c r="AY104" s="30" t="s">
        <v>105</v>
      </c>
      <c r="AZ104" s="21"/>
      <c r="BA104" s="21"/>
      <c r="BB104" s="22"/>
      <c r="BC104" s="261" t="s">
        <v>146</v>
      </c>
      <c r="BD104" s="262"/>
      <c r="BE104" s="262"/>
      <c r="BF104" s="262"/>
      <c r="BG104" s="262"/>
      <c r="BH104" s="262"/>
      <c r="BI104" s="262"/>
      <c r="BJ104" s="263"/>
      <c r="BK104" s="6"/>
    </row>
    <row r="105" spans="1:63" ht="51.75" customHeight="1" x14ac:dyDescent="0.25">
      <c r="A105" s="5"/>
      <c r="B105" s="23">
        <v>13</v>
      </c>
      <c r="C105" s="22"/>
      <c r="D105" s="24" t="s">
        <v>52</v>
      </c>
      <c r="E105" s="25"/>
      <c r="F105" s="25"/>
      <c r="G105" s="25"/>
      <c r="H105" s="25"/>
      <c r="I105" s="25"/>
      <c r="J105" s="26"/>
      <c r="K105" s="27" t="s">
        <v>101</v>
      </c>
      <c r="L105" s="28"/>
      <c r="M105" s="29"/>
      <c r="N105" s="9" t="s">
        <v>5</v>
      </c>
      <c r="O105" s="9" t="s">
        <v>6</v>
      </c>
      <c r="P105" s="30" t="s">
        <v>5</v>
      </c>
      <c r="Q105" s="21"/>
      <c r="R105" s="21"/>
      <c r="S105" s="22"/>
      <c r="T105" s="30" t="s">
        <v>5</v>
      </c>
      <c r="U105" s="21"/>
      <c r="V105" s="21"/>
      <c r="W105" s="22"/>
      <c r="X105" s="31" t="s">
        <v>147</v>
      </c>
      <c r="Y105" s="32"/>
      <c r="Z105" s="33"/>
      <c r="AA105" s="23" t="s">
        <v>7</v>
      </c>
      <c r="AB105" s="21"/>
      <c r="AC105" s="21"/>
      <c r="AD105" s="21"/>
      <c r="AE105" s="21"/>
      <c r="AF105" s="21"/>
      <c r="AG105" s="21"/>
      <c r="AH105" s="22"/>
      <c r="AI105" s="34" t="s">
        <v>5</v>
      </c>
      <c r="AJ105" s="35"/>
      <c r="AK105" s="35"/>
      <c r="AL105" s="35"/>
      <c r="AM105" s="35"/>
      <c r="AN105" s="35"/>
      <c r="AO105" s="35"/>
      <c r="AP105" s="35"/>
      <c r="AQ105" s="36"/>
      <c r="AR105" s="11" t="s">
        <v>5</v>
      </c>
      <c r="AS105" s="11" t="s">
        <v>7</v>
      </c>
      <c r="AT105" s="11" t="s">
        <v>7</v>
      </c>
      <c r="AU105" s="23" t="s">
        <v>8</v>
      </c>
      <c r="AV105" s="21"/>
      <c r="AW105" s="21"/>
      <c r="AX105" s="22"/>
      <c r="AY105" s="30" t="s">
        <v>105</v>
      </c>
      <c r="AZ105" s="21"/>
      <c r="BA105" s="21"/>
      <c r="BB105" s="22"/>
      <c r="BC105" s="261" t="s">
        <v>7</v>
      </c>
      <c r="BD105" s="262"/>
      <c r="BE105" s="262"/>
      <c r="BF105" s="262"/>
      <c r="BG105" s="262"/>
      <c r="BH105" s="262"/>
      <c r="BI105" s="262"/>
      <c r="BJ105" s="263"/>
      <c r="BK105" s="6"/>
    </row>
    <row r="106" spans="1:63" ht="132" customHeight="1" x14ac:dyDescent="0.25">
      <c r="A106" s="5"/>
      <c r="B106" s="23">
        <v>13.1</v>
      </c>
      <c r="C106" s="22"/>
      <c r="D106" s="24" t="s">
        <v>53</v>
      </c>
      <c r="E106" s="25"/>
      <c r="F106" s="25"/>
      <c r="G106" s="25"/>
      <c r="H106" s="25"/>
      <c r="I106" s="25"/>
      <c r="J106" s="26"/>
      <c r="K106" s="27" t="s">
        <v>101</v>
      </c>
      <c r="L106" s="28"/>
      <c r="M106" s="29"/>
      <c r="N106" s="9" t="s">
        <v>3</v>
      </c>
      <c r="O106" s="9" t="s">
        <v>5</v>
      </c>
      <c r="P106" s="30" t="s">
        <v>116</v>
      </c>
      <c r="Q106" s="21"/>
      <c r="R106" s="21"/>
      <c r="S106" s="22"/>
      <c r="T106" s="37" t="s">
        <v>148</v>
      </c>
      <c r="U106" s="21"/>
      <c r="V106" s="21"/>
      <c r="W106" s="22"/>
      <c r="X106" s="31" t="s">
        <v>5</v>
      </c>
      <c r="Y106" s="32"/>
      <c r="Z106" s="33"/>
      <c r="AA106" s="23" t="s">
        <v>7</v>
      </c>
      <c r="AB106" s="21"/>
      <c r="AC106" s="21"/>
      <c r="AD106" s="21"/>
      <c r="AE106" s="21"/>
      <c r="AF106" s="21"/>
      <c r="AG106" s="21"/>
      <c r="AH106" s="22"/>
      <c r="AI106" s="38" t="s">
        <v>105</v>
      </c>
      <c r="AJ106" s="35"/>
      <c r="AK106" s="35"/>
      <c r="AL106" s="35"/>
      <c r="AM106" s="35"/>
      <c r="AN106" s="35"/>
      <c r="AO106" s="35"/>
      <c r="AP106" s="35"/>
      <c r="AQ106" s="36"/>
      <c r="AR106" s="9" t="s">
        <v>6</v>
      </c>
      <c r="AS106" s="11" t="s">
        <v>7</v>
      </c>
      <c r="AT106" s="11" t="s">
        <v>7</v>
      </c>
      <c r="AU106" s="37" t="s">
        <v>149</v>
      </c>
      <c r="AV106" s="21"/>
      <c r="AW106" s="21"/>
      <c r="AX106" s="22"/>
      <c r="AY106" s="20" t="s">
        <v>150</v>
      </c>
      <c r="AZ106" s="21"/>
      <c r="BA106" s="21"/>
      <c r="BB106" s="22"/>
      <c r="BC106" s="270" t="s">
        <v>151</v>
      </c>
      <c r="BD106" s="262"/>
      <c r="BE106" s="262"/>
      <c r="BF106" s="262"/>
      <c r="BG106" s="262"/>
      <c r="BH106" s="262"/>
      <c r="BI106" s="262"/>
      <c r="BJ106" s="263"/>
      <c r="BK106" s="6"/>
    </row>
    <row r="107" spans="1:63" ht="51.75" customHeight="1" x14ac:dyDescent="0.25">
      <c r="A107" s="5"/>
      <c r="B107" s="23">
        <v>14</v>
      </c>
      <c r="C107" s="22"/>
      <c r="D107" s="24" t="s">
        <v>54</v>
      </c>
      <c r="E107" s="25"/>
      <c r="F107" s="25"/>
      <c r="G107" s="25"/>
      <c r="H107" s="25"/>
      <c r="I107" s="25"/>
      <c r="J107" s="26"/>
      <c r="K107" s="27" t="s">
        <v>101</v>
      </c>
      <c r="L107" s="28"/>
      <c r="M107" s="29"/>
      <c r="N107" s="9" t="s">
        <v>5</v>
      </c>
      <c r="O107" s="9" t="s">
        <v>6</v>
      </c>
      <c r="P107" s="30" t="s">
        <v>5</v>
      </c>
      <c r="Q107" s="21"/>
      <c r="R107" s="21"/>
      <c r="S107" s="22"/>
      <c r="T107" s="30" t="s">
        <v>5</v>
      </c>
      <c r="U107" s="21"/>
      <c r="V107" s="21"/>
      <c r="W107" s="22"/>
      <c r="X107" s="31" t="s">
        <v>152</v>
      </c>
      <c r="Y107" s="32"/>
      <c r="Z107" s="33"/>
      <c r="AA107" s="23" t="s">
        <v>7</v>
      </c>
      <c r="AB107" s="21"/>
      <c r="AC107" s="21"/>
      <c r="AD107" s="21"/>
      <c r="AE107" s="21"/>
      <c r="AF107" s="21"/>
      <c r="AG107" s="21"/>
      <c r="AH107" s="22"/>
      <c r="AI107" s="34" t="s">
        <v>5</v>
      </c>
      <c r="AJ107" s="35"/>
      <c r="AK107" s="35"/>
      <c r="AL107" s="35"/>
      <c r="AM107" s="35"/>
      <c r="AN107" s="35"/>
      <c r="AO107" s="35"/>
      <c r="AP107" s="35"/>
      <c r="AQ107" s="36"/>
      <c r="AR107" s="11" t="s">
        <v>5</v>
      </c>
      <c r="AS107" s="11" t="s">
        <v>7</v>
      </c>
      <c r="AT107" s="11" t="s">
        <v>7</v>
      </c>
      <c r="AU107" s="23" t="s">
        <v>8</v>
      </c>
      <c r="AV107" s="21"/>
      <c r="AW107" s="21"/>
      <c r="AX107" s="22"/>
      <c r="AY107" s="30" t="s">
        <v>105</v>
      </c>
      <c r="AZ107" s="21"/>
      <c r="BA107" s="21"/>
      <c r="BB107" s="22"/>
      <c r="BC107" s="261" t="s">
        <v>7</v>
      </c>
      <c r="BD107" s="262"/>
      <c r="BE107" s="262"/>
      <c r="BF107" s="262"/>
      <c r="BG107" s="262"/>
      <c r="BH107" s="262"/>
      <c r="BI107" s="262"/>
      <c r="BJ107" s="263"/>
      <c r="BK107" s="6"/>
    </row>
    <row r="108" spans="1:63" ht="147.75" customHeight="1" x14ac:dyDescent="0.25">
      <c r="A108" s="5"/>
      <c r="B108" s="23">
        <v>14.1</v>
      </c>
      <c r="C108" s="22"/>
      <c r="D108" s="24" t="s">
        <v>55</v>
      </c>
      <c r="E108" s="25"/>
      <c r="F108" s="25"/>
      <c r="G108" s="25"/>
      <c r="H108" s="25"/>
      <c r="I108" s="25"/>
      <c r="J108" s="26"/>
      <c r="K108" s="27" t="s">
        <v>101</v>
      </c>
      <c r="L108" s="28"/>
      <c r="M108" s="29"/>
      <c r="N108" s="9" t="s">
        <v>3</v>
      </c>
      <c r="O108" s="9" t="s">
        <v>5</v>
      </c>
      <c r="P108" s="30" t="s">
        <v>116</v>
      </c>
      <c r="Q108" s="21"/>
      <c r="R108" s="21"/>
      <c r="S108" s="22"/>
      <c r="T108" s="37" t="s">
        <v>153</v>
      </c>
      <c r="U108" s="21"/>
      <c r="V108" s="21"/>
      <c r="W108" s="22"/>
      <c r="X108" s="31" t="s">
        <v>5</v>
      </c>
      <c r="Y108" s="32"/>
      <c r="Z108" s="33"/>
      <c r="AA108" s="23" t="s">
        <v>7</v>
      </c>
      <c r="AB108" s="21"/>
      <c r="AC108" s="21"/>
      <c r="AD108" s="21"/>
      <c r="AE108" s="21"/>
      <c r="AF108" s="21"/>
      <c r="AG108" s="21"/>
      <c r="AH108" s="22"/>
      <c r="AI108" s="38" t="s">
        <v>105</v>
      </c>
      <c r="AJ108" s="35"/>
      <c r="AK108" s="35"/>
      <c r="AL108" s="35"/>
      <c r="AM108" s="35"/>
      <c r="AN108" s="35"/>
      <c r="AO108" s="35"/>
      <c r="AP108" s="35"/>
      <c r="AQ108" s="36"/>
      <c r="AR108" s="9" t="s">
        <v>6</v>
      </c>
      <c r="AS108" s="11" t="s">
        <v>7</v>
      </c>
      <c r="AT108" s="11" t="s">
        <v>7</v>
      </c>
      <c r="AU108" s="37" t="s">
        <v>149</v>
      </c>
      <c r="AV108" s="21"/>
      <c r="AW108" s="21"/>
      <c r="AX108" s="22"/>
      <c r="AY108" s="20" t="s">
        <v>150</v>
      </c>
      <c r="AZ108" s="21"/>
      <c r="BA108" s="21"/>
      <c r="BB108" s="22"/>
      <c r="BC108" s="270" t="s">
        <v>154</v>
      </c>
      <c r="BD108" s="262"/>
      <c r="BE108" s="262"/>
      <c r="BF108" s="262"/>
      <c r="BG108" s="262"/>
      <c r="BH108" s="262"/>
      <c r="BI108" s="262"/>
      <c r="BJ108" s="263"/>
      <c r="BK108" s="6"/>
    </row>
    <row r="109" spans="1:63" ht="32.25" customHeight="1" x14ac:dyDescent="0.25">
      <c r="A109" s="5"/>
      <c r="B109" s="23">
        <v>15</v>
      </c>
      <c r="C109" s="22"/>
      <c r="D109" s="24" t="s">
        <v>56</v>
      </c>
      <c r="E109" s="25"/>
      <c r="F109" s="25"/>
      <c r="G109" s="25"/>
      <c r="H109" s="25"/>
      <c r="I109" s="25"/>
      <c r="J109" s="26"/>
      <c r="K109" s="27" t="s">
        <v>101</v>
      </c>
      <c r="L109" s="28"/>
      <c r="M109" s="29"/>
      <c r="N109" s="9" t="s">
        <v>5</v>
      </c>
      <c r="O109" s="9" t="s">
        <v>6</v>
      </c>
      <c r="P109" s="30" t="s">
        <v>5</v>
      </c>
      <c r="Q109" s="21"/>
      <c r="R109" s="21"/>
      <c r="S109" s="22"/>
      <c r="T109" s="30" t="s">
        <v>5</v>
      </c>
      <c r="U109" s="21"/>
      <c r="V109" s="21"/>
      <c r="W109" s="22"/>
      <c r="X109" s="31" t="s">
        <v>155</v>
      </c>
      <c r="Y109" s="32"/>
      <c r="Z109" s="33"/>
      <c r="AA109" s="23" t="s">
        <v>7</v>
      </c>
      <c r="AB109" s="21"/>
      <c r="AC109" s="21"/>
      <c r="AD109" s="21"/>
      <c r="AE109" s="21"/>
      <c r="AF109" s="21"/>
      <c r="AG109" s="21"/>
      <c r="AH109" s="22"/>
      <c r="AI109" s="34" t="s">
        <v>5</v>
      </c>
      <c r="AJ109" s="35"/>
      <c r="AK109" s="35"/>
      <c r="AL109" s="35"/>
      <c r="AM109" s="35"/>
      <c r="AN109" s="35"/>
      <c r="AO109" s="35"/>
      <c r="AP109" s="35"/>
      <c r="AQ109" s="36"/>
      <c r="AR109" s="11" t="s">
        <v>5</v>
      </c>
      <c r="AS109" s="11" t="s">
        <v>7</v>
      </c>
      <c r="AT109" s="11" t="s">
        <v>7</v>
      </c>
      <c r="AU109" s="23" t="s">
        <v>8</v>
      </c>
      <c r="AV109" s="21"/>
      <c r="AW109" s="21"/>
      <c r="AX109" s="22"/>
      <c r="AY109" s="30" t="s">
        <v>105</v>
      </c>
      <c r="AZ109" s="21"/>
      <c r="BA109" s="21"/>
      <c r="BB109" s="22"/>
      <c r="BC109" s="261" t="s">
        <v>7</v>
      </c>
      <c r="BD109" s="262"/>
      <c r="BE109" s="262"/>
      <c r="BF109" s="262"/>
      <c r="BG109" s="262"/>
      <c r="BH109" s="262"/>
      <c r="BI109" s="262"/>
      <c r="BJ109" s="263"/>
      <c r="BK109" s="6"/>
    </row>
    <row r="110" spans="1:63" ht="70.5" customHeight="1" x14ac:dyDescent="0.25">
      <c r="A110" s="5"/>
      <c r="B110" s="23">
        <v>15.1</v>
      </c>
      <c r="C110" s="22"/>
      <c r="D110" s="24" t="s">
        <v>57</v>
      </c>
      <c r="E110" s="25"/>
      <c r="F110" s="25"/>
      <c r="G110" s="25"/>
      <c r="H110" s="25"/>
      <c r="I110" s="25"/>
      <c r="J110" s="26"/>
      <c r="K110" s="27" t="s">
        <v>101</v>
      </c>
      <c r="L110" s="28"/>
      <c r="M110" s="29"/>
      <c r="N110" s="9" t="s">
        <v>3</v>
      </c>
      <c r="O110" s="9" t="s">
        <v>5</v>
      </c>
      <c r="P110" s="30" t="s">
        <v>116</v>
      </c>
      <c r="Q110" s="21"/>
      <c r="R110" s="21"/>
      <c r="S110" s="22"/>
      <c r="T110" s="37" t="s">
        <v>156</v>
      </c>
      <c r="U110" s="21"/>
      <c r="V110" s="21"/>
      <c r="W110" s="22"/>
      <c r="X110" s="31" t="s">
        <v>5</v>
      </c>
      <c r="Y110" s="32"/>
      <c r="Z110" s="33"/>
      <c r="AA110" s="23" t="s">
        <v>7</v>
      </c>
      <c r="AB110" s="21"/>
      <c r="AC110" s="21"/>
      <c r="AD110" s="21"/>
      <c r="AE110" s="21"/>
      <c r="AF110" s="21"/>
      <c r="AG110" s="21"/>
      <c r="AH110" s="22"/>
      <c r="AI110" s="38" t="s">
        <v>105</v>
      </c>
      <c r="AJ110" s="35"/>
      <c r="AK110" s="35"/>
      <c r="AL110" s="35"/>
      <c r="AM110" s="35"/>
      <c r="AN110" s="35"/>
      <c r="AO110" s="35"/>
      <c r="AP110" s="35"/>
      <c r="AQ110" s="36"/>
      <c r="AR110" s="9" t="s">
        <v>6</v>
      </c>
      <c r="AS110" s="11" t="s">
        <v>7</v>
      </c>
      <c r="AT110" s="11" t="s">
        <v>7</v>
      </c>
      <c r="AU110" s="37" t="s">
        <v>149</v>
      </c>
      <c r="AV110" s="21"/>
      <c r="AW110" s="21"/>
      <c r="AX110" s="22"/>
      <c r="AY110" s="20" t="s">
        <v>150</v>
      </c>
      <c r="AZ110" s="21"/>
      <c r="BA110" s="21"/>
      <c r="BB110" s="22"/>
      <c r="BC110" s="270" t="s">
        <v>66</v>
      </c>
      <c r="BD110" s="262"/>
      <c r="BE110" s="262"/>
      <c r="BF110" s="262"/>
      <c r="BG110" s="262"/>
      <c r="BH110" s="262"/>
      <c r="BI110" s="262"/>
      <c r="BJ110" s="263"/>
      <c r="BK110" s="6"/>
    </row>
    <row r="111" spans="1:63" ht="32.25" customHeight="1" x14ac:dyDescent="0.25">
      <c r="A111" s="5"/>
      <c r="B111" s="23">
        <v>16</v>
      </c>
      <c r="C111" s="22"/>
      <c r="D111" s="24" t="s">
        <v>58</v>
      </c>
      <c r="E111" s="25"/>
      <c r="F111" s="25"/>
      <c r="G111" s="25"/>
      <c r="H111" s="25"/>
      <c r="I111" s="25"/>
      <c r="J111" s="26"/>
      <c r="K111" s="27" t="s">
        <v>101</v>
      </c>
      <c r="L111" s="28"/>
      <c r="M111" s="29"/>
      <c r="N111" s="9" t="s">
        <v>5</v>
      </c>
      <c r="O111" s="9" t="s">
        <v>6</v>
      </c>
      <c r="P111" s="30" t="s">
        <v>5</v>
      </c>
      <c r="Q111" s="21"/>
      <c r="R111" s="21"/>
      <c r="S111" s="22"/>
      <c r="T111" s="30" t="s">
        <v>5</v>
      </c>
      <c r="U111" s="21"/>
      <c r="V111" s="21"/>
      <c r="W111" s="22"/>
      <c r="X111" s="31" t="s">
        <v>157</v>
      </c>
      <c r="Y111" s="32"/>
      <c r="Z111" s="33"/>
      <c r="AA111" s="23" t="s">
        <v>7</v>
      </c>
      <c r="AB111" s="21"/>
      <c r="AC111" s="21"/>
      <c r="AD111" s="21"/>
      <c r="AE111" s="21"/>
      <c r="AF111" s="21"/>
      <c r="AG111" s="21"/>
      <c r="AH111" s="22"/>
      <c r="AI111" s="34" t="s">
        <v>5</v>
      </c>
      <c r="AJ111" s="35"/>
      <c r="AK111" s="35"/>
      <c r="AL111" s="35"/>
      <c r="AM111" s="35"/>
      <c r="AN111" s="35"/>
      <c r="AO111" s="35"/>
      <c r="AP111" s="35"/>
      <c r="AQ111" s="36"/>
      <c r="AR111" s="11" t="s">
        <v>5</v>
      </c>
      <c r="AS111" s="11" t="s">
        <v>7</v>
      </c>
      <c r="AT111" s="11" t="s">
        <v>7</v>
      </c>
      <c r="AU111" s="23" t="s">
        <v>8</v>
      </c>
      <c r="AV111" s="21"/>
      <c r="AW111" s="21"/>
      <c r="AX111" s="22"/>
      <c r="AY111" s="30" t="s">
        <v>105</v>
      </c>
      <c r="AZ111" s="21"/>
      <c r="BA111" s="21"/>
      <c r="BB111" s="22"/>
      <c r="BC111" s="261" t="s">
        <v>7</v>
      </c>
      <c r="BD111" s="262"/>
      <c r="BE111" s="262"/>
      <c r="BF111" s="262"/>
      <c r="BG111" s="262"/>
      <c r="BH111" s="262"/>
      <c r="BI111" s="262"/>
      <c r="BJ111" s="263"/>
      <c r="BK111" s="6"/>
    </row>
    <row r="112" spans="1:63" ht="147" customHeight="1" x14ac:dyDescent="0.25">
      <c r="A112" s="5"/>
      <c r="B112" s="23">
        <v>16.100000000000001</v>
      </c>
      <c r="C112" s="22"/>
      <c r="D112" s="24" t="s">
        <v>59</v>
      </c>
      <c r="E112" s="25"/>
      <c r="F112" s="25"/>
      <c r="G112" s="25"/>
      <c r="H112" s="25"/>
      <c r="I112" s="25"/>
      <c r="J112" s="26"/>
      <c r="K112" s="27" t="s">
        <v>101</v>
      </c>
      <c r="L112" s="28"/>
      <c r="M112" s="29"/>
      <c r="N112" s="9" t="s">
        <v>11</v>
      </c>
      <c r="O112" s="9" t="s">
        <v>5</v>
      </c>
      <c r="P112" s="30" t="s">
        <v>116</v>
      </c>
      <c r="Q112" s="21"/>
      <c r="R112" s="21"/>
      <c r="S112" s="22"/>
      <c r="T112" s="37" t="s">
        <v>158</v>
      </c>
      <c r="U112" s="21"/>
      <c r="V112" s="21"/>
      <c r="W112" s="22"/>
      <c r="X112" s="31" t="s">
        <v>5</v>
      </c>
      <c r="Y112" s="32"/>
      <c r="Z112" s="33"/>
      <c r="AA112" s="23" t="s">
        <v>7</v>
      </c>
      <c r="AB112" s="21"/>
      <c r="AC112" s="21"/>
      <c r="AD112" s="21"/>
      <c r="AE112" s="21"/>
      <c r="AF112" s="21"/>
      <c r="AG112" s="21"/>
      <c r="AH112" s="22"/>
      <c r="AI112" s="38" t="s">
        <v>105</v>
      </c>
      <c r="AJ112" s="35"/>
      <c r="AK112" s="35"/>
      <c r="AL112" s="35"/>
      <c r="AM112" s="35"/>
      <c r="AN112" s="35"/>
      <c r="AO112" s="35"/>
      <c r="AP112" s="35"/>
      <c r="AQ112" s="36"/>
      <c r="AR112" s="9" t="s">
        <v>6</v>
      </c>
      <c r="AS112" s="11" t="s">
        <v>7</v>
      </c>
      <c r="AT112" s="11" t="s">
        <v>7</v>
      </c>
      <c r="AU112" s="30" t="s">
        <v>121</v>
      </c>
      <c r="AV112" s="21"/>
      <c r="AW112" s="21"/>
      <c r="AX112" s="22"/>
      <c r="AY112" s="20" t="s">
        <v>150</v>
      </c>
      <c r="AZ112" s="21"/>
      <c r="BA112" s="21"/>
      <c r="BB112" s="22"/>
      <c r="BC112" s="270" t="s">
        <v>60</v>
      </c>
      <c r="BD112" s="262"/>
      <c r="BE112" s="262"/>
      <c r="BF112" s="262"/>
      <c r="BG112" s="262"/>
      <c r="BH112" s="262"/>
      <c r="BI112" s="262"/>
      <c r="BJ112" s="263"/>
      <c r="BK112" s="6"/>
    </row>
    <row r="113" spans="1:63" ht="32.25" customHeight="1" x14ac:dyDescent="0.25">
      <c r="A113" s="5"/>
      <c r="B113" s="23">
        <v>17</v>
      </c>
      <c r="C113" s="22"/>
      <c r="D113" s="24" t="s">
        <v>16</v>
      </c>
      <c r="E113" s="25"/>
      <c r="F113" s="25"/>
      <c r="G113" s="25"/>
      <c r="H113" s="25"/>
      <c r="I113" s="25"/>
      <c r="J113" s="26"/>
      <c r="K113" s="27" t="s">
        <v>101</v>
      </c>
      <c r="L113" s="28"/>
      <c r="M113" s="29"/>
      <c r="N113" s="9" t="s">
        <v>5</v>
      </c>
      <c r="O113" s="9" t="s">
        <v>6</v>
      </c>
      <c r="P113" s="30" t="s">
        <v>5</v>
      </c>
      <c r="Q113" s="21"/>
      <c r="R113" s="21"/>
      <c r="S113" s="22"/>
      <c r="T113" s="30" t="s">
        <v>5</v>
      </c>
      <c r="U113" s="21"/>
      <c r="V113" s="21"/>
      <c r="W113" s="22"/>
      <c r="X113" s="31" t="s">
        <v>159</v>
      </c>
      <c r="Y113" s="32"/>
      <c r="Z113" s="33"/>
      <c r="AA113" s="23" t="s">
        <v>7</v>
      </c>
      <c r="AB113" s="21"/>
      <c r="AC113" s="21"/>
      <c r="AD113" s="21"/>
      <c r="AE113" s="21"/>
      <c r="AF113" s="21"/>
      <c r="AG113" s="21"/>
      <c r="AH113" s="22"/>
      <c r="AI113" s="38" t="s">
        <v>105</v>
      </c>
      <c r="AJ113" s="35"/>
      <c r="AK113" s="35"/>
      <c r="AL113" s="35"/>
      <c r="AM113" s="35"/>
      <c r="AN113" s="35"/>
      <c r="AO113" s="35"/>
      <c r="AP113" s="35"/>
      <c r="AQ113" s="36"/>
      <c r="AR113" s="11" t="s">
        <v>5</v>
      </c>
      <c r="AS113" s="11" t="s">
        <v>7</v>
      </c>
      <c r="AT113" s="11" t="s">
        <v>7</v>
      </c>
      <c r="AU113" s="23" t="s">
        <v>8</v>
      </c>
      <c r="AV113" s="21"/>
      <c r="AW113" s="21"/>
      <c r="AX113" s="22"/>
      <c r="AY113" s="30" t="s">
        <v>105</v>
      </c>
      <c r="AZ113" s="21"/>
      <c r="BA113" s="21"/>
      <c r="BB113" s="22"/>
      <c r="BC113" s="261" t="s">
        <v>7</v>
      </c>
      <c r="BD113" s="262"/>
      <c r="BE113" s="262"/>
      <c r="BF113" s="262"/>
      <c r="BG113" s="262"/>
      <c r="BH113" s="262"/>
      <c r="BI113" s="262"/>
      <c r="BJ113" s="263"/>
      <c r="BK113" s="6"/>
    </row>
    <row r="114" spans="1:63" ht="32.25" customHeight="1" x14ac:dyDescent="0.25">
      <c r="A114" s="5"/>
      <c r="B114" s="23">
        <v>17.100000000000001</v>
      </c>
      <c r="C114" s="22"/>
      <c r="D114" s="24" t="s">
        <v>61</v>
      </c>
      <c r="E114" s="25"/>
      <c r="F114" s="25"/>
      <c r="G114" s="25"/>
      <c r="H114" s="25"/>
      <c r="I114" s="25"/>
      <c r="J114" s="26"/>
      <c r="K114" s="27" t="s">
        <v>160</v>
      </c>
      <c r="L114" s="28"/>
      <c r="M114" s="29"/>
      <c r="N114" s="9" t="s">
        <v>10</v>
      </c>
      <c r="O114" s="9" t="s">
        <v>5</v>
      </c>
      <c r="P114" s="30" t="s">
        <v>5</v>
      </c>
      <c r="Q114" s="21"/>
      <c r="R114" s="21"/>
      <c r="S114" s="22"/>
      <c r="T114" s="30" t="s">
        <v>5</v>
      </c>
      <c r="U114" s="21"/>
      <c r="V114" s="21"/>
      <c r="W114" s="22"/>
      <c r="X114" s="31" t="s">
        <v>5</v>
      </c>
      <c r="Y114" s="32"/>
      <c r="Z114" s="33"/>
      <c r="AA114" s="23" t="s">
        <v>7</v>
      </c>
      <c r="AB114" s="21"/>
      <c r="AC114" s="21"/>
      <c r="AD114" s="21"/>
      <c r="AE114" s="21"/>
      <c r="AF114" s="21"/>
      <c r="AG114" s="21"/>
      <c r="AH114" s="22"/>
      <c r="AI114" s="124" t="s">
        <v>62</v>
      </c>
      <c r="AJ114" s="35"/>
      <c r="AK114" s="35"/>
      <c r="AL114" s="35"/>
      <c r="AM114" s="35"/>
      <c r="AN114" s="35"/>
      <c r="AO114" s="35"/>
      <c r="AP114" s="35"/>
      <c r="AQ114" s="36"/>
      <c r="AR114" s="11" t="s">
        <v>5</v>
      </c>
      <c r="AS114" s="11" t="s">
        <v>7</v>
      </c>
      <c r="AT114" s="11" t="s">
        <v>7</v>
      </c>
      <c r="AU114" s="23" t="s">
        <v>8</v>
      </c>
      <c r="AV114" s="21"/>
      <c r="AW114" s="21"/>
      <c r="AX114" s="22"/>
      <c r="AY114" s="30" t="s">
        <v>105</v>
      </c>
      <c r="AZ114" s="21"/>
      <c r="BA114" s="21"/>
      <c r="BB114" s="22"/>
      <c r="BC114" s="261" t="s">
        <v>161</v>
      </c>
      <c r="BD114" s="262"/>
      <c r="BE114" s="262"/>
      <c r="BF114" s="262"/>
      <c r="BG114" s="262"/>
      <c r="BH114" s="262"/>
      <c r="BI114" s="262"/>
      <c r="BJ114" s="263"/>
      <c r="BK114" s="6"/>
    </row>
    <row r="115" spans="1:63" ht="69" customHeight="1" x14ac:dyDescent="0.25">
      <c r="A115" s="5"/>
      <c r="B115" s="23">
        <v>18</v>
      </c>
      <c r="C115" s="22"/>
      <c r="D115" s="24" t="s">
        <v>63</v>
      </c>
      <c r="E115" s="25"/>
      <c r="F115" s="25"/>
      <c r="G115" s="25"/>
      <c r="H115" s="25"/>
      <c r="I115" s="25"/>
      <c r="J115" s="26"/>
      <c r="K115" s="27" t="s">
        <v>106</v>
      </c>
      <c r="L115" s="28"/>
      <c r="M115" s="29"/>
      <c r="N115" s="9" t="s">
        <v>10</v>
      </c>
      <c r="O115" s="9" t="s">
        <v>6</v>
      </c>
      <c r="P115" s="30" t="s">
        <v>5</v>
      </c>
      <c r="Q115" s="21"/>
      <c r="R115" s="21"/>
      <c r="S115" s="22"/>
      <c r="T115" s="30" t="s">
        <v>5</v>
      </c>
      <c r="U115" s="21"/>
      <c r="V115" s="21"/>
      <c r="W115" s="22"/>
      <c r="X115" s="31" t="s">
        <v>162</v>
      </c>
      <c r="Y115" s="32"/>
      <c r="Z115" s="33"/>
      <c r="AA115" s="23" t="s">
        <v>7</v>
      </c>
      <c r="AB115" s="21"/>
      <c r="AC115" s="21"/>
      <c r="AD115" s="21"/>
      <c r="AE115" s="21"/>
      <c r="AF115" s="21"/>
      <c r="AG115" s="21"/>
      <c r="AH115" s="22"/>
      <c r="AI115" s="121" t="s">
        <v>163</v>
      </c>
      <c r="AJ115" s="122"/>
      <c r="AK115" s="122"/>
      <c r="AL115" s="122"/>
      <c r="AM115" s="122"/>
      <c r="AN115" s="122"/>
      <c r="AO115" s="122"/>
      <c r="AP115" s="122"/>
      <c r="AQ115" s="123"/>
      <c r="AR115" s="11" t="s">
        <v>5</v>
      </c>
      <c r="AS115" s="11" t="s">
        <v>7</v>
      </c>
      <c r="AT115" s="11" t="s">
        <v>7</v>
      </c>
      <c r="AU115" s="23" t="s">
        <v>8</v>
      </c>
      <c r="AV115" s="21"/>
      <c r="AW115" s="21"/>
      <c r="AX115" s="22"/>
      <c r="AY115" s="30" t="s">
        <v>105</v>
      </c>
      <c r="AZ115" s="21"/>
      <c r="BA115" s="21"/>
      <c r="BB115" s="22"/>
      <c r="BC115" s="261" t="s">
        <v>164</v>
      </c>
      <c r="BD115" s="262"/>
      <c r="BE115" s="262"/>
      <c r="BF115" s="262"/>
      <c r="BG115" s="262"/>
      <c r="BH115" s="262"/>
      <c r="BI115" s="262"/>
      <c r="BJ115" s="263"/>
      <c r="BK115" s="6"/>
    </row>
    <row r="116" spans="1:63" ht="32.25" customHeight="1" x14ac:dyDescent="0.25">
      <c r="A116" s="5"/>
      <c r="B116" s="23">
        <v>19</v>
      </c>
      <c r="C116" s="22"/>
      <c r="D116" s="24" t="s">
        <v>64</v>
      </c>
      <c r="E116" s="25"/>
      <c r="F116" s="25"/>
      <c r="G116" s="25"/>
      <c r="H116" s="25"/>
      <c r="I116" s="25"/>
      <c r="J116" s="26"/>
      <c r="K116" s="27" t="s">
        <v>106</v>
      </c>
      <c r="L116" s="28"/>
      <c r="M116" s="29"/>
      <c r="N116" s="9" t="s">
        <v>10</v>
      </c>
      <c r="O116" s="9" t="s">
        <v>6</v>
      </c>
      <c r="P116" s="30" t="s">
        <v>5</v>
      </c>
      <c r="Q116" s="21"/>
      <c r="R116" s="21"/>
      <c r="S116" s="22"/>
      <c r="T116" s="30" t="s">
        <v>5</v>
      </c>
      <c r="U116" s="21"/>
      <c r="V116" s="21"/>
      <c r="W116" s="22"/>
      <c r="X116" s="31" t="s">
        <v>165</v>
      </c>
      <c r="Y116" s="32"/>
      <c r="Z116" s="33"/>
      <c r="AA116" s="23" t="s">
        <v>7</v>
      </c>
      <c r="AB116" s="21"/>
      <c r="AC116" s="21"/>
      <c r="AD116" s="21"/>
      <c r="AE116" s="21"/>
      <c r="AF116" s="21"/>
      <c r="AG116" s="21"/>
      <c r="AH116" s="22"/>
      <c r="AI116" s="121" t="s">
        <v>166</v>
      </c>
      <c r="AJ116" s="122"/>
      <c r="AK116" s="122"/>
      <c r="AL116" s="122"/>
      <c r="AM116" s="122"/>
      <c r="AN116" s="122"/>
      <c r="AO116" s="122"/>
      <c r="AP116" s="122"/>
      <c r="AQ116" s="123"/>
      <c r="AR116" s="11" t="s">
        <v>5</v>
      </c>
      <c r="AS116" s="11" t="s">
        <v>7</v>
      </c>
      <c r="AT116" s="11" t="s">
        <v>7</v>
      </c>
      <c r="AU116" s="30" t="s">
        <v>5</v>
      </c>
      <c r="AV116" s="21"/>
      <c r="AW116" s="21"/>
      <c r="AX116" s="22"/>
      <c r="AY116" s="30" t="s">
        <v>105</v>
      </c>
      <c r="AZ116" s="21"/>
      <c r="BA116" s="21"/>
      <c r="BB116" s="22"/>
      <c r="BC116" s="261" t="s">
        <v>167</v>
      </c>
      <c r="BD116" s="262"/>
      <c r="BE116" s="262"/>
      <c r="BF116" s="262"/>
      <c r="BG116" s="262"/>
      <c r="BH116" s="262"/>
      <c r="BI116" s="262"/>
      <c r="BJ116" s="263"/>
      <c r="BK116" s="6"/>
    </row>
    <row r="117" spans="1:63" ht="102.75" customHeight="1" x14ac:dyDescent="0.25">
      <c r="A117" s="5"/>
      <c r="B117" s="125">
        <v>20</v>
      </c>
      <c r="C117" s="126"/>
      <c r="D117" s="127" t="s">
        <v>65</v>
      </c>
      <c r="E117" s="128"/>
      <c r="F117" s="128"/>
      <c r="G117" s="128"/>
      <c r="H117" s="128"/>
      <c r="I117" s="128"/>
      <c r="J117" s="129"/>
      <c r="K117" s="130" t="s">
        <v>106</v>
      </c>
      <c r="L117" s="131"/>
      <c r="M117" s="132"/>
      <c r="N117" s="12" t="s">
        <v>10</v>
      </c>
      <c r="O117" s="12" t="s">
        <v>6</v>
      </c>
      <c r="P117" s="133" t="s">
        <v>5</v>
      </c>
      <c r="Q117" s="134"/>
      <c r="R117" s="134"/>
      <c r="S117" s="126"/>
      <c r="T117" s="133" t="s">
        <v>5</v>
      </c>
      <c r="U117" s="134"/>
      <c r="V117" s="134"/>
      <c r="W117" s="126"/>
      <c r="X117" s="135" t="s">
        <v>168</v>
      </c>
      <c r="Y117" s="136"/>
      <c r="Z117" s="137"/>
      <c r="AA117" s="125" t="s">
        <v>7</v>
      </c>
      <c r="AB117" s="134"/>
      <c r="AC117" s="134"/>
      <c r="AD117" s="134"/>
      <c r="AE117" s="134"/>
      <c r="AF117" s="134"/>
      <c r="AG117" s="134"/>
      <c r="AH117" s="126"/>
      <c r="AI117" s="278" t="s">
        <v>169</v>
      </c>
      <c r="AJ117" s="279"/>
      <c r="AK117" s="279"/>
      <c r="AL117" s="279"/>
      <c r="AM117" s="279"/>
      <c r="AN117" s="279"/>
      <c r="AO117" s="279"/>
      <c r="AP117" s="279"/>
      <c r="AQ117" s="280"/>
      <c r="AR117" s="13" t="s">
        <v>5</v>
      </c>
      <c r="AS117" s="13" t="s">
        <v>7</v>
      </c>
      <c r="AT117" s="13" t="s">
        <v>7</v>
      </c>
      <c r="AU117" s="133" t="s">
        <v>5</v>
      </c>
      <c r="AV117" s="134"/>
      <c r="AW117" s="134"/>
      <c r="AX117" s="126"/>
      <c r="AY117" s="133" t="s">
        <v>105</v>
      </c>
      <c r="AZ117" s="134"/>
      <c r="BA117" s="134"/>
      <c r="BB117" s="126"/>
      <c r="BC117" s="281" t="s">
        <v>170</v>
      </c>
      <c r="BD117" s="282"/>
      <c r="BE117" s="282"/>
      <c r="BF117" s="282"/>
      <c r="BG117" s="282"/>
      <c r="BH117" s="282"/>
      <c r="BI117" s="282"/>
      <c r="BJ117" s="283"/>
      <c r="BK117" s="6"/>
    </row>
    <row r="118" spans="1:63" x14ac:dyDescent="0.25">
      <c r="A118" s="5"/>
      <c r="BK118" s="6"/>
    </row>
  </sheetData>
  <mergeCells count="414">
    <mergeCell ref="AY116:BB116"/>
    <mergeCell ref="BC116:BJ116"/>
    <mergeCell ref="B117:C117"/>
    <mergeCell ref="D117:J117"/>
    <mergeCell ref="K117:M117"/>
    <mergeCell ref="P117:S117"/>
    <mergeCell ref="T117:W117"/>
    <mergeCell ref="X117:Z117"/>
    <mergeCell ref="AA117:AH117"/>
    <mergeCell ref="AI117:AQ117"/>
    <mergeCell ref="AU117:AX117"/>
    <mergeCell ref="AY117:BB117"/>
    <mergeCell ref="BC117:BJ117"/>
    <mergeCell ref="B116:C116"/>
    <mergeCell ref="D116:J116"/>
    <mergeCell ref="K116:M116"/>
    <mergeCell ref="P116:S116"/>
    <mergeCell ref="T116:W116"/>
    <mergeCell ref="X116:Z116"/>
    <mergeCell ref="AA116:AH116"/>
    <mergeCell ref="AI116:AQ116"/>
    <mergeCell ref="AU116:AX116"/>
    <mergeCell ref="AY114:BB114"/>
    <mergeCell ref="BC114:BJ114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BC115:BJ115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2:BB112"/>
    <mergeCell ref="BC112:BJ112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AY113:BB113"/>
    <mergeCell ref="BC113:BJ113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Y110:BB110"/>
    <mergeCell ref="BC110:BJ110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11:BB111"/>
    <mergeCell ref="BC111:BJ111"/>
    <mergeCell ref="B110:C110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B84:C84"/>
    <mergeCell ref="D84:J84"/>
    <mergeCell ref="K84:M84"/>
    <mergeCell ref="P84:S84"/>
    <mergeCell ref="T84:W84"/>
    <mergeCell ref="P81:AQ81"/>
    <mergeCell ref="AR81:BB81"/>
    <mergeCell ref="BC81:BJ83"/>
    <mergeCell ref="P82:W82"/>
    <mergeCell ref="X82:Z83"/>
    <mergeCell ref="AA82:AH83"/>
    <mergeCell ref="AI82:AQ83"/>
    <mergeCell ref="AR82:AR83"/>
    <mergeCell ref="AS82:AS83"/>
    <mergeCell ref="AT82:AT83"/>
    <mergeCell ref="X84:Z84"/>
    <mergeCell ref="AA84:AH84"/>
    <mergeCell ref="AI84:AQ84"/>
    <mergeCell ref="AU84:AX84"/>
    <mergeCell ref="AY84:BB84"/>
    <mergeCell ref="BC84:BJ84"/>
    <mergeCell ref="AU82:BB82"/>
    <mergeCell ref="P83:S83"/>
    <mergeCell ref="T83:W83"/>
    <mergeCell ref="A4:G4"/>
    <mergeCell ref="H4:T4"/>
    <mergeCell ref="U4:Y4"/>
    <mergeCell ref="Z4:AO4"/>
    <mergeCell ref="AP4:BK4"/>
    <mergeCell ref="B81:C83"/>
    <mergeCell ref="D81:J83"/>
    <mergeCell ref="K81:M83"/>
    <mergeCell ref="N81:N83"/>
    <mergeCell ref="O81:O83"/>
    <mergeCell ref="AU83:AX83"/>
    <mergeCell ref="AY83:BB8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91:BB91"/>
    <mergeCell ref="BC91:BJ91"/>
    <mergeCell ref="AY92:BB92"/>
    <mergeCell ref="BC92:BJ92"/>
    <mergeCell ref="AY93:BB93"/>
    <mergeCell ref="BC93:BJ93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109:BB109"/>
    <mergeCell ref="BC109:BJ109"/>
    <mergeCell ref="B109:C109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9:BB89"/>
    <mergeCell ref="BC88:BJ88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C89:BJ89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95:BB95"/>
    <mergeCell ref="BC95:BJ95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108:BB108"/>
    <mergeCell ref="BC108:BJ108"/>
    <mergeCell ref="B108:C108"/>
    <mergeCell ref="D108:J108"/>
    <mergeCell ref="K108:M108"/>
    <mergeCell ref="P108:S108"/>
    <mergeCell ref="T108:W108"/>
    <mergeCell ref="X108:Z108"/>
    <mergeCell ref="AA108:AH108"/>
    <mergeCell ref="AI108:AQ108"/>
    <mergeCell ref="AU108:AX108"/>
    <mergeCell ref="AY96:BB96"/>
    <mergeCell ref="BC96:BJ96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7:BB97"/>
    <mergeCell ref="BC97:BJ97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8:BB98"/>
    <mergeCell ref="BC98:BJ98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99:BB99"/>
    <mergeCell ref="BC99:BJ99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100:BB100"/>
    <mergeCell ref="BC100:BJ100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101:BB101"/>
    <mergeCell ref="BC101:BJ101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102:BB102"/>
    <mergeCell ref="BC102:BJ102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3:BB103"/>
    <mergeCell ref="BC103:BJ103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AY104:BB104"/>
    <mergeCell ref="BC104:BJ104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AY105:BB105"/>
    <mergeCell ref="BC105:BJ105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6:BB106"/>
    <mergeCell ref="BC106:BJ106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107:BB107"/>
    <mergeCell ref="BC107:BJ107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</mergeCells>
  <dataValidations count="2">
    <dataValidation type="list" allowBlank="1" showInputMessage="1" showErrorMessage="1" sqref="AR89:AT89 AR91:AT91 AR93:AT93 AR95:AR98 AR100 AR106 AR108 AR110 AR112 O84:O117 N104" xr:uid="{00000000-0002-0000-0200-000000000000}">
      <formula1>"－,●"</formula1>
    </dataValidation>
    <dataValidation type="list" allowBlank="1" showInputMessage="1" showErrorMessage="1" sqref="N84:N103 N105:N117" xr:uid="{00000000-0002-0000-0200-000001000000}">
      <formula1>"ー,I,O,I/O"</formula1>
    </dataValidation>
  </dataValidations>
  <pageMargins left="0.7" right="0.7" top="0.75" bottom="0.75" header="0.3" footer="0.3"/>
  <pageSetup scale="1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EDB8-EB97-4849-8FBB-A58CC735D313}">
  <sheetPr>
    <pageSetUpPr fitToPage="1"/>
  </sheetPr>
  <dimension ref="A1:BK6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45" t="s">
        <v>67</v>
      </c>
      <c r="B1" s="246"/>
      <c r="C1" s="246"/>
      <c r="D1" s="246"/>
      <c r="E1" s="246"/>
      <c r="F1" s="246"/>
      <c r="G1" s="246"/>
      <c r="H1" s="246"/>
      <c r="I1" s="246"/>
      <c r="J1" s="247"/>
      <c r="K1" s="245" t="s">
        <v>68</v>
      </c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W1" s="248" t="str">
        <f>IF(表紙!W1="","",表紙!W1)</f>
        <v>詳細設計書</v>
      </c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50"/>
      <c r="AP1" s="155" t="s">
        <v>70</v>
      </c>
      <c r="AQ1" s="156"/>
      <c r="AR1" s="156"/>
      <c r="AS1" s="157"/>
      <c r="AT1" s="155" t="s">
        <v>71</v>
      </c>
      <c r="AU1" s="156"/>
      <c r="AV1" s="156"/>
      <c r="AW1" s="156"/>
      <c r="AX1" s="157"/>
      <c r="AY1" s="155" t="s">
        <v>72</v>
      </c>
      <c r="AZ1" s="156"/>
      <c r="BA1" s="156"/>
      <c r="BB1" s="157"/>
      <c r="BC1" s="155" t="s">
        <v>73</v>
      </c>
      <c r="BD1" s="156"/>
      <c r="BE1" s="156"/>
      <c r="BF1" s="156"/>
      <c r="BG1" s="157"/>
      <c r="BH1" s="155" t="s">
        <v>74</v>
      </c>
      <c r="BI1" s="156"/>
      <c r="BJ1" s="156"/>
      <c r="BK1" s="157"/>
    </row>
    <row r="2" spans="1:63" ht="15" customHeight="1" x14ac:dyDescent="0.25">
      <c r="A2" s="48" t="str">
        <f>IF(表紙!A2="","",表紙!A2)</f>
        <v>POSサーバー</v>
      </c>
      <c r="B2" s="49"/>
      <c r="C2" s="49"/>
      <c r="D2" s="49"/>
      <c r="E2" s="49"/>
      <c r="F2" s="49"/>
      <c r="G2" s="49"/>
      <c r="H2" s="49"/>
      <c r="I2" s="49"/>
      <c r="J2" s="50"/>
      <c r="K2" s="48" t="str">
        <f>IF(表紙!K2="","",表紙!K2)</f>
        <v>POSサーバ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45644</v>
      </c>
      <c r="AU2" s="169"/>
      <c r="AV2" s="169"/>
      <c r="AW2" s="169"/>
      <c r="AX2" s="170"/>
      <c r="AY2" s="164" t="str">
        <f>IF(表紙!AY2="","",表紙!AY2)</f>
        <v>TuyenNH</v>
      </c>
      <c r="AZ2" s="162"/>
      <c r="BA2" s="162"/>
      <c r="BB2" s="163"/>
      <c r="BC2" s="168">
        <f>IF(表紙!BC2="","",表紙!BC2)</f>
        <v>45644</v>
      </c>
      <c r="BD2" s="169"/>
      <c r="BE2" s="169"/>
      <c r="BF2" s="169"/>
      <c r="BG2" s="170"/>
      <c r="BH2" s="164">
        <f>IF(表紙!BH2="","",表紙!BH2)</f>
        <v>0.1</v>
      </c>
      <c r="BI2" s="162"/>
      <c r="BJ2" s="162"/>
      <c r="BK2" s="163"/>
    </row>
    <row r="3" spans="1:63" ht="15" customHeight="1" x14ac:dyDescent="0.25">
      <c r="A3" s="51"/>
      <c r="B3" s="52"/>
      <c r="C3" s="52"/>
      <c r="D3" s="52"/>
      <c r="E3" s="52"/>
      <c r="F3" s="52"/>
      <c r="G3" s="52"/>
      <c r="H3" s="52"/>
      <c r="I3" s="52"/>
      <c r="J3" s="53"/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254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6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45" t="s">
        <v>76</v>
      </c>
      <c r="B4" s="246"/>
      <c r="C4" s="246"/>
      <c r="D4" s="246"/>
      <c r="E4" s="246"/>
      <c r="F4" s="246"/>
      <c r="G4" s="247"/>
      <c r="H4" s="54" t="str">
        <f>IF(表紙!H4="","",表紙!H4)</f>
        <v>08_カテゴリ値引／割引設定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245" t="s">
        <v>77</v>
      </c>
      <c r="V4" s="246"/>
      <c r="W4" s="246"/>
      <c r="X4" s="246"/>
      <c r="Y4" s="247"/>
      <c r="Z4" s="57" t="str">
        <f>IF(表紙!Z4="","",表紙!Z4)</f>
        <v>画面設計書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MD0801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171</v>
      </c>
      <c r="C7" s="257"/>
      <c r="D7" s="257"/>
      <c r="E7" s="257"/>
      <c r="F7" s="257"/>
      <c r="G7" s="257"/>
      <c r="H7" s="257"/>
      <c r="I7" s="257"/>
      <c r="J7" s="257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x14ac:dyDescent="0.25">
      <c r="A40" s="5"/>
      <c r="BK40" s="6"/>
    </row>
    <row r="41" spans="1:63" ht="15" customHeight="1" x14ac:dyDescent="0.25">
      <c r="A41" s="5"/>
      <c r="B41" s="7" t="s">
        <v>86</v>
      </c>
      <c r="BK41" s="6"/>
    </row>
    <row r="42" spans="1:63" x14ac:dyDescent="0.25">
      <c r="A42" s="5"/>
      <c r="BK42" s="6"/>
    </row>
    <row r="43" spans="1:63" ht="15.75" customHeight="1" x14ac:dyDescent="0.25">
      <c r="A43" s="5"/>
      <c r="B43" s="61" t="s">
        <v>87</v>
      </c>
      <c r="C43" s="62"/>
      <c r="D43" s="67" t="s">
        <v>88</v>
      </c>
      <c r="E43" s="68"/>
      <c r="F43" s="68"/>
      <c r="G43" s="68"/>
      <c r="H43" s="68"/>
      <c r="I43" s="68"/>
      <c r="J43" s="62"/>
      <c r="K43" s="67" t="s">
        <v>89</v>
      </c>
      <c r="L43" s="68"/>
      <c r="M43" s="62"/>
      <c r="N43" s="71" t="s">
        <v>3</v>
      </c>
      <c r="O43" s="74" t="s">
        <v>90</v>
      </c>
      <c r="P43" s="88" t="s">
        <v>91</v>
      </c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90"/>
      <c r="AR43" s="77" t="s">
        <v>92</v>
      </c>
      <c r="AS43" s="78"/>
      <c r="AT43" s="78"/>
      <c r="AU43" s="78"/>
      <c r="AV43" s="78"/>
      <c r="AW43" s="78"/>
      <c r="AX43" s="78"/>
      <c r="AY43" s="78"/>
      <c r="AZ43" s="78"/>
      <c r="BA43" s="78"/>
      <c r="BB43" s="81"/>
      <c r="BC43" s="91" t="s">
        <v>93</v>
      </c>
      <c r="BD43" s="92"/>
      <c r="BE43" s="92"/>
      <c r="BF43" s="92"/>
      <c r="BG43" s="92"/>
      <c r="BH43" s="92"/>
      <c r="BI43" s="92"/>
      <c r="BJ43" s="93"/>
      <c r="BK43" s="6"/>
    </row>
    <row r="44" spans="1:63" ht="15.75" customHeight="1" x14ac:dyDescent="0.25">
      <c r="A44" s="5"/>
      <c r="B44" s="63"/>
      <c r="C44" s="64"/>
      <c r="D44" s="63"/>
      <c r="E44" s="69"/>
      <c r="F44" s="69"/>
      <c r="G44" s="69"/>
      <c r="H44" s="69"/>
      <c r="I44" s="69"/>
      <c r="J44" s="64"/>
      <c r="K44" s="63"/>
      <c r="L44" s="69"/>
      <c r="M44" s="64"/>
      <c r="N44" s="72"/>
      <c r="O44" s="75"/>
      <c r="P44" s="100" t="s">
        <v>94</v>
      </c>
      <c r="Q44" s="101"/>
      <c r="R44" s="101"/>
      <c r="S44" s="101"/>
      <c r="T44" s="101"/>
      <c r="U44" s="101"/>
      <c r="V44" s="101"/>
      <c r="W44" s="102"/>
      <c r="X44" s="103" t="s">
        <v>95</v>
      </c>
      <c r="Y44" s="104"/>
      <c r="Z44" s="105"/>
      <c r="AA44" s="103" t="s">
        <v>96</v>
      </c>
      <c r="AB44" s="104"/>
      <c r="AC44" s="104"/>
      <c r="AD44" s="104"/>
      <c r="AE44" s="104"/>
      <c r="AF44" s="104"/>
      <c r="AG44" s="104"/>
      <c r="AH44" s="105"/>
      <c r="AI44" s="103" t="s">
        <v>97</v>
      </c>
      <c r="AJ44" s="104"/>
      <c r="AK44" s="104"/>
      <c r="AL44" s="104"/>
      <c r="AM44" s="104"/>
      <c r="AN44" s="104"/>
      <c r="AO44" s="104"/>
      <c r="AP44" s="104"/>
      <c r="AQ44" s="105"/>
      <c r="AR44" s="109" t="s">
        <v>4</v>
      </c>
      <c r="AS44" s="111" t="s">
        <v>98</v>
      </c>
      <c r="AT44" s="113" t="s">
        <v>99</v>
      </c>
      <c r="AU44" s="77" t="s">
        <v>94</v>
      </c>
      <c r="AV44" s="78"/>
      <c r="AW44" s="78"/>
      <c r="AX44" s="78"/>
      <c r="AY44" s="78"/>
      <c r="AZ44" s="78"/>
      <c r="BA44" s="78"/>
      <c r="BB44" s="81"/>
      <c r="BC44" s="94"/>
      <c r="BD44" s="95"/>
      <c r="BE44" s="95"/>
      <c r="BF44" s="95"/>
      <c r="BG44" s="95"/>
      <c r="BH44" s="95"/>
      <c r="BI44" s="95"/>
      <c r="BJ44" s="96"/>
      <c r="BK44" s="6"/>
    </row>
    <row r="45" spans="1:63" x14ac:dyDescent="0.25">
      <c r="A45" s="5"/>
      <c r="B45" s="65"/>
      <c r="C45" s="66"/>
      <c r="D45" s="65"/>
      <c r="E45" s="70"/>
      <c r="F45" s="70"/>
      <c r="G45" s="70"/>
      <c r="H45" s="70"/>
      <c r="I45" s="70"/>
      <c r="J45" s="66"/>
      <c r="K45" s="65"/>
      <c r="L45" s="70"/>
      <c r="M45" s="66"/>
      <c r="N45" s="73"/>
      <c r="O45" s="76"/>
      <c r="P45" s="88" t="s">
        <v>100</v>
      </c>
      <c r="Q45" s="89"/>
      <c r="R45" s="89"/>
      <c r="S45" s="90"/>
      <c r="T45" s="88" t="s">
        <v>88</v>
      </c>
      <c r="U45" s="89"/>
      <c r="V45" s="89"/>
      <c r="W45" s="90"/>
      <c r="X45" s="106"/>
      <c r="Y45" s="107"/>
      <c r="Z45" s="108"/>
      <c r="AA45" s="106"/>
      <c r="AB45" s="107"/>
      <c r="AC45" s="107"/>
      <c r="AD45" s="107"/>
      <c r="AE45" s="107"/>
      <c r="AF45" s="107"/>
      <c r="AG45" s="107"/>
      <c r="AH45" s="108"/>
      <c r="AI45" s="106"/>
      <c r="AJ45" s="107"/>
      <c r="AK45" s="107"/>
      <c r="AL45" s="107"/>
      <c r="AM45" s="107"/>
      <c r="AN45" s="107"/>
      <c r="AO45" s="107"/>
      <c r="AP45" s="107"/>
      <c r="AQ45" s="108"/>
      <c r="AR45" s="110"/>
      <c r="AS45" s="112"/>
      <c r="AT45" s="114"/>
      <c r="AU45" s="77" t="s">
        <v>100</v>
      </c>
      <c r="AV45" s="78"/>
      <c r="AW45" s="78"/>
      <c r="AX45" s="79"/>
      <c r="AY45" s="80" t="s">
        <v>88</v>
      </c>
      <c r="AZ45" s="78"/>
      <c r="BA45" s="78"/>
      <c r="BB45" s="81"/>
      <c r="BC45" s="97"/>
      <c r="BD45" s="98"/>
      <c r="BE45" s="98"/>
      <c r="BF45" s="98"/>
      <c r="BG45" s="98"/>
      <c r="BH45" s="98"/>
      <c r="BI45" s="98"/>
      <c r="BJ45" s="99"/>
      <c r="BK45" s="6"/>
    </row>
    <row r="46" spans="1:63" x14ac:dyDescent="0.25">
      <c r="A46" s="5"/>
      <c r="B46" s="82">
        <v>0</v>
      </c>
      <c r="C46" s="83"/>
      <c r="D46" s="84" t="s">
        <v>9</v>
      </c>
      <c r="E46" s="85"/>
      <c r="F46" s="85"/>
      <c r="G46" s="85"/>
      <c r="H46" s="85"/>
      <c r="I46" s="85"/>
      <c r="J46" s="86"/>
      <c r="K46" s="27" t="s">
        <v>101</v>
      </c>
      <c r="L46" s="28"/>
      <c r="M46" s="29"/>
      <c r="N46" s="8" t="s">
        <v>5</v>
      </c>
      <c r="O46" s="9" t="s">
        <v>6</v>
      </c>
      <c r="P46" s="138" t="s">
        <v>5</v>
      </c>
      <c r="Q46" s="139"/>
      <c r="R46" s="139"/>
      <c r="S46" s="83"/>
      <c r="T46" s="138" t="s">
        <v>5</v>
      </c>
      <c r="U46" s="139"/>
      <c r="V46" s="139"/>
      <c r="W46" s="83"/>
      <c r="X46" s="140" t="s">
        <v>104</v>
      </c>
      <c r="Y46" s="141"/>
      <c r="Z46" s="142"/>
      <c r="AA46" s="82" t="s">
        <v>7</v>
      </c>
      <c r="AB46" s="139"/>
      <c r="AC46" s="139"/>
      <c r="AD46" s="139"/>
      <c r="AE46" s="139"/>
      <c r="AF46" s="139"/>
      <c r="AG46" s="139"/>
      <c r="AH46" s="83"/>
      <c r="AI46" s="143" t="s">
        <v>5</v>
      </c>
      <c r="AJ46" s="144"/>
      <c r="AK46" s="144"/>
      <c r="AL46" s="144"/>
      <c r="AM46" s="144"/>
      <c r="AN46" s="144"/>
      <c r="AO46" s="144"/>
      <c r="AP46" s="144"/>
      <c r="AQ46" s="145"/>
      <c r="AR46" s="10" t="s">
        <v>5</v>
      </c>
      <c r="AS46" s="10" t="s">
        <v>7</v>
      </c>
      <c r="AT46" s="10" t="s">
        <v>7</v>
      </c>
      <c r="AU46" s="82" t="s">
        <v>8</v>
      </c>
      <c r="AV46" s="139"/>
      <c r="AW46" s="139"/>
      <c r="AX46" s="83"/>
      <c r="AY46" s="82" t="s">
        <v>7</v>
      </c>
      <c r="AZ46" s="139"/>
      <c r="BA46" s="139"/>
      <c r="BB46" s="83"/>
      <c r="BC46" s="284" t="s">
        <v>172</v>
      </c>
      <c r="BD46" s="285"/>
      <c r="BE46" s="285"/>
      <c r="BF46" s="285"/>
      <c r="BG46" s="285"/>
      <c r="BH46" s="285"/>
      <c r="BI46" s="285"/>
      <c r="BJ46" s="286"/>
      <c r="BK46" s="6"/>
    </row>
    <row r="47" spans="1:63" x14ac:dyDescent="0.25">
      <c r="A47" s="5"/>
      <c r="B47" s="23">
        <f>B46+1</f>
        <v>1</v>
      </c>
      <c r="C47" s="22"/>
      <c r="D47" s="42" t="s">
        <v>16</v>
      </c>
      <c r="E47" s="43"/>
      <c r="F47" s="43"/>
      <c r="G47" s="43"/>
      <c r="H47" s="43"/>
      <c r="I47" s="43"/>
      <c r="J47" s="44"/>
      <c r="K47" s="27" t="s">
        <v>101</v>
      </c>
      <c r="L47" s="28"/>
      <c r="M47" s="29"/>
      <c r="N47" s="14" t="s">
        <v>5</v>
      </c>
      <c r="O47" s="9" t="s">
        <v>6</v>
      </c>
      <c r="P47" s="23" t="s">
        <v>8</v>
      </c>
      <c r="Q47" s="21"/>
      <c r="R47" s="21"/>
      <c r="S47" s="22"/>
      <c r="T47" s="23" t="s">
        <v>8</v>
      </c>
      <c r="U47" s="21"/>
      <c r="V47" s="21"/>
      <c r="W47" s="22"/>
      <c r="X47" s="45" t="s">
        <v>159</v>
      </c>
      <c r="Y47" s="46"/>
      <c r="Z47" s="47"/>
      <c r="AA47" s="23" t="s">
        <v>7</v>
      </c>
      <c r="AB47" s="21"/>
      <c r="AC47" s="21"/>
      <c r="AD47" s="21"/>
      <c r="AE47" s="21"/>
      <c r="AF47" s="21"/>
      <c r="AG47" s="21"/>
      <c r="AH47" s="22"/>
      <c r="AI47" s="34" t="s">
        <v>7</v>
      </c>
      <c r="AJ47" s="35"/>
      <c r="AK47" s="35"/>
      <c r="AL47" s="35"/>
      <c r="AM47" s="35"/>
      <c r="AN47" s="35"/>
      <c r="AO47" s="35"/>
      <c r="AP47" s="35"/>
      <c r="AQ47" s="36"/>
      <c r="AR47" s="11" t="s">
        <v>5</v>
      </c>
      <c r="AS47" s="11" t="s">
        <v>7</v>
      </c>
      <c r="AT47" s="11" t="s">
        <v>7</v>
      </c>
      <c r="AU47" s="23" t="s">
        <v>8</v>
      </c>
      <c r="AV47" s="21"/>
      <c r="AW47" s="21"/>
      <c r="AX47" s="22"/>
      <c r="AY47" s="23" t="s">
        <v>7</v>
      </c>
      <c r="AZ47" s="21"/>
      <c r="BA47" s="21"/>
      <c r="BB47" s="22"/>
      <c r="BC47" s="261"/>
      <c r="BD47" s="262"/>
      <c r="BE47" s="262"/>
      <c r="BF47" s="262"/>
      <c r="BG47" s="262"/>
      <c r="BH47" s="262"/>
      <c r="BI47" s="262"/>
      <c r="BJ47" s="263"/>
      <c r="BK47" s="6"/>
    </row>
    <row r="48" spans="1:63" ht="15.75" customHeight="1" x14ac:dyDescent="0.25">
      <c r="A48" s="5"/>
      <c r="B48" s="23">
        <v>1.1000000000000001</v>
      </c>
      <c r="C48" s="22"/>
      <c r="D48" s="42" t="s">
        <v>17</v>
      </c>
      <c r="E48" s="43"/>
      <c r="F48" s="43"/>
      <c r="G48" s="43"/>
      <c r="H48" s="43"/>
      <c r="I48" s="43"/>
      <c r="J48" s="44"/>
      <c r="K48" s="27" t="s">
        <v>106</v>
      </c>
      <c r="L48" s="28"/>
      <c r="M48" s="29"/>
      <c r="N48" s="14" t="s">
        <v>5</v>
      </c>
      <c r="O48" s="9" t="s">
        <v>6</v>
      </c>
      <c r="P48" s="23" t="s">
        <v>8</v>
      </c>
      <c r="Q48" s="21"/>
      <c r="R48" s="21"/>
      <c r="S48" s="22"/>
      <c r="T48" s="23" t="s">
        <v>8</v>
      </c>
      <c r="U48" s="21"/>
      <c r="V48" s="21"/>
      <c r="W48" s="22"/>
      <c r="X48" s="45" t="s">
        <v>159</v>
      </c>
      <c r="Y48" s="46"/>
      <c r="Z48" s="47"/>
      <c r="AA48" s="23" t="s">
        <v>7</v>
      </c>
      <c r="AB48" s="21"/>
      <c r="AC48" s="21"/>
      <c r="AD48" s="21"/>
      <c r="AE48" s="21"/>
      <c r="AF48" s="21"/>
      <c r="AG48" s="21"/>
      <c r="AH48" s="22"/>
      <c r="AI48" s="146" t="s">
        <v>173</v>
      </c>
      <c r="AJ48" s="35"/>
      <c r="AK48" s="35"/>
      <c r="AL48" s="35"/>
      <c r="AM48" s="35"/>
      <c r="AN48" s="35"/>
      <c r="AO48" s="35"/>
      <c r="AP48" s="35"/>
      <c r="AQ48" s="36"/>
      <c r="AR48" s="11" t="s">
        <v>5</v>
      </c>
      <c r="AS48" s="11" t="s">
        <v>7</v>
      </c>
      <c r="AT48" s="11" t="s">
        <v>7</v>
      </c>
      <c r="AU48" s="23" t="s">
        <v>8</v>
      </c>
      <c r="AV48" s="21"/>
      <c r="AW48" s="21"/>
      <c r="AX48" s="22"/>
      <c r="AY48" s="23" t="s">
        <v>7</v>
      </c>
      <c r="AZ48" s="21"/>
      <c r="BA48" s="21"/>
      <c r="BB48" s="22"/>
      <c r="BC48" s="287" t="s">
        <v>174</v>
      </c>
      <c r="BD48" s="276"/>
      <c r="BE48" s="276"/>
      <c r="BF48" s="276"/>
      <c r="BG48" s="276"/>
      <c r="BH48" s="276"/>
      <c r="BI48" s="276"/>
      <c r="BJ48" s="277"/>
      <c r="BK48" s="6"/>
    </row>
    <row r="49" spans="1:63" x14ac:dyDescent="0.25">
      <c r="A49" s="5"/>
      <c r="B49" s="23">
        <v>2</v>
      </c>
      <c r="C49" s="22"/>
      <c r="D49" s="42" t="s">
        <v>18</v>
      </c>
      <c r="E49" s="43"/>
      <c r="F49" s="43"/>
      <c r="G49" s="43"/>
      <c r="H49" s="43"/>
      <c r="I49" s="43"/>
      <c r="J49" s="44"/>
      <c r="K49" s="27" t="s">
        <v>101</v>
      </c>
      <c r="L49" s="28"/>
      <c r="M49" s="29"/>
      <c r="N49" s="14" t="s">
        <v>5</v>
      </c>
      <c r="O49" s="9" t="s">
        <v>6</v>
      </c>
      <c r="P49" s="23" t="s">
        <v>8</v>
      </c>
      <c r="Q49" s="21"/>
      <c r="R49" s="21"/>
      <c r="S49" s="22"/>
      <c r="T49" s="30" t="s">
        <v>5</v>
      </c>
      <c r="U49" s="21"/>
      <c r="V49" s="21"/>
      <c r="W49" s="22"/>
      <c r="X49" s="41" t="s">
        <v>20</v>
      </c>
      <c r="Y49" s="21"/>
      <c r="Z49" s="22"/>
      <c r="AA49" s="30" t="s">
        <v>105</v>
      </c>
      <c r="AB49" s="21"/>
      <c r="AC49" s="21"/>
      <c r="AD49" s="21"/>
      <c r="AE49" s="21"/>
      <c r="AF49" s="21"/>
      <c r="AG49" s="21"/>
      <c r="AH49" s="22"/>
      <c r="AI49" s="34" t="s">
        <v>7</v>
      </c>
      <c r="AJ49" s="35"/>
      <c r="AK49" s="35"/>
      <c r="AL49" s="35"/>
      <c r="AM49" s="35"/>
      <c r="AN49" s="35"/>
      <c r="AO49" s="35"/>
      <c r="AP49" s="35"/>
      <c r="AQ49" s="36"/>
      <c r="AR49" s="11" t="s">
        <v>5</v>
      </c>
      <c r="AS49" s="11" t="s">
        <v>7</v>
      </c>
      <c r="AT49" s="11" t="s">
        <v>7</v>
      </c>
      <c r="AU49" s="23" t="s">
        <v>8</v>
      </c>
      <c r="AV49" s="21"/>
      <c r="AW49" s="21"/>
      <c r="AX49" s="22"/>
      <c r="AY49" s="23" t="s">
        <v>7</v>
      </c>
      <c r="AZ49" s="21"/>
      <c r="BA49" s="21"/>
      <c r="BB49" s="22"/>
      <c r="BC49" s="261" t="s">
        <v>7</v>
      </c>
      <c r="BD49" s="262"/>
      <c r="BE49" s="262"/>
      <c r="BF49" s="262"/>
      <c r="BG49" s="262"/>
      <c r="BH49" s="262"/>
      <c r="BI49" s="262"/>
      <c r="BJ49" s="263"/>
      <c r="BK49" s="6"/>
    </row>
    <row r="50" spans="1:63" ht="195.75" customHeight="1" x14ac:dyDescent="0.25">
      <c r="A50" s="5"/>
      <c r="B50" s="23">
        <v>2.1</v>
      </c>
      <c r="C50" s="22"/>
      <c r="D50" s="42" t="s">
        <v>19</v>
      </c>
      <c r="E50" s="43"/>
      <c r="F50" s="43"/>
      <c r="G50" s="43"/>
      <c r="H50" s="43"/>
      <c r="I50" s="43"/>
      <c r="J50" s="44"/>
      <c r="K50" s="27" t="s">
        <v>101</v>
      </c>
      <c r="L50" s="28"/>
      <c r="M50" s="29"/>
      <c r="N50" s="14" t="s">
        <v>175</v>
      </c>
      <c r="O50" s="9" t="s">
        <v>5</v>
      </c>
      <c r="P50" s="23" t="s">
        <v>21</v>
      </c>
      <c r="Q50" s="21"/>
      <c r="R50" s="21"/>
      <c r="S50" s="22"/>
      <c r="T50" s="23" t="s">
        <v>22</v>
      </c>
      <c r="U50" s="21"/>
      <c r="V50" s="21"/>
      <c r="W50" s="22"/>
      <c r="X50" s="31" t="s">
        <v>5</v>
      </c>
      <c r="Y50" s="32"/>
      <c r="Z50" s="33"/>
      <c r="AA50" s="147" t="s">
        <v>105</v>
      </c>
      <c r="AB50" s="148"/>
      <c r="AC50" s="148"/>
      <c r="AD50" s="148"/>
      <c r="AE50" s="148"/>
      <c r="AF50" s="148"/>
      <c r="AG50" s="148"/>
      <c r="AH50" s="149"/>
      <c r="AI50" s="288" t="s">
        <v>7</v>
      </c>
      <c r="AJ50" s="265"/>
      <c r="AK50" s="265"/>
      <c r="AL50" s="265"/>
      <c r="AM50" s="265"/>
      <c r="AN50" s="265"/>
      <c r="AO50" s="265"/>
      <c r="AP50" s="265"/>
      <c r="AQ50" s="266"/>
      <c r="AR50" s="11" t="s">
        <v>5</v>
      </c>
      <c r="AS50" s="11" t="s">
        <v>7</v>
      </c>
      <c r="AT50" s="11" t="s">
        <v>7</v>
      </c>
      <c r="AU50" s="23" t="s">
        <v>8</v>
      </c>
      <c r="AV50" s="21"/>
      <c r="AW50" s="21"/>
      <c r="AX50" s="22"/>
      <c r="AY50" s="23" t="s">
        <v>7</v>
      </c>
      <c r="AZ50" s="21"/>
      <c r="BA50" s="21"/>
      <c r="BB50" s="22"/>
      <c r="BC50" s="270" t="s">
        <v>188</v>
      </c>
      <c r="BD50" s="262"/>
      <c r="BE50" s="262"/>
      <c r="BF50" s="262"/>
      <c r="BG50" s="262"/>
      <c r="BH50" s="262"/>
      <c r="BI50" s="262"/>
      <c r="BJ50" s="263"/>
      <c r="BK50" s="6"/>
    </row>
    <row r="51" spans="1:63" ht="15.75" customHeight="1" x14ac:dyDescent="0.25">
      <c r="A51" s="5"/>
      <c r="B51" s="23">
        <v>3</v>
      </c>
      <c r="C51" s="22"/>
      <c r="D51" s="42" t="s">
        <v>24</v>
      </c>
      <c r="E51" s="43"/>
      <c r="F51" s="43"/>
      <c r="G51" s="43"/>
      <c r="H51" s="43"/>
      <c r="I51" s="43"/>
      <c r="J51" s="44"/>
      <c r="K51" s="27" t="s">
        <v>101</v>
      </c>
      <c r="L51" s="28"/>
      <c r="M51" s="29"/>
      <c r="N51" s="14" t="s">
        <v>5</v>
      </c>
      <c r="O51" s="9" t="s">
        <v>6</v>
      </c>
      <c r="P51" s="23" t="s">
        <v>8</v>
      </c>
      <c r="Q51" s="21"/>
      <c r="R51" s="21"/>
      <c r="S51" s="22"/>
      <c r="T51" s="30" t="s">
        <v>5</v>
      </c>
      <c r="U51" s="21"/>
      <c r="V51" s="21"/>
      <c r="W51" s="22"/>
      <c r="X51" s="41" t="s">
        <v>23</v>
      </c>
      <c r="Y51" s="21"/>
      <c r="Z51" s="22"/>
      <c r="AA51" s="147" t="s">
        <v>105</v>
      </c>
      <c r="AB51" s="148"/>
      <c r="AC51" s="148"/>
      <c r="AD51" s="148"/>
      <c r="AE51" s="148"/>
      <c r="AF51" s="148"/>
      <c r="AG51" s="148"/>
      <c r="AH51" s="149"/>
      <c r="AI51" s="288" t="s">
        <v>7</v>
      </c>
      <c r="AJ51" s="265"/>
      <c r="AK51" s="265"/>
      <c r="AL51" s="265"/>
      <c r="AM51" s="265"/>
      <c r="AN51" s="265"/>
      <c r="AO51" s="265"/>
      <c r="AP51" s="265"/>
      <c r="AQ51" s="266"/>
      <c r="AR51" s="11" t="s">
        <v>5</v>
      </c>
      <c r="AS51" s="11" t="s">
        <v>7</v>
      </c>
      <c r="AT51" s="11" t="s">
        <v>7</v>
      </c>
      <c r="AU51" s="23" t="s">
        <v>8</v>
      </c>
      <c r="AV51" s="21"/>
      <c r="AW51" s="21"/>
      <c r="AX51" s="22"/>
      <c r="AY51" s="23" t="s">
        <v>7</v>
      </c>
      <c r="AZ51" s="21"/>
      <c r="BA51" s="21"/>
      <c r="BB51" s="22"/>
      <c r="BC51" s="289" t="s">
        <v>7</v>
      </c>
      <c r="BD51" s="262"/>
      <c r="BE51" s="262"/>
      <c r="BF51" s="262"/>
      <c r="BG51" s="262"/>
      <c r="BH51" s="262"/>
      <c r="BI51" s="262"/>
      <c r="BJ51" s="263"/>
      <c r="BK51" s="6"/>
    </row>
    <row r="52" spans="1:63" ht="59.25" customHeight="1" x14ac:dyDescent="0.25">
      <c r="A52" s="5"/>
      <c r="B52" s="23">
        <v>3.1</v>
      </c>
      <c r="C52" s="22"/>
      <c r="D52" s="42" t="s">
        <v>25</v>
      </c>
      <c r="E52" s="43"/>
      <c r="F52" s="43"/>
      <c r="G52" s="43"/>
      <c r="H52" s="43"/>
      <c r="I52" s="43"/>
      <c r="J52" s="44"/>
      <c r="K52" s="27" t="s">
        <v>101</v>
      </c>
      <c r="L52" s="28"/>
      <c r="M52" s="29"/>
      <c r="N52" s="14" t="s">
        <v>176</v>
      </c>
      <c r="O52" s="9" t="s">
        <v>5</v>
      </c>
      <c r="P52" s="30"/>
      <c r="Q52" s="21"/>
      <c r="R52" s="21"/>
      <c r="S52" s="22"/>
      <c r="T52" s="37" t="s">
        <v>177</v>
      </c>
      <c r="U52" s="21"/>
      <c r="V52" s="21"/>
      <c r="W52" s="22"/>
      <c r="X52" s="31" t="s">
        <v>5</v>
      </c>
      <c r="Y52" s="32"/>
      <c r="Z52" s="33"/>
      <c r="AA52" s="147" t="s">
        <v>105</v>
      </c>
      <c r="AB52" s="148"/>
      <c r="AC52" s="148"/>
      <c r="AD52" s="148"/>
      <c r="AE52" s="148"/>
      <c r="AF52" s="148"/>
      <c r="AG52" s="148"/>
      <c r="AH52" s="149"/>
      <c r="AI52" s="288" t="s">
        <v>7</v>
      </c>
      <c r="AJ52" s="265"/>
      <c r="AK52" s="265"/>
      <c r="AL52" s="265"/>
      <c r="AM52" s="265"/>
      <c r="AN52" s="265"/>
      <c r="AO52" s="265"/>
      <c r="AP52" s="265"/>
      <c r="AQ52" s="266"/>
      <c r="AR52" s="11" t="s">
        <v>5</v>
      </c>
      <c r="AS52" s="11" t="s">
        <v>7</v>
      </c>
      <c r="AT52" s="11" t="s">
        <v>7</v>
      </c>
      <c r="AU52" s="23" t="s">
        <v>8</v>
      </c>
      <c r="AV52" s="21"/>
      <c r="AW52" s="21"/>
      <c r="AX52" s="22"/>
      <c r="AY52" s="23" t="s">
        <v>7</v>
      </c>
      <c r="AZ52" s="21"/>
      <c r="BA52" s="21"/>
      <c r="BB52" s="22"/>
      <c r="BC52" s="261" t="s">
        <v>178</v>
      </c>
      <c r="BD52" s="271"/>
      <c r="BE52" s="271"/>
      <c r="BF52" s="271"/>
      <c r="BG52" s="271"/>
      <c r="BH52" s="271"/>
      <c r="BI52" s="271"/>
      <c r="BJ52" s="272"/>
      <c r="BK52" s="6"/>
    </row>
    <row r="53" spans="1:63" x14ac:dyDescent="0.25">
      <c r="A53" s="5"/>
      <c r="B53" s="23">
        <v>4</v>
      </c>
      <c r="C53" s="22"/>
      <c r="D53" s="42" t="s">
        <v>26</v>
      </c>
      <c r="E53" s="43"/>
      <c r="F53" s="43"/>
      <c r="G53" s="43"/>
      <c r="H53" s="43"/>
      <c r="I53" s="43"/>
      <c r="J53" s="44"/>
      <c r="K53" s="150"/>
      <c r="L53" s="28"/>
      <c r="M53" s="29"/>
      <c r="N53" s="14" t="s">
        <v>5</v>
      </c>
      <c r="O53" s="9" t="s">
        <v>6</v>
      </c>
      <c r="P53" s="23" t="s">
        <v>8</v>
      </c>
      <c r="Q53" s="21"/>
      <c r="R53" s="21"/>
      <c r="S53" s="22"/>
      <c r="T53" s="30" t="s">
        <v>5</v>
      </c>
      <c r="U53" s="21"/>
      <c r="V53" s="21"/>
      <c r="W53" s="22"/>
      <c r="X53" s="31" t="s">
        <v>133</v>
      </c>
      <c r="Y53" s="32"/>
      <c r="Z53" s="33"/>
      <c r="AA53" s="147" t="s">
        <v>105</v>
      </c>
      <c r="AB53" s="148"/>
      <c r="AC53" s="148"/>
      <c r="AD53" s="148"/>
      <c r="AE53" s="148"/>
      <c r="AF53" s="148"/>
      <c r="AG53" s="148"/>
      <c r="AH53" s="149"/>
      <c r="AI53" s="288" t="s">
        <v>7</v>
      </c>
      <c r="AJ53" s="265"/>
      <c r="AK53" s="265"/>
      <c r="AL53" s="265"/>
      <c r="AM53" s="265"/>
      <c r="AN53" s="265"/>
      <c r="AO53" s="265"/>
      <c r="AP53" s="265"/>
      <c r="AQ53" s="266"/>
      <c r="AR53" s="11" t="s">
        <v>5</v>
      </c>
      <c r="AS53" s="11" t="s">
        <v>7</v>
      </c>
      <c r="AT53" s="11" t="s">
        <v>7</v>
      </c>
      <c r="AU53" s="23" t="s">
        <v>8</v>
      </c>
      <c r="AV53" s="21"/>
      <c r="AW53" s="21"/>
      <c r="AX53" s="22"/>
      <c r="AY53" s="23" t="s">
        <v>7</v>
      </c>
      <c r="AZ53" s="21"/>
      <c r="BA53" s="21"/>
      <c r="BB53" s="22"/>
      <c r="BC53" s="289" t="s">
        <v>7</v>
      </c>
      <c r="BD53" s="262"/>
      <c r="BE53" s="262"/>
      <c r="BF53" s="262"/>
      <c r="BG53" s="262"/>
      <c r="BH53" s="262"/>
      <c r="BI53" s="262"/>
      <c r="BJ53" s="263"/>
      <c r="BK53" s="6"/>
    </row>
    <row r="54" spans="1:63" ht="56.25" customHeight="1" x14ac:dyDescent="0.25">
      <c r="A54" s="5"/>
      <c r="B54" s="23">
        <v>4.0999999999999996</v>
      </c>
      <c r="C54" s="22"/>
      <c r="D54" s="42" t="s">
        <v>27</v>
      </c>
      <c r="E54" s="43"/>
      <c r="F54" s="43"/>
      <c r="G54" s="43"/>
      <c r="H54" s="43"/>
      <c r="I54" s="43"/>
      <c r="J54" s="44"/>
      <c r="K54" s="150"/>
      <c r="L54" s="28"/>
      <c r="M54" s="29"/>
      <c r="N54" s="14" t="s">
        <v>175</v>
      </c>
      <c r="O54" s="9" t="s">
        <v>5</v>
      </c>
      <c r="P54" s="23" t="s">
        <v>21</v>
      </c>
      <c r="Q54" s="21"/>
      <c r="R54" s="21"/>
      <c r="S54" s="22"/>
      <c r="T54" s="23" t="s">
        <v>28</v>
      </c>
      <c r="U54" s="21"/>
      <c r="V54" s="21"/>
      <c r="W54" s="22"/>
      <c r="X54" s="31" t="s">
        <v>5</v>
      </c>
      <c r="Y54" s="32"/>
      <c r="Z54" s="33"/>
      <c r="AA54" s="147" t="s">
        <v>105</v>
      </c>
      <c r="AB54" s="148"/>
      <c r="AC54" s="148"/>
      <c r="AD54" s="148"/>
      <c r="AE54" s="148"/>
      <c r="AF54" s="148"/>
      <c r="AG54" s="148"/>
      <c r="AH54" s="149"/>
      <c r="AI54" s="288" t="s">
        <v>7</v>
      </c>
      <c r="AJ54" s="265"/>
      <c r="AK54" s="265"/>
      <c r="AL54" s="265"/>
      <c r="AM54" s="265"/>
      <c r="AN54" s="265"/>
      <c r="AO54" s="265"/>
      <c r="AP54" s="265"/>
      <c r="AQ54" s="266"/>
      <c r="AR54" s="11" t="s">
        <v>5</v>
      </c>
      <c r="AS54" s="11" t="s">
        <v>7</v>
      </c>
      <c r="AT54" s="11" t="s">
        <v>7</v>
      </c>
      <c r="AU54" s="23" t="s">
        <v>8</v>
      </c>
      <c r="AV54" s="21"/>
      <c r="AW54" s="21"/>
      <c r="AX54" s="22"/>
      <c r="AY54" s="23" t="s">
        <v>7</v>
      </c>
      <c r="AZ54" s="21"/>
      <c r="BA54" s="21"/>
      <c r="BB54" s="22"/>
      <c r="BC54" s="261" t="s">
        <v>179</v>
      </c>
      <c r="BD54" s="271"/>
      <c r="BE54" s="271"/>
      <c r="BF54" s="271"/>
      <c r="BG54" s="271"/>
      <c r="BH54" s="271"/>
      <c r="BI54" s="271"/>
      <c r="BJ54" s="272"/>
      <c r="BK54" s="6"/>
    </row>
    <row r="55" spans="1:63" x14ac:dyDescent="0.25">
      <c r="A55" s="5"/>
      <c r="B55" s="23">
        <v>5</v>
      </c>
      <c r="C55" s="22"/>
      <c r="D55" s="42" t="s">
        <v>29</v>
      </c>
      <c r="E55" s="43"/>
      <c r="F55" s="43"/>
      <c r="G55" s="43"/>
      <c r="H55" s="43"/>
      <c r="I55" s="43"/>
      <c r="J55" s="44"/>
      <c r="K55" s="150"/>
      <c r="L55" s="28"/>
      <c r="M55" s="29"/>
      <c r="N55" s="14" t="s">
        <v>5</v>
      </c>
      <c r="O55" s="9" t="s">
        <v>6</v>
      </c>
      <c r="P55" s="23" t="s">
        <v>8</v>
      </c>
      <c r="Q55" s="21"/>
      <c r="R55" s="21"/>
      <c r="S55" s="22"/>
      <c r="T55" s="30" t="s">
        <v>5</v>
      </c>
      <c r="U55" s="21"/>
      <c r="V55" s="21"/>
      <c r="W55" s="22"/>
      <c r="X55" s="31" t="s">
        <v>180</v>
      </c>
      <c r="Y55" s="32"/>
      <c r="Z55" s="33"/>
      <c r="AA55" s="147" t="s">
        <v>105</v>
      </c>
      <c r="AB55" s="148"/>
      <c r="AC55" s="148"/>
      <c r="AD55" s="148"/>
      <c r="AE55" s="148"/>
      <c r="AF55" s="148"/>
      <c r="AG55" s="148"/>
      <c r="AH55" s="149"/>
      <c r="AI55" s="288" t="s">
        <v>7</v>
      </c>
      <c r="AJ55" s="265"/>
      <c r="AK55" s="265"/>
      <c r="AL55" s="265"/>
      <c r="AM55" s="265"/>
      <c r="AN55" s="265"/>
      <c r="AO55" s="265"/>
      <c r="AP55" s="265"/>
      <c r="AQ55" s="266"/>
      <c r="AR55" s="11" t="s">
        <v>5</v>
      </c>
      <c r="AS55" s="11" t="s">
        <v>7</v>
      </c>
      <c r="AT55" s="11" t="s">
        <v>7</v>
      </c>
      <c r="AU55" s="23" t="s">
        <v>8</v>
      </c>
      <c r="AV55" s="21"/>
      <c r="AW55" s="21"/>
      <c r="AX55" s="22"/>
      <c r="AY55" s="23" t="s">
        <v>7</v>
      </c>
      <c r="AZ55" s="21"/>
      <c r="BA55" s="21"/>
      <c r="BB55" s="22"/>
      <c r="BC55" s="289" t="s">
        <v>7</v>
      </c>
      <c r="BD55" s="262"/>
      <c r="BE55" s="262"/>
      <c r="BF55" s="262"/>
      <c r="BG55" s="262"/>
      <c r="BH55" s="262"/>
      <c r="BI55" s="262"/>
      <c r="BJ55" s="263"/>
      <c r="BK55" s="6"/>
    </row>
    <row r="56" spans="1:63" ht="36.75" customHeight="1" x14ac:dyDescent="0.25">
      <c r="A56" s="5"/>
      <c r="B56" s="23">
        <v>5.0999999999999996</v>
      </c>
      <c r="C56" s="22"/>
      <c r="D56" s="42" t="s">
        <v>30</v>
      </c>
      <c r="E56" s="43"/>
      <c r="F56" s="43"/>
      <c r="G56" s="43"/>
      <c r="H56" s="43"/>
      <c r="I56" s="43"/>
      <c r="J56" s="44"/>
      <c r="K56" s="150"/>
      <c r="L56" s="28"/>
      <c r="M56" s="29"/>
      <c r="N56" s="14" t="s">
        <v>175</v>
      </c>
      <c r="O56" s="9" t="s">
        <v>5</v>
      </c>
      <c r="P56" s="23" t="s">
        <v>21</v>
      </c>
      <c r="Q56" s="21"/>
      <c r="R56" s="21"/>
      <c r="S56" s="22"/>
      <c r="T56" s="23" t="s">
        <v>31</v>
      </c>
      <c r="U56" s="21"/>
      <c r="V56" s="21"/>
      <c r="W56" s="22"/>
      <c r="X56" s="31" t="s">
        <v>5</v>
      </c>
      <c r="Y56" s="32"/>
      <c r="Z56" s="33"/>
      <c r="AA56" s="147" t="s">
        <v>105</v>
      </c>
      <c r="AB56" s="148"/>
      <c r="AC56" s="148"/>
      <c r="AD56" s="148"/>
      <c r="AE56" s="148"/>
      <c r="AF56" s="148"/>
      <c r="AG56" s="148"/>
      <c r="AH56" s="149"/>
      <c r="AI56" s="288" t="s">
        <v>7</v>
      </c>
      <c r="AJ56" s="265"/>
      <c r="AK56" s="265"/>
      <c r="AL56" s="265"/>
      <c r="AM56" s="265"/>
      <c r="AN56" s="265"/>
      <c r="AO56" s="265"/>
      <c r="AP56" s="265"/>
      <c r="AQ56" s="266"/>
      <c r="AR56" s="11" t="s">
        <v>5</v>
      </c>
      <c r="AS56" s="11" t="s">
        <v>7</v>
      </c>
      <c r="AT56" s="11" t="s">
        <v>7</v>
      </c>
      <c r="AU56" s="23" t="s">
        <v>8</v>
      </c>
      <c r="AV56" s="21"/>
      <c r="AW56" s="21"/>
      <c r="AX56" s="22"/>
      <c r="AY56" s="23" t="s">
        <v>7</v>
      </c>
      <c r="AZ56" s="21"/>
      <c r="BA56" s="21"/>
      <c r="BB56" s="22"/>
      <c r="BC56" s="261" t="s">
        <v>181</v>
      </c>
      <c r="BD56" s="271"/>
      <c r="BE56" s="271"/>
      <c r="BF56" s="271"/>
      <c r="BG56" s="271"/>
      <c r="BH56" s="271"/>
      <c r="BI56" s="271"/>
      <c r="BJ56" s="272"/>
      <c r="BK56" s="6"/>
    </row>
    <row r="57" spans="1:63" ht="15.75" customHeight="1" x14ac:dyDescent="0.25">
      <c r="A57" s="5"/>
      <c r="B57" s="23">
        <v>6</v>
      </c>
      <c r="C57" s="22"/>
      <c r="D57" s="42" t="s">
        <v>32</v>
      </c>
      <c r="E57" s="43"/>
      <c r="F57" s="43"/>
      <c r="G57" s="43"/>
      <c r="H57" s="43"/>
      <c r="I57" s="43"/>
      <c r="J57" s="44"/>
      <c r="K57" s="150"/>
      <c r="L57" s="28"/>
      <c r="M57" s="29"/>
      <c r="N57" s="14" t="s">
        <v>5</v>
      </c>
      <c r="O57" s="9" t="s">
        <v>6</v>
      </c>
      <c r="P57" s="23" t="s">
        <v>8</v>
      </c>
      <c r="Q57" s="21"/>
      <c r="R57" s="21"/>
      <c r="S57" s="22"/>
      <c r="T57" s="30" t="s">
        <v>5</v>
      </c>
      <c r="U57" s="21"/>
      <c r="V57" s="21"/>
      <c r="W57" s="22"/>
      <c r="X57" s="31" t="s">
        <v>182</v>
      </c>
      <c r="Y57" s="32"/>
      <c r="Z57" s="33"/>
      <c r="AA57" s="147" t="s">
        <v>105</v>
      </c>
      <c r="AB57" s="148"/>
      <c r="AC57" s="148"/>
      <c r="AD57" s="148"/>
      <c r="AE57" s="148"/>
      <c r="AF57" s="148"/>
      <c r="AG57" s="148"/>
      <c r="AH57" s="149"/>
      <c r="AI57" s="288" t="s">
        <v>7</v>
      </c>
      <c r="AJ57" s="265"/>
      <c r="AK57" s="265"/>
      <c r="AL57" s="265"/>
      <c r="AM57" s="265"/>
      <c r="AN57" s="265"/>
      <c r="AO57" s="265"/>
      <c r="AP57" s="265"/>
      <c r="AQ57" s="266"/>
      <c r="AR57" s="11" t="s">
        <v>5</v>
      </c>
      <c r="AS57" s="11" t="s">
        <v>7</v>
      </c>
      <c r="AT57" s="11" t="s">
        <v>7</v>
      </c>
      <c r="AU57" s="23" t="s">
        <v>8</v>
      </c>
      <c r="AV57" s="21"/>
      <c r="AW57" s="21"/>
      <c r="AX57" s="22"/>
      <c r="AY57" s="23" t="s">
        <v>7</v>
      </c>
      <c r="AZ57" s="21"/>
      <c r="BA57" s="21"/>
      <c r="BB57" s="22"/>
      <c r="BC57" s="289" t="s">
        <v>7</v>
      </c>
      <c r="BD57" s="262"/>
      <c r="BE57" s="262"/>
      <c r="BF57" s="262"/>
      <c r="BG57" s="262"/>
      <c r="BH57" s="262"/>
      <c r="BI57" s="262"/>
      <c r="BJ57" s="263"/>
      <c r="BK57" s="6"/>
    </row>
    <row r="58" spans="1:63" ht="32.25" customHeight="1" x14ac:dyDescent="0.25">
      <c r="A58" s="5"/>
      <c r="B58" s="23">
        <v>6.1</v>
      </c>
      <c r="C58" s="22"/>
      <c r="D58" s="42" t="s">
        <v>33</v>
      </c>
      <c r="E58" s="43"/>
      <c r="F58" s="43"/>
      <c r="G58" s="43"/>
      <c r="H58" s="43"/>
      <c r="I58" s="43"/>
      <c r="J58" s="44"/>
      <c r="K58" s="150"/>
      <c r="L58" s="28"/>
      <c r="M58" s="29"/>
      <c r="N58" s="14" t="s">
        <v>175</v>
      </c>
      <c r="O58" s="9" t="s">
        <v>5</v>
      </c>
      <c r="P58" s="23" t="s">
        <v>21</v>
      </c>
      <c r="Q58" s="21"/>
      <c r="R58" s="21"/>
      <c r="S58" s="22"/>
      <c r="T58" s="23" t="s">
        <v>34</v>
      </c>
      <c r="U58" s="21"/>
      <c r="V58" s="21"/>
      <c r="W58" s="22"/>
      <c r="X58" s="31" t="s">
        <v>5</v>
      </c>
      <c r="Y58" s="32"/>
      <c r="Z58" s="33"/>
      <c r="AA58" s="147" t="s">
        <v>105</v>
      </c>
      <c r="AB58" s="148"/>
      <c r="AC58" s="148"/>
      <c r="AD58" s="148"/>
      <c r="AE58" s="148"/>
      <c r="AF58" s="148"/>
      <c r="AG58" s="148"/>
      <c r="AH58" s="149"/>
      <c r="AI58" s="288" t="s">
        <v>7</v>
      </c>
      <c r="AJ58" s="265"/>
      <c r="AK58" s="265"/>
      <c r="AL58" s="265"/>
      <c r="AM58" s="265"/>
      <c r="AN58" s="265"/>
      <c r="AO58" s="265"/>
      <c r="AP58" s="265"/>
      <c r="AQ58" s="266"/>
      <c r="AR58" s="11" t="s">
        <v>5</v>
      </c>
      <c r="AS58" s="11" t="s">
        <v>7</v>
      </c>
      <c r="AT58" s="11" t="s">
        <v>7</v>
      </c>
      <c r="AU58" s="23" t="s">
        <v>8</v>
      </c>
      <c r="AV58" s="21"/>
      <c r="AW58" s="21"/>
      <c r="AX58" s="22"/>
      <c r="AY58" s="23" t="s">
        <v>7</v>
      </c>
      <c r="AZ58" s="21"/>
      <c r="BA58" s="21"/>
      <c r="BB58" s="22"/>
      <c r="BC58" s="261" t="s">
        <v>181</v>
      </c>
      <c r="BD58" s="271"/>
      <c r="BE58" s="271"/>
      <c r="BF58" s="271"/>
      <c r="BG58" s="271"/>
      <c r="BH58" s="271"/>
      <c r="BI58" s="271"/>
      <c r="BJ58" s="272"/>
      <c r="BK58" s="6"/>
    </row>
    <row r="59" spans="1:63" ht="33" customHeight="1" x14ac:dyDescent="0.25">
      <c r="A59" s="5"/>
      <c r="B59" s="23">
        <v>7</v>
      </c>
      <c r="C59" s="22"/>
      <c r="D59" s="24" t="s">
        <v>35</v>
      </c>
      <c r="E59" s="25"/>
      <c r="F59" s="25"/>
      <c r="G59" s="25"/>
      <c r="H59" s="25"/>
      <c r="I59" s="25"/>
      <c r="J59" s="26"/>
      <c r="K59" s="27"/>
      <c r="L59" s="28"/>
      <c r="M59" s="29"/>
      <c r="N59" s="14" t="s">
        <v>5</v>
      </c>
      <c r="O59" s="9" t="s">
        <v>6</v>
      </c>
      <c r="P59" s="23" t="s">
        <v>8</v>
      </c>
      <c r="Q59" s="21"/>
      <c r="R59" s="21"/>
      <c r="S59" s="22"/>
      <c r="T59" s="30" t="s">
        <v>5</v>
      </c>
      <c r="U59" s="21"/>
      <c r="V59" s="21"/>
      <c r="W59" s="22"/>
      <c r="X59" s="31" t="s">
        <v>183</v>
      </c>
      <c r="Y59" s="32"/>
      <c r="Z59" s="33"/>
      <c r="AA59" s="147" t="s">
        <v>105</v>
      </c>
      <c r="AB59" s="148"/>
      <c r="AC59" s="148"/>
      <c r="AD59" s="148"/>
      <c r="AE59" s="148"/>
      <c r="AF59" s="148"/>
      <c r="AG59" s="148"/>
      <c r="AH59" s="149"/>
      <c r="AI59" s="288" t="s">
        <v>7</v>
      </c>
      <c r="AJ59" s="265"/>
      <c r="AK59" s="265"/>
      <c r="AL59" s="265"/>
      <c r="AM59" s="265"/>
      <c r="AN59" s="265"/>
      <c r="AO59" s="265"/>
      <c r="AP59" s="265"/>
      <c r="AQ59" s="266"/>
      <c r="AR59" s="11" t="s">
        <v>5</v>
      </c>
      <c r="AS59" s="11" t="s">
        <v>7</v>
      </c>
      <c r="AT59" s="11" t="s">
        <v>7</v>
      </c>
      <c r="AU59" s="23" t="s">
        <v>8</v>
      </c>
      <c r="AV59" s="21"/>
      <c r="AW59" s="21"/>
      <c r="AX59" s="22"/>
      <c r="AY59" s="23" t="s">
        <v>7</v>
      </c>
      <c r="AZ59" s="21"/>
      <c r="BA59" s="21"/>
      <c r="BB59" s="22"/>
      <c r="BC59" s="289" t="s">
        <v>7</v>
      </c>
      <c r="BD59" s="262"/>
      <c r="BE59" s="262"/>
      <c r="BF59" s="262"/>
      <c r="BG59" s="262"/>
      <c r="BH59" s="262"/>
      <c r="BI59" s="262"/>
      <c r="BJ59" s="263"/>
      <c r="BK59" s="6"/>
    </row>
    <row r="60" spans="1:63" ht="99" customHeight="1" x14ac:dyDescent="0.25">
      <c r="A60" s="5"/>
      <c r="B60" s="23">
        <v>7.1</v>
      </c>
      <c r="C60" s="22"/>
      <c r="D60" s="24" t="s">
        <v>36</v>
      </c>
      <c r="E60" s="25"/>
      <c r="F60" s="25"/>
      <c r="G60" s="25"/>
      <c r="H60" s="25"/>
      <c r="I60" s="25"/>
      <c r="J60" s="26"/>
      <c r="K60" s="27"/>
      <c r="L60" s="28"/>
      <c r="M60" s="29"/>
      <c r="N60" s="14" t="s">
        <v>175</v>
      </c>
      <c r="O60" s="9" t="s">
        <v>5</v>
      </c>
      <c r="P60" s="23" t="s">
        <v>21</v>
      </c>
      <c r="Q60" s="21"/>
      <c r="R60" s="21"/>
      <c r="S60" s="22"/>
      <c r="T60" s="20" t="s">
        <v>184</v>
      </c>
      <c r="U60" s="21"/>
      <c r="V60" s="21"/>
      <c r="W60" s="22"/>
      <c r="X60" s="31" t="s">
        <v>5</v>
      </c>
      <c r="Y60" s="32"/>
      <c r="Z60" s="33"/>
      <c r="AA60" s="147" t="s">
        <v>105</v>
      </c>
      <c r="AB60" s="148"/>
      <c r="AC60" s="148"/>
      <c r="AD60" s="148"/>
      <c r="AE60" s="148"/>
      <c r="AF60" s="148"/>
      <c r="AG60" s="148"/>
      <c r="AH60" s="149"/>
      <c r="AI60" s="288" t="s">
        <v>7</v>
      </c>
      <c r="AJ60" s="265"/>
      <c r="AK60" s="265"/>
      <c r="AL60" s="265"/>
      <c r="AM60" s="265"/>
      <c r="AN60" s="265"/>
      <c r="AO60" s="265"/>
      <c r="AP60" s="265"/>
      <c r="AQ60" s="266"/>
      <c r="AR60" s="11" t="s">
        <v>5</v>
      </c>
      <c r="AS60" s="11" t="s">
        <v>7</v>
      </c>
      <c r="AT60" s="11" t="s">
        <v>7</v>
      </c>
      <c r="AU60" s="23" t="s">
        <v>8</v>
      </c>
      <c r="AV60" s="21"/>
      <c r="AW60" s="21"/>
      <c r="AX60" s="22"/>
      <c r="AY60" s="23" t="s">
        <v>7</v>
      </c>
      <c r="AZ60" s="21"/>
      <c r="BA60" s="21"/>
      <c r="BB60" s="22"/>
      <c r="BC60" s="270" t="s">
        <v>185</v>
      </c>
      <c r="BD60" s="262"/>
      <c r="BE60" s="262"/>
      <c r="BF60" s="262"/>
      <c r="BG60" s="262"/>
      <c r="BH60" s="262"/>
      <c r="BI60" s="262"/>
      <c r="BJ60" s="263"/>
      <c r="BK60" s="6"/>
    </row>
    <row r="61" spans="1:63" x14ac:dyDescent="0.25">
      <c r="A61" s="5"/>
      <c r="B61" s="23">
        <v>8</v>
      </c>
      <c r="C61" s="22"/>
      <c r="D61" s="42" t="s">
        <v>13</v>
      </c>
      <c r="E61" s="43"/>
      <c r="F61" s="43"/>
      <c r="G61" s="43"/>
      <c r="H61" s="43"/>
      <c r="I61" s="43"/>
      <c r="J61" s="44"/>
      <c r="K61" s="27" t="s">
        <v>106</v>
      </c>
      <c r="L61" s="28"/>
      <c r="M61" s="29"/>
      <c r="N61" s="14" t="s">
        <v>5</v>
      </c>
      <c r="O61" s="9" t="s">
        <v>6</v>
      </c>
      <c r="P61" s="23" t="s">
        <v>8</v>
      </c>
      <c r="Q61" s="21"/>
      <c r="R61" s="21"/>
      <c r="S61" s="22"/>
      <c r="T61" s="23" t="s">
        <v>8</v>
      </c>
      <c r="U61" s="21"/>
      <c r="V61" s="21"/>
      <c r="W61" s="22"/>
      <c r="X61" s="31" t="s">
        <v>186</v>
      </c>
      <c r="Y61" s="32"/>
      <c r="Z61" s="33"/>
      <c r="AA61" s="147" t="s">
        <v>105</v>
      </c>
      <c r="AB61" s="148"/>
      <c r="AC61" s="148"/>
      <c r="AD61" s="148"/>
      <c r="AE61" s="148"/>
      <c r="AF61" s="148"/>
      <c r="AG61" s="148"/>
      <c r="AH61" s="149"/>
      <c r="AI61" s="146" t="s">
        <v>173</v>
      </c>
      <c r="AJ61" s="35"/>
      <c r="AK61" s="35"/>
      <c r="AL61" s="35"/>
      <c r="AM61" s="35"/>
      <c r="AN61" s="35"/>
      <c r="AO61" s="35"/>
      <c r="AP61" s="35"/>
      <c r="AQ61" s="36"/>
      <c r="AR61" s="11" t="s">
        <v>5</v>
      </c>
      <c r="AS61" s="11" t="s">
        <v>7</v>
      </c>
      <c r="AT61" s="11" t="s">
        <v>7</v>
      </c>
      <c r="AU61" s="23" t="s">
        <v>8</v>
      </c>
      <c r="AV61" s="21"/>
      <c r="AW61" s="21"/>
      <c r="AX61" s="22"/>
      <c r="AY61" s="23" t="s">
        <v>7</v>
      </c>
      <c r="AZ61" s="21"/>
      <c r="BA61" s="21"/>
      <c r="BB61" s="22"/>
      <c r="BC61" s="287" t="s">
        <v>187</v>
      </c>
      <c r="BD61" s="276"/>
      <c r="BE61" s="276"/>
      <c r="BF61" s="276"/>
      <c r="BG61" s="276"/>
      <c r="BH61" s="276"/>
      <c r="BI61" s="276"/>
      <c r="BJ61" s="277"/>
      <c r="BK61" s="6"/>
    </row>
    <row r="62" spans="1:63" x14ac:dyDescent="0.25">
      <c r="A62" s="5"/>
      <c r="B62" s="125"/>
      <c r="C62" s="126"/>
      <c r="D62" s="151"/>
      <c r="E62" s="152"/>
      <c r="F62" s="152"/>
      <c r="G62" s="152"/>
      <c r="H62" s="152"/>
      <c r="I62" s="152"/>
      <c r="J62" s="153"/>
      <c r="K62" s="130"/>
      <c r="L62" s="131"/>
      <c r="M62" s="132"/>
      <c r="N62" s="12"/>
      <c r="O62" s="12"/>
      <c r="P62" s="133"/>
      <c r="Q62" s="134"/>
      <c r="R62" s="134"/>
      <c r="S62" s="126"/>
      <c r="T62" s="133"/>
      <c r="U62" s="134"/>
      <c r="V62" s="134"/>
      <c r="W62" s="126"/>
      <c r="X62" s="135"/>
      <c r="Y62" s="136"/>
      <c r="Z62" s="137"/>
      <c r="AA62" s="125"/>
      <c r="AB62" s="134"/>
      <c r="AC62" s="134"/>
      <c r="AD62" s="134"/>
      <c r="AE62" s="134"/>
      <c r="AF62" s="134"/>
      <c r="AG62" s="134"/>
      <c r="AH62" s="126"/>
      <c r="AI62" s="154"/>
      <c r="AJ62" s="290"/>
      <c r="AK62" s="290"/>
      <c r="AL62" s="290"/>
      <c r="AM62" s="290"/>
      <c r="AN62" s="290"/>
      <c r="AO62" s="290"/>
      <c r="AP62" s="290"/>
      <c r="AQ62" s="291"/>
      <c r="AR62" s="13"/>
      <c r="AS62" s="13"/>
      <c r="AT62" s="13"/>
      <c r="AU62" s="125"/>
      <c r="AV62" s="134"/>
      <c r="AW62" s="134"/>
      <c r="AX62" s="126"/>
      <c r="AY62" s="125"/>
      <c r="AZ62" s="134"/>
      <c r="BA62" s="134"/>
      <c r="BB62" s="126"/>
      <c r="BC62" s="281"/>
      <c r="BD62" s="282"/>
      <c r="BE62" s="282"/>
      <c r="BF62" s="282"/>
      <c r="BG62" s="282"/>
      <c r="BH62" s="282"/>
      <c r="BI62" s="282"/>
      <c r="BJ62" s="283"/>
      <c r="BK62" s="6"/>
    </row>
    <row r="63" spans="1:63" x14ac:dyDescent="0.25">
      <c r="A63" s="5"/>
      <c r="BK63" s="6"/>
    </row>
    <row r="64" spans="1:63" ht="15" customHeight="1" x14ac:dyDescent="0.25">
      <c r="A64" s="5"/>
      <c r="BK64" s="6"/>
    </row>
    <row r="65" spans="1:63" ht="15" customHeight="1" x14ac:dyDescent="0.25">
      <c r="A65" s="5"/>
      <c r="BK65" s="6"/>
    </row>
  </sheetData>
  <mergeCells count="227">
    <mergeCell ref="X62:Z62"/>
    <mergeCell ref="AA62:AH62"/>
    <mergeCell ref="AI62:AQ62"/>
    <mergeCell ref="AU62:AX62"/>
    <mergeCell ref="AY62:BB62"/>
    <mergeCell ref="BC62:BJ62"/>
    <mergeCell ref="AA59:AH59"/>
    <mergeCell ref="AI59:AQ59"/>
    <mergeCell ref="AU59:AX59"/>
    <mergeCell ref="AY59:BB59"/>
    <mergeCell ref="BC59:BJ59"/>
    <mergeCell ref="X59:Z59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2:C62"/>
    <mergeCell ref="D62:J62"/>
    <mergeCell ref="K62:M62"/>
    <mergeCell ref="P62:S62"/>
    <mergeCell ref="T62:W62"/>
    <mergeCell ref="B59:C59"/>
    <mergeCell ref="D59:J59"/>
    <mergeCell ref="K59:M59"/>
    <mergeCell ref="P59:S59"/>
    <mergeCell ref="T59:W59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X50:Z50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X49:Z49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B46:C46"/>
    <mergeCell ref="D46:J46"/>
    <mergeCell ref="K46:M46"/>
    <mergeCell ref="P46:S46"/>
    <mergeCell ref="T46:W46"/>
    <mergeCell ref="P43:AQ43"/>
    <mergeCell ref="AR43:BB43"/>
    <mergeCell ref="BC43:BJ45"/>
    <mergeCell ref="P44:W44"/>
    <mergeCell ref="X44:Z45"/>
    <mergeCell ref="AA44:AH45"/>
    <mergeCell ref="AI44:AQ45"/>
    <mergeCell ref="AR44:AR45"/>
    <mergeCell ref="AS44:AS45"/>
    <mergeCell ref="AT44:AT45"/>
    <mergeCell ref="X46:Z46"/>
    <mergeCell ref="AA46:AH46"/>
    <mergeCell ref="AI46:AQ46"/>
    <mergeCell ref="AU46:AX46"/>
    <mergeCell ref="AY46:BB46"/>
    <mergeCell ref="BC46:BJ46"/>
    <mergeCell ref="AU44:BB44"/>
    <mergeCell ref="P45:S45"/>
    <mergeCell ref="T45:W45"/>
    <mergeCell ref="A4:G4"/>
    <mergeCell ref="H4:T4"/>
    <mergeCell ref="U4:Y4"/>
    <mergeCell ref="Z4:AO4"/>
    <mergeCell ref="AP4:BK4"/>
    <mergeCell ref="B43:C45"/>
    <mergeCell ref="D43:J45"/>
    <mergeCell ref="K43:M45"/>
    <mergeCell ref="N43:N45"/>
    <mergeCell ref="O43:O45"/>
    <mergeCell ref="AU45:AX45"/>
    <mergeCell ref="AY45:BB4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46:O62 AR62:AS62" xr:uid="{00000000-0002-0000-0300-000000000000}">
      <formula1>"－,●"</formula1>
    </dataValidation>
    <dataValidation type="list" allowBlank="1" showInputMessage="1" showErrorMessage="1" sqref="N46:N62" xr:uid="{00000000-0002-0000-0300-000001000000}">
      <formula1>"ー,I,O,I/O"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20E32-845A-48E3-B82E-ADB883BC3F9A}"/>
</file>

<file path=customXml/itemProps2.xml><?xml version="1.0" encoding="utf-8"?>
<ds:datastoreItem xmlns:ds="http://schemas.openxmlformats.org/officeDocument/2006/customXml" ds:itemID="{1AAAA2A5-5F24-49D5-A86A-23B731ADB6F8}"/>
</file>

<file path=customXml/itemProps3.xml><?xml version="1.0" encoding="utf-8"?>
<ds:datastoreItem xmlns:ds="http://schemas.openxmlformats.org/officeDocument/2006/customXml" ds:itemID="{8AD46120-3B0F-4965-B4F2-4D599CC6092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SC3201</vt:lpstr>
      <vt:lpstr>MD0801</vt:lpstr>
      <vt:lpstr>'MD0801'!Print_Area</vt:lpstr>
      <vt:lpstr>'SC3201'!Print_Area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2024-12-24T09:57:24Z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