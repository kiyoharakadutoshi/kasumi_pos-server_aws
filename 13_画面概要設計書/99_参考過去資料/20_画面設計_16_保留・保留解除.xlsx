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BFEF9894-66F6-4AA7-9338-4B7BD5B52B4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SC1601" sheetId="7" r:id="rId3"/>
  </sheets>
  <definedNames>
    <definedName name="_xlnm.Print_Area" localSheetId="2">'SC1601'!$A$1:$BK$129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AT2" i="7"/>
  <c r="K2" i="7"/>
  <c r="A2" i="7"/>
  <c r="W1" i="7"/>
  <c r="AP4" i="3" a="1"/>
  <c r="AP4" i="3" s="1"/>
  <c r="Z4" i="3"/>
  <c r="H4" i="3"/>
  <c r="AT2" i="3"/>
  <c r="K2" i="3"/>
  <c r="A2" i="3"/>
  <c r="W1" i="3"/>
  <c r="L24" i="4"/>
  <c r="AP4" i="4" a="1"/>
  <c r="AP4" i="4" s="1"/>
  <c r="BH2" i="4"/>
  <c r="BH2" i="7" s="1"/>
  <c r="BC2" i="4"/>
  <c r="BC2" i="7" s="1"/>
  <c r="AY2" i="4"/>
  <c r="AY2" i="7" s="1"/>
  <c r="AT2" i="4"/>
  <c r="AP2" i="4"/>
  <c r="AP2" i="7" s="1"/>
  <c r="AP2" i="3" l="1"/>
  <c r="BH2" i="3"/>
  <c r="AY2" i="3"/>
  <c r="BC2" i="3"/>
</calcChain>
</file>

<file path=xl/sharedStrings.xml><?xml version="1.0" encoding="utf-8"?>
<sst xmlns="http://schemas.openxmlformats.org/spreadsheetml/2006/main" count="569" uniqueCount="106">
  <si>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</si>
  <si>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</si>
  <si>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</si>
  <si>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I/O</t>
    </r>
  </si>
  <si>
    <r>
      <rPr>
        <sz val="11"/>
        <color rgb="FF000000"/>
        <rFont val="Meiryo UI"/>
        <family val="2"/>
      </rPr>
      <t>必須</t>
    </r>
  </si>
  <si>
    <r>
      <rPr>
        <sz val="11"/>
        <color rgb="FF000000"/>
        <rFont val="Meiryo UI"/>
        <family val="2"/>
      </rPr>
      <t>テキスト</t>
    </r>
  </si>
  <si>
    <t>－</t>
  </si>
  <si>
    <t>●</t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</si>
  <si>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</si>
  <si>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－</t>
    </r>
  </si>
  <si>
    <r>
      <rPr>
        <sz val="11"/>
        <color rgb="FF000000"/>
        <rFont val="Meiryo UI"/>
        <family val="2"/>
      </rPr>
      <t>I</t>
    </r>
  </si>
  <si>
    <r>
      <rPr>
        <sz val="11"/>
        <color rgb="FF000000"/>
        <rFont val="Meiryo UI"/>
        <family val="2"/>
      </rPr>
      <t>EditText</t>
    </r>
  </si>
  <si>
    <r>
      <rPr>
        <sz val="11"/>
        <color rgb="FF000000"/>
        <rFont val="Meiryo UI"/>
        <family val="2"/>
      </rPr>
      <t>検索エリア</t>
    </r>
  </si>
  <si>
    <r>
      <rPr>
        <sz val="11"/>
        <color rgb="FF000000"/>
        <rFont val="Meiryo UI"/>
        <family val="2"/>
      </rPr>
      <t>区分（タイトル）</t>
    </r>
  </si>
  <si>
    <r>
      <rPr>
        <sz val="11"/>
        <color rgb="FF000000"/>
        <rFont val="Meiryo UI"/>
        <family val="2"/>
      </rPr>
      <t>区分（値）</t>
    </r>
  </si>
  <si>
    <r>
      <rPr>
        <sz val="11"/>
        <color rgb="FF000000"/>
        <rFont val="Meiryo UI"/>
        <family val="2"/>
      </rPr>
      <t>レシートNo.（タイトル）</t>
    </r>
  </si>
  <si>
    <r>
      <rPr>
        <sz val="11"/>
        <color rgb="FF000000"/>
        <rFont val="Meiryo UI"/>
        <family val="2"/>
      </rPr>
      <t>レシートNo.（値）</t>
    </r>
  </si>
  <si>
    <r>
      <rPr>
        <sz val="11"/>
        <color rgb="FF000000"/>
        <rFont val="Meiryo UI"/>
        <family val="2"/>
      </rPr>
      <t>レジNo（タイトル）</t>
    </r>
  </si>
  <si>
    <r>
      <rPr>
        <sz val="11"/>
        <color rgb="FF000000"/>
        <rFont val="Meiryo UI"/>
        <family val="2"/>
      </rPr>
      <t>レジNo（値）</t>
    </r>
  </si>
  <si>
    <r>
      <rPr>
        <sz val="11"/>
        <color rgb="FF000000"/>
        <rFont val="Meiryo UI"/>
        <family val="2"/>
      </rPr>
      <t>区分</t>
    </r>
  </si>
  <si>
    <r>
      <rPr>
        <sz val="11"/>
        <color rgb="FF000000"/>
        <rFont val="Meiryo UI"/>
        <family val="2"/>
      </rPr>
      <t>レシートNo</t>
    </r>
  </si>
  <si>
    <r>
      <rPr>
        <sz val="11"/>
        <color rgb="FF000000"/>
        <rFont val="Meiryo UI"/>
        <family val="2"/>
      </rPr>
      <t>レジNo</t>
    </r>
  </si>
  <si>
    <r>
      <rPr>
        <sz val="11"/>
        <color rgb="FF000000"/>
        <rFont val="Meiryo UI"/>
        <family val="2"/>
      </rPr>
      <t>保留日時（タイトル）</t>
    </r>
  </si>
  <si>
    <r>
      <rPr>
        <sz val="11"/>
        <color rgb="FF000000"/>
        <rFont val="Meiryo UI"/>
        <family val="2"/>
      </rPr>
      <t>開始日（値）</t>
    </r>
  </si>
  <si>
    <r>
      <rPr>
        <sz val="11"/>
        <color rgb="FF000000"/>
        <rFont val="Meiryo UI"/>
        <family val="2"/>
      </rPr>
      <t>開始時刻 (値)</t>
    </r>
  </si>
  <si>
    <r>
      <rPr>
        <sz val="11"/>
        <color rgb="FF000000"/>
        <rFont val="Meiryo UI"/>
        <family val="2"/>
      </rPr>
      <t>開始年月日</t>
    </r>
  </si>
  <si>
    <r>
      <rPr>
        <sz val="11"/>
        <color rgb="FF000000"/>
        <rFont val="Meiryo UI"/>
        <family val="2"/>
      </rPr>
      <t>開始時間</t>
    </r>
  </si>
  <si>
    <r>
      <rPr>
        <sz val="11"/>
        <color rgb="FF000000"/>
        <rFont val="Meiryo UI"/>
        <family val="2"/>
      </rPr>
      <t>終了時間</t>
    </r>
  </si>
  <si>
    <t>~</t>
  </si>
  <si>
    <r>
      <rPr>
        <sz val="11"/>
        <color rgb="FF000000"/>
        <rFont val="Meiryo UI"/>
        <family val="2"/>
      </rPr>
      <t>終了日（値）</t>
    </r>
  </si>
  <si>
    <r>
      <rPr>
        <sz val="11"/>
        <color rgb="FF000000"/>
        <rFont val="Meiryo UI"/>
        <family val="2"/>
      </rPr>
      <t>終了時刻（値）</t>
    </r>
  </si>
  <si>
    <r>
      <rPr>
        <sz val="11"/>
        <color rgb="FF000000"/>
        <rFont val="Meiryo UI"/>
        <family val="2"/>
      </rPr>
      <t>検索</t>
    </r>
  </si>
  <si>
    <r>
      <rPr>
        <sz val="11"/>
        <color rgb="FF000000"/>
        <rFont val="Meiryo UI"/>
        <family val="2"/>
      </rPr>
      <t>ボタン</t>
    </r>
  </si>
  <si>
    <r>
      <rPr>
        <sz val="11"/>
        <color rgb="FF000000"/>
        <rFont val="Meiryo UI"/>
        <family val="2"/>
      </rPr>
      <t>全て印刷</t>
    </r>
  </si>
  <si>
    <r>
      <rPr>
        <sz val="11"/>
        <color rgb="FF000000"/>
        <rFont val="Meiryo UI"/>
        <family val="2"/>
      </rPr>
      <t>チェックボックス</t>
    </r>
  </si>
  <si>
    <r>
      <rPr>
        <sz val="11"/>
        <color rgb="FF000000"/>
        <rFont val="Meiryo UI"/>
        <family val="2"/>
      </rPr>
      <t>印刷</t>
    </r>
  </si>
  <si>
    <r>
      <rPr>
        <sz val="11"/>
        <color rgb="FF000000"/>
        <rFont val="Meiryo UI"/>
        <family val="2"/>
      </rPr>
      <t>アイテム印刷</t>
    </r>
  </si>
  <si>
    <r>
      <rPr>
        <sz val="11"/>
        <color rgb="FF000000"/>
        <rFont val="Meiryo UI"/>
        <family val="2"/>
      </rPr>
      <t>保留・保留解除一覧</t>
    </r>
  </si>
  <si>
    <r>
      <rPr>
        <sz val="11"/>
        <color rgb="FF000000"/>
        <rFont val="Meiryo UI"/>
        <family val="2"/>
      </rPr>
      <t>店舗（タイトル）</t>
    </r>
  </si>
  <si>
    <r>
      <rPr>
        <sz val="11"/>
        <color rgb="FF000000"/>
        <rFont val="Meiryo UI"/>
        <family val="2"/>
      </rPr>
      <t>店舗（値）</t>
    </r>
  </si>
  <si>
    <r>
      <rPr>
        <sz val="11"/>
        <color rgb="FF000000"/>
        <rFont val="Meiryo UI"/>
        <family val="2"/>
      </rPr>
      <t>店舗</t>
    </r>
  </si>
  <si>
    <r>
      <rPr>
        <sz val="11"/>
        <color rgb="FF000000"/>
        <rFont val="Meiryo UI"/>
        <family val="2"/>
      </rPr>
      <t>保留日時</t>
    </r>
  </si>
  <si>
    <r>
      <rPr>
        <sz val="11"/>
        <color rgb="FF000000"/>
        <rFont val="Meiryo UI"/>
        <family val="2"/>
      </rPr>
      <t>保留日時（値)</t>
    </r>
  </si>
  <si>
    <r>
      <rPr>
        <sz val="11"/>
        <color rgb="FF000000"/>
        <rFont val="Meiryo UI"/>
        <family val="2"/>
      </rPr>
      <t>保留解除日時（タイトル）</t>
    </r>
  </si>
  <si>
    <r>
      <rPr>
        <sz val="11"/>
        <color rgb="FF000000"/>
        <rFont val="Meiryo UI"/>
        <family val="2"/>
      </rPr>
      <t>保留解除日時（値)</t>
    </r>
  </si>
  <si>
    <r>
      <rPr>
        <sz val="11"/>
        <color rgb="FF000000"/>
        <rFont val="Meiryo UI"/>
        <family val="2"/>
      </rPr>
      <t>保留解除日時</t>
    </r>
  </si>
  <si>
    <r>
      <rPr>
        <sz val="11"/>
        <color rgb="FF000000"/>
        <rFont val="Meiryo UI"/>
        <family val="2"/>
      </rPr>
      <t>更新者（タイトル）</t>
    </r>
  </si>
  <si>
    <r>
      <rPr>
        <sz val="11"/>
        <color rgb="FF000000"/>
        <rFont val="Meiryo UI"/>
        <family val="2"/>
      </rPr>
      <t>更新者（値）</t>
    </r>
  </si>
  <si>
    <r>
      <rPr>
        <sz val="11"/>
        <color rgb="FF000000"/>
        <rFont val="Meiryo UI"/>
        <family val="2"/>
      </rPr>
      <t>更新者</t>
    </r>
  </si>
  <si>
    <r>
      <rPr>
        <sz val="11"/>
        <color rgb="FF000000"/>
        <rFont val="Meiryo UI"/>
        <family val="2"/>
      </rPr>
      <t>レシートのイメージ</t>
    </r>
  </si>
  <si>
    <r>
      <rPr>
        <sz val="11"/>
        <color rgb="FF000000"/>
        <rFont val="Meiryo UI"/>
        <family val="2"/>
      </rPr>
      <t>クリア</t>
    </r>
  </si>
  <si>
    <r>
      <rPr>
        <sz val="11"/>
        <color rgb="FF000000"/>
        <rFont val="Meiryo UI"/>
        <family val="2"/>
      </rPr>
      <t>View</t>
    </r>
  </si>
  <si>
    <r>
      <rPr>
        <sz val="11"/>
        <color rgb="FF000000"/>
        <rFont val="Meiryo UI"/>
        <family val="2"/>
      </rPr>
      <t>O</t>
    </r>
  </si>
  <si>
    <r>
      <rPr>
        <sz val="11"/>
        <color rgb="FF000000"/>
        <rFont val="Meiryo UI"/>
        <family val="2"/>
      </rPr>
      <t>アイテムが印刷対象として選択されている場合に有効にする</t>
    </r>
  </si>
  <si>
    <r>
      <rPr>
        <sz val="11"/>
        <color rgb="FF000000"/>
        <rFont val="Meiryo UI"/>
        <family val="2"/>
      </rPr>
      <t>16_保留・保留解除</t>
    </r>
  </si>
  <si>
    <r>
      <rPr>
        <sz val="11"/>
        <color rgb="FF000000"/>
        <rFont val="Meiryo UI"/>
        <family val="2"/>
      </rPr>
      <t>画面タイトル</t>
    </r>
  </si>
  <si>
    <r>
      <rPr>
        <sz val="11"/>
        <color rgb="FF000000"/>
        <rFont val="Meiryo UI"/>
        <family val="2"/>
      </rPr>
      <t>保留・保留解除設定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</si>
  <si>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</si>
  <si>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</si>
  <si>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</si>
  <si>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</si>
  <si>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</si>
  <si>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</si>
  <si>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</si>
  <si>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</si>
  <si>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</si>
  <si>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</si>
  <si>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</si>
  <si>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画面設計書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</si>
  <si>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</si>
  <si>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</si>
  <si>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</si>
  <si>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機能カテゴリー</t>
    </r>
  </si>
  <si>
    <r>
      <rPr>
        <sz val="11"/>
        <color rgb="FFFFFFFF"/>
        <rFont val="Meiryo UI"/>
        <family val="2"/>
      </rPr>
      <t>更新内容</t>
    </r>
  </si>
  <si>
    <t>DuNT</t>
  </si>
  <si>
    <t xml:space="preserve">■イメージ </t>
  </si>
  <si>
    <t>■画面項目定義</t>
  </si>
  <si>
    <t>画面項目ID</t>
  </si>
  <si>
    <t>項目</t>
  </si>
  <si>
    <t>タイプ</t>
  </si>
  <si>
    <t>多言語</t>
  </si>
  <si>
    <t>出力</t>
  </si>
  <si>
    <t>インプット</t>
  </si>
  <si>
    <t>備考</t>
  </si>
  <si>
    <t>マッピングデータ</t>
  </si>
  <si>
    <t>初期値</t>
  </si>
  <si>
    <t>表示コントロール</t>
  </si>
  <si>
    <t>Control enable</t>
  </si>
  <si>
    <t>数字</t>
  </si>
  <si>
    <t>桁</t>
  </si>
  <si>
    <t>API名</t>
  </si>
  <si>
    <r>
      <rPr>
        <sz val="11"/>
        <color rgb="FF000000"/>
        <rFont val="Meiryo UI"/>
        <family val="2"/>
      </rPr>
      <t>イベントID：SC1601-01をご参照ください。</t>
    </r>
  </si>
  <si>
    <t>区分</t>
  </si>
  <si>
    <t>ドロップダウン</t>
  </si>
  <si>
    <r>
      <rPr>
        <sz val="11"/>
        <color rgb="FF000000"/>
        <rFont val="Meiryo UI"/>
        <family val="2"/>
      </rPr>
      <t xml:space="preserve">日時 </t>
    </r>
  </si>
  <si>
    <r>
      <rPr>
        <sz val="11"/>
        <color rgb="FF000000"/>
        <rFont val="Meiryo UI"/>
        <family val="2"/>
      </rPr>
      <t xml:space="preserve">終了年月日 </t>
    </r>
  </si>
  <si>
    <t>有効</t>
  </si>
  <si>
    <r>
      <rPr>
        <sz val="11"/>
        <color rgb="FF000000"/>
        <rFont val="Meiryo UI"/>
        <family val="2"/>
      </rPr>
      <t>イベントID：SC1601-02</t>
    </r>
  </si>
  <si>
    <t>Type</t>
  </si>
  <si>
    <r>
      <rPr>
        <sz val="11"/>
        <color rgb="FF000000"/>
        <rFont val="Meiryo UI"/>
        <family val="2"/>
      </rPr>
      <t>イベントID：SC1601-03</t>
    </r>
  </si>
  <si>
    <t>O</t>
  </si>
  <si>
    <r>
      <rPr>
        <sz val="11"/>
        <color rgb="FF000000"/>
        <rFont val="Meiryo UI"/>
        <family val="2"/>
      </rPr>
      <t>イベントID：SC1601-04</t>
    </r>
  </si>
  <si>
    <t>ログイン</t>
  </si>
  <si>
    <r>
      <rPr>
        <sz val="11"/>
        <color rgb="FF000000"/>
        <rFont val="Meiryo UI"/>
        <family val="2"/>
      </rPr>
      <t>イベントID：SC1601-05</t>
    </r>
  </si>
  <si>
    <r>
      <rPr>
        <sz val="11"/>
        <color rgb="FF000000"/>
        <rFont val="Meiryo UI"/>
        <family val="2"/>
      </rPr>
      <t>レシートNo（タイトル）</t>
    </r>
  </si>
  <si>
    <r>
      <rPr>
        <sz val="11"/>
        <color rgb="FF000000"/>
        <rFont val="Meiryo UI"/>
        <family val="2"/>
      </rPr>
      <t>レシートNo（値）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</si>
</sst>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14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trike/>
      <sz val="11"/>
      <color rgb="FF0070C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6" fillId="0" borderId="0">
      <alignment vertical="center"/>
    </xf>
  </cellStyleXfs>
  <cellXfs count="254">
    <xf numFmtId="0" fontId="0" fillId="0" borderId="0" xfId="0"/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1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4" fillId="0" borderId="0" xfId="6" applyFont="1" applyAlignment="1">
      <alignment vertical="center"/>
    </xf>
    <xf numFmtId="0" fontId="3" fillId="0" borderId="16" xfId="6" applyFont="1" applyBorder="1" applyAlignment="1">
      <alignment horizontal="center" vertical="center"/>
    </xf>
    <xf numFmtId="0" fontId="3" fillId="0" borderId="16" xfId="6" applyFont="1" applyBorder="1" applyAlignment="1">
      <alignment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18" xfId="6" applyFont="1" applyBorder="1" applyAlignment="1">
      <alignment vertical="center"/>
    </xf>
    <xf numFmtId="0" fontId="3" fillId="2" borderId="16" xfId="6" applyFont="1" applyFill="1" applyBorder="1" applyAlignment="1">
      <alignment horizontal="center" vertical="center"/>
    </xf>
    <xf numFmtId="0" fontId="3" fillId="0" borderId="19" xfId="6" applyFont="1" applyBorder="1" applyAlignment="1">
      <alignment horizontal="center" vertical="center"/>
    </xf>
    <xf numFmtId="0" fontId="3" fillId="2" borderId="17" xfId="6" applyFont="1" applyFill="1" applyBorder="1" applyAlignment="1">
      <alignment horizontal="center" vertical="center"/>
    </xf>
    <xf numFmtId="0" fontId="3" fillId="2" borderId="16" xfId="6" applyFont="1" applyFill="1" applyBorder="1" applyAlignment="1">
      <alignment vertical="center"/>
    </xf>
    <xf numFmtId="0" fontId="4" fillId="0" borderId="17" xfId="6" applyFont="1" applyBorder="1" applyAlignment="1">
      <alignment horizontal="center" vertical="center"/>
    </xf>
    <xf numFmtId="0" fontId="3" fillId="0" borderId="0" xfId="6" applyFont="1" applyAlignment="1">
      <alignment horizontal="center" vertical="center"/>
    </xf>
    <xf numFmtId="0" fontId="3" fillId="0" borderId="0" xfId="6" quotePrefix="1" applyFont="1" applyAlignment="1">
      <alignment vertical="center" wrapText="1"/>
    </xf>
    <xf numFmtId="0" fontId="3" fillId="0" borderId="0" xfId="6" quotePrefix="1" applyFont="1" applyAlignment="1">
      <alignment horizontal="left" vertical="center"/>
    </xf>
    <xf numFmtId="0" fontId="3" fillId="0" borderId="0" xfId="6" applyFont="1" applyAlignment="1">
      <alignment horizontal="left" vertical="center"/>
    </xf>
    <xf numFmtId="0" fontId="4" fillId="0" borderId="0" xfId="6" applyFont="1" applyAlignment="1">
      <alignment horizontal="left" vertical="center"/>
    </xf>
    <xf numFmtId="0" fontId="3" fillId="2" borderId="19" xfId="6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3" fillId="0" borderId="32" xfId="6" applyFont="1" applyBorder="1" applyAlignment="1">
      <alignment horizontal="center" vertical="center"/>
    </xf>
    <xf numFmtId="0" fontId="3" fillId="0" borderId="33" xfId="6" applyFont="1" applyBorder="1" applyAlignment="1">
      <alignment horizontal="center" vertical="center"/>
    </xf>
    <xf numFmtId="0" fontId="3" fillId="0" borderId="34" xfId="6" applyFont="1" applyBorder="1" applyAlignment="1">
      <alignment horizontal="center" vertical="center"/>
    </xf>
    <xf numFmtId="0" fontId="3" fillId="2" borderId="32" xfId="6" applyFont="1" applyFill="1" applyBorder="1" applyAlignment="1">
      <alignment horizontal="center" vertical="center"/>
    </xf>
    <xf numFmtId="0" fontId="3" fillId="2" borderId="34" xfId="6" applyFont="1" applyFill="1" applyBorder="1" applyAlignment="1">
      <alignment horizontal="center" vertical="center"/>
    </xf>
    <xf numFmtId="0" fontId="3" fillId="2" borderId="33" xfId="6" applyFont="1" applyFill="1" applyBorder="1" applyAlignment="1">
      <alignment horizontal="center" vertical="center"/>
    </xf>
    <xf numFmtId="0" fontId="3" fillId="2" borderId="32" xfId="6" quotePrefix="1" applyFont="1" applyFill="1" applyBorder="1" applyAlignment="1">
      <alignment horizontal="left" vertical="center"/>
    </xf>
    <xf numFmtId="0" fontId="3" fillId="2" borderId="33" xfId="6" applyFont="1" applyFill="1" applyBorder="1" applyAlignment="1">
      <alignment horizontal="left" vertical="center"/>
    </xf>
    <xf numFmtId="0" fontId="3" fillId="2" borderId="34" xfId="6" applyFont="1" applyFill="1" applyBorder="1" applyAlignment="1">
      <alignment horizontal="left" vertical="center"/>
    </xf>
    <xf numFmtId="0" fontId="3" fillId="2" borderId="32" xfId="6" applyFont="1" applyFill="1" applyBorder="1" applyAlignment="1">
      <alignment horizontal="left" vertical="center"/>
    </xf>
    <xf numFmtId="0" fontId="3" fillId="2" borderId="32" xfId="6" quotePrefix="1" applyFont="1" applyFill="1" applyBorder="1" applyAlignment="1">
      <alignment horizontal="left" vertical="center" wrapText="1"/>
    </xf>
    <xf numFmtId="0" fontId="3" fillId="2" borderId="33" xfId="6" quotePrefix="1" applyFont="1" applyFill="1" applyBorder="1" applyAlignment="1">
      <alignment horizontal="left" vertical="center" wrapText="1"/>
    </xf>
    <xf numFmtId="0" fontId="3" fillId="2" borderId="34" xfId="6" quotePrefix="1" applyFont="1" applyFill="1" applyBorder="1" applyAlignment="1">
      <alignment horizontal="left" vertical="center" wrapText="1"/>
    </xf>
    <xf numFmtId="0" fontId="3" fillId="0" borderId="32" xfId="6" quotePrefix="1" applyFont="1" applyBorder="1" applyAlignment="1">
      <alignment vertical="center" wrapText="1"/>
    </xf>
    <xf numFmtId="0" fontId="3" fillId="0" borderId="33" xfId="6" quotePrefix="1" applyFont="1" applyBorder="1" applyAlignment="1">
      <alignment vertical="center" wrapText="1"/>
    </xf>
    <xf numFmtId="0" fontId="3" fillId="0" borderId="34" xfId="6" quotePrefix="1" applyFont="1" applyBorder="1" applyAlignment="1">
      <alignment vertical="center" wrapText="1"/>
    </xf>
    <xf numFmtId="0" fontId="3" fillId="0" borderId="32" xfId="6" applyFont="1" applyBorder="1" applyAlignment="1">
      <alignment vertical="center"/>
    </xf>
    <xf numFmtId="0" fontId="3" fillId="0" borderId="33" xfId="6" applyFont="1" applyBorder="1" applyAlignment="1">
      <alignment vertical="center"/>
    </xf>
    <xf numFmtId="0" fontId="3" fillId="0" borderId="34" xfId="6" applyFont="1" applyBorder="1" applyAlignment="1">
      <alignment vertical="center"/>
    </xf>
    <xf numFmtId="0" fontId="3" fillId="0" borderId="32" xfId="6" quotePrefix="1" applyFont="1" applyBorder="1" applyAlignment="1">
      <alignment horizontal="center" vertical="center"/>
    </xf>
    <xf numFmtId="0" fontId="4" fillId="0" borderId="32" xfId="6" applyFont="1" applyBorder="1" applyAlignment="1">
      <alignment horizontal="left" vertical="center"/>
    </xf>
    <xf numFmtId="0" fontId="3" fillId="0" borderId="33" xfId="6" applyFont="1" applyBorder="1" applyAlignment="1">
      <alignment horizontal="left" vertical="center"/>
    </xf>
    <xf numFmtId="0" fontId="3" fillId="0" borderId="34" xfId="6" applyFont="1" applyBorder="1" applyAlignment="1">
      <alignment horizontal="left" vertical="center"/>
    </xf>
    <xf numFmtId="0" fontId="3" fillId="0" borderId="32" xfId="6" applyFont="1" applyBorder="1" applyAlignment="1">
      <alignment horizontal="left" vertical="center"/>
    </xf>
    <xf numFmtId="0" fontId="3" fillId="0" borderId="32" xfId="6" quotePrefix="1" applyFont="1" applyBorder="1" applyAlignment="1">
      <alignment horizontal="left" vertical="center"/>
    </xf>
    <xf numFmtId="0" fontId="3" fillId="0" borderId="29" xfId="6" applyFont="1" applyBorder="1" applyAlignment="1">
      <alignment horizontal="center" vertical="center"/>
    </xf>
    <xf numFmtId="0" fontId="3" fillId="0" borderId="30" xfId="6" applyFont="1" applyBorder="1" applyAlignment="1">
      <alignment horizontal="center" vertical="center"/>
    </xf>
    <xf numFmtId="0" fontId="3" fillId="0" borderId="31" xfId="6" applyFont="1" applyBorder="1" applyAlignment="1">
      <alignment horizontal="center" vertical="center"/>
    </xf>
    <xf numFmtId="0" fontId="3" fillId="0" borderId="29" xfId="6" quotePrefix="1" applyFont="1" applyBorder="1" applyAlignment="1">
      <alignment vertical="center" wrapText="1"/>
    </xf>
    <xf numFmtId="0" fontId="3" fillId="0" borderId="30" xfId="6" quotePrefix="1" applyFont="1" applyBorder="1" applyAlignment="1">
      <alignment vertical="center" wrapText="1"/>
    </xf>
    <xf numFmtId="0" fontId="3" fillId="0" borderId="31" xfId="6" quotePrefix="1" applyFont="1" applyBorder="1" applyAlignment="1">
      <alignment vertical="center" wrapText="1"/>
    </xf>
    <xf numFmtId="0" fontId="3" fillId="0" borderId="29" xfId="6" applyFont="1" applyBorder="1" applyAlignment="1">
      <alignment vertical="center"/>
    </xf>
    <xf numFmtId="0" fontId="3" fillId="0" borderId="30" xfId="6" applyFont="1" applyBorder="1" applyAlignment="1">
      <alignment vertical="center"/>
    </xf>
    <xf numFmtId="0" fontId="3" fillId="0" borderId="31" xfId="6" applyFont="1" applyBorder="1" applyAlignment="1">
      <alignment vertical="center"/>
    </xf>
    <xf numFmtId="0" fontId="3" fillId="0" borderId="29" xfId="6" quotePrefix="1" applyFont="1" applyBorder="1" applyAlignment="1">
      <alignment horizontal="left" vertical="center"/>
    </xf>
    <xf numFmtId="0" fontId="3" fillId="0" borderId="30" xfId="6" applyFont="1" applyBorder="1" applyAlignment="1">
      <alignment horizontal="left" vertical="center"/>
    </xf>
    <xf numFmtId="0" fontId="3" fillId="0" borderId="31" xfId="6" applyFont="1" applyBorder="1" applyAlignment="1">
      <alignment horizontal="left" vertical="center"/>
    </xf>
    <xf numFmtId="0" fontId="4" fillId="0" borderId="29" xfId="6" applyFont="1" applyBorder="1" applyAlignment="1">
      <alignment horizontal="left" vertical="center"/>
    </xf>
    <xf numFmtId="0" fontId="3" fillId="0" borderId="23" xfId="6" applyFont="1" applyBorder="1" applyAlignment="1">
      <alignment horizontal="center" vertical="center"/>
    </xf>
    <xf numFmtId="0" fontId="3" fillId="0" borderId="24" xfId="6" applyFont="1" applyBorder="1" applyAlignment="1">
      <alignment horizontal="center" vertical="center"/>
    </xf>
    <xf numFmtId="0" fontId="3" fillId="0" borderId="25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3" fillId="0" borderId="20" xfId="6" applyFont="1" applyBorder="1" applyAlignment="1">
      <alignment horizontal="center" vertical="center"/>
    </xf>
    <xf numFmtId="0" fontId="3" fillId="0" borderId="21" xfId="6" applyFont="1" applyBorder="1" applyAlignment="1">
      <alignment horizontal="center" vertical="center"/>
    </xf>
    <xf numFmtId="0" fontId="3" fillId="0" borderId="22" xfId="6" applyFont="1" applyBorder="1" applyAlignment="1">
      <alignment horizontal="center" vertical="center"/>
    </xf>
    <xf numFmtId="0" fontId="4" fillId="0" borderId="20" xfId="6" applyFont="1" applyBorder="1" applyAlignment="1">
      <alignment horizontal="center" vertical="center"/>
    </xf>
    <xf numFmtId="0" fontId="4" fillId="4" borderId="23" xfId="6" applyFont="1" applyFill="1" applyBorder="1" applyAlignment="1">
      <alignment vertical="center" wrapText="1"/>
    </xf>
    <xf numFmtId="0" fontId="3" fillId="4" borderId="25" xfId="6" applyFont="1" applyFill="1" applyBorder="1" applyAlignment="1">
      <alignment vertical="center"/>
    </xf>
    <xf numFmtId="0" fontId="3" fillId="4" borderId="1" xfId="6" applyFont="1" applyFill="1" applyBorder="1" applyAlignment="1">
      <alignment vertical="center"/>
    </xf>
    <xf numFmtId="0" fontId="3" fillId="4" borderId="4" xfId="6" applyFont="1" applyFill="1" applyBorder="1" applyAlignment="1">
      <alignment vertical="center"/>
    </xf>
    <xf numFmtId="0" fontId="3" fillId="4" borderId="2" xfId="6" applyFont="1" applyFill="1" applyBorder="1" applyAlignment="1">
      <alignment vertical="center"/>
    </xf>
    <xf numFmtId="0" fontId="3" fillId="4" borderId="5" xfId="6" applyFont="1" applyFill="1" applyBorder="1" applyAlignment="1">
      <alignment vertical="center"/>
    </xf>
    <xf numFmtId="0" fontId="4" fillId="4" borderId="23" xfId="6" applyFont="1" applyFill="1" applyBorder="1" applyAlignment="1">
      <alignment vertical="center"/>
    </xf>
    <xf numFmtId="0" fontId="3" fillId="4" borderId="24" xfId="6" applyFont="1" applyFill="1" applyBorder="1" applyAlignment="1">
      <alignment vertical="center"/>
    </xf>
    <xf numFmtId="0" fontId="3" fillId="4" borderId="0" xfId="6" applyFont="1" applyFill="1" applyAlignment="1">
      <alignment vertical="center"/>
    </xf>
    <xf numFmtId="0" fontId="3" fillId="4" borderId="3" xfId="6" applyFont="1" applyFill="1" applyBorder="1" applyAlignment="1">
      <alignment vertical="center"/>
    </xf>
    <xf numFmtId="0" fontId="3" fillId="4" borderId="35" xfId="6" applyFont="1" applyFill="1" applyBorder="1" applyAlignment="1">
      <alignment vertical="center" shrinkToFit="1"/>
    </xf>
    <xf numFmtId="0" fontId="3" fillId="4" borderId="36" xfId="6" applyFont="1" applyFill="1" applyBorder="1" applyAlignment="1">
      <alignment vertical="center" shrinkToFit="1"/>
    </xf>
    <xf numFmtId="0" fontId="3" fillId="4" borderId="37" xfId="6" applyFont="1" applyFill="1" applyBorder="1" applyAlignment="1">
      <alignment vertical="center" shrinkToFit="1"/>
    </xf>
    <xf numFmtId="0" fontId="4" fillId="4" borderId="35" xfId="6" applyFont="1" applyFill="1" applyBorder="1" applyAlignment="1">
      <alignment vertical="center" wrapText="1"/>
    </xf>
    <xf numFmtId="0" fontId="4" fillId="4" borderId="36" xfId="6" applyFont="1" applyFill="1" applyBorder="1" applyAlignment="1">
      <alignment vertical="center" wrapText="1"/>
    </xf>
    <xf numFmtId="0" fontId="4" fillId="4" borderId="37" xfId="6" applyFont="1" applyFill="1" applyBorder="1" applyAlignment="1">
      <alignment vertical="center" wrapText="1"/>
    </xf>
    <xf numFmtId="0" fontId="4" fillId="6" borderId="20" xfId="6" applyFont="1" applyFill="1" applyBorder="1" applyAlignment="1">
      <alignment vertical="center"/>
    </xf>
    <xf numFmtId="0" fontId="3" fillId="6" borderId="21" xfId="6" applyFont="1" applyFill="1" applyBorder="1" applyAlignment="1">
      <alignment vertical="center"/>
    </xf>
    <xf numFmtId="0" fontId="3" fillId="6" borderId="38" xfId="6" applyFont="1" applyFill="1" applyBorder="1" applyAlignment="1">
      <alignment vertical="center"/>
    </xf>
    <xf numFmtId="0" fontId="4" fillId="6" borderId="39" xfId="6" applyFont="1" applyFill="1" applyBorder="1" applyAlignment="1">
      <alignment vertical="center"/>
    </xf>
    <xf numFmtId="0" fontId="3" fillId="6" borderId="22" xfId="6" applyFont="1" applyFill="1" applyBorder="1" applyAlignment="1">
      <alignment vertical="center"/>
    </xf>
    <xf numFmtId="0" fontId="3" fillId="2" borderId="32" xfId="6" quotePrefix="1" applyFont="1" applyFill="1" applyBorder="1" applyAlignment="1">
      <alignment vertical="center"/>
    </xf>
    <xf numFmtId="0" fontId="3" fillId="2" borderId="33" xfId="6" quotePrefix="1" applyFont="1" applyFill="1" applyBorder="1" applyAlignment="1">
      <alignment vertical="center"/>
    </xf>
    <xf numFmtId="0" fontId="3" fillId="2" borderId="34" xfId="6" quotePrefix="1" applyFont="1" applyFill="1" applyBorder="1" applyAlignment="1">
      <alignment vertical="center"/>
    </xf>
    <xf numFmtId="0" fontId="3" fillId="2" borderId="32" xfId="6" applyFont="1" applyFill="1" applyBorder="1" applyAlignment="1">
      <alignment vertical="center"/>
    </xf>
    <xf numFmtId="0" fontId="3" fillId="2" borderId="33" xfId="6" applyFont="1" applyFill="1" applyBorder="1" applyAlignment="1">
      <alignment vertical="center"/>
    </xf>
    <xf numFmtId="0" fontId="3" fillId="2" borderId="34" xfId="6" applyFont="1" applyFill="1" applyBorder="1" applyAlignment="1">
      <alignment vertical="center"/>
    </xf>
    <xf numFmtId="0" fontId="4" fillId="5" borderId="20" xfId="6" applyFont="1" applyFill="1" applyBorder="1" applyAlignment="1">
      <alignment vertical="center"/>
    </xf>
    <xf numFmtId="0" fontId="3" fillId="5" borderId="21" xfId="6" applyFont="1" applyFill="1" applyBorder="1" applyAlignment="1">
      <alignment vertical="center"/>
    </xf>
    <xf numFmtId="0" fontId="3" fillId="5" borderId="22" xfId="6" applyFont="1" applyFill="1" applyBorder="1" applyAlignment="1">
      <alignment vertical="center"/>
    </xf>
    <xf numFmtId="0" fontId="4" fillId="7" borderId="23" xfId="6" applyFont="1" applyFill="1" applyBorder="1" applyAlignment="1">
      <alignment vertical="center"/>
    </xf>
    <xf numFmtId="0" fontId="3" fillId="7" borderId="24" xfId="6" applyFont="1" applyFill="1" applyBorder="1" applyAlignment="1">
      <alignment vertical="center"/>
    </xf>
    <xf numFmtId="0" fontId="3" fillId="7" borderId="25" xfId="6" applyFont="1" applyFill="1" applyBorder="1" applyAlignment="1">
      <alignment vertical="center"/>
    </xf>
    <xf numFmtId="0" fontId="3" fillId="7" borderId="1" xfId="6" applyFont="1" applyFill="1" applyBorder="1" applyAlignment="1">
      <alignment vertical="center"/>
    </xf>
    <xf numFmtId="0" fontId="3" fillId="7" borderId="0" xfId="6" applyFont="1" applyFill="1" applyAlignment="1">
      <alignment vertical="center"/>
    </xf>
    <xf numFmtId="0" fontId="3" fillId="7" borderId="4" xfId="6" applyFont="1" applyFill="1" applyBorder="1" applyAlignment="1">
      <alignment vertical="center"/>
    </xf>
    <xf numFmtId="0" fontId="3" fillId="7" borderId="2" xfId="6" applyFont="1" applyFill="1" applyBorder="1" applyAlignment="1">
      <alignment vertical="center"/>
    </xf>
    <xf numFmtId="0" fontId="3" fillId="7" borderId="3" xfId="6" applyFont="1" applyFill="1" applyBorder="1" applyAlignment="1">
      <alignment vertical="center"/>
    </xf>
    <xf numFmtId="0" fontId="3" fillId="7" borderId="5" xfId="6" applyFont="1" applyFill="1" applyBorder="1" applyAlignment="1">
      <alignment vertical="center"/>
    </xf>
    <xf numFmtId="0" fontId="4" fillId="5" borderId="20" xfId="6" applyFont="1" applyFill="1" applyBorder="1"/>
    <xf numFmtId="0" fontId="4" fillId="5" borderId="21" xfId="6" applyFont="1" applyFill="1" applyBorder="1"/>
    <xf numFmtId="0" fontId="4" fillId="5" borderId="22" xfId="6" applyFont="1" applyFill="1" applyBorder="1"/>
    <xf numFmtId="0" fontId="4" fillId="5" borderId="23" xfId="6" applyFont="1" applyFill="1" applyBorder="1" applyAlignment="1">
      <alignment vertical="center"/>
    </xf>
    <xf numFmtId="0" fontId="3" fillId="5" borderId="24" xfId="6" applyFont="1" applyFill="1" applyBorder="1" applyAlignment="1">
      <alignment vertical="center"/>
    </xf>
    <xf numFmtId="0" fontId="3" fillId="5" borderId="25" xfId="6" applyFont="1" applyFill="1" applyBorder="1" applyAlignment="1">
      <alignment vertical="center"/>
    </xf>
    <xf numFmtId="0" fontId="3" fillId="5" borderId="2" xfId="6" applyFont="1" applyFill="1" applyBorder="1" applyAlignment="1">
      <alignment vertical="center"/>
    </xf>
    <xf numFmtId="0" fontId="3" fillId="5" borderId="3" xfId="6" applyFont="1" applyFill="1" applyBorder="1" applyAlignment="1">
      <alignment vertical="center"/>
    </xf>
    <xf numFmtId="0" fontId="3" fillId="5" borderId="5" xfId="6" applyFont="1" applyFill="1" applyBorder="1" applyAlignment="1">
      <alignment vertical="center"/>
    </xf>
    <xf numFmtId="0" fontId="3" fillId="6" borderId="23" xfId="6" applyFont="1" applyFill="1" applyBorder="1" applyAlignment="1">
      <alignment vertical="center" wrapText="1"/>
    </xf>
    <xf numFmtId="0" fontId="3" fillId="6" borderId="2" xfId="6" applyFont="1" applyFill="1" applyBorder="1" applyAlignment="1">
      <alignment vertical="center" wrapText="1"/>
    </xf>
    <xf numFmtId="0" fontId="4" fillId="6" borderId="35" xfId="6" applyFont="1" applyFill="1" applyBorder="1" applyAlignment="1">
      <alignment vertical="center" wrapText="1"/>
    </xf>
    <xf numFmtId="0" fontId="4" fillId="6" borderId="37" xfId="6" applyFont="1" applyFill="1" applyBorder="1" applyAlignment="1">
      <alignment vertical="center" wrapText="1"/>
    </xf>
    <xf numFmtId="0" fontId="4" fillId="6" borderId="25" xfId="6" applyFont="1" applyFill="1" applyBorder="1" applyAlignment="1">
      <alignment vertical="center" wrapText="1"/>
    </xf>
    <xf numFmtId="0" fontId="4" fillId="6" borderId="5" xfId="6" applyFont="1" applyFill="1" applyBorder="1" applyAlignment="1">
      <alignment vertical="center" wrapText="1"/>
    </xf>
    <xf numFmtId="0" fontId="4" fillId="2" borderId="32" xfId="6" quotePrefix="1" applyFont="1" applyFill="1" applyBorder="1" applyAlignment="1">
      <alignment horizontal="left" vertical="center"/>
    </xf>
    <xf numFmtId="0" fontId="4" fillId="2" borderId="33" xfId="6" applyFont="1" applyFill="1" applyBorder="1" applyAlignment="1">
      <alignment horizontal="left" vertical="center"/>
    </xf>
    <xf numFmtId="0" fontId="4" fillId="2" borderId="34" xfId="6" applyFont="1" applyFill="1" applyBorder="1" applyAlignment="1">
      <alignment horizontal="left" vertical="center"/>
    </xf>
    <xf numFmtId="0" fontId="5" fillId="0" borderId="32" xfId="6" applyFont="1" applyBorder="1" applyAlignment="1">
      <alignment vertical="center" wrapText="1"/>
    </xf>
    <xf numFmtId="0" fontId="4" fillId="0" borderId="32" xfId="6" quotePrefix="1" applyFont="1" applyBorder="1" applyAlignment="1">
      <alignment horizontal="left" vertical="center"/>
    </xf>
    <xf numFmtId="0" fontId="4" fillId="0" borderId="33" xfId="6" applyFont="1" applyBorder="1" applyAlignment="1">
      <alignment horizontal="left" vertical="center"/>
    </xf>
    <xf numFmtId="0" fontId="4" fillId="0" borderId="34" xfId="6" applyFont="1" applyBorder="1" applyAlignment="1">
      <alignment horizontal="left" vertical="center"/>
    </xf>
    <xf numFmtId="0" fontId="4" fillId="0" borderId="32" xfId="6" applyFont="1" applyBorder="1" applyAlignment="1">
      <alignment vertical="center"/>
    </xf>
    <xf numFmtId="0" fontId="4" fillId="0" borderId="32" xfId="6" applyFont="1" applyBorder="1" applyAlignment="1">
      <alignment horizontal="center" vertical="center"/>
    </xf>
    <xf numFmtId="0" fontId="3" fillId="0" borderId="32" xfId="6" quotePrefix="1" applyFont="1" applyBorder="1" applyAlignment="1">
      <alignment vertical="center"/>
    </xf>
    <xf numFmtId="0" fontId="3" fillId="0" borderId="33" xfId="6" quotePrefix="1" applyFont="1" applyBorder="1" applyAlignment="1">
      <alignment vertical="center"/>
    </xf>
    <xf numFmtId="0" fontId="3" fillId="0" borderId="34" xfId="6" quotePrefix="1" applyFont="1" applyBorder="1" applyAlignment="1">
      <alignment vertical="center"/>
    </xf>
    <xf numFmtId="0" fontId="3" fillId="0" borderId="29" xfId="6" quotePrefix="1" applyFont="1" applyBorder="1" applyAlignment="1">
      <alignment vertical="center"/>
    </xf>
    <xf numFmtId="0" fontId="3" fillId="0" borderId="30" xfId="6" quotePrefix="1" applyFont="1" applyBorder="1" applyAlignment="1">
      <alignment vertical="center"/>
    </xf>
    <xf numFmtId="0" fontId="3" fillId="0" borderId="31" xfId="6" quotePrefix="1" applyFont="1" applyBorder="1" applyAlignment="1">
      <alignment vertical="center"/>
    </xf>
    <xf numFmtId="0" fontId="4" fillId="0" borderId="29" xfId="6" quotePrefix="1" applyFont="1" applyBorder="1" applyAlignment="1">
      <alignment horizontal="center" vertical="center"/>
    </xf>
    <xf numFmtId="0" fontId="4" fillId="0" borderId="30" xfId="6" applyFont="1" applyBorder="1" applyAlignment="1">
      <alignment horizontal="center" vertical="center"/>
    </xf>
    <xf numFmtId="0" fontId="4" fillId="0" borderId="31" xfId="6" applyFont="1" applyBorder="1" applyAlignment="1">
      <alignment horizontal="center" vertical="center"/>
    </xf>
    <xf numFmtId="0" fontId="3" fillId="0" borderId="29" xfId="6" applyFont="1" applyBorder="1" applyAlignment="1">
      <alignment horizontal="left" vertical="center"/>
    </xf>
    <xf numFmtId="0" fontId="4" fillId="0" borderId="32" xfId="6" quotePrefix="1" applyFont="1" applyBorder="1" applyAlignment="1">
      <alignment horizontal="center" vertical="center" wrapText="1"/>
    </xf>
    <xf numFmtId="0" fontId="4" fillId="0" borderId="33" xfId="6" applyFont="1" applyBorder="1" applyAlignment="1">
      <alignment horizontal="center" vertical="center" wrapText="1"/>
    </xf>
    <xf numFmtId="0" fontId="4" fillId="0" borderId="34" xfId="6" applyFont="1" applyBorder="1" applyAlignment="1">
      <alignment horizontal="center" vertical="center" wrapText="1"/>
    </xf>
    <xf numFmtId="0" fontId="7" fillId="3" borderId="20" xfId="0" applyFont="1" applyFill="1" applyBorder="1" applyAlignment="1">
      <alignment horizontal="center" vertical="center"/>
    </xf>
    <xf numFmtId="0" fontId="7" fillId="3" borderId="21" xfId="0" applyFont="1" applyFill="1" applyBorder="1" applyAlignment="1">
      <alignment horizontal="center" vertical="center"/>
    </xf>
    <xf numFmtId="0" fontId="7" fillId="3" borderId="22" xfId="0" applyFont="1" applyFill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1" fillId="0" borderId="0" xfId="0" applyFont="1"/>
    <xf numFmtId="0" fontId="11" fillId="0" borderId="24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14" fontId="11" fillId="0" borderId="23" xfId="0" applyNumberFormat="1" applyFont="1" applyBorder="1" applyAlignment="1">
      <alignment horizontal="center" vertical="center"/>
    </xf>
    <xf numFmtId="14" fontId="11" fillId="0" borderId="24" xfId="0" applyNumberFormat="1" applyFont="1" applyBorder="1" applyAlignment="1">
      <alignment horizontal="center" vertical="center"/>
    </xf>
    <xf numFmtId="14" fontId="11" fillId="0" borderId="25" xfId="0" applyNumberFormat="1" applyFont="1" applyBorder="1" applyAlignment="1">
      <alignment horizontal="center" vertical="center"/>
    </xf>
    <xf numFmtId="2" fontId="11" fillId="0" borderId="23" xfId="0" applyNumberFormat="1" applyFont="1" applyBorder="1" applyAlignment="1">
      <alignment horizontal="center" vertical="center"/>
    </xf>
    <xf numFmtId="2" fontId="11" fillId="0" borderId="24" xfId="0" applyNumberFormat="1" applyFont="1" applyBorder="1" applyAlignment="1">
      <alignment horizontal="center" vertical="center"/>
    </xf>
    <xf numFmtId="2" fontId="11" fillId="0" borderId="25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4" fontId="11" fillId="0" borderId="2" xfId="0" applyNumberFormat="1" applyFont="1" applyBorder="1" applyAlignment="1">
      <alignment horizontal="center" vertical="center"/>
    </xf>
    <xf numFmtId="14" fontId="11" fillId="0" borderId="3" xfId="0" applyNumberFormat="1" applyFont="1" applyBorder="1" applyAlignment="1">
      <alignment horizontal="center" vertical="center"/>
    </xf>
    <xf numFmtId="14" fontId="11" fillId="0" borderId="5" xfId="0" applyNumberFormat="1" applyFont="1" applyBorder="1" applyAlignment="1">
      <alignment horizontal="center" vertical="center"/>
    </xf>
    <xf numFmtId="2" fontId="11" fillId="0" borderId="2" xfId="0" applyNumberFormat="1" applyFont="1" applyBorder="1" applyAlignment="1">
      <alignment horizontal="center" vertical="center"/>
    </xf>
    <xf numFmtId="2" fontId="11" fillId="0" borderId="3" xfId="0" applyNumberFormat="1" applyFont="1" applyBorder="1" applyAlignment="1">
      <alignment horizontal="center" vertical="center"/>
    </xf>
    <xf numFmtId="2" fontId="11" fillId="0" borderId="5" xfId="0" applyNumberFormat="1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2" xfId="0" applyFont="1" applyBorder="1"/>
    <xf numFmtId="0" fontId="11" fillId="0" borderId="3" xfId="0" applyFont="1" applyBorder="1"/>
    <xf numFmtId="0" fontId="11" fillId="0" borderId="5" xfId="0" applyFont="1" applyBorder="1"/>
    <xf numFmtId="0" fontId="11" fillId="0" borderId="1" xfId="0" applyFont="1" applyBorder="1"/>
    <xf numFmtId="0" fontId="11" fillId="0" borderId="4" xfId="0" applyFont="1" applyBorder="1"/>
    <xf numFmtId="0" fontId="11" fillId="0" borderId="7" xfId="0" applyFont="1" applyBorder="1"/>
    <xf numFmtId="0" fontId="11" fillId="0" borderId="8" xfId="0" applyFont="1" applyBorder="1"/>
    <xf numFmtId="0" fontId="11" fillId="0" borderId="11" xfId="0" applyFont="1" applyBorder="1"/>
    <xf numFmtId="0" fontId="11" fillId="0" borderId="6" xfId="0" applyFont="1" applyBorder="1"/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1" fillId="0" borderId="12" xfId="0" applyFont="1" applyBorder="1"/>
    <xf numFmtId="0" fontId="11" fillId="0" borderId="14" xfId="0" applyFont="1" applyBorder="1"/>
    <xf numFmtId="0" fontId="11" fillId="0" borderId="15" xfId="0" applyFont="1" applyBorder="1"/>
    <xf numFmtId="0" fontId="11" fillId="0" borderId="9" xfId="0" applyFont="1" applyBorder="1"/>
    <xf numFmtId="0" fontId="11" fillId="0" borderId="10" xfId="0" applyFont="1" applyBorder="1"/>
    <xf numFmtId="0" fontId="11" fillId="0" borderId="13" xfId="0" applyFont="1" applyBorder="1"/>
    <xf numFmtId="0" fontId="7" fillId="3" borderId="23" xfId="0" applyFont="1" applyFill="1" applyBorder="1" applyAlignment="1">
      <alignment horizontal="center" vertical="center"/>
    </xf>
    <xf numFmtId="0" fontId="7" fillId="3" borderId="24" xfId="0" applyFont="1" applyFill="1" applyBorder="1" applyAlignment="1">
      <alignment horizontal="center" vertical="center"/>
    </xf>
    <xf numFmtId="0" fontId="7" fillId="3" borderId="25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7" fillId="3" borderId="0" xfId="0" applyFont="1" applyFill="1"/>
    <xf numFmtId="0" fontId="11" fillId="0" borderId="26" xfId="0" applyFont="1" applyBorder="1"/>
    <xf numFmtId="0" fontId="11" fillId="0" borderId="27" xfId="0" applyFont="1" applyBorder="1"/>
    <xf numFmtId="0" fontId="11" fillId="0" borderId="28" xfId="0" applyFont="1" applyBorder="1"/>
    <xf numFmtId="0" fontId="11" fillId="0" borderId="24" xfId="0" applyFont="1" applyBorder="1"/>
    <xf numFmtId="0" fontId="11" fillId="0" borderId="25" xfId="0" applyFont="1" applyBorder="1"/>
    <xf numFmtId="0" fontId="11" fillId="0" borderId="23" xfId="0" applyFont="1" applyBorder="1"/>
    <xf numFmtId="0" fontId="11" fillId="0" borderId="29" xfId="0" applyFont="1" applyBorder="1"/>
    <xf numFmtId="0" fontId="11" fillId="0" borderId="30" xfId="0" applyFont="1" applyBorder="1"/>
    <xf numFmtId="0" fontId="11" fillId="0" borderId="31" xfId="0" applyFont="1" applyBorder="1"/>
    <xf numFmtId="0" fontId="11" fillId="0" borderId="3" xfId="0" applyFont="1" applyBorder="1"/>
    <xf numFmtId="0" fontId="11" fillId="0" borderId="5" xfId="0" applyFont="1" applyBorder="1"/>
    <xf numFmtId="0" fontId="11" fillId="0" borderId="2" xfId="0" applyFont="1" applyBorder="1"/>
    <xf numFmtId="0" fontId="7" fillId="3" borderId="20" xfId="6" applyFont="1" applyFill="1" applyBorder="1" applyAlignment="1">
      <alignment horizontal="center" vertical="center"/>
    </xf>
    <xf numFmtId="0" fontId="7" fillId="3" borderId="21" xfId="6" applyFont="1" applyFill="1" applyBorder="1" applyAlignment="1">
      <alignment horizontal="center" vertical="center"/>
    </xf>
    <xf numFmtId="0" fontId="7" fillId="3" borderId="22" xfId="6" applyFont="1" applyFill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4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1" fillId="0" borderId="0" xfId="6" applyFont="1" applyAlignment="1">
      <alignment vertical="center"/>
    </xf>
    <xf numFmtId="0" fontId="11" fillId="0" borderId="40" xfId="6" quotePrefix="1" applyFont="1" applyBorder="1" applyAlignment="1">
      <alignment vertical="center"/>
    </xf>
    <xf numFmtId="0" fontId="11" fillId="0" borderId="41" xfId="6" quotePrefix="1" applyFont="1" applyBorder="1" applyAlignment="1">
      <alignment vertical="center"/>
    </xf>
    <xf numFmtId="0" fontId="11" fillId="0" borderId="19" xfId="6" quotePrefix="1" applyFont="1" applyBorder="1" applyAlignment="1">
      <alignment vertical="center"/>
    </xf>
    <xf numFmtId="0" fontId="11" fillId="0" borderId="32" xfId="6" applyFont="1" applyBorder="1" applyAlignment="1">
      <alignment vertical="center" wrapText="1"/>
    </xf>
    <xf numFmtId="0" fontId="11" fillId="0" borderId="33" xfId="6" applyFont="1" applyBorder="1" applyAlignment="1">
      <alignment vertical="center"/>
    </xf>
    <xf numFmtId="0" fontId="11" fillId="0" borderId="34" xfId="6" applyFont="1" applyBorder="1" applyAlignment="1">
      <alignment vertical="center"/>
    </xf>
    <xf numFmtId="0" fontId="11" fillId="2" borderId="32" xfId="6" applyFont="1" applyFill="1" applyBorder="1" applyAlignment="1">
      <alignment vertical="center" wrapText="1"/>
    </xf>
    <xf numFmtId="0" fontId="11" fillId="2" borderId="33" xfId="6" applyFont="1" applyFill="1" applyBorder="1" applyAlignment="1">
      <alignment vertical="center"/>
    </xf>
    <xf numFmtId="0" fontId="11" fillId="2" borderId="34" xfId="6" applyFont="1" applyFill="1" applyBorder="1" applyAlignment="1">
      <alignment vertical="center"/>
    </xf>
    <xf numFmtId="0" fontId="11" fillId="0" borderId="32" xfId="6" applyFont="1" applyBorder="1" applyAlignment="1">
      <alignment vertical="center"/>
    </xf>
    <xf numFmtId="0" fontId="11" fillId="0" borderId="40" xfId="6" applyFont="1" applyBorder="1" applyAlignment="1">
      <alignment vertical="center"/>
    </xf>
    <xf numFmtId="0" fontId="11" fillId="0" borderId="41" xfId="6" applyFont="1" applyBorder="1" applyAlignment="1">
      <alignment vertical="center"/>
    </xf>
    <xf numFmtId="0" fontId="11" fillId="0" borderId="19" xfId="6" applyFont="1" applyBorder="1" applyAlignment="1">
      <alignment vertical="center"/>
    </xf>
    <xf numFmtId="0" fontId="11" fillId="0" borderId="29" xfId="6" applyFont="1" applyBorder="1" applyAlignment="1">
      <alignment vertical="center"/>
    </xf>
    <xf numFmtId="0" fontId="11" fillId="0" borderId="30" xfId="6" applyFont="1" applyBorder="1" applyAlignment="1">
      <alignment vertical="center"/>
    </xf>
    <xf numFmtId="0" fontId="11" fillId="0" borderId="31" xfId="6" applyFont="1" applyBorder="1" applyAlignment="1">
      <alignment vertical="center"/>
    </xf>
    <xf numFmtId="0" fontId="11" fillId="2" borderId="32" xfId="6" applyFont="1" applyFill="1" applyBorder="1" applyAlignment="1">
      <alignment vertical="center"/>
    </xf>
  </cellXfs>
  <cellStyles count="8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123266</xdr:colOff>
      <xdr:row>8</xdr:row>
      <xdr:rowOff>166231</xdr:rowOff>
    </xdr:from>
    <xdr:to>
      <xdr:col>47</xdr:col>
      <xdr:colOff>123265</xdr:colOff>
      <xdr:row>41</xdr:row>
      <xdr:rowOff>0</xdr:rowOff>
    </xdr:to>
    <xdr:pic>
      <xdr:nvPicPr>
        <xdr:cNvPr id="1051" name="Picture 1050">
          <a:extLst>
            <a:ext uri="{FF2B5EF4-FFF2-40B4-BE49-F238E27FC236}">
              <a16:creationId xmlns:a16="http://schemas.microsoft.com/office/drawing/2014/main" id="{00000000-0008-0000-0200-00001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225" y="1800225"/>
          <a:ext cx="12001500" cy="61531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68</xdr:row>
      <xdr:rowOff>106724</xdr:rowOff>
    </xdr:from>
    <xdr:to>
      <xdr:col>47</xdr:col>
      <xdr:colOff>0</xdr:colOff>
      <xdr:row>101</xdr:row>
      <xdr:rowOff>0</xdr:rowOff>
    </xdr:to>
    <xdr:pic>
      <xdr:nvPicPr>
        <xdr:cNvPr id="1048" name="Picture 1047">
          <a:extLst>
            <a:ext uri="{FF2B5EF4-FFF2-40B4-BE49-F238E27FC236}">
              <a16:creationId xmlns:a16="http://schemas.microsoft.com/office/drawing/2014/main" id="{00000000-0008-0000-0200-00001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13839825"/>
          <a:ext cx="12001500" cy="6200775"/>
        </a:xfrm>
        <a:prstGeom prst="rect">
          <a:avLst/>
        </a:prstGeom>
      </xdr:spPr>
    </xdr:pic>
    <xdr:clientData/>
  </xdr:twoCellAnchor>
  <xdr:twoCellAnchor>
    <xdr:from>
      <xdr:col>4</xdr:col>
      <xdr:colOff>78441</xdr:colOff>
      <xdr:row>14</xdr:row>
      <xdr:rowOff>56030</xdr:rowOff>
    </xdr:from>
    <xdr:to>
      <xdr:col>5</xdr:col>
      <xdr:colOff>95979</xdr:colOff>
      <xdr:row>15</xdr:row>
      <xdr:rowOff>89648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143000" y="2838450"/>
          <a:ext cx="285750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</a:t>
          </a:r>
        </a:p>
      </xdr:txBody>
    </xdr:sp>
    <xdr:clientData/>
  </xdr:twoCellAnchor>
  <xdr:twoCellAnchor>
    <xdr:from>
      <xdr:col>10</xdr:col>
      <xdr:colOff>96371</xdr:colOff>
      <xdr:row>15</xdr:row>
      <xdr:rowOff>107576</xdr:rowOff>
    </xdr:from>
    <xdr:to>
      <xdr:col>11</xdr:col>
      <xdr:colOff>113909</xdr:colOff>
      <xdr:row>16</xdr:row>
      <xdr:rowOff>141194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762250" y="3076575"/>
          <a:ext cx="285750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</a:t>
          </a:r>
        </a:p>
      </xdr:txBody>
    </xdr:sp>
    <xdr:clientData/>
  </xdr:twoCellAnchor>
  <xdr:twoCellAnchor>
    <xdr:from>
      <xdr:col>5</xdr:col>
      <xdr:colOff>181536</xdr:colOff>
      <xdr:row>16</xdr:row>
      <xdr:rowOff>58270</xdr:rowOff>
    </xdr:from>
    <xdr:to>
      <xdr:col>6</xdr:col>
      <xdr:colOff>199075</xdr:colOff>
      <xdr:row>17</xdr:row>
      <xdr:rowOff>91888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514475" y="3219450"/>
          <a:ext cx="285750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</a:t>
          </a:r>
        </a:p>
      </xdr:txBody>
    </xdr:sp>
    <xdr:clientData/>
  </xdr:twoCellAnchor>
  <xdr:twoCellAnchor>
    <xdr:from>
      <xdr:col>8</xdr:col>
      <xdr:colOff>20172</xdr:colOff>
      <xdr:row>17</xdr:row>
      <xdr:rowOff>8964</xdr:rowOff>
    </xdr:from>
    <xdr:to>
      <xdr:col>9</xdr:col>
      <xdr:colOff>37710</xdr:colOff>
      <xdr:row>18</xdr:row>
      <xdr:rowOff>42582</xdr:rowOff>
    </xdr:to>
    <xdr:sp macro="" textlink="" fLocksText="0">
      <xdr:nvSpPr>
        <xdr:cNvPr id="7" name="Rectangl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152650" y="3362325"/>
          <a:ext cx="285750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</a:t>
          </a:r>
        </a:p>
      </xdr:txBody>
    </xdr:sp>
    <xdr:clientData/>
  </xdr:twoCellAnchor>
  <xdr:twoCellAnchor>
    <xdr:from>
      <xdr:col>4</xdr:col>
      <xdr:colOff>228601</xdr:colOff>
      <xdr:row>18</xdr:row>
      <xdr:rowOff>26894</xdr:rowOff>
    </xdr:from>
    <xdr:to>
      <xdr:col>6</xdr:col>
      <xdr:colOff>10816</xdr:colOff>
      <xdr:row>19</xdr:row>
      <xdr:rowOff>60512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295400" y="3571875"/>
          <a:ext cx="314325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</a:t>
          </a:r>
        </a:p>
      </xdr:txBody>
    </xdr:sp>
    <xdr:clientData/>
  </xdr:twoCellAnchor>
  <xdr:twoCellAnchor>
    <xdr:from>
      <xdr:col>7</xdr:col>
      <xdr:colOff>33619</xdr:colOff>
      <xdr:row>19</xdr:row>
      <xdr:rowOff>22412</xdr:rowOff>
    </xdr:from>
    <xdr:to>
      <xdr:col>8</xdr:col>
      <xdr:colOff>51158</xdr:colOff>
      <xdr:row>20</xdr:row>
      <xdr:rowOff>56030</xdr:rowOff>
    </xdr:to>
    <xdr:sp macro="" textlink="" fLocksText="0">
      <xdr:nvSpPr>
        <xdr:cNvPr id="9" name="Rectangle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905000" y="3752850"/>
          <a:ext cx="276225" cy="2286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6</a:t>
          </a:r>
        </a:p>
      </xdr:txBody>
    </xdr:sp>
    <xdr:clientData/>
  </xdr:twoCellAnchor>
  <xdr:twoCellAnchor>
    <xdr:from>
      <xdr:col>4</xdr:col>
      <xdr:colOff>85166</xdr:colOff>
      <xdr:row>20</xdr:row>
      <xdr:rowOff>17930</xdr:rowOff>
    </xdr:from>
    <xdr:to>
      <xdr:col>5</xdr:col>
      <xdr:colOff>102704</xdr:colOff>
      <xdr:row>21</xdr:row>
      <xdr:rowOff>51548</xdr:rowOff>
    </xdr:to>
    <xdr:sp macro="" textlink="" fLocksText="0">
      <xdr:nvSpPr>
        <xdr:cNvPr id="10" name="Rectangle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1152525" y="3943350"/>
          <a:ext cx="285750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7</a:t>
          </a:r>
        </a:p>
      </xdr:txBody>
    </xdr:sp>
    <xdr:clientData/>
  </xdr:twoCellAnchor>
  <xdr:twoCellAnchor>
    <xdr:from>
      <xdr:col>6</xdr:col>
      <xdr:colOff>67236</xdr:colOff>
      <xdr:row>21</xdr:row>
      <xdr:rowOff>33617</xdr:rowOff>
    </xdr:from>
    <xdr:to>
      <xdr:col>7</xdr:col>
      <xdr:colOff>84774</xdr:colOff>
      <xdr:row>22</xdr:row>
      <xdr:rowOff>67235</xdr:rowOff>
    </xdr:to>
    <xdr:sp macro="" textlink="" fLocksText="0">
      <xdr:nvSpPr>
        <xdr:cNvPr id="11" name="Rectangle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1666875" y="4152900"/>
          <a:ext cx="285750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8</a:t>
          </a:r>
        </a:p>
      </xdr:txBody>
    </xdr:sp>
    <xdr:clientData/>
  </xdr:twoCellAnchor>
  <xdr:twoCellAnchor>
    <xdr:from>
      <xdr:col>12</xdr:col>
      <xdr:colOff>1</xdr:colOff>
      <xdr:row>21</xdr:row>
      <xdr:rowOff>33617</xdr:rowOff>
    </xdr:from>
    <xdr:to>
      <xdr:col>13</xdr:col>
      <xdr:colOff>17539</xdr:colOff>
      <xdr:row>22</xdr:row>
      <xdr:rowOff>67235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3200400" y="4152900"/>
          <a:ext cx="285750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9</a:t>
          </a:r>
        </a:p>
      </xdr:txBody>
    </xdr:sp>
    <xdr:clientData/>
  </xdr:twoCellAnchor>
  <xdr:twoCellAnchor>
    <xdr:from>
      <xdr:col>8</xdr:col>
      <xdr:colOff>96369</xdr:colOff>
      <xdr:row>22</xdr:row>
      <xdr:rowOff>29135</xdr:rowOff>
    </xdr:from>
    <xdr:to>
      <xdr:col>9</xdr:col>
      <xdr:colOff>89646</xdr:colOff>
      <xdr:row>23</xdr:row>
      <xdr:rowOff>33617</xdr:rowOff>
    </xdr:to>
    <xdr:sp macro="" textlink="" fLocksText="0">
      <xdr:nvSpPr>
        <xdr:cNvPr id="13" name="Rectangle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228850" y="4333875"/>
          <a:ext cx="25717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10</a:t>
          </a:r>
        </a:p>
      </xdr:txBody>
    </xdr:sp>
    <xdr:clientData/>
  </xdr:twoCellAnchor>
  <xdr:twoCellAnchor>
    <xdr:from>
      <xdr:col>6</xdr:col>
      <xdr:colOff>13446</xdr:colOff>
      <xdr:row>23</xdr:row>
      <xdr:rowOff>24653</xdr:rowOff>
    </xdr:from>
    <xdr:to>
      <xdr:col>7</xdr:col>
      <xdr:colOff>6723</xdr:colOff>
      <xdr:row>24</xdr:row>
      <xdr:rowOff>29135</xdr:rowOff>
    </xdr:to>
    <xdr:sp macro="" textlink="" fLocksText="0">
      <xdr:nvSpPr>
        <xdr:cNvPr id="15" name="Rectangle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609725" y="4524375"/>
          <a:ext cx="266700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11</a:t>
          </a:r>
        </a:p>
      </xdr:txBody>
    </xdr:sp>
    <xdr:clientData/>
  </xdr:twoCellAnchor>
  <xdr:twoCellAnchor>
    <xdr:from>
      <xdr:col>9</xdr:col>
      <xdr:colOff>143433</xdr:colOff>
      <xdr:row>25</xdr:row>
      <xdr:rowOff>20171</xdr:rowOff>
    </xdr:from>
    <xdr:to>
      <xdr:col>10</xdr:col>
      <xdr:colOff>136711</xdr:colOff>
      <xdr:row>26</xdr:row>
      <xdr:rowOff>24653</xdr:rowOff>
    </xdr:to>
    <xdr:sp macro="" textlink="" fLocksText="0">
      <xdr:nvSpPr>
        <xdr:cNvPr id="16" name="Rectangle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2543175" y="4895850"/>
          <a:ext cx="25717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13</a:t>
          </a:r>
        </a:p>
      </xdr:txBody>
    </xdr:sp>
    <xdr:clientData/>
  </xdr:twoCellAnchor>
  <xdr:twoCellAnchor>
    <xdr:from>
      <xdr:col>12</xdr:col>
      <xdr:colOff>15686</xdr:colOff>
      <xdr:row>23</xdr:row>
      <xdr:rowOff>15689</xdr:rowOff>
    </xdr:from>
    <xdr:to>
      <xdr:col>13</xdr:col>
      <xdr:colOff>8963</xdr:colOff>
      <xdr:row>24</xdr:row>
      <xdr:rowOff>20171</xdr:rowOff>
    </xdr:to>
    <xdr:sp macro="" textlink="" fLocksText="0">
      <xdr:nvSpPr>
        <xdr:cNvPr id="18" name="Rectangle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3219450" y="4514850"/>
          <a:ext cx="25717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12</a:t>
          </a:r>
        </a:p>
      </xdr:txBody>
    </xdr:sp>
    <xdr:clientData/>
  </xdr:twoCellAnchor>
  <xdr:twoCellAnchor>
    <xdr:from>
      <xdr:col>3</xdr:col>
      <xdr:colOff>172570</xdr:colOff>
      <xdr:row>72</xdr:row>
      <xdr:rowOff>44824</xdr:rowOff>
    </xdr:from>
    <xdr:to>
      <xdr:col>4</xdr:col>
      <xdr:colOff>165848</xdr:colOff>
      <xdr:row>73</xdr:row>
      <xdr:rowOff>49306</xdr:rowOff>
    </xdr:to>
    <xdr:sp macro="" textlink="" fLocksText="0">
      <xdr:nvSpPr>
        <xdr:cNvPr id="56" name="Rectangle 55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SpPr/>
      </xdr:nvSpPr>
      <xdr:spPr>
        <a:xfrm>
          <a:off x="971550" y="14544675"/>
          <a:ext cx="25717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14</a:t>
          </a:r>
        </a:p>
      </xdr:txBody>
    </xdr:sp>
    <xdr:clientData/>
  </xdr:twoCellAnchor>
  <xdr:twoCellAnchor>
    <xdr:from>
      <xdr:col>2</xdr:col>
      <xdr:colOff>190500</xdr:colOff>
      <xdr:row>74</xdr:row>
      <xdr:rowOff>186018</xdr:rowOff>
    </xdr:from>
    <xdr:to>
      <xdr:col>3</xdr:col>
      <xdr:colOff>183777</xdr:colOff>
      <xdr:row>76</xdr:row>
      <xdr:rowOff>0</xdr:rowOff>
    </xdr:to>
    <xdr:sp macro="" textlink="" fLocksText="0">
      <xdr:nvSpPr>
        <xdr:cNvPr id="58" name="Rectangle 57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SpPr/>
      </xdr:nvSpPr>
      <xdr:spPr>
        <a:xfrm>
          <a:off x="723900" y="15068550"/>
          <a:ext cx="25717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15</a:t>
          </a:r>
        </a:p>
      </xdr:txBody>
    </xdr:sp>
    <xdr:clientData/>
  </xdr:twoCellAnchor>
  <xdr:twoCellAnchor>
    <xdr:from>
      <xdr:col>6</xdr:col>
      <xdr:colOff>17929</xdr:colOff>
      <xdr:row>72</xdr:row>
      <xdr:rowOff>69477</xdr:rowOff>
    </xdr:from>
    <xdr:to>
      <xdr:col>7</xdr:col>
      <xdr:colOff>11206</xdr:colOff>
      <xdr:row>73</xdr:row>
      <xdr:rowOff>73959</xdr:rowOff>
    </xdr:to>
    <xdr:sp macro="" textlink="" fLocksText="0">
      <xdr:nvSpPr>
        <xdr:cNvPr id="59" name="Rectangle 58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SpPr/>
      </xdr:nvSpPr>
      <xdr:spPr>
        <a:xfrm>
          <a:off x="1619250" y="14563725"/>
          <a:ext cx="25717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16</a:t>
          </a:r>
        </a:p>
      </xdr:txBody>
    </xdr:sp>
    <xdr:clientData/>
  </xdr:twoCellAnchor>
  <xdr:twoCellAnchor>
    <xdr:from>
      <xdr:col>6</xdr:col>
      <xdr:colOff>58272</xdr:colOff>
      <xdr:row>74</xdr:row>
      <xdr:rowOff>165847</xdr:rowOff>
    </xdr:from>
    <xdr:to>
      <xdr:col>7</xdr:col>
      <xdr:colOff>51549</xdr:colOff>
      <xdr:row>75</xdr:row>
      <xdr:rowOff>170329</xdr:rowOff>
    </xdr:to>
    <xdr:sp macro="" textlink="" fLocksText="0">
      <xdr:nvSpPr>
        <xdr:cNvPr id="60" name="Rectangle 59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/>
      </xdr:nvSpPr>
      <xdr:spPr>
        <a:xfrm>
          <a:off x="1657350" y="15039975"/>
          <a:ext cx="25717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17</a:t>
          </a:r>
        </a:p>
      </xdr:txBody>
    </xdr:sp>
    <xdr:clientData/>
  </xdr:twoCellAnchor>
  <xdr:twoCellAnchor>
    <xdr:from>
      <xdr:col>9</xdr:col>
      <xdr:colOff>188259</xdr:colOff>
      <xdr:row>72</xdr:row>
      <xdr:rowOff>49306</xdr:rowOff>
    </xdr:from>
    <xdr:to>
      <xdr:col>10</xdr:col>
      <xdr:colOff>181537</xdr:colOff>
      <xdr:row>73</xdr:row>
      <xdr:rowOff>53788</xdr:rowOff>
    </xdr:to>
    <xdr:sp macro="" textlink="" fLocksText="0">
      <xdr:nvSpPr>
        <xdr:cNvPr id="61" name="Rectangle 60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SpPr/>
      </xdr:nvSpPr>
      <xdr:spPr>
        <a:xfrm>
          <a:off x="2590800" y="14544675"/>
          <a:ext cx="25717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18</a:t>
          </a:r>
        </a:p>
      </xdr:txBody>
    </xdr:sp>
    <xdr:clientData/>
  </xdr:twoCellAnchor>
  <xdr:twoCellAnchor>
    <xdr:from>
      <xdr:col>9</xdr:col>
      <xdr:colOff>94130</xdr:colOff>
      <xdr:row>74</xdr:row>
      <xdr:rowOff>179295</xdr:rowOff>
    </xdr:from>
    <xdr:to>
      <xdr:col>10</xdr:col>
      <xdr:colOff>87408</xdr:colOff>
      <xdr:row>75</xdr:row>
      <xdr:rowOff>183777</xdr:rowOff>
    </xdr:to>
    <xdr:sp macro="" textlink="" fLocksText="0">
      <xdr:nvSpPr>
        <xdr:cNvPr id="62" name="Rectangle 61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SpPr/>
      </xdr:nvSpPr>
      <xdr:spPr>
        <a:xfrm>
          <a:off x="2495550" y="15059025"/>
          <a:ext cx="25717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19</a:t>
          </a:r>
        </a:p>
      </xdr:txBody>
    </xdr:sp>
    <xdr:clientData/>
  </xdr:twoCellAnchor>
  <xdr:twoCellAnchor>
    <xdr:from>
      <xdr:col>13</xdr:col>
      <xdr:colOff>33619</xdr:colOff>
      <xdr:row>72</xdr:row>
      <xdr:rowOff>40341</xdr:rowOff>
    </xdr:from>
    <xdr:to>
      <xdr:col>14</xdr:col>
      <xdr:colOff>26897</xdr:colOff>
      <xdr:row>73</xdr:row>
      <xdr:rowOff>44823</xdr:rowOff>
    </xdr:to>
    <xdr:sp macro="" textlink="" fLocksText="0">
      <xdr:nvSpPr>
        <xdr:cNvPr id="63" name="Rectangle 62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/>
      </xdr:nvSpPr>
      <xdr:spPr>
        <a:xfrm>
          <a:off x="3505200" y="14535150"/>
          <a:ext cx="25717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20</a:t>
          </a:r>
        </a:p>
      </xdr:txBody>
    </xdr:sp>
    <xdr:clientData/>
  </xdr:twoCellAnchor>
  <xdr:twoCellAnchor>
    <xdr:from>
      <xdr:col>13</xdr:col>
      <xdr:colOff>6723</xdr:colOff>
      <xdr:row>74</xdr:row>
      <xdr:rowOff>170330</xdr:rowOff>
    </xdr:from>
    <xdr:to>
      <xdr:col>14</xdr:col>
      <xdr:colOff>1</xdr:colOff>
      <xdr:row>75</xdr:row>
      <xdr:rowOff>174812</xdr:rowOff>
    </xdr:to>
    <xdr:sp macro="" textlink="" fLocksText="0">
      <xdr:nvSpPr>
        <xdr:cNvPr id="1024" name="Rectangle 1023">
          <a:extLst>
            <a:ext uri="{FF2B5EF4-FFF2-40B4-BE49-F238E27FC236}">
              <a16:creationId xmlns:a16="http://schemas.microsoft.com/office/drawing/2014/main" id="{00000000-0008-0000-0200-000000040000}"/>
            </a:ext>
          </a:extLst>
        </xdr:cNvPr>
        <xdr:cNvSpPr/>
      </xdr:nvSpPr>
      <xdr:spPr>
        <a:xfrm>
          <a:off x="3476625" y="15049500"/>
          <a:ext cx="25717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21</a:t>
          </a:r>
        </a:p>
      </xdr:txBody>
    </xdr:sp>
    <xdr:clientData/>
  </xdr:twoCellAnchor>
  <xdr:twoCellAnchor>
    <xdr:from>
      <xdr:col>17</xdr:col>
      <xdr:colOff>0</xdr:colOff>
      <xdr:row>72</xdr:row>
      <xdr:rowOff>56030</xdr:rowOff>
    </xdr:from>
    <xdr:to>
      <xdr:col>17</xdr:col>
      <xdr:colOff>228601</xdr:colOff>
      <xdr:row>73</xdr:row>
      <xdr:rowOff>60512</xdr:rowOff>
    </xdr:to>
    <xdr:sp macro="" textlink="" fLocksText="0">
      <xdr:nvSpPr>
        <xdr:cNvPr id="1037" name="Rectangle 1036">
          <a:extLst>
            <a:ext uri="{FF2B5EF4-FFF2-40B4-BE49-F238E27FC236}">
              <a16:creationId xmlns:a16="http://schemas.microsoft.com/office/drawing/2014/main" id="{00000000-0008-0000-0200-00000D040000}"/>
            </a:ext>
          </a:extLst>
        </xdr:cNvPr>
        <xdr:cNvSpPr/>
      </xdr:nvSpPr>
      <xdr:spPr>
        <a:xfrm>
          <a:off x="4533900" y="14554200"/>
          <a:ext cx="228600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22</a:t>
          </a:r>
        </a:p>
      </xdr:txBody>
    </xdr:sp>
    <xdr:clientData/>
  </xdr:twoCellAnchor>
  <xdr:twoCellAnchor>
    <xdr:from>
      <xdr:col>16</xdr:col>
      <xdr:colOff>190500</xdr:colOff>
      <xdr:row>74</xdr:row>
      <xdr:rowOff>145677</xdr:rowOff>
    </xdr:from>
    <xdr:to>
      <xdr:col>17</xdr:col>
      <xdr:colOff>183777</xdr:colOff>
      <xdr:row>75</xdr:row>
      <xdr:rowOff>150159</xdr:rowOff>
    </xdr:to>
    <xdr:sp macro="" textlink="" fLocksText="0">
      <xdr:nvSpPr>
        <xdr:cNvPr id="1038" name="Rectangle 1037">
          <a:extLst>
            <a:ext uri="{FF2B5EF4-FFF2-40B4-BE49-F238E27FC236}">
              <a16:creationId xmlns:a16="http://schemas.microsoft.com/office/drawing/2014/main" id="{00000000-0008-0000-0200-00000E040000}"/>
            </a:ext>
          </a:extLst>
        </xdr:cNvPr>
        <xdr:cNvSpPr/>
      </xdr:nvSpPr>
      <xdr:spPr>
        <a:xfrm>
          <a:off x="4457700" y="15020925"/>
          <a:ext cx="25717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23</a:t>
          </a:r>
        </a:p>
      </xdr:txBody>
    </xdr:sp>
    <xdr:clientData/>
  </xdr:twoCellAnchor>
  <xdr:twoCellAnchor>
    <xdr:from>
      <xdr:col>21</xdr:col>
      <xdr:colOff>6723</xdr:colOff>
      <xdr:row>72</xdr:row>
      <xdr:rowOff>11206</xdr:rowOff>
    </xdr:from>
    <xdr:to>
      <xdr:col>22</xdr:col>
      <xdr:colOff>0</xdr:colOff>
      <xdr:row>73</xdr:row>
      <xdr:rowOff>15688</xdr:rowOff>
    </xdr:to>
    <xdr:sp macro="" textlink="" fLocksText="0">
      <xdr:nvSpPr>
        <xdr:cNvPr id="1039" name="Rectangle 1038">
          <a:extLst>
            <a:ext uri="{FF2B5EF4-FFF2-40B4-BE49-F238E27FC236}">
              <a16:creationId xmlns:a16="http://schemas.microsoft.com/office/drawing/2014/main" id="{00000000-0008-0000-0200-00000F040000}"/>
            </a:ext>
          </a:extLst>
        </xdr:cNvPr>
        <xdr:cNvSpPr/>
      </xdr:nvSpPr>
      <xdr:spPr>
        <a:xfrm>
          <a:off x="5610225" y="14506575"/>
          <a:ext cx="257175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24</a:t>
          </a:r>
        </a:p>
      </xdr:txBody>
    </xdr:sp>
    <xdr:clientData/>
  </xdr:twoCellAnchor>
  <xdr:twoCellAnchor>
    <xdr:from>
      <xdr:col>21</xdr:col>
      <xdr:colOff>0</xdr:colOff>
      <xdr:row>74</xdr:row>
      <xdr:rowOff>112059</xdr:rowOff>
    </xdr:from>
    <xdr:to>
      <xdr:col>21</xdr:col>
      <xdr:colOff>228601</xdr:colOff>
      <xdr:row>75</xdr:row>
      <xdr:rowOff>116541</xdr:rowOff>
    </xdr:to>
    <xdr:sp macro="" textlink="" fLocksText="0">
      <xdr:nvSpPr>
        <xdr:cNvPr id="1040" name="Rectangle 1039">
          <a:extLst>
            <a:ext uri="{FF2B5EF4-FFF2-40B4-BE49-F238E27FC236}">
              <a16:creationId xmlns:a16="http://schemas.microsoft.com/office/drawing/2014/main" id="{00000000-0008-0000-0200-000010040000}"/>
            </a:ext>
          </a:extLst>
        </xdr:cNvPr>
        <xdr:cNvSpPr/>
      </xdr:nvSpPr>
      <xdr:spPr>
        <a:xfrm>
          <a:off x="5600700" y="14992350"/>
          <a:ext cx="228600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25</a:t>
          </a:r>
        </a:p>
      </xdr:txBody>
    </xdr:sp>
    <xdr:clientData/>
  </xdr:twoCellAnchor>
  <xdr:twoCellAnchor>
    <xdr:from>
      <xdr:col>25</xdr:col>
      <xdr:colOff>0</xdr:colOff>
      <xdr:row>74</xdr:row>
      <xdr:rowOff>141195</xdr:rowOff>
    </xdr:from>
    <xdr:to>
      <xdr:col>25</xdr:col>
      <xdr:colOff>228601</xdr:colOff>
      <xdr:row>75</xdr:row>
      <xdr:rowOff>145677</xdr:rowOff>
    </xdr:to>
    <xdr:sp macro="" textlink="" fLocksText="0">
      <xdr:nvSpPr>
        <xdr:cNvPr id="1041" name="Rectangle 1040">
          <a:extLst>
            <a:ext uri="{FF2B5EF4-FFF2-40B4-BE49-F238E27FC236}">
              <a16:creationId xmlns:a16="http://schemas.microsoft.com/office/drawing/2014/main" id="{00000000-0008-0000-0200-000011040000}"/>
            </a:ext>
          </a:extLst>
        </xdr:cNvPr>
        <xdr:cNvSpPr/>
      </xdr:nvSpPr>
      <xdr:spPr>
        <a:xfrm>
          <a:off x="6667500" y="15020925"/>
          <a:ext cx="228600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27</a:t>
          </a:r>
        </a:p>
      </xdr:txBody>
    </xdr:sp>
    <xdr:clientData/>
  </xdr:twoCellAnchor>
  <xdr:twoCellAnchor>
    <xdr:from>
      <xdr:col>25</xdr:col>
      <xdr:colOff>0</xdr:colOff>
      <xdr:row>72</xdr:row>
      <xdr:rowOff>56030</xdr:rowOff>
    </xdr:from>
    <xdr:to>
      <xdr:col>25</xdr:col>
      <xdr:colOff>228601</xdr:colOff>
      <xdr:row>73</xdr:row>
      <xdr:rowOff>60512</xdr:rowOff>
    </xdr:to>
    <xdr:sp macro="" textlink="" fLocksText="0">
      <xdr:nvSpPr>
        <xdr:cNvPr id="1042" name="Rectangle 1041">
          <a:extLst>
            <a:ext uri="{FF2B5EF4-FFF2-40B4-BE49-F238E27FC236}">
              <a16:creationId xmlns:a16="http://schemas.microsoft.com/office/drawing/2014/main" id="{00000000-0008-0000-0200-000012040000}"/>
            </a:ext>
          </a:extLst>
        </xdr:cNvPr>
        <xdr:cNvSpPr/>
      </xdr:nvSpPr>
      <xdr:spPr>
        <a:xfrm>
          <a:off x="6667500" y="14554200"/>
          <a:ext cx="228600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26</a:t>
          </a:r>
        </a:p>
      </xdr:txBody>
    </xdr:sp>
    <xdr:clientData/>
  </xdr:twoCellAnchor>
  <xdr:twoCellAnchor>
    <xdr:from>
      <xdr:col>29</xdr:col>
      <xdr:colOff>212912</xdr:colOff>
      <xdr:row>72</xdr:row>
      <xdr:rowOff>11206</xdr:rowOff>
    </xdr:from>
    <xdr:to>
      <xdr:col>30</xdr:col>
      <xdr:colOff>206189</xdr:colOff>
      <xdr:row>73</xdr:row>
      <xdr:rowOff>15688</xdr:rowOff>
    </xdr:to>
    <xdr:sp macro="" textlink="" fLocksText="0">
      <xdr:nvSpPr>
        <xdr:cNvPr id="1043" name="Rectangle 1042">
          <a:extLst>
            <a:ext uri="{FF2B5EF4-FFF2-40B4-BE49-F238E27FC236}">
              <a16:creationId xmlns:a16="http://schemas.microsoft.com/office/drawing/2014/main" id="{00000000-0008-0000-0200-000013040000}"/>
            </a:ext>
          </a:extLst>
        </xdr:cNvPr>
        <xdr:cNvSpPr/>
      </xdr:nvSpPr>
      <xdr:spPr>
        <a:xfrm>
          <a:off x="7943850" y="14506575"/>
          <a:ext cx="266700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28</a:t>
          </a:r>
        </a:p>
      </xdr:txBody>
    </xdr:sp>
    <xdr:clientData/>
  </xdr:twoCellAnchor>
  <xdr:twoCellAnchor>
    <xdr:from>
      <xdr:col>30</xdr:col>
      <xdr:colOff>0</xdr:colOff>
      <xdr:row>74</xdr:row>
      <xdr:rowOff>112059</xdr:rowOff>
    </xdr:from>
    <xdr:to>
      <xdr:col>30</xdr:col>
      <xdr:colOff>228601</xdr:colOff>
      <xdr:row>75</xdr:row>
      <xdr:rowOff>116541</xdr:rowOff>
    </xdr:to>
    <xdr:sp macro="" textlink="" fLocksText="0">
      <xdr:nvSpPr>
        <xdr:cNvPr id="1044" name="Rectangle 1043">
          <a:extLst>
            <a:ext uri="{FF2B5EF4-FFF2-40B4-BE49-F238E27FC236}">
              <a16:creationId xmlns:a16="http://schemas.microsoft.com/office/drawing/2014/main" id="{00000000-0008-0000-0200-000014040000}"/>
            </a:ext>
          </a:extLst>
        </xdr:cNvPr>
        <xdr:cNvSpPr/>
      </xdr:nvSpPr>
      <xdr:spPr>
        <a:xfrm>
          <a:off x="8001000" y="14992350"/>
          <a:ext cx="228600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29</a:t>
          </a:r>
        </a:p>
      </xdr:txBody>
    </xdr:sp>
    <xdr:clientData/>
  </xdr:twoCellAnchor>
  <xdr:twoCellAnchor>
    <xdr:from>
      <xdr:col>38</xdr:col>
      <xdr:colOff>6723</xdr:colOff>
      <xdr:row>83</xdr:row>
      <xdr:rowOff>0</xdr:rowOff>
    </xdr:from>
    <xdr:to>
      <xdr:col>39</xdr:col>
      <xdr:colOff>0</xdr:colOff>
      <xdr:row>84</xdr:row>
      <xdr:rowOff>4482</xdr:rowOff>
    </xdr:to>
    <xdr:sp macro="" textlink="" fLocksText="0">
      <xdr:nvSpPr>
        <xdr:cNvPr id="1045" name="Rectangle 1044">
          <a:extLst>
            <a:ext uri="{FF2B5EF4-FFF2-40B4-BE49-F238E27FC236}">
              <a16:creationId xmlns:a16="http://schemas.microsoft.com/office/drawing/2014/main" id="{00000000-0008-0000-0200-000015040000}"/>
            </a:ext>
          </a:extLst>
        </xdr:cNvPr>
        <xdr:cNvSpPr/>
      </xdr:nvSpPr>
      <xdr:spPr>
        <a:xfrm>
          <a:off x="10144125" y="16592550"/>
          <a:ext cx="257175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30</a:t>
          </a:r>
        </a:p>
      </xdr:txBody>
    </xdr:sp>
    <xdr:clientData/>
  </xdr:twoCellAnchor>
  <xdr:twoCellAnchor>
    <xdr:from>
      <xdr:col>32</xdr:col>
      <xdr:colOff>40339</xdr:colOff>
      <xdr:row>97</xdr:row>
      <xdr:rowOff>152401</xdr:rowOff>
    </xdr:from>
    <xdr:to>
      <xdr:col>33</xdr:col>
      <xdr:colOff>33617</xdr:colOff>
      <xdr:row>98</xdr:row>
      <xdr:rowOff>156883</xdr:rowOff>
    </xdr:to>
    <xdr:sp macro="" textlink="" fLocksText="0">
      <xdr:nvSpPr>
        <xdr:cNvPr id="1046" name="Rectangle 1045">
          <a:extLst>
            <a:ext uri="{FF2B5EF4-FFF2-40B4-BE49-F238E27FC236}">
              <a16:creationId xmlns:a16="http://schemas.microsoft.com/office/drawing/2014/main" id="{00000000-0008-0000-0200-000016040000}"/>
            </a:ext>
          </a:extLst>
        </xdr:cNvPr>
        <xdr:cNvSpPr/>
      </xdr:nvSpPr>
      <xdr:spPr>
        <a:xfrm>
          <a:off x="8572500" y="19411950"/>
          <a:ext cx="266700" cy="1905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32</a:t>
          </a:r>
        </a:p>
      </xdr:txBody>
    </xdr:sp>
    <xdr:clientData/>
  </xdr:twoCellAnchor>
  <xdr:twoCellAnchor>
    <xdr:from>
      <xdr:col>27</xdr:col>
      <xdr:colOff>156882</xdr:colOff>
      <xdr:row>97</xdr:row>
      <xdr:rowOff>22412</xdr:rowOff>
    </xdr:from>
    <xdr:to>
      <xdr:col>28</xdr:col>
      <xdr:colOff>150159</xdr:colOff>
      <xdr:row>98</xdr:row>
      <xdr:rowOff>26894</xdr:rowOff>
    </xdr:to>
    <xdr:sp macro="" textlink="" fLocksText="0">
      <xdr:nvSpPr>
        <xdr:cNvPr id="1049" name="Rectangle 1048">
          <a:extLst>
            <a:ext uri="{FF2B5EF4-FFF2-40B4-BE49-F238E27FC236}">
              <a16:creationId xmlns:a16="http://schemas.microsoft.com/office/drawing/2014/main" id="{00000000-0008-0000-0200-000019040000}"/>
            </a:ext>
          </a:extLst>
        </xdr:cNvPr>
        <xdr:cNvSpPr/>
      </xdr:nvSpPr>
      <xdr:spPr>
        <a:xfrm>
          <a:off x="7353300" y="19278600"/>
          <a:ext cx="266700" cy="2000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31</a:t>
          </a:r>
        </a:p>
      </xdr:txBody>
    </xdr:sp>
    <xdr:clientData/>
  </xdr:twoCellAnchor>
  <xdr:twoCellAnchor>
    <xdr:from>
      <xdr:col>13</xdr:col>
      <xdr:colOff>60902</xdr:colOff>
      <xdr:row>10</xdr:row>
      <xdr:rowOff>44824</xdr:rowOff>
    </xdr:from>
    <xdr:to>
      <xdr:col>14</xdr:col>
      <xdr:colOff>78441</xdr:colOff>
      <xdr:row>11</xdr:row>
      <xdr:rowOff>78442</xdr:rowOff>
    </xdr:to>
    <xdr:sp macro="" textlink="" fLocksText="0">
      <xdr:nvSpPr>
        <xdr:cNvPr id="1052" name="Rectangle 1051">
          <a:extLst>
            <a:ext uri="{FF2B5EF4-FFF2-40B4-BE49-F238E27FC236}">
              <a16:creationId xmlns:a16="http://schemas.microsoft.com/office/drawing/2014/main" id="{00000000-0008-0000-0200-00001C040000}"/>
            </a:ext>
          </a:extLst>
        </xdr:cNvPr>
        <xdr:cNvSpPr/>
      </xdr:nvSpPr>
      <xdr:spPr>
        <a:xfrm>
          <a:off x="3524250" y="2066925"/>
          <a:ext cx="285750" cy="2190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0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56" customWidth="1"/>
    <col min="61" max="16384" width="2.77734375" style="156"/>
  </cols>
  <sheetData>
    <row r="1" spans="1:63" ht="24.95" customHeight="1" x14ac:dyDescent="0.25">
      <c r="A1" s="150" t="s">
        <v>57</v>
      </c>
      <c r="B1" s="151"/>
      <c r="C1" s="151"/>
      <c r="D1" s="151"/>
      <c r="E1" s="151"/>
      <c r="F1" s="151"/>
      <c r="G1" s="151"/>
      <c r="H1" s="151"/>
      <c r="I1" s="151"/>
      <c r="J1" s="152"/>
      <c r="K1" s="150" t="s">
        <v>58</v>
      </c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2"/>
      <c r="W1" s="153" t="s">
        <v>59</v>
      </c>
      <c r="X1" s="154"/>
      <c r="Y1" s="154"/>
      <c r="Z1" s="154"/>
      <c r="AA1" s="154"/>
      <c r="AB1" s="154"/>
      <c r="AC1" s="154"/>
      <c r="AD1" s="154"/>
      <c r="AE1" s="154"/>
      <c r="AF1" s="154"/>
      <c r="AG1" s="154"/>
      <c r="AH1" s="154"/>
      <c r="AI1" s="154"/>
      <c r="AJ1" s="154"/>
      <c r="AK1" s="154"/>
      <c r="AL1" s="154"/>
      <c r="AM1" s="154"/>
      <c r="AN1" s="154"/>
      <c r="AO1" s="155"/>
      <c r="AP1" s="150" t="s">
        <v>60</v>
      </c>
      <c r="AQ1" s="151"/>
      <c r="AR1" s="151"/>
      <c r="AS1" s="152"/>
      <c r="AT1" s="150" t="s">
        <v>61</v>
      </c>
      <c r="AU1" s="151"/>
      <c r="AV1" s="151"/>
      <c r="AW1" s="151"/>
      <c r="AX1" s="152"/>
      <c r="AY1" s="150" t="s">
        <v>62</v>
      </c>
      <c r="AZ1" s="151"/>
      <c r="BA1" s="151"/>
      <c r="BB1" s="152"/>
      <c r="BC1" s="150" t="s">
        <v>63</v>
      </c>
      <c r="BD1" s="151"/>
      <c r="BE1" s="151"/>
      <c r="BF1" s="151"/>
      <c r="BG1" s="152"/>
      <c r="BH1" s="150" t="s">
        <v>64</v>
      </c>
      <c r="BI1" s="151"/>
      <c r="BJ1" s="151"/>
      <c r="BK1" s="152"/>
    </row>
    <row r="2" spans="1:63" ht="15" customHeight="1" x14ac:dyDescent="0.25">
      <c r="A2" s="25" t="s">
        <v>65</v>
      </c>
      <c r="B2" s="157"/>
      <c r="C2" s="157"/>
      <c r="D2" s="157"/>
      <c r="E2" s="157"/>
      <c r="F2" s="157"/>
      <c r="G2" s="157"/>
      <c r="H2" s="157"/>
      <c r="I2" s="157"/>
      <c r="J2" s="158"/>
      <c r="K2" s="159" t="s">
        <v>1</v>
      </c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8"/>
      <c r="W2" s="160"/>
      <c r="X2" s="161"/>
      <c r="Y2" s="161"/>
      <c r="Z2" s="161"/>
      <c r="AA2" s="161"/>
      <c r="AB2" s="161"/>
      <c r="AC2" s="161"/>
      <c r="AD2" s="161"/>
      <c r="AE2" s="161"/>
      <c r="AF2" s="161"/>
      <c r="AG2" s="161"/>
      <c r="AH2" s="161"/>
      <c r="AI2" s="161"/>
      <c r="AJ2" s="161"/>
      <c r="AK2" s="161"/>
      <c r="AL2" s="161"/>
      <c r="AM2" s="161"/>
      <c r="AN2" s="161"/>
      <c r="AO2" s="162"/>
      <c r="AP2" s="159" t="str">
        <f>改訂履歴!$H$11</f>
        <v>DuNT</v>
      </c>
      <c r="AQ2" s="157"/>
      <c r="AR2" s="157"/>
      <c r="AS2" s="158"/>
      <c r="AT2" s="163">
        <f>改訂履歴!$B$11</f>
        <v>45540</v>
      </c>
      <c r="AU2" s="164"/>
      <c r="AV2" s="164"/>
      <c r="AW2" s="164"/>
      <c r="AX2" s="165"/>
      <c r="AY2" s="159" t="str">
        <f>LOOKUP(2,1/(改訂履歴!H11:H30000&lt;&gt;""),改訂履歴!H11:H30000)</f>
        <v>DuNT</v>
      </c>
      <c r="AZ2" s="157"/>
      <c r="BA2" s="157"/>
      <c r="BB2" s="158"/>
      <c r="BC2" s="163">
        <f>LOOKUP(2,1/(改訂履歴!B11:B30000&lt;&gt;""),改訂履歴!B11:B30000)</f>
        <v>45540</v>
      </c>
      <c r="BD2" s="164"/>
      <c r="BE2" s="164"/>
      <c r="BF2" s="164"/>
      <c r="BG2" s="165"/>
      <c r="BH2" s="166">
        <f>LOOKUP(2,1/(改訂履歴!O11:O30000&lt;&gt;""),改訂履歴!O11:O30000)</f>
        <v>0.1</v>
      </c>
      <c r="BI2" s="167"/>
      <c r="BJ2" s="167"/>
      <c r="BK2" s="168"/>
    </row>
    <row r="3" spans="1:63" ht="15" customHeight="1" x14ac:dyDescent="0.25">
      <c r="A3" s="169"/>
      <c r="B3" s="170"/>
      <c r="C3" s="170"/>
      <c r="D3" s="170"/>
      <c r="E3" s="170"/>
      <c r="F3" s="170"/>
      <c r="G3" s="170"/>
      <c r="H3" s="170"/>
      <c r="I3" s="170"/>
      <c r="J3" s="171"/>
      <c r="K3" s="169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1"/>
      <c r="W3" s="172"/>
      <c r="X3" s="173"/>
      <c r="Y3" s="173"/>
      <c r="Z3" s="173"/>
      <c r="AA3" s="173"/>
      <c r="AB3" s="173"/>
      <c r="AC3" s="173"/>
      <c r="AD3" s="173"/>
      <c r="AE3" s="173"/>
      <c r="AF3" s="173"/>
      <c r="AG3" s="173"/>
      <c r="AH3" s="173"/>
      <c r="AI3" s="173"/>
      <c r="AJ3" s="173"/>
      <c r="AK3" s="173"/>
      <c r="AL3" s="173"/>
      <c r="AM3" s="173"/>
      <c r="AN3" s="173"/>
      <c r="AO3" s="174"/>
      <c r="AP3" s="169"/>
      <c r="AQ3" s="170"/>
      <c r="AR3" s="170"/>
      <c r="AS3" s="171"/>
      <c r="AT3" s="175"/>
      <c r="AU3" s="176"/>
      <c r="AV3" s="176"/>
      <c r="AW3" s="176"/>
      <c r="AX3" s="177"/>
      <c r="AY3" s="169"/>
      <c r="AZ3" s="170"/>
      <c r="BA3" s="170"/>
      <c r="BB3" s="171"/>
      <c r="BC3" s="175"/>
      <c r="BD3" s="176"/>
      <c r="BE3" s="176"/>
      <c r="BF3" s="176"/>
      <c r="BG3" s="177"/>
      <c r="BH3" s="178"/>
      <c r="BI3" s="179"/>
      <c r="BJ3" s="179"/>
      <c r="BK3" s="180"/>
    </row>
    <row r="4" spans="1:63" ht="24.95" customHeight="1" x14ac:dyDescent="0.25">
      <c r="A4" s="150" t="s">
        <v>66</v>
      </c>
      <c r="B4" s="151"/>
      <c r="C4" s="151"/>
      <c r="D4" s="151"/>
      <c r="E4" s="151"/>
      <c r="F4" s="151"/>
      <c r="G4" s="152"/>
      <c r="H4" s="181" t="s">
        <v>54</v>
      </c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3"/>
      <c r="U4" s="150" t="s">
        <v>67</v>
      </c>
      <c r="V4" s="151"/>
      <c r="W4" s="151"/>
      <c r="X4" s="151"/>
      <c r="Y4" s="152"/>
      <c r="Z4" s="24" t="s">
        <v>68</v>
      </c>
      <c r="AA4" s="182"/>
      <c r="AB4" s="182"/>
      <c r="AC4" s="182"/>
      <c r="AD4" s="182"/>
      <c r="AE4" s="182"/>
      <c r="AF4" s="182"/>
      <c r="AG4" s="182"/>
      <c r="AH4" s="182"/>
      <c r="AI4" s="182"/>
      <c r="AJ4" s="182"/>
      <c r="AK4" s="182"/>
      <c r="AL4" s="182"/>
      <c r="AM4" s="182"/>
      <c r="AN4" s="182"/>
      <c r="AO4" s="183"/>
      <c r="AP4" s="181" t="str">
        <f t="array" aca="1" ref="AP4" ca="1">RIGHT(CELL("filename",$A$1),LEN(CELL("filename",$A$1))-FIND("]",CELL("filename",$A$1)))</f>
        <v>表紙</v>
      </c>
      <c r="AQ4" s="182"/>
      <c r="AR4" s="182"/>
      <c r="AS4" s="182"/>
      <c r="AT4" s="182"/>
      <c r="AU4" s="182"/>
      <c r="AV4" s="182"/>
      <c r="AW4" s="182"/>
      <c r="AX4" s="182"/>
      <c r="AY4" s="182"/>
      <c r="AZ4" s="182"/>
      <c r="BA4" s="182"/>
      <c r="BB4" s="182"/>
      <c r="BC4" s="182"/>
      <c r="BD4" s="182"/>
      <c r="BE4" s="182"/>
      <c r="BF4" s="182"/>
      <c r="BG4" s="182"/>
      <c r="BH4" s="182"/>
      <c r="BI4" s="182"/>
      <c r="BJ4" s="182"/>
      <c r="BK4" s="183"/>
    </row>
    <row r="5" spans="1:63" ht="5.0999999999999996" customHeight="1" x14ac:dyDescent="0.25">
      <c r="A5" s="184"/>
      <c r="B5" s="185"/>
      <c r="C5" s="185"/>
      <c r="D5" s="185"/>
      <c r="E5" s="185"/>
      <c r="F5" s="185"/>
      <c r="G5" s="185"/>
      <c r="H5" s="185"/>
      <c r="I5" s="185"/>
      <c r="J5" s="185"/>
      <c r="K5" s="185"/>
      <c r="L5" s="185"/>
      <c r="M5" s="185"/>
      <c r="N5" s="185"/>
      <c r="O5" s="185"/>
      <c r="P5" s="185"/>
      <c r="Q5" s="185"/>
      <c r="R5" s="185"/>
      <c r="S5" s="185"/>
      <c r="T5" s="185"/>
      <c r="U5" s="185"/>
      <c r="V5" s="185"/>
      <c r="W5" s="185"/>
      <c r="X5" s="185"/>
      <c r="Y5" s="185"/>
      <c r="Z5" s="185"/>
      <c r="AA5" s="185"/>
      <c r="AB5" s="185"/>
      <c r="AC5" s="185"/>
      <c r="AD5" s="185"/>
      <c r="AE5" s="185"/>
      <c r="AF5" s="185"/>
      <c r="AG5" s="185"/>
      <c r="AH5" s="185"/>
      <c r="AI5" s="185"/>
      <c r="AJ5" s="185"/>
      <c r="AK5" s="185"/>
      <c r="AL5" s="185"/>
      <c r="AM5" s="185"/>
      <c r="AN5" s="185"/>
      <c r="AO5" s="185"/>
      <c r="AP5" s="185"/>
      <c r="AQ5" s="185"/>
      <c r="AR5" s="185"/>
      <c r="AS5" s="185"/>
      <c r="AT5" s="185"/>
      <c r="AU5" s="185"/>
      <c r="AV5" s="185"/>
      <c r="AW5" s="185"/>
      <c r="AX5" s="185"/>
      <c r="AY5" s="185"/>
      <c r="AZ5" s="185"/>
      <c r="BA5" s="185"/>
      <c r="BB5" s="185"/>
      <c r="BC5" s="185"/>
      <c r="BD5" s="185"/>
      <c r="BE5" s="185"/>
      <c r="BF5" s="185"/>
      <c r="BG5" s="185"/>
      <c r="BH5" s="185"/>
      <c r="BI5" s="185"/>
      <c r="BJ5" s="185"/>
      <c r="BK5" s="186"/>
    </row>
    <row r="6" spans="1:63" ht="15" customHeight="1" x14ac:dyDescent="0.25">
      <c r="A6" s="187"/>
      <c r="BK6" s="188"/>
    </row>
    <row r="7" spans="1:63" ht="15" customHeight="1" x14ac:dyDescent="0.25">
      <c r="A7" s="187"/>
      <c r="BK7" s="188"/>
    </row>
    <row r="8" spans="1:63" ht="15" customHeight="1" x14ac:dyDescent="0.25">
      <c r="A8" s="187"/>
      <c r="BK8" s="188"/>
    </row>
    <row r="9" spans="1:63" ht="15" customHeight="1" x14ac:dyDescent="0.25">
      <c r="A9" s="187"/>
      <c r="BK9" s="188"/>
    </row>
    <row r="10" spans="1:63" ht="15" customHeight="1" x14ac:dyDescent="0.25">
      <c r="A10" s="187"/>
      <c r="BK10" s="188"/>
    </row>
    <row r="11" spans="1:63" ht="15" customHeight="1" x14ac:dyDescent="0.25">
      <c r="A11" s="187"/>
      <c r="BK11" s="188"/>
    </row>
    <row r="12" spans="1:63" ht="15" customHeight="1" x14ac:dyDescent="0.25">
      <c r="A12" s="187"/>
      <c r="BK12" s="188"/>
    </row>
    <row r="13" spans="1:63" ht="15" customHeight="1" x14ac:dyDescent="0.25">
      <c r="A13" s="187"/>
      <c r="BK13" s="188"/>
    </row>
    <row r="14" spans="1:63" ht="15" customHeight="1" thickBot="1" x14ac:dyDescent="0.3">
      <c r="A14" s="187"/>
      <c r="BK14" s="188"/>
    </row>
    <row r="15" spans="1:63" ht="15" customHeight="1" thickTop="1" x14ac:dyDescent="0.25">
      <c r="A15" s="187"/>
      <c r="K15" s="189"/>
      <c r="L15" s="190"/>
      <c r="M15" s="190"/>
      <c r="N15" s="190"/>
      <c r="O15" s="190"/>
      <c r="P15" s="190"/>
      <c r="Q15" s="190"/>
      <c r="R15" s="190"/>
      <c r="S15" s="190"/>
      <c r="T15" s="190"/>
      <c r="U15" s="190"/>
      <c r="V15" s="190"/>
      <c r="W15" s="190"/>
      <c r="X15" s="190"/>
      <c r="Y15" s="190"/>
      <c r="Z15" s="190"/>
      <c r="AA15" s="190"/>
      <c r="AB15" s="190"/>
      <c r="AC15" s="190"/>
      <c r="AD15" s="190"/>
      <c r="AE15" s="190"/>
      <c r="AF15" s="190"/>
      <c r="AG15" s="190"/>
      <c r="AH15" s="190"/>
      <c r="AI15" s="190"/>
      <c r="AJ15" s="190"/>
      <c r="AK15" s="190"/>
      <c r="AL15" s="190"/>
      <c r="AM15" s="190"/>
      <c r="AN15" s="190"/>
      <c r="AO15" s="190"/>
      <c r="AP15" s="190"/>
      <c r="AQ15" s="190"/>
      <c r="AR15" s="190"/>
      <c r="AS15" s="190"/>
      <c r="AT15" s="190"/>
      <c r="AU15" s="190"/>
      <c r="AV15" s="190"/>
      <c r="AW15" s="190"/>
      <c r="AX15" s="190"/>
      <c r="AY15" s="190"/>
      <c r="AZ15" s="190"/>
      <c r="BA15" s="191"/>
      <c r="BK15" s="188"/>
    </row>
    <row r="16" spans="1:63" ht="15" customHeight="1" x14ac:dyDescent="0.25">
      <c r="A16" s="187"/>
      <c r="K16" s="192"/>
      <c r="L16" s="193" t="s">
        <v>69</v>
      </c>
      <c r="M16" s="194"/>
      <c r="N16" s="194"/>
      <c r="O16" s="194"/>
      <c r="P16" s="194"/>
      <c r="Q16" s="194"/>
      <c r="R16" s="194"/>
      <c r="S16" s="194"/>
      <c r="T16" s="194"/>
      <c r="U16" s="194"/>
      <c r="V16" s="194"/>
      <c r="W16" s="194"/>
      <c r="X16" s="194"/>
      <c r="Y16" s="194"/>
      <c r="Z16" s="194"/>
      <c r="AA16" s="194"/>
      <c r="AB16" s="194"/>
      <c r="AC16" s="194"/>
      <c r="AD16" s="194"/>
      <c r="AE16" s="194"/>
      <c r="AF16" s="194"/>
      <c r="AG16" s="194"/>
      <c r="AH16" s="194"/>
      <c r="AI16" s="194"/>
      <c r="AJ16" s="194"/>
      <c r="AK16" s="194"/>
      <c r="AL16" s="194"/>
      <c r="AM16" s="194"/>
      <c r="AN16" s="194"/>
      <c r="AO16" s="194"/>
      <c r="AP16" s="194"/>
      <c r="AQ16" s="194"/>
      <c r="AR16" s="194"/>
      <c r="AS16" s="194"/>
      <c r="AT16" s="194"/>
      <c r="AU16" s="194"/>
      <c r="AV16" s="194"/>
      <c r="AW16" s="194"/>
      <c r="AX16" s="194"/>
      <c r="AY16" s="194"/>
      <c r="AZ16" s="194"/>
      <c r="BA16" s="195"/>
      <c r="BK16" s="188"/>
    </row>
    <row r="17" spans="1:63" ht="15" customHeight="1" x14ac:dyDescent="0.25">
      <c r="A17" s="187"/>
      <c r="K17" s="192"/>
      <c r="L17" s="194"/>
      <c r="M17" s="194"/>
      <c r="N17" s="194"/>
      <c r="O17" s="194"/>
      <c r="P17" s="194"/>
      <c r="Q17" s="194"/>
      <c r="R17" s="194"/>
      <c r="S17" s="194"/>
      <c r="T17" s="194"/>
      <c r="U17" s="194"/>
      <c r="V17" s="194"/>
      <c r="W17" s="194"/>
      <c r="X17" s="194"/>
      <c r="Y17" s="194"/>
      <c r="Z17" s="194"/>
      <c r="AA17" s="194"/>
      <c r="AB17" s="194"/>
      <c r="AC17" s="194"/>
      <c r="AD17" s="194"/>
      <c r="AE17" s="194"/>
      <c r="AF17" s="194"/>
      <c r="AG17" s="194"/>
      <c r="AH17" s="194"/>
      <c r="AI17" s="194"/>
      <c r="AJ17" s="194"/>
      <c r="AK17" s="194"/>
      <c r="AL17" s="194"/>
      <c r="AM17" s="194"/>
      <c r="AN17" s="194"/>
      <c r="AO17" s="194"/>
      <c r="AP17" s="194"/>
      <c r="AQ17" s="194"/>
      <c r="AR17" s="194"/>
      <c r="AS17" s="194"/>
      <c r="AT17" s="194"/>
      <c r="AU17" s="194"/>
      <c r="AV17" s="194"/>
      <c r="AW17" s="194"/>
      <c r="AX17" s="194"/>
      <c r="AY17" s="194"/>
      <c r="AZ17" s="194"/>
      <c r="BA17" s="195"/>
      <c r="BK17" s="188"/>
    </row>
    <row r="18" spans="1:63" ht="15" customHeight="1" x14ac:dyDescent="0.25">
      <c r="A18" s="187"/>
      <c r="K18" s="192"/>
      <c r="L18" s="194"/>
      <c r="M18" s="194"/>
      <c r="N18" s="194"/>
      <c r="O18" s="194"/>
      <c r="P18" s="194"/>
      <c r="Q18" s="194"/>
      <c r="R18" s="194"/>
      <c r="S18" s="194"/>
      <c r="T18" s="194"/>
      <c r="U18" s="194"/>
      <c r="V18" s="194"/>
      <c r="W18" s="194"/>
      <c r="X18" s="194"/>
      <c r="Y18" s="194"/>
      <c r="Z18" s="194"/>
      <c r="AA18" s="194"/>
      <c r="AB18" s="194"/>
      <c r="AC18" s="194"/>
      <c r="AD18" s="194"/>
      <c r="AE18" s="194"/>
      <c r="AF18" s="194"/>
      <c r="AG18" s="194"/>
      <c r="AH18" s="194"/>
      <c r="AI18" s="194"/>
      <c r="AJ18" s="194"/>
      <c r="AK18" s="194"/>
      <c r="AL18" s="194"/>
      <c r="AM18" s="194"/>
      <c r="AN18" s="194"/>
      <c r="AO18" s="194"/>
      <c r="AP18" s="194"/>
      <c r="AQ18" s="194"/>
      <c r="AR18" s="194"/>
      <c r="AS18" s="194"/>
      <c r="AT18" s="194"/>
      <c r="AU18" s="194"/>
      <c r="AV18" s="194"/>
      <c r="AW18" s="194"/>
      <c r="AX18" s="194"/>
      <c r="AY18" s="194"/>
      <c r="AZ18" s="194"/>
      <c r="BA18" s="195"/>
      <c r="BK18" s="188"/>
    </row>
    <row r="19" spans="1:63" ht="15" customHeight="1" x14ac:dyDescent="0.25">
      <c r="A19" s="187"/>
      <c r="K19" s="192"/>
      <c r="L19" s="194"/>
      <c r="M19" s="194"/>
      <c r="N19" s="194"/>
      <c r="O19" s="194"/>
      <c r="P19" s="194"/>
      <c r="Q19" s="194"/>
      <c r="R19" s="194"/>
      <c r="S19" s="194"/>
      <c r="T19" s="194"/>
      <c r="U19" s="194"/>
      <c r="V19" s="194"/>
      <c r="W19" s="194"/>
      <c r="X19" s="194"/>
      <c r="Y19" s="194"/>
      <c r="Z19" s="194"/>
      <c r="AA19" s="194"/>
      <c r="AB19" s="194"/>
      <c r="AC19" s="194"/>
      <c r="AD19" s="194"/>
      <c r="AE19" s="194"/>
      <c r="AF19" s="194"/>
      <c r="AG19" s="194"/>
      <c r="AH19" s="194"/>
      <c r="AI19" s="194"/>
      <c r="AJ19" s="194"/>
      <c r="AK19" s="194"/>
      <c r="AL19" s="194"/>
      <c r="AM19" s="194"/>
      <c r="AN19" s="194"/>
      <c r="AO19" s="194"/>
      <c r="AP19" s="194"/>
      <c r="AQ19" s="194"/>
      <c r="AR19" s="194"/>
      <c r="AS19" s="194"/>
      <c r="AT19" s="194"/>
      <c r="AU19" s="194"/>
      <c r="AV19" s="194"/>
      <c r="AW19" s="194"/>
      <c r="AX19" s="194"/>
      <c r="AY19" s="194"/>
      <c r="AZ19" s="194"/>
      <c r="BA19" s="195"/>
      <c r="BK19" s="188"/>
    </row>
    <row r="20" spans="1:63" ht="15" customHeight="1" x14ac:dyDescent="0.25">
      <c r="A20" s="187"/>
      <c r="K20" s="192"/>
      <c r="L20" s="194"/>
      <c r="M20" s="194"/>
      <c r="N20" s="194"/>
      <c r="O20" s="194"/>
      <c r="P20" s="194"/>
      <c r="Q20" s="194"/>
      <c r="R20" s="194"/>
      <c r="S20" s="194"/>
      <c r="T20" s="194"/>
      <c r="U20" s="194"/>
      <c r="V20" s="194"/>
      <c r="W20" s="194"/>
      <c r="X20" s="194"/>
      <c r="Y20" s="194"/>
      <c r="Z20" s="194"/>
      <c r="AA20" s="194"/>
      <c r="AB20" s="194"/>
      <c r="AC20" s="194"/>
      <c r="AD20" s="194"/>
      <c r="AE20" s="194"/>
      <c r="AF20" s="194"/>
      <c r="AG20" s="194"/>
      <c r="AH20" s="194"/>
      <c r="AI20" s="194"/>
      <c r="AJ20" s="194"/>
      <c r="AK20" s="194"/>
      <c r="AL20" s="194"/>
      <c r="AM20" s="194"/>
      <c r="AN20" s="194"/>
      <c r="AO20" s="194"/>
      <c r="AP20" s="194"/>
      <c r="AQ20" s="194"/>
      <c r="AR20" s="194"/>
      <c r="AS20" s="194"/>
      <c r="AT20" s="194"/>
      <c r="AU20" s="194"/>
      <c r="AV20" s="194"/>
      <c r="AW20" s="194"/>
      <c r="AX20" s="194"/>
      <c r="AY20" s="194"/>
      <c r="AZ20" s="194"/>
      <c r="BA20" s="195"/>
      <c r="BK20" s="188"/>
    </row>
    <row r="21" spans="1:63" ht="15" customHeight="1" x14ac:dyDescent="0.25">
      <c r="A21" s="187"/>
      <c r="K21" s="192"/>
      <c r="L21" s="194"/>
      <c r="M21" s="194"/>
      <c r="N21" s="194"/>
      <c r="O21" s="194"/>
      <c r="P21" s="194"/>
      <c r="Q21" s="194"/>
      <c r="R21" s="194"/>
      <c r="S21" s="194"/>
      <c r="T21" s="194"/>
      <c r="U21" s="194"/>
      <c r="V21" s="194"/>
      <c r="W21" s="194"/>
      <c r="X21" s="194"/>
      <c r="Y21" s="194"/>
      <c r="Z21" s="194"/>
      <c r="AA21" s="194"/>
      <c r="AB21" s="194"/>
      <c r="AC21" s="194"/>
      <c r="AD21" s="194"/>
      <c r="AE21" s="194"/>
      <c r="AF21" s="194"/>
      <c r="AG21" s="194"/>
      <c r="AH21" s="194"/>
      <c r="AI21" s="194"/>
      <c r="AJ21" s="194"/>
      <c r="AK21" s="194"/>
      <c r="AL21" s="194"/>
      <c r="AM21" s="194"/>
      <c r="AN21" s="194"/>
      <c r="AO21" s="194"/>
      <c r="AP21" s="194"/>
      <c r="AQ21" s="194"/>
      <c r="AR21" s="194"/>
      <c r="AS21" s="194"/>
      <c r="AT21" s="194"/>
      <c r="AU21" s="194"/>
      <c r="AV21" s="194"/>
      <c r="AW21" s="194"/>
      <c r="AX21" s="194"/>
      <c r="AY21" s="194"/>
      <c r="AZ21" s="194"/>
      <c r="BA21" s="195"/>
      <c r="BK21" s="188"/>
    </row>
    <row r="22" spans="1:63" ht="15" customHeight="1" thickBot="1" x14ac:dyDescent="0.3">
      <c r="A22" s="187"/>
      <c r="K22" s="192"/>
      <c r="L22" s="196"/>
      <c r="M22" s="196"/>
      <c r="N22" s="196"/>
      <c r="O22" s="196"/>
      <c r="P22" s="196"/>
      <c r="Q22" s="196"/>
      <c r="R22" s="196"/>
      <c r="S22" s="196"/>
      <c r="T22" s="196"/>
      <c r="U22" s="196"/>
      <c r="V22" s="196"/>
      <c r="W22" s="196"/>
      <c r="X22" s="196"/>
      <c r="Y22" s="196"/>
      <c r="Z22" s="196"/>
      <c r="AA22" s="196"/>
      <c r="AB22" s="196"/>
      <c r="AC22" s="196"/>
      <c r="AD22" s="196"/>
      <c r="AE22" s="196"/>
      <c r="AF22" s="196"/>
      <c r="AG22" s="196"/>
      <c r="AH22" s="196"/>
      <c r="AI22" s="196"/>
      <c r="AJ22" s="196"/>
      <c r="AK22" s="196"/>
      <c r="AL22" s="196"/>
      <c r="AM22" s="196"/>
      <c r="AN22" s="196"/>
      <c r="AO22" s="196"/>
      <c r="AP22" s="196"/>
      <c r="AQ22" s="196"/>
      <c r="AR22" s="196"/>
      <c r="AS22" s="196"/>
      <c r="AT22" s="196"/>
      <c r="AU22" s="196"/>
      <c r="AV22" s="196"/>
      <c r="AW22" s="196"/>
      <c r="AX22" s="196"/>
      <c r="AY22" s="196"/>
      <c r="AZ22" s="196"/>
      <c r="BA22" s="195"/>
      <c r="BK22" s="188"/>
    </row>
    <row r="23" spans="1:63" ht="15" customHeight="1" x14ac:dyDescent="0.25">
      <c r="A23" s="187"/>
      <c r="K23" s="192"/>
      <c r="L23" s="197"/>
      <c r="M23" s="197"/>
      <c r="N23" s="197"/>
      <c r="O23" s="197"/>
      <c r="P23" s="197"/>
      <c r="Q23" s="197"/>
      <c r="R23" s="197"/>
      <c r="S23" s="197"/>
      <c r="T23" s="197"/>
      <c r="U23" s="197"/>
      <c r="V23" s="197"/>
      <c r="W23" s="197"/>
      <c r="X23" s="197"/>
      <c r="Y23" s="197"/>
      <c r="Z23" s="197"/>
      <c r="AA23" s="197"/>
      <c r="AB23" s="197"/>
      <c r="AC23" s="197"/>
      <c r="AD23" s="197"/>
      <c r="AE23" s="197"/>
      <c r="AF23" s="197"/>
      <c r="AG23" s="197"/>
      <c r="AH23" s="197"/>
      <c r="AI23" s="197"/>
      <c r="AJ23" s="197"/>
      <c r="AK23" s="197"/>
      <c r="AL23" s="197"/>
      <c r="AM23" s="197"/>
      <c r="AN23" s="197"/>
      <c r="AO23" s="197"/>
      <c r="AP23" s="197"/>
      <c r="AQ23" s="197"/>
      <c r="AR23" s="197"/>
      <c r="AS23" s="197"/>
      <c r="AT23" s="197"/>
      <c r="AU23" s="197"/>
      <c r="AV23" s="197"/>
      <c r="AW23" s="197"/>
      <c r="AX23" s="197"/>
      <c r="AY23" s="197"/>
      <c r="AZ23" s="197"/>
      <c r="BA23" s="195"/>
      <c r="BK23" s="188"/>
    </row>
    <row r="24" spans="1:63" ht="15" customHeight="1" x14ac:dyDescent="0.25">
      <c r="A24" s="187"/>
      <c r="K24" s="192"/>
      <c r="L24" s="194" t="str">
        <f>K2&amp;"/"&amp;H4&amp;"/"&amp;Z4</f>
        <v>POSサーバ/16_保留・保留解除/画面設計書</v>
      </c>
      <c r="M24" s="194"/>
      <c r="N24" s="194"/>
      <c r="O24" s="194"/>
      <c r="P24" s="194"/>
      <c r="Q24" s="194"/>
      <c r="R24" s="194"/>
      <c r="S24" s="194"/>
      <c r="T24" s="194"/>
      <c r="U24" s="194"/>
      <c r="V24" s="194"/>
      <c r="W24" s="194"/>
      <c r="X24" s="194"/>
      <c r="Y24" s="194"/>
      <c r="Z24" s="194"/>
      <c r="AA24" s="194"/>
      <c r="AB24" s="194"/>
      <c r="AC24" s="194"/>
      <c r="AD24" s="194"/>
      <c r="AE24" s="194"/>
      <c r="AF24" s="194"/>
      <c r="AG24" s="194"/>
      <c r="AH24" s="194"/>
      <c r="AI24" s="194"/>
      <c r="AJ24" s="194"/>
      <c r="AK24" s="194"/>
      <c r="AL24" s="194"/>
      <c r="AM24" s="194"/>
      <c r="AN24" s="194"/>
      <c r="AO24" s="194"/>
      <c r="AP24" s="194"/>
      <c r="AQ24" s="194"/>
      <c r="AR24" s="194"/>
      <c r="AS24" s="194"/>
      <c r="AT24" s="194"/>
      <c r="AU24" s="194"/>
      <c r="AV24" s="194"/>
      <c r="AW24" s="194"/>
      <c r="AX24" s="194"/>
      <c r="AY24" s="194"/>
      <c r="AZ24" s="194"/>
      <c r="BA24" s="195"/>
      <c r="BK24" s="188"/>
    </row>
    <row r="25" spans="1:63" ht="15" customHeight="1" x14ac:dyDescent="0.25">
      <c r="A25" s="187"/>
      <c r="K25" s="192"/>
      <c r="L25" s="194"/>
      <c r="M25" s="194"/>
      <c r="N25" s="194"/>
      <c r="O25" s="194"/>
      <c r="P25" s="194"/>
      <c r="Q25" s="194"/>
      <c r="R25" s="194"/>
      <c r="S25" s="194"/>
      <c r="T25" s="194"/>
      <c r="U25" s="194"/>
      <c r="V25" s="194"/>
      <c r="W25" s="194"/>
      <c r="X25" s="194"/>
      <c r="Y25" s="194"/>
      <c r="Z25" s="194"/>
      <c r="AA25" s="194"/>
      <c r="AB25" s="194"/>
      <c r="AC25" s="194"/>
      <c r="AD25" s="194"/>
      <c r="AE25" s="194"/>
      <c r="AF25" s="194"/>
      <c r="AG25" s="194"/>
      <c r="AH25" s="194"/>
      <c r="AI25" s="194"/>
      <c r="AJ25" s="194"/>
      <c r="AK25" s="194"/>
      <c r="AL25" s="194"/>
      <c r="AM25" s="194"/>
      <c r="AN25" s="194"/>
      <c r="AO25" s="194"/>
      <c r="AP25" s="194"/>
      <c r="AQ25" s="194"/>
      <c r="AR25" s="194"/>
      <c r="AS25" s="194"/>
      <c r="AT25" s="194"/>
      <c r="AU25" s="194"/>
      <c r="AV25" s="194"/>
      <c r="AW25" s="194"/>
      <c r="AX25" s="194"/>
      <c r="AY25" s="194"/>
      <c r="AZ25" s="194"/>
      <c r="BA25" s="195"/>
      <c r="BK25" s="188"/>
    </row>
    <row r="26" spans="1:63" ht="15" customHeight="1" x14ac:dyDescent="0.25">
      <c r="A26" s="187"/>
      <c r="K26" s="192"/>
      <c r="L26" s="194"/>
      <c r="M26" s="194"/>
      <c r="N26" s="194"/>
      <c r="O26" s="194"/>
      <c r="P26" s="194"/>
      <c r="Q26" s="194"/>
      <c r="R26" s="194"/>
      <c r="S26" s="194"/>
      <c r="T26" s="194"/>
      <c r="U26" s="194"/>
      <c r="V26" s="194"/>
      <c r="W26" s="194"/>
      <c r="X26" s="194"/>
      <c r="Y26" s="194"/>
      <c r="Z26" s="194"/>
      <c r="AA26" s="194"/>
      <c r="AB26" s="194"/>
      <c r="AC26" s="194"/>
      <c r="AD26" s="194"/>
      <c r="AE26" s="194"/>
      <c r="AF26" s="194"/>
      <c r="AG26" s="194"/>
      <c r="AH26" s="194"/>
      <c r="AI26" s="194"/>
      <c r="AJ26" s="194"/>
      <c r="AK26" s="194"/>
      <c r="AL26" s="194"/>
      <c r="AM26" s="194"/>
      <c r="AN26" s="194"/>
      <c r="AO26" s="194"/>
      <c r="AP26" s="194"/>
      <c r="AQ26" s="194"/>
      <c r="AR26" s="194"/>
      <c r="AS26" s="194"/>
      <c r="AT26" s="194"/>
      <c r="AU26" s="194"/>
      <c r="AV26" s="194"/>
      <c r="AW26" s="194"/>
      <c r="AX26" s="194"/>
      <c r="AY26" s="194"/>
      <c r="AZ26" s="194"/>
      <c r="BA26" s="195"/>
      <c r="BK26" s="188"/>
    </row>
    <row r="27" spans="1:63" ht="15" customHeight="1" x14ac:dyDescent="0.25">
      <c r="A27" s="187"/>
      <c r="K27" s="192"/>
      <c r="L27" s="194"/>
      <c r="M27" s="194"/>
      <c r="N27" s="194"/>
      <c r="O27" s="194"/>
      <c r="P27" s="194"/>
      <c r="Q27" s="194"/>
      <c r="R27" s="194"/>
      <c r="S27" s="194"/>
      <c r="T27" s="194"/>
      <c r="U27" s="194"/>
      <c r="V27" s="194"/>
      <c r="W27" s="194"/>
      <c r="X27" s="194"/>
      <c r="Y27" s="194"/>
      <c r="Z27" s="194"/>
      <c r="AA27" s="194"/>
      <c r="AB27" s="194"/>
      <c r="AC27" s="194"/>
      <c r="AD27" s="194"/>
      <c r="AE27" s="194"/>
      <c r="AF27" s="194"/>
      <c r="AG27" s="194"/>
      <c r="AH27" s="194"/>
      <c r="AI27" s="194"/>
      <c r="AJ27" s="194"/>
      <c r="AK27" s="194"/>
      <c r="AL27" s="194"/>
      <c r="AM27" s="194"/>
      <c r="AN27" s="194"/>
      <c r="AO27" s="194"/>
      <c r="AP27" s="194"/>
      <c r="AQ27" s="194"/>
      <c r="AR27" s="194"/>
      <c r="AS27" s="194"/>
      <c r="AT27" s="194"/>
      <c r="AU27" s="194"/>
      <c r="AV27" s="194"/>
      <c r="AW27" s="194"/>
      <c r="AX27" s="194"/>
      <c r="AY27" s="194"/>
      <c r="AZ27" s="194"/>
      <c r="BA27" s="195"/>
      <c r="BK27" s="188"/>
    </row>
    <row r="28" spans="1:63" ht="15" customHeight="1" x14ac:dyDescent="0.25">
      <c r="A28" s="187"/>
      <c r="K28" s="192"/>
      <c r="L28" s="194"/>
      <c r="M28" s="194"/>
      <c r="N28" s="194"/>
      <c r="O28" s="194"/>
      <c r="P28" s="194"/>
      <c r="Q28" s="194"/>
      <c r="R28" s="194"/>
      <c r="S28" s="194"/>
      <c r="T28" s="194"/>
      <c r="U28" s="194"/>
      <c r="V28" s="194"/>
      <c r="W28" s="194"/>
      <c r="X28" s="194"/>
      <c r="Y28" s="194"/>
      <c r="Z28" s="194"/>
      <c r="AA28" s="194"/>
      <c r="AB28" s="194"/>
      <c r="AC28" s="194"/>
      <c r="AD28" s="194"/>
      <c r="AE28" s="194"/>
      <c r="AF28" s="194"/>
      <c r="AG28" s="194"/>
      <c r="AH28" s="194"/>
      <c r="AI28" s="194"/>
      <c r="AJ28" s="194"/>
      <c r="AK28" s="194"/>
      <c r="AL28" s="194"/>
      <c r="AM28" s="194"/>
      <c r="AN28" s="194"/>
      <c r="AO28" s="194"/>
      <c r="AP28" s="194"/>
      <c r="AQ28" s="194"/>
      <c r="AR28" s="194"/>
      <c r="AS28" s="194"/>
      <c r="AT28" s="194"/>
      <c r="AU28" s="194"/>
      <c r="AV28" s="194"/>
      <c r="AW28" s="194"/>
      <c r="AX28" s="194"/>
      <c r="AY28" s="194"/>
      <c r="AZ28" s="194"/>
      <c r="BA28" s="195"/>
      <c r="BK28" s="188"/>
    </row>
    <row r="29" spans="1:63" ht="15" customHeight="1" x14ac:dyDescent="0.25">
      <c r="A29" s="187"/>
      <c r="K29" s="192"/>
      <c r="L29" s="194"/>
      <c r="M29" s="194"/>
      <c r="N29" s="194"/>
      <c r="O29" s="194"/>
      <c r="P29" s="194"/>
      <c r="Q29" s="194"/>
      <c r="R29" s="194"/>
      <c r="S29" s="194"/>
      <c r="T29" s="194"/>
      <c r="U29" s="194"/>
      <c r="V29" s="194"/>
      <c r="W29" s="194"/>
      <c r="X29" s="194"/>
      <c r="Y29" s="194"/>
      <c r="Z29" s="194"/>
      <c r="AA29" s="194"/>
      <c r="AB29" s="194"/>
      <c r="AC29" s="194"/>
      <c r="AD29" s="194"/>
      <c r="AE29" s="194"/>
      <c r="AF29" s="194"/>
      <c r="AG29" s="194"/>
      <c r="AH29" s="194"/>
      <c r="AI29" s="194"/>
      <c r="AJ29" s="194"/>
      <c r="AK29" s="194"/>
      <c r="AL29" s="194"/>
      <c r="AM29" s="194"/>
      <c r="AN29" s="194"/>
      <c r="AO29" s="194"/>
      <c r="AP29" s="194"/>
      <c r="AQ29" s="194"/>
      <c r="AR29" s="194"/>
      <c r="AS29" s="194"/>
      <c r="AT29" s="194"/>
      <c r="AU29" s="194"/>
      <c r="AV29" s="194"/>
      <c r="AW29" s="194"/>
      <c r="AX29" s="194"/>
      <c r="AY29" s="194"/>
      <c r="AZ29" s="194"/>
      <c r="BA29" s="195"/>
      <c r="BK29" s="188"/>
    </row>
    <row r="30" spans="1:63" ht="15" customHeight="1" x14ac:dyDescent="0.25">
      <c r="A30" s="187"/>
      <c r="K30" s="192"/>
      <c r="L30" s="194"/>
      <c r="M30" s="194"/>
      <c r="N30" s="194"/>
      <c r="O30" s="194"/>
      <c r="P30" s="194"/>
      <c r="Q30" s="194"/>
      <c r="R30" s="194"/>
      <c r="S30" s="194"/>
      <c r="T30" s="194"/>
      <c r="U30" s="194"/>
      <c r="V30" s="194"/>
      <c r="W30" s="194"/>
      <c r="X30" s="194"/>
      <c r="Y30" s="194"/>
      <c r="Z30" s="194"/>
      <c r="AA30" s="194"/>
      <c r="AB30" s="194"/>
      <c r="AC30" s="194"/>
      <c r="AD30" s="194"/>
      <c r="AE30" s="194"/>
      <c r="AF30" s="194"/>
      <c r="AG30" s="194"/>
      <c r="AH30" s="194"/>
      <c r="AI30" s="194"/>
      <c r="AJ30" s="194"/>
      <c r="AK30" s="194"/>
      <c r="AL30" s="194"/>
      <c r="AM30" s="194"/>
      <c r="AN30" s="194"/>
      <c r="AO30" s="194"/>
      <c r="AP30" s="194"/>
      <c r="AQ30" s="194"/>
      <c r="AR30" s="194"/>
      <c r="AS30" s="194"/>
      <c r="AT30" s="194"/>
      <c r="AU30" s="194"/>
      <c r="AV30" s="194"/>
      <c r="AW30" s="194"/>
      <c r="AX30" s="194"/>
      <c r="AY30" s="194"/>
      <c r="AZ30" s="194"/>
      <c r="BA30" s="195"/>
      <c r="BK30" s="188"/>
    </row>
    <row r="31" spans="1:63" ht="15" customHeight="1" x14ac:dyDescent="0.25">
      <c r="A31" s="187"/>
      <c r="K31" s="192"/>
      <c r="L31" s="194"/>
      <c r="M31" s="194"/>
      <c r="N31" s="194"/>
      <c r="O31" s="194"/>
      <c r="P31" s="194"/>
      <c r="Q31" s="194"/>
      <c r="R31" s="194"/>
      <c r="S31" s="194"/>
      <c r="T31" s="194"/>
      <c r="U31" s="194"/>
      <c r="V31" s="194"/>
      <c r="W31" s="194"/>
      <c r="X31" s="194"/>
      <c r="Y31" s="194"/>
      <c r="Z31" s="194"/>
      <c r="AA31" s="194"/>
      <c r="AB31" s="194"/>
      <c r="AC31" s="194"/>
      <c r="AD31" s="194"/>
      <c r="AE31" s="194"/>
      <c r="AF31" s="194"/>
      <c r="AG31" s="194"/>
      <c r="AH31" s="194"/>
      <c r="AI31" s="194"/>
      <c r="AJ31" s="194"/>
      <c r="AK31" s="194"/>
      <c r="AL31" s="194"/>
      <c r="AM31" s="194"/>
      <c r="AN31" s="194"/>
      <c r="AO31" s="194"/>
      <c r="AP31" s="194"/>
      <c r="AQ31" s="194"/>
      <c r="AR31" s="194"/>
      <c r="AS31" s="194"/>
      <c r="AT31" s="194"/>
      <c r="AU31" s="194"/>
      <c r="AV31" s="194"/>
      <c r="AW31" s="194"/>
      <c r="AX31" s="194"/>
      <c r="AY31" s="194"/>
      <c r="AZ31" s="194"/>
      <c r="BA31" s="195"/>
      <c r="BK31" s="188"/>
    </row>
    <row r="32" spans="1:63" ht="15" customHeight="1" x14ac:dyDescent="0.25">
      <c r="A32" s="187"/>
      <c r="K32" s="192"/>
      <c r="L32" s="194"/>
      <c r="M32" s="194"/>
      <c r="N32" s="194"/>
      <c r="O32" s="194"/>
      <c r="P32" s="194"/>
      <c r="Q32" s="194"/>
      <c r="R32" s="194"/>
      <c r="S32" s="194"/>
      <c r="T32" s="194"/>
      <c r="U32" s="194"/>
      <c r="V32" s="194"/>
      <c r="W32" s="194"/>
      <c r="X32" s="194"/>
      <c r="Y32" s="194"/>
      <c r="Z32" s="194"/>
      <c r="AA32" s="194"/>
      <c r="AB32" s="194"/>
      <c r="AC32" s="194"/>
      <c r="AD32" s="194"/>
      <c r="AE32" s="194"/>
      <c r="AF32" s="194"/>
      <c r="AG32" s="194"/>
      <c r="AH32" s="194"/>
      <c r="AI32" s="194"/>
      <c r="AJ32" s="194"/>
      <c r="AK32" s="194"/>
      <c r="AL32" s="194"/>
      <c r="AM32" s="194"/>
      <c r="AN32" s="194"/>
      <c r="AO32" s="194"/>
      <c r="AP32" s="194"/>
      <c r="AQ32" s="194"/>
      <c r="AR32" s="194"/>
      <c r="AS32" s="194"/>
      <c r="AT32" s="194"/>
      <c r="AU32" s="194"/>
      <c r="AV32" s="194"/>
      <c r="AW32" s="194"/>
      <c r="AX32" s="194"/>
      <c r="AY32" s="194"/>
      <c r="AZ32" s="194"/>
      <c r="BA32" s="195"/>
      <c r="BK32" s="188"/>
    </row>
    <row r="33" spans="1:63" ht="15" customHeight="1" x14ac:dyDescent="0.25">
      <c r="A33" s="187"/>
      <c r="K33" s="192"/>
      <c r="L33" s="194"/>
      <c r="M33" s="194"/>
      <c r="N33" s="194"/>
      <c r="O33" s="194"/>
      <c r="P33" s="194"/>
      <c r="Q33" s="194"/>
      <c r="R33" s="194"/>
      <c r="S33" s="194"/>
      <c r="T33" s="194"/>
      <c r="U33" s="194"/>
      <c r="V33" s="194"/>
      <c r="W33" s="194"/>
      <c r="X33" s="194"/>
      <c r="Y33" s="194"/>
      <c r="Z33" s="194"/>
      <c r="AA33" s="194"/>
      <c r="AB33" s="194"/>
      <c r="AC33" s="194"/>
      <c r="AD33" s="194"/>
      <c r="AE33" s="194"/>
      <c r="AF33" s="194"/>
      <c r="AG33" s="194"/>
      <c r="AH33" s="194"/>
      <c r="AI33" s="194"/>
      <c r="AJ33" s="194"/>
      <c r="AK33" s="194"/>
      <c r="AL33" s="194"/>
      <c r="AM33" s="194"/>
      <c r="AN33" s="194"/>
      <c r="AO33" s="194"/>
      <c r="AP33" s="194"/>
      <c r="AQ33" s="194"/>
      <c r="AR33" s="194"/>
      <c r="AS33" s="194"/>
      <c r="AT33" s="194"/>
      <c r="AU33" s="194"/>
      <c r="AV33" s="194"/>
      <c r="AW33" s="194"/>
      <c r="AX33" s="194"/>
      <c r="AY33" s="194"/>
      <c r="AZ33" s="194"/>
      <c r="BA33" s="195"/>
      <c r="BK33" s="188"/>
    </row>
    <row r="34" spans="1:63" ht="15" customHeight="1" x14ac:dyDescent="0.25">
      <c r="A34" s="187"/>
      <c r="K34" s="192"/>
      <c r="L34" s="194"/>
      <c r="M34" s="194"/>
      <c r="N34" s="194"/>
      <c r="O34" s="194"/>
      <c r="P34" s="194"/>
      <c r="Q34" s="194"/>
      <c r="R34" s="194"/>
      <c r="S34" s="194"/>
      <c r="T34" s="194"/>
      <c r="U34" s="194"/>
      <c r="V34" s="194"/>
      <c r="W34" s="194"/>
      <c r="X34" s="194"/>
      <c r="Y34" s="194"/>
      <c r="Z34" s="194"/>
      <c r="AA34" s="194"/>
      <c r="AB34" s="194"/>
      <c r="AC34" s="194"/>
      <c r="AD34" s="194"/>
      <c r="AE34" s="194"/>
      <c r="AF34" s="194"/>
      <c r="AG34" s="194"/>
      <c r="AH34" s="194"/>
      <c r="AI34" s="194"/>
      <c r="AJ34" s="194"/>
      <c r="AK34" s="194"/>
      <c r="AL34" s="194"/>
      <c r="AM34" s="194"/>
      <c r="AN34" s="194"/>
      <c r="AO34" s="194"/>
      <c r="AP34" s="194"/>
      <c r="AQ34" s="194"/>
      <c r="AR34" s="194"/>
      <c r="AS34" s="194"/>
      <c r="AT34" s="194"/>
      <c r="AU34" s="194"/>
      <c r="AV34" s="194"/>
      <c r="AW34" s="194"/>
      <c r="AX34" s="194"/>
      <c r="AY34" s="194"/>
      <c r="AZ34" s="194"/>
      <c r="BA34" s="195"/>
      <c r="BK34" s="188"/>
    </row>
    <row r="35" spans="1:63" ht="15" customHeight="1" x14ac:dyDescent="0.25">
      <c r="A35" s="187"/>
      <c r="K35" s="192"/>
      <c r="L35" s="194"/>
      <c r="M35" s="194"/>
      <c r="N35" s="194"/>
      <c r="O35" s="194"/>
      <c r="P35" s="194"/>
      <c r="Q35" s="194"/>
      <c r="R35" s="194"/>
      <c r="S35" s="194"/>
      <c r="T35" s="194"/>
      <c r="U35" s="194"/>
      <c r="V35" s="194"/>
      <c r="W35" s="194"/>
      <c r="X35" s="194"/>
      <c r="Y35" s="194"/>
      <c r="Z35" s="194"/>
      <c r="AA35" s="194"/>
      <c r="AB35" s="194"/>
      <c r="AC35" s="194"/>
      <c r="AD35" s="194"/>
      <c r="AE35" s="194"/>
      <c r="AF35" s="194"/>
      <c r="AG35" s="194"/>
      <c r="AH35" s="194"/>
      <c r="AI35" s="194"/>
      <c r="AJ35" s="194"/>
      <c r="AK35" s="194"/>
      <c r="AL35" s="194"/>
      <c r="AM35" s="194"/>
      <c r="AN35" s="194"/>
      <c r="AO35" s="194"/>
      <c r="AP35" s="194"/>
      <c r="AQ35" s="194"/>
      <c r="AR35" s="194"/>
      <c r="AS35" s="194"/>
      <c r="AT35" s="194"/>
      <c r="AU35" s="194"/>
      <c r="AV35" s="194"/>
      <c r="AW35" s="194"/>
      <c r="AX35" s="194"/>
      <c r="AY35" s="194"/>
      <c r="AZ35" s="194"/>
      <c r="BA35" s="195"/>
      <c r="BK35" s="188"/>
    </row>
    <row r="36" spans="1:63" ht="15" customHeight="1" x14ac:dyDescent="0.25">
      <c r="A36" s="187"/>
      <c r="K36" s="192"/>
      <c r="L36" s="194"/>
      <c r="M36" s="194"/>
      <c r="N36" s="194"/>
      <c r="O36" s="194"/>
      <c r="P36" s="194"/>
      <c r="Q36" s="194"/>
      <c r="R36" s="194"/>
      <c r="S36" s="194"/>
      <c r="T36" s="194"/>
      <c r="U36" s="194"/>
      <c r="V36" s="194"/>
      <c r="W36" s="194"/>
      <c r="X36" s="194"/>
      <c r="Y36" s="194"/>
      <c r="Z36" s="194"/>
      <c r="AA36" s="194"/>
      <c r="AB36" s="194"/>
      <c r="AC36" s="194"/>
      <c r="AD36" s="194"/>
      <c r="AE36" s="194"/>
      <c r="AF36" s="194"/>
      <c r="AG36" s="194"/>
      <c r="AH36" s="194"/>
      <c r="AI36" s="194"/>
      <c r="AJ36" s="194"/>
      <c r="AK36" s="194"/>
      <c r="AL36" s="194"/>
      <c r="AM36" s="194"/>
      <c r="AN36" s="194"/>
      <c r="AO36" s="194"/>
      <c r="AP36" s="194"/>
      <c r="AQ36" s="194"/>
      <c r="AR36" s="194"/>
      <c r="AS36" s="194"/>
      <c r="AT36" s="194"/>
      <c r="AU36" s="194"/>
      <c r="AV36" s="194"/>
      <c r="AW36" s="194"/>
      <c r="AX36" s="194"/>
      <c r="AY36" s="194"/>
      <c r="AZ36" s="194"/>
      <c r="BA36" s="195"/>
      <c r="BK36" s="188"/>
    </row>
    <row r="37" spans="1:63" ht="15" customHeight="1" thickBot="1" x14ac:dyDescent="0.3">
      <c r="A37" s="187"/>
      <c r="K37" s="198"/>
      <c r="L37" s="199"/>
      <c r="M37" s="199"/>
      <c r="N37" s="199"/>
      <c r="O37" s="199"/>
      <c r="P37" s="199"/>
      <c r="Q37" s="199"/>
      <c r="R37" s="199"/>
      <c r="S37" s="199"/>
      <c r="T37" s="199"/>
      <c r="U37" s="199"/>
      <c r="V37" s="199"/>
      <c r="W37" s="199"/>
      <c r="X37" s="199"/>
      <c r="Y37" s="199"/>
      <c r="Z37" s="199"/>
      <c r="AA37" s="199"/>
      <c r="AB37" s="199"/>
      <c r="AC37" s="199"/>
      <c r="AD37" s="199"/>
      <c r="AE37" s="199"/>
      <c r="AF37" s="199"/>
      <c r="AG37" s="199"/>
      <c r="AH37" s="199"/>
      <c r="AI37" s="199"/>
      <c r="AJ37" s="199"/>
      <c r="AK37" s="199"/>
      <c r="AL37" s="199"/>
      <c r="AM37" s="199"/>
      <c r="AN37" s="199"/>
      <c r="AO37" s="199"/>
      <c r="AP37" s="199"/>
      <c r="AQ37" s="199"/>
      <c r="AR37" s="199"/>
      <c r="AS37" s="199"/>
      <c r="AT37" s="199"/>
      <c r="AU37" s="199"/>
      <c r="AV37" s="199"/>
      <c r="AW37" s="199"/>
      <c r="AX37" s="199"/>
      <c r="AY37" s="199"/>
      <c r="AZ37" s="199"/>
      <c r="BA37" s="200"/>
      <c r="BK37" s="188"/>
    </row>
    <row r="38" spans="1:63" ht="15" customHeight="1" thickTop="1" x14ac:dyDescent="0.25">
      <c r="A38" s="187"/>
      <c r="BK38" s="188"/>
    </row>
    <row r="39" spans="1:63" ht="15" customHeight="1" x14ac:dyDescent="0.25">
      <c r="A39" s="187"/>
      <c r="BK39" s="188"/>
    </row>
    <row r="40" spans="1:63" ht="15" customHeight="1" x14ac:dyDescent="0.25">
      <c r="A40" s="187"/>
      <c r="BK40" s="188"/>
    </row>
    <row r="41" spans="1:63" ht="15" customHeight="1" x14ac:dyDescent="0.25">
      <c r="A41" s="187"/>
      <c r="BK41" s="188"/>
    </row>
    <row r="42" spans="1:63" ht="15" customHeight="1" x14ac:dyDescent="0.25">
      <c r="A42" s="187"/>
      <c r="BK42" s="188"/>
    </row>
    <row r="43" spans="1:63" ht="15" customHeight="1" x14ac:dyDescent="0.25">
      <c r="A43" s="187"/>
      <c r="BK43" s="188"/>
    </row>
    <row r="44" spans="1:63" ht="15" customHeight="1" x14ac:dyDescent="0.25">
      <c r="A44" s="187"/>
      <c r="Q44" s="201" t="s">
        <v>70</v>
      </c>
      <c r="R44" s="202"/>
      <c r="S44" s="202"/>
      <c r="T44" s="202"/>
      <c r="U44" s="202"/>
      <c r="V44" s="202"/>
      <c r="W44" s="202"/>
      <c r="X44" s="202"/>
      <c r="Y44" s="202"/>
      <c r="Z44" s="203"/>
      <c r="AA44" s="201" t="s">
        <v>71</v>
      </c>
      <c r="AB44" s="202"/>
      <c r="AC44" s="202"/>
      <c r="AD44" s="202"/>
      <c r="AE44" s="202"/>
      <c r="AF44" s="202"/>
      <c r="AG44" s="202"/>
      <c r="AH44" s="202"/>
      <c r="AI44" s="202"/>
      <c r="AJ44" s="202"/>
      <c r="AK44" s="202"/>
      <c r="AL44" s="202"/>
      <c r="AM44" s="202"/>
      <c r="AN44" s="202"/>
      <c r="AO44" s="202"/>
      <c r="AP44" s="203"/>
      <c r="AQ44" s="201" t="s">
        <v>64</v>
      </c>
      <c r="AR44" s="202"/>
      <c r="AS44" s="202"/>
      <c r="AT44" s="202"/>
      <c r="AU44" s="203"/>
      <c r="BK44" s="188"/>
    </row>
    <row r="45" spans="1:63" ht="15" customHeight="1" x14ac:dyDescent="0.25">
      <c r="A45" s="187"/>
      <c r="Q45" s="204"/>
      <c r="R45" s="205"/>
      <c r="S45" s="205"/>
      <c r="T45" s="205"/>
      <c r="U45" s="205"/>
      <c r="V45" s="205"/>
      <c r="W45" s="205"/>
      <c r="X45" s="205"/>
      <c r="Y45" s="205"/>
      <c r="Z45" s="206"/>
      <c r="AA45" s="204"/>
      <c r="AB45" s="205"/>
      <c r="AC45" s="205"/>
      <c r="AD45" s="205"/>
      <c r="AE45" s="205"/>
      <c r="AF45" s="205"/>
      <c r="AG45" s="205"/>
      <c r="AH45" s="205"/>
      <c r="AI45" s="205"/>
      <c r="AJ45" s="205"/>
      <c r="AK45" s="205"/>
      <c r="AL45" s="205"/>
      <c r="AM45" s="205"/>
      <c r="AN45" s="205"/>
      <c r="AO45" s="205"/>
      <c r="AP45" s="206"/>
      <c r="AQ45" s="204"/>
      <c r="AR45" s="205"/>
      <c r="AS45" s="205"/>
      <c r="AT45" s="205"/>
      <c r="AU45" s="206"/>
      <c r="BK45" s="188"/>
    </row>
    <row r="46" spans="1:63" ht="15" customHeight="1" x14ac:dyDescent="0.25">
      <c r="A46" s="187"/>
      <c r="Q46" s="159"/>
      <c r="R46" s="157"/>
      <c r="S46" s="157"/>
      <c r="T46" s="157"/>
      <c r="U46" s="157"/>
      <c r="V46" s="157"/>
      <c r="W46" s="157"/>
      <c r="X46" s="157"/>
      <c r="Y46" s="157"/>
      <c r="Z46" s="158"/>
      <c r="AA46" s="159"/>
      <c r="AB46" s="157"/>
      <c r="AC46" s="157"/>
      <c r="AD46" s="157"/>
      <c r="AE46" s="157"/>
      <c r="AF46" s="157"/>
      <c r="AG46" s="157"/>
      <c r="AH46" s="157"/>
      <c r="AI46" s="157"/>
      <c r="AJ46" s="157"/>
      <c r="AK46" s="157"/>
      <c r="AL46" s="157"/>
      <c r="AM46" s="157"/>
      <c r="AN46" s="157"/>
      <c r="AO46" s="157"/>
      <c r="AP46" s="158"/>
      <c r="AQ46" s="159"/>
      <c r="AR46" s="157"/>
      <c r="AS46" s="157"/>
      <c r="AT46" s="157"/>
      <c r="AU46" s="158"/>
      <c r="BK46" s="188"/>
    </row>
    <row r="47" spans="1:63" ht="15" customHeight="1" x14ac:dyDescent="0.25">
      <c r="A47" s="187"/>
      <c r="Q47" s="207"/>
      <c r="R47" s="208"/>
      <c r="S47" s="208"/>
      <c r="T47" s="208"/>
      <c r="U47" s="208"/>
      <c r="V47" s="208"/>
      <c r="W47" s="208"/>
      <c r="X47" s="208"/>
      <c r="Y47" s="208"/>
      <c r="Z47" s="209"/>
      <c r="AA47" s="207"/>
      <c r="AB47" s="208"/>
      <c r="AC47" s="208"/>
      <c r="AD47" s="208"/>
      <c r="AE47" s="208"/>
      <c r="AF47" s="208"/>
      <c r="AG47" s="208"/>
      <c r="AH47" s="208"/>
      <c r="AI47" s="208"/>
      <c r="AJ47" s="208"/>
      <c r="AK47" s="208"/>
      <c r="AL47" s="208"/>
      <c r="AM47" s="208"/>
      <c r="AN47" s="208"/>
      <c r="AO47" s="208"/>
      <c r="AP47" s="209"/>
      <c r="AQ47" s="207"/>
      <c r="AR47" s="208"/>
      <c r="AS47" s="208"/>
      <c r="AT47" s="208"/>
      <c r="AU47" s="209"/>
      <c r="BK47" s="188"/>
    </row>
    <row r="48" spans="1:63" ht="15" customHeight="1" x14ac:dyDescent="0.25">
      <c r="A48" s="187"/>
      <c r="Q48" s="207"/>
      <c r="R48" s="208"/>
      <c r="S48" s="208"/>
      <c r="T48" s="208"/>
      <c r="U48" s="208"/>
      <c r="V48" s="208"/>
      <c r="W48" s="208"/>
      <c r="X48" s="208"/>
      <c r="Y48" s="208"/>
      <c r="Z48" s="209"/>
      <c r="AA48" s="207"/>
      <c r="AB48" s="208"/>
      <c r="AC48" s="208"/>
      <c r="AD48" s="208"/>
      <c r="AE48" s="208"/>
      <c r="AF48" s="208"/>
      <c r="AG48" s="208"/>
      <c r="AH48" s="208"/>
      <c r="AI48" s="208"/>
      <c r="AJ48" s="208"/>
      <c r="AK48" s="208"/>
      <c r="AL48" s="208"/>
      <c r="AM48" s="208"/>
      <c r="AN48" s="208"/>
      <c r="AO48" s="208"/>
      <c r="AP48" s="209"/>
      <c r="AQ48" s="207"/>
      <c r="AR48" s="208"/>
      <c r="AS48" s="208"/>
      <c r="AT48" s="208"/>
      <c r="AU48" s="209"/>
      <c r="BK48" s="188"/>
    </row>
    <row r="49" spans="1:63" ht="15" customHeight="1" x14ac:dyDescent="0.25">
      <c r="A49" s="187"/>
      <c r="Q49" s="169"/>
      <c r="R49" s="170"/>
      <c r="S49" s="170"/>
      <c r="T49" s="170"/>
      <c r="U49" s="170"/>
      <c r="V49" s="170"/>
      <c r="W49" s="170"/>
      <c r="X49" s="170"/>
      <c r="Y49" s="170"/>
      <c r="Z49" s="171"/>
      <c r="AA49" s="169"/>
      <c r="AB49" s="170"/>
      <c r="AC49" s="170"/>
      <c r="AD49" s="170"/>
      <c r="AE49" s="170"/>
      <c r="AF49" s="170"/>
      <c r="AG49" s="170"/>
      <c r="AH49" s="170"/>
      <c r="AI49" s="170"/>
      <c r="AJ49" s="170"/>
      <c r="AK49" s="170"/>
      <c r="AL49" s="170"/>
      <c r="AM49" s="170"/>
      <c r="AN49" s="170"/>
      <c r="AO49" s="170"/>
      <c r="AP49" s="171"/>
      <c r="AQ49" s="169"/>
      <c r="AR49" s="170"/>
      <c r="AS49" s="170"/>
      <c r="AT49" s="170"/>
      <c r="AU49" s="171"/>
      <c r="BK49" s="188"/>
    </row>
    <row r="50" spans="1:63" ht="15" customHeight="1" x14ac:dyDescent="0.25">
      <c r="A50" s="187"/>
      <c r="BK50" s="188"/>
    </row>
    <row r="51" spans="1:63" ht="15" customHeight="1" x14ac:dyDescent="0.25">
      <c r="A51" s="187"/>
      <c r="BK51" s="188"/>
    </row>
    <row r="52" spans="1:63" ht="15" customHeight="1" x14ac:dyDescent="0.25">
      <c r="A52" s="187"/>
      <c r="BK52" s="188"/>
    </row>
    <row r="53" spans="1:63" ht="15" customHeight="1" x14ac:dyDescent="0.25">
      <c r="A53" s="187"/>
      <c r="BK53" s="188"/>
    </row>
    <row r="54" spans="1:63" ht="15" customHeight="1" x14ac:dyDescent="0.25">
      <c r="A54" s="187"/>
      <c r="BK54" s="188"/>
    </row>
    <row r="55" spans="1:63" ht="15" customHeight="1" x14ac:dyDescent="0.25">
      <c r="A55" s="184"/>
      <c r="B55" s="185"/>
      <c r="C55" s="185"/>
      <c r="D55" s="185"/>
      <c r="E55" s="185"/>
      <c r="F55" s="185"/>
      <c r="G55" s="185"/>
      <c r="H55" s="185"/>
      <c r="I55" s="185"/>
      <c r="J55" s="185"/>
      <c r="K55" s="185"/>
      <c r="L55" s="185"/>
      <c r="M55" s="185"/>
      <c r="N55" s="185"/>
      <c r="O55" s="185"/>
      <c r="P55" s="185"/>
      <c r="Q55" s="185"/>
      <c r="R55" s="185"/>
      <c r="S55" s="185"/>
      <c r="T55" s="185"/>
      <c r="U55" s="185"/>
      <c r="V55" s="185"/>
      <c r="W55" s="185"/>
      <c r="X55" s="185"/>
      <c r="Y55" s="185"/>
      <c r="Z55" s="185"/>
      <c r="AA55" s="185"/>
      <c r="AB55" s="185"/>
      <c r="AC55" s="185"/>
      <c r="AD55" s="185"/>
      <c r="AE55" s="185"/>
      <c r="AF55" s="185"/>
      <c r="AG55" s="185"/>
      <c r="AH55" s="185"/>
      <c r="AI55" s="185"/>
      <c r="AJ55" s="185"/>
      <c r="AK55" s="185"/>
      <c r="AL55" s="185"/>
      <c r="AM55" s="185"/>
      <c r="AN55" s="185"/>
      <c r="AO55" s="185"/>
      <c r="AP55" s="185"/>
      <c r="AQ55" s="185"/>
      <c r="AR55" s="185"/>
      <c r="AS55" s="185"/>
      <c r="AT55" s="185"/>
      <c r="AU55" s="185"/>
      <c r="AV55" s="185"/>
      <c r="AW55" s="185"/>
      <c r="AX55" s="185"/>
      <c r="AY55" s="185"/>
      <c r="AZ55" s="185"/>
      <c r="BA55" s="185"/>
      <c r="BB55" s="185"/>
      <c r="BC55" s="185"/>
      <c r="BD55" s="185"/>
      <c r="BE55" s="185"/>
      <c r="BF55" s="185"/>
      <c r="BG55" s="185"/>
      <c r="BH55" s="185"/>
      <c r="BI55" s="185"/>
      <c r="BJ55" s="185"/>
      <c r="BK55" s="186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156" customWidth="1"/>
    <col min="61" max="16384" width="2.77734375" style="156"/>
  </cols>
  <sheetData>
    <row r="1" spans="1:63" ht="24.95" customHeight="1" x14ac:dyDescent="0.25">
      <c r="A1" s="150" t="s">
        <v>57</v>
      </c>
      <c r="B1" s="151"/>
      <c r="C1" s="151"/>
      <c r="D1" s="151"/>
      <c r="E1" s="151"/>
      <c r="F1" s="151"/>
      <c r="G1" s="151"/>
      <c r="H1" s="151"/>
      <c r="I1" s="151"/>
      <c r="J1" s="152"/>
      <c r="K1" s="150" t="s">
        <v>58</v>
      </c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2"/>
      <c r="W1" s="210" t="str">
        <f>IF(表紙!W1="","",表紙!W1)</f>
        <v>詳細設計書</v>
      </c>
      <c r="X1" s="154"/>
      <c r="Y1" s="154"/>
      <c r="Z1" s="154"/>
      <c r="AA1" s="154"/>
      <c r="AB1" s="154"/>
      <c r="AC1" s="154"/>
      <c r="AD1" s="154"/>
      <c r="AE1" s="154"/>
      <c r="AF1" s="154"/>
      <c r="AG1" s="154"/>
      <c r="AH1" s="154"/>
      <c r="AI1" s="154"/>
      <c r="AJ1" s="154"/>
      <c r="AK1" s="154"/>
      <c r="AL1" s="154"/>
      <c r="AM1" s="154"/>
      <c r="AN1" s="154"/>
      <c r="AO1" s="155"/>
      <c r="AP1" s="150" t="s">
        <v>60</v>
      </c>
      <c r="AQ1" s="151"/>
      <c r="AR1" s="151"/>
      <c r="AS1" s="152"/>
      <c r="AT1" s="150" t="s">
        <v>61</v>
      </c>
      <c r="AU1" s="151"/>
      <c r="AV1" s="151"/>
      <c r="AW1" s="151"/>
      <c r="AX1" s="152"/>
      <c r="AY1" s="150" t="s">
        <v>62</v>
      </c>
      <c r="AZ1" s="151"/>
      <c r="BA1" s="151"/>
      <c r="BB1" s="152"/>
      <c r="BC1" s="150" t="s">
        <v>63</v>
      </c>
      <c r="BD1" s="151"/>
      <c r="BE1" s="151"/>
      <c r="BF1" s="151"/>
      <c r="BG1" s="152"/>
      <c r="BH1" s="150" t="s">
        <v>64</v>
      </c>
      <c r="BI1" s="151"/>
      <c r="BJ1" s="151"/>
      <c r="BK1" s="152"/>
    </row>
    <row r="2" spans="1:63" ht="15" customHeight="1" x14ac:dyDescent="0.25">
      <c r="A2" s="159" t="str">
        <f>IF(表紙!A2="","",表紙!A2)</f>
        <v>POSサーバー</v>
      </c>
      <c r="B2" s="157"/>
      <c r="C2" s="157"/>
      <c r="D2" s="157"/>
      <c r="E2" s="157"/>
      <c r="F2" s="157"/>
      <c r="G2" s="157"/>
      <c r="H2" s="157"/>
      <c r="I2" s="157"/>
      <c r="J2" s="158"/>
      <c r="K2" s="159" t="str">
        <f>IF(表紙!K2="","",表紙!K2)</f>
        <v>POSサーバ</v>
      </c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8"/>
      <c r="W2" s="160"/>
      <c r="X2" s="161"/>
      <c r="Y2" s="161"/>
      <c r="Z2" s="161"/>
      <c r="AA2" s="161"/>
      <c r="AB2" s="161"/>
      <c r="AC2" s="161"/>
      <c r="AD2" s="161"/>
      <c r="AE2" s="161"/>
      <c r="AF2" s="161"/>
      <c r="AG2" s="161"/>
      <c r="AH2" s="161"/>
      <c r="AI2" s="161"/>
      <c r="AJ2" s="161"/>
      <c r="AK2" s="161"/>
      <c r="AL2" s="161"/>
      <c r="AM2" s="161"/>
      <c r="AN2" s="161"/>
      <c r="AO2" s="162"/>
      <c r="AP2" s="159" t="str">
        <f>IF(表紙!AP2="","",表紙!AP2)</f>
        <v>DuNT</v>
      </c>
      <c r="AQ2" s="157"/>
      <c r="AR2" s="157"/>
      <c r="AS2" s="158"/>
      <c r="AT2" s="163">
        <f>IF(表紙!AT2="","",表紙!AT2)</f>
        <v>45540</v>
      </c>
      <c r="AU2" s="164"/>
      <c r="AV2" s="164"/>
      <c r="AW2" s="164"/>
      <c r="AX2" s="165"/>
      <c r="AY2" s="159" t="str">
        <f>IF(表紙!AY2="","",表紙!AY2)</f>
        <v>DuNT</v>
      </c>
      <c r="AZ2" s="157"/>
      <c r="BA2" s="157"/>
      <c r="BB2" s="158"/>
      <c r="BC2" s="163">
        <f>IF(表紙!BC2="","",表紙!BC2)</f>
        <v>45540</v>
      </c>
      <c r="BD2" s="164"/>
      <c r="BE2" s="164"/>
      <c r="BF2" s="164"/>
      <c r="BG2" s="165"/>
      <c r="BH2" s="159">
        <f>IF(表紙!BH2="","",表紙!BH2)</f>
        <v>0.1</v>
      </c>
      <c r="BI2" s="157"/>
      <c r="BJ2" s="157"/>
      <c r="BK2" s="158"/>
    </row>
    <row r="3" spans="1:63" ht="15" customHeight="1" x14ac:dyDescent="0.25">
      <c r="A3" s="169"/>
      <c r="B3" s="170"/>
      <c r="C3" s="170"/>
      <c r="D3" s="170"/>
      <c r="E3" s="170"/>
      <c r="F3" s="170"/>
      <c r="G3" s="170"/>
      <c r="H3" s="170"/>
      <c r="I3" s="170"/>
      <c r="J3" s="171"/>
      <c r="K3" s="169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1"/>
      <c r="W3" s="172"/>
      <c r="X3" s="173"/>
      <c r="Y3" s="173"/>
      <c r="Z3" s="173"/>
      <c r="AA3" s="173"/>
      <c r="AB3" s="173"/>
      <c r="AC3" s="173"/>
      <c r="AD3" s="173"/>
      <c r="AE3" s="173"/>
      <c r="AF3" s="173"/>
      <c r="AG3" s="173"/>
      <c r="AH3" s="173"/>
      <c r="AI3" s="173"/>
      <c r="AJ3" s="173"/>
      <c r="AK3" s="173"/>
      <c r="AL3" s="173"/>
      <c r="AM3" s="173"/>
      <c r="AN3" s="173"/>
      <c r="AO3" s="174"/>
      <c r="AP3" s="169"/>
      <c r="AQ3" s="170"/>
      <c r="AR3" s="170"/>
      <c r="AS3" s="171"/>
      <c r="AT3" s="175"/>
      <c r="AU3" s="176"/>
      <c r="AV3" s="176"/>
      <c r="AW3" s="176"/>
      <c r="AX3" s="177"/>
      <c r="AY3" s="169"/>
      <c r="AZ3" s="170"/>
      <c r="BA3" s="170"/>
      <c r="BB3" s="171"/>
      <c r="BC3" s="175"/>
      <c r="BD3" s="176"/>
      <c r="BE3" s="176"/>
      <c r="BF3" s="176"/>
      <c r="BG3" s="177"/>
      <c r="BH3" s="169"/>
      <c r="BI3" s="170"/>
      <c r="BJ3" s="170"/>
      <c r="BK3" s="171"/>
    </row>
    <row r="4" spans="1:63" ht="24.95" customHeight="1" x14ac:dyDescent="0.25">
      <c r="A4" s="150" t="s">
        <v>72</v>
      </c>
      <c r="B4" s="151"/>
      <c r="C4" s="151"/>
      <c r="D4" s="151"/>
      <c r="E4" s="151"/>
      <c r="F4" s="151"/>
      <c r="G4" s="152"/>
      <c r="H4" s="181" t="str">
        <f>IF(表紙!H4="","",表紙!H4)</f>
        <v>16_保留・保留解除</v>
      </c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3"/>
      <c r="U4" s="150" t="s">
        <v>67</v>
      </c>
      <c r="V4" s="151"/>
      <c r="W4" s="151"/>
      <c r="X4" s="151"/>
      <c r="Y4" s="152"/>
      <c r="Z4" s="181" t="str">
        <f>IF(表紙!Z4="","",表紙!Z4)</f>
        <v>画面設計書</v>
      </c>
      <c r="AA4" s="182"/>
      <c r="AB4" s="182"/>
      <c r="AC4" s="182"/>
      <c r="AD4" s="182"/>
      <c r="AE4" s="182"/>
      <c r="AF4" s="182"/>
      <c r="AG4" s="182"/>
      <c r="AH4" s="182"/>
      <c r="AI4" s="182"/>
      <c r="AJ4" s="182"/>
      <c r="AK4" s="182"/>
      <c r="AL4" s="182"/>
      <c r="AM4" s="182"/>
      <c r="AN4" s="182"/>
      <c r="AO4" s="183"/>
      <c r="AP4" s="181" t="str">
        <f t="array" aca="1" ref="AP4" ca="1">RIGHT(CELL("filename",$A$1),LEN(CELL("filename",$A$1))-FIND("]",CELL("filename",$A$1)))</f>
        <v>改訂履歴</v>
      </c>
      <c r="AQ4" s="182"/>
      <c r="AR4" s="182"/>
      <c r="AS4" s="182"/>
      <c r="AT4" s="182"/>
      <c r="AU4" s="182"/>
      <c r="AV4" s="182"/>
      <c r="AW4" s="182"/>
      <c r="AX4" s="182"/>
      <c r="AY4" s="182"/>
      <c r="AZ4" s="182"/>
      <c r="BA4" s="182"/>
      <c r="BB4" s="182"/>
      <c r="BC4" s="182"/>
      <c r="BD4" s="182"/>
      <c r="BE4" s="182"/>
      <c r="BF4" s="182"/>
      <c r="BG4" s="182"/>
      <c r="BH4" s="182"/>
      <c r="BI4" s="182"/>
      <c r="BJ4" s="182"/>
      <c r="BK4" s="183"/>
    </row>
    <row r="5" spans="1:63" ht="5.0999999999999996" customHeight="1" x14ac:dyDescent="0.25">
      <c r="A5" s="184"/>
      <c r="B5" s="185"/>
      <c r="C5" s="185"/>
      <c r="D5" s="185"/>
      <c r="E5" s="185"/>
      <c r="F5" s="185"/>
      <c r="G5" s="185"/>
      <c r="H5" s="185"/>
      <c r="I5" s="185"/>
      <c r="J5" s="185"/>
      <c r="K5" s="185"/>
      <c r="L5" s="185"/>
      <c r="M5" s="185"/>
      <c r="N5" s="185"/>
      <c r="O5" s="185"/>
      <c r="P5" s="185"/>
      <c r="Q5" s="185"/>
      <c r="R5" s="185"/>
      <c r="S5" s="185"/>
      <c r="T5" s="185"/>
      <c r="U5" s="185"/>
      <c r="V5" s="185"/>
      <c r="W5" s="185"/>
      <c r="X5" s="185"/>
      <c r="Y5" s="185"/>
      <c r="Z5" s="185"/>
      <c r="AA5" s="185"/>
      <c r="AB5" s="185"/>
      <c r="AC5" s="185"/>
      <c r="AD5" s="185"/>
      <c r="AE5" s="185"/>
      <c r="AF5" s="185"/>
      <c r="AG5" s="185"/>
      <c r="AH5" s="185"/>
      <c r="AI5" s="185"/>
      <c r="AJ5" s="185"/>
      <c r="AK5" s="185"/>
      <c r="AL5" s="185"/>
      <c r="AM5" s="185"/>
      <c r="AN5" s="185"/>
      <c r="AO5" s="185"/>
      <c r="AP5" s="185"/>
      <c r="AQ5" s="185"/>
      <c r="AR5" s="185"/>
      <c r="AS5" s="185"/>
      <c r="AT5" s="185"/>
      <c r="AU5" s="185"/>
      <c r="AV5" s="185"/>
      <c r="AW5" s="185"/>
      <c r="AX5" s="185"/>
      <c r="AY5" s="185"/>
      <c r="AZ5" s="185"/>
      <c r="BA5" s="185"/>
      <c r="BB5" s="185"/>
      <c r="BC5" s="185"/>
      <c r="BD5" s="185"/>
      <c r="BE5" s="185"/>
      <c r="BF5" s="185"/>
      <c r="BG5" s="185"/>
      <c r="BH5" s="185"/>
      <c r="BI5" s="185"/>
      <c r="BJ5" s="185"/>
      <c r="BK5" s="186"/>
    </row>
    <row r="6" spans="1:63" ht="15" customHeight="1" x14ac:dyDescent="0.25">
      <c r="A6" s="187"/>
      <c r="BK6" s="188"/>
    </row>
    <row r="7" spans="1:63" ht="15" customHeight="1" x14ac:dyDescent="0.25">
      <c r="A7" s="187"/>
      <c r="BK7" s="188"/>
    </row>
    <row r="8" spans="1:63" ht="15" customHeight="1" x14ac:dyDescent="0.25">
      <c r="A8" s="187"/>
      <c r="B8" s="156" t="s">
        <v>0</v>
      </c>
      <c r="BK8" s="188"/>
    </row>
    <row r="9" spans="1:63" ht="15" customHeight="1" x14ac:dyDescent="0.25">
      <c r="A9" s="187"/>
      <c r="BK9" s="188"/>
    </row>
    <row r="10" spans="1:63" ht="15" customHeight="1" x14ac:dyDescent="0.25">
      <c r="A10" s="187"/>
      <c r="B10" s="211" t="s">
        <v>63</v>
      </c>
      <c r="C10" s="211"/>
      <c r="D10" s="211"/>
      <c r="E10" s="211"/>
      <c r="F10" s="211"/>
      <c r="G10" s="211"/>
      <c r="H10" s="211" t="s">
        <v>62</v>
      </c>
      <c r="I10" s="211"/>
      <c r="J10" s="211"/>
      <c r="K10" s="211"/>
      <c r="L10" s="211"/>
      <c r="M10" s="211"/>
      <c r="N10" s="211"/>
      <c r="O10" s="211" t="s">
        <v>64</v>
      </c>
      <c r="P10" s="211"/>
      <c r="Q10" s="211"/>
      <c r="R10" s="211"/>
      <c r="S10" s="211" t="s">
        <v>73</v>
      </c>
      <c r="T10" s="211"/>
      <c r="U10" s="211"/>
      <c r="V10" s="211"/>
      <c r="W10" s="211"/>
      <c r="X10" s="211"/>
      <c r="Y10" s="211"/>
      <c r="Z10" s="211"/>
      <c r="AA10" s="211"/>
      <c r="AB10" s="211"/>
      <c r="AC10" s="211"/>
      <c r="AD10" s="211"/>
      <c r="AE10" s="211"/>
      <c r="AF10" s="211"/>
      <c r="AG10" s="211"/>
      <c r="AH10" s="211"/>
      <c r="AI10" s="211"/>
      <c r="AJ10" s="211"/>
      <c r="AK10" s="211"/>
      <c r="AL10" s="211"/>
      <c r="AM10" s="211"/>
      <c r="AN10" s="211"/>
      <c r="AO10" s="211"/>
      <c r="AP10" s="211"/>
      <c r="AQ10" s="211"/>
      <c r="AR10" s="211"/>
      <c r="AS10" s="211"/>
      <c r="AT10" s="211"/>
      <c r="AU10" s="211"/>
      <c r="AV10" s="211"/>
      <c r="AW10" s="211"/>
      <c r="AX10" s="211" t="s">
        <v>70</v>
      </c>
      <c r="AY10" s="211"/>
      <c r="AZ10" s="211"/>
      <c r="BA10" s="211"/>
      <c r="BB10" s="211"/>
      <c r="BC10" s="211"/>
      <c r="BD10" s="211" t="s">
        <v>71</v>
      </c>
      <c r="BE10" s="211"/>
      <c r="BF10" s="211"/>
      <c r="BG10" s="211"/>
      <c r="BH10" s="211"/>
      <c r="BI10" s="211"/>
      <c r="BJ10" s="211"/>
      <c r="BK10" s="188"/>
    </row>
    <row r="11" spans="1:63" ht="15" customHeight="1" x14ac:dyDescent="0.25">
      <c r="A11" s="187"/>
      <c r="B11" s="163">
        <v>45540</v>
      </c>
      <c r="C11" s="157"/>
      <c r="D11" s="157"/>
      <c r="E11" s="157"/>
      <c r="F11" s="157"/>
      <c r="G11" s="158"/>
      <c r="H11" s="25" t="s">
        <v>74</v>
      </c>
      <c r="I11" s="157"/>
      <c r="J11" s="157"/>
      <c r="K11" s="157"/>
      <c r="L11" s="157"/>
      <c r="M11" s="157"/>
      <c r="N11" s="158"/>
      <c r="O11" s="159">
        <v>0.1</v>
      </c>
      <c r="P11" s="157"/>
      <c r="Q11" s="157"/>
      <c r="R11" s="157"/>
      <c r="S11" s="212" t="s">
        <v>2</v>
      </c>
      <c r="T11" s="213"/>
      <c r="U11" s="213"/>
      <c r="V11" s="213"/>
      <c r="W11" s="213"/>
      <c r="X11" s="213"/>
      <c r="Y11" s="213"/>
      <c r="Z11" s="213"/>
      <c r="AA11" s="213"/>
      <c r="AB11" s="213"/>
      <c r="AC11" s="213"/>
      <c r="AD11" s="213"/>
      <c r="AE11" s="213"/>
      <c r="AF11" s="213"/>
      <c r="AG11" s="213"/>
      <c r="AH11" s="213"/>
      <c r="AI11" s="213"/>
      <c r="AJ11" s="213"/>
      <c r="AK11" s="213"/>
      <c r="AL11" s="213"/>
      <c r="AM11" s="213"/>
      <c r="AN11" s="213"/>
      <c r="AO11" s="213"/>
      <c r="AP11" s="213"/>
      <c r="AQ11" s="213"/>
      <c r="AR11" s="213"/>
      <c r="AS11" s="213"/>
      <c r="AT11" s="213"/>
      <c r="AU11" s="213"/>
      <c r="AV11" s="213"/>
      <c r="AW11" s="214"/>
      <c r="AX11" s="215"/>
      <c r="AY11" s="215"/>
      <c r="AZ11" s="215"/>
      <c r="BA11" s="215"/>
      <c r="BB11" s="215"/>
      <c r="BC11" s="216"/>
      <c r="BD11" s="217"/>
      <c r="BE11" s="215"/>
      <c r="BF11" s="215"/>
      <c r="BG11" s="215"/>
      <c r="BH11" s="215"/>
      <c r="BI11" s="215"/>
      <c r="BJ11" s="216"/>
      <c r="BK11" s="188"/>
    </row>
    <row r="12" spans="1:63" ht="15" customHeight="1" x14ac:dyDescent="0.25">
      <c r="A12" s="187"/>
      <c r="B12" s="169"/>
      <c r="C12" s="170"/>
      <c r="D12" s="170"/>
      <c r="E12" s="170"/>
      <c r="F12" s="170"/>
      <c r="G12" s="171"/>
      <c r="H12" s="169"/>
      <c r="I12" s="170"/>
      <c r="J12" s="170"/>
      <c r="K12" s="170"/>
      <c r="L12" s="170"/>
      <c r="M12" s="170"/>
      <c r="N12" s="171"/>
      <c r="O12" s="169"/>
      <c r="P12" s="170"/>
      <c r="Q12" s="170"/>
      <c r="R12" s="170"/>
      <c r="S12" s="218"/>
      <c r="T12" s="219"/>
      <c r="U12" s="219"/>
      <c r="V12" s="219"/>
      <c r="W12" s="219"/>
      <c r="X12" s="219"/>
      <c r="Y12" s="219"/>
      <c r="Z12" s="219"/>
      <c r="AA12" s="219"/>
      <c r="AB12" s="219"/>
      <c r="AC12" s="219"/>
      <c r="AD12" s="219"/>
      <c r="AE12" s="219"/>
      <c r="AF12" s="219"/>
      <c r="AG12" s="219"/>
      <c r="AH12" s="219"/>
      <c r="AI12" s="219"/>
      <c r="AJ12" s="219"/>
      <c r="AK12" s="219"/>
      <c r="AL12" s="219"/>
      <c r="AM12" s="219"/>
      <c r="AN12" s="219"/>
      <c r="AO12" s="219"/>
      <c r="AP12" s="219"/>
      <c r="AQ12" s="219"/>
      <c r="AR12" s="219"/>
      <c r="AS12" s="219"/>
      <c r="AT12" s="219"/>
      <c r="AU12" s="219"/>
      <c r="AV12" s="219"/>
      <c r="AW12" s="220"/>
      <c r="AX12" s="221"/>
      <c r="AY12" s="221"/>
      <c r="AZ12" s="221"/>
      <c r="BA12" s="221"/>
      <c r="BB12" s="221"/>
      <c r="BC12" s="222"/>
      <c r="BD12" s="223"/>
      <c r="BE12" s="221"/>
      <c r="BF12" s="221"/>
      <c r="BG12" s="221"/>
      <c r="BH12" s="221"/>
      <c r="BI12" s="221"/>
      <c r="BJ12" s="222"/>
      <c r="BK12" s="188"/>
    </row>
    <row r="13" spans="1:63" ht="15" customHeight="1" x14ac:dyDescent="0.25">
      <c r="A13" s="187"/>
      <c r="B13" s="163"/>
      <c r="C13" s="157"/>
      <c r="D13" s="157"/>
      <c r="E13" s="157"/>
      <c r="F13" s="157"/>
      <c r="G13" s="158"/>
      <c r="H13" s="159"/>
      <c r="I13" s="157"/>
      <c r="J13" s="157"/>
      <c r="K13" s="157"/>
      <c r="L13" s="157"/>
      <c r="M13" s="157"/>
      <c r="N13" s="158"/>
      <c r="O13" s="159"/>
      <c r="P13" s="157"/>
      <c r="Q13" s="157"/>
      <c r="R13" s="157"/>
      <c r="S13" s="212"/>
      <c r="T13" s="213"/>
      <c r="U13" s="213"/>
      <c r="V13" s="213"/>
      <c r="W13" s="213"/>
      <c r="X13" s="213"/>
      <c r="Y13" s="213"/>
      <c r="Z13" s="213"/>
      <c r="AA13" s="213"/>
      <c r="AB13" s="213"/>
      <c r="AC13" s="213"/>
      <c r="AD13" s="213"/>
      <c r="AE13" s="213"/>
      <c r="AF13" s="213"/>
      <c r="AG13" s="213"/>
      <c r="AH13" s="213"/>
      <c r="AI13" s="213"/>
      <c r="AJ13" s="213"/>
      <c r="AK13" s="213"/>
      <c r="AL13" s="213"/>
      <c r="AM13" s="213"/>
      <c r="AN13" s="213"/>
      <c r="AO13" s="213"/>
      <c r="AP13" s="213"/>
      <c r="AQ13" s="213"/>
      <c r="AR13" s="213"/>
      <c r="AS13" s="213"/>
      <c r="AT13" s="213"/>
      <c r="AU13" s="213"/>
      <c r="AV13" s="213"/>
      <c r="AW13" s="214"/>
      <c r="AX13" s="215"/>
      <c r="AY13" s="215"/>
      <c r="AZ13" s="215"/>
      <c r="BA13" s="215"/>
      <c r="BB13" s="215"/>
      <c r="BC13" s="216"/>
      <c r="BD13" s="217"/>
      <c r="BE13" s="215"/>
      <c r="BF13" s="215"/>
      <c r="BG13" s="215"/>
      <c r="BH13" s="215"/>
      <c r="BI13" s="215"/>
      <c r="BJ13" s="216"/>
      <c r="BK13" s="188"/>
    </row>
    <row r="14" spans="1:63" ht="15" customHeight="1" x14ac:dyDescent="0.25">
      <c r="A14" s="187"/>
      <c r="B14" s="169"/>
      <c r="C14" s="170"/>
      <c r="D14" s="170"/>
      <c r="E14" s="170"/>
      <c r="F14" s="170"/>
      <c r="G14" s="171"/>
      <c r="H14" s="169"/>
      <c r="I14" s="170"/>
      <c r="J14" s="170"/>
      <c r="K14" s="170"/>
      <c r="L14" s="170"/>
      <c r="M14" s="170"/>
      <c r="N14" s="171"/>
      <c r="O14" s="169"/>
      <c r="P14" s="170"/>
      <c r="Q14" s="170"/>
      <c r="R14" s="170"/>
      <c r="S14" s="218"/>
      <c r="T14" s="219"/>
      <c r="U14" s="219"/>
      <c r="V14" s="219"/>
      <c r="W14" s="219"/>
      <c r="X14" s="219"/>
      <c r="Y14" s="219"/>
      <c r="Z14" s="219"/>
      <c r="AA14" s="219"/>
      <c r="AB14" s="219"/>
      <c r="AC14" s="219"/>
      <c r="AD14" s="219"/>
      <c r="AE14" s="219"/>
      <c r="AF14" s="219"/>
      <c r="AG14" s="219"/>
      <c r="AH14" s="219"/>
      <c r="AI14" s="219"/>
      <c r="AJ14" s="219"/>
      <c r="AK14" s="219"/>
      <c r="AL14" s="219"/>
      <c r="AM14" s="219"/>
      <c r="AN14" s="219"/>
      <c r="AO14" s="219"/>
      <c r="AP14" s="219"/>
      <c r="AQ14" s="219"/>
      <c r="AR14" s="219"/>
      <c r="AS14" s="219"/>
      <c r="AT14" s="219"/>
      <c r="AU14" s="219"/>
      <c r="AV14" s="219"/>
      <c r="AW14" s="220"/>
      <c r="AX14" s="221"/>
      <c r="AY14" s="221"/>
      <c r="AZ14" s="221"/>
      <c r="BA14" s="221"/>
      <c r="BB14" s="221"/>
      <c r="BC14" s="222"/>
      <c r="BD14" s="223"/>
      <c r="BE14" s="221"/>
      <c r="BF14" s="221"/>
      <c r="BG14" s="221"/>
      <c r="BH14" s="221"/>
      <c r="BI14" s="221"/>
      <c r="BJ14" s="222"/>
      <c r="BK14" s="188"/>
    </row>
    <row r="15" spans="1:63" ht="15" customHeight="1" x14ac:dyDescent="0.25">
      <c r="A15" s="187"/>
      <c r="B15" s="159"/>
      <c r="C15" s="157"/>
      <c r="D15" s="157"/>
      <c r="E15" s="157"/>
      <c r="F15" s="157"/>
      <c r="G15" s="158"/>
      <c r="H15" s="159"/>
      <c r="I15" s="157"/>
      <c r="J15" s="157"/>
      <c r="K15" s="157"/>
      <c r="L15" s="157"/>
      <c r="M15" s="157"/>
      <c r="N15" s="158"/>
      <c r="O15" s="159"/>
      <c r="P15" s="157"/>
      <c r="Q15" s="157"/>
      <c r="R15" s="157"/>
      <c r="S15" s="212"/>
      <c r="T15" s="213"/>
      <c r="U15" s="213"/>
      <c r="V15" s="213"/>
      <c r="W15" s="213"/>
      <c r="X15" s="213"/>
      <c r="Y15" s="213"/>
      <c r="Z15" s="213"/>
      <c r="AA15" s="213"/>
      <c r="AB15" s="213"/>
      <c r="AC15" s="213"/>
      <c r="AD15" s="213"/>
      <c r="AE15" s="213"/>
      <c r="AF15" s="213"/>
      <c r="AG15" s="213"/>
      <c r="AH15" s="213"/>
      <c r="AI15" s="213"/>
      <c r="AJ15" s="213"/>
      <c r="AK15" s="213"/>
      <c r="AL15" s="213"/>
      <c r="AM15" s="213"/>
      <c r="AN15" s="213"/>
      <c r="AO15" s="213"/>
      <c r="AP15" s="213"/>
      <c r="AQ15" s="213"/>
      <c r="AR15" s="213"/>
      <c r="AS15" s="213"/>
      <c r="AT15" s="213"/>
      <c r="AU15" s="213"/>
      <c r="AV15" s="213"/>
      <c r="AW15" s="214"/>
      <c r="AX15" s="215"/>
      <c r="AY15" s="215"/>
      <c r="AZ15" s="215"/>
      <c r="BA15" s="215"/>
      <c r="BB15" s="215"/>
      <c r="BC15" s="216"/>
      <c r="BD15" s="217"/>
      <c r="BE15" s="215"/>
      <c r="BF15" s="215"/>
      <c r="BG15" s="215"/>
      <c r="BH15" s="215"/>
      <c r="BI15" s="215"/>
      <c r="BJ15" s="216"/>
      <c r="BK15" s="188"/>
    </row>
    <row r="16" spans="1:63" ht="15" customHeight="1" x14ac:dyDescent="0.25">
      <c r="A16" s="187"/>
      <c r="B16" s="169"/>
      <c r="C16" s="170"/>
      <c r="D16" s="170"/>
      <c r="E16" s="170"/>
      <c r="F16" s="170"/>
      <c r="G16" s="171"/>
      <c r="H16" s="169"/>
      <c r="I16" s="170"/>
      <c r="J16" s="170"/>
      <c r="K16" s="170"/>
      <c r="L16" s="170"/>
      <c r="M16" s="170"/>
      <c r="N16" s="171"/>
      <c r="O16" s="169"/>
      <c r="P16" s="170"/>
      <c r="Q16" s="170"/>
      <c r="R16" s="170"/>
      <c r="S16" s="218"/>
      <c r="T16" s="219"/>
      <c r="U16" s="219"/>
      <c r="V16" s="219"/>
      <c r="W16" s="219"/>
      <c r="X16" s="219"/>
      <c r="Y16" s="219"/>
      <c r="Z16" s="219"/>
      <c r="AA16" s="219"/>
      <c r="AB16" s="219"/>
      <c r="AC16" s="219"/>
      <c r="AD16" s="219"/>
      <c r="AE16" s="219"/>
      <c r="AF16" s="219"/>
      <c r="AG16" s="219"/>
      <c r="AH16" s="219"/>
      <c r="AI16" s="219"/>
      <c r="AJ16" s="219"/>
      <c r="AK16" s="219"/>
      <c r="AL16" s="219"/>
      <c r="AM16" s="219"/>
      <c r="AN16" s="219"/>
      <c r="AO16" s="219"/>
      <c r="AP16" s="219"/>
      <c r="AQ16" s="219"/>
      <c r="AR16" s="219"/>
      <c r="AS16" s="219"/>
      <c r="AT16" s="219"/>
      <c r="AU16" s="219"/>
      <c r="AV16" s="219"/>
      <c r="AW16" s="220"/>
      <c r="AX16" s="221"/>
      <c r="AY16" s="221"/>
      <c r="AZ16" s="221"/>
      <c r="BA16" s="221"/>
      <c r="BB16" s="221"/>
      <c r="BC16" s="222"/>
      <c r="BD16" s="223"/>
      <c r="BE16" s="221"/>
      <c r="BF16" s="221"/>
      <c r="BG16" s="221"/>
      <c r="BH16" s="221"/>
      <c r="BI16" s="221"/>
      <c r="BJ16" s="222"/>
      <c r="BK16" s="188"/>
    </row>
    <row r="17" spans="1:63" ht="15" customHeight="1" x14ac:dyDescent="0.25">
      <c r="A17" s="187"/>
      <c r="B17" s="159"/>
      <c r="C17" s="157"/>
      <c r="D17" s="157"/>
      <c r="E17" s="157"/>
      <c r="F17" s="157"/>
      <c r="G17" s="158"/>
      <c r="H17" s="159"/>
      <c r="I17" s="157"/>
      <c r="J17" s="157"/>
      <c r="K17" s="157"/>
      <c r="L17" s="157"/>
      <c r="M17" s="157"/>
      <c r="N17" s="158"/>
      <c r="O17" s="159"/>
      <c r="P17" s="157"/>
      <c r="Q17" s="157"/>
      <c r="R17" s="157"/>
      <c r="S17" s="212"/>
      <c r="T17" s="213"/>
      <c r="U17" s="213"/>
      <c r="V17" s="213"/>
      <c r="W17" s="213"/>
      <c r="X17" s="213"/>
      <c r="Y17" s="213"/>
      <c r="Z17" s="213"/>
      <c r="AA17" s="213"/>
      <c r="AB17" s="213"/>
      <c r="AC17" s="213"/>
      <c r="AD17" s="213"/>
      <c r="AE17" s="213"/>
      <c r="AF17" s="213"/>
      <c r="AG17" s="213"/>
      <c r="AH17" s="213"/>
      <c r="AI17" s="213"/>
      <c r="AJ17" s="213"/>
      <c r="AK17" s="213"/>
      <c r="AL17" s="213"/>
      <c r="AM17" s="213"/>
      <c r="AN17" s="213"/>
      <c r="AO17" s="213"/>
      <c r="AP17" s="213"/>
      <c r="AQ17" s="213"/>
      <c r="AR17" s="213"/>
      <c r="AS17" s="213"/>
      <c r="AT17" s="213"/>
      <c r="AU17" s="213"/>
      <c r="AV17" s="213"/>
      <c r="AW17" s="214"/>
      <c r="AX17" s="215"/>
      <c r="AY17" s="215"/>
      <c r="AZ17" s="215"/>
      <c r="BA17" s="215"/>
      <c r="BB17" s="215"/>
      <c r="BC17" s="216"/>
      <c r="BD17" s="217"/>
      <c r="BE17" s="215"/>
      <c r="BF17" s="215"/>
      <c r="BG17" s="215"/>
      <c r="BH17" s="215"/>
      <c r="BI17" s="215"/>
      <c r="BJ17" s="216"/>
      <c r="BK17" s="188"/>
    </row>
    <row r="18" spans="1:63" ht="15" customHeight="1" x14ac:dyDescent="0.25">
      <c r="A18" s="187"/>
      <c r="B18" s="169"/>
      <c r="C18" s="170"/>
      <c r="D18" s="170"/>
      <c r="E18" s="170"/>
      <c r="F18" s="170"/>
      <c r="G18" s="171"/>
      <c r="H18" s="169"/>
      <c r="I18" s="170"/>
      <c r="J18" s="170"/>
      <c r="K18" s="170"/>
      <c r="L18" s="170"/>
      <c r="M18" s="170"/>
      <c r="N18" s="171"/>
      <c r="O18" s="169"/>
      <c r="P18" s="170"/>
      <c r="Q18" s="170"/>
      <c r="R18" s="170"/>
      <c r="S18" s="218"/>
      <c r="T18" s="219"/>
      <c r="U18" s="219"/>
      <c r="V18" s="219"/>
      <c r="W18" s="219"/>
      <c r="X18" s="219"/>
      <c r="Y18" s="219"/>
      <c r="Z18" s="219"/>
      <c r="AA18" s="219"/>
      <c r="AB18" s="219"/>
      <c r="AC18" s="219"/>
      <c r="AD18" s="219"/>
      <c r="AE18" s="219"/>
      <c r="AF18" s="219"/>
      <c r="AG18" s="219"/>
      <c r="AH18" s="219"/>
      <c r="AI18" s="219"/>
      <c r="AJ18" s="219"/>
      <c r="AK18" s="219"/>
      <c r="AL18" s="219"/>
      <c r="AM18" s="219"/>
      <c r="AN18" s="219"/>
      <c r="AO18" s="219"/>
      <c r="AP18" s="219"/>
      <c r="AQ18" s="219"/>
      <c r="AR18" s="219"/>
      <c r="AS18" s="219"/>
      <c r="AT18" s="219"/>
      <c r="AU18" s="219"/>
      <c r="AV18" s="219"/>
      <c r="AW18" s="220"/>
      <c r="AX18" s="221"/>
      <c r="AY18" s="221"/>
      <c r="AZ18" s="221"/>
      <c r="BA18" s="221"/>
      <c r="BB18" s="221"/>
      <c r="BC18" s="222"/>
      <c r="BD18" s="223"/>
      <c r="BE18" s="221"/>
      <c r="BF18" s="221"/>
      <c r="BG18" s="221"/>
      <c r="BH18" s="221"/>
      <c r="BI18" s="221"/>
      <c r="BJ18" s="222"/>
      <c r="BK18" s="188"/>
    </row>
    <row r="19" spans="1:63" ht="15" customHeight="1" x14ac:dyDescent="0.25">
      <c r="A19" s="187"/>
      <c r="B19" s="159"/>
      <c r="C19" s="157"/>
      <c r="D19" s="157"/>
      <c r="E19" s="157"/>
      <c r="F19" s="157"/>
      <c r="G19" s="158"/>
      <c r="H19" s="159"/>
      <c r="I19" s="157"/>
      <c r="J19" s="157"/>
      <c r="K19" s="157"/>
      <c r="L19" s="157"/>
      <c r="M19" s="157"/>
      <c r="N19" s="158"/>
      <c r="O19" s="159"/>
      <c r="P19" s="157"/>
      <c r="Q19" s="157"/>
      <c r="R19" s="157"/>
      <c r="S19" s="212"/>
      <c r="T19" s="213"/>
      <c r="U19" s="213"/>
      <c r="V19" s="213"/>
      <c r="W19" s="213"/>
      <c r="X19" s="213"/>
      <c r="Y19" s="213"/>
      <c r="Z19" s="213"/>
      <c r="AA19" s="213"/>
      <c r="AB19" s="213"/>
      <c r="AC19" s="213"/>
      <c r="AD19" s="213"/>
      <c r="AE19" s="213"/>
      <c r="AF19" s="213"/>
      <c r="AG19" s="213"/>
      <c r="AH19" s="213"/>
      <c r="AI19" s="213"/>
      <c r="AJ19" s="213"/>
      <c r="AK19" s="213"/>
      <c r="AL19" s="213"/>
      <c r="AM19" s="213"/>
      <c r="AN19" s="213"/>
      <c r="AO19" s="213"/>
      <c r="AP19" s="213"/>
      <c r="AQ19" s="213"/>
      <c r="AR19" s="213"/>
      <c r="AS19" s="213"/>
      <c r="AT19" s="213"/>
      <c r="AU19" s="213"/>
      <c r="AV19" s="213"/>
      <c r="AW19" s="214"/>
      <c r="AX19" s="215"/>
      <c r="AY19" s="215"/>
      <c r="AZ19" s="215"/>
      <c r="BA19" s="215"/>
      <c r="BB19" s="215"/>
      <c r="BC19" s="216"/>
      <c r="BD19" s="217"/>
      <c r="BE19" s="215"/>
      <c r="BF19" s="215"/>
      <c r="BG19" s="215"/>
      <c r="BH19" s="215"/>
      <c r="BI19" s="215"/>
      <c r="BJ19" s="216"/>
      <c r="BK19" s="188"/>
    </row>
    <row r="20" spans="1:63" ht="15" customHeight="1" x14ac:dyDescent="0.25">
      <c r="A20" s="187"/>
      <c r="B20" s="169"/>
      <c r="C20" s="170"/>
      <c r="D20" s="170"/>
      <c r="E20" s="170"/>
      <c r="F20" s="170"/>
      <c r="G20" s="171"/>
      <c r="H20" s="169"/>
      <c r="I20" s="170"/>
      <c r="J20" s="170"/>
      <c r="K20" s="170"/>
      <c r="L20" s="170"/>
      <c r="M20" s="170"/>
      <c r="N20" s="171"/>
      <c r="O20" s="169"/>
      <c r="P20" s="170"/>
      <c r="Q20" s="170"/>
      <c r="R20" s="170"/>
      <c r="S20" s="218"/>
      <c r="T20" s="219"/>
      <c r="U20" s="219"/>
      <c r="V20" s="219"/>
      <c r="W20" s="219"/>
      <c r="X20" s="219"/>
      <c r="Y20" s="219"/>
      <c r="Z20" s="219"/>
      <c r="AA20" s="219"/>
      <c r="AB20" s="219"/>
      <c r="AC20" s="219"/>
      <c r="AD20" s="219"/>
      <c r="AE20" s="219"/>
      <c r="AF20" s="219"/>
      <c r="AG20" s="219"/>
      <c r="AH20" s="219"/>
      <c r="AI20" s="219"/>
      <c r="AJ20" s="219"/>
      <c r="AK20" s="219"/>
      <c r="AL20" s="219"/>
      <c r="AM20" s="219"/>
      <c r="AN20" s="219"/>
      <c r="AO20" s="219"/>
      <c r="AP20" s="219"/>
      <c r="AQ20" s="219"/>
      <c r="AR20" s="219"/>
      <c r="AS20" s="219"/>
      <c r="AT20" s="219"/>
      <c r="AU20" s="219"/>
      <c r="AV20" s="219"/>
      <c r="AW20" s="220"/>
      <c r="AX20" s="221"/>
      <c r="AY20" s="221"/>
      <c r="AZ20" s="221"/>
      <c r="BA20" s="221"/>
      <c r="BB20" s="221"/>
      <c r="BC20" s="222"/>
      <c r="BD20" s="223"/>
      <c r="BE20" s="221"/>
      <c r="BF20" s="221"/>
      <c r="BG20" s="221"/>
      <c r="BH20" s="221"/>
      <c r="BI20" s="221"/>
      <c r="BJ20" s="222"/>
      <c r="BK20" s="188"/>
    </row>
    <row r="21" spans="1:63" ht="15" customHeight="1" x14ac:dyDescent="0.25">
      <c r="A21" s="187"/>
      <c r="B21" s="159"/>
      <c r="C21" s="157"/>
      <c r="D21" s="157"/>
      <c r="E21" s="157"/>
      <c r="F21" s="157"/>
      <c r="G21" s="158"/>
      <c r="H21" s="159"/>
      <c r="I21" s="157"/>
      <c r="J21" s="157"/>
      <c r="K21" s="157"/>
      <c r="L21" s="157"/>
      <c r="M21" s="157"/>
      <c r="N21" s="158"/>
      <c r="O21" s="159"/>
      <c r="P21" s="157"/>
      <c r="Q21" s="157"/>
      <c r="R21" s="157"/>
      <c r="S21" s="212"/>
      <c r="T21" s="213"/>
      <c r="U21" s="213"/>
      <c r="V21" s="213"/>
      <c r="W21" s="213"/>
      <c r="X21" s="213"/>
      <c r="Y21" s="213"/>
      <c r="Z21" s="213"/>
      <c r="AA21" s="213"/>
      <c r="AB21" s="213"/>
      <c r="AC21" s="213"/>
      <c r="AD21" s="213"/>
      <c r="AE21" s="213"/>
      <c r="AF21" s="213"/>
      <c r="AG21" s="213"/>
      <c r="AH21" s="213"/>
      <c r="AI21" s="213"/>
      <c r="AJ21" s="213"/>
      <c r="AK21" s="213"/>
      <c r="AL21" s="213"/>
      <c r="AM21" s="213"/>
      <c r="AN21" s="213"/>
      <c r="AO21" s="213"/>
      <c r="AP21" s="213"/>
      <c r="AQ21" s="213"/>
      <c r="AR21" s="213"/>
      <c r="AS21" s="213"/>
      <c r="AT21" s="213"/>
      <c r="AU21" s="213"/>
      <c r="AV21" s="213"/>
      <c r="AW21" s="214"/>
      <c r="AX21" s="215"/>
      <c r="AY21" s="215"/>
      <c r="AZ21" s="215"/>
      <c r="BA21" s="215"/>
      <c r="BB21" s="215"/>
      <c r="BC21" s="216"/>
      <c r="BD21" s="217"/>
      <c r="BE21" s="215"/>
      <c r="BF21" s="215"/>
      <c r="BG21" s="215"/>
      <c r="BH21" s="215"/>
      <c r="BI21" s="215"/>
      <c r="BJ21" s="216"/>
      <c r="BK21" s="188"/>
    </row>
    <row r="22" spans="1:63" ht="15" customHeight="1" x14ac:dyDescent="0.25">
      <c r="A22" s="187"/>
      <c r="B22" s="169"/>
      <c r="C22" s="170"/>
      <c r="D22" s="170"/>
      <c r="E22" s="170"/>
      <c r="F22" s="170"/>
      <c r="G22" s="171"/>
      <c r="H22" s="169"/>
      <c r="I22" s="170"/>
      <c r="J22" s="170"/>
      <c r="K22" s="170"/>
      <c r="L22" s="170"/>
      <c r="M22" s="170"/>
      <c r="N22" s="171"/>
      <c r="O22" s="169"/>
      <c r="P22" s="170"/>
      <c r="Q22" s="170"/>
      <c r="R22" s="170"/>
      <c r="S22" s="218"/>
      <c r="T22" s="219"/>
      <c r="U22" s="219"/>
      <c r="V22" s="219"/>
      <c r="W22" s="219"/>
      <c r="X22" s="219"/>
      <c r="Y22" s="219"/>
      <c r="Z22" s="219"/>
      <c r="AA22" s="219"/>
      <c r="AB22" s="219"/>
      <c r="AC22" s="219"/>
      <c r="AD22" s="219"/>
      <c r="AE22" s="219"/>
      <c r="AF22" s="219"/>
      <c r="AG22" s="219"/>
      <c r="AH22" s="219"/>
      <c r="AI22" s="219"/>
      <c r="AJ22" s="219"/>
      <c r="AK22" s="219"/>
      <c r="AL22" s="219"/>
      <c r="AM22" s="219"/>
      <c r="AN22" s="219"/>
      <c r="AO22" s="219"/>
      <c r="AP22" s="219"/>
      <c r="AQ22" s="219"/>
      <c r="AR22" s="219"/>
      <c r="AS22" s="219"/>
      <c r="AT22" s="219"/>
      <c r="AU22" s="219"/>
      <c r="AV22" s="219"/>
      <c r="AW22" s="220"/>
      <c r="AX22" s="221"/>
      <c r="AY22" s="221"/>
      <c r="AZ22" s="221"/>
      <c r="BA22" s="221"/>
      <c r="BB22" s="221"/>
      <c r="BC22" s="222"/>
      <c r="BD22" s="223"/>
      <c r="BE22" s="221"/>
      <c r="BF22" s="221"/>
      <c r="BG22" s="221"/>
      <c r="BH22" s="221"/>
      <c r="BI22" s="221"/>
      <c r="BJ22" s="222"/>
      <c r="BK22" s="188"/>
    </row>
    <row r="23" spans="1:63" ht="15" customHeight="1" x14ac:dyDescent="0.25">
      <c r="A23" s="187"/>
      <c r="B23" s="159"/>
      <c r="C23" s="157"/>
      <c r="D23" s="157"/>
      <c r="E23" s="157"/>
      <c r="F23" s="157"/>
      <c r="G23" s="158"/>
      <c r="H23" s="159"/>
      <c r="I23" s="157"/>
      <c r="J23" s="157"/>
      <c r="K23" s="157"/>
      <c r="L23" s="157"/>
      <c r="M23" s="157"/>
      <c r="N23" s="158"/>
      <c r="O23" s="159"/>
      <c r="P23" s="157"/>
      <c r="Q23" s="157"/>
      <c r="R23" s="157"/>
      <c r="S23" s="212"/>
      <c r="T23" s="213"/>
      <c r="U23" s="213"/>
      <c r="V23" s="213"/>
      <c r="W23" s="213"/>
      <c r="X23" s="213"/>
      <c r="Y23" s="213"/>
      <c r="Z23" s="213"/>
      <c r="AA23" s="213"/>
      <c r="AB23" s="213"/>
      <c r="AC23" s="213"/>
      <c r="AD23" s="213"/>
      <c r="AE23" s="213"/>
      <c r="AF23" s="213"/>
      <c r="AG23" s="213"/>
      <c r="AH23" s="213"/>
      <c r="AI23" s="213"/>
      <c r="AJ23" s="213"/>
      <c r="AK23" s="213"/>
      <c r="AL23" s="213"/>
      <c r="AM23" s="213"/>
      <c r="AN23" s="213"/>
      <c r="AO23" s="213"/>
      <c r="AP23" s="213"/>
      <c r="AQ23" s="213"/>
      <c r="AR23" s="213"/>
      <c r="AS23" s="213"/>
      <c r="AT23" s="213"/>
      <c r="AU23" s="213"/>
      <c r="AV23" s="213"/>
      <c r="AW23" s="214"/>
      <c r="AX23" s="215"/>
      <c r="AY23" s="215"/>
      <c r="AZ23" s="215"/>
      <c r="BA23" s="215"/>
      <c r="BB23" s="215"/>
      <c r="BC23" s="216"/>
      <c r="BD23" s="217"/>
      <c r="BE23" s="215"/>
      <c r="BF23" s="215"/>
      <c r="BG23" s="215"/>
      <c r="BH23" s="215"/>
      <c r="BI23" s="215"/>
      <c r="BJ23" s="216"/>
      <c r="BK23" s="188"/>
    </row>
    <row r="24" spans="1:63" ht="15" customHeight="1" x14ac:dyDescent="0.25">
      <c r="A24" s="187"/>
      <c r="B24" s="169"/>
      <c r="C24" s="170"/>
      <c r="D24" s="170"/>
      <c r="E24" s="170"/>
      <c r="F24" s="170"/>
      <c r="G24" s="171"/>
      <c r="H24" s="169"/>
      <c r="I24" s="170"/>
      <c r="J24" s="170"/>
      <c r="K24" s="170"/>
      <c r="L24" s="170"/>
      <c r="M24" s="170"/>
      <c r="N24" s="171"/>
      <c r="O24" s="169"/>
      <c r="P24" s="170"/>
      <c r="Q24" s="170"/>
      <c r="R24" s="170"/>
      <c r="S24" s="218"/>
      <c r="T24" s="219"/>
      <c r="U24" s="219"/>
      <c r="V24" s="219"/>
      <c r="W24" s="219"/>
      <c r="X24" s="219"/>
      <c r="Y24" s="219"/>
      <c r="Z24" s="219"/>
      <c r="AA24" s="219"/>
      <c r="AB24" s="219"/>
      <c r="AC24" s="219"/>
      <c r="AD24" s="219"/>
      <c r="AE24" s="219"/>
      <c r="AF24" s="219"/>
      <c r="AG24" s="219"/>
      <c r="AH24" s="219"/>
      <c r="AI24" s="219"/>
      <c r="AJ24" s="219"/>
      <c r="AK24" s="219"/>
      <c r="AL24" s="219"/>
      <c r="AM24" s="219"/>
      <c r="AN24" s="219"/>
      <c r="AO24" s="219"/>
      <c r="AP24" s="219"/>
      <c r="AQ24" s="219"/>
      <c r="AR24" s="219"/>
      <c r="AS24" s="219"/>
      <c r="AT24" s="219"/>
      <c r="AU24" s="219"/>
      <c r="AV24" s="219"/>
      <c r="AW24" s="220"/>
      <c r="AX24" s="221"/>
      <c r="AY24" s="221"/>
      <c r="AZ24" s="221"/>
      <c r="BA24" s="221"/>
      <c r="BB24" s="221"/>
      <c r="BC24" s="222"/>
      <c r="BD24" s="223"/>
      <c r="BE24" s="221"/>
      <c r="BF24" s="221"/>
      <c r="BG24" s="221"/>
      <c r="BH24" s="221"/>
      <c r="BI24" s="221"/>
      <c r="BJ24" s="222"/>
      <c r="BK24" s="188"/>
    </row>
    <row r="25" spans="1:63" ht="15" customHeight="1" x14ac:dyDescent="0.25">
      <c r="A25" s="187"/>
      <c r="B25" s="159"/>
      <c r="C25" s="157"/>
      <c r="D25" s="157"/>
      <c r="E25" s="157"/>
      <c r="F25" s="157"/>
      <c r="G25" s="158"/>
      <c r="H25" s="159"/>
      <c r="I25" s="157"/>
      <c r="J25" s="157"/>
      <c r="K25" s="157"/>
      <c r="L25" s="157"/>
      <c r="M25" s="157"/>
      <c r="N25" s="158"/>
      <c r="O25" s="159"/>
      <c r="P25" s="157"/>
      <c r="Q25" s="157"/>
      <c r="R25" s="157"/>
      <c r="S25" s="212"/>
      <c r="T25" s="213"/>
      <c r="U25" s="213"/>
      <c r="V25" s="213"/>
      <c r="W25" s="213"/>
      <c r="X25" s="213"/>
      <c r="Y25" s="213"/>
      <c r="Z25" s="213"/>
      <c r="AA25" s="213"/>
      <c r="AB25" s="213"/>
      <c r="AC25" s="213"/>
      <c r="AD25" s="213"/>
      <c r="AE25" s="213"/>
      <c r="AF25" s="213"/>
      <c r="AG25" s="213"/>
      <c r="AH25" s="213"/>
      <c r="AI25" s="213"/>
      <c r="AJ25" s="213"/>
      <c r="AK25" s="213"/>
      <c r="AL25" s="213"/>
      <c r="AM25" s="213"/>
      <c r="AN25" s="213"/>
      <c r="AO25" s="213"/>
      <c r="AP25" s="213"/>
      <c r="AQ25" s="213"/>
      <c r="AR25" s="213"/>
      <c r="AS25" s="213"/>
      <c r="AT25" s="213"/>
      <c r="AU25" s="213"/>
      <c r="AV25" s="213"/>
      <c r="AW25" s="214"/>
      <c r="AX25" s="215"/>
      <c r="AY25" s="215"/>
      <c r="AZ25" s="215"/>
      <c r="BA25" s="215"/>
      <c r="BB25" s="215"/>
      <c r="BC25" s="216"/>
      <c r="BD25" s="217"/>
      <c r="BE25" s="215"/>
      <c r="BF25" s="215"/>
      <c r="BG25" s="215"/>
      <c r="BH25" s="215"/>
      <c r="BI25" s="215"/>
      <c r="BJ25" s="216"/>
      <c r="BK25" s="188"/>
    </row>
    <row r="26" spans="1:63" ht="15" customHeight="1" x14ac:dyDescent="0.25">
      <c r="A26" s="187"/>
      <c r="B26" s="169"/>
      <c r="C26" s="170"/>
      <c r="D26" s="170"/>
      <c r="E26" s="170"/>
      <c r="F26" s="170"/>
      <c r="G26" s="171"/>
      <c r="H26" s="169"/>
      <c r="I26" s="170"/>
      <c r="J26" s="170"/>
      <c r="K26" s="170"/>
      <c r="L26" s="170"/>
      <c r="M26" s="170"/>
      <c r="N26" s="171"/>
      <c r="O26" s="169"/>
      <c r="P26" s="170"/>
      <c r="Q26" s="170"/>
      <c r="R26" s="170"/>
      <c r="S26" s="218"/>
      <c r="T26" s="219"/>
      <c r="U26" s="219"/>
      <c r="V26" s="219"/>
      <c r="W26" s="219"/>
      <c r="X26" s="219"/>
      <c r="Y26" s="219"/>
      <c r="Z26" s="219"/>
      <c r="AA26" s="219"/>
      <c r="AB26" s="219"/>
      <c r="AC26" s="219"/>
      <c r="AD26" s="219"/>
      <c r="AE26" s="219"/>
      <c r="AF26" s="219"/>
      <c r="AG26" s="219"/>
      <c r="AH26" s="219"/>
      <c r="AI26" s="219"/>
      <c r="AJ26" s="219"/>
      <c r="AK26" s="219"/>
      <c r="AL26" s="219"/>
      <c r="AM26" s="219"/>
      <c r="AN26" s="219"/>
      <c r="AO26" s="219"/>
      <c r="AP26" s="219"/>
      <c r="AQ26" s="219"/>
      <c r="AR26" s="219"/>
      <c r="AS26" s="219"/>
      <c r="AT26" s="219"/>
      <c r="AU26" s="219"/>
      <c r="AV26" s="219"/>
      <c r="AW26" s="220"/>
      <c r="AX26" s="221"/>
      <c r="AY26" s="221"/>
      <c r="AZ26" s="221"/>
      <c r="BA26" s="221"/>
      <c r="BB26" s="221"/>
      <c r="BC26" s="222"/>
      <c r="BD26" s="223"/>
      <c r="BE26" s="221"/>
      <c r="BF26" s="221"/>
      <c r="BG26" s="221"/>
      <c r="BH26" s="221"/>
      <c r="BI26" s="221"/>
      <c r="BJ26" s="222"/>
      <c r="BK26" s="188"/>
    </row>
    <row r="27" spans="1:63" ht="15" customHeight="1" x14ac:dyDescent="0.25">
      <c r="A27" s="187"/>
      <c r="B27" s="159"/>
      <c r="C27" s="157"/>
      <c r="D27" s="157"/>
      <c r="E27" s="157"/>
      <c r="F27" s="157"/>
      <c r="G27" s="158"/>
      <c r="H27" s="159"/>
      <c r="I27" s="157"/>
      <c r="J27" s="157"/>
      <c r="K27" s="157"/>
      <c r="L27" s="157"/>
      <c r="M27" s="157"/>
      <c r="N27" s="158"/>
      <c r="O27" s="159"/>
      <c r="P27" s="157"/>
      <c r="Q27" s="157"/>
      <c r="R27" s="157"/>
      <c r="S27" s="212"/>
      <c r="T27" s="213"/>
      <c r="U27" s="213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3"/>
      <c r="AI27" s="213"/>
      <c r="AJ27" s="213"/>
      <c r="AK27" s="213"/>
      <c r="AL27" s="213"/>
      <c r="AM27" s="213"/>
      <c r="AN27" s="213"/>
      <c r="AO27" s="213"/>
      <c r="AP27" s="213"/>
      <c r="AQ27" s="213"/>
      <c r="AR27" s="213"/>
      <c r="AS27" s="213"/>
      <c r="AT27" s="213"/>
      <c r="AU27" s="213"/>
      <c r="AV27" s="213"/>
      <c r="AW27" s="214"/>
      <c r="AX27" s="215"/>
      <c r="AY27" s="215"/>
      <c r="AZ27" s="215"/>
      <c r="BA27" s="215"/>
      <c r="BB27" s="215"/>
      <c r="BC27" s="216"/>
      <c r="BD27" s="217"/>
      <c r="BE27" s="215"/>
      <c r="BF27" s="215"/>
      <c r="BG27" s="215"/>
      <c r="BH27" s="215"/>
      <c r="BI27" s="215"/>
      <c r="BJ27" s="216"/>
      <c r="BK27" s="188"/>
    </row>
    <row r="28" spans="1:63" ht="15" customHeight="1" x14ac:dyDescent="0.25">
      <c r="A28" s="187"/>
      <c r="B28" s="169"/>
      <c r="C28" s="170"/>
      <c r="D28" s="170"/>
      <c r="E28" s="170"/>
      <c r="F28" s="170"/>
      <c r="G28" s="171"/>
      <c r="H28" s="169"/>
      <c r="I28" s="170"/>
      <c r="J28" s="170"/>
      <c r="K28" s="170"/>
      <c r="L28" s="170"/>
      <c r="M28" s="170"/>
      <c r="N28" s="171"/>
      <c r="O28" s="169"/>
      <c r="P28" s="170"/>
      <c r="Q28" s="170"/>
      <c r="R28" s="170"/>
      <c r="S28" s="218"/>
      <c r="T28" s="219"/>
      <c r="U28" s="219"/>
      <c r="V28" s="219"/>
      <c r="W28" s="219"/>
      <c r="X28" s="219"/>
      <c r="Y28" s="219"/>
      <c r="Z28" s="219"/>
      <c r="AA28" s="219"/>
      <c r="AB28" s="219"/>
      <c r="AC28" s="219"/>
      <c r="AD28" s="219"/>
      <c r="AE28" s="219"/>
      <c r="AF28" s="219"/>
      <c r="AG28" s="219"/>
      <c r="AH28" s="219"/>
      <c r="AI28" s="219"/>
      <c r="AJ28" s="219"/>
      <c r="AK28" s="219"/>
      <c r="AL28" s="219"/>
      <c r="AM28" s="219"/>
      <c r="AN28" s="219"/>
      <c r="AO28" s="219"/>
      <c r="AP28" s="219"/>
      <c r="AQ28" s="219"/>
      <c r="AR28" s="219"/>
      <c r="AS28" s="219"/>
      <c r="AT28" s="219"/>
      <c r="AU28" s="219"/>
      <c r="AV28" s="219"/>
      <c r="AW28" s="220"/>
      <c r="AX28" s="221"/>
      <c r="AY28" s="221"/>
      <c r="AZ28" s="221"/>
      <c r="BA28" s="221"/>
      <c r="BB28" s="221"/>
      <c r="BC28" s="222"/>
      <c r="BD28" s="223"/>
      <c r="BE28" s="221"/>
      <c r="BF28" s="221"/>
      <c r="BG28" s="221"/>
      <c r="BH28" s="221"/>
      <c r="BI28" s="221"/>
      <c r="BJ28" s="222"/>
      <c r="BK28" s="188"/>
    </row>
    <row r="29" spans="1:63" ht="15" customHeight="1" x14ac:dyDescent="0.25">
      <c r="A29" s="187"/>
      <c r="B29" s="159"/>
      <c r="C29" s="157"/>
      <c r="D29" s="157"/>
      <c r="E29" s="157"/>
      <c r="F29" s="157"/>
      <c r="G29" s="158"/>
      <c r="H29" s="159"/>
      <c r="I29" s="157"/>
      <c r="J29" s="157"/>
      <c r="K29" s="157"/>
      <c r="L29" s="157"/>
      <c r="M29" s="157"/>
      <c r="N29" s="158"/>
      <c r="O29" s="159"/>
      <c r="P29" s="157"/>
      <c r="Q29" s="157"/>
      <c r="R29" s="157"/>
      <c r="S29" s="212"/>
      <c r="T29" s="213"/>
      <c r="U29" s="213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3"/>
      <c r="AI29" s="213"/>
      <c r="AJ29" s="213"/>
      <c r="AK29" s="213"/>
      <c r="AL29" s="213"/>
      <c r="AM29" s="213"/>
      <c r="AN29" s="213"/>
      <c r="AO29" s="213"/>
      <c r="AP29" s="213"/>
      <c r="AQ29" s="213"/>
      <c r="AR29" s="213"/>
      <c r="AS29" s="213"/>
      <c r="AT29" s="213"/>
      <c r="AU29" s="213"/>
      <c r="AV29" s="213"/>
      <c r="AW29" s="214"/>
      <c r="AX29" s="215"/>
      <c r="AY29" s="215"/>
      <c r="AZ29" s="215"/>
      <c r="BA29" s="215"/>
      <c r="BB29" s="215"/>
      <c r="BC29" s="216"/>
      <c r="BD29" s="217"/>
      <c r="BE29" s="215"/>
      <c r="BF29" s="215"/>
      <c r="BG29" s="215"/>
      <c r="BH29" s="215"/>
      <c r="BI29" s="215"/>
      <c r="BJ29" s="216"/>
      <c r="BK29" s="188"/>
    </row>
    <row r="30" spans="1:63" ht="15" customHeight="1" x14ac:dyDescent="0.25">
      <c r="A30" s="187"/>
      <c r="B30" s="169"/>
      <c r="C30" s="170"/>
      <c r="D30" s="170"/>
      <c r="E30" s="170"/>
      <c r="F30" s="170"/>
      <c r="G30" s="171"/>
      <c r="H30" s="169"/>
      <c r="I30" s="170"/>
      <c r="J30" s="170"/>
      <c r="K30" s="170"/>
      <c r="L30" s="170"/>
      <c r="M30" s="170"/>
      <c r="N30" s="171"/>
      <c r="O30" s="169"/>
      <c r="P30" s="170"/>
      <c r="Q30" s="170"/>
      <c r="R30" s="170"/>
      <c r="S30" s="218"/>
      <c r="T30" s="219"/>
      <c r="U30" s="219"/>
      <c r="V30" s="219"/>
      <c r="W30" s="219"/>
      <c r="X30" s="219"/>
      <c r="Y30" s="219"/>
      <c r="Z30" s="219"/>
      <c r="AA30" s="219"/>
      <c r="AB30" s="219"/>
      <c r="AC30" s="219"/>
      <c r="AD30" s="219"/>
      <c r="AE30" s="219"/>
      <c r="AF30" s="219"/>
      <c r="AG30" s="219"/>
      <c r="AH30" s="219"/>
      <c r="AI30" s="219"/>
      <c r="AJ30" s="219"/>
      <c r="AK30" s="219"/>
      <c r="AL30" s="219"/>
      <c r="AM30" s="219"/>
      <c r="AN30" s="219"/>
      <c r="AO30" s="219"/>
      <c r="AP30" s="219"/>
      <c r="AQ30" s="219"/>
      <c r="AR30" s="219"/>
      <c r="AS30" s="219"/>
      <c r="AT30" s="219"/>
      <c r="AU30" s="219"/>
      <c r="AV30" s="219"/>
      <c r="AW30" s="220"/>
      <c r="AX30" s="221"/>
      <c r="AY30" s="221"/>
      <c r="AZ30" s="221"/>
      <c r="BA30" s="221"/>
      <c r="BB30" s="221"/>
      <c r="BC30" s="222"/>
      <c r="BD30" s="223"/>
      <c r="BE30" s="221"/>
      <c r="BF30" s="221"/>
      <c r="BG30" s="221"/>
      <c r="BH30" s="221"/>
      <c r="BI30" s="221"/>
      <c r="BJ30" s="222"/>
      <c r="BK30" s="188"/>
    </row>
    <row r="31" spans="1:63" ht="15" customHeight="1" x14ac:dyDescent="0.25">
      <c r="A31" s="187"/>
      <c r="B31" s="159"/>
      <c r="C31" s="157"/>
      <c r="D31" s="157"/>
      <c r="E31" s="157"/>
      <c r="F31" s="157"/>
      <c r="G31" s="158"/>
      <c r="H31" s="159"/>
      <c r="I31" s="157"/>
      <c r="J31" s="157"/>
      <c r="K31" s="157"/>
      <c r="L31" s="157"/>
      <c r="M31" s="157"/>
      <c r="N31" s="158"/>
      <c r="O31" s="159"/>
      <c r="P31" s="157"/>
      <c r="Q31" s="157"/>
      <c r="R31" s="157"/>
      <c r="S31" s="212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3"/>
      <c r="AI31" s="213"/>
      <c r="AJ31" s="213"/>
      <c r="AK31" s="213"/>
      <c r="AL31" s="213"/>
      <c r="AM31" s="213"/>
      <c r="AN31" s="213"/>
      <c r="AO31" s="213"/>
      <c r="AP31" s="213"/>
      <c r="AQ31" s="213"/>
      <c r="AR31" s="213"/>
      <c r="AS31" s="213"/>
      <c r="AT31" s="213"/>
      <c r="AU31" s="213"/>
      <c r="AV31" s="213"/>
      <c r="AW31" s="214"/>
      <c r="AX31" s="215"/>
      <c r="AY31" s="215"/>
      <c r="AZ31" s="215"/>
      <c r="BA31" s="215"/>
      <c r="BB31" s="215"/>
      <c r="BC31" s="216"/>
      <c r="BD31" s="217"/>
      <c r="BE31" s="215"/>
      <c r="BF31" s="215"/>
      <c r="BG31" s="215"/>
      <c r="BH31" s="215"/>
      <c r="BI31" s="215"/>
      <c r="BJ31" s="216"/>
      <c r="BK31" s="188"/>
    </row>
    <row r="32" spans="1:63" ht="15" customHeight="1" x14ac:dyDescent="0.25">
      <c r="A32" s="187"/>
      <c r="B32" s="169"/>
      <c r="C32" s="170"/>
      <c r="D32" s="170"/>
      <c r="E32" s="170"/>
      <c r="F32" s="170"/>
      <c r="G32" s="171"/>
      <c r="H32" s="169"/>
      <c r="I32" s="170"/>
      <c r="J32" s="170"/>
      <c r="K32" s="170"/>
      <c r="L32" s="170"/>
      <c r="M32" s="170"/>
      <c r="N32" s="171"/>
      <c r="O32" s="169"/>
      <c r="P32" s="170"/>
      <c r="Q32" s="170"/>
      <c r="R32" s="170"/>
      <c r="S32" s="218"/>
      <c r="T32" s="219"/>
      <c r="U32" s="219"/>
      <c r="V32" s="219"/>
      <c r="W32" s="219"/>
      <c r="X32" s="219"/>
      <c r="Y32" s="219"/>
      <c r="Z32" s="219"/>
      <c r="AA32" s="219"/>
      <c r="AB32" s="219"/>
      <c r="AC32" s="219"/>
      <c r="AD32" s="219"/>
      <c r="AE32" s="219"/>
      <c r="AF32" s="219"/>
      <c r="AG32" s="219"/>
      <c r="AH32" s="219"/>
      <c r="AI32" s="219"/>
      <c r="AJ32" s="219"/>
      <c r="AK32" s="219"/>
      <c r="AL32" s="219"/>
      <c r="AM32" s="219"/>
      <c r="AN32" s="219"/>
      <c r="AO32" s="219"/>
      <c r="AP32" s="219"/>
      <c r="AQ32" s="219"/>
      <c r="AR32" s="219"/>
      <c r="AS32" s="219"/>
      <c r="AT32" s="219"/>
      <c r="AU32" s="219"/>
      <c r="AV32" s="219"/>
      <c r="AW32" s="220"/>
      <c r="AX32" s="221"/>
      <c r="AY32" s="221"/>
      <c r="AZ32" s="221"/>
      <c r="BA32" s="221"/>
      <c r="BB32" s="221"/>
      <c r="BC32" s="222"/>
      <c r="BD32" s="223"/>
      <c r="BE32" s="221"/>
      <c r="BF32" s="221"/>
      <c r="BG32" s="221"/>
      <c r="BH32" s="221"/>
      <c r="BI32" s="221"/>
      <c r="BJ32" s="222"/>
      <c r="BK32" s="188"/>
    </row>
    <row r="33" spans="1:63" ht="15" customHeight="1" x14ac:dyDescent="0.25">
      <c r="A33" s="187"/>
      <c r="B33" s="159"/>
      <c r="C33" s="157"/>
      <c r="D33" s="157"/>
      <c r="E33" s="157"/>
      <c r="F33" s="157"/>
      <c r="G33" s="158"/>
      <c r="H33" s="159"/>
      <c r="I33" s="157"/>
      <c r="J33" s="157"/>
      <c r="K33" s="157"/>
      <c r="L33" s="157"/>
      <c r="M33" s="157"/>
      <c r="N33" s="158"/>
      <c r="O33" s="159"/>
      <c r="P33" s="157"/>
      <c r="Q33" s="157"/>
      <c r="R33" s="157"/>
      <c r="S33" s="212"/>
      <c r="T33" s="213"/>
      <c r="U33" s="213"/>
      <c r="V33" s="213"/>
      <c r="W33" s="213"/>
      <c r="X33" s="213"/>
      <c r="Y33" s="213"/>
      <c r="Z33" s="213"/>
      <c r="AA33" s="213"/>
      <c r="AB33" s="213"/>
      <c r="AC33" s="213"/>
      <c r="AD33" s="213"/>
      <c r="AE33" s="213"/>
      <c r="AF33" s="213"/>
      <c r="AG33" s="213"/>
      <c r="AH33" s="213"/>
      <c r="AI33" s="213"/>
      <c r="AJ33" s="213"/>
      <c r="AK33" s="213"/>
      <c r="AL33" s="213"/>
      <c r="AM33" s="213"/>
      <c r="AN33" s="213"/>
      <c r="AO33" s="213"/>
      <c r="AP33" s="213"/>
      <c r="AQ33" s="213"/>
      <c r="AR33" s="213"/>
      <c r="AS33" s="213"/>
      <c r="AT33" s="213"/>
      <c r="AU33" s="213"/>
      <c r="AV33" s="213"/>
      <c r="AW33" s="214"/>
      <c r="AX33" s="215"/>
      <c r="AY33" s="215"/>
      <c r="AZ33" s="215"/>
      <c r="BA33" s="215"/>
      <c r="BB33" s="215"/>
      <c r="BC33" s="216"/>
      <c r="BD33" s="217"/>
      <c r="BE33" s="215"/>
      <c r="BF33" s="215"/>
      <c r="BG33" s="215"/>
      <c r="BH33" s="215"/>
      <c r="BI33" s="215"/>
      <c r="BJ33" s="216"/>
      <c r="BK33" s="188"/>
    </row>
    <row r="34" spans="1:63" ht="15" customHeight="1" x14ac:dyDescent="0.25">
      <c r="A34" s="187"/>
      <c r="B34" s="169"/>
      <c r="C34" s="170"/>
      <c r="D34" s="170"/>
      <c r="E34" s="170"/>
      <c r="F34" s="170"/>
      <c r="G34" s="171"/>
      <c r="H34" s="169"/>
      <c r="I34" s="170"/>
      <c r="J34" s="170"/>
      <c r="K34" s="170"/>
      <c r="L34" s="170"/>
      <c r="M34" s="170"/>
      <c r="N34" s="171"/>
      <c r="O34" s="169"/>
      <c r="P34" s="170"/>
      <c r="Q34" s="170"/>
      <c r="R34" s="170"/>
      <c r="S34" s="218"/>
      <c r="T34" s="219"/>
      <c r="U34" s="219"/>
      <c r="V34" s="219"/>
      <c r="W34" s="219"/>
      <c r="X34" s="219"/>
      <c r="Y34" s="219"/>
      <c r="Z34" s="219"/>
      <c r="AA34" s="219"/>
      <c r="AB34" s="219"/>
      <c r="AC34" s="219"/>
      <c r="AD34" s="219"/>
      <c r="AE34" s="219"/>
      <c r="AF34" s="219"/>
      <c r="AG34" s="219"/>
      <c r="AH34" s="219"/>
      <c r="AI34" s="219"/>
      <c r="AJ34" s="219"/>
      <c r="AK34" s="219"/>
      <c r="AL34" s="219"/>
      <c r="AM34" s="219"/>
      <c r="AN34" s="219"/>
      <c r="AO34" s="219"/>
      <c r="AP34" s="219"/>
      <c r="AQ34" s="219"/>
      <c r="AR34" s="219"/>
      <c r="AS34" s="219"/>
      <c r="AT34" s="219"/>
      <c r="AU34" s="219"/>
      <c r="AV34" s="219"/>
      <c r="AW34" s="220"/>
      <c r="AX34" s="221"/>
      <c r="AY34" s="221"/>
      <c r="AZ34" s="221"/>
      <c r="BA34" s="221"/>
      <c r="BB34" s="221"/>
      <c r="BC34" s="222"/>
      <c r="BD34" s="223"/>
      <c r="BE34" s="221"/>
      <c r="BF34" s="221"/>
      <c r="BG34" s="221"/>
      <c r="BH34" s="221"/>
      <c r="BI34" s="221"/>
      <c r="BJ34" s="222"/>
      <c r="BK34" s="188"/>
    </row>
    <row r="35" spans="1:63" ht="15" customHeight="1" x14ac:dyDescent="0.25">
      <c r="A35" s="187"/>
      <c r="B35" s="159"/>
      <c r="C35" s="157"/>
      <c r="D35" s="157"/>
      <c r="E35" s="157"/>
      <c r="F35" s="157"/>
      <c r="G35" s="158"/>
      <c r="H35" s="159"/>
      <c r="I35" s="157"/>
      <c r="J35" s="157"/>
      <c r="K35" s="157"/>
      <c r="L35" s="157"/>
      <c r="M35" s="157"/>
      <c r="N35" s="158"/>
      <c r="O35" s="159"/>
      <c r="P35" s="157"/>
      <c r="Q35" s="157"/>
      <c r="R35" s="157"/>
      <c r="S35" s="212"/>
      <c r="T35" s="213"/>
      <c r="U35" s="213"/>
      <c r="V35" s="213"/>
      <c r="W35" s="213"/>
      <c r="X35" s="213"/>
      <c r="Y35" s="213"/>
      <c r="Z35" s="213"/>
      <c r="AA35" s="213"/>
      <c r="AB35" s="213"/>
      <c r="AC35" s="213"/>
      <c r="AD35" s="213"/>
      <c r="AE35" s="213"/>
      <c r="AF35" s="213"/>
      <c r="AG35" s="213"/>
      <c r="AH35" s="213"/>
      <c r="AI35" s="213"/>
      <c r="AJ35" s="213"/>
      <c r="AK35" s="213"/>
      <c r="AL35" s="213"/>
      <c r="AM35" s="213"/>
      <c r="AN35" s="213"/>
      <c r="AO35" s="213"/>
      <c r="AP35" s="213"/>
      <c r="AQ35" s="213"/>
      <c r="AR35" s="213"/>
      <c r="AS35" s="213"/>
      <c r="AT35" s="213"/>
      <c r="AU35" s="213"/>
      <c r="AV35" s="213"/>
      <c r="AW35" s="214"/>
      <c r="AX35" s="215"/>
      <c r="AY35" s="215"/>
      <c r="AZ35" s="215"/>
      <c r="BA35" s="215"/>
      <c r="BB35" s="215"/>
      <c r="BC35" s="216"/>
      <c r="BD35" s="217"/>
      <c r="BE35" s="215"/>
      <c r="BF35" s="215"/>
      <c r="BG35" s="215"/>
      <c r="BH35" s="215"/>
      <c r="BI35" s="215"/>
      <c r="BJ35" s="216"/>
      <c r="BK35" s="188"/>
    </row>
    <row r="36" spans="1:63" ht="15" customHeight="1" x14ac:dyDescent="0.25">
      <c r="A36" s="187"/>
      <c r="B36" s="169"/>
      <c r="C36" s="170"/>
      <c r="D36" s="170"/>
      <c r="E36" s="170"/>
      <c r="F36" s="170"/>
      <c r="G36" s="171"/>
      <c r="H36" s="169"/>
      <c r="I36" s="170"/>
      <c r="J36" s="170"/>
      <c r="K36" s="170"/>
      <c r="L36" s="170"/>
      <c r="M36" s="170"/>
      <c r="N36" s="171"/>
      <c r="O36" s="169"/>
      <c r="P36" s="170"/>
      <c r="Q36" s="170"/>
      <c r="R36" s="170"/>
      <c r="S36" s="218"/>
      <c r="T36" s="219"/>
      <c r="U36" s="219"/>
      <c r="V36" s="219"/>
      <c r="W36" s="219"/>
      <c r="X36" s="219"/>
      <c r="Y36" s="219"/>
      <c r="Z36" s="219"/>
      <c r="AA36" s="219"/>
      <c r="AB36" s="219"/>
      <c r="AC36" s="219"/>
      <c r="AD36" s="219"/>
      <c r="AE36" s="219"/>
      <c r="AF36" s="219"/>
      <c r="AG36" s="219"/>
      <c r="AH36" s="219"/>
      <c r="AI36" s="219"/>
      <c r="AJ36" s="219"/>
      <c r="AK36" s="219"/>
      <c r="AL36" s="219"/>
      <c r="AM36" s="219"/>
      <c r="AN36" s="219"/>
      <c r="AO36" s="219"/>
      <c r="AP36" s="219"/>
      <c r="AQ36" s="219"/>
      <c r="AR36" s="219"/>
      <c r="AS36" s="219"/>
      <c r="AT36" s="219"/>
      <c r="AU36" s="219"/>
      <c r="AV36" s="219"/>
      <c r="AW36" s="220"/>
      <c r="AX36" s="221"/>
      <c r="AY36" s="221"/>
      <c r="AZ36" s="221"/>
      <c r="BA36" s="221"/>
      <c r="BB36" s="221"/>
      <c r="BC36" s="222"/>
      <c r="BD36" s="223"/>
      <c r="BE36" s="221"/>
      <c r="BF36" s="221"/>
      <c r="BG36" s="221"/>
      <c r="BH36" s="221"/>
      <c r="BI36" s="221"/>
      <c r="BJ36" s="222"/>
      <c r="BK36" s="188"/>
    </row>
    <row r="37" spans="1:63" ht="15" customHeight="1" x14ac:dyDescent="0.25">
      <c r="A37" s="187"/>
      <c r="B37" s="159"/>
      <c r="C37" s="157"/>
      <c r="D37" s="157"/>
      <c r="E37" s="157"/>
      <c r="F37" s="157"/>
      <c r="G37" s="158"/>
      <c r="H37" s="159"/>
      <c r="I37" s="157"/>
      <c r="J37" s="157"/>
      <c r="K37" s="157"/>
      <c r="L37" s="157"/>
      <c r="M37" s="157"/>
      <c r="N37" s="158"/>
      <c r="O37" s="159"/>
      <c r="P37" s="157"/>
      <c r="Q37" s="157"/>
      <c r="R37" s="157"/>
      <c r="S37" s="212"/>
      <c r="T37" s="213"/>
      <c r="U37" s="213"/>
      <c r="V37" s="213"/>
      <c r="W37" s="213"/>
      <c r="X37" s="213"/>
      <c r="Y37" s="213"/>
      <c r="Z37" s="213"/>
      <c r="AA37" s="213"/>
      <c r="AB37" s="213"/>
      <c r="AC37" s="213"/>
      <c r="AD37" s="213"/>
      <c r="AE37" s="213"/>
      <c r="AF37" s="213"/>
      <c r="AG37" s="213"/>
      <c r="AH37" s="213"/>
      <c r="AI37" s="213"/>
      <c r="AJ37" s="213"/>
      <c r="AK37" s="213"/>
      <c r="AL37" s="213"/>
      <c r="AM37" s="213"/>
      <c r="AN37" s="213"/>
      <c r="AO37" s="213"/>
      <c r="AP37" s="213"/>
      <c r="AQ37" s="213"/>
      <c r="AR37" s="213"/>
      <c r="AS37" s="213"/>
      <c r="AT37" s="213"/>
      <c r="AU37" s="213"/>
      <c r="AV37" s="213"/>
      <c r="AW37" s="214"/>
      <c r="AX37" s="215"/>
      <c r="AY37" s="215"/>
      <c r="AZ37" s="215"/>
      <c r="BA37" s="215"/>
      <c r="BB37" s="215"/>
      <c r="BC37" s="216"/>
      <c r="BD37" s="217"/>
      <c r="BE37" s="215"/>
      <c r="BF37" s="215"/>
      <c r="BG37" s="215"/>
      <c r="BH37" s="215"/>
      <c r="BI37" s="215"/>
      <c r="BJ37" s="216"/>
      <c r="BK37" s="188"/>
    </row>
    <row r="38" spans="1:63" ht="15" customHeight="1" x14ac:dyDescent="0.25">
      <c r="A38" s="187"/>
      <c r="B38" s="169"/>
      <c r="C38" s="170"/>
      <c r="D38" s="170"/>
      <c r="E38" s="170"/>
      <c r="F38" s="170"/>
      <c r="G38" s="171"/>
      <c r="H38" s="169"/>
      <c r="I38" s="170"/>
      <c r="J38" s="170"/>
      <c r="K38" s="170"/>
      <c r="L38" s="170"/>
      <c r="M38" s="170"/>
      <c r="N38" s="171"/>
      <c r="O38" s="169"/>
      <c r="P38" s="170"/>
      <c r="Q38" s="170"/>
      <c r="R38" s="170"/>
      <c r="S38" s="218"/>
      <c r="T38" s="219"/>
      <c r="U38" s="219"/>
      <c r="V38" s="219"/>
      <c r="W38" s="219"/>
      <c r="X38" s="219"/>
      <c r="Y38" s="219"/>
      <c r="Z38" s="219"/>
      <c r="AA38" s="219"/>
      <c r="AB38" s="219"/>
      <c r="AC38" s="219"/>
      <c r="AD38" s="219"/>
      <c r="AE38" s="219"/>
      <c r="AF38" s="219"/>
      <c r="AG38" s="219"/>
      <c r="AH38" s="219"/>
      <c r="AI38" s="219"/>
      <c r="AJ38" s="219"/>
      <c r="AK38" s="219"/>
      <c r="AL38" s="219"/>
      <c r="AM38" s="219"/>
      <c r="AN38" s="219"/>
      <c r="AO38" s="219"/>
      <c r="AP38" s="219"/>
      <c r="AQ38" s="219"/>
      <c r="AR38" s="219"/>
      <c r="AS38" s="219"/>
      <c r="AT38" s="219"/>
      <c r="AU38" s="219"/>
      <c r="AV38" s="219"/>
      <c r="AW38" s="220"/>
      <c r="AX38" s="221"/>
      <c r="AY38" s="221"/>
      <c r="AZ38" s="221"/>
      <c r="BA38" s="221"/>
      <c r="BB38" s="221"/>
      <c r="BC38" s="222"/>
      <c r="BD38" s="223"/>
      <c r="BE38" s="221"/>
      <c r="BF38" s="221"/>
      <c r="BG38" s="221"/>
      <c r="BH38" s="221"/>
      <c r="BI38" s="221"/>
      <c r="BJ38" s="222"/>
      <c r="BK38" s="188"/>
    </row>
    <row r="39" spans="1:63" ht="15" customHeight="1" x14ac:dyDescent="0.25">
      <c r="A39" s="187"/>
      <c r="B39" s="159"/>
      <c r="C39" s="157"/>
      <c r="D39" s="157"/>
      <c r="E39" s="157"/>
      <c r="F39" s="157"/>
      <c r="G39" s="158"/>
      <c r="H39" s="159"/>
      <c r="I39" s="157"/>
      <c r="J39" s="157"/>
      <c r="K39" s="157"/>
      <c r="L39" s="157"/>
      <c r="M39" s="157"/>
      <c r="N39" s="158"/>
      <c r="O39" s="159"/>
      <c r="P39" s="157"/>
      <c r="Q39" s="157"/>
      <c r="R39" s="157"/>
      <c r="S39" s="212"/>
      <c r="T39" s="213"/>
      <c r="U39" s="213"/>
      <c r="V39" s="213"/>
      <c r="W39" s="213"/>
      <c r="X39" s="213"/>
      <c r="Y39" s="213"/>
      <c r="Z39" s="213"/>
      <c r="AA39" s="213"/>
      <c r="AB39" s="213"/>
      <c r="AC39" s="213"/>
      <c r="AD39" s="213"/>
      <c r="AE39" s="213"/>
      <c r="AF39" s="213"/>
      <c r="AG39" s="213"/>
      <c r="AH39" s="213"/>
      <c r="AI39" s="213"/>
      <c r="AJ39" s="213"/>
      <c r="AK39" s="213"/>
      <c r="AL39" s="213"/>
      <c r="AM39" s="213"/>
      <c r="AN39" s="213"/>
      <c r="AO39" s="213"/>
      <c r="AP39" s="213"/>
      <c r="AQ39" s="213"/>
      <c r="AR39" s="213"/>
      <c r="AS39" s="213"/>
      <c r="AT39" s="213"/>
      <c r="AU39" s="213"/>
      <c r="AV39" s="213"/>
      <c r="AW39" s="214"/>
      <c r="AX39" s="215"/>
      <c r="AY39" s="215"/>
      <c r="AZ39" s="215"/>
      <c r="BA39" s="215"/>
      <c r="BB39" s="215"/>
      <c r="BC39" s="216"/>
      <c r="BD39" s="217"/>
      <c r="BE39" s="215"/>
      <c r="BF39" s="215"/>
      <c r="BG39" s="215"/>
      <c r="BH39" s="215"/>
      <c r="BI39" s="215"/>
      <c r="BJ39" s="216"/>
      <c r="BK39" s="188"/>
    </row>
    <row r="40" spans="1:63" ht="15" customHeight="1" x14ac:dyDescent="0.25">
      <c r="A40" s="187"/>
      <c r="B40" s="169"/>
      <c r="C40" s="170"/>
      <c r="D40" s="170"/>
      <c r="E40" s="170"/>
      <c r="F40" s="170"/>
      <c r="G40" s="171"/>
      <c r="H40" s="169"/>
      <c r="I40" s="170"/>
      <c r="J40" s="170"/>
      <c r="K40" s="170"/>
      <c r="L40" s="170"/>
      <c r="M40" s="170"/>
      <c r="N40" s="171"/>
      <c r="O40" s="169"/>
      <c r="P40" s="170"/>
      <c r="Q40" s="170"/>
      <c r="R40" s="170"/>
      <c r="S40" s="218"/>
      <c r="T40" s="219"/>
      <c r="U40" s="219"/>
      <c r="V40" s="219"/>
      <c r="W40" s="219"/>
      <c r="X40" s="219"/>
      <c r="Y40" s="219"/>
      <c r="Z40" s="219"/>
      <c r="AA40" s="219"/>
      <c r="AB40" s="219"/>
      <c r="AC40" s="219"/>
      <c r="AD40" s="219"/>
      <c r="AE40" s="219"/>
      <c r="AF40" s="219"/>
      <c r="AG40" s="219"/>
      <c r="AH40" s="219"/>
      <c r="AI40" s="219"/>
      <c r="AJ40" s="219"/>
      <c r="AK40" s="219"/>
      <c r="AL40" s="219"/>
      <c r="AM40" s="219"/>
      <c r="AN40" s="219"/>
      <c r="AO40" s="219"/>
      <c r="AP40" s="219"/>
      <c r="AQ40" s="219"/>
      <c r="AR40" s="219"/>
      <c r="AS40" s="219"/>
      <c r="AT40" s="219"/>
      <c r="AU40" s="219"/>
      <c r="AV40" s="219"/>
      <c r="AW40" s="220"/>
      <c r="AX40" s="221"/>
      <c r="AY40" s="221"/>
      <c r="AZ40" s="221"/>
      <c r="BA40" s="221"/>
      <c r="BB40" s="221"/>
      <c r="BC40" s="222"/>
      <c r="BD40" s="223"/>
      <c r="BE40" s="221"/>
      <c r="BF40" s="221"/>
      <c r="BG40" s="221"/>
      <c r="BH40" s="221"/>
      <c r="BI40" s="221"/>
      <c r="BJ40" s="222"/>
      <c r="BK40" s="188"/>
    </row>
    <row r="41" spans="1:63" ht="15" customHeight="1" x14ac:dyDescent="0.25">
      <c r="A41" s="187"/>
      <c r="B41" s="159"/>
      <c r="C41" s="157"/>
      <c r="D41" s="157"/>
      <c r="E41" s="157"/>
      <c r="F41" s="157"/>
      <c r="G41" s="158"/>
      <c r="H41" s="159"/>
      <c r="I41" s="157"/>
      <c r="J41" s="157"/>
      <c r="K41" s="157"/>
      <c r="L41" s="157"/>
      <c r="M41" s="157"/>
      <c r="N41" s="158"/>
      <c r="O41" s="159"/>
      <c r="P41" s="157"/>
      <c r="Q41" s="157"/>
      <c r="R41" s="157"/>
      <c r="S41" s="212"/>
      <c r="T41" s="213"/>
      <c r="U41" s="213"/>
      <c r="V41" s="213"/>
      <c r="W41" s="213"/>
      <c r="X41" s="213"/>
      <c r="Y41" s="213"/>
      <c r="Z41" s="213"/>
      <c r="AA41" s="213"/>
      <c r="AB41" s="213"/>
      <c r="AC41" s="213"/>
      <c r="AD41" s="213"/>
      <c r="AE41" s="213"/>
      <c r="AF41" s="213"/>
      <c r="AG41" s="213"/>
      <c r="AH41" s="213"/>
      <c r="AI41" s="213"/>
      <c r="AJ41" s="213"/>
      <c r="AK41" s="213"/>
      <c r="AL41" s="213"/>
      <c r="AM41" s="213"/>
      <c r="AN41" s="213"/>
      <c r="AO41" s="213"/>
      <c r="AP41" s="213"/>
      <c r="AQ41" s="213"/>
      <c r="AR41" s="213"/>
      <c r="AS41" s="213"/>
      <c r="AT41" s="213"/>
      <c r="AU41" s="213"/>
      <c r="AV41" s="213"/>
      <c r="AW41" s="214"/>
      <c r="AX41" s="215"/>
      <c r="AY41" s="215"/>
      <c r="AZ41" s="215"/>
      <c r="BA41" s="215"/>
      <c r="BB41" s="215"/>
      <c r="BC41" s="216"/>
      <c r="BD41" s="217"/>
      <c r="BE41" s="215"/>
      <c r="BF41" s="215"/>
      <c r="BG41" s="215"/>
      <c r="BH41" s="215"/>
      <c r="BI41" s="215"/>
      <c r="BJ41" s="216"/>
      <c r="BK41" s="188"/>
    </row>
    <row r="42" spans="1:63" ht="15" customHeight="1" x14ac:dyDescent="0.25">
      <c r="A42" s="187"/>
      <c r="B42" s="169"/>
      <c r="C42" s="170"/>
      <c r="D42" s="170"/>
      <c r="E42" s="170"/>
      <c r="F42" s="170"/>
      <c r="G42" s="171"/>
      <c r="H42" s="169"/>
      <c r="I42" s="170"/>
      <c r="J42" s="170"/>
      <c r="K42" s="170"/>
      <c r="L42" s="170"/>
      <c r="M42" s="170"/>
      <c r="N42" s="171"/>
      <c r="O42" s="169"/>
      <c r="P42" s="170"/>
      <c r="Q42" s="170"/>
      <c r="R42" s="170"/>
      <c r="S42" s="218"/>
      <c r="T42" s="219"/>
      <c r="U42" s="219"/>
      <c r="V42" s="219"/>
      <c r="W42" s="219"/>
      <c r="X42" s="219"/>
      <c r="Y42" s="219"/>
      <c r="Z42" s="219"/>
      <c r="AA42" s="219"/>
      <c r="AB42" s="219"/>
      <c r="AC42" s="219"/>
      <c r="AD42" s="219"/>
      <c r="AE42" s="219"/>
      <c r="AF42" s="219"/>
      <c r="AG42" s="219"/>
      <c r="AH42" s="219"/>
      <c r="AI42" s="219"/>
      <c r="AJ42" s="219"/>
      <c r="AK42" s="219"/>
      <c r="AL42" s="219"/>
      <c r="AM42" s="219"/>
      <c r="AN42" s="219"/>
      <c r="AO42" s="219"/>
      <c r="AP42" s="219"/>
      <c r="AQ42" s="219"/>
      <c r="AR42" s="219"/>
      <c r="AS42" s="219"/>
      <c r="AT42" s="219"/>
      <c r="AU42" s="219"/>
      <c r="AV42" s="219"/>
      <c r="AW42" s="220"/>
      <c r="AX42" s="221"/>
      <c r="AY42" s="221"/>
      <c r="AZ42" s="221"/>
      <c r="BA42" s="221"/>
      <c r="BB42" s="221"/>
      <c r="BC42" s="222"/>
      <c r="BD42" s="223"/>
      <c r="BE42" s="221"/>
      <c r="BF42" s="221"/>
      <c r="BG42" s="221"/>
      <c r="BH42" s="221"/>
      <c r="BI42" s="221"/>
      <c r="BJ42" s="222"/>
      <c r="BK42" s="188"/>
    </row>
    <row r="43" spans="1:63" ht="15" customHeight="1" x14ac:dyDescent="0.25">
      <c r="A43" s="187"/>
      <c r="B43" s="159"/>
      <c r="C43" s="157"/>
      <c r="D43" s="157"/>
      <c r="E43" s="157"/>
      <c r="F43" s="157"/>
      <c r="G43" s="158"/>
      <c r="H43" s="159"/>
      <c r="I43" s="157"/>
      <c r="J43" s="157"/>
      <c r="K43" s="157"/>
      <c r="L43" s="157"/>
      <c r="M43" s="157"/>
      <c r="N43" s="158"/>
      <c r="O43" s="159"/>
      <c r="P43" s="157"/>
      <c r="Q43" s="157"/>
      <c r="R43" s="157"/>
      <c r="S43" s="212"/>
      <c r="T43" s="213"/>
      <c r="U43" s="213"/>
      <c r="V43" s="213"/>
      <c r="W43" s="213"/>
      <c r="X43" s="213"/>
      <c r="Y43" s="213"/>
      <c r="Z43" s="213"/>
      <c r="AA43" s="213"/>
      <c r="AB43" s="213"/>
      <c r="AC43" s="213"/>
      <c r="AD43" s="213"/>
      <c r="AE43" s="213"/>
      <c r="AF43" s="213"/>
      <c r="AG43" s="213"/>
      <c r="AH43" s="213"/>
      <c r="AI43" s="213"/>
      <c r="AJ43" s="213"/>
      <c r="AK43" s="213"/>
      <c r="AL43" s="213"/>
      <c r="AM43" s="213"/>
      <c r="AN43" s="213"/>
      <c r="AO43" s="213"/>
      <c r="AP43" s="213"/>
      <c r="AQ43" s="213"/>
      <c r="AR43" s="213"/>
      <c r="AS43" s="213"/>
      <c r="AT43" s="213"/>
      <c r="AU43" s="213"/>
      <c r="AV43" s="213"/>
      <c r="AW43" s="214"/>
      <c r="AX43" s="215"/>
      <c r="AY43" s="215"/>
      <c r="AZ43" s="215"/>
      <c r="BA43" s="215"/>
      <c r="BB43" s="215"/>
      <c r="BC43" s="216"/>
      <c r="BD43" s="217"/>
      <c r="BE43" s="215"/>
      <c r="BF43" s="215"/>
      <c r="BG43" s="215"/>
      <c r="BH43" s="215"/>
      <c r="BI43" s="215"/>
      <c r="BJ43" s="216"/>
      <c r="BK43" s="188"/>
    </row>
    <row r="44" spans="1:63" ht="15" customHeight="1" x14ac:dyDescent="0.25">
      <c r="A44" s="187"/>
      <c r="B44" s="169"/>
      <c r="C44" s="170"/>
      <c r="D44" s="170"/>
      <c r="E44" s="170"/>
      <c r="F44" s="170"/>
      <c r="G44" s="171"/>
      <c r="H44" s="169"/>
      <c r="I44" s="170"/>
      <c r="J44" s="170"/>
      <c r="K44" s="170"/>
      <c r="L44" s="170"/>
      <c r="M44" s="170"/>
      <c r="N44" s="171"/>
      <c r="O44" s="169"/>
      <c r="P44" s="170"/>
      <c r="Q44" s="170"/>
      <c r="R44" s="170"/>
      <c r="S44" s="218"/>
      <c r="T44" s="219"/>
      <c r="U44" s="219"/>
      <c r="V44" s="219"/>
      <c r="W44" s="219"/>
      <c r="X44" s="219"/>
      <c r="Y44" s="219"/>
      <c r="Z44" s="219"/>
      <c r="AA44" s="219"/>
      <c r="AB44" s="219"/>
      <c r="AC44" s="219"/>
      <c r="AD44" s="219"/>
      <c r="AE44" s="219"/>
      <c r="AF44" s="219"/>
      <c r="AG44" s="219"/>
      <c r="AH44" s="219"/>
      <c r="AI44" s="219"/>
      <c r="AJ44" s="219"/>
      <c r="AK44" s="219"/>
      <c r="AL44" s="219"/>
      <c r="AM44" s="219"/>
      <c r="AN44" s="219"/>
      <c r="AO44" s="219"/>
      <c r="AP44" s="219"/>
      <c r="AQ44" s="219"/>
      <c r="AR44" s="219"/>
      <c r="AS44" s="219"/>
      <c r="AT44" s="219"/>
      <c r="AU44" s="219"/>
      <c r="AV44" s="219"/>
      <c r="AW44" s="220"/>
      <c r="AX44" s="221"/>
      <c r="AY44" s="221"/>
      <c r="AZ44" s="221"/>
      <c r="BA44" s="221"/>
      <c r="BB44" s="221"/>
      <c r="BC44" s="222"/>
      <c r="BD44" s="223"/>
      <c r="BE44" s="221"/>
      <c r="BF44" s="221"/>
      <c r="BG44" s="221"/>
      <c r="BH44" s="221"/>
      <c r="BI44" s="221"/>
      <c r="BJ44" s="222"/>
      <c r="BK44" s="188"/>
    </row>
    <row r="45" spans="1:63" ht="15" customHeight="1" x14ac:dyDescent="0.25">
      <c r="A45" s="187"/>
      <c r="B45" s="159"/>
      <c r="C45" s="157"/>
      <c r="D45" s="157"/>
      <c r="E45" s="157"/>
      <c r="F45" s="157"/>
      <c r="G45" s="158"/>
      <c r="H45" s="159"/>
      <c r="I45" s="157"/>
      <c r="J45" s="157"/>
      <c r="K45" s="157"/>
      <c r="L45" s="157"/>
      <c r="M45" s="157"/>
      <c r="N45" s="158"/>
      <c r="O45" s="159"/>
      <c r="P45" s="157"/>
      <c r="Q45" s="157"/>
      <c r="R45" s="157"/>
      <c r="S45" s="212"/>
      <c r="T45" s="213"/>
      <c r="U45" s="213"/>
      <c r="V45" s="213"/>
      <c r="W45" s="213"/>
      <c r="X45" s="213"/>
      <c r="Y45" s="213"/>
      <c r="Z45" s="213"/>
      <c r="AA45" s="213"/>
      <c r="AB45" s="213"/>
      <c r="AC45" s="213"/>
      <c r="AD45" s="213"/>
      <c r="AE45" s="213"/>
      <c r="AF45" s="213"/>
      <c r="AG45" s="213"/>
      <c r="AH45" s="213"/>
      <c r="AI45" s="213"/>
      <c r="AJ45" s="213"/>
      <c r="AK45" s="213"/>
      <c r="AL45" s="213"/>
      <c r="AM45" s="213"/>
      <c r="AN45" s="213"/>
      <c r="AO45" s="213"/>
      <c r="AP45" s="213"/>
      <c r="AQ45" s="213"/>
      <c r="AR45" s="213"/>
      <c r="AS45" s="213"/>
      <c r="AT45" s="213"/>
      <c r="AU45" s="213"/>
      <c r="AV45" s="213"/>
      <c r="AW45" s="214"/>
      <c r="AX45" s="215"/>
      <c r="AY45" s="215"/>
      <c r="AZ45" s="215"/>
      <c r="BA45" s="215"/>
      <c r="BB45" s="215"/>
      <c r="BC45" s="216"/>
      <c r="BD45" s="217"/>
      <c r="BE45" s="215"/>
      <c r="BF45" s="215"/>
      <c r="BG45" s="215"/>
      <c r="BH45" s="215"/>
      <c r="BI45" s="215"/>
      <c r="BJ45" s="216"/>
      <c r="BK45" s="188"/>
    </row>
    <row r="46" spans="1:63" ht="15" customHeight="1" x14ac:dyDescent="0.25">
      <c r="A46" s="187"/>
      <c r="B46" s="169"/>
      <c r="C46" s="170"/>
      <c r="D46" s="170"/>
      <c r="E46" s="170"/>
      <c r="F46" s="170"/>
      <c r="G46" s="171"/>
      <c r="H46" s="169"/>
      <c r="I46" s="170"/>
      <c r="J46" s="170"/>
      <c r="K46" s="170"/>
      <c r="L46" s="170"/>
      <c r="M46" s="170"/>
      <c r="N46" s="171"/>
      <c r="O46" s="169"/>
      <c r="P46" s="170"/>
      <c r="Q46" s="170"/>
      <c r="R46" s="170"/>
      <c r="S46" s="218"/>
      <c r="T46" s="219"/>
      <c r="U46" s="219"/>
      <c r="V46" s="219"/>
      <c r="W46" s="219"/>
      <c r="X46" s="219"/>
      <c r="Y46" s="219"/>
      <c r="Z46" s="219"/>
      <c r="AA46" s="219"/>
      <c r="AB46" s="219"/>
      <c r="AC46" s="219"/>
      <c r="AD46" s="219"/>
      <c r="AE46" s="219"/>
      <c r="AF46" s="219"/>
      <c r="AG46" s="219"/>
      <c r="AH46" s="219"/>
      <c r="AI46" s="219"/>
      <c r="AJ46" s="219"/>
      <c r="AK46" s="219"/>
      <c r="AL46" s="219"/>
      <c r="AM46" s="219"/>
      <c r="AN46" s="219"/>
      <c r="AO46" s="219"/>
      <c r="AP46" s="219"/>
      <c r="AQ46" s="219"/>
      <c r="AR46" s="219"/>
      <c r="AS46" s="219"/>
      <c r="AT46" s="219"/>
      <c r="AU46" s="219"/>
      <c r="AV46" s="219"/>
      <c r="AW46" s="220"/>
      <c r="AX46" s="221"/>
      <c r="AY46" s="221"/>
      <c r="AZ46" s="221"/>
      <c r="BA46" s="221"/>
      <c r="BB46" s="221"/>
      <c r="BC46" s="222"/>
      <c r="BD46" s="223"/>
      <c r="BE46" s="221"/>
      <c r="BF46" s="221"/>
      <c r="BG46" s="221"/>
      <c r="BH46" s="221"/>
      <c r="BI46" s="221"/>
      <c r="BJ46" s="222"/>
      <c r="BK46" s="188"/>
    </row>
    <row r="47" spans="1:63" ht="15" customHeight="1" x14ac:dyDescent="0.25">
      <c r="A47" s="187"/>
      <c r="B47" s="159"/>
      <c r="C47" s="157"/>
      <c r="D47" s="157"/>
      <c r="E47" s="157"/>
      <c r="F47" s="157"/>
      <c r="G47" s="158"/>
      <c r="H47" s="159"/>
      <c r="I47" s="157"/>
      <c r="J47" s="157"/>
      <c r="K47" s="157"/>
      <c r="L47" s="157"/>
      <c r="M47" s="157"/>
      <c r="N47" s="158"/>
      <c r="O47" s="159"/>
      <c r="P47" s="157"/>
      <c r="Q47" s="157"/>
      <c r="R47" s="157"/>
      <c r="S47" s="212"/>
      <c r="T47" s="213"/>
      <c r="U47" s="213"/>
      <c r="V47" s="213"/>
      <c r="W47" s="213"/>
      <c r="X47" s="213"/>
      <c r="Y47" s="213"/>
      <c r="Z47" s="213"/>
      <c r="AA47" s="213"/>
      <c r="AB47" s="213"/>
      <c r="AC47" s="213"/>
      <c r="AD47" s="213"/>
      <c r="AE47" s="213"/>
      <c r="AF47" s="213"/>
      <c r="AG47" s="213"/>
      <c r="AH47" s="213"/>
      <c r="AI47" s="213"/>
      <c r="AJ47" s="213"/>
      <c r="AK47" s="213"/>
      <c r="AL47" s="213"/>
      <c r="AM47" s="213"/>
      <c r="AN47" s="213"/>
      <c r="AO47" s="213"/>
      <c r="AP47" s="213"/>
      <c r="AQ47" s="213"/>
      <c r="AR47" s="213"/>
      <c r="AS47" s="213"/>
      <c r="AT47" s="213"/>
      <c r="AU47" s="213"/>
      <c r="AV47" s="213"/>
      <c r="AW47" s="214"/>
      <c r="AX47" s="215"/>
      <c r="AY47" s="215"/>
      <c r="AZ47" s="215"/>
      <c r="BA47" s="215"/>
      <c r="BB47" s="215"/>
      <c r="BC47" s="216"/>
      <c r="BD47" s="217"/>
      <c r="BE47" s="215"/>
      <c r="BF47" s="215"/>
      <c r="BG47" s="215"/>
      <c r="BH47" s="215"/>
      <c r="BI47" s="215"/>
      <c r="BJ47" s="216"/>
      <c r="BK47" s="188"/>
    </row>
    <row r="48" spans="1:63" ht="15" customHeight="1" x14ac:dyDescent="0.25">
      <c r="A48" s="187"/>
      <c r="B48" s="169"/>
      <c r="C48" s="170"/>
      <c r="D48" s="170"/>
      <c r="E48" s="170"/>
      <c r="F48" s="170"/>
      <c r="G48" s="171"/>
      <c r="H48" s="169"/>
      <c r="I48" s="170"/>
      <c r="J48" s="170"/>
      <c r="K48" s="170"/>
      <c r="L48" s="170"/>
      <c r="M48" s="170"/>
      <c r="N48" s="171"/>
      <c r="O48" s="169"/>
      <c r="P48" s="170"/>
      <c r="Q48" s="170"/>
      <c r="R48" s="170"/>
      <c r="S48" s="218"/>
      <c r="T48" s="219"/>
      <c r="U48" s="219"/>
      <c r="V48" s="219"/>
      <c r="W48" s="219"/>
      <c r="X48" s="219"/>
      <c r="Y48" s="219"/>
      <c r="Z48" s="219"/>
      <c r="AA48" s="219"/>
      <c r="AB48" s="219"/>
      <c r="AC48" s="219"/>
      <c r="AD48" s="219"/>
      <c r="AE48" s="219"/>
      <c r="AF48" s="219"/>
      <c r="AG48" s="219"/>
      <c r="AH48" s="219"/>
      <c r="AI48" s="219"/>
      <c r="AJ48" s="219"/>
      <c r="AK48" s="219"/>
      <c r="AL48" s="219"/>
      <c r="AM48" s="219"/>
      <c r="AN48" s="219"/>
      <c r="AO48" s="219"/>
      <c r="AP48" s="219"/>
      <c r="AQ48" s="219"/>
      <c r="AR48" s="219"/>
      <c r="AS48" s="219"/>
      <c r="AT48" s="219"/>
      <c r="AU48" s="219"/>
      <c r="AV48" s="219"/>
      <c r="AW48" s="220"/>
      <c r="AX48" s="221"/>
      <c r="AY48" s="221"/>
      <c r="AZ48" s="221"/>
      <c r="BA48" s="221"/>
      <c r="BB48" s="221"/>
      <c r="BC48" s="222"/>
      <c r="BD48" s="223"/>
      <c r="BE48" s="221"/>
      <c r="BF48" s="221"/>
      <c r="BG48" s="221"/>
      <c r="BH48" s="221"/>
      <c r="BI48" s="221"/>
      <c r="BJ48" s="222"/>
      <c r="BK48" s="188"/>
    </row>
    <row r="49" spans="1:63" ht="15" customHeight="1" x14ac:dyDescent="0.25">
      <c r="A49" s="187"/>
      <c r="B49" s="159"/>
      <c r="C49" s="157"/>
      <c r="D49" s="157"/>
      <c r="E49" s="157"/>
      <c r="F49" s="157"/>
      <c r="G49" s="158"/>
      <c r="H49" s="159"/>
      <c r="I49" s="157"/>
      <c r="J49" s="157"/>
      <c r="K49" s="157"/>
      <c r="L49" s="157"/>
      <c r="M49" s="157"/>
      <c r="N49" s="158"/>
      <c r="O49" s="159"/>
      <c r="P49" s="157"/>
      <c r="Q49" s="157"/>
      <c r="R49" s="157"/>
      <c r="S49" s="212"/>
      <c r="T49" s="213"/>
      <c r="U49" s="213"/>
      <c r="V49" s="213"/>
      <c r="W49" s="213"/>
      <c r="X49" s="213"/>
      <c r="Y49" s="213"/>
      <c r="Z49" s="213"/>
      <c r="AA49" s="213"/>
      <c r="AB49" s="213"/>
      <c r="AC49" s="213"/>
      <c r="AD49" s="213"/>
      <c r="AE49" s="213"/>
      <c r="AF49" s="213"/>
      <c r="AG49" s="213"/>
      <c r="AH49" s="213"/>
      <c r="AI49" s="213"/>
      <c r="AJ49" s="213"/>
      <c r="AK49" s="213"/>
      <c r="AL49" s="213"/>
      <c r="AM49" s="213"/>
      <c r="AN49" s="213"/>
      <c r="AO49" s="213"/>
      <c r="AP49" s="213"/>
      <c r="AQ49" s="213"/>
      <c r="AR49" s="213"/>
      <c r="AS49" s="213"/>
      <c r="AT49" s="213"/>
      <c r="AU49" s="213"/>
      <c r="AV49" s="213"/>
      <c r="AW49" s="214"/>
      <c r="AX49" s="215"/>
      <c r="AY49" s="215"/>
      <c r="AZ49" s="215"/>
      <c r="BA49" s="215"/>
      <c r="BB49" s="215"/>
      <c r="BC49" s="216"/>
      <c r="BD49" s="217"/>
      <c r="BE49" s="215"/>
      <c r="BF49" s="215"/>
      <c r="BG49" s="215"/>
      <c r="BH49" s="215"/>
      <c r="BI49" s="215"/>
      <c r="BJ49" s="216"/>
      <c r="BK49" s="188"/>
    </row>
    <row r="50" spans="1:63" ht="15" customHeight="1" x14ac:dyDescent="0.25">
      <c r="A50" s="187"/>
      <c r="B50" s="169"/>
      <c r="C50" s="170"/>
      <c r="D50" s="170"/>
      <c r="E50" s="170"/>
      <c r="F50" s="170"/>
      <c r="G50" s="171"/>
      <c r="H50" s="169"/>
      <c r="I50" s="170"/>
      <c r="J50" s="170"/>
      <c r="K50" s="170"/>
      <c r="L50" s="170"/>
      <c r="M50" s="170"/>
      <c r="N50" s="171"/>
      <c r="O50" s="169"/>
      <c r="P50" s="170"/>
      <c r="Q50" s="170"/>
      <c r="R50" s="170"/>
      <c r="S50" s="218"/>
      <c r="T50" s="219"/>
      <c r="U50" s="219"/>
      <c r="V50" s="219"/>
      <c r="W50" s="219"/>
      <c r="X50" s="219"/>
      <c r="Y50" s="219"/>
      <c r="Z50" s="219"/>
      <c r="AA50" s="219"/>
      <c r="AB50" s="219"/>
      <c r="AC50" s="219"/>
      <c r="AD50" s="219"/>
      <c r="AE50" s="219"/>
      <c r="AF50" s="219"/>
      <c r="AG50" s="219"/>
      <c r="AH50" s="219"/>
      <c r="AI50" s="219"/>
      <c r="AJ50" s="219"/>
      <c r="AK50" s="219"/>
      <c r="AL50" s="219"/>
      <c r="AM50" s="219"/>
      <c r="AN50" s="219"/>
      <c r="AO50" s="219"/>
      <c r="AP50" s="219"/>
      <c r="AQ50" s="219"/>
      <c r="AR50" s="219"/>
      <c r="AS50" s="219"/>
      <c r="AT50" s="219"/>
      <c r="AU50" s="219"/>
      <c r="AV50" s="219"/>
      <c r="AW50" s="220"/>
      <c r="AX50" s="221"/>
      <c r="AY50" s="221"/>
      <c r="AZ50" s="221"/>
      <c r="BA50" s="221"/>
      <c r="BB50" s="221"/>
      <c r="BC50" s="222"/>
      <c r="BD50" s="223"/>
      <c r="BE50" s="221"/>
      <c r="BF50" s="221"/>
      <c r="BG50" s="221"/>
      <c r="BH50" s="221"/>
      <c r="BI50" s="221"/>
      <c r="BJ50" s="222"/>
      <c r="BK50" s="188"/>
    </row>
    <row r="51" spans="1:63" ht="15" customHeight="1" x14ac:dyDescent="0.25">
      <c r="A51" s="187"/>
      <c r="B51" s="159"/>
      <c r="C51" s="157"/>
      <c r="D51" s="157"/>
      <c r="E51" s="157"/>
      <c r="F51" s="157"/>
      <c r="G51" s="158"/>
      <c r="H51" s="159"/>
      <c r="I51" s="157"/>
      <c r="J51" s="157"/>
      <c r="K51" s="157"/>
      <c r="L51" s="157"/>
      <c r="M51" s="157"/>
      <c r="N51" s="158"/>
      <c r="O51" s="159"/>
      <c r="P51" s="157"/>
      <c r="Q51" s="157"/>
      <c r="R51" s="157"/>
      <c r="S51" s="212"/>
      <c r="T51" s="213"/>
      <c r="U51" s="213"/>
      <c r="V51" s="213"/>
      <c r="W51" s="213"/>
      <c r="X51" s="213"/>
      <c r="Y51" s="213"/>
      <c r="Z51" s="213"/>
      <c r="AA51" s="213"/>
      <c r="AB51" s="213"/>
      <c r="AC51" s="213"/>
      <c r="AD51" s="213"/>
      <c r="AE51" s="213"/>
      <c r="AF51" s="213"/>
      <c r="AG51" s="213"/>
      <c r="AH51" s="213"/>
      <c r="AI51" s="213"/>
      <c r="AJ51" s="213"/>
      <c r="AK51" s="213"/>
      <c r="AL51" s="213"/>
      <c r="AM51" s="213"/>
      <c r="AN51" s="213"/>
      <c r="AO51" s="213"/>
      <c r="AP51" s="213"/>
      <c r="AQ51" s="213"/>
      <c r="AR51" s="213"/>
      <c r="AS51" s="213"/>
      <c r="AT51" s="213"/>
      <c r="AU51" s="213"/>
      <c r="AV51" s="213"/>
      <c r="AW51" s="214"/>
      <c r="AX51" s="215"/>
      <c r="AY51" s="215"/>
      <c r="AZ51" s="215"/>
      <c r="BA51" s="215"/>
      <c r="BB51" s="215"/>
      <c r="BC51" s="216"/>
      <c r="BD51" s="217"/>
      <c r="BE51" s="215"/>
      <c r="BF51" s="215"/>
      <c r="BG51" s="215"/>
      <c r="BH51" s="215"/>
      <c r="BI51" s="215"/>
      <c r="BJ51" s="216"/>
      <c r="BK51" s="188"/>
    </row>
    <row r="52" spans="1:63" ht="15" customHeight="1" x14ac:dyDescent="0.25">
      <c r="A52" s="187"/>
      <c r="B52" s="169"/>
      <c r="C52" s="170"/>
      <c r="D52" s="170"/>
      <c r="E52" s="170"/>
      <c r="F52" s="170"/>
      <c r="G52" s="171"/>
      <c r="H52" s="169"/>
      <c r="I52" s="170"/>
      <c r="J52" s="170"/>
      <c r="K52" s="170"/>
      <c r="L52" s="170"/>
      <c r="M52" s="170"/>
      <c r="N52" s="171"/>
      <c r="O52" s="169"/>
      <c r="P52" s="170"/>
      <c r="Q52" s="170"/>
      <c r="R52" s="170"/>
      <c r="S52" s="218"/>
      <c r="T52" s="219"/>
      <c r="U52" s="219"/>
      <c r="V52" s="219"/>
      <c r="W52" s="219"/>
      <c r="X52" s="219"/>
      <c r="Y52" s="219"/>
      <c r="Z52" s="219"/>
      <c r="AA52" s="219"/>
      <c r="AB52" s="219"/>
      <c r="AC52" s="219"/>
      <c r="AD52" s="219"/>
      <c r="AE52" s="219"/>
      <c r="AF52" s="219"/>
      <c r="AG52" s="219"/>
      <c r="AH52" s="219"/>
      <c r="AI52" s="219"/>
      <c r="AJ52" s="219"/>
      <c r="AK52" s="219"/>
      <c r="AL52" s="219"/>
      <c r="AM52" s="219"/>
      <c r="AN52" s="219"/>
      <c r="AO52" s="219"/>
      <c r="AP52" s="219"/>
      <c r="AQ52" s="219"/>
      <c r="AR52" s="219"/>
      <c r="AS52" s="219"/>
      <c r="AT52" s="219"/>
      <c r="AU52" s="219"/>
      <c r="AV52" s="219"/>
      <c r="AW52" s="220"/>
      <c r="AX52" s="221"/>
      <c r="AY52" s="221"/>
      <c r="AZ52" s="221"/>
      <c r="BA52" s="221"/>
      <c r="BB52" s="221"/>
      <c r="BC52" s="222"/>
      <c r="BD52" s="223"/>
      <c r="BE52" s="221"/>
      <c r="BF52" s="221"/>
      <c r="BG52" s="221"/>
      <c r="BH52" s="221"/>
      <c r="BI52" s="221"/>
      <c r="BJ52" s="222"/>
      <c r="BK52" s="188"/>
    </row>
    <row r="53" spans="1:63" ht="15" customHeight="1" x14ac:dyDescent="0.25">
      <c r="A53" s="187"/>
      <c r="B53" s="159"/>
      <c r="C53" s="157"/>
      <c r="D53" s="157"/>
      <c r="E53" s="157"/>
      <c r="F53" s="157"/>
      <c r="G53" s="158"/>
      <c r="H53" s="159"/>
      <c r="I53" s="157"/>
      <c r="J53" s="157"/>
      <c r="K53" s="157"/>
      <c r="L53" s="157"/>
      <c r="M53" s="157"/>
      <c r="N53" s="158"/>
      <c r="O53" s="159"/>
      <c r="P53" s="157"/>
      <c r="Q53" s="157"/>
      <c r="R53" s="157"/>
      <c r="S53" s="212"/>
      <c r="T53" s="213"/>
      <c r="U53" s="213"/>
      <c r="V53" s="213"/>
      <c r="W53" s="213"/>
      <c r="X53" s="213"/>
      <c r="Y53" s="213"/>
      <c r="Z53" s="213"/>
      <c r="AA53" s="213"/>
      <c r="AB53" s="213"/>
      <c r="AC53" s="213"/>
      <c r="AD53" s="213"/>
      <c r="AE53" s="213"/>
      <c r="AF53" s="213"/>
      <c r="AG53" s="213"/>
      <c r="AH53" s="213"/>
      <c r="AI53" s="213"/>
      <c r="AJ53" s="213"/>
      <c r="AK53" s="213"/>
      <c r="AL53" s="213"/>
      <c r="AM53" s="213"/>
      <c r="AN53" s="213"/>
      <c r="AO53" s="213"/>
      <c r="AP53" s="213"/>
      <c r="AQ53" s="213"/>
      <c r="AR53" s="213"/>
      <c r="AS53" s="213"/>
      <c r="AT53" s="213"/>
      <c r="AU53" s="213"/>
      <c r="AV53" s="213"/>
      <c r="AW53" s="214"/>
      <c r="AX53" s="215"/>
      <c r="AY53" s="215"/>
      <c r="AZ53" s="215"/>
      <c r="BA53" s="215"/>
      <c r="BB53" s="215"/>
      <c r="BC53" s="216"/>
      <c r="BD53" s="217"/>
      <c r="BE53" s="215"/>
      <c r="BF53" s="215"/>
      <c r="BG53" s="215"/>
      <c r="BH53" s="215"/>
      <c r="BI53" s="215"/>
      <c r="BJ53" s="216"/>
      <c r="BK53" s="188"/>
    </row>
    <row r="54" spans="1:63" ht="15" customHeight="1" x14ac:dyDescent="0.25">
      <c r="A54" s="187"/>
      <c r="B54" s="169"/>
      <c r="C54" s="170"/>
      <c r="D54" s="170"/>
      <c r="E54" s="170"/>
      <c r="F54" s="170"/>
      <c r="G54" s="171"/>
      <c r="H54" s="169"/>
      <c r="I54" s="170"/>
      <c r="J54" s="170"/>
      <c r="K54" s="170"/>
      <c r="L54" s="170"/>
      <c r="M54" s="170"/>
      <c r="N54" s="171"/>
      <c r="O54" s="169"/>
      <c r="P54" s="170"/>
      <c r="Q54" s="170"/>
      <c r="R54" s="170"/>
      <c r="S54" s="218"/>
      <c r="T54" s="219"/>
      <c r="U54" s="219"/>
      <c r="V54" s="219"/>
      <c r="W54" s="219"/>
      <c r="X54" s="219"/>
      <c r="Y54" s="219"/>
      <c r="Z54" s="219"/>
      <c r="AA54" s="219"/>
      <c r="AB54" s="219"/>
      <c r="AC54" s="219"/>
      <c r="AD54" s="219"/>
      <c r="AE54" s="219"/>
      <c r="AF54" s="219"/>
      <c r="AG54" s="219"/>
      <c r="AH54" s="219"/>
      <c r="AI54" s="219"/>
      <c r="AJ54" s="219"/>
      <c r="AK54" s="219"/>
      <c r="AL54" s="219"/>
      <c r="AM54" s="219"/>
      <c r="AN54" s="219"/>
      <c r="AO54" s="219"/>
      <c r="AP54" s="219"/>
      <c r="AQ54" s="219"/>
      <c r="AR54" s="219"/>
      <c r="AS54" s="219"/>
      <c r="AT54" s="219"/>
      <c r="AU54" s="219"/>
      <c r="AV54" s="219"/>
      <c r="AW54" s="220"/>
      <c r="AX54" s="221"/>
      <c r="AY54" s="221"/>
      <c r="AZ54" s="221"/>
      <c r="BA54" s="221"/>
      <c r="BB54" s="221"/>
      <c r="BC54" s="222"/>
      <c r="BD54" s="223"/>
      <c r="BE54" s="221"/>
      <c r="BF54" s="221"/>
      <c r="BG54" s="221"/>
      <c r="BH54" s="221"/>
      <c r="BI54" s="221"/>
      <c r="BJ54" s="222"/>
      <c r="BK54" s="188"/>
    </row>
    <row r="55" spans="1:63" ht="15" customHeight="1" x14ac:dyDescent="0.25">
      <c r="A55" s="184"/>
      <c r="B55" s="185"/>
      <c r="C55" s="185"/>
      <c r="D55" s="185"/>
      <c r="E55" s="185"/>
      <c r="F55" s="185"/>
      <c r="G55" s="185"/>
      <c r="H55" s="185"/>
      <c r="I55" s="185"/>
      <c r="J55" s="185"/>
      <c r="K55" s="185"/>
      <c r="L55" s="185"/>
      <c r="M55" s="185"/>
      <c r="N55" s="185"/>
      <c r="O55" s="185"/>
      <c r="P55" s="185"/>
      <c r="Q55" s="185"/>
      <c r="R55" s="185"/>
      <c r="S55" s="185"/>
      <c r="T55" s="185"/>
      <c r="U55" s="185"/>
      <c r="V55" s="185"/>
      <c r="W55" s="185"/>
      <c r="X55" s="185"/>
      <c r="Y55" s="185"/>
      <c r="Z55" s="185"/>
      <c r="AA55" s="185"/>
      <c r="AB55" s="185"/>
      <c r="AC55" s="185"/>
      <c r="AD55" s="185"/>
      <c r="AE55" s="185"/>
      <c r="AF55" s="185"/>
      <c r="AG55" s="185"/>
      <c r="AH55" s="185"/>
      <c r="AI55" s="185"/>
      <c r="AJ55" s="185"/>
      <c r="AK55" s="185"/>
      <c r="AL55" s="185"/>
      <c r="AM55" s="185"/>
      <c r="AN55" s="185"/>
      <c r="AO55" s="185"/>
      <c r="AP55" s="185"/>
      <c r="AQ55" s="185"/>
      <c r="AR55" s="185"/>
      <c r="AS55" s="185"/>
      <c r="AT55" s="185"/>
      <c r="AU55" s="185"/>
      <c r="AV55" s="185"/>
      <c r="AW55" s="185"/>
      <c r="AX55" s="185"/>
      <c r="AY55" s="185"/>
      <c r="AZ55" s="185"/>
      <c r="BA55" s="185"/>
      <c r="BB55" s="185"/>
      <c r="BC55" s="185"/>
      <c r="BD55" s="185"/>
      <c r="BE55" s="185"/>
      <c r="BF55" s="185"/>
      <c r="BG55" s="185"/>
      <c r="BH55" s="185"/>
      <c r="BI55" s="185"/>
      <c r="BJ55" s="185"/>
      <c r="BK55" s="186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129"/>
  <sheetViews>
    <sheetView view="pageBreakPreview" zoomScale="85" zoomScaleNormal="100" zoomScaleSheetLayoutView="85" zoomScalePageLayoutView="55" workbookViewId="0">
      <selection sqref="A1:J1"/>
    </sheetView>
  </sheetViews>
  <sheetFormatPr defaultColWidth="2.77734375" defaultRowHeight="15.75" x14ac:dyDescent="0.25"/>
  <cols>
    <col min="1" max="16384" width="2.77734375" style="1"/>
  </cols>
  <sheetData>
    <row r="1" spans="1:63" ht="24.95" customHeight="1" x14ac:dyDescent="0.25">
      <c r="A1" s="224" t="s">
        <v>57</v>
      </c>
      <c r="B1" s="225"/>
      <c r="C1" s="225"/>
      <c r="D1" s="225"/>
      <c r="E1" s="225"/>
      <c r="F1" s="225"/>
      <c r="G1" s="225"/>
      <c r="H1" s="225"/>
      <c r="I1" s="225"/>
      <c r="J1" s="226"/>
      <c r="K1" s="224" t="s">
        <v>58</v>
      </c>
      <c r="L1" s="225"/>
      <c r="M1" s="225"/>
      <c r="N1" s="225"/>
      <c r="O1" s="225"/>
      <c r="P1" s="225"/>
      <c r="Q1" s="225"/>
      <c r="R1" s="225"/>
      <c r="S1" s="225"/>
      <c r="T1" s="225"/>
      <c r="U1" s="225"/>
      <c r="V1" s="226"/>
      <c r="W1" s="227" t="str">
        <f>IF(表紙!W1="","",表紙!W1)</f>
        <v>詳細設計書</v>
      </c>
      <c r="X1" s="228"/>
      <c r="Y1" s="228"/>
      <c r="Z1" s="228"/>
      <c r="AA1" s="228"/>
      <c r="AB1" s="228"/>
      <c r="AC1" s="228"/>
      <c r="AD1" s="228"/>
      <c r="AE1" s="228"/>
      <c r="AF1" s="228"/>
      <c r="AG1" s="228"/>
      <c r="AH1" s="228"/>
      <c r="AI1" s="228"/>
      <c r="AJ1" s="228"/>
      <c r="AK1" s="228"/>
      <c r="AL1" s="228"/>
      <c r="AM1" s="228"/>
      <c r="AN1" s="228"/>
      <c r="AO1" s="229"/>
      <c r="AP1" s="150" t="s">
        <v>60</v>
      </c>
      <c r="AQ1" s="151"/>
      <c r="AR1" s="151"/>
      <c r="AS1" s="152"/>
      <c r="AT1" s="150" t="s">
        <v>61</v>
      </c>
      <c r="AU1" s="151"/>
      <c r="AV1" s="151"/>
      <c r="AW1" s="151"/>
      <c r="AX1" s="152"/>
      <c r="AY1" s="150" t="s">
        <v>62</v>
      </c>
      <c r="AZ1" s="151"/>
      <c r="BA1" s="151"/>
      <c r="BB1" s="152"/>
      <c r="BC1" s="150" t="s">
        <v>63</v>
      </c>
      <c r="BD1" s="151"/>
      <c r="BE1" s="151"/>
      <c r="BF1" s="151"/>
      <c r="BG1" s="152"/>
      <c r="BH1" s="150" t="s">
        <v>64</v>
      </c>
      <c r="BI1" s="151"/>
      <c r="BJ1" s="151"/>
      <c r="BK1" s="152"/>
    </row>
    <row r="2" spans="1:63" ht="15" customHeight="1" x14ac:dyDescent="0.25">
      <c r="A2" s="64" t="str">
        <f>IF(表紙!A2="","",表紙!A2)</f>
        <v>POSサーバー</v>
      </c>
      <c r="B2" s="65"/>
      <c r="C2" s="65"/>
      <c r="D2" s="65"/>
      <c r="E2" s="65"/>
      <c r="F2" s="65"/>
      <c r="G2" s="65"/>
      <c r="H2" s="65"/>
      <c r="I2" s="65"/>
      <c r="J2" s="66"/>
      <c r="K2" s="64" t="str">
        <f>IF(表紙!K2="","",表紙!K2)</f>
        <v>POSサーバ</v>
      </c>
      <c r="L2" s="65"/>
      <c r="M2" s="65"/>
      <c r="N2" s="65"/>
      <c r="O2" s="65"/>
      <c r="P2" s="65"/>
      <c r="Q2" s="65"/>
      <c r="R2" s="65"/>
      <c r="S2" s="65"/>
      <c r="T2" s="65"/>
      <c r="U2" s="65"/>
      <c r="V2" s="66"/>
      <c r="W2" s="230"/>
      <c r="X2" s="231"/>
      <c r="Y2" s="231"/>
      <c r="Z2" s="231"/>
      <c r="AA2" s="231"/>
      <c r="AB2" s="231"/>
      <c r="AC2" s="231"/>
      <c r="AD2" s="231"/>
      <c r="AE2" s="231"/>
      <c r="AF2" s="231"/>
      <c r="AG2" s="231"/>
      <c r="AH2" s="231"/>
      <c r="AI2" s="231"/>
      <c r="AJ2" s="231"/>
      <c r="AK2" s="231"/>
      <c r="AL2" s="231"/>
      <c r="AM2" s="231"/>
      <c r="AN2" s="231"/>
      <c r="AO2" s="232"/>
      <c r="AP2" s="159" t="str">
        <f>IF(表紙!AP2="","",表紙!AP2)</f>
        <v>DuNT</v>
      </c>
      <c r="AQ2" s="157"/>
      <c r="AR2" s="157"/>
      <c r="AS2" s="158"/>
      <c r="AT2" s="163">
        <f>IF(表紙!AT2="","",表紙!AT2)</f>
        <v>45540</v>
      </c>
      <c r="AU2" s="164"/>
      <c r="AV2" s="164"/>
      <c r="AW2" s="164"/>
      <c r="AX2" s="165"/>
      <c r="AY2" s="159" t="str">
        <f>IF(表紙!AY2="","",表紙!AY2)</f>
        <v>DuNT</v>
      </c>
      <c r="AZ2" s="157"/>
      <c r="BA2" s="157"/>
      <c r="BB2" s="158"/>
      <c r="BC2" s="163">
        <f>IF(表紙!BC2="","",表紙!BC2)</f>
        <v>45540</v>
      </c>
      <c r="BD2" s="164"/>
      <c r="BE2" s="164"/>
      <c r="BF2" s="164"/>
      <c r="BG2" s="165"/>
      <c r="BH2" s="159">
        <f>IF(表紙!BH2="","",表紙!BH2)</f>
        <v>0.1</v>
      </c>
      <c r="BI2" s="157"/>
      <c r="BJ2" s="157"/>
      <c r="BK2" s="158"/>
    </row>
    <row r="3" spans="1:63" ht="15" customHeight="1" x14ac:dyDescent="0.25">
      <c r="A3" s="67"/>
      <c r="B3" s="68"/>
      <c r="C3" s="68"/>
      <c r="D3" s="68"/>
      <c r="E3" s="68"/>
      <c r="F3" s="68"/>
      <c r="G3" s="68"/>
      <c r="H3" s="68"/>
      <c r="I3" s="68"/>
      <c r="J3" s="69"/>
      <c r="K3" s="67"/>
      <c r="L3" s="68"/>
      <c r="M3" s="68"/>
      <c r="N3" s="68"/>
      <c r="O3" s="68"/>
      <c r="P3" s="68"/>
      <c r="Q3" s="68"/>
      <c r="R3" s="68"/>
      <c r="S3" s="68"/>
      <c r="T3" s="68"/>
      <c r="U3" s="68"/>
      <c r="V3" s="69"/>
      <c r="W3" s="233"/>
      <c r="X3" s="234"/>
      <c r="Y3" s="234"/>
      <c r="Z3" s="234"/>
      <c r="AA3" s="234"/>
      <c r="AB3" s="234"/>
      <c r="AC3" s="234"/>
      <c r="AD3" s="234"/>
      <c r="AE3" s="234"/>
      <c r="AF3" s="234"/>
      <c r="AG3" s="234"/>
      <c r="AH3" s="234"/>
      <c r="AI3" s="234"/>
      <c r="AJ3" s="234"/>
      <c r="AK3" s="234"/>
      <c r="AL3" s="234"/>
      <c r="AM3" s="234"/>
      <c r="AN3" s="234"/>
      <c r="AO3" s="235"/>
      <c r="AP3" s="169"/>
      <c r="AQ3" s="170"/>
      <c r="AR3" s="170"/>
      <c r="AS3" s="171"/>
      <c r="AT3" s="175"/>
      <c r="AU3" s="176"/>
      <c r="AV3" s="176"/>
      <c r="AW3" s="176"/>
      <c r="AX3" s="177"/>
      <c r="AY3" s="169"/>
      <c r="AZ3" s="170"/>
      <c r="BA3" s="170"/>
      <c r="BB3" s="171"/>
      <c r="BC3" s="175"/>
      <c r="BD3" s="176"/>
      <c r="BE3" s="176"/>
      <c r="BF3" s="176"/>
      <c r="BG3" s="177"/>
      <c r="BH3" s="169"/>
      <c r="BI3" s="170"/>
      <c r="BJ3" s="170"/>
      <c r="BK3" s="171"/>
    </row>
    <row r="4" spans="1:63" ht="24.95" customHeight="1" x14ac:dyDescent="0.25">
      <c r="A4" s="224" t="s">
        <v>66</v>
      </c>
      <c r="B4" s="225"/>
      <c r="C4" s="225"/>
      <c r="D4" s="225"/>
      <c r="E4" s="225"/>
      <c r="F4" s="225"/>
      <c r="G4" s="226"/>
      <c r="H4" s="70" t="str">
        <f>IF(表紙!H4="","",表紙!H4)</f>
        <v>16_保留・保留解除</v>
      </c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2"/>
      <c r="U4" s="224" t="s">
        <v>67</v>
      </c>
      <c r="V4" s="225"/>
      <c r="W4" s="225"/>
      <c r="X4" s="225"/>
      <c r="Y4" s="226"/>
      <c r="Z4" s="70" t="str">
        <f>IF(表紙!Z4="","",表紙!Z4)</f>
        <v>画面設計書</v>
      </c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2"/>
      <c r="AP4" s="73" t="str">
        <f ca="1">MID(CELL("filename",A1),FIND("]",CELL("filename",A1))+1,255)</f>
        <v>SC1601</v>
      </c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1"/>
      <c r="BF4" s="71"/>
      <c r="BG4" s="71"/>
      <c r="BH4" s="71"/>
      <c r="BI4" s="71"/>
      <c r="BJ4" s="71"/>
      <c r="BK4" s="72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5"/>
      <c r="BK6" s="6"/>
    </row>
    <row r="7" spans="1:63" ht="15" customHeight="1" x14ac:dyDescent="0.25">
      <c r="A7" s="5"/>
      <c r="B7" s="7" t="s">
        <v>75</v>
      </c>
      <c r="C7" s="236"/>
      <c r="D7" s="236"/>
      <c r="E7" s="236"/>
      <c r="F7" s="236"/>
      <c r="G7" s="236"/>
      <c r="H7" s="236"/>
      <c r="I7" s="236"/>
      <c r="J7" s="236"/>
      <c r="AE7" s="7"/>
      <c r="BK7" s="6"/>
    </row>
    <row r="8" spans="1:63" ht="15" customHeight="1" x14ac:dyDescent="0.25">
      <c r="A8" s="5"/>
      <c r="BK8" s="6"/>
    </row>
    <row r="9" spans="1:63" ht="15" customHeight="1" x14ac:dyDescent="0.25">
      <c r="A9" s="5"/>
      <c r="C9" s="156"/>
      <c r="BK9" s="6"/>
    </row>
    <row r="10" spans="1:63" ht="15" customHeight="1" x14ac:dyDescent="0.25">
      <c r="A10" s="5"/>
      <c r="BK10" s="6"/>
    </row>
    <row r="11" spans="1:63" ht="15" customHeight="1" x14ac:dyDescent="0.25">
      <c r="A11" s="5"/>
      <c r="E11" s="156"/>
      <c r="BK11" s="6"/>
    </row>
    <row r="12" spans="1:63" ht="15" customHeight="1" x14ac:dyDescent="0.25">
      <c r="A12" s="5"/>
      <c r="BK12" s="6"/>
    </row>
    <row r="13" spans="1:63" ht="15" customHeight="1" x14ac:dyDescent="0.25">
      <c r="A13" s="5"/>
      <c r="BK13" s="6"/>
    </row>
    <row r="14" spans="1:63" ht="15" customHeight="1" x14ac:dyDescent="0.25">
      <c r="A14" s="5"/>
      <c r="BK14" s="6"/>
    </row>
    <row r="15" spans="1:63" ht="15" customHeight="1" x14ac:dyDescent="0.25">
      <c r="A15" s="5"/>
      <c r="BK15" s="6"/>
    </row>
    <row r="16" spans="1:63" ht="15" customHeight="1" x14ac:dyDescent="0.25">
      <c r="A16" s="5"/>
      <c r="BK16" s="6"/>
    </row>
    <row r="17" spans="1:63" ht="15" customHeight="1" x14ac:dyDescent="0.25">
      <c r="A17" s="5"/>
      <c r="BK17" s="6"/>
    </row>
    <row r="18" spans="1:63" ht="15" customHeight="1" x14ac:dyDescent="0.25">
      <c r="A18" s="5"/>
      <c r="BK18" s="6"/>
    </row>
    <row r="19" spans="1:63" ht="15" customHeight="1" x14ac:dyDescent="0.25">
      <c r="A19" s="5"/>
      <c r="BK19" s="6"/>
    </row>
    <row r="20" spans="1:63" ht="15" customHeight="1" x14ac:dyDescent="0.25">
      <c r="A20" s="5"/>
      <c r="BK20" s="6"/>
    </row>
    <row r="21" spans="1:63" ht="15" customHeight="1" x14ac:dyDescent="0.25">
      <c r="A21" s="5"/>
      <c r="BK21" s="6"/>
    </row>
    <row r="22" spans="1:63" ht="15" customHeight="1" x14ac:dyDescent="0.25">
      <c r="A22" s="5"/>
      <c r="BK22" s="6"/>
    </row>
    <row r="23" spans="1:63" ht="15" customHeight="1" x14ac:dyDescent="0.25">
      <c r="A23" s="5"/>
      <c r="BK23" s="6"/>
    </row>
    <row r="24" spans="1:63" ht="15" customHeight="1" x14ac:dyDescent="0.25">
      <c r="A24" s="5"/>
      <c r="BK24" s="6"/>
    </row>
    <row r="25" spans="1:63" ht="15" customHeight="1" x14ac:dyDescent="0.25">
      <c r="A25" s="5"/>
      <c r="BK25" s="6"/>
    </row>
    <row r="26" spans="1:63" ht="15" customHeight="1" x14ac:dyDescent="0.25">
      <c r="A26" s="5"/>
      <c r="BK26" s="6"/>
    </row>
    <row r="27" spans="1:63" ht="15" customHeight="1" x14ac:dyDescent="0.25">
      <c r="A27" s="5"/>
      <c r="BK27" s="6"/>
    </row>
    <row r="28" spans="1:63" ht="15" customHeight="1" x14ac:dyDescent="0.25">
      <c r="A28" s="5"/>
      <c r="BK28" s="6"/>
    </row>
    <row r="29" spans="1:63" ht="15" customHeight="1" x14ac:dyDescent="0.25">
      <c r="A29" s="5"/>
      <c r="BK29" s="6"/>
    </row>
    <row r="30" spans="1:63" ht="15" customHeight="1" x14ac:dyDescent="0.25">
      <c r="A30" s="5"/>
      <c r="BK30" s="6"/>
    </row>
    <row r="31" spans="1:63" ht="15" customHeight="1" x14ac:dyDescent="0.25">
      <c r="A31" s="5"/>
      <c r="BK31" s="6"/>
    </row>
    <row r="32" spans="1:63" ht="15" customHeight="1" x14ac:dyDescent="0.25">
      <c r="A32" s="5"/>
      <c r="BK32" s="6"/>
    </row>
    <row r="33" spans="1:63" ht="15" customHeight="1" x14ac:dyDescent="0.25">
      <c r="A33" s="5"/>
      <c r="BK33" s="6"/>
    </row>
    <row r="34" spans="1:63" ht="15" customHeight="1" x14ac:dyDescent="0.25">
      <c r="A34" s="5"/>
      <c r="BK34" s="6"/>
    </row>
    <row r="35" spans="1:63" ht="15" customHeight="1" x14ac:dyDescent="0.25">
      <c r="A35" s="5"/>
      <c r="BK35" s="6"/>
    </row>
    <row r="36" spans="1:63" ht="15" customHeight="1" x14ac:dyDescent="0.25">
      <c r="A36" s="5"/>
      <c r="BK36" s="6"/>
    </row>
    <row r="37" spans="1:63" ht="15" customHeight="1" x14ac:dyDescent="0.25">
      <c r="A37" s="5"/>
      <c r="BK37" s="6"/>
    </row>
    <row r="38" spans="1:63" ht="15" customHeight="1" x14ac:dyDescent="0.25">
      <c r="A38" s="5"/>
      <c r="BK38" s="6"/>
    </row>
    <row r="39" spans="1:63" x14ac:dyDescent="0.25">
      <c r="A39" s="5"/>
      <c r="BK39" s="6"/>
    </row>
    <row r="40" spans="1:63" x14ac:dyDescent="0.25">
      <c r="A40" s="5"/>
      <c r="BK40" s="6"/>
    </row>
    <row r="41" spans="1:63" x14ac:dyDescent="0.25">
      <c r="A41" s="5"/>
      <c r="BK41" s="6"/>
    </row>
    <row r="42" spans="1:63" x14ac:dyDescent="0.25">
      <c r="A42" s="5"/>
      <c r="BK42" s="6"/>
    </row>
    <row r="43" spans="1:63" x14ac:dyDescent="0.25">
      <c r="A43" s="5"/>
      <c r="BK43" s="6"/>
    </row>
    <row r="44" spans="1:63" x14ac:dyDescent="0.25">
      <c r="A44" s="5"/>
      <c r="BK44" s="6"/>
    </row>
    <row r="45" spans="1:63" ht="15" customHeight="1" x14ac:dyDescent="0.25">
      <c r="A45" s="5"/>
      <c r="B45" s="7" t="s">
        <v>76</v>
      </c>
      <c r="BK45" s="6"/>
    </row>
    <row r="46" spans="1:63" x14ac:dyDescent="0.25">
      <c r="A46" s="5"/>
      <c r="BK46" s="6"/>
    </row>
    <row r="47" spans="1:63" ht="15.75" customHeight="1" x14ac:dyDescent="0.25">
      <c r="A47" s="5"/>
      <c r="B47" s="74" t="s">
        <v>77</v>
      </c>
      <c r="C47" s="75"/>
      <c r="D47" s="80" t="s">
        <v>78</v>
      </c>
      <c r="E47" s="81"/>
      <c r="F47" s="81"/>
      <c r="G47" s="81"/>
      <c r="H47" s="81"/>
      <c r="I47" s="81"/>
      <c r="J47" s="75"/>
      <c r="K47" s="80" t="s">
        <v>79</v>
      </c>
      <c r="L47" s="81"/>
      <c r="M47" s="75"/>
      <c r="N47" s="84" t="s">
        <v>3</v>
      </c>
      <c r="O47" s="87" t="s">
        <v>80</v>
      </c>
      <c r="P47" s="101" t="s">
        <v>81</v>
      </c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  <c r="AB47" s="102"/>
      <c r="AC47" s="102"/>
      <c r="AD47" s="102"/>
      <c r="AE47" s="102"/>
      <c r="AF47" s="102"/>
      <c r="AG47" s="102"/>
      <c r="AH47" s="102"/>
      <c r="AI47" s="102"/>
      <c r="AJ47" s="102"/>
      <c r="AK47" s="102"/>
      <c r="AL47" s="102"/>
      <c r="AM47" s="102"/>
      <c r="AN47" s="102"/>
      <c r="AO47" s="102"/>
      <c r="AP47" s="102"/>
      <c r="AQ47" s="103"/>
      <c r="AR47" s="90" t="s">
        <v>82</v>
      </c>
      <c r="AS47" s="91"/>
      <c r="AT47" s="91"/>
      <c r="AU47" s="91"/>
      <c r="AV47" s="91"/>
      <c r="AW47" s="91"/>
      <c r="AX47" s="91"/>
      <c r="AY47" s="91"/>
      <c r="AZ47" s="91"/>
      <c r="BA47" s="91"/>
      <c r="BB47" s="94"/>
      <c r="BC47" s="104" t="s">
        <v>83</v>
      </c>
      <c r="BD47" s="105"/>
      <c r="BE47" s="105"/>
      <c r="BF47" s="105"/>
      <c r="BG47" s="105"/>
      <c r="BH47" s="105"/>
      <c r="BI47" s="105"/>
      <c r="BJ47" s="106"/>
      <c r="BK47" s="6"/>
    </row>
    <row r="48" spans="1:63" ht="15.75" customHeight="1" x14ac:dyDescent="0.25">
      <c r="A48" s="5"/>
      <c r="B48" s="76"/>
      <c r="C48" s="77"/>
      <c r="D48" s="76"/>
      <c r="E48" s="82"/>
      <c r="F48" s="82"/>
      <c r="G48" s="82"/>
      <c r="H48" s="82"/>
      <c r="I48" s="82"/>
      <c r="J48" s="77"/>
      <c r="K48" s="76"/>
      <c r="L48" s="82"/>
      <c r="M48" s="77"/>
      <c r="N48" s="85"/>
      <c r="O48" s="88"/>
      <c r="P48" s="113" t="s">
        <v>84</v>
      </c>
      <c r="Q48" s="114"/>
      <c r="R48" s="114"/>
      <c r="S48" s="114"/>
      <c r="T48" s="114"/>
      <c r="U48" s="114"/>
      <c r="V48" s="114"/>
      <c r="W48" s="115"/>
      <c r="X48" s="116" t="s">
        <v>85</v>
      </c>
      <c r="Y48" s="117"/>
      <c r="Z48" s="118"/>
      <c r="AA48" s="116" t="s">
        <v>86</v>
      </c>
      <c r="AB48" s="117"/>
      <c r="AC48" s="117"/>
      <c r="AD48" s="117"/>
      <c r="AE48" s="117"/>
      <c r="AF48" s="117"/>
      <c r="AG48" s="117"/>
      <c r="AH48" s="118"/>
      <c r="AI48" s="116" t="s">
        <v>87</v>
      </c>
      <c r="AJ48" s="117"/>
      <c r="AK48" s="117"/>
      <c r="AL48" s="117"/>
      <c r="AM48" s="117"/>
      <c r="AN48" s="117"/>
      <c r="AO48" s="117"/>
      <c r="AP48" s="117"/>
      <c r="AQ48" s="118"/>
      <c r="AR48" s="122" t="s">
        <v>4</v>
      </c>
      <c r="AS48" s="124" t="s">
        <v>88</v>
      </c>
      <c r="AT48" s="126" t="s">
        <v>89</v>
      </c>
      <c r="AU48" s="90" t="s">
        <v>84</v>
      </c>
      <c r="AV48" s="91"/>
      <c r="AW48" s="91"/>
      <c r="AX48" s="91"/>
      <c r="AY48" s="91"/>
      <c r="AZ48" s="91"/>
      <c r="BA48" s="91"/>
      <c r="BB48" s="94"/>
      <c r="BC48" s="107"/>
      <c r="BD48" s="108"/>
      <c r="BE48" s="108"/>
      <c r="BF48" s="108"/>
      <c r="BG48" s="108"/>
      <c r="BH48" s="108"/>
      <c r="BI48" s="108"/>
      <c r="BJ48" s="109"/>
      <c r="BK48" s="6"/>
    </row>
    <row r="49" spans="1:63" x14ac:dyDescent="0.25">
      <c r="A49" s="5"/>
      <c r="B49" s="78"/>
      <c r="C49" s="79"/>
      <c r="D49" s="78"/>
      <c r="E49" s="83"/>
      <c r="F49" s="83"/>
      <c r="G49" s="83"/>
      <c r="H49" s="83"/>
      <c r="I49" s="83"/>
      <c r="J49" s="79"/>
      <c r="K49" s="78"/>
      <c r="L49" s="83"/>
      <c r="M49" s="79"/>
      <c r="N49" s="86"/>
      <c r="O49" s="89"/>
      <c r="P49" s="101" t="s">
        <v>90</v>
      </c>
      <c r="Q49" s="102"/>
      <c r="R49" s="102"/>
      <c r="S49" s="103"/>
      <c r="T49" s="101" t="s">
        <v>78</v>
      </c>
      <c r="U49" s="102"/>
      <c r="V49" s="102"/>
      <c r="W49" s="103"/>
      <c r="X49" s="119"/>
      <c r="Y49" s="120"/>
      <c r="Z49" s="121"/>
      <c r="AA49" s="119"/>
      <c r="AB49" s="120"/>
      <c r="AC49" s="120"/>
      <c r="AD49" s="120"/>
      <c r="AE49" s="120"/>
      <c r="AF49" s="120"/>
      <c r="AG49" s="120"/>
      <c r="AH49" s="121"/>
      <c r="AI49" s="119"/>
      <c r="AJ49" s="120"/>
      <c r="AK49" s="120"/>
      <c r="AL49" s="120"/>
      <c r="AM49" s="120"/>
      <c r="AN49" s="120"/>
      <c r="AO49" s="120"/>
      <c r="AP49" s="120"/>
      <c r="AQ49" s="121"/>
      <c r="AR49" s="123"/>
      <c r="AS49" s="125"/>
      <c r="AT49" s="127"/>
      <c r="AU49" s="90" t="s">
        <v>90</v>
      </c>
      <c r="AV49" s="91"/>
      <c r="AW49" s="91"/>
      <c r="AX49" s="92"/>
      <c r="AY49" s="93" t="s">
        <v>78</v>
      </c>
      <c r="AZ49" s="91"/>
      <c r="BA49" s="91"/>
      <c r="BB49" s="94"/>
      <c r="BC49" s="110"/>
      <c r="BD49" s="111"/>
      <c r="BE49" s="111"/>
      <c r="BF49" s="111"/>
      <c r="BG49" s="111"/>
      <c r="BH49" s="111"/>
      <c r="BI49" s="111"/>
      <c r="BJ49" s="112"/>
      <c r="BK49" s="6"/>
    </row>
    <row r="50" spans="1:63" x14ac:dyDescent="0.25">
      <c r="A50" s="5"/>
      <c r="B50" s="26">
        <v>0</v>
      </c>
      <c r="C50" s="28"/>
      <c r="D50" s="237" t="s">
        <v>55</v>
      </c>
      <c r="E50" s="238"/>
      <c r="F50" s="238"/>
      <c r="G50" s="238"/>
      <c r="H50" s="238"/>
      <c r="I50" s="238"/>
      <c r="J50" s="239"/>
      <c r="K50" s="42" t="s">
        <v>5</v>
      </c>
      <c r="L50" s="43"/>
      <c r="M50" s="44"/>
      <c r="N50" s="14" t="s">
        <v>6</v>
      </c>
      <c r="O50" s="8" t="s">
        <v>7</v>
      </c>
      <c r="P50" s="26" t="s">
        <v>9</v>
      </c>
      <c r="Q50" s="27"/>
      <c r="R50" s="27"/>
      <c r="S50" s="28"/>
      <c r="T50" s="26" t="s">
        <v>9</v>
      </c>
      <c r="U50" s="27"/>
      <c r="V50" s="27"/>
      <c r="W50" s="28"/>
      <c r="X50" s="50" t="s">
        <v>56</v>
      </c>
      <c r="Y50" s="47"/>
      <c r="Z50" s="48"/>
      <c r="AA50" s="26" t="s">
        <v>8</v>
      </c>
      <c r="AB50" s="27"/>
      <c r="AC50" s="27"/>
      <c r="AD50" s="27"/>
      <c r="AE50" s="27"/>
      <c r="AF50" s="27"/>
      <c r="AG50" s="27"/>
      <c r="AH50" s="28"/>
      <c r="AI50" s="49" t="s">
        <v>8</v>
      </c>
      <c r="AJ50" s="47"/>
      <c r="AK50" s="47"/>
      <c r="AL50" s="47"/>
      <c r="AM50" s="47"/>
      <c r="AN50" s="47"/>
      <c r="AO50" s="47"/>
      <c r="AP50" s="47"/>
      <c r="AQ50" s="48"/>
      <c r="AR50" s="9" t="s">
        <v>6</v>
      </c>
      <c r="AS50" s="9" t="s">
        <v>8</v>
      </c>
      <c r="AT50" s="9" t="s">
        <v>8</v>
      </c>
      <c r="AU50" s="26" t="s">
        <v>9</v>
      </c>
      <c r="AV50" s="27"/>
      <c r="AW50" s="27"/>
      <c r="AX50" s="28"/>
      <c r="AY50" s="26" t="s">
        <v>8</v>
      </c>
      <c r="AZ50" s="27"/>
      <c r="BA50" s="27"/>
      <c r="BB50" s="28"/>
      <c r="BC50" s="240" t="s">
        <v>91</v>
      </c>
      <c r="BD50" s="241"/>
      <c r="BE50" s="241"/>
      <c r="BF50" s="241"/>
      <c r="BG50" s="241"/>
      <c r="BH50" s="241"/>
      <c r="BI50" s="241"/>
      <c r="BJ50" s="242"/>
      <c r="BK50" s="6"/>
    </row>
    <row r="51" spans="1:63" x14ac:dyDescent="0.25">
      <c r="A51" s="5"/>
      <c r="B51" s="29"/>
      <c r="C51" s="30"/>
      <c r="D51" s="95" t="s">
        <v>12</v>
      </c>
      <c r="E51" s="96"/>
      <c r="F51" s="96"/>
      <c r="G51" s="96"/>
      <c r="H51" s="96"/>
      <c r="I51" s="96"/>
      <c r="J51" s="97"/>
      <c r="K51" s="98" t="s">
        <v>6</v>
      </c>
      <c r="L51" s="99"/>
      <c r="M51" s="100"/>
      <c r="N51" s="23" t="s">
        <v>6</v>
      </c>
      <c r="O51" s="13" t="s">
        <v>6</v>
      </c>
      <c r="P51" s="29" t="s">
        <v>6</v>
      </c>
      <c r="Q51" s="31"/>
      <c r="R51" s="31"/>
      <c r="S51" s="30"/>
      <c r="T51" s="29" t="s">
        <v>6</v>
      </c>
      <c r="U51" s="31"/>
      <c r="V51" s="31"/>
      <c r="W51" s="30"/>
      <c r="X51" s="128" t="s">
        <v>6</v>
      </c>
      <c r="Y51" s="129"/>
      <c r="Z51" s="130"/>
      <c r="AA51" s="29" t="s">
        <v>8</v>
      </c>
      <c r="AB51" s="31"/>
      <c r="AC51" s="31"/>
      <c r="AD51" s="31"/>
      <c r="AE51" s="31"/>
      <c r="AF51" s="31"/>
      <c r="AG51" s="31"/>
      <c r="AH51" s="30"/>
      <c r="AI51" s="35" t="s">
        <v>6</v>
      </c>
      <c r="AJ51" s="33"/>
      <c r="AK51" s="33"/>
      <c r="AL51" s="33"/>
      <c r="AM51" s="33"/>
      <c r="AN51" s="33"/>
      <c r="AO51" s="33"/>
      <c r="AP51" s="33"/>
      <c r="AQ51" s="34"/>
      <c r="AR51" s="16" t="s">
        <v>6</v>
      </c>
      <c r="AS51" s="16" t="s">
        <v>8</v>
      </c>
      <c r="AT51" s="16" t="s">
        <v>8</v>
      </c>
      <c r="AU51" s="29" t="s">
        <v>9</v>
      </c>
      <c r="AV51" s="31"/>
      <c r="AW51" s="31"/>
      <c r="AX51" s="30"/>
      <c r="AY51" s="29" t="s">
        <v>8</v>
      </c>
      <c r="AZ51" s="31"/>
      <c r="BA51" s="31"/>
      <c r="BB51" s="30"/>
      <c r="BC51" s="243"/>
      <c r="BD51" s="244"/>
      <c r="BE51" s="244"/>
      <c r="BF51" s="244"/>
      <c r="BG51" s="244"/>
      <c r="BH51" s="244"/>
      <c r="BI51" s="244"/>
      <c r="BJ51" s="245"/>
      <c r="BK51" s="6"/>
    </row>
    <row r="52" spans="1:63" x14ac:dyDescent="0.25">
      <c r="A52" s="5"/>
      <c r="B52" s="26">
        <v>1</v>
      </c>
      <c r="C52" s="28"/>
      <c r="D52" s="137" t="s">
        <v>13</v>
      </c>
      <c r="E52" s="138"/>
      <c r="F52" s="138"/>
      <c r="G52" s="138"/>
      <c r="H52" s="138"/>
      <c r="I52" s="138"/>
      <c r="J52" s="139"/>
      <c r="K52" s="42" t="s">
        <v>5</v>
      </c>
      <c r="L52" s="43"/>
      <c r="M52" s="44"/>
      <c r="N52" s="14" t="s">
        <v>6</v>
      </c>
      <c r="O52" s="8" t="s">
        <v>7</v>
      </c>
      <c r="P52" s="26" t="s">
        <v>9</v>
      </c>
      <c r="Q52" s="27"/>
      <c r="R52" s="27"/>
      <c r="S52" s="28"/>
      <c r="T52" s="26" t="s">
        <v>9</v>
      </c>
      <c r="U52" s="27"/>
      <c r="V52" s="27"/>
      <c r="W52" s="28"/>
      <c r="X52" s="132" t="s">
        <v>92</v>
      </c>
      <c r="Y52" s="133"/>
      <c r="Z52" s="134"/>
      <c r="AA52" s="26" t="s">
        <v>8</v>
      </c>
      <c r="AB52" s="27"/>
      <c r="AC52" s="27"/>
      <c r="AD52" s="27"/>
      <c r="AE52" s="27"/>
      <c r="AF52" s="27"/>
      <c r="AG52" s="27"/>
      <c r="AH52" s="28"/>
      <c r="AI52" s="49" t="s">
        <v>8</v>
      </c>
      <c r="AJ52" s="47"/>
      <c r="AK52" s="47"/>
      <c r="AL52" s="47"/>
      <c r="AM52" s="47"/>
      <c r="AN52" s="47"/>
      <c r="AO52" s="47"/>
      <c r="AP52" s="47"/>
      <c r="AQ52" s="48"/>
      <c r="AR52" s="9" t="s">
        <v>6</v>
      </c>
      <c r="AS52" s="9" t="s">
        <v>8</v>
      </c>
      <c r="AT52" s="9" t="s">
        <v>8</v>
      </c>
      <c r="AU52" s="26" t="s">
        <v>9</v>
      </c>
      <c r="AV52" s="27"/>
      <c r="AW52" s="27"/>
      <c r="AX52" s="28"/>
      <c r="AY52" s="26" t="s">
        <v>8</v>
      </c>
      <c r="AZ52" s="27"/>
      <c r="BA52" s="27"/>
      <c r="BB52" s="28"/>
      <c r="BC52" s="131"/>
      <c r="BD52" s="241"/>
      <c r="BE52" s="241"/>
      <c r="BF52" s="241"/>
      <c r="BG52" s="241"/>
      <c r="BH52" s="241"/>
      <c r="BI52" s="241"/>
      <c r="BJ52" s="242"/>
      <c r="BK52" s="6"/>
    </row>
    <row r="53" spans="1:63" x14ac:dyDescent="0.25">
      <c r="A53" s="5"/>
      <c r="B53" s="26">
        <v>2</v>
      </c>
      <c r="C53" s="28"/>
      <c r="D53" s="39" t="s">
        <v>14</v>
      </c>
      <c r="E53" s="40"/>
      <c r="F53" s="40"/>
      <c r="G53" s="40"/>
      <c r="H53" s="40"/>
      <c r="I53" s="40"/>
      <c r="J53" s="41"/>
      <c r="K53" s="135" t="s">
        <v>93</v>
      </c>
      <c r="L53" s="43"/>
      <c r="M53" s="44"/>
      <c r="N53" s="8" t="s">
        <v>10</v>
      </c>
      <c r="O53" s="8" t="s">
        <v>6</v>
      </c>
      <c r="P53" s="136" t="s">
        <v>6</v>
      </c>
      <c r="Q53" s="27"/>
      <c r="R53" s="27"/>
      <c r="S53" s="28"/>
      <c r="T53" s="26"/>
      <c r="U53" s="27"/>
      <c r="V53" s="27"/>
      <c r="W53" s="28"/>
      <c r="X53" s="147" t="s">
        <v>6</v>
      </c>
      <c r="Y53" s="148"/>
      <c r="Z53" s="149"/>
      <c r="AA53" s="26" t="s">
        <v>8</v>
      </c>
      <c r="AB53" s="27"/>
      <c r="AC53" s="27"/>
      <c r="AD53" s="27"/>
      <c r="AE53" s="27"/>
      <c r="AF53" s="27"/>
      <c r="AG53" s="27"/>
      <c r="AH53" s="28"/>
      <c r="AI53" s="49" t="s">
        <v>8</v>
      </c>
      <c r="AJ53" s="47"/>
      <c r="AK53" s="47"/>
      <c r="AL53" s="47"/>
      <c r="AM53" s="47"/>
      <c r="AN53" s="47"/>
      <c r="AO53" s="47"/>
      <c r="AP53" s="47"/>
      <c r="AQ53" s="48"/>
      <c r="AR53" s="9" t="s">
        <v>6</v>
      </c>
      <c r="AS53" s="9" t="s">
        <v>8</v>
      </c>
      <c r="AT53" s="9" t="s">
        <v>8</v>
      </c>
      <c r="AU53" s="26" t="s">
        <v>9</v>
      </c>
      <c r="AV53" s="27"/>
      <c r="AW53" s="27"/>
      <c r="AX53" s="28"/>
      <c r="AY53" s="26" t="s">
        <v>8</v>
      </c>
      <c r="AZ53" s="27"/>
      <c r="BA53" s="27"/>
      <c r="BB53" s="28"/>
      <c r="BC53" s="246"/>
      <c r="BD53" s="241"/>
      <c r="BE53" s="241"/>
      <c r="BF53" s="241"/>
      <c r="BG53" s="241"/>
      <c r="BH53" s="241"/>
      <c r="BI53" s="241"/>
      <c r="BJ53" s="242"/>
      <c r="BK53" s="6"/>
    </row>
    <row r="54" spans="1:63" x14ac:dyDescent="0.25">
      <c r="A54" s="5"/>
      <c r="B54" s="26">
        <v>3</v>
      </c>
      <c r="C54" s="28"/>
      <c r="D54" s="237" t="s">
        <v>15</v>
      </c>
      <c r="E54" s="238"/>
      <c r="F54" s="238"/>
      <c r="G54" s="238"/>
      <c r="H54" s="238"/>
      <c r="I54" s="238"/>
      <c r="J54" s="239"/>
      <c r="K54" s="42" t="s">
        <v>5</v>
      </c>
      <c r="L54" s="43"/>
      <c r="M54" s="44"/>
      <c r="N54" s="14" t="s">
        <v>6</v>
      </c>
      <c r="O54" s="8" t="s">
        <v>7</v>
      </c>
      <c r="P54" s="26" t="s">
        <v>9</v>
      </c>
      <c r="Q54" s="27"/>
      <c r="R54" s="27"/>
      <c r="S54" s="28"/>
      <c r="T54" s="26" t="s">
        <v>9</v>
      </c>
      <c r="U54" s="27"/>
      <c r="V54" s="27"/>
      <c r="W54" s="28"/>
      <c r="X54" s="50" t="s">
        <v>20</v>
      </c>
      <c r="Y54" s="47"/>
      <c r="Z54" s="48"/>
      <c r="AA54" s="26" t="s">
        <v>8</v>
      </c>
      <c r="AB54" s="27"/>
      <c r="AC54" s="27"/>
      <c r="AD54" s="27"/>
      <c r="AE54" s="27"/>
      <c r="AF54" s="27"/>
      <c r="AG54" s="27"/>
      <c r="AH54" s="28"/>
      <c r="AI54" s="49" t="s">
        <v>8</v>
      </c>
      <c r="AJ54" s="47"/>
      <c r="AK54" s="47"/>
      <c r="AL54" s="47"/>
      <c r="AM54" s="47"/>
      <c r="AN54" s="47"/>
      <c r="AO54" s="47"/>
      <c r="AP54" s="47"/>
      <c r="AQ54" s="48"/>
      <c r="AR54" s="9" t="s">
        <v>6</v>
      </c>
      <c r="AS54" s="9" t="s">
        <v>8</v>
      </c>
      <c r="AT54" s="9" t="s">
        <v>8</v>
      </c>
      <c r="AU54" s="26" t="s">
        <v>9</v>
      </c>
      <c r="AV54" s="27"/>
      <c r="AW54" s="27"/>
      <c r="AX54" s="28"/>
      <c r="AY54" s="26" t="s">
        <v>8</v>
      </c>
      <c r="AZ54" s="27"/>
      <c r="BA54" s="27"/>
      <c r="BB54" s="28"/>
      <c r="BC54" s="247"/>
      <c r="BD54" s="248"/>
      <c r="BE54" s="248"/>
      <c r="BF54" s="248"/>
      <c r="BG54" s="248"/>
      <c r="BH54" s="248"/>
      <c r="BI54" s="248"/>
      <c r="BJ54" s="249"/>
      <c r="BK54" s="6"/>
    </row>
    <row r="55" spans="1:63" x14ac:dyDescent="0.25">
      <c r="A55" s="5"/>
      <c r="B55" s="26">
        <v>4</v>
      </c>
      <c r="C55" s="28"/>
      <c r="D55" s="39" t="s">
        <v>16</v>
      </c>
      <c r="E55" s="40"/>
      <c r="F55" s="40"/>
      <c r="G55" s="40"/>
      <c r="H55" s="40"/>
      <c r="I55" s="40"/>
      <c r="J55" s="41"/>
      <c r="K55" s="42" t="s">
        <v>11</v>
      </c>
      <c r="L55" s="43"/>
      <c r="M55" s="44"/>
      <c r="N55" s="10" t="s">
        <v>10</v>
      </c>
      <c r="O55" s="8" t="s">
        <v>6</v>
      </c>
      <c r="P55" s="26" t="s">
        <v>9</v>
      </c>
      <c r="Q55" s="27"/>
      <c r="R55" s="27"/>
      <c r="S55" s="28"/>
      <c r="T55" s="26" t="s">
        <v>9</v>
      </c>
      <c r="U55" s="27"/>
      <c r="V55" s="27"/>
      <c r="W55" s="28"/>
      <c r="X55" s="45" t="s">
        <v>6</v>
      </c>
      <c r="Y55" s="27"/>
      <c r="Z55" s="28"/>
      <c r="AA55" s="26" t="s">
        <v>8</v>
      </c>
      <c r="AB55" s="27"/>
      <c r="AC55" s="27"/>
      <c r="AD55" s="27"/>
      <c r="AE55" s="27"/>
      <c r="AF55" s="27"/>
      <c r="AG55" s="27"/>
      <c r="AH55" s="28"/>
      <c r="AI55" s="49" t="s">
        <v>8</v>
      </c>
      <c r="AJ55" s="47"/>
      <c r="AK55" s="47"/>
      <c r="AL55" s="47"/>
      <c r="AM55" s="47"/>
      <c r="AN55" s="47"/>
      <c r="AO55" s="47"/>
      <c r="AP55" s="47"/>
      <c r="AQ55" s="48"/>
      <c r="AR55" s="9" t="s">
        <v>6</v>
      </c>
      <c r="AS55" s="9" t="s">
        <v>8</v>
      </c>
      <c r="AT55" s="9" t="s">
        <v>8</v>
      </c>
      <c r="AU55" s="26" t="s">
        <v>9</v>
      </c>
      <c r="AV55" s="27"/>
      <c r="AW55" s="27"/>
      <c r="AX55" s="28"/>
      <c r="AY55" s="26" t="s">
        <v>8</v>
      </c>
      <c r="AZ55" s="27"/>
      <c r="BA55" s="27"/>
      <c r="BB55" s="28"/>
      <c r="BC55" s="246"/>
      <c r="BD55" s="241"/>
      <c r="BE55" s="241"/>
      <c r="BF55" s="241"/>
      <c r="BG55" s="241"/>
      <c r="BH55" s="241"/>
      <c r="BI55" s="241"/>
      <c r="BJ55" s="242"/>
      <c r="BK55" s="6"/>
    </row>
    <row r="56" spans="1:63" ht="31.5" customHeight="1" x14ac:dyDescent="0.25">
      <c r="A56" s="5"/>
      <c r="B56" s="26">
        <v>5</v>
      </c>
      <c r="C56" s="28"/>
      <c r="D56" s="39" t="s">
        <v>17</v>
      </c>
      <c r="E56" s="40"/>
      <c r="F56" s="40"/>
      <c r="G56" s="40"/>
      <c r="H56" s="40"/>
      <c r="I56" s="40"/>
      <c r="J56" s="41"/>
      <c r="K56" s="42" t="s">
        <v>5</v>
      </c>
      <c r="L56" s="43"/>
      <c r="M56" s="44"/>
      <c r="N56" s="14" t="s">
        <v>6</v>
      </c>
      <c r="O56" s="8" t="s">
        <v>7</v>
      </c>
      <c r="P56" s="26" t="s">
        <v>9</v>
      </c>
      <c r="Q56" s="27"/>
      <c r="R56" s="27"/>
      <c r="S56" s="28"/>
      <c r="T56" s="26" t="s">
        <v>9</v>
      </c>
      <c r="U56" s="27"/>
      <c r="V56" s="27"/>
      <c r="W56" s="28"/>
      <c r="X56" s="50" t="s">
        <v>21</v>
      </c>
      <c r="Y56" s="47"/>
      <c r="Z56" s="48"/>
      <c r="AA56" s="26" t="s">
        <v>8</v>
      </c>
      <c r="AB56" s="27"/>
      <c r="AC56" s="27"/>
      <c r="AD56" s="27"/>
      <c r="AE56" s="27"/>
      <c r="AF56" s="27"/>
      <c r="AG56" s="27"/>
      <c r="AH56" s="28"/>
      <c r="AI56" s="49" t="s">
        <v>8</v>
      </c>
      <c r="AJ56" s="47"/>
      <c r="AK56" s="47"/>
      <c r="AL56" s="47"/>
      <c r="AM56" s="47"/>
      <c r="AN56" s="47"/>
      <c r="AO56" s="47"/>
      <c r="AP56" s="47"/>
      <c r="AQ56" s="48"/>
      <c r="AR56" s="9" t="s">
        <v>6</v>
      </c>
      <c r="AS56" s="9" t="s">
        <v>8</v>
      </c>
      <c r="AT56" s="9" t="s">
        <v>8</v>
      </c>
      <c r="AU56" s="26" t="s">
        <v>9</v>
      </c>
      <c r="AV56" s="27"/>
      <c r="AW56" s="27"/>
      <c r="AX56" s="28"/>
      <c r="AY56" s="26" t="s">
        <v>8</v>
      </c>
      <c r="AZ56" s="27"/>
      <c r="BA56" s="27"/>
      <c r="BB56" s="28"/>
      <c r="BC56" s="246"/>
      <c r="BD56" s="241"/>
      <c r="BE56" s="241"/>
      <c r="BF56" s="241"/>
      <c r="BG56" s="241"/>
      <c r="BH56" s="241"/>
      <c r="BI56" s="241"/>
      <c r="BJ56" s="242"/>
      <c r="BK56" s="6"/>
    </row>
    <row r="57" spans="1:63" ht="31.5" customHeight="1" x14ac:dyDescent="0.25">
      <c r="A57" s="5"/>
      <c r="B57" s="26">
        <v>6</v>
      </c>
      <c r="C57" s="28"/>
      <c r="D57" s="39" t="s">
        <v>18</v>
      </c>
      <c r="E57" s="40"/>
      <c r="F57" s="40"/>
      <c r="G57" s="40"/>
      <c r="H57" s="40"/>
      <c r="I57" s="40"/>
      <c r="J57" s="41"/>
      <c r="K57" s="42" t="s">
        <v>11</v>
      </c>
      <c r="L57" s="43"/>
      <c r="M57" s="44"/>
      <c r="N57" s="10" t="s">
        <v>10</v>
      </c>
      <c r="O57" s="8" t="s">
        <v>6</v>
      </c>
      <c r="P57" s="26" t="s">
        <v>9</v>
      </c>
      <c r="Q57" s="27"/>
      <c r="R57" s="27"/>
      <c r="S57" s="28"/>
      <c r="T57" s="26" t="s">
        <v>9</v>
      </c>
      <c r="U57" s="27"/>
      <c r="V57" s="27"/>
      <c r="W57" s="28"/>
      <c r="X57" s="45" t="s">
        <v>6</v>
      </c>
      <c r="Y57" s="27"/>
      <c r="Z57" s="28"/>
      <c r="AA57" s="26" t="s">
        <v>8</v>
      </c>
      <c r="AB57" s="27"/>
      <c r="AC57" s="27"/>
      <c r="AD57" s="27"/>
      <c r="AE57" s="27"/>
      <c r="AF57" s="27"/>
      <c r="AG57" s="27"/>
      <c r="AH57" s="28"/>
      <c r="AI57" s="49" t="s">
        <v>8</v>
      </c>
      <c r="AJ57" s="47"/>
      <c r="AK57" s="47"/>
      <c r="AL57" s="47"/>
      <c r="AM57" s="47"/>
      <c r="AN57" s="47"/>
      <c r="AO57" s="47"/>
      <c r="AP57" s="47"/>
      <c r="AQ57" s="48"/>
      <c r="AR57" s="9" t="s">
        <v>6</v>
      </c>
      <c r="AS57" s="9" t="s">
        <v>8</v>
      </c>
      <c r="AT57" s="9" t="s">
        <v>8</v>
      </c>
      <c r="AU57" s="26" t="s">
        <v>9</v>
      </c>
      <c r="AV57" s="27"/>
      <c r="AW57" s="27"/>
      <c r="AX57" s="28"/>
      <c r="AY57" s="26" t="s">
        <v>8</v>
      </c>
      <c r="AZ57" s="27"/>
      <c r="BA57" s="27"/>
      <c r="BB57" s="28"/>
      <c r="BC57" s="246"/>
      <c r="BD57" s="241"/>
      <c r="BE57" s="241"/>
      <c r="BF57" s="241"/>
      <c r="BG57" s="241"/>
      <c r="BH57" s="241"/>
      <c r="BI57" s="241"/>
      <c r="BJ57" s="242"/>
      <c r="BK57" s="6"/>
    </row>
    <row r="58" spans="1:63" x14ac:dyDescent="0.25">
      <c r="A58" s="5"/>
      <c r="B58" s="26">
        <v>7</v>
      </c>
      <c r="C58" s="28"/>
      <c r="D58" s="39" t="s">
        <v>22</v>
      </c>
      <c r="E58" s="40"/>
      <c r="F58" s="40"/>
      <c r="G58" s="40"/>
      <c r="H58" s="40"/>
      <c r="I58" s="40"/>
      <c r="J58" s="41"/>
      <c r="K58" s="42" t="s">
        <v>5</v>
      </c>
      <c r="L58" s="43"/>
      <c r="M58" s="44"/>
      <c r="N58" s="14" t="s">
        <v>6</v>
      </c>
      <c r="O58" s="8" t="s">
        <v>7</v>
      </c>
      <c r="P58" s="26" t="s">
        <v>9</v>
      </c>
      <c r="Q58" s="27"/>
      <c r="R58" s="27"/>
      <c r="S58" s="28"/>
      <c r="T58" s="26" t="s">
        <v>9</v>
      </c>
      <c r="U58" s="27"/>
      <c r="V58" s="27"/>
      <c r="W58" s="28"/>
      <c r="X58" s="50" t="s">
        <v>94</v>
      </c>
      <c r="Y58" s="47"/>
      <c r="Z58" s="48"/>
      <c r="AA58" s="26" t="s">
        <v>8</v>
      </c>
      <c r="AB58" s="27"/>
      <c r="AC58" s="27"/>
      <c r="AD58" s="27"/>
      <c r="AE58" s="27"/>
      <c r="AF58" s="27"/>
      <c r="AG58" s="27"/>
      <c r="AH58" s="28"/>
      <c r="AI58" s="49" t="s">
        <v>8</v>
      </c>
      <c r="AJ58" s="47"/>
      <c r="AK58" s="47"/>
      <c r="AL58" s="47"/>
      <c r="AM58" s="47"/>
      <c r="AN58" s="47"/>
      <c r="AO58" s="47"/>
      <c r="AP58" s="47"/>
      <c r="AQ58" s="48"/>
      <c r="AR58" s="9" t="s">
        <v>6</v>
      </c>
      <c r="AS58" s="9" t="s">
        <v>8</v>
      </c>
      <c r="AT58" s="9" t="s">
        <v>8</v>
      </c>
      <c r="AU58" s="26" t="s">
        <v>9</v>
      </c>
      <c r="AV58" s="27"/>
      <c r="AW58" s="27"/>
      <c r="AX58" s="28"/>
      <c r="AY58" s="26" t="s">
        <v>8</v>
      </c>
      <c r="AZ58" s="27"/>
      <c r="BA58" s="27"/>
      <c r="BB58" s="28"/>
      <c r="BC58" s="246"/>
      <c r="BD58" s="241"/>
      <c r="BE58" s="241"/>
      <c r="BF58" s="241"/>
      <c r="BG58" s="241"/>
      <c r="BH58" s="241"/>
      <c r="BI58" s="241"/>
      <c r="BJ58" s="242"/>
      <c r="BK58" s="6"/>
    </row>
    <row r="59" spans="1:63" x14ac:dyDescent="0.25">
      <c r="A59" s="5"/>
      <c r="B59" s="26">
        <v>8</v>
      </c>
      <c r="C59" s="28"/>
      <c r="D59" s="39" t="s">
        <v>23</v>
      </c>
      <c r="E59" s="40"/>
      <c r="F59" s="40"/>
      <c r="G59" s="40"/>
      <c r="H59" s="40"/>
      <c r="I59" s="40"/>
      <c r="J59" s="41"/>
      <c r="K59" s="42" t="s">
        <v>11</v>
      </c>
      <c r="L59" s="43"/>
      <c r="M59" s="44"/>
      <c r="N59" s="10" t="s">
        <v>10</v>
      </c>
      <c r="O59" s="8" t="s">
        <v>6</v>
      </c>
      <c r="P59" s="26" t="s">
        <v>9</v>
      </c>
      <c r="Q59" s="27"/>
      <c r="R59" s="27"/>
      <c r="S59" s="28"/>
      <c r="T59" s="26" t="s">
        <v>9</v>
      </c>
      <c r="U59" s="27"/>
      <c r="V59" s="27"/>
      <c r="W59" s="28"/>
      <c r="X59" s="50" t="s">
        <v>25</v>
      </c>
      <c r="Y59" s="47"/>
      <c r="Z59" s="48"/>
      <c r="AA59" s="26" t="s">
        <v>8</v>
      </c>
      <c r="AB59" s="27"/>
      <c r="AC59" s="27"/>
      <c r="AD59" s="27"/>
      <c r="AE59" s="27"/>
      <c r="AF59" s="27"/>
      <c r="AG59" s="27"/>
      <c r="AH59" s="28"/>
      <c r="AI59" s="49" t="s">
        <v>8</v>
      </c>
      <c r="AJ59" s="47"/>
      <c r="AK59" s="47"/>
      <c r="AL59" s="47"/>
      <c r="AM59" s="47"/>
      <c r="AN59" s="47"/>
      <c r="AO59" s="47"/>
      <c r="AP59" s="47"/>
      <c r="AQ59" s="48"/>
      <c r="AR59" s="9" t="s">
        <v>6</v>
      </c>
      <c r="AS59" s="9" t="s">
        <v>8</v>
      </c>
      <c r="AT59" s="9" t="s">
        <v>8</v>
      </c>
      <c r="AU59" s="26" t="s">
        <v>9</v>
      </c>
      <c r="AV59" s="27"/>
      <c r="AW59" s="27"/>
      <c r="AX59" s="28"/>
      <c r="AY59" s="26" t="s">
        <v>8</v>
      </c>
      <c r="AZ59" s="27"/>
      <c r="BA59" s="27"/>
      <c r="BB59" s="28"/>
      <c r="BC59" s="246"/>
      <c r="BD59" s="241"/>
      <c r="BE59" s="241"/>
      <c r="BF59" s="241"/>
      <c r="BG59" s="241"/>
      <c r="BH59" s="241"/>
      <c r="BI59" s="241"/>
      <c r="BJ59" s="242"/>
      <c r="BK59" s="6"/>
    </row>
    <row r="60" spans="1:63" x14ac:dyDescent="0.25">
      <c r="A60" s="5"/>
      <c r="B60" s="26">
        <v>9</v>
      </c>
      <c r="C60" s="28"/>
      <c r="D60" s="39" t="s">
        <v>24</v>
      </c>
      <c r="E60" s="40"/>
      <c r="F60" s="40"/>
      <c r="G60" s="40"/>
      <c r="H60" s="40"/>
      <c r="I60" s="40"/>
      <c r="J60" s="41"/>
      <c r="K60" s="42" t="s">
        <v>11</v>
      </c>
      <c r="L60" s="43"/>
      <c r="M60" s="44"/>
      <c r="N60" s="10" t="s">
        <v>10</v>
      </c>
      <c r="O60" s="8" t="s">
        <v>6</v>
      </c>
      <c r="P60" s="26" t="s">
        <v>9</v>
      </c>
      <c r="Q60" s="27"/>
      <c r="R60" s="27"/>
      <c r="S60" s="28"/>
      <c r="T60" s="26" t="s">
        <v>9</v>
      </c>
      <c r="U60" s="27"/>
      <c r="V60" s="27"/>
      <c r="W60" s="28"/>
      <c r="X60" s="50" t="s">
        <v>26</v>
      </c>
      <c r="Y60" s="47"/>
      <c r="Z60" s="48"/>
      <c r="AA60" s="26" t="s">
        <v>8</v>
      </c>
      <c r="AB60" s="27"/>
      <c r="AC60" s="27"/>
      <c r="AD60" s="27"/>
      <c r="AE60" s="27"/>
      <c r="AF60" s="27"/>
      <c r="AG60" s="27"/>
      <c r="AH60" s="28"/>
      <c r="AI60" s="49" t="s">
        <v>8</v>
      </c>
      <c r="AJ60" s="47"/>
      <c r="AK60" s="47"/>
      <c r="AL60" s="47"/>
      <c r="AM60" s="47"/>
      <c r="AN60" s="47"/>
      <c r="AO60" s="47"/>
      <c r="AP60" s="47"/>
      <c r="AQ60" s="48"/>
      <c r="AR60" s="9" t="s">
        <v>6</v>
      </c>
      <c r="AS60" s="9" t="s">
        <v>8</v>
      </c>
      <c r="AT60" s="9" t="s">
        <v>8</v>
      </c>
      <c r="AU60" s="26" t="s">
        <v>9</v>
      </c>
      <c r="AV60" s="27"/>
      <c r="AW60" s="27"/>
      <c r="AX60" s="28"/>
      <c r="AY60" s="26" t="s">
        <v>8</v>
      </c>
      <c r="AZ60" s="27"/>
      <c r="BA60" s="27"/>
      <c r="BB60" s="28"/>
      <c r="BC60" s="246"/>
      <c r="BD60" s="241"/>
      <c r="BE60" s="241"/>
      <c r="BF60" s="241"/>
      <c r="BG60" s="241"/>
      <c r="BH60" s="241"/>
      <c r="BI60" s="241"/>
      <c r="BJ60" s="242"/>
      <c r="BK60" s="6"/>
    </row>
    <row r="61" spans="1:63" x14ac:dyDescent="0.25">
      <c r="A61" s="5"/>
      <c r="B61" s="26">
        <v>10</v>
      </c>
      <c r="C61" s="28"/>
      <c r="D61" s="39" t="s">
        <v>28</v>
      </c>
      <c r="E61" s="40"/>
      <c r="F61" s="40"/>
      <c r="G61" s="40"/>
      <c r="H61" s="40"/>
      <c r="I61" s="40"/>
      <c r="J61" s="41"/>
      <c r="K61" s="42" t="s">
        <v>5</v>
      </c>
      <c r="L61" s="43"/>
      <c r="M61" s="44"/>
      <c r="N61" s="14" t="s">
        <v>6</v>
      </c>
      <c r="O61" s="8" t="s">
        <v>6</v>
      </c>
      <c r="P61" s="26" t="s">
        <v>9</v>
      </c>
      <c r="Q61" s="27"/>
      <c r="R61" s="27"/>
      <c r="S61" s="28"/>
      <c r="T61" s="26" t="s">
        <v>9</v>
      </c>
      <c r="U61" s="27"/>
      <c r="V61" s="27"/>
      <c r="W61" s="28"/>
      <c r="X61" s="45" t="s">
        <v>28</v>
      </c>
      <c r="Y61" s="27"/>
      <c r="Z61" s="28"/>
      <c r="AA61" s="26" t="s">
        <v>8</v>
      </c>
      <c r="AB61" s="27"/>
      <c r="AC61" s="27"/>
      <c r="AD61" s="27"/>
      <c r="AE61" s="27"/>
      <c r="AF61" s="27"/>
      <c r="AG61" s="27"/>
      <c r="AH61" s="28"/>
      <c r="AI61" s="49" t="s">
        <v>8</v>
      </c>
      <c r="AJ61" s="47"/>
      <c r="AK61" s="47"/>
      <c r="AL61" s="47"/>
      <c r="AM61" s="47"/>
      <c r="AN61" s="47"/>
      <c r="AO61" s="47"/>
      <c r="AP61" s="47"/>
      <c r="AQ61" s="48"/>
      <c r="AR61" s="9" t="s">
        <v>6</v>
      </c>
      <c r="AS61" s="9" t="s">
        <v>8</v>
      </c>
      <c r="AT61" s="9" t="s">
        <v>8</v>
      </c>
      <c r="AU61" s="26" t="s">
        <v>9</v>
      </c>
      <c r="AV61" s="27"/>
      <c r="AW61" s="27"/>
      <c r="AX61" s="28"/>
      <c r="AY61" s="26" t="s">
        <v>8</v>
      </c>
      <c r="AZ61" s="27"/>
      <c r="BA61" s="27"/>
      <c r="BB61" s="28"/>
      <c r="BC61" s="246"/>
      <c r="BD61" s="241"/>
      <c r="BE61" s="241"/>
      <c r="BF61" s="241"/>
      <c r="BG61" s="241"/>
      <c r="BH61" s="241"/>
      <c r="BI61" s="241"/>
      <c r="BJ61" s="242"/>
      <c r="BK61" s="6"/>
    </row>
    <row r="62" spans="1:63" x14ac:dyDescent="0.25">
      <c r="A62" s="5"/>
      <c r="B62" s="26">
        <v>11</v>
      </c>
      <c r="C62" s="28"/>
      <c r="D62" s="39" t="s">
        <v>29</v>
      </c>
      <c r="E62" s="40"/>
      <c r="F62" s="40"/>
      <c r="G62" s="40"/>
      <c r="H62" s="40"/>
      <c r="I62" s="40"/>
      <c r="J62" s="41"/>
      <c r="K62" s="42" t="s">
        <v>11</v>
      </c>
      <c r="L62" s="43"/>
      <c r="M62" s="44"/>
      <c r="N62" s="10" t="s">
        <v>10</v>
      </c>
      <c r="O62" s="8" t="s">
        <v>6</v>
      </c>
      <c r="P62" s="26" t="s">
        <v>9</v>
      </c>
      <c r="Q62" s="27"/>
      <c r="R62" s="27"/>
      <c r="S62" s="28"/>
      <c r="T62" s="26" t="s">
        <v>9</v>
      </c>
      <c r="U62" s="27"/>
      <c r="V62" s="27"/>
      <c r="W62" s="28"/>
      <c r="X62" s="50" t="s">
        <v>95</v>
      </c>
      <c r="Y62" s="47"/>
      <c r="Z62" s="48"/>
      <c r="AA62" s="26" t="s">
        <v>8</v>
      </c>
      <c r="AB62" s="27"/>
      <c r="AC62" s="27"/>
      <c r="AD62" s="27"/>
      <c r="AE62" s="27"/>
      <c r="AF62" s="27"/>
      <c r="AG62" s="27"/>
      <c r="AH62" s="28"/>
      <c r="AI62" s="49" t="s">
        <v>8</v>
      </c>
      <c r="AJ62" s="47"/>
      <c r="AK62" s="47"/>
      <c r="AL62" s="47"/>
      <c r="AM62" s="47"/>
      <c r="AN62" s="47"/>
      <c r="AO62" s="47"/>
      <c r="AP62" s="47"/>
      <c r="AQ62" s="48"/>
      <c r="AR62" s="9" t="s">
        <v>6</v>
      </c>
      <c r="AS62" s="9" t="s">
        <v>8</v>
      </c>
      <c r="AT62" s="9" t="s">
        <v>8</v>
      </c>
      <c r="AU62" s="26" t="s">
        <v>9</v>
      </c>
      <c r="AV62" s="27"/>
      <c r="AW62" s="27"/>
      <c r="AX62" s="28"/>
      <c r="AY62" s="26" t="s">
        <v>8</v>
      </c>
      <c r="AZ62" s="27"/>
      <c r="BA62" s="27"/>
      <c r="BB62" s="28"/>
      <c r="BC62" s="246"/>
      <c r="BD62" s="241"/>
      <c r="BE62" s="241"/>
      <c r="BF62" s="241"/>
      <c r="BG62" s="241"/>
      <c r="BH62" s="241"/>
      <c r="BI62" s="241"/>
      <c r="BJ62" s="242"/>
      <c r="BK62" s="6"/>
    </row>
    <row r="63" spans="1:63" x14ac:dyDescent="0.25">
      <c r="A63" s="5"/>
      <c r="B63" s="26">
        <v>12</v>
      </c>
      <c r="C63" s="28"/>
      <c r="D63" s="39" t="s">
        <v>30</v>
      </c>
      <c r="E63" s="40"/>
      <c r="F63" s="40"/>
      <c r="G63" s="40"/>
      <c r="H63" s="40"/>
      <c r="I63" s="40"/>
      <c r="J63" s="41"/>
      <c r="K63" s="42" t="s">
        <v>11</v>
      </c>
      <c r="L63" s="43"/>
      <c r="M63" s="44"/>
      <c r="N63" s="10" t="s">
        <v>10</v>
      </c>
      <c r="O63" s="8" t="s">
        <v>6</v>
      </c>
      <c r="P63" s="26" t="s">
        <v>9</v>
      </c>
      <c r="Q63" s="27"/>
      <c r="R63" s="27"/>
      <c r="S63" s="28"/>
      <c r="T63" s="26" t="s">
        <v>9</v>
      </c>
      <c r="U63" s="27"/>
      <c r="V63" s="27"/>
      <c r="W63" s="28"/>
      <c r="X63" s="50" t="s">
        <v>27</v>
      </c>
      <c r="Y63" s="47"/>
      <c r="Z63" s="48"/>
      <c r="AA63" s="26" t="s">
        <v>8</v>
      </c>
      <c r="AB63" s="27"/>
      <c r="AC63" s="27"/>
      <c r="AD63" s="27"/>
      <c r="AE63" s="27"/>
      <c r="AF63" s="27"/>
      <c r="AG63" s="27"/>
      <c r="AH63" s="28"/>
      <c r="AI63" s="49" t="s">
        <v>8</v>
      </c>
      <c r="AJ63" s="47"/>
      <c r="AK63" s="47"/>
      <c r="AL63" s="47"/>
      <c r="AM63" s="47"/>
      <c r="AN63" s="47"/>
      <c r="AO63" s="47"/>
      <c r="AP63" s="47"/>
      <c r="AQ63" s="48"/>
      <c r="AR63" s="9" t="s">
        <v>6</v>
      </c>
      <c r="AS63" s="9" t="s">
        <v>8</v>
      </c>
      <c r="AT63" s="9" t="s">
        <v>8</v>
      </c>
      <c r="AU63" s="26" t="s">
        <v>9</v>
      </c>
      <c r="AV63" s="27"/>
      <c r="AW63" s="27"/>
      <c r="AX63" s="28"/>
      <c r="AY63" s="26" t="s">
        <v>8</v>
      </c>
      <c r="AZ63" s="27"/>
      <c r="BA63" s="27"/>
      <c r="BB63" s="28"/>
      <c r="BC63" s="246"/>
      <c r="BD63" s="241"/>
      <c r="BE63" s="241"/>
      <c r="BF63" s="241"/>
      <c r="BG63" s="241"/>
      <c r="BH63" s="241"/>
      <c r="BI63" s="241"/>
      <c r="BJ63" s="242"/>
      <c r="BK63" s="6"/>
    </row>
    <row r="64" spans="1:63" x14ac:dyDescent="0.25">
      <c r="A64" s="5"/>
      <c r="B64" s="51">
        <v>13</v>
      </c>
      <c r="C64" s="53"/>
      <c r="D64" s="54" t="s">
        <v>31</v>
      </c>
      <c r="E64" s="55"/>
      <c r="F64" s="55"/>
      <c r="G64" s="55"/>
      <c r="H64" s="55"/>
      <c r="I64" s="55"/>
      <c r="J64" s="56"/>
      <c r="K64" s="57" t="s">
        <v>32</v>
      </c>
      <c r="L64" s="58"/>
      <c r="M64" s="59"/>
      <c r="N64" s="11" t="s">
        <v>10</v>
      </c>
      <c r="O64" s="11" t="s">
        <v>7</v>
      </c>
      <c r="P64" s="51" t="s">
        <v>9</v>
      </c>
      <c r="Q64" s="52"/>
      <c r="R64" s="52"/>
      <c r="S64" s="53"/>
      <c r="T64" s="51" t="s">
        <v>9</v>
      </c>
      <c r="U64" s="52"/>
      <c r="V64" s="52"/>
      <c r="W64" s="53"/>
      <c r="X64" s="60" t="s">
        <v>31</v>
      </c>
      <c r="Y64" s="61"/>
      <c r="Z64" s="62"/>
      <c r="AA64" s="51" t="s">
        <v>8</v>
      </c>
      <c r="AB64" s="52"/>
      <c r="AC64" s="52"/>
      <c r="AD64" s="52"/>
      <c r="AE64" s="52"/>
      <c r="AF64" s="52"/>
      <c r="AG64" s="52"/>
      <c r="AH64" s="53"/>
      <c r="AI64" s="63" t="s">
        <v>96</v>
      </c>
      <c r="AJ64" s="61"/>
      <c r="AK64" s="61"/>
      <c r="AL64" s="61"/>
      <c r="AM64" s="61"/>
      <c r="AN64" s="61"/>
      <c r="AO64" s="61"/>
      <c r="AP64" s="61"/>
      <c r="AQ64" s="62"/>
      <c r="AR64" s="12" t="s">
        <v>6</v>
      </c>
      <c r="AS64" s="12" t="s">
        <v>8</v>
      </c>
      <c r="AT64" s="12" t="s">
        <v>8</v>
      </c>
      <c r="AU64" s="51" t="s">
        <v>9</v>
      </c>
      <c r="AV64" s="52"/>
      <c r="AW64" s="52"/>
      <c r="AX64" s="53"/>
      <c r="AY64" s="51" t="s">
        <v>8</v>
      </c>
      <c r="AZ64" s="52"/>
      <c r="BA64" s="52"/>
      <c r="BB64" s="53"/>
      <c r="BC64" s="250" t="s">
        <v>97</v>
      </c>
      <c r="BD64" s="251"/>
      <c r="BE64" s="251"/>
      <c r="BF64" s="251"/>
      <c r="BG64" s="251"/>
      <c r="BH64" s="251"/>
      <c r="BI64" s="251"/>
      <c r="BJ64" s="252"/>
      <c r="BK64" s="6"/>
    </row>
    <row r="65" spans="1:63" x14ac:dyDescent="0.25">
      <c r="A65" s="5"/>
      <c r="B65" s="18"/>
      <c r="C65" s="18"/>
      <c r="D65" s="19"/>
      <c r="E65" s="19"/>
      <c r="F65" s="19"/>
      <c r="G65" s="19"/>
      <c r="H65" s="19"/>
      <c r="I65" s="19"/>
      <c r="J65" s="19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20"/>
      <c r="Y65" s="21"/>
      <c r="Z65" s="21"/>
      <c r="AA65" s="18"/>
      <c r="AB65" s="18"/>
      <c r="AC65" s="18"/>
      <c r="AD65" s="18"/>
      <c r="AE65" s="18"/>
      <c r="AF65" s="18"/>
      <c r="AG65" s="18"/>
      <c r="AH65" s="18"/>
      <c r="AI65" s="22"/>
      <c r="AJ65" s="21"/>
      <c r="AK65" s="21"/>
      <c r="AL65" s="21"/>
      <c r="AM65" s="21"/>
      <c r="AN65" s="21"/>
      <c r="AO65" s="21"/>
      <c r="AP65" s="21"/>
      <c r="AQ65" s="21"/>
      <c r="AU65" s="18"/>
      <c r="AV65" s="18"/>
      <c r="AW65" s="18"/>
      <c r="AX65" s="18"/>
      <c r="AY65" s="18"/>
      <c r="AZ65" s="18"/>
      <c r="BA65" s="18"/>
      <c r="BB65" s="18"/>
      <c r="BC65" s="236"/>
      <c r="BD65" s="236"/>
      <c r="BE65" s="236"/>
      <c r="BF65" s="236"/>
      <c r="BG65" s="236"/>
      <c r="BH65" s="236"/>
      <c r="BI65" s="236"/>
      <c r="BJ65" s="236"/>
      <c r="BK65" s="6"/>
    </row>
    <row r="66" spans="1:63" x14ac:dyDescent="0.25">
      <c r="A66" s="5"/>
      <c r="B66" s="18"/>
      <c r="C66" s="18"/>
      <c r="D66" s="19"/>
      <c r="E66" s="19"/>
      <c r="F66" s="19"/>
      <c r="G66" s="19"/>
      <c r="H66" s="19"/>
      <c r="I66" s="19"/>
      <c r="J66" s="19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20"/>
      <c r="Y66" s="21"/>
      <c r="Z66" s="21"/>
      <c r="AA66" s="18"/>
      <c r="AB66" s="18"/>
      <c r="AC66" s="18"/>
      <c r="AD66" s="18"/>
      <c r="AE66" s="18"/>
      <c r="AF66" s="18"/>
      <c r="AG66" s="18"/>
      <c r="AH66" s="18"/>
      <c r="AI66" s="22"/>
      <c r="AJ66" s="21"/>
      <c r="AK66" s="21"/>
      <c r="AL66" s="21"/>
      <c r="AM66" s="21"/>
      <c r="AN66" s="21"/>
      <c r="AO66" s="21"/>
      <c r="AP66" s="21"/>
      <c r="AQ66" s="21"/>
      <c r="AU66" s="18"/>
      <c r="AV66" s="18"/>
      <c r="AW66" s="18"/>
      <c r="AX66" s="18"/>
      <c r="AY66" s="18"/>
      <c r="AZ66" s="18"/>
      <c r="BA66" s="18"/>
      <c r="BB66" s="18"/>
      <c r="BC66" s="236"/>
      <c r="BD66" s="236"/>
      <c r="BE66" s="236"/>
      <c r="BF66" s="236"/>
      <c r="BG66" s="236"/>
      <c r="BH66" s="236"/>
      <c r="BI66" s="236"/>
      <c r="BJ66" s="236"/>
      <c r="BK66" s="6"/>
    </row>
    <row r="67" spans="1:63" x14ac:dyDescent="0.25">
      <c r="A67" s="5"/>
      <c r="B67" s="18"/>
      <c r="C67" s="18"/>
      <c r="D67" s="19"/>
      <c r="E67" s="19"/>
      <c r="F67" s="19"/>
      <c r="G67" s="19"/>
      <c r="H67" s="19"/>
      <c r="I67" s="19"/>
      <c r="J67" s="19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20"/>
      <c r="Y67" s="21"/>
      <c r="Z67" s="21"/>
      <c r="AA67" s="18"/>
      <c r="AB67" s="18"/>
      <c r="AC67" s="18"/>
      <c r="AD67" s="18"/>
      <c r="AE67" s="18"/>
      <c r="AF67" s="18"/>
      <c r="AG67" s="18"/>
      <c r="AH67" s="18"/>
      <c r="AI67" s="22"/>
      <c r="AJ67" s="21"/>
      <c r="AK67" s="21"/>
      <c r="AL67" s="21"/>
      <c r="AM67" s="21"/>
      <c r="AN67" s="21"/>
      <c r="AO67" s="21"/>
      <c r="AP67" s="21"/>
      <c r="AQ67" s="21"/>
      <c r="AU67" s="18"/>
      <c r="AV67" s="18"/>
      <c r="AW67" s="18"/>
      <c r="AX67" s="18"/>
      <c r="AY67" s="18"/>
      <c r="AZ67" s="18"/>
      <c r="BA67" s="18"/>
      <c r="BB67" s="18"/>
      <c r="BC67" s="236"/>
      <c r="BD67" s="236"/>
      <c r="BE67" s="236"/>
      <c r="BF67" s="236"/>
      <c r="BG67" s="236"/>
      <c r="BH67" s="236"/>
      <c r="BI67" s="236"/>
      <c r="BJ67" s="236"/>
      <c r="BK67" s="6"/>
    </row>
    <row r="68" spans="1:63" ht="15" customHeight="1" x14ac:dyDescent="0.25">
      <c r="A68" s="5"/>
      <c r="B68" s="7" t="s">
        <v>75</v>
      </c>
      <c r="C68" s="236"/>
      <c r="D68" s="236"/>
      <c r="E68" s="236"/>
      <c r="F68" s="236"/>
      <c r="G68" s="236"/>
      <c r="H68" s="236"/>
      <c r="I68" s="236"/>
      <c r="J68" s="236"/>
      <c r="AE68" s="7"/>
      <c r="BK68" s="6"/>
    </row>
    <row r="69" spans="1:63" ht="15" customHeight="1" x14ac:dyDescent="0.25">
      <c r="A69" s="5"/>
      <c r="BK69" s="6"/>
    </row>
    <row r="70" spans="1:63" ht="15" customHeight="1" x14ac:dyDescent="0.25">
      <c r="A70" s="5"/>
      <c r="C70" s="156"/>
      <c r="BK70" s="6"/>
    </row>
    <row r="71" spans="1:63" ht="15" customHeight="1" x14ac:dyDescent="0.25">
      <c r="A71" s="5"/>
      <c r="BK71" s="6"/>
    </row>
    <row r="72" spans="1:63" ht="15" customHeight="1" x14ac:dyDescent="0.25">
      <c r="A72" s="5"/>
      <c r="E72" s="156"/>
      <c r="BK72" s="6"/>
    </row>
    <row r="73" spans="1:63" ht="15" customHeight="1" x14ac:dyDescent="0.25">
      <c r="A73" s="5"/>
      <c r="BK73" s="6"/>
    </row>
    <row r="74" spans="1:63" ht="15" customHeight="1" x14ac:dyDescent="0.25">
      <c r="A74" s="5"/>
      <c r="BK74" s="6"/>
    </row>
    <row r="75" spans="1:63" ht="15" customHeight="1" x14ac:dyDescent="0.25">
      <c r="A75" s="5"/>
      <c r="BK75" s="6"/>
    </row>
    <row r="76" spans="1:63" ht="15" customHeight="1" x14ac:dyDescent="0.25">
      <c r="A76" s="5"/>
      <c r="BK76" s="6"/>
    </row>
    <row r="77" spans="1:63" ht="15" customHeight="1" x14ac:dyDescent="0.25">
      <c r="A77" s="5"/>
      <c r="BK77" s="6"/>
    </row>
    <row r="78" spans="1:63" ht="15" customHeight="1" x14ac:dyDescent="0.25">
      <c r="A78" s="5"/>
      <c r="BK78" s="6"/>
    </row>
    <row r="79" spans="1:63" ht="15" customHeight="1" x14ac:dyDescent="0.25">
      <c r="A79" s="5"/>
      <c r="BK79" s="6"/>
    </row>
    <row r="80" spans="1:63" ht="15" customHeight="1" x14ac:dyDescent="0.25">
      <c r="A80" s="5"/>
      <c r="BK80" s="6"/>
    </row>
    <row r="81" spans="1:63" ht="15" customHeight="1" x14ac:dyDescent="0.25">
      <c r="A81" s="5"/>
      <c r="BK81" s="6"/>
    </row>
    <row r="82" spans="1:63" ht="15" customHeight="1" x14ac:dyDescent="0.25">
      <c r="A82" s="5"/>
      <c r="BK82" s="6"/>
    </row>
    <row r="83" spans="1:63" ht="15" customHeight="1" x14ac:dyDescent="0.25">
      <c r="A83" s="5"/>
      <c r="BK83" s="6"/>
    </row>
    <row r="84" spans="1:63" ht="15" customHeight="1" x14ac:dyDescent="0.25">
      <c r="A84" s="5"/>
      <c r="BK84" s="6"/>
    </row>
    <row r="85" spans="1:63" ht="15" customHeight="1" x14ac:dyDescent="0.25">
      <c r="A85" s="5"/>
      <c r="BK85" s="6"/>
    </row>
    <row r="86" spans="1:63" ht="15" customHeight="1" x14ac:dyDescent="0.25">
      <c r="A86" s="5"/>
      <c r="BK86" s="6"/>
    </row>
    <row r="87" spans="1:63" ht="15" customHeight="1" x14ac:dyDescent="0.25">
      <c r="A87" s="5"/>
      <c r="BK87" s="6"/>
    </row>
    <row r="88" spans="1:63" ht="15" customHeight="1" x14ac:dyDescent="0.25">
      <c r="A88" s="5"/>
      <c r="BK88" s="6"/>
    </row>
    <row r="89" spans="1:63" ht="15" customHeight="1" x14ac:dyDescent="0.25">
      <c r="A89" s="5"/>
      <c r="BK89" s="6"/>
    </row>
    <row r="90" spans="1:63" ht="15" customHeight="1" x14ac:dyDescent="0.25">
      <c r="A90" s="5"/>
      <c r="BK90" s="6"/>
    </row>
    <row r="91" spans="1:63" ht="15" customHeight="1" x14ac:dyDescent="0.25">
      <c r="A91" s="5"/>
      <c r="BK91" s="6"/>
    </row>
    <row r="92" spans="1:63" ht="15" customHeight="1" x14ac:dyDescent="0.25">
      <c r="A92" s="5"/>
      <c r="BK92" s="6"/>
    </row>
    <row r="93" spans="1:63" ht="15" customHeight="1" x14ac:dyDescent="0.25">
      <c r="A93" s="5"/>
      <c r="BK93" s="6"/>
    </row>
    <row r="94" spans="1:63" ht="15" customHeight="1" x14ac:dyDescent="0.25">
      <c r="A94" s="5"/>
      <c r="BK94" s="6"/>
    </row>
    <row r="95" spans="1:63" ht="15" customHeight="1" x14ac:dyDescent="0.25">
      <c r="A95" s="5"/>
      <c r="BK95" s="6"/>
    </row>
    <row r="96" spans="1:63" ht="15" customHeight="1" x14ac:dyDescent="0.25">
      <c r="A96" s="5"/>
      <c r="BK96" s="6"/>
    </row>
    <row r="97" spans="1:63" ht="15" customHeight="1" x14ac:dyDescent="0.25">
      <c r="A97" s="5"/>
      <c r="BK97" s="6"/>
    </row>
    <row r="98" spans="1:63" ht="15" customHeight="1" x14ac:dyDescent="0.25">
      <c r="A98" s="5"/>
      <c r="BK98" s="6"/>
    </row>
    <row r="99" spans="1:63" ht="15" customHeight="1" x14ac:dyDescent="0.25">
      <c r="A99" s="5"/>
      <c r="BK99" s="6"/>
    </row>
    <row r="100" spans="1:63" x14ac:dyDescent="0.25">
      <c r="A100" s="5"/>
      <c r="BK100" s="6"/>
    </row>
    <row r="101" spans="1:63" x14ac:dyDescent="0.25">
      <c r="A101" s="5"/>
      <c r="BK101" s="6"/>
    </row>
    <row r="102" spans="1:63" x14ac:dyDescent="0.25">
      <c r="A102" s="5"/>
      <c r="BK102" s="6"/>
    </row>
    <row r="103" spans="1:63" x14ac:dyDescent="0.25">
      <c r="A103" s="5"/>
      <c r="BK103" s="6"/>
    </row>
    <row r="104" spans="1:63" x14ac:dyDescent="0.25">
      <c r="A104" s="5"/>
      <c r="BK104" s="6"/>
    </row>
    <row r="105" spans="1:63" ht="15.75" customHeight="1" x14ac:dyDescent="0.25">
      <c r="A105" s="5"/>
      <c r="B105" s="74" t="s">
        <v>77</v>
      </c>
      <c r="C105" s="75"/>
      <c r="D105" s="80" t="s">
        <v>78</v>
      </c>
      <c r="E105" s="81"/>
      <c r="F105" s="81"/>
      <c r="G105" s="81"/>
      <c r="H105" s="81"/>
      <c r="I105" s="81"/>
      <c r="J105" s="75"/>
      <c r="K105" s="80" t="s">
        <v>98</v>
      </c>
      <c r="L105" s="81"/>
      <c r="M105" s="75"/>
      <c r="N105" s="84" t="s">
        <v>3</v>
      </c>
      <c r="O105" s="87" t="s">
        <v>80</v>
      </c>
      <c r="P105" s="101" t="s">
        <v>81</v>
      </c>
      <c r="Q105" s="102"/>
      <c r="R105" s="102"/>
      <c r="S105" s="102"/>
      <c r="T105" s="102"/>
      <c r="U105" s="102"/>
      <c r="V105" s="102"/>
      <c r="W105" s="102"/>
      <c r="X105" s="102"/>
      <c r="Y105" s="102"/>
      <c r="Z105" s="102"/>
      <c r="AA105" s="102"/>
      <c r="AB105" s="102"/>
      <c r="AC105" s="102"/>
      <c r="AD105" s="102"/>
      <c r="AE105" s="102"/>
      <c r="AF105" s="102"/>
      <c r="AG105" s="102"/>
      <c r="AH105" s="102"/>
      <c r="AI105" s="102"/>
      <c r="AJ105" s="102"/>
      <c r="AK105" s="102"/>
      <c r="AL105" s="102"/>
      <c r="AM105" s="102"/>
      <c r="AN105" s="102"/>
      <c r="AO105" s="102"/>
      <c r="AP105" s="102"/>
      <c r="AQ105" s="103"/>
      <c r="AR105" s="90" t="s">
        <v>82</v>
      </c>
      <c r="AS105" s="91"/>
      <c r="AT105" s="91"/>
      <c r="AU105" s="91"/>
      <c r="AV105" s="91"/>
      <c r="AW105" s="91"/>
      <c r="AX105" s="91"/>
      <c r="AY105" s="91"/>
      <c r="AZ105" s="91"/>
      <c r="BA105" s="91"/>
      <c r="BB105" s="94"/>
      <c r="BC105" s="104" t="s">
        <v>83</v>
      </c>
      <c r="BD105" s="105"/>
      <c r="BE105" s="105"/>
      <c r="BF105" s="105"/>
      <c r="BG105" s="105"/>
      <c r="BH105" s="105"/>
      <c r="BI105" s="105"/>
      <c r="BJ105" s="106"/>
      <c r="BK105" s="6"/>
    </row>
    <row r="106" spans="1:63" ht="15.75" customHeight="1" x14ac:dyDescent="0.25">
      <c r="A106" s="5"/>
      <c r="B106" s="76"/>
      <c r="C106" s="77"/>
      <c r="D106" s="76"/>
      <c r="E106" s="82"/>
      <c r="F106" s="82"/>
      <c r="G106" s="82"/>
      <c r="H106" s="82"/>
      <c r="I106" s="82"/>
      <c r="J106" s="77"/>
      <c r="K106" s="76"/>
      <c r="L106" s="82"/>
      <c r="M106" s="77"/>
      <c r="N106" s="85"/>
      <c r="O106" s="88"/>
      <c r="P106" s="113" t="s">
        <v>84</v>
      </c>
      <c r="Q106" s="114"/>
      <c r="R106" s="114"/>
      <c r="S106" s="114"/>
      <c r="T106" s="114"/>
      <c r="U106" s="114"/>
      <c r="V106" s="114"/>
      <c r="W106" s="115"/>
      <c r="X106" s="116" t="s">
        <v>85</v>
      </c>
      <c r="Y106" s="117"/>
      <c r="Z106" s="118"/>
      <c r="AA106" s="116" t="s">
        <v>86</v>
      </c>
      <c r="AB106" s="117"/>
      <c r="AC106" s="117"/>
      <c r="AD106" s="117"/>
      <c r="AE106" s="117"/>
      <c r="AF106" s="117"/>
      <c r="AG106" s="117"/>
      <c r="AH106" s="118"/>
      <c r="AI106" s="116" t="s">
        <v>87</v>
      </c>
      <c r="AJ106" s="117"/>
      <c r="AK106" s="117"/>
      <c r="AL106" s="117"/>
      <c r="AM106" s="117"/>
      <c r="AN106" s="117"/>
      <c r="AO106" s="117"/>
      <c r="AP106" s="117"/>
      <c r="AQ106" s="118"/>
      <c r="AR106" s="122" t="s">
        <v>4</v>
      </c>
      <c r="AS106" s="124" t="s">
        <v>88</v>
      </c>
      <c r="AT106" s="126" t="s">
        <v>89</v>
      </c>
      <c r="AU106" s="90" t="s">
        <v>84</v>
      </c>
      <c r="AV106" s="91"/>
      <c r="AW106" s="91"/>
      <c r="AX106" s="91"/>
      <c r="AY106" s="91"/>
      <c r="AZ106" s="91"/>
      <c r="BA106" s="91"/>
      <c r="BB106" s="94"/>
      <c r="BC106" s="107"/>
      <c r="BD106" s="108"/>
      <c r="BE106" s="108"/>
      <c r="BF106" s="108"/>
      <c r="BG106" s="108"/>
      <c r="BH106" s="108"/>
      <c r="BI106" s="108"/>
      <c r="BJ106" s="109"/>
      <c r="BK106" s="6"/>
    </row>
    <row r="107" spans="1:63" x14ac:dyDescent="0.25">
      <c r="A107" s="5"/>
      <c r="B107" s="78"/>
      <c r="C107" s="79"/>
      <c r="D107" s="78"/>
      <c r="E107" s="83"/>
      <c r="F107" s="83"/>
      <c r="G107" s="83"/>
      <c r="H107" s="83"/>
      <c r="I107" s="83"/>
      <c r="J107" s="79"/>
      <c r="K107" s="78"/>
      <c r="L107" s="83"/>
      <c r="M107" s="79"/>
      <c r="N107" s="86"/>
      <c r="O107" s="89"/>
      <c r="P107" s="101" t="s">
        <v>90</v>
      </c>
      <c r="Q107" s="102"/>
      <c r="R107" s="102"/>
      <c r="S107" s="103"/>
      <c r="T107" s="101" t="s">
        <v>78</v>
      </c>
      <c r="U107" s="102"/>
      <c r="V107" s="102"/>
      <c r="W107" s="103"/>
      <c r="X107" s="119"/>
      <c r="Y107" s="120"/>
      <c r="Z107" s="121"/>
      <c r="AA107" s="119"/>
      <c r="AB107" s="120"/>
      <c r="AC107" s="120"/>
      <c r="AD107" s="120"/>
      <c r="AE107" s="120"/>
      <c r="AF107" s="120"/>
      <c r="AG107" s="120"/>
      <c r="AH107" s="121"/>
      <c r="AI107" s="119"/>
      <c r="AJ107" s="120"/>
      <c r="AK107" s="120"/>
      <c r="AL107" s="120"/>
      <c r="AM107" s="120"/>
      <c r="AN107" s="120"/>
      <c r="AO107" s="120"/>
      <c r="AP107" s="120"/>
      <c r="AQ107" s="121"/>
      <c r="AR107" s="123"/>
      <c r="AS107" s="125"/>
      <c r="AT107" s="127"/>
      <c r="AU107" s="90" t="s">
        <v>90</v>
      </c>
      <c r="AV107" s="91"/>
      <c r="AW107" s="91"/>
      <c r="AX107" s="92"/>
      <c r="AY107" s="93" t="s">
        <v>78</v>
      </c>
      <c r="AZ107" s="91"/>
      <c r="BA107" s="91"/>
      <c r="BB107" s="94"/>
      <c r="BC107" s="110"/>
      <c r="BD107" s="111"/>
      <c r="BE107" s="111"/>
      <c r="BF107" s="111"/>
      <c r="BG107" s="111"/>
      <c r="BH107" s="111"/>
      <c r="BI107" s="111"/>
      <c r="BJ107" s="112"/>
      <c r="BK107" s="6"/>
    </row>
    <row r="108" spans="1:63" ht="15.75" customHeight="1" x14ac:dyDescent="0.25">
      <c r="A108" s="5"/>
      <c r="B108" s="29"/>
      <c r="C108" s="30"/>
      <c r="D108" s="36" t="s">
        <v>37</v>
      </c>
      <c r="E108" s="37"/>
      <c r="F108" s="37"/>
      <c r="G108" s="37"/>
      <c r="H108" s="37"/>
      <c r="I108" s="37"/>
      <c r="J108" s="37"/>
      <c r="K108" s="37"/>
      <c r="L108" s="37"/>
      <c r="M108" s="38"/>
      <c r="N108" s="15"/>
      <c r="O108" s="13"/>
      <c r="P108" s="29"/>
      <c r="Q108" s="31"/>
      <c r="R108" s="31"/>
      <c r="S108" s="30"/>
      <c r="T108" s="29"/>
      <c r="U108" s="31"/>
      <c r="V108" s="31"/>
      <c r="W108" s="30"/>
      <c r="X108" s="32"/>
      <c r="Y108" s="33"/>
      <c r="Z108" s="34"/>
      <c r="AA108" s="29"/>
      <c r="AB108" s="31"/>
      <c r="AC108" s="31"/>
      <c r="AD108" s="31"/>
      <c r="AE108" s="31"/>
      <c r="AF108" s="31"/>
      <c r="AG108" s="31"/>
      <c r="AH108" s="30"/>
      <c r="AI108" s="35"/>
      <c r="AJ108" s="33"/>
      <c r="AK108" s="33"/>
      <c r="AL108" s="33"/>
      <c r="AM108" s="33"/>
      <c r="AN108" s="33"/>
      <c r="AO108" s="33"/>
      <c r="AP108" s="33"/>
      <c r="AQ108" s="34"/>
      <c r="AR108" s="16"/>
      <c r="AS108" s="16"/>
      <c r="AT108" s="16"/>
      <c r="AU108" s="29"/>
      <c r="AV108" s="31"/>
      <c r="AW108" s="31"/>
      <c r="AX108" s="30"/>
      <c r="AY108" s="29"/>
      <c r="AZ108" s="31"/>
      <c r="BA108" s="31"/>
      <c r="BB108" s="30"/>
      <c r="BC108" s="253"/>
      <c r="BD108" s="244"/>
      <c r="BE108" s="244"/>
      <c r="BF108" s="244"/>
      <c r="BG108" s="244"/>
      <c r="BH108" s="244"/>
      <c r="BI108" s="244"/>
      <c r="BJ108" s="245"/>
      <c r="BK108" s="6"/>
    </row>
    <row r="109" spans="1:63" x14ac:dyDescent="0.25">
      <c r="A109" s="5"/>
      <c r="B109" s="26">
        <v>14</v>
      </c>
      <c r="C109" s="28"/>
      <c r="D109" s="39" t="s">
        <v>33</v>
      </c>
      <c r="E109" s="40"/>
      <c r="F109" s="40"/>
      <c r="G109" s="40"/>
      <c r="H109" s="40"/>
      <c r="I109" s="40"/>
      <c r="J109" s="41"/>
      <c r="K109" s="42" t="s">
        <v>34</v>
      </c>
      <c r="L109" s="43"/>
      <c r="M109" s="44"/>
      <c r="N109" s="10" t="s">
        <v>10</v>
      </c>
      <c r="O109" s="8" t="s">
        <v>7</v>
      </c>
      <c r="P109" s="26" t="s">
        <v>9</v>
      </c>
      <c r="Q109" s="27"/>
      <c r="R109" s="27"/>
      <c r="S109" s="28"/>
      <c r="T109" s="26" t="s">
        <v>9</v>
      </c>
      <c r="U109" s="27"/>
      <c r="V109" s="27"/>
      <c r="W109" s="28"/>
      <c r="X109" s="50" t="s">
        <v>35</v>
      </c>
      <c r="Y109" s="47"/>
      <c r="Z109" s="48"/>
      <c r="AA109" s="26" t="s">
        <v>8</v>
      </c>
      <c r="AB109" s="27"/>
      <c r="AC109" s="27"/>
      <c r="AD109" s="27"/>
      <c r="AE109" s="27"/>
      <c r="AF109" s="27"/>
      <c r="AG109" s="27"/>
      <c r="AH109" s="28"/>
      <c r="AI109" s="49" t="s">
        <v>8</v>
      </c>
      <c r="AJ109" s="47"/>
      <c r="AK109" s="47"/>
      <c r="AL109" s="47"/>
      <c r="AM109" s="47"/>
      <c r="AN109" s="47"/>
      <c r="AO109" s="47"/>
      <c r="AP109" s="47"/>
      <c r="AQ109" s="48"/>
      <c r="AR109" s="9" t="s">
        <v>6</v>
      </c>
      <c r="AS109" s="9" t="s">
        <v>8</v>
      </c>
      <c r="AT109" s="9" t="s">
        <v>8</v>
      </c>
      <c r="AU109" s="26" t="s">
        <v>9</v>
      </c>
      <c r="AV109" s="27"/>
      <c r="AW109" s="27"/>
      <c r="AX109" s="28"/>
      <c r="AY109" s="26" t="s">
        <v>8</v>
      </c>
      <c r="AZ109" s="27"/>
      <c r="BA109" s="27"/>
      <c r="BB109" s="28"/>
      <c r="BC109" s="246" t="s">
        <v>99</v>
      </c>
      <c r="BD109" s="241"/>
      <c r="BE109" s="241"/>
      <c r="BF109" s="241"/>
      <c r="BG109" s="241"/>
      <c r="BH109" s="241"/>
      <c r="BI109" s="241"/>
      <c r="BJ109" s="242"/>
      <c r="BK109" s="6"/>
    </row>
    <row r="110" spans="1:63" x14ac:dyDescent="0.25">
      <c r="A110" s="5"/>
      <c r="B110" s="26">
        <v>15</v>
      </c>
      <c r="C110" s="28"/>
      <c r="D110" s="39" t="s">
        <v>36</v>
      </c>
      <c r="E110" s="40"/>
      <c r="F110" s="40"/>
      <c r="G110" s="40"/>
      <c r="H110" s="40"/>
      <c r="I110" s="40"/>
      <c r="J110" s="41"/>
      <c r="K110" s="42" t="s">
        <v>34</v>
      </c>
      <c r="L110" s="43"/>
      <c r="M110" s="44"/>
      <c r="N110" s="10" t="s">
        <v>10</v>
      </c>
      <c r="O110" s="8" t="s">
        <v>6</v>
      </c>
      <c r="P110" s="26" t="s">
        <v>9</v>
      </c>
      <c r="Q110" s="27"/>
      <c r="R110" s="27"/>
      <c r="S110" s="28"/>
      <c r="T110" s="26" t="s">
        <v>9</v>
      </c>
      <c r="U110" s="27"/>
      <c r="V110" s="27"/>
      <c r="W110" s="28"/>
      <c r="X110" s="45" t="s">
        <v>6</v>
      </c>
      <c r="Y110" s="27"/>
      <c r="Z110" s="28"/>
      <c r="AA110" s="26" t="s">
        <v>8</v>
      </c>
      <c r="AB110" s="27"/>
      <c r="AC110" s="27"/>
      <c r="AD110" s="27"/>
      <c r="AE110" s="27"/>
      <c r="AF110" s="27"/>
      <c r="AG110" s="27"/>
      <c r="AH110" s="28"/>
      <c r="AI110" s="49" t="s">
        <v>8</v>
      </c>
      <c r="AJ110" s="47"/>
      <c r="AK110" s="47"/>
      <c r="AL110" s="47"/>
      <c r="AM110" s="47"/>
      <c r="AN110" s="47"/>
      <c r="AO110" s="47"/>
      <c r="AP110" s="47"/>
      <c r="AQ110" s="48"/>
      <c r="AR110" s="9" t="s">
        <v>6</v>
      </c>
      <c r="AS110" s="9" t="s">
        <v>8</v>
      </c>
      <c r="AT110" s="9" t="s">
        <v>8</v>
      </c>
      <c r="AU110" s="26" t="s">
        <v>9</v>
      </c>
      <c r="AV110" s="27"/>
      <c r="AW110" s="27"/>
      <c r="AX110" s="28"/>
      <c r="AY110" s="26" t="s">
        <v>8</v>
      </c>
      <c r="AZ110" s="27"/>
      <c r="BA110" s="27"/>
      <c r="BB110" s="28"/>
      <c r="BC110" s="246"/>
      <c r="BD110" s="241"/>
      <c r="BE110" s="241"/>
      <c r="BF110" s="241"/>
      <c r="BG110" s="241"/>
      <c r="BH110" s="241"/>
      <c r="BI110" s="241"/>
      <c r="BJ110" s="242"/>
      <c r="BK110" s="6"/>
    </row>
    <row r="111" spans="1:63" x14ac:dyDescent="0.25">
      <c r="A111" s="5"/>
      <c r="B111" s="26">
        <v>16</v>
      </c>
      <c r="C111" s="28"/>
      <c r="D111" s="39" t="s">
        <v>13</v>
      </c>
      <c r="E111" s="40"/>
      <c r="F111" s="40"/>
      <c r="G111" s="40"/>
      <c r="H111" s="40"/>
      <c r="I111" s="40"/>
      <c r="J111" s="41"/>
      <c r="K111" s="42" t="s">
        <v>5</v>
      </c>
      <c r="L111" s="43"/>
      <c r="M111" s="44"/>
      <c r="N111" s="14" t="s">
        <v>6</v>
      </c>
      <c r="O111" s="8" t="s">
        <v>7</v>
      </c>
      <c r="P111" s="26" t="s">
        <v>9</v>
      </c>
      <c r="Q111" s="27"/>
      <c r="R111" s="27"/>
      <c r="S111" s="28"/>
      <c r="T111" s="26" t="s">
        <v>9</v>
      </c>
      <c r="U111" s="27"/>
      <c r="V111" s="27"/>
      <c r="W111" s="28"/>
      <c r="X111" s="50" t="s">
        <v>19</v>
      </c>
      <c r="Y111" s="47"/>
      <c r="Z111" s="48"/>
      <c r="AA111" s="26" t="s">
        <v>8</v>
      </c>
      <c r="AB111" s="27"/>
      <c r="AC111" s="27"/>
      <c r="AD111" s="27"/>
      <c r="AE111" s="27"/>
      <c r="AF111" s="27"/>
      <c r="AG111" s="27"/>
      <c r="AH111" s="28"/>
      <c r="AI111" s="49" t="s">
        <v>8</v>
      </c>
      <c r="AJ111" s="47"/>
      <c r="AK111" s="47"/>
      <c r="AL111" s="47"/>
      <c r="AM111" s="47"/>
      <c r="AN111" s="47"/>
      <c r="AO111" s="47"/>
      <c r="AP111" s="47"/>
      <c r="AQ111" s="48"/>
      <c r="AR111" s="9" t="s">
        <v>6</v>
      </c>
      <c r="AS111" s="9" t="s">
        <v>8</v>
      </c>
      <c r="AT111" s="9" t="s">
        <v>8</v>
      </c>
      <c r="AU111" s="26" t="s">
        <v>9</v>
      </c>
      <c r="AV111" s="27"/>
      <c r="AW111" s="27"/>
      <c r="AX111" s="28"/>
      <c r="AY111" s="26" t="s">
        <v>8</v>
      </c>
      <c r="AZ111" s="27"/>
      <c r="BA111" s="27"/>
      <c r="BB111" s="28"/>
      <c r="BC111" s="246"/>
      <c r="BD111" s="241"/>
      <c r="BE111" s="241"/>
      <c r="BF111" s="241"/>
      <c r="BG111" s="241"/>
      <c r="BH111" s="241"/>
      <c r="BI111" s="241"/>
      <c r="BJ111" s="242"/>
      <c r="BK111" s="6"/>
    </row>
    <row r="112" spans="1:63" x14ac:dyDescent="0.25">
      <c r="A112" s="5"/>
      <c r="B112" s="26">
        <v>17</v>
      </c>
      <c r="C112" s="28"/>
      <c r="D112" s="39" t="s">
        <v>14</v>
      </c>
      <c r="E112" s="40"/>
      <c r="F112" s="40"/>
      <c r="G112" s="40"/>
      <c r="H112" s="40"/>
      <c r="I112" s="40"/>
      <c r="J112" s="41"/>
      <c r="K112" s="42" t="s">
        <v>5</v>
      </c>
      <c r="L112" s="43"/>
      <c r="M112" s="44"/>
      <c r="N112" s="17" t="s">
        <v>100</v>
      </c>
      <c r="O112" s="8" t="s">
        <v>6</v>
      </c>
      <c r="P112" s="26" t="s">
        <v>9</v>
      </c>
      <c r="Q112" s="27"/>
      <c r="R112" s="27"/>
      <c r="S112" s="28"/>
      <c r="T112" s="26" t="s">
        <v>9</v>
      </c>
      <c r="U112" s="27"/>
      <c r="V112" s="27"/>
      <c r="W112" s="28"/>
      <c r="X112" s="45" t="s">
        <v>6</v>
      </c>
      <c r="Y112" s="27"/>
      <c r="Z112" s="28"/>
      <c r="AA112" s="26" t="s">
        <v>8</v>
      </c>
      <c r="AB112" s="27"/>
      <c r="AC112" s="27"/>
      <c r="AD112" s="27"/>
      <c r="AE112" s="27"/>
      <c r="AF112" s="27"/>
      <c r="AG112" s="27"/>
      <c r="AH112" s="28"/>
      <c r="AI112" s="49" t="s">
        <v>8</v>
      </c>
      <c r="AJ112" s="47"/>
      <c r="AK112" s="47"/>
      <c r="AL112" s="47"/>
      <c r="AM112" s="47"/>
      <c r="AN112" s="47"/>
      <c r="AO112" s="47"/>
      <c r="AP112" s="47"/>
      <c r="AQ112" s="48"/>
      <c r="AR112" s="9" t="s">
        <v>6</v>
      </c>
      <c r="AS112" s="9" t="s">
        <v>8</v>
      </c>
      <c r="AT112" s="9" t="s">
        <v>8</v>
      </c>
      <c r="AU112" s="26" t="s">
        <v>9</v>
      </c>
      <c r="AV112" s="27"/>
      <c r="AW112" s="27"/>
      <c r="AX112" s="28"/>
      <c r="AY112" s="26" t="s">
        <v>8</v>
      </c>
      <c r="AZ112" s="27"/>
      <c r="BA112" s="27"/>
      <c r="BB112" s="28"/>
      <c r="BC112" s="246"/>
      <c r="BD112" s="241"/>
      <c r="BE112" s="241"/>
      <c r="BF112" s="241"/>
      <c r="BG112" s="241"/>
      <c r="BH112" s="241"/>
      <c r="BI112" s="241"/>
      <c r="BJ112" s="242"/>
      <c r="BK112" s="6"/>
    </row>
    <row r="113" spans="1:63" x14ac:dyDescent="0.25">
      <c r="A113" s="5"/>
      <c r="B113" s="26">
        <v>18</v>
      </c>
      <c r="C113" s="28"/>
      <c r="D113" s="39" t="s">
        <v>38</v>
      </c>
      <c r="E113" s="40"/>
      <c r="F113" s="40"/>
      <c r="G113" s="40"/>
      <c r="H113" s="40"/>
      <c r="I113" s="40"/>
      <c r="J113" s="41"/>
      <c r="K113" s="42" t="s">
        <v>5</v>
      </c>
      <c r="L113" s="43"/>
      <c r="M113" s="44"/>
      <c r="N113" s="14" t="s">
        <v>6</v>
      </c>
      <c r="O113" s="8" t="s">
        <v>7</v>
      </c>
      <c r="P113" s="26" t="s">
        <v>9</v>
      </c>
      <c r="Q113" s="27"/>
      <c r="R113" s="27"/>
      <c r="S113" s="28"/>
      <c r="T113" s="26" t="s">
        <v>9</v>
      </c>
      <c r="U113" s="27"/>
      <c r="V113" s="27"/>
      <c r="W113" s="28"/>
      <c r="X113" s="50" t="s">
        <v>40</v>
      </c>
      <c r="Y113" s="47"/>
      <c r="Z113" s="48"/>
      <c r="AA113" s="26" t="s">
        <v>8</v>
      </c>
      <c r="AB113" s="27"/>
      <c r="AC113" s="27"/>
      <c r="AD113" s="27"/>
      <c r="AE113" s="27"/>
      <c r="AF113" s="27"/>
      <c r="AG113" s="27"/>
      <c r="AH113" s="28"/>
      <c r="AI113" s="49" t="s">
        <v>8</v>
      </c>
      <c r="AJ113" s="47"/>
      <c r="AK113" s="47"/>
      <c r="AL113" s="47"/>
      <c r="AM113" s="47"/>
      <c r="AN113" s="47"/>
      <c r="AO113" s="47"/>
      <c r="AP113" s="47"/>
      <c r="AQ113" s="48"/>
      <c r="AR113" s="9" t="s">
        <v>6</v>
      </c>
      <c r="AS113" s="9" t="s">
        <v>8</v>
      </c>
      <c r="AT113" s="9" t="s">
        <v>8</v>
      </c>
      <c r="AU113" s="26" t="s">
        <v>9</v>
      </c>
      <c r="AV113" s="27"/>
      <c r="AW113" s="27"/>
      <c r="AX113" s="28"/>
      <c r="AY113" s="26" t="s">
        <v>8</v>
      </c>
      <c r="AZ113" s="27"/>
      <c r="BA113" s="27"/>
      <c r="BB113" s="28"/>
      <c r="BC113" s="246"/>
      <c r="BD113" s="241"/>
      <c r="BE113" s="241"/>
      <c r="BF113" s="241"/>
      <c r="BG113" s="241"/>
      <c r="BH113" s="241"/>
      <c r="BI113" s="241"/>
      <c r="BJ113" s="242"/>
      <c r="BK113" s="6"/>
    </row>
    <row r="114" spans="1:63" x14ac:dyDescent="0.25">
      <c r="A114" s="5"/>
      <c r="B114" s="26">
        <v>19</v>
      </c>
      <c r="C114" s="28"/>
      <c r="D114" s="39" t="s">
        <v>39</v>
      </c>
      <c r="E114" s="40"/>
      <c r="F114" s="40"/>
      <c r="G114" s="40"/>
      <c r="H114" s="40"/>
      <c r="I114" s="40"/>
      <c r="J114" s="41"/>
      <c r="K114" s="42" t="s">
        <v>5</v>
      </c>
      <c r="L114" s="43"/>
      <c r="M114" s="44"/>
      <c r="N114" s="17" t="s">
        <v>100</v>
      </c>
      <c r="O114" s="8" t="s">
        <v>6</v>
      </c>
      <c r="P114" s="26" t="s">
        <v>9</v>
      </c>
      <c r="Q114" s="27"/>
      <c r="R114" s="27"/>
      <c r="S114" s="28"/>
      <c r="T114" s="26" t="s">
        <v>9</v>
      </c>
      <c r="U114" s="27"/>
      <c r="V114" s="27"/>
      <c r="W114" s="28"/>
      <c r="X114" s="45" t="s">
        <v>6</v>
      </c>
      <c r="Y114" s="27"/>
      <c r="Z114" s="28"/>
      <c r="AA114" s="26" t="s">
        <v>8</v>
      </c>
      <c r="AB114" s="27"/>
      <c r="AC114" s="27"/>
      <c r="AD114" s="27"/>
      <c r="AE114" s="27"/>
      <c r="AF114" s="27"/>
      <c r="AG114" s="27"/>
      <c r="AH114" s="28"/>
      <c r="AI114" s="49" t="s">
        <v>8</v>
      </c>
      <c r="AJ114" s="47"/>
      <c r="AK114" s="47"/>
      <c r="AL114" s="47"/>
      <c r="AM114" s="47"/>
      <c r="AN114" s="47"/>
      <c r="AO114" s="47"/>
      <c r="AP114" s="47"/>
      <c r="AQ114" s="48"/>
      <c r="AR114" s="9" t="s">
        <v>6</v>
      </c>
      <c r="AS114" s="9" t="s">
        <v>8</v>
      </c>
      <c r="AT114" s="9" t="s">
        <v>8</v>
      </c>
      <c r="AU114" s="26" t="s">
        <v>9</v>
      </c>
      <c r="AV114" s="27"/>
      <c r="AW114" s="27"/>
      <c r="AX114" s="28"/>
      <c r="AY114" s="26" t="s">
        <v>8</v>
      </c>
      <c r="AZ114" s="27"/>
      <c r="BA114" s="27"/>
      <c r="BB114" s="28"/>
      <c r="BC114" s="246"/>
      <c r="BD114" s="241"/>
      <c r="BE114" s="241"/>
      <c r="BF114" s="241"/>
      <c r="BG114" s="241"/>
      <c r="BH114" s="241"/>
      <c r="BI114" s="241"/>
      <c r="BJ114" s="242"/>
      <c r="BK114" s="6"/>
    </row>
    <row r="115" spans="1:63" ht="31.5" customHeight="1" x14ac:dyDescent="0.25">
      <c r="A115" s="5"/>
      <c r="B115" s="26">
        <v>20</v>
      </c>
      <c r="C115" s="28"/>
      <c r="D115" s="39" t="s">
        <v>17</v>
      </c>
      <c r="E115" s="40"/>
      <c r="F115" s="40"/>
      <c r="G115" s="40"/>
      <c r="H115" s="40"/>
      <c r="I115" s="40"/>
      <c r="J115" s="41"/>
      <c r="K115" s="42" t="s">
        <v>5</v>
      </c>
      <c r="L115" s="43"/>
      <c r="M115" s="44"/>
      <c r="N115" s="14" t="s">
        <v>6</v>
      </c>
      <c r="O115" s="8" t="s">
        <v>7</v>
      </c>
      <c r="P115" s="26" t="s">
        <v>9</v>
      </c>
      <c r="Q115" s="27"/>
      <c r="R115" s="27"/>
      <c r="S115" s="28"/>
      <c r="T115" s="26" t="s">
        <v>9</v>
      </c>
      <c r="U115" s="27"/>
      <c r="V115" s="27"/>
      <c r="W115" s="28"/>
      <c r="X115" s="50" t="s">
        <v>21</v>
      </c>
      <c r="Y115" s="47"/>
      <c r="Z115" s="48"/>
      <c r="AA115" s="26" t="s">
        <v>8</v>
      </c>
      <c r="AB115" s="27"/>
      <c r="AC115" s="27"/>
      <c r="AD115" s="27"/>
      <c r="AE115" s="27"/>
      <c r="AF115" s="27"/>
      <c r="AG115" s="27"/>
      <c r="AH115" s="28"/>
      <c r="AI115" s="49" t="s">
        <v>8</v>
      </c>
      <c r="AJ115" s="47"/>
      <c r="AK115" s="47"/>
      <c r="AL115" s="47"/>
      <c r="AM115" s="47"/>
      <c r="AN115" s="47"/>
      <c r="AO115" s="47"/>
      <c r="AP115" s="47"/>
      <c r="AQ115" s="48"/>
      <c r="AR115" s="9" t="s">
        <v>6</v>
      </c>
      <c r="AS115" s="9" t="s">
        <v>8</v>
      </c>
      <c r="AT115" s="9" t="s">
        <v>8</v>
      </c>
      <c r="AU115" s="26" t="s">
        <v>9</v>
      </c>
      <c r="AV115" s="27"/>
      <c r="AW115" s="27"/>
      <c r="AX115" s="28"/>
      <c r="AY115" s="26" t="s">
        <v>8</v>
      </c>
      <c r="AZ115" s="27"/>
      <c r="BA115" s="27"/>
      <c r="BB115" s="28"/>
      <c r="BC115" s="246"/>
      <c r="BD115" s="241"/>
      <c r="BE115" s="241"/>
      <c r="BF115" s="241"/>
      <c r="BG115" s="241"/>
      <c r="BH115" s="241"/>
      <c r="BI115" s="241"/>
      <c r="BJ115" s="242"/>
      <c r="BK115" s="6"/>
    </row>
    <row r="116" spans="1:63" ht="31.5" customHeight="1" x14ac:dyDescent="0.25">
      <c r="A116" s="5"/>
      <c r="B116" s="26">
        <v>21</v>
      </c>
      <c r="C116" s="28"/>
      <c r="D116" s="39" t="s">
        <v>18</v>
      </c>
      <c r="E116" s="40"/>
      <c r="F116" s="40"/>
      <c r="G116" s="40"/>
      <c r="H116" s="40"/>
      <c r="I116" s="40"/>
      <c r="J116" s="41"/>
      <c r="K116" s="42" t="s">
        <v>5</v>
      </c>
      <c r="L116" s="43"/>
      <c r="M116" s="44"/>
      <c r="N116" s="17" t="s">
        <v>100</v>
      </c>
      <c r="O116" s="8" t="s">
        <v>6</v>
      </c>
      <c r="P116" s="26" t="s">
        <v>9</v>
      </c>
      <c r="Q116" s="27"/>
      <c r="R116" s="27"/>
      <c r="S116" s="28"/>
      <c r="T116" s="26" t="s">
        <v>9</v>
      </c>
      <c r="U116" s="27"/>
      <c r="V116" s="27"/>
      <c r="W116" s="28"/>
      <c r="X116" s="45" t="s">
        <v>6</v>
      </c>
      <c r="Y116" s="27"/>
      <c r="Z116" s="28"/>
      <c r="AA116" s="26" t="s">
        <v>8</v>
      </c>
      <c r="AB116" s="27"/>
      <c r="AC116" s="27"/>
      <c r="AD116" s="27"/>
      <c r="AE116" s="27"/>
      <c r="AF116" s="27"/>
      <c r="AG116" s="27"/>
      <c r="AH116" s="28"/>
      <c r="AI116" s="49" t="s">
        <v>8</v>
      </c>
      <c r="AJ116" s="47"/>
      <c r="AK116" s="47"/>
      <c r="AL116" s="47"/>
      <c r="AM116" s="47"/>
      <c r="AN116" s="47"/>
      <c r="AO116" s="47"/>
      <c r="AP116" s="47"/>
      <c r="AQ116" s="48"/>
      <c r="AR116" s="9" t="s">
        <v>6</v>
      </c>
      <c r="AS116" s="9" t="s">
        <v>8</v>
      </c>
      <c r="AT116" s="9" t="s">
        <v>8</v>
      </c>
      <c r="AU116" s="26" t="s">
        <v>9</v>
      </c>
      <c r="AV116" s="27"/>
      <c r="AW116" s="27"/>
      <c r="AX116" s="28"/>
      <c r="AY116" s="26" t="s">
        <v>8</v>
      </c>
      <c r="AZ116" s="27"/>
      <c r="BA116" s="27"/>
      <c r="BB116" s="28"/>
      <c r="BC116" s="246"/>
      <c r="BD116" s="241"/>
      <c r="BE116" s="241"/>
      <c r="BF116" s="241"/>
      <c r="BG116" s="241"/>
      <c r="BH116" s="241"/>
      <c r="BI116" s="241"/>
      <c r="BJ116" s="242"/>
      <c r="BK116" s="6"/>
    </row>
    <row r="117" spans="1:63" x14ac:dyDescent="0.25">
      <c r="A117" s="5"/>
      <c r="B117" s="26">
        <v>22</v>
      </c>
      <c r="C117" s="28"/>
      <c r="D117" s="39" t="s">
        <v>104</v>
      </c>
      <c r="E117" s="40"/>
      <c r="F117" s="40"/>
      <c r="G117" s="40"/>
      <c r="H117" s="40"/>
      <c r="I117" s="40"/>
      <c r="J117" s="41"/>
      <c r="K117" s="42" t="s">
        <v>5</v>
      </c>
      <c r="L117" s="43"/>
      <c r="M117" s="44"/>
      <c r="N117" s="14" t="s">
        <v>6</v>
      </c>
      <c r="O117" s="8" t="s">
        <v>7</v>
      </c>
      <c r="P117" s="26" t="s">
        <v>9</v>
      </c>
      <c r="Q117" s="27"/>
      <c r="R117" s="27"/>
      <c r="S117" s="28"/>
      <c r="T117" s="26" t="s">
        <v>9</v>
      </c>
      <c r="U117" s="27"/>
      <c r="V117" s="27"/>
      <c r="W117" s="28"/>
      <c r="X117" s="50" t="s">
        <v>20</v>
      </c>
      <c r="Y117" s="47"/>
      <c r="Z117" s="48"/>
      <c r="AA117" s="26" t="s">
        <v>8</v>
      </c>
      <c r="AB117" s="27"/>
      <c r="AC117" s="27"/>
      <c r="AD117" s="27"/>
      <c r="AE117" s="27"/>
      <c r="AF117" s="27"/>
      <c r="AG117" s="27"/>
      <c r="AH117" s="28"/>
      <c r="AI117" s="49" t="s">
        <v>8</v>
      </c>
      <c r="AJ117" s="47"/>
      <c r="AK117" s="47"/>
      <c r="AL117" s="47"/>
      <c r="AM117" s="47"/>
      <c r="AN117" s="47"/>
      <c r="AO117" s="47"/>
      <c r="AP117" s="47"/>
      <c r="AQ117" s="48"/>
      <c r="AR117" s="9" t="s">
        <v>6</v>
      </c>
      <c r="AS117" s="9" t="s">
        <v>8</v>
      </c>
      <c r="AT117" s="9" t="s">
        <v>8</v>
      </c>
      <c r="AU117" s="26" t="s">
        <v>9</v>
      </c>
      <c r="AV117" s="27"/>
      <c r="AW117" s="27"/>
      <c r="AX117" s="28"/>
      <c r="AY117" s="26" t="s">
        <v>8</v>
      </c>
      <c r="AZ117" s="27"/>
      <c r="BA117" s="27"/>
      <c r="BB117" s="28"/>
      <c r="BC117" s="246"/>
      <c r="BD117" s="241"/>
      <c r="BE117" s="241"/>
      <c r="BF117" s="241"/>
      <c r="BG117" s="241"/>
      <c r="BH117" s="241"/>
      <c r="BI117" s="241"/>
      <c r="BJ117" s="242"/>
      <c r="BK117" s="6"/>
    </row>
    <row r="118" spans="1:63" x14ac:dyDescent="0.25">
      <c r="A118" s="5"/>
      <c r="B118" s="26">
        <v>23</v>
      </c>
      <c r="C118" s="28"/>
      <c r="D118" s="39" t="s">
        <v>105</v>
      </c>
      <c r="E118" s="40"/>
      <c r="F118" s="40"/>
      <c r="G118" s="40"/>
      <c r="H118" s="40"/>
      <c r="I118" s="40"/>
      <c r="J118" s="41"/>
      <c r="K118" s="42" t="s">
        <v>5</v>
      </c>
      <c r="L118" s="43"/>
      <c r="M118" s="44"/>
      <c r="N118" s="17" t="s">
        <v>100</v>
      </c>
      <c r="O118" s="8" t="s">
        <v>6</v>
      </c>
      <c r="P118" s="26" t="s">
        <v>9</v>
      </c>
      <c r="Q118" s="27"/>
      <c r="R118" s="27"/>
      <c r="S118" s="28"/>
      <c r="T118" s="26" t="s">
        <v>9</v>
      </c>
      <c r="U118" s="27"/>
      <c r="V118" s="27"/>
      <c r="W118" s="28"/>
      <c r="X118" s="45" t="s">
        <v>6</v>
      </c>
      <c r="Y118" s="27"/>
      <c r="Z118" s="28"/>
      <c r="AA118" s="26" t="s">
        <v>8</v>
      </c>
      <c r="AB118" s="27"/>
      <c r="AC118" s="27"/>
      <c r="AD118" s="27"/>
      <c r="AE118" s="27"/>
      <c r="AF118" s="27"/>
      <c r="AG118" s="27"/>
      <c r="AH118" s="28"/>
      <c r="AI118" s="49" t="s">
        <v>8</v>
      </c>
      <c r="AJ118" s="47"/>
      <c r="AK118" s="47"/>
      <c r="AL118" s="47"/>
      <c r="AM118" s="47"/>
      <c r="AN118" s="47"/>
      <c r="AO118" s="47"/>
      <c r="AP118" s="47"/>
      <c r="AQ118" s="48"/>
      <c r="AR118" s="9" t="s">
        <v>6</v>
      </c>
      <c r="AS118" s="9" t="s">
        <v>8</v>
      </c>
      <c r="AT118" s="9" t="s">
        <v>8</v>
      </c>
      <c r="AU118" s="26" t="s">
        <v>9</v>
      </c>
      <c r="AV118" s="27"/>
      <c r="AW118" s="27"/>
      <c r="AX118" s="28"/>
      <c r="AY118" s="26" t="s">
        <v>8</v>
      </c>
      <c r="AZ118" s="27"/>
      <c r="BA118" s="27"/>
      <c r="BB118" s="28"/>
      <c r="BC118" s="246"/>
      <c r="BD118" s="241"/>
      <c r="BE118" s="241"/>
      <c r="BF118" s="241"/>
      <c r="BG118" s="241"/>
      <c r="BH118" s="241"/>
      <c r="BI118" s="241"/>
      <c r="BJ118" s="242"/>
      <c r="BK118" s="6"/>
    </row>
    <row r="119" spans="1:63" x14ac:dyDescent="0.25">
      <c r="A119" s="5"/>
      <c r="B119" s="26">
        <v>24</v>
      </c>
      <c r="C119" s="28"/>
      <c r="D119" s="39" t="s">
        <v>22</v>
      </c>
      <c r="E119" s="40"/>
      <c r="F119" s="40"/>
      <c r="G119" s="40"/>
      <c r="H119" s="40"/>
      <c r="I119" s="40"/>
      <c r="J119" s="41"/>
      <c r="K119" s="42" t="s">
        <v>5</v>
      </c>
      <c r="L119" s="43"/>
      <c r="M119" s="44"/>
      <c r="N119" s="14" t="s">
        <v>6</v>
      </c>
      <c r="O119" s="8" t="s">
        <v>7</v>
      </c>
      <c r="P119" s="26" t="s">
        <v>9</v>
      </c>
      <c r="Q119" s="27"/>
      <c r="R119" s="27"/>
      <c r="S119" s="28"/>
      <c r="T119" s="26" t="s">
        <v>9</v>
      </c>
      <c r="U119" s="27"/>
      <c r="V119" s="27"/>
      <c r="W119" s="28"/>
      <c r="X119" s="50" t="s">
        <v>41</v>
      </c>
      <c r="Y119" s="47"/>
      <c r="Z119" s="48"/>
      <c r="AA119" s="26" t="s">
        <v>8</v>
      </c>
      <c r="AB119" s="27"/>
      <c r="AC119" s="27"/>
      <c r="AD119" s="27"/>
      <c r="AE119" s="27"/>
      <c r="AF119" s="27"/>
      <c r="AG119" s="27"/>
      <c r="AH119" s="28"/>
      <c r="AI119" s="49" t="s">
        <v>8</v>
      </c>
      <c r="AJ119" s="47"/>
      <c r="AK119" s="47"/>
      <c r="AL119" s="47"/>
      <c r="AM119" s="47"/>
      <c r="AN119" s="47"/>
      <c r="AO119" s="47"/>
      <c r="AP119" s="47"/>
      <c r="AQ119" s="48"/>
      <c r="AR119" s="9" t="s">
        <v>6</v>
      </c>
      <c r="AS119" s="9" t="s">
        <v>8</v>
      </c>
      <c r="AT119" s="9" t="s">
        <v>8</v>
      </c>
      <c r="AU119" s="26" t="s">
        <v>9</v>
      </c>
      <c r="AV119" s="27"/>
      <c r="AW119" s="27"/>
      <c r="AX119" s="28"/>
      <c r="AY119" s="26" t="s">
        <v>8</v>
      </c>
      <c r="AZ119" s="27"/>
      <c r="BA119" s="27"/>
      <c r="BB119" s="28"/>
      <c r="BC119" s="246"/>
      <c r="BD119" s="241"/>
      <c r="BE119" s="241"/>
      <c r="BF119" s="241"/>
      <c r="BG119" s="241"/>
      <c r="BH119" s="241"/>
      <c r="BI119" s="241"/>
      <c r="BJ119" s="242"/>
      <c r="BK119" s="6"/>
    </row>
    <row r="120" spans="1:63" x14ac:dyDescent="0.25">
      <c r="A120" s="5"/>
      <c r="B120" s="26">
        <v>25</v>
      </c>
      <c r="C120" s="28"/>
      <c r="D120" s="39" t="s">
        <v>42</v>
      </c>
      <c r="E120" s="40"/>
      <c r="F120" s="40"/>
      <c r="G120" s="40"/>
      <c r="H120" s="40"/>
      <c r="I120" s="40"/>
      <c r="J120" s="41"/>
      <c r="K120" s="42" t="s">
        <v>5</v>
      </c>
      <c r="L120" s="43"/>
      <c r="M120" s="44"/>
      <c r="N120" s="17" t="s">
        <v>100</v>
      </c>
      <c r="O120" s="8" t="s">
        <v>6</v>
      </c>
      <c r="P120" s="26" t="s">
        <v>9</v>
      </c>
      <c r="Q120" s="27"/>
      <c r="R120" s="27"/>
      <c r="S120" s="28"/>
      <c r="T120" s="26" t="s">
        <v>9</v>
      </c>
      <c r="U120" s="27"/>
      <c r="V120" s="27"/>
      <c r="W120" s="28"/>
      <c r="X120" s="45" t="s">
        <v>6</v>
      </c>
      <c r="Y120" s="27"/>
      <c r="Z120" s="28"/>
      <c r="AA120" s="26" t="s">
        <v>8</v>
      </c>
      <c r="AB120" s="27"/>
      <c r="AC120" s="27"/>
      <c r="AD120" s="27"/>
      <c r="AE120" s="27"/>
      <c r="AF120" s="27"/>
      <c r="AG120" s="27"/>
      <c r="AH120" s="28"/>
      <c r="AI120" s="49" t="s">
        <v>8</v>
      </c>
      <c r="AJ120" s="47"/>
      <c r="AK120" s="47"/>
      <c r="AL120" s="47"/>
      <c r="AM120" s="47"/>
      <c r="AN120" s="47"/>
      <c r="AO120" s="47"/>
      <c r="AP120" s="47"/>
      <c r="AQ120" s="48"/>
      <c r="AR120" s="9" t="s">
        <v>6</v>
      </c>
      <c r="AS120" s="9" t="s">
        <v>8</v>
      </c>
      <c r="AT120" s="9" t="s">
        <v>8</v>
      </c>
      <c r="AU120" s="26" t="s">
        <v>9</v>
      </c>
      <c r="AV120" s="27"/>
      <c r="AW120" s="27"/>
      <c r="AX120" s="28"/>
      <c r="AY120" s="26" t="s">
        <v>8</v>
      </c>
      <c r="AZ120" s="27"/>
      <c r="BA120" s="27"/>
      <c r="BB120" s="28"/>
      <c r="BC120" s="246"/>
      <c r="BD120" s="241"/>
      <c r="BE120" s="241"/>
      <c r="BF120" s="241"/>
      <c r="BG120" s="241"/>
      <c r="BH120" s="241"/>
      <c r="BI120" s="241"/>
      <c r="BJ120" s="242"/>
      <c r="BK120" s="6"/>
    </row>
    <row r="121" spans="1:63" ht="31.5" customHeight="1" x14ac:dyDescent="0.25">
      <c r="A121" s="5"/>
      <c r="B121" s="26">
        <v>26</v>
      </c>
      <c r="C121" s="28"/>
      <c r="D121" s="39" t="s">
        <v>43</v>
      </c>
      <c r="E121" s="40"/>
      <c r="F121" s="40"/>
      <c r="G121" s="40"/>
      <c r="H121" s="40"/>
      <c r="I121" s="40"/>
      <c r="J121" s="41"/>
      <c r="K121" s="42" t="s">
        <v>5</v>
      </c>
      <c r="L121" s="43"/>
      <c r="M121" s="44"/>
      <c r="N121" s="14" t="s">
        <v>6</v>
      </c>
      <c r="O121" s="8" t="s">
        <v>7</v>
      </c>
      <c r="P121" s="26" t="s">
        <v>9</v>
      </c>
      <c r="Q121" s="27"/>
      <c r="R121" s="27"/>
      <c r="S121" s="28"/>
      <c r="T121" s="26" t="s">
        <v>9</v>
      </c>
      <c r="U121" s="27"/>
      <c r="V121" s="27"/>
      <c r="W121" s="28"/>
      <c r="X121" s="50" t="s">
        <v>45</v>
      </c>
      <c r="Y121" s="47"/>
      <c r="Z121" s="48"/>
      <c r="AA121" s="26" t="s">
        <v>8</v>
      </c>
      <c r="AB121" s="27"/>
      <c r="AC121" s="27"/>
      <c r="AD121" s="27"/>
      <c r="AE121" s="27"/>
      <c r="AF121" s="27"/>
      <c r="AG121" s="27"/>
      <c r="AH121" s="28"/>
      <c r="AI121" s="49" t="s">
        <v>8</v>
      </c>
      <c r="AJ121" s="47"/>
      <c r="AK121" s="47"/>
      <c r="AL121" s="47"/>
      <c r="AM121" s="47"/>
      <c r="AN121" s="47"/>
      <c r="AO121" s="47"/>
      <c r="AP121" s="47"/>
      <c r="AQ121" s="48"/>
      <c r="AR121" s="9" t="s">
        <v>6</v>
      </c>
      <c r="AS121" s="9" t="s">
        <v>8</v>
      </c>
      <c r="AT121" s="9" t="s">
        <v>8</v>
      </c>
      <c r="AU121" s="26" t="s">
        <v>9</v>
      </c>
      <c r="AV121" s="27"/>
      <c r="AW121" s="27"/>
      <c r="AX121" s="28"/>
      <c r="AY121" s="26" t="s">
        <v>8</v>
      </c>
      <c r="AZ121" s="27"/>
      <c r="BA121" s="27"/>
      <c r="BB121" s="28"/>
      <c r="BC121" s="246"/>
      <c r="BD121" s="241"/>
      <c r="BE121" s="241"/>
      <c r="BF121" s="241"/>
      <c r="BG121" s="241"/>
      <c r="BH121" s="241"/>
      <c r="BI121" s="241"/>
      <c r="BJ121" s="242"/>
      <c r="BK121" s="6"/>
    </row>
    <row r="122" spans="1:63" ht="31.5" customHeight="1" x14ac:dyDescent="0.25">
      <c r="A122" s="5"/>
      <c r="B122" s="26">
        <v>27</v>
      </c>
      <c r="C122" s="28"/>
      <c r="D122" s="39" t="s">
        <v>44</v>
      </c>
      <c r="E122" s="40"/>
      <c r="F122" s="40"/>
      <c r="G122" s="40"/>
      <c r="H122" s="40"/>
      <c r="I122" s="40"/>
      <c r="J122" s="41"/>
      <c r="K122" s="42" t="s">
        <v>5</v>
      </c>
      <c r="L122" s="43"/>
      <c r="M122" s="44"/>
      <c r="N122" s="17" t="s">
        <v>100</v>
      </c>
      <c r="O122" s="8" t="s">
        <v>6</v>
      </c>
      <c r="P122" s="26" t="s">
        <v>9</v>
      </c>
      <c r="Q122" s="27"/>
      <c r="R122" s="27"/>
      <c r="S122" s="28"/>
      <c r="T122" s="26" t="s">
        <v>9</v>
      </c>
      <c r="U122" s="27"/>
      <c r="V122" s="27"/>
      <c r="W122" s="28"/>
      <c r="X122" s="45" t="s">
        <v>6</v>
      </c>
      <c r="Y122" s="27"/>
      <c r="Z122" s="28"/>
      <c r="AA122" s="26" t="s">
        <v>8</v>
      </c>
      <c r="AB122" s="27"/>
      <c r="AC122" s="27"/>
      <c r="AD122" s="27"/>
      <c r="AE122" s="27"/>
      <c r="AF122" s="27"/>
      <c r="AG122" s="27"/>
      <c r="AH122" s="28"/>
      <c r="AI122" s="49" t="s">
        <v>8</v>
      </c>
      <c r="AJ122" s="47"/>
      <c r="AK122" s="47"/>
      <c r="AL122" s="47"/>
      <c r="AM122" s="47"/>
      <c r="AN122" s="47"/>
      <c r="AO122" s="47"/>
      <c r="AP122" s="47"/>
      <c r="AQ122" s="48"/>
      <c r="AR122" s="9" t="s">
        <v>6</v>
      </c>
      <c r="AS122" s="9" t="s">
        <v>8</v>
      </c>
      <c r="AT122" s="9" t="s">
        <v>8</v>
      </c>
      <c r="AU122" s="26" t="s">
        <v>9</v>
      </c>
      <c r="AV122" s="27"/>
      <c r="AW122" s="27"/>
      <c r="AX122" s="28"/>
      <c r="AY122" s="26" t="s">
        <v>8</v>
      </c>
      <c r="AZ122" s="27"/>
      <c r="BA122" s="27"/>
      <c r="BB122" s="28"/>
      <c r="BC122" s="246"/>
      <c r="BD122" s="241"/>
      <c r="BE122" s="241"/>
      <c r="BF122" s="241"/>
      <c r="BG122" s="241"/>
      <c r="BH122" s="241"/>
      <c r="BI122" s="241"/>
      <c r="BJ122" s="242"/>
      <c r="BK122" s="6"/>
    </row>
    <row r="123" spans="1:63" ht="31.5" customHeight="1" x14ac:dyDescent="0.25">
      <c r="A123" s="5"/>
      <c r="B123" s="26">
        <v>28</v>
      </c>
      <c r="C123" s="28"/>
      <c r="D123" s="39" t="s">
        <v>46</v>
      </c>
      <c r="E123" s="40"/>
      <c r="F123" s="40"/>
      <c r="G123" s="40"/>
      <c r="H123" s="40"/>
      <c r="I123" s="40"/>
      <c r="J123" s="41"/>
      <c r="K123" s="42" t="s">
        <v>5</v>
      </c>
      <c r="L123" s="43"/>
      <c r="M123" s="44"/>
      <c r="N123" s="14" t="s">
        <v>6</v>
      </c>
      <c r="O123" s="8" t="s">
        <v>7</v>
      </c>
      <c r="P123" s="26" t="s">
        <v>9</v>
      </c>
      <c r="Q123" s="27"/>
      <c r="R123" s="27"/>
      <c r="S123" s="28"/>
      <c r="T123" s="26" t="s">
        <v>9</v>
      </c>
      <c r="U123" s="27"/>
      <c r="V123" s="27"/>
      <c r="W123" s="28"/>
      <c r="X123" s="50" t="s">
        <v>48</v>
      </c>
      <c r="Y123" s="47"/>
      <c r="Z123" s="48"/>
      <c r="AA123" s="26" t="s">
        <v>8</v>
      </c>
      <c r="AB123" s="27"/>
      <c r="AC123" s="27"/>
      <c r="AD123" s="27"/>
      <c r="AE123" s="27"/>
      <c r="AF123" s="27"/>
      <c r="AG123" s="27"/>
      <c r="AH123" s="28"/>
      <c r="AI123" s="49" t="s">
        <v>8</v>
      </c>
      <c r="AJ123" s="47"/>
      <c r="AK123" s="47"/>
      <c r="AL123" s="47"/>
      <c r="AM123" s="47"/>
      <c r="AN123" s="47"/>
      <c r="AO123" s="47"/>
      <c r="AP123" s="47"/>
      <c r="AQ123" s="48"/>
      <c r="AR123" s="9" t="s">
        <v>6</v>
      </c>
      <c r="AS123" s="9" t="s">
        <v>8</v>
      </c>
      <c r="AT123" s="9" t="s">
        <v>8</v>
      </c>
      <c r="AU123" s="26" t="s">
        <v>9</v>
      </c>
      <c r="AV123" s="27"/>
      <c r="AW123" s="27"/>
      <c r="AX123" s="28"/>
      <c r="AY123" s="26" t="s">
        <v>8</v>
      </c>
      <c r="AZ123" s="27"/>
      <c r="BA123" s="27"/>
      <c r="BB123" s="28"/>
      <c r="BC123" s="246"/>
      <c r="BD123" s="241"/>
      <c r="BE123" s="241"/>
      <c r="BF123" s="241"/>
      <c r="BG123" s="241"/>
      <c r="BH123" s="241"/>
      <c r="BI123" s="241"/>
      <c r="BJ123" s="242"/>
      <c r="BK123" s="6"/>
    </row>
    <row r="124" spans="1:63" ht="31.5" customHeight="1" x14ac:dyDescent="0.25">
      <c r="A124" s="5"/>
      <c r="B124" s="26">
        <v>29</v>
      </c>
      <c r="C124" s="28"/>
      <c r="D124" s="39" t="s">
        <v>47</v>
      </c>
      <c r="E124" s="40"/>
      <c r="F124" s="40"/>
      <c r="G124" s="40"/>
      <c r="H124" s="40"/>
      <c r="I124" s="40"/>
      <c r="J124" s="41"/>
      <c r="K124" s="42" t="s">
        <v>5</v>
      </c>
      <c r="L124" s="43"/>
      <c r="M124" s="44"/>
      <c r="N124" s="17" t="s">
        <v>100</v>
      </c>
      <c r="O124" s="8" t="s">
        <v>6</v>
      </c>
      <c r="P124" s="26" t="s">
        <v>9</v>
      </c>
      <c r="Q124" s="27"/>
      <c r="R124" s="27"/>
      <c r="S124" s="28"/>
      <c r="T124" s="26" t="s">
        <v>9</v>
      </c>
      <c r="U124" s="27"/>
      <c r="V124" s="27"/>
      <c r="W124" s="28"/>
      <c r="X124" s="45" t="s">
        <v>6</v>
      </c>
      <c r="Y124" s="27"/>
      <c r="Z124" s="28"/>
      <c r="AA124" s="26" t="s">
        <v>8</v>
      </c>
      <c r="AB124" s="27"/>
      <c r="AC124" s="27"/>
      <c r="AD124" s="27"/>
      <c r="AE124" s="27"/>
      <c r="AF124" s="27"/>
      <c r="AG124" s="27"/>
      <c r="AH124" s="28"/>
      <c r="AI124" s="49" t="s">
        <v>8</v>
      </c>
      <c r="AJ124" s="47"/>
      <c r="AK124" s="47"/>
      <c r="AL124" s="47"/>
      <c r="AM124" s="47"/>
      <c r="AN124" s="47"/>
      <c r="AO124" s="47"/>
      <c r="AP124" s="47"/>
      <c r="AQ124" s="48"/>
      <c r="AR124" s="9" t="s">
        <v>6</v>
      </c>
      <c r="AS124" s="9" t="s">
        <v>8</v>
      </c>
      <c r="AT124" s="9" t="s">
        <v>8</v>
      </c>
      <c r="AU124" s="26" t="s">
        <v>9</v>
      </c>
      <c r="AV124" s="27"/>
      <c r="AW124" s="27"/>
      <c r="AX124" s="28"/>
      <c r="AY124" s="26" t="s">
        <v>8</v>
      </c>
      <c r="AZ124" s="27"/>
      <c r="BA124" s="27"/>
      <c r="BB124" s="28"/>
      <c r="BC124" s="246"/>
      <c r="BD124" s="241"/>
      <c r="BE124" s="241"/>
      <c r="BF124" s="241"/>
      <c r="BG124" s="241"/>
      <c r="BH124" s="241"/>
      <c r="BI124" s="241"/>
      <c r="BJ124" s="242"/>
      <c r="BK124" s="6"/>
    </row>
    <row r="125" spans="1:63" x14ac:dyDescent="0.25">
      <c r="A125" s="5"/>
      <c r="B125" s="26">
        <v>30</v>
      </c>
      <c r="C125" s="28"/>
      <c r="D125" s="39" t="s">
        <v>49</v>
      </c>
      <c r="E125" s="40"/>
      <c r="F125" s="40"/>
      <c r="G125" s="40"/>
      <c r="H125" s="40"/>
      <c r="I125" s="40"/>
      <c r="J125" s="41"/>
      <c r="K125" s="42" t="s">
        <v>51</v>
      </c>
      <c r="L125" s="43"/>
      <c r="M125" s="44"/>
      <c r="N125" s="14" t="s">
        <v>52</v>
      </c>
      <c r="O125" s="8" t="s">
        <v>6</v>
      </c>
      <c r="P125" s="26" t="s">
        <v>9</v>
      </c>
      <c r="Q125" s="27"/>
      <c r="R125" s="27"/>
      <c r="S125" s="28"/>
      <c r="T125" s="26" t="s">
        <v>9</v>
      </c>
      <c r="U125" s="27"/>
      <c r="V125" s="27"/>
      <c r="W125" s="28"/>
      <c r="X125" s="45" t="s">
        <v>6</v>
      </c>
      <c r="Y125" s="27"/>
      <c r="Z125" s="28"/>
      <c r="AA125" s="26" t="s">
        <v>8</v>
      </c>
      <c r="AB125" s="27"/>
      <c r="AC125" s="27"/>
      <c r="AD125" s="27"/>
      <c r="AE125" s="27"/>
      <c r="AF125" s="27"/>
      <c r="AG125" s="27"/>
      <c r="AH125" s="28"/>
      <c r="AI125" s="49" t="s">
        <v>8</v>
      </c>
      <c r="AJ125" s="47"/>
      <c r="AK125" s="47"/>
      <c r="AL125" s="47"/>
      <c r="AM125" s="47"/>
      <c r="AN125" s="47"/>
      <c r="AO125" s="47"/>
      <c r="AP125" s="47"/>
      <c r="AQ125" s="48"/>
      <c r="AR125" s="9" t="s">
        <v>6</v>
      </c>
      <c r="AS125" s="9" t="s">
        <v>8</v>
      </c>
      <c r="AT125" s="9" t="s">
        <v>8</v>
      </c>
      <c r="AU125" s="26" t="s">
        <v>9</v>
      </c>
      <c r="AV125" s="27"/>
      <c r="AW125" s="27"/>
      <c r="AX125" s="28"/>
      <c r="AY125" s="26" t="s">
        <v>8</v>
      </c>
      <c r="AZ125" s="27"/>
      <c r="BA125" s="27"/>
      <c r="BB125" s="28"/>
      <c r="BC125" s="246"/>
      <c r="BD125" s="241"/>
      <c r="BE125" s="241"/>
      <c r="BF125" s="241"/>
      <c r="BG125" s="241"/>
      <c r="BH125" s="241"/>
      <c r="BI125" s="241"/>
      <c r="BJ125" s="242"/>
      <c r="BK125" s="6"/>
    </row>
    <row r="126" spans="1:63" x14ac:dyDescent="0.25">
      <c r="A126" s="5"/>
      <c r="B126" s="26">
        <v>31</v>
      </c>
      <c r="C126" s="28"/>
      <c r="D126" s="39" t="s">
        <v>50</v>
      </c>
      <c r="E126" s="40"/>
      <c r="F126" s="40"/>
      <c r="G126" s="40"/>
      <c r="H126" s="40"/>
      <c r="I126" s="40"/>
      <c r="J126" s="41"/>
      <c r="K126" s="42" t="s">
        <v>32</v>
      </c>
      <c r="L126" s="43"/>
      <c r="M126" s="44"/>
      <c r="N126" s="10" t="s">
        <v>10</v>
      </c>
      <c r="O126" s="8" t="s">
        <v>7</v>
      </c>
      <c r="P126" s="26" t="s">
        <v>9</v>
      </c>
      <c r="Q126" s="27"/>
      <c r="R126" s="27"/>
      <c r="S126" s="28"/>
      <c r="T126" s="26" t="s">
        <v>9</v>
      </c>
      <c r="U126" s="27"/>
      <c r="V126" s="27"/>
      <c r="W126" s="28"/>
      <c r="X126" s="45" t="s">
        <v>6</v>
      </c>
      <c r="Y126" s="27"/>
      <c r="Z126" s="28"/>
      <c r="AA126" s="26" t="s">
        <v>8</v>
      </c>
      <c r="AB126" s="27"/>
      <c r="AC126" s="27"/>
      <c r="AD126" s="27"/>
      <c r="AE126" s="27"/>
      <c r="AF126" s="27"/>
      <c r="AG126" s="27"/>
      <c r="AH126" s="28"/>
      <c r="AI126" s="46" t="s">
        <v>96</v>
      </c>
      <c r="AJ126" s="47"/>
      <c r="AK126" s="47"/>
      <c r="AL126" s="47"/>
      <c r="AM126" s="47"/>
      <c r="AN126" s="47"/>
      <c r="AO126" s="47"/>
      <c r="AP126" s="47"/>
      <c r="AQ126" s="48"/>
      <c r="AR126" s="9" t="s">
        <v>6</v>
      </c>
      <c r="AS126" s="9" t="s">
        <v>8</v>
      </c>
      <c r="AT126" s="9" t="s">
        <v>8</v>
      </c>
      <c r="AU126" s="26" t="s">
        <v>9</v>
      </c>
      <c r="AV126" s="27"/>
      <c r="AW126" s="27"/>
      <c r="AX126" s="28"/>
      <c r="AY126" s="26" t="s">
        <v>8</v>
      </c>
      <c r="AZ126" s="27"/>
      <c r="BA126" s="27"/>
      <c r="BB126" s="28"/>
      <c r="BC126" s="246" t="s">
        <v>101</v>
      </c>
      <c r="BD126" s="241"/>
      <c r="BE126" s="241"/>
      <c r="BF126" s="241"/>
      <c r="BG126" s="241"/>
      <c r="BH126" s="241"/>
      <c r="BI126" s="241"/>
      <c r="BJ126" s="242"/>
      <c r="BK126" s="6"/>
    </row>
    <row r="127" spans="1:63" x14ac:dyDescent="0.25">
      <c r="A127" s="5"/>
      <c r="B127" s="51">
        <v>32</v>
      </c>
      <c r="C127" s="53"/>
      <c r="D127" s="140" t="s">
        <v>35</v>
      </c>
      <c r="E127" s="141"/>
      <c r="F127" s="141"/>
      <c r="G127" s="141"/>
      <c r="H127" s="141"/>
      <c r="I127" s="141"/>
      <c r="J127" s="142"/>
      <c r="K127" s="57" t="s">
        <v>32</v>
      </c>
      <c r="L127" s="58"/>
      <c r="M127" s="59"/>
      <c r="N127" s="11" t="s">
        <v>10</v>
      </c>
      <c r="O127" s="11" t="s">
        <v>7</v>
      </c>
      <c r="P127" s="51" t="s">
        <v>9</v>
      </c>
      <c r="Q127" s="52"/>
      <c r="R127" s="52"/>
      <c r="S127" s="53"/>
      <c r="T127" s="51" t="s">
        <v>9</v>
      </c>
      <c r="U127" s="52"/>
      <c r="V127" s="52"/>
      <c r="W127" s="53"/>
      <c r="X127" s="143" t="s">
        <v>102</v>
      </c>
      <c r="Y127" s="144"/>
      <c r="Z127" s="145"/>
      <c r="AA127" s="51" t="s">
        <v>8</v>
      </c>
      <c r="AB127" s="52"/>
      <c r="AC127" s="52"/>
      <c r="AD127" s="52"/>
      <c r="AE127" s="52"/>
      <c r="AF127" s="52"/>
      <c r="AG127" s="52"/>
      <c r="AH127" s="53"/>
      <c r="AI127" s="146" t="s">
        <v>53</v>
      </c>
      <c r="AJ127" s="61"/>
      <c r="AK127" s="61"/>
      <c r="AL127" s="61"/>
      <c r="AM127" s="61"/>
      <c r="AN127" s="61"/>
      <c r="AO127" s="61"/>
      <c r="AP127" s="61"/>
      <c r="AQ127" s="62"/>
      <c r="AR127" s="12" t="s">
        <v>6</v>
      </c>
      <c r="AS127" s="12" t="s">
        <v>8</v>
      </c>
      <c r="AT127" s="12" t="s">
        <v>8</v>
      </c>
      <c r="AU127" s="51" t="s">
        <v>9</v>
      </c>
      <c r="AV127" s="52"/>
      <c r="AW127" s="52"/>
      <c r="AX127" s="53"/>
      <c r="AY127" s="51" t="s">
        <v>8</v>
      </c>
      <c r="AZ127" s="52"/>
      <c r="BA127" s="52"/>
      <c r="BB127" s="53"/>
      <c r="BC127" s="250" t="s">
        <v>103</v>
      </c>
      <c r="BD127" s="251"/>
      <c r="BE127" s="251"/>
      <c r="BF127" s="251"/>
      <c r="BG127" s="251"/>
      <c r="BH127" s="251"/>
      <c r="BI127" s="251"/>
      <c r="BJ127" s="252"/>
      <c r="BK127" s="6"/>
    </row>
    <row r="128" spans="1:63" x14ac:dyDescent="0.25">
      <c r="A128" s="5"/>
      <c r="BK128" s="6"/>
    </row>
    <row r="129" spans="1:63" x14ac:dyDescent="0.25">
      <c r="A129" s="2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4"/>
    </row>
  </sheetData>
  <mergeCells count="444">
    <mergeCell ref="AY50:BB50"/>
    <mergeCell ref="BC50:BJ50"/>
    <mergeCell ref="B105:C107"/>
    <mergeCell ref="D105:J107"/>
    <mergeCell ref="K105:M107"/>
    <mergeCell ref="N105:N107"/>
    <mergeCell ref="O105:O107"/>
    <mergeCell ref="P105:AQ105"/>
    <mergeCell ref="AR105:BB105"/>
    <mergeCell ref="BC105:BJ107"/>
    <mergeCell ref="P106:W106"/>
    <mergeCell ref="X106:Z107"/>
    <mergeCell ref="AA106:AH107"/>
    <mergeCell ref="AI106:AQ107"/>
    <mergeCell ref="AR106:AR107"/>
    <mergeCell ref="AS106:AS107"/>
    <mergeCell ref="AT106:AT107"/>
    <mergeCell ref="AU106:BB106"/>
    <mergeCell ref="P107:S107"/>
    <mergeCell ref="T107:W107"/>
    <mergeCell ref="AU107:AX107"/>
    <mergeCell ref="AY107:BB107"/>
    <mergeCell ref="B50:C50"/>
    <mergeCell ref="D50:J50"/>
    <mergeCell ref="K50:M50"/>
    <mergeCell ref="P50:S50"/>
    <mergeCell ref="T50:W50"/>
    <mergeCell ref="X50:Z50"/>
    <mergeCell ref="AA50:AH50"/>
    <mergeCell ref="AI50:AQ50"/>
    <mergeCell ref="AU50:AX50"/>
    <mergeCell ref="AA127:AH127"/>
    <mergeCell ref="AI127:AQ127"/>
    <mergeCell ref="AU127:AX127"/>
    <mergeCell ref="AA54:AH54"/>
    <mergeCell ref="AI54:AQ54"/>
    <mergeCell ref="AU54:AX54"/>
    <mergeCell ref="X53:Z53"/>
    <mergeCell ref="AA53:AH53"/>
    <mergeCell ref="AI53:AQ53"/>
    <mergeCell ref="AU53:AX53"/>
    <mergeCell ref="AU57:AX57"/>
    <mergeCell ref="AY127:BB127"/>
    <mergeCell ref="BC127:BJ127"/>
    <mergeCell ref="B127:C127"/>
    <mergeCell ref="D127:J127"/>
    <mergeCell ref="K127:M127"/>
    <mergeCell ref="P127:S127"/>
    <mergeCell ref="T127:W127"/>
    <mergeCell ref="X127:Z127"/>
    <mergeCell ref="X55:Z55"/>
    <mergeCell ref="AA55:AH55"/>
    <mergeCell ref="AI55:AQ55"/>
    <mergeCell ref="AU55:AX55"/>
    <mergeCell ref="AY55:BB55"/>
    <mergeCell ref="BC55:BJ55"/>
    <mergeCell ref="AY56:BB56"/>
    <mergeCell ref="BC56:BJ56"/>
    <mergeCell ref="B57:C57"/>
    <mergeCell ref="D57:J57"/>
    <mergeCell ref="K57:M57"/>
    <mergeCell ref="P57:S57"/>
    <mergeCell ref="T57:W57"/>
    <mergeCell ref="X57:Z57"/>
    <mergeCell ref="AA57:AH57"/>
    <mergeCell ref="AI57:AQ57"/>
    <mergeCell ref="AY54:BB54"/>
    <mergeCell ref="BC54:BJ54"/>
    <mergeCell ref="X54:Z54"/>
    <mergeCell ref="B55:C55"/>
    <mergeCell ref="D55:J55"/>
    <mergeCell ref="K55:M55"/>
    <mergeCell ref="P55:S55"/>
    <mergeCell ref="T55:W55"/>
    <mergeCell ref="B54:C54"/>
    <mergeCell ref="D54:J54"/>
    <mergeCell ref="K54:M54"/>
    <mergeCell ref="P54:S54"/>
    <mergeCell ref="T54:W54"/>
    <mergeCell ref="AY53:BB53"/>
    <mergeCell ref="BC53:BJ53"/>
    <mergeCell ref="AA52:AH52"/>
    <mergeCell ref="AI52:AQ52"/>
    <mergeCell ref="AU52:AX52"/>
    <mergeCell ref="AY52:BB52"/>
    <mergeCell ref="BC52:BJ52"/>
    <mergeCell ref="X52:Z52"/>
    <mergeCell ref="B53:C53"/>
    <mergeCell ref="D53:J53"/>
    <mergeCell ref="K53:M53"/>
    <mergeCell ref="P53:S53"/>
    <mergeCell ref="T53:W53"/>
    <mergeCell ref="B52:C52"/>
    <mergeCell ref="D52:J52"/>
    <mergeCell ref="K52:M52"/>
    <mergeCell ref="P52:S52"/>
    <mergeCell ref="T52:W52"/>
    <mergeCell ref="B51:C51"/>
    <mergeCell ref="D51:J51"/>
    <mergeCell ref="K51:M51"/>
    <mergeCell ref="P51:S51"/>
    <mergeCell ref="T51:W51"/>
    <mergeCell ref="P47:AQ47"/>
    <mergeCell ref="AR47:BB47"/>
    <mergeCell ref="BC47:BJ49"/>
    <mergeCell ref="P48:W48"/>
    <mergeCell ref="X48:Z49"/>
    <mergeCell ref="AA48:AH49"/>
    <mergeCell ref="AI48:AQ49"/>
    <mergeCell ref="AR48:AR49"/>
    <mergeCell ref="AS48:AS49"/>
    <mergeCell ref="AT48:AT49"/>
    <mergeCell ref="X51:Z51"/>
    <mergeCell ref="AA51:AH51"/>
    <mergeCell ref="AI51:AQ51"/>
    <mergeCell ref="AU51:AX51"/>
    <mergeCell ref="AY51:BB51"/>
    <mergeCell ref="BC51:BJ51"/>
    <mergeCell ref="AU48:BB48"/>
    <mergeCell ref="P49:S49"/>
    <mergeCell ref="T49:W49"/>
    <mergeCell ref="A4:G4"/>
    <mergeCell ref="H4:T4"/>
    <mergeCell ref="U4:Y4"/>
    <mergeCell ref="Z4:AO4"/>
    <mergeCell ref="AP4:BK4"/>
    <mergeCell ref="B47:C49"/>
    <mergeCell ref="D47:J49"/>
    <mergeCell ref="K47:M49"/>
    <mergeCell ref="N47:N49"/>
    <mergeCell ref="O47:O49"/>
    <mergeCell ref="AU49:AX49"/>
    <mergeCell ref="AY49:BB49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Y57:BB57"/>
    <mergeCell ref="BC57:BJ57"/>
    <mergeCell ref="B56:C56"/>
    <mergeCell ref="D56:J56"/>
    <mergeCell ref="K56:M56"/>
    <mergeCell ref="P56:S56"/>
    <mergeCell ref="T56:W56"/>
    <mergeCell ref="X56:Z56"/>
    <mergeCell ref="AA56:AH56"/>
    <mergeCell ref="AI56:AQ56"/>
    <mergeCell ref="AU56:AX56"/>
    <mergeCell ref="AY58:BB58"/>
    <mergeCell ref="BC58:BJ58"/>
    <mergeCell ref="B59:C59"/>
    <mergeCell ref="D59:J59"/>
    <mergeCell ref="K59:M59"/>
    <mergeCell ref="P59:S59"/>
    <mergeCell ref="T59:W59"/>
    <mergeCell ref="X59:Z59"/>
    <mergeCell ref="AA59:AH59"/>
    <mergeCell ref="AI59:AQ59"/>
    <mergeCell ref="AU59:AX59"/>
    <mergeCell ref="AY59:BB59"/>
    <mergeCell ref="BC59:BJ59"/>
    <mergeCell ref="B58:C58"/>
    <mergeCell ref="D58:J58"/>
    <mergeCell ref="K58:M58"/>
    <mergeCell ref="P58:S58"/>
    <mergeCell ref="T58:W58"/>
    <mergeCell ref="X58:Z58"/>
    <mergeCell ref="AA58:AH58"/>
    <mergeCell ref="AI58:AQ58"/>
    <mergeCell ref="AU58:AX58"/>
    <mergeCell ref="AY60:BB60"/>
    <mergeCell ref="BC60:BJ60"/>
    <mergeCell ref="B61:C61"/>
    <mergeCell ref="D61:J61"/>
    <mergeCell ref="K61:M61"/>
    <mergeCell ref="P61:S61"/>
    <mergeCell ref="T61:W61"/>
    <mergeCell ref="X61:Z61"/>
    <mergeCell ref="AA61:AH61"/>
    <mergeCell ref="AI61:AQ61"/>
    <mergeCell ref="AU61:AX61"/>
    <mergeCell ref="AY61:BB61"/>
    <mergeCell ref="BC61:BJ61"/>
    <mergeCell ref="B60:C60"/>
    <mergeCell ref="D60:J60"/>
    <mergeCell ref="K60:M60"/>
    <mergeCell ref="P60:S60"/>
    <mergeCell ref="T60:W60"/>
    <mergeCell ref="X60:Z60"/>
    <mergeCell ref="AA60:AH60"/>
    <mergeCell ref="AI60:AQ60"/>
    <mergeCell ref="AU60:AX60"/>
    <mergeCell ref="AY62:BB62"/>
    <mergeCell ref="BC62:BJ62"/>
    <mergeCell ref="B63:C63"/>
    <mergeCell ref="D63:J63"/>
    <mergeCell ref="K63:M63"/>
    <mergeCell ref="P63:S63"/>
    <mergeCell ref="T63:W63"/>
    <mergeCell ref="X63:Z63"/>
    <mergeCell ref="AA63:AH63"/>
    <mergeCell ref="AI63:AQ63"/>
    <mergeCell ref="AU63:AX63"/>
    <mergeCell ref="AY63:BB63"/>
    <mergeCell ref="BC63:BJ63"/>
    <mergeCell ref="B62:C62"/>
    <mergeCell ref="D62:J62"/>
    <mergeCell ref="K62:M62"/>
    <mergeCell ref="P62:S62"/>
    <mergeCell ref="T62:W62"/>
    <mergeCell ref="X62:Z62"/>
    <mergeCell ref="AA62:AH62"/>
    <mergeCell ref="AI62:AQ62"/>
    <mergeCell ref="AU62:AX62"/>
    <mergeCell ref="AY64:BB64"/>
    <mergeCell ref="BC64:BJ64"/>
    <mergeCell ref="B109:C109"/>
    <mergeCell ref="D109:J109"/>
    <mergeCell ref="K109:M109"/>
    <mergeCell ref="P109:S109"/>
    <mergeCell ref="T109:W109"/>
    <mergeCell ref="X109:Z109"/>
    <mergeCell ref="AA109:AH109"/>
    <mergeCell ref="AI109:AQ109"/>
    <mergeCell ref="AU109:AX109"/>
    <mergeCell ref="AY109:BB109"/>
    <mergeCell ref="BC109:BJ109"/>
    <mergeCell ref="B64:C64"/>
    <mergeCell ref="D64:J64"/>
    <mergeCell ref="K64:M64"/>
    <mergeCell ref="P64:S64"/>
    <mergeCell ref="T64:W64"/>
    <mergeCell ref="X64:Z64"/>
    <mergeCell ref="AA64:AH64"/>
    <mergeCell ref="AI64:AQ64"/>
    <mergeCell ref="AU64:AX64"/>
    <mergeCell ref="AY110:BB110"/>
    <mergeCell ref="BC110:BJ110"/>
    <mergeCell ref="B111:C111"/>
    <mergeCell ref="D111:J111"/>
    <mergeCell ref="K111:M111"/>
    <mergeCell ref="P111:S111"/>
    <mergeCell ref="T111:W111"/>
    <mergeCell ref="X111:Z111"/>
    <mergeCell ref="AA111:AH111"/>
    <mergeCell ref="AI111:AQ111"/>
    <mergeCell ref="AU111:AX111"/>
    <mergeCell ref="AY111:BB111"/>
    <mergeCell ref="BC111:BJ111"/>
    <mergeCell ref="B110:C110"/>
    <mergeCell ref="D110:J110"/>
    <mergeCell ref="K110:M110"/>
    <mergeCell ref="P110:S110"/>
    <mergeCell ref="T110:W110"/>
    <mergeCell ref="X110:Z110"/>
    <mergeCell ref="AA110:AH110"/>
    <mergeCell ref="AI110:AQ110"/>
    <mergeCell ref="AU110:AX110"/>
    <mergeCell ref="AY112:BB112"/>
    <mergeCell ref="BC112:BJ112"/>
    <mergeCell ref="B113:C113"/>
    <mergeCell ref="D113:J113"/>
    <mergeCell ref="K113:M113"/>
    <mergeCell ref="P113:S113"/>
    <mergeCell ref="T113:W113"/>
    <mergeCell ref="X113:Z113"/>
    <mergeCell ref="AA113:AH113"/>
    <mergeCell ref="AI113:AQ113"/>
    <mergeCell ref="AU113:AX113"/>
    <mergeCell ref="AY113:BB113"/>
    <mergeCell ref="BC113:BJ113"/>
    <mergeCell ref="B112:C112"/>
    <mergeCell ref="D112:J112"/>
    <mergeCell ref="K112:M112"/>
    <mergeCell ref="P112:S112"/>
    <mergeCell ref="T112:W112"/>
    <mergeCell ref="X112:Z112"/>
    <mergeCell ref="AA112:AH112"/>
    <mergeCell ref="AI112:AQ112"/>
    <mergeCell ref="AU112:AX112"/>
    <mergeCell ref="AY114:BB114"/>
    <mergeCell ref="BC114:BJ114"/>
    <mergeCell ref="B115:C115"/>
    <mergeCell ref="D115:J115"/>
    <mergeCell ref="K115:M115"/>
    <mergeCell ref="P115:S115"/>
    <mergeCell ref="T115:W115"/>
    <mergeCell ref="X115:Z115"/>
    <mergeCell ref="AA115:AH115"/>
    <mergeCell ref="AI115:AQ115"/>
    <mergeCell ref="AU115:AX115"/>
    <mergeCell ref="AY115:BB115"/>
    <mergeCell ref="BC115:BJ115"/>
    <mergeCell ref="B114:C114"/>
    <mergeCell ref="D114:J114"/>
    <mergeCell ref="K114:M114"/>
    <mergeCell ref="P114:S114"/>
    <mergeCell ref="T114:W114"/>
    <mergeCell ref="X114:Z114"/>
    <mergeCell ref="AA114:AH114"/>
    <mergeCell ref="AI114:AQ114"/>
    <mergeCell ref="AU114:AX114"/>
    <mergeCell ref="AY116:BB116"/>
    <mergeCell ref="BC116:BJ116"/>
    <mergeCell ref="B117:C117"/>
    <mergeCell ref="D117:J117"/>
    <mergeCell ref="K117:M117"/>
    <mergeCell ref="P117:S117"/>
    <mergeCell ref="T117:W117"/>
    <mergeCell ref="X117:Z117"/>
    <mergeCell ref="AA117:AH117"/>
    <mergeCell ref="AI117:AQ117"/>
    <mergeCell ref="AU117:AX117"/>
    <mergeCell ref="AY117:BB117"/>
    <mergeCell ref="BC117:BJ117"/>
    <mergeCell ref="B116:C116"/>
    <mergeCell ref="D116:J116"/>
    <mergeCell ref="K116:M116"/>
    <mergeCell ref="P116:S116"/>
    <mergeCell ref="T116:W116"/>
    <mergeCell ref="X116:Z116"/>
    <mergeCell ref="AA116:AH116"/>
    <mergeCell ref="AI116:AQ116"/>
    <mergeCell ref="AU116:AX116"/>
    <mergeCell ref="AY118:BB118"/>
    <mergeCell ref="BC118:BJ118"/>
    <mergeCell ref="B119:C119"/>
    <mergeCell ref="D119:J119"/>
    <mergeCell ref="K119:M119"/>
    <mergeCell ref="P119:S119"/>
    <mergeCell ref="T119:W119"/>
    <mergeCell ref="X119:Z119"/>
    <mergeCell ref="AA119:AH119"/>
    <mergeCell ref="AI119:AQ119"/>
    <mergeCell ref="AU119:AX119"/>
    <mergeCell ref="AY119:BB119"/>
    <mergeCell ref="BC119:BJ119"/>
    <mergeCell ref="B118:C118"/>
    <mergeCell ref="D118:J118"/>
    <mergeCell ref="K118:M118"/>
    <mergeCell ref="P118:S118"/>
    <mergeCell ref="T118:W118"/>
    <mergeCell ref="X118:Z118"/>
    <mergeCell ref="AA118:AH118"/>
    <mergeCell ref="AI118:AQ118"/>
    <mergeCell ref="AU118:AX118"/>
    <mergeCell ref="AY120:BB120"/>
    <mergeCell ref="BC120:BJ120"/>
    <mergeCell ref="B121:C121"/>
    <mergeCell ref="D121:J121"/>
    <mergeCell ref="K121:M121"/>
    <mergeCell ref="P121:S121"/>
    <mergeCell ref="T121:W121"/>
    <mergeCell ref="X121:Z121"/>
    <mergeCell ref="AA121:AH121"/>
    <mergeCell ref="AI121:AQ121"/>
    <mergeCell ref="AU121:AX121"/>
    <mergeCell ref="AY121:BB121"/>
    <mergeCell ref="BC121:BJ121"/>
    <mergeCell ref="B120:C120"/>
    <mergeCell ref="D120:J120"/>
    <mergeCell ref="K120:M120"/>
    <mergeCell ref="P120:S120"/>
    <mergeCell ref="T120:W120"/>
    <mergeCell ref="X120:Z120"/>
    <mergeCell ref="AA120:AH120"/>
    <mergeCell ref="AI120:AQ120"/>
    <mergeCell ref="AU120:AX120"/>
    <mergeCell ref="AY122:BB122"/>
    <mergeCell ref="BC122:BJ122"/>
    <mergeCell ref="B123:C123"/>
    <mergeCell ref="D123:J123"/>
    <mergeCell ref="K123:M123"/>
    <mergeCell ref="P123:S123"/>
    <mergeCell ref="T123:W123"/>
    <mergeCell ref="X123:Z123"/>
    <mergeCell ref="AA123:AH123"/>
    <mergeCell ref="AI123:AQ123"/>
    <mergeCell ref="AU123:AX123"/>
    <mergeCell ref="AY123:BB123"/>
    <mergeCell ref="BC123:BJ123"/>
    <mergeCell ref="B122:C122"/>
    <mergeCell ref="D122:J122"/>
    <mergeCell ref="K122:M122"/>
    <mergeCell ref="P122:S122"/>
    <mergeCell ref="T122:W122"/>
    <mergeCell ref="X122:Z122"/>
    <mergeCell ref="AA122:AH122"/>
    <mergeCell ref="AI122:AQ122"/>
    <mergeCell ref="AU122:AX122"/>
    <mergeCell ref="BC125:BJ125"/>
    <mergeCell ref="B124:C124"/>
    <mergeCell ref="D124:J124"/>
    <mergeCell ref="K124:M124"/>
    <mergeCell ref="P124:S124"/>
    <mergeCell ref="T124:W124"/>
    <mergeCell ref="X124:Z124"/>
    <mergeCell ref="AA124:AH124"/>
    <mergeCell ref="AI124:AQ124"/>
    <mergeCell ref="AU124:AX124"/>
    <mergeCell ref="D125:J125"/>
    <mergeCell ref="K125:M125"/>
    <mergeCell ref="P125:S125"/>
    <mergeCell ref="T125:W125"/>
    <mergeCell ref="X125:Z125"/>
    <mergeCell ref="AA125:AH125"/>
    <mergeCell ref="AI125:AQ125"/>
    <mergeCell ref="AU125:AX125"/>
    <mergeCell ref="AY125:BB125"/>
    <mergeCell ref="AY126:BB126"/>
    <mergeCell ref="BC126:BJ126"/>
    <mergeCell ref="B108:C108"/>
    <mergeCell ref="P108:S108"/>
    <mergeCell ref="T108:W108"/>
    <mergeCell ref="X108:Z108"/>
    <mergeCell ref="AA108:AH108"/>
    <mergeCell ref="AI108:AQ108"/>
    <mergeCell ref="AU108:AX108"/>
    <mergeCell ref="AY108:BB108"/>
    <mergeCell ref="BC108:BJ108"/>
    <mergeCell ref="D108:M108"/>
    <mergeCell ref="B126:C126"/>
    <mergeCell ref="D126:J126"/>
    <mergeCell ref="K126:M126"/>
    <mergeCell ref="P126:S126"/>
    <mergeCell ref="T126:W126"/>
    <mergeCell ref="X126:Z126"/>
    <mergeCell ref="AA126:AH126"/>
    <mergeCell ref="AI126:AQ126"/>
    <mergeCell ref="AU126:AX126"/>
    <mergeCell ref="AY124:BB124"/>
    <mergeCell ref="BC124:BJ124"/>
    <mergeCell ref="B125:C125"/>
  </mergeCells>
  <dataValidations count="1">
    <dataValidation type="list" allowBlank="1" showInputMessage="1" showErrorMessage="1" sqref="O50:O67 O108:O127" xr:uid="{00000000-0002-0000-0200-000000000000}">
      <formula1>"－,●"</formula1>
    </dataValidation>
  </dataValidations>
  <pageMargins left="0.7" right="0.7" top="0.75" bottom="0.75" header="0.3" footer="0.3"/>
  <pageSetup scale="3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表紙</vt:lpstr>
      <vt:lpstr>改訂履歴</vt:lpstr>
      <vt:lpstr>SC1601</vt:lpstr>
      <vt:lpstr>'SC1601'!Print_Area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2024-09-10T06:57:58Z</dcterms:modified>
  <cp:category/>
  <cp:contentStatus/>
</cp:coreProperties>
</file>