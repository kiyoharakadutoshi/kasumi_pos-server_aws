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F9234D12-CBBA-4384-BE62-98C2AF41E5B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2101" sheetId="7" r:id="rId3"/>
  </sheets>
  <definedNames>
    <definedName name="_Fill" hidden="1">#REF!</definedName>
    <definedName name="_Key1" hidden="1">#REF!</definedName>
    <definedName name="_Order1" hidden="1">1</definedName>
    <definedName name="_Parse_In" hidden="1">#REF!</definedName>
    <definedName name="_Parse_Out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" hidden="1">{"'フローチャート'!$A$1:$AO$191"}</definedName>
    <definedName name="aaaa" hidden="1">{"'表紙'!$A$1:$W$39"}</definedName>
    <definedName name="Access_Button" hidden="1">"WANNET_Sheet1_List"</definedName>
    <definedName name="AccessDatabase" hidden="1">"C:\Documents and Settings\kawana.OHSAKI\My Documents\作業中\ＤＢらいぶらり.mdb"</definedName>
    <definedName name="assss" hidden="1">{"'機能一覧 Master'!$A$1:$I$56"}</definedName>
    <definedName name="b" hidden="1">{"'機能一覧 Master'!$A$1:$I$56"}</definedName>
    <definedName name="h" hidden="1">{"'フローチャート'!$A$1:$AO$191"}</definedName>
    <definedName name="HTML_CodePage" hidden="1">932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  <definedName name="q" hidden="1">{"'フローチャート'!$A$1:$AO$191"}</definedName>
    <definedName name="qq" hidden="1">{"'機能一覧 Master'!$A$1:$I$56"}</definedName>
    <definedName name="qqqqq" hidden="1">{"'機能一覧 Master'!$A$1:$I$56"}</definedName>
    <definedName name="ssss" hidden="1">#REF!</definedName>
    <definedName name="zz" hidden="1">{"'フローチャート'!$A$1:$AO$191"}</definedName>
    <definedName name="あああああ" hidden="1">{"'フローチャート'!$A$1:$AO$191"}</definedName>
    <definedName name="スケジュール" hidden="1">{"'表紙'!$A$1:$W$39"}</definedName>
    <definedName name="新見積条件共通" hidden="1">{"'フローチャート'!$A$1:$AO$191"}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BH2" i="7"/>
  <c r="BC2" i="7"/>
  <c r="AY2" i="7"/>
  <c r="AT2" i="7"/>
  <c r="AP2" i="7"/>
  <c r="K2" i="7"/>
  <c r="A2" i="7"/>
  <c r="W1" i="7"/>
  <c r="AP4" i="3" a="1"/>
  <c r="AP4" i="3" s="1"/>
  <c r="Z4" i="3"/>
  <c r="H4" i="3"/>
  <c r="BH2" i="3"/>
  <c r="BC2" i="3"/>
  <c r="AY2" i="3"/>
  <c r="AT2" i="3"/>
  <c r="AP2" i="3"/>
  <c r="K2" i="3"/>
  <c r="A2" i="3"/>
  <c r="W1" i="3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<sst xmlns="http://schemas.openxmlformats.org/spreadsheetml/2006/main" count="717" uniqueCount="214">
  <si>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</si>
  <si>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</si>
  <si>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</si>
  <si>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</si>
  <si>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</si>
  <si>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</si>
  <si>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</si>
  <si>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</si>
  <si>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</si>
  <si>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</si>
  <si>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</si>
  <si>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</si>
  <si>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</si>
  <si>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</si>
  <si>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</si>
  <si>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画面項目ID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</si>
  <si>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</si>
  <si>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</si>
  <si>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出力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</si>
  <si>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</si>
  <si>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備考</t>
    </r>
  </si>
  <si>
    <r>
      <rPr>
        <sz val="11"/>
        <color rgb="FF000000"/>
        <rFont val="Meiryo UI"/>
        <family val="2"/>
      </rPr>
      <t>マッピングデータ</t>
    </r>
  </si>
  <si>
    <r>
      <rPr>
        <sz val="11"/>
        <color rgb="FF000000"/>
        <rFont val="Meiryo UI"/>
        <family val="2"/>
      </rPr>
      <t>表示コントロール</t>
    </r>
  </si>
  <si>
    <r>
      <rPr>
        <sz val="11"/>
        <color rgb="FF000000"/>
        <rFont val="Meiryo UI"/>
        <family val="2"/>
      </rPr>
      <t>Control enable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</si>
  <si>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</si>
  <si>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</si>
  <si>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</si>
  <si>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</si>
  <si>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</si>
  <si>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API名</t>
    </r>
  </si>
  <si>
    <r>
      <rPr>
        <sz val="11"/>
        <color rgb="FF000000"/>
        <rFont val="Meiryo UI"/>
        <family val="2"/>
      </rPr>
      <t>多言語</t>
    </r>
  </si>
  <si>
    <r>
      <rPr>
        <sz val="11"/>
        <color rgb="FF000000"/>
        <rFont val="Meiryo UI"/>
        <family val="2"/>
      </rPr>
      <t>21_ジャーナル検索</t>
    </r>
  </si>
  <si>
    <r>
      <rPr>
        <sz val="11"/>
        <color rgb="FF000000"/>
        <rFont val="Meiryo UI"/>
        <family val="2"/>
      </rPr>
      <t>LoiLv</t>
    </r>
  </si>
  <si>
    <r>
      <rPr>
        <sz val="11"/>
        <color rgb="FF000000"/>
        <rFont val="Meiryo UI"/>
        <family val="2"/>
      </rPr>
      <t>営業日</t>
    </r>
  </si>
  <si>
    <r>
      <rPr>
        <sz val="11"/>
        <color rgb="FF000000"/>
        <rFont val="Meiryo UI"/>
        <family val="2"/>
      </rPr>
      <t>初期値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</si>
  <si>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</si>
  <si>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数字</t>
    </r>
  </si>
  <si>
    <r>
      <rPr>
        <sz val="11"/>
        <color rgb="FF000000"/>
        <rFont val="Meiryo UI"/>
        <family val="2"/>
      </rPr>
      <t>桁</t>
    </r>
  </si>
  <si>
    <r>
      <rPr>
        <sz val="11"/>
        <color rgb="FF000000"/>
        <rFont val="Meiryo UI"/>
        <family val="2"/>
      </rPr>
      <t>現在日（曜日）</t>
    </r>
  </si>
  <si>
    <r>
      <rPr>
        <sz val="11"/>
        <color rgb="FF000000"/>
        <rFont val="Meiryo UI"/>
        <family val="2"/>
      </rPr>
      <t>時間帯</t>
    </r>
  </si>
  <si>
    <r>
      <rPr>
        <sz val="11"/>
        <color rgb="FF000000"/>
        <rFont val="Meiryo UI"/>
        <family val="2"/>
      </rPr>
      <t>レジ</t>
    </r>
  </si>
  <si>
    <r>
      <rPr>
        <sz val="11"/>
        <color rgb="FF000000"/>
        <rFont val="Meiryo UI"/>
        <family val="2"/>
      </rPr>
      <t>担当者</t>
    </r>
  </si>
  <si>
    <r>
      <rPr>
        <sz val="11"/>
        <color rgb="FF000000"/>
        <rFont val="Meiryo UI"/>
        <family val="2"/>
      </rPr>
      <t>担当者（タイトル）</t>
    </r>
  </si>
  <si>
    <r>
      <rPr>
        <sz val="11"/>
        <color rgb="FF000000"/>
        <rFont val="Meiryo UI"/>
        <family val="2"/>
      </rPr>
      <t>レシートNo.（タイトル）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</si>
  <si>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</si>
  <si>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開始レシートNo.(値)</t>
    </r>
  </si>
  <si>
    <r>
      <rPr>
        <sz val="11"/>
        <color rgb="FF000000"/>
        <rFont val="Meiryo UI"/>
        <family val="2"/>
      </rPr>
      <t>終了レシートNo.(値)</t>
    </r>
  </si>
  <si>
    <r>
      <rPr>
        <sz val="11"/>
        <color rgb="FF000000"/>
        <rFont val="Meiryo UI"/>
        <family val="2"/>
      </rPr>
      <t>任意文字列</t>
    </r>
  </si>
  <si>
    <r>
      <rPr>
        <sz val="11"/>
        <color rgb="FF000000"/>
        <rFont val="Meiryo UI"/>
        <family val="2"/>
      </rPr>
      <t>検索</t>
    </r>
  </si>
  <si>
    <r>
      <rPr>
        <sz val="11"/>
        <color rgb="FF000000"/>
        <rFont val="Meiryo UI"/>
        <family val="2"/>
      </rPr>
      <t>レジ番号</t>
    </r>
  </si>
  <si>
    <r>
      <rPr>
        <sz val="11"/>
        <color rgb="FF000000"/>
        <rFont val="Meiryo UI"/>
        <family val="2"/>
      </rPr>
      <t>レジ番号（ヘッダー）</t>
    </r>
  </si>
  <si>
    <r>
      <rPr>
        <sz val="11"/>
        <color rgb="FF000000"/>
        <rFont val="Meiryo UI"/>
        <family val="2"/>
      </rPr>
      <t>レジ番号（値）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</si>
  <si>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</si>
  <si>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取引日時</t>
    </r>
  </si>
  <si>
    <r>
      <rPr>
        <sz val="11"/>
        <color rgb="FF000000"/>
        <rFont val="Meiryo UI"/>
        <family val="2"/>
      </rPr>
      <t>取引日時（ヘッダー）</t>
    </r>
  </si>
  <si>
    <r>
      <rPr>
        <sz val="11"/>
        <color rgb="FF000000"/>
        <rFont val="Meiryo UI"/>
        <family val="2"/>
      </rPr>
      <t>取引日時（値）</t>
    </r>
  </si>
  <si>
    <r>
      <rPr>
        <sz val="11"/>
        <color rgb="FF000000"/>
        <rFont val="Meiryo UI"/>
        <family val="2"/>
      </rPr>
      <t>レシートNo.</t>
    </r>
  </si>
  <si>
    <r>
      <rPr>
        <sz val="11"/>
        <color rgb="FF000000"/>
        <rFont val="Meiryo UI"/>
        <family val="2"/>
      </rPr>
      <t>レシートNo.(ヘッダー）</t>
    </r>
  </si>
  <si>
    <r>
      <rPr>
        <sz val="11"/>
        <color rgb="FF000000"/>
        <rFont val="Meiryo UI"/>
        <family val="2"/>
      </rPr>
      <t>画面名</t>
    </r>
  </si>
  <si>
    <r>
      <rPr>
        <sz val="11"/>
        <color rgb="FF000000"/>
        <rFont val="Meiryo UI"/>
        <family val="2"/>
      </rPr>
      <t>レシートNo.（値）</t>
    </r>
  </si>
  <si>
    <r>
      <rPr>
        <sz val="11"/>
        <color rgb="FF000000"/>
        <rFont val="Meiryo UI"/>
        <family val="2"/>
      </rPr>
      <t>AP2102</t>
    </r>
  </si>
  <si>
    <r>
      <rPr>
        <sz val="11"/>
        <color rgb="FF000000"/>
        <rFont val="Meiryo UI"/>
        <family val="2"/>
      </rPr>
      <t>business_date_from</t>
    </r>
  </si>
  <si>
    <r>
      <rPr>
        <sz val="11"/>
        <color rgb="FF000000"/>
        <rFont val="Meiryo UI"/>
        <family val="2"/>
      </rPr>
      <t>business_date_to</t>
    </r>
  </si>
  <si>
    <r>
      <rPr>
        <sz val="11"/>
        <color rgb="FF000000"/>
        <rFont val="Meiryo UI"/>
        <family val="2"/>
      </rPr>
      <t>cash_register_code</t>
    </r>
  </si>
  <si>
    <r>
      <rPr>
        <sz val="11"/>
        <color rgb="FF000000"/>
        <rFont val="Meiryo UI"/>
        <family val="2"/>
      </rPr>
      <t>employee_code</t>
    </r>
  </si>
  <si>
    <r>
      <rPr>
        <sz val="11"/>
        <color rgb="FF000000"/>
        <rFont val="Meiryo UI"/>
        <family val="2"/>
      </rPr>
      <t>receipt_no_from</t>
    </r>
  </si>
  <si>
    <r>
      <rPr>
        <sz val="11"/>
        <color rgb="FF000000"/>
        <rFont val="Meiryo UI"/>
        <family val="2"/>
      </rPr>
      <t>receipt_no_to</t>
    </r>
  </si>
  <si>
    <r>
      <rPr>
        <sz val="11"/>
        <color rgb="FF000000"/>
        <rFont val="Meiryo UI"/>
        <family val="2"/>
      </rPr>
      <t>transaction_date</t>
    </r>
  </si>
  <si>
    <r>
      <rPr>
        <sz val="11"/>
        <color rgb="FF000000"/>
        <rFont val="Meiryo UI"/>
        <family val="2"/>
      </rPr>
      <t>receipt_no</t>
    </r>
  </si>
  <si>
    <r>
      <rPr>
        <sz val="11"/>
        <color rgb="FF000000"/>
        <rFont val="Meiryo UI"/>
        <family val="2"/>
      </rPr>
      <t>journal_data</t>
    </r>
  </si>
  <si>
    <r>
      <rPr>
        <sz val="11"/>
        <color rgb="FF000000"/>
        <rFont val="Meiryo UI"/>
        <family val="2"/>
      </rPr>
      <t>印刷</t>
    </r>
  </si>
  <si>
    <r>
      <rPr>
        <sz val="11"/>
        <color rgb="FF000000"/>
        <rFont val="Meiryo UI"/>
        <family val="2"/>
      </rPr>
      <t>時間帯（タイトル）</t>
    </r>
  </si>
  <si>
    <r>
      <rPr>
        <sz val="11"/>
        <color rgb="FF000000"/>
        <rFont val="Meiryo UI"/>
        <family val="2"/>
      </rPr>
      <t>終了営業日（値）</t>
    </r>
  </si>
  <si>
    <r>
      <rPr>
        <sz val="11"/>
        <color rgb="FF000000"/>
        <rFont val="Meiryo UI"/>
        <family val="2"/>
      </rPr>
      <t>開始時間帯（値）</t>
    </r>
  </si>
  <si>
    <r>
      <rPr>
        <sz val="11"/>
        <color rgb="FF000000"/>
        <rFont val="Meiryo UI"/>
        <family val="2"/>
      </rPr>
      <t>終了時間帯（値）</t>
    </r>
  </si>
  <si>
    <r>
      <rPr>
        <sz val="11"/>
        <color rgb="FF000000"/>
        <rFont val="Meiryo UI"/>
        <family val="2"/>
      </rPr>
      <t>ジャーナル詳細</t>
    </r>
  </si>
  <si>
    <r>
      <rPr>
        <sz val="11"/>
        <color rgb="FF000000"/>
        <rFont val="Meiryo UI"/>
        <family val="2"/>
      </rPr>
      <t>店舗（ヘッダー）</t>
    </r>
  </si>
  <si>
    <r>
      <rPr>
        <sz val="11"/>
        <color rgb="FF000000"/>
        <rFont val="Meiryo UI"/>
        <family val="2"/>
      </rPr>
      <t>DatePicker</t>
    </r>
  </si>
  <si>
    <r>
      <rPr>
        <sz val="11"/>
        <color rgb="FF000000"/>
        <rFont val="Meiryo UI"/>
        <family val="2"/>
      </rPr>
      <t>TimePicker</t>
    </r>
  </si>
  <si>
    <r>
      <rPr>
        <sz val="11"/>
        <color rgb="FF000000"/>
        <rFont val="Meiryo UI"/>
        <family val="2"/>
      </rPr>
      <t>店舗（値）</t>
    </r>
  </si>
  <si>
    <r>
      <rPr>
        <sz val="11"/>
        <color rgb="FF000000"/>
        <rFont val="Meiryo UI"/>
        <family val="2"/>
      </rPr>
      <t>店舗</t>
    </r>
  </si>
  <si>
    <r>
      <rPr>
        <sz val="11"/>
        <color rgb="FF000000"/>
        <rFont val="Meiryo UI"/>
        <family val="2"/>
      </rPr>
      <t>store_code, store_name</t>
    </r>
  </si>
  <si>
    <t xml:space="preserve"> </t>
  </si>
  <si>
    <r>
      <rPr>
        <sz val="11"/>
        <color rgb="FF000000"/>
        <rFont val="Meiryo UI"/>
        <family val="2"/>
      </rPr>
      <t>担当者（値）</t>
    </r>
  </si>
  <si>
    <r>
      <rPr>
        <sz val="11"/>
        <color rgb="FF000000"/>
        <rFont val="Meiryo UI"/>
        <family val="2"/>
      </rPr>
      <t>AP4001</t>
    </r>
  </si>
  <si>
    <r>
      <rPr>
        <sz val="11"/>
        <color rgb="FF000000"/>
        <rFont val="Meiryo UI"/>
        <family val="2"/>
      </rPr>
      <t>最大4桁。</t>
    </r>
  </si>
  <si>
    <r>
      <rPr>
        <b/>
        <sz val="11"/>
        <color rgb="FF000000"/>
        <rFont val="Meiryo UI"/>
        <family val="2"/>
      </rPr>
      <t>結果表示エリア</t>
    </r>
  </si>
  <si>
    <r>
      <rPr>
        <b/>
        <sz val="11"/>
        <color rgb="FF000000"/>
        <rFont val="Meiryo UI"/>
        <family val="2"/>
      </rPr>
      <t>検索エリア</t>
    </r>
  </si>
  <si>
    <r>
      <rPr>
        <sz val="11"/>
        <color rgb="FF000000"/>
        <rFont val="Meiryo UI"/>
        <family val="2"/>
      </rPr>
      <t>任意文字列2（値）</t>
    </r>
  </si>
  <si>
    <r>
      <rPr>
        <sz val="11"/>
        <color rgb="FF000000"/>
        <rFont val="Meiryo UI"/>
        <family val="2"/>
      </rPr>
      <t>任意文字列1（タイトル）</t>
    </r>
  </si>
  <si>
    <r>
      <rPr>
        <sz val="11"/>
        <color rgb="FF000000"/>
        <rFont val="Meiryo UI"/>
        <family val="2"/>
      </rPr>
      <t>任意文字列1（値）</t>
    </r>
  </si>
  <si>
    <r>
      <rPr>
        <sz val="11"/>
        <color rgb="FF000000"/>
        <rFont val="Meiryo UI"/>
        <family val="2"/>
      </rPr>
      <t>keyword_1</t>
    </r>
  </si>
  <si>
    <r>
      <rPr>
        <sz val="11"/>
        <color rgb="FF000000"/>
        <rFont val="Meiryo UI"/>
        <family val="2"/>
      </rPr>
      <t>keyword_2</t>
    </r>
  </si>
  <si>
    <r>
      <rPr>
        <sz val="11"/>
        <color rgb="FF000000"/>
        <rFont val="Meiryo UI"/>
        <family val="2"/>
      </rPr>
      <t>condition_type</t>
    </r>
  </si>
  <si>
    <r>
      <rPr>
        <b/>
        <sz val="11"/>
        <color rgb="FF000000"/>
        <rFont val="Meiryo UI"/>
        <family val="2"/>
      </rPr>
      <t>ヘッダーエリア</t>
    </r>
  </si>
  <si>
    <r>
      <rPr>
        <sz val="11"/>
        <color rgb="FF000000"/>
        <rFont val="Meiryo UI"/>
        <family val="2"/>
      </rPr>
      <t>CSV出力</t>
    </r>
  </si>
  <si>
    <r>
      <rPr>
        <sz val="11"/>
        <color rgb="FF000000"/>
        <rFont val="Meiryo UI"/>
        <family val="2"/>
      </rPr>
      <t>店舗選択エリアを表示する。</t>
    </r>
  </si>
  <si>
    <r>
      <rPr>
        <sz val="11"/>
        <color rgb="FF000000"/>
        <rFont val="Meiryo UI"/>
        <family val="2"/>
      </rPr>
      <t>店舗選択エリア</t>
    </r>
  </si>
  <si>
    <r>
      <rPr>
        <sz val="11"/>
        <color rgb="FF000000"/>
        <rFont val="Meiryo UI"/>
        <family val="2"/>
      </rPr>
      <t>検索条件入力エリア</t>
    </r>
  </si>
  <si>
    <r>
      <rPr>
        <sz val="11"/>
        <color rgb="FF000000"/>
        <rFont val="Meiryo UI"/>
        <family val="2"/>
      </rPr>
      <t>営業日（タイトル）</t>
    </r>
  </si>
  <si>
    <r>
      <rPr>
        <sz val="11"/>
        <color rgb="FF000000"/>
        <rFont val="Meiryo UI"/>
        <family val="2"/>
      </rPr>
      <t>開始営業日（値）</t>
    </r>
  </si>
  <si>
    <r>
      <rPr>
        <sz val="11"/>
        <color rgb="FF000000"/>
        <rFont val="Meiryo UI"/>
        <family val="2"/>
      </rPr>
      <t>条件組み合わせタイプ</t>
    </r>
  </si>
  <si>
    <r>
      <rPr>
        <sz val="11"/>
        <color rgb="FF000000"/>
        <rFont val="Meiryo UI"/>
        <family val="2"/>
      </rPr>
      <t>任意文字列2</t>
    </r>
  </si>
  <si>
    <r>
      <rPr>
        <sz val="11"/>
        <color rgb="FF000000"/>
        <rFont val="Meiryo UI"/>
        <family val="2"/>
      </rPr>
      <t>レジ（タイトル）</t>
    </r>
  </si>
  <si>
    <r>
      <rPr>
        <sz val="11"/>
        <color rgb="FF000000"/>
        <rFont val="Meiryo UI"/>
        <family val="2"/>
      </rPr>
      <t>レジ（値）</t>
    </r>
  </si>
  <si>
    <r>
      <rPr>
        <b/>
        <sz val="11"/>
        <color rgb="FF000000"/>
        <rFont val="Meiryo UI"/>
        <family val="2"/>
      </rPr>
      <t>■</t>
    </r>
    <r>
      <rPr>
        <sz val="11"/>
        <color rgb="FF000000"/>
        <rFont val="Meiryo UI"/>
        <family val="2"/>
      </rPr>
      <t>ユーザーがシステム権限を持つ場合のイメージ - 検索エリア</t>
    </r>
  </si>
  <si>
    <r>
      <rPr>
        <sz val="11"/>
        <color rgb="FF000000"/>
        <rFont val="Meiryo UI"/>
        <family val="2"/>
      </rPr>
      <t>■ユーザーがシステム権限を持つ場合のイメージ - 結果表示エリア</t>
    </r>
  </si>
  <si>
    <r>
      <rPr>
        <b/>
        <sz val="11"/>
        <color rgb="FF000000"/>
        <rFont val="Meiryo UI"/>
        <family val="2"/>
      </rPr>
      <t>■ユーザーが店舗権限のみを持つ場合のイメージ（店舗ユーザー）</t>
    </r>
  </si>
  <si>
    <r>
      <rPr>
        <sz val="11"/>
        <color rgb="FF000000"/>
        <rFont val="Meiryo UI"/>
        <family val="2"/>
      </rPr>
      <t>AP7103</t>
    </r>
  </si>
  <si>
    <r>
      <rPr>
        <sz val="11"/>
        <color rgb="FF000000"/>
        <rFont val="Meiryo UI"/>
        <family val="2"/>
      </rPr>
      <t>Type</t>
    </r>
  </si>
  <si>
    <r>
      <rPr>
        <sz val="11"/>
        <color rgb="FF000000"/>
        <rFont val="Meiryo UI"/>
        <family val="2"/>
      </rPr>
      <t>AnhDD</t>
    </r>
  </si>
  <si>
    <r>
      <rPr>
        <sz val="11"/>
        <color rgb="FF000000"/>
        <rFont val="Meiryo UI"/>
        <family val="2"/>
      </rPr>
      <t>2024年08月15日のご指摘：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 xml:space="preserve">1. </t>
    </r>
    <r>
      <rPr>
        <sz val="11"/>
        <color rgb="FF000000"/>
        <rFont val="Meiryo UI"/>
        <family val="2"/>
      </rPr>
      <t>結果表示エリアのフィールド順序を修正する。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 xml:space="preserve">2. </t>
    </r>
    <r>
      <rPr>
        <sz val="11"/>
        <color rgb="FF000000"/>
        <rFont val="Meiryo UI"/>
        <family val="2"/>
      </rPr>
      <t>ジャーナルNoを追加する。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 xml:space="preserve">3. </t>
    </r>
    <r>
      <rPr>
        <sz val="11"/>
        <color rgb="FF000000"/>
        <rFont val="Meiryo UI"/>
        <family val="2"/>
      </rPr>
      <t>ページングを削除する。</t>
    </r>
  </si>
  <si>
    <r>
      <rPr>
        <sz val="11"/>
        <color rgb="FF000000"/>
        <rFont val="Meiryo UI"/>
        <family val="2"/>
      </rPr>
      <t>AnhDDD</t>
    </r>
  </si>
  <si>
    <r>
      <rPr>
        <sz val="11"/>
        <color rgb="FF000000"/>
        <rFont val="Meiryo UI"/>
        <family val="2"/>
      </rPr>
      <t>2024年08月20日のご指摘：</t>
    </r>
    <r>
      <rPr>
        <sz val="11"/>
        <color rgb="FF000000"/>
        <rFont val="Meiryo UI"/>
        <family val="2"/>
      </rPr>
      <t>イラストのみ修正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 xml:space="preserve">1. </t>
    </r>
    <r>
      <rPr>
        <sz val="11"/>
        <color rgb="FF000000"/>
        <rFont val="Meiryo UI"/>
        <family val="2"/>
      </rPr>
      <t>担当者フィールド（検索条件）を最下部に配置する.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 xml:space="preserve">2. </t>
    </r>
    <r>
      <rPr>
        <sz val="11"/>
        <color rgb="FF000000"/>
        <rFont val="Meiryo UI"/>
        <family val="2"/>
      </rPr>
      <t>画面表示時にデフォルト値を画像に追加する.</t>
    </r>
  </si>
  <si>
    <r>
      <rPr>
        <sz val="11"/>
        <color rgb="FF000000"/>
        <rFont val="Meiryo UI"/>
        <family val="2"/>
      </rPr>
      <t>AnhNM</t>
    </r>
  </si>
  <si>
    <r>
      <rPr>
        <sz val="11"/>
        <color rgb="FF000000"/>
        <rFont val="Meiryo UI"/>
        <family val="2"/>
      </rPr>
      <t>SC2101</t>
    </r>
  </si>
  <si>
    <r>
      <rPr>
        <sz val="11"/>
        <color rgb="FF000000"/>
        <rFont val="Meiryo UI"/>
        <family val="2"/>
      </rPr>
      <t>[ジャーナルNo]項目を削除</t>
    </r>
  </si>
  <si>
    <r>
      <rPr>
        <b/>
        <sz val="11"/>
        <color rgb="FF000000"/>
        <rFont val="Meiryo UI"/>
        <family val="2"/>
      </rPr>
      <t>■イメージ</t>
    </r>
  </si>
  <si>
    <r>
      <rPr>
        <sz val="11"/>
        <color rgb="FF000000"/>
        <rFont val="Meiryo UI"/>
        <family val="2"/>
      </rPr>
      <t>ラジオボタン</t>
    </r>
  </si>
  <si>
    <r>
      <rPr>
        <sz val="11"/>
        <color rgb="FF7030A0"/>
        <rFont val="Meiryo UI"/>
        <family val="3"/>
        <charset val="128"/>
      </rPr>
      <t>TuyenNH</t>
    </r>
  </si>
  <si>
    <r>
      <rPr>
        <sz val="11"/>
        <color rgb="FFFF0000"/>
        <rFont val="Meiryo UI"/>
        <family val="2"/>
      </rPr>
      <t>新たなレイアウトより資料更新</t>
    </r>
  </si>
  <si>
    <r>
      <rPr>
        <sz val="11"/>
        <color rgb="FF7030A0"/>
        <rFont val="Meiryo UI"/>
        <family val="3"/>
        <charset val="128"/>
      </rPr>
      <t>[SC2101]シート</t>
    </r>
  </si>
  <si>
    <t>▲</t>
  </si>
  <si>
    <r>
      <rPr>
        <sz val="11"/>
        <color rgb="FF000000"/>
        <rFont val="Meiryo UI"/>
        <family val="2"/>
      </rPr>
      <t>形式：</t>
    </r>
    <r>
      <rPr>
        <sz val="11"/>
        <color rgb="FF00B050"/>
        <rFont val="Meiryo UI"/>
        <family val="2"/>
      </rPr>
      <t>yy</t>
    </r>
    <r>
      <rPr>
        <sz val="11"/>
        <color rgb="FF000000"/>
        <rFont val="Meiryo UI"/>
        <family val="2"/>
      </rPr>
      <t>/MM/dd HH:mm:ss</t>
    </r>
  </si>
  <si>
    <r>
      <rPr>
        <sz val="11"/>
        <color rgb="FF00B050"/>
        <rFont val="Meiryo UI"/>
        <family val="2"/>
      </rPr>
      <t xml:space="preserve">1. </t>
    </r>
    <r>
      <rPr>
        <sz val="11"/>
        <color rgb="FF00B050"/>
        <rFont val="Meiryo UI"/>
        <family val="2"/>
      </rPr>
      <t>検索エリアの位置を画面の上部に移動</t>
    </r>
    <r>
      <rPr>
        <sz val="11"/>
        <color rgb="FF00B050"/>
        <rFont val="Meiryo UI"/>
        <family val="2"/>
      </rPr>
      <t xml:space="preserve">
</t>
    </r>
    <r>
      <rPr>
        <sz val="11"/>
        <color rgb="FF00B050"/>
        <rFont val="Meiryo UI"/>
        <family val="2"/>
      </rPr>
      <t xml:space="preserve">2. </t>
    </r>
    <r>
      <rPr>
        <sz val="11"/>
        <color rgb="FF00B050"/>
        <rFont val="Meiryo UI"/>
        <family val="2"/>
      </rPr>
      <t>年の形式は末尾2桁のみを表示する。</t>
    </r>
    <r>
      <rPr>
        <sz val="11"/>
        <color rgb="FF00B050"/>
        <rFont val="Meiryo UI"/>
        <family val="2"/>
      </rPr>
      <t xml:space="preserve">
</t>
    </r>
    <r>
      <rPr>
        <sz val="11"/>
        <color rgb="FF00B050"/>
        <rFont val="Meiryo UI"/>
        <family val="2"/>
      </rPr>
      <t xml:space="preserve">3. </t>
    </r>
    <r>
      <rPr>
        <sz val="11"/>
        <color rgb="FF00B050"/>
        <rFont val="Meiryo UI"/>
        <family val="2"/>
      </rPr>
      <t>「時間帯」項目は時間と分を同時に選択する。</t>
    </r>
    <r>
      <rPr>
        <sz val="11"/>
        <color rgb="FF00B050"/>
        <rFont val="Meiryo UI"/>
        <family val="2"/>
      </rPr>
      <t xml:space="preserve">
</t>
    </r>
    <r>
      <rPr>
        <sz val="11"/>
        <color rgb="FF00B050"/>
        <rFont val="Meiryo UI"/>
        <family val="2"/>
      </rPr>
      <t xml:space="preserve">4. </t>
    </r>
    <r>
      <rPr>
        <sz val="11"/>
        <color rgb="FF00B050"/>
        <rFont val="Meiryo UI"/>
        <family val="2"/>
      </rPr>
      <t>検索結果エリアに「全選択」「全解除」項目を追加</t>
    </r>
    <r>
      <rPr>
        <sz val="11"/>
        <color rgb="FF00B050"/>
        <rFont val="Meiryo UI"/>
        <family val="2"/>
      </rPr>
      <t xml:space="preserve">
</t>
    </r>
    <r>
      <rPr>
        <sz val="11"/>
        <color rgb="FF00B050"/>
        <rFont val="Meiryo UI"/>
        <family val="2"/>
      </rPr>
      <t xml:space="preserve">5. </t>
    </r>
    <r>
      <rPr>
        <sz val="11"/>
        <color rgb="FF00B050"/>
        <rFont val="Meiryo UI"/>
        <family val="2"/>
      </rPr>
      <t>各項目に並び替え（▲/▼）ボタンを追加</t>
    </r>
  </si>
  <si>
    <r>
      <rPr>
        <sz val="11"/>
        <color rgb="FF7030A0"/>
        <rFont val="Meiryo UI"/>
        <family val="3"/>
        <charset val="128"/>
      </rPr>
      <t>「レシート区分」項目と「モード」を追加</t>
    </r>
  </si>
  <si>
    <r>
      <rPr>
        <sz val="11"/>
        <color rgb="FFFF0000"/>
        <rFont val="Meiryo UI"/>
        <family val="2"/>
      </rPr>
      <t>TuyenNH</t>
    </r>
  </si>
  <si>
    <r>
      <rPr>
        <sz val="11"/>
        <color rgb="FF00B050"/>
        <rFont val="Meiryo UI"/>
        <family val="2"/>
      </rPr>
      <t>TuyenNH</t>
    </r>
  </si>
  <si>
    <r>
      <rPr>
        <sz val="11"/>
        <color rgb="FFFF0000"/>
        <rFont val="Meiryo UI"/>
        <family val="2"/>
      </rPr>
      <t>[SC2101]シート</t>
    </r>
  </si>
  <si>
    <r>
      <rPr>
        <sz val="11"/>
        <color rgb="FF00B050"/>
        <rFont val="Meiryo UI"/>
        <family val="2"/>
      </rPr>
      <t>[SC2101]シート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</si>
  <si>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</si>
  <si>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</si>
  <si>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</si>
  <si>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</si>
  <si>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</si>
  <si>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</si>
  <si>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</si>
  <si>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</si>
  <si>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</si>
  <si>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</si>
  <si>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</si>
  <si>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</si>
  <si>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</si>
  <si>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画面設計書</t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</si>
  <si>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</si>
  <si>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</si>
  <si>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</si>
  <si>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■画面項目定義</t>
  </si>
  <si>
    <t>画面項目ID</t>
  </si>
  <si>
    <t>項目</t>
  </si>
  <si>
    <t>タイプ</t>
  </si>
  <si>
    <t>多言語</t>
  </si>
  <si>
    <t>出力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</si>
  <si>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</si>
  <si>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</si>
  <si>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</si>
  <si>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</si>
  <si>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</si>
  <si>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</si>
  <si>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必須</t>
  </si>
  <si>
    <t>数字</t>
  </si>
  <si>
    <t>桁</t>
  </si>
  <si>
    <t>API名</t>
  </si>
  <si>
    <t>ジャーナル検索</t>
  </si>
  <si>
    <r>
      <rPr>
        <sz val="11"/>
        <color rgb="FF000000"/>
        <rFont val="Meiryo UI"/>
        <family val="2"/>
      </rPr>
      <t>イベントID：SC2101-01</t>
    </r>
  </si>
  <si>
    <t>レコードがチェック状態の場合</t>
  </si>
  <si>
    <r>
      <rPr>
        <sz val="11"/>
        <color rgb="FF000000"/>
        <rFont val="Meiryo UI"/>
        <family val="2"/>
      </rPr>
      <t>イベントID：SC2101-04</t>
    </r>
  </si>
  <si>
    <r>
      <rPr>
        <sz val="11"/>
        <color rgb="FF000000"/>
        <rFont val="Meiryo UI"/>
        <family val="2"/>
      </rPr>
      <t>イベントID：SC2101-03</t>
    </r>
  </si>
  <si>
    <t>ユーザーが複数店舗(00, 01)の操作権限を持つ場合は表示する。</t>
  </si>
  <si>
    <t>店舗選択</t>
  </si>
  <si>
    <t>テキスト</t>
  </si>
  <si>
    <r>
      <rPr>
        <sz val="11"/>
        <color rgb="FF000000"/>
        <rFont val="Meiryo UI"/>
        <family val="2"/>
      </rPr>
      <t xml:space="preserve">デフォルト：有効
</t>
    </r>
    <r>
      <rPr>
        <sz val="11"/>
        <color rgb="FF00B050"/>
        <rFont val="Meiryo UI"/>
        <family val="2"/>
      </rPr>
      <t>店舗が未入力の場合は無効にする</t>
    </r>
  </si>
  <si>
    <r>
      <rPr>
        <sz val="11"/>
        <color rgb="FF000000"/>
        <rFont val="Meiryo UI"/>
        <family val="2"/>
      </rPr>
      <t>形式：</t>
    </r>
    <r>
      <rPr>
        <sz val="11"/>
        <color rgb="FF00B050"/>
        <rFont val="Meiryo UI"/>
        <family val="2"/>
      </rPr>
      <t>yy</t>
    </r>
    <r>
      <rPr>
        <sz val="11"/>
        <color rgb="FF000000"/>
        <rFont val="Meiryo UI"/>
        <family val="2"/>
      </rPr>
      <t>/MM/dd(E)
date pickerタイプを選択するか、edit textタイプを入力できる。入力すると、曜日を自動的に埋め込む。</t>
    </r>
  </si>
  <si>
    <t>business_time_from</t>
  </si>
  <si>
    <r>
      <rPr>
        <sz val="11"/>
        <color rgb="FF000000"/>
        <rFont val="Meiryo UI"/>
        <family val="2"/>
      </rPr>
      <t>形式：HH:mm
date pickerタイプを選択するか、edit textタイプを入力できる。</t>
    </r>
  </si>
  <si>
    <t>business_time_to</t>
  </si>
  <si>
    <r>
      <rPr>
        <sz val="11"/>
        <color rgb="FF000000"/>
        <rFont val="Meiryo UI"/>
        <family val="2"/>
      </rPr>
      <t xml:space="preserve">プルダウン </t>
    </r>
  </si>
  <si>
    <r>
      <rPr>
        <sz val="11"/>
        <color rgb="FF000000"/>
        <rFont val="Meiryo UI"/>
        <family val="2"/>
      </rPr>
      <t>code,
name</t>
    </r>
  </si>
  <si>
    <t>ブランク</t>
  </si>
  <si>
    <r>
      <rPr>
        <sz val="11"/>
        <color rgb="FF000000"/>
        <rFont val="Meiryo UI"/>
        <family val="2"/>
      </rPr>
      <t>・表示形式： [コード : 名称]。1つの値のみ選択
・プルダウンの値: 行1：ブランク、次の行：「AP7103」APIからのもの</t>
    </r>
  </si>
  <si>
    <r>
      <rPr>
        <sz val="11"/>
        <color rgb="FF000000"/>
        <rFont val="Meiryo UI"/>
        <family val="2"/>
      </rPr>
      <t>code,
 name</t>
    </r>
  </si>
  <si>
    <r>
      <rPr>
        <sz val="11"/>
        <color rgb="FF000000"/>
        <rFont val="Meiryo UI"/>
        <family val="2"/>
      </rPr>
      <t>・表示形式： [コード : 名称]。1つの値のみ選択
・プルダウンの値: 行1：ブランク、次の行：「AP4001」APIからのもの</t>
    </r>
  </si>
  <si>
    <r>
      <rPr>
        <sz val="11"/>
        <color rgb="FF00B050"/>
        <rFont val="Meiryo UI"/>
        <family val="2"/>
      </rPr>
      <t xml:space="preserve">最大全角25文字
</t>
    </r>
    <r>
      <rPr>
        <sz val="11"/>
        <color rgb="FF000000"/>
        <rFont val="Meiryo UI"/>
        <family val="2"/>
      </rPr>
      <t>最大半角50文字</t>
    </r>
  </si>
  <si>
    <t>OR/AND</t>
  </si>
  <si>
    <r>
      <rPr>
        <sz val="11"/>
        <color rgb="FF000000"/>
        <rFont val="Meiryo UI"/>
        <family val="2"/>
      </rPr>
      <t>伝送値：
0: Or
1: And</t>
    </r>
  </si>
  <si>
    <t>F12：検索</t>
  </si>
  <si>
    <r>
      <rPr>
        <sz val="11"/>
        <color rgb="FF000000"/>
        <rFont val="Meiryo UI"/>
        <family val="2"/>
      </rPr>
      <t xml:space="preserve">必須項目が入力され、店舗が選択されている場合に有効になる。
</t>
    </r>
    <r>
      <rPr>
        <sz val="11"/>
        <color rgb="FF00B050"/>
        <rFont val="Meiryo UI"/>
        <family val="2"/>
      </rPr>
      <t>店舗が未入力の場合は無効にする</t>
    </r>
  </si>
  <si>
    <r>
      <rPr>
        <sz val="11"/>
        <color rgb="FF000000"/>
        <rFont val="Meiryo UI"/>
        <family val="2"/>
      </rPr>
      <t>イベントID：SC2101-02</t>
    </r>
  </si>
  <si>
    <t>全解除</t>
  </si>
  <si>
    <t>ボタン</t>
  </si>
  <si>
    <t>I</t>
  </si>
  <si>
    <t>F1：全解除</t>
  </si>
  <si>
    <t>ー</t>
  </si>
  <si>
    <t>デフォルト：有効
店舗が未入力の場合は無効にする</t>
  </si>
  <si>
    <t>イベントID：SC2101-05</t>
  </si>
  <si>
    <t>全選択</t>
  </si>
  <si>
    <t>F2：全選択</t>
  </si>
  <si>
    <t>イベントID：SC2101-06</t>
  </si>
  <si>
    <r>
      <rPr>
        <sz val="11"/>
        <color rgb="FF000000"/>
        <rFont val="Meiryo UI"/>
        <family val="2"/>
      </rPr>
      <t>表示形式：</t>
    </r>
    <r>
      <rPr>
        <sz val="11"/>
        <color rgb="FF7030A0"/>
        <rFont val="Meiryo UI"/>
        <family val="2"/>
      </rPr>
      <t>store_code</t>
    </r>
    <r>
      <rPr>
        <sz val="11"/>
        <color rgb="FF000000"/>
        <rFont val="Meiryo UI"/>
        <family val="2"/>
      </rPr>
      <t xml:space="preserve"> </t>
    </r>
    <r>
      <rPr>
        <strike/>
        <sz val="11"/>
        <color rgb="FF7030A0"/>
        <rFont val="Meiryo UI"/>
        <family val="2"/>
      </rPr>
      <t>{store_code}:{store_name}</t>
    </r>
  </si>
  <si>
    <t>レシート区分（ヘッダー）</t>
  </si>
  <si>
    <t>O</t>
  </si>
  <si>
    <t>レシート区分</t>
  </si>
  <si>
    <t>レシート区分（値）</t>
  </si>
  <si>
    <t>AP2102</t>
  </si>
  <si>
    <t>receipt_name</t>
  </si>
  <si>
    <t>モード（トレーニング・本番）（ヘッダー）</t>
  </si>
  <si>
    <t>モード</t>
  </si>
  <si>
    <t>モード（トレーニング・本番）（値）</t>
  </si>
  <si>
    <t>is_training_mode</t>
  </si>
  <si>
    <t>・is_trainning_mode = 1の場合、「トレーニング」を表示する。
・is_trainning_mode = 0の場合、「本番」を表示する。</t>
  </si>
  <si>
    <t>ソート</t>
  </si>
  <si>
    <t>・「▲」をタッチすると、昇順にソートされ、ボタンが「▼」に切り替わる。
・「▼」をタッチすると、降順にソートされ、ボタンが「▲」に切り替わる。</t>
  </si>
  <si>
    <t>イベントID：SC2101-07</t>
  </si>
  <si>
    <t>店舗選択モーダルを開くボタンを表示しない。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</si>
</sst>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4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sz val="11"/>
      <color rgb="FFFF0000"/>
      <name val="Meiryo UI"/>
      <family val="2"/>
    </font>
    <font>
      <b/>
      <sz val="11"/>
      <name val="Meiryo UI"/>
      <family val="2"/>
    </font>
    <font>
      <sz val="11"/>
      <color rgb="FF00B050"/>
      <name val="Meiryo UI"/>
      <family val="2"/>
    </font>
    <font>
      <sz val="11"/>
      <color rgb="FF7030A0"/>
      <name val="Meiryo UI"/>
      <family val="3"/>
      <charset val="128"/>
    </font>
    <font>
      <strike/>
      <sz val="11"/>
      <color rgb="FF7030A0"/>
      <name val="Meiryo UI"/>
      <family val="2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7030A0"/>
      <name val="Meiryo U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5" fillId="0" borderId="0">
      <alignment vertical="center"/>
    </xf>
    <xf numFmtId="0" fontId="2" fillId="0" borderId="0"/>
  </cellStyleXfs>
  <cellXfs count="486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1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7" fillId="0" borderId="0" xfId="6" applyFont="1" applyAlignment="1">
      <alignment vertical="center"/>
    </xf>
    <xf numFmtId="9" fontId="6" fillId="0" borderId="2" xfId="1" applyFont="1" applyBorder="1" applyAlignment="1">
      <alignment vertical="center"/>
    </xf>
    <xf numFmtId="9" fontId="6" fillId="0" borderId="3" xfId="1" applyFont="1" applyBorder="1" applyAlignment="1">
      <alignment vertical="center"/>
    </xf>
    <xf numFmtId="9" fontId="6" fillId="0" borderId="5" xfId="1" applyFont="1" applyBorder="1" applyAlignment="1">
      <alignment vertical="center"/>
    </xf>
    <xf numFmtId="9" fontId="6" fillId="0" borderId="0" xfId="1" applyFont="1" applyAlignment="1">
      <alignment vertical="center"/>
    </xf>
    <xf numFmtId="0" fontId="6" fillId="0" borderId="16" xfId="6" applyFont="1" applyBorder="1" applyAlignment="1">
      <alignment horizontal="center"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horizontal="center" vertical="center"/>
    </xf>
    <xf numFmtId="0" fontId="6" fillId="0" borderId="17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6" fillId="2" borderId="18" xfId="6" applyFont="1" applyFill="1" applyBorder="1" applyAlignment="1">
      <alignment horizontal="center" vertical="center"/>
    </xf>
    <xf numFmtId="0" fontId="7" fillId="2" borderId="18" xfId="6" applyFont="1" applyFill="1" applyBorder="1" applyAlignment="1">
      <alignment vertical="center"/>
    </xf>
    <xf numFmtId="0" fontId="6" fillId="2" borderId="18" xfId="6" applyFont="1" applyFill="1" applyBorder="1" applyAlignment="1">
      <alignment vertical="center"/>
    </xf>
    <xf numFmtId="20" fontId="6" fillId="2" borderId="18" xfId="6" quotePrefix="1" applyNumberFormat="1" applyFont="1" applyFill="1" applyBorder="1" applyAlignment="1">
      <alignment horizontal="center" vertical="center"/>
    </xf>
    <xf numFmtId="0" fontId="6" fillId="2" borderId="18" xfId="6" applyFont="1" applyFill="1" applyBorder="1" applyAlignment="1">
      <alignment horizontal="left" vertical="center"/>
    </xf>
    <xf numFmtId="0" fontId="8" fillId="2" borderId="20" xfId="6" applyFont="1" applyFill="1" applyBorder="1" applyAlignment="1">
      <alignment horizontal="left" vertical="center"/>
    </xf>
    <xf numFmtId="0" fontId="6" fillId="3" borderId="17" xfId="6" applyFont="1" applyFill="1" applyBorder="1" applyAlignment="1">
      <alignment horizontal="center" vertical="center"/>
    </xf>
    <xf numFmtId="0" fontId="6" fillId="3" borderId="17" xfId="6" applyFont="1" applyFill="1" applyBorder="1" applyAlignment="1">
      <alignment vertical="center"/>
    </xf>
    <xf numFmtId="0" fontId="8" fillId="0" borderId="0" xfId="6" applyFont="1" applyAlignment="1">
      <alignment vertical="center"/>
    </xf>
    <xf numFmtId="0" fontId="6" fillId="0" borderId="21" xfId="6" applyFont="1" applyBorder="1" applyAlignment="1">
      <alignment vertical="center"/>
    </xf>
    <xf numFmtId="0" fontId="10" fillId="2" borderId="20" xfId="6" applyFont="1" applyFill="1" applyBorder="1" applyAlignment="1">
      <alignment horizontal="left" vertical="center"/>
    </xf>
    <xf numFmtId="0" fontId="6" fillId="0" borderId="21" xfId="6" applyFont="1" applyBorder="1" applyAlignment="1">
      <alignment horizontal="center" vertical="center"/>
    </xf>
    <xf numFmtId="0" fontId="11" fillId="0" borderId="17" xfId="6" applyFont="1" applyBorder="1" applyAlignment="1">
      <alignment horizontal="center" vertical="center"/>
    </xf>
    <xf numFmtId="0" fontId="11" fillId="0" borderId="17" xfId="6" applyFont="1" applyBorder="1" applyAlignment="1">
      <alignment vertical="center"/>
    </xf>
    <xf numFmtId="0" fontId="11" fillId="0" borderId="22" xfId="6" applyFont="1" applyBorder="1" applyAlignment="1">
      <alignment horizontal="center" vertical="center"/>
    </xf>
    <xf numFmtId="0" fontId="11" fillId="0" borderId="22" xfId="6" applyFont="1" applyBorder="1" applyAlignment="1">
      <alignment vertical="center"/>
    </xf>
    <xf numFmtId="0" fontId="11" fillId="0" borderId="0" xfId="6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14" fontId="0" fillId="0" borderId="24" xfId="0" applyNumberFormat="1" applyBorder="1" applyAlignment="1">
      <alignment horizontal="center" vertical="center"/>
    </xf>
    <xf numFmtId="14" fontId="0" fillId="0" borderId="25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0" fillId="0" borderId="26" xfId="0" applyBorder="1" applyAlignment="1">
      <alignment wrapText="1"/>
    </xf>
    <xf numFmtId="0" fontId="0" fillId="0" borderId="27" xfId="0" applyBorder="1"/>
    <xf numFmtId="0" fontId="0" fillId="0" borderId="28" xfId="0" applyBorder="1"/>
    <xf numFmtId="0" fontId="0" fillId="0" borderId="24" xfId="0" applyBorder="1"/>
    <xf numFmtId="0" fontId="0" fillId="0" borderId="25" xfId="0" applyBorder="1"/>
    <xf numFmtId="0" fontId="0" fillId="0" borderId="3" xfId="0" applyBorder="1"/>
    <xf numFmtId="0" fontId="0" fillId="0" borderId="5" xfId="0" applyBorder="1"/>
    <xf numFmtId="0" fontId="0" fillId="0" borderId="23" xfId="0" applyBorder="1"/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26" xfId="0" applyBorder="1"/>
    <xf numFmtId="0" fontId="3" fillId="4" borderId="0" xfId="0" applyFont="1" applyFill="1"/>
    <xf numFmtId="14" fontId="11" fillId="0" borderId="23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6" xfId="0" quotePrefix="1" applyFont="1" applyBorder="1" applyAlignment="1">
      <alignment vertical="top" wrapText="1"/>
    </xf>
    <xf numFmtId="0" fontId="11" fillId="0" borderId="27" xfId="0" applyFont="1" applyBorder="1" applyAlignment="1">
      <alignment vertical="top"/>
    </xf>
    <xf numFmtId="0" fontId="11" fillId="0" borderId="28" xfId="0" applyFont="1" applyBorder="1" applyAlignment="1">
      <alignment vertical="top"/>
    </xf>
    <xf numFmtId="0" fontId="11" fillId="0" borderId="24" xfId="0" applyFont="1" applyBorder="1"/>
    <xf numFmtId="0" fontId="11" fillId="0" borderId="25" xfId="0" applyFont="1" applyBorder="1"/>
    <xf numFmtId="0" fontId="11" fillId="0" borderId="3" xfId="0" applyFont="1" applyBorder="1"/>
    <xf numFmtId="0" fontId="11" fillId="0" borderId="5" xfId="0" applyFont="1" applyBorder="1"/>
    <xf numFmtId="0" fontId="11" fillId="0" borderId="23" xfId="0" applyFont="1" applyBorder="1"/>
    <xf numFmtId="0" fontId="11" fillId="0" borderId="2" xfId="0" applyFont="1" applyBorder="1"/>
    <xf numFmtId="0" fontId="11" fillId="0" borderId="29" xfId="0" applyFont="1" applyBorder="1"/>
    <xf numFmtId="0" fontId="11" fillId="0" borderId="30" xfId="0" applyFont="1" applyBorder="1"/>
    <xf numFmtId="0" fontId="11" fillId="0" borderId="31" xfId="0" applyFont="1" applyBorder="1"/>
    <xf numFmtId="14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6" xfId="0" quotePrefix="1" applyFont="1" applyBorder="1" applyAlignment="1">
      <alignment vertical="top" wrapText="1"/>
    </xf>
    <xf numFmtId="0" fontId="9" fillId="0" borderId="27" xfId="0" applyFont="1" applyBorder="1" applyAlignment="1">
      <alignment vertical="top"/>
    </xf>
    <xf numFmtId="0" fontId="9" fillId="0" borderId="28" xfId="0" applyFont="1" applyBorder="1" applyAlignment="1">
      <alignment vertical="top"/>
    </xf>
    <xf numFmtId="0" fontId="9" fillId="0" borderId="29" xfId="0" applyFont="1" applyBorder="1"/>
    <xf numFmtId="0" fontId="9" fillId="0" borderId="30" xfId="0" applyFont="1" applyBorder="1"/>
    <xf numFmtId="0" fontId="9" fillId="0" borderId="31" xfId="0" applyFont="1" applyBorder="1"/>
    <xf numFmtId="14" fontId="12" fillId="0" borderId="23" xfId="0" applyNumberFormat="1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6" xfId="0" quotePrefix="1" applyFont="1" applyBorder="1" applyAlignment="1">
      <alignment vertical="top" wrapText="1"/>
    </xf>
    <xf numFmtId="0" fontId="12" fillId="0" borderId="27" xfId="0" applyFont="1" applyBorder="1" applyAlignment="1">
      <alignment vertical="top"/>
    </xf>
    <xf numFmtId="0" fontId="12" fillId="0" borderId="28" xfId="0" applyFont="1" applyBorder="1" applyAlignment="1">
      <alignment vertical="top"/>
    </xf>
    <xf numFmtId="0" fontId="12" fillId="0" borderId="24" xfId="0" applyFont="1" applyBorder="1"/>
    <xf numFmtId="0" fontId="12" fillId="0" borderId="25" xfId="0" applyFont="1" applyBorder="1"/>
    <xf numFmtId="0" fontId="12" fillId="0" borderId="3" xfId="0" applyFont="1" applyBorder="1"/>
    <xf numFmtId="0" fontId="12" fillId="0" borderId="5" xfId="0" applyFont="1" applyBorder="1"/>
    <xf numFmtId="0" fontId="12" fillId="0" borderId="23" xfId="0" applyFont="1" applyBorder="1"/>
    <xf numFmtId="0" fontId="12" fillId="0" borderId="2" xfId="0" applyFont="1" applyBorder="1"/>
    <xf numFmtId="0" fontId="12" fillId="0" borderId="29" xfId="0" applyFont="1" applyBorder="1"/>
    <xf numFmtId="0" fontId="12" fillId="0" borderId="30" xfId="0" applyFont="1" applyBorder="1"/>
    <xf numFmtId="0" fontId="12" fillId="0" borderId="31" xfId="0" applyFont="1" applyBorder="1"/>
    <xf numFmtId="0" fontId="11" fillId="0" borderId="17" xfId="6" applyFont="1" applyBorder="1" applyAlignment="1">
      <alignment horizontal="center" vertical="center"/>
    </xf>
    <xf numFmtId="0" fontId="11" fillId="0" borderId="17" xfId="6" applyFont="1" applyBorder="1" applyAlignment="1">
      <alignment vertical="center" wrapText="1"/>
    </xf>
    <xf numFmtId="0" fontId="11" fillId="0" borderId="17" xfId="6" quotePrefix="1" applyFont="1" applyBorder="1" applyAlignment="1">
      <alignment vertical="center" wrapText="1"/>
    </xf>
    <xf numFmtId="0" fontId="11" fillId="0" borderId="17" xfId="6" applyFont="1" applyBorder="1" applyAlignment="1">
      <alignment vertical="center"/>
    </xf>
    <xf numFmtId="20" fontId="11" fillId="0" borderId="17" xfId="6" quotePrefix="1" applyNumberFormat="1" applyFont="1" applyBorder="1" applyAlignment="1">
      <alignment horizontal="center" vertical="center"/>
    </xf>
    <xf numFmtId="0" fontId="11" fillId="0" borderId="17" xfId="6" quotePrefix="1" applyFont="1" applyBorder="1" applyAlignment="1">
      <alignment horizontal="left" vertical="center" wrapText="1"/>
    </xf>
    <xf numFmtId="0" fontId="11" fillId="0" borderId="17" xfId="6" applyFont="1" applyBorder="1" applyAlignment="1">
      <alignment horizontal="left" vertical="center" wrapText="1"/>
    </xf>
    <xf numFmtId="0" fontId="6" fillId="0" borderId="17" xfId="6" applyFont="1" applyBorder="1" applyAlignment="1">
      <alignment horizontal="center" vertical="center"/>
    </xf>
    <xf numFmtId="0" fontId="11" fillId="0" borderId="22" xfId="6" applyFont="1" applyBorder="1" applyAlignment="1">
      <alignment vertical="center" wrapText="1"/>
    </xf>
    <xf numFmtId="0" fontId="7" fillId="8" borderId="23" xfId="6" applyFont="1" applyFill="1" applyBorder="1" applyAlignment="1">
      <alignment vertical="center"/>
    </xf>
    <xf numFmtId="0" fontId="6" fillId="8" borderId="24" xfId="6" applyFont="1" applyFill="1" applyBorder="1" applyAlignment="1">
      <alignment vertical="center"/>
    </xf>
    <xf numFmtId="0" fontId="6" fillId="8" borderId="25" xfId="6" applyFont="1" applyFill="1" applyBorder="1" applyAlignment="1">
      <alignment vertical="center"/>
    </xf>
    <xf numFmtId="0" fontId="6" fillId="8" borderId="1" xfId="6" applyFont="1" applyFill="1" applyBorder="1" applyAlignment="1">
      <alignment vertical="center"/>
    </xf>
    <xf numFmtId="0" fontId="6" fillId="8" borderId="0" xfId="6" applyFont="1" applyFill="1" applyAlignment="1">
      <alignment vertical="center"/>
    </xf>
    <xf numFmtId="0" fontId="6" fillId="8" borderId="4" xfId="6" applyFont="1" applyFill="1" applyBorder="1" applyAlignment="1">
      <alignment vertical="center"/>
    </xf>
    <xf numFmtId="0" fontId="6" fillId="8" borderId="2" xfId="6" applyFont="1" applyFill="1" applyBorder="1" applyAlignment="1">
      <alignment vertical="center"/>
    </xf>
    <xf numFmtId="0" fontId="6" fillId="8" borderId="3" xfId="6" applyFont="1" applyFill="1" applyBorder="1" applyAlignment="1">
      <alignment vertical="center"/>
    </xf>
    <xf numFmtId="0" fontId="6" fillId="8" borderId="5" xfId="6" applyFont="1" applyFill="1" applyBorder="1" applyAlignment="1">
      <alignment vertical="center"/>
    </xf>
    <xf numFmtId="0" fontId="11" fillId="0" borderId="22" xfId="6" quotePrefix="1" applyFont="1" applyBorder="1" applyAlignment="1">
      <alignment vertical="center" wrapText="1"/>
    </xf>
    <xf numFmtId="0" fontId="11" fillId="0" borderId="22" xfId="6" applyFont="1" applyBorder="1" applyAlignment="1">
      <alignment vertical="center"/>
    </xf>
    <xf numFmtId="0" fontId="11" fillId="0" borderId="22" xfId="6" applyFont="1" applyBorder="1" applyAlignment="1">
      <alignment horizontal="center" vertical="center"/>
    </xf>
    <xf numFmtId="20" fontId="11" fillId="0" borderId="22" xfId="6" quotePrefix="1" applyNumberFormat="1" applyFont="1" applyBorder="1" applyAlignment="1">
      <alignment horizontal="center" vertical="center"/>
    </xf>
    <xf numFmtId="0" fontId="11" fillId="0" borderId="21" xfId="6" applyFont="1" applyBorder="1" applyAlignment="1">
      <alignment horizontal="left" vertical="center" wrapText="1"/>
    </xf>
    <xf numFmtId="0" fontId="11" fillId="0" borderId="21" xfId="6" applyFont="1" applyBorder="1" applyAlignment="1">
      <alignment horizontal="left" vertical="center"/>
    </xf>
    <xf numFmtId="0" fontId="9" fillId="0" borderId="17" xfId="6" applyFont="1" applyBorder="1" applyAlignment="1">
      <alignment horizontal="center" vertical="center"/>
    </xf>
    <xf numFmtId="0" fontId="6" fillId="0" borderId="17" xfId="6" applyFont="1" applyBorder="1" applyAlignment="1">
      <alignment vertical="center"/>
    </xf>
    <xf numFmtId="20" fontId="6" fillId="0" borderId="17" xfId="6" quotePrefix="1" applyNumberFormat="1" applyFont="1" applyBorder="1" applyAlignment="1">
      <alignment horizontal="center" vertical="center"/>
    </xf>
    <xf numFmtId="0" fontId="6" fillId="0" borderId="17" xfId="6" applyFont="1" applyBorder="1" applyAlignment="1">
      <alignment horizontal="left" vertical="center"/>
    </xf>
    <xf numFmtId="0" fontId="9" fillId="0" borderId="29" xfId="6" applyFont="1" applyBorder="1" applyAlignment="1">
      <alignment horizontal="center" vertical="center"/>
    </xf>
    <xf numFmtId="0" fontId="9" fillId="0" borderId="31" xfId="6" applyFont="1" applyBorder="1" applyAlignment="1">
      <alignment horizontal="center" vertical="center"/>
    </xf>
    <xf numFmtId="0" fontId="6" fillId="0" borderId="20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19" xfId="6" applyFont="1" applyBorder="1" applyAlignment="1">
      <alignment horizontal="center" vertical="center"/>
    </xf>
    <xf numFmtId="0" fontId="7" fillId="0" borderId="20" xfId="6" applyFont="1" applyBorder="1" applyAlignment="1">
      <alignment horizontal="center" vertical="center"/>
    </xf>
    <xf numFmtId="0" fontId="7" fillId="5" borderId="23" xfId="6" applyFont="1" applyFill="1" applyBorder="1" applyAlignment="1">
      <alignment vertical="center" wrapText="1"/>
    </xf>
    <xf numFmtId="0" fontId="6" fillId="5" borderId="25" xfId="6" applyFont="1" applyFill="1" applyBorder="1" applyAlignment="1">
      <alignment vertical="center"/>
    </xf>
    <xf numFmtId="0" fontId="6" fillId="5" borderId="1" xfId="6" applyFont="1" applyFill="1" applyBorder="1" applyAlignment="1">
      <alignment vertical="center"/>
    </xf>
    <xf numFmtId="0" fontId="6" fillId="5" borderId="4" xfId="6" applyFont="1" applyFill="1" applyBorder="1" applyAlignment="1">
      <alignment vertical="center"/>
    </xf>
    <xf numFmtId="0" fontId="6" fillId="5" borderId="2" xfId="6" applyFont="1" applyFill="1" applyBorder="1" applyAlignment="1">
      <alignment vertical="center"/>
    </xf>
    <xf numFmtId="0" fontId="6" fillId="5" borderId="5" xfId="6" applyFont="1" applyFill="1" applyBorder="1" applyAlignment="1">
      <alignment vertical="center"/>
    </xf>
    <xf numFmtId="0" fontId="7" fillId="5" borderId="23" xfId="6" applyFont="1" applyFill="1" applyBorder="1" applyAlignment="1">
      <alignment vertical="center"/>
    </xf>
    <xf numFmtId="0" fontId="6" fillId="5" borderId="24" xfId="6" applyFont="1" applyFill="1" applyBorder="1" applyAlignment="1">
      <alignment vertical="center"/>
    </xf>
    <xf numFmtId="0" fontId="6" fillId="5" borderId="0" xfId="6" applyFont="1" applyFill="1" applyAlignment="1">
      <alignment vertical="center"/>
    </xf>
    <xf numFmtId="0" fontId="6" fillId="5" borderId="3" xfId="6" applyFont="1" applyFill="1" applyBorder="1" applyAlignment="1">
      <alignment vertical="center"/>
    </xf>
    <xf numFmtId="0" fontId="6" fillId="5" borderId="32" xfId="6" applyFont="1" applyFill="1" applyBorder="1" applyAlignment="1">
      <alignment vertical="center" shrinkToFit="1"/>
    </xf>
    <xf numFmtId="0" fontId="6" fillId="5" borderId="33" xfId="6" applyFont="1" applyFill="1" applyBorder="1" applyAlignment="1">
      <alignment vertical="center" shrinkToFit="1"/>
    </xf>
    <xf numFmtId="0" fontId="6" fillId="5" borderId="22" xfId="6" applyFont="1" applyFill="1" applyBorder="1" applyAlignment="1">
      <alignment vertical="center" shrinkToFit="1"/>
    </xf>
    <xf numFmtId="0" fontId="7" fillId="5" borderId="32" xfId="6" applyFont="1" applyFill="1" applyBorder="1" applyAlignment="1">
      <alignment vertical="center" wrapText="1"/>
    </xf>
    <xf numFmtId="0" fontId="7" fillId="5" borderId="33" xfId="6" applyFont="1" applyFill="1" applyBorder="1" applyAlignment="1">
      <alignment vertical="center" wrapText="1"/>
    </xf>
    <xf numFmtId="0" fontId="7" fillId="5" borderId="22" xfId="6" applyFont="1" applyFill="1" applyBorder="1" applyAlignment="1">
      <alignment vertical="center" wrapText="1"/>
    </xf>
    <xf numFmtId="0" fontId="7" fillId="6" borderId="20" xfId="6" applyFont="1" applyFill="1" applyBorder="1" applyAlignment="1">
      <alignment vertical="center"/>
    </xf>
    <xf numFmtId="0" fontId="6" fillId="6" borderId="18" xfId="6" applyFont="1" applyFill="1" applyBorder="1" applyAlignment="1">
      <alignment vertical="center"/>
    </xf>
    <xf numFmtId="0" fontId="6" fillId="6" borderId="19" xfId="6" applyFont="1" applyFill="1" applyBorder="1" applyAlignment="1">
      <alignment vertical="center"/>
    </xf>
    <xf numFmtId="0" fontId="7" fillId="7" borderId="20" xfId="6" applyFont="1" applyFill="1" applyBorder="1" applyAlignment="1">
      <alignment vertical="center"/>
    </xf>
    <xf numFmtId="0" fontId="6" fillId="7" borderId="18" xfId="6" applyFont="1" applyFill="1" applyBorder="1" applyAlignment="1">
      <alignment vertical="center"/>
    </xf>
    <xf numFmtId="0" fontId="6" fillId="7" borderId="19" xfId="6" applyFont="1" applyFill="1" applyBorder="1" applyAlignment="1">
      <alignment vertical="center"/>
    </xf>
    <xf numFmtId="0" fontId="7" fillId="6" borderId="20" xfId="6" applyFont="1" applyFill="1" applyBorder="1"/>
    <xf numFmtId="0" fontId="7" fillId="6" borderId="18" xfId="6" applyFont="1" applyFill="1" applyBorder="1"/>
    <xf numFmtId="0" fontId="7" fillId="6" borderId="19" xfId="6" applyFont="1" applyFill="1" applyBorder="1"/>
    <xf numFmtId="0" fontId="7" fillId="6" borderId="23" xfId="6" applyFont="1" applyFill="1" applyBorder="1" applyAlignment="1">
      <alignment vertical="center"/>
    </xf>
    <xf numFmtId="0" fontId="6" fillId="6" borderId="24" xfId="6" applyFont="1" applyFill="1" applyBorder="1" applyAlignment="1">
      <alignment vertical="center"/>
    </xf>
    <xf numFmtId="0" fontId="6" fillId="6" borderId="25" xfId="6" applyFont="1" applyFill="1" applyBorder="1" applyAlignment="1">
      <alignment vertical="center"/>
    </xf>
    <xf numFmtId="0" fontId="6" fillId="6" borderId="2" xfId="6" applyFont="1" applyFill="1" applyBorder="1" applyAlignment="1">
      <alignment vertical="center"/>
    </xf>
    <xf numFmtId="0" fontId="6" fillId="6" borderId="3" xfId="6" applyFont="1" applyFill="1" applyBorder="1" applyAlignment="1">
      <alignment vertical="center"/>
    </xf>
    <xf numFmtId="0" fontId="6" fillId="6" borderId="5" xfId="6" applyFont="1" applyFill="1" applyBorder="1" applyAlignment="1">
      <alignment vertical="center"/>
    </xf>
    <xf numFmtId="0" fontId="7" fillId="7" borderId="23" xfId="6" applyFont="1" applyFill="1" applyBorder="1" applyAlignment="1">
      <alignment vertical="center" wrapText="1"/>
    </xf>
    <xf numFmtId="0" fontId="6" fillId="7" borderId="2" xfId="6" applyFont="1" applyFill="1" applyBorder="1" applyAlignment="1">
      <alignment vertical="center" wrapText="1"/>
    </xf>
    <xf numFmtId="0" fontId="7" fillId="7" borderId="32" xfId="6" applyFont="1" applyFill="1" applyBorder="1" applyAlignment="1">
      <alignment vertical="center" wrapText="1"/>
    </xf>
    <xf numFmtId="0" fontId="7" fillId="7" borderId="22" xfId="6" applyFont="1" applyFill="1" applyBorder="1" applyAlignment="1">
      <alignment vertical="center" wrapText="1"/>
    </xf>
    <xf numFmtId="0" fontId="7" fillId="7" borderId="25" xfId="6" applyFont="1" applyFill="1" applyBorder="1" applyAlignment="1">
      <alignment vertical="center" wrapText="1"/>
    </xf>
    <xf numFmtId="0" fontId="7" fillId="7" borderId="5" xfId="6" applyFont="1" applyFill="1" applyBorder="1" applyAlignment="1">
      <alignment vertical="center" wrapText="1"/>
    </xf>
    <xf numFmtId="0" fontId="6" fillId="7" borderId="34" xfId="6" applyFont="1" applyFill="1" applyBorder="1" applyAlignment="1">
      <alignment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 wrapText="1"/>
    </xf>
    <xf numFmtId="0" fontId="7" fillId="0" borderId="17" xfId="6" applyFont="1" applyBorder="1" applyAlignment="1">
      <alignment horizontal="center" vertical="center"/>
    </xf>
    <xf numFmtId="0" fontId="7" fillId="7" borderId="35" xfId="6" applyFont="1" applyFill="1" applyBorder="1" applyAlignment="1">
      <alignment vertical="center"/>
    </xf>
    <xf numFmtId="0" fontId="6" fillId="0" borderId="16" xfId="6" applyFont="1" applyBorder="1" applyAlignment="1">
      <alignment horizontal="center" vertical="center"/>
    </xf>
    <xf numFmtId="0" fontId="6" fillId="0" borderId="16" xfId="6" applyFont="1" applyBorder="1" applyAlignment="1">
      <alignment vertical="center"/>
    </xf>
    <xf numFmtId="0" fontId="7" fillId="0" borderId="16" xfId="6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 wrapText="1"/>
    </xf>
    <xf numFmtId="0" fontId="6" fillId="0" borderId="16" xfId="6" applyFont="1" applyBorder="1" applyAlignment="1">
      <alignment horizontal="left" vertical="center"/>
    </xf>
    <xf numFmtId="0" fontId="9" fillId="0" borderId="17" xfId="6" applyFont="1" applyBorder="1" applyAlignment="1">
      <alignment horizontal="left" vertical="center" wrapText="1"/>
    </xf>
    <xf numFmtId="0" fontId="6" fillId="3" borderId="26" xfId="6" applyFont="1" applyFill="1" applyBorder="1" applyAlignment="1">
      <alignment horizontal="center" vertical="center"/>
    </xf>
    <xf numFmtId="0" fontId="6" fillId="3" borderId="27" xfId="6" applyFont="1" applyFill="1" applyBorder="1" applyAlignment="1">
      <alignment horizontal="center" vertical="center"/>
    </xf>
    <xf numFmtId="0" fontId="6" fillId="3" borderId="28" xfId="6" applyFont="1" applyFill="1" applyBorder="1" applyAlignment="1">
      <alignment horizontal="center" vertical="center"/>
    </xf>
    <xf numFmtId="0" fontId="6" fillId="0" borderId="29" xfId="6" applyFont="1" applyBorder="1" applyAlignment="1">
      <alignment horizontal="center" vertical="center"/>
    </xf>
    <xf numFmtId="0" fontId="6" fillId="0" borderId="31" xfId="6" applyFont="1" applyBorder="1" applyAlignment="1">
      <alignment horizontal="center" vertical="center"/>
    </xf>
    <xf numFmtId="0" fontId="11" fillId="0" borderId="29" xfId="6" applyFont="1" applyBorder="1" applyAlignment="1">
      <alignment horizontal="left" vertical="center" indent="1"/>
    </xf>
    <xf numFmtId="0" fontId="11" fillId="0" borderId="30" xfId="6" applyFont="1" applyBorder="1" applyAlignment="1">
      <alignment horizontal="left" vertical="center" indent="1"/>
    </xf>
    <xf numFmtId="0" fontId="11" fillId="0" borderId="31" xfId="6" applyFont="1" applyBorder="1" applyAlignment="1">
      <alignment horizontal="left" vertical="center" indent="1"/>
    </xf>
    <xf numFmtId="0" fontId="11" fillId="0" borderId="29" xfId="6" applyFont="1" applyBorder="1" applyAlignment="1">
      <alignment vertical="center"/>
    </xf>
    <xf numFmtId="0" fontId="11" fillId="0" borderId="30" xfId="6" applyFont="1" applyBorder="1" applyAlignment="1">
      <alignment vertical="center"/>
    </xf>
    <xf numFmtId="0" fontId="11" fillId="0" borderId="31" xfId="6" applyFont="1" applyBorder="1" applyAlignment="1">
      <alignment vertical="center"/>
    </xf>
    <xf numFmtId="0" fontId="7" fillId="0" borderId="29" xfId="6" applyFont="1" applyBorder="1" applyAlignment="1">
      <alignment horizontal="center" vertical="center"/>
    </xf>
    <xf numFmtId="0" fontId="7" fillId="0" borderId="30" xfId="6" applyFont="1" applyBorder="1" applyAlignment="1">
      <alignment horizontal="center" vertical="center"/>
    </xf>
    <xf numFmtId="0" fontId="7" fillId="0" borderId="31" xfId="6" applyFont="1" applyBorder="1" applyAlignment="1">
      <alignment horizontal="center" vertical="center"/>
    </xf>
    <xf numFmtId="0" fontId="7" fillId="0" borderId="29" xfId="6" applyFont="1" applyBorder="1" applyAlignment="1">
      <alignment horizontal="center" vertical="center" wrapText="1"/>
    </xf>
    <xf numFmtId="0" fontId="7" fillId="0" borderId="30" xfId="6" applyFont="1" applyBorder="1" applyAlignment="1">
      <alignment horizontal="center" vertical="center" wrapText="1"/>
    </xf>
    <xf numFmtId="0" fontId="7" fillId="0" borderId="31" xfId="6" applyFont="1" applyBorder="1" applyAlignment="1">
      <alignment horizontal="center" vertical="center" wrapText="1"/>
    </xf>
    <xf numFmtId="0" fontId="6" fillId="0" borderId="30" xfId="6" applyFont="1" applyBorder="1" applyAlignment="1">
      <alignment horizontal="center" vertical="center"/>
    </xf>
    <xf numFmtId="0" fontId="6" fillId="0" borderId="29" xfId="6" applyFont="1" applyBorder="1" applyAlignment="1">
      <alignment horizontal="left" vertical="center"/>
    </xf>
    <xf numFmtId="0" fontId="6" fillId="0" borderId="30" xfId="6" applyFont="1" applyBorder="1" applyAlignment="1">
      <alignment horizontal="left" vertical="center"/>
    </xf>
    <xf numFmtId="0" fontId="6" fillId="0" borderId="31" xfId="6" applyFont="1" applyBorder="1" applyAlignment="1">
      <alignment horizontal="left" vertical="center"/>
    </xf>
    <xf numFmtId="0" fontId="6" fillId="3" borderId="26" xfId="6" applyFont="1" applyFill="1" applyBorder="1" applyAlignment="1">
      <alignment vertical="center"/>
    </xf>
    <xf numFmtId="0" fontId="6" fillId="3" borderId="27" xfId="6" applyFont="1" applyFill="1" applyBorder="1" applyAlignment="1">
      <alignment vertical="center"/>
    </xf>
    <xf numFmtId="0" fontId="6" fillId="3" borderId="28" xfId="6" applyFont="1" applyFill="1" applyBorder="1" applyAlignment="1">
      <alignment vertical="center"/>
    </xf>
    <xf numFmtId="0" fontId="7" fillId="3" borderId="26" xfId="6" applyFont="1" applyFill="1" applyBorder="1" applyAlignment="1">
      <alignment vertical="center"/>
    </xf>
    <xf numFmtId="0" fontId="7" fillId="3" borderId="27" xfId="6" applyFont="1" applyFill="1" applyBorder="1" applyAlignment="1">
      <alignment vertical="center"/>
    </xf>
    <xf numFmtId="0" fontId="7" fillId="3" borderId="28" xfId="6" applyFont="1" applyFill="1" applyBorder="1" applyAlignment="1">
      <alignment vertical="center"/>
    </xf>
    <xf numFmtId="0" fontId="7" fillId="3" borderId="26" xfId="6" applyFont="1" applyFill="1" applyBorder="1" applyAlignment="1">
      <alignment horizontal="center" vertical="center"/>
    </xf>
    <xf numFmtId="0" fontId="7" fillId="3" borderId="27" xfId="6" applyFont="1" applyFill="1" applyBorder="1" applyAlignment="1">
      <alignment horizontal="center" vertical="center"/>
    </xf>
    <xf numFmtId="0" fontId="7" fillId="3" borderId="28" xfId="6" applyFont="1" applyFill="1" applyBorder="1" applyAlignment="1">
      <alignment horizontal="center" vertical="center"/>
    </xf>
    <xf numFmtId="0" fontId="7" fillId="3" borderId="26" xfId="6" applyFont="1" applyFill="1" applyBorder="1" applyAlignment="1">
      <alignment horizontal="center" vertical="center" wrapText="1"/>
    </xf>
    <xf numFmtId="0" fontId="7" fillId="3" borderId="27" xfId="6" applyFont="1" applyFill="1" applyBorder="1" applyAlignment="1">
      <alignment horizontal="center" vertical="center" wrapText="1"/>
    </xf>
    <xf numFmtId="0" fontId="7" fillId="3" borderId="28" xfId="6" applyFont="1" applyFill="1" applyBorder="1" applyAlignment="1">
      <alignment horizontal="center" vertical="center" wrapText="1"/>
    </xf>
    <xf numFmtId="0" fontId="7" fillId="3" borderId="26" xfId="6" applyFont="1" applyFill="1" applyBorder="1" applyAlignment="1">
      <alignment horizontal="left" vertical="center" wrapText="1"/>
    </xf>
    <xf numFmtId="0" fontId="7" fillId="3" borderId="27" xfId="6" applyFont="1" applyFill="1" applyBorder="1" applyAlignment="1">
      <alignment horizontal="left" vertical="center" wrapText="1"/>
    </xf>
    <xf numFmtId="0" fontId="7" fillId="3" borderId="28" xfId="6" applyFont="1" applyFill="1" applyBorder="1" applyAlignment="1">
      <alignment horizontal="left" vertical="center" wrapText="1"/>
    </xf>
    <xf numFmtId="0" fontId="6" fillId="3" borderId="26" xfId="6" applyFont="1" applyFill="1" applyBorder="1" applyAlignment="1">
      <alignment horizontal="left" vertical="center"/>
    </xf>
    <xf numFmtId="0" fontId="6" fillId="3" borderId="27" xfId="6" applyFont="1" applyFill="1" applyBorder="1" applyAlignment="1">
      <alignment horizontal="left" vertical="center"/>
    </xf>
    <xf numFmtId="0" fontId="6" fillId="3" borderId="28" xfId="6" applyFont="1" applyFill="1" applyBorder="1" applyAlignment="1">
      <alignment horizontal="left" vertical="center"/>
    </xf>
    <xf numFmtId="20" fontId="11" fillId="0" borderId="36" xfId="6" quotePrefix="1" applyNumberFormat="1" applyFont="1" applyBorder="1" applyAlignment="1">
      <alignment horizontal="center" vertical="center"/>
    </xf>
    <xf numFmtId="20" fontId="11" fillId="0" borderId="37" xfId="6" quotePrefix="1" applyNumberFormat="1" applyFont="1" applyBorder="1" applyAlignment="1">
      <alignment horizontal="center" vertical="center"/>
    </xf>
    <xf numFmtId="20" fontId="11" fillId="0" borderId="38" xfId="6" quotePrefix="1" applyNumberFormat="1" applyFont="1" applyBorder="1" applyAlignment="1">
      <alignment horizontal="center" vertical="center"/>
    </xf>
    <xf numFmtId="20" fontId="9" fillId="0" borderId="17" xfId="6" quotePrefix="1" applyNumberFormat="1" applyFont="1" applyBorder="1" applyAlignment="1">
      <alignment horizontal="center" vertical="center"/>
    </xf>
    <xf numFmtId="0" fontId="11" fillId="0" borderId="17" xfId="6" applyFont="1" applyBorder="1" applyAlignment="1">
      <alignment horizontal="left" vertical="center"/>
    </xf>
    <xf numFmtId="0" fontId="16" fillId="4" borderId="20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19" xfId="0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20" fillId="0" borderId="0" xfId="0" applyFont="1"/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4" fontId="20" fillId="0" borderId="23" xfId="0" applyNumberFormat="1" applyFont="1" applyBorder="1" applyAlignment="1">
      <alignment horizontal="center" vertical="center"/>
    </xf>
    <xf numFmtId="14" fontId="20" fillId="0" borderId="24" xfId="0" applyNumberFormat="1" applyFont="1" applyBorder="1" applyAlignment="1">
      <alignment horizontal="center" vertical="center"/>
    </xf>
    <xf numFmtId="14" fontId="20" fillId="0" borderId="25" xfId="0" applyNumberFormat="1" applyFont="1" applyBorder="1" applyAlignment="1">
      <alignment horizontal="center" vertical="center"/>
    </xf>
    <xf numFmtId="2" fontId="20" fillId="0" borderId="23" xfId="0" applyNumberFormat="1" applyFont="1" applyBorder="1" applyAlignment="1">
      <alignment horizontal="center" vertical="center"/>
    </xf>
    <xf numFmtId="2" fontId="20" fillId="0" borderId="24" xfId="0" applyNumberFormat="1" applyFont="1" applyBorder="1" applyAlignment="1">
      <alignment horizontal="center" vertical="center"/>
    </xf>
    <xf numFmtId="2" fontId="20" fillId="0" borderId="25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" xfId="0" applyFont="1" applyBorder="1"/>
    <xf numFmtId="0" fontId="20" fillId="0" borderId="4" xfId="0" applyFont="1" applyBorder="1"/>
    <xf numFmtId="0" fontId="20" fillId="0" borderId="7" xfId="0" applyFont="1" applyBorder="1"/>
    <xf numFmtId="0" fontId="20" fillId="0" borderId="8" xfId="0" applyFont="1" applyBorder="1"/>
    <xf numFmtId="0" fontId="20" fillId="0" borderId="11" xfId="0" applyFont="1" applyBorder="1"/>
    <xf numFmtId="0" fontId="20" fillId="0" borderId="6" xfId="0" applyFont="1" applyBorder="1"/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12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3" xfId="0" applyFont="1" applyBorder="1"/>
    <xf numFmtId="0" fontId="16" fillId="4" borderId="23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6" fillId="4" borderId="20" xfId="6" applyFont="1" applyFill="1" applyBorder="1" applyAlignment="1">
      <alignment horizontal="center" vertical="center"/>
    </xf>
    <xf numFmtId="0" fontId="16" fillId="4" borderId="18" xfId="6" applyFont="1" applyFill="1" applyBorder="1" applyAlignment="1">
      <alignment horizontal="center" vertical="center"/>
    </xf>
    <xf numFmtId="0" fontId="16" fillId="4" borderId="19" xfId="6" applyFont="1" applyFill="1" applyBorder="1" applyAlignment="1">
      <alignment horizontal="center" vertical="center"/>
    </xf>
    <xf numFmtId="0" fontId="19" fillId="0" borderId="23" xfId="6" applyFont="1" applyBorder="1" applyAlignment="1">
      <alignment horizontal="center" vertical="center"/>
    </xf>
    <xf numFmtId="0" fontId="19" fillId="0" borderId="24" xfId="6" applyFont="1" applyBorder="1" applyAlignment="1">
      <alignment horizontal="center" vertical="center"/>
    </xf>
    <xf numFmtId="0" fontId="19" fillId="0" borderId="25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20" fillId="2" borderId="18" xfId="6" quotePrefix="1" applyFont="1" applyFill="1" applyBorder="1" applyAlignment="1">
      <alignment vertical="center" wrapText="1"/>
    </xf>
    <xf numFmtId="0" fontId="20" fillId="2" borderId="18" xfId="6" applyFont="1" applyFill="1" applyBorder="1" applyAlignment="1">
      <alignment vertical="center" wrapText="1"/>
    </xf>
    <xf numFmtId="0" fontId="20" fillId="2" borderId="18" xfId="6" applyFont="1" applyFill="1" applyBorder="1" applyAlignment="1">
      <alignment vertical="center"/>
    </xf>
    <xf numFmtId="0" fontId="20" fillId="2" borderId="19" xfId="6" applyFont="1" applyFill="1" applyBorder="1" applyAlignment="1">
      <alignment vertical="center"/>
    </xf>
    <xf numFmtId="0" fontId="20" fillId="0" borderId="16" xfId="6" applyFont="1" applyBorder="1" applyAlignment="1">
      <alignment vertical="center" wrapText="1"/>
    </xf>
    <xf numFmtId="0" fontId="20" fillId="0" borderId="17" xfId="6" applyFont="1" applyBorder="1" applyAlignment="1">
      <alignment horizontal="center" vertical="center"/>
    </xf>
    <xf numFmtId="0" fontId="20" fillId="0" borderId="17" xfId="6" quotePrefix="1" applyFont="1" applyBorder="1" applyAlignment="1">
      <alignment vertical="center" wrapText="1"/>
    </xf>
    <xf numFmtId="0" fontId="20" fillId="0" borderId="17" xfId="6" applyFont="1" applyBorder="1" applyAlignment="1">
      <alignment vertical="center"/>
    </xf>
    <xf numFmtId="0" fontId="20" fillId="0" borderId="17" xfId="6" applyFont="1" applyBorder="1" applyAlignment="1">
      <alignment horizontal="center" vertical="center"/>
    </xf>
    <xf numFmtId="0" fontId="20" fillId="0" borderId="17" xfId="6" quotePrefix="1" applyFont="1" applyBorder="1" applyAlignment="1">
      <alignment horizontal="center" vertical="center" wrapText="1"/>
    </xf>
    <xf numFmtId="0" fontId="20" fillId="0" borderId="17" xfId="6" applyFont="1" applyBorder="1" applyAlignment="1">
      <alignment vertical="center" wrapText="1"/>
    </xf>
    <xf numFmtId="0" fontId="20" fillId="3" borderId="26" xfId="6" applyFont="1" applyFill="1" applyBorder="1" applyAlignment="1">
      <alignment vertical="center" wrapText="1"/>
    </xf>
    <xf numFmtId="0" fontId="20" fillId="3" borderId="27" xfId="6" applyFont="1" applyFill="1" applyBorder="1" applyAlignment="1">
      <alignment vertical="center" wrapText="1"/>
    </xf>
    <xf numFmtId="0" fontId="20" fillId="3" borderId="28" xfId="6" applyFont="1" applyFill="1" applyBorder="1" applyAlignment="1">
      <alignment vertical="center" wrapText="1"/>
    </xf>
    <xf numFmtId="0" fontId="20" fillId="0" borderId="29" xfId="6" applyFont="1" applyBorder="1" applyAlignment="1">
      <alignment vertical="center" wrapText="1"/>
    </xf>
    <xf numFmtId="0" fontId="20" fillId="0" borderId="30" xfId="6" applyFont="1" applyBorder="1" applyAlignment="1">
      <alignment vertical="center" wrapText="1"/>
    </xf>
    <xf numFmtId="0" fontId="20" fillId="0" borderId="31" xfId="6" applyFont="1" applyBorder="1" applyAlignment="1">
      <alignment vertical="center" wrapText="1"/>
    </xf>
    <xf numFmtId="0" fontId="20" fillId="5" borderId="23" xfId="6" applyFont="1" applyFill="1" applyBorder="1" applyAlignment="1">
      <alignment vertical="center" wrapText="1"/>
    </xf>
    <xf numFmtId="0" fontId="20" fillId="5" borderId="25" xfId="6" applyFont="1" applyFill="1" applyBorder="1" applyAlignment="1">
      <alignment vertical="center"/>
    </xf>
    <xf numFmtId="0" fontId="20" fillId="5" borderId="23" xfId="6" applyFont="1" applyFill="1" applyBorder="1" applyAlignment="1">
      <alignment vertical="center"/>
    </xf>
    <xf numFmtId="0" fontId="20" fillId="5" borderId="24" xfId="6" applyFont="1" applyFill="1" applyBorder="1" applyAlignment="1">
      <alignment vertical="center"/>
    </xf>
    <xf numFmtId="0" fontId="20" fillId="5" borderId="32" xfId="6" applyFont="1" applyFill="1" applyBorder="1" applyAlignment="1">
      <alignment vertical="center" shrinkToFit="1"/>
    </xf>
    <xf numFmtId="0" fontId="20" fillId="5" borderId="32" xfId="6" applyFont="1" applyFill="1" applyBorder="1" applyAlignment="1">
      <alignment vertical="center" wrapText="1"/>
    </xf>
    <xf numFmtId="0" fontId="20" fillId="6" borderId="20" xfId="6" applyFont="1" applyFill="1" applyBorder="1" applyAlignment="1">
      <alignment vertical="center"/>
    </xf>
    <xf numFmtId="0" fontId="20" fillId="6" borderId="18" xfId="6" applyFont="1" applyFill="1" applyBorder="1" applyAlignment="1">
      <alignment vertical="center"/>
    </xf>
    <xf numFmtId="0" fontId="20" fillId="6" borderId="19" xfId="6" applyFont="1" applyFill="1" applyBorder="1" applyAlignment="1">
      <alignment vertical="center"/>
    </xf>
    <xf numFmtId="0" fontId="20" fillId="7" borderId="20" xfId="6" applyFont="1" applyFill="1" applyBorder="1" applyAlignment="1">
      <alignment vertical="center"/>
    </xf>
    <xf numFmtId="0" fontId="20" fillId="7" borderId="18" xfId="6" applyFont="1" applyFill="1" applyBorder="1" applyAlignment="1">
      <alignment vertical="center"/>
    </xf>
    <xf numFmtId="0" fontId="20" fillId="7" borderId="19" xfId="6" applyFont="1" applyFill="1" applyBorder="1" applyAlignment="1">
      <alignment vertical="center"/>
    </xf>
    <xf numFmtId="0" fontId="20" fillId="8" borderId="23" xfId="6" applyFont="1" applyFill="1" applyBorder="1" applyAlignment="1">
      <alignment vertical="center"/>
    </xf>
    <xf numFmtId="0" fontId="20" fillId="8" borderId="24" xfId="6" applyFont="1" applyFill="1" applyBorder="1" applyAlignment="1">
      <alignment vertical="center"/>
    </xf>
    <xf numFmtId="0" fontId="20" fillId="8" borderId="25" xfId="6" applyFont="1" applyFill="1" applyBorder="1" applyAlignment="1">
      <alignment vertical="center"/>
    </xf>
    <xf numFmtId="0" fontId="20" fillId="5" borderId="1" xfId="6" applyFont="1" applyFill="1" applyBorder="1" applyAlignment="1">
      <alignment vertical="center"/>
    </xf>
    <xf numFmtId="0" fontId="20" fillId="5" borderId="4" xfId="6" applyFont="1" applyFill="1" applyBorder="1" applyAlignment="1">
      <alignment vertical="center"/>
    </xf>
    <xf numFmtId="0" fontId="20" fillId="5" borderId="0" xfId="6" applyFont="1" applyFill="1" applyAlignment="1">
      <alignment vertical="center"/>
    </xf>
    <xf numFmtId="0" fontId="20" fillId="5" borderId="33" xfId="6" applyFont="1" applyFill="1" applyBorder="1" applyAlignment="1">
      <alignment vertical="center" shrinkToFit="1"/>
    </xf>
    <xf numFmtId="0" fontId="20" fillId="5" borderId="33" xfId="6" applyFont="1" applyFill="1" applyBorder="1" applyAlignment="1">
      <alignment vertical="center" wrapText="1"/>
    </xf>
    <xf numFmtId="0" fontId="20" fillId="6" borderId="20" xfId="6" applyFont="1" applyFill="1" applyBorder="1"/>
    <xf numFmtId="0" fontId="20" fillId="6" borderId="18" xfId="6" applyFont="1" applyFill="1" applyBorder="1"/>
    <xf numFmtId="0" fontId="20" fillId="6" borderId="19" xfId="6" applyFont="1" applyFill="1" applyBorder="1"/>
    <xf numFmtId="0" fontId="20" fillId="6" borderId="23" xfId="6" applyFont="1" applyFill="1" applyBorder="1" applyAlignment="1">
      <alignment vertical="center"/>
    </xf>
    <xf numFmtId="0" fontId="20" fillId="6" borderId="24" xfId="6" applyFont="1" applyFill="1" applyBorder="1" applyAlignment="1">
      <alignment vertical="center"/>
    </xf>
    <xf numFmtId="0" fontId="20" fillId="6" borderId="25" xfId="6" applyFont="1" applyFill="1" applyBorder="1" applyAlignment="1">
      <alignment vertical="center"/>
    </xf>
    <xf numFmtId="0" fontId="20" fillId="7" borderId="23" xfId="6" applyFont="1" applyFill="1" applyBorder="1" applyAlignment="1">
      <alignment vertical="center" wrapText="1"/>
    </xf>
    <xf numFmtId="0" fontId="20" fillId="7" borderId="32" xfId="6" applyFont="1" applyFill="1" applyBorder="1" applyAlignment="1">
      <alignment vertical="center" wrapText="1"/>
    </xf>
    <xf numFmtId="0" fontId="20" fillId="7" borderId="25" xfId="6" applyFont="1" applyFill="1" applyBorder="1" applyAlignment="1">
      <alignment vertical="center" wrapText="1"/>
    </xf>
    <xf numFmtId="0" fontId="20" fillId="8" borderId="1" xfId="6" applyFont="1" applyFill="1" applyBorder="1" applyAlignment="1">
      <alignment vertical="center"/>
    </xf>
    <xf numFmtId="0" fontId="20" fillId="8" borderId="0" xfId="6" applyFont="1" applyFill="1" applyAlignment="1">
      <alignment vertical="center"/>
    </xf>
    <xf numFmtId="0" fontId="20" fillId="8" borderId="4" xfId="6" applyFont="1" applyFill="1" applyBorder="1" applyAlignment="1">
      <alignment vertical="center"/>
    </xf>
    <xf numFmtId="0" fontId="20" fillId="5" borderId="2" xfId="6" applyFont="1" applyFill="1" applyBorder="1" applyAlignment="1">
      <alignment vertical="center"/>
    </xf>
    <xf numFmtId="0" fontId="20" fillId="5" borderId="5" xfId="6" applyFont="1" applyFill="1" applyBorder="1" applyAlignment="1">
      <alignment vertical="center"/>
    </xf>
    <xf numFmtId="0" fontId="20" fillId="5" borderId="3" xfId="6" applyFont="1" applyFill="1" applyBorder="1" applyAlignment="1">
      <alignment vertical="center"/>
    </xf>
    <xf numFmtId="0" fontId="20" fillId="5" borderId="22" xfId="6" applyFont="1" applyFill="1" applyBorder="1" applyAlignment="1">
      <alignment vertical="center" shrinkToFit="1"/>
    </xf>
    <xf numFmtId="0" fontId="20" fillId="5" borderId="22" xfId="6" applyFont="1" applyFill="1" applyBorder="1" applyAlignment="1">
      <alignment vertical="center" wrapText="1"/>
    </xf>
    <xf numFmtId="0" fontId="20" fillId="6" borderId="2" xfId="6" applyFont="1" applyFill="1" applyBorder="1" applyAlignment="1">
      <alignment vertical="center"/>
    </xf>
    <xf numFmtId="0" fontId="20" fillId="6" borderId="3" xfId="6" applyFont="1" applyFill="1" applyBorder="1" applyAlignment="1">
      <alignment vertical="center"/>
    </xf>
    <xf numFmtId="0" fontId="20" fillId="6" borderId="5" xfId="6" applyFont="1" applyFill="1" applyBorder="1" applyAlignment="1">
      <alignment vertical="center"/>
    </xf>
    <xf numFmtId="0" fontId="20" fillId="7" borderId="2" xfId="6" applyFont="1" applyFill="1" applyBorder="1" applyAlignment="1">
      <alignment vertical="center" wrapText="1"/>
    </xf>
    <xf numFmtId="0" fontId="20" fillId="7" borderId="22" xfId="6" applyFont="1" applyFill="1" applyBorder="1" applyAlignment="1">
      <alignment vertical="center" wrapText="1"/>
    </xf>
    <xf numFmtId="0" fontId="20" fillId="7" borderId="5" xfId="6" applyFont="1" applyFill="1" applyBorder="1" applyAlignment="1">
      <alignment vertical="center" wrapText="1"/>
    </xf>
    <xf numFmtId="0" fontId="20" fillId="7" borderId="34" xfId="6" applyFont="1" applyFill="1" applyBorder="1" applyAlignment="1">
      <alignment vertical="center"/>
    </xf>
    <xf numFmtId="0" fontId="20" fillId="7" borderId="35" xfId="6" applyFont="1" applyFill="1" applyBorder="1" applyAlignment="1">
      <alignment vertical="center"/>
    </xf>
    <xf numFmtId="0" fontId="20" fillId="8" borderId="2" xfId="6" applyFont="1" applyFill="1" applyBorder="1" applyAlignment="1">
      <alignment vertical="center"/>
    </xf>
    <xf numFmtId="0" fontId="20" fillId="8" borderId="3" xfId="6" applyFont="1" applyFill="1" applyBorder="1" applyAlignment="1">
      <alignment vertical="center"/>
    </xf>
    <xf numFmtId="0" fontId="20" fillId="8" borderId="5" xfId="6" applyFont="1" applyFill="1" applyBorder="1" applyAlignment="1">
      <alignment vertical="center"/>
    </xf>
    <xf numFmtId="0" fontId="20" fillId="2" borderId="18" xfId="6" applyFont="1" applyFill="1" applyBorder="1" applyAlignment="1">
      <alignment horizontal="center" vertical="center"/>
    </xf>
    <xf numFmtId="20" fontId="20" fillId="2" borderId="18" xfId="6" quotePrefix="1" applyNumberFormat="1" applyFont="1" applyFill="1" applyBorder="1" applyAlignment="1">
      <alignment horizontal="center" vertical="center"/>
    </xf>
    <xf numFmtId="0" fontId="20" fillId="2" borderId="18" xfId="6" applyFont="1" applyFill="1" applyBorder="1" applyAlignment="1">
      <alignment horizontal="left" vertical="center"/>
    </xf>
    <xf numFmtId="0" fontId="20" fillId="3" borderId="26" xfId="6" applyFont="1" applyFill="1" applyBorder="1" applyAlignment="1">
      <alignment horizontal="center" vertical="center"/>
    </xf>
    <xf numFmtId="0" fontId="20" fillId="3" borderId="28" xfId="6" applyFont="1" applyFill="1" applyBorder="1" applyAlignment="1">
      <alignment horizontal="center" vertical="center"/>
    </xf>
    <xf numFmtId="0" fontId="20" fillId="3" borderId="26" xfId="6" applyFont="1" applyFill="1" applyBorder="1" applyAlignment="1">
      <alignment vertical="center"/>
    </xf>
    <xf numFmtId="0" fontId="20" fillId="3" borderId="27" xfId="6" applyFont="1" applyFill="1" applyBorder="1" applyAlignment="1">
      <alignment vertical="center"/>
    </xf>
    <xf numFmtId="0" fontId="20" fillId="3" borderId="28" xfId="6" applyFont="1" applyFill="1" applyBorder="1" applyAlignment="1">
      <alignment vertical="center"/>
    </xf>
    <xf numFmtId="0" fontId="20" fillId="3" borderId="17" xfId="6" applyFont="1" applyFill="1" applyBorder="1" applyAlignment="1">
      <alignment horizontal="center" vertical="center"/>
    </xf>
    <xf numFmtId="0" fontId="20" fillId="3" borderId="27" xfId="6" applyFont="1" applyFill="1" applyBorder="1" applyAlignment="1">
      <alignment horizontal="center" vertical="center"/>
    </xf>
    <xf numFmtId="0" fontId="20" fillId="3" borderId="26" xfId="6" applyFont="1" applyFill="1" applyBorder="1" applyAlignment="1">
      <alignment horizontal="center" vertical="center" wrapText="1"/>
    </xf>
    <xf numFmtId="0" fontId="20" fillId="3" borderId="27" xfId="6" applyFont="1" applyFill="1" applyBorder="1" applyAlignment="1">
      <alignment horizontal="center" vertical="center" wrapText="1"/>
    </xf>
    <xf numFmtId="0" fontId="20" fillId="3" borderId="28" xfId="6" applyFont="1" applyFill="1" applyBorder="1" applyAlignment="1">
      <alignment horizontal="center" vertical="center" wrapText="1"/>
    </xf>
    <xf numFmtId="0" fontId="20" fillId="3" borderId="26" xfId="6" applyFont="1" applyFill="1" applyBorder="1" applyAlignment="1">
      <alignment horizontal="left" vertical="center" wrapText="1"/>
    </xf>
    <xf numFmtId="0" fontId="20" fillId="3" borderId="27" xfId="6" applyFont="1" applyFill="1" applyBorder="1" applyAlignment="1">
      <alignment horizontal="left" vertical="center" wrapText="1"/>
    </xf>
    <xf numFmtId="0" fontId="20" fillId="3" borderId="28" xfId="6" applyFont="1" applyFill="1" applyBorder="1" applyAlignment="1">
      <alignment horizontal="left" vertical="center" wrapText="1"/>
    </xf>
    <xf numFmtId="0" fontId="20" fillId="3" borderId="26" xfId="6" applyFont="1" applyFill="1" applyBorder="1" applyAlignment="1">
      <alignment horizontal="left" vertical="center"/>
    </xf>
    <xf numFmtId="0" fontId="20" fillId="3" borderId="27" xfId="6" applyFont="1" applyFill="1" applyBorder="1" applyAlignment="1">
      <alignment horizontal="left" vertical="center"/>
    </xf>
    <xf numFmtId="0" fontId="20" fillId="3" borderId="28" xfId="6" applyFont="1" applyFill="1" applyBorder="1" applyAlignment="1">
      <alignment horizontal="left" vertical="center"/>
    </xf>
    <xf numFmtId="0" fontId="20" fillId="3" borderId="17" xfId="6" applyFont="1" applyFill="1" applyBorder="1" applyAlignment="1">
      <alignment vertical="center"/>
    </xf>
    <xf numFmtId="0" fontId="20" fillId="0" borderId="17" xfId="6" quotePrefix="1" applyFont="1" applyBorder="1" applyAlignment="1">
      <alignment horizontal="left" vertical="center" wrapText="1"/>
    </xf>
    <xf numFmtId="0" fontId="20" fillId="0" borderId="17" xfId="6" applyFont="1" applyBorder="1" applyAlignment="1">
      <alignment horizontal="center" vertical="center" wrapText="1"/>
    </xf>
    <xf numFmtId="0" fontId="20" fillId="0" borderId="17" xfId="6" applyFont="1" applyBorder="1" applyAlignment="1">
      <alignment horizontal="left" vertical="center"/>
    </xf>
    <xf numFmtId="0" fontId="20" fillId="0" borderId="17" xfId="6" applyFont="1" applyBorder="1" applyAlignment="1">
      <alignment vertical="center"/>
    </xf>
    <xf numFmtId="0" fontId="20" fillId="0" borderId="17" xfId="6" applyFont="1" applyBorder="1" applyAlignment="1">
      <alignment horizontal="left" vertical="center" wrapText="1"/>
    </xf>
    <xf numFmtId="0" fontId="20" fillId="0" borderId="17" xfId="6" quotePrefix="1" applyFont="1" applyBorder="1" applyAlignment="1">
      <alignment vertical="center"/>
    </xf>
    <xf numFmtId="0" fontId="20" fillId="0" borderId="17" xfId="6" quotePrefix="1" applyFont="1" applyBorder="1" applyAlignment="1">
      <alignment horizontal="center" vertical="center"/>
    </xf>
    <xf numFmtId="20" fontId="20" fillId="0" borderId="17" xfId="6" quotePrefix="1" applyNumberFormat="1" applyFont="1" applyBorder="1" applyAlignment="1">
      <alignment horizontal="center" vertical="center"/>
    </xf>
    <xf numFmtId="0" fontId="20" fillId="0" borderId="36" xfId="6" quotePrefix="1" applyFont="1" applyBorder="1" applyAlignment="1">
      <alignment vertical="center" wrapText="1"/>
    </xf>
    <xf numFmtId="0" fontId="20" fillId="0" borderId="37" xfId="6" quotePrefix="1" applyFont="1" applyBorder="1" applyAlignment="1">
      <alignment vertical="center" wrapText="1"/>
    </xf>
    <xf numFmtId="0" fontId="20" fillId="0" borderId="38" xfId="6" quotePrefix="1" applyFont="1" applyBorder="1" applyAlignment="1">
      <alignment vertical="center" wrapText="1"/>
    </xf>
    <xf numFmtId="0" fontId="20" fillId="0" borderId="36" xfId="6" applyFont="1" applyBorder="1" applyAlignment="1">
      <alignment vertical="center"/>
    </xf>
    <xf numFmtId="0" fontId="20" fillId="0" borderId="37" xfId="6" applyFont="1" applyBorder="1" applyAlignment="1">
      <alignment vertical="center"/>
    </xf>
    <xf numFmtId="0" fontId="20" fillId="0" borderId="38" xfId="6" applyFont="1" applyBorder="1" applyAlignment="1">
      <alignment vertical="center"/>
    </xf>
    <xf numFmtId="0" fontId="20" fillId="0" borderId="36" xfId="6" applyFont="1" applyBorder="1" applyAlignment="1">
      <alignment horizontal="center" vertical="center"/>
    </xf>
    <xf numFmtId="0" fontId="20" fillId="0" borderId="37" xfId="6" applyFont="1" applyBorder="1" applyAlignment="1">
      <alignment horizontal="center" vertical="center"/>
    </xf>
    <xf numFmtId="0" fontId="20" fillId="0" borderId="38" xfId="6" applyFont="1" applyBorder="1" applyAlignment="1">
      <alignment horizontal="center" vertical="center"/>
    </xf>
    <xf numFmtId="20" fontId="20" fillId="0" borderId="36" xfId="6" quotePrefix="1" applyNumberFormat="1" applyFont="1" applyBorder="1" applyAlignment="1">
      <alignment horizontal="center" vertical="center"/>
    </xf>
    <xf numFmtId="20" fontId="20" fillId="0" borderId="37" xfId="6" quotePrefix="1" applyNumberFormat="1" applyFont="1" applyBorder="1" applyAlignment="1">
      <alignment horizontal="center" vertical="center"/>
    </xf>
    <xf numFmtId="20" fontId="20" fillId="0" borderId="38" xfId="6" quotePrefix="1" applyNumberFormat="1" applyFont="1" applyBorder="1" applyAlignment="1">
      <alignment horizontal="center" vertical="center"/>
    </xf>
    <xf numFmtId="0" fontId="20" fillId="0" borderId="36" xfId="6" applyFont="1" applyBorder="1" applyAlignment="1">
      <alignment horizontal="left" vertical="center"/>
    </xf>
    <xf numFmtId="0" fontId="20" fillId="0" borderId="37" xfId="6" applyFont="1" applyBorder="1" applyAlignment="1">
      <alignment horizontal="left" vertical="center"/>
    </xf>
    <xf numFmtId="0" fontId="20" fillId="0" borderId="38" xfId="6" applyFont="1" applyBorder="1" applyAlignment="1">
      <alignment horizontal="left" vertical="center"/>
    </xf>
    <xf numFmtId="0" fontId="20" fillId="0" borderId="36" xfId="6" applyFont="1" applyBorder="1" applyAlignment="1">
      <alignment vertical="center" wrapText="1"/>
    </xf>
    <xf numFmtId="0" fontId="20" fillId="0" borderId="37" xfId="6" applyFont="1" applyBorder="1" applyAlignment="1">
      <alignment vertical="center" wrapText="1"/>
    </xf>
    <xf numFmtId="0" fontId="20" fillId="0" borderId="38" xfId="6" applyFont="1" applyBorder="1" applyAlignment="1">
      <alignment vertical="center" wrapText="1"/>
    </xf>
    <xf numFmtId="0" fontId="20" fillId="0" borderId="36" xfId="6" applyFont="1" applyBorder="1" applyAlignment="1">
      <alignment horizontal="center" vertical="center" wrapText="1"/>
    </xf>
    <xf numFmtId="0" fontId="20" fillId="0" borderId="37" xfId="6" applyFont="1" applyBorder="1" applyAlignment="1">
      <alignment horizontal="center" vertical="center" wrapText="1"/>
    </xf>
    <xf numFmtId="0" fontId="20" fillId="0" borderId="38" xfId="6" applyFont="1" applyBorder="1" applyAlignment="1">
      <alignment horizontal="center" vertical="center" wrapText="1"/>
    </xf>
    <xf numFmtId="0" fontId="20" fillId="0" borderId="36" xfId="6" applyFont="1" applyBorder="1" applyAlignment="1">
      <alignment horizontal="left" vertical="center" wrapText="1"/>
    </xf>
    <xf numFmtId="0" fontId="20" fillId="0" borderId="37" xfId="6" applyFont="1" applyBorder="1" applyAlignment="1">
      <alignment horizontal="left" vertical="center" wrapText="1"/>
    </xf>
    <xf numFmtId="0" fontId="20" fillId="0" borderId="38" xfId="6" applyFont="1" applyBorder="1" applyAlignment="1">
      <alignment horizontal="left" vertical="center" wrapText="1"/>
    </xf>
    <xf numFmtId="0" fontId="23" fillId="0" borderId="1" xfId="6" applyFont="1" applyBorder="1" applyAlignment="1">
      <alignment vertical="center"/>
    </xf>
    <xf numFmtId="0" fontId="23" fillId="0" borderId="17" xfId="6" applyFont="1" applyBorder="1" applyAlignment="1">
      <alignment horizontal="center" vertical="center"/>
    </xf>
    <xf numFmtId="0" fontId="23" fillId="0" borderId="17" xfId="6" quotePrefix="1" applyFont="1" applyBorder="1" applyAlignment="1">
      <alignment vertical="center" wrapText="1"/>
    </xf>
    <xf numFmtId="0" fontId="23" fillId="0" borderId="17" xfId="6" applyFont="1" applyBorder="1" applyAlignment="1">
      <alignment vertical="center"/>
    </xf>
    <xf numFmtId="0" fontId="23" fillId="0" borderId="17" xfId="6" applyFont="1" applyBorder="1" applyAlignment="1">
      <alignment horizontal="center" vertical="center"/>
    </xf>
    <xf numFmtId="20" fontId="23" fillId="0" borderId="17" xfId="6" quotePrefix="1" applyNumberFormat="1" applyFont="1" applyBorder="1" applyAlignment="1">
      <alignment horizontal="center" vertical="center"/>
    </xf>
    <xf numFmtId="0" fontId="23" fillId="0" borderId="17" xfId="6" applyFont="1" applyBorder="1" applyAlignment="1">
      <alignment horizontal="left" vertical="center"/>
    </xf>
    <xf numFmtId="0" fontId="23" fillId="0" borderId="17" xfId="6" applyFont="1" applyBorder="1" applyAlignment="1">
      <alignment vertical="center"/>
    </xf>
    <xf numFmtId="0" fontId="23" fillId="0" borderId="17" xfId="6" applyFont="1" applyBorder="1" applyAlignment="1">
      <alignment vertical="center" wrapText="1"/>
    </xf>
    <xf numFmtId="0" fontId="23" fillId="0" borderId="4" xfId="6" applyFont="1" applyBorder="1" applyAlignment="1">
      <alignment vertical="center"/>
    </xf>
    <xf numFmtId="0" fontId="23" fillId="0" borderId="0" xfId="6" applyFont="1" applyAlignment="1">
      <alignment vertical="center"/>
    </xf>
    <xf numFmtId="0" fontId="23" fillId="0" borderId="17" xfId="6" applyFont="1" applyBorder="1" applyAlignment="1">
      <alignment horizontal="center" vertical="center" wrapText="1"/>
    </xf>
    <xf numFmtId="0" fontId="20" fillId="0" borderId="29" xfId="6" quotePrefix="1" applyFont="1" applyBorder="1" applyAlignment="1">
      <alignment vertical="center" wrapText="1"/>
    </xf>
    <xf numFmtId="0" fontId="20" fillId="0" borderId="30" xfId="6" quotePrefix="1" applyFont="1" applyBorder="1" applyAlignment="1">
      <alignment vertical="center" wrapText="1"/>
    </xf>
    <xf numFmtId="0" fontId="20" fillId="0" borderId="31" xfId="6" quotePrefix="1" applyFont="1" applyBorder="1" applyAlignment="1">
      <alignment vertical="center" wrapText="1"/>
    </xf>
    <xf numFmtId="0" fontId="20" fillId="0" borderId="2" xfId="6" applyFont="1" applyBorder="1" applyAlignment="1">
      <alignment vertical="center"/>
    </xf>
    <xf numFmtId="0" fontId="20" fillId="0" borderId="3" xfId="6" applyFont="1" applyBorder="1" applyAlignment="1">
      <alignment vertical="center"/>
    </xf>
    <xf numFmtId="0" fontId="20" fillId="0" borderId="5" xfId="6" applyFont="1" applyBorder="1" applyAlignment="1">
      <alignment vertical="center"/>
    </xf>
    <xf numFmtId="0" fontId="20" fillId="0" borderId="22" xfId="6" applyFont="1" applyBorder="1" applyAlignment="1">
      <alignment horizontal="center" vertical="center"/>
    </xf>
    <xf numFmtId="0" fontId="20" fillId="0" borderId="2" xfId="6" applyFont="1" applyBorder="1" applyAlignment="1">
      <alignment horizontal="center" vertical="center"/>
    </xf>
    <xf numFmtId="0" fontId="20" fillId="0" borderId="3" xfId="6" applyFont="1" applyBorder="1" applyAlignment="1">
      <alignment horizontal="center" vertical="center"/>
    </xf>
    <xf numFmtId="0" fontId="20" fillId="0" borderId="5" xfId="6" applyFont="1" applyBorder="1" applyAlignment="1">
      <alignment horizontal="center" vertical="center"/>
    </xf>
    <xf numFmtId="20" fontId="20" fillId="0" borderId="2" xfId="6" quotePrefix="1" applyNumberFormat="1" applyFont="1" applyBorder="1" applyAlignment="1">
      <alignment horizontal="center" vertical="center"/>
    </xf>
    <xf numFmtId="20" fontId="20" fillId="0" borderId="3" xfId="6" quotePrefix="1" applyNumberFormat="1" applyFont="1" applyBorder="1" applyAlignment="1">
      <alignment horizontal="center" vertical="center"/>
    </xf>
    <xf numFmtId="20" fontId="20" fillId="0" borderId="5" xfId="6" quotePrefix="1" applyNumberFormat="1" applyFont="1" applyBorder="1" applyAlignment="1">
      <alignment horizontal="center" vertical="center"/>
    </xf>
    <xf numFmtId="0" fontId="20" fillId="0" borderId="2" xfId="6" applyFont="1" applyBorder="1" applyAlignment="1">
      <alignment horizontal="left" vertical="center"/>
    </xf>
    <xf numFmtId="0" fontId="20" fillId="0" borderId="3" xfId="6" applyFont="1" applyBorder="1" applyAlignment="1">
      <alignment horizontal="left" vertical="center"/>
    </xf>
    <xf numFmtId="0" fontId="20" fillId="0" borderId="5" xfId="6" applyFont="1" applyBorder="1" applyAlignment="1">
      <alignment horizontal="left" vertical="center"/>
    </xf>
    <xf numFmtId="0" fontId="20" fillId="0" borderId="22" xfId="6" applyFont="1" applyBorder="1" applyAlignment="1">
      <alignment vertical="center"/>
    </xf>
    <xf numFmtId="0" fontId="23" fillId="0" borderId="2" xfId="6" applyFont="1" applyBorder="1" applyAlignment="1">
      <alignment vertical="center" wrapText="1"/>
    </xf>
    <xf numFmtId="0" fontId="23" fillId="0" borderId="3" xfId="6" applyFont="1" applyBorder="1" applyAlignment="1">
      <alignment vertical="center" wrapText="1"/>
    </xf>
    <xf numFmtId="0" fontId="23" fillId="0" borderId="5" xfId="6" applyFont="1" applyBorder="1" applyAlignment="1">
      <alignment vertical="center" wrapText="1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  <cellStyle name="標準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235322</xdr:colOff>
      <xdr:row>186</xdr:row>
      <xdr:rowOff>201698</xdr:rowOff>
    </xdr:from>
    <xdr:to>
      <xdr:col>57</xdr:col>
      <xdr:colOff>22411</xdr:colOff>
      <xdr:row>219</xdr:row>
      <xdr:rowOff>36359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" y="53387625"/>
          <a:ext cx="14849475" cy="6438900"/>
        </a:xfrm>
        <a:prstGeom prst="rect">
          <a:avLst/>
        </a:prstGeom>
      </xdr:spPr>
    </xdr:pic>
    <xdr:clientData/>
  </xdr:twoCellAnchor>
  <xdr:twoCellAnchor editAs="oneCell">
    <xdr:from>
      <xdr:col>1</xdr:col>
      <xdr:colOff>224117</xdr:colOff>
      <xdr:row>126</xdr:row>
      <xdr:rowOff>190489</xdr:rowOff>
    </xdr:from>
    <xdr:to>
      <xdr:col>57</xdr:col>
      <xdr:colOff>0</xdr:colOff>
      <xdr:row>161</xdr:row>
      <xdr:rowOff>8382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5300" y="36509325"/>
          <a:ext cx="14830425" cy="6486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</xdr:row>
      <xdr:rowOff>190488</xdr:rowOff>
    </xdr:from>
    <xdr:to>
      <xdr:col>57</xdr:col>
      <xdr:colOff>11206</xdr:colOff>
      <xdr:row>95</xdr:row>
      <xdr:rowOff>8381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0" y="13906500"/>
          <a:ext cx="14801850" cy="6486525"/>
        </a:xfrm>
        <a:prstGeom prst="rect">
          <a:avLst/>
        </a:prstGeom>
      </xdr:spPr>
    </xdr:pic>
    <xdr:clientData/>
  </xdr:twoCellAnchor>
  <xdr:twoCellAnchor editAs="oneCell">
    <xdr:from>
      <xdr:col>2</xdr:col>
      <xdr:colOff>11205</xdr:colOff>
      <xdr:row>10</xdr:row>
      <xdr:rowOff>11204</xdr:rowOff>
    </xdr:from>
    <xdr:to>
      <xdr:col>57</xdr:col>
      <xdr:colOff>11205</xdr:colOff>
      <xdr:row>44</xdr:row>
      <xdr:rowOff>14034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2925" y="2028825"/>
          <a:ext cx="14792325" cy="6477000"/>
        </a:xfrm>
        <a:prstGeom prst="rect">
          <a:avLst/>
        </a:prstGeom>
      </xdr:spPr>
    </xdr:pic>
    <xdr:clientData/>
  </xdr:twoCellAnchor>
  <xdr:twoCellAnchor>
    <xdr:from>
      <xdr:col>9</xdr:col>
      <xdr:colOff>95472</xdr:colOff>
      <xdr:row>50</xdr:row>
      <xdr:rowOff>56417</xdr:rowOff>
    </xdr:from>
    <xdr:to>
      <xdr:col>10</xdr:col>
      <xdr:colOff>165058</xdr:colOff>
      <xdr:row>51</xdr:row>
      <xdr:rowOff>151230</xdr:rowOff>
    </xdr:to>
    <xdr:sp macro="" textlink="" fLocksText="0">
      <xdr:nvSpPr>
        <xdr:cNvPr id="55" name="AutoShape 2" descr="preview url image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2495550" y="9725025"/>
          <a:ext cx="333375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9</xdr:col>
      <xdr:colOff>134470</xdr:colOff>
      <xdr:row>8</xdr:row>
      <xdr:rowOff>179294</xdr:rowOff>
    </xdr:from>
    <xdr:to>
      <xdr:col>11</xdr:col>
      <xdr:colOff>75303</xdr:colOff>
      <xdr:row>10</xdr:row>
      <xdr:rowOff>158272</xdr:rowOff>
    </xdr:to>
    <xdr:sp macro="" textlink="" fLocksText="0">
      <xdr:nvSpPr>
        <xdr:cNvPr id="13" name="Callout: Lin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533650" y="1819275"/>
          <a:ext cx="476250" cy="361950"/>
        </a:xfrm>
        <a:prstGeom prst="borderCallout1">
          <a:avLst>
            <a:gd name="adj1" fmla="val 46750"/>
            <a:gd name="adj2" fmla="val 2012"/>
            <a:gd name="adj3" fmla="val 82394"/>
            <a:gd name="adj4" fmla="val -1883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45</xdr:col>
      <xdr:colOff>163606</xdr:colOff>
      <xdr:row>8</xdr:row>
      <xdr:rowOff>162215</xdr:rowOff>
    </xdr:from>
    <xdr:to>
      <xdr:col>47</xdr:col>
      <xdr:colOff>104439</xdr:colOff>
      <xdr:row>10</xdr:row>
      <xdr:rowOff>141193</xdr:rowOff>
    </xdr:to>
    <xdr:sp macro="" textlink="" fLocksText="0">
      <xdr:nvSpPr>
        <xdr:cNvPr id="15" name="Callout: Lin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2287250" y="1800225"/>
          <a:ext cx="476250" cy="361950"/>
        </a:xfrm>
        <a:prstGeom prst="borderCallout1">
          <a:avLst>
            <a:gd name="adj1" fmla="val 46750"/>
            <a:gd name="adj2" fmla="val 2012"/>
            <a:gd name="adj3" fmla="val 82394"/>
            <a:gd name="adj4" fmla="val -1883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48</xdr:col>
      <xdr:colOff>32273</xdr:colOff>
      <xdr:row>8</xdr:row>
      <xdr:rowOff>162215</xdr:rowOff>
    </xdr:from>
    <xdr:to>
      <xdr:col>49</xdr:col>
      <xdr:colOff>208429</xdr:colOff>
      <xdr:row>10</xdr:row>
      <xdr:rowOff>141193</xdr:rowOff>
    </xdr:to>
    <xdr:sp macro="" textlink="" fLocksText="0">
      <xdr:nvSpPr>
        <xdr:cNvPr id="17" name="Callout: Lin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2954000" y="1800225"/>
          <a:ext cx="447675" cy="361950"/>
        </a:xfrm>
        <a:prstGeom prst="borderCallout1">
          <a:avLst>
            <a:gd name="adj1" fmla="val 46750"/>
            <a:gd name="adj2" fmla="val 2012"/>
            <a:gd name="adj3" fmla="val 82394"/>
            <a:gd name="adj4" fmla="val -1883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2</xdr:col>
      <xdr:colOff>67236</xdr:colOff>
      <xdr:row>15</xdr:row>
      <xdr:rowOff>67237</xdr:rowOff>
    </xdr:from>
    <xdr:to>
      <xdr:col>12</xdr:col>
      <xdr:colOff>44824</xdr:colOff>
      <xdr:row>40</xdr:row>
      <xdr:rowOff>145677</xdr:rowOff>
    </xdr:to>
    <xdr:sp macro="" textlink="" fLocksText="0">
      <xdr:nvSpPr>
        <xdr:cNvPr id="20" name="Rectangl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600075" y="3038475"/>
          <a:ext cx="2647950" cy="48387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67235</xdr:colOff>
      <xdr:row>12</xdr:row>
      <xdr:rowOff>134471</xdr:rowOff>
    </xdr:from>
    <xdr:to>
      <xdr:col>11</xdr:col>
      <xdr:colOff>8068</xdr:colOff>
      <xdr:row>14</xdr:row>
      <xdr:rowOff>113449</xdr:rowOff>
    </xdr:to>
    <xdr:sp macro="" textlink="" fLocksText="0">
      <xdr:nvSpPr>
        <xdr:cNvPr id="23" name="Callout: Lin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2466975" y="2533650"/>
          <a:ext cx="476250" cy="361950"/>
        </a:xfrm>
        <a:prstGeom prst="borderCallout1">
          <a:avLst>
            <a:gd name="adj1" fmla="val 46750"/>
            <a:gd name="adj2" fmla="val 2012"/>
            <a:gd name="adj3" fmla="val 82394"/>
            <a:gd name="adj4" fmla="val -18832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6</xdr:col>
      <xdr:colOff>123265</xdr:colOff>
      <xdr:row>63</xdr:row>
      <xdr:rowOff>100841</xdr:rowOff>
    </xdr:from>
    <xdr:to>
      <xdr:col>8</xdr:col>
      <xdr:colOff>22411</xdr:colOff>
      <xdr:row>64</xdr:row>
      <xdr:rowOff>145664</xdr:rowOff>
    </xdr:to>
    <xdr:sp macro="" textlink="" fLocksText="0">
      <xdr:nvSpPr>
        <xdr:cNvPr id="32" name="Rectangle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724025" y="14392275"/>
          <a:ext cx="4286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Calibri"/>
              <a:ea typeface="Calibri"/>
            </a:rPr>
            <a:t>4.1</a:t>
          </a:r>
        </a:p>
      </xdr:txBody>
    </xdr:sp>
    <xdr:clientData/>
  </xdr:twoCellAnchor>
  <xdr:twoCellAnchor>
    <xdr:from>
      <xdr:col>2</xdr:col>
      <xdr:colOff>22412</xdr:colOff>
      <xdr:row>63</xdr:row>
      <xdr:rowOff>100841</xdr:rowOff>
    </xdr:from>
    <xdr:to>
      <xdr:col>3</xdr:col>
      <xdr:colOff>156881</xdr:colOff>
      <xdr:row>64</xdr:row>
      <xdr:rowOff>145664</xdr:rowOff>
    </xdr:to>
    <xdr:sp macro="" textlink="" fLocksText="0">
      <xdr:nvSpPr>
        <xdr:cNvPr id="33" name="Rectangle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552450" y="14392275"/>
          <a:ext cx="4000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Calibri"/>
              <a:ea typeface="Calibri"/>
            </a:rPr>
            <a:t>4</a:t>
          </a:r>
        </a:p>
      </xdr:txBody>
    </xdr:sp>
    <xdr:clientData/>
  </xdr:twoCellAnchor>
  <xdr:twoCellAnchor>
    <xdr:from>
      <xdr:col>12</xdr:col>
      <xdr:colOff>123264</xdr:colOff>
      <xdr:row>63</xdr:row>
      <xdr:rowOff>100840</xdr:rowOff>
    </xdr:from>
    <xdr:to>
      <xdr:col>14</xdr:col>
      <xdr:colOff>22410</xdr:colOff>
      <xdr:row>64</xdr:row>
      <xdr:rowOff>145663</xdr:rowOff>
    </xdr:to>
    <xdr:sp macro="" textlink="" fLocksText="0">
      <xdr:nvSpPr>
        <xdr:cNvPr id="34" name="Rectangle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3324225" y="14392275"/>
          <a:ext cx="4286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Calibri"/>
              <a:ea typeface="Calibri"/>
            </a:rPr>
            <a:t>4.2</a:t>
          </a:r>
        </a:p>
      </xdr:txBody>
    </xdr:sp>
    <xdr:clientData/>
  </xdr:twoCellAnchor>
  <xdr:twoCellAnchor>
    <xdr:from>
      <xdr:col>6</xdr:col>
      <xdr:colOff>123265</xdr:colOff>
      <xdr:row>65</xdr:row>
      <xdr:rowOff>190488</xdr:rowOff>
    </xdr:from>
    <xdr:to>
      <xdr:col>8</xdr:col>
      <xdr:colOff>22411</xdr:colOff>
      <xdr:row>67</xdr:row>
      <xdr:rowOff>44811</xdr:rowOff>
    </xdr:to>
    <xdr:sp macro="" textlink="" fLocksText="0">
      <xdr:nvSpPr>
        <xdr:cNvPr id="35" name="Rectangl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1724025" y="14859000"/>
          <a:ext cx="428625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Calibri"/>
              <a:ea typeface="Calibri"/>
            </a:rPr>
            <a:t>5.1</a:t>
          </a:r>
        </a:p>
      </xdr:txBody>
    </xdr:sp>
    <xdr:clientData/>
  </xdr:twoCellAnchor>
  <xdr:twoCellAnchor>
    <xdr:from>
      <xdr:col>2</xdr:col>
      <xdr:colOff>22412</xdr:colOff>
      <xdr:row>65</xdr:row>
      <xdr:rowOff>190488</xdr:rowOff>
    </xdr:from>
    <xdr:to>
      <xdr:col>3</xdr:col>
      <xdr:colOff>156881</xdr:colOff>
      <xdr:row>67</xdr:row>
      <xdr:rowOff>44811</xdr:rowOff>
    </xdr:to>
    <xdr:sp macro="" textlink="" fLocksText="0">
      <xdr:nvSpPr>
        <xdr:cNvPr id="36" name="Rectangle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552450" y="14859000"/>
          <a:ext cx="40005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Calibri"/>
              <a:ea typeface="Calibri"/>
            </a:rPr>
            <a:t>5</a:t>
          </a:r>
        </a:p>
      </xdr:txBody>
    </xdr:sp>
    <xdr:clientData/>
  </xdr:twoCellAnchor>
  <xdr:twoCellAnchor>
    <xdr:from>
      <xdr:col>12</xdr:col>
      <xdr:colOff>123264</xdr:colOff>
      <xdr:row>65</xdr:row>
      <xdr:rowOff>190487</xdr:rowOff>
    </xdr:from>
    <xdr:to>
      <xdr:col>14</xdr:col>
      <xdr:colOff>22410</xdr:colOff>
      <xdr:row>67</xdr:row>
      <xdr:rowOff>44810</xdr:rowOff>
    </xdr:to>
    <xdr:sp macro="" textlink="" fLocksText="0">
      <xdr:nvSpPr>
        <xdr:cNvPr id="37" name="Rectangle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3324225" y="14859000"/>
          <a:ext cx="428625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Calibri"/>
              <a:ea typeface="Calibri"/>
            </a:rPr>
            <a:t>5.2</a:t>
          </a:r>
        </a:p>
      </xdr:txBody>
    </xdr:sp>
    <xdr:clientData/>
  </xdr:twoCellAnchor>
  <xdr:twoCellAnchor>
    <xdr:from>
      <xdr:col>6</xdr:col>
      <xdr:colOff>123264</xdr:colOff>
      <xdr:row>68</xdr:row>
      <xdr:rowOff>112046</xdr:rowOff>
    </xdr:from>
    <xdr:to>
      <xdr:col>8</xdr:col>
      <xdr:colOff>22410</xdr:colOff>
      <xdr:row>69</xdr:row>
      <xdr:rowOff>156869</xdr:rowOff>
    </xdr:to>
    <xdr:sp macro="" textlink="" fLocksText="0">
      <xdr:nvSpPr>
        <xdr:cNvPr id="38" name="Rectangle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1724025" y="15354300"/>
          <a:ext cx="4286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Calibri"/>
              <a:ea typeface="Calibri"/>
            </a:rPr>
            <a:t>6.1</a:t>
          </a:r>
        </a:p>
      </xdr:txBody>
    </xdr:sp>
    <xdr:clientData/>
  </xdr:twoCellAnchor>
  <xdr:twoCellAnchor>
    <xdr:from>
      <xdr:col>2</xdr:col>
      <xdr:colOff>22411</xdr:colOff>
      <xdr:row>68</xdr:row>
      <xdr:rowOff>112046</xdr:rowOff>
    </xdr:from>
    <xdr:to>
      <xdr:col>3</xdr:col>
      <xdr:colOff>156880</xdr:colOff>
      <xdr:row>69</xdr:row>
      <xdr:rowOff>156869</xdr:rowOff>
    </xdr:to>
    <xdr:sp macro="" textlink="" fLocksText="0">
      <xdr:nvSpPr>
        <xdr:cNvPr id="39" name="Rectangle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552450" y="15354300"/>
          <a:ext cx="4000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Calibri"/>
              <a:ea typeface="Calibri"/>
            </a:rPr>
            <a:t>6</a:t>
          </a:r>
        </a:p>
      </xdr:txBody>
    </xdr:sp>
    <xdr:clientData/>
  </xdr:twoCellAnchor>
  <xdr:twoCellAnchor>
    <xdr:from>
      <xdr:col>6</xdr:col>
      <xdr:colOff>123265</xdr:colOff>
      <xdr:row>70</xdr:row>
      <xdr:rowOff>100840</xdr:rowOff>
    </xdr:from>
    <xdr:to>
      <xdr:col>8</xdr:col>
      <xdr:colOff>22411</xdr:colOff>
      <xdr:row>71</xdr:row>
      <xdr:rowOff>145663</xdr:rowOff>
    </xdr:to>
    <xdr:sp macro="" textlink="" fLocksText="0">
      <xdr:nvSpPr>
        <xdr:cNvPr id="40" name="Rectangle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1724025" y="15725775"/>
          <a:ext cx="4286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Calibri"/>
              <a:ea typeface="Calibri"/>
            </a:rPr>
            <a:t>7.1</a:t>
          </a:r>
        </a:p>
      </xdr:txBody>
    </xdr:sp>
    <xdr:clientData/>
  </xdr:twoCellAnchor>
  <xdr:twoCellAnchor>
    <xdr:from>
      <xdr:col>2</xdr:col>
      <xdr:colOff>22412</xdr:colOff>
      <xdr:row>70</xdr:row>
      <xdr:rowOff>100840</xdr:rowOff>
    </xdr:from>
    <xdr:to>
      <xdr:col>3</xdr:col>
      <xdr:colOff>156881</xdr:colOff>
      <xdr:row>71</xdr:row>
      <xdr:rowOff>145663</xdr:rowOff>
    </xdr:to>
    <xdr:sp macro="" textlink="" fLocksText="0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552450" y="15725775"/>
          <a:ext cx="4000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Calibri"/>
              <a:ea typeface="Calibri"/>
            </a:rPr>
            <a:t>7</a:t>
          </a:r>
        </a:p>
      </xdr:txBody>
    </xdr:sp>
    <xdr:clientData/>
  </xdr:twoCellAnchor>
  <xdr:twoCellAnchor>
    <xdr:from>
      <xdr:col>23</xdr:col>
      <xdr:colOff>56029</xdr:colOff>
      <xdr:row>63</xdr:row>
      <xdr:rowOff>100840</xdr:rowOff>
    </xdr:from>
    <xdr:to>
      <xdr:col>24</xdr:col>
      <xdr:colOff>190498</xdr:colOff>
      <xdr:row>64</xdr:row>
      <xdr:rowOff>145663</xdr:rowOff>
    </xdr:to>
    <xdr:sp macro="" textlink="" fLocksText="0">
      <xdr:nvSpPr>
        <xdr:cNvPr id="42" name="Rectangle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6315075" y="14392275"/>
          <a:ext cx="4000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Calibri"/>
              <a:ea typeface="Calibri"/>
            </a:rPr>
            <a:t>8.1</a:t>
          </a:r>
        </a:p>
      </xdr:txBody>
    </xdr:sp>
    <xdr:clientData/>
  </xdr:twoCellAnchor>
  <xdr:twoCellAnchor>
    <xdr:from>
      <xdr:col>18</xdr:col>
      <xdr:colOff>190500</xdr:colOff>
      <xdr:row>63</xdr:row>
      <xdr:rowOff>100840</xdr:rowOff>
    </xdr:from>
    <xdr:to>
      <xdr:col>20</xdr:col>
      <xdr:colOff>89646</xdr:colOff>
      <xdr:row>64</xdr:row>
      <xdr:rowOff>145663</xdr:rowOff>
    </xdr:to>
    <xdr:sp macro="" textlink="" fLocksText="0">
      <xdr:nvSpPr>
        <xdr:cNvPr id="43" name="Rectangle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5114925" y="14392275"/>
          <a:ext cx="4286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Calibri"/>
              <a:ea typeface="Calibri"/>
            </a:rPr>
            <a:t>8</a:t>
          </a:r>
        </a:p>
      </xdr:txBody>
    </xdr:sp>
    <xdr:clientData/>
  </xdr:twoCellAnchor>
  <xdr:twoCellAnchor>
    <xdr:from>
      <xdr:col>18</xdr:col>
      <xdr:colOff>190500</xdr:colOff>
      <xdr:row>65</xdr:row>
      <xdr:rowOff>179281</xdr:rowOff>
    </xdr:from>
    <xdr:to>
      <xdr:col>20</xdr:col>
      <xdr:colOff>89646</xdr:colOff>
      <xdr:row>67</xdr:row>
      <xdr:rowOff>33604</xdr:rowOff>
    </xdr:to>
    <xdr:sp macro="" textlink="" fLocksText="0">
      <xdr:nvSpPr>
        <xdr:cNvPr id="44" name="Rectangle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5114925" y="14849475"/>
          <a:ext cx="428625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Calibri"/>
              <a:ea typeface="Calibri"/>
            </a:rPr>
            <a:t>9</a:t>
          </a:r>
        </a:p>
      </xdr:txBody>
    </xdr:sp>
    <xdr:clientData/>
  </xdr:twoCellAnchor>
  <xdr:twoCellAnchor>
    <xdr:from>
      <xdr:col>23</xdr:col>
      <xdr:colOff>56029</xdr:colOff>
      <xdr:row>67</xdr:row>
      <xdr:rowOff>123252</xdr:rowOff>
    </xdr:from>
    <xdr:to>
      <xdr:col>25</xdr:col>
      <xdr:colOff>33618</xdr:colOff>
      <xdr:row>68</xdr:row>
      <xdr:rowOff>168075</xdr:rowOff>
    </xdr:to>
    <xdr:sp macro="" textlink="" fLocksText="0">
      <xdr:nvSpPr>
        <xdr:cNvPr id="45" name="Rectangle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>
          <a:off x="6315075" y="15173325"/>
          <a:ext cx="51435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Calibri"/>
              <a:ea typeface="Calibri"/>
            </a:rPr>
            <a:t>10.1</a:t>
          </a:r>
        </a:p>
      </xdr:txBody>
    </xdr:sp>
    <xdr:clientData/>
  </xdr:twoCellAnchor>
  <xdr:twoCellAnchor>
    <xdr:from>
      <xdr:col>18</xdr:col>
      <xdr:colOff>190500</xdr:colOff>
      <xdr:row>67</xdr:row>
      <xdr:rowOff>123252</xdr:rowOff>
    </xdr:from>
    <xdr:to>
      <xdr:col>20</xdr:col>
      <xdr:colOff>89646</xdr:colOff>
      <xdr:row>68</xdr:row>
      <xdr:rowOff>168075</xdr:rowOff>
    </xdr:to>
    <xdr:sp macro="" textlink="" fLocksText="0">
      <xdr:nvSpPr>
        <xdr:cNvPr id="46" name="Rectangle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5114925" y="15173325"/>
          <a:ext cx="428625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Calibri"/>
              <a:ea typeface="Calibri"/>
            </a:rPr>
            <a:t>10</a:t>
          </a:r>
        </a:p>
      </xdr:txBody>
    </xdr:sp>
    <xdr:clientData/>
  </xdr:twoCellAnchor>
  <xdr:twoCellAnchor>
    <xdr:from>
      <xdr:col>22</xdr:col>
      <xdr:colOff>33616</xdr:colOff>
      <xdr:row>69</xdr:row>
      <xdr:rowOff>134457</xdr:rowOff>
    </xdr:from>
    <xdr:to>
      <xdr:col>24</xdr:col>
      <xdr:colOff>11204</xdr:colOff>
      <xdr:row>70</xdr:row>
      <xdr:rowOff>179280</xdr:rowOff>
    </xdr:to>
    <xdr:sp macro="" textlink="" fLocksText="0">
      <xdr:nvSpPr>
        <xdr:cNvPr id="47" name="Rectangle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>
          <a:off x="6029325" y="15563850"/>
          <a:ext cx="504825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Calibri"/>
              <a:ea typeface="Calibri"/>
            </a:rPr>
            <a:t>11.1</a:t>
          </a:r>
        </a:p>
      </xdr:txBody>
    </xdr:sp>
    <xdr:clientData/>
  </xdr:twoCellAnchor>
  <xdr:twoCellAnchor>
    <xdr:from>
      <xdr:col>18</xdr:col>
      <xdr:colOff>201705</xdr:colOff>
      <xdr:row>69</xdr:row>
      <xdr:rowOff>123251</xdr:rowOff>
    </xdr:from>
    <xdr:to>
      <xdr:col>20</xdr:col>
      <xdr:colOff>100851</xdr:colOff>
      <xdr:row>70</xdr:row>
      <xdr:rowOff>168074</xdr:rowOff>
    </xdr:to>
    <xdr:sp macro="" textlink="" fLocksText="0">
      <xdr:nvSpPr>
        <xdr:cNvPr id="48" name="Rectangle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>
        <a:xfrm>
          <a:off x="5124450" y="15554325"/>
          <a:ext cx="43815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Calibri"/>
              <a:ea typeface="Calibri"/>
            </a:rPr>
            <a:t>11</a:t>
          </a:r>
        </a:p>
      </xdr:txBody>
    </xdr:sp>
    <xdr:clientData/>
  </xdr:twoCellAnchor>
  <xdr:twoCellAnchor>
    <xdr:from>
      <xdr:col>25</xdr:col>
      <xdr:colOff>123264</xdr:colOff>
      <xdr:row>69</xdr:row>
      <xdr:rowOff>134458</xdr:rowOff>
    </xdr:from>
    <xdr:to>
      <xdr:col>27</xdr:col>
      <xdr:colOff>100853</xdr:colOff>
      <xdr:row>70</xdr:row>
      <xdr:rowOff>179281</xdr:rowOff>
    </xdr:to>
    <xdr:sp macro="" textlink="" fLocksText="0">
      <xdr:nvSpPr>
        <xdr:cNvPr id="49" name="Rectangle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6915150" y="15563850"/>
          <a:ext cx="51435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Calibri"/>
              <a:ea typeface="Calibri"/>
            </a:rPr>
            <a:t>11.2</a:t>
          </a:r>
        </a:p>
      </xdr:txBody>
    </xdr:sp>
    <xdr:clientData/>
  </xdr:twoCellAnchor>
  <xdr:twoCellAnchor>
    <xdr:from>
      <xdr:col>29</xdr:col>
      <xdr:colOff>212912</xdr:colOff>
      <xdr:row>69</xdr:row>
      <xdr:rowOff>67222</xdr:rowOff>
    </xdr:from>
    <xdr:to>
      <xdr:col>31</xdr:col>
      <xdr:colOff>112058</xdr:colOff>
      <xdr:row>70</xdr:row>
      <xdr:rowOff>112045</xdr:rowOff>
    </xdr:to>
    <xdr:sp macro="" textlink="" fLocksText="0">
      <xdr:nvSpPr>
        <xdr:cNvPr id="50" name="Rectangle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>
        <a:xfrm>
          <a:off x="8067675" y="15497175"/>
          <a:ext cx="43815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Calibri"/>
              <a:ea typeface="Calibri"/>
            </a:rPr>
            <a:t>12</a:t>
          </a:r>
        </a:p>
      </xdr:txBody>
    </xdr:sp>
    <xdr:clientData/>
  </xdr:twoCellAnchor>
  <xdr:twoCellAnchor>
    <xdr:from>
      <xdr:col>37</xdr:col>
      <xdr:colOff>197224</xdr:colOff>
      <xdr:row>69</xdr:row>
      <xdr:rowOff>62739</xdr:rowOff>
    </xdr:from>
    <xdr:to>
      <xdr:col>39</xdr:col>
      <xdr:colOff>96370</xdr:colOff>
      <xdr:row>70</xdr:row>
      <xdr:rowOff>107562</xdr:rowOff>
    </xdr:to>
    <xdr:sp macro="" textlink="" fLocksText="0">
      <xdr:nvSpPr>
        <xdr:cNvPr id="51" name="Rectangle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/>
      </xdr:nvSpPr>
      <xdr:spPr>
        <a:xfrm>
          <a:off x="10191750" y="15497175"/>
          <a:ext cx="4286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Calibri"/>
              <a:ea typeface="Calibri"/>
            </a:rPr>
            <a:t>14</a:t>
          </a:r>
        </a:p>
      </xdr:txBody>
    </xdr:sp>
    <xdr:clientData/>
  </xdr:twoCellAnchor>
  <xdr:twoCellAnchor>
    <xdr:from>
      <xdr:col>33</xdr:col>
      <xdr:colOff>125506</xdr:colOff>
      <xdr:row>69</xdr:row>
      <xdr:rowOff>69464</xdr:rowOff>
    </xdr:from>
    <xdr:to>
      <xdr:col>35</xdr:col>
      <xdr:colOff>24652</xdr:colOff>
      <xdr:row>70</xdr:row>
      <xdr:rowOff>114287</xdr:rowOff>
    </xdr:to>
    <xdr:sp macro="" textlink="" fLocksText="0">
      <xdr:nvSpPr>
        <xdr:cNvPr id="52" name="Rectangle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/>
      </xdr:nvSpPr>
      <xdr:spPr>
        <a:xfrm>
          <a:off x="9048750" y="15497175"/>
          <a:ext cx="43815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Calibri"/>
              <a:ea typeface="Calibri"/>
            </a:rPr>
            <a:t>13</a:t>
          </a:r>
        </a:p>
      </xdr:txBody>
    </xdr:sp>
    <xdr:clientData/>
  </xdr:twoCellAnchor>
  <xdr:twoCellAnchor>
    <xdr:from>
      <xdr:col>3</xdr:col>
      <xdr:colOff>0</xdr:colOff>
      <xdr:row>142</xdr:row>
      <xdr:rowOff>123265</xdr:rowOff>
    </xdr:from>
    <xdr:to>
      <xdr:col>4</xdr:col>
      <xdr:colOff>212912</xdr:colOff>
      <xdr:row>143</xdr:row>
      <xdr:rowOff>168088</xdr:rowOff>
    </xdr:to>
    <xdr:sp macro="" textlink="" fLocksText="0">
      <xdr:nvSpPr>
        <xdr:cNvPr id="53" name="Rectangle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/>
      </xdr:nvSpPr>
      <xdr:spPr>
        <a:xfrm>
          <a:off x="800100" y="39490650"/>
          <a:ext cx="47625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Calibri"/>
              <a:ea typeface="Calibri"/>
            </a:rPr>
            <a:t>15.1</a:t>
          </a:r>
        </a:p>
      </xdr:txBody>
    </xdr:sp>
    <xdr:clientData/>
  </xdr:twoCellAnchor>
  <xdr:twoCellAnchor>
    <xdr:from>
      <xdr:col>3</xdr:col>
      <xdr:colOff>44823</xdr:colOff>
      <xdr:row>138</xdr:row>
      <xdr:rowOff>33616</xdr:rowOff>
    </xdr:from>
    <xdr:to>
      <xdr:col>4</xdr:col>
      <xdr:colOff>179293</xdr:colOff>
      <xdr:row>139</xdr:row>
      <xdr:rowOff>78439</xdr:rowOff>
    </xdr:to>
    <xdr:sp macro="" textlink="" fLocksText="0">
      <xdr:nvSpPr>
        <xdr:cNvPr id="54" name="Rectangle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/>
      </xdr:nvSpPr>
      <xdr:spPr>
        <a:xfrm>
          <a:off x="847725" y="38642925"/>
          <a:ext cx="4000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Calibri"/>
              <a:ea typeface="Calibri"/>
            </a:rPr>
            <a:t>15</a:t>
          </a:r>
        </a:p>
      </xdr:txBody>
    </xdr:sp>
    <xdr:clientData/>
  </xdr:twoCellAnchor>
  <xdr:twoCellAnchor>
    <xdr:from>
      <xdr:col>7</xdr:col>
      <xdr:colOff>11206</xdr:colOff>
      <xdr:row>142</xdr:row>
      <xdr:rowOff>112060</xdr:rowOff>
    </xdr:from>
    <xdr:to>
      <xdr:col>8</xdr:col>
      <xdr:colOff>224119</xdr:colOff>
      <xdr:row>143</xdr:row>
      <xdr:rowOff>156883</xdr:rowOff>
    </xdr:to>
    <xdr:sp macro="" textlink="" fLocksText="0">
      <xdr:nvSpPr>
        <xdr:cNvPr id="57" name="Rectangle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/>
      </xdr:nvSpPr>
      <xdr:spPr>
        <a:xfrm>
          <a:off x="1876425" y="39481125"/>
          <a:ext cx="48577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Calibri"/>
              <a:ea typeface="Calibri"/>
            </a:rPr>
            <a:t>16.1</a:t>
          </a:r>
        </a:p>
      </xdr:txBody>
    </xdr:sp>
    <xdr:clientData/>
  </xdr:twoCellAnchor>
  <xdr:twoCellAnchor>
    <xdr:from>
      <xdr:col>7</xdr:col>
      <xdr:colOff>33619</xdr:colOff>
      <xdr:row>138</xdr:row>
      <xdr:rowOff>33618</xdr:rowOff>
    </xdr:from>
    <xdr:to>
      <xdr:col>8</xdr:col>
      <xdr:colOff>168089</xdr:colOff>
      <xdr:row>139</xdr:row>
      <xdr:rowOff>78441</xdr:rowOff>
    </xdr:to>
    <xdr:sp macro="" textlink="" fLocksText="0">
      <xdr:nvSpPr>
        <xdr:cNvPr id="58" name="Rectangle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/>
      </xdr:nvSpPr>
      <xdr:spPr>
        <a:xfrm>
          <a:off x="1905000" y="38642925"/>
          <a:ext cx="4000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Calibri"/>
              <a:ea typeface="Calibri"/>
            </a:rPr>
            <a:t>16</a:t>
          </a:r>
        </a:p>
      </xdr:txBody>
    </xdr:sp>
    <xdr:clientData/>
  </xdr:twoCellAnchor>
  <xdr:twoCellAnchor>
    <xdr:from>
      <xdr:col>12</xdr:col>
      <xdr:colOff>179294</xdr:colOff>
      <xdr:row>142</xdr:row>
      <xdr:rowOff>89648</xdr:rowOff>
    </xdr:from>
    <xdr:to>
      <xdr:col>14</xdr:col>
      <xdr:colOff>156883</xdr:colOff>
      <xdr:row>143</xdr:row>
      <xdr:rowOff>134471</xdr:rowOff>
    </xdr:to>
    <xdr:sp macro="" textlink="" fLocksText="0">
      <xdr:nvSpPr>
        <xdr:cNvPr id="59" name="Rectangle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/>
      </xdr:nvSpPr>
      <xdr:spPr>
        <a:xfrm>
          <a:off x="3381375" y="39452550"/>
          <a:ext cx="504825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Calibri"/>
              <a:ea typeface="Calibri"/>
            </a:rPr>
            <a:t>17.1</a:t>
          </a:r>
        </a:p>
      </xdr:txBody>
    </xdr:sp>
    <xdr:clientData/>
  </xdr:twoCellAnchor>
  <xdr:twoCellAnchor>
    <xdr:from>
      <xdr:col>12</xdr:col>
      <xdr:colOff>212914</xdr:colOff>
      <xdr:row>138</xdr:row>
      <xdr:rowOff>22411</xdr:rowOff>
    </xdr:from>
    <xdr:to>
      <xdr:col>14</xdr:col>
      <xdr:colOff>112060</xdr:colOff>
      <xdr:row>139</xdr:row>
      <xdr:rowOff>67234</xdr:rowOff>
    </xdr:to>
    <xdr:sp macro="" textlink="" fLocksText="0">
      <xdr:nvSpPr>
        <xdr:cNvPr id="60" name="Rectangle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/>
      </xdr:nvSpPr>
      <xdr:spPr>
        <a:xfrm>
          <a:off x="3409950" y="38623875"/>
          <a:ext cx="43815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Calibri"/>
              <a:ea typeface="Calibri"/>
            </a:rPr>
            <a:t>17</a:t>
          </a:r>
        </a:p>
      </xdr:txBody>
    </xdr:sp>
    <xdr:clientData/>
  </xdr:twoCellAnchor>
  <xdr:twoCellAnchor>
    <xdr:from>
      <xdr:col>9</xdr:col>
      <xdr:colOff>168088</xdr:colOff>
      <xdr:row>138</xdr:row>
      <xdr:rowOff>89646</xdr:rowOff>
    </xdr:from>
    <xdr:to>
      <xdr:col>11</xdr:col>
      <xdr:colOff>67234</xdr:colOff>
      <xdr:row>139</xdr:row>
      <xdr:rowOff>134469</xdr:rowOff>
    </xdr:to>
    <xdr:sp macro="" textlink="" fLocksText="0">
      <xdr:nvSpPr>
        <xdr:cNvPr id="63" name="Rectangle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2571750" y="38690550"/>
          <a:ext cx="428625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Calibri"/>
              <a:ea typeface="Calibri"/>
            </a:rPr>
            <a:t>21</a:t>
          </a:r>
        </a:p>
      </xdr:txBody>
    </xdr:sp>
    <xdr:clientData/>
  </xdr:twoCellAnchor>
  <xdr:twoCellAnchor>
    <xdr:from>
      <xdr:col>53</xdr:col>
      <xdr:colOff>78442</xdr:colOff>
      <xdr:row>132</xdr:row>
      <xdr:rowOff>145677</xdr:rowOff>
    </xdr:from>
    <xdr:to>
      <xdr:col>54</xdr:col>
      <xdr:colOff>212912</xdr:colOff>
      <xdr:row>134</xdr:row>
      <xdr:rowOff>0</xdr:rowOff>
    </xdr:to>
    <xdr:sp macro="" textlink="" fLocksText="0">
      <xdr:nvSpPr>
        <xdr:cNvPr id="1024" name="Rectangle 1023">
          <a:extLst>
            <a:ext uri="{FF2B5EF4-FFF2-40B4-BE49-F238E27FC236}">
              <a16:creationId xmlns:a16="http://schemas.microsoft.com/office/drawing/2014/main" id="{00000000-0008-0000-0200-000000040000}"/>
            </a:ext>
          </a:extLst>
        </xdr:cNvPr>
        <xdr:cNvSpPr/>
      </xdr:nvSpPr>
      <xdr:spPr>
        <a:xfrm>
          <a:off x="14335125" y="37604700"/>
          <a:ext cx="40005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Calibri"/>
              <a:ea typeface="Calibri"/>
            </a:rPr>
            <a:t>22</a:t>
          </a:r>
        </a:p>
      </xdr:txBody>
    </xdr:sp>
    <xdr:clientData/>
  </xdr:twoCellAnchor>
  <xdr:twoCellAnchor>
    <xdr:from>
      <xdr:col>19</xdr:col>
      <xdr:colOff>100853</xdr:colOff>
      <xdr:row>142</xdr:row>
      <xdr:rowOff>100855</xdr:rowOff>
    </xdr:from>
    <xdr:to>
      <xdr:col>21</xdr:col>
      <xdr:colOff>78442</xdr:colOff>
      <xdr:row>143</xdr:row>
      <xdr:rowOff>145678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5295900" y="39471600"/>
          <a:ext cx="5048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Calibri"/>
              <a:ea typeface="Calibri"/>
            </a:rPr>
            <a:t>18.1</a:t>
          </a:r>
        </a:p>
      </xdr:txBody>
    </xdr:sp>
    <xdr:clientData/>
  </xdr:twoCellAnchor>
  <xdr:twoCellAnchor>
    <xdr:from>
      <xdr:col>19</xdr:col>
      <xdr:colOff>134473</xdr:colOff>
      <xdr:row>138</xdr:row>
      <xdr:rowOff>33618</xdr:rowOff>
    </xdr:from>
    <xdr:to>
      <xdr:col>21</xdr:col>
      <xdr:colOff>33619</xdr:colOff>
      <xdr:row>139</xdr:row>
      <xdr:rowOff>78441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324475" y="38642925"/>
          <a:ext cx="4381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Calibri"/>
              <a:ea typeface="Calibri"/>
            </a:rPr>
            <a:t>18</a:t>
          </a:r>
        </a:p>
      </xdr:txBody>
    </xdr:sp>
    <xdr:clientData/>
  </xdr:twoCellAnchor>
  <xdr:twoCellAnchor>
    <xdr:from>
      <xdr:col>28</xdr:col>
      <xdr:colOff>33618</xdr:colOff>
      <xdr:row>142</xdr:row>
      <xdr:rowOff>112061</xdr:rowOff>
    </xdr:from>
    <xdr:to>
      <xdr:col>30</xdr:col>
      <xdr:colOff>11207</xdr:colOff>
      <xdr:row>143</xdr:row>
      <xdr:rowOff>156884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7629525" y="39481125"/>
          <a:ext cx="5048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Calibri"/>
              <a:ea typeface="Calibri"/>
            </a:rPr>
            <a:t>19.1</a:t>
          </a:r>
        </a:p>
      </xdr:txBody>
    </xdr:sp>
    <xdr:clientData/>
  </xdr:twoCellAnchor>
  <xdr:twoCellAnchor>
    <xdr:from>
      <xdr:col>28</xdr:col>
      <xdr:colOff>67238</xdr:colOff>
      <xdr:row>138</xdr:row>
      <xdr:rowOff>44824</xdr:rowOff>
    </xdr:from>
    <xdr:to>
      <xdr:col>29</xdr:col>
      <xdr:colOff>201708</xdr:colOff>
      <xdr:row>139</xdr:row>
      <xdr:rowOff>89647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7658100" y="38652450"/>
          <a:ext cx="4000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Calibri"/>
              <a:ea typeface="Calibri"/>
            </a:rPr>
            <a:t>19</a:t>
          </a:r>
        </a:p>
      </xdr:txBody>
    </xdr:sp>
    <xdr:clientData/>
  </xdr:twoCellAnchor>
  <xdr:twoCellAnchor>
    <xdr:from>
      <xdr:col>36</xdr:col>
      <xdr:colOff>44824</xdr:colOff>
      <xdr:row>142</xdr:row>
      <xdr:rowOff>100855</xdr:rowOff>
    </xdr:from>
    <xdr:to>
      <xdr:col>38</xdr:col>
      <xdr:colOff>22413</xdr:colOff>
      <xdr:row>143</xdr:row>
      <xdr:rowOff>145678</xdr:rowOff>
    </xdr:to>
    <xdr:sp macro="" textlink="" fLocksText="0">
      <xdr:nvSpPr>
        <xdr:cNvPr id="9" name="Rectangl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9772650" y="39471600"/>
          <a:ext cx="5048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Calibri"/>
              <a:ea typeface="Calibri"/>
            </a:rPr>
            <a:t>20.1</a:t>
          </a:r>
        </a:p>
      </xdr:txBody>
    </xdr:sp>
    <xdr:clientData/>
  </xdr:twoCellAnchor>
  <xdr:twoCellAnchor>
    <xdr:from>
      <xdr:col>36</xdr:col>
      <xdr:colOff>78444</xdr:colOff>
      <xdr:row>138</xdr:row>
      <xdr:rowOff>33618</xdr:rowOff>
    </xdr:from>
    <xdr:to>
      <xdr:col>37</xdr:col>
      <xdr:colOff>212914</xdr:colOff>
      <xdr:row>139</xdr:row>
      <xdr:rowOff>78441</xdr:rowOff>
    </xdr:to>
    <xdr:sp macro="" textlink="" fLocksText="0">
      <xdr:nvSpPr>
        <xdr:cNvPr id="10" name="Rectangl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9801225" y="38642925"/>
          <a:ext cx="4000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kern="1200" baseline="0">
              <a:solidFill>
                <a:srgbClr val="000000"/>
              </a:solidFill>
              <a:latin typeface="Calibri"/>
              <a:ea typeface="Calibri"/>
            </a:rPr>
            <a:t>20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70" customWidth="1"/>
    <col min="61" max="16384" width="2.77734375" style="270"/>
  </cols>
  <sheetData>
    <row r="1" spans="1:63" ht="24.95" customHeight="1" x14ac:dyDescent="0.25">
      <c r="A1" s="264" t="s">
        <v>132</v>
      </c>
      <c r="B1" s="265"/>
      <c r="C1" s="265"/>
      <c r="D1" s="265"/>
      <c r="E1" s="265"/>
      <c r="F1" s="265"/>
      <c r="G1" s="265"/>
      <c r="H1" s="265"/>
      <c r="I1" s="265"/>
      <c r="J1" s="266"/>
      <c r="K1" s="264" t="s">
        <v>133</v>
      </c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6"/>
      <c r="W1" s="267" t="s">
        <v>134</v>
      </c>
      <c r="X1" s="268"/>
      <c r="Y1" s="268"/>
      <c r="Z1" s="268"/>
      <c r="AA1" s="268"/>
      <c r="AB1" s="268"/>
      <c r="AC1" s="268"/>
      <c r="AD1" s="268"/>
      <c r="AE1" s="268"/>
      <c r="AF1" s="268"/>
      <c r="AG1" s="268"/>
      <c r="AH1" s="268"/>
      <c r="AI1" s="268"/>
      <c r="AJ1" s="268"/>
      <c r="AK1" s="268"/>
      <c r="AL1" s="268"/>
      <c r="AM1" s="268"/>
      <c r="AN1" s="268"/>
      <c r="AO1" s="269"/>
      <c r="AP1" s="264" t="s">
        <v>135</v>
      </c>
      <c r="AQ1" s="265"/>
      <c r="AR1" s="265"/>
      <c r="AS1" s="266"/>
      <c r="AT1" s="264" t="s">
        <v>136</v>
      </c>
      <c r="AU1" s="265"/>
      <c r="AV1" s="265"/>
      <c r="AW1" s="265"/>
      <c r="AX1" s="266"/>
      <c r="AY1" s="264" t="s">
        <v>137</v>
      </c>
      <c r="AZ1" s="265"/>
      <c r="BA1" s="265"/>
      <c r="BB1" s="266"/>
      <c r="BC1" s="264" t="s">
        <v>138</v>
      </c>
      <c r="BD1" s="265"/>
      <c r="BE1" s="265"/>
      <c r="BF1" s="265"/>
      <c r="BG1" s="266"/>
      <c r="BH1" s="264" t="s">
        <v>139</v>
      </c>
      <c r="BI1" s="265"/>
      <c r="BJ1" s="265"/>
      <c r="BK1" s="266"/>
    </row>
    <row r="2" spans="1:63" ht="15" customHeight="1" x14ac:dyDescent="0.25">
      <c r="A2" s="4" t="s">
        <v>140</v>
      </c>
      <c r="B2" s="271"/>
      <c r="C2" s="271"/>
      <c r="D2" s="271"/>
      <c r="E2" s="271"/>
      <c r="F2" s="271"/>
      <c r="G2" s="271"/>
      <c r="H2" s="271"/>
      <c r="I2" s="271"/>
      <c r="J2" s="272"/>
      <c r="K2" s="273" t="s">
        <v>13</v>
      </c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2"/>
      <c r="W2" s="274"/>
      <c r="X2" s="275"/>
      <c r="Y2" s="275"/>
      <c r="Z2" s="275"/>
      <c r="AA2" s="275"/>
      <c r="AB2" s="275"/>
      <c r="AC2" s="275"/>
      <c r="AD2" s="275"/>
      <c r="AE2" s="275"/>
      <c r="AF2" s="275"/>
      <c r="AG2" s="275"/>
      <c r="AH2" s="275"/>
      <c r="AI2" s="275"/>
      <c r="AJ2" s="275"/>
      <c r="AK2" s="275"/>
      <c r="AL2" s="275"/>
      <c r="AM2" s="275"/>
      <c r="AN2" s="275"/>
      <c r="AO2" s="276"/>
      <c r="AP2" s="273" t="str">
        <f>改訂履歴!$H$11</f>
        <v>LoiLv</v>
      </c>
      <c r="AQ2" s="271"/>
      <c r="AR2" s="271"/>
      <c r="AS2" s="272"/>
      <c r="AT2" s="277">
        <f>改訂履歴!$B$11</f>
        <v>45460</v>
      </c>
      <c r="AU2" s="278"/>
      <c r="AV2" s="278"/>
      <c r="AW2" s="278"/>
      <c r="AX2" s="279"/>
      <c r="AY2" s="273" t="str">
        <f>LOOKUP(2,1/(改訂履歴!H11:H30000&lt;&gt;""),改訂履歴!H11:H30000)</f>
        <v>TuyenNH</v>
      </c>
      <c r="AZ2" s="271"/>
      <c r="BA2" s="271"/>
      <c r="BB2" s="272"/>
      <c r="BC2" s="277">
        <f>LOOKUP(2,1/(改訂履歴!B11:B30000&lt;&gt;""),改訂履歴!B11:B30000)</f>
        <v>45601</v>
      </c>
      <c r="BD2" s="278"/>
      <c r="BE2" s="278"/>
      <c r="BF2" s="278"/>
      <c r="BG2" s="279"/>
      <c r="BH2" s="280">
        <f>LOOKUP(2,1/(改訂履歴!O11:O30000&lt;&gt;""),改訂履歴!O11:O30000)</f>
        <v>0.16</v>
      </c>
      <c r="BI2" s="281"/>
      <c r="BJ2" s="281"/>
      <c r="BK2" s="282"/>
    </row>
    <row r="3" spans="1:63" ht="15" customHeight="1" x14ac:dyDescent="0.25">
      <c r="A3" s="283"/>
      <c r="B3" s="284"/>
      <c r="C3" s="284"/>
      <c r="D3" s="284"/>
      <c r="E3" s="284"/>
      <c r="F3" s="284"/>
      <c r="G3" s="284"/>
      <c r="H3" s="284"/>
      <c r="I3" s="284"/>
      <c r="J3" s="285"/>
      <c r="K3" s="283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5"/>
      <c r="W3" s="286"/>
      <c r="X3" s="287"/>
      <c r="Y3" s="287"/>
      <c r="Z3" s="287"/>
      <c r="AA3" s="287"/>
      <c r="AB3" s="287"/>
      <c r="AC3" s="287"/>
      <c r="AD3" s="287"/>
      <c r="AE3" s="287"/>
      <c r="AF3" s="287"/>
      <c r="AG3" s="287"/>
      <c r="AH3" s="287"/>
      <c r="AI3" s="287"/>
      <c r="AJ3" s="287"/>
      <c r="AK3" s="287"/>
      <c r="AL3" s="287"/>
      <c r="AM3" s="287"/>
      <c r="AN3" s="287"/>
      <c r="AO3" s="288"/>
      <c r="AP3" s="283"/>
      <c r="AQ3" s="284"/>
      <c r="AR3" s="284"/>
      <c r="AS3" s="285"/>
      <c r="AT3" s="289"/>
      <c r="AU3" s="290"/>
      <c r="AV3" s="290"/>
      <c r="AW3" s="290"/>
      <c r="AX3" s="291"/>
      <c r="AY3" s="283"/>
      <c r="AZ3" s="284"/>
      <c r="BA3" s="284"/>
      <c r="BB3" s="285"/>
      <c r="BC3" s="289"/>
      <c r="BD3" s="290"/>
      <c r="BE3" s="290"/>
      <c r="BF3" s="290"/>
      <c r="BG3" s="291"/>
      <c r="BH3" s="292"/>
      <c r="BI3" s="293"/>
      <c r="BJ3" s="293"/>
      <c r="BK3" s="294"/>
    </row>
    <row r="4" spans="1:63" ht="24.95" customHeight="1" x14ac:dyDescent="0.25">
      <c r="A4" s="264" t="s">
        <v>141</v>
      </c>
      <c r="B4" s="265"/>
      <c r="C4" s="265"/>
      <c r="D4" s="265"/>
      <c r="E4" s="265"/>
      <c r="F4" s="265"/>
      <c r="G4" s="266"/>
      <c r="H4" s="295" t="s">
        <v>31</v>
      </c>
      <c r="I4" s="296"/>
      <c r="J4" s="296"/>
      <c r="K4" s="296"/>
      <c r="L4" s="296"/>
      <c r="M4" s="296"/>
      <c r="N4" s="296"/>
      <c r="O4" s="296"/>
      <c r="P4" s="296"/>
      <c r="Q4" s="296"/>
      <c r="R4" s="296"/>
      <c r="S4" s="296"/>
      <c r="T4" s="297"/>
      <c r="U4" s="264" t="s">
        <v>142</v>
      </c>
      <c r="V4" s="265"/>
      <c r="W4" s="265"/>
      <c r="X4" s="265"/>
      <c r="Y4" s="266"/>
      <c r="Z4" s="60" t="s">
        <v>143</v>
      </c>
      <c r="AA4" s="296"/>
      <c r="AB4" s="296"/>
      <c r="AC4" s="296"/>
      <c r="AD4" s="296"/>
      <c r="AE4" s="296"/>
      <c r="AF4" s="296"/>
      <c r="AG4" s="296"/>
      <c r="AH4" s="296"/>
      <c r="AI4" s="296"/>
      <c r="AJ4" s="296"/>
      <c r="AK4" s="296"/>
      <c r="AL4" s="296"/>
      <c r="AM4" s="296"/>
      <c r="AN4" s="296"/>
      <c r="AO4" s="297"/>
      <c r="AP4" s="295" t="str">
        <f t="array" aca="1" ref="AP4" ca="1">RIGHT(CELL("filename",$A$1),LEN(CELL("filename",$A$1))-FIND("]",CELL("filename",$A$1)))</f>
        <v>表紙</v>
      </c>
      <c r="AQ4" s="296"/>
      <c r="AR4" s="296"/>
      <c r="AS4" s="296"/>
      <c r="AT4" s="296"/>
      <c r="AU4" s="296"/>
      <c r="AV4" s="296"/>
      <c r="AW4" s="296"/>
      <c r="AX4" s="296"/>
      <c r="AY4" s="296"/>
      <c r="AZ4" s="296"/>
      <c r="BA4" s="296"/>
      <c r="BB4" s="296"/>
      <c r="BC4" s="296"/>
      <c r="BD4" s="296"/>
      <c r="BE4" s="296"/>
      <c r="BF4" s="296"/>
      <c r="BG4" s="296"/>
      <c r="BH4" s="296"/>
      <c r="BI4" s="296"/>
      <c r="BJ4" s="296"/>
      <c r="BK4" s="297"/>
    </row>
    <row r="5" spans="1:63" ht="5.0999999999999996" customHeight="1" x14ac:dyDescent="0.25">
      <c r="A5" s="298"/>
      <c r="B5" s="299"/>
      <c r="C5" s="299"/>
      <c r="D5" s="299"/>
      <c r="E5" s="299"/>
      <c r="F5" s="299"/>
      <c r="G5" s="299"/>
      <c r="H5" s="299"/>
      <c r="I5" s="299"/>
      <c r="J5" s="299"/>
      <c r="K5" s="299"/>
      <c r="L5" s="299"/>
      <c r="M5" s="299"/>
      <c r="N5" s="299"/>
      <c r="O5" s="299"/>
      <c r="P5" s="299"/>
      <c r="Q5" s="299"/>
      <c r="R5" s="299"/>
      <c r="S5" s="299"/>
      <c r="T5" s="299"/>
      <c r="U5" s="299"/>
      <c r="V5" s="299"/>
      <c r="W5" s="299"/>
      <c r="X5" s="299"/>
      <c r="Y5" s="299"/>
      <c r="Z5" s="299"/>
      <c r="AA5" s="299"/>
      <c r="AB5" s="299"/>
      <c r="AC5" s="299"/>
      <c r="AD5" s="299"/>
      <c r="AE5" s="299"/>
      <c r="AF5" s="299"/>
      <c r="AG5" s="299"/>
      <c r="AH5" s="299"/>
      <c r="AI5" s="299"/>
      <c r="AJ5" s="299"/>
      <c r="AK5" s="299"/>
      <c r="AL5" s="299"/>
      <c r="AM5" s="299"/>
      <c r="AN5" s="299"/>
      <c r="AO5" s="299"/>
      <c r="AP5" s="299"/>
      <c r="AQ5" s="299"/>
      <c r="AR5" s="299"/>
      <c r="AS5" s="299"/>
      <c r="AT5" s="299"/>
      <c r="AU5" s="299"/>
      <c r="AV5" s="299"/>
      <c r="AW5" s="299"/>
      <c r="AX5" s="299"/>
      <c r="AY5" s="299"/>
      <c r="AZ5" s="299"/>
      <c r="BA5" s="299"/>
      <c r="BB5" s="299"/>
      <c r="BC5" s="299"/>
      <c r="BD5" s="299"/>
      <c r="BE5" s="299"/>
      <c r="BF5" s="299"/>
      <c r="BG5" s="299"/>
      <c r="BH5" s="299"/>
      <c r="BI5" s="299"/>
      <c r="BJ5" s="299"/>
      <c r="BK5" s="300"/>
    </row>
    <row r="6" spans="1:63" ht="15" customHeight="1" x14ac:dyDescent="0.25">
      <c r="A6" s="301"/>
      <c r="BK6" s="302"/>
    </row>
    <row r="7" spans="1:63" ht="15" customHeight="1" x14ac:dyDescent="0.25">
      <c r="A7" s="301"/>
      <c r="BK7" s="302"/>
    </row>
    <row r="8" spans="1:63" ht="15" customHeight="1" x14ac:dyDescent="0.25">
      <c r="A8" s="301"/>
      <c r="BK8" s="302"/>
    </row>
    <row r="9" spans="1:63" ht="15" customHeight="1" x14ac:dyDescent="0.25">
      <c r="A9" s="301"/>
      <c r="BK9" s="302"/>
    </row>
    <row r="10" spans="1:63" ht="15" customHeight="1" x14ac:dyDescent="0.25">
      <c r="A10" s="301"/>
      <c r="BK10" s="302"/>
    </row>
    <row r="11" spans="1:63" ht="15" customHeight="1" x14ac:dyDescent="0.25">
      <c r="A11" s="301"/>
      <c r="BK11" s="302"/>
    </row>
    <row r="12" spans="1:63" ht="15" customHeight="1" x14ac:dyDescent="0.25">
      <c r="A12" s="301"/>
      <c r="BK12" s="302"/>
    </row>
    <row r="13" spans="1:63" ht="15" customHeight="1" x14ac:dyDescent="0.25">
      <c r="A13" s="301"/>
      <c r="BK13" s="302"/>
    </row>
    <row r="14" spans="1:63" ht="15" customHeight="1" thickBot="1" x14ac:dyDescent="0.3">
      <c r="A14" s="301"/>
      <c r="BK14" s="302"/>
    </row>
    <row r="15" spans="1:63" ht="15" customHeight="1" thickTop="1" x14ac:dyDescent="0.25">
      <c r="A15" s="301"/>
      <c r="K15" s="303"/>
      <c r="L15" s="304"/>
      <c r="M15" s="304"/>
      <c r="N15" s="304"/>
      <c r="O15" s="304"/>
      <c r="P15" s="304"/>
      <c r="Q15" s="304"/>
      <c r="R15" s="304"/>
      <c r="S15" s="304"/>
      <c r="T15" s="304"/>
      <c r="U15" s="304"/>
      <c r="V15" s="304"/>
      <c r="W15" s="304"/>
      <c r="X15" s="304"/>
      <c r="Y15" s="304"/>
      <c r="Z15" s="304"/>
      <c r="AA15" s="304"/>
      <c r="AB15" s="304"/>
      <c r="AC15" s="304"/>
      <c r="AD15" s="304"/>
      <c r="AE15" s="304"/>
      <c r="AF15" s="304"/>
      <c r="AG15" s="304"/>
      <c r="AH15" s="304"/>
      <c r="AI15" s="304"/>
      <c r="AJ15" s="304"/>
      <c r="AK15" s="304"/>
      <c r="AL15" s="304"/>
      <c r="AM15" s="304"/>
      <c r="AN15" s="304"/>
      <c r="AO15" s="304"/>
      <c r="AP15" s="304"/>
      <c r="AQ15" s="304"/>
      <c r="AR15" s="304"/>
      <c r="AS15" s="304"/>
      <c r="AT15" s="304"/>
      <c r="AU15" s="304"/>
      <c r="AV15" s="304"/>
      <c r="AW15" s="304"/>
      <c r="AX15" s="304"/>
      <c r="AY15" s="304"/>
      <c r="AZ15" s="304"/>
      <c r="BA15" s="305"/>
      <c r="BK15" s="302"/>
    </row>
    <row r="16" spans="1:63" ht="15" customHeight="1" x14ac:dyDescent="0.25">
      <c r="A16" s="301"/>
      <c r="K16" s="306"/>
      <c r="L16" s="307" t="s">
        <v>144</v>
      </c>
      <c r="M16" s="308"/>
      <c r="N16" s="308"/>
      <c r="O16" s="308"/>
      <c r="P16" s="308"/>
      <c r="Q16" s="308"/>
      <c r="R16" s="308"/>
      <c r="S16" s="308"/>
      <c r="T16" s="308"/>
      <c r="U16" s="308"/>
      <c r="V16" s="308"/>
      <c r="W16" s="308"/>
      <c r="X16" s="308"/>
      <c r="Y16" s="308"/>
      <c r="Z16" s="308"/>
      <c r="AA16" s="308"/>
      <c r="AB16" s="308"/>
      <c r="AC16" s="308"/>
      <c r="AD16" s="308"/>
      <c r="AE16" s="308"/>
      <c r="AF16" s="308"/>
      <c r="AG16" s="308"/>
      <c r="AH16" s="308"/>
      <c r="AI16" s="308"/>
      <c r="AJ16" s="308"/>
      <c r="AK16" s="308"/>
      <c r="AL16" s="308"/>
      <c r="AM16" s="308"/>
      <c r="AN16" s="308"/>
      <c r="AO16" s="308"/>
      <c r="AP16" s="308"/>
      <c r="AQ16" s="308"/>
      <c r="AR16" s="308"/>
      <c r="AS16" s="308"/>
      <c r="AT16" s="308"/>
      <c r="AU16" s="308"/>
      <c r="AV16" s="308"/>
      <c r="AW16" s="308"/>
      <c r="AX16" s="308"/>
      <c r="AY16" s="308"/>
      <c r="AZ16" s="308"/>
      <c r="BA16" s="309"/>
      <c r="BK16" s="302"/>
    </row>
    <row r="17" spans="1:63" ht="15" customHeight="1" x14ac:dyDescent="0.25">
      <c r="A17" s="301"/>
      <c r="K17" s="306"/>
      <c r="L17" s="308"/>
      <c r="M17" s="308"/>
      <c r="N17" s="308"/>
      <c r="O17" s="308"/>
      <c r="P17" s="308"/>
      <c r="Q17" s="308"/>
      <c r="R17" s="308"/>
      <c r="S17" s="308"/>
      <c r="T17" s="308"/>
      <c r="U17" s="308"/>
      <c r="V17" s="308"/>
      <c r="W17" s="308"/>
      <c r="X17" s="308"/>
      <c r="Y17" s="308"/>
      <c r="Z17" s="308"/>
      <c r="AA17" s="308"/>
      <c r="AB17" s="308"/>
      <c r="AC17" s="308"/>
      <c r="AD17" s="308"/>
      <c r="AE17" s="308"/>
      <c r="AF17" s="308"/>
      <c r="AG17" s="308"/>
      <c r="AH17" s="308"/>
      <c r="AI17" s="308"/>
      <c r="AJ17" s="308"/>
      <c r="AK17" s="308"/>
      <c r="AL17" s="308"/>
      <c r="AM17" s="308"/>
      <c r="AN17" s="308"/>
      <c r="AO17" s="308"/>
      <c r="AP17" s="308"/>
      <c r="AQ17" s="308"/>
      <c r="AR17" s="308"/>
      <c r="AS17" s="308"/>
      <c r="AT17" s="308"/>
      <c r="AU17" s="308"/>
      <c r="AV17" s="308"/>
      <c r="AW17" s="308"/>
      <c r="AX17" s="308"/>
      <c r="AY17" s="308"/>
      <c r="AZ17" s="308"/>
      <c r="BA17" s="309"/>
      <c r="BK17" s="302"/>
    </row>
    <row r="18" spans="1:63" ht="15" customHeight="1" x14ac:dyDescent="0.25">
      <c r="A18" s="301"/>
      <c r="K18" s="306"/>
      <c r="L18" s="308"/>
      <c r="M18" s="308"/>
      <c r="N18" s="308"/>
      <c r="O18" s="308"/>
      <c r="P18" s="308"/>
      <c r="Q18" s="308"/>
      <c r="R18" s="308"/>
      <c r="S18" s="308"/>
      <c r="T18" s="308"/>
      <c r="U18" s="308"/>
      <c r="V18" s="308"/>
      <c r="W18" s="308"/>
      <c r="X18" s="308"/>
      <c r="Y18" s="308"/>
      <c r="Z18" s="308"/>
      <c r="AA18" s="308"/>
      <c r="AB18" s="308"/>
      <c r="AC18" s="308"/>
      <c r="AD18" s="308"/>
      <c r="AE18" s="308"/>
      <c r="AF18" s="308"/>
      <c r="AG18" s="308"/>
      <c r="AH18" s="308"/>
      <c r="AI18" s="308"/>
      <c r="AJ18" s="308"/>
      <c r="AK18" s="308"/>
      <c r="AL18" s="308"/>
      <c r="AM18" s="308"/>
      <c r="AN18" s="308"/>
      <c r="AO18" s="308"/>
      <c r="AP18" s="308"/>
      <c r="AQ18" s="308"/>
      <c r="AR18" s="308"/>
      <c r="AS18" s="308"/>
      <c r="AT18" s="308"/>
      <c r="AU18" s="308"/>
      <c r="AV18" s="308"/>
      <c r="AW18" s="308"/>
      <c r="AX18" s="308"/>
      <c r="AY18" s="308"/>
      <c r="AZ18" s="308"/>
      <c r="BA18" s="309"/>
      <c r="BK18" s="302"/>
    </row>
    <row r="19" spans="1:63" ht="15" customHeight="1" x14ac:dyDescent="0.25">
      <c r="A19" s="301"/>
      <c r="K19" s="306"/>
      <c r="L19" s="308"/>
      <c r="M19" s="308"/>
      <c r="N19" s="308"/>
      <c r="O19" s="308"/>
      <c r="P19" s="308"/>
      <c r="Q19" s="308"/>
      <c r="R19" s="308"/>
      <c r="S19" s="308"/>
      <c r="T19" s="308"/>
      <c r="U19" s="308"/>
      <c r="V19" s="308"/>
      <c r="W19" s="308"/>
      <c r="X19" s="308"/>
      <c r="Y19" s="308"/>
      <c r="Z19" s="308"/>
      <c r="AA19" s="308"/>
      <c r="AB19" s="308"/>
      <c r="AC19" s="308"/>
      <c r="AD19" s="308"/>
      <c r="AE19" s="308"/>
      <c r="AF19" s="308"/>
      <c r="AG19" s="308"/>
      <c r="AH19" s="308"/>
      <c r="AI19" s="308"/>
      <c r="AJ19" s="308"/>
      <c r="AK19" s="308"/>
      <c r="AL19" s="308"/>
      <c r="AM19" s="308"/>
      <c r="AN19" s="308"/>
      <c r="AO19" s="308"/>
      <c r="AP19" s="308"/>
      <c r="AQ19" s="308"/>
      <c r="AR19" s="308"/>
      <c r="AS19" s="308"/>
      <c r="AT19" s="308"/>
      <c r="AU19" s="308"/>
      <c r="AV19" s="308"/>
      <c r="AW19" s="308"/>
      <c r="AX19" s="308"/>
      <c r="AY19" s="308"/>
      <c r="AZ19" s="308"/>
      <c r="BA19" s="309"/>
      <c r="BK19" s="302"/>
    </row>
    <row r="20" spans="1:63" ht="15" customHeight="1" x14ac:dyDescent="0.25">
      <c r="A20" s="301"/>
      <c r="K20" s="306"/>
      <c r="L20" s="308"/>
      <c r="M20" s="308"/>
      <c r="N20" s="308"/>
      <c r="O20" s="308"/>
      <c r="P20" s="308"/>
      <c r="Q20" s="308"/>
      <c r="R20" s="308"/>
      <c r="S20" s="308"/>
      <c r="T20" s="308"/>
      <c r="U20" s="308"/>
      <c r="V20" s="308"/>
      <c r="W20" s="308"/>
      <c r="X20" s="308"/>
      <c r="Y20" s="308"/>
      <c r="Z20" s="308"/>
      <c r="AA20" s="308"/>
      <c r="AB20" s="308"/>
      <c r="AC20" s="308"/>
      <c r="AD20" s="308"/>
      <c r="AE20" s="308"/>
      <c r="AF20" s="308"/>
      <c r="AG20" s="308"/>
      <c r="AH20" s="308"/>
      <c r="AI20" s="308"/>
      <c r="AJ20" s="308"/>
      <c r="AK20" s="308"/>
      <c r="AL20" s="308"/>
      <c r="AM20" s="308"/>
      <c r="AN20" s="308"/>
      <c r="AO20" s="308"/>
      <c r="AP20" s="308"/>
      <c r="AQ20" s="308"/>
      <c r="AR20" s="308"/>
      <c r="AS20" s="308"/>
      <c r="AT20" s="308"/>
      <c r="AU20" s="308"/>
      <c r="AV20" s="308"/>
      <c r="AW20" s="308"/>
      <c r="AX20" s="308"/>
      <c r="AY20" s="308"/>
      <c r="AZ20" s="308"/>
      <c r="BA20" s="309"/>
      <c r="BK20" s="302"/>
    </row>
    <row r="21" spans="1:63" ht="15" customHeight="1" x14ac:dyDescent="0.25">
      <c r="A21" s="301"/>
      <c r="K21" s="306"/>
      <c r="L21" s="308"/>
      <c r="M21" s="308"/>
      <c r="N21" s="308"/>
      <c r="O21" s="308"/>
      <c r="P21" s="308"/>
      <c r="Q21" s="308"/>
      <c r="R21" s="308"/>
      <c r="S21" s="308"/>
      <c r="T21" s="308"/>
      <c r="U21" s="308"/>
      <c r="V21" s="308"/>
      <c r="W21" s="308"/>
      <c r="X21" s="308"/>
      <c r="Y21" s="308"/>
      <c r="Z21" s="308"/>
      <c r="AA21" s="308"/>
      <c r="AB21" s="308"/>
      <c r="AC21" s="308"/>
      <c r="AD21" s="308"/>
      <c r="AE21" s="308"/>
      <c r="AF21" s="308"/>
      <c r="AG21" s="308"/>
      <c r="AH21" s="308"/>
      <c r="AI21" s="308"/>
      <c r="AJ21" s="308"/>
      <c r="AK21" s="308"/>
      <c r="AL21" s="308"/>
      <c r="AM21" s="308"/>
      <c r="AN21" s="308"/>
      <c r="AO21" s="308"/>
      <c r="AP21" s="308"/>
      <c r="AQ21" s="308"/>
      <c r="AR21" s="308"/>
      <c r="AS21" s="308"/>
      <c r="AT21" s="308"/>
      <c r="AU21" s="308"/>
      <c r="AV21" s="308"/>
      <c r="AW21" s="308"/>
      <c r="AX21" s="308"/>
      <c r="AY21" s="308"/>
      <c r="AZ21" s="308"/>
      <c r="BA21" s="309"/>
      <c r="BK21" s="302"/>
    </row>
    <row r="22" spans="1:63" ht="15" customHeight="1" thickBot="1" x14ac:dyDescent="0.3">
      <c r="A22" s="301"/>
      <c r="K22" s="306"/>
      <c r="L22" s="310"/>
      <c r="M22" s="310"/>
      <c r="N22" s="310"/>
      <c r="O22" s="310"/>
      <c r="P22" s="310"/>
      <c r="Q22" s="310"/>
      <c r="R22" s="310"/>
      <c r="S22" s="310"/>
      <c r="T22" s="310"/>
      <c r="U22" s="310"/>
      <c r="V22" s="310"/>
      <c r="W22" s="310"/>
      <c r="X22" s="310"/>
      <c r="Y22" s="310"/>
      <c r="Z22" s="310"/>
      <c r="AA22" s="310"/>
      <c r="AB22" s="310"/>
      <c r="AC22" s="310"/>
      <c r="AD22" s="310"/>
      <c r="AE22" s="310"/>
      <c r="AF22" s="310"/>
      <c r="AG22" s="310"/>
      <c r="AH22" s="310"/>
      <c r="AI22" s="310"/>
      <c r="AJ22" s="310"/>
      <c r="AK22" s="310"/>
      <c r="AL22" s="310"/>
      <c r="AM22" s="310"/>
      <c r="AN22" s="310"/>
      <c r="AO22" s="310"/>
      <c r="AP22" s="310"/>
      <c r="AQ22" s="310"/>
      <c r="AR22" s="310"/>
      <c r="AS22" s="310"/>
      <c r="AT22" s="310"/>
      <c r="AU22" s="310"/>
      <c r="AV22" s="310"/>
      <c r="AW22" s="310"/>
      <c r="AX22" s="310"/>
      <c r="AY22" s="310"/>
      <c r="AZ22" s="310"/>
      <c r="BA22" s="309"/>
      <c r="BK22" s="302"/>
    </row>
    <row r="23" spans="1:63" ht="15" customHeight="1" x14ac:dyDescent="0.25">
      <c r="A23" s="301"/>
      <c r="K23" s="306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1"/>
      <c r="W23" s="311"/>
      <c r="X23" s="311"/>
      <c r="Y23" s="311"/>
      <c r="Z23" s="311"/>
      <c r="AA23" s="311"/>
      <c r="AB23" s="311"/>
      <c r="AC23" s="311"/>
      <c r="AD23" s="311"/>
      <c r="AE23" s="311"/>
      <c r="AF23" s="311"/>
      <c r="AG23" s="311"/>
      <c r="AH23" s="311"/>
      <c r="AI23" s="311"/>
      <c r="AJ23" s="311"/>
      <c r="AK23" s="311"/>
      <c r="AL23" s="311"/>
      <c r="AM23" s="311"/>
      <c r="AN23" s="311"/>
      <c r="AO23" s="311"/>
      <c r="AP23" s="311"/>
      <c r="AQ23" s="311"/>
      <c r="AR23" s="311"/>
      <c r="AS23" s="311"/>
      <c r="AT23" s="311"/>
      <c r="AU23" s="311"/>
      <c r="AV23" s="311"/>
      <c r="AW23" s="311"/>
      <c r="AX23" s="311"/>
      <c r="AY23" s="311"/>
      <c r="AZ23" s="311"/>
      <c r="BA23" s="309"/>
      <c r="BK23" s="302"/>
    </row>
    <row r="24" spans="1:63" ht="15" customHeight="1" x14ac:dyDescent="0.25">
      <c r="A24" s="301"/>
      <c r="K24" s="306"/>
      <c r="L24" s="308" t="str">
        <f>K2&amp;"/"&amp;H4&amp;"/"&amp;Z4</f>
        <v>POSサーバ/21_ジャーナル検索/画面設計書</v>
      </c>
      <c r="M24" s="308"/>
      <c r="N24" s="308"/>
      <c r="O24" s="308"/>
      <c r="P24" s="308"/>
      <c r="Q24" s="308"/>
      <c r="R24" s="308"/>
      <c r="S24" s="308"/>
      <c r="T24" s="308"/>
      <c r="U24" s="308"/>
      <c r="V24" s="308"/>
      <c r="W24" s="308"/>
      <c r="X24" s="308"/>
      <c r="Y24" s="308"/>
      <c r="Z24" s="308"/>
      <c r="AA24" s="308"/>
      <c r="AB24" s="308"/>
      <c r="AC24" s="308"/>
      <c r="AD24" s="308"/>
      <c r="AE24" s="308"/>
      <c r="AF24" s="308"/>
      <c r="AG24" s="308"/>
      <c r="AH24" s="308"/>
      <c r="AI24" s="308"/>
      <c r="AJ24" s="308"/>
      <c r="AK24" s="308"/>
      <c r="AL24" s="308"/>
      <c r="AM24" s="308"/>
      <c r="AN24" s="308"/>
      <c r="AO24" s="308"/>
      <c r="AP24" s="308"/>
      <c r="AQ24" s="308"/>
      <c r="AR24" s="308"/>
      <c r="AS24" s="308"/>
      <c r="AT24" s="308"/>
      <c r="AU24" s="308"/>
      <c r="AV24" s="308"/>
      <c r="AW24" s="308"/>
      <c r="AX24" s="308"/>
      <c r="AY24" s="308"/>
      <c r="AZ24" s="308"/>
      <c r="BA24" s="309"/>
      <c r="BK24" s="302"/>
    </row>
    <row r="25" spans="1:63" ht="15" customHeight="1" x14ac:dyDescent="0.25">
      <c r="A25" s="301"/>
      <c r="K25" s="306"/>
      <c r="L25" s="308"/>
      <c r="M25" s="308"/>
      <c r="N25" s="308"/>
      <c r="O25" s="308"/>
      <c r="P25" s="308"/>
      <c r="Q25" s="308"/>
      <c r="R25" s="308"/>
      <c r="S25" s="308"/>
      <c r="T25" s="308"/>
      <c r="U25" s="308"/>
      <c r="V25" s="308"/>
      <c r="W25" s="308"/>
      <c r="X25" s="308"/>
      <c r="Y25" s="308"/>
      <c r="Z25" s="308"/>
      <c r="AA25" s="308"/>
      <c r="AB25" s="308"/>
      <c r="AC25" s="308"/>
      <c r="AD25" s="308"/>
      <c r="AE25" s="308"/>
      <c r="AF25" s="308"/>
      <c r="AG25" s="308"/>
      <c r="AH25" s="308"/>
      <c r="AI25" s="308"/>
      <c r="AJ25" s="308"/>
      <c r="AK25" s="308"/>
      <c r="AL25" s="308"/>
      <c r="AM25" s="308"/>
      <c r="AN25" s="308"/>
      <c r="AO25" s="308"/>
      <c r="AP25" s="308"/>
      <c r="AQ25" s="308"/>
      <c r="AR25" s="308"/>
      <c r="AS25" s="308"/>
      <c r="AT25" s="308"/>
      <c r="AU25" s="308"/>
      <c r="AV25" s="308"/>
      <c r="AW25" s="308"/>
      <c r="AX25" s="308"/>
      <c r="AY25" s="308"/>
      <c r="AZ25" s="308"/>
      <c r="BA25" s="309"/>
      <c r="BK25" s="302"/>
    </row>
    <row r="26" spans="1:63" ht="15" customHeight="1" x14ac:dyDescent="0.25">
      <c r="A26" s="301"/>
      <c r="K26" s="306"/>
      <c r="L26" s="308"/>
      <c r="M26" s="308"/>
      <c r="N26" s="308"/>
      <c r="O26" s="308"/>
      <c r="P26" s="308"/>
      <c r="Q26" s="308"/>
      <c r="R26" s="308"/>
      <c r="S26" s="308"/>
      <c r="T26" s="308"/>
      <c r="U26" s="308"/>
      <c r="V26" s="308"/>
      <c r="W26" s="308"/>
      <c r="X26" s="308"/>
      <c r="Y26" s="308"/>
      <c r="Z26" s="308"/>
      <c r="AA26" s="308"/>
      <c r="AB26" s="308"/>
      <c r="AC26" s="308"/>
      <c r="AD26" s="308"/>
      <c r="AE26" s="308"/>
      <c r="AF26" s="308"/>
      <c r="AG26" s="308"/>
      <c r="AH26" s="308"/>
      <c r="AI26" s="308"/>
      <c r="AJ26" s="308"/>
      <c r="AK26" s="308"/>
      <c r="AL26" s="308"/>
      <c r="AM26" s="308"/>
      <c r="AN26" s="308"/>
      <c r="AO26" s="308"/>
      <c r="AP26" s="308"/>
      <c r="AQ26" s="308"/>
      <c r="AR26" s="308"/>
      <c r="AS26" s="308"/>
      <c r="AT26" s="308"/>
      <c r="AU26" s="308"/>
      <c r="AV26" s="308"/>
      <c r="AW26" s="308"/>
      <c r="AX26" s="308"/>
      <c r="AY26" s="308"/>
      <c r="AZ26" s="308"/>
      <c r="BA26" s="309"/>
      <c r="BK26" s="302"/>
    </row>
    <row r="27" spans="1:63" ht="15" customHeight="1" x14ac:dyDescent="0.25">
      <c r="A27" s="301"/>
      <c r="K27" s="306"/>
      <c r="L27" s="308"/>
      <c r="M27" s="308"/>
      <c r="N27" s="308"/>
      <c r="O27" s="308"/>
      <c r="P27" s="308"/>
      <c r="Q27" s="308"/>
      <c r="R27" s="308"/>
      <c r="S27" s="308"/>
      <c r="T27" s="308"/>
      <c r="U27" s="308"/>
      <c r="V27" s="308"/>
      <c r="W27" s="308"/>
      <c r="X27" s="308"/>
      <c r="Y27" s="308"/>
      <c r="Z27" s="308"/>
      <c r="AA27" s="308"/>
      <c r="AB27" s="308"/>
      <c r="AC27" s="308"/>
      <c r="AD27" s="308"/>
      <c r="AE27" s="308"/>
      <c r="AF27" s="308"/>
      <c r="AG27" s="308"/>
      <c r="AH27" s="308"/>
      <c r="AI27" s="308"/>
      <c r="AJ27" s="308"/>
      <c r="AK27" s="308"/>
      <c r="AL27" s="308"/>
      <c r="AM27" s="308"/>
      <c r="AN27" s="308"/>
      <c r="AO27" s="308"/>
      <c r="AP27" s="308"/>
      <c r="AQ27" s="308"/>
      <c r="AR27" s="308"/>
      <c r="AS27" s="308"/>
      <c r="AT27" s="308"/>
      <c r="AU27" s="308"/>
      <c r="AV27" s="308"/>
      <c r="AW27" s="308"/>
      <c r="AX27" s="308"/>
      <c r="AY27" s="308"/>
      <c r="AZ27" s="308"/>
      <c r="BA27" s="309"/>
      <c r="BK27" s="302"/>
    </row>
    <row r="28" spans="1:63" ht="15" customHeight="1" x14ac:dyDescent="0.25">
      <c r="A28" s="301"/>
      <c r="K28" s="306"/>
      <c r="L28" s="308"/>
      <c r="M28" s="308"/>
      <c r="N28" s="308"/>
      <c r="O28" s="308"/>
      <c r="P28" s="308"/>
      <c r="Q28" s="308"/>
      <c r="R28" s="308"/>
      <c r="S28" s="308"/>
      <c r="T28" s="308"/>
      <c r="U28" s="308"/>
      <c r="V28" s="308"/>
      <c r="W28" s="308"/>
      <c r="X28" s="308"/>
      <c r="Y28" s="308"/>
      <c r="Z28" s="308"/>
      <c r="AA28" s="308"/>
      <c r="AB28" s="308"/>
      <c r="AC28" s="308"/>
      <c r="AD28" s="308"/>
      <c r="AE28" s="308"/>
      <c r="AF28" s="308"/>
      <c r="AG28" s="308"/>
      <c r="AH28" s="308"/>
      <c r="AI28" s="308"/>
      <c r="AJ28" s="308"/>
      <c r="AK28" s="308"/>
      <c r="AL28" s="308"/>
      <c r="AM28" s="308"/>
      <c r="AN28" s="308"/>
      <c r="AO28" s="308"/>
      <c r="AP28" s="308"/>
      <c r="AQ28" s="308"/>
      <c r="AR28" s="308"/>
      <c r="AS28" s="308"/>
      <c r="AT28" s="308"/>
      <c r="AU28" s="308"/>
      <c r="AV28" s="308"/>
      <c r="AW28" s="308"/>
      <c r="AX28" s="308"/>
      <c r="AY28" s="308"/>
      <c r="AZ28" s="308"/>
      <c r="BA28" s="309"/>
      <c r="BK28" s="302"/>
    </row>
    <row r="29" spans="1:63" ht="15" customHeight="1" x14ac:dyDescent="0.25">
      <c r="A29" s="301"/>
      <c r="K29" s="306"/>
      <c r="L29" s="308"/>
      <c r="M29" s="308"/>
      <c r="N29" s="308"/>
      <c r="O29" s="308"/>
      <c r="P29" s="308"/>
      <c r="Q29" s="308"/>
      <c r="R29" s="308"/>
      <c r="S29" s="308"/>
      <c r="T29" s="308"/>
      <c r="U29" s="308"/>
      <c r="V29" s="308"/>
      <c r="W29" s="308"/>
      <c r="X29" s="308"/>
      <c r="Y29" s="308"/>
      <c r="Z29" s="308"/>
      <c r="AA29" s="308"/>
      <c r="AB29" s="308"/>
      <c r="AC29" s="308"/>
      <c r="AD29" s="308"/>
      <c r="AE29" s="308"/>
      <c r="AF29" s="308"/>
      <c r="AG29" s="308"/>
      <c r="AH29" s="308"/>
      <c r="AI29" s="308"/>
      <c r="AJ29" s="308"/>
      <c r="AK29" s="308"/>
      <c r="AL29" s="308"/>
      <c r="AM29" s="308"/>
      <c r="AN29" s="308"/>
      <c r="AO29" s="308"/>
      <c r="AP29" s="308"/>
      <c r="AQ29" s="308"/>
      <c r="AR29" s="308"/>
      <c r="AS29" s="308"/>
      <c r="AT29" s="308"/>
      <c r="AU29" s="308"/>
      <c r="AV29" s="308"/>
      <c r="AW29" s="308"/>
      <c r="AX29" s="308"/>
      <c r="AY29" s="308"/>
      <c r="AZ29" s="308"/>
      <c r="BA29" s="309"/>
      <c r="BK29" s="302"/>
    </row>
    <row r="30" spans="1:63" ht="15" customHeight="1" x14ac:dyDescent="0.25">
      <c r="A30" s="301"/>
      <c r="K30" s="306"/>
      <c r="L30" s="308"/>
      <c r="M30" s="308"/>
      <c r="N30" s="308"/>
      <c r="O30" s="308"/>
      <c r="P30" s="308"/>
      <c r="Q30" s="308"/>
      <c r="R30" s="308"/>
      <c r="S30" s="308"/>
      <c r="T30" s="308"/>
      <c r="U30" s="308"/>
      <c r="V30" s="308"/>
      <c r="W30" s="308"/>
      <c r="X30" s="308"/>
      <c r="Y30" s="308"/>
      <c r="Z30" s="308"/>
      <c r="AA30" s="308"/>
      <c r="AB30" s="308"/>
      <c r="AC30" s="308"/>
      <c r="AD30" s="308"/>
      <c r="AE30" s="308"/>
      <c r="AF30" s="308"/>
      <c r="AG30" s="308"/>
      <c r="AH30" s="308"/>
      <c r="AI30" s="308"/>
      <c r="AJ30" s="308"/>
      <c r="AK30" s="308"/>
      <c r="AL30" s="308"/>
      <c r="AM30" s="308"/>
      <c r="AN30" s="308"/>
      <c r="AO30" s="308"/>
      <c r="AP30" s="308"/>
      <c r="AQ30" s="308"/>
      <c r="AR30" s="308"/>
      <c r="AS30" s="308"/>
      <c r="AT30" s="308"/>
      <c r="AU30" s="308"/>
      <c r="AV30" s="308"/>
      <c r="AW30" s="308"/>
      <c r="AX30" s="308"/>
      <c r="AY30" s="308"/>
      <c r="AZ30" s="308"/>
      <c r="BA30" s="309"/>
      <c r="BK30" s="302"/>
    </row>
    <row r="31" spans="1:63" ht="15" customHeight="1" x14ac:dyDescent="0.25">
      <c r="A31" s="301"/>
      <c r="K31" s="306"/>
      <c r="L31" s="308"/>
      <c r="M31" s="308"/>
      <c r="N31" s="308"/>
      <c r="O31" s="308"/>
      <c r="P31" s="308"/>
      <c r="Q31" s="308"/>
      <c r="R31" s="308"/>
      <c r="S31" s="308"/>
      <c r="T31" s="308"/>
      <c r="U31" s="308"/>
      <c r="V31" s="308"/>
      <c r="W31" s="308"/>
      <c r="X31" s="308"/>
      <c r="Y31" s="308"/>
      <c r="Z31" s="308"/>
      <c r="AA31" s="308"/>
      <c r="AB31" s="308"/>
      <c r="AC31" s="308"/>
      <c r="AD31" s="308"/>
      <c r="AE31" s="308"/>
      <c r="AF31" s="308"/>
      <c r="AG31" s="308"/>
      <c r="AH31" s="308"/>
      <c r="AI31" s="308"/>
      <c r="AJ31" s="308"/>
      <c r="AK31" s="308"/>
      <c r="AL31" s="308"/>
      <c r="AM31" s="308"/>
      <c r="AN31" s="308"/>
      <c r="AO31" s="308"/>
      <c r="AP31" s="308"/>
      <c r="AQ31" s="308"/>
      <c r="AR31" s="308"/>
      <c r="AS31" s="308"/>
      <c r="AT31" s="308"/>
      <c r="AU31" s="308"/>
      <c r="AV31" s="308"/>
      <c r="AW31" s="308"/>
      <c r="AX31" s="308"/>
      <c r="AY31" s="308"/>
      <c r="AZ31" s="308"/>
      <c r="BA31" s="309"/>
      <c r="BK31" s="302"/>
    </row>
    <row r="32" spans="1:63" ht="15" customHeight="1" x14ac:dyDescent="0.25">
      <c r="A32" s="301"/>
      <c r="K32" s="306"/>
      <c r="L32" s="308"/>
      <c r="M32" s="308"/>
      <c r="N32" s="308"/>
      <c r="O32" s="308"/>
      <c r="P32" s="308"/>
      <c r="Q32" s="308"/>
      <c r="R32" s="308"/>
      <c r="S32" s="308"/>
      <c r="T32" s="308"/>
      <c r="U32" s="308"/>
      <c r="V32" s="308"/>
      <c r="W32" s="308"/>
      <c r="X32" s="308"/>
      <c r="Y32" s="308"/>
      <c r="Z32" s="308"/>
      <c r="AA32" s="308"/>
      <c r="AB32" s="308"/>
      <c r="AC32" s="308"/>
      <c r="AD32" s="308"/>
      <c r="AE32" s="308"/>
      <c r="AF32" s="308"/>
      <c r="AG32" s="308"/>
      <c r="AH32" s="308"/>
      <c r="AI32" s="308"/>
      <c r="AJ32" s="308"/>
      <c r="AK32" s="308"/>
      <c r="AL32" s="308"/>
      <c r="AM32" s="308"/>
      <c r="AN32" s="308"/>
      <c r="AO32" s="308"/>
      <c r="AP32" s="308"/>
      <c r="AQ32" s="308"/>
      <c r="AR32" s="308"/>
      <c r="AS32" s="308"/>
      <c r="AT32" s="308"/>
      <c r="AU32" s="308"/>
      <c r="AV32" s="308"/>
      <c r="AW32" s="308"/>
      <c r="AX32" s="308"/>
      <c r="AY32" s="308"/>
      <c r="AZ32" s="308"/>
      <c r="BA32" s="309"/>
      <c r="BK32" s="302"/>
    </row>
    <row r="33" spans="1:63" ht="15" customHeight="1" x14ac:dyDescent="0.25">
      <c r="A33" s="301"/>
      <c r="K33" s="306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Y33" s="308"/>
      <c r="Z33" s="308"/>
      <c r="AA33" s="308"/>
      <c r="AB33" s="308"/>
      <c r="AC33" s="308"/>
      <c r="AD33" s="308"/>
      <c r="AE33" s="308"/>
      <c r="AF33" s="308"/>
      <c r="AG33" s="308"/>
      <c r="AH33" s="308"/>
      <c r="AI33" s="308"/>
      <c r="AJ33" s="308"/>
      <c r="AK33" s="308"/>
      <c r="AL33" s="308"/>
      <c r="AM33" s="308"/>
      <c r="AN33" s="308"/>
      <c r="AO33" s="308"/>
      <c r="AP33" s="308"/>
      <c r="AQ33" s="308"/>
      <c r="AR33" s="308"/>
      <c r="AS33" s="308"/>
      <c r="AT33" s="308"/>
      <c r="AU33" s="308"/>
      <c r="AV33" s="308"/>
      <c r="AW33" s="308"/>
      <c r="AX33" s="308"/>
      <c r="AY33" s="308"/>
      <c r="AZ33" s="308"/>
      <c r="BA33" s="309"/>
      <c r="BK33" s="302"/>
    </row>
    <row r="34" spans="1:63" ht="15" customHeight="1" x14ac:dyDescent="0.25">
      <c r="A34" s="301"/>
      <c r="K34" s="306"/>
      <c r="L34" s="308"/>
      <c r="M34" s="308"/>
      <c r="N34" s="308"/>
      <c r="O34" s="308"/>
      <c r="P34" s="308"/>
      <c r="Q34" s="308"/>
      <c r="R34" s="308"/>
      <c r="S34" s="308"/>
      <c r="T34" s="308"/>
      <c r="U34" s="308"/>
      <c r="V34" s="308"/>
      <c r="W34" s="308"/>
      <c r="X34" s="308"/>
      <c r="Y34" s="308"/>
      <c r="Z34" s="308"/>
      <c r="AA34" s="308"/>
      <c r="AB34" s="308"/>
      <c r="AC34" s="308"/>
      <c r="AD34" s="308"/>
      <c r="AE34" s="308"/>
      <c r="AF34" s="308"/>
      <c r="AG34" s="308"/>
      <c r="AH34" s="308"/>
      <c r="AI34" s="308"/>
      <c r="AJ34" s="308"/>
      <c r="AK34" s="308"/>
      <c r="AL34" s="308"/>
      <c r="AM34" s="308"/>
      <c r="AN34" s="308"/>
      <c r="AO34" s="308"/>
      <c r="AP34" s="308"/>
      <c r="AQ34" s="308"/>
      <c r="AR34" s="308"/>
      <c r="AS34" s="308"/>
      <c r="AT34" s="308"/>
      <c r="AU34" s="308"/>
      <c r="AV34" s="308"/>
      <c r="AW34" s="308"/>
      <c r="AX34" s="308"/>
      <c r="AY34" s="308"/>
      <c r="AZ34" s="308"/>
      <c r="BA34" s="309"/>
      <c r="BK34" s="302"/>
    </row>
    <row r="35" spans="1:63" ht="15" customHeight="1" x14ac:dyDescent="0.25">
      <c r="A35" s="301"/>
      <c r="K35" s="306"/>
      <c r="L35" s="308"/>
      <c r="M35" s="308"/>
      <c r="N35" s="308"/>
      <c r="O35" s="308"/>
      <c r="P35" s="308"/>
      <c r="Q35" s="308"/>
      <c r="R35" s="308"/>
      <c r="S35" s="308"/>
      <c r="T35" s="308"/>
      <c r="U35" s="308"/>
      <c r="V35" s="308"/>
      <c r="W35" s="308"/>
      <c r="X35" s="308"/>
      <c r="Y35" s="308"/>
      <c r="Z35" s="308"/>
      <c r="AA35" s="308"/>
      <c r="AB35" s="308"/>
      <c r="AC35" s="308"/>
      <c r="AD35" s="308"/>
      <c r="AE35" s="308"/>
      <c r="AF35" s="308"/>
      <c r="AG35" s="308"/>
      <c r="AH35" s="308"/>
      <c r="AI35" s="308"/>
      <c r="AJ35" s="308"/>
      <c r="AK35" s="308"/>
      <c r="AL35" s="308"/>
      <c r="AM35" s="308"/>
      <c r="AN35" s="308"/>
      <c r="AO35" s="308"/>
      <c r="AP35" s="308"/>
      <c r="AQ35" s="308"/>
      <c r="AR35" s="308"/>
      <c r="AS35" s="308"/>
      <c r="AT35" s="308"/>
      <c r="AU35" s="308"/>
      <c r="AV35" s="308"/>
      <c r="AW35" s="308"/>
      <c r="AX35" s="308"/>
      <c r="AY35" s="308"/>
      <c r="AZ35" s="308"/>
      <c r="BA35" s="309"/>
      <c r="BK35" s="302"/>
    </row>
    <row r="36" spans="1:63" ht="15" customHeight="1" x14ac:dyDescent="0.25">
      <c r="A36" s="301"/>
      <c r="K36" s="306"/>
      <c r="L36" s="308"/>
      <c r="M36" s="308"/>
      <c r="N36" s="308"/>
      <c r="O36" s="308"/>
      <c r="P36" s="308"/>
      <c r="Q36" s="308"/>
      <c r="R36" s="308"/>
      <c r="S36" s="308"/>
      <c r="T36" s="308"/>
      <c r="U36" s="308"/>
      <c r="V36" s="308"/>
      <c r="W36" s="308"/>
      <c r="X36" s="308"/>
      <c r="Y36" s="308"/>
      <c r="Z36" s="308"/>
      <c r="AA36" s="308"/>
      <c r="AB36" s="308"/>
      <c r="AC36" s="308"/>
      <c r="AD36" s="308"/>
      <c r="AE36" s="308"/>
      <c r="AF36" s="308"/>
      <c r="AG36" s="308"/>
      <c r="AH36" s="308"/>
      <c r="AI36" s="308"/>
      <c r="AJ36" s="308"/>
      <c r="AK36" s="308"/>
      <c r="AL36" s="308"/>
      <c r="AM36" s="308"/>
      <c r="AN36" s="308"/>
      <c r="AO36" s="308"/>
      <c r="AP36" s="308"/>
      <c r="AQ36" s="308"/>
      <c r="AR36" s="308"/>
      <c r="AS36" s="308"/>
      <c r="AT36" s="308"/>
      <c r="AU36" s="308"/>
      <c r="AV36" s="308"/>
      <c r="AW36" s="308"/>
      <c r="AX36" s="308"/>
      <c r="AY36" s="308"/>
      <c r="AZ36" s="308"/>
      <c r="BA36" s="309"/>
      <c r="BK36" s="302"/>
    </row>
    <row r="37" spans="1:63" ht="15" customHeight="1" thickBot="1" x14ac:dyDescent="0.3">
      <c r="A37" s="301"/>
      <c r="K37" s="312"/>
      <c r="L37" s="313"/>
      <c r="M37" s="313"/>
      <c r="N37" s="313"/>
      <c r="O37" s="313"/>
      <c r="P37" s="313"/>
      <c r="Q37" s="313"/>
      <c r="R37" s="313"/>
      <c r="S37" s="313"/>
      <c r="T37" s="313"/>
      <c r="U37" s="313"/>
      <c r="V37" s="313"/>
      <c r="W37" s="313"/>
      <c r="X37" s="313"/>
      <c r="Y37" s="313"/>
      <c r="Z37" s="313"/>
      <c r="AA37" s="313"/>
      <c r="AB37" s="313"/>
      <c r="AC37" s="313"/>
      <c r="AD37" s="313"/>
      <c r="AE37" s="313"/>
      <c r="AF37" s="313"/>
      <c r="AG37" s="313"/>
      <c r="AH37" s="313"/>
      <c r="AI37" s="313"/>
      <c r="AJ37" s="313"/>
      <c r="AK37" s="313"/>
      <c r="AL37" s="313"/>
      <c r="AM37" s="313"/>
      <c r="AN37" s="313"/>
      <c r="AO37" s="313"/>
      <c r="AP37" s="313"/>
      <c r="AQ37" s="313"/>
      <c r="AR37" s="313"/>
      <c r="AS37" s="313"/>
      <c r="AT37" s="313"/>
      <c r="AU37" s="313"/>
      <c r="AV37" s="313"/>
      <c r="AW37" s="313"/>
      <c r="AX37" s="313"/>
      <c r="AY37" s="313"/>
      <c r="AZ37" s="313"/>
      <c r="BA37" s="314"/>
      <c r="BK37" s="302"/>
    </row>
    <row r="38" spans="1:63" ht="15" customHeight="1" thickTop="1" x14ac:dyDescent="0.25">
      <c r="A38" s="301"/>
      <c r="BK38" s="302"/>
    </row>
    <row r="39" spans="1:63" ht="15" customHeight="1" x14ac:dyDescent="0.25">
      <c r="A39" s="301"/>
      <c r="BK39" s="302"/>
    </row>
    <row r="40" spans="1:63" ht="15" customHeight="1" x14ac:dyDescent="0.25">
      <c r="A40" s="301"/>
      <c r="BK40" s="302"/>
    </row>
    <row r="41" spans="1:63" ht="15" customHeight="1" x14ac:dyDescent="0.25">
      <c r="A41" s="301"/>
      <c r="BK41" s="302"/>
    </row>
    <row r="42" spans="1:63" ht="15" customHeight="1" x14ac:dyDescent="0.25">
      <c r="A42" s="301"/>
      <c r="BK42" s="302"/>
    </row>
    <row r="43" spans="1:63" ht="15" customHeight="1" x14ac:dyDescent="0.25">
      <c r="A43" s="301"/>
      <c r="BK43" s="302"/>
    </row>
    <row r="44" spans="1:63" ht="15" customHeight="1" x14ac:dyDescent="0.25">
      <c r="A44" s="301"/>
      <c r="Q44" s="315" t="s">
        <v>145</v>
      </c>
      <c r="R44" s="316"/>
      <c r="S44" s="316"/>
      <c r="T44" s="316"/>
      <c r="U44" s="316"/>
      <c r="V44" s="316"/>
      <c r="W44" s="316"/>
      <c r="X44" s="316"/>
      <c r="Y44" s="316"/>
      <c r="Z44" s="317"/>
      <c r="AA44" s="315" t="s">
        <v>146</v>
      </c>
      <c r="AB44" s="316"/>
      <c r="AC44" s="316"/>
      <c r="AD44" s="316"/>
      <c r="AE44" s="316"/>
      <c r="AF44" s="316"/>
      <c r="AG44" s="316"/>
      <c r="AH44" s="316"/>
      <c r="AI44" s="316"/>
      <c r="AJ44" s="316"/>
      <c r="AK44" s="316"/>
      <c r="AL44" s="316"/>
      <c r="AM44" s="316"/>
      <c r="AN44" s="316"/>
      <c r="AO44" s="316"/>
      <c r="AP44" s="317"/>
      <c r="AQ44" s="315" t="s">
        <v>139</v>
      </c>
      <c r="AR44" s="316"/>
      <c r="AS44" s="316"/>
      <c r="AT44" s="316"/>
      <c r="AU44" s="317"/>
      <c r="BK44" s="302"/>
    </row>
    <row r="45" spans="1:63" ht="15" customHeight="1" x14ac:dyDescent="0.25">
      <c r="A45" s="301"/>
      <c r="Q45" s="318"/>
      <c r="R45" s="319"/>
      <c r="S45" s="319"/>
      <c r="T45" s="319"/>
      <c r="U45" s="319"/>
      <c r="V45" s="319"/>
      <c r="W45" s="319"/>
      <c r="X45" s="319"/>
      <c r="Y45" s="319"/>
      <c r="Z45" s="320"/>
      <c r="AA45" s="318"/>
      <c r="AB45" s="319"/>
      <c r="AC45" s="319"/>
      <c r="AD45" s="319"/>
      <c r="AE45" s="319"/>
      <c r="AF45" s="319"/>
      <c r="AG45" s="319"/>
      <c r="AH45" s="319"/>
      <c r="AI45" s="319"/>
      <c r="AJ45" s="319"/>
      <c r="AK45" s="319"/>
      <c r="AL45" s="319"/>
      <c r="AM45" s="319"/>
      <c r="AN45" s="319"/>
      <c r="AO45" s="319"/>
      <c r="AP45" s="320"/>
      <c r="AQ45" s="318"/>
      <c r="AR45" s="319"/>
      <c r="AS45" s="319"/>
      <c r="AT45" s="319"/>
      <c r="AU45" s="320"/>
      <c r="BK45" s="302"/>
    </row>
    <row r="46" spans="1:63" ht="15" customHeight="1" x14ac:dyDescent="0.25">
      <c r="A46" s="301"/>
      <c r="Q46" s="273"/>
      <c r="R46" s="271"/>
      <c r="S46" s="271"/>
      <c r="T46" s="271"/>
      <c r="U46" s="271"/>
      <c r="V46" s="271"/>
      <c r="W46" s="271"/>
      <c r="X46" s="271"/>
      <c r="Y46" s="271"/>
      <c r="Z46" s="272"/>
      <c r="AA46" s="273"/>
      <c r="AB46" s="271"/>
      <c r="AC46" s="271"/>
      <c r="AD46" s="271"/>
      <c r="AE46" s="271"/>
      <c r="AF46" s="271"/>
      <c r="AG46" s="271"/>
      <c r="AH46" s="271"/>
      <c r="AI46" s="271"/>
      <c r="AJ46" s="271"/>
      <c r="AK46" s="271"/>
      <c r="AL46" s="271"/>
      <c r="AM46" s="271"/>
      <c r="AN46" s="271"/>
      <c r="AO46" s="271"/>
      <c r="AP46" s="272"/>
      <c r="AQ46" s="273"/>
      <c r="AR46" s="271"/>
      <c r="AS46" s="271"/>
      <c r="AT46" s="271"/>
      <c r="AU46" s="272"/>
      <c r="BK46" s="302"/>
    </row>
    <row r="47" spans="1:63" ht="15" customHeight="1" x14ac:dyDescent="0.25">
      <c r="A47" s="301"/>
      <c r="Q47" s="321"/>
      <c r="R47" s="322"/>
      <c r="S47" s="322"/>
      <c r="T47" s="322"/>
      <c r="U47" s="322"/>
      <c r="V47" s="322"/>
      <c r="W47" s="322"/>
      <c r="X47" s="322"/>
      <c r="Y47" s="322"/>
      <c r="Z47" s="323"/>
      <c r="AA47" s="321"/>
      <c r="AB47" s="322"/>
      <c r="AC47" s="322"/>
      <c r="AD47" s="322"/>
      <c r="AE47" s="322"/>
      <c r="AF47" s="322"/>
      <c r="AG47" s="322"/>
      <c r="AH47" s="322"/>
      <c r="AI47" s="322"/>
      <c r="AJ47" s="322"/>
      <c r="AK47" s="322"/>
      <c r="AL47" s="322"/>
      <c r="AM47" s="322"/>
      <c r="AN47" s="322"/>
      <c r="AO47" s="322"/>
      <c r="AP47" s="323"/>
      <c r="AQ47" s="321"/>
      <c r="AR47" s="322"/>
      <c r="AS47" s="322"/>
      <c r="AT47" s="322"/>
      <c r="AU47" s="323"/>
      <c r="BK47" s="302"/>
    </row>
    <row r="48" spans="1:63" ht="15" customHeight="1" x14ac:dyDescent="0.25">
      <c r="A48" s="301"/>
      <c r="Q48" s="321"/>
      <c r="R48" s="322"/>
      <c r="S48" s="322"/>
      <c r="T48" s="322"/>
      <c r="U48" s="322"/>
      <c r="V48" s="322"/>
      <c r="W48" s="322"/>
      <c r="X48" s="322"/>
      <c r="Y48" s="322"/>
      <c r="Z48" s="323"/>
      <c r="AA48" s="321"/>
      <c r="AB48" s="322"/>
      <c r="AC48" s="322"/>
      <c r="AD48" s="322"/>
      <c r="AE48" s="322"/>
      <c r="AF48" s="322"/>
      <c r="AG48" s="322"/>
      <c r="AH48" s="322"/>
      <c r="AI48" s="322"/>
      <c r="AJ48" s="322"/>
      <c r="AK48" s="322"/>
      <c r="AL48" s="322"/>
      <c r="AM48" s="322"/>
      <c r="AN48" s="322"/>
      <c r="AO48" s="322"/>
      <c r="AP48" s="323"/>
      <c r="AQ48" s="321"/>
      <c r="AR48" s="322"/>
      <c r="AS48" s="322"/>
      <c r="AT48" s="322"/>
      <c r="AU48" s="323"/>
      <c r="BK48" s="302"/>
    </row>
    <row r="49" spans="1:63" ht="15" customHeight="1" x14ac:dyDescent="0.25">
      <c r="A49" s="301"/>
      <c r="Q49" s="283"/>
      <c r="R49" s="284"/>
      <c r="S49" s="284"/>
      <c r="T49" s="284"/>
      <c r="U49" s="284"/>
      <c r="V49" s="284"/>
      <c r="W49" s="284"/>
      <c r="X49" s="284"/>
      <c r="Y49" s="284"/>
      <c r="Z49" s="285"/>
      <c r="AA49" s="283"/>
      <c r="AB49" s="284"/>
      <c r="AC49" s="284"/>
      <c r="AD49" s="284"/>
      <c r="AE49" s="284"/>
      <c r="AF49" s="284"/>
      <c r="AG49" s="284"/>
      <c r="AH49" s="284"/>
      <c r="AI49" s="284"/>
      <c r="AJ49" s="284"/>
      <c r="AK49" s="284"/>
      <c r="AL49" s="284"/>
      <c r="AM49" s="284"/>
      <c r="AN49" s="284"/>
      <c r="AO49" s="284"/>
      <c r="AP49" s="285"/>
      <c r="AQ49" s="283"/>
      <c r="AR49" s="284"/>
      <c r="AS49" s="284"/>
      <c r="AT49" s="284"/>
      <c r="AU49" s="285"/>
      <c r="BK49" s="302"/>
    </row>
    <row r="50" spans="1:63" ht="15" customHeight="1" x14ac:dyDescent="0.25">
      <c r="A50" s="301"/>
      <c r="BK50" s="302"/>
    </row>
    <row r="51" spans="1:63" ht="15" customHeight="1" x14ac:dyDescent="0.25">
      <c r="A51" s="301"/>
      <c r="BK51" s="302"/>
    </row>
    <row r="52" spans="1:63" ht="15" customHeight="1" x14ac:dyDescent="0.25">
      <c r="A52" s="301"/>
      <c r="BK52" s="302"/>
    </row>
    <row r="53" spans="1:63" ht="15" customHeight="1" x14ac:dyDescent="0.25">
      <c r="A53" s="301"/>
      <c r="BK53" s="302"/>
    </row>
    <row r="54" spans="1:63" ht="15" customHeight="1" x14ac:dyDescent="0.25">
      <c r="A54" s="301"/>
      <c r="BK54" s="302"/>
    </row>
    <row r="55" spans="1:63" ht="15" customHeight="1" x14ac:dyDescent="0.25">
      <c r="A55" s="298"/>
      <c r="B55" s="299"/>
      <c r="C55" s="299"/>
      <c r="D55" s="299"/>
      <c r="E55" s="299"/>
      <c r="F55" s="299"/>
      <c r="G55" s="299"/>
      <c r="H55" s="299"/>
      <c r="I55" s="299"/>
      <c r="J55" s="299"/>
      <c r="K55" s="299"/>
      <c r="L55" s="299"/>
      <c r="M55" s="299"/>
      <c r="N55" s="299"/>
      <c r="O55" s="299"/>
      <c r="P55" s="299"/>
      <c r="Q55" s="299"/>
      <c r="R55" s="299"/>
      <c r="S55" s="299"/>
      <c r="T55" s="299"/>
      <c r="U55" s="299"/>
      <c r="V55" s="299"/>
      <c r="W55" s="299"/>
      <c r="X55" s="299"/>
      <c r="Y55" s="299"/>
      <c r="Z55" s="299"/>
      <c r="AA55" s="299"/>
      <c r="AB55" s="299"/>
      <c r="AC55" s="299"/>
      <c r="AD55" s="299"/>
      <c r="AE55" s="299"/>
      <c r="AF55" s="299"/>
      <c r="AG55" s="299"/>
      <c r="AH55" s="299"/>
      <c r="AI55" s="299"/>
      <c r="AJ55" s="299"/>
      <c r="AK55" s="299"/>
      <c r="AL55" s="299"/>
      <c r="AM55" s="299"/>
      <c r="AN55" s="299"/>
      <c r="AO55" s="299"/>
      <c r="AP55" s="299"/>
      <c r="AQ55" s="299"/>
      <c r="AR55" s="299"/>
      <c r="AS55" s="299"/>
      <c r="AT55" s="299"/>
      <c r="AU55" s="299"/>
      <c r="AV55" s="299"/>
      <c r="AW55" s="299"/>
      <c r="AX55" s="299"/>
      <c r="AY55" s="299"/>
      <c r="AZ55" s="299"/>
      <c r="BA55" s="299"/>
      <c r="BB55" s="299"/>
      <c r="BC55" s="299"/>
      <c r="BD55" s="299"/>
      <c r="BE55" s="299"/>
      <c r="BF55" s="299"/>
      <c r="BG55" s="299"/>
      <c r="BH55" s="299"/>
      <c r="BI55" s="299"/>
      <c r="BJ55" s="299"/>
      <c r="BK55" s="300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13" t="s">
        <v>0</v>
      </c>
      <c r="B1" s="12"/>
      <c r="C1" s="12"/>
      <c r="D1" s="12"/>
      <c r="E1" s="12"/>
      <c r="F1" s="12"/>
      <c r="G1" s="12"/>
      <c r="H1" s="12"/>
      <c r="I1" s="12"/>
      <c r="J1" s="11"/>
      <c r="K1" s="13" t="s">
        <v>2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1"/>
      <c r="W1" s="67" t="str">
        <f>IF(表紙!W1="","",表紙!W1)</f>
        <v>詳細設計書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3" t="s">
        <v>3</v>
      </c>
      <c r="AQ1" s="12"/>
      <c r="AR1" s="12"/>
      <c r="AS1" s="11"/>
      <c r="AT1" s="13" t="s">
        <v>4</v>
      </c>
      <c r="AU1" s="12"/>
      <c r="AV1" s="12"/>
      <c r="AW1" s="12"/>
      <c r="AX1" s="11"/>
      <c r="AY1" s="13" t="s">
        <v>5</v>
      </c>
      <c r="AZ1" s="12"/>
      <c r="BA1" s="12"/>
      <c r="BB1" s="11"/>
      <c r="BC1" s="13" t="s">
        <v>6</v>
      </c>
      <c r="BD1" s="12"/>
      <c r="BE1" s="12"/>
      <c r="BF1" s="12"/>
      <c r="BG1" s="11"/>
      <c r="BH1" s="13" t="s">
        <v>7</v>
      </c>
      <c r="BI1" s="12"/>
      <c r="BJ1" s="12"/>
      <c r="BK1" s="11"/>
    </row>
    <row r="2" spans="1:63" ht="15" customHeight="1" x14ac:dyDescent="0.25">
      <c r="A2" s="10" t="str">
        <f>IF(表紙!A2="","",表紙!A2)</f>
        <v>POSサーバー</v>
      </c>
      <c r="B2" s="9"/>
      <c r="C2" s="9"/>
      <c r="D2" s="9"/>
      <c r="E2" s="9"/>
      <c r="F2" s="9"/>
      <c r="G2" s="9"/>
      <c r="H2" s="9"/>
      <c r="I2" s="9"/>
      <c r="J2" s="8"/>
      <c r="K2" s="10" t="str">
        <f>IF(表紙!K2="","",表紙!K2)</f>
        <v>POSサーバ</v>
      </c>
      <c r="L2" s="9"/>
      <c r="M2" s="9"/>
      <c r="N2" s="9"/>
      <c r="O2" s="9"/>
      <c r="P2" s="9"/>
      <c r="Q2" s="9"/>
      <c r="R2" s="9"/>
      <c r="S2" s="9"/>
      <c r="T2" s="9"/>
      <c r="U2" s="9"/>
      <c r="V2" s="8"/>
      <c r="W2" s="1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3"/>
      <c r="AP2" s="10" t="str">
        <f>IF(表紙!AP2="","",表紙!AP2)</f>
        <v>LoiLv</v>
      </c>
      <c r="AQ2" s="9"/>
      <c r="AR2" s="9"/>
      <c r="AS2" s="8"/>
      <c r="AT2" s="61">
        <f>IF(表紙!AT2="","",表紙!AT2)</f>
        <v>45460</v>
      </c>
      <c r="AU2" s="62"/>
      <c r="AV2" s="62"/>
      <c r="AW2" s="62"/>
      <c r="AX2" s="63"/>
      <c r="AY2" s="10" t="str">
        <f>IF(表紙!AY2="","",表紙!AY2)</f>
        <v>TuyenNH</v>
      </c>
      <c r="AZ2" s="9"/>
      <c r="BA2" s="9"/>
      <c r="BB2" s="8"/>
      <c r="BC2" s="61">
        <f>IF(表紙!BC2="","",表紙!BC2)</f>
        <v>45601</v>
      </c>
      <c r="BD2" s="62"/>
      <c r="BE2" s="62"/>
      <c r="BF2" s="62"/>
      <c r="BG2" s="63"/>
      <c r="BH2" s="10">
        <f>IF(表紙!BH2="","",表紙!BH2)</f>
        <v>0.16</v>
      </c>
      <c r="BI2" s="9"/>
      <c r="BJ2" s="9"/>
      <c r="BK2" s="8"/>
    </row>
    <row r="3" spans="1:63" ht="15" customHeight="1" x14ac:dyDescent="0.25">
      <c r="A3" s="7"/>
      <c r="B3" s="6"/>
      <c r="C3" s="6"/>
      <c r="D3" s="6"/>
      <c r="E3" s="6"/>
      <c r="F3" s="6"/>
      <c r="G3" s="6"/>
      <c r="H3" s="6"/>
      <c r="I3" s="6"/>
      <c r="J3" s="5"/>
      <c r="K3" s="7"/>
      <c r="L3" s="6"/>
      <c r="M3" s="6"/>
      <c r="N3" s="6"/>
      <c r="O3" s="6"/>
      <c r="P3" s="6"/>
      <c r="Q3" s="6"/>
      <c r="R3" s="6"/>
      <c r="S3" s="6"/>
      <c r="T3" s="6"/>
      <c r="U3" s="6"/>
      <c r="V3" s="5"/>
      <c r="W3" s="54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6"/>
      <c r="AP3" s="7"/>
      <c r="AQ3" s="6"/>
      <c r="AR3" s="6"/>
      <c r="AS3" s="5"/>
      <c r="AT3" s="64"/>
      <c r="AU3" s="65"/>
      <c r="AV3" s="65"/>
      <c r="AW3" s="65"/>
      <c r="AX3" s="66"/>
      <c r="AY3" s="7"/>
      <c r="AZ3" s="6"/>
      <c r="BA3" s="6"/>
      <c r="BB3" s="5"/>
      <c r="BC3" s="64"/>
      <c r="BD3" s="65"/>
      <c r="BE3" s="65"/>
      <c r="BF3" s="65"/>
      <c r="BG3" s="66"/>
      <c r="BH3" s="7"/>
      <c r="BI3" s="6"/>
      <c r="BJ3" s="6"/>
      <c r="BK3" s="5"/>
    </row>
    <row r="4" spans="1:63" ht="24.95" customHeight="1" x14ac:dyDescent="0.25">
      <c r="A4" s="13" t="s">
        <v>1</v>
      </c>
      <c r="B4" s="12"/>
      <c r="C4" s="12"/>
      <c r="D4" s="12"/>
      <c r="E4" s="12"/>
      <c r="F4" s="12"/>
      <c r="G4" s="11"/>
      <c r="H4" s="57" t="str">
        <f>IF(表紙!H4="","",表紙!H4)</f>
        <v>21_ジャーナル検索</v>
      </c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9"/>
      <c r="U4" s="13" t="s">
        <v>8</v>
      </c>
      <c r="V4" s="12"/>
      <c r="W4" s="12"/>
      <c r="X4" s="12"/>
      <c r="Y4" s="11"/>
      <c r="Z4" s="57" t="str">
        <f>IF(表紙!Z4="","",表紙!Z4)</f>
        <v>画面設計書</v>
      </c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9"/>
      <c r="AP4" s="57" t="str">
        <f t="array" aca="1" ref="AP4" ca="1">RIGHT(CELL("filename",$A$1),LEN(CELL("filename",$A$1))-FIND("]",CELL("filename",$A$1)))</f>
        <v>改訂履歴</v>
      </c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9"/>
    </row>
    <row r="5" spans="1:63" ht="5.0999999999999996" customHeight="1" x14ac:dyDescent="0.25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8"/>
    </row>
    <row r="6" spans="1:63" ht="15" customHeight="1" x14ac:dyDescent="0.25">
      <c r="A6" s="14"/>
      <c r="BK6" s="17"/>
    </row>
    <row r="7" spans="1:63" ht="15" customHeight="1" x14ac:dyDescent="0.25">
      <c r="A7" s="14"/>
      <c r="BK7" s="17"/>
    </row>
    <row r="8" spans="1:63" ht="15" customHeight="1" x14ac:dyDescent="0.25">
      <c r="A8" s="14"/>
      <c r="B8" t="s">
        <v>9</v>
      </c>
      <c r="BK8" s="17"/>
    </row>
    <row r="9" spans="1:63" ht="15" customHeight="1" x14ac:dyDescent="0.25">
      <c r="A9" s="14"/>
      <c r="BK9" s="17"/>
    </row>
    <row r="10" spans="1:63" ht="15" customHeight="1" x14ac:dyDescent="0.25">
      <c r="A10" s="14"/>
      <c r="B10" s="81" t="s">
        <v>6</v>
      </c>
      <c r="C10" s="81"/>
      <c r="D10" s="81"/>
      <c r="E10" s="81"/>
      <c r="F10" s="81"/>
      <c r="G10" s="81"/>
      <c r="H10" s="81" t="s">
        <v>5</v>
      </c>
      <c r="I10" s="81"/>
      <c r="J10" s="81"/>
      <c r="K10" s="81"/>
      <c r="L10" s="81"/>
      <c r="M10" s="81"/>
      <c r="N10" s="81"/>
      <c r="O10" s="81" t="s">
        <v>7</v>
      </c>
      <c r="P10" s="81"/>
      <c r="Q10" s="81"/>
      <c r="R10" s="81"/>
      <c r="S10" s="81" t="s">
        <v>10</v>
      </c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 t="s">
        <v>11</v>
      </c>
      <c r="AY10" s="81"/>
      <c r="AZ10" s="81"/>
      <c r="BA10" s="81"/>
      <c r="BB10" s="81"/>
      <c r="BC10" s="81"/>
      <c r="BD10" s="81" t="s">
        <v>12</v>
      </c>
      <c r="BE10" s="81"/>
      <c r="BF10" s="81"/>
      <c r="BG10" s="81"/>
      <c r="BH10" s="81"/>
      <c r="BI10" s="81"/>
      <c r="BJ10" s="81"/>
      <c r="BK10" s="17"/>
    </row>
    <row r="11" spans="1:63" ht="15" customHeight="1" x14ac:dyDescent="0.25">
      <c r="A11" s="14"/>
      <c r="B11" s="61">
        <v>45460</v>
      </c>
      <c r="C11" s="9"/>
      <c r="D11" s="9"/>
      <c r="E11" s="9"/>
      <c r="F11" s="9"/>
      <c r="G11" s="8"/>
      <c r="H11" s="4" t="s">
        <v>32</v>
      </c>
      <c r="I11" s="9"/>
      <c r="J11" s="9"/>
      <c r="K11" s="9"/>
      <c r="L11" s="9"/>
      <c r="M11" s="9"/>
      <c r="N11" s="8"/>
      <c r="O11" s="10">
        <v>0.1</v>
      </c>
      <c r="P11" s="9"/>
      <c r="Q11" s="9"/>
      <c r="R11" s="9"/>
      <c r="S11" s="80" t="s">
        <v>14</v>
      </c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70"/>
      <c r="AX11" s="71"/>
      <c r="AY11" s="71"/>
      <c r="AZ11" s="71"/>
      <c r="BA11" s="71"/>
      <c r="BB11" s="71"/>
      <c r="BC11" s="72"/>
      <c r="BD11" s="75"/>
      <c r="BE11" s="71"/>
      <c r="BF11" s="71"/>
      <c r="BG11" s="71"/>
      <c r="BH11" s="71"/>
      <c r="BI11" s="71"/>
      <c r="BJ11" s="72"/>
      <c r="BK11" s="17"/>
    </row>
    <row r="12" spans="1:63" ht="15" customHeight="1" x14ac:dyDescent="0.25">
      <c r="A12" s="14"/>
      <c r="B12" s="7"/>
      <c r="C12" s="6"/>
      <c r="D12" s="6"/>
      <c r="E12" s="6"/>
      <c r="F12" s="6"/>
      <c r="G12" s="5"/>
      <c r="H12" s="7"/>
      <c r="I12" s="6"/>
      <c r="J12" s="6"/>
      <c r="K12" s="6"/>
      <c r="L12" s="6"/>
      <c r="M12" s="6"/>
      <c r="N12" s="5"/>
      <c r="O12" s="7"/>
      <c r="P12" s="6"/>
      <c r="Q12" s="6"/>
      <c r="R12" s="6"/>
      <c r="S12" s="77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9"/>
      <c r="AX12" s="73"/>
      <c r="AY12" s="73"/>
      <c r="AZ12" s="73"/>
      <c r="BA12" s="73"/>
      <c r="BB12" s="73"/>
      <c r="BC12" s="74"/>
      <c r="BD12" s="76"/>
      <c r="BE12" s="73"/>
      <c r="BF12" s="73"/>
      <c r="BG12" s="73"/>
      <c r="BH12" s="73"/>
      <c r="BI12" s="73"/>
      <c r="BJ12" s="74"/>
      <c r="BK12" s="17"/>
    </row>
    <row r="13" spans="1:63" ht="65.25" customHeight="1" x14ac:dyDescent="0.25">
      <c r="A13" s="14"/>
      <c r="B13" s="61">
        <v>45523</v>
      </c>
      <c r="C13" s="9"/>
      <c r="D13" s="9"/>
      <c r="E13" s="9"/>
      <c r="F13" s="9"/>
      <c r="G13" s="8"/>
      <c r="H13" s="10" t="s">
        <v>110</v>
      </c>
      <c r="I13" s="9"/>
      <c r="J13" s="9"/>
      <c r="K13" s="9"/>
      <c r="L13" s="9"/>
      <c r="M13" s="9"/>
      <c r="N13" s="8"/>
      <c r="O13" s="10">
        <v>0.2</v>
      </c>
      <c r="P13" s="9"/>
      <c r="Q13" s="9"/>
      <c r="R13" s="9"/>
      <c r="S13" s="68" t="s">
        <v>111</v>
      </c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70"/>
      <c r="AX13" s="71"/>
      <c r="AY13" s="71"/>
      <c r="AZ13" s="71"/>
      <c r="BA13" s="71"/>
      <c r="BB13" s="71"/>
      <c r="BC13" s="72"/>
      <c r="BD13" s="75"/>
      <c r="BE13" s="71"/>
      <c r="BF13" s="71"/>
      <c r="BG13" s="71"/>
      <c r="BH13" s="71"/>
      <c r="BI13" s="71"/>
      <c r="BJ13" s="72"/>
      <c r="BK13" s="17"/>
    </row>
    <row r="14" spans="1:63" ht="15" customHeight="1" x14ac:dyDescent="0.25">
      <c r="A14" s="14"/>
      <c r="B14" s="7"/>
      <c r="C14" s="6"/>
      <c r="D14" s="6"/>
      <c r="E14" s="6"/>
      <c r="F14" s="6"/>
      <c r="G14" s="5"/>
      <c r="H14" s="7"/>
      <c r="I14" s="6"/>
      <c r="J14" s="6"/>
      <c r="K14" s="6"/>
      <c r="L14" s="6"/>
      <c r="M14" s="6"/>
      <c r="N14" s="5"/>
      <c r="O14" s="7"/>
      <c r="P14" s="6"/>
      <c r="Q14" s="6"/>
      <c r="R14" s="6"/>
      <c r="S14" s="77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9"/>
      <c r="AX14" s="73"/>
      <c r="AY14" s="73"/>
      <c r="AZ14" s="73"/>
      <c r="BA14" s="73"/>
      <c r="BB14" s="73"/>
      <c r="BC14" s="74"/>
      <c r="BD14" s="76"/>
      <c r="BE14" s="73"/>
      <c r="BF14" s="73"/>
      <c r="BG14" s="73"/>
      <c r="BH14" s="73"/>
      <c r="BI14" s="73"/>
      <c r="BJ14" s="74"/>
      <c r="BK14" s="17"/>
    </row>
    <row r="15" spans="1:63" ht="66.75" customHeight="1" x14ac:dyDescent="0.25">
      <c r="A15" s="14"/>
      <c r="B15" s="61">
        <v>45530</v>
      </c>
      <c r="C15" s="9"/>
      <c r="D15" s="9"/>
      <c r="E15" s="9"/>
      <c r="F15" s="9"/>
      <c r="G15" s="8"/>
      <c r="H15" s="10" t="s">
        <v>112</v>
      </c>
      <c r="I15" s="9"/>
      <c r="J15" s="9"/>
      <c r="K15" s="9"/>
      <c r="L15" s="9"/>
      <c r="M15" s="9"/>
      <c r="N15" s="8"/>
      <c r="O15" s="10">
        <v>0.3</v>
      </c>
      <c r="P15" s="9"/>
      <c r="Q15" s="9"/>
      <c r="R15" s="9"/>
      <c r="S15" s="68" t="s">
        <v>113</v>
      </c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70"/>
      <c r="AX15" s="71"/>
      <c r="AY15" s="71"/>
      <c r="AZ15" s="71"/>
      <c r="BA15" s="71"/>
      <c r="BB15" s="71"/>
      <c r="BC15" s="72"/>
      <c r="BD15" s="75"/>
      <c r="BE15" s="71"/>
      <c r="BF15" s="71"/>
      <c r="BG15" s="71"/>
      <c r="BH15" s="71"/>
      <c r="BI15" s="71"/>
      <c r="BJ15" s="72"/>
      <c r="BK15" s="17"/>
    </row>
    <row r="16" spans="1:63" ht="15" customHeight="1" x14ac:dyDescent="0.25">
      <c r="A16" s="14"/>
      <c r="B16" s="7"/>
      <c r="C16" s="6"/>
      <c r="D16" s="6"/>
      <c r="E16" s="6"/>
      <c r="F16" s="6"/>
      <c r="G16" s="5"/>
      <c r="H16" s="7"/>
      <c r="I16" s="6"/>
      <c r="J16" s="6"/>
      <c r="K16" s="6"/>
      <c r="L16" s="6"/>
      <c r="M16" s="6"/>
      <c r="N16" s="5"/>
      <c r="O16" s="7"/>
      <c r="P16" s="6"/>
      <c r="Q16" s="6"/>
      <c r="R16" s="6"/>
      <c r="S16" s="77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9"/>
      <c r="AX16" s="73"/>
      <c r="AY16" s="73"/>
      <c r="AZ16" s="73"/>
      <c r="BA16" s="73"/>
      <c r="BB16" s="73"/>
      <c r="BC16" s="74"/>
      <c r="BD16" s="76"/>
      <c r="BE16" s="73"/>
      <c r="BF16" s="73"/>
      <c r="BG16" s="73"/>
      <c r="BH16" s="73"/>
      <c r="BI16" s="73"/>
      <c r="BJ16" s="74"/>
      <c r="BK16" s="17"/>
    </row>
    <row r="17" spans="1:63" ht="15" customHeight="1" x14ac:dyDescent="0.25">
      <c r="A17" s="14"/>
      <c r="B17" s="61">
        <v>45533</v>
      </c>
      <c r="C17" s="9"/>
      <c r="D17" s="9"/>
      <c r="E17" s="9"/>
      <c r="F17" s="9"/>
      <c r="G17" s="8"/>
      <c r="H17" s="10" t="s">
        <v>114</v>
      </c>
      <c r="I17" s="9"/>
      <c r="J17" s="9"/>
      <c r="K17" s="9"/>
      <c r="L17" s="9"/>
      <c r="M17" s="9"/>
      <c r="N17" s="8"/>
      <c r="O17" s="10">
        <v>0.4</v>
      </c>
      <c r="P17" s="9"/>
      <c r="Q17" s="9"/>
      <c r="R17" s="9"/>
      <c r="S17" s="80" t="s">
        <v>115</v>
      </c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70"/>
      <c r="AX17" s="71"/>
      <c r="AY17" s="71"/>
      <c r="AZ17" s="71"/>
      <c r="BA17" s="71"/>
      <c r="BB17" s="71"/>
      <c r="BC17" s="72"/>
      <c r="BD17" s="75"/>
      <c r="BE17" s="71"/>
      <c r="BF17" s="71"/>
      <c r="BG17" s="71"/>
      <c r="BH17" s="71"/>
      <c r="BI17" s="71"/>
      <c r="BJ17" s="72"/>
      <c r="BK17" s="17"/>
    </row>
    <row r="18" spans="1:63" ht="15" customHeight="1" x14ac:dyDescent="0.25">
      <c r="A18" s="14"/>
      <c r="B18" s="7"/>
      <c r="C18" s="6"/>
      <c r="D18" s="6"/>
      <c r="E18" s="6"/>
      <c r="F18" s="6"/>
      <c r="G18" s="5"/>
      <c r="H18" s="7"/>
      <c r="I18" s="6"/>
      <c r="J18" s="6"/>
      <c r="K18" s="6"/>
      <c r="L18" s="6"/>
      <c r="M18" s="6"/>
      <c r="N18" s="5"/>
      <c r="O18" s="7"/>
      <c r="P18" s="6"/>
      <c r="Q18" s="6"/>
      <c r="R18" s="6"/>
      <c r="S18" s="77" t="s">
        <v>116</v>
      </c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9"/>
      <c r="AX18" s="73"/>
      <c r="AY18" s="73"/>
      <c r="AZ18" s="73"/>
      <c r="BA18" s="73"/>
      <c r="BB18" s="73"/>
      <c r="BC18" s="74"/>
      <c r="BD18" s="76"/>
      <c r="BE18" s="73"/>
      <c r="BF18" s="73"/>
      <c r="BG18" s="73"/>
      <c r="BH18" s="73"/>
      <c r="BI18" s="73"/>
      <c r="BJ18" s="74"/>
      <c r="BK18" s="17"/>
    </row>
    <row r="19" spans="1:63" ht="15" customHeight="1" x14ac:dyDescent="0.25">
      <c r="A19" s="14"/>
      <c r="B19" s="101">
        <v>45580</v>
      </c>
      <c r="C19" s="102"/>
      <c r="D19" s="102"/>
      <c r="E19" s="102"/>
      <c r="F19" s="102"/>
      <c r="G19" s="103"/>
      <c r="H19" s="107" t="s">
        <v>126</v>
      </c>
      <c r="I19" s="102"/>
      <c r="J19" s="102"/>
      <c r="K19" s="102"/>
      <c r="L19" s="102"/>
      <c r="M19" s="102"/>
      <c r="N19" s="103"/>
      <c r="O19" s="107">
        <v>0.14000000000000001</v>
      </c>
      <c r="P19" s="102"/>
      <c r="Q19" s="102"/>
      <c r="R19" s="102"/>
      <c r="S19" s="108" t="s">
        <v>120</v>
      </c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09"/>
      <c r="AQ19" s="109"/>
      <c r="AR19" s="109"/>
      <c r="AS19" s="109"/>
      <c r="AT19" s="109"/>
      <c r="AU19" s="109"/>
      <c r="AV19" s="109"/>
      <c r="AW19" s="110"/>
      <c r="AX19" s="71"/>
      <c r="AY19" s="71"/>
      <c r="AZ19" s="71"/>
      <c r="BA19" s="71"/>
      <c r="BB19" s="71"/>
      <c r="BC19" s="72"/>
      <c r="BD19" s="75"/>
      <c r="BE19" s="71"/>
      <c r="BF19" s="71"/>
      <c r="BG19" s="71"/>
      <c r="BH19" s="71"/>
      <c r="BI19" s="71"/>
      <c r="BJ19" s="72"/>
      <c r="BK19" s="17"/>
    </row>
    <row r="20" spans="1:63" ht="15" customHeight="1" x14ac:dyDescent="0.25">
      <c r="A20" s="14"/>
      <c r="B20" s="104"/>
      <c r="C20" s="105"/>
      <c r="D20" s="105"/>
      <c r="E20" s="105"/>
      <c r="F20" s="105"/>
      <c r="G20" s="106"/>
      <c r="H20" s="104"/>
      <c r="I20" s="105"/>
      <c r="J20" s="105"/>
      <c r="K20" s="105"/>
      <c r="L20" s="105"/>
      <c r="M20" s="105"/>
      <c r="N20" s="106"/>
      <c r="O20" s="104"/>
      <c r="P20" s="105"/>
      <c r="Q20" s="105"/>
      <c r="R20" s="105"/>
      <c r="S20" s="111" t="s">
        <v>128</v>
      </c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3"/>
      <c r="AX20" s="73"/>
      <c r="AY20" s="73"/>
      <c r="AZ20" s="73"/>
      <c r="BA20" s="73"/>
      <c r="BB20" s="73"/>
      <c r="BC20" s="74"/>
      <c r="BD20" s="76"/>
      <c r="BE20" s="73"/>
      <c r="BF20" s="73"/>
      <c r="BG20" s="73"/>
      <c r="BH20" s="73"/>
      <c r="BI20" s="73"/>
      <c r="BJ20" s="74"/>
      <c r="BK20" s="17"/>
    </row>
    <row r="21" spans="1:63" ht="81" customHeight="1" x14ac:dyDescent="0.25">
      <c r="A21" s="14"/>
      <c r="B21" s="82">
        <v>45596</v>
      </c>
      <c r="C21" s="83"/>
      <c r="D21" s="83"/>
      <c r="E21" s="83"/>
      <c r="F21" s="83"/>
      <c r="G21" s="84"/>
      <c r="H21" s="88" t="s">
        <v>127</v>
      </c>
      <c r="I21" s="83"/>
      <c r="J21" s="83"/>
      <c r="K21" s="83"/>
      <c r="L21" s="83"/>
      <c r="M21" s="83"/>
      <c r="N21" s="84"/>
      <c r="O21" s="88">
        <v>0.15</v>
      </c>
      <c r="P21" s="83"/>
      <c r="Q21" s="83"/>
      <c r="R21" s="83"/>
      <c r="S21" s="89" t="s">
        <v>124</v>
      </c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1"/>
      <c r="AX21" s="92"/>
      <c r="AY21" s="92"/>
      <c r="AZ21" s="92"/>
      <c r="BA21" s="92"/>
      <c r="BB21" s="92"/>
      <c r="BC21" s="93"/>
      <c r="BD21" s="96"/>
      <c r="BE21" s="92"/>
      <c r="BF21" s="92"/>
      <c r="BG21" s="92"/>
      <c r="BH21" s="92"/>
      <c r="BI21" s="92"/>
      <c r="BJ21" s="93"/>
      <c r="BK21" s="17"/>
    </row>
    <row r="22" spans="1:63" ht="15" customHeight="1" x14ac:dyDescent="0.25">
      <c r="A22" s="14"/>
      <c r="B22" s="85"/>
      <c r="C22" s="86"/>
      <c r="D22" s="86"/>
      <c r="E22" s="86"/>
      <c r="F22" s="86"/>
      <c r="G22" s="87"/>
      <c r="H22" s="85"/>
      <c r="I22" s="86"/>
      <c r="J22" s="86"/>
      <c r="K22" s="86"/>
      <c r="L22" s="86"/>
      <c r="M22" s="86"/>
      <c r="N22" s="87"/>
      <c r="O22" s="85"/>
      <c r="P22" s="86"/>
      <c r="Q22" s="86"/>
      <c r="R22" s="86"/>
      <c r="S22" s="98" t="s">
        <v>129</v>
      </c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9"/>
      <c r="AT22" s="99"/>
      <c r="AU22" s="99"/>
      <c r="AV22" s="99"/>
      <c r="AW22" s="100"/>
      <c r="AX22" s="94"/>
      <c r="AY22" s="94"/>
      <c r="AZ22" s="94"/>
      <c r="BA22" s="94"/>
      <c r="BB22" s="94"/>
      <c r="BC22" s="95"/>
      <c r="BD22" s="97"/>
      <c r="BE22" s="94"/>
      <c r="BF22" s="94"/>
      <c r="BG22" s="94"/>
      <c r="BH22" s="94"/>
      <c r="BI22" s="94"/>
      <c r="BJ22" s="95"/>
      <c r="BK22" s="17"/>
    </row>
    <row r="23" spans="1:63" ht="17.25" customHeight="1" x14ac:dyDescent="0.25">
      <c r="A23" s="14"/>
      <c r="B23" s="114">
        <v>45601</v>
      </c>
      <c r="C23" s="115"/>
      <c r="D23" s="115"/>
      <c r="E23" s="115"/>
      <c r="F23" s="115"/>
      <c r="G23" s="116"/>
      <c r="H23" s="120" t="s">
        <v>119</v>
      </c>
      <c r="I23" s="115"/>
      <c r="J23" s="115"/>
      <c r="K23" s="115"/>
      <c r="L23" s="115"/>
      <c r="M23" s="115"/>
      <c r="N23" s="116"/>
      <c r="O23" s="120">
        <v>0.16</v>
      </c>
      <c r="P23" s="115"/>
      <c r="Q23" s="115"/>
      <c r="R23" s="115"/>
      <c r="S23" s="121" t="s">
        <v>125</v>
      </c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3"/>
      <c r="AX23" s="124"/>
      <c r="AY23" s="124"/>
      <c r="AZ23" s="124"/>
      <c r="BA23" s="124"/>
      <c r="BB23" s="124"/>
      <c r="BC23" s="125"/>
      <c r="BD23" s="128"/>
      <c r="BE23" s="124"/>
      <c r="BF23" s="124"/>
      <c r="BG23" s="124"/>
      <c r="BH23" s="124"/>
      <c r="BI23" s="124"/>
      <c r="BJ23" s="125"/>
      <c r="BK23" s="17"/>
    </row>
    <row r="24" spans="1:63" ht="15" customHeight="1" x14ac:dyDescent="0.25">
      <c r="A24" s="14"/>
      <c r="B24" s="117"/>
      <c r="C24" s="118"/>
      <c r="D24" s="118"/>
      <c r="E24" s="118"/>
      <c r="F24" s="118"/>
      <c r="G24" s="119"/>
      <c r="H24" s="117"/>
      <c r="I24" s="118"/>
      <c r="J24" s="118"/>
      <c r="K24" s="118"/>
      <c r="L24" s="118"/>
      <c r="M24" s="118"/>
      <c r="N24" s="119"/>
      <c r="O24" s="117"/>
      <c r="P24" s="118"/>
      <c r="Q24" s="118"/>
      <c r="R24" s="118"/>
      <c r="S24" s="130" t="s">
        <v>121</v>
      </c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31"/>
      <c r="AM24" s="131"/>
      <c r="AN24" s="131"/>
      <c r="AO24" s="131"/>
      <c r="AP24" s="131"/>
      <c r="AQ24" s="131"/>
      <c r="AR24" s="131"/>
      <c r="AS24" s="131"/>
      <c r="AT24" s="131"/>
      <c r="AU24" s="131"/>
      <c r="AV24" s="131"/>
      <c r="AW24" s="132"/>
      <c r="AX24" s="126"/>
      <c r="AY24" s="126"/>
      <c r="AZ24" s="126"/>
      <c r="BA24" s="126"/>
      <c r="BB24" s="126"/>
      <c r="BC24" s="127"/>
      <c r="BD24" s="129"/>
      <c r="BE24" s="126"/>
      <c r="BF24" s="126"/>
      <c r="BG24" s="126"/>
      <c r="BH24" s="126"/>
      <c r="BI24" s="126"/>
      <c r="BJ24" s="127"/>
      <c r="BK24" s="17"/>
    </row>
    <row r="25" spans="1:63" ht="15" customHeight="1" x14ac:dyDescent="0.25">
      <c r="A25" s="14"/>
      <c r="B25" s="10"/>
      <c r="C25" s="9"/>
      <c r="D25" s="9"/>
      <c r="E25" s="9"/>
      <c r="F25" s="9"/>
      <c r="G25" s="8"/>
      <c r="H25" s="10"/>
      <c r="I25" s="9"/>
      <c r="J25" s="9"/>
      <c r="K25" s="9"/>
      <c r="L25" s="9"/>
      <c r="M25" s="9"/>
      <c r="N25" s="8"/>
      <c r="O25" s="10"/>
      <c r="P25" s="9"/>
      <c r="Q25" s="9"/>
      <c r="R25" s="9"/>
      <c r="S25" s="80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70"/>
      <c r="AX25" s="71"/>
      <c r="AY25" s="71"/>
      <c r="AZ25" s="71"/>
      <c r="BA25" s="71"/>
      <c r="BB25" s="71"/>
      <c r="BC25" s="72"/>
      <c r="BD25" s="75"/>
      <c r="BE25" s="71"/>
      <c r="BF25" s="71"/>
      <c r="BG25" s="71"/>
      <c r="BH25" s="71"/>
      <c r="BI25" s="71"/>
      <c r="BJ25" s="72"/>
      <c r="BK25" s="17"/>
    </row>
    <row r="26" spans="1:63" ht="15" customHeight="1" x14ac:dyDescent="0.25">
      <c r="A26" s="14"/>
      <c r="B26" s="7"/>
      <c r="C26" s="6"/>
      <c r="D26" s="6"/>
      <c r="E26" s="6"/>
      <c r="F26" s="6"/>
      <c r="G26" s="5"/>
      <c r="H26" s="7"/>
      <c r="I26" s="6"/>
      <c r="J26" s="6"/>
      <c r="K26" s="6"/>
      <c r="L26" s="6"/>
      <c r="M26" s="6"/>
      <c r="N26" s="5"/>
      <c r="O26" s="7"/>
      <c r="P26" s="6"/>
      <c r="Q26" s="6"/>
      <c r="R26" s="6"/>
      <c r="S26" s="77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9"/>
      <c r="AX26" s="73"/>
      <c r="AY26" s="73"/>
      <c r="AZ26" s="73"/>
      <c r="BA26" s="73"/>
      <c r="BB26" s="73"/>
      <c r="BC26" s="74"/>
      <c r="BD26" s="76"/>
      <c r="BE26" s="73"/>
      <c r="BF26" s="73"/>
      <c r="BG26" s="73"/>
      <c r="BH26" s="73"/>
      <c r="BI26" s="73"/>
      <c r="BJ26" s="74"/>
      <c r="BK26" s="17"/>
    </row>
    <row r="27" spans="1:63" ht="15" customHeight="1" x14ac:dyDescent="0.25">
      <c r="A27" s="14"/>
      <c r="B27" s="10"/>
      <c r="C27" s="9"/>
      <c r="D27" s="9"/>
      <c r="E27" s="9"/>
      <c r="F27" s="9"/>
      <c r="G27" s="8"/>
      <c r="H27" s="10"/>
      <c r="I27" s="9"/>
      <c r="J27" s="9"/>
      <c r="K27" s="9"/>
      <c r="L27" s="9"/>
      <c r="M27" s="9"/>
      <c r="N27" s="8"/>
      <c r="O27" s="10"/>
      <c r="P27" s="9"/>
      <c r="Q27" s="9"/>
      <c r="R27" s="9"/>
      <c r="S27" s="80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70"/>
      <c r="AX27" s="71"/>
      <c r="AY27" s="71"/>
      <c r="AZ27" s="71"/>
      <c r="BA27" s="71"/>
      <c r="BB27" s="71"/>
      <c r="BC27" s="72"/>
      <c r="BD27" s="75"/>
      <c r="BE27" s="71"/>
      <c r="BF27" s="71"/>
      <c r="BG27" s="71"/>
      <c r="BH27" s="71"/>
      <c r="BI27" s="71"/>
      <c r="BJ27" s="72"/>
      <c r="BK27" s="17"/>
    </row>
    <row r="28" spans="1:63" ht="15" customHeight="1" x14ac:dyDescent="0.25">
      <c r="A28" s="14"/>
      <c r="B28" s="7"/>
      <c r="C28" s="6"/>
      <c r="D28" s="6"/>
      <c r="E28" s="6"/>
      <c r="F28" s="6"/>
      <c r="G28" s="5"/>
      <c r="H28" s="7"/>
      <c r="I28" s="6"/>
      <c r="J28" s="6"/>
      <c r="K28" s="6"/>
      <c r="L28" s="6"/>
      <c r="M28" s="6"/>
      <c r="N28" s="5"/>
      <c r="O28" s="7"/>
      <c r="P28" s="6"/>
      <c r="Q28" s="6"/>
      <c r="R28" s="6"/>
      <c r="S28" s="77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9"/>
      <c r="AX28" s="73"/>
      <c r="AY28" s="73"/>
      <c r="AZ28" s="73"/>
      <c r="BA28" s="73"/>
      <c r="BB28" s="73"/>
      <c r="BC28" s="74"/>
      <c r="BD28" s="76"/>
      <c r="BE28" s="73"/>
      <c r="BF28" s="73"/>
      <c r="BG28" s="73"/>
      <c r="BH28" s="73"/>
      <c r="BI28" s="73"/>
      <c r="BJ28" s="74"/>
      <c r="BK28" s="17"/>
    </row>
    <row r="29" spans="1:63" ht="15" customHeight="1" x14ac:dyDescent="0.25">
      <c r="A29" s="14"/>
      <c r="B29" s="10"/>
      <c r="C29" s="9"/>
      <c r="D29" s="9"/>
      <c r="E29" s="9"/>
      <c r="F29" s="9"/>
      <c r="G29" s="8"/>
      <c r="H29" s="10"/>
      <c r="I29" s="9"/>
      <c r="J29" s="9"/>
      <c r="K29" s="9"/>
      <c r="L29" s="9"/>
      <c r="M29" s="9"/>
      <c r="N29" s="8"/>
      <c r="O29" s="10"/>
      <c r="P29" s="9"/>
      <c r="Q29" s="9"/>
      <c r="R29" s="9"/>
      <c r="S29" s="80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70"/>
      <c r="AX29" s="71"/>
      <c r="AY29" s="71"/>
      <c r="AZ29" s="71"/>
      <c r="BA29" s="71"/>
      <c r="BB29" s="71"/>
      <c r="BC29" s="72"/>
      <c r="BD29" s="75"/>
      <c r="BE29" s="71"/>
      <c r="BF29" s="71"/>
      <c r="BG29" s="71"/>
      <c r="BH29" s="71"/>
      <c r="BI29" s="71"/>
      <c r="BJ29" s="72"/>
      <c r="BK29" s="17"/>
    </row>
    <row r="30" spans="1:63" ht="15" customHeight="1" x14ac:dyDescent="0.25">
      <c r="A30" s="14"/>
      <c r="B30" s="7"/>
      <c r="C30" s="6"/>
      <c r="D30" s="6"/>
      <c r="E30" s="6"/>
      <c r="F30" s="6"/>
      <c r="G30" s="5"/>
      <c r="H30" s="7"/>
      <c r="I30" s="6"/>
      <c r="J30" s="6"/>
      <c r="K30" s="6"/>
      <c r="L30" s="6"/>
      <c r="M30" s="6"/>
      <c r="N30" s="5"/>
      <c r="O30" s="7"/>
      <c r="P30" s="6"/>
      <c r="Q30" s="6"/>
      <c r="R30" s="6"/>
      <c r="S30" s="77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9"/>
      <c r="AX30" s="73"/>
      <c r="AY30" s="73"/>
      <c r="AZ30" s="73"/>
      <c r="BA30" s="73"/>
      <c r="BB30" s="73"/>
      <c r="BC30" s="74"/>
      <c r="BD30" s="76"/>
      <c r="BE30" s="73"/>
      <c r="BF30" s="73"/>
      <c r="BG30" s="73"/>
      <c r="BH30" s="73"/>
      <c r="BI30" s="73"/>
      <c r="BJ30" s="74"/>
      <c r="BK30" s="17"/>
    </row>
    <row r="31" spans="1:63" ht="15" customHeight="1" x14ac:dyDescent="0.25">
      <c r="A31" s="14"/>
      <c r="B31" s="10"/>
      <c r="C31" s="9"/>
      <c r="D31" s="9"/>
      <c r="E31" s="9"/>
      <c r="F31" s="9"/>
      <c r="G31" s="8"/>
      <c r="H31" s="10"/>
      <c r="I31" s="9"/>
      <c r="J31" s="9"/>
      <c r="K31" s="9"/>
      <c r="L31" s="9"/>
      <c r="M31" s="9"/>
      <c r="N31" s="8"/>
      <c r="O31" s="10"/>
      <c r="P31" s="9"/>
      <c r="Q31" s="9"/>
      <c r="R31" s="9"/>
      <c r="S31" s="80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70"/>
      <c r="AX31" s="71"/>
      <c r="AY31" s="71"/>
      <c r="AZ31" s="71"/>
      <c r="BA31" s="71"/>
      <c r="BB31" s="71"/>
      <c r="BC31" s="72"/>
      <c r="BD31" s="75"/>
      <c r="BE31" s="71"/>
      <c r="BF31" s="71"/>
      <c r="BG31" s="71"/>
      <c r="BH31" s="71"/>
      <c r="BI31" s="71"/>
      <c r="BJ31" s="72"/>
      <c r="BK31" s="17"/>
    </row>
    <row r="32" spans="1:63" ht="15" customHeight="1" x14ac:dyDescent="0.25">
      <c r="A32" s="14"/>
      <c r="B32" s="7"/>
      <c r="C32" s="6"/>
      <c r="D32" s="6"/>
      <c r="E32" s="6"/>
      <c r="F32" s="6"/>
      <c r="G32" s="5"/>
      <c r="H32" s="7"/>
      <c r="I32" s="6"/>
      <c r="J32" s="6"/>
      <c r="K32" s="6"/>
      <c r="L32" s="6"/>
      <c r="M32" s="6"/>
      <c r="N32" s="5"/>
      <c r="O32" s="7"/>
      <c r="P32" s="6"/>
      <c r="Q32" s="6"/>
      <c r="R32" s="6"/>
      <c r="S32" s="77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W32" s="79"/>
      <c r="AX32" s="73"/>
      <c r="AY32" s="73"/>
      <c r="AZ32" s="73"/>
      <c r="BA32" s="73"/>
      <c r="BB32" s="73"/>
      <c r="BC32" s="74"/>
      <c r="BD32" s="76"/>
      <c r="BE32" s="73"/>
      <c r="BF32" s="73"/>
      <c r="BG32" s="73"/>
      <c r="BH32" s="73"/>
      <c r="BI32" s="73"/>
      <c r="BJ32" s="74"/>
      <c r="BK32" s="17"/>
    </row>
    <row r="33" spans="1:63" ht="15" customHeight="1" x14ac:dyDescent="0.25">
      <c r="A33" s="14"/>
      <c r="B33" s="10"/>
      <c r="C33" s="9"/>
      <c r="D33" s="9"/>
      <c r="E33" s="9"/>
      <c r="F33" s="9"/>
      <c r="G33" s="8"/>
      <c r="H33" s="10"/>
      <c r="I33" s="9"/>
      <c r="J33" s="9"/>
      <c r="K33" s="9"/>
      <c r="L33" s="9"/>
      <c r="M33" s="9"/>
      <c r="N33" s="8"/>
      <c r="O33" s="10"/>
      <c r="P33" s="9"/>
      <c r="Q33" s="9"/>
      <c r="R33" s="9"/>
      <c r="S33" s="80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70"/>
      <c r="AX33" s="71"/>
      <c r="AY33" s="71"/>
      <c r="AZ33" s="71"/>
      <c r="BA33" s="71"/>
      <c r="BB33" s="71"/>
      <c r="BC33" s="72"/>
      <c r="BD33" s="75"/>
      <c r="BE33" s="71"/>
      <c r="BF33" s="71"/>
      <c r="BG33" s="71"/>
      <c r="BH33" s="71"/>
      <c r="BI33" s="71"/>
      <c r="BJ33" s="72"/>
      <c r="BK33" s="17"/>
    </row>
    <row r="34" spans="1:63" ht="15" customHeight="1" x14ac:dyDescent="0.25">
      <c r="A34" s="14"/>
      <c r="B34" s="7"/>
      <c r="C34" s="6"/>
      <c r="D34" s="6"/>
      <c r="E34" s="6"/>
      <c r="F34" s="6"/>
      <c r="G34" s="5"/>
      <c r="H34" s="7"/>
      <c r="I34" s="6"/>
      <c r="J34" s="6"/>
      <c r="K34" s="6"/>
      <c r="L34" s="6"/>
      <c r="M34" s="6"/>
      <c r="N34" s="5"/>
      <c r="O34" s="7"/>
      <c r="P34" s="6"/>
      <c r="Q34" s="6"/>
      <c r="R34" s="6"/>
      <c r="S34" s="77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9"/>
      <c r="AX34" s="73"/>
      <c r="AY34" s="73"/>
      <c r="AZ34" s="73"/>
      <c r="BA34" s="73"/>
      <c r="BB34" s="73"/>
      <c r="BC34" s="74"/>
      <c r="BD34" s="76"/>
      <c r="BE34" s="73"/>
      <c r="BF34" s="73"/>
      <c r="BG34" s="73"/>
      <c r="BH34" s="73"/>
      <c r="BI34" s="73"/>
      <c r="BJ34" s="74"/>
      <c r="BK34" s="17"/>
    </row>
    <row r="35" spans="1:63" ht="15" customHeight="1" x14ac:dyDescent="0.25">
      <c r="A35" s="14"/>
      <c r="B35" s="10"/>
      <c r="C35" s="9"/>
      <c r="D35" s="9"/>
      <c r="E35" s="9"/>
      <c r="F35" s="9"/>
      <c r="G35" s="8"/>
      <c r="H35" s="10"/>
      <c r="I35" s="9"/>
      <c r="J35" s="9"/>
      <c r="K35" s="9"/>
      <c r="L35" s="9"/>
      <c r="M35" s="9"/>
      <c r="N35" s="8"/>
      <c r="O35" s="10"/>
      <c r="P35" s="9"/>
      <c r="Q35" s="9"/>
      <c r="R35" s="9"/>
      <c r="S35" s="80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70"/>
      <c r="AX35" s="71"/>
      <c r="AY35" s="71"/>
      <c r="AZ35" s="71"/>
      <c r="BA35" s="71"/>
      <c r="BB35" s="71"/>
      <c r="BC35" s="72"/>
      <c r="BD35" s="75"/>
      <c r="BE35" s="71"/>
      <c r="BF35" s="71"/>
      <c r="BG35" s="71"/>
      <c r="BH35" s="71"/>
      <c r="BI35" s="71"/>
      <c r="BJ35" s="72"/>
      <c r="BK35" s="17"/>
    </row>
    <row r="36" spans="1:63" ht="15" customHeight="1" x14ac:dyDescent="0.25">
      <c r="A36" s="14"/>
      <c r="B36" s="7"/>
      <c r="C36" s="6"/>
      <c r="D36" s="6"/>
      <c r="E36" s="6"/>
      <c r="F36" s="6"/>
      <c r="G36" s="5"/>
      <c r="H36" s="7"/>
      <c r="I36" s="6"/>
      <c r="J36" s="6"/>
      <c r="K36" s="6"/>
      <c r="L36" s="6"/>
      <c r="M36" s="6"/>
      <c r="N36" s="5"/>
      <c r="O36" s="7"/>
      <c r="P36" s="6"/>
      <c r="Q36" s="6"/>
      <c r="R36" s="6"/>
      <c r="S36" s="77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9"/>
      <c r="AX36" s="73"/>
      <c r="AY36" s="73"/>
      <c r="AZ36" s="73"/>
      <c r="BA36" s="73"/>
      <c r="BB36" s="73"/>
      <c r="BC36" s="74"/>
      <c r="BD36" s="76"/>
      <c r="BE36" s="73"/>
      <c r="BF36" s="73"/>
      <c r="BG36" s="73"/>
      <c r="BH36" s="73"/>
      <c r="BI36" s="73"/>
      <c r="BJ36" s="74"/>
      <c r="BK36" s="17"/>
    </row>
    <row r="37" spans="1:63" ht="15" customHeight="1" x14ac:dyDescent="0.25">
      <c r="A37" s="14"/>
      <c r="B37" s="10"/>
      <c r="C37" s="9"/>
      <c r="D37" s="9"/>
      <c r="E37" s="9"/>
      <c r="F37" s="9"/>
      <c r="G37" s="8"/>
      <c r="H37" s="10"/>
      <c r="I37" s="9"/>
      <c r="J37" s="9"/>
      <c r="K37" s="9"/>
      <c r="L37" s="9"/>
      <c r="M37" s="9"/>
      <c r="N37" s="8"/>
      <c r="O37" s="10"/>
      <c r="P37" s="9"/>
      <c r="Q37" s="9"/>
      <c r="R37" s="9"/>
      <c r="S37" s="80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70"/>
      <c r="AX37" s="71"/>
      <c r="AY37" s="71"/>
      <c r="AZ37" s="71"/>
      <c r="BA37" s="71"/>
      <c r="BB37" s="71"/>
      <c r="BC37" s="72"/>
      <c r="BD37" s="75"/>
      <c r="BE37" s="71"/>
      <c r="BF37" s="71"/>
      <c r="BG37" s="71"/>
      <c r="BH37" s="71"/>
      <c r="BI37" s="71"/>
      <c r="BJ37" s="72"/>
      <c r="BK37" s="17"/>
    </row>
    <row r="38" spans="1:63" ht="15" customHeight="1" x14ac:dyDescent="0.25">
      <c r="A38" s="14"/>
      <c r="B38" s="7"/>
      <c r="C38" s="6"/>
      <c r="D38" s="6"/>
      <c r="E38" s="6"/>
      <c r="F38" s="6"/>
      <c r="G38" s="5"/>
      <c r="H38" s="7"/>
      <c r="I38" s="6"/>
      <c r="J38" s="6"/>
      <c r="K38" s="6"/>
      <c r="L38" s="6"/>
      <c r="M38" s="6"/>
      <c r="N38" s="5"/>
      <c r="O38" s="7"/>
      <c r="P38" s="6"/>
      <c r="Q38" s="6"/>
      <c r="R38" s="6"/>
      <c r="S38" s="77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  <c r="AS38" s="78"/>
      <c r="AT38" s="78"/>
      <c r="AU38" s="78"/>
      <c r="AV38" s="78"/>
      <c r="AW38" s="79"/>
      <c r="AX38" s="73"/>
      <c r="AY38" s="73"/>
      <c r="AZ38" s="73"/>
      <c r="BA38" s="73"/>
      <c r="BB38" s="73"/>
      <c r="BC38" s="74"/>
      <c r="BD38" s="76"/>
      <c r="BE38" s="73"/>
      <c r="BF38" s="73"/>
      <c r="BG38" s="73"/>
      <c r="BH38" s="73"/>
      <c r="BI38" s="73"/>
      <c r="BJ38" s="74"/>
      <c r="BK38" s="17"/>
    </row>
    <row r="39" spans="1:63" ht="15" customHeight="1" x14ac:dyDescent="0.25">
      <c r="A39" s="14"/>
      <c r="B39" s="10"/>
      <c r="C39" s="9"/>
      <c r="D39" s="9"/>
      <c r="E39" s="9"/>
      <c r="F39" s="9"/>
      <c r="G39" s="8"/>
      <c r="H39" s="10"/>
      <c r="I39" s="9"/>
      <c r="J39" s="9"/>
      <c r="K39" s="9"/>
      <c r="L39" s="9"/>
      <c r="M39" s="9"/>
      <c r="N39" s="8"/>
      <c r="O39" s="10"/>
      <c r="P39" s="9"/>
      <c r="Q39" s="9"/>
      <c r="R39" s="9"/>
      <c r="S39" s="80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70"/>
      <c r="AX39" s="71"/>
      <c r="AY39" s="71"/>
      <c r="AZ39" s="71"/>
      <c r="BA39" s="71"/>
      <c r="BB39" s="71"/>
      <c r="BC39" s="72"/>
      <c r="BD39" s="75"/>
      <c r="BE39" s="71"/>
      <c r="BF39" s="71"/>
      <c r="BG39" s="71"/>
      <c r="BH39" s="71"/>
      <c r="BI39" s="71"/>
      <c r="BJ39" s="72"/>
      <c r="BK39" s="17"/>
    </row>
    <row r="40" spans="1:63" ht="15" customHeight="1" x14ac:dyDescent="0.25">
      <c r="A40" s="14"/>
      <c r="B40" s="7"/>
      <c r="C40" s="6"/>
      <c r="D40" s="6"/>
      <c r="E40" s="6"/>
      <c r="F40" s="6"/>
      <c r="G40" s="5"/>
      <c r="H40" s="7"/>
      <c r="I40" s="6"/>
      <c r="J40" s="6"/>
      <c r="K40" s="6"/>
      <c r="L40" s="6"/>
      <c r="M40" s="6"/>
      <c r="N40" s="5"/>
      <c r="O40" s="7"/>
      <c r="P40" s="6"/>
      <c r="Q40" s="6"/>
      <c r="R40" s="6"/>
      <c r="S40" s="77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9"/>
      <c r="AX40" s="73"/>
      <c r="AY40" s="73"/>
      <c r="AZ40" s="73"/>
      <c r="BA40" s="73"/>
      <c r="BB40" s="73"/>
      <c r="BC40" s="74"/>
      <c r="BD40" s="76"/>
      <c r="BE40" s="73"/>
      <c r="BF40" s="73"/>
      <c r="BG40" s="73"/>
      <c r="BH40" s="73"/>
      <c r="BI40" s="73"/>
      <c r="BJ40" s="74"/>
      <c r="BK40" s="17"/>
    </row>
    <row r="41" spans="1:63" ht="15" customHeight="1" x14ac:dyDescent="0.25">
      <c r="A41" s="14"/>
      <c r="B41" s="10"/>
      <c r="C41" s="9"/>
      <c r="D41" s="9"/>
      <c r="E41" s="9"/>
      <c r="F41" s="9"/>
      <c r="G41" s="8"/>
      <c r="H41" s="10"/>
      <c r="I41" s="9"/>
      <c r="J41" s="9"/>
      <c r="K41" s="9"/>
      <c r="L41" s="9"/>
      <c r="M41" s="9"/>
      <c r="N41" s="8"/>
      <c r="O41" s="10"/>
      <c r="P41" s="9"/>
      <c r="Q41" s="9"/>
      <c r="R41" s="9"/>
      <c r="S41" s="80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70"/>
      <c r="AX41" s="71"/>
      <c r="AY41" s="71"/>
      <c r="AZ41" s="71"/>
      <c r="BA41" s="71"/>
      <c r="BB41" s="71"/>
      <c r="BC41" s="72"/>
      <c r="BD41" s="75"/>
      <c r="BE41" s="71"/>
      <c r="BF41" s="71"/>
      <c r="BG41" s="71"/>
      <c r="BH41" s="71"/>
      <c r="BI41" s="71"/>
      <c r="BJ41" s="72"/>
      <c r="BK41" s="17"/>
    </row>
    <row r="42" spans="1:63" ht="15" customHeight="1" x14ac:dyDescent="0.25">
      <c r="A42" s="14"/>
      <c r="B42" s="7"/>
      <c r="C42" s="6"/>
      <c r="D42" s="6"/>
      <c r="E42" s="6"/>
      <c r="F42" s="6"/>
      <c r="G42" s="5"/>
      <c r="H42" s="7"/>
      <c r="I42" s="6"/>
      <c r="J42" s="6"/>
      <c r="K42" s="6"/>
      <c r="L42" s="6"/>
      <c r="M42" s="6"/>
      <c r="N42" s="5"/>
      <c r="O42" s="7"/>
      <c r="P42" s="6"/>
      <c r="Q42" s="6"/>
      <c r="R42" s="6"/>
      <c r="S42" s="77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9"/>
      <c r="AX42" s="73"/>
      <c r="AY42" s="73"/>
      <c r="AZ42" s="73"/>
      <c r="BA42" s="73"/>
      <c r="BB42" s="73"/>
      <c r="BC42" s="74"/>
      <c r="BD42" s="76"/>
      <c r="BE42" s="73"/>
      <c r="BF42" s="73"/>
      <c r="BG42" s="73"/>
      <c r="BH42" s="73"/>
      <c r="BI42" s="73"/>
      <c r="BJ42" s="74"/>
      <c r="BK42" s="17"/>
    </row>
    <row r="43" spans="1:63" ht="15" customHeight="1" x14ac:dyDescent="0.25">
      <c r="A43" s="14"/>
      <c r="B43" s="10"/>
      <c r="C43" s="9"/>
      <c r="D43" s="9"/>
      <c r="E43" s="9"/>
      <c r="F43" s="9"/>
      <c r="G43" s="8"/>
      <c r="H43" s="10"/>
      <c r="I43" s="9"/>
      <c r="J43" s="9"/>
      <c r="K43" s="9"/>
      <c r="L43" s="9"/>
      <c r="M43" s="9"/>
      <c r="N43" s="8"/>
      <c r="O43" s="10"/>
      <c r="P43" s="9"/>
      <c r="Q43" s="9"/>
      <c r="R43" s="9"/>
      <c r="S43" s="80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70"/>
      <c r="AX43" s="71"/>
      <c r="AY43" s="71"/>
      <c r="AZ43" s="71"/>
      <c r="BA43" s="71"/>
      <c r="BB43" s="71"/>
      <c r="BC43" s="72"/>
      <c r="BD43" s="75"/>
      <c r="BE43" s="71"/>
      <c r="BF43" s="71"/>
      <c r="BG43" s="71"/>
      <c r="BH43" s="71"/>
      <c r="BI43" s="71"/>
      <c r="BJ43" s="72"/>
      <c r="BK43" s="17"/>
    </row>
    <row r="44" spans="1:63" ht="15" customHeight="1" x14ac:dyDescent="0.25">
      <c r="A44" s="14"/>
      <c r="B44" s="7"/>
      <c r="C44" s="6"/>
      <c r="D44" s="6"/>
      <c r="E44" s="6"/>
      <c r="F44" s="6"/>
      <c r="G44" s="5"/>
      <c r="H44" s="7"/>
      <c r="I44" s="6"/>
      <c r="J44" s="6"/>
      <c r="K44" s="6"/>
      <c r="L44" s="6"/>
      <c r="M44" s="6"/>
      <c r="N44" s="5"/>
      <c r="O44" s="7"/>
      <c r="P44" s="6"/>
      <c r="Q44" s="6"/>
      <c r="R44" s="6"/>
      <c r="S44" s="77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78"/>
      <c r="AU44" s="78"/>
      <c r="AV44" s="78"/>
      <c r="AW44" s="79"/>
      <c r="AX44" s="73"/>
      <c r="AY44" s="73"/>
      <c r="AZ44" s="73"/>
      <c r="BA44" s="73"/>
      <c r="BB44" s="73"/>
      <c r="BC44" s="74"/>
      <c r="BD44" s="76"/>
      <c r="BE44" s="73"/>
      <c r="BF44" s="73"/>
      <c r="BG44" s="73"/>
      <c r="BH44" s="73"/>
      <c r="BI44" s="73"/>
      <c r="BJ44" s="74"/>
      <c r="BK44" s="17"/>
    </row>
    <row r="45" spans="1:63" ht="15" customHeight="1" x14ac:dyDescent="0.25">
      <c r="A45" s="14"/>
      <c r="B45" s="10"/>
      <c r="C45" s="9"/>
      <c r="D45" s="9"/>
      <c r="E45" s="9"/>
      <c r="F45" s="9"/>
      <c r="G45" s="8"/>
      <c r="H45" s="10"/>
      <c r="I45" s="9"/>
      <c r="J45" s="9"/>
      <c r="K45" s="9"/>
      <c r="L45" s="9"/>
      <c r="M45" s="9"/>
      <c r="N45" s="8"/>
      <c r="O45" s="10"/>
      <c r="P45" s="9"/>
      <c r="Q45" s="9"/>
      <c r="R45" s="9"/>
      <c r="S45" s="80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70"/>
      <c r="AX45" s="71"/>
      <c r="AY45" s="71"/>
      <c r="AZ45" s="71"/>
      <c r="BA45" s="71"/>
      <c r="BB45" s="71"/>
      <c r="BC45" s="72"/>
      <c r="BD45" s="75"/>
      <c r="BE45" s="71"/>
      <c r="BF45" s="71"/>
      <c r="BG45" s="71"/>
      <c r="BH45" s="71"/>
      <c r="BI45" s="71"/>
      <c r="BJ45" s="72"/>
      <c r="BK45" s="17"/>
    </row>
    <row r="46" spans="1:63" ht="15" customHeight="1" x14ac:dyDescent="0.25">
      <c r="A46" s="14"/>
      <c r="B46" s="7"/>
      <c r="C46" s="6"/>
      <c r="D46" s="6"/>
      <c r="E46" s="6"/>
      <c r="F46" s="6"/>
      <c r="G46" s="5"/>
      <c r="H46" s="7"/>
      <c r="I46" s="6"/>
      <c r="J46" s="6"/>
      <c r="K46" s="6"/>
      <c r="L46" s="6"/>
      <c r="M46" s="6"/>
      <c r="N46" s="5"/>
      <c r="O46" s="7"/>
      <c r="P46" s="6"/>
      <c r="Q46" s="6"/>
      <c r="R46" s="6"/>
      <c r="S46" s="77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78"/>
      <c r="AR46" s="78"/>
      <c r="AS46" s="78"/>
      <c r="AT46" s="78"/>
      <c r="AU46" s="78"/>
      <c r="AV46" s="78"/>
      <c r="AW46" s="79"/>
      <c r="AX46" s="73"/>
      <c r="AY46" s="73"/>
      <c r="AZ46" s="73"/>
      <c r="BA46" s="73"/>
      <c r="BB46" s="73"/>
      <c r="BC46" s="74"/>
      <c r="BD46" s="76"/>
      <c r="BE46" s="73"/>
      <c r="BF46" s="73"/>
      <c r="BG46" s="73"/>
      <c r="BH46" s="73"/>
      <c r="BI46" s="73"/>
      <c r="BJ46" s="74"/>
      <c r="BK46" s="17"/>
    </row>
    <row r="47" spans="1:63" ht="15" customHeight="1" x14ac:dyDescent="0.25">
      <c r="A47" s="14"/>
      <c r="B47" s="10"/>
      <c r="C47" s="9"/>
      <c r="D47" s="9"/>
      <c r="E47" s="9"/>
      <c r="F47" s="9"/>
      <c r="G47" s="8"/>
      <c r="H47" s="10"/>
      <c r="I47" s="9"/>
      <c r="J47" s="9"/>
      <c r="K47" s="9"/>
      <c r="L47" s="9"/>
      <c r="M47" s="9"/>
      <c r="N47" s="8"/>
      <c r="O47" s="10"/>
      <c r="P47" s="9"/>
      <c r="Q47" s="9"/>
      <c r="R47" s="9"/>
      <c r="S47" s="80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70"/>
      <c r="AX47" s="71"/>
      <c r="AY47" s="71"/>
      <c r="AZ47" s="71"/>
      <c r="BA47" s="71"/>
      <c r="BB47" s="71"/>
      <c r="BC47" s="72"/>
      <c r="BD47" s="75"/>
      <c r="BE47" s="71"/>
      <c r="BF47" s="71"/>
      <c r="BG47" s="71"/>
      <c r="BH47" s="71"/>
      <c r="BI47" s="71"/>
      <c r="BJ47" s="72"/>
      <c r="BK47" s="17"/>
    </row>
    <row r="48" spans="1:63" ht="15" customHeight="1" x14ac:dyDescent="0.25">
      <c r="A48" s="14"/>
      <c r="B48" s="7"/>
      <c r="C48" s="6"/>
      <c r="D48" s="6"/>
      <c r="E48" s="6"/>
      <c r="F48" s="6"/>
      <c r="G48" s="5"/>
      <c r="H48" s="7"/>
      <c r="I48" s="6"/>
      <c r="J48" s="6"/>
      <c r="K48" s="6"/>
      <c r="L48" s="6"/>
      <c r="M48" s="6"/>
      <c r="N48" s="5"/>
      <c r="O48" s="7"/>
      <c r="P48" s="6"/>
      <c r="Q48" s="6"/>
      <c r="R48" s="6"/>
      <c r="S48" s="77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78"/>
      <c r="AR48" s="78"/>
      <c r="AS48" s="78"/>
      <c r="AT48" s="78"/>
      <c r="AU48" s="78"/>
      <c r="AV48" s="78"/>
      <c r="AW48" s="79"/>
      <c r="AX48" s="73"/>
      <c r="AY48" s="73"/>
      <c r="AZ48" s="73"/>
      <c r="BA48" s="73"/>
      <c r="BB48" s="73"/>
      <c r="BC48" s="74"/>
      <c r="BD48" s="76"/>
      <c r="BE48" s="73"/>
      <c r="BF48" s="73"/>
      <c r="BG48" s="73"/>
      <c r="BH48" s="73"/>
      <c r="BI48" s="73"/>
      <c r="BJ48" s="74"/>
      <c r="BK48" s="17"/>
    </row>
    <row r="49" spans="1:63" ht="15" customHeight="1" x14ac:dyDescent="0.25">
      <c r="A49" s="14"/>
      <c r="B49" s="10"/>
      <c r="C49" s="9"/>
      <c r="D49" s="9"/>
      <c r="E49" s="9"/>
      <c r="F49" s="9"/>
      <c r="G49" s="8"/>
      <c r="H49" s="10"/>
      <c r="I49" s="9"/>
      <c r="J49" s="9"/>
      <c r="K49" s="9"/>
      <c r="L49" s="9"/>
      <c r="M49" s="9"/>
      <c r="N49" s="8"/>
      <c r="O49" s="10"/>
      <c r="P49" s="9"/>
      <c r="Q49" s="9"/>
      <c r="R49" s="9"/>
      <c r="S49" s="80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70"/>
      <c r="AX49" s="71"/>
      <c r="AY49" s="71"/>
      <c r="AZ49" s="71"/>
      <c r="BA49" s="71"/>
      <c r="BB49" s="71"/>
      <c r="BC49" s="72"/>
      <c r="BD49" s="75"/>
      <c r="BE49" s="71"/>
      <c r="BF49" s="71"/>
      <c r="BG49" s="71"/>
      <c r="BH49" s="71"/>
      <c r="BI49" s="71"/>
      <c r="BJ49" s="72"/>
      <c r="BK49" s="17"/>
    </row>
    <row r="50" spans="1:63" ht="15" customHeight="1" x14ac:dyDescent="0.25">
      <c r="A50" s="14"/>
      <c r="B50" s="7"/>
      <c r="C50" s="6"/>
      <c r="D50" s="6"/>
      <c r="E50" s="6"/>
      <c r="F50" s="6"/>
      <c r="G50" s="5"/>
      <c r="H50" s="7"/>
      <c r="I50" s="6"/>
      <c r="J50" s="6"/>
      <c r="K50" s="6"/>
      <c r="L50" s="6"/>
      <c r="M50" s="6"/>
      <c r="N50" s="5"/>
      <c r="O50" s="7"/>
      <c r="P50" s="6"/>
      <c r="Q50" s="6"/>
      <c r="R50" s="6"/>
      <c r="S50" s="77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78"/>
      <c r="AR50" s="78"/>
      <c r="AS50" s="78"/>
      <c r="AT50" s="78"/>
      <c r="AU50" s="78"/>
      <c r="AV50" s="78"/>
      <c r="AW50" s="79"/>
      <c r="AX50" s="73"/>
      <c r="AY50" s="73"/>
      <c r="AZ50" s="73"/>
      <c r="BA50" s="73"/>
      <c r="BB50" s="73"/>
      <c r="BC50" s="74"/>
      <c r="BD50" s="76"/>
      <c r="BE50" s="73"/>
      <c r="BF50" s="73"/>
      <c r="BG50" s="73"/>
      <c r="BH50" s="73"/>
      <c r="BI50" s="73"/>
      <c r="BJ50" s="74"/>
      <c r="BK50" s="17"/>
    </row>
    <row r="51" spans="1:63" ht="15" customHeight="1" x14ac:dyDescent="0.25">
      <c r="A51" s="14"/>
      <c r="B51" s="10"/>
      <c r="C51" s="9"/>
      <c r="D51" s="9"/>
      <c r="E51" s="9"/>
      <c r="F51" s="9"/>
      <c r="G51" s="8"/>
      <c r="H51" s="10"/>
      <c r="I51" s="9"/>
      <c r="J51" s="9"/>
      <c r="K51" s="9"/>
      <c r="L51" s="9"/>
      <c r="M51" s="9"/>
      <c r="N51" s="8"/>
      <c r="O51" s="10"/>
      <c r="P51" s="9"/>
      <c r="Q51" s="9"/>
      <c r="R51" s="9"/>
      <c r="S51" s="80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70"/>
      <c r="AX51" s="71"/>
      <c r="AY51" s="71"/>
      <c r="AZ51" s="71"/>
      <c r="BA51" s="71"/>
      <c r="BB51" s="71"/>
      <c r="BC51" s="72"/>
      <c r="BD51" s="75"/>
      <c r="BE51" s="71"/>
      <c r="BF51" s="71"/>
      <c r="BG51" s="71"/>
      <c r="BH51" s="71"/>
      <c r="BI51" s="71"/>
      <c r="BJ51" s="72"/>
      <c r="BK51" s="17"/>
    </row>
    <row r="52" spans="1:63" ht="15" customHeight="1" x14ac:dyDescent="0.25">
      <c r="A52" s="14"/>
      <c r="B52" s="7"/>
      <c r="C52" s="6"/>
      <c r="D52" s="6"/>
      <c r="E52" s="6"/>
      <c r="F52" s="6"/>
      <c r="G52" s="5"/>
      <c r="H52" s="7"/>
      <c r="I52" s="6"/>
      <c r="J52" s="6"/>
      <c r="K52" s="6"/>
      <c r="L52" s="6"/>
      <c r="M52" s="6"/>
      <c r="N52" s="5"/>
      <c r="O52" s="7"/>
      <c r="P52" s="6"/>
      <c r="Q52" s="6"/>
      <c r="R52" s="6"/>
      <c r="S52" s="77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78"/>
      <c r="AR52" s="78"/>
      <c r="AS52" s="78"/>
      <c r="AT52" s="78"/>
      <c r="AU52" s="78"/>
      <c r="AV52" s="78"/>
      <c r="AW52" s="79"/>
      <c r="AX52" s="73"/>
      <c r="AY52" s="73"/>
      <c r="AZ52" s="73"/>
      <c r="BA52" s="73"/>
      <c r="BB52" s="73"/>
      <c r="BC52" s="74"/>
      <c r="BD52" s="76"/>
      <c r="BE52" s="73"/>
      <c r="BF52" s="73"/>
      <c r="BG52" s="73"/>
      <c r="BH52" s="73"/>
      <c r="BI52" s="73"/>
      <c r="BJ52" s="74"/>
      <c r="BK52" s="17"/>
    </row>
    <row r="53" spans="1:63" ht="15" customHeight="1" x14ac:dyDescent="0.25">
      <c r="A53" s="14"/>
      <c r="B53" s="10"/>
      <c r="C53" s="9"/>
      <c r="D53" s="9"/>
      <c r="E53" s="9"/>
      <c r="F53" s="9"/>
      <c r="G53" s="8"/>
      <c r="H53" s="10"/>
      <c r="I53" s="9"/>
      <c r="J53" s="9"/>
      <c r="K53" s="9"/>
      <c r="L53" s="9"/>
      <c r="M53" s="9"/>
      <c r="N53" s="8"/>
      <c r="O53" s="10"/>
      <c r="P53" s="9"/>
      <c r="Q53" s="9"/>
      <c r="R53" s="9"/>
      <c r="S53" s="80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70"/>
      <c r="AX53" s="71"/>
      <c r="AY53" s="71"/>
      <c r="AZ53" s="71"/>
      <c r="BA53" s="71"/>
      <c r="BB53" s="71"/>
      <c r="BC53" s="72"/>
      <c r="BD53" s="75"/>
      <c r="BE53" s="71"/>
      <c r="BF53" s="71"/>
      <c r="BG53" s="71"/>
      <c r="BH53" s="71"/>
      <c r="BI53" s="71"/>
      <c r="BJ53" s="72"/>
      <c r="BK53" s="17"/>
    </row>
    <row r="54" spans="1:63" ht="15" customHeight="1" x14ac:dyDescent="0.25">
      <c r="A54" s="14"/>
      <c r="B54" s="7"/>
      <c r="C54" s="6"/>
      <c r="D54" s="6"/>
      <c r="E54" s="6"/>
      <c r="F54" s="6"/>
      <c r="G54" s="5"/>
      <c r="H54" s="7"/>
      <c r="I54" s="6"/>
      <c r="J54" s="6"/>
      <c r="K54" s="6"/>
      <c r="L54" s="6"/>
      <c r="M54" s="6"/>
      <c r="N54" s="5"/>
      <c r="O54" s="7"/>
      <c r="P54" s="6"/>
      <c r="Q54" s="6"/>
      <c r="R54" s="6"/>
      <c r="S54" s="77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78"/>
      <c r="AR54" s="78"/>
      <c r="AS54" s="78"/>
      <c r="AT54" s="78"/>
      <c r="AU54" s="78"/>
      <c r="AV54" s="78"/>
      <c r="AW54" s="79"/>
      <c r="AX54" s="73"/>
      <c r="AY54" s="73"/>
      <c r="AZ54" s="73"/>
      <c r="BA54" s="73"/>
      <c r="BB54" s="73"/>
      <c r="BC54" s="74"/>
      <c r="BD54" s="76"/>
      <c r="BE54" s="73"/>
      <c r="BF54" s="73"/>
      <c r="BG54" s="73"/>
      <c r="BH54" s="73"/>
      <c r="BI54" s="73"/>
      <c r="BJ54" s="74"/>
      <c r="BK54" s="17"/>
    </row>
    <row r="55" spans="1:63" ht="15" customHeight="1" x14ac:dyDescent="0.25">
      <c r="A55" s="15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8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4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221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4" width="2.77734375" style="19"/>
    <col min="15" max="15" width="4.109375" style="19" customWidth="1"/>
    <col min="16" max="16384" width="2.77734375" style="19"/>
  </cols>
  <sheetData>
    <row r="1" spans="1:63" ht="24.95" customHeight="1" x14ac:dyDescent="0.25">
      <c r="A1" s="324" t="s">
        <v>132</v>
      </c>
      <c r="B1" s="325"/>
      <c r="C1" s="325"/>
      <c r="D1" s="325"/>
      <c r="E1" s="325"/>
      <c r="F1" s="325"/>
      <c r="G1" s="325"/>
      <c r="H1" s="325"/>
      <c r="I1" s="325"/>
      <c r="J1" s="326"/>
      <c r="K1" s="324" t="s">
        <v>133</v>
      </c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6"/>
      <c r="W1" s="327" t="str">
        <f>IF(表紙!W1="","",表紙!W1)</f>
        <v>詳細設計書</v>
      </c>
      <c r="X1" s="328"/>
      <c r="Y1" s="328"/>
      <c r="Z1" s="328"/>
      <c r="AA1" s="328"/>
      <c r="AB1" s="328"/>
      <c r="AC1" s="328"/>
      <c r="AD1" s="328"/>
      <c r="AE1" s="328"/>
      <c r="AF1" s="328"/>
      <c r="AG1" s="328"/>
      <c r="AH1" s="328"/>
      <c r="AI1" s="328"/>
      <c r="AJ1" s="328"/>
      <c r="AK1" s="328"/>
      <c r="AL1" s="328"/>
      <c r="AM1" s="328"/>
      <c r="AN1" s="328"/>
      <c r="AO1" s="329"/>
      <c r="AP1" s="264" t="s">
        <v>135</v>
      </c>
      <c r="AQ1" s="265"/>
      <c r="AR1" s="265"/>
      <c r="AS1" s="266"/>
      <c r="AT1" s="264" t="s">
        <v>136</v>
      </c>
      <c r="AU1" s="265"/>
      <c r="AV1" s="265"/>
      <c r="AW1" s="265"/>
      <c r="AX1" s="266"/>
      <c r="AY1" s="264" t="s">
        <v>137</v>
      </c>
      <c r="AZ1" s="265"/>
      <c r="BA1" s="265"/>
      <c r="BB1" s="266"/>
      <c r="BC1" s="264" t="s">
        <v>138</v>
      </c>
      <c r="BD1" s="265"/>
      <c r="BE1" s="265"/>
      <c r="BF1" s="265"/>
      <c r="BG1" s="266"/>
      <c r="BH1" s="264" t="s">
        <v>139</v>
      </c>
      <c r="BI1" s="265"/>
      <c r="BJ1" s="265"/>
      <c r="BK1" s="266"/>
    </row>
    <row r="2" spans="1:63" ht="15" customHeight="1" x14ac:dyDescent="0.25">
      <c r="A2" s="205" t="str">
        <f>IF(表紙!A2="","",表紙!A2)</f>
        <v>POSサーバー</v>
      </c>
      <c r="B2" s="206"/>
      <c r="C2" s="206"/>
      <c r="D2" s="206"/>
      <c r="E2" s="206"/>
      <c r="F2" s="206"/>
      <c r="G2" s="206"/>
      <c r="H2" s="206"/>
      <c r="I2" s="206"/>
      <c r="J2" s="207"/>
      <c r="K2" s="205" t="str">
        <f>IF(表紙!K2="","",表紙!K2)</f>
        <v>POSサーバ</v>
      </c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7"/>
      <c r="W2" s="330"/>
      <c r="X2" s="331"/>
      <c r="Y2" s="331"/>
      <c r="Z2" s="331"/>
      <c r="AA2" s="331"/>
      <c r="AB2" s="331"/>
      <c r="AC2" s="331"/>
      <c r="AD2" s="331"/>
      <c r="AE2" s="331"/>
      <c r="AF2" s="331"/>
      <c r="AG2" s="331"/>
      <c r="AH2" s="331"/>
      <c r="AI2" s="331"/>
      <c r="AJ2" s="331"/>
      <c r="AK2" s="331"/>
      <c r="AL2" s="331"/>
      <c r="AM2" s="331"/>
      <c r="AN2" s="331"/>
      <c r="AO2" s="332"/>
      <c r="AP2" s="273" t="str">
        <f>IF(表紙!AP2="","",表紙!AP2)</f>
        <v>LoiLv</v>
      </c>
      <c r="AQ2" s="271"/>
      <c r="AR2" s="271"/>
      <c r="AS2" s="272"/>
      <c r="AT2" s="277">
        <f>IF(表紙!AT2="","",表紙!AT2)</f>
        <v>45460</v>
      </c>
      <c r="AU2" s="278"/>
      <c r="AV2" s="278"/>
      <c r="AW2" s="278"/>
      <c r="AX2" s="279"/>
      <c r="AY2" s="273" t="str">
        <f>IF(表紙!AY2="","",表紙!AY2)</f>
        <v>TuyenNH</v>
      </c>
      <c r="AZ2" s="271"/>
      <c r="BA2" s="271"/>
      <c r="BB2" s="272"/>
      <c r="BC2" s="277">
        <f>IF(表紙!BC2="","",表紙!BC2)</f>
        <v>45601</v>
      </c>
      <c r="BD2" s="278"/>
      <c r="BE2" s="278"/>
      <c r="BF2" s="278"/>
      <c r="BG2" s="279"/>
      <c r="BH2" s="273">
        <f>IF(表紙!BH2="","",表紙!BH2)</f>
        <v>0.16</v>
      </c>
      <c r="BI2" s="271"/>
      <c r="BJ2" s="271"/>
      <c r="BK2" s="272"/>
    </row>
    <row r="3" spans="1:63" ht="15" customHeight="1" x14ac:dyDescent="0.25">
      <c r="A3" s="208"/>
      <c r="B3" s="209"/>
      <c r="C3" s="209"/>
      <c r="D3" s="209"/>
      <c r="E3" s="209"/>
      <c r="F3" s="209"/>
      <c r="G3" s="209"/>
      <c r="H3" s="209"/>
      <c r="I3" s="209"/>
      <c r="J3" s="210"/>
      <c r="K3" s="208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10"/>
      <c r="W3" s="333"/>
      <c r="X3" s="334"/>
      <c r="Y3" s="334"/>
      <c r="Z3" s="334"/>
      <c r="AA3" s="334"/>
      <c r="AB3" s="334"/>
      <c r="AC3" s="334"/>
      <c r="AD3" s="334"/>
      <c r="AE3" s="334"/>
      <c r="AF3" s="334"/>
      <c r="AG3" s="334"/>
      <c r="AH3" s="334"/>
      <c r="AI3" s="334"/>
      <c r="AJ3" s="334"/>
      <c r="AK3" s="334"/>
      <c r="AL3" s="334"/>
      <c r="AM3" s="334"/>
      <c r="AN3" s="334"/>
      <c r="AO3" s="335"/>
      <c r="AP3" s="283"/>
      <c r="AQ3" s="284"/>
      <c r="AR3" s="284"/>
      <c r="AS3" s="285"/>
      <c r="AT3" s="289"/>
      <c r="AU3" s="290"/>
      <c r="AV3" s="290"/>
      <c r="AW3" s="290"/>
      <c r="AX3" s="291"/>
      <c r="AY3" s="283"/>
      <c r="AZ3" s="284"/>
      <c r="BA3" s="284"/>
      <c r="BB3" s="285"/>
      <c r="BC3" s="289"/>
      <c r="BD3" s="290"/>
      <c r="BE3" s="290"/>
      <c r="BF3" s="290"/>
      <c r="BG3" s="291"/>
      <c r="BH3" s="283"/>
      <c r="BI3" s="284"/>
      <c r="BJ3" s="284"/>
      <c r="BK3" s="285"/>
    </row>
    <row r="4" spans="1:63" ht="24.95" customHeight="1" x14ac:dyDescent="0.25">
      <c r="A4" s="324" t="s">
        <v>141</v>
      </c>
      <c r="B4" s="325"/>
      <c r="C4" s="325"/>
      <c r="D4" s="325"/>
      <c r="E4" s="325"/>
      <c r="F4" s="325"/>
      <c r="G4" s="326"/>
      <c r="H4" s="163" t="str">
        <f>IF(表紙!H4="","",表紙!H4)</f>
        <v>21_ジャーナル検索</v>
      </c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5"/>
      <c r="U4" s="324" t="s">
        <v>142</v>
      </c>
      <c r="V4" s="325"/>
      <c r="W4" s="325"/>
      <c r="X4" s="325"/>
      <c r="Y4" s="326"/>
      <c r="Z4" s="163" t="str">
        <f>IF(表紙!Z4="","",表紙!Z4)</f>
        <v>画面設計書</v>
      </c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  <c r="AO4" s="165"/>
      <c r="AP4" s="166" t="str">
        <f ca="1">MID(CELL("filename",A1),FIND("]",CELL("filename",A1))+1,255)</f>
        <v>SC2101</v>
      </c>
      <c r="AQ4" s="164"/>
      <c r="AR4" s="164"/>
      <c r="AS4" s="164"/>
      <c r="AT4" s="164"/>
      <c r="AU4" s="164"/>
      <c r="AV4" s="164"/>
      <c r="AW4" s="164"/>
      <c r="AX4" s="164"/>
      <c r="AY4" s="164"/>
      <c r="AZ4" s="164"/>
      <c r="BA4" s="164"/>
      <c r="BB4" s="164"/>
      <c r="BC4" s="164"/>
      <c r="BD4" s="164"/>
      <c r="BE4" s="164"/>
      <c r="BF4" s="164"/>
      <c r="BG4" s="164"/>
      <c r="BH4" s="164"/>
      <c r="BI4" s="164"/>
      <c r="BJ4" s="164"/>
      <c r="BK4" s="165"/>
    </row>
    <row r="5" spans="1:63" ht="5.0999999999999996" customHeight="1" x14ac:dyDescent="0.2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2"/>
    </row>
    <row r="6" spans="1:63" ht="15" customHeight="1" x14ac:dyDescent="0.25">
      <c r="A6" s="23"/>
      <c r="BK6" s="24"/>
    </row>
    <row r="7" spans="1:63" ht="15" customHeight="1" x14ac:dyDescent="0.25">
      <c r="A7" s="23"/>
      <c r="B7" s="43" t="s">
        <v>117</v>
      </c>
      <c r="C7" s="336"/>
      <c r="D7" s="336"/>
      <c r="E7" s="336"/>
      <c r="F7" s="336"/>
      <c r="G7" s="336"/>
      <c r="H7" s="336"/>
      <c r="I7" s="336"/>
      <c r="J7" s="336"/>
      <c r="AE7" s="25"/>
      <c r="BC7" s="270"/>
      <c r="BK7" s="24"/>
    </row>
    <row r="8" spans="1:63" ht="15" customHeight="1" x14ac:dyDescent="0.25">
      <c r="A8" s="23"/>
      <c r="B8" s="43"/>
      <c r="C8" s="336" t="s">
        <v>97</v>
      </c>
      <c r="D8" s="336"/>
      <c r="E8" s="336"/>
      <c r="F8" s="336"/>
      <c r="G8" s="336"/>
      <c r="H8" s="336"/>
      <c r="I8" s="336"/>
      <c r="J8" s="336"/>
      <c r="K8" s="336"/>
      <c r="L8" s="336"/>
      <c r="M8" s="336"/>
      <c r="N8" s="336"/>
      <c r="O8" s="336"/>
      <c r="P8" s="336"/>
      <c r="Q8" s="336"/>
      <c r="R8" s="336"/>
      <c r="S8" s="336"/>
      <c r="T8" s="336"/>
      <c r="U8" s="336"/>
      <c r="V8" s="336"/>
      <c r="W8" s="336"/>
      <c r="X8" s="336"/>
      <c r="BK8" s="24"/>
    </row>
    <row r="9" spans="1:63" ht="15" customHeight="1" x14ac:dyDescent="0.25">
      <c r="A9" s="23"/>
      <c r="BK9" s="24"/>
    </row>
    <row r="10" spans="1:63" ht="15" customHeight="1" x14ac:dyDescent="0.25">
      <c r="A10" s="23"/>
      <c r="BK10" s="24"/>
    </row>
    <row r="11" spans="1:63" ht="15" customHeight="1" x14ac:dyDescent="0.25">
      <c r="A11" s="23"/>
      <c r="BK11" s="24"/>
    </row>
    <row r="12" spans="1:63" ht="15" customHeight="1" x14ac:dyDescent="0.25">
      <c r="A12" s="23"/>
      <c r="BK12" s="24"/>
    </row>
    <row r="13" spans="1:63" ht="15" customHeight="1" x14ac:dyDescent="0.25">
      <c r="A13" s="23"/>
      <c r="BK13" s="24"/>
    </row>
    <row r="14" spans="1:63" ht="15" customHeight="1" x14ac:dyDescent="0.25">
      <c r="A14" s="23"/>
      <c r="BK14" s="24"/>
    </row>
    <row r="15" spans="1:63" ht="15" customHeight="1" x14ac:dyDescent="0.25">
      <c r="A15" s="23"/>
      <c r="BK15" s="24"/>
    </row>
    <row r="16" spans="1:63" ht="15" customHeight="1" x14ac:dyDescent="0.25">
      <c r="A16" s="23"/>
      <c r="BK16" s="24"/>
    </row>
    <row r="17" spans="1:63" ht="15" customHeight="1" x14ac:dyDescent="0.25">
      <c r="A17" s="23"/>
      <c r="BK17" s="24"/>
    </row>
    <row r="18" spans="1:63" ht="15" customHeight="1" x14ac:dyDescent="0.25">
      <c r="A18" s="23"/>
      <c r="BK18" s="24"/>
    </row>
    <row r="19" spans="1:63" ht="15" customHeight="1" x14ac:dyDescent="0.25">
      <c r="A19" s="23"/>
      <c r="BK19" s="24"/>
    </row>
    <row r="20" spans="1:63" ht="15" customHeight="1" x14ac:dyDescent="0.25">
      <c r="A20" s="23"/>
      <c r="BK20" s="24"/>
    </row>
    <row r="21" spans="1:63" ht="15" customHeight="1" x14ac:dyDescent="0.25">
      <c r="A21" s="23"/>
      <c r="BK21" s="24"/>
    </row>
    <row r="22" spans="1:63" ht="15" customHeight="1" x14ac:dyDescent="0.25">
      <c r="A22" s="23"/>
      <c r="BK22" s="24"/>
    </row>
    <row r="23" spans="1:63" ht="15" customHeight="1" x14ac:dyDescent="0.25">
      <c r="A23" s="23"/>
      <c r="BK23" s="24"/>
    </row>
    <row r="24" spans="1:63" ht="15" customHeight="1" x14ac:dyDescent="0.25">
      <c r="A24" s="23"/>
      <c r="BK24" s="24"/>
    </row>
    <row r="25" spans="1:63" ht="15" customHeight="1" x14ac:dyDescent="0.25">
      <c r="A25" s="23"/>
      <c r="BK25" s="24"/>
    </row>
    <row r="26" spans="1:63" ht="15" customHeight="1" x14ac:dyDescent="0.25">
      <c r="A26" s="23"/>
      <c r="BK26" s="24"/>
    </row>
    <row r="27" spans="1:63" ht="15" customHeight="1" x14ac:dyDescent="0.25">
      <c r="A27" s="23"/>
      <c r="BK27" s="24"/>
    </row>
    <row r="28" spans="1:63" ht="15" customHeight="1" x14ac:dyDescent="0.25">
      <c r="A28" s="23"/>
      <c r="BK28" s="24"/>
    </row>
    <row r="29" spans="1:63" ht="15" customHeight="1" x14ac:dyDescent="0.25">
      <c r="A29" s="23"/>
      <c r="BK29" s="24"/>
    </row>
    <row r="30" spans="1:63" ht="15" customHeight="1" x14ac:dyDescent="0.25">
      <c r="A30" s="23"/>
      <c r="BK30" s="24"/>
    </row>
    <row r="31" spans="1:63" ht="15" customHeight="1" x14ac:dyDescent="0.25">
      <c r="A31" s="23"/>
      <c r="BK31" s="24"/>
    </row>
    <row r="32" spans="1:63" ht="15" customHeight="1" x14ac:dyDescent="0.25">
      <c r="A32" s="23"/>
      <c r="BK32" s="24"/>
    </row>
    <row r="33" spans="1:63" ht="15" customHeight="1" x14ac:dyDescent="0.25">
      <c r="A33" s="23"/>
      <c r="BK33" s="24"/>
    </row>
    <row r="34" spans="1:63" ht="15" customHeight="1" x14ac:dyDescent="0.25">
      <c r="A34" s="23"/>
      <c r="BK34" s="24"/>
    </row>
    <row r="35" spans="1:63" ht="15" customHeight="1" x14ac:dyDescent="0.25">
      <c r="A35" s="23"/>
      <c r="BK35" s="24"/>
    </row>
    <row r="36" spans="1:63" ht="15" customHeight="1" x14ac:dyDescent="0.25">
      <c r="A36" s="23"/>
      <c r="BK36" s="24"/>
    </row>
    <row r="37" spans="1:63" ht="15" customHeight="1" x14ac:dyDescent="0.25">
      <c r="A37" s="23"/>
      <c r="BK37" s="24"/>
    </row>
    <row r="38" spans="1:63" ht="15" customHeight="1" x14ac:dyDescent="0.25">
      <c r="A38" s="23"/>
      <c r="BK38" s="24"/>
    </row>
    <row r="39" spans="1:63" ht="15" customHeight="1" x14ac:dyDescent="0.25">
      <c r="A39" s="23"/>
      <c r="BK39" s="24"/>
    </row>
    <row r="40" spans="1:63" ht="15" customHeight="1" x14ac:dyDescent="0.25">
      <c r="A40" s="23"/>
      <c r="BK40" s="24"/>
    </row>
    <row r="41" spans="1:63" ht="15" customHeight="1" x14ac:dyDescent="0.25">
      <c r="A41" s="23"/>
      <c r="BK41" s="24"/>
    </row>
    <row r="42" spans="1:63" ht="15" customHeight="1" x14ac:dyDescent="0.25">
      <c r="A42" s="23"/>
      <c r="BK42" s="24"/>
    </row>
    <row r="43" spans="1:63" ht="15" customHeight="1" x14ac:dyDescent="0.25">
      <c r="A43" s="23"/>
      <c r="BK43" s="24"/>
    </row>
    <row r="44" spans="1:63" ht="15" customHeight="1" x14ac:dyDescent="0.25">
      <c r="A44" s="23"/>
      <c r="BK44" s="24"/>
    </row>
    <row r="45" spans="1:63" ht="15" customHeight="1" x14ac:dyDescent="0.25">
      <c r="A45" s="23"/>
      <c r="BK45" s="24"/>
    </row>
    <row r="46" spans="1:63" ht="15" customHeight="1" x14ac:dyDescent="0.25">
      <c r="A46" s="23"/>
      <c r="BK46" s="24"/>
    </row>
    <row r="47" spans="1:63" ht="15" customHeight="1" x14ac:dyDescent="0.25">
      <c r="A47" s="23"/>
      <c r="B47" s="25" t="s">
        <v>147</v>
      </c>
      <c r="BK47" s="24"/>
    </row>
    <row r="48" spans="1:63" x14ac:dyDescent="0.25">
      <c r="A48" s="23"/>
      <c r="BK48" s="24"/>
    </row>
    <row r="49" spans="1:63" ht="15.75" customHeight="1" x14ac:dyDescent="0.25">
      <c r="A49" s="23"/>
      <c r="B49" s="167" t="s">
        <v>148</v>
      </c>
      <c r="C49" s="168"/>
      <c r="D49" s="173" t="s">
        <v>149</v>
      </c>
      <c r="E49" s="174"/>
      <c r="F49" s="174"/>
      <c r="G49" s="174"/>
      <c r="H49" s="174"/>
      <c r="I49" s="174"/>
      <c r="J49" s="168"/>
      <c r="K49" s="173" t="s">
        <v>150</v>
      </c>
      <c r="L49" s="174"/>
      <c r="M49" s="168"/>
      <c r="N49" s="177" t="s">
        <v>17</v>
      </c>
      <c r="O49" s="180" t="s">
        <v>151</v>
      </c>
      <c r="P49" s="183" t="s">
        <v>152</v>
      </c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  <c r="AB49" s="184"/>
      <c r="AC49" s="184"/>
      <c r="AD49" s="184"/>
      <c r="AE49" s="184"/>
      <c r="AF49" s="184"/>
      <c r="AG49" s="184"/>
      <c r="AH49" s="184"/>
      <c r="AI49" s="184"/>
      <c r="AJ49" s="184"/>
      <c r="AK49" s="184"/>
      <c r="AL49" s="184"/>
      <c r="AM49" s="184"/>
      <c r="AN49" s="184"/>
      <c r="AO49" s="184"/>
      <c r="AP49" s="184"/>
      <c r="AQ49" s="185"/>
      <c r="AR49" s="186" t="s">
        <v>153</v>
      </c>
      <c r="AS49" s="187"/>
      <c r="AT49" s="187"/>
      <c r="AU49" s="187"/>
      <c r="AV49" s="187"/>
      <c r="AW49" s="187"/>
      <c r="AX49" s="187"/>
      <c r="AY49" s="187"/>
      <c r="AZ49" s="187"/>
      <c r="BA49" s="187"/>
      <c r="BB49" s="188"/>
      <c r="BC49" s="142" t="s">
        <v>154</v>
      </c>
      <c r="BD49" s="143"/>
      <c r="BE49" s="143"/>
      <c r="BF49" s="143"/>
      <c r="BG49" s="143"/>
      <c r="BH49" s="143"/>
      <c r="BI49" s="143"/>
      <c r="BJ49" s="144"/>
      <c r="BK49" s="24"/>
    </row>
    <row r="50" spans="1:63" ht="15.75" customHeight="1" x14ac:dyDescent="0.25">
      <c r="A50" s="23"/>
      <c r="B50" s="169"/>
      <c r="C50" s="170"/>
      <c r="D50" s="169"/>
      <c r="E50" s="175"/>
      <c r="F50" s="175"/>
      <c r="G50" s="175"/>
      <c r="H50" s="175"/>
      <c r="I50" s="175"/>
      <c r="J50" s="170"/>
      <c r="K50" s="169"/>
      <c r="L50" s="175"/>
      <c r="M50" s="170"/>
      <c r="N50" s="178"/>
      <c r="O50" s="181"/>
      <c r="P50" s="189" t="s">
        <v>155</v>
      </c>
      <c r="Q50" s="190"/>
      <c r="R50" s="190"/>
      <c r="S50" s="190"/>
      <c r="T50" s="190"/>
      <c r="U50" s="190"/>
      <c r="V50" s="190"/>
      <c r="W50" s="191"/>
      <c r="X50" s="192" t="s">
        <v>156</v>
      </c>
      <c r="Y50" s="193"/>
      <c r="Z50" s="194"/>
      <c r="AA50" s="192" t="s">
        <v>157</v>
      </c>
      <c r="AB50" s="193"/>
      <c r="AC50" s="193"/>
      <c r="AD50" s="193"/>
      <c r="AE50" s="193"/>
      <c r="AF50" s="193"/>
      <c r="AG50" s="193"/>
      <c r="AH50" s="194"/>
      <c r="AI50" s="192" t="s">
        <v>158</v>
      </c>
      <c r="AJ50" s="193"/>
      <c r="AK50" s="193"/>
      <c r="AL50" s="193"/>
      <c r="AM50" s="193"/>
      <c r="AN50" s="193"/>
      <c r="AO50" s="193"/>
      <c r="AP50" s="193"/>
      <c r="AQ50" s="194"/>
      <c r="AR50" s="198" t="s">
        <v>159</v>
      </c>
      <c r="AS50" s="200" t="s">
        <v>160</v>
      </c>
      <c r="AT50" s="202" t="s">
        <v>161</v>
      </c>
      <c r="AU50" s="186" t="s">
        <v>155</v>
      </c>
      <c r="AV50" s="187"/>
      <c r="AW50" s="187"/>
      <c r="AX50" s="187"/>
      <c r="AY50" s="187"/>
      <c r="AZ50" s="187"/>
      <c r="BA50" s="187"/>
      <c r="BB50" s="188"/>
      <c r="BC50" s="145"/>
      <c r="BD50" s="146"/>
      <c r="BE50" s="146"/>
      <c r="BF50" s="146"/>
      <c r="BG50" s="146"/>
      <c r="BH50" s="146"/>
      <c r="BI50" s="146"/>
      <c r="BJ50" s="147"/>
      <c r="BK50" s="24"/>
    </row>
    <row r="51" spans="1:63" x14ac:dyDescent="0.25">
      <c r="A51" s="23"/>
      <c r="B51" s="171"/>
      <c r="C51" s="172"/>
      <c r="D51" s="171"/>
      <c r="E51" s="176"/>
      <c r="F51" s="176"/>
      <c r="G51" s="176"/>
      <c r="H51" s="176"/>
      <c r="I51" s="176"/>
      <c r="J51" s="172"/>
      <c r="K51" s="171"/>
      <c r="L51" s="176"/>
      <c r="M51" s="172"/>
      <c r="N51" s="179"/>
      <c r="O51" s="182"/>
      <c r="P51" s="183" t="s">
        <v>162</v>
      </c>
      <c r="Q51" s="184"/>
      <c r="R51" s="184"/>
      <c r="S51" s="185"/>
      <c r="T51" s="183" t="s">
        <v>149</v>
      </c>
      <c r="U51" s="184"/>
      <c r="V51" s="184"/>
      <c r="W51" s="185"/>
      <c r="X51" s="195"/>
      <c r="Y51" s="196"/>
      <c r="Z51" s="197"/>
      <c r="AA51" s="195"/>
      <c r="AB51" s="196"/>
      <c r="AC51" s="196"/>
      <c r="AD51" s="196"/>
      <c r="AE51" s="196"/>
      <c r="AF51" s="196"/>
      <c r="AG51" s="196"/>
      <c r="AH51" s="197"/>
      <c r="AI51" s="195"/>
      <c r="AJ51" s="196"/>
      <c r="AK51" s="196"/>
      <c r="AL51" s="196"/>
      <c r="AM51" s="196"/>
      <c r="AN51" s="196"/>
      <c r="AO51" s="196"/>
      <c r="AP51" s="196"/>
      <c r="AQ51" s="197"/>
      <c r="AR51" s="199"/>
      <c r="AS51" s="201"/>
      <c r="AT51" s="203"/>
      <c r="AU51" s="186" t="s">
        <v>162</v>
      </c>
      <c r="AV51" s="187"/>
      <c r="AW51" s="187"/>
      <c r="AX51" s="204"/>
      <c r="AY51" s="213" t="s">
        <v>149</v>
      </c>
      <c r="AZ51" s="187"/>
      <c r="BA51" s="187"/>
      <c r="BB51" s="188"/>
      <c r="BC51" s="148"/>
      <c r="BD51" s="149"/>
      <c r="BE51" s="149"/>
      <c r="BF51" s="149"/>
      <c r="BG51" s="149"/>
      <c r="BH51" s="149"/>
      <c r="BI51" s="149"/>
      <c r="BJ51" s="150"/>
      <c r="BK51" s="24"/>
    </row>
    <row r="52" spans="1:63" x14ac:dyDescent="0.25">
      <c r="A52" s="23"/>
      <c r="B52" s="40" t="s">
        <v>94</v>
      </c>
      <c r="C52" s="35"/>
      <c r="D52" s="337"/>
      <c r="E52" s="337"/>
      <c r="F52" s="337"/>
      <c r="G52" s="337"/>
      <c r="H52" s="337"/>
      <c r="I52" s="337"/>
      <c r="J52" s="337"/>
      <c r="K52" s="36"/>
      <c r="L52" s="37"/>
      <c r="M52" s="37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8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9"/>
      <c r="AJ52" s="39"/>
      <c r="AK52" s="39"/>
      <c r="AL52" s="39"/>
      <c r="AM52" s="39"/>
      <c r="AN52" s="39"/>
      <c r="AO52" s="39"/>
      <c r="AP52" s="39"/>
      <c r="AQ52" s="39"/>
      <c r="AR52" s="35"/>
      <c r="AS52" s="37"/>
      <c r="AT52" s="37"/>
      <c r="AU52" s="35"/>
      <c r="AV52" s="35"/>
      <c r="AW52" s="35"/>
      <c r="AX52" s="35"/>
      <c r="AY52" s="35"/>
      <c r="AZ52" s="35"/>
      <c r="BA52" s="35"/>
      <c r="BB52" s="35"/>
      <c r="BC52" s="338"/>
      <c r="BD52" s="339"/>
      <c r="BE52" s="339"/>
      <c r="BF52" s="339"/>
      <c r="BG52" s="339"/>
      <c r="BH52" s="339"/>
      <c r="BI52" s="339"/>
      <c r="BJ52" s="340"/>
      <c r="BK52" s="24"/>
    </row>
    <row r="53" spans="1:63" x14ac:dyDescent="0.25">
      <c r="A53" s="270"/>
      <c r="B53" s="214">
        <v>0</v>
      </c>
      <c r="C53" s="214"/>
      <c r="D53" s="215" t="s">
        <v>58</v>
      </c>
      <c r="E53" s="215"/>
      <c r="F53" s="215"/>
      <c r="G53" s="215"/>
      <c r="H53" s="215"/>
      <c r="I53" s="215"/>
      <c r="J53" s="215"/>
      <c r="K53" s="215" t="s">
        <v>24</v>
      </c>
      <c r="L53" s="215"/>
      <c r="M53" s="215"/>
      <c r="N53" s="30" t="s">
        <v>25</v>
      </c>
      <c r="O53" s="30" t="s">
        <v>26</v>
      </c>
      <c r="P53" s="216" t="s">
        <v>25</v>
      </c>
      <c r="Q53" s="214"/>
      <c r="R53" s="214"/>
      <c r="S53" s="214"/>
      <c r="T53" s="216" t="s">
        <v>25</v>
      </c>
      <c r="U53" s="214"/>
      <c r="V53" s="214"/>
      <c r="W53" s="214"/>
      <c r="X53" s="217" t="s">
        <v>163</v>
      </c>
      <c r="Y53" s="217"/>
      <c r="Z53" s="217"/>
      <c r="AA53" s="214" t="s">
        <v>27</v>
      </c>
      <c r="AB53" s="214"/>
      <c r="AC53" s="214"/>
      <c r="AD53" s="214"/>
      <c r="AE53" s="214"/>
      <c r="AF53" s="214"/>
      <c r="AG53" s="214"/>
      <c r="AH53" s="214"/>
      <c r="AI53" s="218" t="s">
        <v>25</v>
      </c>
      <c r="AJ53" s="218"/>
      <c r="AK53" s="218"/>
      <c r="AL53" s="218"/>
      <c r="AM53" s="218"/>
      <c r="AN53" s="218"/>
      <c r="AO53" s="218"/>
      <c r="AP53" s="218"/>
      <c r="AQ53" s="218"/>
      <c r="AR53" s="31" t="s">
        <v>25</v>
      </c>
      <c r="AS53" s="31" t="s">
        <v>27</v>
      </c>
      <c r="AT53" s="31" t="s">
        <v>27</v>
      </c>
      <c r="AU53" s="214" t="s">
        <v>28</v>
      </c>
      <c r="AV53" s="214"/>
      <c r="AW53" s="214"/>
      <c r="AX53" s="214"/>
      <c r="AY53" s="214" t="s">
        <v>27</v>
      </c>
      <c r="AZ53" s="214"/>
      <c r="BA53" s="214"/>
      <c r="BB53" s="214"/>
      <c r="BC53" s="341" t="s">
        <v>164</v>
      </c>
      <c r="BD53" s="341"/>
      <c r="BE53" s="341"/>
      <c r="BF53" s="341"/>
      <c r="BG53" s="341"/>
      <c r="BH53" s="341"/>
      <c r="BI53" s="341"/>
      <c r="BJ53" s="341"/>
      <c r="BK53" s="24"/>
    </row>
    <row r="54" spans="1:63" ht="48" customHeight="1" x14ac:dyDescent="0.25">
      <c r="A54" s="23"/>
      <c r="B54" s="342">
        <v>1</v>
      </c>
      <c r="C54" s="342"/>
      <c r="D54" s="343" t="s">
        <v>95</v>
      </c>
      <c r="E54" s="343"/>
      <c r="F54" s="343"/>
      <c r="G54" s="343"/>
      <c r="H54" s="343"/>
      <c r="I54" s="343"/>
      <c r="J54" s="343"/>
      <c r="K54" s="344" t="s">
        <v>130</v>
      </c>
      <c r="L54" s="344"/>
      <c r="M54" s="344"/>
      <c r="N54" s="345" t="s">
        <v>25</v>
      </c>
      <c r="O54" s="345" t="s">
        <v>25</v>
      </c>
      <c r="P54" s="342" t="s">
        <v>25</v>
      </c>
      <c r="Q54" s="342"/>
      <c r="R54" s="342"/>
      <c r="S54" s="342"/>
      <c r="T54" s="342" t="s">
        <v>25</v>
      </c>
      <c r="U54" s="342"/>
      <c r="V54" s="342"/>
      <c r="W54" s="342"/>
      <c r="X54" s="346" t="s">
        <v>25</v>
      </c>
      <c r="Y54" s="346"/>
      <c r="Z54" s="346"/>
      <c r="AA54" s="140" t="s">
        <v>25</v>
      </c>
      <c r="AB54" s="140"/>
      <c r="AC54" s="140"/>
      <c r="AD54" s="140"/>
      <c r="AE54" s="140" t="s">
        <v>25</v>
      </c>
      <c r="AF54" s="140"/>
      <c r="AG54" s="140"/>
      <c r="AH54" s="140"/>
      <c r="AI54" s="219" t="s">
        <v>165</v>
      </c>
      <c r="AJ54" s="219"/>
      <c r="AK54" s="219"/>
      <c r="AL54" s="219"/>
      <c r="AM54" s="219"/>
      <c r="AN54" s="219"/>
      <c r="AO54" s="219"/>
      <c r="AP54" s="219"/>
      <c r="AQ54" s="219"/>
      <c r="AR54" s="33" t="s">
        <v>25</v>
      </c>
      <c r="AS54" s="33" t="s">
        <v>27</v>
      </c>
      <c r="AT54" s="33" t="s">
        <v>27</v>
      </c>
      <c r="AU54" s="140" t="s">
        <v>28</v>
      </c>
      <c r="AV54" s="140"/>
      <c r="AW54" s="140"/>
      <c r="AX54" s="140"/>
      <c r="AY54" s="140" t="s">
        <v>27</v>
      </c>
      <c r="AZ54" s="140"/>
      <c r="BA54" s="140"/>
      <c r="BB54" s="140"/>
      <c r="BC54" s="347" t="s">
        <v>166</v>
      </c>
      <c r="BD54" s="344"/>
      <c r="BE54" s="344"/>
      <c r="BF54" s="344"/>
      <c r="BG54" s="344"/>
      <c r="BH54" s="344"/>
      <c r="BI54" s="344"/>
      <c r="BJ54" s="344"/>
      <c r="BK54" s="24"/>
    </row>
    <row r="55" spans="1:63" ht="48" customHeight="1" x14ac:dyDescent="0.25">
      <c r="A55" s="23"/>
      <c r="B55" s="342">
        <v>2</v>
      </c>
      <c r="C55" s="342"/>
      <c r="D55" s="343" t="s">
        <v>70</v>
      </c>
      <c r="E55" s="343"/>
      <c r="F55" s="343"/>
      <c r="G55" s="343"/>
      <c r="H55" s="343"/>
      <c r="I55" s="343"/>
      <c r="J55" s="343"/>
      <c r="K55" s="344" t="s">
        <v>130</v>
      </c>
      <c r="L55" s="344"/>
      <c r="M55" s="344"/>
      <c r="N55" s="345" t="s">
        <v>25</v>
      </c>
      <c r="O55" s="345" t="s">
        <v>25</v>
      </c>
      <c r="P55" s="342" t="s">
        <v>25</v>
      </c>
      <c r="Q55" s="342"/>
      <c r="R55" s="342"/>
      <c r="S55" s="342"/>
      <c r="T55" s="342" t="s">
        <v>25</v>
      </c>
      <c r="U55" s="342"/>
      <c r="V55" s="342"/>
      <c r="W55" s="342"/>
      <c r="X55" s="346" t="s">
        <v>25</v>
      </c>
      <c r="Y55" s="346"/>
      <c r="Z55" s="346"/>
      <c r="AA55" s="140" t="s">
        <v>25</v>
      </c>
      <c r="AB55" s="140"/>
      <c r="AC55" s="140"/>
      <c r="AD55" s="140"/>
      <c r="AE55" s="140" t="s">
        <v>25</v>
      </c>
      <c r="AF55" s="140"/>
      <c r="AG55" s="140"/>
      <c r="AH55" s="140"/>
      <c r="AI55" s="219" t="s">
        <v>165</v>
      </c>
      <c r="AJ55" s="219"/>
      <c r="AK55" s="219"/>
      <c r="AL55" s="219"/>
      <c r="AM55" s="219"/>
      <c r="AN55" s="219"/>
      <c r="AO55" s="219"/>
      <c r="AP55" s="219"/>
      <c r="AQ55" s="219"/>
      <c r="AR55" s="33" t="s">
        <v>25</v>
      </c>
      <c r="AS55" s="33" t="s">
        <v>27</v>
      </c>
      <c r="AT55" s="33" t="s">
        <v>27</v>
      </c>
      <c r="AU55" s="140" t="s">
        <v>28</v>
      </c>
      <c r="AV55" s="140"/>
      <c r="AW55" s="140"/>
      <c r="AX55" s="140"/>
      <c r="AY55" s="140" t="s">
        <v>27</v>
      </c>
      <c r="AZ55" s="140"/>
      <c r="BA55" s="140"/>
      <c r="BB55" s="140"/>
      <c r="BC55" s="347" t="s">
        <v>167</v>
      </c>
      <c r="BD55" s="344"/>
      <c r="BE55" s="344"/>
      <c r="BF55" s="344"/>
      <c r="BG55" s="344"/>
      <c r="BH55" s="344"/>
      <c r="BI55" s="344"/>
      <c r="BJ55" s="344"/>
      <c r="BK55" s="24"/>
    </row>
    <row r="56" spans="1:63" x14ac:dyDescent="0.25">
      <c r="A56" s="23"/>
      <c r="B56" s="40" t="s">
        <v>87</v>
      </c>
      <c r="C56" s="35"/>
      <c r="D56" s="337"/>
      <c r="E56" s="337"/>
      <c r="F56" s="337"/>
      <c r="G56" s="337"/>
      <c r="H56" s="337"/>
      <c r="I56" s="337"/>
      <c r="J56" s="337"/>
      <c r="K56" s="36"/>
      <c r="L56" s="37"/>
      <c r="M56" s="37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8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9"/>
      <c r="AJ56" s="39"/>
      <c r="AK56" s="39"/>
      <c r="AL56" s="39"/>
      <c r="AM56" s="39"/>
      <c r="AN56" s="39"/>
      <c r="AO56" s="39"/>
      <c r="AP56" s="39"/>
      <c r="AQ56" s="39"/>
      <c r="AR56" s="35"/>
      <c r="AS56" s="37"/>
      <c r="AT56" s="37"/>
      <c r="AU56" s="35"/>
      <c r="AV56" s="35"/>
      <c r="AW56" s="35"/>
      <c r="AX56" s="35"/>
      <c r="AY56" s="35"/>
      <c r="AZ56" s="35"/>
      <c r="BA56" s="35"/>
      <c r="BB56" s="35"/>
      <c r="BC56" s="338"/>
      <c r="BD56" s="339"/>
      <c r="BE56" s="339"/>
      <c r="BF56" s="339"/>
      <c r="BG56" s="339"/>
      <c r="BH56" s="339"/>
      <c r="BI56" s="339"/>
      <c r="BJ56" s="340"/>
      <c r="BK56" s="24"/>
    </row>
    <row r="57" spans="1:63" ht="81.75" customHeight="1" x14ac:dyDescent="0.25">
      <c r="A57" s="23"/>
      <c r="B57" s="220"/>
      <c r="C57" s="222"/>
      <c r="D57" s="241" t="s">
        <v>97</v>
      </c>
      <c r="E57" s="242"/>
      <c r="F57" s="242"/>
      <c r="G57" s="242"/>
      <c r="H57" s="242"/>
      <c r="I57" s="242"/>
      <c r="J57" s="243"/>
      <c r="K57" s="244"/>
      <c r="L57" s="245"/>
      <c r="M57" s="246"/>
      <c r="N57" s="41"/>
      <c r="O57" s="41"/>
      <c r="P57" s="247" t="s">
        <v>25</v>
      </c>
      <c r="Q57" s="248"/>
      <c r="R57" s="248"/>
      <c r="S57" s="249"/>
      <c r="T57" s="247" t="s">
        <v>25</v>
      </c>
      <c r="U57" s="248"/>
      <c r="V57" s="248"/>
      <c r="W57" s="249"/>
      <c r="X57" s="250" t="s">
        <v>25</v>
      </c>
      <c r="Y57" s="251"/>
      <c r="Z57" s="252"/>
      <c r="AA57" s="253" t="s">
        <v>168</v>
      </c>
      <c r="AB57" s="254"/>
      <c r="AC57" s="254"/>
      <c r="AD57" s="254"/>
      <c r="AE57" s="254"/>
      <c r="AF57" s="254"/>
      <c r="AG57" s="254"/>
      <c r="AH57" s="255"/>
      <c r="AI57" s="256" t="s">
        <v>25</v>
      </c>
      <c r="AJ57" s="257"/>
      <c r="AK57" s="257"/>
      <c r="AL57" s="257"/>
      <c r="AM57" s="257"/>
      <c r="AN57" s="257"/>
      <c r="AO57" s="257"/>
      <c r="AP57" s="257"/>
      <c r="AQ57" s="258"/>
      <c r="AR57" s="42" t="s">
        <v>25</v>
      </c>
      <c r="AS57" s="42" t="s">
        <v>27</v>
      </c>
      <c r="AT57" s="42" t="s">
        <v>27</v>
      </c>
      <c r="AU57" s="220" t="s">
        <v>28</v>
      </c>
      <c r="AV57" s="221"/>
      <c r="AW57" s="221"/>
      <c r="AX57" s="222"/>
      <c r="AY57" s="220" t="s">
        <v>27</v>
      </c>
      <c r="AZ57" s="221"/>
      <c r="BA57" s="221"/>
      <c r="BB57" s="222"/>
      <c r="BC57" s="348"/>
      <c r="BD57" s="349"/>
      <c r="BE57" s="349"/>
      <c r="BF57" s="349"/>
      <c r="BG57" s="349"/>
      <c r="BH57" s="349"/>
      <c r="BI57" s="349"/>
      <c r="BJ57" s="350"/>
      <c r="BK57" s="24"/>
    </row>
    <row r="58" spans="1:63" ht="48" customHeight="1" x14ac:dyDescent="0.25">
      <c r="A58" s="23"/>
      <c r="B58" s="223">
        <v>3</v>
      </c>
      <c r="C58" s="224"/>
      <c r="D58" s="225" t="s">
        <v>169</v>
      </c>
      <c r="E58" s="226"/>
      <c r="F58" s="226"/>
      <c r="G58" s="226"/>
      <c r="H58" s="226"/>
      <c r="I58" s="226"/>
      <c r="J58" s="227"/>
      <c r="K58" s="228" t="s">
        <v>170</v>
      </c>
      <c r="L58" s="229"/>
      <c r="M58" s="230"/>
      <c r="N58" s="46" t="s">
        <v>25</v>
      </c>
      <c r="O58" s="46" t="s">
        <v>26</v>
      </c>
      <c r="P58" s="231" t="s">
        <v>25</v>
      </c>
      <c r="Q58" s="232"/>
      <c r="R58" s="232"/>
      <c r="S58" s="233"/>
      <c r="T58" s="231" t="s">
        <v>25</v>
      </c>
      <c r="U58" s="232"/>
      <c r="V58" s="232"/>
      <c r="W58" s="233"/>
      <c r="X58" s="234" t="s">
        <v>169</v>
      </c>
      <c r="Y58" s="235"/>
      <c r="Z58" s="236"/>
      <c r="AA58" s="223" t="s">
        <v>27</v>
      </c>
      <c r="AB58" s="237"/>
      <c r="AC58" s="237"/>
      <c r="AD58" s="237"/>
      <c r="AE58" s="237"/>
      <c r="AF58" s="237"/>
      <c r="AG58" s="237"/>
      <c r="AH58" s="224"/>
      <c r="AI58" s="238" t="s">
        <v>25</v>
      </c>
      <c r="AJ58" s="239"/>
      <c r="AK58" s="239"/>
      <c r="AL58" s="239"/>
      <c r="AM58" s="239"/>
      <c r="AN58" s="239"/>
      <c r="AO58" s="239"/>
      <c r="AP58" s="239"/>
      <c r="AQ58" s="240"/>
      <c r="AR58" s="44" t="s">
        <v>25</v>
      </c>
      <c r="AS58" s="44" t="s">
        <v>27</v>
      </c>
      <c r="AT58" s="44" t="s">
        <v>27</v>
      </c>
      <c r="AU58" s="223" t="s">
        <v>28</v>
      </c>
      <c r="AV58" s="237"/>
      <c r="AW58" s="237"/>
      <c r="AX58" s="224"/>
      <c r="AY58" s="223" t="s">
        <v>27</v>
      </c>
      <c r="AZ58" s="237"/>
      <c r="BA58" s="237"/>
      <c r="BB58" s="224"/>
      <c r="BC58" s="351" t="s">
        <v>96</v>
      </c>
      <c r="BD58" s="352"/>
      <c r="BE58" s="352"/>
      <c r="BF58" s="352"/>
      <c r="BG58" s="352"/>
      <c r="BH58" s="352"/>
      <c r="BI58" s="352"/>
      <c r="BJ58" s="353"/>
      <c r="BK58" s="24"/>
    </row>
    <row r="59" spans="1:63" ht="15" customHeight="1" x14ac:dyDescent="0.25">
      <c r="A59" s="23"/>
      <c r="BK59" s="24"/>
    </row>
    <row r="60" spans="1:63" ht="15" customHeight="1" x14ac:dyDescent="0.25">
      <c r="A60" s="23"/>
      <c r="B60" s="43" t="s">
        <v>105</v>
      </c>
      <c r="BK60" s="24"/>
    </row>
    <row r="61" spans="1:63" ht="15" customHeight="1" x14ac:dyDescent="0.25">
      <c r="A61" s="23"/>
      <c r="BK61" s="24"/>
    </row>
    <row r="62" spans="1:63" ht="15" customHeight="1" x14ac:dyDescent="0.25">
      <c r="A62" s="23"/>
      <c r="BK62" s="24"/>
    </row>
    <row r="63" spans="1:63" ht="15" customHeight="1" x14ac:dyDescent="0.25">
      <c r="A63" s="23"/>
      <c r="BJ63" s="270"/>
      <c r="BK63" s="24"/>
    </row>
    <row r="64" spans="1:63" ht="15" customHeight="1" x14ac:dyDescent="0.25">
      <c r="A64" s="23"/>
      <c r="BK64" s="24"/>
    </row>
    <row r="65" spans="1:63" ht="15" customHeight="1" x14ac:dyDescent="0.25">
      <c r="A65" s="23"/>
      <c r="BK65" s="24"/>
    </row>
    <row r="66" spans="1:63" ht="15" customHeight="1" x14ac:dyDescent="0.25">
      <c r="A66" s="23"/>
      <c r="BK66" s="24"/>
    </row>
    <row r="67" spans="1:63" ht="15" customHeight="1" x14ac:dyDescent="0.25">
      <c r="A67" s="23"/>
      <c r="BK67" s="24"/>
    </row>
    <row r="68" spans="1:63" ht="15" customHeight="1" x14ac:dyDescent="0.25">
      <c r="A68" s="23"/>
      <c r="BK68" s="24"/>
    </row>
    <row r="69" spans="1:63" ht="15" customHeight="1" x14ac:dyDescent="0.25">
      <c r="A69" s="23"/>
      <c r="BK69" s="24"/>
    </row>
    <row r="70" spans="1:63" ht="15" customHeight="1" x14ac:dyDescent="0.25">
      <c r="A70" s="23"/>
      <c r="BK70" s="24"/>
    </row>
    <row r="71" spans="1:63" ht="15" customHeight="1" x14ac:dyDescent="0.25">
      <c r="A71" s="23"/>
      <c r="BK71" s="24"/>
    </row>
    <row r="72" spans="1:63" ht="15" customHeight="1" x14ac:dyDescent="0.25">
      <c r="A72" s="23"/>
      <c r="BK72" s="24"/>
    </row>
    <row r="73" spans="1:63" ht="15" customHeight="1" x14ac:dyDescent="0.25">
      <c r="A73" s="23"/>
      <c r="BK73" s="24"/>
    </row>
    <row r="74" spans="1:63" ht="15" customHeight="1" x14ac:dyDescent="0.25">
      <c r="A74" s="23"/>
      <c r="BK74" s="24"/>
    </row>
    <row r="75" spans="1:63" ht="15" customHeight="1" x14ac:dyDescent="0.25">
      <c r="A75" s="23"/>
      <c r="BK75" s="24"/>
    </row>
    <row r="76" spans="1:63" ht="15" customHeight="1" x14ac:dyDescent="0.25">
      <c r="A76" s="23"/>
      <c r="BK76" s="24"/>
    </row>
    <row r="77" spans="1:63" ht="15" customHeight="1" x14ac:dyDescent="0.25">
      <c r="A77" s="23"/>
      <c r="BK77" s="24"/>
    </row>
    <row r="78" spans="1:63" ht="15" customHeight="1" x14ac:dyDescent="0.25">
      <c r="A78" s="23"/>
      <c r="BK78" s="24"/>
    </row>
    <row r="79" spans="1:63" ht="15" customHeight="1" x14ac:dyDescent="0.25">
      <c r="A79" s="23"/>
      <c r="BK79" s="24"/>
    </row>
    <row r="80" spans="1:63" ht="15" customHeight="1" x14ac:dyDescent="0.25">
      <c r="A80" s="23"/>
      <c r="BK80" s="24"/>
    </row>
    <row r="81" spans="1:63" ht="15" customHeight="1" x14ac:dyDescent="0.25">
      <c r="A81" s="23"/>
      <c r="BK81" s="24"/>
    </row>
    <row r="82" spans="1:63" ht="15" customHeight="1" x14ac:dyDescent="0.25">
      <c r="A82" s="23"/>
      <c r="BK82" s="24"/>
    </row>
    <row r="83" spans="1:63" ht="15" customHeight="1" x14ac:dyDescent="0.25">
      <c r="A83" s="23"/>
      <c r="BK83" s="24"/>
    </row>
    <row r="84" spans="1:63" ht="15" customHeight="1" x14ac:dyDescent="0.25">
      <c r="A84" s="23"/>
      <c r="BK84" s="24"/>
    </row>
    <row r="85" spans="1:63" ht="15" customHeight="1" x14ac:dyDescent="0.25">
      <c r="A85" s="23"/>
      <c r="BK85" s="24"/>
    </row>
    <row r="86" spans="1:63" ht="15" customHeight="1" x14ac:dyDescent="0.25">
      <c r="A86" s="23"/>
      <c r="BK86" s="24"/>
    </row>
    <row r="87" spans="1:63" ht="15" customHeight="1" x14ac:dyDescent="0.25">
      <c r="A87" s="23"/>
      <c r="BK87" s="24"/>
    </row>
    <row r="88" spans="1:63" ht="15" customHeight="1" x14ac:dyDescent="0.25">
      <c r="A88" s="23"/>
      <c r="BK88" s="24"/>
    </row>
    <row r="89" spans="1:63" ht="15" customHeight="1" x14ac:dyDescent="0.25">
      <c r="A89" s="23"/>
      <c r="BK89" s="24"/>
    </row>
    <row r="90" spans="1:63" ht="15" customHeight="1" x14ac:dyDescent="0.25">
      <c r="A90" s="23"/>
      <c r="BK90" s="24"/>
    </row>
    <row r="91" spans="1:63" ht="15" customHeight="1" x14ac:dyDescent="0.25">
      <c r="A91" s="23"/>
      <c r="BK91" s="24"/>
    </row>
    <row r="92" spans="1:63" ht="15" customHeight="1" x14ac:dyDescent="0.25">
      <c r="A92" s="23"/>
      <c r="BK92" s="24"/>
    </row>
    <row r="93" spans="1:63" ht="15" customHeight="1" x14ac:dyDescent="0.25">
      <c r="A93" s="23"/>
      <c r="BK93" s="24"/>
    </row>
    <row r="94" spans="1:63" ht="15" customHeight="1" x14ac:dyDescent="0.25">
      <c r="A94" s="23"/>
      <c r="BK94" s="24"/>
    </row>
    <row r="95" spans="1:63" ht="15" customHeight="1" x14ac:dyDescent="0.25">
      <c r="A95" s="23"/>
      <c r="BK95" s="24"/>
    </row>
    <row r="96" spans="1:63" ht="15" customHeight="1" x14ac:dyDescent="0.25">
      <c r="A96" s="23"/>
      <c r="BK96" s="24"/>
    </row>
    <row r="97" spans="1:63" ht="15" customHeight="1" x14ac:dyDescent="0.25">
      <c r="A97" s="23"/>
      <c r="BK97" s="24"/>
    </row>
    <row r="98" spans="1:63" ht="15" customHeight="1" x14ac:dyDescent="0.25">
      <c r="A98" s="23"/>
      <c r="B98" s="25" t="s">
        <v>147</v>
      </c>
      <c r="BK98" s="24"/>
    </row>
    <row r="99" spans="1:63" x14ac:dyDescent="0.25">
      <c r="A99" s="23"/>
      <c r="BK99" s="24"/>
    </row>
    <row r="100" spans="1:63" ht="15.75" customHeight="1" x14ac:dyDescent="0.25">
      <c r="A100" s="23"/>
      <c r="B100" s="354" t="s">
        <v>15</v>
      </c>
      <c r="C100" s="355"/>
      <c r="D100" s="356" t="s">
        <v>16</v>
      </c>
      <c r="E100" s="357"/>
      <c r="F100" s="357"/>
      <c r="G100" s="357"/>
      <c r="H100" s="357"/>
      <c r="I100" s="357"/>
      <c r="J100" s="355"/>
      <c r="K100" s="356" t="s">
        <v>109</v>
      </c>
      <c r="L100" s="357"/>
      <c r="M100" s="355"/>
      <c r="N100" s="358" t="s">
        <v>17</v>
      </c>
      <c r="O100" s="359" t="s">
        <v>30</v>
      </c>
      <c r="P100" s="360" t="s">
        <v>18</v>
      </c>
      <c r="Q100" s="361"/>
      <c r="R100" s="361"/>
      <c r="S100" s="361"/>
      <c r="T100" s="361"/>
      <c r="U100" s="361"/>
      <c r="V100" s="361"/>
      <c r="W100" s="361"/>
      <c r="X100" s="361"/>
      <c r="Y100" s="361"/>
      <c r="Z100" s="361"/>
      <c r="AA100" s="361"/>
      <c r="AB100" s="361"/>
      <c r="AC100" s="361"/>
      <c r="AD100" s="361"/>
      <c r="AE100" s="361"/>
      <c r="AF100" s="361"/>
      <c r="AG100" s="361"/>
      <c r="AH100" s="361"/>
      <c r="AI100" s="361"/>
      <c r="AJ100" s="361"/>
      <c r="AK100" s="361"/>
      <c r="AL100" s="361"/>
      <c r="AM100" s="361"/>
      <c r="AN100" s="361"/>
      <c r="AO100" s="361"/>
      <c r="AP100" s="361"/>
      <c r="AQ100" s="362"/>
      <c r="AR100" s="363" t="s">
        <v>19</v>
      </c>
      <c r="AS100" s="364"/>
      <c r="AT100" s="364"/>
      <c r="AU100" s="364"/>
      <c r="AV100" s="364"/>
      <c r="AW100" s="364"/>
      <c r="AX100" s="364"/>
      <c r="AY100" s="364"/>
      <c r="AZ100" s="364"/>
      <c r="BA100" s="364"/>
      <c r="BB100" s="365"/>
      <c r="BC100" s="366" t="s">
        <v>20</v>
      </c>
      <c r="BD100" s="367"/>
      <c r="BE100" s="367"/>
      <c r="BF100" s="367"/>
      <c r="BG100" s="367"/>
      <c r="BH100" s="367"/>
      <c r="BI100" s="367"/>
      <c r="BJ100" s="368"/>
      <c r="BK100" s="24"/>
    </row>
    <row r="101" spans="1:63" ht="15.75" customHeight="1" x14ac:dyDescent="0.25">
      <c r="A101" s="23"/>
      <c r="B101" s="369"/>
      <c r="C101" s="370"/>
      <c r="D101" s="369"/>
      <c r="E101" s="371"/>
      <c r="F101" s="371"/>
      <c r="G101" s="371"/>
      <c r="H101" s="371"/>
      <c r="I101" s="371"/>
      <c r="J101" s="370"/>
      <c r="K101" s="369"/>
      <c r="L101" s="371"/>
      <c r="M101" s="370"/>
      <c r="N101" s="372"/>
      <c r="O101" s="373"/>
      <c r="P101" s="374" t="s">
        <v>21</v>
      </c>
      <c r="Q101" s="375"/>
      <c r="R101" s="375"/>
      <c r="S101" s="375"/>
      <c r="T101" s="375"/>
      <c r="U101" s="375"/>
      <c r="V101" s="375"/>
      <c r="W101" s="376"/>
      <c r="X101" s="377" t="s">
        <v>34</v>
      </c>
      <c r="Y101" s="378"/>
      <c r="Z101" s="379"/>
      <c r="AA101" s="377" t="s">
        <v>22</v>
      </c>
      <c r="AB101" s="378"/>
      <c r="AC101" s="378"/>
      <c r="AD101" s="378"/>
      <c r="AE101" s="378"/>
      <c r="AF101" s="378"/>
      <c r="AG101" s="378"/>
      <c r="AH101" s="379"/>
      <c r="AI101" s="377" t="s">
        <v>23</v>
      </c>
      <c r="AJ101" s="378"/>
      <c r="AK101" s="378"/>
      <c r="AL101" s="378"/>
      <c r="AM101" s="378"/>
      <c r="AN101" s="378"/>
      <c r="AO101" s="378"/>
      <c r="AP101" s="378"/>
      <c r="AQ101" s="379"/>
      <c r="AR101" s="380" t="s">
        <v>35</v>
      </c>
      <c r="AS101" s="381" t="s">
        <v>36</v>
      </c>
      <c r="AT101" s="382" t="s">
        <v>37</v>
      </c>
      <c r="AU101" s="363" t="s">
        <v>21</v>
      </c>
      <c r="AV101" s="364"/>
      <c r="AW101" s="364"/>
      <c r="AX101" s="364"/>
      <c r="AY101" s="364"/>
      <c r="AZ101" s="364"/>
      <c r="BA101" s="364"/>
      <c r="BB101" s="365"/>
      <c r="BC101" s="383"/>
      <c r="BD101" s="384"/>
      <c r="BE101" s="384"/>
      <c r="BF101" s="384"/>
      <c r="BG101" s="384"/>
      <c r="BH101" s="384"/>
      <c r="BI101" s="384"/>
      <c r="BJ101" s="385"/>
      <c r="BK101" s="24"/>
    </row>
    <row r="102" spans="1:63" x14ac:dyDescent="0.25">
      <c r="A102" s="23"/>
      <c r="B102" s="386"/>
      <c r="C102" s="387"/>
      <c r="D102" s="386"/>
      <c r="E102" s="388"/>
      <c r="F102" s="388"/>
      <c r="G102" s="388"/>
      <c r="H102" s="388"/>
      <c r="I102" s="388"/>
      <c r="J102" s="387"/>
      <c r="K102" s="386"/>
      <c r="L102" s="388"/>
      <c r="M102" s="387"/>
      <c r="N102" s="389"/>
      <c r="O102" s="390"/>
      <c r="P102" s="360" t="s">
        <v>29</v>
      </c>
      <c r="Q102" s="361"/>
      <c r="R102" s="361"/>
      <c r="S102" s="362"/>
      <c r="T102" s="360" t="s">
        <v>16</v>
      </c>
      <c r="U102" s="361"/>
      <c r="V102" s="361"/>
      <c r="W102" s="362"/>
      <c r="X102" s="391"/>
      <c r="Y102" s="392"/>
      <c r="Z102" s="393"/>
      <c r="AA102" s="391"/>
      <c r="AB102" s="392"/>
      <c r="AC102" s="392"/>
      <c r="AD102" s="392"/>
      <c r="AE102" s="392"/>
      <c r="AF102" s="392"/>
      <c r="AG102" s="392"/>
      <c r="AH102" s="393"/>
      <c r="AI102" s="391"/>
      <c r="AJ102" s="392"/>
      <c r="AK102" s="392"/>
      <c r="AL102" s="392"/>
      <c r="AM102" s="392"/>
      <c r="AN102" s="392"/>
      <c r="AO102" s="392"/>
      <c r="AP102" s="392"/>
      <c r="AQ102" s="393"/>
      <c r="AR102" s="394"/>
      <c r="AS102" s="395"/>
      <c r="AT102" s="396"/>
      <c r="AU102" s="363" t="s">
        <v>29</v>
      </c>
      <c r="AV102" s="364"/>
      <c r="AW102" s="364"/>
      <c r="AX102" s="397"/>
      <c r="AY102" s="398" t="s">
        <v>16</v>
      </c>
      <c r="AZ102" s="364"/>
      <c r="BA102" s="364"/>
      <c r="BB102" s="365"/>
      <c r="BC102" s="399"/>
      <c r="BD102" s="400"/>
      <c r="BE102" s="400"/>
      <c r="BF102" s="400"/>
      <c r="BG102" s="400"/>
      <c r="BH102" s="400"/>
      <c r="BI102" s="400"/>
      <c r="BJ102" s="401"/>
      <c r="BK102" s="24"/>
    </row>
    <row r="103" spans="1:63" x14ac:dyDescent="0.25">
      <c r="A103" s="23"/>
      <c r="B103" s="45" t="s">
        <v>87</v>
      </c>
      <c r="C103" s="402"/>
      <c r="D103" s="337"/>
      <c r="E103" s="337"/>
      <c r="F103" s="337"/>
      <c r="G103" s="337"/>
      <c r="H103" s="337"/>
      <c r="I103" s="337"/>
      <c r="J103" s="337"/>
      <c r="K103" s="339"/>
      <c r="L103" s="339"/>
      <c r="M103" s="339"/>
      <c r="N103" s="402"/>
      <c r="O103" s="402"/>
      <c r="P103" s="402"/>
      <c r="Q103" s="402"/>
      <c r="R103" s="402"/>
      <c r="S103" s="402"/>
      <c r="T103" s="402"/>
      <c r="U103" s="402"/>
      <c r="V103" s="402"/>
      <c r="W103" s="402"/>
      <c r="X103" s="403"/>
      <c r="Y103" s="402"/>
      <c r="Z103" s="402"/>
      <c r="AA103" s="402"/>
      <c r="AB103" s="402"/>
      <c r="AC103" s="402"/>
      <c r="AD103" s="402"/>
      <c r="AE103" s="402"/>
      <c r="AF103" s="402"/>
      <c r="AG103" s="402"/>
      <c r="AH103" s="402"/>
      <c r="AI103" s="404"/>
      <c r="AJ103" s="404"/>
      <c r="AK103" s="404"/>
      <c r="AL103" s="404"/>
      <c r="AM103" s="404"/>
      <c r="AN103" s="404"/>
      <c r="AO103" s="404"/>
      <c r="AP103" s="404"/>
      <c r="AQ103" s="404"/>
      <c r="AR103" s="402"/>
      <c r="AS103" s="339"/>
      <c r="AT103" s="339"/>
      <c r="AU103" s="402"/>
      <c r="AV103" s="402"/>
      <c r="AW103" s="402"/>
      <c r="AX103" s="402"/>
      <c r="AY103" s="402"/>
      <c r="AZ103" s="402"/>
      <c r="BA103" s="402"/>
      <c r="BB103" s="402"/>
      <c r="BC103" s="338"/>
      <c r="BD103" s="339"/>
      <c r="BE103" s="339"/>
      <c r="BF103" s="339"/>
      <c r="BG103" s="339"/>
      <c r="BH103" s="339"/>
      <c r="BI103" s="339"/>
      <c r="BJ103" s="340"/>
      <c r="BK103" s="24"/>
    </row>
    <row r="104" spans="1:63" ht="31.5" customHeight="1" x14ac:dyDescent="0.25">
      <c r="A104" s="23"/>
      <c r="B104" s="405"/>
      <c r="C104" s="406"/>
      <c r="D104" s="348" t="s">
        <v>98</v>
      </c>
      <c r="E104" s="349"/>
      <c r="F104" s="349"/>
      <c r="G104" s="349"/>
      <c r="H104" s="349"/>
      <c r="I104" s="349"/>
      <c r="J104" s="350"/>
      <c r="K104" s="407"/>
      <c r="L104" s="408"/>
      <c r="M104" s="409"/>
      <c r="N104" s="410"/>
      <c r="O104" s="410"/>
      <c r="P104" s="405" t="s">
        <v>25</v>
      </c>
      <c r="Q104" s="411"/>
      <c r="R104" s="411"/>
      <c r="S104" s="406"/>
      <c r="T104" s="405" t="s">
        <v>25</v>
      </c>
      <c r="U104" s="411"/>
      <c r="V104" s="411"/>
      <c r="W104" s="406"/>
      <c r="X104" s="412" t="s">
        <v>25</v>
      </c>
      <c r="Y104" s="413"/>
      <c r="Z104" s="414"/>
      <c r="AA104" s="415" t="s">
        <v>25</v>
      </c>
      <c r="AB104" s="416"/>
      <c r="AC104" s="416"/>
      <c r="AD104" s="416"/>
      <c r="AE104" s="416"/>
      <c r="AF104" s="416"/>
      <c r="AG104" s="416"/>
      <c r="AH104" s="417"/>
      <c r="AI104" s="418" t="s">
        <v>25</v>
      </c>
      <c r="AJ104" s="419"/>
      <c r="AK104" s="419"/>
      <c r="AL104" s="419"/>
      <c r="AM104" s="419"/>
      <c r="AN104" s="419"/>
      <c r="AO104" s="419"/>
      <c r="AP104" s="419"/>
      <c r="AQ104" s="420"/>
      <c r="AR104" s="421" t="s">
        <v>25</v>
      </c>
      <c r="AS104" s="421" t="s">
        <v>27</v>
      </c>
      <c r="AT104" s="421" t="s">
        <v>27</v>
      </c>
      <c r="AU104" s="405" t="s">
        <v>25</v>
      </c>
      <c r="AV104" s="411"/>
      <c r="AW104" s="411"/>
      <c r="AX104" s="406"/>
      <c r="AY104" s="405" t="s">
        <v>27</v>
      </c>
      <c r="AZ104" s="411"/>
      <c r="BA104" s="411"/>
      <c r="BB104" s="406"/>
      <c r="BC104" s="348"/>
      <c r="BD104" s="349"/>
      <c r="BE104" s="349"/>
      <c r="BF104" s="349"/>
      <c r="BG104" s="349"/>
      <c r="BH104" s="349"/>
      <c r="BI104" s="349"/>
      <c r="BJ104" s="350"/>
      <c r="BK104" s="24"/>
    </row>
    <row r="105" spans="1:63" ht="90.75" customHeight="1" x14ac:dyDescent="0.25">
      <c r="A105" s="23"/>
      <c r="B105" s="133">
        <v>4</v>
      </c>
      <c r="C105" s="133"/>
      <c r="D105" s="422" t="s">
        <v>99</v>
      </c>
      <c r="E105" s="422"/>
      <c r="F105" s="422"/>
      <c r="G105" s="422"/>
      <c r="H105" s="422"/>
      <c r="I105" s="422"/>
      <c r="J105" s="422"/>
      <c r="K105" s="423" t="s">
        <v>24</v>
      </c>
      <c r="L105" s="423"/>
      <c r="M105" s="423"/>
      <c r="N105" s="345" t="s">
        <v>25</v>
      </c>
      <c r="O105" s="345" t="s">
        <v>26</v>
      </c>
      <c r="P105" s="342" t="s">
        <v>25</v>
      </c>
      <c r="Q105" s="342"/>
      <c r="R105" s="342"/>
      <c r="S105" s="342"/>
      <c r="T105" s="342" t="s">
        <v>25</v>
      </c>
      <c r="U105" s="342"/>
      <c r="V105" s="342"/>
      <c r="W105" s="342"/>
      <c r="X105" s="346" t="s">
        <v>33</v>
      </c>
      <c r="Y105" s="346"/>
      <c r="Z105" s="346"/>
      <c r="AA105" s="342" t="s">
        <v>27</v>
      </c>
      <c r="AB105" s="342"/>
      <c r="AC105" s="342"/>
      <c r="AD105" s="342"/>
      <c r="AE105" s="342"/>
      <c r="AF105" s="342"/>
      <c r="AG105" s="342"/>
      <c r="AH105" s="342"/>
      <c r="AI105" s="424" t="s">
        <v>27</v>
      </c>
      <c r="AJ105" s="424"/>
      <c r="AK105" s="424"/>
      <c r="AL105" s="424"/>
      <c r="AM105" s="424"/>
      <c r="AN105" s="424"/>
      <c r="AO105" s="424"/>
      <c r="AP105" s="424"/>
      <c r="AQ105" s="424"/>
      <c r="AR105" s="425" t="s">
        <v>25</v>
      </c>
      <c r="AS105" s="425" t="s">
        <v>27</v>
      </c>
      <c r="AT105" s="425" t="s">
        <v>27</v>
      </c>
      <c r="AU105" s="342" t="s">
        <v>25</v>
      </c>
      <c r="AV105" s="342"/>
      <c r="AW105" s="342"/>
      <c r="AX105" s="342"/>
      <c r="AY105" s="342" t="s">
        <v>27</v>
      </c>
      <c r="AZ105" s="342"/>
      <c r="BA105" s="342"/>
      <c r="BB105" s="342"/>
      <c r="BC105" s="347" t="s">
        <v>25</v>
      </c>
      <c r="BD105" s="344"/>
      <c r="BE105" s="344"/>
      <c r="BF105" s="344"/>
      <c r="BG105" s="344"/>
      <c r="BH105" s="344"/>
      <c r="BI105" s="344"/>
      <c r="BJ105" s="344"/>
      <c r="BK105" s="24"/>
    </row>
    <row r="106" spans="1:63" ht="90.75" customHeight="1" x14ac:dyDescent="0.25">
      <c r="A106" s="23"/>
      <c r="B106" s="133">
        <v>4.0999999999999996</v>
      </c>
      <c r="C106" s="133"/>
      <c r="D106" s="343" t="s">
        <v>100</v>
      </c>
      <c r="E106" s="343"/>
      <c r="F106" s="343"/>
      <c r="G106" s="343"/>
      <c r="H106" s="343"/>
      <c r="I106" s="343"/>
      <c r="J106" s="343"/>
      <c r="K106" s="423" t="s">
        <v>77</v>
      </c>
      <c r="L106" s="423"/>
      <c r="M106" s="423"/>
      <c r="N106" s="345" t="s">
        <v>131</v>
      </c>
      <c r="O106" s="345" t="s">
        <v>26</v>
      </c>
      <c r="P106" s="342" t="s">
        <v>25</v>
      </c>
      <c r="Q106" s="342"/>
      <c r="R106" s="342"/>
      <c r="S106" s="342"/>
      <c r="T106" s="342" t="s">
        <v>25</v>
      </c>
      <c r="U106" s="342"/>
      <c r="V106" s="342"/>
      <c r="W106" s="342"/>
      <c r="X106" s="346" t="s">
        <v>38</v>
      </c>
      <c r="Y106" s="346"/>
      <c r="Z106" s="346"/>
      <c r="AA106" s="342" t="s">
        <v>27</v>
      </c>
      <c r="AB106" s="342"/>
      <c r="AC106" s="342"/>
      <c r="AD106" s="342"/>
      <c r="AE106" s="342"/>
      <c r="AF106" s="342"/>
      <c r="AG106" s="342"/>
      <c r="AH106" s="342"/>
      <c r="AI106" s="426" t="s">
        <v>171</v>
      </c>
      <c r="AJ106" s="424"/>
      <c r="AK106" s="424"/>
      <c r="AL106" s="424"/>
      <c r="AM106" s="424"/>
      <c r="AN106" s="424"/>
      <c r="AO106" s="424"/>
      <c r="AP106" s="424"/>
      <c r="AQ106" s="424"/>
      <c r="AR106" s="345" t="s">
        <v>26</v>
      </c>
      <c r="AS106" s="425" t="s">
        <v>27</v>
      </c>
      <c r="AT106" s="425" t="s">
        <v>27</v>
      </c>
      <c r="AU106" s="342" t="s">
        <v>60</v>
      </c>
      <c r="AV106" s="342"/>
      <c r="AW106" s="342"/>
      <c r="AX106" s="342"/>
      <c r="AY106" s="426" t="s">
        <v>61</v>
      </c>
      <c r="AZ106" s="426"/>
      <c r="BA106" s="426"/>
      <c r="BB106" s="426"/>
      <c r="BC106" s="347" t="s">
        <v>172</v>
      </c>
      <c r="BD106" s="344"/>
      <c r="BE106" s="344"/>
      <c r="BF106" s="344"/>
      <c r="BG106" s="344"/>
      <c r="BH106" s="344"/>
      <c r="BI106" s="344"/>
      <c r="BJ106" s="344"/>
      <c r="BK106" s="24"/>
    </row>
    <row r="107" spans="1:63" ht="80.25" customHeight="1" x14ac:dyDescent="0.25">
      <c r="A107" s="23"/>
      <c r="B107" s="133">
        <v>4.2</v>
      </c>
      <c r="C107" s="133"/>
      <c r="D107" s="343" t="s">
        <v>72</v>
      </c>
      <c r="E107" s="343"/>
      <c r="F107" s="343"/>
      <c r="G107" s="343"/>
      <c r="H107" s="343"/>
      <c r="I107" s="343"/>
      <c r="J107" s="343"/>
      <c r="K107" s="423" t="s">
        <v>77</v>
      </c>
      <c r="L107" s="423"/>
      <c r="M107" s="423"/>
      <c r="N107" s="345" t="s">
        <v>131</v>
      </c>
      <c r="O107" s="345" t="s">
        <v>26</v>
      </c>
      <c r="P107" s="342" t="s">
        <v>25</v>
      </c>
      <c r="Q107" s="342"/>
      <c r="R107" s="342"/>
      <c r="S107" s="342"/>
      <c r="T107" s="342" t="s">
        <v>25</v>
      </c>
      <c r="U107" s="342"/>
      <c r="V107" s="342"/>
      <c r="W107" s="342"/>
      <c r="X107" s="346" t="s">
        <v>38</v>
      </c>
      <c r="Y107" s="346"/>
      <c r="Z107" s="346"/>
      <c r="AA107" s="342" t="s">
        <v>27</v>
      </c>
      <c r="AB107" s="342"/>
      <c r="AC107" s="342"/>
      <c r="AD107" s="342"/>
      <c r="AE107" s="342"/>
      <c r="AF107" s="342"/>
      <c r="AG107" s="342"/>
      <c r="AH107" s="342"/>
      <c r="AI107" s="426" t="s">
        <v>171</v>
      </c>
      <c r="AJ107" s="424"/>
      <c r="AK107" s="424"/>
      <c r="AL107" s="424"/>
      <c r="AM107" s="424"/>
      <c r="AN107" s="424"/>
      <c r="AO107" s="424"/>
      <c r="AP107" s="424"/>
      <c r="AQ107" s="424"/>
      <c r="AR107" s="345" t="s">
        <v>26</v>
      </c>
      <c r="AS107" s="425" t="s">
        <v>27</v>
      </c>
      <c r="AT107" s="425" t="s">
        <v>27</v>
      </c>
      <c r="AU107" s="342" t="s">
        <v>60</v>
      </c>
      <c r="AV107" s="342"/>
      <c r="AW107" s="342"/>
      <c r="AX107" s="342"/>
      <c r="AY107" s="426" t="s">
        <v>62</v>
      </c>
      <c r="AZ107" s="426"/>
      <c r="BA107" s="426"/>
      <c r="BB107" s="426"/>
      <c r="BC107" s="347" t="s">
        <v>172</v>
      </c>
      <c r="BD107" s="344"/>
      <c r="BE107" s="344"/>
      <c r="BF107" s="344"/>
      <c r="BG107" s="344"/>
      <c r="BH107" s="344"/>
      <c r="BI107" s="344"/>
      <c r="BJ107" s="344"/>
      <c r="BK107" s="24"/>
    </row>
    <row r="108" spans="1:63" ht="27.75" customHeight="1" x14ac:dyDescent="0.25">
      <c r="A108" s="23"/>
      <c r="B108" s="133">
        <v>5</v>
      </c>
      <c r="C108" s="133"/>
      <c r="D108" s="427" t="s">
        <v>71</v>
      </c>
      <c r="E108" s="427"/>
      <c r="F108" s="427"/>
      <c r="G108" s="427"/>
      <c r="H108" s="427"/>
      <c r="I108" s="427"/>
      <c r="J108" s="427"/>
      <c r="K108" s="344" t="s">
        <v>24</v>
      </c>
      <c r="L108" s="344"/>
      <c r="M108" s="344"/>
      <c r="N108" s="345" t="s">
        <v>25</v>
      </c>
      <c r="O108" s="345" t="s">
        <v>26</v>
      </c>
      <c r="P108" s="342" t="s">
        <v>25</v>
      </c>
      <c r="Q108" s="342"/>
      <c r="R108" s="342"/>
      <c r="S108" s="342"/>
      <c r="T108" s="342" t="s">
        <v>25</v>
      </c>
      <c r="U108" s="342"/>
      <c r="V108" s="342"/>
      <c r="W108" s="342"/>
      <c r="X108" s="428" t="s">
        <v>39</v>
      </c>
      <c r="Y108" s="342"/>
      <c r="Z108" s="342"/>
      <c r="AA108" s="342" t="s">
        <v>27</v>
      </c>
      <c r="AB108" s="342"/>
      <c r="AC108" s="342"/>
      <c r="AD108" s="342"/>
      <c r="AE108" s="342"/>
      <c r="AF108" s="342"/>
      <c r="AG108" s="342"/>
      <c r="AH108" s="342"/>
      <c r="AI108" s="424" t="s">
        <v>27</v>
      </c>
      <c r="AJ108" s="424"/>
      <c r="AK108" s="424"/>
      <c r="AL108" s="424"/>
      <c r="AM108" s="424"/>
      <c r="AN108" s="424"/>
      <c r="AO108" s="424"/>
      <c r="AP108" s="424"/>
      <c r="AQ108" s="424"/>
      <c r="AR108" s="425" t="s">
        <v>25</v>
      </c>
      <c r="AS108" s="425" t="s">
        <v>27</v>
      </c>
      <c r="AT108" s="425" t="s">
        <v>27</v>
      </c>
      <c r="AU108" s="342" t="s">
        <v>25</v>
      </c>
      <c r="AV108" s="342"/>
      <c r="AW108" s="342"/>
      <c r="AX108" s="342"/>
      <c r="AY108" s="342" t="s">
        <v>27</v>
      </c>
      <c r="AZ108" s="342"/>
      <c r="BA108" s="342"/>
      <c r="BB108" s="342"/>
      <c r="BC108" s="344"/>
      <c r="BD108" s="344"/>
      <c r="BE108" s="344"/>
      <c r="BF108" s="344"/>
      <c r="BG108" s="344"/>
      <c r="BH108" s="344"/>
      <c r="BI108" s="344"/>
      <c r="BJ108" s="344"/>
      <c r="BK108" s="24"/>
    </row>
    <row r="109" spans="1:63" ht="66" customHeight="1" x14ac:dyDescent="0.25">
      <c r="A109" s="23"/>
      <c r="B109" s="133">
        <v>5.0999999999999996</v>
      </c>
      <c r="C109" s="133"/>
      <c r="D109" s="343" t="s">
        <v>73</v>
      </c>
      <c r="E109" s="343"/>
      <c r="F109" s="343"/>
      <c r="G109" s="343"/>
      <c r="H109" s="343"/>
      <c r="I109" s="343"/>
      <c r="J109" s="343"/>
      <c r="K109" s="423" t="s">
        <v>78</v>
      </c>
      <c r="L109" s="423"/>
      <c r="M109" s="423"/>
      <c r="N109" s="345" t="s">
        <v>131</v>
      </c>
      <c r="O109" s="345" t="s">
        <v>25</v>
      </c>
      <c r="P109" s="342" t="s">
        <v>25</v>
      </c>
      <c r="Q109" s="342"/>
      <c r="R109" s="342"/>
      <c r="S109" s="342"/>
      <c r="T109" s="342" t="s">
        <v>25</v>
      </c>
      <c r="U109" s="342"/>
      <c r="V109" s="342"/>
      <c r="W109" s="342"/>
      <c r="X109" s="429">
        <v>0</v>
      </c>
      <c r="Y109" s="342"/>
      <c r="Z109" s="342"/>
      <c r="AA109" s="342" t="s">
        <v>27</v>
      </c>
      <c r="AB109" s="342"/>
      <c r="AC109" s="342"/>
      <c r="AD109" s="342"/>
      <c r="AE109" s="342"/>
      <c r="AF109" s="342"/>
      <c r="AG109" s="342"/>
      <c r="AH109" s="342"/>
      <c r="AI109" s="426" t="s">
        <v>171</v>
      </c>
      <c r="AJ109" s="424"/>
      <c r="AK109" s="424"/>
      <c r="AL109" s="424"/>
      <c r="AM109" s="424"/>
      <c r="AN109" s="424"/>
      <c r="AO109" s="424"/>
      <c r="AP109" s="424"/>
      <c r="AQ109" s="424"/>
      <c r="AR109" s="345" t="s">
        <v>26</v>
      </c>
      <c r="AS109" s="425" t="s">
        <v>27</v>
      </c>
      <c r="AT109" s="425" t="s">
        <v>27</v>
      </c>
      <c r="AU109" s="342" t="s">
        <v>60</v>
      </c>
      <c r="AV109" s="342"/>
      <c r="AW109" s="342"/>
      <c r="AX109" s="342"/>
      <c r="AY109" s="219" t="s">
        <v>173</v>
      </c>
      <c r="AZ109" s="219"/>
      <c r="BA109" s="219"/>
      <c r="BB109" s="219"/>
      <c r="BC109" s="347" t="s">
        <v>174</v>
      </c>
      <c r="BD109" s="344"/>
      <c r="BE109" s="344"/>
      <c r="BF109" s="344"/>
      <c r="BG109" s="344"/>
      <c r="BH109" s="344"/>
      <c r="BI109" s="344"/>
      <c r="BJ109" s="344"/>
      <c r="BK109" s="24"/>
    </row>
    <row r="110" spans="1:63" ht="63.75" customHeight="1" x14ac:dyDescent="0.25">
      <c r="A110" s="23"/>
      <c r="B110" s="133">
        <v>5.2</v>
      </c>
      <c r="C110" s="133"/>
      <c r="D110" s="343" t="s">
        <v>74</v>
      </c>
      <c r="E110" s="343"/>
      <c r="F110" s="343"/>
      <c r="G110" s="343"/>
      <c r="H110" s="343"/>
      <c r="I110" s="343"/>
      <c r="J110" s="343"/>
      <c r="K110" s="423" t="s">
        <v>78</v>
      </c>
      <c r="L110" s="423"/>
      <c r="M110" s="423"/>
      <c r="N110" s="345" t="s">
        <v>131</v>
      </c>
      <c r="O110" s="345" t="s">
        <v>25</v>
      </c>
      <c r="P110" s="342" t="s">
        <v>25</v>
      </c>
      <c r="Q110" s="342"/>
      <c r="R110" s="342"/>
      <c r="S110" s="342"/>
      <c r="T110" s="342" t="s">
        <v>25</v>
      </c>
      <c r="U110" s="342"/>
      <c r="V110" s="342"/>
      <c r="W110" s="342"/>
      <c r="X110" s="429">
        <v>0.99930555555555556</v>
      </c>
      <c r="Y110" s="342"/>
      <c r="Z110" s="342"/>
      <c r="AA110" s="342" t="s">
        <v>27</v>
      </c>
      <c r="AB110" s="342"/>
      <c r="AC110" s="342"/>
      <c r="AD110" s="342"/>
      <c r="AE110" s="342"/>
      <c r="AF110" s="342"/>
      <c r="AG110" s="342"/>
      <c r="AH110" s="342"/>
      <c r="AI110" s="426" t="s">
        <v>171</v>
      </c>
      <c r="AJ110" s="424"/>
      <c r="AK110" s="424"/>
      <c r="AL110" s="424"/>
      <c r="AM110" s="424"/>
      <c r="AN110" s="424"/>
      <c r="AO110" s="424"/>
      <c r="AP110" s="424"/>
      <c r="AQ110" s="424"/>
      <c r="AR110" s="345" t="s">
        <v>26</v>
      </c>
      <c r="AS110" s="425" t="s">
        <v>27</v>
      </c>
      <c r="AT110" s="425" t="s">
        <v>27</v>
      </c>
      <c r="AU110" s="342" t="s">
        <v>60</v>
      </c>
      <c r="AV110" s="342"/>
      <c r="AW110" s="342"/>
      <c r="AX110" s="342"/>
      <c r="AY110" s="219" t="s">
        <v>175</v>
      </c>
      <c r="AZ110" s="219"/>
      <c r="BA110" s="219"/>
      <c r="BB110" s="219"/>
      <c r="BC110" s="347" t="s">
        <v>174</v>
      </c>
      <c r="BD110" s="344"/>
      <c r="BE110" s="344"/>
      <c r="BF110" s="344"/>
      <c r="BG110" s="344"/>
      <c r="BH110" s="344"/>
      <c r="BI110" s="344"/>
      <c r="BJ110" s="344"/>
      <c r="BK110" s="24"/>
    </row>
    <row r="111" spans="1:63" x14ac:dyDescent="0.25">
      <c r="A111" s="23"/>
      <c r="B111" s="133">
        <v>6</v>
      </c>
      <c r="C111" s="133"/>
      <c r="D111" s="343" t="s">
        <v>103</v>
      </c>
      <c r="E111" s="343"/>
      <c r="F111" s="343"/>
      <c r="G111" s="343"/>
      <c r="H111" s="343"/>
      <c r="I111" s="343"/>
      <c r="J111" s="343"/>
      <c r="K111" s="344" t="s">
        <v>24</v>
      </c>
      <c r="L111" s="344"/>
      <c r="M111" s="344"/>
      <c r="N111" s="345" t="s">
        <v>25</v>
      </c>
      <c r="O111" s="345" t="s">
        <v>26</v>
      </c>
      <c r="P111" s="342" t="s">
        <v>25</v>
      </c>
      <c r="Q111" s="342"/>
      <c r="R111" s="342"/>
      <c r="S111" s="342"/>
      <c r="T111" s="342" t="s">
        <v>25</v>
      </c>
      <c r="U111" s="342"/>
      <c r="V111" s="342"/>
      <c r="W111" s="342"/>
      <c r="X111" s="429" t="s">
        <v>40</v>
      </c>
      <c r="Y111" s="342"/>
      <c r="Z111" s="342"/>
      <c r="AA111" s="342" t="s">
        <v>27</v>
      </c>
      <c r="AB111" s="342"/>
      <c r="AC111" s="342"/>
      <c r="AD111" s="342"/>
      <c r="AE111" s="342"/>
      <c r="AF111" s="342"/>
      <c r="AG111" s="342"/>
      <c r="AH111" s="342"/>
      <c r="AI111" s="424" t="s">
        <v>25</v>
      </c>
      <c r="AJ111" s="424"/>
      <c r="AK111" s="424"/>
      <c r="AL111" s="424"/>
      <c r="AM111" s="424"/>
      <c r="AN111" s="424"/>
      <c r="AO111" s="424"/>
      <c r="AP111" s="424"/>
      <c r="AQ111" s="424"/>
      <c r="AR111" s="345" t="s">
        <v>25</v>
      </c>
      <c r="AS111" s="425" t="s">
        <v>27</v>
      </c>
      <c r="AT111" s="425" t="s">
        <v>27</v>
      </c>
      <c r="AU111" s="342" t="s">
        <v>25</v>
      </c>
      <c r="AV111" s="342"/>
      <c r="AW111" s="342"/>
      <c r="AX111" s="342"/>
      <c r="AY111" s="342" t="s">
        <v>27</v>
      </c>
      <c r="AZ111" s="342"/>
      <c r="BA111" s="342"/>
      <c r="BB111" s="342"/>
      <c r="BC111" s="347"/>
      <c r="BD111" s="344"/>
      <c r="BE111" s="344"/>
      <c r="BF111" s="344"/>
      <c r="BG111" s="344"/>
      <c r="BH111" s="344"/>
      <c r="BI111" s="344"/>
      <c r="BJ111" s="344"/>
      <c r="BK111" s="24"/>
    </row>
    <row r="112" spans="1:63" ht="87" customHeight="1" x14ac:dyDescent="0.25">
      <c r="A112" s="23"/>
      <c r="B112" s="133">
        <v>6.1</v>
      </c>
      <c r="C112" s="133"/>
      <c r="D112" s="430" t="s">
        <v>104</v>
      </c>
      <c r="E112" s="431"/>
      <c r="F112" s="431"/>
      <c r="G112" s="431"/>
      <c r="H112" s="431"/>
      <c r="I112" s="431"/>
      <c r="J112" s="432"/>
      <c r="K112" s="344" t="s">
        <v>176</v>
      </c>
      <c r="L112" s="344"/>
      <c r="M112" s="344"/>
      <c r="N112" s="345" t="s">
        <v>17</v>
      </c>
      <c r="O112" s="345" t="s">
        <v>25</v>
      </c>
      <c r="P112" s="342" t="s">
        <v>108</v>
      </c>
      <c r="Q112" s="342"/>
      <c r="R112" s="342"/>
      <c r="S112" s="342"/>
      <c r="T112" s="423" t="s">
        <v>177</v>
      </c>
      <c r="U112" s="342"/>
      <c r="V112" s="342"/>
      <c r="W112" s="342"/>
      <c r="X112" s="259" t="s">
        <v>178</v>
      </c>
      <c r="Y112" s="260"/>
      <c r="Z112" s="261"/>
      <c r="AA112" s="342" t="s">
        <v>27</v>
      </c>
      <c r="AB112" s="342"/>
      <c r="AC112" s="342"/>
      <c r="AD112" s="342"/>
      <c r="AE112" s="342"/>
      <c r="AF112" s="342"/>
      <c r="AG112" s="342"/>
      <c r="AH112" s="342"/>
      <c r="AI112" s="426" t="s">
        <v>171</v>
      </c>
      <c r="AJ112" s="424"/>
      <c r="AK112" s="424"/>
      <c r="AL112" s="424"/>
      <c r="AM112" s="424"/>
      <c r="AN112" s="424"/>
      <c r="AO112" s="424"/>
      <c r="AP112" s="424"/>
      <c r="AQ112" s="424"/>
      <c r="AR112" s="345" t="s">
        <v>25</v>
      </c>
      <c r="AS112" s="425" t="s">
        <v>27</v>
      </c>
      <c r="AT112" s="425" t="s">
        <v>27</v>
      </c>
      <c r="AU112" s="342" t="s">
        <v>60</v>
      </c>
      <c r="AV112" s="342"/>
      <c r="AW112" s="342"/>
      <c r="AX112" s="342"/>
      <c r="AY112" s="426" t="s">
        <v>63</v>
      </c>
      <c r="AZ112" s="426"/>
      <c r="BA112" s="426"/>
      <c r="BB112" s="426"/>
      <c r="BC112" s="343" t="s">
        <v>179</v>
      </c>
      <c r="BD112" s="344"/>
      <c r="BE112" s="344"/>
      <c r="BF112" s="344"/>
      <c r="BG112" s="344"/>
      <c r="BH112" s="344"/>
      <c r="BI112" s="344"/>
      <c r="BJ112" s="344"/>
      <c r="BK112" s="24"/>
    </row>
    <row r="113" spans="1:63" ht="32.25" customHeight="1" x14ac:dyDescent="0.25">
      <c r="A113" s="23"/>
      <c r="B113" s="133">
        <v>7</v>
      </c>
      <c r="C113" s="133"/>
      <c r="D113" s="430" t="s">
        <v>42</v>
      </c>
      <c r="E113" s="431"/>
      <c r="F113" s="431"/>
      <c r="G113" s="431"/>
      <c r="H113" s="431"/>
      <c r="I113" s="431"/>
      <c r="J113" s="432"/>
      <c r="K113" s="433" t="s">
        <v>24</v>
      </c>
      <c r="L113" s="434"/>
      <c r="M113" s="435"/>
      <c r="N113" s="345" t="s">
        <v>25</v>
      </c>
      <c r="O113" s="345" t="s">
        <v>26</v>
      </c>
      <c r="P113" s="436" t="s">
        <v>25</v>
      </c>
      <c r="Q113" s="437"/>
      <c r="R113" s="437"/>
      <c r="S113" s="438"/>
      <c r="T113" s="436" t="s">
        <v>25</v>
      </c>
      <c r="U113" s="437"/>
      <c r="V113" s="437"/>
      <c r="W113" s="438"/>
      <c r="X113" s="439" t="s">
        <v>41</v>
      </c>
      <c r="Y113" s="440"/>
      <c r="Z113" s="441"/>
      <c r="AA113" s="436" t="s">
        <v>27</v>
      </c>
      <c r="AB113" s="437"/>
      <c r="AC113" s="437"/>
      <c r="AD113" s="437"/>
      <c r="AE113" s="437"/>
      <c r="AF113" s="437"/>
      <c r="AG113" s="437"/>
      <c r="AH113" s="438"/>
      <c r="AI113" s="442" t="s">
        <v>25</v>
      </c>
      <c r="AJ113" s="443"/>
      <c r="AK113" s="443"/>
      <c r="AL113" s="443"/>
      <c r="AM113" s="443"/>
      <c r="AN113" s="443"/>
      <c r="AO113" s="443"/>
      <c r="AP113" s="443"/>
      <c r="AQ113" s="444"/>
      <c r="AR113" s="345" t="s">
        <v>25</v>
      </c>
      <c r="AS113" s="425" t="s">
        <v>27</v>
      </c>
      <c r="AT113" s="425" t="s">
        <v>27</v>
      </c>
      <c r="AU113" s="436" t="s">
        <v>25</v>
      </c>
      <c r="AV113" s="437"/>
      <c r="AW113" s="437"/>
      <c r="AX113" s="438"/>
      <c r="AY113" s="436" t="s">
        <v>27</v>
      </c>
      <c r="AZ113" s="437"/>
      <c r="BA113" s="437"/>
      <c r="BB113" s="438"/>
      <c r="BC113" s="445"/>
      <c r="BD113" s="446"/>
      <c r="BE113" s="446"/>
      <c r="BF113" s="446"/>
      <c r="BG113" s="446"/>
      <c r="BH113" s="446"/>
      <c r="BI113" s="446"/>
      <c r="BJ113" s="447"/>
      <c r="BK113" s="24"/>
    </row>
    <row r="114" spans="1:63" ht="81.75" customHeight="1" x14ac:dyDescent="0.25">
      <c r="A114" s="23"/>
      <c r="B114" s="133">
        <v>7.1</v>
      </c>
      <c r="C114" s="133"/>
      <c r="D114" s="430" t="s">
        <v>83</v>
      </c>
      <c r="E114" s="431"/>
      <c r="F114" s="431"/>
      <c r="G114" s="431"/>
      <c r="H114" s="431"/>
      <c r="I114" s="431"/>
      <c r="J114" s="432"/>
      <c r="K114" s="433" t="s">
        <v>176</v>
      </c>
      <c r="L114" s="434"/>
      <c r="M114" s="435"/>
      <c r="N114" s="345" t="s">
        <v>17</v>
      </c>
      <c r="O114" s="345" t="s">
        <v>25</v>
      </c>
      <c r="P114" s="436" t="s">
        <v>84</v>
      </c>
      <c r="Q114" s="437"/>
      <c r="R114" s="437"/>
      <c r="S114" s="438"/>
      <c r="T114" s="448" t="s">
        <v>180</v>
      </c>
      <c r="U114" s="449"/>
      <c r="V114" s="449"/>
      <c r="W114" s="450"/>
      <c r="X114" s="259" t="s">
        <v>178</v>
      </c>
      <c r="Y114" s="260"/>
      <c r="Z114" s="261"/>
      <c r="AA114" s="436" t="s">
        <v>27</v>
      </c>
      <c r="AB114" s="437"/>
      <c r="AC114" s="437"/>
      <c r="AD114" s="437"/>
      <c r="AE114" s="437"/>
      <c r="AF114" s="437"/>
      <c r="AG114" s="437"/>
      <c r="AH114" s="438"/>
      <c r="AI114" s="426" t="s">
        <v>171</v>
      </c>
      <c r="AJ114" s="424"/>
      <c r="AK114" s="424"/>
      <c r="AL114" s="424"/>
      <c r="AM114" s="424"/>
      <c r="AN114" s="424"/>
      <c r="AO114" s="424"/>
      <c r="AP114" s="424"/>
      <c r="AQ114" s="424"/>
      <c r="AR114" s="345" t="s">
        <v>25</v>
      </c>
      <c r="AS114" s="425" t="s">
        <v>27</v>
      </c>
      <c r="AT114" s="425" t="s">
        <v>27</v>
      </c>
      <c r="AU114" s="436" t="s">
        <v>60</v>
      </c>
      <c r="AV114" s="437"/>
      <c r="AW114" s="437"/>
      <c r="AX114" s="438"/>
      <c r="AY114" s="451" t="s">
        <v>64</v>
      </c>
      <c r="AZ114" s="452"/>
      <c r="BA114" s="452"/>
      <c r="BB114" s="453"/>
      <c r="BC114" s="430" t="s">
        <v>181</v>
      </c>
      <c r="BD114" s="431"/>
      <c r="BE114" s="431"/>
      <c r="BF114" s="431"/>
      <c r="BG114" s="431"/>
      <c r="BH114" s="431"/>
      <c r="BI114" s="431"/>
      <c r="BJ114" s="432"/>
      <c r="BK114" s="24"/>
    </row>
    <row r="115" spans="1:63" ht="30.75" customHeight="1" x14ac:dyDescent="0.25">
      <c r="A115" s="23"/>
      <c r="B115" s="133">
        <v>8</v>
      </c>
      <c r="C115" s="133"/>
      <c r="D115" s="343" t="s">
        <v>89</v>
      </c>
      <c r="E115" s="343"/>
      <c r="F115" s="343"/>
      <c r="G115" s="343"/>
      <c r="H115" s="343"/>
      <c r="I115" s="343"/>
      <c r="J115" s="343"/>
      <c r="K115" s="344" t="s">
        <v>24</v>
      </c>
      <c r="L115" s="344"/>
      <c r="M115" s="344"/>
      <c r="N115" s="345" t="s">
        <v>25</v>
      </c>
      <c r="O115" s="345" t="s">
        <v>26</v>
      </c>
      <c r="P115" s="342" t="s">
        <v>25</v>
      </c>
      <c r="Q115" s="342"/>
      <c r="R115" s="342"/>
      <c r="S115" s="342"/>
      <c r="T115" s="342" t="s">
        <v>25</v>
      </c>
      <c r="U115" s="342"/>
      <c r="V115" s="342"/>
      <c r="W115" s="342"/>
      <c r="X115" s="429" t="s">
        <v>47</v>
      </c>
      <c r="Y115" s="342"/>
      <c r="Z115" s="342"/>
      <c r="AA115" s="342" t="s">
        <v>27</v>
      </c>
      <c r="AB115" s="342"/>
      <c r="AC115" s="342"/>
      <c r="AD115" s="342"/>
      <c r="AE115" s="342"/>
      <c r="AF115" s="342"/>
      <c r="AG115" s="342"/>
      <c r="AH115" s="342"/>
      <c r="AI115" s="424" t="s">
        <v>25</v>
      </c>
      <c r="AJ115" s="424"/>
      <c r="AK115" s="424"/>
      <c r="AL115" s="424"/>
      <c r="AM115" s="424"/>
      <c r="AN115" s="424"/>
      <c r="AO115" s="424"/>
      <c r="AP115" s="424"/>
      <c r="AQ115" s="424"/>
      <c r="AR115" s="345" t="s">
        <v>25</v>
      </c>
      <c r="AS115" s="425" t="s">
        <v>27</v>
      </c>
      <c r="AT115" s="425" t="s">
        <v>27</v>
      </c>
      <c r="AU115" s="342" t="s">
        <v>25</v>
      </c>
      <c r="AV115" s="342"/>
      <c r="AW115" s="342"/>
      <c r="AX115" s="342"/>
      <c r="AY115" s="342" t="s">
        <v>27</v>
      </c>
      <c r="AZ115" s="342"/>
      <c r="BA115" s="342"/>
      <c r="BB115" s="342"/>
      <c r="BC115" s="347"/>
      <c r="BD115" s="344"/>
      <c r="BE115" s="344"/>
      <c r="BF115" s="344"/>
      <c r="BG115" s="344"/>
      <c r="BH115" s="344"/>
      <c r="BI115" s="344"/>
      <c r="BJ115" s="344"/>
      <c r="BK115" s="24"/>
    </row>
    <row r="116" spans="1:63" ht="30" customHeight="1" x14ac:dyDescent="0.25">
      <c r="A116" s="23"/>
      <c r="B116" s="133">
        <v>8.1</v>
      </c>
      <c r="C116" s="133"/>
      <c r="D116" s="343" t="s">
        <v>90</v>
      </c>
      <c r="E116" s="343"/>
      <c r="F116" s="343"/>
      <c r="G116" s="343"/>
      <c r="H116" s="343"/>
      <c r="I116" s="343"/>
      <c r="J116" s="343"/>
      <c r="K116" s="425" t="s">
        <v>44</v>
      </c>
      <c r="L116" s="425"/>
      <c r="M116" s="425"/>
      <c r="N116" s="345" t="s">
        <v>131</v>
      </c>
      <c r="O116" s="345" t="s">
        <v>25</v>
      </c>
      <c r="P116" s="342" t="s">
        <v>25</v>
      </c>
      <c r="Q116" s="342"/>
      <c r="R116" s="342"/>
      <c r="S116" s="342"/>
      <c r="T116" s="342" t="s">
        <v>25</v>
      </c>
      <c r="U116" s="342"/>
      <c r="V116" s="342"/>
      <c r="W116" s="342"/>
      <c r="X116" s="429"/>
      <c r="Y116" s="342"/>
      <c r="Z116" s="342"/>
      <c r="AA116" s="342" t="s">
        <v>27</v>
      </c>
      <c r="AB116" s="342"/>
      <c r="AC116" s="342"/>
      <c r="AD116" s="342"/>
      <c r="AE116" s="342"/>
      <c r="AF116" s="342"/>
      <c r="AG116" s="342"/>
      <c r="AH116" s="342"/>
      <c r="AI116" s="426" t="s">
        <v>171</v>
      </c>
      <c r="AJ116" s="424"/>
      <c r="AK116" s="424"/>
      <c r="AL116" s="424"/>
      <c r="AM116" s="424"/>
      <c r="AN116" s="424"/>
      <c r="AO116" s="424"/>
      <c r="AP116" s="424"/>
      <c r="AQ116" s="424"/>
      <c r="AR116" s="345" t="s">
        <v>25</v>
      </c>
      <c r="AS116" s="345" t="s">
        <v>26</v>
      </c>
      <c r="AT116" s="345" t="s">
        <v>26</v>
      </c>
      <c r="AU116" s="342" t="s">
        <v>60</v>
      </c>
      <c r="AV116" s="342"/>
      <c r="AW116" s="342"/>
      <c r="AX116" s="342"/>
      <c r="AY116" s="342" t="s">
        <v>91</v>
      </c>
      <c r="AZ116" s="342"/>
      <c r="BA116" s="342"/>
      <c r="BB116" s="342"/>
      <c r="BC116" s="347" t="s">
        <v>182</v>
      </c>
      <c r="BD116" s="344"/>
      <c r="BE116" s="344"/>
      <c r="BF116" s="344"/>
      <c r="BG116" s="344"/>
      <c r="BH116" s="344"/>
      <c r="BI116" s="344"/>
      <c r="BJ116" s="344"/>
      <c r="BK116" s="24"/>
    </row>
    <row r="117" spans="1:63" ht="60.75" customHeight="1" x14ac:dyDescent="0.25">
      <c r="A117" s="23"/>
      <c r="B117" s="133">
        <v>9</v>
      </c>
      <c r="C117" s="133"/>
      <c r="D117" s="343" t="s">
        <v>101</v>
      </c>
      <c r="E117" s="343"/>
      <c r="F117" s="343"/>
      <c r="G117" s="343"/>
      <c r="H117" s="343"/>
      <c r="I117" s="343"/>
      <c r="J117" s="343"/>
      <c r="K117" s="425" t="s">
        <v>118</v>
      </c>
      <c r="L117" s="425"/>
      <c r="M117" s="425"/>
      <c r="N117" s="345" t="s">
        <v>131</v>
      </c>
      <c r="O117" s="345" t="s">
        <v>25</v>
      </c>
      <c r="P117" s="342" t="s">
        <v>25</v>
      </c>
      <c r="Q117" s="342"/>
      <c r="R117" s="342"/>
      <c r="S117" s="342"/>
      <c r="T117" s="342" t="s">
        <v>25</v>
      </c>
      <c r="U117" s="342"/>
      <c r="V117" s="342"/>
      <c r="W117" s="342"/>
      <c r="X117" s="262" t="s">
        <v>183</v>
      </c>
      <c r="Y117" s="157"/>
      <c r="Z117" s="157"/>
      <c r="AA117" s="342" t="s">
        <v>27</v>
      </c>
      <c r="AB117" s="342"/>
      <c r="AC117" s="342"/>
      <c r="AD117" s="342"/>
      <c r="AE117" s="342"/>
      <c r="AF117" s="342"/>
      <c r="AG117" s="342"/>
      <c r="AH117" s="342"/>
      <c r="AI117" s="426" t="s">
        <v>171</v>
      </c>
      <c r="AJ117" s="424"/>
      <c r="AK117" s="424"/>
      <c r="AL117" s="424"/>
      <c r="AM117" s="424"/>
      <c r="AN117" s="424"/>
      <c r="AO117" s="424"/>
      <c r="AP117" s="424"/>
      <c r="AQ117" s="424"/>
      <c r="AR117" s="345" t="s">
        <v>25</v>
      </c>
      <c r="AS117" s="345" t="s">
        <v>26</v>
      </c>
      <c r="AT117" s="425" t="s">
        <v>27</v>
      </c>
      <c r="AU117" s="342" t="s">
        <v>60</v>
      </c>
      <c r="AV117" s="342"/>
      <c r="AW117" s="342"/>
      <c r="AX117" s="342"/>
      <c r="AY117" s="426" t="s">
        <v>93</v>
      </c>
      <c r="AZ117" s="426"/>
      <c r="BA117" s="426"/>
      <c r="BB117" s="426"/>
      <c r="BC117" s="347" t="s">
        <v>184</v>
      </c>
      <c r="BD117" s="344"/>
      <c r="BE117" s="344"/>
      <c r="BF117" s="344"/>
      <c r="BG117" s="344"/>
      <c r="BH117" s="344"/>
      <c r="BI117" s="344"/>
      <c r="BJ117" s="344"/>
      <c r="BK117" s="24"/>
    </row>
    <row r="118" spans="1:63" ht="30" customHeight="1" x14ac:dyDescent="0.25">
      <c r="A118" s="23"/>
      <c r="B118" s="133">
        <v>10</v>
      </c>
      <c r="C118" s="133"/>
      <c r="D118" s="343" t="s">
        <v>88</v>
      </c>
      <c r="E118" s="343"/>
      <c r="F118" s="343"/>
      <c r="G118" s="343"/>
      <c r="H118" s="343"/>
      <c r="I118" s="343"/>
      <c r="J118" s="343"/>
      <c r="K118" s="344" t="s">
        <v>24</v>
      </c>
      <c r="L118" s="344"/>
      <c r="M118" s="344"/>
      <c r="N118" s="345" t="s">
        <v>25</v>
      </c>
      <c r="O118" s="345" t="s">
        <v>26</v>
      </c>
      <c r="P118" s="342" t="s">
        <v>25</v>
      </c>
      <c r="Q118" s="342"/>
      <c r="R118" s="342"/>
      <c r="S118" s="342"/>
      <c r="T118" s="342" t="s">
        <v>25</v>
      </c>
      <c r="U118" s="342"/>
      <c r="V118" s="342"/>
      <c r="W118" s="342"/>
      <c r="X118" s="429" t="s">
        <v>102</v>
      </c>
      <c r="Y118" s="342"/>
      <c r="Z118" s="342"/>
      <c r="AA118" s="342" t="s">
        <v>27</v>
      </c>
      <c r="AB118" s="342"/>
      <c r="AC118" s="342"/>
      <c r="AD118" s="342"/>
      <c r="AE118" s="342"/>
      <c r="AF118" s="342"/>
      <c r="AG118" s="342"/>
      <c r="AH118" s="342"/>
      <c r="AI118" s="424" t="s">
        <v>25</v>
      </c>
      <c r="AJ118" s="424"/>
      <c r="AK118" s="424"/>
      <c r="AL118" s="424"/>
      <c r="AM118" s="424"/>
      <c r="AN118" s="424"/>
      <c r="AO118" s="424"/>
      <c r="AP118" s="424"/>
      <c r="AQ118" s="424"/>
      <c r="AR118" s="345" t="s">
        <v>25</v>
      </c>
      <c r="AS118" s="425" t="s">
        <v>27</v>
      </c>
      <c r="AT118" s="425" t="s">
        <v>27</v>
      </c>
      <c r="AU118" s="342" t="s">
        <v>25</v>
      </c>
      <c r="AV118" s="342"/>
      <c r="AW118" s="342"/>
      <c r="AX118" s="342"/>
      <c r="AY118" s="342" t="s">
        <v>27</v>
      </c>
      <c r="AZ118" s="342"/>
      <c r="BA118" s="342"/>
      <c r="BB118" s="342"/>
      <c r="BC118" s="347"/>
      <c r="BD118" s="344"/>
      <c r="BE118" s="344"/>
      <c r="BF118" s="344"/>
      <c r="BG118" s="344"/>
      <c r="BH118" s="344"/>
      <c r="BI118" s="344"/>
      <c r="BJ118" s="344"/>
      <c r="BK118" s="24"/>
    </row>
    <row r="119" spans="1:63" ht="30" customHeight="1" x14ac:dyDescent="0.25">
      <c r="A119" s="23"/>
      <c r="B119" s="133">
        <v>10.1</v>
      </c>
      <c r="C119" s="133"/>
      <c r="D119" s="343" t="s">
        <v>88</v>
      </c>
      <c r="E119" s="343"/>
      <c r="F119" s="343"/>
      <c r="G119" s="343"/>
      <c r="H119" s="343"/>
      <c r="I119" s="343"/>
      <c r="J119" s="343"/>
      <c r="K119" s="425" t="s">
        <v>44</v>
      </c>
      <c r="L119" s="425"/>
      <c r="M119" s="425"/>
      <c r="N119" s="345" t="s">
        <v>131</v>
      </c>
      <c r="O119" s="345" t="s">
        <v>25</v>
      </c>
      <c r="P119" s="342" t="s">
        <v>25</v>
      </c>
      <c r="Q119" s="342"/>
      <c r="R119" s="342"/>
      <c r="S119" s="342"/>
      <c r="T119" s="342" t="s">
        <v>25</v>
      </c>
      <c r="U119" s="342"/>
      <c r="V119" s="342"/>
      <c r="W119" s="342"/>
      <c r="X119" s="429"/>
      <c r="Y119" s="342"/>
      <c r="Z119" s="342"/>
      <c r="AA119" s="342" t="s">
        <v>27</v>
      </c>
      <c r="AB119" s="342"/>
      <c r="AC119" s="342"/>
      <c r="AD119" s="342"/>
      <c r="AE119" s="342"/>
      <c r="AF119" s="342"/>
      <c r="AG119" s="342"/>
      <c r="AH119" s="342"/>
      <c r="AI119" s="426" t="s">
        <v>171</v>
      </c>
      <c r="AJ119" s="424"/>
      <c r="AK119" s="424"/>
      <c r="AL119" s="424"/>
      <c r="AM119" s="424"/>
      <c r="AN119" s="424"/>
      <c r="AO119" s="424"/>
      <c r="AP119" s="424"/>
      <c r="AQ119" s="424"/>
      <c r="AR119" s="345" t="s">
        <v>25</v>
      </c>
      <c r="AS119" s="345" t="s">
        <v>26</v>
      </c>
      <c r="AT119" s="345" t="s">
        <v>26</v>
      </c>
      <c r="AU119" s="342" t="s">
        <v>60</v>
      </c>
      <c r="AV119" s="342"/>
      <c r="AW119" s="342"/>
      <c r="AX119" s="342"/>
      <c r="AY119" s="342" t="s">
        <v>92</v>
      </c>
      <c r="AZ119" s="342"/>
      <c r="BA119" s="342"/>
      <c r="BB119" s="342"/>
      <c r="BC119" s="347" t="s">
        <v>182</v>
      </c>
      <c r="BD119" s="344"/>
      <c r="BE119" s="344"/>
      <c r="BF119" s="344"/>
      <c r="BG119" s="344"/>
      <c r="BH119" s="344"/>
      <c r="BI119" s="344"/>
      <c r="BJ119" s="344"/>
      <c r="BK119" s="24"/>
    </row>
    <row r="120" spans="1:63" x14ac:dyDescent="0.25">
      <c r="A120" s="23"/>
      <c r="B120" s="133">
        <v>11</v>
      </c>
      <c r="C120" s="133"/>
      <c r="D120" s="343" t="s">
        <v>43</v>
      </c>
      <c r="E120" s="343"/>
      <c r="F120" s="343"/>
      <c r="G120" s="343"/>
      <c r="H120" s="343"/>
      <c r="I120" s="343"/>
      <c r="J120" s="343"/>
      <c r="K120" s="344" t="s">
        <v>24</v>
      </c>
      <c r="L120" s="344"/>
      <c r="M120" s="344"/>
      <c r="N120" s="345" t="s">
        <v>25</v>
      </c>
      <c r="O120" s="345" t="s">
        <v>26</v>
      </c>
      <c r="P120" s="342" t="s">
        <v>25</v>
      </c>
      <c r="Q120" s="342"/>
      <c r="R120" s="342"/>
      <c r="S120" s="342"/>
      <c r="T120" s="342" t="s">
        <v>25</v>
      </c>
      <c r="U120" s="342"/>
      <c r="V120" s="342"/>
      <c r="W120" s="342"/>
      <c r="X120" s="429" t="s">
        <v>56</v>
      </c>
      <c r="Y120" s="342"/>
      <c r="Z120" s="342"/>
      <c r="AA120" s="342" t="s">
        <v>27</v>
      </c>
      <c r="AB120" s="342"/>
      <c r="AC120" s="342"/>
      <c r="AD120" s="342"/>
      <c r="AE120" s="342"/>
      <c r="AF120" s="342"/>
      <c r="AG120" s="342"/>
      <c r="AH120" s="342"/>
      <c r="AI120" s="424" t="s">
        <v>25</v>
      </c>
      <c r="AJ120" s="424"/>
      <c r="AK120" s="424"/>
      <c r="AL120" s="424"/>
      <c r="AM120" s="424"/>
      <c r="AN120" s="424"/>
      <c r="AO120" s="424"/>
      <c r="AP120" s="424"/>
      <c r="AQ120" s="424"/>
      <c r="AR120" s="345" t="s">
        <v>25</v>
      </c>
      <c r="AS120" s="425" t="s">
        <v>27</v>
      </c>
      <c r="AT120" s="425" t="s">
        <v>27</v>
      </c>
      <c r="AU120" s="342" t="s">
        <v>25</v>
      </c>
      <c r="AV120" s="342"/>
      <c r="AW120" s="342"/>
      <c r="AX120" s="342"/>
      <c r="AY120" s="342" t="s">
        <v>27</v>
      </c>
      <c r="AZ120" s="342"/>
      <c r="BA120" s="342"/>
      <c r="BB120" s="342"/>
      <c r="BC120" s="347"/>
      <c r="BD120" s="344"/>
      <c r="BE120" s="344"/>
      <c r="BF120" s="344"/>
      <c r="BG120" s="344"/>
      <c r="BH120" s="344"/>
      <c r="BI120" s="344"/>
      <c r="BJ120" s="344"/>
      <c r="BK120" s="24"/>
    </row>
    <row r="121" spans="1:63" ht="31.5" customHeight="1" x14ac:dyDescent="0.25">
      <c r="A121" s="23"/>
      <c r="B121" s="133">
        <v>11.1</v>
      </c>
      <c r="C121" s="133"/>
      <c r="D121" s="343" t="s">
        <v>45</v>
      </c>
      <c r="E121" s="343"/>
      <c r="F121" s="343"/>
      <c r="G121" s="343"/>
      <c r="H121" s="343"/>
      <c r="I121" s="343"/>
      <c r="J121" s="343"/>
      <c r="K121" s="425" t="s">
        <v>44</v>
      </c>
      <c r="L121" s="425"/>
      <c r="M121" s="425"/>
      <c r="N121" s="345" t="s">
        <v>131</v>
      </c>
      <c r="O121" s="345" t="s">
        <v>25</v>
      </c>
      <c r="P121" s="342" t="s">
        <v>25</v>
      </c>
      <c r="Q121" s="342"/>
      <c r="R121" s="342"/>
      <c r="S121" s="342"/>
      <c r="T121" s="342" t="s">
        <v>25</v>
      </c>
      <c r="U121" s="342"/>
      <c r="V121" s="342"/>
      <c r="W121" s="342"/>
      <c r="X121" s="429"/>
      <c r="Y121" s="342"/>
      <c r="Z121" s="342"/>
      <c r="AA121" s="342" t="s">
        <v>27</v>
      </c>
      <c r="AB121" s="342"/>
      <c r="AC121" s="342"/>
      <c r="AD121" s="342"/>
      <c r="AE121" s="342"/>
      <c r="AF121" s="342"/>
      <c r="AG121" s="342"/>
      <c r="AH121" s="342"/>
      <c r="AI121" s="426" t="s">
        <v>171</v>
      </c>
      <c r="AJ121" s="424"/>
      <c r="AK121" s="424"/>
      <c r="AL121" s="424"/>
      <c r="AM121" s="424"/>
      <c r="AN121" s="424"/>
      <c r="AO121" s="424"/>
      <c r="AP121" s="424"/>
      <c r="AQ121" s="424"/>
      <c r="AR121" s="345" t="s">
        <v>25</v>
      </c>
      <c r="AS121" s="345" t="s">
        <v>26</v>
      </c>
      <c r="AT121" s="425" t="s">
        <v>27</v>
      </c>
      <c r="AU121" s="342" t="s">
        <v>60</v>
      </c>
      <c r="AV121" s="342"/>
      <c r="AW121" s="342"/>
      <c r="AX121" s="342"/>
      <c r="AY121" s="426" t="s">
        <v>65</v>
      </c>
      <c r="AZ121" s="426"/>
      <c r="BA121" s="426"/>
      <c r="BB121" s="426"/>
      <c r="BC121" s="347" t="s">
        <v>85</v>
      </c>
      <c r="BD121" s="344"/>
      <c r="BE121" s="344"/>
      <c r="BF121" s="344"/>
      <c r="BG121" s="344"/>
      <c r="BH121" s="344"/>
      <c r="BI121" s="344"/>
      <c r="BJ121" s="344"/>
      <c r="BK121" s="24"/>
    </row>
    <row r="122" spans="1:63" ht="54.75" customHeight="1" x14ac:dyDescent="0.25">
      <c r="A122" s="23"/>
      <c r="B122" s="133">
        <v>11.2</v>
      </c>
      <c r="C122" s="133"/>
      <c r="D122" s="343" t="s">
        <v>46</v>
      </c>
      <c r="E122" s="343"/>
      <c r="F122" s="343"/>
      <c r="G122" s="343"/>
      <c r="H122" s="343"/>
      <c r="I122" s="343"/>
      <c r="J122" s="343"/>
      <c r="K122" s="425" t="s">
        <v>44</v>
      </c>
      <c r="L122" s="425"/>
      <c r="M122" s="425"/>
      <c r="N122" s="345" t="s">
        <v>131</v>
      </c>
      <c r="O122" s="345" t="s">
        <v>25</v>
      </c>
      <c r="P122" s="342" t="s">
        <v>25</v>
      </c>
      <c r="Q122" s="342"/>
      <c r="R122" s="342"/>
      <c r="S122" s="342"/>
      <c r="T122" s="342" t="s">
        <v>25</v>
      </c>
      <c r="U122" s="342"/>
      <c r="V122" s="342"/>
      <c r="W122" s="342"/>
      <c r="X122" s="429" t="s">
        <v>25</v>
      </c>
      <c r="Y122" s="342"/>
      <c r="Z122" s="342"/>
      <c r="AA122" s="342" t="s">
        <v>27</v>
      </c>
      <c r="AB122" s="342"/>
      <c r="AC122" s="342"/>
      <c r="AD122" s="342"/>
      <c r="AE122" s="342"/>
      <c r="AF122" s="342"/>
      <c r="AG122" s="342"/>
      <c r="AH122" s="342"/>
      <c r="AI122" s="426" t="s">
        <v>171</v>
      </c>
      <c r="AJ122" s="424"/>
      <c r="AK122" s="424"/>
      <c r="AL122" s="424"/>
      <c r="AM122" s="424"/>
      <c r="AN122" s="424"/>
      <c r="AO122" s="424"/>
      <c r="AP122" s="424"/>
      <c r="AQ122" s="424"/>
      <c r="AR122" s="345" t="s">
        <v>25</v>
      </c>
      <c r="AS122" s="345" t="s">
        <v>26</v>
      </c>
      <c r="AT122" s="425" t="s">
        <v>27</v>
      </c>
      <c r="AU122" s="342" t="s">
        <v>60</v>
      </c>
      <c r="AV122" s="342"/>
      <c r="AW122" s="342"/>
      <c r="AX122" s="342"/>
      <c r="AY122" s="426" t="s">
        <v>66</v>
      </c>
      <c r="AZ122" s="426"/>
      <c r="BA122" s="426"/>
      <c r="BB122" s="426"/>
      <c r="BC122" s="347" t="s">
        <v>85</v>
      </c>
      <c r="BD122" s="344"/>
      <c r="BE122" s="344"/>
      <c r="BF122" s="344"/>
      <c r="BG122" s="344"/>
      <c r="BH122" s="344"/>
      <c r="BI122" s="344"/>
      <c r="BJ122" s="344"/>
      <c r="BK122" s="24"/>
    </row>
    <row r="123" spans="1:63" ht="70.5" customHeight="1" x14ac:dyDescent="0.25">
      <c r="A123" s="23"/>
      <c r="B123" s="133">
        <v>12</v>
      </c>
      <c r="C123" s="133"/>
      <c r="D123" s="343" t="s">
        <v>48</v>
      </c>
      <c r="E123" s="343"/>
      <c r="F123" s="343"/>
      <c r="G123" s="343"/>
      <c r="H123" s="343"/>
      <c r="I123" s="343"/>
      <c r="J123" s="343"/>
      <c r="K123" s="344" t="s">
        <v>130</v>
      </c>
      <c r="L123" s="344"/>
      <c r="M123" s="344"/>
      <c r="N123" s="345" t="s">
        <v>131</v>
      </c>
      <c r="O123" s="345" t="s">
        <v>26</v>
      </c>
      <c r="P123" s="342" t="s">
        <v>25</v>
      </c>
      <c r="Q123" s="342"/>
      <c r="R123" s="342"/>
      <c r="S123" s="342"/>
      <c r="T123" s="342" t="s">
        <v>25</v>
      </c>
      <c r="U123" s="342"/>
      <c r="V123" s="342"/>
      <c r="W123" s="342"/>
      <c r="X123" s="137" t="s">
        <v>185</v>
      </c>
      <c r="Y123" s="133"/>
      <c r="Z123" s="133"/>
      <c r="AA123" s="342" t="s">
        <v>27</v>
      </c>
      <c r="AB123" s="342"/>
      <c r="AC123" s="342"/>
      <c r="AD123" s="342"/>
      <c r="AE123" s="342"/>
      <c r="AF123" s="342"/>
      <c r="AG123" s="342"/>
      <c r="AH123" s="342"/>
      <c r="AI123" s="426" t="s">
        <v>186</v>
      </c>
      <c r="AJ123" s="426"/>
      <c r="AK123" s="426"/>
      <c r="AL123" s="426"/>
      <c r="AM123" s="426"/>
      <c r="AN123" s="426"/>
      <c r="AO123" s="426"/>
      <c r="AP123" s="426"/>
      <c r="AQ123" s="426"/>
      <c r="AR123" s="345" t="s">
        <v>25</v>
      </c>
      <c r="AS123" s="425" t="s">
        <v>27</v>
      </c>
      <c r="AT123" s="425" t="s">
        <v>27</v>
      </c>
      <c r="AU123" s="342" t="s">
        <v>25</v>
      </c>
      <c r="AV123" s="342"/>
      <c r="AW123" s="342"/>
      <c r="AX123" s="342"/>
      <c r="AY123" s="342" t="s">
        <v>27</v>
      </c>
      <c r="AZ123" s="342"/>
      <c r="BA123" s="342"/>
      <c r="BB123" s="342"/>
      <c r="BC123" s="347" t="s">
        <v>187</v>
      </c>
      <c r="BD123" s="347"/>
      <c r="BE123" s="347"/>
      <c r="BF123" s="347"/>
      <c r="BG123" s="347"/>
      <c r="BH123" s="347"/>
      <c r="BI123" s="347"/>
      <c r="BJ123" s="347"/>
      <c r="BK123" s="24"/>
    </row>
    <row r="124" spans="1:63" ht="47.25" customHeight="1" x14ac:dyDescent="0.25">
      <c r="A124" s="23"/>
      <c r="B124" s="133">
        <v>13</v>
      </c>
      <c r="C124" s="133"/>
      <c r="D124" s="135" t="s">
        <v>188</v>
      </c>
      <c r="E124" s="135"/>
      <c r="F124" s="135"/>
      <c r="G124" s="135"/>
      <c r="H124" s="135"/>
      <c r="I124" s="135"/>
      <c r="J124" s="135"/>
      <c r="K124" s="136" t="s">
        <v>189</v>
      </c>
      <c r="L124" s="136"/>
      <c r="M124" s="136"/>
      <c r="N124" s="47" t="s">
        <v>190</v>
      </c>
      <c r="O124" s="47" t="s">
        <v>26</v>
      </c>
      <c r="P124" s="133" t="s">
        <v>25</v>
      </c>
      <c r="Q124" s="133"/>
      <c r="R124" s="133"/>
      <c r="S124" s="133"/>
      <c r="T124" s="133" t="s">
        <v>25</v>
      </c>
      <c r="U124" s="133"/>
      <c r="V124" s="133"/>
      <c r="W124" s="133"/>
      <c r="X124" s="137" t="s">
        <v>191</v>
      </c>
      <c r="Y124" s="133"/>
      <c r="Z124" s="133"/>
      <c r="AA124" s="133" t="s">
        <v>192</v>
      </c>
      <c r="AB124" s="133"/>
      <c r="AC124" s="133"/>
      <c r="AD124" s="133"/>
      <c r="AE124" s="133"/>
      <c r="AF124" s="133"/>
      <c r="AG124" s="133"/>
      <c r="AH124" s="133"/>
      <c r="AI124" s="139" t="s">
        <v>193</v>
      </c>
      <c r="AJ124" s="263"/>
      <c r="AK124" s="263"/>
      <c r="AL124" s="263"/>
      <c r="AM124" s="263"/>
      <c r="AN124" s="263"/>
      <c r="AO124" s="263"/>
      <c r="AP124" s="263"/>
      <c r="AQ124" s="263"/>
      <c r="AR124" s="47" t="s">
        <v>25</v>
      </c>
      <c r="AS124" s="48" t="s">
        <v>192</v>
      </c>
      <c r="AT124" s="48" t="s">
        <v>192</v>
      </c>
      <c r="AU124" s="133" t="s">
        <v>25</v>
      </c>
      <c r="AV124" s="133"/>
      <c r="AW124" s="133"/>
      <c r="AX124" s="133"/>
      <c r="AY124" s="133" t="s">
        <v>192</v>
      </c>
      <c r="AZ124" s="133"/>
      <c r="BA124" s="133"/>
      <c r="BB124" s="133"/>
      <c r="BC124" s="134" t="s">
        <v>194</v>
      </c>
      <c r="BD124" s="134"/>
      <c r="BE124" s="134"/>
      <c r="BF124" s="134"/>
      <c r="BG124" s="134"/>
      <c r="BH124" s="134"/>
      <c r="BI124" s="134"/>
      <c r="BJ124" s="134"/>
      <c r="BK124" s="24"/>
    </row>
    <row r="125" spans="1:63" ht="47.25" customHeight="1" x14ac:dyDescent="0.25">
      <c r="A125" s="23"/>
      <c r="B125" s="153">
        <v>14</v>
      </c>
      <c r="C125" s="153"/>
      <c r="D125" s="151" t="s">
        <v>195</v>
      </c>
      <c r="E125" s="151"/>
      <c r="F125" s="151"/>
      <c r="G125" s="151"/>
      <c r="H125" s="151"/>
      <c r="I125" s="151"/>
      <c r="J125" s="151"/>
      <c r="K125" s="152" t="s">
        <v>189</v>
      </c>
      <c r="L125" s="152"/>
      <c r="M125" s="152"/>
      <c r="N125" s="49" t="s">
        <v>190</v>
      </c>
      <c r="O125" s="49" t="s">
        <v>26</v>
      </c>
      <c r="P125" s="153" t="s">
        <v>25</v>
      </c>
      <c r="Q125" s="153"/>
      <c r="R125" s="153"/>
      <c r="S125" s="153"/>
      <c r="T125" s="153" t="s">
        <v>25</v>
      </c>
      <c r="U125" s="153"/>
      <c r="V125" s="153"/>
      <c r="W125" s="153"/>
      <c r="X125" s="154" t="s">
        <v>196</v>
      </c>
      <c r="Y125" s="153"/>
      <c r="Z125" s="153"/>
      <c r="AA125" s="153" t="s">
        <v>192</v>
      </c>
      <c r="AB125" s="153"/>
      <c r="AC125" s="153"/>
      <c r="AD125" s="153"/>
      <c r="AE125" s="153"/>
      <c r="AF125" s="153"/>
      <c r="AG125" s="153"/>
      <c r="AH125" s="153"/>
      <c r="AI125" s="155" t="s">
        <v>193</v>
      </c>
      <c r="AJ125" s="156"/>
      <c r="AK125" s="156"/>
      <c r="AL125" s="156"/>
      <c r="AM125" s="156"/>
      <c r="AN125" s="156"/>
      <c r="AO125" s="156"/>
      <c r="AP125" s="156"/>
      <c r="AQ125" s="156"/>
      <c r="AR125" s="49" t="s">
        <v>25</v>
      </c>
      <c r="AS125" s="50" t="s">
        <v>192</v>
      </c>
      <c r="AT125" s="50" t="s">
        <v>192</v>
      </c>
      <c r="AU125" s="153" t="s">
        <v>25</v>
      </c>
      <c r="AV125" s="153"/>
      <c r="AW125" s="153"/>
      <c r="AX125" s="153"/>
      <c r="AY125" s="153" t="s">
        <v>192</v>
      </c>
      <c r="AZ125" s="153"/>
      <c r="BA125" s="153"/>
      <c r="BB125" s="153"/>
      <c r="BC125" s="141" t="s">
        <v>197</v>
      </c>
      <c r="BD125" s="141"/>
      <c r="BE125" s="141"/>
      <c r="BF125" s="141"/>
      <c r="BG125" s="141"/>
      <c r="BH125" s="141"/>
      <c r="BI125" s="141"/>
      <c r="BJ125" s="141"/>
      <c r="BK125" s="24"/>
    </row>
    <row r="126" spans="1:63" ht="15" customHeight="1" x14ac:dyDescent="0.25">
      <c r="A126" s="23"/>
      <c r="BK126" s="24"/>
    </row>
    <row r="127" spans="1:63" ht="15" customHeight="1" x14ac:dyDescent="0.25">
      <c r="A127" s="23"/>
      <c r="B127" s="43" t="s">
        <v>106</v>
      </c>
      <c r="BK127" s="24"/>
    </row>
    <row r="128" spans="1:63" ht="15" customHeight="1" x14ac:dyDescent="0.25">
      <c r="A128" s="23"/>
      <c r="BK128" s="24"/>
    </row>
    <row r="129" spans="1:63" ht="15" customHeight="1" x14ac:dyDescent="0.25">
      <c r="A129" s="23"/>
      <c r="BK129" s="24"/>
    </row>
    <row r="130" spans="1:63" ht="15" customHeight="1" x14ac:dyDescent="0.25">
      <c r="A130" s="23"/>
      <c r="BK130" s="24"/>
    </row>
    <row r="131" spans="1:63" ht="15" customHeight="1" x14ac:dyDescent="0.25">
      <c r="A131" s="23"/>
      <c r="BK131" s="24"/>
    </row>
    <row r="132" spans="1:63" ht="15" customHeight="1" x14ac:dyDescent="0.25">
      <c r="A132" s="23"/>
      <c r="BK132" s="24"/>
    </row>
    <row r="133" spans="1:63" ht="15" customHeight="1" x14ac:dyDescent="0.25">
      <c r="A133" s="23"/>
      <c r="BK133" s="24"/>
    </row>
    <row r="134" spans="1:63" ht="15" customHeight="1" x14ac:dyDescent="0.25">
      <c r="A134" s="23"/>
      <c r="BK134" s="24"/>
    </row>
    <row r="135" spans="1:63" ht="15" customHeight="1" x14ac:dyDescent="0.25">
      <c r="A135" s="23"/>
      <c r="BK135" s="24"/>
    </row>
    <row r="136" spans="1:63" ht="15" customHeight="1" x14ac:dyDescent="0.25">
      <c r="A136" s="23"/>
      <c r="BK136" s="24"/>
    </row>
    <row r="137" spans="1:63" ht="15" customHeight="1" x14ac:dyDescent="0.25">
      <c r="A137" s="23"/>
      <c r="BK137" s="24"/>
    </row>
    <row r="138" spans="1:63" ht="15" customHeight="1" x14ac:dyDescent="0.25">
      <c r="A138" s="23"/>
      <c r="BK138" s="24"/>
    </row>
    <row r="139" spans="1:63" ht="15" customHeight="1" x14ac:dyDescent="0.25">
      <c r="A139" s="23"/>
      <c r="BK139" s="24"/>
    </row>
    <row r="140" spans="1:63" ht="15" customHeight="1" x14ac:dyDescent="0.25">
      <c r="A140" s="23"/>
      <c r="BK140" s="24"/>
    </row>
    <row r="141" spans="1:63" ht="15" customHeight="1" x14ac:dyDescent="0.25">
      <c r="A141" s="23"/>
      <c r="BK141" s="24"/>
    </row>
    <row r="142" spans="1:63" ht="15" customHeight="1" x14ac:dyDescent="0.25">
      <c r="A142" s="23"/>
      <c r="BK142" s="24"/>
    </row>
    <row r="143" spans="1:63" ht="15" customHeight="1" x14ac:dyDescent="0.25">
      <c r="A143" s="23"/>
      <c r="BK143" s="24"/>
    </row>
    <row r="144" spans="1:63" ht="15" customHeight="1" x14ac:dyDescent="0.25">
      <c r="A144" s="23"/>
      <c r="BK144" s="24"/>
    </row>
    <row r="145" spans="1:63" ht="15" customHeight="1" x14ac:dyDescent="0.25">
      <c r="A145" s="23"/>
      <c r="BK145" s="24"/>
    </row>
    <row r="146" spans="1:63" ht="15" customHeight="1" x14ac:dyDescent="0.25">
      <c r="A146" s="23"/>
      <c r="BK146" s="24"/>
    </row>
    <row r="147" spans="1:63" ht="15" customHeight="1" x14ac:dyDescent="0.25">
      <c r="A147" s="23"/>
      <c r="BK147" s="24"/>
    </row>
    <row r="148" spans="1:63" ht="15" customHeight="1" x14ac:dyDescent="0.25">
      <c r="A148" s="23"/>
      <c r="BK148" s="24"/>
    </row>
    <row r="149" spans="1:63" ht="15" customHeight="1" x14ac:dyDescent="0.25">
      <c r="A149" s="23"/>
      <c r="BK149" s="24"/>
    </row>
    <row r="150" spans="1:63" ht="15" customHeight="1" x14ac:dyDescent="0.25">
      <c r="A150" s="23"/>
      <c r="BK150" s="24"/>
    </row>
    <row r="151" spans="1:63" ht="15" customHeight="1" x14ac:dyDescent="0.25">
      <c r="A151" s="23"/>
      <c r="BK151" s="24"/>
    </row>
    <row r="152" spans="1:63" ht="15" customHeight="1" x14ac:dyDescent="0.25">
      <c r="A152" s="23"/>
      <c r="BK152" s="24"/>
    </row>
    <row r="153" spans="1:63" ht="15" customHeight="1" x14ac:dyDescent="0.25">
      <c r="A153" s="23"/>
      <c r="BK153" s="24"/>
    </row>
    <row r="154" spans="1:63" ht="15" customHeight="1" x14ac:dyDescent="0.25">
      <c r="A154" s="23"/>
      <c r="BK154" s="24"/>
    </row>
    <row r="155" spans="1:63" ht="15" customHeight="1" x14ac:dyDescent="0.25">
      <c r="A155" s="23"/>
      <c r="BK155" s="24"/>
    </row>
    <row r="156" spans="1:63" ht="15" customHeight="1" x14ac:dyDescent="0.25">
      <c r="A156" s="23"/>
      <c r="BK156" s="24"/>
    </row>
    <row r="157" spans="1:63" ht="15" customHeight="1" x14ac:dyDescent="0.25">
      <c r="A157" s="23"/>
      <c r="BK157" s="24"/>
    </row>
    <row r="158" spans="1:63" ht="15" customHeight="1" x14ac:dyDescent="0.25">
      <c r="A158" s="23"/>
      <c r="BK158" s="24"/>
    </row>
    <row r="159" spans="1:63" ht="15" customHeight="1" x14ac:dyDescent="0.25">
      <c r="A159" s="23"/>
      <c r="BK159" s="24"/>
    </row>
    <row r="160" spans="1:63" ht="15" customHeight="1" x14ac:dyDescent="0.25">
      <c r="A160" s="23"/>
      <c r="BK160" s="24"/>
    </row>
    <row r="161" spans="1:63" ht="15" customHeight="1" x14ac:dyDescent="0.25">
      <c r="A161" s="23"/>
      <c r="BK161" s="24"/>
    </row>
    <row r="162" spans="1:63" ht="15" customHeight="1" x14ac:dyDescent="0.25">
      <c r="A162" s="23"/>
      <c r="BK162" s="24"/>
    </row>
    <row r="163" spans="1:63" ht="15" customHeight="1" x14ac:dyDescent="0.25">
      <c r="A163" s="23"/>
      <c r="BK163" s="24"/>
    </row>
    <row r="164" spans="1:63" ht="15" customHeight="1" x14ac:dyDescent="0.25">
      <c r="A164" s="23"/>
      <c r="B164" s="25" t="s">
        <v>147</v>
      </c>
      <c r="BK164" s="24"/>
    </row>
    <row r="165" spans="1:63" x14ac:dyDescent="0.25">
      <c r="A165" s="23"/>
      <c r="BK165" s="24"/>
    </row>
    <row r="166" spans="1:63" ht="15.75" customHeight="1" x14ac:dyDescent="0.25">
      <c r="A166" s="23"/>
      <c r="B166" s="167" t="s">
        <v>148</v>
      </c>
      <c r="C166" s="168"/>
      <c r="D166" s="173" t="s">
        <v>149</v>
      </c>
      <c r="E166" s="174"/>
      <c r="F166" s="174"/>
      <c r="G166" s="174"/>
      <c r="H166" s="174"/>
      <c r="I166" s="174"/>
      <c r="J166" s="168"/>
      <c r="K166" s="173" t="s">
        <v>150</v>
      </c>
      <c r="L166" s="174"/>
      <c r="M166" s="168"/>
      <c r="N166" s="177" t="s">
        <v>17</v>
      </c>
      <c r="O166" s="180" t="s">
        <v>151</v>
      </c>
      <c r="P166" s="183" t="s">
        <v>152</v>
      </c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  <c r="AA166" s="184"/>
      <c r="AB166" s="184"/>
      <c r="AC166" s="184"/>
      <c r="AD166" s="184"/>
      <c r="AE166" s="184"/>
      <c r="AF166" s="184"/>
      <c r="AG166" s="184"/>
      <c r="AH166" s="184"/>
      <c r="AI166" s="184"/>
      <c r="AJ166" s="184"/>
      <c r="AK166" s="184"/>
      <c r="AL166" s="184"/>
      <c r="AM166" s="184"/>
      <c r="AN166" s="184"/>
      <c r="AO166" s="184"/>
      <c r="AP166" s="184"/>
      <c r="AQ166" s="185"/>
      <c r="AR166" s="186" t="s">
        <v>153</v>
      </c>
      <c r="AS166" s="187"/>
      <c r="AT166" s="187"/>
      <c r="AU166" s="187"/>
      <c r="AV166" s="187"/>
      <c r="AW166" s="187"/>
      <c r="AX166" s="187"/>
      <c r="AY166" s="187"/>
      <c r="AZ166" s="187"/>
      <c r="BA166" s="187"/>
      <c r="BB166" s="188"/>
      <c r="BC166" s="142" t="s">
        <v>154</v>
      </c>
      <c r="BD166" s="143"/>
      <c r="BE166" s="143"/>
      <c r="BF166" s="143"/>
      <c r="BG166" s="143"/>
      <c r="BH166" s="143"/>
      <c r="BI166" s="143"/>
      <c r="BJ166" s="144"/>
      <c r="BK166" s="24"/>
    </row>
    <row r="167" spans="1:63" ht="15.75" customHeight="1" x14ac:dyDescent="0.25">
      <c r="A167" s="23"/>
      <c r="B167" s="169"/>
      <c r="C167" s="170"/>
      <c r="D167" s="169"/>
      <c r="E167" s="175"/>
      <c r="F167" s="175"/>
      <c r="G167" s="175"/>
      <c r="H167" s="175"/>
      <c r="I167" s="175"/>
      <c r="J167" s="170"/>
      <c r="K167" s="169"/>
      <c r="L167" s="175"/>
      <c r="M167" s="170"/>
      <c r="N167" s="178"/>
      <c r="O167" s="181"/>
      <c r="P167" s="189" t="s">
        <v>155</v>
      </c>
      <c r="Q167" s="190"/>
      <c r="R167" s="190"/>
      <c r="S167" s="190"/>
      <c r="T167" s="190"/>
      <c r="U167" s="190"/>
      <c r="V167" s="190"/>
      <c r="W167" s="191"/>
      <c r="X167" s="192" t="s">
        <v>156</v>
      </c>
      <c r="Y167" s="193"/>
      <c r="Z167" s="194"/>
      <c r="AA167" s="192" t="s">
        <v>157</v>
      </c>
      <c r="AB167" s="193"/>
      <c r="AC167" s="193"/>
      <c r="AD167" s="193"/>
      <c r="AE167" s="193"/>
      <c r="AF167" s="193"/>
      <c r="AG167" s="193"/>
      <c r="AH167" s="194"/>
      <c r="AI167" s="192" t="s">
        <v>158</v>
      </c>
      <c r="AJ167" s="193"/>
      <c r="AK167" s="193"/>
      <c r="AL167" s="193"/>
      <c r="AM167" s="193"/>
      <c r="AN167" s="193"/>
      <c r="AO167" s="193"/>
      <c r="AP167" s="193"/>
      <c r="AQ167" s="194"/>
      <c r="AR167" s="198" t="s">
        <v>159</v>
      </c>
      <c r="AS167" s="200" t="s">
        <v>160</v>
      </c>
      <c r="AT167" s="202" t="s">
        <v>161</v>
      </c>
      <c r="AU167" s="186" t="s">
        <v>155</v>
      </c>
      <c r="AV167" s="187"/>
      <c r="AW167" s="187"/>
      <c r="AX167" s="187"/>
      <c r="AY167" s="187"/>
      <c r="AZ167" s="187"/>
      <c r="BA167" s="187"/>
      <c r="BB167" s="188"/>
      <c r="BC167" s="145"/>
      <c r="BD167" s="146"/>
      <c r="BE167" s="146"/>
      <c r="BF167" s="146"/>
      <c r="BG167" s="146"/>
      <c r="BH167" s="146"/>
      <c r="BI167" s="146"/>
      <c r="BJ167" s="147"/>
      <c r="BK167" s="24"/>
    </row>
    <row r="168" spans="1:63" x14ac:dyDescent="0.25">
      <c r="A168" s="23"/>
      <c r="B168" s="171"/>
      <c r="C168" s="172"/>
      <c r="D168" s="171"/>
      <c r="E168" s="176"/>
      <c r="F168" s="176"/>
      <c r="G168" s="176"/>
      <c r="H168" s="176"/>
      <c r="I168" s="176"/>
      <c r="J168" s="172"/>
      <c r="K168" s="171"/>
      <c r="L168" s="176"/>
      <c r="M168" s="172"/>
      <c r="N168" s="179"/>
      <c r="O168" s="182"/>
      <c r="P168" s="183" t="s">
        <v>162</v>
      </c>
      <c r="Q168" s="184"/>
      <c r="R168" s="184"/>
      <c r="S168" s="185"/>
      <c r="T168" s="183" t="s">
        <v>149</v>
      </c>
      <c r="U168" s="184"/>
      <c r="V168" s="184"/>
      <c r="W168" s="185"/>
      <c r="X168" s="195"/>
      <c r="Y168" s="196"/>
      <c r="Z168" s="197"/>
      <c r="AA168" s="195"/>
      <c r="AB168" s="196"/>
      <c r="AC168" s="196"/>
      <c r="AD168" s="196"/>
      <c r="AE168" s="196"/>
      <c r="AF168" s="196"/>
      <c r="AG168" s="196"/>
      <c r="AH168" s="197"/>
      <c r="AI168" s="195"/>
      <c r="AJ168" s="196"/>
      <c r="AK168" s="196"/>
      <c r="AL168" s="196"/>
      <c r="AM168" s="196"/>
      <c r="AN168" s="196"/>
      <c r="AO168" s="196"/>
      <c r="AP168" s="196"/>
      <c r="AQ168" s="197"/>
      <c r="AR168" s="199"/>
      <c r="AS168" s="201"/>
      <c r="AT168" s="203"/>
      <c r="AU168" s="186" t="s">
        <v>162</v>
      </c>
      <c r="AV168" s="187"/>
      <c r="AW168" s="187"/>
      <c r="AX168" s="204"/>
      <c r="AY168" s="213" t="s">
        <v>149</v>
      </c>
      <c r="AZ168" s="187"/>
      <c r="BA168" s="187"/>
      <c r="BB168" s="188"/>
      <c r="BC168" s="148"/>
      <c r="BD168" s="149"/>
      <c r="BE168" s="149"/>
      <c r="BF168" s="149"/>
      <c r="BG168" s="149"/>
      <c r="BH168" s="149"/>
      <c r="BI168" s="149"/>
      <c r="BJ168" s="150"/>
      <c r="BK168" s="24"/>
    </row>
    <row r="169" spans="1:63" ht="30" customHeight="1" x14ac:dyDescent="0.25">
      <c r="A169" s="23"/>
      <c r="B169" s="40" t="s">
        <v>86</v>
      </c>
      <c r="C169" s="35"/>
      <c r="D169" s="337"/>
      <c r="E169" s="337"/>
      <c r="F169" s="337"/>
      <c r="G169" s="337"/>
      <c r="H169" s="337"/>
      <c r="I169" s="337"/>
      <c r="J169" s="337"/>
      <c r="K169" s="36"/>
      <c r="L169" s="37"/>
      <c r="M169" s="37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8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9"/>
      <c r="AJ169" s="39"/>
      <c r="AK169" s="39"/>
      <c r="AL169" s="39"/>
      <c r="AM169" s="39"/>
      <c r="AN169" s="39"/>
      <c r="AO169" s="39"/>
      <c r="AP169" s="39"/>
      <c r="AQ169" s="39"/>
      <c r="AR169" s="35"/>
      <c r="AS169" s="37"/>
      <c r="AT169" s="37"/>
      <c r="AU169" s="35"/>
      <c r="AV169" s="35"/>
      <c r="AW169" s="35"/>
      <c r="AX169" s="35"/>
      <c r="AY169" s="35"/>
      <c r="AZ169" s="35"/>
      <c r="BA169" s="35"/>
      <c r="BB169" s="35"/>
      <c r="BC169" s="338"/>
      <c r="BD169" s="339"/>
      <c r="BE169" s="339"/>
      <c r="BF169" s="339"/>
      <c r="BG169" s="339"/>
      <c r="BH169" s="339"/>
      <c r="BI169" s="339"/>
      <c r="BJ169" s="340"/>
      <c r="BK169" s="24"/>
    </row>
    <row r="170" spans="1:63" ht="31.5" customHeight="1" x14ac:dyDescent="0.25">
      <c r="A170" s="23"/>
      <c r="B170" s="157">
        <v>15</v>
      </c>
      <c r="C170" s="157"/>
      <c r="D170" s="343" t="s">
        <v>76</v>
      </c>
      <c r="E170" s="343"/>
      <c r="F170" s="343"/>
      <c r="G170" s="343"/>
      <c r="H170" s="343"/>
      <c r="I170" s="343"/>
      <c r="J170" s="343"/>
      <c r="K170" s="158" t="s">
        <v>24</v>
      </c>
      <c r="L170" s="158"/>
      <c r="M170" s="158"/>
      <c r="N170" s="32" t="s">
        <v>52</v>
      </c>
      <c r="O170" s="32" t="s">
        <v>26</v>
      </c>
      <c r="P170" s="140" t="s">
        <v>28</v>
      </c>
      <c r="Q170" s="140"/>
      <c r="R170" s="140"/>
      <c r="S170" s="140"/>
      <c r="T170" s="140" t="s">
        <v>28</v>
      </c>
      <c r="U170" s="140"/>
      <c r="V170" s="140"/>
      <c r="W170" s="140"/>
      <c r="X170" s="159" t="s">
        <v>80</v>
      </c>
      <c r="Y170" s="140"/>
      <c r="Z170" s="140"/>
      <c r="AA170" s="140" t="s">
        <v>27</v>
      </c>
      <c r="AB170" s="140"/>
      <c r="AC170" s="140"/>
      <c r="AD170" s="140"/>
      <c r="AE170" s="140"/>
      <c r="AF170" s="140"/>
      <c r="AG170" s="140"/>
      <c r="AH170" s="140"/>
      <c r="AI170" s="160" t="s">
        <v>25</v>
      </c>
      <c r="AJ170" s="160"/>
      <c r="AK170" s="160"/>
      <c r="AL170" s="160"/>
      <c r="AM170" s="160"/>
      <c r="AN170" s="160"/>
      <c r="AO170" s="160"/>
      <c r="AP170" s="160"/>
      <c r="AQ170" s="160"/>
      <c r="AR170" s="32" t="s">
        <v>25</v>
      </c>
      <c r="AS170" s="33" t="s">
        <v>27</v>
      </c>
      <c r="AT170" s="34" t="s">
        <v>192</v>
      </c>
      <c r="AU170" s="140" t="s">
        <v>28</v>
      </c>
      <c r="AV170" s="140"/>
      <c r="AW170" s="140"/>
      <c r="AX170" s="140"/>
      <c r="AY170" s="140" t="s">
        <v>28</v>
      </c>
      <c r="AZ170" s="140"/>
      <c r="BA170" s="140"/>
      <c r="BB170" s="140"/>
      <c r="BC170" s="347"/>
      <c r="BD170" s="344"/>
      <c r="BE170" s="344"/>
      <c r="BF170" s="344"/>
      <c r="BG170" s="344"/>
      <c r="BH170" s="344"/>
      <c r="BI170" s="344"/>
      <c r="BJ170" s="344"/>
      <c r="BK170" s="24"/>
    </row>
    <row r="171" spans="1:63" ht="57.75" customHeight="1" x14ac:dyDescent="0.25">
      <c r="A171" s="23"/>
      <c r="B171" s="157">
        <v>15.1</v>
      </c>
      <c r="C171" s="157"/>
      <c r="D171" s="343" t="s">
        <v>79</v>
      </c>
      <c r="E171" s="343"/>
      <c r="F171" s="343"/>
      <c r="G171" s="343"/>
      <c r="H171" s="343"/>
      <c r="I171" s="343"/>
      <c r="J171" s="343"/>
      <c r="K171" s="158" t="s">
        <v>24</v>
      </c>
      <c r="L171" s="158"/>
      <c r="M171" s="158"/>
      <c r="N171" s="32" t="s">
        <v>52</v>
      </c>
      <c r="O171" s="32" t="s">
        <v>25</v>
      </c>
      <c r="P171" s="140" t="s">
        <v>60</v>
      </c>
      <c r="Q171" s="140"/>
      <c r="R171" s="140"/>
      <c r="S171" s="140"/>
      <c r="T171" s="211" t="s">
        <v>81</v>
      </c>
      <c r="U171" s="211"/>
      <c r="V171" s="211"/>
      <c r="W171" s="211"/>
      <c r="X171" s="159"/>
      <c r="Y171" s="140"/>
      <c r="Z171" s="140"/>
      <c r="AA171" s="212" t="s">
        <v>192</v>
      </c>
      <c r="AB171" s="140"/>
      <c r="AC171" s="140"/>
      <c r="AD171" s="140"/>
      <c r="AE171" s="140"/>
      <c r="AF171" s="140"/>
      <c r="AG171" s="140"/>
      <c r="AH171" s="140"/>
      <c r="AI171" s="160" t="s">
        <v>25</v>
      </c>
      <c r="AJ171" s="160"/>
      <c r="AK171" s="160"/>
      <c r="AL171" s="160"/>
      <c r="AM171" s="160"/>
      <c r="AN171" s="160"/>
      <c r="AO171" s="160"/>
      <c r="AP171" s="160"/>
      <c r="AQ171" s="160"/>
      <c r="AR171" s="32" t="s">
        <v>25</v>
      </c>
      <c r="AS171" s="33" t="s">
        <v>27</v>
      </c>
      <c r="AT171" s="34" t="s">
        <v>192</v>
      </c>
      <c r="AU171" s="140" t="s">
        <v>28</v>
      </c>
      <c r="AV171" s="140"/>
      <c r="AW171" s="140"/>
      <c r="AX171" s="140"/>
      <c r="AY171" s="140" t="s">
        <v>28</v>
      </c>
      <c r="AZ171" s="140"/>
      <c r="BA171" s="140"/>
      <c r="BB171" s="140"/>
      <c r="BC171" s="347" t="s">
        <v>198</v>
      </c>
      <c r="BD171" s="344"/>
      <c r="BE171" s="344"/>
      <c r="BF171" s="344"/>
      <c r="BG171" s="344"/>
      <c r="BH171" s="344"/>
      <c r="BI171" s="344"/>
      <c r="BJ171" s="344"/>
      <c r="BK171" s="24"/>
    </row>
    <row r="172" spans="1:63" ht="31.5" customHeight="1" x14ac:dyDescent="0.25">
      <c r="A172" s="23"/>
      <c r="B172" s="157">
        <v>16</v>
      </c>
      <c r="C172" s="157"/>
      <c r="D172" s="343" t="s">
        <v>50</v>
      </c>
      <c r="E172" s="343"/>
      <c r="F172" s="343"/>
      <c r="G172" s="343"/>
      <c r="H172" s="343"/>
      <c r="I172" s="343"/>
      <c r="J172" s="343"/>
      <c r="K172" s="158" t="s">
        <v>24</v>
      </c>
      <c r="L172" s="158"/>
      <c r="M172" s="158"/>
      <c r="N172" s="32" t="s">
        <v>52</v>
      </c>
      <c r="O172" s="32" t="s">
        <v>26</v>
      </c>
      <c r="P172" s="140" t="s">
        <v>28</v>
      </c>
      <c r="Q172" s="140"/>
      <c r="R172" s="140"/>
      <c r="S172" s="140"/>
      <c r="T172" s="140" t="s">
        <v>28</v>
      </c>
      <c r="U172" s="140"/>
      <c r="V172" s="140"/>
      <c r="W172" s="140"/>
      <c r="X172" s="159" t="s">
        <v>49</v>
      </c>
      <c r="Y172" s="140"/>
      <c r="Z172" s="140"/>
      <c r="AA172" s="140" t="s">
        <v>27</v>
      </c>
      <c r="AB172" s="140"/>
      <c r="AC172" s="140"/>
      <c r="AD172" s="140"/>
      <c r="AE172" s="140"/>
      <c r="AF172" s="140"/>
      <c r="AG172" s="140"/>
      <c r="AH172" s="140"/>
      <c r="AI172" s="160" t="s">
        <v>25</v>
      </c>
      <c r="AJ172" s="160"/>
      <c r="AK172" s="160"/>
      <c r="AL172" s="160"/>
      <c r="AM172" s="160"/>
      <c r="AN172" s="160"/>
      <c r="AO172" s="160"/>
      <c r="AP172" s="160"/>
      <c r="AQ172" s="160"/>
      <c r="AR172" s="32" t="s">
        <v>25</v>
      </c>
      <c r="AS172" s="33" t="s">
        <v>27</v>
      </c>
      <c r="AT172" s="34" t="s">
        <v>192</v>
      </c>
      <c r="AU172" s="140" t="s">
        <v>28</v>
      </c>
      <c r="AV172" s="140"/>
      <c r="AW172" s="140"/>
      <c r="AX172" s="140"/>
      <c r="AY172" s="140" t="s">
        <v>28</v>
      </c>
      <c r="AZ172" s="140"/>
      <c r="BA172" s="140"/>
      <c r="BB172" s="140"/>
      <c r="BC172" s="347"/>
      <c r="BD172" s="344"/>
      <c r="BE172" s="344"/>
      <c r="BF172" s="344"/>
      <c r="BG172" s="344"/>
      <c r="BH172" s="344"/>
      <c r="BI172" s="344"/>
      <c r="BJ172" s="344"/>
      <c r="BK172" s="24"/>
    </row>
    <row r="173" spans="1:63" ht="32.25" customHeight="1" x14ac:dyDescent="0.25">
      <c r="A173" s="23"/>
      <c r="B173" s="157">
        <v>16.100000000000001</v>
      </c>
      <c r="C173" s="157"/>
      <c r="D173" s="343" t="s">
        <v>51</v>
      </c>
      <c r="E173" s="343"/>
      <c r="F173" s="343"/>
      <c r="G173" s="343"/>
      <c r="H173" s="343"/>
      <c r="I173" s="343"/>
      <c r="J173" s="343"/>
      <c r="K173" s="158" t="s">
        <v>24</v>
      </c>
      <c r="L173" s="158"/>
      <c r="M173" s="158"/>
      <c r="N173" s="32" t="s">
        <v>52</v>
      </c>
      <c r="O173" s="32" t="s">
        <v>25</v>
      </c>
      <c r="P173" s="140" t="s">
        <v>60</v>
      </c>
      <c r="Q173" s="140"/>
      <c r="R173" s="140"/>
      <c r="S173" s="140"/>
      <c r="T173" s="211" t="s">
        <v>63</v>
      </c>
      <c r="U173" s="211"/>
      <c r="V173" s="211"/>
      <c r="W173" s="211"/>
      <c r="X173" s="159"/>
      <c r="Y173" s="140"/>
      <c r="Z173" s="140"/>
      <c r="AA173" s="212" t="s">
        <v>192</v>
      </c>
      <c r="AB173" s="140"/>
      <c r="AC173" s="140"/>
      <c r="AD173" s="140"/>
      <c r="AE173" s="140"/>
      <c r="AF173" s="140"/>
      <c r="AG173" s="140"/>
      <c r="AH173" s="140"/>
      <c r="AI173" s="160" t="s">
        <v>25</v>
      </c>
      <c r="AJ173" s="160"/>
      <c r="AK173" s="160"/>
      <c r="AL173" s="160"/>
      <c r="AM173" s="160"/>
      <c r="AN173" s="160"/>
      <c r="AO173" s="160"/>
      <c r="AP173" s="160"/>
      <c r="AQ173" s="160"/>
      <c r="AR173" s="32" t="s">
        <v>25</v>
      </c>
      <c r="AS173" s="33" t="s">
        <v>27</v>
      </c>
      <c r="AT173" s="34" t="s">
        <v>192</v>
      </c>
      <c r="AU173" s="140" t="s">
        <v>28</v>
      </c>
      <c r="AV173" s="140"/>
      <c r="AW173" s="140"/>
      <c r="AX173" s="140"/>
      <c r="AY173" s="140" t="s">
        <v>28</v>
      </c>
      <c r="AZ173" s="140"/>
      <c r="BA173" s="140"/>
      <c r="BB173" s="140"/>
      <c r="BC173" s="347"/>
      <c r="BD173" s="344"/>
      <c r="BE173" s="344"/>
      <c r="BF173" s="344"/>
      <c r="BG173" s="344"/>
      <c r="BH173" s="344"/>
      <c r="BI173" s="344"/>
      <c r="BJ173" s="344"/>
      <c r="BK173" s="24"/>
    </row>
    <row r="174" spans="1:63" ht="30.75" customHeight="1" x14ac:dyDescent="0.25">
      <c r="A174" s="23"/>
      <c r="B174" s="157">
        <v>17</v>
      </c>
      <c r="C174" s="157"/>
      <c r="D174" s="343" t="s">
        <v>54</v>
      </c>
      <c r="E174" s="343"/>
      <c r="F174" s="343"/>
      <c r="G174" s="343"/>
      <c r="H174" s="343"/>
      <c r="I174" s="343"/>
      <c r="J174" s="343"/>
      <c r="K174" s="158" t="s">
        <v>24</v>
      </c>
      <c r="L174" s="158"/>
      <c r="M174" s="158"/>
      <c r="N174" s="32" t="s">
        <v>52</v>
      </c>
      <c r="O174" s="32" t="s">
        <v>26</v>
      </c>
      <c r="P174" s="140" t="s">
        <v>28</v>
      </c>
      <c r="Q174" s="140"/>
      <c r="R174" s="140"/>
      <c r="S174" s="140"/>
      <c r="T174" s="140" t="s">
        <v>28</v>
      </c>
      <c r="U174" s="140"/>
      <c r="V174" s="140"/>
      <c r="W174" s="140"/>
      <c r="X174" s="159" t="s">
        <v>53</v>
      </c>
      <c r="Y174" s="140"/>
      <c r="Z174" s="140"/>
      <c r="AA174" s="212" t="s">
        <v>82</v>
      </c>
      <c r="AB174" s="140"/>
      <c r="AC174" s="140"/>
      <c r="AD174" s="140"/>
      <c r="AE174" s="140"/>
      <c r="AF174" s="140"/>
      <c r="AG174" s="140"/>
      <c r="AH174" s="140"/>
      <c r="AI174" s="160" t="s">
        <v>25</v>
      </c>
      <c r="AJ174" s="160"/>
      <c r="AK174" s="160"/>
      <c r="AL174" s="160"/>
      <c r="AM174" s="160"/>
      <c r="AN174" s="160"/>
      <c r="AO174" s="160"/>
      <c r="AP174" s="160"/>
      <c r="AQ174" s="160"/>
      <c r="AR174" s="32" t="s">
        <v>25</v>
      </c>
      <c r="AS174" s="33" t="s">
        <v>27</v>
      </c>
      <c r="AT174" s="33" t="s">
        <v>27</v>
      </c>
      <c r="AU174" s="140" t="s">
        <v>28</v>
      </c>
      <c r="AV174" s="140"/>
      <c r="AW174" s="140"/>
      <c r="AX174" s="140"/>
      <c r="AY174" s="140" t="s">
        <v>28</v>
      </c>
      <c r="AZ174" s="140"/>
      <c r="BA174" s="140"/>
      <c r="BB174" s="140"/>
      <c r="BC174" s="347"/>
      <c r="BD174" s="344"/>
      <c r="BE174" s="344"/>
      <c r="BF174" s="344"/>
      <c r="BG174" s="344"/>
      <c r="BH174" s="344"/>
      <c r="BI174" s="344"/>
      <c r="BJ174" s="344"/>
      <c r="BK174" s="24"/>
    </row>
    <row r="175" spans="1:63" ht="30" customHeight="1" x14ac:dyDescent="0.25">
      <c r="A175" s="23"/>
      <c r="B175" s="157">
        <v>17.100000000000001</v>
      </c>
      <c r="C175" s="157"/>
      <c r="D175" s="343" t="s">
        <v>55</v>
      </c>
      <c r="E175" s="343"/>
      <c r="F175" s="343"/>
      <c r="G175" s="343"/>
      <c r="H175" s="343"/>
      <c r="I175" s="343"/>
      <c r="J175" s="343"/>
      <c r="K175" s="158" t="s">
        <v>24</v>
      </c>
      <c r="L175" s="158"/>
      <c r="M175" s="158"/>
      <c r="N175" s="32" t="s">
        <v>52</v>
      </c>
      <c r="O175" s="32" t="s">
        <v>25</v>
      </c>
      <c r="P175" s="140" t="s">
        <v>60</v>
      </c>
      <c r="Q175" s="140"/>
      <c r="R175" s="140"/>
      <c r="S175" s="140"/>
      <c r="T175" s="211" t="s">
        <v>67</v>
      </c>
      <c r="U175" s="211"/>
      <c r="V175" s="211"/>
      <c r="W175" s="211"/>
      <c r="X175" s="159"/>
      <c r="Y175" s="140"/>
      <c r="Z175" s="140"/>
      <c r="AA175" s="140" t="s">
        <v>27</v>
      </c>
      <c r="AB175" s="140"/>
      <c r="AC175" s="140"/>
      <c r="AD175" s="140"/>
      <c r="AE175" s="140"/>
      <c r="AF175" s="140"/>
      <c r="AG175" s="140"/>
      <c r="AH175" s="140"/>
      <c r="AI175" s="160" t="s">
        <v>25</v>
      </c>
      <c r="AJ175" s="160"/>
      <c r="AK175" s="160"/>
      <c r="AL175" s="160"/>
      <c r="AM175" s="160"/>
      <c r="AN175" s="160"/>
      <c r="AO175" s="160"/>
      <c r="AP175" s="160"/>
      <c r="AQ175" s="160"/>
      <c r="AR175" s="32" t="s">
        <v>25</v>
      </c>
      <c r="AS175" s="33" t="s">
        <v>27</v>
      </c>
      <c r="AT175" s="33" t="s">
        <v>27</v>
      </c>
      <c r="AU175" s="140" t="s">
        <v>28</v>
      </c>
      <c r="AV175" s="140"/>
      <c r="AW175" s="140"/>
      <c r="AX175" s="140"/>
      <c r="AY175" s="140" t="s">
        <v>28</v>
      </c>
      <c r="AZ175" s="140"/>
      <c r="BA175" s="140"/>
      <c r="BB175" s="140"/>
      <c r="BC175" s="347" t="s">
        <v>123</v>
      </c>
      <c r="BD175" s="344"/>
      <c r="BE175" s="344"/>
      <c r="BF175" s="344"/>
      <c r="BG175" s="344"/>
      <c r="BH175" s="344"/>
      <c r="BI175" s="344"/>
      <c r="BJ175" s="344"/>
      <c r="BK175" s="24"/>
    </row>
    <row r="176" spans="1:63" ht="30.75" customHeight="1" x14ac:dyDescent="0.25">
      <c r="A176" s="23"/>
      <c r="B176" s="157">
        <v>18</v>
      </c>
      <c r="C176" s="157"/>
      <c r="D176" s="343" t="s">
        <v>57</v>
      </c>
      <c r="E176" s="343"/>
      <c r="F176" s="343"/>
      <c r="G176" s="343"/>
      <c r="H176" s="343"/>
      <c r="I176" s="343"/>
      <c r="J176" s="343"/>
      <c r="K176" s="158" t="s">
        <v>24</v>
      </c>
      <c r="L176" s="158"/>
      <c r="M176" s="158"/>
      <c r="N176" s="32" t="s">
        <v>52</v>
      </c>
      <c r="O176" s="32" t="s">
        <v>26</v>
      </c>
      <c r="P176" s="140" t="s">
        <v>28</v>
      </c>
      <c r="Q176" s="140"/>
      <c r="R176" s="140"/>
      <c r="S176" s="140"/>
      <c r="T176" s="140" t="s">
        <v>28</v>
      </c>
      <c r="U176" s="140"/>
      <c r="V176" s="140"/>
      <c r="W176" s="140"/>
      <c r="X176" s="159" t="s">
        <v>56</v>
      </c>
      <c r="Y176" s="140"/>
      <c r="Z176" s="140"/>
      <c r="AA176" s="140" t="s">
        <v>27</v>
      </c>
      <c r="AB176" s="140"/>
      <c r="AC176" s="140"/>
      <c r="AD176" s="140"/>
      <c r="AE176" s="140"/>
      <c r="AF176" s="140"/>
      <c r="AG176" s="140"/>
      <c r="AH176" s="140"/>
      <c r="AI176" s="160" t="s">
        <v>25</v>
      </c>
      <c r="AJ176" s="160"/>
      <c r="AK176" s="160"/>
      <c r="AL176" s="160"/>
      <c r="AM176" s="160"/>
      <c r="AN176" s="160"/>
      <c r="AO176" s="160"/>
      <c r="AP176" s="160"/>
      <c r="AQ176" s="160"/>
      <c r="AR176" s="32" t="s">
        <v>25</v>
      </c>
      <c r="AS176" s="33" t="s">
        <v>27</v>
      </c>
      <c r="AT176" s="33" t="s">
        <v>27</v>
      </c>
      <c r="AU176" s="140" t="s">
        <v>28</v>
      </c>
      <c r="AV176" s="140"/>
      <c r="AW176" s="140"/>
      <c r="AX176" s="140"/>
      <c r="AY176" s="140" t="s">
        <v>28</v>
      </c>
      <c r="AZ176" s="140"/>
      <c r="BA176" s="140"/>
      <c r="BB176" s="140"/>
      <c r="BC176" s="347"/>
      <c r="BD176" s="344"/>
      <c r="BE176" s="344"/>
      <c r="BF176" s="344"/>
      <c r="BG176" s="344"/>
      <c r="BH176" s="344"/>
      <c r="BI176" s="344"/>
      <c r="BJ176" s="344"/>
      <c r="BK176" s="24"/>
    </row>
    <row r="177" spans="1:63" ht="30" customHeight="1" x14ac:dyDescent="0.25">
      <c r="A177" s="23"/>
      <c r="B177" s="157">
        <v>18.100000000000001</v>
      </c>
      <c r="C177" s="157"/>
      <c r="D177" s="343" t="s">
        <v>59</v>
      </c>
      <c r="E177" s="343"/>
      <c r="F177" s="343"/>
      <c r="G177" s="343"/>
      <c r="H177" s="343"/>
      <c r="I177" s="343"/>
      <c r="J177" s="343"/>
      <c r="K177" s="158" t="s">
        <v>24</v>
      </c>
      <c r="L177" s="158"/>
      <c r="M177" s="158"/>
      <c r="N177" s="32" t="s">
        <v>52</v>
      </c>
      <c r="O177" s="32" t="s">
        <v>25</v>
      </c>
      <c r="P177" s="140" t="s">
        <v>60</v>
      </c>
      <c r="Q177" s="140"/>
      <c r="R177" s="140"/>
      <c r="S177" s="140"/>
      <c r="T177" s="140" t="s">
        <v>68</v>
      </c>
      <c r="U177" s="140"/>
      <c r="V177" s="140"/>
      <c r="W177" s="140"/>
      <c r="X177" s="159"/>
      <c r="Y177" s="140"/>
      <c r="Z177" s="140"/>
      <c r="AA177" s="140" t="s">
        <v>27</v>
      </c>
      <c r="AB177" s="140"/>
      <c r="AC177" s="140"/>
      <c r="AD177" s="140"/>
      <c r="AE177" s="140"/>
      <c r="AF177" s="140"/>
      <c r="AG177" s="140"/>
      <c r="AH177" s="140"/>
      <c r="AI177" s="160" t="s">
        <v>25</v>
      </c>
      <c r="AJ177" s="160"/>
      <c r="AK177" s="160"/>
      <c r="AL177" s="160"/>
      <c r="AM177" s="160"/>
      <c r="AN177" s="160"/>
      <c r="AO177" s="160"/>
      <c r="AP177" s="160"/>
      <c r="AQ177" s="160"/>
      <c r="AR177" s="33" t="s">
        <v>27</v>
      </c>
      <c r="AS177" s="33" t="s">
        <v>27</v>
      </c>
      <c r="AT177" s="32" t="s">
        <v>25</v>
      </c>
      <c r="AU177" s="140" t="s">
        <v>28</v>
      </c>
      <c r="AV177" s="140"/>
      <c r="AW177" s="140"/>
      <c r="AX177" s="140"/>
      <c r="AY177" s="140" t="s">
        <v>28</v>
      </c>
      <c r="AZ177" s="140"/>
      <c r="BA177" s="140"/>
      <c r="BB177" s="140"/>
      <c r="BC177" s="347"/>
      <c r="BD177" s="344"/>
      <c r="BE177" s="344"/>
      <c r="BF177" s="344"/>
      <c r="BG177" s="344"/>
      <c r="BH177" s="344"/>
      <c r="BI177" s="344"/>
      <c r="BJ177" s="344"/>
      <c r="BK177" s="24"/>
    </row>
    <row r="178" spans="1:63" s="464" customFormat="1" ht="31.5" customHeight="1" x14ac:dyDescent="0.25">
      <c r="A178" s="454"/>
      <c r="B178" s="455">
        <v>19</v>
      </c>
      <c r="C178" s="455"/>
      <c r="D178" s="456" t="s">
        <v>199</v>
      </c>
      <c r="E178" s="456"/>
      <c r="F178" s="456"/>
      <c r="G178" s="456"/>
      <c r="H178" s="456"/>
      <c r="I178" s="456"/>
      <c r="J178" s="456"/>
      <c r="K178" s="457" t="s">
        <v>170</v>
      </c>
      <c r="L178" s="457"/>
      <c r="M178" s="457"/>
      <c r="N178" s="458" t="s">
        <v>200</v>
      </c>
      <c r="O178" s="458" t="s">
        <v>26</v>
      </c>
      <c r="P178" s="455" t="s">
        <v>25</v>
      </c>
      <c r="Q178" s="455"/>
      <c r="R178" s="455"/>
      <c r="S178" s="455"/>
      <c r="T178" s="455" t="s">
        <v>25</v>
      </c>
      <c r="U178" s="455"/>
      <c r="V178" s="455"/>
      <c r="W178" s="455"/>
      <c r="X178" s="459" t="s">
        <v>201</v>
      </c>
      <c r="Y178" s="455"/>
      <c r="Z178" s="455"/>
      <c r="AA178" s="455" t="s">
        <v>192</v>
      </c>
      <c r="AB178" s="455"/>
      <c r="AC178" s="455"/>
      <c r="AD178" s="455"/>
      <c r="AE178" s="455"/>
      <c r="AF178" s="455"/>
      <c r="AG178" s="455"/>
      <c r="AH178" s="455"/>
      <c r="AI178" s="460" t="s">
        <v>25</v>
      </c>
      <c r="AJ178" s="460"/>
      <c r="AK178" s="460"/>
      <c r="AL178" s="460"/>
      <c r="AM178" s="460"/>
      <c r="AN178" s="460"/>
      <c r="AO178" s="460"/>
      <c r="AP178" s="460"/>
      <c r="AQ178" s="460"/>
      <c r="AR178" s="458" t="s">
        <v>25</v>
      </c>
      <c r="AS178" s="461" t="s">
        <v>192</v>
      </c>
      <c r="AT178" s="461" t="s">
        <v>192</v>
      </c>
      <c r="AU178" s="455" t="s">
        <v>25</v>
      </c>
      <c r="AV178" s="455"/>
      <c r="AW178" s="455"/>
      <c r="AX178" s="455"/>
      <c r="AY178" s="455" t="s">
        <v>25</v>
      </c>
      <c r="AZ178" s="455"/>
      <c r="BA178" s="455"/>
      <c r="BB178" s="455"/>
      <c r="BC178" s="462"/>
      <c r="BD178" s="457"/>
      <c r="BE178" s="457"/>
      <c r="BF178" s="457"/>
      <c r="BG178" s="457"/>
      <c r="BH178" s="457"/>
      <c r="BI178" s="457"/>
      <c r="BJ178" s="457"/>
      <c r="BK178" s="463"/>
    </row>
    <row r="179" spans="1:63" s="464" customFormat="1" x14ac:dyDescent="0.25">
      <c r="A179" s="454"/>
      <c r="B179" s="455">
        <v>19.100000000000001</v>
      </c>
      <c r="C179" s="455"/>
      <c r="D179" s="456" t="s">
        <v>202</v>
      </c>
      <c r="E179" s="456"/>
      <c r="F179" s="456"/>
      <c r="G179" s="456"/>
      <c r="H179" s="456"/>
      <c r="I179" s="456"/>
      <c r="J179" s="456"/>
      <c r="K179" s="457" t="s">
        <v>170</v>
      </c>
      <c r="L179" s="457"/>
      <c r="M179" s="457"/>
      <c r="N179" s="458" t="s">
        <v>200</v>
      </c>
      <c r="O179" s="458" t="s">
        <v>25</v>
      </c>
      <c r="P179" s="455" t="s">
        <v>203</v>
      </c>
      <c r="Q179" s="455"/>
      <c r="R179" s="455"/>
      <c r="S179" s="455"/>
      <c r="T179" s="465" t="s">
        <v>204</v>
      </c>
      <c r="U179" s="465"/>
      <c r="V179" s="465"/>
      <c r="W179" s="465"/>
      <c r="X179" s="459"/>
      <c r="Y179" s="455"/>
      <c r="Z179" s="455"/>
      <c r="AA179" s="455" t="s">
        <v>192</v>
      </c>
      <c r="AB179" s="455"/>
      <c r="AC179" s="455"/>
      <c r="AD179" s="455"/>
      <c r="AE179" s="455"/>
      <c r="AF179" s="455"/>
      <c r="AG179" s="455"/>
      <c r="AH179" s="455"/>
      <c r="AI179" s="460" t="s">
        <v>25</v>
      </c>
      <c r="AJ179" s="460"/>
      <c r="AK179" s="460"/>
      <c r="AL179" s="460"/>
      <c r="AM179" s="460"/>
      <c r="AN179" s="460"/>
      <c r="AO179" s="460"/>
      <c r="AP179" s="460"/>
      <c r="AQ179" s="460"/>
      <c r="AR179" s="458" t="s">
        <v>25</v>
      </c>
      <c r="AS179" s="461" t="s">
        <v>192</v>
      </c>
      <c r="AT179" s="461" t="s">
        <v>192</v>
      </c>
      <c r="AU179" s="455" t="s">
        <v>25</v>
      </c>
      <c r="AV179" s="455"/>
      <c r="AW179" s="455"/>
      <c r="AX179" s="455"/>
      <c r="AY179" s="455" t="s">
        <v>25</v>
      </c>
      <c r="AZ179" s="455"/>
      <c r="BA179" s="455"/>
      <c r="BB179" s="455"/>
      <c r="BC179" s="462" t="s">
        <v>25</v>
      </c>
      <c r="BD179" s="457"/>
      <c r="BE179" s="457"/>
      <c r="BF179" s="457"/>
      <c r="BG179" s="457"/>
      <c r="BH179" s="457"/>
      <c r="BI179" s="457"/>
      <c r="BJ179" s="457"/>
      <c r="BK179" s="463"/>
    </row>
    <row r="180" spans="1:63" s="464" customFormat="1" ht="30.75" customHeight="1" x14ac:dyDescent="0.25">
      <c r="A180" s="454"/>
      <c r="B180" s="455">
        <v>20</v>
      </c>
      <c r="C180" s="455"/>
      <c r="D180" s="456" t="s">
        <v>205</v>
      </c>
      <c r="E180" s="456"/>
      <c r="F180" s="456"/>
      <c r="G180" s="456"/>
      <c r="H180" s="456"/>
      <c r="I180" s="456"/>
      <c r="J180" s="456"/>
      <c r="K180" s="457" t="s">
        <v>170</v>
      </c>
      <c r="L180" s="457"/>
      <c r="M180" s="457"/>
      <c r="N180" s="458" t="s">
        <v>200</v>
      </c>
      <c r="O180" s="458" t="s">
        <v>26</v>
      </c>
      <c r="P180" s="455" t="s">
        <v>25</v>
      </c>
      <c r="Q180" s="455"/>
      <c r="R180" s="455"/>
      <c r="S180" s="455"/>
      <c r="T180" s="455" t="s">
        <v>25</v>
      </c>
      <c r="U180" s="455"/>
      <c r="V180" s="455"/>
      <c r="W180" s="455"/>
      <c r="X180" s="459" t="s">
        <v>206</v>
      </c>
      <c r="Y180" s="455"/>
      <c r="Z180" s="455"/>
      <c r="AA180" s="455" t="s">
        <v>82</v>
      </c>
      <c r="AB180" s="455"/>
      <c r="AC180" s="455"/>
      <c r="AD180" s="455"/>
      <c r="AE180" s="455"/>
      <c r="AF180" s="455"/>
      <c r="AG180" s="455"/>
      <c r="AH180" s="455"/>
      <c r="AI180" s="460" t="s">
        <v>25</v>
      </c>
      <c r="AJ180" s="460"/>
      <c r="AK180" s="460"/>
      <c r="AL180" s="460"/>
      <c r="AM180" s="460"/>
      <c r="AN180" s="460"/>
      <c r="AO180" s="460"/>
      <c r="AP180" s="460"/>
      <c r="AQ180" s="460"/>
      <c r="AR180" s="458" t="s">
        <v>25</v>
      </c>
      <c r="AS180" s="461" t="s">
        <v>192</v>
      </c>
      <c r="AT180" s="461" t="s">
        <v>192</v>
      </c>
      <c r="AU180" s="455" t="s">
        <v>25</v>
      </c>
      <c r="AV180" s="455"/>
      <c r="AW180" s="455"/>
      <c r="AX180" s="455"/>
      <c r="AY180" s="455" t="s">
        <v>25</v>
      </c>
      <c r="AZ180" s="455"/>
      <c r="BA180" s="455"/>
      <c r="BB180" s="455"/>
      <c r="BC180" s="462"/>
      <c r="BD180" s="457"/>
      <c r="BE180" s="457"/>
      <c r="BF180" s="457"/>
      <c r="BG180" s="457"/>
      <c r="BH180" s="457"/>
      <c r="BI180" s="457"/>
      <c r="BJ180" s="457"/>
      <c r="BK180" s="463"/>
    </row>
    <row r="181" spans="1:63" s="464" customFormat="1" ht="106.5" customHeight="1" x14ac:dyDescent="0.25">
      <c r="A181" s="454"/>
      <c r="B181" s="455">
        <v>20.100000000000001</v>
      </c>
      <c r="C181" s="455"/>
      <c r="D181" s="456" t="s">
        <v>207</v>
      </c>
      <c r="E181" s="456"/>
      <c r="F181" s="456"/>
      <c r="G181" s="456"/>
      <c r="H181" s="456"/>
      <c r="I181" s="456"/>
      <c r="J181" s="456"/>
      <c r="K181" s="457" t="s">
        <v>170</v>
      </c>
      <c r="L181" s="457"/>
      <c r="M181" s="457"/>
      <c r="N181" s="458" t="s">
        <v>200</v>
      </c>
      <c r="O181" s="458" t="s">
        <v>25</v>
      </c>
      <c r="P181" s="455" t="s">
        <v>203</v>
      </c>
      <c r="Q181" s="455"/>
      <c r="R181" s="455"/>
      <c r="S181" s="455"/>
      <c r="T181" s="465" t="s">
        <v>208</v>
      </c>
      <c r="U181" s="465"/>
      <c r="V181" s="465"/>
      <c r="W181" s="465"/>
      <c r="X181" s="459"/>
      <c r="Y181" s="455"/>
      <c r="Z181" s="455"/>
      <c r="AA181" s="455" t="s">
        <v>192</v>
      </c>
      <c r="AB181" s="455"/>
      <c r="AC181" s="455"/>
      <c r="AD181" s="455"/>
      <c r="AE181" s="455"/>
      <c r="AF181" s="455"/>
      <c r="AG181" s="455"/>
      <c r="AH181" s="455"/>
      <c r="AI181" s="460" t="s">
        <v>25</v>
      </c>
      <c r="AJ181" s="460"/>
      <c r="AK181" s="460"/>
      <c r="AL181" s="460"/>
      <c r="AM181" s="460"/>
      <c r="AN181" s="460"/>
      <c r="AO181" s="460"/>
      <c r="AP181" s="460"/>
      <c r="AQ181" s="460"/>
      <c r="AR181" s="458" t="s">
        <v>25</v>
      </c>
      <c r="AS181" s="461" t="s">
        <v>192</v>
      </c>
      <c r="AT181" s="461" t="s">
        <v>192</v>
      </c>
      <c r="AU181" s="455" t="s">
        <v>25</v>
      </c>
      <c r="AV181" s="455"/>
      <c r="AW181" s="455"/>
      <c r="AX181" s="455"/>
      <c r="AY181" s="455" t="s">
        <v>25</v>
      </c>
      <c r="AZ181" s="455"/>
      <c r="BA181" s="455"/>
      <c r="BB181" s="455"/>
      <c r="BC181" s="456" t="s">
        <v>209</v>
      </c>
      <c r="BD181" s="457"/>
      <c r="BE181" s="457"/>
      <c r="BF181" s="457"/>
      <c r="BG181" s="457"/>
      <c r="BH181" s="457"/>
      <c r="BI181" s="457"/>
      <c r="BJ181" s="457"/>
      <c r="BK181" s="463"/>
    </row>
    <row r="182" spans="1:63" ht="101.25" customHeight="1" x14ac:dyDescent="0.25">
      <c r="A182" s="23"/>
      <c r="B182" s="133">
        <v>21</v>
      </c>
      <c r="C182" s="133"/>
      <c r="D182" s="135" t="s">
        <v>210</v>
      </c>
      <c r="E182" s="135"/>
      <c r="F182" s="135"/>
      <c r="G182" s="135"/>
      <c r="H182" s="135"/>
      <c r="I182" s="135"/>
      <c r="J182" s="135"/>
      <c r="K182" s="136" t="s">
        <v>189</v>
      </c>
      <c r="L182" s="136"/>
      <c r="M182" s="136"/>
      <c r="N182" s="47" t="s">
        <v>190</v>
      </c>
      <c r="O182" s="47" t="s">
        <v>26</v>
      </c>
      <c r="P182" s="133" t="s">
        <v>25</v>
      </c>
      <c r="Q182" s="133"/>
      <c r="R182" s="133"/>
      <c r="S182" s="133"/>
      <c r="T182" s="133" t="s">
        <v>25</v>
      </c>
      <c r="U182" s="133"/>
      <c r="V182" s="133"/>
      <c r="W182" s="133"/>
      <c r="X182" s="137" t="s">
        <v>122</v>
      </c>
      <c r="Y182" s="133"/>
      <c r="Z182" s="133"/>
      <c r="AA182" s="138" t="s">
        <v>211</v>
      </c>
      <c r="AB182" s="139"/>
      <c r="AC182" s="139"/>
      <c r="AD182" s="139"/>
      <c r="AE182" s="139"/>
      <c r="AF182" s="139"/>
      <c r="AG182" s="139"/>
      <c r="AH182" s="139"/>
      <c r="AI182" s="139" t="s">
        <v>193</v>
      </c>
      <c r="AJ182" s="139"/>
      <c r="AK182" s="139"/>
      <c r="AL182" s="139"/>
      <c r="AM182" s="139"/>
      <c r="AN182" s="139"/>
      <c r="AO182" s="139"/>
      <c r="AP182" s="139"/>
      <c r="AQ182" s="139"/>
      <c r="AR182" s="47" t="s">
        <v>25</v>
      </c>
      <c r="AS182" s="48" t="s">
        <v>192</v>
      </c>
      <c r="AT182" s="48" t="s">
        <v>192</v>
      </c>
      <c r="AU182" s="133" t="s">
        <v>25</v>
      </c>
      <c r="AV182" s="133"/>
      <c r="AW182" s="133"/>
      <c r="AX182" s="133"/>
      <c r="AY182" s="133" t="s">
        <v>192</v>
      </c>
      <c r="AZ182" s="133"/>
      <c r="BA182" s="133"/>
      <c r="BB182" s="133"/>
      <c r="BC182" s="134" t="s">
        <v>212</v>
      </c>
      <c r="BD182" s="134"/>
      <c r="BE182" s="134"/>
      <c r="BF182" s="134"/>
      <c r="BG182" s="134"/>
      <c r="BH182" s="134"/>
      <c r="BI182" s="134"/>
      <c r="BJ182" s="134"/>
      <c r="BK182" s="24"/>
    </row>
    <row r="183" spans="1:63" ht="57.75" customHeight="1" x14ac:dyDescent="0.25">
      <c r="A183" s="23"/>
      <c r="B183" s="161">
        <v>22</v>
      </c>
      <c r="C183" s="162"/>
      <c r="D183" s="466" t="s">
        <v>75</v>
      </c>
      <c r="E183" s="467"/>
      <c r="F183" s="467"/>
      <c r="G183" s="467"/>
      <c r="H183" s="467"/>
      <c r="I183" s="467"/>
      <c r="J183" s="468"/>
      <c r="K183" s="469" t="s">
        <v>24</v>
      </c>
      <c r="L183" s="470"/>
      <c r="M183" s="471"/>
      <c r="N183" s="472" t="s">
        <v>52</v>
      </c>
      <c r="O183" s="472" t="s">
        <v>25</v>
      </c>
      <c r="P183" s="473" t="s">
        <v>60</v>
      </c>
      <c r="Q183" s="474"/>
      <c r="R183" s="474"/>
      <c r="S183" s="475"/>
      <c r="T183" s="473" t="s">
        <v>69</v>
      </c>
      <c r="U183" s="474"/>
      <c r="V183" s="474"/>
      <c r="W183" s="475"/>
      <c r="X183" s="476"/>
      <c r="Y183" s="477"/>
      <c r="Z183" s="478"/>
      <c r="AA183" s="473" t="s">
        <v>27</v>
      </c>
      <c r="AB183" s="474"/>
      <c r="AC183" s="474"/>
      <c r="AD183" s="474"/>
      <c r="AE183" s="474"/>
      <c r="AF183" s="474"/>
      <c r="AG183" s="474"/>
      <c r="AH183" s="475"/>
      <c r="AI183" s="479" t="s">
        <v>25</v>
      </c>
      <c r="AJ183" s="480"/>
      <c r="AK183" s="480"/>
      <c r="AL183" s="480"/>
      <c r="AM183" s="480"/>
      <c r="AN183" s="480"/>
      <c r="AO183" s="480"/>
      <c r="AP183" s="480"/>
      <c r="AQ183" s="481"/>
      <c r="AR183" s="472" t="s">
        <v>25</v>
      </c>
      <c r="AS183" s="482" t="s">
        <v>27</v>
      </c>
      <c r="AT183" s="482" t="s">
        <v>27</v>
      </c>
      <c r="AU183" s="473" t="s">
        <v>25</v>
      </c>
      <c r="AV183" s="474"/>
      <c r="AW183" s="474"/>
      <c r="AX183" s="475"/>
      <c r="AY183" s="473" t="s">
        <v>27</v>
      </c>
      <c r="AZ183" s="474"/>
      <c r="BA183" s="474"/>
      <c r="BB183" s="475"/>
      <c r="BC183" s="483" t="s">
        <v>25</v>
      </c>
      <c r="BD183" s="484"/>
      <c r="BE183" s="484"/>
      <c r="BF183" s="484"/>
      <c r="BG183" s="484"/>
      <c r="BH183" s="484"/>
      <c r="BI183" s="484"/>
      <c r="BJ183" s="485"/>
      <c r="BK183" s="24"/>
    </row>
    <row r="184" spans="1:63" x14ac:dyDescent="0.25">
      <c r="A184" s="23"/>
      <c r="BK184" s="24"/>
    </row>
    <row r="185" spans="1:63" x14ac:dyDescent="0.25">
      <c r="A185" s="23"/>
      <c r="B185" s="43" t="s">
        <v>107</v>
      </c>
      <c r="C185" s="43"/>
      <c r="BK185" s="24"/>
    </row>
    <row r="186" spans="1:63" x14ac:dyDescent="0.25">
      <c r="A186" s="23"/>
      <c r="C186" s="51" t="s">
        <v>213</v>
      </c>
      <c r="BK186" s="24"/>
    </row>
    <row r="187" spans="1:63" x14ac:dyDescent="0.25">
      <c r="A187" s="23"/>
      <c r="BK187" s="24"/>
    </row>
    <row r="188" spans="1:63" x14ac:dyDescent="0.25">
      <c r="A188" s="23"/>
      <c r="BK188" s="24"/>
    </row>
    <row r="189" spans="1:63" x14ac:dyDescent="0.25">
      <c r="A189" s="23"/>
      <c r="BK189" s="24"/>
    </row>
    <row r="190" spans="1:63" x14ac:dyDescent="0.25">
      <c r="A190" s="23"/>
      <c r="BK190" s="24"/>
    </row>
    <row r="191" spans="1:63" x14ac:dyDescent="0.25">
      <c r="A191" s="23"/>
      <c r="BK191" s="24"/>
    </row>
    <row r="192" spans="1:63" x14ac:dyDescent="0.25">
      <c r="A192" s="23"/>
      <c r="BK192" s="24"/>
    </row>
    <row r="193" spans="1:63" x14ac:dyDescent="0.25">
      <c r="A193" s="23"/>
      <c r="BK193" s="24"/>
    </row>
    <row r="194" spans="1:63" x14ac:dyDescent="0.25">
      <c r="A194" s="23"/>
      <c r="BK194" s="24"/>
    </row>
    <row r="195" spans="1:63" x14ac:dyDescent="0.25">
      <c r="A195" s="23"/>
      <c r="BK195" s="24"/>
    </row>
    <row r="196" spans="1:63" x14ac:dyDescent="0.25">
      <c r="A196" s="23"/>
      <c r="BK196" s="24"/>
    </row>
    <row r="197" spans="1:63" x14ac:dyDescent="0.25">
      <c r="A197" s="23"/>
      <c r="BK197" s="24"/>
    </row>
    <row r="198" spans="1:63" x14ac:dyDescent="0.25">
      <c r="A198" s="23"/>
      <c r="BK198" s="24"/>
    </row>
    <row r="199" spans="1:63" x14ac:dyDescent="0.25">
      <c r="A199" s="23"/>
      <c r="BK199" s="24"/>
    </row>
    <row r="200" spans="1:63" x14ac:dyDescent="0.25">
      <c r="A200" s="23"/>
      <c r="BK200" s="24"/>
    </row>
    <row r="201" spans="1:63" x14ac:dyDescent="0.25">
      <c r="A201" s="23"/>
      <c r="BK201" s="24"/>
    </row>
    <row r="202" spans="1:63" x14ac:dyDescent="0.25">
      <c r="A202" s="23"/>
      <c r="BK202" s="24"/>
    </row>
    <row r="203" spans="1:63" x14ac:dyDescent="0.25">
      <c r="A203" s="23"/>
      <c r="BK203" s="24"/>
    </row>
    <row r="204" spans="1:63" x14ac:dyDescent="0.25">
      <c r="A204" s="23"/>
      <c r="BK204" s="24"/>
    </row>
    <row r="205" spans="1:63" x14ac:dyDescent="0.25">
      <c r="A205" s="23"/>
      <c r="BK205" s="24"/>
    </row>
    <row r="206" spans="1:63" x14ac:dyDescent="0.25">
      <c r="A206" s="23"/>
      <c r="BK206" s="24"/>
    </row>
    <row r="207" spans="1:63" x14ac:dyDescent="0.25">
      <c r="A207" s="23"/>
      <c r="BK207" s="24"/>
    </row>
    <row r="208" spans="1:63" x14ac:dyDescent="0.25">
      <c r="A208" s="23"/>
      <c r="BK208" s="24"/>
    </row>
    <row r="209" spans="1:63" x14ac:dyDescent="0.25">
      <c r="A209" s="23"/>
      <c r="BK209" s="24"/>
    </row>
    <row r="210" spans="1:63" x14ac:dyDescent="0.25">
      <c r="A210" s="23"/>
      <c r="BK210" s="24"/>
    </row>
    <row r="211" spans="1:63" x14ac:dyDescent="0.25">
      <c r="A211" s="23"/>
      <c r="BK211" s="24"/>
    </row>
    <row r="212" spans="1:63" x14ac:dyDescent="0.25">
      <c r="A212" s="23"/>
      <c r="BK212" s="24"/>
    </row>
    <row r="213" spans="1:63" x14ac:dyDescent="0.25">
      <c r="A213" s="23"/>
      <c r="BK213" s="24"/>
    </row>
    <row r="214" spans="1:63" x14ac:dyDescent="0.25">
      <c r="A214" s="23"/>
      <c r="BK214" s="24"/>
    </row>
    <row r="215" spans="1:63" x14ac:dyDescent="0.25">
      <c r="A215" s="23"/>
      <c r="BK215" s="24"/>
    </row>
    <row r="216" spans="1:63" x14ac:dyDescent="0.25">
      <c r="A216" s="23"/>
      <c r="BK216" s="24"/>
    </row>
    <row r="217" spans="1:63" x14ac:dyDescent="0.25">
      <c r="A217" s="23"/>
      <c r="BK217" s="24"/>
    </row>
    <row r="218" spans="1:63" x14ac:dyDescent="0.25">
      <c r="A218" s="23"/>
      <c r="BK218" s="24"/>
    </row>
    <row r="219" spans="1:63" x14ac:dyDescent="0.25">
      <c r="A219" s="23"/>
      <c r="BK219" s="24"/>
    </row>
    <row r="220" spans="1:63" x14ac:dyDescent="0.25">
      <c r="A220" s="23"/>
      <c r="BK220" s="24"/>
    </row>
    <row r="221" spans="1:63" s="29" customFormat="1" x14ac:dyDescent="0.25">
      <c r="A221" s="26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8"/>
    </row>
  </sheetData>
  <mergeCells count="526">
    <mergeCell ref="AU180:AX180"/>
    <mergeCell ref="AY180:BB180"/>
    <mergeCell ref="BC180:BJ180"/>
    <mergeCell ref="B181:C181"/>
    <mergeCell ref="D181:J181"/>
    <mergeCell ref="K181:M181"/>
    <mergeCell ref="P181:S181"/>
    <mergeCell ref="T181:W181"/>
    <mergeCell ref="X181:Z181"/>
    <mergeCell ref="AA181:AH181"/>
    <mergeCell ref="AI181:AQ181"/>
    <mergeCell ref="AU181:AX181"/>
    <mergeCell ref="AY181:BB181"/>
    <mergeCell ref="BC181:BJ181"/>
    <mergeCell ref="B180:C180"/>
    <mergeCell ref="D180:J180"/>
    <mergeCell ref="K180:M180"/>
    <mergeCell ref="P180:S180"/>
    <mergeCell ref="T180:W180"/>
    <mergeCell ref="X180:Z180"/>
    <mergeCell ref="AA180:AH180"/>
    <mergeCell ref="AI180:AQ180"/>
    <mergeCell ref="B125:C125"/>
    <mergeCell ref="AU178:AX178"/>
    <mergeCell ref="AY178:BB178"/>
    <mergeCell ref="BC178:BJ178"/>
    <mergeCell ref="B179:C179"/>
    <mergeCell ref="D179:J179"/>
    <mergeCell ref="K179:M179"/>
    <mergeCell ref="P179:S179"/>
    <mergeCell ref="T179:W179"/>
    <mergeCell ref="X179:Z179"/>
    <mergeCell ref="AA179:AH179"/>
    <mergeCell ref="AI179:AQ179"/>
    <mergeCell ref="AU179:AX179"/>
    <mergeCell ref="AY179:BB179"/>
    <mergeCell ref="BC179:BJ179"/>
    <mergeCell ref="K178:M178"/>
    <mergeCell ref="P178:S178"/>
    <mergeCell ref="T178:W178"/>
    <mergeCell ref="B178:C178"/>
    <mergeCell ref="D178:J178"/>
    <mergeCell ref="X178:Z178"/>
    <mergeCell ref="AA178:AH178"/>
    <mergeCell ref="AI178:AQ178"/>
    <mergeCell ref="K123:M123"/>
    <mergeCell ref="P123:S123"/>
    <mergeCell ref="T123:W123"/>
    <mergeCell ref="X123:Z123"/>
    <mergeCell ref="AA123:AH123"/>
    <mergeCell ref="AI123:AQ123"/>
    <mergeCell ref="AU123:AX123"/>
    <mergeCell ref="AY123:BB123"/>
    <mergeCell ref="B124:C124"/>
    <mergeCell ref="D124:J124"/>
    <mergeCell ref="K124:M124"/>
    <mergeCell ref="P124:S124"/>
    <mergeCell ref="T124:W124"/>
    <mergeCell ref="X124:Z124"/>
    <mergeCell ref="AA124:AH124"/>
    <mergeCell ref="AI124:AQ124"/>
    <mergeCell ref="P168:S168"/>
    <mergeCell ref="T168:W168"/>
    <mergeCell ref="AU168:AX168"/>
    <mergeCell ref="AY168:BB168"/>
    <mergeCell ref="B166:C168"/>
    <mergeCell ref="D166:J168"/>
    <mergeCell ref="K166:M168"/>
    <mergeCell ref="N166:N168"/>
    <mergeCell ref="O166:O168"/>
    <mergeCell ref="P166:AQ166"/>
    <mergeCell ref="AR166:BB166"/>
    <mergeCell ref="BC123:BJ123"/>
    <mergeCell ref="B123:C123"/>
    <mergeCell ref="AY118:BB118"/>
    <mergeCell ref="BC118:BJ118"/>
    <mergeCell ref="B119:C119"/>
    <mergeCell ref="D119:J119"/>
    <mergeCell ref="P119:S119"/>
    <mergeCell ref="T119:W119"/>
    <mergeCell ref="X119:Z119"/>
    <mergeCell ref="AA119:AH119"/>
    <mergeCell ref="AI119:AQ119"/>
    <mergeCell ref="AU119:AX119"/>
    <mergeCell ref="AY119:BB119"/>
    <mergeCell ref="BC119:BJ119"/>
    <mergeCell ref="B118:C118"/>
    <mergeCell ref="D118:J118"/>
    <mergeCell ref="K118:M118"/>
    <mergeCell ref="P118:S118"/>
    <mergeCell ref="T118:W118"/>
    <mergeCell ref="X118:Z118"/>
    <mergeCell ref="AA118:AH118"/>
    <mergeCell ref="AI118:AQ118"/>
    <mergeCell ref="AU118:AX118"/>
    <mergeCell ref="D123:J123"/>
    <mergeCell ref="AY115:BB115"/>
    <mergeCell ref="BC115:BJ115"/>
    <mergeCell ref="B116:C116"/>
    <mergeCell ref="D116:J116"/>
    <mergeCell ref="P116:S116"/>
    <mergeCell ref="T116:W116"/>
    <mergeCell ref="X116:Z116"/>
    <mergeCell ref="AA116:AH116"/>
    <mergeCell ref="AI116:AQ116"/>
    <mergeCell ref="AU116:AX116"/>
    <mergeCell ref="AY116:BB116"/>
    <mergeCell ref="BC116:BJ116"/>
    <mergeCell ref="B115:C115"/>
    <mergeCell ref="D115:J115"/>
    <mergeCell ref="K115:M115"/>
    <mergeCell ref="P115:S115"/>
    <mergeCell ref="T115:W115"/>
    <mergeCell ref="X115:Z115"/>
    <mergeCell ref="AA115:AH115"/>
    <mergeCell ref="AI115:AQ115"/>
    <mergeCell ref="AU115:AX115"/>
    <mergeCell ref="BC122:BJ122"/>
    <mergeCell ref="B117:C117"/>
    <mergeCell ref="D117:J117"/>
    <mergeCell ref="P117:S117"/>
    <mergeCell ref="T117:W117"/>
    <mergeCell ref="X117:Z117"/>
    <mergeCell ref="AA117:AH117"/>
    <mergeCell ref="AI117:AQ117"/>
    <mergeCell ref="AU117:AX117"/>
    <mergeCell ref="AY117:BB117"/>
    <mergeCell ref="BC117:BJ117"/>
    <mergeCell ref="B122:C122"/>
    <mergeCell ref="D122:J122"/>
    <mergeCell ref="P122:S122"/>
    <mergeCell ref="T122:W122"/>
    <mergeCell ref="X122:Z122"/>
    <mergeCell ref="AA122:AH122"/>
    <mergeCell ref="AI122:AQ122"/>
    <mergeCell ref="AU122:AX122"/>
    <mergeCell ref="AY122:BB122"/>
    <mergeCell ref="AY120:BB120"/>
    <mergeCell ref="BC120:BJ120"/>
    <mergeCell ref="B121:C121"/>
    <mergeCell ref="D121:J121"/>
    <mergeCell ref="P121:S121"/>
    <mergeCell ref="T121:W121"/>
    <mergeCell ref="X121:Z121"/>
    <mergeCell ref="AA121:AH121"/>
    <mergeCell ref="AI121:AQ121"/>
    <mergeCell ref="AU121:AX121"/>
    <mergeCell ref="AY121:BB121"/>
    <mergeCell ref="BC121:BJ121"/>
    <mergeCell ref="B120:C120"/>
    <mergeCell ref="D120:J120"/>
    <mergeCell ref="K120:M120"/>
    <mergeCell ref="P120:S120"/>
    <mergeCell ref="T120:W120"/>
    <mergeCell ref="X120:Z120"/>
    <mergeCell ref="AA120:AH120"/>
    <mergeCell ref="AI120:AQ120"/>
    <mergeCell ref="AU120:AX120"/>
    <mergeCell ref="BC113:BJ113"/>
    <mergeCell ref="B114:C114"/>
    <mergeCell ref="D114:J114"/>
    <mergeCell ref="K114:M114"/>
    <mergeCell ref="P114:S114"/>
    <mergeCell ref="T114:W114"/>
    <mergeCell ref="X114:Z114"/>
    <mergeCell ref="AA114:AH114"/>
    <mergeCell ref="AI114:AQ114"/>
    <mergeCell ref="AU114:AX114"/>
    <mergeCell ref="AY114:BB114"/>
    <mergeCell ref="BC114:BJ114"/>
    <mergeCell ref="B113:C113"/>
    <mergeCell ref="D113:J113"/>
    <mergeCell ref="K113:M113"/>
    <mergeCell ref="P113:S113"/>
    <mergeCell ref="T113:W113"/>
    <mergeCell ref="X113:Z113"/>
    <mergeCell ref="AA113:AH113"/>
    <mergeCell ref="AI113:AQ113"/>
    <mergeCell ref="AU113:AX113"/>
    <mergeCell ref="AY113:BB113"/>
    <mergeCell ref="AY111:BB111"/>
    <mergeCell ref="BC111:BJ111"/>
    <mergeCell ref="B112:C112"/>
    <mergeCell ref="D112:J112"/>
    <mergeCell ref="K112:M112"/>
    <mergeCell ref="P112:S112"/>
    <mergeCell ref="T112:W112"/>
    <mergeCell ref="X112:Z112"/>
    <mergeCell ref="AA112:AH112"/>
    <mergeCell ref="AI112:AQ112"/>
    <mergeCell ref="AU112:AX112"/>
    <mergeCell ref="AY112:BB112"/>
    <mergeCell ref="BC112:BJ112"/>
    <mergeCell ref="B111:C111"/>
    <mergeCell ref="D111:J111"/>
    <mergeCell ref="K111:M111"/>
    <mergeCell ref="P111:S111"/>
    <mergeCell ref="T111:W111"/>
    <mergeCell ref="X111:Z111"/>
    <mergeCell ref="AA111:AH111"/>
    <mergeCell ref="AI111:AQ111"/>
    <mergeCell ref="AU111:AX111"/>
    <mergeCell ref="AY109:BB109"/>
    <mergeCell ref="BC109:BJ109"/>
    <mergeCell ref="B110:C110"/>
    <mergeCell ref="D110:J110"/>
    <mergeCell ref="K110:M110"/>
    <mergeCell ref="P110:S110"/>
    <mergeCell ref="T110:W110"/>
    <mergeCell ref="X110:Z110"/>
    <mergeCell ref="AA110:AH110"/>
    <mergeCell ref="AI110:AQ110"/>
    <mergeCell ref="AU110:AX110"/>
    <mergeCell ref="AY110:BB110"/>
    <mergeCell ref="BC110:BJ110"/>
    <mergeCell ref="B109:C109"/>
    <mergeCell ref="D109:J109"/>
    <mergeCell ref="K109:M109"/>
    <mergeCell ref="P109:S109"/>
    <mergeCell ref="T109:W109"/>
    <mergeCell ref="X109:Z109"/>
    <mergeCell ref="AA109:AH109"/>
    <mergeCell ref="AI109:AQ109"/>
    <mergeCell ref="AU109:AX109"/>
    <mergeCell ref="AY107:BB107"/>
    <mergeCell ref="BC107:BJ107"/>
    <mergeCell ref="B108:C108"/>
    <mergeCell ref="D108:J108"/>
    <mergeCell ref="K108:M108"/>
    <mergeCell ref="P108:S108"/>
    <mergeCell ref="T108:W108"/>
    <mergeCell ref="X108:Z108"/>
    <mergeCell ref="AA108:AH108"/>
    <mergeCell ref="AI108:AQ108"/>
    <mergeCell ref="AU108:AX108"/>
    <mergeCell ref="AY108:BB108"/>
    <mergeCell ref="BC108:BJ108"/>
    <mergeCell ref="B107:C107"/>
    <mergeCell ref="D107:J107"/>
    <mergeCell ref="K107:M107"/>
    <mergeCell ref="P107:S107"/>
    <mergeCell ref="T107:W107"/>
    <mergeCell ref="X107:Z107"/>
    <mergeCell ref="AA107:AH107"/>
    <mergeCell ref="AI107:AQ107"/>
    <mergeCell ref="AU107:AX107"/>
    <mergeCell ref="AY105:BB105"/>
    <mergeCell ref="BC105:BJ105"/>
    <mergeCell ref="B106:C106"/>
    <mergeCell ref="D106:J106"/>
    <mergeCell ref="K106:M106"/>
    <mergeCell ref="P106:S106"/>
    <mergeCell ref="T106:W106"/>
    <mergeCell ref="X106:Z106"/>
    <mergeCell ref="AA106:AH106"/>
    <mergeCell ref="AI106:AQ106"/>
    <mergeCell ref="AU106:AX106"/>
    <mergeCell ref="AY106:BB106"/>
    <mergeCell ref="BC106:BJ106"/>
    <mergeCell ref="B105:C105"/>
    <mergeCell ref="D105:J105"/>
    <mergeCell ref="K105:M105"/>
    <mergeCell ref="P105:S105"/>
    <mergeCell ref="T105:W105"/>
    <mergeCell ref="X105:Z105"/>
    <mergeCell ref="AA105:AH105"/>
    <mergeCell ref="AI105:AQ105"/>
    <mergeCell ref="AU105:AX105"/>
    <mergeCell ref="AY104:BB104"/>
    <mergeCell ref="BC104:BJ104"/>
    <mergeCell ref="B104:C104"/>
    <mergeCell ref="D104:J104"/>
    <mergeCell ref="K104:M104"/>
    <mergeCell ref="P104:S104"/>
    <mergeCell ref="T104:W104"/>
    <mergeCell ref="X104:Z104"/>
    <mergeCell ref="AA104:AH104"/>
    <mergeCell ref="AI104:AQ104"/>
    <mergeCell ref="AU104:AX104"/>
    <mergeCell ref="B100:C102"/>
    <mergeCell ref="D100:J102"/>
    <mergeCell ref="K100:M102"/>
    <mergeCell ref="N100:N102"/>
    <mergeCell ref="O100:O102"/>
    <mergeCell ref="P100:AQ100"/>
    <mergeCell ref="AR100:BB100"/>
    <mergeCell ref="BC100:BJ102"/>
    <mergeCell ref="P101:W101"/>
    <mergeCell ref="X101:Z102"/>
    <mergeCell ref="AA101:AH102"/>
    <mergeCell ref="AI101:AQ102"/>
    <mergeCell ref="AR101:AR102"/>
    <mergeCell ref="AS101:AS102"/>
    <mergeCell ref="AT101:AT102"/>
    <mergeCell ref="AU101:BB101"/>
    <mergeCell ref="P102:S102"/>
    <mergeCell ref="T102:W102"/>
    <mergeCell ref="AU102:AX102"/>
    <mergeCell ref="AY102:BB102"/>
    <mergeCell ref="AY57:BB57"/>
    <mergeCell ref="BC57:BJ57"/>
    <mergeCell ref="B58:C58"/>
    <mergeCell ref="D58:J58"/>
    <mergeCell ref="K58:M58"/>
    <mergeCell ref="P58:S58"/>
    <mergeCell ref="T58:W58"/>
    <mergeCell ref="X58:Z58"/>
    <mergeCell ref="AA58:AH58"/>
    <mergeCell ref="AI58:AQ58"/>
    <mergeCell ref="AU58:AX58"/>
    <mergeCell ref="AY58:BB58"/>
    <mergeCell ref="BC58:BJ58"/>
    <mergeCell ref="B57:C57"/>
    <mergeCell ref="D57:J57"/>
    <mergeCell ref="K57:M57"/>
    <mergeCell ref="P57:S57"/>
    <mergeCell ref="T57:W57"/>
    <mergeCell ref="X57:Z57"/>
    <mergeCell ref="AA57:AH57"/>
    <mergeCell ref="AI57:AQ57"/>
    <mergeCell ref="AU57:AX57"/>
    <mergeCell ref="AY54:BB54"/>
    <mergeCell ref="BC54:BJ54"/>
    <mergeCell ref="B55:C55"/>
    <mergeCell ref="D55:J55"/>
    <mergeCell ref="K55:M55"/>
    <mergeCell ref="P55:S55"/>
    <mergeCell ref="T55:W55"/>
    <mergeCell ref="X55:Z55"/>
    <mergeCell ref="AA55:AH55"/>
    <mergeCell ref="AI55:AQ55"/>
    <mergeCell ref="AU55:AX55"/>
    <mergeCell ref="AY55:BB55"/>
    <mergeCell ref="BC55:BJ55"/>
    <mergeCell ref="B54:C54"/>
    <mergeCell ref="D54:J54"/>
    <mergeCell ref="K54:M54"/>
    <mergeCell ref="P54:S54"/>
    <mergeCell ref="T54:W54"/>
    <mergeCell ref="X54:Z54"/>
    <mergeCell ref="AA54:AH54"/>
    <mergeCell ref="AI54:AQ54"/>
    <mergeCell ref="AU54:AX54"/>
    <mergeCell ref="BC53:BJ53"/>
    <mergeCell ref="AY51:BB51"/>
    <mergeCell ref="B53:C53"/>
    <mergeCell ref="D53:J53"/>
    <mergeCell ref="K53:M53"/>
    <mergeCell ref="P53:S53"/>
    <mergeCell ref="T53:W53"/>
    <mergeCell ref="X53:Z53"/>
    <mergeCell ref="AA53:AH53"/>
    <mergeCell ref="AI53:AQ53"/>
    <mergeCell ref="AU53:AX53"/>
    <mergeCell ref="AY53:BB53"/>
    <mergeCell ref="P175:S175"/>
    <mergeCell ref="T175:W175"/>
    <mergeCell ref="X175:Z175"/>
    <mergeCell ref="AA175:AH175"/>
    <mergeCell ref="AI175:AQ175"/>
    <mergeCell ref="K171:M171"/>
    <mergeCell ref="P171:S171"/>
    <mergeCell ref="BC177:BJ177"/>
    <mergeCell ref="BC175:BJ175"/>
    <mergeCell ref="AU177:AX177"/>
    <mergeCell ref="AY177:BB177"/>
    <mergeCell ref="BC176:BJ176"/>
    <mergeCell ref="K175:M175"/>
    <mergeCell ref="AA173:AH173"/>
    <mergeCell ref="AI173:AQ173"/>
    <mergeCell ref="AU173:AX173"/>
    <mergeCell ref="AY173:BB173"/>
    <mergeCell ref="BC172:BJ172"/>
    <mergeCell ref="K172:M172"/>
    <mergeCell ref="AU172:AX172"/>
    <mergeCell ref="AY172:BB172"/>
    <mergeCell ref="AU171:AX171"/>
    <mergeCell ref="AY171:BB171"/>
    <mergeCell ref="BC171:BJ171"/>
    <mergeCell ref="B176:C176"/>
    <mergeCell ref="D176:J176"/>
    <mergeCell ref="K176:M176"/>
    <mergeCell ref="P176:S176"/>
    <mergeCell ref="T176:W176"/>
    <mergeCell ref="X176:Z176"/>
    <mergeCell ref="AA176:AH176"/>
    <mergeCell ref="AI176:AQ176"/>
    <mergeCell ref="B177:C177"/>
    <mergeCell ref="D177:J177"/>
    <mergeCell ref="P177:S177"/>
    <mergeCell ref="T177:W177"/>
    <mergeCell ref="X177:Z177"/>
    <mergeCell ref="AA177:AH177"/>
    <mergeCell ref="AI177:AQ177"/>
    <mergeCell ref="K177:M177"/>
    <mergeCell ref="B175:C175"/>
    <mergeCell ref="D175:J175"/>
    <mergeCell ref="AU175:AX175"/>
    <mergeCell ref="AY175:BB175"/>
    <mergeCell ref="AU176:AX176"/>
    <mergeCell ref="AY176:BB176"/>
    <mergeCell ref="BC173:BJ173"/>
    <mergeCell ref="B174:C174"/>
    <mergeCell ref="D174:J174"/>
    <mergeCell ref="K174:M174"/>
    <mergeCell ref="P174:S174"/>
    <mergeCell ref="T174:W174"/>
    <mergeCell ref="X174:Z174"/>
    <mergeCell ref="AA174:AH174"/>
    <mergeCell ref="AI174:AQ174"/>
    <mergeCell ref="AU174:AX174"/>
    <mergeCell ref="AY174:BB174"/>
    <mergeCell ref="BC174:BJ174"/>
    <mergeCell ref="K173:M173"/>
    <mergeCell ref="B173:C173"/>
    <mergeCell ref="D173:J173"/>
    <mergeCell ref="P173:S173"/>
    <mergeCell ref="T173:W173"/>
    <mergeCell ref="X173:Z173"/>
    <mergeCell ref="B171:C171"/>
    <mergeCell ref="D171:J171"/>
    <mergeCell ref="B172:C172"/>
    <mergeCell ref="D172:J172"/>
    <mergeCell ref="P172:S172"/>
    <mergeCell ref="T172:W172"/>
    <mergeCell ref="X172:Z172"/>
    <mergeCell ref="AA172:AH172"/>
    <mergeCell ref="AI172:AQ172"/>
    <mergeCell ref="T171:W171"/>
    <mergeCell ref="X171:Z171"/>
    <mergeCell ref="AA171:AH171"/>
    <mergeCell ref="AI171:AQ171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49:C51"/>
    <mergeCell ref="D49:J51"/>
    <mergeCell ref="K49:M51"/>
    <mergeCell ref="N49:N51"/>
    <mergeCell ref="O49:O51"/>
    <mergeCell ref="P49:AQ49"/>
    <mergeCell ref="AR49:BB49"/>
    <mergeCell ref="BC49:BJ51"/>
    <mergeCell ref="P50:W50"/>
    <mergeCell ref="X50:Z51"/>
    <mergeCell ref="AA50:AH51"/>
    <mergeCell ref="AI50:AQ51"/>
    <mergeCell ref="AR50:AR51"/>
    <mergeCell ref="AS50:AS51"/>
    <mergeCell ref="AT50:AT51"/>
    <mergeCell ref="AU50:BB50"/>
    <mergeCell ref="P51:S51"/>
    <mergeCell ref="T51:W51"/>
    <mergeCell ref="AU51:AX51"/>
    <mergeCell ref="AY183:BB183"/>
    <mergeCell ref="BC183:BJ183"/>
    <mergeCell ref="B183:C183"/>
    <mergeCell ref="D183:J183"/>
    <mergeCell ref="K183:M183"/>
    <mergeCell ref="P183:S183"/>
    <mergeCell ref="T183:W183"/>
    <mergeCell ref="X183:Z183"/>
    <mergeCell ref="AA183:AH183"/>
    <mergeCell ref="AI183:AQ183"/>
    <mergeCell ref="AU183:AX183"/>
    <mergeCell ref="B170:C170"/>
    <mergeCell ref="D170:J170"/>
    <mergeCell ref="K170:M170"/>
    <mergeCell ref="P170:S170"/>
    <mergeCell ref="T170:W170"/>
    <mergeCell ref="X170:Z170"/>
    <mergeCell ref="AA170:AH170"/>
    <mergeCell ref="AI170:AQ170"/>
    <mergeCell ref="AU170:AX170"/>
    <mergeCell ref="AY170:BB170"/>
    <mergeCell ref="BC170:BJ170"/>
    <mergeCell ref="AU124:AX124"/>
    <mergeCell ref="AY124:BB124"/>
    <mergeCell ref="BC124:BJ124"/>
    <mergeCell ref="BC125:BJ125"/>
    <mergeCell ref="BC166:BJ168"/>
    <mergeCell ref="D125:J125"/>
    <mergeCell ref="K125:M125"/>
    <mergeCell ref="P125:S125"/>
    <mergeCell ref="T125:W125"/>
    <mergeCell ref="X125:Z125"/>
    <mergeCell ref="AA125:AH125"/>
    <mergeCell ref="AI125:AQ125"/>
    <mergeCell ref="AU125:AX125"/>
    <mergeCell ref="AY125:BB125"/>
    <mergeCell ref="P167:W167"/>
    <mergeCell ref="X167:Z168"/>
    <mergeCell ref="AA167:AH168"/>
    <mergeCell ref="AI167:AQ168"/>
    <mergeCell ref="AR167:AR168"/>
    <mergeCell ref="AS167:AS168"/>
    <mergeCell ref="AT167:AT168"/>
    <mergeCell ref="AU167:BB167"/>
    <mergeCell ref="AY182:BB182"/>
    <mergeCell ref="BC182:BJ182"/>
    <mergeCell ref="B182:C182"/>
    <mergeCell ref="D182:J182"/>
    <mergeCell ref="K182:M182"/>
    <mergeCell ref="P182:S182"/>
    <mergeCell ref="T182:W182"/>
    <mergeCell ref="X182:Z182"/>
    <mergeCell ref="AA182:AH182"/>
    <mergeCell ref="AI182:AQ182"/>
    <mergeCell ref="AU182:AX182"/>
  </mergeCells>
  <dataValidations count="1">
    <dataValidation type="list" allowBlank="1" showInputMessage="1" showErrorMessage="1" sqref="AR52 AR56 AR103 AR106:AR107 O52:O58 AS121:AS122 AR113:AT119 O103:O125 AR109:AR125 AT177 AR169:AR183 O169:O183" xr:uid="{00000000-0002-0000-0200-000000000000}">
      <formula1>"－,●"</formula1>
    </dataValidation>
  </dataValidations>
  <pageMargins left="0.7" right="0.7" top="0.75" bottom="0.75" header="0.3" footer="0.3"/>
  <pageSetup scale="1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911AD8-CEBD-4E5F-942E-55DAA03B89ED}"/>
</file>

<file path=customXml/itemProps2.xml><?xml version="1.0" encoding="utf-8"?>
<ds:datastoreItem xmlns:ds="http://schemas.openxmlformats.org/officeDocument/2006/customXml" ds:itemID="{3A8C67C6-59CB-4B3F-859C-B0FB4A3A377D}"/>
</file>

<file path=customXml/itemProps3.xml><?xml version="1.0" encoding="utf-8"?>
<ds:datastoreItem xmlns:ds="http://schemas.openxmlformats.org/officeDocument/2006/customXml" ds:itemID="{942BAD7B-3DFA-4B0E-A575-E252BD24D790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表紙</vt:lpstr>
      <vt:lpstr>改訂履歴</vt:lpstr>
      <vt:lpstr>SC2101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2024-12-05T09:04:48Z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