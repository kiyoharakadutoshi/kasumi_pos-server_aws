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E5875AB3-1163-4BF4-B4E9-0FF4825B155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3101" sheetId="7" r:id="rId3"/>
    <sheet name="SC3102" sheetId="8" r:id="rId4"/>
  </sheets>
  <definedNames>
    <definedName name="_xlnm.Print_Area" localSheetId="2">'SC3101'!$A$1:$BK$125</definedName>
    <definedName name="_xlnm.Print_Area" localSheetId="3">'SC3102'!$A$1:$BK$357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6" i="8" l="1"/>
  <c r="B347" i="8" s="1"/>
  <c r="B345" i="8"/>
  <c r="B344" i="8"/>
  <c r="B326" i="8"/>
  <c r="B327" i="8" s="1"/>
  <c r="B328" i="8" s="1"/>
  <c r="B329" i="8" s="1"/>
  <c r="B325" i="8"/>
  <c r="B271" i="8"/>
  <c r="B272" i="8" s="1"/>
  <c r="B273" i="8" s="1"/>
  <c r="B270" i="8"/>
  <c r="B265" i="8"/>
  <c r="B264" i="8"/>
  <c r="B263" i="8"/>
  <c r="B212" i="8"/>
  <c r="B213" i="8" s="1"/>
  <c r="B211" i="8"/>
  <c r="B210" i="8"/>
  <c r="B200" i="8"/>
  <c r="B201" i="8" s="1"/>
  <c r="B202" i="8" s="1"/>
  <c r="B203" i="8" s="1"/>
  <c r="B199" i="8"/>
  <c r="B146" i="8"/>
  <c r="B147" i="8" s="1"/>
  <c r="B148" i="8" s="1"/>
  <c r="B145" i="8"/>
  <c r="B136" i="8"/>
  <c r="B137" i="8" s="1"/>
  <c r="B138" i="8" s="1"/>
  <c r="B135" i="8"/>
  <c r="B134" i="8"/>
  <c r="B87" i="8"/>
  <c r="B88" i="8" s="1"/>
  <c r="B86" i="8"/>
  <c r="B57" i="8"/>
  <c r="B60" i="8" s="1"/>
  <c r="B61" i="8" s="1"/>
  <c r="B62" i="8" s="1"/>
  <c r="B63" i="8" s="1"/>
  <c r="B64" i="8" s="1"/>
  <c r="B65" i="8" s="1"/>
  <c r="B71" i="8" s="1"/>
  <c r="B72" i="8" s="1"/>
  <c r="B73" i="8" s="1"/>
  <c r="B74" i="8" s="1"/>
  <c r="B75" i="8" s="1"/>
  <c r="B76" i="8" s="1"/>
  <c r="B77" i="8" s="1"/>
  <c r="B78" i="8" s="1"/>
  <c r="B56" i="8"/>
  <c r="B52" i="8"/>
  <c r="B51" i="8"/>
  <c r="B50" i="8"/>
  <c r="AP4" i="8"/>
  <c r="Z4" i="8"/>
  <c r="H4" i="8"/>
  <c r="BH2" i="8"/>
  <c r="BC2" i="8"/>
  <c r="AY2" i="8"/>
  <c r="AT2" i="8"/>
  <c r="AP2" i="8"/>
  <c r="K2" i="8"/>
  <c r="A2" i="8"/>
  <c r="W1" i="8"/>
  <c r="B93" i="7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92" i="7"/>
  <c r="B47" i="7"/>
  <c r="B48" i="7" s="1"/>
  <c r="B49" i="7" s="1"/>
  <c r="B50" i="7" s="1"/>
  <c r="B51" i="7" s="1"/>
  <c r="B46" i="7"/>
  <c r="AP4" i="7"/>
  <c r="Z4" i="7"/>
  <c r="H4" i="7"/>
  <c r="BH2" i="7"/>
  <c r="BC2" i="7"/>
  <c r="AY2" i="7"/>
  <c r="AT2" i="7"/>
  <c r="AP2" i="7"/>
  <c r="K2" i="7"/>
  <c r="A2" i="7"/>
  <c r="W1" i="7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<sst xmlns="http://schemas.openxmlformats.org/spreadsheetml/2006/main" count="2491" uniqueCount="334">
  <si>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</si>
  <si>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</si>
  <si>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</si>
  <si>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</si>
  <si>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</si>
  <si>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</si>
  <si>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</si>
  <si>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</si>
  <si>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</si>
  <si>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</si>
  <si>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</si>
  <si>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</si>
  <si>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</si>
  <si>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</si>
  <si>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</si>
  <si>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</si>
  <si>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</si>
  <si>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</si>
  <si>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</si>
  <si>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</si>
  <si>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</si>
  <si>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</si>
  <si>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</si>
  <si>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</si>
  <si>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</si>
  <si>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</si>
  <si>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</si>
  <si>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</si>
  <si>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</si>
  <si>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</si>
  <si>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</si>
  <si>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</si>
  <si>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</si>
  <si>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多言語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</si>
  <si>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</si>
  <si>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</si>
  <si>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</si>
  <si>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</si>
  <si>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</si>
  <si>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</si>
  <si>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対象店舗が選択された場合は有効になる。</t>
    </r>
  </si>
  <si>
    <r>
      <rPr>
        <sz val="11"/>
        <color rgb="FF000000"/>
        <rFont val="Meiryo UI"/>
        <family val="2"/>
      </rPr>
      <t>レジ別単品別売上点検</t>
    </r>
  </si>
  <si>
    <r>
      <rPr>
        <sz val="11"/>
        <color rgb="FF000000"/>
        <rFont val="Meiryo UI"/>
        <family val="2"/>
      </rPr>
      <t>営業種別（タイトル）</t>
    </r>
  </si>
  <si>
    <r>
      <rPr>
        <sz val="11"/>
        <color rgb="FF000000"/>
        <rFont val="Meiryo UI"/>
        <family val="2"/>
      </rPr>
      <t>営業種別（値）</t>
    </r>
  </si>
  <si>
    <r>
      <rPr>
        <sz val="11"/>
        <color rgb="FF000000"/>
        <rFont val="Meiryo UI"/>
        <family val="2"/>
      </rPr>
      <t>ラジオボタン</t>
    </r>
  </si>
  <si>
    <r>
      <rPr>
        <sz val="11"/>
        <color rgb="FF000000"/>
        <rFont val="Meiryo UI"/>
        <family val="2"/>
      </rPr>
      <t>営業日（タイトル）</t>
    </r>
  </si>
  <si>
    <r>
      <rPr>
        <sz val="11"/>
        <color rgb="FF000000"/>
        <rFont val="Meiryo UI"/>
        <family val="2"/>
      </rPr>
      <t>営業日（値）</t>
    </r>
  </si>
  <si>
    <r>
      <rPr>
        <sz val="10"/>
        <color rgb="FF000000"/>
        <rFont val="Meiryo UI"/>
        <family val="2"/>
      </rPr>
      <t>Date picker</t>
    </r>
  </si>
  <si>
    <r>
      <rPr>
        <sz val="11"/>
        <color rgb="FF000000"/>
        <rFont val="Meiryo UI"/>
        <family val="2"/>
      </rPr>
      <t>速報</t>
    </r>
  </si>
  <si>
    <r>
      <rPr>
        <sz val="11"/>
        <color rgb="FF000000"/>
        <rFont val="Meiryo UI"/>
        <family val="2"/>
      </rPr>
      <t>対象店舗が選択され、営業種別 = 日報の場合に有効になる。</t>
    </r>
  </si>
  <si>
    <r>
      <rPr>
        <sz val="11"/>
        <color rgb="FF000000"/>
        <rFont val="Meiryo UI"/>
        <family val="2"/>
      </rPr>
      <t>当日</t>
    </r>
  </si>
  <si>
    <r>
      <rPr>
        <sz val="11"/>
        <color rgb="FF000000"/>
        <rFont val="Meiryo UI"/>
        <family val="2"/>
      </rPr>
      <t>レジ番号（タイトル）</t>
    </r>
  </si>
  <si>
    <r>
      <rPr>
        <sz val="11"/>
        <color rgb="FF000000"/>
        <rFont val="Meiryo UI"/>
        <family val="2"/>
      </rPr>
      <t>レジ番号（値）</t>
    </r>
  </si>
  <si>
    <r>
      <rPr>
        <sz val="11"/>
        <color rgb="FF000000"/>
        <rFont val="Meiryo UI"/>
        <family val="2"/>
      </rPr>
      <t>営業日</t>
    </r>
  </si>
  <si>
    <r>
      <rPr>
        <sz val="11"/>
        <color rgb="FF000000"/>
        <rFont val="Meiryo UI"/>
        <family val="2"/>
      </rPr>
      <t>ビュー</t>
    </r>
  </si>
  <si>
    <r>
      <rPr>
        <sz val="11"/>
        <color rgb="FF000000"/>
        <rFont val="Meiryo UI"/>
        <family val="2"/>
      </rPr>
      <t>レジ別時間売上</t>
    </r>
  </si>
  <si>
    <r>
      <rPr>
        <sz val="11"/>
        <color rgb="FF000000"/>
        <rFont val="Meiryo UI"/>
        <family val="2"/>
      </rPr>
      <t>合計（タイトル）</t>
    </r>
  </si>
  <si>
    <r>
      <rPr>
        <sz val="11"/>
        <color rgb="FF000000"/>
        <rFont val="Meiryo UI"/>
        <family val="2"/>
      </rPr>
      <t>レジ名称（値）</t>
    </r>
  </si>
  <si>
    <r>
      <rPr>
        <sz val="11"/>
        <color rgb="FF000000"/>
        <rFont val="Meiryo UI"/>
        <family val="2"/>
      </rPr>
      <t>売上（タイトル）</t>
    </r>
  </si>
  <si>
    <r>
      <rPr>
        <sz val="11"/>
        <color rgb="FF000000"/>
        <rFont val="Meiryo UI"/>
        <family val="2"/>
      </rPr>
      <t>客数（タイトル）</t>
    </r>
  </si>
  <si>
    <r>
      <rPr>
        <sz val="11"/>
        <color rgb="FF000000"/>
        <rFont val="Meiryo UI"/>
        <family val="2"/>
      </rPr>
      <t>各レジの客数</t>
    </r>
  </si>
  <si>
    <r>
      <rPr>
        <sz val="11"/>
        <color rgb="FF000000"/>
        <rFont val="Meiryo UI"/>
        <family val="2"/>
      </rPr>
      <t>各レジの売上</t>
    </r>
  </si>
  <si>
    <r>
      <rPr>
        <sz val="11"/>
        <color rgb="FF000000"/>
        <rFont val="Meiryo UI"/>
        <family val="2"/>
      </rPr>
      <t>全てのレジの総点数</t>
    </r>
  </si>
  <si>
    <r>
      <rPr>
        <sz val="11"/>
        <color rgb="FF000000"/>
        <rFont val="Meiryo UI"/>
        <family val="2"/>
      </rPr>
      <t>全てのレジの総売上</t>
    </r>
  </si>
  <si>
    <r>
      <rPr>
        <sz val="11"/>
        <color rgb="FF000000"/>
        <rFont val="Meiryo UI"/>
        <family val="2"/>
      </rPr>
      <t>全てのレジの総客数</t>
    </r>
  </si>
  <si>
    <r>
      <rPr>
        <sz val="11"/>
        <color rgb="FF000000"/>
        <rFont val="Meiryo UI"/>
        <family val="2"/>
      </rPr>
      <t>各レジの点数</t>
    </r>
  </si>
  <si>
    <r>
      <rPr>
        <sz val="11"/>
        <color rgb="FF000000"/>
        <rFont val="Meiryo UI"/>
        <family val="2"/>
      </rPr>
      <t>外税額（タイトル）</t>
    </r>
  </si>
  <si>
    <r>
      <rPr>
        <sz val="11"/>
        <color rgb="FF000000"/>
        <rFont val="Meiryo UI"/>
        <family val="2"/>
      </rPr>
      <t>点数（タイトル）</t>
    </r>
  </si>
  <si>
    <r>
      <rPr>
        <sz val="11"/>
        <color rgb="FF000000"/>
        <rFont val="Meiryo UI"/>
        <family val="2"/>
      </rPr>
      <t>全てのレジの総外税額</t>
    </r>
  </si>
  <si>
    <r>
      <rPr>
        <sz val="11"/>
        <color rgb="FF000000"/>
        <rFont val="Meiryo UI"/>
        <family val="2"/>
      </rPr>
      <t>各レジの外税額</t>
    </r>
  </si>
  <si>
    <r>
      <rPr>
        <sz val="11"/>
        <color rgb="FF000000"/>
        <rFont val="Meiryo UI"/>
        <family val="2"/>
      </rPr>
      <t>内税額（タイトル）</t>
    </r>
  </si>
  <si>
    <r>
      <rPr>
        <sz val="11"/>
        <color rgb="FF000000"/>
        <rFont val="Meiryo UI"/>
        <family val="2"/>
      </rPr>
      <t>全てのレジの総内税額</t>
    </r>
  </si>
  <si>
    <r>
      <rPr>
        <sz val="11"/>
        <color rgb="FF000000"/>
        <rFont val="Meiryo UI"/>
        <family val="2"/>
      </rPr>
      <t>各レジの内税額</t>
    </r>
  </si>
  <si>
    <r>
      <rPr>
        <sz val="11"/>
        <color rgb="FF000000"/>
        <rFont val="Meiryo UI"/>
        <family val="2"/>
      </rPr>
      <t>点単価</t>
    </r>
  </si>
  <si>
    <r>
      <rPr>
        <sz val="11"/>
        <color rgb="FF000000"/>
        <rFont val="Meiryo UI"/>
        <family val="2"/>
      </rPr>
      <t>点単価（タイトル）</t>
    </r>
  </si>
  <si>
    <r>
      <rPr>
        <sz val="11"/>
        <color rgb="FF000000"/>
        <rFont val="Meiryo UI"/>
        <family val="2"/>
      </rPr>
      <t>点単価（全てのレジの合計）</t>
    </r>
  </si>
  <si>
    <r>
      <rPr>
        <sz val="11"/>
        <color rgb="FF000000"/>
        <rFont val="Meiryo UI"/>
        <family val="2"/>
      </rPr>
      <t>点単価（各レジ）</t>
    </r>
  </si>
  <si>
    <r>
      <rPr>
        <sz val="11"/>
        <color rgb="FF000000"/>
        <rFont val="Meiryo UI"/>
        <family val="2"/>
      </rPr>
      <t>客単価（タイトル）</t>
    </r>
  </si>
  <si>
    <r>
      <rPr>
        <sz val="11"/>
        <color rgb="FF000000"/>
        <rFont val="Meiryo UI"/>
        <family val="2"/>
      </rPr>
      <t>客単価（全てのレジの合計）</t>
    </r>
  </si>
  <si>
    <r>
      <rPr>
        <sz val="11"/>
        <color rgb="FF000000"/>
        <rFont val="Meiryo UI"/>
        <family val="2"/>
      </rPr>
      <t>客単価（各レジ）</t>
    </r>
  </si>
  <si>
    <r>
      <rPr>
        <sz val="11"/>
        <color rgb="FF000000"/>
        <rFont val="Meiryo UI"/>
        <family val="2"/>
      </rPr>
      <t>詳細</t>
    </r>
  </si>
  <si>
    <r>
      <rPr>
        <sz val="11"/>
        <color rgb="FF000000"/>
        <rFont val="Meiryo UI"/>
        <family val="2"/>
      </rPr>
      <t>形式：xxx,xxx</t>
    </r>
  </si>
  <si>
    <r>
      <rPr>
        <sz val="11"/>
        <color rgb="FF000000"/>
        <rFont val="Meiryo UI"/>
        <family val="2"/>
      </rPr>
      <t>形式：xxx,xxx.y</t>
    </r>
  </si>
  <si>
    <r>
      <rPr>
        <sz val="11"/>
        <color rgb="FF000000"/>
        <rFont val="Meiryo UI"/>
        <family val="2"/>
      </rPr>
      <t>レジ別速報／日報 (詳細）</t>
    </r>
  </si>
  <si>
    <r>
      <rPr>
        <sz val="11"/>
        <color rgb="FF000000"/>
        <rFont val="Meiryo UI"/>
        <family val="2"/>
      </rPr>
      <t>以下の3つオプションがある。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・速報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・日報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・月報</t>
    </r>
  </si>
  <si>
    <r>
      <rPr>
        <sz val="11"/>
        <color rgb="FF000000"/>
        <rFont val="Meiryo UI"/>
        <family val="2"/>
      </rPr>
      <t>営業月（値）</t>
    </r>
  </si>
  <si>
    <r>
      <rPr>
        <sz val="10"/>
        <color rgb="FF000000"/>
        <rFont val="Meiryo UI"/>
        <family val="2"/>
      </rPr>
      <t xml:space="preserve"> </t>
    </r>
    <r>
      <rPr>
        <sz val="10"/>
        <color rgb="FF000000"/>
        <rFont val="Meiryo UI"/>
        <family val="2"/>
      </rPr>
      <t>ドロップダウン</t>
    </r>
  </si>
  <si>
    <r>
      <rPr>
        <sz val="11"/>
        <color rgb="FF000000"/>
        <rFont val="Meiryo UI"/>
        <family val="2"/>
      </rPr>
      <t>当月</t>
    </r>
  </si>
  <si>
    <r>
      <rPr>
        <sz val="11"/>
        <color rgb="FF000000"/>
        <rFont val="Meiryo UI"/>
        <family val="2"/>
      </rPr>
      <t>・項目8が速報又は日報を選択している場合に表示する。</t>
    </r>
  </si>
  <si>
    <r>
      <rPr>
        <sz val="11"/>
        <color rgb="FF000000"/>
        <rFont val="Meiryo UI"/>
        <family val="2"/>
      </rPr>
      <t>・項目8が月報を選択されている場合、「当月」と「前月」の2つの値を持つドロップダウンを表示する。</t>
    </r>
  </si>
  <si>
    <r>
      <rPr>
        <sz val="11"/>
        <color rgb="FF000000"/>
        <rFont val="Meiryo UI"/>
        <family val="2"/>
      </rPr>
      <t>営業種別*</t>
    </r>
  </si>
  <si>
    <r>
      <rPr>
        <sz val="11"/>
        <color rgb="FF000000"/>
        <rFont val="Meiryo UI"/>
        <family val="2"/>
      </rPr>
      <t>営業日*</t>
    </r>
  </si>
  <si>
    <r>
      <rPr>
        <sz val="11"/>
        <color rgb="FF000000"/>
        <rFont val="Meiryo UI"/>
        <family val="2"/>
      </rPr>
      <t>レジ*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</si>
  <si>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SC3102-02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</si>
  <si>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SC3102-01をご参照ください。</t>
    </r>
  </si>
  <si>
    <r>
      <rPr>
        <sz val="11"/>
        <color rgb="FF000000"/>
        <rFont val="Meiryo UI"/>
        <family val="2"/>
      </rPr>
      <t>部門売上タブ</t>
    </r>
  </si>
  <si>
    <r>
      <rPr>
        <sz val="11"/>
        <color rgb="FF000000"/>
        <rFont val="Meiryo UI"/>
        <family val="2"/>
      </rPr>
      <t>売上部門</t>
    </r>
  </si>
  <si>
    <r>
      <rPr>
        <sz val="11"/>
        <color rgb="FF000000"/>
        <rFont val="Meiryo UI"/>
        <family val="2"/>
      </rPr>
      <t>部門売上</t>
    </r>
  </si>
  <si>
    <r>
      <rPr>
        <sz val="11"/>
        <color rgb="FF000000"/>
        <rFont val="Meiryo UI"/>
        <family val="2"/>
      </rPr>
      <t>売上部門タブ（タイトル）</t>
    </r>
  </si>
  <si>
    <r>
      <rPr>
        <sz val="11"/>
        <color rgb="FF000000"/>
        <rFont val="Meiryo UI"/>
        <family val="2"/>
      </rPr>
      <t>売上部門ビュー（タイトル）</t>
    </r>
  </si>
  <si>
    <r>
      <rPr>
        <sz val="11"/>
        <color rgb="FF000000"/>
        <rFont val="Meiryo UI"/>
        <family val="2"/>
      </rPr>
      <t>金額</t>
    </r>
  </si>
  <si>
    <r>
      <rPr>
        <sz val="11"/>
        <color rgb="FF000000"/>
        <rFont val="Meiryo UI"/>
        <family val="2"/>
      </rPr>
      <t>点数(件数)</t>
    </r>
  </si>
  <si>
    <r>
      <rPr>
        <sz val="11"/>
        <color rgb="FF000000"/>
        <rFont val="Meiryo UI"/>
        <family val="2"/>
      </rPr>
      <t>当月度累計金額</t>
    </r>
  </si>
  <si>
    <r>
      <rPr>
        <sz val="11"/>
        <color rgb="FF000000"/>
        <rFont val="Meiryo UI"/>
        <family val="2"/>
      </rPr>
      <t>当月度累計点数（件数）（列名）</t>
    </r>
  </si>
  <si>
    <r>
      <rPr>
        <sz val="11"/>
        <color rgb="FF000000"/>
        <rFont val="Meiryo UI"/>
        <family val="2"/>
      </rPr>
      <t>点数（件数）（列名）</t>
    </r>
  </si>
  <si>
    <r>
      <rPr>
        <sz val="11"/>
        <color rgb="FF000000"/>
        <rFont val="Meiryo UI"/>
        <family val="2"/>
      </rPr>
      <t>金額（列名）</t>
    </r>
  </si>
  <si>
    <r>
      <rPr>
        <sz val="11"/>
        <color rgb="FF000000"/>
        <rFont val="Meiryo UI"/>
        <family val="2"/>
      </rPr>
      <t>部門売上（行名）</t>
    </r>
  </si>
  <si>
    <r>
      <rPr>
        <sz val="11"/>
        <color rgb="FF000000"/>
        <rFont val="Meiryo UI"/>
        <family val="2"/>
      </rPr>
      <t>金額（値）</t>
    </r>
  </si>
  <si>
    <r>
      <rPr>
        <sz val="11"/>
        <color rgb="FF000000"/>
        <rFont val="Meiryo UI"/>
        <family val="2"/>
      </rPr>
      <t>点数（値）</t>
    </r>
  </si>
  <si>
    <r>
      <rPr>
        <sz val="11"/>
        <color rgb="FF000000"/>
        <rFont val="Meiryo UI"/>
        <family val="2"/>
      </rPr>
      <t>当月度累計点数（値）</t>
    </r>
  </si>
  <si>
    <r>
      <rPr>
        <sz val="11"/>
        <color rgb="FF000000"/>
        <rFont val="Meiryo UI"/>
        <family val="2"/>
      </rPr>
      <t>売上外部門（行名）</t>
    </r>
  </si>
  <si>
    <r>
      <rPr>
        <sz val="11"/>
        <color rgb="FF000000"/>
        <rFont val="Meiryo UI"/>
        <family val="2"/>
      </rPr>
      <t>売上外部門</t>
    </r>
  </si>
  <si>
    <r>
      <rPr>
        <sz val="11"/>
        <color rgb="FF000000"/>
        <rFont val="Meiryo UI"/>
        <family val="2"/>
      </rPr>
      <t>部門計</t>
    </r>
  </si>
  <si>
    <r>
      <rPr>
        <sz val="11"/>
        <color rgb="FF000000"/>
        <rFont val="Meiryo UI"/>
        <family val="2"/>
      </rPr>
      <t>部門計（行名）</t>
    </r>
  </si>
  <si>
    <r>
      <rPr>
        <sz val="11"/>
        <color rgb="FF000000"/>
        <rFont val="Meiryo UI"/>
        <family val="2"/>
      </rPr>
      <t>総売上</t>
    </r>
  </si>
  <si>
    <r>
      <rPr>
        <sz val="11"/>
        <color rgb="FF000000"/>
        <rFont val="Meiryo UI"/>
        <family val="2"/>
      </rPr>
      <t>点数(件数)（列名）</t>
    </r>
  </si>
  <si>
    <r>
      <rPr>
        <sz val="11"/>
        <color rgb="FF000000"/>
        <rFont val="Meiryo UI"/>
        <family val="2"/>
      </rPr>
      <t>客故（列名）</t>
    </r>
  </si>
  <si>
    <r>
      <rPr>
        <sz val="11"/>
        <color rgb="FF000000"/>
        <rFont val="Meiryo UI"/>
        <family val="2"/>
      </rPr>
      <t>点単価（列名）</t>
    </r>
  </si>
  <si>
    <r>
      <rPr>
        <sz val="11"/>
        <color rgb="FF000000"/>
        <rFont val="Meiryo UI"/>
        <family val="2"/>
      </rPr>
      <t>客単価（列名）</t>
    </r>
  </si>
  <si>
    <r>
      <rPr>
        <sz val="11"/>
        <color rgb="FF000000"/>
        <rFont val="Meiryo UI"/>
        <family val="2"/>
      </rPr>
      <t>客故</t>
    </r>
  </si>
  <si>
    <r>
      <rPr>
        <sz val="11"/>
        <color rgb="FF000000"/>
        <rFont val="Meiryo UI"/>
        <family val="2"/>
      </rPr>
      <t>客単</t>
    </r>
    <r>
      <rPr>
        <sz val="11"/>
        <color rgb="FF000000"/>
        <rFont val="Meiryo UI"/>
        <family val="2"/>
      </rPr>
      <t xml:space="preserve">   </t>
    </r>
  </si>
  <si>
    <r>
      <rPr>
        <sz val="11"/>
        <color rgb="FF000000"/>
        <rFont val="Meiryo UI"/>
        <family val="2"/>
      </rPr>
      <t>点数（件数）（値）</t>
    </r>
  </si>
  <si>
    <r>
      <rPr>
        <sz val="11"/>
        <color rgb="FF000000"/>
        <rFont val="Meiryo UI"/>
        <family val="2"/>
      </rPr>
      <t>客数（値）</t>
    </r>
  </si>
  <si>
    <r>
      <rPr>
        <sz val="11"/>
        <color rgb="FF000000"/>
        <rFont val="Meiryo UI"/>
        <family val="2"/>
      </rPr>
      <t>客単価（値）</t>
    </r>
  </si>
  <si>
    <r>
      <rPr>
        <sz val="11"/>
        <color rgb="FF000000"/>
        <rFont val="Meiryo UI"/>
        <family val="2"/>
      </rPr>
      <t>総売上（行名）</t>
    </r>
  </si>
  <si>
    <r>
      <rPr>
        <sz val="11"/>
        <color rgb="FF000000"/>
        <rFont val="Meiryo UI"/>
        <family val="2"/>
      </rPr>
      <t>純売上（行名）</t>
    </r>
  </si>
  <si>
    <r>
      <rPr>
        <sz val="11"/>
        <color rgb="FF000000"/>
        <rFont val="Meiryo UI"/>
        <family val="2"/>
      </rPr>
      <t>月の純売上（行名）</t>
    </r>
  </si>
  <si>
    <r>
      <rPr>
        <sz val="11"/>
        <color rgb="FF000000"/>
        <rFont val="Meiryo UI"/>
        <family val="2"/>
      </rPr>
      <t>上段：当日／下段：当月度累計</t>
    </r>
  </si>
  <si>
    <r>
      <rPr>
        <sz val="11"/>
        <color rgb="FF000000"/>
        <rFont val="Meiryo UI"/>
        <family val="2"/>
      </rPr>
      <t>純売上</t>
    </r>
  </si>
  <si>
    <r>
      <rPr>
        <sz val="11"/>
        <color rgb="FF000000"/>
        <rFont val="Meiryo UI"/>
        <family val="2"/>
      </rPr>
      <t>検索条件ビュー</t>
    </r>
  </si>
  <si>
    <r>
      <rPr>
        <sz val="11"/>
        <color rgb="FF000000"/>
        <rFont val="Meiryo UI"/>
        <family val="2"/>
      </rPr>
      <t>■税・決済タブ画面のイメージ</t>
    </r>
  </si>
  <si>
    <r>
      <rPr>
        <sz val="11"/>
        <color rgb="FF000000"/>
        <rFont val="Meiryo UI"/>
        <family val="2"/>
      </rPr>
      <t>■売上部門タブ画面のイメージ</t>
    </r>
  </si>
  <si>
    <r>
      <rPr>
        <sz val="11"/>
        <color rgb="FF000000"/>
        <rFont val="Meiryo UI"/>
        <family val="2"/>
      </rPr>
      <t>税・決済</t>
    </r>
  </si>
  <si>
    <r>
      <rPr>
        <sz val="11"/>
        <color rgb="FF000000"/>
        <rFont val="Meiryo UI"/>
        <family val="2"/>
      </rPr>
      <t>タブタイトル</t>
    </r>
  </si>
  <si>
    <r>
      <rPr>
        <sz val="11"/>
        <color rgb="FF000000"/>
        <rFont val="Meiryo UI"/>
        <family val="2"/>
      </rPr>
      <t>税ビュー</t>
    </r>
  </si>
  <si>
    <r>
      <rPr>
        <sz val="11"/>
        <color rgb="FF000000"/>
        <rFont val="Meiryo UI"/>
        <family val="2"/>
      </rPr>
      <t>税</t>
    </r>
  </si>
  <si>
    <r>
      <rPr>
        <sz val="11"/>
        <color rgb="FF000000"/>
        <rFont val="Meiryo UI"/>
        <family val="2"/>
      </rPr>
      <t>税額</t>
    </r>
  </si>
  <si>
    <r>
      <rPr>
        <sz val="11"/>
        <color rgb="FF000000"/>
        <rFont val="Meiryo UI"/>
        <family val="2"/>
      </rPr>
      <t>税額（列名）</t>
    </r>
  </si>
  <si>
    <r>
      <rPr>
        <sz val="11"/>
        <color rgb="FF000000"/>
        <rFont val="Meiryo UI"/>
        <family val="2"/>
      </rPr>
      <t>対象売上金額（列名）</t>
    </r>
  </si>
  <si>
    <r>
      <rPr>
        <sz val="11"/>
        <color rgb="FF000000"/>
        <rFont val="Meiryo UI"/>
        <family val="2"/>
      </rPr>
      <t>対象売上金額</t>
    </r>
  </si>
  <si>
    <r>
      <rPr>
        <sz val="11"/>
        <color rgb="FF000000"/>
        <rFont val="Meiryo UI"/>
        <family val="2"/>
      </rPr>
      <t>当月度累計税額（列名）</t>
    </r>
  </si>
  <si>
    <r>
      <rPr>
        <sz val="11"/>
        <color rgb="FF000000"/>
        <rFont val="Meiryo UI"/>
        <family val="2"/>
      </rPr>
      <t>当月度累計稅額</t>
    </r>
  </si>
  <si>
    <r>
      <rPr>
        <sz val="11"/>
        <color rgb="FF000000"/>
        <rFont val="Meiryo UI"/>
        <family val="2"/>
      </rPr>
      <t>当月度累計対象額（列名）</t>
    </r>
  </si>
  <si>
    <r>
      <rPr>
        <sz val="11"/>
        <color rgb="FF000000"/>
        <rFont val="Meiryo UI"/>
        <family val="2"/>
      </rPr>
      <t>当月度累計対象額</t>
    </r>
  </si>
  <si>
    <r>
      <rPr>
        <sz val="11"/>
        <color rgb="FF000000"/>
        <rFont val="Meiryo UI"/>
        <family val="2"/>
      </rPr>
      <t>税種別名称（行名）</t>
    </r>
  </si>
  <si>
    <r>
      <rPr>
        <sz val="11"/>
        <color rgb="FF000000"/>
        <rFont val="Meiryo UI"/>
        <family val="2"/>
      </rPr>
      <t>税額（値）</t>
    </r>
  </si>
  <si>
    <r>
      <rPr>
        <sz val="11"/>
        <color rgb="FF000000"/>
        <rFont val="Meiryo UI"/>
        <family val="2"/>
      </rPr>
      <t>対象売上金額（値）</t>
    </r>
  </si>
  <si>
    <r>
      <rPr>
        <sz val="11"/>
        <color rgb="FF000000"/>
        <rFont val="Meiryo UI"/>
        <family val="2"/>
      </rPr>
      <t>当月度累計税額（値）</t>
    </r>
  </si>
  <si>
    <r>
      <rPr>
        <sz val="11"/>
        <color rgb="FF000000"/>
        <rFont val="Meiryo UI"/>
        <family val="2"/>
      </rPr>
      <t>当月度累計対象額（値）</t>
    </r>
  </si>
  <si>
    <r>
      <rPr>
        <sz val="11"/>
        <color rgb="FF000000"/>
        <rFont val="Meiryo UI"/>
        <family val="2"/>
      </rPr>
      <t>決済</t>
    </r>
  </si>
  <si>
    <r>
      <rPr>
        <sz val="11"/>
        <color rgb="FF000000"/>
        <rFont val="Meiryo UI"/>
        <family val="2"/>
      </rPr>
      <t>決済ビュー</t>
    </r>
  </si>
  <si>
    <r>
      <rPr>
        <sz val="11"/>
        <color rgb="FF000000"/>
        <rFont val="Meiryo UI"/>
        <family val="2"/>
      </rPr>
      <t>決済種別（行名）</t>
    </r>
  </si>
  <si>
    <r>
      <rPr>
        <sz val="11"/>
        <color rgb="FF000000"/>
        <rFont val="Meiryo UI"/>
        <family val="2"/>
      </rPr>
      <t>件数/枚数（列名）</t>
    </r>
  </si>
  <si>
    <r>
      <rPr>
        <sz val="11"/>
        <color rgb="FF000000"/>
        <rFont val="Meiryo UI"/>
        <family val="2"/>
      </rPr>
      <t>件数/枚数</t>
    </r>
  </si>
  <si>
    <r>
      <rPr>
        <sz val="11"/>
        <color rgb="FF000000"/>
        <rFont val="Meiryo UI"/>
        <family val="2"/>
      </rPr>
      <t>当月度累計件数/枚数</t>
    </r>
  </si>
  <si>
    <r>
      <rPr>
        <sz val="11"/>
        <color rgb="FF000000"/>
        <rFont val="Meiryo UI"/>
        <family val="2"/>
      </rPr>
      <t>当月度累計件数/枚数（列名）</t>
    </r>
  </si>
  <si>
    <r>
      <rPr>
        <sz val="11"/>
        <color rgb="FF000000"/>
        <rFont val="Meiryo UI"/>
        <family val="2"/>
      </rPr>
      <t>件数/枚数（値）</t>
    </r>
  </si>
  <si>
    <r>
      <rPr>
        <sz val="11"/>
        <color rgb="FF000000"/>
        <rFont val="Meiryo UI"/>
        <family val="2"/>
      </rPr>
      <t>当月度累計件数/枚数（値）</t>
    </r>
  </si>
  <si>
    <r>
      <rPr>
        <sz val="11"/>
        <color rgb="FF000000"/>
        <rFont val="Meiryo UI"/>
        <family val="2"/>
      </rPr>
      <t>■入金・出金画面のイメージ</t>
    </r>
  </si>
  <si>
    <r>
      <rPr>
        <sz val="11"/>
        <color rgb="FF000000"/>
        <rFont val="Meiryo UI"/>
        <family val="2"/>
      </rPr>
      <t>入金・出金タブ</t>
    </r>
  </si>
  <si>
    <r>
      <rPr>
        <sz val="11"/>
        <color rgb="FF000000"/>
        <rFont val="Meiryo UI"/>
        <family val="2"/>
      </rPr>
      <t>入金・出金</t>
    </r>
  </si>
  <si>
    <r>
      <rPr>
        <sz val="11"/>
        <color rgb="FF000000"/>
        <rFont val="Meiryo UI"/>
        <family val="2"/>
      </rPr>
      <t>入金ビュー</t>
    </r>
  </si>
  <si>
    <r>
      <rPr>
        <sz val="11"/>
        <color rgb="FF000000"/>
        <rFont val="Meiryo UI"/>
        <family val="2"/>
      </rPr>
      <t>入金</t>
    </r>
  </si>
  <si>
    <r>
      <rPr>
        <sz val="11"/>
        <color rgb="FF000000"/>
        <rFont val="Meiryo UI"/>
        <family val="2"/>
      </rPr>
      <t>出金</t>
    </r>
  </si>
  <si>
    <r>
      <rPr>
        <sz val="11"/>
        <color rgb="FF000000"/>
        <rFont val="Meiryo UI"/>
        <family val="2"/>
      </rPr>
      <t>件数（列名）</t>
    </r>
  </si>
  <si>
    <r>
      <rPr>
        <sz val="11"/>
        <color rgb="FF000000"/>
        <rFont val="Meiryo UI"/>
        <family val="2"/>
      </rPr>
      <t>件数</t>
    </r>
  </si>
  <si>
    <r>
      <rPr>
        <sz val="11"/>
        <color rgb="FF000000"/>
        <rFont val="Meiryo UI"/>
        <family val="2"/>
      </rPr>
      <t>当月度累計金額（列名）</t>
    </r>
  </si>
  <si>
    <r>
      <rPr>
        <sz val="11"/>
        <color rgb="FF000000"/>
        <rFont val="Meiryo UI"/>
        <family val="2"/>
      </rPr>
      <t>当月度累計件数</t>
    </r>
  </si>
  <si>
    <r>
      <rPr>
        <sz val="11"/>
        <color rgb="FF000000"/>
        <rFont val="Meiryo UI"/>
        <family val="2"/>
      </rPr>
      <t>当月度累計件数（列名）</t>
    </r>
  </si>
  <si>
    <r>
      <rPr>
        <sz val="11"/>
        <color rgb="FF000000"/>
        <rFont val="Meiryo UI"/>
        <family val="2"/>
      </rPr>
      <t>入金種別（行名）</t>
    </r>
  </si>
  <si>
    <r>
      <rPr>
        <sz val="11"/>
        <color rgb="FF000000"/>
        <rFont val="Meiryo UI"/>
        <family val="2"/>
      </rPr>
      <t>当月度累計件数（値）</t>
    </r>
  </si>
  <si>
    <r>
      <rPr>
        <sz val="11"/>
        <color rgb="FF000000"/>
        <rFont val="Meiryo UI"/>
        <family val="2"/>
      </rPr>
      <t>出金ビュー</t>
    </r>
  </si>
  <si>
    <r>
      <rPr>
        <sz val="11"/>
        <color rgb="FF000000"/>
        <rFont val="Meiryo UI"/>
        <family val="2"/>
      </rPr>
      <t>当月度累計金額（列名）</t>
    </r>
  </si>
  <si>
    <r>
      <rPr>
        <sz val="11"/>
        <color rgb="FF000000"/>
        <rFont val="Meiryo UI"/>
        <family val="2"/>
      </rPr>
      <t>当月度累計金額（列名）</t>
    </r>
  </si>
  <si>
    <r>
      <rPr>
        <sz val="11"/>
        <color rgb="FF000000"/>
        <rFont val="Meiryo UI"/>
        <family val="2"/>
      </rPr>
      <t>件数（値）</t>
    </r>
  </si>
  <si>
    <r>
      <rPr>
        <sz val="11"/>
        <color rgb="FF000000"/>
        <rFont val="Meiryo UI"/>
        <family val="2"/>
      </rPr>
      <t>出金種別（行名）</t>
    </r>
  </si>
  <si>
    <r>
      <rPr>
        <sz val="11"/>
        <color rgb="FF000000"/>
        <rFont val="Meiryo UI"/>
        <family val="2"/>
      </rPr>
      <t>当月度累計金額（値）</t>
    </r>
  </si>
  <si>
    <r>
      <rPr>
        <sz val="11"/>
        <color rgb="FF000000"/>
        <rFont val="Meiryo UI"/>
        <family val="2"/>
      </rPr>
      <t>当月度累計金額（値）</t>
    </r>
  </si>
  <si>
    <r>
      <rPr>
        <sz val="11"/>
        <color rgb="FF000000"/>
        <rFont val="Meiryo UI"/>
        <family val="2"/>
      </rPr>
      <t>■在高・値引画面のイメージ</t>
    </r>
  </si>
  <si>
    <r>
      <rPr>
        <sz val="11"/>
        <color rgb="FF000000"/>
        <rFont val="Meiryo UI"/>
        <family val="2"/>
      </rPr>
      <t>在高・値引タブ</t>
    </r>
  </si>
  <si>
    <r>
      <rPr>
        <sz val="11"/>
        <color rgb="FF000000"/>
        <rFont val="Meiryo UI"/>
        <family val="2"/>
      </rPr>
      <t>在高・値引</t>
    </r>
  </si>
  <si>
    <r>
      <rPr>
        <sz val="11"/>
        <color rgb="FF000000"/>
        <rFont val="Meiryo UI"/>
        <family val="2"/>
      </rPr>
      <t>在高</t>
    </r>
  </si>
  <si>
    <r>
      <rPr>
        <sz val="11"/>
        <color rgb="FF000000"/>
        <rFont val="Meiryo UI"/>
        <family val="2"/>
      </rPr>
      <t>在高ビュー</t>
    </r>
  </si>
  <si>
    <r>
      <rPr>
        <sz val="11"/>
        <color rgb="FF000000"/>
        <rFont val="Meiryo UI"/>
        <family val="2"/>
      </rPr>
      <t>値引ビュー</t>
    </r>
  </si>
  <si>
    <r>
      <rPr>
        <sz val="11"/>
        <color rgb="FF000000"/>
        <rFont val="Meiryo UI"/>
        <family val="2"/>
      </rPr>
      <t>在高（行名）</t>
    </r>
  </si>
  <si>
    <r>
      <rPr>
        <sz val="11"/>
        <color rgb="FF000000"/>
        <rFont val="Meiryo UI"/>
        <family val="2"/>
      </rPr>
      <t>在高（値）</t>
    </r>
  </si>
  <si>
    <r>
      <rPr>
        <sz val="11"/>
        <color rgb="FF000000"/>
        <rFont val="Meiryo UI"/>
        <family val="2"/>
      </rPr>
      <t>現金在高</t>
    </r>
  </si>
  <si>
    <r>
      <rPr>
        <sz val="11"/>
        <color rgb="FF000000"/>
        <rFont val="Meiryo UI"/>
        <family val="2"/>
      </rPr>
      <t>BM値引き（行名）</t>
    </r>
  </si>
  <si>
    <r>
      <rPr>
        <sz val="11"/>
        <color rgb="FF000000"/>
        <rFont val="Meiryo UI"/>
        <family val="2"/>
      </rPr>
      <t>SM値引き</t>
    </r>
  </si>
  <si>
    <r>
      <rPr>
        <sz val="11"/>
        <color rgb="FF000000"/>
        <rFont val="Meiryo UI"/>
        <family val="2"/>
      </rPr>
      <t>BM値引き</t>
    </r>
  </si>
  <si>
    <r>
      <rPr>
        <sz val="11"/>
        <color rgb="FF000000"/>
        <rFont val="Meiryo UI"/>
        <family val="2"/>
      </rPr>
      <t>値引き合計</t>
    </r>
  </si>
  <si>
    <r>
      <rPr>
        <sz val="11"/>
        <color rgb="FF000000"/>
        <rFont val="Meiryo UI"/>
        <family val="2"/>
      </rPr>
      <t>値引合計（行名）</t>
    </r>
  </si>
  <si>
    <r>
      <rPr>
        <sz val="11"/>
        <color rgb="FF000000"/>
        <rFont val="Meiryo UI"/>
        <family val="2"/>
      </rPr>
      <t>操作</t>
    </r>
  </si>
  <si>
    <r>
      <rPr>
        <sz val="11"/>
        <color rgb="FF000000"/>
        <rFont val="Meiryo UI"/>
        <family val="2"/>
      </rPr>
      <t>■操作画面のイメージ</t>
    </r>
  </si>
  <si>
    <r>
      <rPr>
        <sz val="11"/>
        <color rgb="FF000000"/>
        <rFont val="Meiryo UI"/>
        <family val="2"/>
      </rPr>
      <t>操作ビュー</t>
    </r>
  </si>
  <si>
    <r>
      <rPr>
        <sz val="11"/>
        <color rgb="FF000000"/>
        <rFont val="Meiryo UI"/>
        <family val="2"/>
      </rPr>
      <t>当月度累計金額（列名）</t>
    </r>
  </si>
  <si>
    <r>
      <rPr>
        <sz val="11"/>
        <color rgb="FF000000"/>
        <rFont val="Meiryo UI"/>
        <family val="2"/>
      </rPr>
      <t>当月度累計金額（値）</t>
    </r>
  </si>
  <si>
    <r>
      <rPr>
        <sz val="11"/>
        <color rgb="FF000000"/>
        <rFont val="Meiryo UI"/>
        <family val="2"/>
      </rPr>
      <t>操作タブ</t>
    </r>
  </si>
  <si>
    <r>
      <rPr>
        <sz val="11"/>
        <color rgb="FF000000"/>
        <rFont val="Meiryo UI"/>
        <family val="2"/>
      </rPr>
      <t>返品（行名）</t>
    </r>
  </si>
  <si>
    <r>
      <rPr>
        <sz val="11"/>
        <color rgb="FF000000"/>
        <rFont val="Meiryo UI"/>
        <family val="2"/>
      </rPr>
      <t>取引中止（行名）</t>
    </r>
  </si>
  <si>
    <r>
      <rPr>
        <sz val="11"/>
        <color rgb="FF000000"/>
        <rFont val="Meiryo UI"/>
        <family val="2"/>
      </rPr>
      <t>取消（行名）</t>
    </r>
  </si>
  <si>
    <r>
      <rPr>
        <sz val="11"/>
        <color rgb="FF000000"/>
        <rFont val="Meiryo UI"/>
        <family val="2"/>
      </rPr>
      <t>練習モード（行名）</t>
    </r>
  </si>
  <si>
    <r>
      <rPr>
        <sz val="11"/>
        <color rgb="FF000000"/>
        <rFont val="Meiryo UI"/>
        <family val="2"/>
      </rPr>
      <t>売価変更（行名）</t>
    </r>
  </si>
  <si>
    <r>
      <rPr>
        <sz val="11"/>
        <color rgb="FF000000"/>
        <rFont val="Meiryo UI"/>
        <family val="2"/>
      </rPr>
      <t>両替（行名）</t>
    </r>
  </si>
  <si>
    <r>
      <rPr>
        <sz val="11"/>
        <color rgb="FF000000"/>
        <rFont val="Meiryo UI"/>
        <family val="2"/>
      </rPr>
      <t>領収証（行名）</t>
    </r>
  </si>
  <si>
    <r>
      <rPr>
        <sz val="11"/>
        <color rgb="FF000000"/>
        <rFont val="Meiryo UI"/>
        <family val="2"/>
      </rPr>
      <t>指定訂正（行名）</t>
    </r>
  </si>
  <si>
    <r>
      <rPr>
        <sz val="11"/>
        <color rgb="FF000000"/>
        <rFont val="Meiryo UI"/>
        <family val="2"/>
      </rPr>
      <t>返品</t>
    </r>
  </si>
  <si>
    <r>
      <rPr>
        <sz val="11"/>
        <color rgb="FF000000"/>
        <rFont val="Meiryo UI"/>
        <family val="2"/>
      </rPr>
      <t>取消</t>
    </r>
  </si>
  <si>
    <r>
      <rPr>
        <sz val="11"/>
        <color rgb="FF000000"/>
        <rFont val="Meiryo UI"/>
        <family val="2"/>
      </rPr>
      <t>取引中止</t>
    </r>
  </si>
  <si>
    <r>
      <rPr>
        <sz val="11"/>
        <color rgb="FF000000"/>
        <rFont val="Meiryo UI"/>
        <family val="2"/>
      </rPr>
      <t>指定訂正</t>
    </r>
  </si>
  <si>
    <r>
      <rPr>
        <sz val="11"/>
        <color rgb="FF000000"/>
        <rFont val="Meiryo UI"/>
        <family val="2"/>
      </rPr>
      <t>両替</t>
    </r>
  </si>
  <si>
    <r>
      <rPr>
        <sz val="11"/>
        <color rgb="FF000000"/>
        <rFont val="Meiryo UI"/>
        <family val="2"/>
      </rPr>
      <t>万券</t>
    </r>
  </si>
  <si>
    <r>
      <rPr>
        <sz val="11"/>
        <color rgb="FF000000"/>
        <rFont val="Meiryo UI"/>
        <family val="2"/>
      </rPr>
      <t>領収証</t>
    </r>
  </si>
  <si>
    <r>
      <rPr>
        <sz val="11"/>
        <color rgb="FF000000"/>
        <rFont val="Meiryo UI"/>
        <family val="2"/>
      </rPr>
      <t>売価変更</t>
    </r>
  </si>
  <si>
    <r>
      <rPr>
        <sz val="11"/>
        <color rgb="FF000000"/>
        <rFont val="Meiryo UI"/>
        <family val="2"/>
      </rPr>
      <t>練習モード</t>
    </r>
  </si>
  <si>
    <r>
      <rPr>
        <sz val="11"/>
        <color rgb="FF000000"/>
        <rFont val="Meiryo UI"/>
        <family val="2"/>
      </rPr>
      <t>万券（行名）</t>
    </r>
  </si>
  <si>
    <r>
      <rPr>
        <sz val="11"/>
        <color rgb="FF000000"/>
        <rFont val="Meiryo UI"/>
        <family val="2"/>
      </rPr>
      <t>印紙</t>
    </r>
  </si>
  <si>
    <r>
      <rPr>
        <sz val="11"/>
        <color rgb="FF000000"/>
        <rFont val="Meiryo UI"/>
        <family val="2"/>
      </rPr>
      <t>印紙ビュー</t>
    </r>
  </si>
  <si>
    <r>
      <rPr>
        <sz val="11"/>
        <color rgb="FF000000"/>
        <rFont val="Meiryo UI"/>
        <family val="2"/>
      </rPr>
      <t>印紙種別（行名）</t>
    </r>
  </si>
  <si>
    <r>
      <rPr>
        <sz val="11"/>
        <color rgb="FF000000"/>
        <rFont val="Meiryo UI"/>
        <family val="2"/>
      </rPr>
      <t>印刷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</si>
  <si>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SC3102-03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</si>
  <si>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SC3102-04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</si>
  <si>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SC3102-05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</si>
  <si>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SC3102-06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</si>
  <si>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SC3102-07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</si>
  <si>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SC3102-08</t>
    </r>
  </si>
  <si>
    <r>
      <rPr>
        <sz val="11"/>
        <color rgb="FF000000"/>
        <rFont val="Meiryo UI"/>
        <family val="2"/>
      </rPr>
      <t>当月度累計点数(件数)</t>
    </r>
  </si>
  <si>
    <r>
      <rPr>
        <sz val="11"/>
        <color rgb="FF000000"/>
        <rFont val="Meiryo UI"/>
        <family val="2"/>
      </rPr>
      <t>売上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</si>
  <si>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</si>
  <si>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</si>
  <si>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</si>
  <si>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金額（列名）</t>
    </r>
  </si>
  <si>
    <r>
      <rPr>
        <sz val="11"/>
        <color rgb="FF000000"/>
        <rFont val="Meiryo UI"/>
        <family val="2"/>
      </rPr>
      <t>当月度累計金額（列名）</t>
    </r>
  </si>
  <si>
    <r>
      <rPr>
        <sz val="11"/>
        <color rgb="FF000000"/>
        <rFont val="Meiryo UI"/>
        <family val="2"/>
      </rPr>
      <t>金額（値）</t>
    </r>
  </si>
  <si>
    <r>
      <rPr>
        <sz val="11"/>
        <color rgb="FF000000"/>
        <rFont val="Meiryo UI"/>
        <family val="2"/>
      </rPr>
      <t>点単価（列名）</t>
    </r>
  </si>
  <si>
    <r>
      <rPr>
        <sz val="11"/>
        <color rgb="FF000000"/>
        <rFont val="Meiryo UI"/>
        <family val="2"/>
      </rPr>
      <t>タブタイトル</t>
    </r>
  </si>
  <si>
    <r>
      <rPr>
        <sz val="11"/>
        <color rgb="FF000000"/>
        <rFont val="Meiryo UI"/>
        <family val="2"/>
      </rPr>
      <t>件数（列名）</t>
    </r>
  </si>
  <si>
    <r>
      <rPr>
        <sz val="11"/>
        <color rgb="FF000000"/>
        <rFont val="Meiryo UI"/>
        <family val="2"/>
      </rPr>
      <t>件数（値）</t>
    </r>
  </si>
  <si>
    <r>
      <rPr>
        <sz val="11"/>
        <color rgb="FF000000"/>
        <rFont val="Meiryo UI"/>
        <family val="2"/>
      </rPr>
      <t>BM値引き（行名）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</si>
  <si>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</si>
  <si>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</si>
  <si>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</si>
  <si>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</si>
  <si>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</si>
  <si>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</si>
  <si>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</si>
  <si>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多言語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</si>
  <si>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</si>
  <si>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</si>
  <si>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</si>
  <si>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</si>
  <si>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部門売上</t>
    </r>
  </si>
  <si>
    <r>
      <rPr>
        <sz val="11"/>
        <color rgb="FF000000"/>
        <rFont val="Meiryo UI"/>
        <family val="2"/>
      </rPr>
      <t>金額</t>
    </r>
  </si>
  <si>
    <r>
      <rPr>
        <sz val="11"/>
        <color rgb="FF000000"/>
        <rFont val="Meiryo UI"/>
        <family val="2"/>
      </rPr>
      <t>点数(件数)</t>
    </r>
  </si>
  <si>
    <r>
      <rPr>
        <sz val="11"/>
        <color rgb="FF000000"/>
        <rFont val="Meiryo UI"/>
        <family val="2"/>
      </rPr>
      <t>当月度累計金額</t>
    </r>
  </si>
  <si>
    <r>
      <rPr>
        <sz val="11"/>
        <color rgb="FF000000"/>
        <rFont val="Meiryo UI"/>
        <family val="2"/>
      </rPr>
      <t>件数</t>
    </r>
  </si>
  <si>
    <r>
      <rPr>
        <sz val="11"/>
        <color rgb="FF000000"/>
        <rFont val="Meiryo UI"/>
        <family val="2"/>
      </rPr>
      <t>当月度累計件数</t>
    </r>
  </si>
  <si>
    <r>
      <rPr>
        <sz val="11"/>
        <color rgb="FF000000"/>
        <rFont val="Meiryo UI"/>
        <family val="2"/>
      </rPr>
      <t>操作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</si>
  <si>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</si>
  <si>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</si>
  <si>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</si>
  <si>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対象店舗が選択された場合は有効になる。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</si>
  <si>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</si>
  <si>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</si>
  <si>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</si>
  <si>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</si>
  <si>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</si>
  <si>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形式：xxx,xxx.y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</si>
  <si>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</si>
  <si>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</si>
  <si>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</si>
  <si>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</si>
  <si>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</si>
  <si>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</si>
  <si>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</si>
  <si>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</si>
  <si>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</si>
  <si>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</si>
  <si>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000000"/>
        <rFont val="Meiryo UI"/>
        <family val="2"/>
      </rPr>
      <t xml:space="preserve">31_レジ別速報・日報 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</si>
  <si>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</si>
  <si>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</si>
  <si>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</si>
  <si>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</si>
  <si>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</si>
  <si>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</si>
  <si>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</si>
  <si>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■店舗を選択した時の初期化画面のイメージ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</si>
  <si>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</si>
  <si>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</si>
  <si>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</si>
  <si>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</si>
  <si>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</si>
  <si>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</si>
  <si>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</si>
  <si>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</si>
  <si>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</si>
  <si>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</si>
  <si>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</si>
  <si>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</si>
  <si>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</si>
  <si>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</si>
  <si>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</si>
  <si>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レジ別速報／日報</t>
  </si>
  <si>
    <r>
      <rPr>
        <sz val="11"/>
        <color rgb="FF000000"/>
        <rFont val="Meiryo UI"/>
        <family val="2"/>
      </rPr>
      <t>イベントID：SC3101-01</t>
    </r>
  </si>
  <si>
    <t>営業種別</t>
  </si>
  <si>
    <t>ラジオボタン</t>
  </si>
  <si>
    <t>速報</t>
  </si>
  <si>
    <r>
      <rPr>
        <sz val="11"/>
        <color rgb="FF000000"/>
        <rFont val="Meiryo UI"/>
        <family val="2"/>
      </rPr>
      <t>以下の2つオプションがある。
・速報
・日報</t>
    </r>
  </si>
  <si>
    <t>Date picker</t>
  </si>
  <si>
    <t>現在日</t>
  </si>
  <si>
    <t>ボタン</t>
  </si>
  <si>
    <t>検索</t>
  </si>
  <si>
    <r>
      <rPr>
        <sz val="11"/>
        <color rgb="FF000000"/>
        <rFont val="Meiryo UI"/>
        <family val="2"/>
      </rPr>
      <t>イベントID：SC3101-02</t>
    </r>
  </si>
  <si>
    <r>
      <rPr>
        <sz val="11"/>
        <color rgb="FF000000"/>
        <rFont val="Meiryo UI"/>
        <family val="2"/>
      </rPr>
      <t xml:space="preserve">印刷 </t>
    </r>
  </si>
  <si>
    <t>■検索結果がある時の画面のイメージ</t>
  </si>
  <si>
    <t>テキスト</t>
  </si>
  <si>
    <t>レジ</t>
  </si>
  <si>
    <t>合計</t>
  </si>
  <si>
    <t>O</t>
  </si>
  <si>
    <t>ー</t>
  </si>
  <si>
    <t>客数</t>
  </si>
  <si>
    <t>点数</t>
  </si>
  <si>
    <t>外税額</t>
  </si>
  <si>
    <t>内税額</t>
  </si>
  <si>
    <t>点単価</t>
  </si>
  <si>
    <t>客単価</t>
  </si>
  <si>
    <t>I</t>
  </si>
  <si>
    <t>詳細</t>
  </si>
  <si>
    <t>デフォルト：有効</t>
  </si>
  <si>
    <r>
      <rPr>
        <sz val="11"/>
        <color rgb="FF000000"/>
        <rFont val="Meiryo UI"/>
        <family val="2"/>
      </rPr>
      <t>イベントID：SC3101-03</t>
    </r>
  </si>
  <si>
    <t>対象店舗が選択された場合は有効になる。</t>
  </si>
  <si>
    <r>
      <rPr>
        <sz val="11"/>
        <color rgb="FF000000"/>
        <rFont val="Meiryo UI"/>
        <family val="2"/>
      </rPr>
      <t>レジ（タイトル）</t>
    </r>
  </si>
  <si>
    <t>・項目8が速報又は日報を選択している場合、「営業日」を表示する。
・項目8が月報を選択している場合、営業月を表示する。</t>
  </si>
  <si>
    <t>形式：コード：名称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</si>
</sst>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0"/>
      <color rgb="FF000000"/>
      <name val="Meiryo UI"/>
      <family val="2"/>
    </font>
    <font>
      <sz val="11"/>
      <color rgb="FF0070C0"/>
      <name val="Meiryo UI"/>
      <family val="2"/>
    </font>
    <font>
      <sz val="10"/>
      <color theme="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2" fillId="0" borderId="0">
      <alignment vertical="center"/>
    </xf>
  </cellStyleXfs>
  <cellXfs count="409">
    <xf numFmtId="0" fontId="0" fillId="0" borderId="0" xfId="0"/>
    <xf numFmtId="0" fontId="7" fillId="0" borderId="2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0" xfId="6" applyFont="1" applyBorder="1" applyAlignment="1">
      <alignment vertical="center"/>
    </xf>
    <xf numFmtId="0" fontId="7" fillId="0" borderId="17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7" fillId="2" borderId="0" xfId="6" applyFont="1" applyFill="1" applyAlignment="1">
      <alignment vertical="center"/>
    </xf>
    <xf numFmtId="0" fontId="0" fillId="2" borderId="0" xfId="6" applyFont="1" applyFill="1" applyAlignment="1">
      <alignment vertical="center"/>
    </xf>
    <xf numFmtId="0" fontId="6" fillId="2" borderId="0" xfId="6" applyFont="1" applyFill="1" applyAlignment="1">
      <alignment vertical="center"/>
    </xf>
    <xf numFmtId="0" fontId="6" fillId="2" borderId="4" xfId="6" applyFont="1" applyFill="1" applyBorder="1" applyAlignment="1">
      <alignment vertical="center"/>
    </xf>
    <xf numFmtId="0" fontId="7" fillId="0" borderId="24" xfId="0" applyFon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32" xfId="6" applyFont="1" applyBorder="1" applyAlignment="1">
      <alignment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7" fillId="4" borderId="32" xfId="6" applyFont="1" applyFill="1" applyBorder="1" applyAlignment="1">
      <alignment horizontal="center" vertical="center"/>
    </xf>
    <xf numFmtId="0" fontId="6" fillId="4" borderId="33" xfId="6" applyFont="1" applyFill="1" applyBorder="1" applyAlignment="1">
      <alignment horizontal="center" vertical="center"/>
    </xf>
    <xf numFmtId="0" fontId="6" fillId="4" borderId="34" xfId="6" applyFont="1" applyFill="1" applyBorder="1" applyAlignment="1">
      <alignment horizontal="center" vertical="center"/>
    </xf>
    <xf numFmtId="0" fontId="7" fillId="0" borderId="32" xfId="6" quotePrefix="1" applyFont="1" applyBorder="1" applyAlignment="1">
      <alignment horizontal="center" vertical="center" wrapText="1"/>
    </xf>
    <xf numFmtId="0" fontId="7" fillId="0" borderId="33" xfId="6" quotePrefix="1" applyFont="1" applyBorder="1" applyAlignment="1">
      <alignment horizontal="center" vertical="center" wrapText="1"/>
    </xf>
    <xf numFmtId="0" fontId="7" fillId="0" borderId="34" xfId="6" quotePrefix="1" applyFont="1" applyBorder="1" applyAlignment="1">
      <alignment horizontal="center" vertical="center" wrapText="1"/>
    </xf>
    <xf numFmtId="0" fontId="6" fillId="0" borderId="32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6" fillId="0" borderId="32" xfId="6" applyFont="1" applyBorder="1" applyAlignment="1">
      <alignment horizontal="left" vertical="center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0" fillId="0" borderId="32" xfId="6" applyFont="1" applyBorder="1" applyAlignment="1">
      <alignment vertical="center" wrapText="1"/>
    </xf>
    <xf numFmtId="0" fontId="0" fillId="0" borderId="33" xfId="6" applyFont="1" applyBorder="1" applyAlignment="1">
      <alignment vertical="center"/>
    </xf>
    <xf numFmtId="0" fontId="0" fillId="0" borderId="34" xfId="6" applyFont="1" applyBorder="1" applyAlignment="1">
      <alignment vertical="center"/>
    </xf>
    <xf numFmtId="0" fontId="6" fillId="8" borderId="29" xfId="6" applyFont="1" applyFill="1" applyBorder="1" applyAlignment="1">
      <alignment horizontal="center" vertical="center"/>
    </xf>
    <xf numFmtId="0" fontId="6" fillId="8" borderId="31" xfId="6" applyFont="1" applyFill="1" applyBorder="1" applyAlignment="1">
      <alignment horizontal="center" vertical="center"/>
    </xf>
    <xf numFmtId="0" fontId="6" fillId="8" borderId="29" xfId="6" quotePrefix="1" applyFont="1" applyFill="1" applyBorder="1" applyAlignment="1">
      <alignment vertical="center" wrapText="1"/>
    </xf>
    <xf numFmtId="0" fontId="6" fillId="8" borderId="30" xfId="6" quotePrefix="1" applyFont="1" applyFill="1" applyBorder="1" applyAlignment="1">
      <alignment vertical="center" wrapText="1"/>
    </xf>
    <xf numFmtId="0" fontId="6" fillId="8" borderId="31" xfId="6" quotePrefix="1" applyFont="1" applyFill="1" applyBorder="1" applyAlignment="1">
      <alignment vertical="center" wrapText="1"/>
    </xf>
    <xf numFmtId="0" fontId="7" fillId="0" borderId="29" xfId="6" applyFont="1" applyBorder="1" applyAlignment="1">
      <alignment vertical="center"/>
    </xf>
    <xf numFmtId="0" fontId="6" fillId="0" borderId="30" xfId="6" applyFont="1" applyBorder="1" applyAlignment="1">
      <alignment vertical="center"/>
    </xf>
    <xf numFmtId="0" fontId="6" fillId="0" borderId="31" xfId="6" applyFont="1" applyBorder="1" applyAlignment="1">
      <alignment vertical="center"/>
    </xf>
    <xf numFmtId="0" fontId="7" fillId="0" borderId="29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7" fillId="0" borderId="29" xfId="6" quotePrefix="1" applyFont="1" applyBorder="1" applyAlignment="1">
      <alignment horizontal="center" vertical="center" wrapText="1"/>
    </xf>
    <xf numFmtId="0" fontId="7" fillId="0" borderId="30" xfId="6" quotePrefix="1" applyFont="1" applyBorder="1" applyAlignment="1">
      <alignment horizontal="center" vertical="center" wrapText="1"/>
    </xf>
    <xf numFmtId="0" fontId="7" fillId="0" borderId="31" xfId="6" quotePrefix="1" applyFont="1" applyBorder="1" applyAlignment="1">
      <alignment horizontal="center" vertical="center" wrapText="1"/>
    </xf>
    <xf numFmtId="0" fontId="6" fillId="0" borderId="29" xfId="6" applyFont="1" applyBorder="1" applyAlignment="1">
      <alignment horizontal="center" vertical="center"/>
    </xf>
    <xf numFmtId="0" fontId="7" fillId="0" borderId="29" xfId="6" applyFont="1" applyBorder="1" applyAlignment="1">
      <alignment horizontal="left" vertical="center"/>
    </xf>
    <xf numFmtId="0" fontId="6" fillId="0" borderId="30" xfId="6" applyFont="1" applyBorder="1" applyAlignment="1">
      <alignment horizontal="left" vertical="center"/>
    </xf>
    <xf numFmtId="0" fontId="6" fillId="0" borderId="31" xfId="6" applyFont="1" applyBorder="1" applyAlignment="1">
      <alignment horizontal="left" vertical="center"/>
    </xf>
    <xf numFmtId="0" fontId="0" fillId="0" borderId="30" xfId="6" applyFont="1" applyBorder="1" applyAlignment="1">
      <alignment vertical="center"/>
    </xf>
    <xf numFmtId="0" fontId="0" fillId="0" borderId="31" xfId="6" applyFont="1" applyBorder="1" applyAlignment="1">
      <alignment vertical="center"/>
    </xf>
    <xf numFmtId="0" fontId="6" fillId="8" borderId="32" xfId="6" applyFont="1" applyFill="1" applyBorder="1" applyAlignment="1">
      <alignment horizontal="center" vertical="center"/>
    </xf>
    <xf numFmtId="0" fontId="6" fillId="8" borderId="34" xfId="6" applyFont="1" applyFill="1" applyBorder="1" applyAlignment="1">
      <alignment horizontal="center" vertical="center"/>
    </xf>
    <xf numFmtId="0" fontId="6" fillId="8" borderId="32" xfId="6" quotePrefix="1" applyFont="1" applyFill="1" applyBorder="1" applyAlignment="1">
      <alignment vertical="center" wrapText="1"/>
    </xf>
    <xf numFmtId="0" fontId="6" fillId="8" borderId="33" xfId="6" quotePrefix="1" applyFont="1" applyFill="1" applyBorder="1" applyAlignment="1">
      <alignment vertical="center" wrapText="1"/>
    </xf>
    <xf numFmtId="0" fontId="6" fillId="8" borderId="34" xfId="6" quotePrefix="1" applyFont="1" applyFill="1" applyBorder="1" applyAlignment="1">
      <alignment vertical="center" wrapText="1"/>
    </xf>
    <xf numFmtId="0" fontId="7" fillId="0" borderId="32" xfId="6" applyFont="1" applyBorder="1" applyAlignment="1">
      <alignment horizontal="center" vertical="center"/>
    </xf>
    <xf numFmtId="0" fontId="0" fillId="0" borderId="32" xfId="6" applyFont="1" applyBorder="1" applyAlignment="1">
      <alignment vertical="center"/>
    </xf>
    <xf numFmtId="0" fontId="9" fillId="0" borderId="32" xfId="6" quotePrefix="1" applyFont="1" applyBorder="1" applyAlignment="1">
      <alignment horizontal="center" vertical="center" wrapText="1"/>
    </xf>
    <xf numFmtId="0" fontId="9" fillId="0" borderId="33" xfId="6" quotePrefix="1" applyFont="1" applyBorder="1" applyAlignment="1">
      <alignment horizontal="center" vertical="center" wrapText="1"/>
    </xf>
    <xf numFmtId="0" fontId="9" fillId="0" borderId="34" xfId="6" quotePrefix="1" applyFont="1" applyBorder="1" applyAlignment="1">
      <alignment horizontal="center" vertical="center" wrapText="1"/>
    </xf>
    <xf numFmtId="0" fontId="6" fillId="8" borderId="33" xfId="6" applyFont="1" applyFill="1" applyBorder="1" applyAlignment="1">
      <alignment horizontal="center" vertical="center"/>
    </xf>
    <xf numFmtId="0" fontId="6" fillId="8" borderId="32" xfId="6" quotePrefix="1" applyFont="1" applyFill="1" applyBorder="1" applyAlignment="1">
      <alignment vertical="center"/>
    </xf>
    <xf numFmtId="0" fontId="6" fillId="8" borderId="33" xfId="6" quotePrefix="1" applyFont="1" applyFill="1" applyBorder="1" applyAlignment="1">
      <alignment vertical="center"/>
    </xf>
    <xf numFmtId="0" fontId="6" fillId="8" borderId="34" xfId="6" quotePrefix="1" applyFont="1" applyFill="1" applyBorder="1" applyAlignment="1">
      <alignment vertical="center"/>
    </xf>
    <xf numFmtId="0" fontId="6" fillId="0" borderId="32" xfId="6" applyFont="1" applyBorder="1" applyAlignment="1">
      <alignment vertical="center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6" fillId="0" borderId="32" xfId="6" quotePrefix="1" applyFont="1" applyBorder="1" applyAlignment="1">
      <alignment vertical="center"/>
    </xf>
    <xf numFmtId="0" fontId="6" fillId="0" borderId="33" xfId="6" quotePrefix="1" applyFont="1" applyBorder="1" applyAlignment="1">
      <alignment vertical="center"/>
    </xf>
    <xf numFmtId="0" fontId="6" fillId="0" borderId="34" xfId="6" quotePrefix="1" applyFont="1" applyBorder="1" applyAlignment="1">
      <alignment vertical="center"/>
    </xf>
    <xf numFmtId="0" fontId="6" fillId="0" borderId="32" xfId="6" quotePrefix="1" applyFont="1" applyBorder="1" applyAlignment="1">
      <alignment horizontal="center" vertical="center"/>
    </xf>
    <xf numFmtId="0" fontId="6" fillId="0" borderId="32" xfId="6" quotePrefix="1" applyFont="1" applyBorder="1" applyAlignment="1">
      <alignment vertical="center" wrapText="1"/>
    </xf>
    <xf numFmtId="0" fontId="6" fillId="0" borderId="33" xfId="6" quotePrefix="1" applyFont="1" applyBorder="1" applyAlignment="1">
      <alignment vertical="center" wrapText="1"/>
    </xf>
    <xf numFmtId="0" fontId="6" fillId="0" borderId="34" xfId="6" quotePrefix="1" applyFont="1" applyBorder="1" applyAlignment="1">
      <alignment vertical="center" wrapText="1"/>
    </xf>
    <xf numFmtId="0" fontId="6" fillId="4" borderId="32" xfId="6" applyFont="1" applyFill="1" applyBorder="1" applyAlignment="1">
      <alignment horizontal="center" vertical="center"/>
    </xf>
    <xf numFmtId="0" fontId="0" fillId="0" borderId="33" xfId="6" applyFont="1" applyBorder="1" applyAlignment="1">
      <alignment vertical="center" wrapText="1"/>
    </xf>
    <xf numFmtId="0" fontId="0" fillId="0" borderId="34" xfId="6" applyFont="1" applyBorder="1" applyAlignment="1">
      <alignment vertical="center" wrapText="1"/>
    </xf>
    <xf numFmtId="0" fontId="0" fillId="0" borderId="35" xfId="6" quotePrefix="1" applyFont="1" applyBorder="1" applyAlignment="1">
      <alignment vertical="center" wrapText="1"/>
    </xf>
    <xf numFmtId="0" fontId="0" fillId="0" borderId="36" xfId="6" quotePrefix="1" applyFont="1" applyBorder="1" applyAlignment="1">
      <alignment vertical="center" wrapText="1"/>
    </xf>
    <xf numFmtId="0" fontId="0" fillId="0" borderId="37" xfId="6" quotePrefix="1" applyFont="1" applyBorder="1" applyAlignment="1">
      <alignment vertical="center" wrapText="1"/>
    </xf>
    <xf numFmtId="0" fontId="0" fillId="0" borderId="35" xfId="6" applyFont="1" applyBorder="1" applyAlignment="1">
      <alignment vertical="center"/>
    </xf>
    <xf numFmtId="0" fontId="0" fillId="0" borderId="36" xfId="6" applyFont="1" applyBorder="1" applyAlignment="1">
      <alignment vertical="center"/>
    </xf>
    <xf numFmtId="0" fontId="0" fillId="0" borderId="37" xfId="6" applyFont="1" applyBorder="1" applyAlignment="1">
      <alignment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0" fillId="0" borderId="27" xfId="6" applyFont="1" applyBorder="1" applyAlignment="1">
      <alignment vertical="center" wrapText="1"/>
    </xf>
    <xf numFmtId="0" fontId="0" fillId="0" borderId="28" xfId="6" applyFont="1" applyBorder="1" applyAlignment="1">
      <alignment vertical="center" wrapText="1"/>
    </xf>
    <xf numFmtId="0" fontId="0" fillId="0" borderId="16" xfId="6" applyFont="1" applyBorder="1" applyAlignment="1">
      <alignment vertical="center" wrapText="1"/>
    </xf>
    <xf numFmtId="0" fontId="7" fillId="0" borderId="32" xfId="6" quotePrefix="1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8" fillId="0" borderId="32" xfId="6" applyFont="1" applyBorder="1" applyAlignment="1">
      <alignment vertical="center" wrapText="1"/>
    </xf>
    <xf numFmtId="0" fontId="7" fillId="0" borderId="27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 wrapText="1"/>
    </xf>
    <xf numFmtId="0" fontId="7" fillId="0" borderId="28" xfId="6" applyFont="1" applyBorder="1" applyAlignment="1">
      <alignment horizontal="center" vertical="center" wrapText="1"/>
    </xf>
    <xf numFmtId="0" fontId="7" fillId="0" borderId="16" xfId="6" applyFont="1" applyBorder="1" applyAlignment="1">
      <alignment horizontal="center" vertical="center" wrapText="1"/>
    </xf>
    <xf numFmtId="0" fontId="6" fillId="0" borderId="27" xfId="6" applyFont="1" applyBorder="1" applyAlignment="1">
      <alignment horizontal="left" vertical="center"/>
    </xf>
    <xf numFmtId="0" fontId="6" fillId="0" borderId="28" xfId="6" applyFont="1" applyBorder="1" applyAlignment="1">
      <alignment horizontal="left" vertical="center"/>
    </xf>
    <xf numFmtId="0" fontId="6" fillId="0" borderId="16" xfId="6" applyFont="1" applyBorder="1" applyAlignment="1">
      <alignment horizontal="left" vertical="center"/>
    </xf>
    <xf numFmtId="0" fontId="7" fillId="5" borderId="21" xfId="6" applyFont="1" applyFill="1" applyBorder="1" applyAlignment="1">
      <alignment vertical="center" wrapText="1"/>
    </xf>
    <xf numFmtId="0" fontId="6" fillId="5" borderId="23" xfId="6" applyFont="1" applyFill="1" applyBorder="1" applyAlignment="1">
      <alignment vertical="center"/>
    </xf>
    <xf numFmtId="0" fontId="6" fillId="5" borderId="1" xfId="6" applyFont="1" applyFill="1" applyBorder="1" applyAlignment="1">
      <alignment vertical="center"/>
    </xf>
    <xf numFmtId="0" fontId="6" fillId="5" borderId="4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7" fillId="5" borderId="21" xfId="6" applyFont="1" applyFill="1" applyBorder="1" applyAlignment="1">
      <alignment vertical="center"/>
    </xf>
    <xf numFmtId="0" fontId="6" fillId="5" borderId="22" xfId="6" applyFont="1" applyFill="1" applyBorder="1" applyAlignment="1">
      <alignment vertical="center"/>
    </xf>
    <xf numFmtId="0" fontId="6" fillId="5" borderId="0" xfId="6" applyFont="1" applyFill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38" xfId="6" applyFont="1" applyFill="1" applyBorder="1" applyAlignment="1">
      <alignment vertical="center" shrinkToFit="1"/>
    </xf>
    <xf numFmtId="0" fontId="6" fillId="5" borderId="39" xfId="6" applyFont="1" applyFill="1" applyBorder="1" applyAlignment="1">
      <alignment vertical="center" shrinkToFit="1"/>
    </xf>
    <xf numFmtId="0" fontId="6" fillId="5" borderId="40" xfId="6" applyFont="1" applyFill="1" applyBorder="1" applyAlignment="1">
      <alignment vertical="center" shrinkToFit="1"/>
    </xf>
    <xf numFmtId="0" fontId="7" fillId="5" borderId="38" xfId="6" applyFont="1" applyFill="1" applyBorder="1" applyAlignment="1">
      <alignment vertical="center" wrapText="1"/>
    </xf>
    <xf numFmtId="0" fontId="7" fillId="5" borderId="39" xfId="6" applyFont="1" applyFill="1" applyBorder="1" applyAlignment="1">
      <alignment vertical="center" wrapText="1"/>
    </xf>
    <xf numFmtId="0" fontId="7" fillId="5" borderId="40" xfId="6" applyFont="1" applyFill="1" applyBorder="1" applyAlignment="1">
      <alignment vertical="center" wrapText="1"/>
    </xf>
    <xf numFmtId="0" fontId="7" fillId="7" borderId="24" xfId="6" applyFont="1" applyFill="1" applyBorder="1" applyAlignment="1">
      <alignment vertical="center"/>
    </xf>
    <xf numFmtId="0" fontId="6" fillId="7" borderId="25" xfId="6" applyFont="1" applyFill="1" applyBorder="1" applyAlignment="1">
      <alignment vertical="center"/>
    </xf>
    <xf numFmtId="0" fontId="6" fillId="7" borderId="26" xfId="6" applyFont="1" applyFill="1" applyBorder="1" applyAlignment="1">
      <alignment vertical="center"/>
    </xf>
    <xf numFmtId="0" fontId="7" fillId="6" borderId="24" xfId="6" applyFont="1" applyFill="1" applyBorder="1" applyAlignment="1">
      <alignment vertical="center"/>
    </xf>
    <xf numFmtId="0" fontId="6" fillId="6" borderId="25" xfId="6" applyFont="1" applyFill="1" applyBorder="1" applyAlignment="1">
      <alignment vertical="center"/>
    </xf>
    <xf numFmtId="0" fontId="6" fillId="6" borderId="26" xfId="6" applyFont="1" applyFill="1" applyBorder="1" applyAlignment="1">
      <alignment vertical="center"/>
    </xf>
    <xf numFmtId="0" fontId="7" fillId="8" borderId="21" xfId="6" applyFont="1" applyFill="1" applyBorder="1" applyAlignment="1">
      <alignment vertical="center"/>
    </xf>
    <xf numFmtId="0" fontId="6" fillId="8" borderId="22" xfId="6" applyFont="1" applyFill="1" applyBorder="1" applyAlignment="1">
      <alignment vertical="center"/>
    </xf>
    <xf numFmtId="0" fontId="6" fillId="8" borderId="23" xfId="6" applyFont="1" applyFill="1" applyBorder="1" applyAlignment="1">
      <alignment vertical="center"/>
    </xf>
    <xf numFmtId="0" fontId="6" fillId="8" borderId="1" xfId="6" applyFont="1" applyFill="1" applyBorder="1" applyAlignment="1">
      <alignment vertical="center"/>
    </xf>
    <xf numFmtId="0" fontId="6" fillId="8" borderId="0" xfId="6" applyFont="1" applyFill="1" applyAlignment="1">
      <alignment vertical="center"/>
    </xf>
    <xf numFmtId="0" fontId="6" fillId="8" borderId="4" xfId="6" applyFont="1" applyFill="1" applyBorder="1" applyAlignment="1">
      <alignment vertical="center"/>
    </xf>
    <xf numFmtId="0" fontId="6" fillId="8" borderId="2" xfId="6" applyFont="1" applyFill="1" applyBorder="1" applyAlignment="1">
      <alignment vertical="center"/>
    </xf>
    <xf numFmtId="0" fontId="6" fillId="8" borderId="3" xfId="6" applyFont="1" applyFill="1" applyBorder="1" applyAlignment="1">
      <alignment vertical="center"/>
    </xf>
    <xf numFmtId="0" fontId="6" fillId="8" borderId="5" xfId="6" applyFont="1" applyFill="1" applyBorder="1" applyAlignment="1">
      <alignment vertical="center"/>
    </xf>
    <xf numFmtId="0" fontId="7" fillId="7" borderId="24" xfId="6" applyFont="1" applyFill="1" applyBorder="1"/>
    <xf numFmtId="0" fontId="7" fillId="7" borderId="25" xfId="6" applyFont="1" applyFill="1" applyBorder="1"/>
    <xf numFmtId="0" fontId="7" fillId="7" borderId="26" xfId="6" applyFont="1" applyFill="1" applyBorder="1"/>
    <xf numFmtId="0" fontId="7" fillId="7" borderId="21" xfId="6" applyFont="1" applyFill="1" applyBorder="1" applyAlignment="1">
      <alignment vertical="center"/>
    </xf>
    <xf numFmtId="0" fontId="6" fillId="7" borderId="22" xfId="6" applyFont="1" applyFill="1" applyBorder="1" applyAlignment="1">
      <alignment vertical="center"/>
    </xf>
    <xf numFmtId="0" fontId="6" fillId="7" borderId="23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6" fillId="6" borderId="21" xfId="6" applyFont="1" applyFill="1" applyBorder="1" applyAlignment="1">
      <alignment vertical="center" wrapText="1"/>
    </xf>
    <xf numFmtId="0" fontId="6" fillId="6" borderId="2" xfId="6" applyFont="1" applyFill="1" applyBorder="1" applyAlignment="1">
      <alignment vertical="center" wrapText="1"/>
    </xf>
    <xf numFmtId="0" fontId="7" fillId="6" borderId="38" xfId="6" applyFont="1" applyFill="1" applyBorder="1" applyAlignment="1">
      <alignment vertical="center" wrapText="1"/>
    </xf>
    <xf numFmtId="0" fontId="7" fillId="6" borderId="40" xfId="6" applyFont="1" applyFill="1" applyBorder="1" applyAlignment="1">
      <alignment vertical="center" wrapText="1"/>
    </xf>
    <xf numFmtId="0" fontId="7" fillId="6" borderId="23" xfId="6" applyFont="1" applyFill="1" applyBorder="1" applyAlignment="1">
      <alignment vertical="center" wrapText="1"/>
    </xf>
    <xf numFmtId="0" fontId="7" fillId="6" borderId="5" xfId="6" applyFont="1" applyFill="1" applyBorder="1" applyAlignment="1">
      <alignment vertical="center" wrapText="1"/>
    </xf>
    <xf numFmtId="0" fontId="6" fillId="6" borderId="41" xfId="6" applyFont="1" applyFill="1" applyBorder="1" applyAlignment="1">
      <alignment vertical="center"/>
    </xf>
    <xf numFmtId="0" fontId="7" fillId="6" borderId="42" xfId="6" applyFont="1" applyFill="1" applyBorder="1" applyAlignment="1">
      <alignment vertical="center"/>
    </xf>
    <xf numFmtId="0" fontId="6" fillId="0" borderId="27" xfId="6" applyFont="1" applyBorder="1" applyAlignment="1">
      <alignment vertical="center"/>
    </xf>
    <xf numFmtId="0" fontId="6" fillId="0" borderId="28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7" fillId="8" borderId="27" xfId="6" applyFont="1" applyFill="1" applyBorder="1" applyAlignment="1">
      <alignment horizontal="left" vertical="center" wrapText="1"/>
    </xf>
    <xf numFmtId="0" fontId="7" fillId="8" borderId="28" xfId="6" applyFont="1" applyFill="1" applyBorder="1" applyAlignment="1">
      <alignment horizontal="left" vertical="center" wrapText="1"/>
    </xf>
    <xf numFmtId="0" fontId="7" fillId="8" borderId="16" xfId="6" applyFont="1" applyFill="1" applyBorder="1" applyAlignment="1">
      <alignment horizontal="left" vertical="center" wrapText="1"/>
    </xf>
    <xf numFmtId="0" fontId="2" fillId="3" borderId="24" xfId="6" applyFont="1" applyFill="1" applyBorder="1" applyAlignment="1">
      <alignment horizontal="center" vertical="center"/>
    </xf>
    <xf numFmtId="0" fontId="2" fillId="3" borderId="25" xfId="6" applyFont="1" applyFill="1" applyBorder="1" applyAlignment="1">
      <alignment horizontal="center" vertical="center"/>
    </xf>
    <xf numFmtId="0" fontId="2" fillId="3" borderId="26" xfId="6" applyFont="1" applyFill="1" applyBorder="1" applyAlignment="1">
      <alignment horizontal="center" vertical="center"/>
    </xf>
    <xf numFmtId="0" fontId="6" fillId="0" borderId="24" xfId="6" applyFont="1" applyBorder="1" applyAlignment="1">
      <alignment horizontal="left" vertical="center"/>
    </xf>
    <xf numFmtId="0" fontId="6" fillId="0" borderId="25" xfId="6" applyFont="1" applyBorder="1" applyAlignment="1">
      <alignment horizontal="left" vertical="center"/>
    </xf>
    <xf numFmtId="0" fontId="6" fillId="0" borderId="26" xfId="6" applyFont="1" applyBorder="1" applyAlignment="1">
      <alignment horizontal="left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0" fillId="0" borderId="32" xfId="6" quotePrefix="1" applyFont="1" applyBorder="1" applyAlignment="1">
      <alignment horizontal="left" vertical="center" wrapText="1"/>
    </xf>
    <xf numFmtId="0" fontId="0" fillId="0" borderId="33" xfId="6" applyFont="1" applyBorder="1" applyAlignment="1">
      <alignment horizontal="left" vertical="center"/>
    </xf>
    <xf numFmtId="0" fontId="0" fillId="0" borderId="34" xfId="6" applyFont="1" applyBorder="1" applyAlignment="1">
      <alignment horizontal="left" vertical="center"/>
    </xf>
    <xf numFmtId="0" fontId="0" fillId="0" borderId="32" xfId="6" applyFont="1" applyBorder="1" applyAlignment="1">
      <alignment horizontal="left" vertical="center" wrapText="1"/>
    </xf>
    <xf numFmtId="0" fontId="0" fillId="0" borderId="33" xfId="6" applyFont="1" applyBorder="1" applyAlignment="1">
      <alignment horizontal="left" vertical="center" wrapText="1"/>
    </xf>
    <xf numFmtId="0" fontId="0" fillId="0" borderId="34" xfId="6" applyFont="1" applyBorder="1" applyAlignment="1">
      <alignment horizontal="left" vertical="center" wrapText="1"/>
    </xf>
    <xf numFmtId="0" fontId="6" fillId="0" borderId="29" xfId="6" quotePrefix="1" applyFont="1" applyBorder="1" applyAlignment="1">
      <alignment vertical="center" wrapText="1"/>
    </xf>
    <xf numFmtId="0" fontId="6" fillId="0" borderId="30" xfId="6" quotePrefix="1" applyFont="1" applyBorder="1" applyAlignment="1">
      <alignment vertical="center" wrapText="1"/>
    </xf>
    <xf numFmtId="0" fontId="6" fillId="0" borderId="31" xfId="6" quotePrefix="1" applyFont="1" applyBorder="1" applyAlignment="1">
      <alignment vertical="center" wrapText="1"/>
    </xf>
    <xf numFmtId="0" fontId="7" fillId="0" borderId="30" xfId="6" applyFont="1" applyBorder="1" applyAlignment="1">
      <alignment horizontal="center" vertical="center" wrapText="1"/>
    </xf>
    <xf numFmtId="0" fontId="7" fillId="0" borderId="31" xfId="6" applyFont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/>
    </xf>
    <xf numFmtId="0" fontId="6" fillId="4" borderId="30" xfId="6" applyFont="1" applyFill="1" applyBorder="1" applyAlignment="1">
      <alignment horizontal="center" vertical="center"/>
    </xf>
    <xf numFmtId="0" fontId="6" fillId="4" borderId="31" xfId="6" applyFont="1" applyFill="1" applyBorder="1" applyAlignment="1">
      <alignment horizontal="center" vertical="center"/>
    </xf>
    <xf numFmtId="0" fontId="0" fillId="0" borderId="29" xfId="6" applyFont="1" applyBorder="1" applyAlignment="1">
      <alignment vertical="center" wrapText="1"/>
    </xf>
    <xf numFmtId="0" fontId="0" fillId="0" borderId="29" xfId="6" quotePrefix="1" applyFont="1" applyBorder="1" applyAlignment="1">
      <alignment horizontal="left" vertical="center" indent="1"/>
    </xf>
    <xf numFmtId="0" fontId="0" fillId="0" borderId="30" xfId="6" quotePrefix="1" applyFont="1" applyBorder="1" applyAlignment="1">
      <alignment horizontal="left" vertical="center" indent="1"/>
    </xf>
    <xf numFmtId="0" fontId="0" fillId="0" borderId="31" xfId="6" quotePrefix="1" applyFont="1" applyBorder="1" applyAlignment="1">
      <alignment horizontal="left" vertical="center" indent="1"/>
    </xf>
    <xf numFmtId="0" fontId="7" fillId="8" borderId="29" xfId="6" applyFont="1" applyFill="1" applyBorder="1" applyAlignment="1">
      <alignment horizontal="center" vertical="center"/>
    </xf>
    <xf numFmtId="0" fontId="6" fillId="8" borderId="30" xfId="6" applyFont="1" applyFill="1" applyBorder="1" applyAlignment="1">
      <alignment horizontal="center" vertical="center"/>
    </xf>
    <xf numFmtId="0" fontId="6" fillId="0" borderId="29" xfId="6" applyFont="1" applyBorder="1" applyAlignment="1">
      <alignment horizontal="left" vertical="center"/>
    </xf>
    <xf numFmtId="0" fontId="0" fillId="0" borderId="35" xfId="6" quotePrefix="1" applyFont="1" applyBorder="1" applyAlignment="1">
      <alignment vertical="center"/>
    </xf>
    <xf numFmtId="0" fontId="0" fillId="0" borderId="36" xfId="6" quotePrefix="1" applyFont="1" applyBorder="1" applyAlignment="1">
      <alignment vertical="center"/>
    </xf>
    <xf numFmtId="0" fontId="0" fillId="0" borderId="37" xfId="6" quotePrefix="1" applyFont="1" applyBorder="1" applyAlignment="1">
      <alignment vertical="center"/>
    </xf>
    <xf numFmtId="0" fontId="7" fillId="8" borderId="32" xfId="6" applyFont="1" applyFill="1" applyBorder="1" applyAlignment="1">
      <alignment horizontal="center" vertical="center"/>
    </xf>
    <xf numFmtId="0" fontId="0" fillId="0" borderId="35" xfId="6" applyFont="1" applyBorder="1" applyAlignment="1">
      <alignment vertical="center" wrapText="1"/>
    </xf>
    <xf numFmtId="0" fontId="0" fillId="0" borderId="32" xfId="6" quotePrefix="1" applyFont="1" applyBorder="1" applyAlignment="1">
      <alignment horizontal="left" vertical="center" wrapText="1" indent="1"/>
    </xf>
    <xf numFmtId="0" fontId="0" fillId="0" borderId="33" xfId="6" quotePrefix="1" applyFont="1" applyBorder="1" applyAlignment="1">
      <alignment horizontal="left" vertical="center" wrapText="1" indent="1"/>
    </xf>
    <xf numFmtId="0" fontId="0" fillId="0" borderId="34" xfId="6" quotePrefix="1" applyFont="1" applyBorder="1" applyAlignment="1">
      <alignment horizontal="left" vertical="center" wrapText="1" indent="1"/>
    </xf>
    <xf numFmtId="0" fontId="6" fillId="0" borderId="32" xfId="6" quotePrefix="1" applyFont="1" applyBorder="1" applyAlignment="1">
      <alignment horizontal="left" vertical="center" wrapText="1" indent="1"/>
    </xf>
    <xf numFmtId="0" fontId="6" fillId="0" borderId="33" xfId="6" quotePrefix="1" applyFont="1" applyBorder="1" applyAlignment="1">
      <alignment horizontal="left" vertical="center" wrapText="1" indent="1"/>
    </xf>
    <xf numFmtId="0" fontId="6" fillId="0" borderId="34" xfId="6" quotePrefix="1" applyFont="1" applyBorder="1" applyAlignment="1">
      <alignment horizontal="left" vertical="center" wrapText="1" indent="1"/>
    </xf>
    <xf numFmtId="0" fontId="0" fillId="0" borderId="35" xfId="6" quotePrefix="1" applyFont="1" applyBorder="1" applyAlignment="1">
      <alignment horizontal="left" vertical="center" wrapText="1" indent="1"/>
    </xf>
    <xf numFmtId="0" fontId="0" fillId="0" borderId="36" xfId="6" quotePrefix="1" applyFont="1" applyBorder="1" applyAlignment="1">
      <alignment horizontal="left" vertical="center" wrapText="1" indent="1"/>
    </xf>
    <xf numFmtId="0" fontId="0" fillId="0" borderId="37" xfId="6" quotePrefix="1" applyFont="1" applyBorder="1" applyAlignment="1">
      <alignment horizontal="left" vertical="center" wrapText="1" indent="1"/>
    </xf>
    <xf numFmtId="0" fontId="6" fillId="9" borderId="32" xfId="6" applyFont="1" applyFill="1" applyBorder="1" applyAlignment="1">
      <alignment horizontal="left" vertical="center"/>
    </xf>
    <xf numFmtId="0" fontId="6" fillId="9" borderId="33" xfId="6" applyFont="1" applyFill="1" applyBorder="1" applyAlignment="1">
      <alignment horizontal="left" vertical="center"/>
    </xf>
    <xf numFmtId="0" fontId="6" fillId="9" borderId="34" xfId="6" applyFont="1" applyFill="1" applyBorder="1" applyAlignment="1">
      <alignment horizontal="left" vertical="center"/>
    </xf>
    <xf numFmtId="0" fontId="9" fillId="0" borderId="32" xfId="6" applyFont="1" applyBorder="1" applyAlignment="1">
      <alignment vertical="center" wrapText="1"/>
    </xf>
    <xf numFmtId="0" fontId="11" fillId="0" borderId="33" xfId="6" applyFont="1" applyBorder="1" applyAlignment="1">
      <alignment vertical="center" wrapText="1"/>
    </xf>
    <xf numFmtId="0" fontId="11" fillId="0" borderId="34" xfId="6" applyFont="1" applyBorder="1" applyAlignment="1">
      <alignment vertical="center" wrapText="1"/>
    </xf>
    <xf numFmtId="0" fontId="7" fillId="0" borderId="32" xfId="6" quotePrefix="1" applyFont="1" applyBorder="1" applyAlignment="1">
      <alignment horizontal="left" vertical="center" wrapText="1"/>
    </xf>
    <xf numFmtId="0" fontId="6" fillId="0" borderId="33" xfId="6" applyFont="1" applyBorder="1" applyAlignment="1">
      <alignment horizontal="left" vertical="center" wrapText="1"/>
    </xf>
    <xf numFmtId="0" fontId="6" fillId="0" borderId="34" xfId="6" applyFont="1" applyBorder="1" applyAlignment="1">
      <alignment horizontal="left" vertical="center" wrapText="1"/>
    </xf>
    <xf numFmtId="0" fontId="0" fillId="0" borderId="35" xfId="6" quotePrefix="1" applyFont="1" applyBorder="1" applyAlignment="1">
      <alignment horizontal="left" vertical="center" indent="1"/>
    </xf>
    <xf numFmtId="0" fontId="0" fillId="0" borderId="36" xfId="6" quotePrefix="1" applyFont="1" applyBorder="1" applyAlignment="1">
      <alignment horizontal="left" vertical="center" indent="1"/>
    </xf>
    <xf numFmtId="0" fontId="0" fillId="0" borderId="37" xfId="6" quotePrefix="1" applyFont="1" applyBorder="1" applyAlignment="1">
      <alignment horizontal="left" vertical="center" indent="1"/>
    </xf>
    <xf numFmtId="0" fontId="6" fillId="0" borderId="32" xfId="6" quotePrefix="1" applyFont="1" applyBorder="1" applyAlignment="1">
      <alignment horizontal="left" vertical="center" indent="1"/>
    </xf>
    <xf numFmtId="0" fontId="6" fillId="0" borderId="33" xfId="6" quotePrefix="1" applyFont="1" applyBorder="1" applyAlignment="1">
      <alignment horizontal="left" vertical="center" indent="1"/>
    </xf>
    <xf numFmtId="0" fontId="6" fillId="0" borderId="34" xfId="6" quotePrefix="1" applyFont="1" applyBorder="1" applyAlignment="1">
      <alignment horizontal="left" vertical="center" indent="1"/>
    </xf>
    <xf numFmtId="0" fontId="6" fillId="0" borderId="33" xfId="6" quotePrefix="1" applyFont="1" applyBorder="1" applyAlignment="1">
      <alignment horizontal="center" vertical="center"/>
    </xf>
    <xf numFmtId="0" fontId="6" fillId="0" borderId="34" xfId="6" quotePrefix="1" applyFont="1" applyBorder="1" applyAlignment="1">
      <alignment horizontal="center" vertical="center"/>
    </xf>
    <xf numFmtId="0" fontId="10" fillId="0" borderId="32" xfId="6" applyFont="1" applyBorder="1" applyAlignment="1">
      <alignment vertical="center" wrapText="1"/>
    </xf>
    <xf numFmtId="0" fontId="7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7" fillId="0" borderId="32" xfId="6" applyFont="1" applyBorder="1" applyAlignment="1">
      <alignment horizontal="left" vertical="center"/>
    </xf>
    <xf numFmtId="0" fontId="0" fillId="0" borderId="32" xfId="6" quotePrefix="1" applyFont="1" applyBorder="1" applyAlignment="1">
      <alignment horizontal="left" vertical="center" indent="1"/>
    </xf>
    <xf numFmtId="0" fontId="0" fillId="0" borderId="33" xfId="6" quotePrefix="1" applyFont="1" applyBorder="1" applyAlignment="1">
      <alignment horizontal="left" vertical="center" indent="1"/>
    </xf>
    <xf numFmtId="0" fontId="0" fillId="0" borderId="34" xfId="6" quotePrefix="1" applyFont="1" applyBorder="1" applyAlignment="1">
      <alignment horizontal="left" vertical="center" indent="1"/>
    </xf>
    <xf numFmtId="0" fontId="6" fillId="0" borderId="29" xfId="6" quotePrefix="1" applyFont="1" applyBorder="1" applyAlignment="1">
      <alignment horizontal="left" vertical="center" wrapText="1" indent="1"/>
    </xf>
    <xf numFmtId="0" fontId="6" fillId="0" borderId="30" xfId="6" quotePrefix="1" applyFont="1" applyBorder="1" applyAlignment="1">
      <alignment horizontal="left" vertical="center" wrapText="1" indent="1"/>
    </xf>
    <xf numFmtId="0" fontId="6" fillId="0" borderId="31" xfId="6" quotePrefix="1" applyFont="1" applyBorder="1" applyAlignment="1">
      <alignment horizontal="left" vertical="center" wrapText="1" indent="1"/>
    </xf>
    <xf numFmtId="0" fontId="0" fillId="0" borderId="30" xfId="6" applyFont="1" applyBorder="1" applyAlignment="1">
      <alignment vertical="center" wrapText="1"/>
    </xf>
    <xf numFmtId="0" fontId="0" fillId="0" borderId="31" xfId="6" applyFont="1" applyBorder="1" applyAlignment="1">
      <alignment vertical="center" wrapText="1"/>
    </xf>
    <xf numFmtId="0" fontId="7" fillId="8" borderId="32" xfId="6" quotePrefix="1" applyFont="1" applyFill="1" applyBorder="1" applyAlignment="1">
      <alignment horizontal="center" vertical="center" wrapText="1"/>
    </xf>
    <xf numFmtId="0" fontId="7" fillId="8" borderId="33" xfId="6" quotePrefix="1" applyFont="1" applyFill="1" applyBorder="1" applyAlignment="1">
      <alignment horizontal="center" vertical="center" wrapText="1"/>
    </xf>
    <xf numFmtId="0" fontId="7" fillId="8" borderId="34" xfId="6" quotePrefix="1" applyFont="1" applyFill="1" applyBorder="1" applyAlignment="1">
      <alignment horizontal="center" vertical="center" wrapText="1"/>
    </xf>
    <xf numFmtId="0" fontId="7" fillId="8" borderId="33" xfId="6" applyFont="1" applyFill="1" applyBorder="1" applyAlignment="1">
      <alignment horizontal="center" vertical="center" wrapText="1"/>
    </xf>
    <xf numFmtId="0" fontId="7" fillId="8" borderId="34" xfId="6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7" fillId="0" borderId="0" xfId="0" applyFont="1"/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21" xfId="0" applyNumberFormat="1" applyFont="1" applyBorder="1" applyAlignment="1">
      <alignment horizontal="center" vertical="center"/>
    </xf>
    <xf numFmtId="14" fontId="17" fillId="0" borderId="22" xfId="0" applyNumberFormat="1" applyFont="1" applyBorder="1" applyAlignment="1">
      <alignment horizontal="center" vertical="center"/>
    </xf>
    <xf numFmtId="14" fontId="17" fillId="0" borderId="23" xfId="0" applyNumberFormat="1" applyFont="1" applyBorder="1" applyAlignment="1">
      <alignment horizontal="center" vertical="center"/>
    </xf>
    <xf numFmtId="2" fontId="17" fillId="0" borderId="21" xfId="0" applyNumberFormat="1" applyFont="1" applyBorder="1" applyAlignment="1">
      <alignment horizontal="center" vertical="center"/>
    </xf>
    <xf numFmtId="2" fontId="17" fillId="0" borderId="22" xfId="0" applyNumberFormat="1" applyFont="1" applyBorder="1" applyAlignment="1">
      <alignment horizontal="center" vertical="center"/>
    </xf>
    <xf numFmtId="2" fontId="17" fillId="0" borderId="23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3" fillId="3" borderId="0" xfId="0" applyFont="1" applyFill="1"/>
    <xf numFmtId="0" fontId="17" fillId="0" borderId="27" xfId="0" applyFont="1" applyBorder="1"/>
    <xf numFmtId="0" fontId="17" fillId="0" borderId="28" xfId="0" applyFont="1" applyBorder="1"/>
    <xf numFmtId="0" fontId="17" fillId="0" borderId="16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1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14" fontId="20" fillId="0" borderId="21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7" xfId="0" applyFont="1" applyBorder="1"/>
    <xf numFmtId="0" fontId="20" fillId="0" borderId="28" xfId="0" applyFont="1" applyBorder="1"/>
    <xf numFmtId="0" fontId="20" fillId="0" borderId="16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3" fillId="3" borderId="24" xfId="6" applyFont="1" applyFill="1" applyBorder="1" applyAlignment="1">
      <alignment horizontal="center" vertical="center"/>
    </xf>
    <xf numFmtId="0" fontId="13" fillId="3" borderId="25" xfId="6" applyFont="1" applyFill="1" applyBorder="1" applyAlignment="1">
      <alignment horizontal="center" vertical="center"/>
    </xf>
    <xf numFmtId="0" fontId="13" fillId="3" borderId="26" xfId="6" applyFont="1" applyFill="1" applyBorder="1" applyAlignment="1">
      <alignment horizontal="center" vertical="center"/>
    </xf>
    <xf numFmtId="0" fontId="16" fillId="0" borderId="21" xfId="6" applyFont="1" applyBorder="1" applyAlignment="1">
      <alignment horizontal="center" vertical="center"/>
    </xf>
    <xf numFmtId="0" fontId="16" fillId="0" borderId="22" xfId="6" applyFont="1" applyBorder="1" applyAlignment="1">
      <alignment horizontal="center" vertical="center"/>
    </xf>
    <xf numFmtId="0" fontId="16" fillId="0" borderId="23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7" fillId="0" borderId="27" xfId="6" applyFont="1" applyBorder="1" applyAlignment="1">
      <alignment vertical="center" wrapText="1"/>
    </xf>
    <xf numFmtId="0" fontId="17" fillId="0" borderId="28" xfId="6" applyFont="1" applyBorder="1" applyAlignment="1">
      <alignment vertical="center" wrapText="1"/>
    </xf>
    <xf numFmtId="0" fontId="17" fillId="0" borderId="16" xfId="6" applyFont="1" applyBorder="1" applyAlignment="1">
      <alignment vertical="center" wrapText="1"/>
    </xf>
    <xf numFmtId="0" fontId="17" fillId="0" borderId="33" xfId="6" applyFont="1" applyBorder="1" applyAlignment="1">
      <alignment vertical="center"/>
    </xf>
    <xf numFmtId="0" fontId="17" fillId="0" borderId="34" xfId="6" applyFont="1" applyBorder="1" applyAlignment="1">
      <alignment vertical="center"/>
    </xf>
    <xf numFmtId="0" fontId="17" fillId="0" borderId="32" xfId="6" quotePrefix="1" applyFont="1" applyBorder="1" applyAlignment="1">
      <alignment horizontal="left" vertical="center" wrapText="1"/>
    </xf>
    <xf numFmtId="0" fontId="17" fillId="0" borderId="33" xfId="6" applyFont="1" applyBorder="1" applyAlignment="1">
      <alignment horizontal="left" vertical="center"/>
    </xf>
    <xf numFmtId="0" fontId="17" fillId="0" borderId="34" xfId="6" applyFont="1" applyBorder="1" applyAlignment="1">
      <alignment horizontal="left" vertical="center"/>
    </xf>
    <xf numFmtId="0" fontId="17" fillId="0" borderId="32" xfId="6" applyFont="1" applyBorder="1" applyAlignment="1">
      <alignment horizontal="left" vertical="center" wrapText="1"/>
    </xf>
    <xf numFmtId="0" fontId="17" fillId="0" borderId="33" xfId="6" applyFont="1" applyBorder="1" applyAlignment="1">
      <alignment horizontal="left" vertical="center" wrapText="1"/>
    </xf>
    <xf numFmtId="0" fontId="17" fillId="0" borderId="34" xfId="6" applyFont="1" applyBorder="1" applyAlignment="1">
      <alignment horizontal="left" vertical="center" wrapText="1"/>
    </xf>
    <xf numFmtId="0" fontId="17" fillId="0" borderId="32" xfId="6" applyFont="1" applyBorder="1" applyAlignment="1">
      <alignment vertical="center" wrapText="1"/>
    </xf>
    <xf numFmtId="0" fontId="17" fillId="0" borderId="33" xfId="6" applyFont="1" applyBorder="1" applyAlignment="1">
      <alignment vertical="center" wrapText="1"/>
    </xf>
    <xf numFmtId="0" fontId="17" fillId="0" borderId="34" xfId="6" applyFont="1" applyBorder="1" applyAlignment="1">
      <alignment vertical="center" wrapText="1"/>
    </xf>
    <xf numFmtId="0" fontId="17" fillId="0" borderId="35" xfId="6" quotePrefix="1" applyFont="1" applyBorder="1" applyAlignment="1">
      <alignment vertical="center" wrapText="1"/>
    </xf>
    <xf numFmtId="0" fontId="17" fillId="0" borderId="36" xfId="6" quotePrefix="1" applyFont="1" applyBorder="1" applyAlignment="1">
      <alignment vertical="center" wrapText="1"/>
    </xf>
    <xf numFmtId="0" fontId="17" fillId="0" borderId="37" xfId="6" quotePrefix="1" applyFont="1" applyBorder="1" applyAlignment="1">
      <alignment vertical="center" wrapText="1"/>
    </xf>
    <xf numFmtId="0" fontId="17" fillId="0" borderId="35" xfId="6" applyFont="1" applyBorder="1" applyAlignment="1">
      <alignment vertical="center"/>
    </xf>
    <xf numFmtId="0" fontId="17" fillId="0" borderId="36" xfId="6" applyFont="1" applyBorder="1" applyAlignment="1">
      <alignment vertical="center"/>
    </xf>
    <xf numFmtId="0" fontId="17" fillId="0" borderId="37" xfId="6" applyFont="1" applyBorder="1" applyAlignment="1">
      <alignment vertical="center"/>
    </xf>
    <xf numFmtId="0" fontId="17" fillId="0" borderId="29" xfId="6" applyFont="1" applyBorder="1" applyAlignment="1">
      <alignment horizontal="left" vertical="center" wrapText="1"/>
    </xf>
    <xf numFmtId="0" fontId="17" fillId="0" borderId="30" xfId="6" applyFont="1" applyBorder="1" applyAlignment="1">
      <alignment horizontal="left" vertical="center" wrapText="1"/>
    </xf>
    <xf numFmtId="0" fontId="17" fillId="0" borderId="31" xfId="6" applyFont="1" applyBorder="1" applyAlignment="1">
      <alignment horizontal="left" vertical="center" wrapText="1"/>
    </xf>
    <xf numFmtId="0" fontId="17" fillId="0" borderId="29" xfId="6" applyFont="1" applyBorder="1" applyAlignment="1">
      <alignment vertical="center" wrapText="1"/>
    </xf>
    <xf numFmtId="0" fontId="17" fillId="0" borderId="30" xfId="6" applyFont="1" applyBorder="1" applyAlignment="1">
      <alignment vertical="center"/>
    </xf>
    <xf numFmtId="0" fontId="17" fillId="0" borderId="31" xfId="6" applyFont="1" applyBorder="1" applyAlignment="1">
      <alignment vertical="center"/>
    </xf>
    <xf numFmtId="0" fontId="17" fillId="0" borderId="32" xfId="6" applyFont="1" applyBorder="1" applyAlignment="1">
      <alignment vertical="center"/>
    </xf>
    <xf numFmtId="0" fontId="17" fillId="8" borderId="35" xfId="6" quotePrefix="1" applyFont="1" applyFill="1" applyBorder="1" applyAlignment="1">
      <alignment vertical="center"/>
    </xf>
    <xf numFmtId="0" fontId="17" fillId="8" borderId="36" xfId="6" quotePrefix="1" applyFont="1" applyFill="1" applyBorder="1" applyAlignment="1">
      <alignment vertical="center"/>
    </xf>
    <xf numFmtId="0" fontId="17" fillId="8" borderId="37" xfId="6" quotePrefix="1" applyFont="1" applyFill="1" applyBorder="1" applyAlignment="1">
      <alignment vertical="center"/>
    </xf>
    <xf numFmtId="0" fontId="17" fillId="0" borderId="29" xfId="6" applyFont="1" applyBorder="1" applyAlignment="1">
      <alignment vertical="center"/>
    </xf>
    <xf numFmtId="0" fontId="7" fillId="0" borderId="32" xfId="6" applyFont="1" applyBorder="1" applyAlignment="1">
      <alignment horizontal="left"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168088</xdr:colOff>
      <xdr:row>55</xdr:row>
      <xdr:rowOff>11206</xdr:rowOff>
    </xdr:from>
    <xdr:to>
      <xdr:col>53</xdr:col>
      <xdr:colOff>100853</xdr:colOff>
      <xdr:row>83</xdr:row>
      <xdr:rowOff>75125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71550" y="11763375"/>
          <a:ext cx="13268325" cy="546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52</xdr:col>
      <xdr:colOff>212911</xdr:colOff>
      <xdr:row>37</xdr:row>
      <xdr:rowOff>70129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638300"/>
          <a:ext cx="13544550" cy="559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38098</xdr:colOff>
      <xdr:row>11</xdr:row>
      <xdr:rowOff>117278</xdr:rowOff>
    </xdr:from>
    <xdr:to>
      <xdr:col>7</xdr:col>
      <xdr:colOff>55636</xdr:colOff>
      <xdr:row>12</xdr:row>
      <xdr:rowOff>150896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638300" y="23241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12</xdr:col>
      <xdr:colOff>159536</xdr:colOff>
      <xdr:row>11</xdr:row>
      <xdr:rowOff>109507</xdr:rowOff>
    </xdr:from>
    <xdr:to>
      <xdr:col>13</xdr:col>
      <xdr:colOff>180129</xdr:colOff>
      <xdr:row>12</xdr:row>
      <xdr:rowOff>140585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362325" y="231457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27</xdr:col>
      <xdr:colOff>208430</xdr:colOff>
      <xdr:row>11</xdr:row>
      <xdr:rowOff>108314</xdr:rowOff>
    </xdr:from>
    <xdr:to>
      <xdr:col>28</xdr:col>
      <xdr:colOff>225968</xdr:colOff>
      <xdr:row>12</xdr:row>
      <xdr:rowOff>141932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7410450" y="231457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37</xdr:col>
      <xdr:colOff>125506</xdr:colOff>
      <xdr:row>11</xdr:row>
      <xdr:rowOff>115035</xdr:rowOff>
    </xdr:from>
    <xdr:to>
      <xdr:col>38</xdr:col>
      <xdr:colOff>143045</xdr:colOff>
      <xdr:row>12</xdr:row>
      <xdr:rowOff>148653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9991725" y="23241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47</xdr:col>
      <xdr:colOff>154642</xdr:colOff>
      <xdr:row>11</xdr:row>
      <xdr:rowOff>110556</xdr:rowOff>
    </xdr:from>
    <xdr:to>
      <xdr:col>48</xdr:col>
      <xdr:colOff>172181</xdr:colOff>
      <xdr:row>12</xdr:row>
      <xdr:rowOff>144174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687300" y="232410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42</xdr:col>
      <xdr:colOff>116543</xdr:colOff>
      <xdr:row>7</xdr:row>
      <xdr:rowOff>117280</xdr:rowOff>
    </xdr:from>
    <xdr:to>
      <xdr:col>43</xdr:col>
      <xdr:colOff>134081</xdr:colOff>
      <xdr:row>8</xdr:row>
      <xdr:rowOff>150898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1315700" y="15621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10</xdr:col>
      <xdr:colOff>99001</xdr:colOff>
      <xdr:row>8</xdr:row>
      <xdr:rowOff>139690</xdr:rowOff>
    </xdr:from>
    <xdr:to>
      <xdr:col>11</xdr:col>
      <xdr:colOff>116539</xdr:colOff>
      <xdr:row>9</xdr:row>
      <xdr:rowOff>173308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762250" y="17811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21</xdr:col>
      <xdr:colOff>195113</xdr:colOff>
      <xdr:row>67</xdr:row>
      <xdr:rowOff>58270</xdr:rowOff>
    </xdr:from>
    <xdr:to>
      <xdr:col>22</xdr:col>
      <xdr:colOff>188390</xdr:colOff>
      <xdr:row>68</xdr:row>
      <xdr:rowOff>62752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791200" y="1409700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27</xdr:col>
      <xdr:colOff>224121</xdr:colOff>
      <xdr:row>62</xdr:row>
      <xdr:rowOff>112058</xdr:rowOff>
    </xdr:from>
    <xdr:to>
      <xdr:col>28</xdr:col>
      <xdr:colOff>217398</xdr:colOff>
      <xdr:row>63</xdr:row>
      <xdr:rowOff>116540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7429500" y="132016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25</xdr:col>
      <xdr:colOff>201708</xdr:colOff>
      <xdr:row>64</xdr:row>
      <xdr:rowOff>82923</xdr:rowOff>
    </xdr:from>
    <xdr:to>
      <xdr:col>26</xdr:col>
      <xdr:colOff>194985</xdr:colOff>
      <xdr:row>65</xdr:row>
      <xdr:rowOff>87405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867525" y="135540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25</xdr:col>
      <xdr:colOff>201709</xdr:colOff>
      <xdr:row>67</xdr:row>
      <xdr:rowOff>56029</xdr:rowOff>
    </xdr:from>
    <xdr:to>
      <xdr:col>26</xdr:col>
      <xdr:colOff>194986</xdr:colOff>
      <xdr:row>68</xdr:row>
      <xdr:rowOff>60511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6867525" y="140970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33</xdr:col>
      <xdr:colOff>44828</xdr:colOff>
      <xdr:row>62</xdr:row>
      <xdr:rowOff>127746</xdr:rowOff>
    </xdr:from>
    <xdr:to>
      <xdr:col>34</xdr:col>
      <xdr:colOff>38105</xdr:colOff>
      <xdr:row>63</xdr:row>
      <xdr:rowOff>132228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8848725" y="132111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30</xdr:col>
      <xdr:colOff>172572</xdr:colOff>
      <xdr:row>64</xdr:row>
      <xdr:rowOff>71717</xdr:rowOff>
    </xdr:from>
    <xdr:to>
      <xdr:col>31</xdr:col>
      <xdr:colOff>165850</xdr:colOff>
      <xdr:row>65</xdr:row>
      <xdr:rowOff>76199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8172450" y="135445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30</xdr:col>
      <xdr:colOff>179296</xdr:colOff>
      <xdr:row>67</xdr:row>
      <xdr:rowOff>67236</xdr:rowOff>
    </xdr:from>
    <xdr:to>
      <xdr:col>31</xdr:col>
      <xdr:colOff>172574</xdr:colOff>
      <xdr:row>68</xdr:row>
      <xdr:rowOff>71718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8181975" y="141065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35</xdr:col>
      <xdr:colOff>112061</xdr:colOff>
      <xdr:row>62</xdr:row>
      <xdr:rowOff>138952</xdr:rowOff>
    </xdr:from>
    <xdr:to>
      <xdr:col>36</xdr:col>
      <xdr:colOff>105339</xdr:colOff>
      <xdr:row>63</xdr:row>
      <xdr:rowOff>143434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9448800" y="132302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34</xdr:col>
      <xdr:colOff>121154</xdr:colOff>
      <xdr:row>64</xdr:row>
      <xdr:rowOff>51549</xdr:rowOff>
    </xdr:from>
    <xdr:to>
      <xdr:col>35</xdr:col>
      <xdr:colOff>114431</xdr:colOff>
      <xdr:row>65</xdr:row>
      <xdr:rowOff>56031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9191625" y="135159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34</xdr:col>
      <xdr:colOff>105466</xdr:colOff>
      <xdr:row>67</xdr:row>
      <xdr:rowOff>69478</xdr:rowOff>
    </xdr:from>
    <xdr:to>
      <xdr:col>35</xdr:col>
      <xdr:colOff>98743</xdr:colOff>
      <xdr:row>68</xdr:row>
      <xdr:rowOff>73960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9172575" y="141065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39</xdr:col>
      <xdr:colOff>157015</xdr:colOff>
      <xdr:row>62</xdr:row>
      <xdr:rowOff>121025</xdr:rowOff>
    </xdr:from>
    <xdr:to>
      <xdr:col>40</xdr:col>
      <xdr:colOff>150293</xdr:colOff>
      <xdr:row>63</xdr:row>
      <xdr:rowOff>125507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10553700" y="132111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38</xdr:col>
      <xdr:colOff>62885</xdr:colOff>
      <xdr:row>64</xdr:row>
      <xdr:rowOff>60514</xdr:rowOff>
    </xdr:from>
    <xdr:to>
      <xdr:col>39</xdr:col>
      <xdr:colOff>56162</xdr:colOff>
      <xdr:row>65</xdr:row>
      <xdr:rowOff>64996</xdr:rowOff>
    </xdr:to>
    <xdr:sp macro="" textlink="" fLocksText="0">
      <xdr:nvSpPr>
        <xdr:cNvPr id="47" name="Rectangl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10201275" y="135255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38</xdr:col>
      <xdr:colOff>47197</xdr:colOff>
      <xdr:row>67</xdr:row>
      <xdr:rowOff>78443</xdr:rowOff>
    </xdr:from>
    <xdr:to>
      <xdr:col>39</xdr:col>
      <xdr:colOff>40474</xdr:colOff>
      <xdr:row>68</xdr:row>
      <xdr:rowOff>82925</xdr:rowOff>
    </xdr:to>
    <xdr:sp macro="" textlink="" fLocksText="0">
      <xdr:nvSpPr>
        <xdr:cNvPr id="48" name="Rectangl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10182225" y="141160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21</xdr:col>
      <xdr:colOff>168089</xdr:colOff>
      <xdr:row>64</xdr:row>
      <xdr:rowOff>56030</xdr:rowOff>
    </xdr:from>
    <xdr:to>
      <xdr:col>22</xdr:col>
      <xdr:colOff>161366</xdr:colOff>
      <xdr:row>65</xdr:row>
      <xdr:rowOff>60512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5772150" y="135255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43</xdr:col>
      <xdr:colOff>233215</xdr:colOff>
      <xdr:row>62</xdr:row>
      <xdr:rowOff>107578</xdr:rowOff>
    </xdr:from>
    <xdr:to>
      <xdr:col>44</xdr:col>
      <xdr:colOff>226493</xdr:colOff>
      <xdr:row>63</xdr:row>
      <xdr:rowOff>112060</xdr:rowOff>
    </xdr:to>
    <xdr:sp macro="" textlink="" fLocksText="0">
      <xdr:nvSpPr>
        <xdr:cNvPr id="50" name="Rectangl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11696700" y="1319212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42</xdr:col>
      <xdr:colOff>94262</xdr:colOff>
      <xdr:row>64</xdr:row>
      <xdr:rowOff>69478</xdr:rowOff>
    </xdr:from>
    <xdr:to>
      <xdr:col>43</xdr:col>
      <xdr:colOff>87539</xdr:colOff>
      <xdr:row>65</xdr:row>
      <xdr:rowOff>73960</xdr:rowOff>
    </xdr:to>
    <xdr:sp macro="" textlink="" fLocksText="0">
      <xdr:nvSpPr>
        <xdr:cNvPr id="51" name="Rectangl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11296650" y="135350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42</xdr:col>
      <xdr:colOff>67366</xdr:colOff>
      <xdr:row>67</xdr:row>
      <xdr:rowOff>44823</xdr:rowOff>
    </xdr:from>
    <xdr:to>
      <xdr:col>43</xdr:col>
      <xdr:colOff>67234</xdr:colOff>
      <xdr:row>68</xdr:row>
      <xdr:rowOff>69478</xdr:rowOff>
    </xdr:to>
    <xdr:sp macro="" textlink="" fLocksText="0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11268075" y="14087475"/>
          <a:ext cx="26670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47</xdr:col>
      <xdr:colOff>197355</xdr:colOff>
      <xdr:row>64</xdr:row>
      <xdr:rowOff>49309</xdr:rowOff>
    </xdr:from>
    <xdr:to>
      <xdr:col>48</xdr:col>
      <xdr:colOff>190633</xdr:colOff>
      <xdr:row>65</xdr:row>
      <xdr:rowOff>53791</xdr:rowOff>
    </xdr:to>
    <xdr:sp macro="" textlink="" fLocksText="0">
      <xdr:nvSpPr>
        <xdr:cNvPr id="53" name="Rectangl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12734925" y="135159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6</xdr:col>
      <xdr:colOff>190500</xdr:colOff>
      <xdr:row>62</xdr:row>
      <xdr:rowOff>150157</xdr:rowOff>
    </xdr:from>
    <xdr:to>
      <xdr:col>7</xdr:col>
      <xdr:colOff>208038</xdr:colOff>
      <xdr:row>63</xdr:row>
      <xdr:rowOff>183775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790700" y="1323975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6</xdr:col>
      <xdr:colOff>186015</xdr:colOff>
      <xdr:row>64</xdr:row>
      <xdr:rowOff>89648</xdr:rowOff>
    </xdr:from>
    <xdr:to>
      <xdr:col>7</xdr:col>
      <xdr:colOff>179292</xdr:colOff>
      <xdr:row>65</xdr:row>
      <xdr:rowOff>94130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790700" y="135540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6</xdr:col>
      <xdr:colOff>203944</xdr:colOff>
      <xdr:row>67</xdr:row>
      <xdr:rowOff>62752</xdr:rowOff>
    </xdr:from>
    <xdr:to>
      <xdr:col>7</xdr:col>
      <xdr:colOff>197221</xdr:colOff>
      <xdr:row>68</xdr:row>
      <xdr:rowOff>67234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800225" y="141065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19</xdr:col>
      <xdr:colOff>76329</xdr:colOff>
      <xdr:row>62</xdr:row>
      <xdr:rowOff>133730</xdr:rowOff>
    </xdr:from>
    <xdr:to>
      <xdr:col>20</xdr:col>
      <xdr:colOff>69606</xdr:colOff>
      <xdr:row>63</xdr:row>
      <xdr:rowOff>138212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5143500" y="132207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16</xdr:col>
      <xdr:colOff>206318</xdr:colOff>
      <xdr:row>64</xdr:row>
      <xdr:rowOff>50808</xdr:rowOff>
    </xdr:from>
    <xdr:to>
      <xdr:col>17</xdr:col>
      <xdr:colOff>199595</xdr:colOff>
      <xdr:row>65</xdr:row>
      <xdr:rowOff>55290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476750" y="135159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17</xdr:col>
      <xdr:colOff>53785</xdr:colOff>
      <xdr:row>67</xdr:row>
      <xdr:rowOff>69476</xdr:rowOff>
    </xdr:from>
    <xdr:to>
      <xdr:col>18</xdr:col>
      <xdr:colOff>47062</xdr:colOff>
      <xdr:row>68</xdr:row>
      <xdr:rowOff>73958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4591050" y="141065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23</xdr:col>
      <xdr:colOff>186019</xdr:colOff>
      <xdr:row>62</xdr:row>
      <xdr:rowOff>111320</xdr:rowOff>
    </xdr:from>
    <xdr:to>
      <xdr:col>24</xdr:col>
      <xdr:colOff>179296</xdr:colOff>
      <xdr:row>63</xdr:row>
      <xdr:rowOff>115802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6324600" y="132016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284</xdr:row>
      <xdr:rowOff>0</xdr:rowOff>
    </xdr:from>
    <xdr:to>
      <xdr:col>55</xdr:col>
      <xdr:colOff>190500</xdr:colOff>
      <xdr:row>313</xdr:row>
      <xdr:rowOff>114133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68208525"/>
          <a:ext cx="14325600" cy="591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55</xdr:col>
      <xdr:colOff>156882</xdr:colOff>
      <xdr:row>251</xdr:row>
      <xdr:rowOff>110159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54644925"/>
          <a:ext cx="14287500" cy="5915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55</xdr:col>
      <xdr:colOff>112059</xdr:colOff>
      <xdr:row>187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39585900"/>
          <a:ext cx="14249400" cy="580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1</xdr:rowOff>
    </xdr:from>
    <xdr:to>
      <xdr:col>59</xdr:col>
      <xdr:colOff>106829</xdr:colOff>
      <xdr:row>40</xdr:row>
      <xdr:rowOff>134472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638300"/>
          <a:ext cx="15306675" cy="62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38098</xdr:colOff>
      <xdr:row>13</xdr:row>
      <xdr:rowOff>5219</xdr:rowOff>
    </xdr:from>
    <xdr:to>
      <xdr:col>8</xdr:col>
      <xdr:colOff>55637</xdr:colOff>
      <xdr:row>14</xdr:row>
      <xdr:rowOff>38837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905000" y="26003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12</xdr:col>
      <xdr:colOff>36270</xdr:colOff>
      <xdr:row>12</xdr:row>
      <xdr:rowOff>176743</xdr:rowOff>
    </xdr:from>
    <xdr:to>
      <xdr:col>13</xdr:col>
      <xdr:colOff>56863</xdr:colOff>
      <xdr:row>14</xdr:row>
      <xdr:rowOff>17321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238500" y="25812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29</xdr:col>
      <xdr:colOff>197226</xdr:colOff>
      <xdr:row>12</xdr:row>
      <xdr:rowOff>175549</xdr:rowOff>
    </xdr:from>
    <xdr:to>
      <xdr:col>30</xdr:col>
      <xdr:colOff>214764</xdr:colOff>
      <xdr:row>14</xdr:row>
      <xdr:rowOff>18667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7934325" y="25717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34</xdr:col>
      <xdr:colOff>91889</xdr:colOff>
      <xdr:row>14</xdr:row>
      <xdr:rowOff>182270</xdr:rowOff>
    </xdr:from>
    <xdr:to>
      <xdr:col>36</xdr:col>
      <xdr:colOff>33617</xdr:colOff>
      <xdr:row>16</xdr:row>
      <xdr:rowOff>22412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9163050" y="2962275"/>
          <a:ext cx="4762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4.2</a:t>
          </a:r>
        </a:p>
      </xdr:txBody>
    </xdr:sp>
    <xdr:clientData/>
  </xdr:twoCellAnchor>
  <xdr:twoCellAnchor>
    <xdr:from>
      <xdr:col>42</xdr:col>
      <xdr:colOff>121025</xdr:colOff>
      <xdr:row>12</xdr:row>
      <xdr:rowOff>166585</xdr:rowOff>
    </xdr:from>
    <xdr:to>
      <xdr:col>43</xdr:col>
      <xdr:colOff>138563</xdr:colOff>
      <xdr:row>14</xdr:row>
      <xdr:rowOff>9703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1325225" y="256222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49</xdr:col>
      <xdr:colOff>228602</xdr:colOff>
      <xdr:row>12</xdr:row>
      <xdr:rowOff>184515</xdr:rowOff>
    </xdr:from>
    <xdr:to>
      <xdr:col>51</xdr:col>
      <xdr:colOff>10817</xdr:colOff>
      <xdr:row>14</xdr:row>
      <xdr:rowOff>27633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3296900" y="2581275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57</xdr:col>
      <xdr:colOff>15690</xdr:colOff>
      <xdr:row>12</xdr:row>
      <xdr:rowOff>139691</xdr:rowOff>
    </xdr:from>
    <xdr:to>
      <xdr:col>58</xdr:col>
      <xdr:colOff>33228</xdr:colOff>
      <xdr:row>13</xdr:row>
      <xdr:rowOff>173309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5220950" y="2543175"/>
          <a:ext cx="2762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4</xdr:col>
      <xdr:colOff>235322</xdr:colOff>
      <xdr:row>14</xdr:row>
      <xdr:rowOff>135210</xdr:rowOff>
    </xdr:from>
    <xdr:to>
      <xdr:col>5</xdr:col>
      <xdr:colOff>228599</xdr:colOff>
      <xdr:row>15</xdr:row>
      <xdr:rowOff>139692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304925" y="29146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7</xdr:col>
      <xdr:colOff>208427</xdr:colOff>
      <xdr:row>20</xdr:row>
      <xdr:rowOff>52285</xdr:rowOff>
    </xdr:from>
    <xdr:to>
      <xdr:col>8</xdr:col>
      <xdr:colOff>201705</xdr:colOff>
      <xdr:row>21</xdr:row>
      <xdr:rowOff>56767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2076450" y="39719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16</xdr:col>
      <xdr:colOff>132618</xdr:colOff>
      <xdr:row>9</xdr:row>
      <xdr:rowOff>5219</xdr:rowOff>
    </xdr:from>
    <xdr:to>
      <xdr:col>17</xdr:col>
      <xdr:colOff>150156</xdr:colOff>
      <xdr:row>10</xdr:row>
      <xdr:rowOff>38837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4400550" y="18383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17</xdr:col>
      <xdr:colOff>204075</xdr:colOff>
      <xdr:row>22</xdr:row>
      <xdr:rowOff>22411</xdr:rowOff>
    </xdr:from>
    <xdr:to>
      <xdr:col>18</xdr:col>
      <xdr:colOff>197352</xdr:colOff>
      <xdr:row>23</xdr:row>
      <xdr:rowOff>26893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4733925" y="432435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32</xdr:col>
      <xdr:colOff>87535</xdr:colOff>
      <xdr:row>21</xdr:row>
      <xdr:rowOff>186018</xdr:rowOff>
    </xdr:from>
    <xdr:to>
      <xdr:col>33</xdr:col>
      <xdr:colOff>80813</xdr:colOff>
      <xdr:row>23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8620125" y="43053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10</xdr:col>
      <xdr:colOff>112059</xdr:colOff>
      <xdr:row>23</xdr:row>
      <xdr:rowOff>87406</xdr:rowOff>
    </xdr:from>
    <xdr:to>
      <xdr:col>11</xdr:col>
      <xdr:colOff>212911</xdr:colOff>
      <xdr:row>24</xdr:row>
      <xdr:rowOff>134469</xdr:rowOff>
    </xdr:to>
    <xdr:sp macro="" textlink="" fLocksText="0">
      <xdr:nvSpPr>
        <xdr:cNvPr id="48" name="Rectangl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2781300" y="4581525"/>
          <a:ext cx="3619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15.1</a:t>
          </a:r>
        </a:p>
      </xdr:txBody>
    </xdr:sp>
    <xdr:clientData/>
  </xdr:twoCellAnchor>
  <xdr:twoCellAnchor>
    <xdr:from>
      <xdr:col>21</xdr:col>
      <xdr:colOff>219507</xdr:colOff>
      <xdr:row>23</xdr:row>
      <xdr:rowOff>107576</xdr:rowOff>
    </xdr:from>
    <xdr:to>
      <xdr:col>23</xdr:col>
      <xdr:colOff>67236</xdr:colOff>
      <xdr:row>24</xdr:row>
      <xdr:rowOff>145676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5819775" y="4600575"/>
          <a:ext cx="3810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15.2</a:t>
          </a:r>
        </a:p>
      </xdr:txBody>
    </xdr:sp>
    <xdr:clientData/>
  </xdr:twoCellAnchor>
  <xdr:twoCellAnchor>
    <xdr:from>
      <xdr:col>6</xdr:col>
      <xdr:colOff>73831</xdr:colOff>
      <xdr:row>29</xdr:row>
      <xdr:rowOff>96371</xdr:rowOff>
    </xdr:from>
    <xdr:to>
      <xdr:col>7</xdr:col>
      <xdr:colOff>67108</xdr:colOff>
      <xdr:row>30</xdr:row>
      <xdr:rowOff>100853</xdr:rowOff>
    </xdr:to>
    <xdr:sp macro="" textlink="" fLocksText="0">
      <xdr:nvSpPr>
        <xdr:cNvPr id="51" name="Rectangle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1676400" y="57340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18</xdr:col>
      <xdr:colOff>107447</xdr:colOff>
      <xdr:row>31</xdr:row>
      <xdr:rowOff>78441</xdr:rowOff>
    </xdr:from>
    <xdr:to>
      <xdr:col>19</xdr:col>
      <xdr:colOff>100725</xdr:colOff>
      <xdr:row>32</xdr:row>
      <xdr:rowOff>82923</xdr:rowOff>
    </xdr:to>
    <xdr:sp macro="" textlink="" fLocksText="0">
      <xdr:nvSpPr>
        <xdr:cNvPr id="52" name="Rectangle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4905375" y="609600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27</xdr:col>
      <xdr:colOff>212784</xdr:colOff>
      <xdr:row>31</xdr:row>
      <xdr:rowOff>67235</xdr:rowOff>
    </xdr:from>
    <xdr:to>
      <xdr:col>28</xdr:col>
      <xdr:colOff>206061</xdr:colOff>
      <xdr:row>32</xdr:row>
      <xdr:rowOff>71717</xdr:rowOff>
    </xdr:to>
    <xdr:sp macro="" textlink="" fLocksText="0">
      <xdr:nvSpPr>
        <xdr:cNvPr id="53" name="Rectangle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7410450" y="608647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36</xdr:col>
      <xdr:colOff>6595</xdr:colOff>
      <xdr:row>31</xdr:row>
      <xdr:rowOff>85165</xdr:rowOff>
    </xdr:from>
    <xdr:to>
      <xdr:col>36</xdr:col>
      <xdr:colOff>235196</xdr:colOff>
      <xdr:row>32</xdr:row>
      <xdr:rowOff>89647</xdr:rowOff>
    </xdr:to>
    <xdr:sp macro="" textlink="" fLocksText="0">
      <xdr:nvSpPr>
        <xdr:cNvPr id="54" name="Rectangle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9610725" y="6105525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42</xdr:col>
      <xdr:colOff>40212</xdr:colOff>
      <xdr:row>31</xdr:row>
      <xdr:rowOff>78441</xdr:rowOff>
    </xdr:from>
    <xdr:to>
      <xdr:col>43</xdr:col>
      <xdr:colOff>33489</xdr:colOff>
      <xdr:row>32</xdr:row>
      <xdr:rowOff>82923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11239500" y="609600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54</xdr:col>
      <xdr:colOff>161366</xdr:colOff>
      <xdr:row>31</xdr:row>
      <xdr:rowOff>103099</xdr:rowOff>
    </xdr:from>
    <xdr:to>
      <xdr:col>55</xdr:col>
      <xdr:colOff>154644</xdr:colOff>
      <xdr:row>32</xdr:row>
      <xdr:rowOff>107581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14563725" y="61245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44</xdr:col>
      <xdr:colOff>27024</xdr:colOff>
      <xdr:row>22</xdr:row>
      <xdr:rowOff>2241</xdr:rowOff>
    </xdr:from>
    <xdr:to>
      <xdr:col>45</xdr:col>
      <xdr:colOff>20301</xdr:colOff>
      <xdr:row>23</xdr:row>
      <xdr:rowOff>6723</xdr:rowOff>
    </xdr:to>
    <xdr:sp macro="" textlink="" fLocksText="0">
      <xdr:nvSpPr>
        <xdr:cNvPr id="58" name="Rectangle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11763375" y="43053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55</xdr:col>
      <xdr:colOff>201706</xdr:colOff>
      <xdr:row>22</xdr:row>
      <xdr:rowOff>11204</xdr:rowOff>
    </xdr:from>
    <xdr:to>
      <xdr:col>56</xdr:col>
      <xdr:colOff>194983</xdr:colOff>
      <xdr:row>23</xdr:row>
      <xdr:rowOff>15686</xdr:rowOff>
    </xdr:to>
    <xdr:sp macro="" textlink="" fLocksText="0">
      <xdr:nvSpPr>
        <xdr:cNvPr id="59" name="Rectangle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14868525" y="43148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10</xdr:col>
      <xdr:colOff>186018</xdr:colOff>
      <xdr:row>25</xdr:row>
      <xdr:rowOff>15689</xdr:rowOff>
    </xdr:from>
    <xdr:to>
      <xdr:col>12</xdr:col>
      <xdr:colOff>51547</xdr:colOff>
      <xdr:row>26</xdr:row>
      <xdr:rowOff>62752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857500" y="4895850"/>
          <a:ext cx="39052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10</xdr:col>
      <xdr:colOff>2243</xdr:colOff>
      <xdr:row>26</xdr:row>
      <xdr:rowOff>100854</xdr:rowOff>
    </xdr:from>
    <xdr:to>
      <xdr:col>11</xdr:col>
      <xdr:colOff>103095</xdr:colOff>
      <xdr:row>27</xdr:row>
      <xdr:rowOff>147917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2667000" y="5172075"/>
          <a:ext cx="3714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33</xdr:col>
      <xdr:colOff>203818</xdr:colOff>
      <xdr:row>23</xdr:row>
      <xdr:rowOff>80683</xdr:rowOff>
    </xdr:from>
    <xdr:to>
      <xdr:col>35</xdr:col>
      <xdr:colOff>51546</xdr:colOff>
      <xdr:row>24</xdr:row>
      <xdr:rowOff>118783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9001125" y="4572000"/>
          <a:ext cx="3810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15.3</a:t>
          </a:r>
        </a:p>
      </xdr:txBody>
    </xdr:sp>
    <xdr:clientData/>
  </xdr:twoCellAnchor>
  <xdr:twoCellAnchor>
    <xdr:from>
      <xdr:col>43</xdr:col>
      <xdr:colOff>188129</xdr:colOff>
      <xdr:row>23</xdr:row>
      <xdr:rowOff>87406</xdr:rowOff>
    </xdr:from>
    <xdr:to>
      <xdr:col>45</xdr:col>
      <xdr:colOff>35858</xdr:colOff>
      <xdr:row>24</xdr:row>
      <xdr:rowOff>125506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1658600" y="4581525"/>
          <a:ext cx="3810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15.4</a:t>
          </a:r>
        </a:p>
      </xdr:txBody>
    </xdr:sp>
    <xdr:clientData/>
  </xdr:twoCellAnchor>
  <xdr:twoCellAnchor>
    <xdr:from>
      <xdr:col>55</xdr:col>
      <xdr:colOff>15559</xdr:colOff>
      <xdr:row>23</xdr:row>
      <xdr:rowOff>105335</xdr:rowOff>
    </xdr:from>
    <xdr:to>
      <xdr:col>56</xdr:col>
      <xdr:colOff>98611</xdr:colOff>
      <xdr:row>24</xdr:row>
      <xdr:rowOff>143435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4687550" y="4600575"/>
          <a:ext cx="3429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15.5</a:t>
          </a:r>
        </a:p>
      </xdr:txBody>
    </xdr:sp>
    <xdr:clientData/>
  </xdr:twoCellAnchor>
  <xdr:twoCellAnchor>
    <xdr:from>
      <xdr:col>57</xdr:col>
      <xdr:colOff>123265</xdr:colOff>
      <xdr:row>29</xdr:row>
      <xdr:rowOff>156884</xdr:rowOff>
    </xdr:from>
    <xdr:to>
      <xdr:col>58</xdr:col>
      <xdr:colOff>116542</xdr:colOff>
      <xdr:row>30</xdr:row>
      <xdr:rowOff>161366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5325725" y="57912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9</xdr:col>
      <xdr:colOff>33617</xdr:colOff>
      <xdr:row>32</xdr:row>
      <xdr:rowOff>168088</xdr:rowOff>
    </xdr:from>
    <xdr:to>
      <xdr:col>10</xdr:col>
      <xdr:colOff>145677</xdr:colOff>
      <xdr:row>33</xdr:row>
      <xdr:rowOff>190499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2438400" y="6381750"/>
          <a:ext cx="3714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24.1</a:t>
          </a:r>
        </a:p>
      </xdr:txBody>
    </xdr:sp>
    <xdr:clientData/>
  </xdr:twoCellAnchor>
  <xdr:twoCellAnchor>
    <xdr:from>
      <xdr:col>8</xdr:col>
      <xdr:colOff>230841</xdr:colOff>
      <xdr:row>34</xdr:row>
      <xdr:rowOff>73960</xdr:rowOff>
    </xdr:from>
    <xdr:to>
      <xdr:col>9</xdr:col>
      <xdr:colOff>224118</xdr:colOff>
      <xdr:row>35</xdr:row>
      <xdr:rowOff>67236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2362200" y="66770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9</xdr:col>
      <xdr:colOff>24652</xdr:colOff>
      <xdr:row>35</xdr:row>
      <xdr:rowOff>181536</xdr:rowOff>
    </xdr:from>
    <xdr:to>
      <xdr:col>10</xdr:col>
      <xdr:colOff>17930</xdr:colOff>
      <xdr:row>36</xdr:row>
      <xdr:rowOff>174813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2428875" y="69818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8</xdr:col>
      <xdr:colOff>221876</xdr:colOff>
      <xdr:row>37</xdr:row>
      <xdr:rowOff>76202</xdr:rowOff>
    </xdr:from>
    <xdr:to>
      <xdr:col>9</xdr:col>
      <xdr:colOff>215153</xdr:colOff>
      <xdr:row>38</xdr:row>
      <xdr:rowOff>69478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2352675" y="727710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17</xdr:col>
      <xdr:colOff>112059</xdr:colOff>
      <xdr:row>32</xdr:row>
      <xdr:rowOff>179295</xdr:rowOff>
    </xdr:from>
    <xdr:to>
      <xdr:col>18</xdr:col>
      <xdr:colOff>195111</xdr:colOff>
      <xdr:row>34</xdr:row>
      <xdr:rowOff>15689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4648200" y="6391275"/>
          <a:ext cx="3429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24.2</a:t>
          </a:r>
        </a:p>
      </xdr:txBody>
    </xdr:sp>
    <xdr:clientData/>
  </xdr:twoCellAnchor>
  <xdr:twoCellAnchor>
    <xdr:from>
      <xdr:col>27</xdr:col>
      <xdr:colOff>186018</xdr:colOff>
      <xdr:row>32</xdr:row>
      <xdr:rowOff>141195</xdr:rowOff>
    </xdr:from>
    <xdr:to>
      <xdr:col>29</xdr:col>
      <xdr:colOff>33747</xdr:colOff>
      <xdr:row>33</xdr:row>
      <xdr:rowOff>179295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7391400" y="6353175"/>
          <a:ext cx="3810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24.3</a:t>
          </a:r>
        </a:p>
      </xdr:txBody>
    </xdr:sp>
    <xdr:clientData/>
  </xdr:twoCellAnchor>
  <xdr:twoCellAnchor>
    <xdr:from>
      <xdr:col>37</xdr:col>
      <xdr:colOff>35859</xdr:colOff>
      <xdr:row>32</xdr:row>
      <xdr:rowOff>181537</xdr:rowOff>
    </xdr:from>
    <xdr:to>
      <xdr:col>38</xdr:col>
      <xdr:colOff>118912</xdr:colOff>
      <xdr:row>34</xdr:row>
      <xdr:rowOff>17931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9906000" y="6391275"/>
          <a:ext cx="3429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24.4</a:t>
          </a:r>
        </a:p>
      </xdr:txBody>
    </xdr:sp>
    <xdr:clientData/>
  </xdr:twoCellAnchor>
  <xdr:twoCellAnchor>
    <xdr:from>
      <xdr:col>45</xdr:col>
      <xdr:colOff>165847</xdr:colOff>
      <xdr:row>32</xdr:row>
      <xdr:rowOff>165849</xdr:rowOff>
    </xdr:from>
    <xdr:to>
      <xdr:col>47</xdr:col>
      <xdr:colOff>13576</xdr:colOff>
      <xdr:row>34</xdr:row>
      <xdr:rowOff>2243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12163425" y="6372225"/>
          <a:ext cx="3810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24.5</a:t>
          </a:r>
        </a:p>
      </xdr:txBody>
    </xdr:sp>
    <xdr:clientData/>
  </xdr:twoCellAnchor>
  <xdr:twoCellAnchor>
    <xdr:from>
      <xdr:col>54</xdr:col>
      <xdr:colOff>127747</xdr:colOff>
      <xdr:row>32</xdr:row>
      <xdr:rowOff>161367</xdr:rowOff>
    </xdr:from>
    <xdr:to>
      <xdr:col>55</xdr:col>
      <xdr:colOff>210800</xdr:colOff>
      <xdr:row>33</xdr:row>
      <xdr:rowOff>199467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14525625" y="6372225"/>
          <a:ext cx="3524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24.6</a:t>
          </a:r>
        </a:p>
      </xdr:txBody>
    </xdr:sp>
    <xdr:clientData/>
  </xdr:twoCellAnchor>
  <xdr:twoCellAnchor>
    <xdr:from>
      <xdr:col>34</xdr:col>
      <xdr:colOff>76201</xdr:colOff>
      <xdr:row>12</xdr:row>
      <xdr:rowOff>177787</xdr:rowOff>
    </xdr:from>
    <xdr:to>
      <xdr:col>36</xdr:col>
      <xdr:colOff>33618</xdr:colOff>
      <xdr:row>14</xdr:row>
      <xdr:rowOff>22412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9144000" y="2581275"/>
          <a:ext cx="4953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4.1</a:t>
          </a:r>
        </a:p>
      </xdr:txBody>
    </xdr:sp>
    <xdr:clientData/>
  </xdr:twoCellAnchor>
  <xdr:twoCellAnchor editAs="oneCell">
    <xdr:from>
      <xdr:col>3</xdr:col>
      <xdr:colOff>0</xdr:colOff>
      <xdr:row>92</xdr:row>
      <xdr:rowOff>201705</xdr:rowOff>
    </xdr:from>
    <xdr:to>
      <xdr:col>59</xdr:col>
      <xdr:colOff>44823</xdr:colOff>
      <xdr:row>123</xdr:row>
      <xdr:rowOff>103962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0100" y="24850725"/>
          <a:ext cx="14982825" cy="610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11206</xdr:colOff>
      <xdr:row>100</xdr:row>
      <xdr:rowOff>156881</xdr:rowOff>
    </xdr:from>
    <xdr:to>
      <xdr:col>11</xdr:col>
      <xdr:colOff>4483</xdr:colOff>
      <xdr:row>101</xdr:row>
      <xdr:rowOff>150157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2676525" y="264033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5</xdr:col>
      <xdr:colOff>212911</xdr:colOff>
      <xdr:row>104</xdr:row>
      <xdr:rowOff>22411</xdr:rowOff>
    </xdr:from>
    <xdr:to>
      <xdr:col>6</xdr:col>
      <xdr:colOff>206189</xdr:colOff>
      <xdr:row>105</xdr:row>
      <xdr:rowOff>15687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543050" y="2707005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22</xdr:col>
      <xdr:colOff>174812</xdr:colOff>
      <xdr:row>105</xdr:row>
      <xdr:rowOff>152400</xdr:rowOff>
    </xdr:from>
    <xdr:to>
      <xdr:col>23</xdr:col>
      <xdr:colOff>168090</xdr:colOff>
      <xdr:row>106</xdr:row>
      <xdr:rowOff>145677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6038850" y="274034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48</xdr:col>
      <xdr:colOff>181536</xdr:colOff>
      <xdr:row>105</xdr:row>
      <xdr:rowOff>136711</xdr:rowOff>
    </xdr:from>
    <xdr:to>
      <xdr:col>49</xdr:col>
      <xdr:colOff>174813</xdr:colOff>
      <xdr:row>106</xdr:row>
      <xdr:rowOff>129988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2982575" y="273843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34</a:t>
          </a:r>
        </a:p>
      </xdr:txBody>
    </xdr:sp>
    <xdr:clientData/>
  </xdr:twoCellAnchor>
  <xdr:twoCellAnchor>
    <xdr:from>
      <xdr:col>30</xdr:col>
      <xdr:colOff>221876</xdr:colOff>
      <xdr:row>105</xdr:row>
      <xdr:rowOff>188259</xdr:rowOff>
    </xdr:from>
    <xdr:to>
      <xdr:col>31</xdr:col>
      <xdr:colOff>215154</xdr:colOff>
      <xdr:row>106</xdr:row>
      <xdr:rowOff>181536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8220075" y="274415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39</xdr:col>
      <xdr:colOff>228600</xdr:colOff>
      <xdr:row>105</xdr:row>
      <xdr:rowOff>183778</xdr:rowOff>
    </xdr:from>
    <xdr:to>
      <xdr:col>40</xdr:col>
      <xdr:colOff>221878</xdr:colOff>
      <xdr:row>106</xdr:row>
      <xdr:rowOff>177055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0629900" y="274320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33</a:t>
          </a:r>
        </a:p>
      </xdr:txBody>
    </xdr:sp>
    <xdr:clientData/>
  </xdr:twoCellAnchor>
  <xdr:twoCellAnchor>
    <xdr:from>
      <xdr:col>9</xdr:col>
      <xdr:colOff>179295</xdr:colOff>
      <xdr:row>107</xdr:row>
      <xdr:rowOff>33620</xdr:rowOff>
    </xdr:from>
    <xdr:to>
      <xdr:col>11</xdr:col>
      <xdr:colOff>44823</xdr:colOff>
      <xdr:row>108</xdr:row>
      <xdr:rowOff>56030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2581275" y="27689175"/>
          <a:ext cx="4000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35.1</a:t>
          </a:r>
        </a:p>
      </xdr:txBody>
    </xdr:sp>
    <xdr:clientData/>
  </xdr:twoCellAnchor>
  <xdr:twoCellAnchor>
    <xdr:from>
      <xdr:col>25</xdr:col>
      <xdr:colOff>107578</xdr:colOff>
      <xdr:row>107</xdr:row>
      <xdr:rowOff>62754</xdr:rowOff>
    </xdr:from>
    <xdr:to>
      <xdr:col>26</xdr:col>
      <xdr:colOff>224117</xdr:colOff>
      <xdr:row>108</xdr:row>
      <xdr:rowOff>67235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6772275" y="27717750"/>
          <a:ext cx="39052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35.2</a:t>
          </a:r>
        </a:p>
      </xdr:txBody>
    </xdr:sp>
    <xdr:clientData/>
  </xdr:twoCellAnchor>
  <xdr:twoCellAnchor>
    <xdr:from>
      <xdr:col>34</xdr:col>
      <xdr:colOff>147918</xdr:colOff>
      <xdr:row>107</xdr:row>
      <xdr:rowOff>47066</xdr:rowOff>
    </xdr:from>
    <xdr:to>
      <xdr:col>36</xdr:col>
      <xdr:colOff>29134</xdr:colOff>
      <xdr:row>108</xdr:row>
      <xdr:rowOff>51547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9220200" y="27698700"/>
          <a:ext cx="4095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35.3</a:t>
          </a:r>
        </a:p>
      </xdr:txBody>
    </xdr:sp>
    <xdr:clientData/>
  </xdr:twoCellAnchor>
  <xdr:twoCellAnchor>
    <xdr:from>
      <xdr:col>44</xdr:col>
      <xdr:colOff>143436</xdr:colOff>
      <xdr:row>107</xdr:row>
      <xdr:rowOff>53789</xdr:rowOff>
    </xdr:from>
    <xdr:to>
      <xdr:col>46</xdr:col>
      <xdr:colOff>24652</xdr:colOff>
      <xdr:row>108</xdr:row>
      <xdr:rowOff>58270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11877675" y="27708225"/>
          <a:ext cx="4191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35.4</a:t>
          </a:r>
        </a:p>
      </xdr:txBody>
    </xdr:sp>
    <xdr:clientData/>
  </xdr:twoCellAnchor>
  <xdr:twoCellAnchor>
    <xdr:from>
      <xdr:col>53</xdr:col>
      <xdr:colOff>49306</xdr:colOff>
      <xdr:row>107</xdr:row>
      <xdr:rowOff>60513</xdr:rowOff>
    </xdr:from>
    <xdr:to>
      <xdr:col>54</xdr:col>
      <xdr:colOff>165845</xdr:colOff>
      <xdr:row>108</xdr:row>
      <xdr:rowOff>64994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14182725" y="27708225"/>
          <a:ext cx="38100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35.5</a:t>
          </a:r>
        </a:p>
      </xdr:txBody>
    </xdr:sp>
    <xdr:clientData/>
  </xdr:twoCellAnchor>
  <xdr:twoCellAnchor>
    <xdr:from>
      <xdr:col>6</xdr:col>
      <xdr:colOff>22413</xdr:colOff>
      <xdr:row>114</xdr:row>
      <xdr:rowOff>11207</xdr:rowOff>
    </xdr:from>
    <xdr:to>
      <xdr:col>7</xdr:col>
      <xdr:colOff>15690</xdr:colOff>
      <xdr:row>115</xdr:row>
      <xdr:rowOff>4484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1619250" y="290607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36</a:t>
          </a:r>
        </a:p>
      </xdr:txBody>
    </xdr:sp>
    <xdr:clientData/>
  </xdr:twoCellAnchor>
  <xdr:twoCellAnchor>
    <xdr:from>
      <xdr:col>48</xdr:col>
      <xdr:colOff>107577</xdr:colOff>
      <xdr:row>115</xdr:row>
      <xdr:rowOff>129990</xdr:rowOff>
    </xdr:from>
    <xdr:to>
      <xdr:col>49</xdr:col>
      <xdr:colOff>100854</xdr:colOff>
      <xdr:row>116</xdr:row>
      <xdr:rowOff>123266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2906375" y="293846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40</a:t>
          </a:r>
        </a:p>
      </xdr:txBody>
    </xdr:sp>
    <xdr:clientData/>
  </xdr:twoCellAnchor>
  <xdr:twoCellAnchor>
    <xdr:from>
      <xdr:col>22</xdr:col>
      <xdr:colOff>203947</xdr:colOff>
      <xdr:row>115</xdr:row>
      <xdr:rowOff>114302</xdr:rowOff>
    </xdr:from>
    <xdr:to>
      <xdr:col>23</xdr:col>
      <xdr:colOff>197225</xdr:colOff>
      <xdr:row>116</xdr:row>
      <xdr:rowOff>107578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6067425" y="293655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37</a:t>
          </a:r>
        </a:p>
      </xdr:txBody>
    </xdr:sp>
    <xdr:clientData/>
  </xdr:twoCellAnchor>
  <xdr:twoCellAnchor>
    <xdr:from>
      <xdr:col>31</xdr:col>
      <xdr:colOff>98612</xdr:colOff>
      <xdr:row>115</xdr:row>
      <xdr:rowOff>132231</xdr:rowOff>
    </xdr:from>
    <xdr:to>
      <xdr:col>32</xdr:col>
      <xdr:colOff>91889</xdr:colOff>
      <xdr:row>116</xdr:row>
      <xdr:rowOff>125507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8362950" y="293846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38</a:t>
          </a:r>
        </a:p>
      </xdr:txBody>
    </xdr:sp>
    <xdr:clientData/>
  </xdr:twoCellAnchor>
  <xdr:twoCellAnchor>
    <xdr:from>
      <xdr:col>39</xdr:col>
      <xdr:colOff>194982</xdr:colOff>
      <xdr:row>115</xdr:row>
      <xdr:rowOff>138955</xdr:rowOff>
    </xdr:from>
    <xdr:to>
      <xdr:col>40</xdr:col>
      <xdr:colOff>188260</xdr:colOff>
      <xdr:row>116</xdr:row>
      <xdr:rowOff>132231</xdr:rowOff>
    </xdr:to>
    <xdr:sp macro="" textlink="" fLocksText="0">
      <xdr:nvSpPr>
        <xdr:cNvPr id="47" name="Rectangle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10591800" y="2939415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39</a:t>
          </a:r>
        </a:p>
      </xdr:txBody>
    </xdr:sp>
    <xdr:clientData/>
  </xdr:twoCellAnchor>
  <xdr:twoCellAnchor>
    <xdr:from>
      <xdr:col>13</xdr:col>
      <xdr:colOff>56029</xdr:colOff>
      <xdr:row>117</xdr:row>
      <xdr:rowOff>22413</xdr:rowOff>
    </xdr:from>
    <xdr:to>
      <xdr:col>14</xdr:col>
      <xdr:colOff>201706</xdr:colOff>
      <xdr:row>118</xdr:row>
      <xdr:rowOff>11206</xdr:rowOff>
    </xdr:to>
    <xdr:sp macro="" textlink="" fLocksText="0">
      <xdr:nvSpPr>
        <xdr:cNvPr id="50" name="Rectangle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3524250" y="29670375"/>
          <a:ext cx="4095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41.1</a:t>
          </a:r>
        </a:p>
      </xdr:txBody>
    </xdr:sp>
    <xdr:clientData/>
  </xdr:twoCellAnchor>
  <xdr:twoCellAnchor>
    <xdr:from>
      <xdr:col>25</xdr:col>
      <xdr:colOff>186017</xdr:colOff>
      <xdr:row>117</xdr:row>
      <xdr:rowOff>17930</xdr:rowOff>
    </xdr:from>
    <xdr:to>
      <xdr:col>27</xdr:col>
      <xdr:colOff>96370</xdr:colOff>
      <xdr:row>118</xdr:row>
      <xdr:rowOff>6723</xdr:rowOff>
    </xdr:to>
    <xdr:sp macro="" textlink="" fLocksText="0">
      <xdr:nvSpPr>
        <xdr:cNvPr id="57" name="Rectangle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6858000" y="29670375"/>
          <a:ext cx="4381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41.2</a:t>
          </a:r>
        </a:p>
      </xdr:txBody>
    </xdr:sp>
    <xdr:clientData/>
  </xdr:twoCellAnchor>
  <xdr:twoCellAnchor>
    <xdr:from>
      <xdr:col>35</xdr:col>
      <xdr:colOff>58269</xdr:colOff>
      <xdr:row>117</xdr:row>
      <xdr:rowOff>24654</xdr:rowOff>
    </xdr:from>
    <xdr:to>
      <xdr:col>36</xdr:col>
      <xdr:colOff>203946</xdr:colOff>
      <xdr:row>118</xdr:row>
      <xdr:rowOff>13447</xdr:rowOff>
    </xdr:to>
    <xdr:sp macro="" textlink="" fLocksText="0">
      <xdr:nvSpPr>
        <xdr:cNvPr id="60" name="Rectangle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9391650" y="29679900"/>
          <a:ext cx="4095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41.3</a:t>
          </a:r>
        </a:p>
      </xdr:txBody>
    </xdr:sp>
    <xdr:clientData/>
  </xdr:twoCellAnchor>
  <xdr:twoCellAnchor>
    <xdr:from>
      <xdr:col>43</xdr:col>
      <xdr:colOff>143434</xdr:colOff>
      <xdr:row>117</xdr:row>
      <xdr:rowOff>31378</xdr:rowOff>
    </xdr:from>
    <xdr:to>
      <xdr:col>45</xdr:col>
      <xdr:colOff>53787</xdr:colOff>
      <xdr:row>118</xdr:row>
      <xdr:rowOff>20171</xdr:rowOff>
    </xdr:to>
    <xdr:sp macro="" textlink="" fLocksText="0">
      <xdr:nvSpPr>
        <xdr:cNvPr id="61" name="Rectangle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11610975" y="29679900"/>
          <a:ext cx="4476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41.4</a:t>
          </a:r>
        </a:p>
      </xdr:txBody>
    </xdr:sp>
    <xdr:clientData/>
  </xdr:twoCellAnchor>
  <xdr:twoCellAnchor>
    <xdr:from>
      <xdr:col>53</xdr:col>
      <xdr:colOff>172569</xdr:colOff>
      <xdr:row>117</xdr:row>
      <xdr:rowOff>26895</xdr:rowOff>
    </xdr:from>
    <xdr:to>
      <xdr:col>55</xdr:col>
      <xdr:colOff>82922</xdr:colOff>
      <xdr:row>118</xdr:row>
      <xdr:rowOff>15688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14306550" y="29679900"/>
          <a:ext cx="4476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41.5</a:t>
          </a:r>
        </a:p>
      </xdr:txBody>
    </xdr:sp>
    <xdr:clientData/>
  </xdr:twoCellAnchor>
  <xdr:twoCellAnchor>
    <xdr:from>
      <xdr:col>13</xdr:col>
      <xdr:colOff>11205</xdr:colOff>
      <xdr:row>165</xdr:row>
      <xdr:rowOff>179293</xdr:rowOff>
    </xdr:from>
    <xdr:to>
      <xdr:col>14</xdr:col>
      <xdr:colOff>4483</xdr:colOff>
      <xdr:row>166</xdr:row>
      <xdr:rowOff>172569</xdr:rowOff>
    </xdr:to>
    <xdr:sp macro="" textlink="" fLocksText="0">
      <xdr:nvSpPr>
        <xdr:cNvPr id="64" name="Rectangle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3476625" y="411670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42</a:t>
          </a:r>
        </a:p>
      </xdr:txBody>
    </xdr:sp>
    <xdr:clientData/>
  </xdr:twoCellAnchor>
  <xdr:twoCellAnchor>
    <xdr:from>
      <xdr:col>5</xdr:col>
      <xdr:colOff>112058</xdr:colOff>
      <xdr:row>168</xdr:row>
      <xdr:rowOff>145676</xdr:rowOff>
    </xdr:from>
    <xdr:to>
      <xdr:col>6</xdr:col>
      <xdr:colOff>105336</xdr:colOff>
      <xdr:row>169</xdr:row>
      <xdr:rowOff>138952</xdr:rowOff>
    </xdr:to>
    <xdr:sp macro="" textlink="" fLocksText="0">
      <xdr:nvSpPr>
        <xdr:cNvPr id="65" name="Rectangle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1447800" y="417290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43</a:t>
          </a:r>
        </a:p>
      </xdr:txBody>
    </xdr:sp>
    <xdr:clientData/>
  </xdr:twoCellAnchor>
  <xdr:twoCellAnchor>
    <xdr:from>
      <xdr:col>24</xdr:col>
      <xdr:colOff>6723</xdr:colOff>
      <xdr:row>170</xdr:row>
      <xdr:rowOff>85165</xdr:rowOff>
    </xdr:from>
    <xdr:to>
      <xdr:col>25</xdr:col>
      <xdr:colOff>1</xdr:colOff>
      <xdr:row>171</xdr:row>
      <xdr:rowOff>78442</xdr:rowOff>
    </xdr:to>
    <xdr:sp macro="" textlink="" fLocksText="0">
      <xdr:nvSpPr>
        <xdr:cNvPr id="66" name="Rectangle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6410325" y="420719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44</a:t>
          </a:r>
        </a:p>
      </xdr:txBody>
    </xdr:sp>
    <xdr:clientData/>
  </xdr:twoCellAnchor>
  <xdr:twoCellAnchor>
    <xdr:from>
      <xdr:col>51</xdr:col>
      <xdr:colOff>226360</xdr:colOff>
      <xdr:row>170</xdr:row>
      <xdr:rowOff>58269</xdr:rowOff>
    </xdr:from>
    <xdr:to>
      <xdr:col>52</xdr:col>
      <xdr:colOff>219637</xdr:colOff>
      <xdr:row>171</xdr:row>
      <xdr:rowOff>51546</xdr:rowOff>
    </xdr:to>
    <xdr:sp macro="" textlink="" fLocksText="0">
      <xdr:nvSpPr>
        <xdr:cNvPr id="67" name="Rectangl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13830300" y="420433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47</a:t>
          </a:r>
        </a:p>
      </xdr:txBody>
    </xdr:sp>
    <xdr:clientData/>
  </xdr:twoCellAnchor>
  <xdr:twoCellAnchor>
    <xdr:from>
      <xdr:col>30</xdr:col>
      <xdr:colOff>31376</xdr:colOff>
      <xdr:row>170</xdr:row>
      <xdr:rowOff>76200</xdr:rowOff>
    </xdr:from>
    <xdr:to>
      <xdr:col>31</xdr:col>
      <xdr:colOff>24654</xdr:colOff>
      <xdr:row>171</xdr:row>
      <xdr:rowOff>69477</xdr:rowOff>
    </xdr:to>
    <xdr:sp macro="" textlink="" fLocksText="0">
      <xdr:nvSpPr>
        <xdr:cNvPr id="68" name="Rectangle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8029575" y="4206240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45</a:t>
          </a:r>
        </a:p>
      </xdr:txBody>
    </xdr:sp>
    <xdr:clientData/>
  </xdr:twoCellAnchor>
  <xdr:twoCellAnchor>
    <xdr:from>
      <xdr:col>37</xdr:col>
      <xdr:colOff>127747</xdr:colOff>
      <xdr:row>170</xdr:row>
      <xdr:rowOff>82925</xdr:rowOff>
    </xdr:from>
    <xdr:to>
      <xdr:col>38</xdr:col>
      <xdr:colOff>121025</xdr:colOff>
      <xdr:row>171</xdr:row>
      <xdr:rowOff>76202</xdr:rowOff>
    </xdr:to>
    <xdr:sp macro="" textlink="" fLocksText="0">
      <xdr:nvSpPr>
        <xdr:cNvPr id="69" name="Rectangle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9991725" y="420719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46</a:t>
          </a:r>
        </a:p>
      </xdr:txBody>
    </xdr:sp>
    <xdr:clientData/>
  </xdr:twoCellAnchor>
  <xdr:twoCellAnchor>
    <xdr:from>
      <xdr:col>13</xdr:col>
      <xdr:colOff>11207</xdr:colOff>
      <xdr:row>171</xdr:row>
      <xdr:rowOff>123266</xdr:rowOff>
    </xdr:from>
    <xdr:to>
      <xdr:col>14</xdr:col>
      <xdr:colOff>112059</xdr:colOff>
      <xdr:row>172</xdr:row>
      <xdr:rowOff>145677</xdr:rowOff>
    </xdr:to>
    <xdr:sp macro="" textlink="" fLocksText="0">
      <xdr:nvSpPr>
        <xdr:cNvPr id="70" name="Rectangle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>
          <a:off x="3476625" y="42310050"/>
          <a:ext cx="3714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48.1</a:t>
          </a:r>
        </a:p>
      </xdr:txBody>
    </xdr:sp>
    <xdr:clientData/>
  </xdr:twoCellAnchor>
  <xdr:twoCellAnchor>
    <xdr:from>
      <xdr:col>24</xdr:col>
      <xdr:colOff>85166</xdr:colOff>
      <xdr:row>171</xdr:row>
      <xdr:rowOff>141194</xdr:rowOff>
    </xdr:from>
    <xdr:to>
      <xdr:col>25</xdr:col>
      <xdr:colOff>201706</xdr:colOff>
      <xdr:row>172</xdr:row>
      <xdr:rowOff>145676</xdr:rowOff>
    </xdr:to>
    <xdr:sp macro="" textlink="" fLocksText="0">
      <xdr:nvSpPr>
        <xdr:cNvPr id="71" name="Rectangle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>
          <a:off x="6486525" y="42329100"/>
          <a:ext cx="3810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48.2</a:t>
          </a:r>
        </a:p>
      </xdr:txBody>
    </xdr:sp>
    <xdr:clientData/>
  </xdr:twoCellAnchor>
  <xdr:twoCellAnchor>
    <xdr:from>
      <xdr:col>34</xdr:col>
      <xdr:colOff>24653</xdr:colOff>
      <xdr:row>171</xdr:row>
      <xdr:rowOff>136712</xdr:rowOff>
    </xdr:from>
    <xdr:to>
      <xdr:col>35</xdr:col>
      <xdr:colOff>141192</xdr:colOff>
      <xdr:row>172</xdr:row>
      <xdr:rowOff>141194</xdr:rowOff>
    </xdr:to>
    <xdr:sp macro="" textlink="" fLocksText="0">
      <xdr:nvSpPr>
        <xdr:cNvPr id="72" name="Rectangle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9096375" y="42319575"/>
          <a:ext cx="38100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48.3</a:t>
          </a:r>
        </a:p>
      </xdr:txBody>
    </xdr:sp>
    <xdr:clientData/>
  </xdr:twoCellAnchor>
  <xdr:twoCellAnchor>
    <xdr:from>
      <xdr:col>42</xdr:col>
      <xdr:colOff>64994</xdr:colOff>
      <xdr:row>171</xdr:row>
      <xdr:rowOff>143436</xdr:rowOff>
    </xdr:from>
    <xdr:to>
      <xdr:col>43</xdr:col>
      <xdr:colOff>181533</xdr:colOff>
      <xdr:row>172</xdr:row>
      <xdr:rowOff>147918</xdr:rowOff>
    </xdr:to>
    <xdr:sp macro="" textlink="" fLocksText="0">
      <xdr:nvSpPr>
        <xdr:cNvPr id="73" name="Rectangle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11268075" y="42329100"/>
          <a:ext cx="38100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48.4</a:t>
          </a:r>
        </a:p>
      </xdr:txBody>
    </xdr:sp>
    <xdr:clientData/>
  </xdr:twoCellAnchor>
  <xdr:twoCellAnchor>
    <xdr:from>
      <xdr:col>51</xdr:col>
      <xdr:colOff>172570</xdr:colOff>
      <xdr:row>171</xdr:row>
      <xdr:rowOff>138953</xdr:rowOff>
    </xdr:from>
    <xdr:to>
      <xdr:col>53</xdr:col>
      <xdr:colOff>53786</xdr:colOff>
      <xdr:row>172</xdr:row>
      <xdr:rowOff>143435</xdr:rowOff>
    </xdr:to>
    <xdr:sp macro="" textlink="" fLocksText="0">
      <xdr:nvSpPr>
        <xdr:cNvPr id="74" name="Rectangle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>
          <a:off x="13773150" y="42329100"/>
          <a:ext cx="4191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48.5</a:t>
          </a:r>
        </a:p>
      </xdr:txBody>
    </xdr:sp>
    <xdr:clientData/>
  </xdr:twoCellAnchor>
  <xdr:twoCellAnchor>
    <xdr:from>
      <xdr:col>5</xdr:col>
      <xdr:colOff>22413</xdr:colOff>
      <xdr:row>175</xdr:row>
      <xdr:rowOff>112061</xdr:rowOff>
    </xdr:from>
    <xdr:to>
      <xdr:col>6</xdr:col>
      <xdr:colOff>15691</xdr:colOff>
      <xdr:row>176</xdr:row>
      <xdr:rowOff>105338</xdr:rowOff>
    </xdr:to>
    <xdr:sp macro="" textlink="" fLocksText="0">
      <xdr:nvSpPr>
        <xdr:cNvPr id="75" name="Rectangle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1352550" y="431006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49</a:t>
          </a:r>
        </a:p>
      </xdr:txBody>
    </xdr:sp>
    <xdr:clientData/>
  </xdr:twoCellAnchor>
  <xdr:twoCellAnchor>
    <xdr:from>
      <xdr:col>46</xdr:col>
      <xdr:colOff>96371</xdr:colOff>
      <xdr:row>177</xdr:row>
      <xdr:rowOff>17932</xdr:rowOff>
    </xdr:from>
    <xdr:to>
      <xdr:col>47</xdr:col>
      <xdr:colOff>89648</xdr:colOff>
      <xdr:row>178</xdr:row>
      <xdr:rowOff>11207</xdr:rowOff>
    </xdr:to>
    <xdr:sp macro="" textlink="" fLocksText="0">
      <xdr:nvSpPr>
        <xdr:cNvPr id="76" name="Rectangle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>
        <a:xfrm>
          <a:off x="12363450" y="434054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53</a:t>
          </a:r>
        </a:p>
      </xdr:txBody>
    </xdr:sp>
    <xdr:clientData/>
  </xdr:twoCellAnchor>
  <xdr:twoCellAnchor>
    <xdr:from>
      <xdr:col>21</xdr:col>
      <xdr:colOff>35859</xdr:colOff>
      <xdr:row>177</xdr:row>
      <xdr:rowOff>2244</xdr:rowOff>
    </xdr:from>
    <xdr:to>
      <xdr:col>22</xdr:col>
      <xdr:colOff>29136</xdr:colOff>
      <xdr:row>177</xdr:row>
      <xdr:rowOff>197225</xdr:rowOff>
    </xdr:to>
    <xdr:sp macro="" textlink="" fLocksText="0">
      <xdr:nvSpPr>
        <xdr:cNvPr id="77" name="Rectangle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638800" y="433863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50</a:t>
          </a:r>
        </a:p>
      </xdr:txBody>
    </xdr:sp>
    <xdr:clientData/>
  </xdr:twoCellAnchor>
  <xdr:twoCellAnchor>
    <xdr:from>
      <xdr:col>30</xdr:col>
      <xdr:colOff>31376</xdr:colOff>
      <xdr:row>176</xdr:row>
      <xdr:rowOff>199468</xdr:rowOff>
    </xdr:from>
    <xdr:to>
      <xdr:col>31</xdr:col>
      <xdr:colOff>24654</xdr:colOff>
      <xdr:row>177</xdr:row>
      <xdr:rowOff>192743</xdr:rowOff>
    </xdr:to>
    <xdr:sp macro="" textlink="" fLocksText="0">
      <xdr:nvSpPr>
        <xdr:cNvPr id="78" name="Rectangle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8029575" y="433863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51</a:t>
          </a:r>
        </a:p>
      </xdr:txBody>
    </xdr:sp>
    <xdr:clientData/>
  </xdr:twoCellAnchor>
  <xdr:twoCellAnchor>
    <xdr:from>
      <xdr:col>37</xdr:col>
      <xdr:colOff>127747</xdr:colOff>
      <xdr:row>177</xdr:row>
      <xdr:rowOff>15691</xdr:rowOff>
    </xdr:from>
    <xdr:to>
      <xdr:col>38</xdr:col>
      <xdr:colOff>121025</xdr:colOff>
      <xdr:row>178</xdr:row>
      <xdr:rowOff>8966</xdr:rowOff>
    </xdr:to>
    <xdr:sp macro="" textlink="" fLocksText="0">
      <xdr:nvSpPr>
        <xdr:cNvPr id="79" name="Rectangl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9991725" y="434054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52</a:t>
          </a:r>
        </a:p>
      </xdr:txBody>
    </xdr:sp>
    <xdr:clientData/>
  </xdr:twoCellAnchor>
  <xdr:twoCellAnchor>
    <xdr:from>
      <xdr:col>13</xdr:col>
      <xdr:colOff>22411</xdr:colOff>
      <xdr:row>178</xdr:row>
      <xdr:rowOff>78442</xdr:rowOff>
    </xdr:from>
    <xdr:to>
      <xdr:col>14</xdr:col>
      <xdr:colOff>168088</xdr:colOff>
      <xdr:row>179</xdr:row>
      <xdr:rowOff>67235</xdr:rowOff>
    </xdr:to>
    <xdr:sp macro="" textlink="" fLocksText="0">
      <xdr:nvSpPr>
        <xdr:cNvPr id="80" name="Rectangle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3486150" y="43662600"/>
          <a:ext cx="4191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54.1</a:t>
          </a:r>
        </a:p>
      </xdr:txBody>
    </xdr:sp>
    <xdr:clientData/>
  </xdr:twoCellAnchor>
  <xdr:twoCellAnchor>
    <xdr:from>
      <xdr:col>24</xdr:col>
      <xdr:colOff>197223</xdr:colOff>
      <xdr:row>178</xdr:row>
      <xdr:rowOff>85164</xdr:rowOff>
    </xdr:from>
    <xdr:to>
      <xdr:col>26</xdr:col>
      <xdr:colOff>107576</xdr:colOff>
      <xdr:row>179</xdr:row>
      <xdr:rowOff>73957</xdr:rowOff>
    </xdr:to>
    <xdr:sp macro="" textlink="" fLocksText="0">
      <xdr:nvSpPr>
        <xdr:cNvPr id="81" name="Rectangle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6600825" y="43672125"/>
          <a:ext cx="4381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54.2</a:t>
          </a:r>
        </a:p>
      </xdr:txBody>
    </xdr:sp>
    <xdr:clientData/>
  </xdr:twoCellAnchor>
  <xdr:twoCellAnchor>
    <xdr:from>
      <xdr:col>33</xdr:col>
      <xdr:colOff>203947</xdr:colOff>
      <xdr:row>178</xdr:row>
      <xdr:rowOff>58271</xdr:rowOff>
    </xdr:from>
    <xdr:to>
      <xdr:col>35</xdr:col>
      <xdr:colOff>114299</xdr:colOff>
      <xdr:row>179</xdr:row>
      <xdr:rowOff>47064</xdr:rowOff>
    </xdr:to>
    <xdr:sp macro="" textlink="" fLocksText="0">
      <xdr:nvSpPr>
        <xdr:cNvPr id="82" name="Rectangle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9001125" y="43643550"/>
          <a:ext cx="4476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54.3</a:t>
          </a:r>
        </a:p>
      </xdr:txBody>
    </xdr:sp>
    <xdr:clientData/>
  </xdr:twoCellAnchor>
  <xdr:twoCellAnchor>
    <xdr:from>
      <xdr:col>41</xdr:col>
      <xdr:colOff>132228</xdr:colOff>
      <xdr:row>178</xdr:row>
      <xdr:rowOff>76201</xdr:rowOff>
    </xdr:from>
    <xdr:to>
      <xdr:col>43</xdr:col>
      <xdr:colOff>42581</xdr:colOff>
      <xdr:row>179</xdr:row>
      <xdr:rowOff>64994</xdr:rowOff>
    </xdr:to>
    <xdr:sp macro="" textlink="" fLocksText="0">
      <xdr:nvSpPr>
        <xdr:cNvPr id="83" name="Rectangle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11068050" y="43662600"/>
          <a:ext cx="4381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54.4</a:t>
          </a:r>
        </a:p>
      </xdr:txBody>
    </xdr:sp>
    <xdr:clientData/>
  </xdr:twoCellAnchor>
  <xdr:twoCellAnchor>
    <xdr:from>
      <xdr:col>51</xdr:col>
      <xdr:colOff>94127</xdr:colOff>
      <xdr:row>178</xdr:row>
      <xdr:rowOff>71718</xdr:rowOff>
    </xdr:from>
    <xdr:to>
      <xdr:col>53</xdr:col>
      <xdr:colOff>4480</xdr:colOff>
      <xdr:row>179</xdr:row>
      <xdr:rowOff>60511</xdr:rowOff>
    </xdr:to>
    <xdr:sp macro="" textlink="" fLocksText="0">
      <xdr:nvSpPr>
        <xdr:cNvPr id="84" name="Rectangle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13696950" y="43662600"/>
          <a:ext cx="43815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54.5</a:t>
          </a:r>
        </a:p>
      </xdr:txBody>
    </xdr:sp>
    <xdr:clientData/>
  </xdr:twoCellAnchor>
  <xdr:twoCellAnchor>
    <xdr:from>
      <xdr:col>17</xdr:col>
      <xdr:colOff>190500</xdr:colOff>
      <xdr:row>230</xdr:row>
      <xdr:rowOff>56028</xdr:rowOff>
    </xdr:from>
    <xdr:to>
      <xdr:col>18</xdr:col>
      <xdr:colOff>183777</xdr:colOff>
      <xdr:row>231</xdr:row>
      <xdr:rowOff>49304</xdr:rowOff>
    </xdr:to>
    <xdr:sp macro="" textlink="" fLocksText="0">
      <xdr:nvSpPr>
        <xdr:cNvPr id="87" name="Rectangle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/>
      </xdr:nvSpPr>
      <xdr:spPr>
        <a:xfrm>
          <a:off x="4724400" y="563022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55</a:t>
          </a:r>
        </a:p>
      </xdr:txBody>
    </xdr:sp>
    <xdr:clientData/>
  </xdr:twoCellAnchor>
  <xdr:twoCellAnchor>
    <xdr:from>
      <xdr:col>5</xdr:col>
      <xdr:colOff>112058</xdr:colOff>
      <xdr:row>232</xdr:row>
      <xdr:rowOff>145676</xdr:rowOff>
    </xdr:from>
    <xdr:to>
      <xdr:col>6</xdr:col>
      <xdr:colOff>105336</xdr:colOff>
      <xdr:row>233</xdr:row>
      <xdr:rowOff>138952</xdr:rowOff>
    </xdr:to>
    <xdr:sp macro="" textlink="" fLocksText="0">
      <xdr:nvSpPr>
        <xdr:cNvPr id="88" name="Rectangl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>
          <a:off x="1447800" y="567880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56</a:t>
          </a:r>
        </a:p>
      </xdr:txBody>
    </xdr:sp>
    <xdr:clientData/>
  </xdr:twoCellAnchor>
  <xdr:twoCellAnchor>
    <xdr:from>
      <xdr:col>26</xdr:col>
      <xdr:colOff>208429</xdr:colOff>
      <xdr:row>234</xdr:row>
      <xdr:rowOff>62753</xdr:rowOff>
    </xdr:from>
    <xdr:to>
      <xdr:col>27</xdr:col>
      <xdr:colOff>201707</xdr:colOff>
      <xdr:row>235</xdr:row>
      <xdr:rowOff>56030</xdr:rowOff>
    </xdr:to>
    <xdr:sp macro="" textlink="" fLocksText="0">
      <xdr:nvSpPr>
        <xdr:cNvPr id="89" name="Rectangle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7143750" y="571119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57</a:t>
          </a:r>
        </a:p>
      </xdr:txBody>
    </xdr:sp>
    <xdr:clientData/>
  </xdr:twoCellAnchor>
  <xdr:twoCellAnchor>
    <xdr:from>
      <xdr:col>43</xdr:col>
      <xdr:colOff>109817</xdr:colOff>
      <xdr:row>234</xdr:row>
      <xdr:rowOff>98612</xdr:rowOff>
    </xdr:from>
    <xdr:to>
      <xdr:col>44</xdr:col>
      <xdr:colOff>103095</xdr:colOff>
      <xdr:row>235</xdr:row>
      <xdr:rowOff>91889</xdr:rowOff>
    </xdr:to>
    <xdr:sp macro="" textlink="" fLocksText="0">
      <xdr:nvSpPr>
        <xdr:cNvPr id="91" name="Rectangle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11582400" y="571404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58</a:t>
          </a:r>
        </a:p>
      </xdr:txBody>
    </xdr:sp>
    <xdr:clientData/>
  </xdr:twoCellAnchor>
  <xdr:twoCellAnchor>
    <xdr:from>
      <xdr:col>13</xdr:col>
      <xdr:colOff>123266</xdr:colOff>
      <xdr:row>235</xdr:row>
      <xdr:rowOff>145678</xdr:rowOff>
    </xdr:from>
    <xdr:to>
      <xdr:col>14</xdr:col>
      <xdr:colOff>224118</xdr:colOff>
      <xdr:row>236</xdr:row>
      <xdr:rowOff>168089</xdr:rowOff>
    </xdr:to>
    <xdr:sp macro="" textlink="" fLocksText="0">
      <xdr:nvSpPr>
        <xdr:cNvPr id="93" name="Rectangl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/>
      </xdr:nvSpPr>
      <xdr:spPr>
        <a:xfrm>
          <a:off x="3590925" y="57388125"/>
          <a:ext cx="3714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59.1</a:t>
          </a:r>
        </a:p>
      </xdr:txBody>
    </xdr:sp>
    <xdr:clientData/>
  </xdr:twoCellAnchor>
  <xdr:twoCellAnchor>
    <xdr:from>
      <xdr:col>34</xdr:col>
      <xdr:colOff>6725</xdr:colOff>
      <xdr:row>235</xdr:row>
      <xdr:rowOff>174811</xdr:rowOff>
    </xdr:from>
    <xdr:to>
      <xdr:col>35</xdr:col>
      <xdr:colOff>123264</xdr:colOff>
      <xdr:row>236</xdr:row>
      <xdr:rowOff>179293</xdr:rowOff>
    </xdr:to>
    <xdr:sp macro="" textlink="" fLocksText="0">
      <xdr:nvSpPr>
        <xdr:cNvPr id="94" name="Rectangl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9077325" y="57416700"/>
          <a:ext cx="38100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59.2</a:t>
          </a:r>
        </a:p>
      </xdr:txBody>
    </xdr:sp>
    <xdr:clientData/>
  </xdr:twoCellAnchor>
  <xdr:twoCellAnchor>
    <xdr:from>
      <xdr:col>51</xdr:col>
      <xdr:colOff>91889</xdr:colOff>
      <xdr:row>235</xdr:row>
      <xdr:rowOff>159124</xdr:rowOff>
    </xdr:from>
    <xdr:to>
      <xdr:col>52</xdr:col>
      <xdr:colOff>208428</xdr:colOff>
      <xdr:row>236</xdr:row>
      <xdr:rowOff>163606</xdr:rowOff>
    </xdr:to>
    <xdr:sp macro="" textlink="" fLocksText="0">
      <xdr:nvSpPr>
        <xdr:cNvPr id="95" name="Rectangle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/>
      </xdr:nvSpPr>
      <xdr:spPr>
        <a:xfrm>
          <a:off x="13696950" y="57407175"/>
          <a:ext cx="3810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59.3</a:t>
          </a:r>
        </a:p>
      </xdr:txBody>
    </xdr:sp>
    <xdr:clientData/>
  </xdr:twoCellAnchor>
  <xdr:twoCellAnchor>
    <xdr:from>
      <xdr:col>5</xdr:col>
      <xdr:colOff>67237</xdr:colOff>
      <xdr:row>238</xdr:row>
      <xdr:rowOff>56031</xdr:rowOff>
    </xdr:from>
    <xdr:to>
      <xdr:col>6</xdr:col>
      <xdr:colOff>60515</xdr:colOff>
      <xdr:row>239</xdr:row>
      <xdr:rowOff>49308</xdr:rowOff>
    </xdr:to>
    <xdr:sp macro="" textlink="" fLocksText="0">
      <xdr:nvSpPr>
        <xdr:cNvPr id="98" name="Rectangle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/>
      </xdr:nvSpPr>
      <xdr:spPr>
        <a:xfrm>
          <a:off x="1400175" y="579024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60</a:t>
          </a:r>
        </a:p>
      </xdr:txBody>
    </xdr:sp>
    <xdr:clientData/>
  </xdr:twoCellAnchor>
  <xdr:twoCellAnchor>
    <xdr:from>
      <xdr:col>46</xdr:col>
      <xdr:colOff>129988</xdr:colOff>
      <xdr:row>239</xdr:row>
      <xdr:rowOff>174814</xdr:rowOff>
    </xdr:from>
    <xdr:to>
      <xdr:col>47</xdr:col>
      <xdr:colOff>123265</xdr:colOff>
      <xdr:row>240</xdr:row>
      <xdr:rowOff>168088</xdr:rowOff>
    </xdr:to>
    <xdr:sp macro="" textlink="" fLocksText="0">
      <xdr:nvSpPr>
        <xdr:cNvPr id="99" name="Rectangl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/>
      </xdr:nvSpPr>
      <xdr:spPr>
        <a:xfrm>
          <a:off x="12401550" y="582168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64</a:t>
          </a:r>
        </a:p>
      </xdr:txBody>
    </xdr:sp>
    <xdr:clientData/>
  </xdr:twoCellAnchor>
  <xdr:twoCellAnchor>
    <xdr:from>
      <xdr:col>21</xdr:col>
      <xdr:colOff>58271</xdr:colOff>
      <xdr:row>239</xdr:row>
      <xdr:rowOff>170332</xdr:rowOff>
    </xdr:from>
    <xdr:to>
      <xdr:col>22</xdr:col>
      <xdr:colOff>51548</xdr:colOff>
      <xdr:row>240</xdr:row>
      <xdr:rowOff>163607</xdr:rowOff>
    </xdr:to>
    <xdr:sp macro="" textlink="" fLocksText="0">
      <xdr:nvSpPr>
        <xdr:cNvPr id="100" name="Rectangl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/>
      </xdr:nvSpPr>
      <xdr:spPr>
        <a:xfrm>
          <a:off x="5657850" y="582168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61</a:t>
          </a:r>
        </a:p>
      </xdr:txBody>
    </xdr:sp>
    <xdr:clientData/>
  </xdr:twoCellAnchor>
  <xdr:twoCellAnchor>
    <xdr:from>
      <xdr:col>30</xdr:col>
      <xdr:colOff>31376</xdr:colOff>
      <xdr:row>239</xdr:row>
      <xdr:rowOff>177056</xdr:rowOff>
    </xdr:from>
    <xdr:to>
      <xdr:col>31</xdr:col>
      <xdr:colOff>24654</xdr:colOff>
      <xdr:row>240</xdr:row>
      <xdr:rowOff>170331</xdr:rowOff>
    </xdr:to>
    <xdr:sp macro="" textlink="" fLocksText="0">
      <xdr:nvSpPr>
        <xdr:cNvPr id="101" name="Rectangl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/>
      </xdr:nvSpPr>
      <xdr:spPr>
        <a:xfrm>
          <a:off x="8029575" y="582263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62</a:t>
          </a:r>
        </a:p>
      </xdr:txBody>
    </xdr:sp>
    <xdr:clientData/>
  </xdr:twoCellAnchor>
  <xdr:twoCellAnchor>
    <xdr:from>
      <xdr:col>37</xdr:col>
      <xdr:colOff>127747</xdr:colOff>
      <xdr:row>239</xdr:row>
      <xdr:rowOff>194986</xdr:rowOff>
    </xdr:from>
    <xdr:to>
      <xdr:col>38</xdr:col>
      <xdr:colOff>121025</xdr:colOff>
      <xdr:row>240</xdr:row>
      <xdr:rowOff>188260</xdr:rowOff>
    </xdr:to>
    <xdr:sp macro="" textlink="" fLocksText="0">
      <xdr:nvSpPr>
        <xdr:cNvPr id="102" name="Rectangle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/>
      </xdr:nvSpPr>
      <xdr:spPr>
        <a:xfrm>
          <a:off x="9991725" y="5823585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63</a:t>
          </a:r>
        </a:p>
      </xdr:txBody>
    </xdr:sp>
    <xdr:clientData/>
  </xdr:twoCellAnchor>
  <xdr:twoCellAnchor>
    <xdr:from>
      <xdr:col>12</xdr:col>
      <xdr:colOff>179294</xdr:colOff>
      <xdr:row>241</xdr:row>
      <xdr:rowOff>33617</xdr:rowOff>
    </xdr:from>
    <xdr:to>
      <xdr:col>14</xdr:col>
      <xdr:colOff>89647</xdr:colOff>
      <xdr:row>242</xdr:row>
      <xdr:rowOff>22411</xdr:rowOff>
    </xdr:to>
    <xdr:sp macro="" textlink="" fLocksText="0">
      <xdr:nvSpPr>
        <xdr:cNvPr id="103" name="Rectangl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/>
      </xdr:nvSpPr>
      <xdr:spPr>
        <a:xfrm>
          <a:off x="3381375" y="58483500"/>
          <a:ext cx="43815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65.1</a:t>
          </a:r>
        </a:p>
      </xdr:txBody>
    </xdr:sp>
    <xdr:clientData/>
  </xdr:twoCellAnchor>
  <xdr:twoCellAnchor>
    <xdr:from>
      <xdr:col>24</xdr:col>
      <xdr:colOff>197223</xdr:colOff>
      <xdr:row>241</xdr:row>
      <xdr:rowOff>62751</xdr:rowOff>
    </xdr:from>
    <xdr:to>
      <xdr:col>26</xdr:col>
      <xdr:colOff>107576</xdr:colOff>
      <xdr:row>242</xdr:row>
      <xdr:rowOff>51545</xdr:rowOff>
    </xdr:to>
    <xdr:sp macro="" textlink="" fLocksText="0">
      <xdr:nvSpPr>
        <xdr:cNvPr id="104" name="Rectangle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>
          <a:off x="6600825" y="58512075"/>
          <a:ext cx="43815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65.2</a:t>
          </a:r>
        </a:p>
      </xdr:txBody>
    </xdr:sp>
    <xdr:clientData/>
  </xdr:twoCellAnchor>
  <xdr:twoCellAnchor>
    <xdr:from>
      <xdr:col>33</xdr:col>
      <xdr:colOff>192741</xdr:colOff>
      <xdr:row>241</xdr:row>
      <xdr:rowOff>58270</xdr:rowOff>
    </xdr:from>
    <xdr:to>
      <xdr:col>35</xdr:col>
      <xdr:colOff>103093</xdr:colOff>
      <xdr:row>242</xdr:row>
      <xdr:rowOff>47064</xdr:rowOff>
    </xdr:to>
    <xdr:sp macro="" textlink="" fLocksText="0">
      <xdr:nvSpPr>
        <xdr:cNvPr id="105" name="Rectangle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/>
      </xdr:nvSpPr>
      <xdr:spPr>
        <a:xfrm>
          <a:off x="8991600" y="58502550"/>
          <a:ext cx="4476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65.3</a:t>
          </a:r>
        </a:p>
      </xdr:txBody>
    </xdr:sp>
    <xdr:clientData/>
  </xdr:twoCellAnchor>
  <xdr:twoCellAnchor>
    <xdr:from>
      <xdr:col>41</xdr:col>
      <xdr:colOff>154640</xdr:colOff>
      <xdr:row>241</xdr:row>
      <xdr:rowOff>53788</xdr:rowOff>
    </xdr:from>
    <xdr:to>
      <xdr:col>43</xdr:col>
      <xdr:colOff>64993</xdr:colOff>
      <xdr:row>242</xdr:row>
      <xdr:rowOff>42582</xdr:rowOff>
    </xdr:to>
    <xdr:sp macro="" textlink="" fLocksText="0">
      <xdr:nvSpPr>
        <xdr:cNvPr id="106" name="Rectangle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11087100" y="58502550"/>
          <a:ext cx="4476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65.4</a:t>
          </a:r>
        </a:p>
      </xdr:txBody>
    </xdr:sp>
    <xdr:clientData/>
  </xdr:twoCellAnchor>
  <xdr:twoCellAnchor>
    <xdr:from>
      <xdr:col>51</xdr:col>
      <xdr:colOff>172568</xdr:colOff>
      <xdr:row>241</xdr:row>
      <xdr:rowOff>71717</xdr:rowOff>
    </xdr:from>
    <xdr:to>
      <xdr:col>53</xdr:col>
      <xdr:colOff>82921</xdr:colOff>
      <xdr:row>242</xdr:row>
      <xdr:rowOff>60511</xdr:rowOff>
    </xdr:to>
    <xdr:sp macro="" textlink="" fLocksText="0">
      <xdr:nvSpPr>
        <xdr:cNvPr id="107" name="Rectangle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13773150" y="58521600"/>
          <a:ext cx="4476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65.5</a:t>
          </a:r>
        </a:p>
      </xdr:txBody>
    </xdr:sp>
    <xdr:clientData/>
  </xdr:twoCellAnchor>
  <xdr:twoCellAnchor>
    <xdr:from>
      <xdr:col>12</xdr:col>
      <xdr:colOff>177054</xdr:colOff>
      <xdr:row>242</xdr:row>
      <xdr:rowOff>121027</xdr:rowOff>
    </xdr:from>
    <xdr:to>
      <xdr:col>13</xdr:col>
      <xdr:colOff>170331</xdr:colOff>
      <xdr:row>243</xdr:row>
      <xdr:rowOff>114302</xdr:rowOff>
    </xdr:to>
    <xdr:sp macro="" textlink="" fLocksText="0">
      <xdr:nvSpPr>
        <xdr:cNvPr id="109" name="Rectangle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3381375" y="587692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66</a:t>
          </a:r>
        </a:p>
      </xdr:txBody>
    </xdr:sp>
    <xdr:clientData/>
  </xdr:twoCellAnchor>
  <xdr:twoCellAnchor>
    <xdr:from>
      <xdr:col>12</xdr:col>
      <xdr:colOff>168089</xdr:colOff>
      <xdr:row>244</xdr:row>
      <xdr:rowOff>0</xdr:rowOff>
    </xdr:from>
    <xdr:to>
      <xdr:col>13</xdr:col>
      <xdr:colOff>161366</xdr:colOff>
      <xdr:row>244</xdr:row>
      <xdr:rowOff>194981</xdr:rowOff>
    </xdr:to>
    <xdr:sp macro="" textlink="" fLocksText="0">
      <xdr:nvSpPr>
        <xdr:cNvPr id="110" name="Rectangle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3371850" y="590454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67</a:t>
          </a:r>
        </a:p>
      </xdr:txBody>
    </xdr:sp>
    <xdr:clientData/>
  </xdr:twoCellAnchor>
  <xdr:twoCellAnchor>
    <xdr:from>
      <xdr:col>19</xdr:col>
      <xdr:colOff>168088</xdr:colOff>
      <xdr:row>291</xdr:row>
      <xdr:rowOff>22410</xdr:rowOff>
    </xdr:from>
    <xdr:to>
      <xdr:col>20</xdr:col>
      <xdr:colOff>161365</xdr:colOff>
      <xdr:row>292</xdr:row>
      <xdr:rowOff>15686</xdr:rowOff>
    </xdr:to>
    <xdr:sp macro="" textlink="" fLocksText="0">
      <xdr:nvSpPr>
        <xdr:cNvPr id="112" name="Rectangle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>
          <a:off x="5238750" y="696277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68</a:t>
          </a:r>
        </a:p>
      </xdr:txBody>
    </xdr:sp>
    <xdr:clientData/>
  </xdr:twoCellAnchor>
  <xdr:twoCellAnchor>
    <xdr:from>
      <xdr:col>4</xdr:col>
      <xdr:colOff>190500</xdr:colOff>
      <xdr:row>293</xdr:row>
      <xdr:rowOff>168088</xdr:rowOff>
    </xdr:from>
    <xdr:to>
      <xdr:col>5</xdr:col>
      <xdr:colOff>183777</xdr:colOff>
      <xdr:row>294</xdr:row>
      <xdr:rowOff>161364</xdr:rowOff>
    </xdr:to>
    <xdr:sp macro="" textlink="" fLocksText="0">
      <xdr:nvSpPr>
        <xdr:cNvPr id="113" name="Rectangle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/>
      </xdr:nvSpPr>
      <xdr:spPr>
        <a:xfrm>
          <a:off x="1257300" y="701802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69</a:t>
          </a:r>
        </a:p>
      </xdr:txBody>
    </xdr:sp>
    <xdr:clientData/>
  </xdr:twoCellAnchor>
  <xdr:twoCellAnchor>
    <xdr:from>
      <xdr:col>24</xdr:col>
      <xdr:colOff>17929</xdr:colOff>
      <xdr:row>295</xdr:row>
      <xdr:rowOff>62753</xdr:rowOff>
    </xdr:from>
    <xdr:to>
      <xdr:col>25</xdr:col>
      <xdr:colOff>11207</xdr:colOff>
      <xdr:row>296</xdr:row>
      <xdr:rowOff>56030</xdr:rowOff>
    </xdr:to>
    <xdr:sp macro="" textlink="" fLocksText="0">
      <xdr:nvSpPr>
        <xdr:cNvPr id="114" name="Rectangle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/>
      </xdr:nvSpPr>
      <xdr:spPr>
        <a:xfrm>
          <a:off x="6419850" y="704754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70</a:t>
          </a:r>
        </a:p>
      </xdr:txBody>
    </xdr:sp>
    <xdr:clientData/>
  </xdr:twoCellAnchor>
  <xdr:twoCellAnchor>
    <xdr:from>
      <xdr:col>33</xdr:col>
      <xdr:colOff>20171</xdr:colOff>
      <xdr:row>295</xdr:row>
      <xdr:rowOff>53788</xdr:rowOff>
    </xdr:from>
    <xdr:to>
      <xdr:col>34</xdr:col>
      <xdr:colOff>13448</xdr:colOff>
      <xdr:row>296</xdr:row>
      <xdr:rowOff>47065</xdr:rowOff>
    </xdr:to>
    <xdr:sp macro="" textlink="" fLocksText="0">
      <xdr:nvSpPr>
        <xdr:cNvPr id="115" name="Rectangle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/>
      </xdr:nvSpPr>
      <xdr:spPr>
        <a:xfrm>
          <a:off x="8820150" y="704659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71</a:t>
          </a:r>
        </a:p>
      </xdr:txBody>
    </xdr:sp>
    <xdr:clientData/>
  </xdr:twoCellAnchor>
  <xdr:twoCellAnchor>
    <xdr:from>
      <xdr:col>12</xdr:col>
      <xdr:colOff>89649</xdr:colOff>
      <xdr:row>296</xdr:row>
      <xdr:rowOff>112061</xdr:rowOff>
    </xdr:from>
    <xdr:to>
      <xdr:col>13</xdr:col>
      <xdr:colOff>190500</xdr:colOff>
      <xdr:row>297</xdr:row>
      <xdr:rowOff>100853</xdr:rowOff>
    </xdr:to>
    <xdr:sp macro="" textlink="" fLocksText="0">
      <xdr:nvSpPr>
        <xdr:cNvPr id="116" name="Rectangle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/>
      </xdr:nvSpPr>
      <xdr:spPr>
        <a:xfrm>
          <a:off x="3286125" y="70723125"/>
          <a:ext cx="3714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74.1</a:t>
          </a:r>
        </a:p>
      </xdr:txBody>
    </xdr:sp>
    <xdr:clientData/>
  </xdr:twoCellAnchor>
  <xdr:twoCellAnchor>
    <xdr:from>
      <xdr:col>25</xdr:col>
      <xdr:colOff>73961</xdr:colOff>
      <xdr:row>296</xdr:row>
      <xdr:rowOff>107576</xdr:rowOff>
    </xdr:from>
    <xdr:to>
      <xdr:col>26</xdr:col>
      <xdr:colOff>190500</xdr:colOff>
      <xdr:row>297</xdr:row>
      <xdr:rowOff>112057</xdr:rowOff>
    </xdr:to>
    <xdr:sp macro="" textlink="" fLocksText="0">
      <xdr:nvSpPr>
        <xdr:cNvPr id="117" name="Rectangle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/>
      </xdr:nvSpPr>
      <xdr:spPr>
        <a:xfrm>
          <a:off x="6743700" y="70713600"/>
          <a:ext cx="38100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74.2</a:t>
          </a:r>
        </a:p>
      </xdr:txBody>
    </xdr:sp>
    <xdr:clientData/>
  </xdr:twoCellAnchor>
  <xdr:twoCellAnchor>
    <xdr:from>
      <xdr:col>34</xdr:col>
      <xdr:colOff>91889</xdr:colOff>
      <xdr:row>296</xdr:row>
      <xdr:rowOff>114300</xdr:rowOff>
    </xdr:from>
    <xdr:to>
      <xdr:col>35</xdr:col>
      <xdr:colOff>208428</xdr:colOff>
      <xdr:row>297</xdr:row>
      <xdr:rowOff>118781</xdr:rowOff>
    </xdr:to>
    <xdr:sp macro="" textlink="" fLocksText="0">
      <xdr:nvSpPr>
        <xdr:cNvPr id="118" name="Rectangle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/>
      </xdr:nvSpPr>
      <xdr:spPr>
        <a:xfrm>
          <a:off x="9163050" y="70723125"/>
          <a:ext cx="3810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74.3</a:t>
          </a:r>
        </a:p>
      </xdr:txBody>
    </xdr:sp>
    <xdr:clientData/>
  </xdr:twoCellAnchor>
  <xdr:twoCellAnchor>
    <xdr:from>
      <xdr:col>12</xdr:col>
      <xdr:colOff>78443</xdr:colOff>
      <xdr:row>297</xdr:row>
      <xdr:rowOff>168089</xdr:rowOff>
    </xdr:from>
    <xdr:to>
      <xdr:col>13</xdr:col>
      <xdr:colOff>71720</xdr:colOff>
      <xdr:row>298</xdr:row>
      <xdr:rowOff>161367</xdr:rowOff>
    </xdr:to>
    <xdr:sp macro="" textlink="" fLocksText="0">
      <xdr:nvSpPr>
        <xdr:cNvPr id="119" name="Rectangle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>
          <a:off x="3276600" y="7098030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75</a:t>
          </a:r>
        </a:p>
      </xdr:txBody>
    </xdr:sp>
    <xdr:clientData/>
  </xdr:twoCellAnchor>
  <xdr:twoCellAnchor>
    <xdr:from>
      <xdr:col>19</xdr:col>
      <xdr:colOff>107576</xdr:colOff>
      <xdr:row>310</xdr:row>
      <xdr:rowOff>40344</xdr:rowOff>
    </xdr:from>
    <xdr:to>
      <xdr:col>20</xdr:col>
      <xdr:colOff>100853</xdr:colOff>
      <xdr:row>311</xdr:row>
      <xdr:rowOff>33618</xdr:rowOff>
    </xdr:to>
    <xdr:sp macro="" textlink="" fLocksText="0">
      <xdr:nvSpPr>
        <xdr:cNvPr id="120" name="Rectangle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/>
      </xdr:nvSpPr>
      <xdr:spPr>
        <a:xfrm>
          <a:off x="5172075" y="7344727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84</a:t>
          </a:r>
        </a:p>
      </xdr:txBody>
    </xdr:sp>
    <xdr:clientData/>
  </xdr:twoCellAnchor>
  <xdr:twoCellAnchor>
    <xdr:from>
      <xdr:col>12</xdr:col>
      <xdr:colOff>80683</xdr:colOff>
      <xdr:row>301</xdr:row>
      <xdr:rowOff>103096</xdr:rowOff>
    </xdr:from>
    <xdr:to>
      <xdr:col>13</xdr:col>
      <xdr:colOff>73960</xdr:colOff>
      <xdr:row>302</xdr:row>
      <xdr:rowOff>96371</xdr:rowOff>
    </xdr:to>
    <xdr:sp macro="" textlink="" fLocksText="0">
      <xdr:nvSpPr>
        <xdr:cNvPr id="121" name="Rectangle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3276600" y="717137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78</a:t>
          </a:r>
        </a:p>
      </xdr:txBody>
    </xdr:sp>
    <xdr:clientData/>
  </xdr:twoCellAnchor>
  <xdr:twoCellAnchor>
    <xdr:from>
      <xdr:col>12</xdr:col>
      <xdr:colOff>177053</xdr:colOff>
      <xdr:row>306</xdr:row>
      <xdr:rowOff>121026</xdr:rowOff>
    </xdr:from>
    <xdr:to>
      <xdr:col>13</xdr:col>
      <xdr:colOff>170330</xdr:colOff>
      <xdr:row>307</xdr:row>
      <xdr:rowOff>114302</xdr:rowOff>
    </xdr:to>
    <xdr:sp macro="" textlink="" fLocksText="0">
      <xdr:nvSpPr>
        <xdr:cNvPr id="122" name="Rectangle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/>
      </xdr:nvSpPr>
      <xdr:spPr>
        <a:xfrm>
          <a:off x="3381375" y="727329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82</a:t>
          </a:r>
        </a:p>
      </xdr:txBody>
    </xdr:sp>
    <xdr:clientData/>
  </xdr:twoCellAnchor>
  <xdr:twoCellAnchor>
    <xdr:from>
      <xdr:col>5</xdr:col>
      <xdr:colOff>4482</xdr:colOff>
      <xdr:row>308</xdr:row>
      <xdr:rowOff>150163</xdr:rowOff>
    </xdr:from>
    <xdr:to>
      <xdr:col>5</xdr:col>
      <xdr:colOff>233083</xdr:colOff>
      <xdr:row>309</xdr:row>
      <xdr:rowOff>143437</xdr:rowOff>
    </xdr:to>
    <xdr:sp macro="" textlink="" fLocksText="0">
      <xdr:nvSpPr>
        <xdr:cNvPr id="123" name="Rectangle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/>
      </xdr:nvSpPr>
      <xdr:spPr>
        <a:xfrm>
          <a:off x="1333500" y="73161525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83</a:t>
          </a:r>
        </a:p>
      </xdr:txBody>
    </xdr:sp>
    <xdr:clientData/>
  </xdr:twoCellAnchor>
  <xdr:twoCellAnchor>
    <xdr:from>
      <xdr:col>12</xdr:col>
      <xdr:colOff>78441</xdr:colOff>
      <xdr:row>302</xdr:row>
      <xdr:rowOff>190500</xdr:rowOff>
    </xdr:from>
    <xdr:to>
      <xdr:col>13</xdr:col>
      <xdr:colOff>78441</xdr:colOff>
      <xdr:row>303</xdr:row>
      <xdr:rowOff>156882</xdr:rowOff>
    </xdr:to>
    <xdr:sp macro="" textlink="" fLocksText="0">
      <xdr:nvSpPr>
        <xdr:cNvPr id="124" name="Rectangle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/>
      </xdr:nvSpPr>
      <xdr:spPr>
        <a:xfrm>
          <a:off x="3276600" y="71999475"/>
          <a:ext cx="266700" cy="1619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79</a:t>
          </a:r>
        </a:p>
      </xdr:txBody>
    </xdr:sp>
    <xdr:clientData/>
  </xdr:twoCellAnchor>
  <xdr:twoCellAnchor>
    <xdr:from>
      <xdr:col>25</xdr:col>
      <xdr:colOff>29136</xdr:colOff>
      <xdr:row>304</xdr:row>
      <xdr:rowOff>62751</xdr:rowOff>
    </xdr:from>
    <xdr:to>
      <xdr:col>26</xdr:col>
      <xdr:colOff>174812</xdr:colOff>
      <xdr:row>305</xdr:row>
      <xdr:rowOff>51545</xdr:rowOff>
    </xdr:to>
    <xdr:sp macro="" textlink="" fLocksText="0">
      <xdr:nvSpPr>
        <xdr:cNvPr id="125" name="Rectangle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/>
      </xdr:nvSpPr>
      <xdr:spPr>
        <a:xfrm>
          <a:off x="6696075" y="72275700"/>
          <a:ext cx="4095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65.2</a:t>
          </a:r>
        </a:p>
      </xdr:txBody>
    </xdr:sp>
    <xdr:clientData/>
  </xdr:twoCellAnchor>
  <xdr:twoCellAnchor>
    <xdr:from>
      <xdr:col>33</xdr:col>
      <xdr:colOff>192741</xdr:colOff>
      <xdr:row>303</xdr:row>
      <xdr:rowOff>58270</xdr:rowOff>
    </xdr:from>
    <xdr:to>
      <xdr:col>35</xdr:col>
      <xdr:colOff>103093</xdr:colOff>
      <xdr:row>304</xdr:row>
      <xdr:rowOff>47064</xdr:rowOff>
    </xdr:to>
    <xdr:sp macro="" textlink="" fLocksText="0">
      <xdr:nvSpPr>
        <xdr:cNvPr id="126" name="Rectangle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/>
      </xdr:nvSpPr>
      <xdr:spPr>
        <a:xfrm>
          <a:off x="8991600" y="72066150"/>
          <a:ext cx="4476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65.3</a:t>
          </a:r>
        </a:p>
      </xdr:txBody>
    </xdr:sp>
    <xdr:clientData/>
  </xdr:twoCellAnchor>
  <xdr:twoCellAnchor>
    <xdr:from>
      <xdr:col>41</xdr:col>
      <xdr:colOff>154640</xdr:colOff>
      <xdr:row>303</xdr:row>
      <xdr:rowOff>53788</xdr:rowOff>
    </xdr:from>
    <xdr:to>
      <xdr:col>43</xdr:col>
      <xdr:colOff>64993</xdr:colOff>
      <xdr:row>304</xdr:row>
      <xdr:rowOff>42582</xdr:rowOff>
    </xdr:to>
    <xdr:sp macro="" textlink="" fLocksText="0">
      <xdr:nvSpPr>
        <xdr:cNvPr id="127" name="Rectangle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/>
      </xdr:nvSpPr>
      <xdr:spPr>
        <a:xfrm>
          <a:off x="11087100" y="72066150"/>
          <a:ext cx="4476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65.4</a:t>
          </a:r>
        </a:p>
      </xdr:txBody>
    </xdr:sp>
    <xdr:clientData/>
  </xdr:twoCellAnchor>
  <xdr:twoCellAnchor>
    <xdr:from>
      <xdr:col>51</xdr:col>
      <xdr:colOff>172568</xdr:colOff>
      <xdr:row>303</xdr:row>
      <xdr:rowOff>71717</xdr:rowOff>
    </xdr:from>
    <xdr:to>
      <xdr:col>53</xdr:col>
      <xdr:colOff>82921</xdr:colOff>
      <xdr:row>304</xdr:row>
      <xdr:rowOff>60511</xdr:rowOff>
    </xdr:to>
    <xdr:sp macro="" textlink="" fLocksText="0">
      <xdr:nvSpPr>
        <xdr:cNvPr id="128" name="Rectangle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/>
      </xdr:nvSpPr>
      <xdr:spPr>
        <a:xfrm>
          <a:off x="13773150" y="72085200"/>
          <a:ext cx="4476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65.5</a:t>
          </a:r>
        </a:p>
      </xdr:txBody>
    </xdr:sp>
    <xdr:clientData/>
  </xdr:twoCellAnchor>
  <xdr:twoCellAnchor>
    <xdr:from>
      <xdr:col>12</xdr:col>
      <xdr:colOff>76201</xdr:colOff>
      <xdr:row>304</xdr:row>
      <xdr:rowOff>8969</xdr:rowOff>
    </xdr:from>
    <xdr:to>
      <xdr:col>13</xdr:col>
      <xdr:colOff>69478</xdr:colOff>
      <xdr:row>305</xdr:row>
      <xdr:rowOff>2244</xdr:rowOff>
    </xdr:to>
    <xdr:sp macro="" textlink="" fLocksText="0">
      <xdr:nvSpPr>
        <xdr:cNvPr id="129" name="Rectangle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/>
      </xdr:nvSpPr>
      <xdr:spPr>
        <a:xfrm>
          <a:off x="3276600" y="722185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80</a:t>
          </a:r>
        </a:p>
      </xdr:txBody>
    </xdr:sp>
    <xdr:clientData/>
  </xdr:twoCellAnchor>
  <xdr:twoCellAnchor>
    <xdr:from>
      <xdr:col>12</xdr:col>
      <xdr:colOff>78442</xdr:colOff>
      <xdr:row>305</xdr:row>
      <xdr:rowOff>67235</xdr:rowOff>
    </xdr:from>
    <xdr:to>
      <xdr:col>13</xdr:col>
      <xdr:colOff>71719</xdr:colOff>
      <xdr:row>306</xdr:row>
      <xdr:rowOff>60510</xdr:rowOff>
    </xdr:to>
    <xdr:sp macro="" textlink="" fLocksText="0">
      <xdr:nvSpPr>
        <xdr:cNvPr id="130" name="Rectangle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/>
      </xdr:nvSpPr>
      <xdr:spPr>
        <a:xfrm>
          <a:off x="3276600" y="724757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81</a:t>
          </a:r>
        </a:p>
      </xdr:txBody>
    </xdr:sp>
    <xdr:clientData/>
  </xdr:twoCellAnchor>
  <xdr:twoCellAnchor>
    <xdr:from>
      <xdr:col>43</xdr:col>
      <xdr:colOff>105335</xdr:colOff>
      <xdr:row>295</xdr:row>
      <xdr:rowOff>49306</xdr:rowOff>
    </xdr:from>
    <xdr:to>
      <xdr:col>44</xdr:col>
      <xdr:colOff>98613</xdr:colOff>
      <xdr:row>296</xdr:row>
      <xdr:rowOff>42583</xdr:rowOff>
    </xdr:to>
    <xdr:sp macro="" textlink="" fLocksText="0">
      <xdr:nvSpPr>
        <xdr:cNvPr id="133" name="Rectangle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/>
      </xdr:nvSpPr>
      <xdr:spPr>
        <a:xfrm>
          <a:off x="11572875" y="704564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72</a:t>
          </a:r>
        </a:p>
      </xdr:txBody>
    </xdr:sp>
    <xdr:clientData/>
  </xdr:twoCellAnchor>
  <xdr:twoCellAnchor>
    <xdr:from>
      <xdr:col>52</xdr:col>
      <xdr:colOff>112058</xdr:colOff>
      <xdr:row>295</xdr:row>
      <xdr:rowOff>44824</xdr:rowOff>
    </xdr:from>
    <xdr:to>
      <xdr:col>53</xdr:col>
      <xdr:colOff>105336</xdr:colOff>
      <xdr:row>296</xdr:row>
      <xdr:rowOff>38101</xdr:rowOff>
    </xdr:to>
    <xdr:sp macro="" textlink="" fLocksText="0">
      <xdr:nvSpPr>
        <xdr:cNvPr id="134" name="Rectangle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/>
      </xdr:nvSpPr>
      <xdr:spPr>
        <a:xfrm>
          <a:off x="13982700" y="704564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73</a:t>
          </a:r>
        </a:p>
      </xdr:txBody>
    </xdr:sp>
    <xdr:clientData/>
  </xdr:twoCellAnchor>
  <xdr:twoCellAnchor>
    <xdr:from>
      <xdr:col>41</xdr:col>
      <xdr:colOff>210671</xdr:colOff>
      <xdr:row>296</xdr:row>
      <xdr:rowOff>87406</xdr:rowOff>
    </xdr:from>
    <xdr:to>
      <xdr:col>43</xdr:col>
      <xdr:colOff>91887</xdr:colOff>
      <xdr:row>297</xdr:row>
      <xdr:rowOff>91887</xdr:rowOff>
    </xdr:to>
    <xdr:sp macro="" textlink="" fLocksText="0">
      <xdr:nvSpPr>
        <xdr:cNvPr id="135" name="Rectangle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/>
      </xdr:nvSpPr>
      <xdr:spPr>
        <a:xfrm>
          <a:off x="11144250" y="70694550"/>
          <a:ext cx="41910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74.4</a:t>
          </a:r>
        </a:p>
      </xdr:txBody>
    </xdr:sp>
    <xdr:clientData/>
  </xdr:twoCellAnchor>
  <xdr:twoCellAnchor>
    <xdr:from>
      <xdr:col>51</xdr:col>
      <xdr:colOff>217395</xdr:colOff>
      <xdr:row>296</xdr:row>
      <xdr:rowOff>94129</xdr:rowOff>
    </xdr:from>
    <xdr:to>
      <xdr:col>53</xdr:col>
      <xdr:colOff>98611</xdr:colOff>
      <xdr:row>297</xdr:row>
      <xdr:rowOff>98610</xdr:rowOff>
    </xdr:to>
    <xdr:sp macro="" textlink="" fLocksText="0">
      <xdr:nvSpPr>
        <xdr:cNvPr id="136" name="Rectangle 135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/>
      </xdr:nvSpPr>
      <xdr:spPr>
        <a:xfrm>
          <a:off x="13820775" y="70704075"/>
          <a:ext cx="4095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74.5</a:t>
          </a:r>
        </a:p>
      </xdr:txBody>
    </xdr:sp>
    <xdr:clientData/>
  </xdr:twoCellAnchor>
  <xdr:twoCellAnchor>
    <xdr:from>
      <xdr:col>12</xdr:col>
      <xdr:colOff>78444</xdr:colOff>
      <xdr:row>299</xdr:row>
      <xdr:rowOff>11207</xdr:rowOff>
    </xdr:from>
    <xdr:to>
      <xdr:col>13</xdr:col>
      <xdr:colOff>67236</xdr:colOff>
      <xdr:row>300</xdr:row>
      <xdr:rowOff>11206</xdr:rowOff>
    </xdr:to>
    <xdr:sp macro="" textlink="" fLocksText="0">
      <xdr:nvSpPr>
        <xdr:cNvPr id="137" name="Rectangle 136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/>
      </xdr:nvSpPr>
      <xdr:spPr>
        <a:xfrm>
          <a:off x="3276600" y="712184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76</a:t>
          </a:r>
        </a:p>
      </xdr:txBody>
    </xdr:sp>
    <xdr:clientData/>
  </xdr:twoCellAnchor>
  <xdr:twoCellAnchor>
    <xdr:from>
      <xdr:col>12</xdr:col>
      <xdr:colOff>78444</xdr:colOff>
      <xdr:row>300</xdr:row>
      <xdr:rowOff>67237</xdr:rowOff>
    </xdr:from>
    <xdr:to>
      <xdr:col>13</xdr:col>
      <xdr:colOff>78441</xdr:colOff>
      <xdr:row>301</xdr:row>
      <xdr:rowOff>44825</xdr:rowOff>
    </xdr:to>
    <xdr:sp macro="" textlink="" fLocksText="0">
      <xdr:nvSpPr>
        <xdr:cNvPr id="138" name="Rectangle 137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/>
      </xdr:nvSpPr>
      <xdr:spPr>
        <a:xfrm>
          <a:off x="3276600" y="71475600"/>
          <a:ext cx="2667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77</a:t>
          </a:r>
        </a:p>
      </xdr:txBody>
    </xdr:sp>
    <xdr:clientData/>
  </xdr:twoCellAnchor>
  <xdr:twoCellAnchor>
    <xdr:from>
      <xdr:col>29</xdr:col>
      <xdr:colOff>181535</xdr:colOff>
      <xdr:row>310</xdr:row>
      <xdr:rowOff>24656</xdr:rowOff>
    </xdr:from>
    <xdr:to>
      <xdr:col>30</xdr:col>
      <xdr:colOff>174812</xdr:colOff>
      <xdr:row>311</xdr:row>
      <xdr:rowOff>17930</xdr:rowOff>
    </xdr:to>
    <xdr:sp macro="" textlink="" fLocksText="0">
      <xdr:nvSpPr>
        <xdr:cNvPr id="139" name="Rectangle 138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/>
      </xdr:nvSpPr>
      <xdr:spPr>
        <a:xfrm>
          <a:off x="7915275" y="734377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85</a:t>
          </a:r>
        </a:p>
      </xdr:txBody>
    </xdr:sp>
    <xdr:clientData/>
  </xdr:twoCellAnchor>
  <xdr:twoCellAnchor>
    <xdr:from>
      <xdr:col>36</xdr:col>
      <xdr:colOff>20170</xdr:colOff>
      <xdr:row>310</xdr:row>
      <xdr:rowOff>31379</xdr:rowOff>
    </xdr:from>
    <xdr:to>
      <xdr:col>37</xdr:col>
      <xdr:colOff>13447</xdr:colOff>
      <xdr:row>311</xdr:row>
      <xdr:rowOff>24653</xdr:rowOff>
    </xdr:to>
    <xdr:sp macro="" textlink="" fLocksText="0">
      <xdr:nvSpPr>
        <xdr:cNvPr id="140" name="Rectangle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/>
      </xdr:nvSpPr>
      <xdr:spPr>
        <a:xfrm>
          <a:off x="9620250" y="734377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86</a:t>
          </a:r>
        </a:p>
      </xdr:txBody>
    </xdr:sp>
    <xdr:clientData/>
  </xdr:twoCellAnchor>
  <xdr:twoCellAnchor>
    <xdr:from>
      <xdr:col>46</xdr:col>
      <xdr:colOff>82923</xdr:colOff>
      <xdr:row>310</xdr:row>
      <xdr:rowOff>26897</xdr:rowOff>
    </xdr:from>
    <xdr:to>
      <xdr:col>47</xdr:col>
      <xdr:colOff>76200</xdr:colOff>
      <xdr:row>311</xdr:row>
      <xdr:rowOff>20171</xdr:rowOff>
    </xdr:to>
    <xdr:sp macro="" textlink="" fLocksText="0">
      <xdr:nvSpPr>
        <xdr:cNvPr id="141" name="Rectangle 140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/>
      </xdr:nvSpPr>
      <xdr:spPr>
        <a:xfrm>
          <a:off x="12353925" y="734377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87</a:t>
          </a:r>
        </a:p>
      </xdr:txBody>
    </xdr:sp>
    <xdr:clientData/>
  </xdr:twoCellAnchor>
  <xdr:twoCellAnchor>
    <xdr:from>
      <xdr:col>11</xdr:col>
      <xdr:colOff>11206</xdr:colOff>
      <xdr:row>311</xdr:row>
      <xdr:rowOff>145676</xdr:rowOff>
    </xdr:from>
    <xdr:to>
      <xdr:col>12</xdr:col>
      <xdr:colOff>112058</xdr:colOff>
      <xdr:row>312</xdr:row>
      <xdr:rowOff>134468</xdr:rowOff>
    </xdr:to>
    <xdr:sp macro="" textlink="" fLocksText="0">
      <xdr:nvSpPr>
        <xdr:cNvPr id="142" name="Rectangle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/>
      </xdr:nvSpPr>
      <xdr:spPr>
        <a:xfrm>
          <a:off x="2943225" y="73752075"/>
          <a:ext cx="3714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88.1</a:t>
          </a:r>
        </a:p>
      </xdr:txBody>
    </xdr:sp>
    <xdr:clientData/>
  </xdr:twoCellAnchor>
  <xdr:twoCellAnchor>
    <xdr:from>
      <xdr:col>18</xdr:col>
      <xdr:colOff>141193</xdr:colOff>
      <xdr:row>311</xdr:row>
      <xdr:rowOff>141193</xdr:rowOff>
    </xdr:from>
    <xdr:to>
      <xdr:col>20</xdr:col>
      <xdr:colOff>6721</xdr:colOff>
      <xdr:row>312</xdr:row>
      <xdr:rowOff>129985</xdr:rowOff>
    </xdr:to>
    <xdr:sp macro="" textlink="" fLocksText="0">
      <xdr:nvSpPr>
        <xdr:cNvPr id="143" name="Rectangle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/>
      </xdr:nvSpPr>
      <xdr:spPr>
        <a:xfrm>
          <a:off x="4943475" y="73752075"/>
          <a:ext cx="4000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88.2</a:t>
          </a:r>
        </a:p>
      </xdr:txBody>
    </xdr:sp>
    <xdr:clientData/>
  </xdr:twoCellAnchor>
  <xdr:twoCellAnchor>
    <xdr:from>
      <xdr:col>28</xdr:col>
      <xdr:colOff>147917</xdr:colOff>
      <xdr:row>311</xdr:row>
      <xdr:rowOff>136711</xdr:rowOff>
    </xdr:from>
    <xdr:to>
      <xdr:col>30</xdr:col>
      <xdr:colOff>13445</xdr:colOff>
      <xdr:row>312</xdr:row>
      <xdr:rowOff>125503</xdr:rowOff>
    </xdr:to>
    <xdr:sp macro="" textlink="" fLocksText="0">
      <xdr:nvSpPr>
        <xdr:cNvPr id="144" name="Rectangle 143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/>
      </xdr:nvSpPr>
      <xdr:spPr>
        <a:xfrm>
          <a:off x="7620000" y="73742550"/>
          <a:ext cx="3905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88.3</a:t>
          </a:r>
        </a:p>
      </xdr:txBody>
    </xdr:sp>
    <xdr:clientData/>
  </xdr:twoCellAnchor>
  <xdr:twoCellAnchor>
    <xdr:from>
      <xdr:col>37</xdr:col>
      <xdr:colOff>8964</xdr:colOff>
      <xdr:row>311</xdr:row>
      <xdr:rowOff>132229</xdr:rowOff>
    </xdr:from>
    <xdr:to>
      <xdr:col>38</xdr:col>
      <xdr:colOff>109816</xdr:colOff>
      <xdr:row>312</xdr:row>
      <xdr:rowOff>121021</xdr:rowOff>
    </xdr:to>
    <xdr:sp macro="" textlink="" fLocksText="0">
      <xdr:nvSpPr>
        <xdr:cNvPr id="145" name="Rectangle 144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/>
      </xdr:nvSpPr>
      <xdr:spPr>
        <a:xfrm>
          <a:off x="9877425" y="73742550"/>
          <a:ext cx="3714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88.4</a:t>
          </a:r>
        </a:p>
      </xdr:txBody>
    </xdr:sp>
    <xdr:clientData/>
  </xdr:twoCellAnchor>
  <xdr:twoCellAnchor>
    <xdr:from>
      <xdr:col>48</xdr:col>
      <xdr:colOff>4483</xdr:colOff>
      <xdr:row>311</xdr:row>
      <xdr:rowOff>138952</xdr:rowOff>
    </xdr:from>
    <xdr:to>
      <xdr:col>49</xdr:col>
      <xdr:colOff>105334</xdr:colOff>
      <xdr:row>312</xdr:row>
      <xdr:rowOff>127744</xdr:rowOff>
    </xdr:to>
    <xdr:sp macro="" textlink="" fLocksText="0">
      <xdr:nvSpPr>
        <xdr:cNvPr id="146" name="Rectangle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/>
      </xdr:nvSpPr>
      <xdr:spPr>
        <a:xfrm>
          <a:off x="12801600" y="73752075"/>
          <a:ext cx="3714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88.5</a:t>
          </a:r>
        </a:p>
      </xdr:txBody>
    </xdr:sp>
    <xdr:clientData/>
  </xdr:twoCellAnchor>
  <xdr:twoCellAnchor>
    <xdr:from>
      <xdr:col>45</xdr:col>
      <xdr:colOff>168088</xdr:colOff>
      <xdr:row>7</xdr:row>
      <xdr:rowOff>123266</xdr:rowOff>
    </xdr:from>
    <xdr:to>
      <xdr:col>46</xdr:col>
      <xdr:colOff>161366</xdr:colOff>
      <xdr:row>8</xdr:row>
      <xdr:rowOff>127748</xdr:rowOff>
    </xdr:to>
    <xdr:sp macro="" textlink="" fLocksText="0">
      <xdr:nvSpPr>
        <xdr:cNvPr id="63" name="Rectangle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2172950" y="15716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80" customWidth="1"/>
    <col min="61" max="16384" width="2.77734375" style="280"/>
  </cols>
  <sheetData>
    <row r="1" spans="1:63" ht="24.95" customHeight="1" x14ac:dyDescent="0.25">
      <c r="A1" s="274" t="s">
        <v>268</v>
      </c>
      <c r="B1" s="275"/>
      <c r="C1" s="275"/>
      <c r="D1" s="275"/>
      <c r="E1" s="275"/>
      <c r="F1" s="275"/>
      <c r="G1" s="275"/>
      <c r="H1" s="275"/>
      <c r="I1" s="275"/>
      <c r="J1" s="276"/>
      <c r="K1" s="274" t="s">
        <v>269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6"/>
      <c r="W1" s="277" t="s">
        <v>270</v>
      </c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9"/>
      <c r="AP1" s="274" t="s">
        <v>271</v>
      </c>
      <c r="AQ1" s="275"/>
      <c r="AR1" s="275"/>
      <c r="AS1" s="276"/>
      <c r="AT1" s="274" t="s">
        <v>272</v>
      </c>
      <c r="AU1" s="275"/>
      <c r="AV1" s="275"/>
      <c r="AW1" s="275"/>
      <c r="AX1" s="276"/>
      <c r="AY1" s="274" t="s">
        <v>273</v>
      </c>
      <c r="AZ1" s="275"/>
      <c r="BA1" s="275"/>
      <c r="BB1" s="276"/>
      <c r="BC1" s="274" t="s">
        <v>274</v>
      </c>
      <c r="BD1" s="275"/>
      <c r="BE1" s="275"/>
      <c r="BF1" s="275"/>
      <c r="BG1" s="276"/>
      <c r="BH1" s="274" t="s">
        <v>275</v>
      </c>
      <c r="BI1" s="275"/>
      <c r="BJ1" s="275"/>
      <c r="BK1" s="276"/>
    </row>
    <row r="2" spans="1:63" ht="15" customHeight="1" x14ac:dyDescent="0.25">
      <c r="A2" s="1" t="s">
        <v>276</v>
      </c>
      <c r="B2" s="281"/>
      <c r="C2" s="281"/>
      <c r="D2" s="281"/>
      <c r="E2" s="281"/>
      <c r="F2" s="281"/>
      <c r="G2" s="281"/>
      <c r="H2" s="281"/>
      <c r="I2" s="281"/>
      <c r="J2" s="282"/>
      <c r="K2" s="283" t="s">
        <v>10</v>
      </c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2"/>
      <c r="W2" s="284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5"/>
      <c r="AN2" s="285"/>
      <c r="AO2" s="286"/>
      <c r="AP2" s="283" t="str">
        <f>改訂履歴!$H$11</f>
        <v>DuNT</v>
      </c>
      <c r="AQ2" s="281"/>
      <c r="AR2" s="281"/>
      <c r="AS2" s="282"/>
      <c r="AT2" s="287">
        <f>改訂履歴!$B$11</f>
        <v>45636</v>
      </c>
      <c r="AU2" s="288"/>
      <c r="AV2" s="288"/>
      <c r="AW2" s="288"/>
      <c r="AX2" s="289"/>
      <c r="AY2" s="283" t="str">
        <f>LOOKUP(2,1/(改訂履歴!H11:H30000&lt;&gt;""),改訂履歴!H11:H30000)</f>
        <v>DuNT</v>
      </c>
      <c r="AZ2" s="281"/>
      <c r="BA2" s="281"/>
      <c r="BB2" s="282"/>
      <c r="BC2" s="287">
        <f>LOOKUP(2,1/(改訂履歴!B11:B30000&lt;&gt;""),改訂履歴!B11:B30000)</f>
        <v>45636</v>
      </c>
      <c r="BD2" s="288"/>
      <c r="BE2" s="288"/>
      <c r="BF2" s="288"/>
      <c r="BG2" s="289"/>
      <c r="BH2" s="290">
        <f>LOOKUP(2,1/(改訂履歴!O11:O30000&lt;&gt;""),改訂履歴!O11:O30000)</f>
        <v>0.1</v>
      </c>
      <c r="BI2" s="291"/>
      <c r="BJ2" s="291"/>
      <c r="BK2" s="292"/>
    </row>
    <row r="3" spans="1:63" ht="15" customHeight="1" x14ac:dyDescent="0.25">
      <c r="A3" s="293"/>
      <c r="B3" s="294"/>
      <c r="C3" s="294"/>
      <c r="D3" s="294"/>
      <c r="E3" s="294"/>
      <c r="F3" s="294"/>
      <c r="G3" s="294"/>
      <c r="H3" s="294"/>
      <c r="I3" s="294"/>
      <c r="J3" s="295"/>
      <c r="K3" s="293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5"/>
      <c r="W3" s="296"/>
      <c r="X3" s="297"/>
      <c r="Y3" s="297"/>
      <c r="Z3" s="297"/>
      <c r="AA3" s="297"/>
      <c r="AB3" s="297"/>
      <c r="AC3" s="297"/>
      <c r="AD3" s="297"/>
      <c r="AE3" s="297"/>
      <c r="AF3" s="297"/>
      <c r="AG3" s="297"/>
      <c r="AH3" s="297"/>
      <c r="AI3" s="297"/>
      <c r="AJ3" s="297"/>
      <c r="AK3" s="297"/>
      <c r="AL3" s="297"/>
      <c r="AM3" s="297"/>
      <c r="AN3" s="297"/>
      <c r="AO3" s="298"/>
      <c r="AP3" s="293"/>
      <c r="AQ3" s="294"/>
      <c r="AR3" s="294"/>
      <c r="AS3" s="295"/>
      <c r="AT3" s="299"/>
      <c r="AU3" s="300"/>
      <c r="AV3" s="300"/>
      <c r="AW3" s="300"/>
      <c r="AX3" s="301"/>
      <c r="AY3" s="293"/>
      <c r="AZ3" s="294"/>
      <c r="BA3" s="294"/>
      <c r="BB3" s="295"/>
      <c r="BC3" s="299"/>
      <c r="BD3" s="300"/>
      <c r="BE3" s="300"/>
      <c r="BF3" s="300"/>
      <c r="BG3" s="301"/>
      <c r="BH3" s="302"/>
      <c r="BI3" s="303"/>
      <c r="BJ3" s="303"/>
      <c r="BK3" s="304"/>
    </row>
    <row r="4" spans="1:63" ht="24.95" customHeight="1" x14ac:dyDescent="0.25">
      <c r="A4" s="274" t="s">
        <v>277</v>
      </c>
      <c r="B4" s="275"/>
      <c r="C4" s="275"/>
      <c r="D4" s="275"/>
      <c r="E4" s="275"/>
      <c r="F4" s="275"/>
      <c r="G4" s="276"/>
      <c r="H4" s="305" t="s">
        <v>278</v>
      </c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7"/>
      <c r="U4" s="274" t="s">
        <v>279</v>
      </c>
      <c r="V4" s="275"/>
      <c r="W4" s="275"/>
      <c r="X4" s="275"/>
      <c r="Y4" s="276"/>
      <c r="Z4" s="31" t="s">
        <v>280</v>
      </c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9"/>
      <c r="AP4" s="310" t="str">
        <f t="array" aca="1" ref="AP4" ca="1">RIGHT(CELL("filename",$A$1),LEN(CELL("filename",$A$1))-FIND("]",CELL("filename",$A$1)))</f>
        <v>表紙</v>
      </c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9"/>
    </row>
    <row r="5" spans="1:63" ht="5.0999999999999996" customHeight="1" x14ac:dyDescent="0.25">
      <c r="A5" s="311"/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312"/>
      <c r="BK5" s="313"/>
    </row>
    <row r="6" spans="1:63" ht="15" customHeight="1" x14ac:dyDescent="0.25">
      <c r="A6" s="314"/>
      <c r="BK6" s="315"/>
    </row>
    <row r="7" spans="1:63" ht="15" customHeight="1" x14ac:dyDescent="0.25">
      <c r="A7" s="314"/>
      <c r="BK7" s="315"/>
    </row>
    <row r="8" spans="1:63" ht="15" customHeight="1" x14ac:dyDescent="0.25">
      <c r="A8" s="314"/>
      <c r="BK8" s="315"/>
    </row>
    <row r="9" spans="1:63" ht="15" customHeight="1" x14ac:dyDescent="0.25">
      <c r="A9" s="314"/>
      <c r="BK9" s="315"/>
    </row>
    <row r="10" spans="1:63" ht="15" customHeight="1" x14ac:dyDescent="0.25">
      <c r="A10" s="314"/>
      <c r="BK10" s="315"/>
    </row>
    <row r="11" spans="1:63" ht="15" customHeight="1" x14ac:dyDescent="0.25">
      <c r="A11" s="314"/>
      <c r="BK11" s="315"/>
    </row>
    <row r="12" spans="1:63" ht="15" customHeight="1" x14ac:dyDescent="0.25">
      <c r="A12" s="314"/>
      <c r="BK12" s="315"/>
    </row>
    <row r="13" spans="1:63" ht="15" customHeight="1" x14ac:dyDescent="0.25">
      <c r="A13" s="314"/>
      <c r="BK13" s="315"/>
    </row>
    <row r="14" spans="1:63" ht="15" customHeight="1" thickBot="1" x14ac:dyDescent="0.3">
      <c r="A14" s="314"/>
      <c r="BK14" s="315"/>
    </row>
    <row r="15" spans="1:63" ht="15" customHeight="1" thickTop="1" x14ac:dyDescent="0.25">
      <c r="A15" s="314"/>
      <c r="K15" s="316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  <c r="AG15" s="317"/>
      <c r="AH15" s="317"/>
      <c r="AI15" s="317"/>
      <c r="AJ15" s="317"/>
      <c r="AK15" s="317"/>
      <c r="AL15" s="317"/>
      <c r="AM15" s="317"/>
      <c r="AN15" s="317"/>
      <c r="AO15" s="317"/>
      <c r="AP15" s="317"/>
      <c r="AQ15" s="317"/>
      <c r="AR15" s="317"/>
      <c r="AS15" s="317"/>
      <c r="AT15" s="317"/>
      <c r="AU15" s="317"/>
      <c r="AV15" s="317"/>
      <c r="AW15" s="317"/>
      <c r="AX15" s="317"/>
      <c r="AY15" s="317"/>
      <c r="AZ15" s="317"/>
      <c r="BA15" s="318"/>
      <c r="BK15" s="315"/>
    </row>
    <row r="16" spans="1:63" ht="15" customHeight="1" x14ac:dyDescent="0.25">
      <c r="A16" s="314"/>
      <c r="K16" s="319"/>
      <c r="L16" s="320" t="s">
        <v>281</v>
      </c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  <c r="AA16" s="321"/>
      <c r="AB16" s="321"/>
      <c r="AC16" s="321"/>
      <c r="AD16" s="321"/>
      <c r="AE16" s="321"/>
      <c r="AF16" s="321"/>
      <c r="AG16" s="321"/>
      <c r="AH16" s="321"/>
      <c r="AI16" s="321"/>
      <c r="AJ16" s="321"/>
      <c r="AK16" s="321"/>
      <c r="AL16" s="321"/>
      <c r="AM16" s="321"/>
      <c r="AN16" s="321"/>
      <c r="AO16" s="321"/>
      <c r="AP16" s="321"/>
      <c r="AQ16" s="321"/>
      <c r="AR16" s="321"/>
      <c r="AS16" s="321"/>
      <c r="AT16" s="321"/>
      <c r="AU16" s="321"/>
      <c r="AV16" s="321"/>
      <c r="AW16" s="321"/>
      <c r="AX16" s="321"/>
      <c r="AY16" s="321"/>
      <c r="AZ16" s="321"/>
      <c r="BA16" s="322"/>
      <c r="BK16" s="315"/>
    </row>
    <row r="17" spans="1:63" ht="15" customHeight="1" x14ac:dyDescent="0.25">
      <c r="A17" s="314"/>
      <c r="K17" s="319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1"/>
      <c r="AF17" s="321"/>
      <c r="AG17" s="321"/>
      <c r="AH17" s="321"/>
      <c r="AI17" s="321"/>
      <c r="AJ17" s="321"/>
      <c r="AK17" s="321"/>
      <c r="AL17" s="321"/>
      <c r="AM17" s="321"/>
      <c r="AN17" s="321"/>
      <c r="AO17" s="321"/>
      <c r="AP17" s="321"/>
      <c r="AQ17" s="321"/>
      <c r="AR17" s="321"/>
      <c r="AS17" s="321"/>
      <c r="AT17" s="321"/>
      <c r="AU17" s="321"/>
      <c r="AV17" s="321"/>
      <c r="AW17" s="321"/>
      <c r="AX17" s="321"/>
      <c r="AY17" s="321"/>
      <c r="AZ17" s="321"/>
      <c r="BA17" s="322"/>
      <c r="BK17" s="315"/>
    </row>
    <row r="18" spans="1:63" ht="15" customHeight="1" x14ac:dyDescent="0.25">
      <c r="A18" s="314"/>
      <c r="K18" s="319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1"/>
      <c r="AM18" s="321"/>
      <c r="AN18" s="321"/>
      <c r="AO18" s="321"/>
      <c r="AP18" s="321"/>
      <c r="AQ18" s="321"/>
      <c r="AR18" s="321"/>
      <c r="AS18" s="321"/>
      <c r="AT18" s="321"/>
      <c r="AU18" s="321"/>
      <c r="AV18" s="321"/>
      <c r="AW18" s="321"/>
      <c r="AX18" s="321"/>
      <c r="AY18" s="321"/>
      <c r="AZ18" s="321"/>
      <c r="BA18" s="322"/>
      <c r="BK18" s="315"/>
    </row>
    <row r="19" spans="1:63" ht="15" customHeight="1" x14ac:dyDescent="0.25">
      <c r="A19" s="314"/>
      <c r="K19" s="319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  <c r="AH19" s="321"/>
      <c r="AI19" s="321"/>
      <c r="AJ19" s="321"/>
      <c r="AK19" s="321"/>
      <c r="AL19" s="321"/>
      <c r="AM19" s="321"/>
      <c r="AN19" s="321"/>
      <c r="AO19" s="321"/>
      <c r="AP19" s="321"/>
      <c r="AQ19" s="321"/>
      <c r="AR19" s="321"/>
      <c r="AS19" s="321"/>
      <c r="AT19" s="321"/>
      <c r="AU19" s="321"/>
      <c r="AV19" s="321"/>
      <c r="AW19" s="321"/>
      <c r="AX19" s="321"/>
      <c r="AY19" s="321"/>
      <c r="AZ19" s="321"/>
      <c r="BA19" s="322"/>
      <c r="BK19" s="315"/>
    </row>
    <row r="20" spans="1:63" ht="15" customHeight="1" x14ac:dyDescent="0.25">
      <c r="A20" s="314"/>
      <c r="K20" s="319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321"/>
      <c r="AI20" s="321"/>
      <c r="AJ20" s="321"/>
      <c r="AK20" s="321"/>
      <c r="AL20" s="321"/>
      <c r="AM20" s="321"/>
      <c r="AN20" s="321"/>
      <c r="AO20" s="321"/>
      <c r="AP20" s="321"/>
      <c r="AQ20" s="321"/>
      <c r="AR20" s="321"/>
      <c r="AS20" s="321"/>
      <c r="AT20" s="321"/>
      <c r="AU20" s="321"/>
      <c r="AV20" s="321"/>
      <c r="AW20" s="321"/>
      <c r="AX20" s="321"/>
      <c r="AY20" s="321"/>
      <c r="AZ20" s="321"/>
      <c r="BA20" s="322"/>
      <c r="BK20" s="315"/>
    </row>
    <row r="21" spans="1:63" ht="15" customHeight="1" x14ac:dyDescent="0.25">
      <c r="A21" s="314"/>
      <c r="K21" s="319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  <c r="AH21" s="321"/>
      <c r="AI21" s="321"/>
      <c r="AJ21" s="321"/>
      <c r="AK21" s="321"/>
      <c r="AL21" s="321"/>
      <c r="AM21" s="321"/>
      <c r="AN21" s="321"/>
      <c r="AO21" s="321"/>
      <c r="AP21" s="321"/>
      <c r="AQ21" s="321"/>
      <c r="AR21" s="321"/>
      <c r="AS21" s="321"/>
      <c r="AT21" s="321"/>
      <c r="AU21" s="321"/>
      <c r="AV21" s="321"/>
      <c r="AW21" s="321"/>
      <c r="AX21" s="321"/>
      <c r="AY21" s="321"/>
      <c r="AZ21" s="321"/>
      <c r="BA21" s="322"/>
      <c r="BK21" s="315"/>
    </row>
    <row r="22" spans="1:63" ht="15" customHeight="1" thickBot="1" x14ac:dyDescent="0.3">
      <c r="A22" s="314"/>
      <c r="K22" s="319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323"/>
      <c r="AK22" s="323"/>
      <c r="AL22" s="323"/>
      <c r="AM22" s="323"/>
      <c r="AN22" s="323"/>
      <c r="AO22" s="323"/>
      <c r="AP22" s="323"/>
      <c r="AQ22" s="323"/>
      <c r="AR22" s="323"/>
      <c r="AS22" s="323"/>
      <c r="AT22" s="323"/>
      <c r="AU22" s="323"/>
      <c r="AV22" s="323"/>
      <c r="AW22" s="323"/>
      <c r="AX22" s="323"/>
      <c r="AY22" s="323"/>
      <c r="AZ22" s="323"/>
      <c r="BA22" s="322"/>
      <c r="BK22" s="315"/>
    </row>
    <row r="23" spans="1:63" ht="15" customHeight="1" x14ac:dyDescent="0.25">
      <c r="A23" s="314"/>
      <c r="K23" s="319"/>
      <c r="L23" s="324"/>
      <c r="M23" s="324"/>
      <c r="N23" s="324"/>
      <c r="O23" s="324"/>
      <c r="P23" s="324"/>
      <c r="Q23" s="324"/>
      <c r="R23" s="324"/>
      <c r="S23" s="324"/>
      <c r="T23" s="324"/>
      <c r="U23" s="324"/>
      <c r="V23" s="324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324"/>
      <c r="AH23" s="324"/>
      <c r="AI23" s="324"/>
      <c r="AJ23" s="324"/>
      <c r="AK23" s="324"/>
      <c r="AL23" s="324"/>
      <c r="AM23" s="324"/>
      <c r="AN23" s="324"/>
      <c r="AO23" s="324"/>
      <c r="AP23" s="324"/>
      <c r="AQ23" s="324"/>
      <c r="AR23" s="324"/>
      <c r="AS23" s="324"/>
      <c r="AT23" s="324"/>
      <c r="AU23" s="324"/>
      <c r="AV23" s="324"/>
      <c r="AW23" s="324"/>
      <c r="AX23" s="324"/>
      <c r="AY23" s="324"/>
      <c r="AZ23" s="324"/>
      <c r="BA23" s="322"/>
      <c r="BK23" s="315"/>
    </row>
    <row r="24" spans="1:63" ht="15" customHeight="1" x14ac:dyDescent="0.25">
      <c r="A24" s="314"/>
      <c r="K24" s="319"/>
      <c r="L24" s="321" t="str">
        <f>K2&amp;"/"&amp;H4&amp;"/"&amp;Z4</f>
        <v>POSサーバ/31_レジ別速報・日報 /画面設計書</v>
      </c>
      <c r="M24" s="321"/>
      <c r="N24" s="321"/>
      <c r="O24" s="321"/>
      <c r="P24" s="321"/>
      <c r="Q24" s="321"/>
      <c r="R24" s="321"/>
      <c r="S24" s="321"/>
      <c r="T24" s="321"/>
      <c r="U24" s="321"/>
      <c r="V24" s="321"/>
      <c r="W24" s="321"/>
      <c r="X24" s="321"/>
      <c r="Y24" s="321"/>
      <c r="Z24" s="321"/>
      <c r="AA24" s="321"/>
      <c r="AB24" s="321"/>
      <c r="AC24" s="321"/>
      <c r="AD24" s="321"/>
      <c r="AE24" s="321"/>
      <c r="AF24" s="321"/>
      <c r="AG24" s="321"/>
      <c r="AH24" s="321"/>
      <c r="AI24" s="321"/>
      <c r="AJ24" s="321"/>
      <c r="AK24" s="321"/>
      <c r="AL24" s="321"/>
      <c r="AM24" s="321"/>
      <c r="AN24" s="321"/>
      <c r="AO24" s="321"/>
      <c r="AP24" s="321"/>
      <c r="AQ24" s="321"/>
      <c r="AR24" s="321"/>
      <c r="AS24" s="321"/>
      <c r="AT24" s="321"/>
      <c r="AU24" s="321"/>
      <c r="AV24" s="321"/>
      <c r="AW24" s="321"/>
      <c r="AX24" s="321"/>
      <c r="AY24" s="321"/>
      <c r="AZ24" s="321"/>
      <c r="BA24" s="322"/>
      <c r="BK24" s="315"/>
    </row>
    <row r="25" spans="1:63" ht="15" customHeight="1" x14ac:dyDescent="0.25">
      <c r="A25" s="314"/>
      <c r="K25" s="319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1"/>
      <c r="AI25" s="321"/>
      <c r="AJ25" s="321"/>
      <c r="AK25" s="321"/>
      <c r="AL25" s="321"/>
      <c r="AM25" s="321"/>
      <c r="AN25" s="321"/>
      <c r="AO25" s="321"/>
      <c r="AP25" s="321"/>
      <c r="AQ25" s="321"/>
      <c r="AR25" s="321"/>
      <c r="AS25" s="321"/>
      <c r="AT25" s="321"/>
      <c r="AU25" s="321"/>
      <c r="AV25" s="321"/>
      <c r="AW25" s="321"/>
      <c r="AX25" s="321"/>
      <c r="AY25" s="321"/>
      <c r="AZ25" s="321"/>
      <c r="BA25" s="322"/>
      <c r="BK25" s="315"/>
    </row>
    <row r="26" spans="1:63" ht="15" customHeight="1" x14ac:dyDescent="0.25">
      <c r="A26" s="314"/>
      <c r="K26" s="319"/>
      <c r="L26" s="321"/>
      <c r="M26" s="321"/>
      <c r="N26" s="321"/>
      <c r="O26" s="321"/>
      <c r="P26" s="321"/>
      <c r="Q26" s="321"/>
      <c r="R26" s="321"/>
      <c r="S26" s="321"/>
      <c r="T26" s="321"/>
      <c r="U26" s="321"/>
      <c r="V26" s="321"/>
      <c r="W26" s="321"/>
      <c r="X26" s="321"/>
      <c r="Y26" s="321"/>
      <c r="Z26" s="321"/>
      <c r="AA26" s="321"/>
      <c r="AB26" s="321"/>
      <c r="AC26" s="321"/>
      <c r="AD26" s="321"/>
      <c r="AE26" s="321"/>
      <c r="AF26" s="321"/>
      <c r="AG26" s="321"/>
      <c r="AH26" s="321"/>
      <c r="AI26" s="321"/>
      <c r="AJ26" s="321"/>
      <c r="AK26" s="321"/>
      <c r="AL26" s="321"/>
      <c r="AM26" s="321"/>
      <c r="AN26" s="321"/>
      <c r="AO26" s="321"/>
      <c r="AP26" s="321"/>
      <c r="AQ26" s="321"/>
      <c r="AR26" s="321"/>
      <c r="AS26" s="321"/>
      <c r="AT26" s="321"/>
      <c r="AU26" s="321"/>
      <c r="AV26" s="321"/>
      <c r="AW26" s="321"/>
      <c r="AX26" s="321"/>
      <c r="AY26" s="321"/>
      <c r="AZ26" s="321"/>
      <c r="BA26" s="322"/>
      <c r="BK26" s="315"/>
    </row>
    <row r="27" spans="1:63" ht="15" customHeight="1" x14ac:dyDescent="0.25">
      <c r="A27" s="314"/>
      <c r="K27" s="319"/>
      <c r="L27" s="321"/>
      <c r="M27" s="321"/>
      <c r="N27" s="321"/>
      <c r="O27" s="321"/>
      <c r="P27" s="321"/>
      <c r="Q27" s="321"/>
      <c r="R27" s="321"/>
      <c r="S27" s="321"/>
      <c r="T27" s="321"/>
      <c r="U27" s="321"/>
      <c r="V27" s="321"/>
      <c r="W27" s="321"/>
      <c r="X27" s="321"/>
      <c r="Y27" s="321"/>
      <c r="Z27" s="321"/>
      <c r="AA27" s="321"/>
      <c r="AB27" s="321"/>
      <c r="AC27" s="321"/>
      <c r="AD27" s="321"/>
      <c r="AE27" s="321"/>
      <c r="AF27" s="321"/>
      <c r="AG27" s="321"/>
      <c r="AH27" s="321"/>
      <c r="AI27" s="321"/>
      <c r="AJ27" s="321"/>
      <c r="AK27" s="321"/>
      <c r="AL27" s="321"/>
      <c r="AM27" s="321"/>
      <c r="AN27" s="321"/>
      <c r="AO27" s="321"/>
      <c r="AP27" s="321"/>
      <c r="AQ27" s="321"/>
      <c r="AR27" s="321"/>
      <c r="AS27" s="321"/>
      <c r="AT27" s="321"/>
      <c r="AU27" s="321"/>
      <c r="AV27" s="321"/>
      <c r="AW27" s="321"/>
      <c r="AX27" s="321"/>
      <c r="AY27" s="321"/>
      <c r="AZ27" s="321"/>
      <c r="BA27" s="322"/>
      <c r="BK27" s="315"/>
    </row>
    <row r="28" spans="1:63" ht="15" customHeight="1" x14ac:dyDescent="0.25">
      <c r="A28" s="314"/>
      <c r="K28" s="319"/>
      <c r="L28" s="321"/>
      <c r="M28" s="321"/>
      <c r="N28" s="321"/>
      <c r="O28" s="321"/>
      <c r="P28" s="321"/>
      <c r="Q28" s="321"/>
      <c r="R28" s="321"/>
      <c r="S28" s="321"/>
      <c r="T28" s="321"/>
      <c r="U28" s="321"/>
      <c r="V28" s="321"/>
      <c r="W28" s="321"/>
      <c r="X28" s="321"/>
      <c r="Y28" s="321"/>
      <c r="Z28" s="321"/>
      <c r="AA28" s="321"/>
      <c r="AB28" s="321"/>
      <c r="AC28" s="321"/>
      <c r="AD28" s="321"/>
      <c r="AE28" s="321"/>
      <c r="AF28" s="321"/>
      <c r="AG28" s="321"/>
      <c r="AH28" s="321"/>
      <c r="AI28" s="321"/>
      <c r="AJ28" s="321"/>
      <c r="AK28" s="321"/>
      <c r="AL28" s="321"/>
      <c r="AM28" s="321"/>
      <c r="AN28" s="321"/>
      <c r="AO28" s="321"/>
      <c r="AP28" s="321"/>
      <c r="AQ28" s="321"/>
      <c r="AR28" s="321"/>
      <c r="AS28" s="321"/>
      <c r="AT28" s="321"/>
      <c r="AU28" s="321"/>
      <c r="AV28" s="321"/>
      <c r="AW28" s="321"/>
      <c r="AX28" s="321"/>
      <c r="AY28" s="321"/>
      <c r="AZ28" s="321"/>
      <c r="BA28" s="322"/>
      <c r="BK28" s="315"/>
    </row>
    <row r="29" spans="1:63" ht="15" customHeight="1" x14ac:dyDescent="0.25">
      <c r="A29" s="314"/>
      <c r="K29" s="319"/>
      <c r="L29" s="321"/>
      <c r="M29" s="321"/>
      <c r="N29" s="321"/>
      <c r="O29" s="321"/>
      <c r="P29" s="321"/>
      <c r="Q29" s="321"/>
      <c r="R29" s="321"/>
      <c r="S29" s="321"/>
      <c r="T29" s="321"/>
      <c r="U29" s="321"/>
      <c r="V29" s="321"/>
      <c r="W29" s="321"/>
      <c r="X29" s="321"/>
      <c r="Y29" s="321"/>
      <c r="Z29" s="321"/>
      <c r="AA29" s="321"/>
      <c r="AB29" s="321"/>
      <c r="AC29" s="321"/>
      <c r="AD29" s="321"/>
      <c r="AE29" s="321"/>
      <c r="AF29" s="321"/>
      <c r="AG29" s="321"/>
      <c r="AH29" s="321"/>
      <c r="AI29" s="321"/>
      <c r="AJ29" s="321"/>
      <c r="AK29" s="321"/>
      <c r="AL29" s="321"/>
      <c r="AM29" s="321"/>
      <c r="AN29" s="321"/>
      <c r="AO29" s="321"/>
      <c r="AP29" s="321"/>
      <c r="AQ29" s="321"/>
      <c r="AR29" s="321"/>
      <c r="AS29" s="321"/>
      <c r="AT29" s="321"/>
      <c r="AU29" s="321"/>
      <c r="AV29" s="321"/>
      <c r="AW29" s="321"/>
      <c r="AX29" s="321"/>
      <c r="AY29" s="321"/>
      <c r="AZ29" s="321"/>
      <c r="BA29" s="322"/>
      <c r="BK29" s="315"/>
    </row>
    <row r="30" spans="1:63" ht="15" customHeight="1" x14ac:dyDescent="0.25">
      <c r="A30" s="314"/>
      <c r="K30" s="319"/>
      <c r="L30" s="321"/>
      <c r="M30" s="321"/>
      <c r="N30" s="321"/>
      <c r="O30" s="321"/>
      <c r="P30" s="321"/>
      <c r="Q30" s="321"/>
      <c r="R30" s="321"/>
      <c r="S30" s="321"/>
      <c r="T30" s="321"/>
      <c r="U30" s="321"/>
      <c r="V30" s="321"/>
      <c r="W30" s="321"/>
      <c r="X30" s="321"/>
      <c r="Y30" s="321"/>
      <c r="Z30" s="321"/>
      <c r="AA30" s="321"/>
      <c r="AB30" s="321"/>
      <c r="AC30" s="321"/>
      <c r="AD30" s="321"/>
      <c r="AE30" s="321"/>
      <c r="AF30" s="321"/>
      <c r="AG30" s="321"/>
      <c r="AH30" s="321"/>
      <c r="AI30" s="321"/>
      <c r="AJ30" s="321"/>
      <c r="AK30" s="321"/>
      <c r="AL30" s="321"/>
      <c r="AM30" s="321"/>
      <c r="AN30" s="321"/>
      <c r="AO30" s="321"/>
      <c r="AP30" s="321"/>
      <c r="AQ30" s="321"/>
      <c r="AR30" s="321"/>
      <c r="AS30" s="321"/>
      <c r="AT30" s="321"/>
      <c r="AU30" s="321"/>
      <c r="AV30" s="321"/>
      <c r="AW30" s="321"/>
      <c r="AX30" s="321"/>
      <c r="AY30" s="321"/>
      <c r="AZ30" s="321"/>
      <c r="BA30" s="322"/>
      <c r="BK30" s="315"/>
    </row>
    <row r="31" spans="1:63" ht="15" customHeight="1" x14ac:dyDescent="0.25">
      <c r="A31" s="314"/>
      <c r="K31" s="319"/>
      <c r="L31" s="321"/>
      <c r="M31" s="321"/>
      <c r="N31" s="321"/>
      <c r="O31" s="321"/>
      <c r="P31" s="321"/>
      <c r="Q31" s="321"/>
      <c r="R31" s="321"/>
      <c r="S31" s="321"/>
      <c r="T31" s="321"/>
      <c r="U31" s="321"/>
      <c r="V31" s="321"/>
      <c r="W31" s="321"/>
      <c r="X31" s="321"/>
      <c r="Y31" s="321"/>
      <c r="Z31" s="321"/>
      <c r="AA31" s="321"/>
      <c r="AB31" s="321"/>
      <c r="AC31" s="321"/>
      <c r="AD31" s="321"/>
      <c r="AE31" s="321"/>
      <c r="AF31" s="321"/>
      <c r="AG31" s="321"/>
      <c r="AH31" s="321"/>
      <c r="AI31" s="321"/>
      <c r="AJ31" s="321"/>
      <c r="AK31" s="321"/>
      <c r="AL31" s="321"/>
      <c r="AM31" s="321"/>
      <c r="AN31" s="321"/>
      <c r="AO31" s="321"/>
      <c r="AP31" s="321"/>
      <c r="AQ31" s="321"/>
      <c r="AR31" s="321"/>
      <c r="AS31" s="321"/>
      <c r="AT31" s="321"/>
      <c r="AU31" s="321"/>
      <c r="AV31" s="321"/>
      <c r="AW31" s="321"/>
      <c r="AX31" s="321"/>
      <c r="AY31" s="321"/>
      <c r="AZ31" s="321"/>
      <c r="BA31" s="322"/>
      <c r="BK31" s="315"/>
    </row>
    <row r="32" spans="1:63" ht="15" customHeight="1" x14ac:dyDescent="0.25">
      <c r="A32" s="314"/>
      <c r="K32" s="319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21"/>
      <c r="AH32" s="321"/>
      <c r="AI32" s="321"/>
      <c r="AJ32" s="321"/>
      <c r="AK32" s="321"/>
      <c r="AL32" s="321"/>
      <c r="AM32" s="321"/>
      <c r="AN32" s="321"/>
      <c r="AO32" s="321"/>
      <c r="AP32" s="321"/>
      <c r="AQ32" s="321"/>
      <c r="AR32" s="321"/>
      <c r="AS32" s="321"/>
      <c r="AT32" s="321"/>
      <c r="AU32" s="321"/>
      <c r="AV32" s="321"/>
      <c r="AW32" s="321"/>
      <c r="AX32" s="321"/>
      <c r="AY32" s="321"/>
      <c r="AZ32" s="321"/>
      <c r="BA32" s="322"/>
      <c r="BK32" s="315"/>
    </row>
    <row r="33" spans="1:63" ht="15" customHeight="1" x14ac:dyDescent="0.25">
      <c r="A33" s="314"/>
      <c r="K33" s="319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Y33" s="321"/>
      <c r="Z33" s="321"/>
      <c r="AA33" s="321"/>
      <c r="AB33" s="321"/>
      <c r="AC33" s="321"/>
      <c r="AD33" s="321"/>
      <c r="AE33" s="321"/>
      <c r="AF33" s="321"/>
      <c r="AG33" s="321"/>
      <c r="AH33" s="321"/>
      <c r="AI33" s="321"/>
      <c r="AJ33" s="321"/>
      <c r="AK33" s="321"/>
      <c r="AL33" s="321"/>
      <c r="AM33" s="321"/>
      <c r="AN33" s="321"/>
      <c r="AO33" s="321"/>
      <c r="AP33" s="321"/>
      <c r="AQ33" s="321"/>
      <c r="AR33" s="321"/>
      <c r="AS33" s="321"/>
      <c r="AT33" s="321"/>
      <c r="AU33" s="321"/>
      <c r="AV33" s="321"/>
      <c r="AW33" s="321"/>
      <c r="AX33" s="321"/>
      <c r="AY33" s="321"/>
      <c r="AZ33" s="321"/>
      <c r="BA33" s="322"/>
      <c r="BK33" s="315"/>
    </row>
    <row r="34" spans="1:63" ht="15" customHeight="1" x14ac:dyDescent="0.25">
      <c r="A34" s="314"/>
      <c r="K34" s="319"/>
      <c r="L34" s="321"/>
      <c r="M34" s="321"/>
      <c r="N34" s="321"/>
      <c r="O34" s="321"/>
      <c r="P34" s="321"/>
      <c r="Q34" s="321"/>
      <c r="R34" s="321"/>
      <c r="S34" s="321"/>
      <c r="T34" s="321"/>
      <c r="U34" s="321"/>
      <c r="V34" s="321"/>
      <c r="W34" s="321"/>
      <c r="X34" s="321"/>
      <c r="Y34" s="321"/>
      <c r="Z34" s="321"/>
      <c r="AA34" s="321"/>
      <c r="AB34" s="321"/>
      <c r="AC34" s="321"/>
      <c r="AD34" s="321"/>
      <c r="AE34" s="321"/>
      <c r="AF34" s="321"/>
      <c r="AG34" s="321"/>
      <c r="AH34" s="321"/>
      <c r="AI34" s="321"/>
      <c r="AJ34" s="321"/>
      <c r="AK34" s="321"/>
      <c r="AL34" s="321"/>
      <c r="AM34" s="321"/>
      <c r="AN34" s="321"/>
      <c r="AO34" s="321"/>
      <c r="AP34" s="321"/>
      <c r="AQ34" s="321"/>
      <c r="AR34" s="321"/>
      <c r="AS34" s="321"/>
      <c r="AT34" s="321"/>
      <c r="AU34" s="321"/>
      <c r="AV34" s="321"/>
      <c r="AW34" s="321"/>
      <c r="AX34" s="321"/>
      <c r="AY34" s="321"/>
      <c r="AZ34" s="321"/>
      <c r="BA34" s="322"/>
      <c r="BK34" s="315"/>
    </row>
    <row r="35" spans="1:63" ht="15" customHeight="1" x14ac:dyDescent="0.25">
      <c r="A35" s="314"/>
      <c r="K35" s="319"/>
      <c r="L35" s="321"/>
      <c r="M35" s="321"/>
      <c r="N35" s="321"/>
      <c r="O35" s="321"/>
      <c r="P35" s="321"/>
      <c r="Q35" s="321"/>
      <c r="R35" s="321"/>
      <c r="S35" s="321"/>
      <c r="T35" s="321"/>
      <c r="U35" s="321"/>
      <c r="V35" s="321"/>
      <c r="W35" s="321"/>
      <c r="X35" s="321"/>
      <c r="Y35" s="321"/>
      <c r="Z35" s="321"/>
      <c r="AA35" s="321"/>
      <c r="AB35" s="321"/>
      <c r="AC35" s="321"/>
      <c r="AD35" s="321"/>
      <c r="AE35" s="321"/>
      <c r="AF35" s="321"/>
      <c r="AG35" s="321"/>
      <c r="AH35" s="321"/>
      <c r="AI35" s="321"/>
      <c r="AJ35" s="321"/>
      <c r="AK35" s="321"/>
      <c r="AL35" s="321"/>
      <c r="AM35" s="321"/>
      <c r="AN35" s="321"/>
      <c r="AO35" s="321"/>
      <c r="AP35" s="321"/>
      <c r="AQ35" s="321"/>
      <c r="AR35" s="321"/>
      <c r="AS35" s="321"/>
      <c r="AT35" s="321"/>
      <c r="AU35" s="321"/>
      <c r="AV35" s="321"/>
      <c r="AW35" s="321"/>
      <c r="AX35" s="321"/>
      <c r="AY35" s="321"/>
      <c r="AZ35" s="321"/>
      <c r="BA35" s="322"/>
      <c r="BK35" s="315"/>
    </row>
    <row r="36" spans="1:63" ht="15" customHeight="1" x14ac:dyDescent="0.25">
      <c r="A36" s="314"/>
      <c r="K36" s="319"/>
      <c r="L36" s="321"/>
      <c r="M36" s="321"/>
      <c r="N36" s="321"/>
      <c r="O36" s="321"/>
      <c r="P36" s="321"/>
      <c r="Q36" s="321"/>
      <c r="R36" s="321"/>
      <c r="S36" s="321"/>
      <c r="T36" s="321"/>
      <c r="U36" s="321"/>
      <c r="V36" s="321"/>
      <c r="W36" s="321"/>
      <c r="X36" s="321"/>
      <c r="Y36" s="321"/>
      <c r="Z36" s="321"/>
      <c r="AA36" s="321"/>
      <c r="AB36" s="321"/>
      <c r="AC36" s="321"/>
      <c r="AD36" s="321"/>
      <c r="AE36" s="321"/>
      <c r="AF36" s="321"/>
      <c r="AG36" s="321"/>
      <c r="AH36" s="321"/>
      <c r="AI36" s="321"/>
      <c r="AJ36" s="321"/>
      <c r="AK36" s="321"/>
      <c r="AL36" s="321"/>
      <c r="AM36" s="321"/>
      <c r="AN36" s="321"/>
      <c r="AO36" s="321"/>
      <c r="AP36" s="321"/>
      <c r="AQ36" s="321"/>
      <c r="AR36" s="321"/>
      <c r="AS36" s="321"/>
      <c r="AT36" s="321"/>
      <c r="AU36" s="321"/>
      <c r="AV36" s="321"/>
      <c r="AW36" s="321"/>
      <c r="AX36" s="321"/>
      <c r="AY36" s="321"/>
      <c r="AZ36" s="321"/>
      <c r="BA36" s="322"/>
      <c r="BK36" s="315"/>
    </row>
    <row r="37" spans="1:63" ht="15" customHeight="1" thickBot="1" x14ac:dyDescent="0.3">
      <c r="A37" s="314"/>
      <c r="K37" s="325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26"/>
      <c r="AU37" s="326"/>
      <c r="AV37" s="326"/>
      <c r="AW37" s="326"/>
      <c r="AX37" s="326"/>
      <c r="AY37" s="326"/>
      <c r="AZ37" s="326"/>
      <c r="BA37" s="327"/>
      <c r="BK37" s="315"/>
    </row>
    <row r="38" spans="1:63" ht="15" customHeight="1" thickTop="1" x14ac:dyDescent="0.25">
      <c r="A38" s="314"/>
      <c r="BK38" s="315"/>
    </row>
    <row r="39" spans="1:63" ht="15" customHeight="1" x14ac:dyDescent="0.25">
      <c r="A39" s="314"/>
      <c r="BK39" s="315"/>
    </row>
    <row r="40" spans="1:63" ht="15" customHeight="1" x14ac:dyDescent="0.25">
      <c r="A40" s="314"/>
      <c r="BK40" s="315"/>
    </row>
    <row r="41" spans="1:63" ht="15" customHeight="1" x14ac:dyDescent="0.25">
      <c r="A41" s="314"/>
      <c r="BK41" s="315"/>
    </row>
    <row r="42" spans="1:63" ht="15" customHeight="1" x14ac:dyDescent="0.25">
      <c r="A42" s="314"/>
      <c r="BK42" s="315"/>
    </row>
    <row r="43" spans="1:63" ht="15" customHeight="1" x14ac:dyDescent="0.25">
      <c r="A43" s="314"/>
      <c r="BK43" s="315"/>
    </row>
    <row r="44" spans="1:63" ht="15" customHeight="1" x14ac:dyDescent="0.25">
      <c r="A44" s="314"/>
      <c r="Q44" s="328" t="s">
        <v>282</v>
      </c>
      <c r="R44" s="329"/>
      <c r="S44" s="329"/>
      <c r="T44" s="329"/>
      <c r="U44" s="329"/>
      <c r="V44" s="329"/>
      <c r="W44" s="329"/>
      <c r="X44" s="329"/>
      <c r="Y44" s="329"/>
      <c r="Z44" s="330"/>
      <c r="AA44" s="328" t="s">
        <v>283</v>
      </c>
      <c r="AB44" s="329"/>
      <c r="AC44" s="329"/>
      <c r="AD44" s="329"/>
      <c r="AE44" s="329"/>
      <c r="AF44" s="329"/>
      <c r="AG44" s="329"/>
      <c r="AH44" s="329"/>
      <c r="AI44" s="329"/>
      <c r="AJ44" s="329"/>
      <c r="AK44" s="329"/>
      <c r="AL44" s="329"/>
      <c r="AM44" s="329"/>
      <c r="AN44" s="329"/>
      <c r="AO44" s="329"/>
      <c r="AP44" s="330"/>
      <c r="AQ44" s="328" t="s">
        <v>275</v>
      </c>
      <c r="AR44" s="329"/>
      <c r="AS44" s="329"/>
      <c r="AT44" s="329"/>
      <c r="AU44" s="330"/>
      <c r="BK44" s="315"/>
    </row>
    <row r="45" spans="1:63" ht="15" customHeight="1" x14ac:dyDescent="0.25">
      <c r="A45" s="314"/>
      <c r="Q45" s="331"/>
      <c r="R45" s="332"/>
      <c r="S45" s="332"/>
      <c r="T45" s="332"/>
      <c r="U45" s="332"/>
      <c r="V45" s="332"/>
      <c r="W45" s="332"/>
      <c r="X45" s="332"/>
      <c r="Y45" s="332"/>
      <c r="Z45" s="333"/>
      <c r="AA45" s="331"/>
      <c r="AB45" s="332"/>
      <c r="AC45" s="332"/>
      <c r="AD45" s="332"/>
      <c r="AE45" s="332"/>
      <c r="AF45" s="332"/>
      <c r="AG45" s="332"/>
      <c r="AH45" s="332"/>
      <c r="AI45" s="332"/>
      <c r="AJ45" s="332"/>
      <c r="AK45" s="332"/>
      <c r="AL45" s="332"/>
      <c r="AM45" s="332"/>
      <c r="AN45" s="332"/>
      <c r="AO45" s="332"/>
      <c r="AP45" s="333"/>
      <c r="AQ45" s="331"/>
      <c r="AR45" s="332"/>
      <c r="AS45" s="332"/>
      <c r="AT45" s="332"/>
      <c r="AU45" s="333"/>
      <c r="BK45" s="315"/>
    </row>
    <row r="46" spans="1:63" ht="15" customHeight="1" x14ac:dyDescent="0.25">
      <c r="A46" s="314"/>
      <c r="Q46" s="283"/>
      <c r="R46" s="281"/>
      <c r="S46" s="281"/>
      <c r="T46" s="281"/>
      <c r="U46" s="281"/>
      <c r="V46" s="281"/>
      <c r="W46" s="281"/>
      <c r="X46" s="281"/>
      <c r="Y46" s="281"/>
      <c r="Z46" s="282"/>
      <c r="AA46" s="283"/>
      <c r="AB46" s="281"/>
      <c r="AC46" s="281"/>
      <c r="AD46" s="281"/>
      <c r="AE46" s="281"/>
      <c r="AF46" s="281"/>
      <c r="AG46" s="281"/>
      <c r="AH46" s="281"/>
      <c r="AI46" s="281"/>
      <c r="AJ46" s="281"/>
      <c r="AK46" s="281"/>
      <c r="AL46" s="281"/>
      <c r="AM46" s="281"/>
      <c r="AN46" s="281"/>
      <c r="AO46" s="281"/>
      <c r="AP46" s="282"/>
      <c r="AQ46" s="283"/>
      <c r="AR46" s="281"/>
      <c r="AS46" s="281"/>
      <c r="AT46" s="281"/>
      <c r="AU46" s="282"/>
      <c r="BK46" s="315"/>
    </row>
    <row r="47" spans="1:63" ht="15" customHeight="1" x14ac:dyDescent="0.25">
      <c r="A47" s="314"/>
      <c r="Q47" s="334"/>
      <c r="R47" s="335"/>
      <c r="S47" s="335"/>
      <c r="T47" s="335"/>
      <c r="U47" s="335"/>
      <c r="V47" s="335"/>
      <c r="W47" s="335"/>
      <c r="X47" s="335"/>
      <c r="Y47" s="335"/>
      <c r="Z47" s="336"/>
      <c r="AA47" s="334"/>
      <c r="AB47" s="335"/>
      <c r="AC47" s="335"/>
      <c r="AD47" s="335"/>
      <c r="AE47" s="335"/>
      <c r="AF47" s="335"/>
      <c r="AG47" s="335"/>
      <c r="AH47" s="335"/>
      <c r="AI47" s="335"/>
      <c r="AJ47" s="335"/>
      <c r="AK47" s="335"/>
      <c r="AL47" s="335"/>
      <c r="AM47" s="335"/>
      <c r="AN47" s="335"/>
      <c r="AO47" s="335"/>
      <c r="AP47" s="336"/>
      <c r="AQ47" s="334"/>
      <c r="AR47" s="335"/>
      <c r="AS47" s="335"/>
      <c r="AT47" s="335"/>
      <c r="AU47" s="336"/>
      <c r="BK47" s="315"/>
    </row>
    <row r="48" spans="1:63" ht="15" customHeight="1" x14ac:dyDescent="0.25">
      <c r="A48" s="314"/>
      <c r="Q48" s="334"/>
      <c r="R48" s="335"/>
      <c r="S48" s="335"/>
      <c r="T48" s="335"/>
      <c r="U48" s="335"/>
      <c r="V48" s="335"/>
      <c r="W48" s="335"/>
      <c r="X48" s="335"/>
      <c r="Y48" s="335"/>
      <c r="Z48" s="336"/>
      <c r="AA48" s="334"/>
      <c r="AB48" s="335"/>
      <c r="AC48" s="335"/>
      <c r="AD48" s="335"/>
      <c r="AE48" s="335"/>
      <c r="AF48" s="335"/>
      <c r="AG48" s="335"/>
      <c r="AH48" s="335"/>
      <c r="AI48" s="335"/>
      <c r="AJ48" s="335"/>
      <c r="AK48" s="335"/>
      <c r="AL48" s="335"/>
      <c r="AM48" s="335"/>
      <c r="AN48" s="335"/>
      <c r="AO48" s="335"/>
      <c r="AP48" s="336"/>
      <c r="AQ48" s="334"/>
      <c r="AR48" s="335"/>
      <c r="AS48" s="335"/>
      <c r="AT48" s="335"/>
      <c r="AU48" s="336"/>
      <c r="BK48" s="315"/>
    </row>
    <row r="49" spans="1:63" ht="15" customHeight="1" x14ac:dyDescent="0.25">
      <c r="A49" s="314"/>
      <c r="Q49" s="293"/>
      <c r="R49" s="294"/>
      <c r="S49" s="294"/>
      <c r="T49" s="294"/>
      <c r="U49" s="294"/>
      <c r="V49" s="294"/>
      <c r="W49" s="294"/>
      <c r="X49" s="294"/>
      <c r="Y49" s="294"/>
      <c r="Z49" s="295"/>
      <c r="AA49" s="293"/>
      <c r="AB49" s="294"/>
      <c r="AC49" s="294"/>
      <c r="AD49" s="294"/>
      <c r="AE49" s="294"/>
      <c r="AF49" s="294"/>
      <c r="AG49" s="294"/>
      <c r="AH49" s="294"/>
      <c r="AI49" s="294"/>
      <c r="AJ49" s="294"/>
      <c r="AK49" s="294"/>
      <c r="AL49" s="294"/>
      <c r="AM49" s="294"/>
      <c r="AN49" s="294"/>
      <c r="AO49" s="294"/>
      <c r="AP49" s="295"/>
      <c r="AQ49" s="293"/>
      <c r="AR49" s="294"/>
      <c r="AS49" s="294"/>
      <c r="AT49" s="294"/>
      <c r="AU49" s="295"/>
      <c r="BK49" s="315"/>
    </row>
    <row r="50" spans="1:63" ht="15" customHeight="1" x14ac:dyDescent="0.25">
      <c r="A50" s="314"/>
      <c r="BK50" s="315"/>
    </row>
    <row r="51" spans="1:63" ht="15" customHeight="1" x14ac:dyDescent="0.25">
      <c r="A51" s="314"/>
      <c r="BK51" s="315"/>
    </row>
    <row r="52" spans="1:63" ht="15" customHeight="1" x14ac:dyDescent="0.25">
      <c r="A52" s="314"/>
      <c r="BK52" s="315"/>
    </row>
    <row r="53" spans="1:63" ht="15" customHeight="1" x14ac:dyDescent="0.25">
      <c r="A53" s="314"/>
      <c r="BK53" s="315"/>
    </row>
    <row r="54" spans="1:63" ht="15" customHeight="1" x14ac:dyDescent="0.25">
      <c r="A54" s="314"/>
      <c r="BK54" s="315"/>
    </row>
    <row r="55" spans="1:63" ht="15" customHeight="1" x14ac:dyDescent="0.25">
      <c r="A55" s="311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  <c r="Z55" s="312"/>
      <c r="AA55" s="312"/>
      <c r="AB55" s="312"/>
      <c r="AC55" s="312"/>
      <c r="AD55" s="312"/>
      <c r="AE55" s="312"/>
      <c r="AF55" s="312"/>
      <c r="AG55" s="312"/>
      <c r="AH55" s="312"/>
      <c r="AI55" s="312"/>
      <c r="AJ55" s="312"/>
      <c r="AK55" s="312"/>
      <c r="AL55" s="312"/>
      <c r="AM55" s="312"/>
      <c r="AN55" s="312"/>
      <c r="AO55" s="312"/>
      <c r="AP55" s="312"/>
      <c r="AQ55" s="312"/>
      <c r="AR55" s="312"/>
      <c r="AS55" s="312"/>
      <c r="AT55" s="312"/>
      <c r="AU55" s="312"/>
      <c r="AV55" s="312"/>
      <c r="AW55" s="312"/>
      <c r="AX55" s="312"/>
      <c r="AY55" s="312"/>
      <c r="AZ55" s="312"/>
      <c r="BA55" s="312"/>
      <c r="BB55" s="312"/>
      <c r="BC55" s="312"/>
      <c r="BD55" s="312"/>
      <c r="BE55" s="312"/>
      <c r="BF55" s="312"/>
      <c r="BG55" s="312"/>
      <c r="BH55" s="312"/>
      <c r="BI55" s="312"/>
      <c r="BJ55" s="312"/>
      <c r="BK55" s="313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80" customWidth="1"/>
    <col min="61" max="16384" width="2.77734375" style="280"/>
  </cols>
  <sheetData>
    <row r="1" spans="1:63" ht="24.95" customHeight="1" x14ac:dyDescent="0.25">
      <c r="A1" s="274" t="s">
        <v>268</v>
      </c>
      <c r="B1" s="275"/>
      <c r="C1" s="275"/>
      <c r="D1" s="275"/>
      <c r="E1" s="275"/>
      <c r="F1" s="275"/>
      <c r="G1" s="275"/>
      <c r="H1" s="275"/>
      <c r="I1" s="275"/>
      <c r="J1" s="276"/>
      <c r="K1" s="274" t="s">
        <v>269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6"/>
      <c r="W1" s="337" t="str">
        <f>IF(表紙!W1="","",表紙!W1)</f>
        <v>詳細設計書</v>
      </c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9"/>
      <c r="AP1" s="274" t="s">
        <v>271</v>
      </c>
      <c r="AQ1" s="275"/>
      <c r="AR1" s="275"/>
      <c r="AS1" s="276"/>
      <c r="AT1" s="274" t="s">
        <v>272</v>
      </c>
      <c r="AU1" s="275"/>
      <c r="AV1" s="275"/>
      <c r="AW1" s="275"/>
      <c r="AX1" s="276"/>
      <c r="AY1" s="274" t="s">
        <v>273</v>
      </c>
      <c r="AZ1" s="275"/>
      <c r="BA1" s="275"/>
      <c r="BB1" s="276"/>
      <c r="BC1" s="274" t="s">
        <v>274</v>
      </c>
      <c r="BD1" s="275"/>
      <c r="BE1" s="275"/>
      <c r="BF1" s="275"/>
      <c r="BG1" s="276"/>
      <c r="BH1" s="274" t="s">
        <v>275</v>
      </c>
      <c r="BI1" s="275"/>
      <c r="BJ1" s="275"/>
      <c r="BK1" s="276"/>
    </row>
    <row r="2" spans="1:63" ht="15" customHeight="1" x14ac:dyDescent="0.25">
      <c r="A2" s="283" t="str">
        <f>IF(表紙!A2="","",表紙!A2)</f>
        <v>POSサーバー</v>
      </c>
      <c r="B2" s="281"/>
      <c r="C2" s="281"/>
      <c r="D2" s="281"/>
      <c r="E2" s="281"/>
      <c r="F2" s="281"/>
      <c r="G2" s="281"/>
      <c r="H2" s="281"/>
      <c r="I2" s="281"/>
      <c r="J2" s="282"/>
      <c r="K2" s="283" t="str">
        <f>IF(表紙!K2="","",表紙!K2)</f>
        <v>POSサーバ</v>
      </c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2"/>
      <c r="W2" s="284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5"/>
      <c r="AN2" s="285"/>
      <c r="AO2" s="286"/>
      <c r="AP2" s="283" t="str">
        <f>IF(表紙!AP2="","",表紙!AP2)</f>
        <v>DuNT</v>
      </c>
      <c r="AQ2" s="281"/>
      <c r="AR2" s="281"/>
      <c r="AS2" s="282"/>
      <c r="AT2" s="287">
        <f>IF(表紙!AT2="","",表紙!AT2)</f>
        <v>45636</v>
      </c>
      <c r="AU2" s="288"/>
      <c r="AV2" s="288"/>
      <c r="AW2" s="288"/>
      <c r="AX2" s="289"/>
      <c r="AY2" s="283" t="str">
        <f>IF(表紙!AY2="","",表紙!AY2)</f>
        <v>DuNT</v>
      </c>
      <c r="AZ2" s="281"/>
      <c r="BA2" s="281"/>
      <c r="BB2" s="282"/>
      <c r="BC2" s="287">
        <f>IF(表紙!BC2="","",表紙!BC2)</f>
        <v>45636</v>
      </c>
      <c r="BD2" s="288"/>
      <c r="BE2" s="288"/>
      <c r="BF2" s="288"/>
      <c r="BG2" s="289"/>
      <c r="BH2" s="283">
        <f>IF(表紙!BH2="","",表紙!BH2)</f>
        <v>0.1</v>
      </c>
      <c r="BI2" s="281"/>
      <c r="BJ2" s="281"/>
      <c r="BK2" s="282"/>
    </row>
    <row r="3" spans="1:63" ht="15" customHeight="1" x14ac:dyDescent="0.25">
      <c r="A3" s="293"/>
      <c r="B3" s="294"/>
      <c r="C3" s="294"/>
      <c r="D3" s="294"/>
      <c r="E3" s="294"/>
      <c r="F3" s="294"/>
      <c r="G3" s="294"/>
      <c r="H3" s="294"/>
      <c r="I3" s="294"/>
      <c r="J3" s="295"/>
      <c r="K3" s="293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5"/>
      <c r="W3" s="296"/>
      <c r="X3" s="297"/>
      <c r="Y3" s="297"/>
      <c r="Z3" s="297"/>
      <c r="AA3" s="297"/>
      <c r="AB3" s="297"/>
      <c r="AC3" s="297"/>
      <c r="AD3" s="297"/>
      <c r="AE3" s="297"/>
      <c r="AF3" s="297"/>
      <c r="AG3" s="297"/>
      <c r="AH3" s="297"/>
      <c r="AI3" s="297"/>
      <c r="AJ3" s="297"/>
      <c r="AK3" s="297"/>
      <c r="AL3" s="297"/>
      <c r="AM3" s="297"/>
      <c r="AN3" s="297"/>
      <c r="AO3" s="298"/>
      <c r="AP3" s="293"/>
      <c r="AQ3" s="294"/>
      <c r="AR3" s="294"/>
      <c r="AS3" s="295"/>
      <c r="AT3" s="299"/>
      <c r="AU3" s="300"/>
      <c r="AV3" s="300"/>
      <c r="AW3" s="300"/>
      <c r="AX3" s="301"/>
      <c r="AY3" s="293"/>
      <c r="AZ3" s="294"/>
      <c r="BA3" s="294"/>
      <c r="BB3" s="295"/>
      <c r="BC3" s="299"/>
      <c r="BD3" s="300"/>
      <c r="BE3" s="300"/>
      <c r="BF3" s="300"/>
      <c r="BG3" s="301"/>
      <c r="BH3" s="293"/>
      <c r="BI3" s="294"/>
      <c r="BJ3" s="294"/>
      <c r="BK3" s="295"/>
    </row>
    <row r="4" spans="1:63" ht="24.95" customHeight="1" x14ac:dyDescent="0.25">
      <c r="A4" s="274" t="s">
        <v>277</v>
      </c>
      <c r="B4" s="275"/>
      <c r="C4" s="275"/>
      <c r="D4" s="275"/>
      <c r="E4" s="275"/>
      <c r="F4" s="275"/>
      <c r="G4" s="276"/>
      <c r="H4" s="310" t="str">
        <f>IF(表紙!H4="","",表紙!H4)</f>
        <v xml:space="preserve">31_レジ別速報・日報 </v>
      </c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9"/>
      <c r="U4" s="274" t="s">
        <v>279</v>
      </c>
      <c r="V4" s="275"/>
      <c r="W4" s="275"/>
      <c r="X4" s="275"/>
      <c r="Y4" s="276"/>
      <c r="Z4" s="310" t="str">
        <f>IF(表紙!Z4="","",表紙!Z4)</f>
        <v>画面設計書</v>
      </c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9"/>
      <c r="AP4" s="310" t="str">
        <f t="array" aca="1" ref="AP4" ca="1">RIGHT(CELL("filename",$A$1),LEN(CELL("filename",$A$1))-FIND("]",CELL("filename",$A$1)))</f>
        <v>改訂履歴</v>
      </c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308"/>
      <c r="BJ4" s="308"/>
      <c r="BK4" s="309"/>
    </row>
    <row r="5" spans="1:63" ht="5.0999999999999996" customHeight="1" x14ac:dyDescent="0.25">
      <c r="A5" s="311"/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312"/>
      <c r="BK5" s="313"/>
    </row>
    <row r="6" spans="1:63" ht="15" customHeight="1" x14ac:dyDescent="0.25">
      <c r="A6" s="314"/>
      <c r="BK6" s="315"/>
    </row>
    <row r="7" spans="1:63" ht="15" customHeight="1" x14ac:dyDescent="0.25">
      <c r="A7" s="314"/>
      <c r="BK7" s="315"/>
    </row>
    <row r="8" spans="1:63" ht="15" customHeight="1" x14ac:dyDescent="0.25">
      <c r="A8" s="314"/>
      <c r="B8" s="280" t="s">
        <v>9</v>
      </c>
      <c r="BK8" s="315"/>
    </row>
    <row r="9" spans="1:63" ht="15" customHeight="1" x14ac:dyDescent="0.25">
      <c r="A9" s="314"/>
      <c r="BK9" s="315"/>
    </row>
    <row r="10" spans="1:63" ht="15" customHeight="1" x14ac:dyDescent="0.25">
      <c r="A10" s="314"/>
      <c r="B10" s="338" t="s">
        <v>274</v>
      </c>
      <c r="C10" s="338"/>
      <c r="D10" s="338"/>
      <c r="E10" s="338"/>
      <c r="F10" s="338"/>
      <c r="G10" s="338"/>
      <c r="H10" s="338" t="s">
        <v>273</v>
      </c>
      <c r="I10" s="338"/>
      <c r="J10" s="338"/>
      <c r="K10" s="338"/>
      <c r="L10" s="338"/>
      <c r="M10" s="338"/>
      <c r="N10" s="338"/>
      <c r="O10" s="338" t="s">
        <v>275</v>
      </c>
      <c r="P10" s="338"/>
      <c r="Q10" s="338"/>
      <c r="R10" s="338"/>
      <c r="S10" s="338" t="s">
        <v>284</v>
      </c>
      <c r="T10" s="338"/>
      <c r="U10" s="338"/>
      <c r="V10" s="338"/>
      <c r="W10" s="338"/>
      <c r="X10" s="338"/>
      <c r="Y10" s="338"/>
      <c r="Z10" s="338"/>
      <c r="AA10" s="338"/>
      <c r="AB10" s="338"/>
      <c r="AC10" s="338"/>
      <c r="AD10" s="338"/>
      <c r="AE10" s="338"/>
      <c r="AF10" s="338"/>
      <c r="AG10" s="338"/>
      <c r="AH10" s="338"/>
      <c r="AI10" s="338"/>
      <c r="AJ10" s="338"/>
      <c r="AK10" s="338"/>
      <c r="AL10" s="338"/>
      <c r="AM10" s="338"/>
      <c r="AN10" s="338"/>
      <c r="AO10" s="338"/>
      <c r="AP10" s="338"/>
      <c r="AQ10" s="338"/>
      <c r="AR10" s="338"/>
      <c r="AS10" s="338"/>
      <c r="AT10" s="338"/>
      <c r="AU10" s="338"/>
      <c r="AV10" s="338"/>
      <c r="AW10" s="338"/>
      <c r="AX10" s="338" t="s">
        <v>282</v>
      </c>
      <c r="AY10" s="338"/>
      <c r="AZ10" s="338"/>
      <c r="BA10" s="338"/>
      <c r="BB10" s="338"/>
      <c r="BC10" s="338"/>
      <c r="BD10" s="338" t="s">
        <v>283</v>
      </c>
      <c r="BE10" s="338"/>
      <c r="BF10" s="338"/>
      <c r="BG10" s="338"/>
      <c r="BH10" s="338"/>
      <c r="BI10" s="338"/>
      <c r="BJ10" s="338"/>
      <c r="BK10" s="315"/>
    </row>
    <row r="11" spans="1:63" ht="15" customHeight="1" x14ac:dyDescent="0.25">
      <c r="A11" s="314"/>
      <c r="B11" s="287">
        <v>45636</v>
      </c>
      <c r="C11" s="281"/>
      <c r="D11" s="281"/>
      <c r="E11" s="281"/>
      <c r="F11" s="281"/>
      <c r="G11" s="282"/>
      <c r="H11" s="1" t="s">
        <v>285</v>
      </c>
      <c r="I11" s="281"/>
      <c r="J11" s="281"/>
      <c r="K11" s="281"/>
      <c r="L11" s="281"/>
      <c r="M11" s="281"/>
      <c r="N11" s="282"/>
      <c r="O11" s="283">
        <v>0.1</v>
      </c>
      <c r="P11" s="281"/>
      <c r="Q11" s="281"/>
      <c r="R11" s="281"/>
      <c r="S11" s="339" t="s">
        <v>11</v>
      </c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  <c r="AJ11" s="340"/>
      <c r="AK11" s="340"/>
      <c r="AL11" s="340"/>
      <c r="AM11" s="340"/>
      <c r="AN11" s="340"/>
      <c r="AO11" s="340"/>
      <c r="AP11" s="340"/>
      <c r="AQ11" s="340"/>
      <c r="AR11" s="340"/>
      <c r="AS11" s="340"/>
      <c r="AT11" s="340"/>
      <c r="AU11" s="340"/>
      <c r="AV11" s="340"/>
      <c r="AW11" s="341"/>
      <c r="AX11" s="342"/>
      <c r="AY11" s="342"/>
      <c r="AZ11" s="342"/>
      <c r="BA11" s="342"/>
      <c r="BB11" s="342"/>
      <c r="BC11" s="343"/>
      <c r="BD11" s="344"/>
      <c r="BE11" s="342"/>
      <c r="BF11" s="342"/>
      <c r="BG11" s="342"/>
      <c r="BH11" s="342"/>
      <c r="BI11" s="342"/>
      <c r="BJ11" s="343"/>
      <c r="BK11" s="315"/>
    </row>
    <row r="12" spans="1:63" ht="15" customHeight="1" x14ac:dyDescent="0.25">
      <c r="A12" s="314"/>
      <c r="B12" s="293"/>
      <c r="C12" s="294"/>
      <c r="D12" s="294"/>
      <c r="E12" s="294"/>
      <c r="F12" s="294"/>
      <c r="G12" s="295"/>
      <c r="H12" s="293"/>
      <c r="I12" s="294"/>
      <c r="J12" s="294"/>
      <c r="K12" s="294"/>
      <c r="L12" s="294"/>
      <c r="M12" s="294"/>
      <c r="N12" s="295"/>
      <c r="O12" s="293"/>
      <c r="P12" s="294"/>
      <c r="Q12" s="294"/>
      <c r="R12" s="294"/>
      <c r="S12" s="345"/>
      <c r="T12" s="346"/>
      <c r="U12" s="346"/>
      <c r="V12" s="346"/>
      <c r="W12" s="346"/>
      <c r="X12" s="346"/>
      <c r="Y12" s="346"/>
      <c r="Z12" s="346"/>
      <c r="AA12" s="346"/>
      <c r="AB12" s="346"/>
      <c r="AC12" s="346"/>
      <c r="AD12" s="346"/>
      <c r="AE12" s="346"/>
      <c r="AF12" s="346"/>
      <c r="AG12" s="346"/>
      <c r="AH12" s="346"/>
      <c r="AI12" s="346"/>
      <c r="AJ12" s="346"/>
      <c r="AK12" s="346"/>
      <c r="AL12" s="346"/>
      <c r="AM12" s="346"/>
      <c r="AN12" s="346"/>
      <c r="AO12" s="346"/>
      <c r="AP12" s="346"/>
      <c r="AQ12" s="346"/>
      <c r="AR12" s="346"/>
      <c r="AS12" s="346"/>
      <c r="AT12" s="346"/>
      <c r="AU12" s="346"/>
      <c r="AV12" s="346"/>
      <c r="AW12" s="347"/>
      <c r="AX12" s="348"/>
      <c r="AY12" s="348"/>
      <c r="AZ12" s="348"/>
      <c r="BA12" s="348"/>
      <c r="BB12" s="348"/>
      <c r="BC12" s="349"/>
      <c r="BD12" s="350"/>
      <c r="BE12" s="348"/>
      <c r="BF12" s="348"/>
      <c r="BG12" s="348"/>
      <c r="BH12" s="348"/>
      <c r="BI12" s="348"/>
      <c r="BJ12" s="349"/>
      <c r="BK12" s="315"/>
    </row>
    <row r="13" spans="1:63" ht="15" customHeight="1" x14ac:dyDescent="0.25">
      <c r="A13" s="314"/>
      <c r="B13" s="351"/>
      <c r="C13" s="352"/>
      <c r="D13" s="352"/>
      <c r="E13" s="352"/>
      <c r="F13" s="352"/>
      <c r="G13" s="353"/>
      <c r="H13" s="354"/>
      <c r="I13" s="352"/>
      <c r="J13" s="352"/>
      <c r="K13" s="352"/>
      <c r="L13" s="352"/>
      <c r="M13" s="352"/>
      <c r="N13" s="353"/>
      <c r="O13" s="354"/>
      <c r="P13" s="352"/>
      <c r="Q13" s="352"/>
      <c r="R13" s="352"/>
      <c r="S13" s="355"/>
      <c r="T13" s="356"/>
      <c r="U13" s="356"/>
      <c r="V13" s="356"/>
      <c r="W13" s="356"/>
      <c r="X13" s="356"/>
      <c r="Y13" s="356"/>
      <c r="Z13" s="356"/>
      <c r="AA13" s="356"/>
      <c r="AB13" s="356"/>
      <c r="AC13" s="356"/>
      <c r="AD13" s="356"/>
      <c r="AE13" s="356"/>
      <c r="AF13" s="356"/>
      <c r="AG13" s="356"/>
      <c r="AH13" s="356"/>
      <c r="AI13" s="356"/>
      <c r="AJ13" s="356"/>
      <c r="AK13" s="356"/>
      <c r="AL13" s="356"/>
      <c r="AM13" s="356"/>
      <c r="AN13" s="356"/>
      <c r="AO13" s="356"/>
      <c r="AP13" s="356"/>
      <c r="AQ13" s="356"/>
      <c r="AR13" s="356"/>
      <c r="AS13" s="356"/>
      <c r="AT13" s="356"/>
      <c r="AU13" s="356"/>
      <c r="AV13" s="356"/>
      <c r="AW13" s="357"/>
      <c r="AX13" s="342"/>
      <c r="AY13" s="342"/>
      <c r="AZ13" s="342"/>
      <c r="BA13" s="342"/>
      <c r="BB13" s="342"/>
      <c r="BC13" s="343"/>
      <c r="BD13" s="344"/>
      <c r="BE13" s="342"/>
      <c r="BF13" s="342"/>
      <c r="BG13" s="342"/>
      <c r="BH13" s="342"/>
      <c r="BI13" s="342"/>
      <c r="BJ13" s="343"/>
      <c r="BK13" s="315"/>
    </row>
    <row r="14" spans="1:63" ht="15" customHeight="1" x14ac:dyDescent="0.25">
      <c r="A14" s="314"/>
      <c r="B14" s="358"/>
      <c r="C14" s="359"/>
      <c r="D14" s="359"/>
      <c r="E14" s="359"/>
      <c r="F14" s="359"/>
      <c r="G14" s="360"/>
      <c r="H14" s="358"/>
      <c r="I14" s="359"/>
      <c r="J14" s="359"/>
      <c r="K14" s="359"/>
      <c r="L14" s="359"/>
      <c r="M14" s="359"/>
      <c r="N14" s="360"/>
      <c r="O14" s="358"/>
      <c r="P14" s="359"/>
      <c r="Q14" s="359"/>
      <c r="R14" s="359"/>
      <c r="S14" s="361"/>
      <c r="T14" s="362"/>
      <c r="U14" s="362"/>
      <c r="V14" s="362"/>
      <c r="W14" s="362"/>
      <c r="X14" s="362"/>
      <c r="Y14" s="362"/>
      <c r="Z14" s="362"/>
      <c r="AA14" s="362"/>
      <c r="AB14" s="362"/>
      <c r="AC14" s="362"/>
      <c r="AD14" s="362"/>
      <c r="AE14" s="362"/>
      <c r="AF14" s="362"/>
      <c r="AG14" s="362"/>
      <c r="AH14" s="362"/>
      <c r="AI14" s="362"/>
      <c r="AJ14" s="362"/>
      <c r="AK14" s="362"/>
      <c r="AL14" s="362"/>
      <c r="AM14" s="362"/>
      <c r="AN14" s="362"/>
      <c r="AO14" s="362"/>
      <c r="AP14" s="362"/>
      <c r="AQ14" s="362"/>
      <c r="AR14" s="362"/>
      <c r="AS14" s="362"/>
      <c r="AT14" s="362"/>
      <c r="AU14" s="362"/>
      <c r="AV14" s="362"/>
      <c r="AW14" s="363"/>
      <c r="AX14" s="348"/>
      <c r="AY14" s="348"/>
      <c r="AZ14" s="348"/>
      <c r="BA14" s="348"/>
      <c r="BB14" s="348"/>
      <c r="BC14" s="349"/>
      <c r="BD14" s="350"/>
      <c r="BE14" s="348"/>
      <c r="BF14" s="348"/>
      <c r="BG14" s="348"/>
      <c r="BH14" s="348"/>
      <c r="BI14" s="348"/>
      <c r="BJ14" s="349"/>
      <c r="BK14" s="315"/>
    </row>
    <row r="15" spans="1:63" ht="15" customHeight="1" x14ac:dyDescent="0.25">
      <c r="A15" s="314"/>
      <c r="B15" s="283"/>
      <c r="C15" s="281"/>
      <c r="D15" s="281"/>
      <c r="E15" s="281"/>
      <c r="F15" s="281"/>
      <c r="G15" s="282"/>
      <c r="H15" s="283"/>
      <c r="I15" s="281"/>
      <c r="J15" s="281"/>
      <c r="K15" s="281"/>
      <c r="L15" s="281"/>
      <c r="M15" s="281"/>
      <c r="N15" s="282"/>
      <c r="O15" s="283"/>
      <c r="P15" s="281"/>
      <c r="Q15" s="281"/>
      <c r="R15" s="281"/>
      <c r="S15" s="339"/>
      <c r="T15" s="340"/>
      <c r="U15" s="340"/>
      <c r="V15" s="340"/>
      <c r="W15" s="340"/>
      <c r="X15" s="340"/>
      <c r="Y15" s="340"/>
      <c r="Z15" s="340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340"/>
      <c r="AP15" s="340"/>
      <c r="AQ15" s="340"/>
      <c r="AR15" s="340"/>
      <c r="AS15" s="340"/>
      <c r="AT15" s="340"/>
      <c r="AU15" s="340"/>
      <c r="AV15" s="340"/>
      <c r="AW15" s="341"/>
      <c r="AX15" s="342"/>
      <c r="AY15" s="342"/>
      <c r="AZ15" s="342"/>
      <c r="BA15" s="342"/>
      <c r="BB15" s="342"/>
      <c r="BC15" s="343"/>
      <c r="BD15" s="344"/>
      <c r="BE15" s="342"/>
      <c r="BF15" s="342"/>
      <c r="BG15" s="342"/>
      <c r="BH15" s="342"/>
      <c r="BI15" s="342"/>
      <c r="BJ15" s="343"/>
      <c r="BK15" s="315"/>
    </row>
    <row r="16" spans="1:63" ht="15" customHeight="1" x14ac:dyDescent="0.25">
      <c r="A16" s="314"/>
      <c r="B16" s="293"/>
      <c r="C16" s="294"/>
      <c r="D16" s="294"/>
      <c r="E16" s="294"/>
      <c r="F16" s="294"/>
      <c r="G16" s="295"/>
      <c r="H16" s="293"/>
      <c r="I16" s="294"/>
      <c r="J16" s="294"/>
      <c r="K16" s="294"/>
      <c r="L16" s="294"/>
      <c r="M16" s="294"/>
      <c r="N16" s="295"/>
      <c r="O16" s="293"/>
      <c r="P16" s="294"/>
      <c r="Q16" s="294"/>
      <c r="R16" s="294"/>
      <c r="S16" s="345"/>
      <c r="T16" s="346"/>
      <c r="U16" s="346"/>
      <c r="V16" s="346"/>
      <c r="W16" s="346"/>
      <c r="X16" s="346"/>
      <c r="Y16" s="346"/>
      <c r="Z16" s="346"/>
      <c r="AA16" s="346"/>
      <c r="AB16" s="346"/>
      <c r="AC16" s="346"/>
      <c r="AD16" s="346"/>
      <c r="AE16" s="346"/>
      <c r="AF16" s="346"/>
      <c r="AG16" s="346"/>
      <c r="AH16" s="346"/>
      <c r="AI16" s="346"/>
      <c r="AJ16" s="346"/>
      <c r="AK16" s="346"/>
      <c r="AL16" s="346"/>
      <c r="AM16" s="346"/>
      <c r="AN16" s="346"/>
      <c r="AO16" s="346"/>
      <c r="AP16" s="346"/>
      <c r="AQ16" s="346"/>
      <c r="AR16" s="346"/>
      <c r="AS16" s="346"/>
      <c r="AT16" s="346"/>
      <c r="AU16" s="346"/>
      <c r="AV16" s="346"/>
      <c r="AW16" s="347"/>
      <c r="AX16" s="348"/>
      <c r="AY16" s="348"/>
      <c r="AZ16" s="348"/>
      <c r="BA16" s="348"/>
      <c r="BB16" s="348"/>
      <c r="BC16" s="349"/>
      <c r="BD16" s="350"/>
      <c r="BE16" s="348"/>
      <c r="BF16" s="348"/>
      <c r="BG16" s="348"/>
      <c r="BH16" s="348"/>
      <c r="BI16" s="348"/>
      <c r="BJ16" s="349"/>
      <c r="BK16" s="315"/>
    </row>
    <row r="17" spans="1:63" ht="15" customHeight="1" x14ac:dyDescent="0.25">
      <c r="A17" s="314"/>
      <c r="B17" s="283"/>
      <c r="C17" s="281"/>
      <c r="D17" s="281"/>
      <c r="E17" s="281"/>
      <c r="F17" s="281"/>
      <c r="G17" s="282"/>
      <c r="H17" s="283"/>
      <c r="I17" s="281"/>
      <c r="J17" s="281"/>
      <c r="K17" s="281"/>
      <c r="L17" s="281"/>
      <c r="M17" s="281"/>
      <c r="N17" s="282"/>
      <c r="O17" s="283"/>
      <c r="P17" s="281"/>
      <c r="Q17" s="281"/>
      <c r="R17" s="281"/>
      <c r="S17" s="339"/>
      <c r="T17" s="340"/>
      <c r="U17" s="340"/>
      <c r="V17" s="340"/>
      <c r="W17" s="340"/>
      <c r="X17" s="340"/>
      <c r="Y17" s="340"/>
      <c r="Z17" s="340"/>
      <c r="AA17" s="340"/>
      <c r="AB17" s="340"/>
      <c r="AC17" s="340"/>
      <c r="AD17" s="340"/>
      <c r="AE17" s="340"/>
      <c r="AF17" s="340"/>
      <c r="AG17" s="340"/>
      <c r="AH17" s="340"/>
      <c r="AI17" s="340"/>
      <c r="AJ17" s="340"/>
      <c r="AK17" s="340"/>
      <c r="AL17" s="340"/>
      <c r="AM17" s="340"/>
      <c r="AN17" s="340"/>
      <c r="AO17" s="340"/>
      <c r="AP17" s="340"/>
      <c r="AQ17" s="340"/>
      <c r="AR17" s="340"/>
      <c r="AS17" s="340"/>
      <c r="AT17" s="340"/>
      <c r="AU17" s="340"/>
      <c r="AV17" s="340"/>
      <c r="AW17" s="341"/>
      <c r="AX17" s="342"/>
      <c r="AY17" s="342"/>
      <c r="AZ17" s="342"/>
      <c r="BA17" s="342"/>
      <c r="BB17" s="342"/>
      <c r="BC17" s="343"/>
      <c r="BD17" s="344"/>
      <c r="BE17" s="342"/>
      <c r="BF17" s="342"/>
      <c r="BG17" s="342"/>
      <c r="BH17" s="342"/>
      <c r="BI17" s="342"/>
      <c r="BJ17" s="343"/>
      <c r="BK17" s="315"/>
    </row>
    <row r="18" spans="1:63" ht="15" customHeight="1" x14ac:dyDescent="0.25">
      <c r="A18" s="314"/>
      <c r="B18" s="293"/>
      <c r="C18" s="294"/>
      <c r="D18" s="294"/>
      <c r="E18" s="294"/>
      <c r="F18" s="294"/>
      <c r="G18" s="295"/>
      <c r="H18" s="293"/>
      <c r="I18" s="294"/>
      <c r="J18" s="294"/>
      <c r="K18" s="294"/>
      <c r="L18" s="294"/>
      <c r="M18" s="294"/>
      <c r="N18" s="295"/>
      <c r="O18" s="293"/>
      <c r="P18" s="294"/>
      <c r="Q18" s="294"/>
      <c r="R18" s="294"/>
      <c r="S18" s="345"/>
      <c r="T18" s="346"/>
      <c r="U18" s="346"/>
      <c r="V18" s="346"/>
      <c r="W18" s="346"/>
      <c r="X18" s="346"/>
      <c r="Y18" s="346"/>
      <c r="Z18" s="346"/>
      <c r="AA18" s="346"/>
      <c r="AB18" s="346"/>
      <c r="AC18" s="346"/>
      <c r="AD18" s="346"/>
      <c r="AE18" s="346"/>
      <c r="AF18" s="346"/>
      <c r="AG18" s="346"/>
      <c r="AH18" s="346"/>
      <c r="AI18" s="346"/>
      <c r="AJ18" s="346"/>
      <c r="AK18" s="346"/>
      <c r="AL18" s="346"/>
      <c r="AM18" s="346"/>
      <c r="AN18" s="346"/>
      <c r="AO18" s="346"/>
      <c r="AP18" s="346"/>
      <c r="AQ18" s="346"/>
      <c r="AR18" s="346"/>
      <c r="AS18" s="346"/>
      <c r="AT18" s="346"/>
      <c r="AU18" s="346"/>
      <c r="AV18" s="346"/>
      <c r="AW18" s="347"/>
      <c r="AX18" s="348"/>
      <c r="AY18" s="348"/>
      <c r="AZ18" s="348"/>
      <c r="BA18" s="348"/>
      <c r="BB18" s="348"/>
      <c r="BC18" s="349"/>
      <c r="BD18" s="350"/>
      <c r="BE18" s="348"/>
      <c r="BF18" s="348"/>
      <c r="BG18" s="348"/>
      <c r="BH18" s="348"/>
      <c r="BI18" s="348"/>
      <c r="BJ18" s="349"/>
      <c r="BK18" s="315"/>
    </row>
    <row r="19" spans="1:63" ht="15" customHeight="1" x14ac:dyDescent="0.25">
      <c r="A19" s="314"/>
      <c r="B19" s="283"/>
      <c r="C19" s="281"/>
      <c r="D19" s="281"/>
      <c r="E19" s="281"/>
      <c r="F19" s="281"/>
      <c r="G19" s="282"/>
      <c r="H19" s="283"/>
      <c r="I19" s="281"/>
      <c r="J19" s="281"/>
      <c r="K19" s="281"/>
      <c r="L19" s="281"/>
      <c r="M19" s="281"/>
      <c r="N19" s="282"/>
      <c r="O19" s="283"/>
      <c r="P19" s="281"/>
      <c r="Q19" s="281"/>
      <c r="R19" s="281"/>
      <c r="S19" s="339"/>
      <c r="T19" s="340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0"/>
      <c r="AM19" s="340"/>
      <c r="AN19" s="340"/>
      <c r="AO19" s="340"/>
      <c r="AP19" s="340"/>
      <c r="AQ19" s="340"/>
      <c r="AR19" s="340"/>
      <c r="AS19" s="340"/>
      <c r="AT19" s="340"/>
      <c r="AU19" s="340"/>
      <c r="AV19" s="340"/>
      <c r="AW19" s="341"/>
      <c r="AX19" s="342"/>
      <c r="AY19" s="342"/>
      <c r="AZ19" s="342"/>
      <c r="BA19" s="342"/>
      <c r="BB19" s="342"/>
      <c r="BC19" s="343"/>
      <c r="BD19" s="344"/>
      <c r="BE19" s="342"/>
      <c r="BF19" s="342"/>
      <c r="BG19" s="342"/>
      <c r="BH19" s="342"/>
      <c r="BI19" s="342"/>
      <c r="BJ19" s="343"/>
      <c r="BK19" s="315"/>
    </row>
    <row r="20" spans="1:63" ht="15" customHeight="1" x14ac:dyDescent="0.25">
      <c r="A20" s="314"/>
      <c r="B20" s="293"/>
      <c r="C20" s="294"/>
      <c r="D20" s="294"/>
      <c r="E20" s="294"/>
      <c r="F20" s="294"/>
      <c r="G20" s="295"/>
      <c r="H20" s="293"/>
      <c r="I20" s="294"/>
      <c r="J20" s="294"/>
      <c r="K20" s="294"/>
      <c r="L20" s="294"/>
      <c r="M20" s="294"/>
      <c r="N20" s="295"/>
      <c r="O20" s="293"/>
      <c r="P20" s="294"/>
      <c r="Q20" s="294"/>
      <c r="R20" s="294"/>
      <c r="S20" s="345"/>
      <c r="T20" s="346"/>
      <c r="U20" s="346"/>
      <c r="V20" s="346"/>
      <c r="W20" s="346"/>
      <c r="X20" s="346"/>
      <c r="Y20" s="346"/>
      <c r="Z20" s="346"/>
      <c r="AA20" s="346"/>
      <c r="AB20" s="346"/>
      <c r="AC20" s="346"/>
      <c r="AD20" s="346"/>
      <c r="AE20" s="346"/>
      <c r="AF20" s="346"/>
      <c r="AG20" s="346"/>
      <c r="AH20" s="346"/>
      <c r="AI20" s="346"/>
      <c r="AJ20" s="346"/>
      <c r="AK20" s="346"/>
      <c r="AL20" s="346"/>
      <c r="AM20" s="346"/>
      <c r="AN20" s="346"/>
      <c r="AO20" s="346"/>
      <c r="AP20" s="346"/>
      <c r="AQ20" s="346"/>
      <c r="AR20" s="346"/>
      <c r="AS20" s="346"/>
      <c r="AT20" s="346"/>
      <c r="AU20" s="346"/>
      <c r="AV20" s="346"/>
      <c r="AW20" s="347"/>
      <c r="AX20" s="348"/>
      <c r="AY20" s="348"/>
      <c r="AZ20" s="348"/>
      <c r="BA20" s="348"/>
      <c r="BB20" s="348"/>
      <c r="BC20" s="349"/>
      <c r="BD20" s="350"/>
      <c r="BE20" s="348"/>
      <c r="BF20" s="348"/>
      <c r="BG20" s="348"/>
      <c r="BH20" s="348"/>
      <c r="BI20" s="348"/>
      <c r="BJ20" s="349"/>
      <c r="BK20" s="315"/>
    </row>
    <row r="21" spans="1:63" ht="15" customHeight="1" x14ac:dyDescent="0.25">
      <c r="A21" s="314"/>
      <c r="B21" s="283"/>
      <c r="C21" s="281"/>
      <c r="D21" s="281"/>
      <c r="E21" s="281"/>
      <c r="F21" s="281"/>
      <c r="G21" s="282"/>
      <c r="H21" s="283"/>
      <c r="I21" s="281"/>
      <c r="J21" s="281"/>
      <c r="K21" s="281"/>
      <c r="L21" s="281"/>
      <c r="M21" s="281"/>
      <c r="N21" s="282"/>
      <c r="O21" s="283"/>
      <c r="P21" s="281"/>
      <c r="Q21" s="281"/>
      <c r="R21" s="281"/>
      <c r="S21" s="339"/>
      <c r="T21" s="340"/>
      <c r="U21" s="340"/>
      <c r="V21" s="340"/>
      <c r="W21" s="340"/>
      <c r="X21" s="340"/>
      <c r="Y21" s="340"/>
      <c r="Z21" s="340"/>
      <c r="AA21" s="340"/>
      <c r="AB21" s="340"/>
      <c r="AC21" s="340"/>
      <c r="AD21" s="340"/>
      <c r="AE21" s="340"/>
      <c r="AF21" s="340"/>
      <c r="AG21" s="340"/>
      <c r="AH21" s="340"/>
      <c r="AI21" s="340"/>
      <c r="AJ21" s="340"/>
      <c r="AK21" s="340"/>
      <c r="AL21" s="340"/>
      <c r="AM21" s="340"/>
      <c r="AN21" s="340"/>
      <c r="AO21" s="340"/>
      <c r="AP21" s="340"/>
      <c r="AQ21" s="340"/>
      <c r="AR21" s="340"/>
      <c r="AS21" s="340"/>
      <c r="AT21" s="340"/>
      <c r="AU21" s="340"/>
      <c r="AV21" s="340"/>
      <c r="AW21" s="341"/>
      <c r="AX21" s="342"/>
      <c r="AY21" s="342"/>
      <c r="AZ21" s="342"/>
      <c r="BA21" s="342"/>
      <c r="BB21" s="342"/>
      <c r="BC21" s="343"/>
      <c r="BD21" s="344"/>
      <c r="BE21" s="342"/>
      <c r="BF21" s="342"/>
      <c r="BG21" s="342"/>
      <c r="BH21" s="342"/>
      <c r="BI21" s="342"/>
      <c r="BJ21" s="343"/>
      <c r="BK21" s="315"/>
    </row>
    <row r="22" spans="1:63" ht="15" customHeight="1" x14ac:dyDescent="0.25">
      <c r="A22" s="314"/>
      <c r="B22" s="293"/>
      <c r="C22" s="294"/>
      <c r="D22" s="294"/>
      <c r="E22" s="294"/>
      <c r="F22" s="294"/>
      <c r="G22" s="295"/>
      <c r="H22" s="293"/>
      <c r="I22" s="294"/>
      <c r="J22" s="294"/>
      <c r="K22" s="294"/>
      <c r="L22" s="294"/>
      <c r="M22" s="294"/>
      <c r="N22" s="295"/>
      <c r="O22" s="293"/>
      <c r="P22" s="294"/>
      <c r="Q22" s="294"/>
      <c r="R22" s="294"/>
      <c r="S22" s="345"/>
      <c r="T22" s="346"/>
      <c r="U22" s="346"/>
      <c r="V22" s="346"/>
      <c r="W22" s="346"/>
      <c r="X22" s="346"/>
      <c r="Y22" s="346"/>
      <c r="Z22" s="346"/>
      <c r="AA22" s="346"/>
      <c r="AB22" s="346"/>
      <c r="AC22" s="346"/>
      <c r="AD22" s="346"/>
      <c r="AE22" s="346"/>
      <c r="AF22" s="346"/>
      <c r="AG22" s="346"/>
      <c r="AH22" s="346"/>
      <c r="AI22" s="346"/>
      <c r="AJ22" s="346"/>
      <c r="AK22" s="346"/>
      <c r="AL22" s="346"/>
      <c r="AM22" s="346"/>
      <c r="AN22" s="346"/>
      <c r="AO22" s="346"/>
      <c r="AP22" s="346"/>
      <c r="AQ22" s="346"/>
      <c r="AR22" s="346"/>
      <c r="AS22" s="346"/>
      <c r="AT22" s="346"/>
      <c r="AU22" s="346"/>
      <c r="AV22" s="346"/>
      <c r="AW22" s="347"/>
      <c r="AX22" s="348"/>
      <c r="AY22" s="348"/>
      <c r="AZ22" s="348"/>
      <c r="BA22" s="348"/>
      <c r="BB22" s="348"/>
      <c r="BC22" s="349"/>
      <c r="BD22" s="350"/>
      <c r="BE22" s="348"/>
      <c r="BF22" s="348"/>
      <c r="BG22" s="348"/>
      <c r="BH22" s="348"/>
      <c r="BI22" s="348"/>
      <c r="BJ22" s="349"/>
      <c r="BK22" s="315"/>
    </row>
    <row r="23" spans="1:63" ht="15" customHeight="1" x14ac:dyDescent="0.25">
      <c r="A23" s="314"/>
      <c r="B23" s="283"/>
      <c r="C23" s="281"/>
      <c r="D23" s="281"/>
      <c r="E23" s="281"/>
      <c r="F23" s="281"/>
      <c r="G23" s="282"/>
      <c r="H23" s="283"/>
      <c r="I23" s="281"/>
      <c r="J23" s="281"/>
      <c r="K23" s="281"/>
      <c r="L23" s="281"/>
      <c r="M23" s="281"/>
      <c r="N23" s="282"/>
      <c r="O23" s="283"/>
      <c r="P23" s="281"/>
      <c r="Q23" s="281"/>
      <c r="R23" s="281"/>
      <c r="S23" s="339"/>
      <c r="T23" s="340"/>
      <c r="U23" s="340"/>
      <c r="V23" s="340"/>
      <c r="W23" s="340"/>
      <c r="X23" s="340"/>
      <c r="Y23" s="340"/>
      <c r="Z23" s="340"/>
      <c r="AA23" s="340"/>
      <c r="AB23" s="340"/>
      <c r="AC23" s="340"/>
      <c r="AD23" s="340"/>
      <c r="AE23" s="340"/>
      <c r="AF23" s="340"/>
      <c r="AG23" s="340"/>
      <c r="AH23" s="340"/>
      <c r="AI23" s="340"/>
      <c r="AJ23" s="340"/>
      <c r="AK23" s="340"/>
      <c r="AL23" s="340"/>
      <c r="AM23" s="340"/>
      <c r="AN23" s="340"/>
      <c r="AO23" s="340"/>
      <c r="AP23" s="340"/>
      <c r="AQ23" s="340"/>
      <c r="AR23" s="340"/>
      <c r="AS23" s="340"/>
      <c r="AT23" s="340"/>
      <c r="AU23" s="340"/>
      <c r="AV23" s="340"/>
      <c r="AW23" s="341"/>
      <c r="AX23" s="342"/>
      <c r="AY23" s="342"/>
      <c r="AZ23" s="342"/>
      <c r="BA23" s="342"/>
      <c r="BB23" s="342"/>
      <c r="BC23" s="343"/>
      <c r="BD23" s="344"/>
      <c r="BE23" s="342"/>
      <c r="BF23" s="342"/>
      <c r="BG23" s="342"/>
      <c r="BH23" s="342"/>
      <c r="BI23" s="342"/>
      <c r="BJ23" s="343"/>
      <c r="BK23" s="315"/>
    </row>
    <row r="24" spans="1:63" ht="15" customHeight="1" x14ac:dyDescent="0.25">
      <c r="A24" s="314"/>
      <c r="B24" s="293"/>
      <c r="C24" s="294"/>
      <c r="D24" s="294"/>
      <c r="E24" s="294"/>
      <c r="F24" s="294"/>
      <c r="G24" s="295"/>
      <c r="H24" s="293"/>
      <c r="I24" s="294"/>
      <c r="J24" s="294"/>
      <c r="K24" s="294"/>
      <c r="L24" s="294"/>
      <c r="M24" s="294"/>
      <c r="N24" s="295"/>
      <c r="O24" s="293"/>
      <c r="P24" s="294"/>
      <c r="Q24" s="294"/>
      <c r="R24" s="294"/>
      <c r="S24" s="345"/>
      <c r="T24" s="346"/>
      <c r="U24" s="346"/>
      <c r="V24" s="346"/>
      <c r="W24" s="346"/>
      <c r="X24" s="346"/>
      <c r="Y24" s="346"/>
      <c r="Z24" s="346"/>
      <c r="AA24" s="346"/>
      <c r="AB24" s="346"/>
      <c r="AC24" s="346"/>
      <c r="AD24" s="346"/>
      <c r="AE24" s="346"/>
      <c r="AF24" s="346"/>
      <c r="AG24" s="346"/>
      <c r="AH24" s="346"/>
      <c r="AI24" s="346"/>
      <c r="AJ24" s="346"/>
      <c r="AK24" s="346"/>
      <c r="AL24" s="346"/>
      <c r="AM24" s="346"/>
      <c r="AN24" s="346"/>
      <c r="AO24" s="346"/>
      <c r="AP24" s="346"/>
      <c r="AQ24" s="346"/>
      <c r="AR24" s="346"/>
      <c r="AS24" s="346"/>
      <c r="AT24" s="346"/>
      <c r="AU24" s="346"/>
      <c r="AV24" s="346"/>
      <c r="AW24" s="347"/>
      <c r="AX24" s="348"/>
      <c r="AY24" s="348"/>
      <c r="AZ24" s="348"/>
      <c r="BA24" s="348"/>
      <c r="BB24" s="348"/>
      <c r="BC24" s="349"/>
      <c r="BD24" s="350"/>
      <c r="BE24" s="348"/>
      <c r="BF24" s="348"/>
      <c r="BG24" s="348"/>
      <c r="BH24" s="348"/>
      <c r="BI24" s="348"/>
      <c r="BJ24" s="349"/>
      <c r="BK24" s="315"/>
    </row>
    <row r="25" spans="1:63" ht="15" customHeight="1" x14ac:dyDescent="0.25">
      <c r="A25" s="314"/>
      <c r="B25" s="283"/>
      <c r="C25" s="281"/>
      <c r="D25" s="281"/>
      <c r="E25" s="281"/>
      <c r="F25" s="281"/>
      <c r="G25" s="282"/>
      <c r="H25" s="283"/>
      <c r="I25" s="281"/>
      <c r="J25" s="281"/>
      <c r="K25" s="281"/>
      <c r="L25" s="281"/>
      <c r="M25" s="281"/>
      <c r="N25" s="282"/>
      <c r="O25" s="283"/>
      <c r="P25" s="281"/>
      <c r="Q25" s="281"/>
      <c r="R25" s="281"/>
      <c r="S25" s="339"/>
      <c r="T25" s="340"/>
      <c r="U25" s="340"/>
      <c r="V25" s="340"/>
      <c r="W25" s="340"/>
      <c r="X25" s="340"/>
      <c r="Y25" s="340"/>
      <c r="Z25" s="340"/>
      <c r="AA25" s="340"/>
      <c r="AB25" s="340"/>
      <c r="AC25" s="340"/>
      <c r="AD25" s="340"/>
      <c r="AE25" s="340"/>
      <c r="AF25" s="340"/>
      <c r="AG25" s="340"/>
      <c r="AH25" s="340"/>
      <c r="AI25" s="340"/>
      <c r="AJ25" s="340"/>
      <c r="AK25" s="340"/>
      <c r="AL25" s="340"/>
      <c r="AM25" s="340"/>
      <c r="AN25" s="340"/>
      <c r="AO25" s="340"/>
      <c r="AP25" s="340"/>
      <c r="AQ25" s="340"/>
      <c r="AR25" s="340"/>
      <c r="AS25" s="340"/>
      <c r="AT25" s="340"/>
      <c r="AU25" s="340"/>
      <c r="AV25" s="340"/>
      <c r="AW25" s="341"/>
      <c r="AX25" s="342"/>
      <c r="AY25" s="342"/>
      <c r="AZ25" s="342"/>
      <c r="BA25" s="342"/>
      <c r="BB25" s="342"/>
      <c r="BC25" s="343"/>
      <c r="BD25" s="344"/>
      <c r="BE25" s="342"/>
      <c r="BF25" s="342"/>
      <c r="BG25" s="342"/>
      <c r="BH25" s="342"/>
      <c r="BI25" s="342"/>
      <c r="BJ25" s="343"/>
      <c r="BK25" s="315"/>
    </row>
    <row r="26" spans="1:63" ht="15" customHeight="1" x14ac:dyDescent="0.25">
      <c r="A26" s="314"/>
      <c r="B26" s="293"/>
      <c r="C26" s="294"/>
      <c r="D26" s="294"/>
      <c r="E26" s="294"/>
      <c r="F26" s="294"/>
      <c r="G26" s="295"/>
      <c r="H26" s="293"/>
      <c r="I26" s="294"/>
      <c r="J26" s="294"/>
      <c r="K26" s="294"/>
      <c r="L26" s="294"/>
      <c r="M26" s="294"/>
      <c r="N26" s="295"/>
      <c r="O26" s="293"/>
      <c r="P26" s="294"/>
      <c r="Q26" s="294"/>
      <c r="R26" s="294"/>
      <c r="S26" s="345"/>
      <c r="T26" s="346"/>
      <c r="U26" s="346"/>
      <c r="V26" s="346"/>
      <c r="W26" s="346"/>
      <c r="X26" s="346"/>
      <c r="Y26" s="346"/>
      <c r="Z26" s="346"/>
      <c r="AA26" s="346"/>
      <c r="AB26" s="346"/>
      <c r="AC26" s="346"/>
      <c r="AD26" s="346"/>
      <c r="AE26" s="346"/>
      <c r="AF26" s="346"/>
      <c r="AG26" s="346"/>
      <c r="AH26" s="346"/>
      <c r="AI26" s="346"/>
      <c r="AJ26" s="346"/>
      <c r="AK26" s="346"/>
      <c r="AL26" s="346"/>
      <c r="AM26" s="346"/>
      <c r="AN26" s="346"/>
      <c r="AO26" s="346"/>
      <c r="AP26" s="346"/>
      <c r="AQ26" s="346"/>
      <c r="AR26" s="346"/>
      <c r="AS26" s="346"/>
      <c r="AT26" s="346"/>
      <c r="AU26" s="346"/>
      <c r="AV26" s="346"/>
      <c r="AW26" s="347"/>
      <c r="AX26" s="348"/>
      <c r="AY26" s="348"/>
      <c r="AZ26" s="348"/>
      <c r="BA26" s="348"/>
      <c r="BB26" s="348"/>
      <c r="BC26" s="349"/>
      <c r="BD26" s="350"/>
      <c r="BE26" s="348"/>
      <c r="BF26" s="348"/>
      <c r="BG26" s="348"/>
      <c r="BH26" s="348"/>
      <c r="BI26" s="348"/>
      <c r="BJ26" s="349"/>
      <c r="BK26" s="315"/>
    </row>
    <row r="27" spans="1:63" ht="15" customHeight="1" x14ac:dyDescent="0.25">
      <c r="A27" s="314"/>
      <c r="B27" s="283"/>
      <c r="C27" s="281"/>
      <c r="D27" s="281"/>
      <c r="E27" s="281"/>
      <c r="F27" s="281"/>
      <c r="G27" s="282"/>
      <c r="H27" s="283"/>
      <c r="I27" s="281"/>
      <c r="J27" s="281"/>
      <c r="K27" s="281"/>
      <c r="L27" s="281"/>
      <c r="M27" s="281"/>
      <c r="N27" s="282"/>
      <c r="O27" s="283"/>
      <c r="P27" s="281"/>
      <c r="Q27" s="281"/>
      <c r="R27" s="281"/>
      <c r="S27" s="339"/>
      <c r="T27" s="340"/>
      <c r="U27" s="340"/>
      <c r="V27" s="340"/>
      <c r="W27" s="340"/>
      <c r="X27" s="340"/>
      <c r="Y27" s="340"/>
      <c r="Z27" s="340"/>
      <c r="AA27" s="340"/>
      <c r="AB27" s="340"/>
      <c r="AC27" s="340"/>
      <c r="AD27" s="340"/>
      <c r="AE27" s="340"/>
      <c r="AF27" s="340"/>
      <c r="AG27" s="340"/>
      <c r="AH27" s="340"/>
      <c r="AI27" s="340"/>
      <c r="AJ27" s="340"/>
      <c r="AK27" s="340"/>
      <c r="AL27" s="340"/>
      <c r="AM27" s="340"/>
      <c r="AN27" s="340"/>
      <c r="AO27" s="340"/>
      <c r="AP27" s="340"/>
      <c r="AQ27" s="340"/>
      <c r="AR27" s="340"/>
      <c r="AS27" s="340"/>
      <c r="AT27" s="340"/>
      <c r="AU27" s="340"/>
      <c r="AV27" s="340"/>
      <c r="AW27" s="341"/>
      <c r="AX27" s="342"/>
      <c r="AY27" s="342"/>
      <c r="AZ27" s="342"/>
      <c r="BA27" s="342"/>
      <c r="BB27" s="342"/>
      <c r="BC27" s="343"/>
      <c r="BD27" s="344"/>
      <c r="BE27" s="342"/>
      <c r="BF27" s="342"/>
      <c r="BG27" s="342"/>
      <c r="BH27" s="342"/>
      <c r="BI27" s="342"/>
      <c r="BJ27" s="343"/>
      <c r="BK27" s="315"/>
    </row>
    <row r="28" spans="1:63" ht="15" customHeight="1" x14ac:dyDescent="0.25">
      <c r="A28" s="314"/>
      <c r="B28" s="293"/>
      <c r="C28" s="294"/>
      <c r="D28" s="294"/>
      <c r="E28" s="294"/>
      <c r="F28" s="294"/>
      <c r="G28" s="295"/>
      <c r="H28" s="293"/>
      <c r="I28" s="294"/>
      <c r="J28" s="294"/>
      <c r="K28" s="294"/>
      <c r="L28" s="294"/>
      <c r="M28" s="294"/>
      <c r="N28" s="295"/>
      <c r="O28" s="293"/>
      <c r="P28" s="294"/>
      <c r="Q28" s="294"/>
      <c r="R28" s="294"/>
      <c r="S28" s="345"/>
      <c r="T28" s="346"/>
      <c r="U28" s="346"/>
      <c r="V28" s="346"/>
      <c r="W28" s="346"/>
      <c r="X28" s="346"/>
      <c r="Y28" s="346"/>
      <c r="Z28" s="346"/>
      <c r="AA28" s="346"/>
      <c r="AB28" s="346"/>
      <c r="AC28" s="346"/>
      <c r="AD28" s="346"/>
      <c r="AE28" s="346"/>
      <c r="AF28" s="346"/>
      <c r="AG28" s="346"/>
      <c r="AH28" s="346"/>
      <c r="AI28" s="346"/>
      <c r="AJ28" s="346"/>
      <c r="AK28" s="346"/>
      <c r="AL28" s="346"/>
      <c r="AM28" s="346"/>
      <c r="AN28" s="346"/>
      <c r="AO28" s="346"/>
      <c r="AP28" s="346"/>
      <c r="AQ28" s="346"/>
      <c r="AR28" s="346"/>
      <c r="AS28" s="346"/>
      <c r="AT28" s="346"/>
      <c r="AU28" s="346"/>
      <c r="AV28" s="346"/>
      <c r="AW28" s="347"/>
      <c r="AX28" s="348"/>
      <c r="AY28" s="348"/>
      <c r="AZ28" s="348"/>
      <c r="BA28" s="348"/>
      <c r="BB28" s="348"/>
      <c r="BC28" s="349"/>
      <c r="BD28" s="350"/>
      <c r="BE28" s="348"/>
      <c r="BF28" s="348"/>
      <c r="BG28" s="348"/>
      <c r="BH28" s="348"/>
      <c r="BI28" s="348"/>
      <c r="BJ28" s="349"/>
      <c r="BK28" s="315"/>
    </row>
    <row r="29" spans="1:63" ht="15" customHeight="1" x14ac:dyDescent="0.25">
      <c r="A29" s="314"/>
      <c r="B29" s="283"/>
      <c r="C29" s="281"/>
      <c r="D29" s="281"/>
      <c r="E29" s="281"/>
      <c r="F29" s="281"/>
      <c r="G29" s="282"/>
      <c r="H29" s="283"/>
      <c r="I29" s="281"/>
      <c r="J29" s="281"/>
      <c r="K29" s="281"/>
      <c r="L29" s="281"/>
      <c r="M29" s="281"/>
      <c r="N29" s="282"/>
      <c r="O29" s="283"/>
      <c r="P29" s="281"/>
      <c r="Q29" s="281"/>
      <c r="R29" s="281"/>
      <c r="S29" s="339"/>
      <c r="T29" s="340"/>
      <c r="U29" s="340"/>
      <c r="V29" s="340"/>
      <c r="W29" s="340"/>
      <c r="X29" s="340"/>
      <c r="Y29" s="340"/>
      <c r="Z29" s="340"/>
      <c r="AA29" s="340"/>
      <c r="AB29" s="340"/>
      <c r="AC29" s="340"/>
      <c r="AD29" s="340"/>
      <c r="AE29" s="340"/>
      <c r="AF29" s="340"/>
      <c r="AG29" s="340"/>
      <c r="AH29" s="340"/>
      <c r="AI29" s="340"/>
      <c r="AJ29" s="340"/>
      <c r="AK29" s="340"/>
      <c r="AL29" s="340"/>
      <c r="AM29" s="340"/>
      <c r="AN29" s="340"/>
      <c r="AO29" s="340"/>
      <c r="AP29" s="340"/>
      <c r="AQ29" s="340"/>
      <c r="AR29" s="340"/>
      <c r="AS29" s="340"/>
      <c r="AT29" s="340"/>
      <c r="AU29" s="340"/>
      <c r="AV29" s="340"/>
      <c r="AW29" s="341"/>
      <c r="AX29" s="342"/>
      <c r="AY29" s="342"/>
      <c r="AZ29" s="342"/>
      <c r="BA29" s="342"/>
      <c r="BB29" s="342"/>
      <c r="BC29" s="343"/>
      <c r="BD29" s="344"/>
      <c r="BE29" s="342"/>
      <c r="BF29" s="342"/>
      <c r="BG29" s="342"/>
      <c r="BH29" s="342"/>
      <c r="BI29" s="342"/>
      <c r="BJ29" s="343"/>
      <c r="BK29" s="315"/>
    </row>
    <row r="30" spans="1:63" ht="15" customHeight="1" x14ac:dyDescent="0.25">
      <c r="A30" s="314"/>
      <c r="B30" s="293"/>
      <c r="C30" s="294"/>
      <c r="D30" s="294"/>
      <c r="E30" s="294"/>
      <c r="F30" s="294"/>
      <c r="G30" s="295"/>
      <c r="H30" s="293"/>
      <c r="I30" s="294"/>
      <c r="J30" s="294"/>
      <c r="K30" s="294"/>
      <c r="L30" s="294"/>
      <c r="M30" s="294"/>
      <c r="N30" s="295"/>
      <c r="O30" s="293"/>
      <c r="P30" s="294"/>
      <c r="Q30" s="294"/>
      <c r="R30" s="294"/>
      <c r="S30" s="345"/>
      <c r="T30" s="346"/>
      <c r="U30" s="346"/>
      <c r="V30" s="346"/>
      <c r="W30" s="346"/>
      <c r="X30" s="346"/>
      <c r="Y30" s="346"/>
      <c r="Z30" s="346"/>
      <c r="AA30" s="346"/>
      <c r="AB30" s="346"/>
      <c r="AC30" s="346"/>
      <c r="AD30" s="346"/>
      <c r="AE30" s="346"/>
      <c r="AF30" s="346"/>
      <c r="AG30" s="346"/>
      <c r="AH30" s="346"/>
      <c r="AI30" s="346"/>
      <c r="AJ30" s="346"/>
      <c r="AK30" s="346"/>
      <c r="AL30" s="346"/>
      <c r="AM30" s="346"/>
      <c r="AN30" s="346"/>
      <c r="AO30" s="346"/>
      <c r="AP30" s="346"/>
      <c r="AQ30" s="346"/>
      <c r="AR30" s="346"/>
      <c r="AS30" s="346"/>
      <c r="AT30" s="346"/>
      <c r="AU30" s="346"/>
      <c r="AV30" s="346"/>
      <c r="AW30" s="347"/>
      <c r="AX30" s="348"/>
      <c r="AY30" s="348"/>
      <c r="AZ30" s="348"/>
      <c r="BA30" s="348"/>
      <c r="BB30" s="348"/>
      <c r="BC30" s="349"/>
      <c r="BD30" s="350"/>
      <c r="BE30" s="348"/>
      <c r="BF30" s="348"/>
      <c r="BG30" s="348"/>
      <c r="BH30" s="348"/>
      <c r="BI30" s="348"/>
      <c r="BJ30" s="349"/>
      <c r="BK30" s="315"/>
    </row>
    <row r="31" spans="1:63" ht="15" customHeight="1" x14ac:dyDescent="0.25">
      <c r="A31" s="314"/>
      <c r="B31" s="283"/>
      <c r="C31" s="281"/>
      <c r="D31" s="281"/>
      <c r="E31" s="281"/>
      <c r="F31" s="281"/>
      <c r="G31" s="282"/>
      <c r="H31" s="283"/>
      <c r="I31" s="281"/>
      <c r="J31" s="281"/>
      <c r="K31" s="281"/>
      <c r="L31" s="281"/>
      <c r="M31" s="281"/>
      <c r="N31" s="282"/>
      <c r="O31" s="283"/>
      <c r="P31" s="281"/>
      <c r="Q31" s="281"/>
      <c r="R31" s="281"/>
      <c r="S31" s="339"/>
      <c r="T31" s="340"/>
      <c r="U31" s="340"/>
      <c r="V31" s="340"/>
      <c r="W31" s="340"/>
      <c r="X31" s="340"/>
      <c r="Y31" s="340"/>
      <c r="Z31" s="340"/>
      <c r="AA31" s="340"/>
      <c r="AB31" s="340"/>
      <c r="AC31" s="340"/>
      <c r="AD31" s="340"/>
      <c r="AE31" s="340"/>
      <c r="AF31" s="340"/>
      <c r="AG31" s="340"/>
      <c r="AH31" s="340"/>
      <c r="AI31" s="340"/>
      <c r="AJ31" s="340"/>
      <c r="AK31" s="340"/>
      <c r="AL31" s="340"/>
      <c r="AM31" s="340"/>
      <c r="AN31" s="340"/>
      <c r="AO31" s="340"/>
      <c r="AP31" s="340"/>
      <c r="AQ31" s="340"/>
      <c r="AR31" s="340"/>
      <c r="AS31" s="340"/>
      <c r="AT31" s="340"/>
      <c r="AU31" s="340"/>
      <c r="AV31" s="340"/>
      <c r="AW31" s="341"/>
      <c r="AX31" s="342"/>
      <c r="AY31" s="342"/>
      <c r="AZ31" s="342"/>
      <c r="BA31" s="342"/>
      <c r="BB31" s="342"/>
      <c r="BC31" s="343"/>
      <c r="BD31" s="344"/>
      <c r="BE31" s="342"/>
      <c r="BF31" s="342"/>
      <c r="BG31" s="342"/>
      <c r="BH31" s="342"/>
      <c r="BI31" s="342"/>
      <c r="BJ31" s="343"/>
      <c r="BK31" s="315"/>
    </row>
    <row r="32" spans="1:63" ht="15" customHeight="1" x14ac:dyDescent="0.25">
      <c r="A32" s="314"/>
      <c r="B32" s="293"/>
      <c r="C32" s="294"/>
      <c r="D32" s="294"/>
      <c r="E32" s="294"/>
      <c r="F32" s="294"/>
      <c r="G32" s="295"/>
      <c r="H32" s="293"/>
      <c r="I32" s="294"/>
      <c r="J32" s="294"/>
      <c r="K32" s="294"/>
      <c r="L32" s="294"/>
      <c r="M32" s="294"/>
      <c r="N32" s="295"/>
      <c r="O32" s="293"/>
      <c r="P32" s="294"/>
      <c r="Q32" s="294"/>
      <c r="R32" s="294"/>
      <c r="S32" s="345"/>
      <c r="T32" s="346"/>
      <c r="U32" s="346"/>
      <c r="V32" s="346"/>
      <c r="W32" s="346"/>
      <c r="X32" s="346"/>
      <c r="Y32" s="346"/>
      <c r="Z32" s="346"/>
      <c r="AA32" s="346"/>
      <c r="AB32" s="346"/>
      <c r="AC32" s="346"/>
      <c r="AD32" s="346"/>
      <c r="AE32" s="346"/>
      <c r="AF32" s="346"/>
      <c r="AG32" s="346"/>
      <c r="AH32" s="346"/>
      <c r="AI32" s="346"/>
      <c r="AJ32" s="346"/>
      <c r="AK32" s="346"/>
      <c r="AL32" s="346"/>
      <c r="AM32" s="346"/>
      <c r="AN32" s="346"/>
      <c r="AO32" s="346"/>
      <c r="AP32" s="346"/>
      <c r="AQ32" s="346"/>
      <c r="AR32" s="346"/>
      <c r="AS32" s="346"/>
      <c r="AT32" s="346"/>
      <c r="AU32" s="346"/>
      <c r="AV32" s="346"/>
      <c r="AW32" s="347"/>
      <c r="AX32" s="348"/>
      <c r="AY32" s="348"/>
      <c r="AZ32" s="348"/>
      <c r="BA32" s="348"/>
      <c r="BB32" s="348"/>
      <c r="BC32" s="349"/>
      <c r="BD32" s="350"/>
      <c r="BE32" s="348"/>
      <c r="BF32" s="348"/>
      <c r="BG32" s="348"/>
      <c r="BH32" s="348"/>
      <c r="BI32" s="348"/>
      <c r="BJ32" s="349"/>
      <c r="BK32" s="315"/>
    </row>
    <row r="33" spans="1:63" ht="15" customHeight="1" x14ac:dyDescent="0.25">
      <c r="A33" s="314"/>
      <c r="B33" s="283"/>
      <c r="C33" s="281"/>
      <c r="D33" s="281"/>
      <c r="E33" s="281"/>
      <c r="F33" s="281"/>
      <c r="G33" s="282"/>
      <c r="H33" s="283"/>
      <c r="I33" s="281"/>
      <c r="J33" s="281"/>
      <c r="K33" s="281"/>
      <c r="L33" s="281"/>
      <c r="M33" s="281"/>
      <c r="N33" s="282"/>
      <c r="O33" s="283"/>
      <c r="P33" s="281"/>
      <c r="Q33" s="281"/>
      <c r="R33" s="281"/>
      <c r="S33" s="339"/>
      <c r="T33" s="340"/>
      <c r="U33" s="340"/>
      <c r="V33" s="340"/>
      <c r="W33" s="340"/>
      <c r="X33" s="340"/>
      <c r="Y33" s="340"/>
      <c r="Z33" s="340"/>
      <c r="AA33" s="340"/>
      <c r="AB33" s="340"/>
      <c r="AC33" s="340"/>
      <c r="AD33" s="340"/>
      <c r="AE33" s="340"/>
      <c r="AF33" s="340"/>
      <c r="AG33" s="340"/>
      <c r="AH33" s="340"/>
      <c r="AI33" s="340"/>
      <c r="AJ33" s="340"/>
      <c r="AK33" s="340"/>
      <c r="AL33" s="340"/>
      <c r="AM33" s="340"/>
      <c r="AN33" s="340"/>
      <c r="AO33" s="340"/>
      <c r="AP33" s="340"/>
      <c r="AQ33" s="340"/>
      <c r="AR33" s="340"/>
      <c r="AS33" s="340"/>
      <c r="AT33" s="340"/>
      <c r="AU33" s="340"/>
      <c r="AV33" s="340"/>
      <c r="AW33" s="341"/>
      <c r="AX33" s="342"/>
      <c r="AY33" s="342"/>
      <c r="AZ33" s="342"/>
      <c r="BA33" s="342"/>
      <c r="BB33" s="342"/>
      <c r="BC33" s="343"/>
      <c r="BD33" s="344"/>
      <c r="BE33" s="342"/>
      <c r="BF33" s="342"/>
      <c r="BG33" s="342"/>
      <c r="BH33" s="342"/>
      <c r="BI33" s="342"/>
      <c r="BJ33" s="343"/>
      <c r="BK33" s="315"/>
    </row>
    <row r="34" spans="1:63" ht="15" customHeight="1" x14ac:dyDescent="0.25">
      <c r="A34" s="314"/>
      <c r="B34" s="293"/>
      <c r="C34" s="294"/>
      <c r="D34" s="294"/>
      <c r="E34" s="294"/>
      <c r="F34" s="294"/>
      <c r="G34" s="295"/>
      <c r="H34" s="293"/>
      <c r="I34" s="294"/>
      <c r="J34" s="294"/>
      <c r="K34" s="294"/>
      <c r="L34" s="294"/>
      <c r="M34" s="294"/>
      <c r="N34" s="295"/>
      <c r="O34" s="293"/>
      <c r="P34" s="294"/>
      <c r="Q34" s="294"/>
      <c r="R34" s="294"/>
      <c r="S34" s="345"/>
      <c r="T34" s="346"/>
      <c r="U34" s="346"/>
      <c r="V34" s="346"/>
      <c r="W34" s="346"/>
      <c r="X34" s="346"/>
      <c r="Y34" s="346"/>
      <c r="Z34" s="346"/>
      <c r="AA34" s="346"/>
      <c r="AB34" s="346"/>
      <c r="AC34" s="346"/>
      <c r="AD34" s="346"/>
      <c r="AE34" s="346"/>
      <c r="AF34" s="346"/>
      <c r="AG34" s="346"/>
      <c r="AH34" s="346"/>
      <c r="AI34" s="346"/>
      <c r="AJ34" s="346"/>
      <c r="AK34" s="346"/>
      <c r="AL34" s="346"/>
      <c r="AM34" s="346"/>
      <c r="AN34" s="346"/>
      <c r="AO34" s="346"/>
      <c r="AP34" s="346"/>
      <c r="AQ34" s="346"/>
      <c r="AR34" s="346"/>
      <c r="AS34" s="346"/>
      <c r="AT34" s="346"/>
      <c r="AU34" s="346"/>
      <c r="AV34" s="346"/>
      <c r="AW34" s="347"/>
      <c r="AX34" s="348"/>
      <c r="AY34" s="348"/>
      <c r="AZ34" s="348"/>
      <c r="BA34" s="348"/>
      <c r="BB34" s="348"/>
      <c r="BC34" s="349"/>
      <c r="BD34" s="350"/>
      <c r="BE34" s="348"/>
      <c r="BF34" s="348"/>
      <c r="BG34" s="348"/>
      <c r="BH34" s="348"/>
      <c r="BI34" s="348"/>
      <c r="BJ34" s="349"/>
      <c r="BK34" s="315"/>
    </row>
    <row r="35" spans="1:63" ht="15" customHeight="1" x14ac:dyDescent="0.25">
      <c r="A35" s="314"/>
      <c r="B35" s="283"/>
      <c r="C35" s="281"/>
      <c r="D35" s="281"/>
      <c r="E35" s="281"/>
      <c r="F35" s="281"/>
      <c r="G35" s="282"/>
      <c r="H35" s="283"/>
      <c r="I35" s="281"/>
      <c r="J35" s="281"/>
      <c r="K35" s="281"/>
      <c r="L35" s="281"/>
      <c r="M35" s="281"/>
      <c r="N35" s="282"/>
      <c r="O35" s="283"/>
      <c r="P35" s="281"/>
      <c r="Q35" s="281"/>
      <c r="R35" s="281"/>
      <c r="S35" s="339"/>
      <c r="T35" s="340"/>
      <c r="U35" s="340"/>
      <c r="V35" s="340"/>
      <c r="W35" s="340"/>
      <c r="X35" s="340"/>
      <c r="Y35" s="340"/>
      <c r="Z35" s="340"/>
      <c r="AA35" s="340"/>
      <c r="AB35" s="340"/>
      <c r="AC35" s="340"/>
      <c r="AD35" s="340"/>
      <c r="AE35" s="340"/>
      <c r="AF35" s="340"/>
      <c r="AG35" s="340"/>
      <c r="AH35" s="340"/>
      <c r="AI35" s="340"/>
      <c r="AJ35" s="340"/>
      <c r="AK35" s="340"/>
      <c r="AL35" s="340"/>
      <c r="AM35" s="340"/>
      <c r="AN35" s="340"/>
      <c r="AO35" s="340"/>
      <c r="AP35" s="340"/>
      <c r="AQ35" s="340"/>
      <c r="AR35" s="340"/>
      <c r="AS35" s="340"/>
      <c r="AT35" s="340"/>
      <c r="AU35" s="340"/>
      <c r="AV35" s="340"/>
      <c r="AW35" s="341"/>
      <c r="AX35" s="342"/>
      <c r="AY35" s="342"/>
      <c r="AZ35" s="342"/>
      <c r="BA35" s="342"/>
      <c r="BB35" s="342"/>
      <c r="BC35" s="343"/>
      <c r="BD35" s="344"/>
      <c r="BE35" s="342"/>
      <c r="BF35" s="342"/>
      <c r="BG35" s="342"/>
      <c r="BH35" s="342"/>
      <c r="BI35" s="342"/>
      <c r="BJ35" s="343"/>
      <c r="BK35" s="315"/>
    </row>
    <row r="36" spans="1:63" ht="15" customHeight="1" x14ac:dyDescent="0.25">
      <c r="A36" s="314"/>
      <c r="B36" s="293"/>
      <c r="C36" s="294"/>
      <c r="D36" s="294"/>
      <c r="E36" s="294"/>
      <c r="F36" s="294"/>
      <c r="G36" s="295"/>
      <c r="H36" s="293"/>
      <c r="I36" s="294"/>
      <c r="J36" s="294"/>
      <c r="K36" s="294"/>
      <c r="L36" s="294"/>
      <c r="M36" s="294"/>
      <c r="N36" s="295"/>
      <c r="O36" s="293"/>
      <c r="P36" s="294"/>
      <c r="Q36" s="294"/>
      <c r="R36" s="294"/>
      <c r="S36" s="345"/>
      <c r="T36" s="346"/>
      <c r="U36" s="346"/>
      <c r="V36" s="346"/>
      <c r="W36" s="346"/>
      <c r="X36" s="346"/>
      <c r="Y36" s="346"/>
      <c r="Z36" s="346"/>
      <c r="AA36" s="346"/>
      <c r="AB36" s="346"/>
      <c r="AC36" s="346"/>
      <c r="AD36" s="346"/>
      <c r="AE36" s="346"/>
      <c r="AF36" s="346"/>
      <c r="AG36" s="346"/>
      <c r="AH36" s="346"/>
      <c r="AI36" s="346"/>
      <c r="AJ36" s="346"/>
      <c r="AK36" s="346"/>
      <c r="AL36" s="346"/>
      <c r="AM36" s="346"/>
      <c r="AN36" s="346"/>
      <c r="AO36" s="346"/>
      <c r="AP36" s="346"/>
      <c r="AQ36" s="346"/>
      <c r="AR36" s="346"/>
      <c r="AS36" s="346"/>
      <c r="AT36" s="346"/>
      <c r="AU36" s="346"/>
      <c r="AV36" s="346"/>
      <c r="AW36" s="347"/>
      <c r="AX36" s="348"/>
      <c r="AY36" s="348"/>
      <c r="AZ36" s="348"/>
      <c r="BA36" s="348"/>
      <c r="BB36" s="348"/>
      <c r="BC36" s="349"/>
      <c r="BD36" s="350"/>
      <c r="BE36" s="348"/>
      <c r="BF36" s="348"/>
      <c r="BG36" s="348"/>
      <c r="BH36" s="348"/>
      <c r="BI36" s="348"/>
      <c r="BJ36" s="349"/>
      <c r="BK36" s="315"/>
    </row>
    <row r="37" spans="1:63" ht="15" customHeight="1" x14ac:dyDescent="0.25">
      <c r="A37" s="314"/>
      <c r="B37" s="283"/>
      <c r="C37" s="281"/>
      <c r="D37" s="281"/>
      <c r="E37" s="281"/>
      <c r="F37" s="281"/>
      <c r="G37" s="282"/>
      <c r="H37" s="283"/>
      <c r="I37" s="281"/>
      <c r="J37" s="281"/>
      <c r="K37" s="281"/>
      <c r="L37" s="281"/>
      <c r="M37" s="281"/>
      <c r="N37" s="282"/>
      <c r="O37" s="283"/>
      <c r="P37" s="281"/>
      <c r="Q37" s="281"/>
      <c r="R37" s="281"/>
      <c r="S37" s="339"/>
      <c r="T37" s="340"/>
      <c r="U37" s="340"/>
      <c r="V37" s="340"/>
      <c r="W37" s="340"/>
      <c r="X37" s="340"/>
      <c r="Y37" s="340"/>
      <c r="Z37" s="340"/>
      <c r="AA37" s="340"/>
      <c r="AB37" s="340"/>
      <c r="AC37" s="340"/>
      <c r="AD37" s="340"/>
      <c r="AE37" s="340"/>
      <c r="AF37" s="340"/>
      <c r="AG37" s="340"/>
      <c r="AH37" s="340"/>
      <c r="AI37" s="340"/>
      <c r="AJ37" s="340"/>
      <c r="AK37" s="340"/>
      <c r="AL37" s="340"/>
      <c r="AM37" s="340"/>
      <c r="AN37" s="340"/>
      <c r="AO37" s="340"/>
      <c r="AP37" s="340"/>
      <c r="AQ37" s="340"/>
      <c r="AR37" s="340"/>
      <c r="AS37" s="340"/>
      <c r="AT37" s="340"/>
      <c r="AU37" s="340"/>
      <c r="AV37" s="340"/>
      <c r="AW37" s="341"/>
      <c r="AX37" s="342"/>
      <c r="AY37" s="342"/>
      <c r="AZ37" s="342"/>
      <c r="BA37" s="342"/>
      <c r="BB37" s="342"/>
      <c r="BC37" s="343"/>
      <c r="BD37" s="344"/>
      <c r="BE37" s="342"/>
      <c r="BF37" s="342"/>
      <c r="BG37" s="342"/>
      <c r="BH37" s="342"/>
      <c r="BI37" s="342"/>
      <c r="BJ37" s="343"/>
      <c r="BK37" s="315"/>
    </row>
    <row r="38" spans="1:63" ht="15" customHeight="1" x14ac:dyDescent="0.25">
      <c r="A38" s="314"/>
      <c r="B38" s="293"/>
      <c r="C38" s="294"/>
      <c r="D38" s="294"/>
      <c r="E38" s="294"/>
      <c r="F38" s="294"/>
      <c r="G38" s="295"/>
      <c r="H38" s="293"/>
      <c r="I38" s="294"/>
      <c r="J38" s="294"/>
      <c r="K38" s="294"/>
      <c r="L38" s="294"/>
      <c r="M38" s="294"/>
      <c r="N38" s="295"/>
      <c r="O38" s="293"/>
      <c r="P38" s="294"/>
      <c r="Q38" s="294"/>
      <c r="R38" s="294"/>
      <c r="S38" s="345"/>
      <c r="T38" s="346"/>
      <c r="U38" s="346"/>
      <c r="V38" s="346"/>
      <c r="W38" s="346"/>
      <c r="X38" s="346"/>
      <c r="Y38" s="346"/>
      <c r="Z38" s="346"/>
      <c r="AA38" s="346"/>
      <c r="AB38" s="346"/>
      <c r="AC38" s="346"/>
      <c r="AD38" s="346"/>
      <c r="AE38" s="346"/>
      <c r="AF38" s="346"/>
      <c r="AG38" s="346"/>
      <c r="AH38" s="346"/>
      <c r="AI38" s="346"/>
      <c r="AJ38" s="346"/>
      <c r="AK38" s="346"/>
      <c r="AL38" s="346"/>
      <c r="AM38" s="346"/>
      <c r="AN38" s="346"/>
      <c r="AO38" s="346"/>
      <c r="AP38" s="346"/>
      <c r="AQ38" s="346"/>
      <c r="AR38" s="346"/>
      <c r="AS38" s="346"/>
      <c r="AT38" s="346"/>
      <c r="AU38" s="346"/>
      <c r="AV38" s="346"/>
      <c r="AW38" s="347"/>
      <c r="AX38" s="348"/>
      <c r="AY38" s="348"/>
      <c r="AZ38" s="348"/>
      <c r="BA38" s="348"/>
      <c r="BB38" s="348"/>
      <c r="BC38" s="349"/>
      <c r="BD38" s="350"/>
      <c r="BE38" s="348"/>
      <c r="BF38" s="348"/>
      <c r="BG38" s="348"/>
      <c r="BH38" s="348"/>
      <c r="BI38" s="348"/>
      <c r="BJ38" s="349"/>
      <c r="BK38" s="315"/>
    </row>
    <row r="39" spans="1:63" ht="15" customHeight="1" x14ac:dyDescent="0.25">
      <c r="A39" s="314"/>
      <c r="B39" s="283"/>
      <c r="C39" s="281"/>
      <c r="D39" s="281"/>
      <c r="E39" s="281"/>
      <c r="F39" s="281"/>
      <c r="G39" s="282"/>
      <c r="H39" s="283"/>
      <c r="I39" s="281"/>
      <c r="J39" s="281"/>
      <c r="K39" s="281"/>
      <c r="L39" s="281"/>
      <c r="M39" s="281"/>
      <c r="N39" s="282"/>
      <c r="O39" s="283"/>
      <c r="P39" s="281"/>
      <c r="Q39" s="281"/>
      <c r="R39" s="281"/>
      <c r="S39" s="339"/>
      <c r="T39" s="340"/>
      <c r="U39" s="340"/>
      <c r="V39" s="340"/>
      <c r="W39" s="340"/>
      <c r="X39" s="340"/>
      <c r="Y39" s="340"/>
      <c r="Z39" s="340"/>
      <c r="AA39" s="340"/>
      <c r="AB39" s="340"/>
      <c r="AC39" s="340"/>
      <c r="AD39" s="340"/>
      <c r="AE39" s="340"/>
      <c r="AF39" s="340"/>
      <c r="AG39" s="340"/>
      <c r="AH39" s="340"/>
      <c r="AI39" s="340"/>
      <c r="AJ39" s="340"/>
      <c r="AK39" s="340"/>
      <c r="AL39" s="340"/>
      <c r="AM39" s="340"/>
      <c r="AN39" s="340"/>
      <c r="AO39" s="340"/>
      <c r="AP39" s="340"/>
      <c r="AQ39" s="340"/>
      <c r="AR39" s="340"/>
      <c r="AS39" s="340"/>
      <c r="AT39" s="340"/>
      <c r="AU39" s="340"/>
      <c r="AV39" s="340"/>
      <c r="AW39" s="341"/>
      <c r="AX39" s="342"/>
      <c r="AY39" s="342"/>
      <c r="AZ39" s="342"/>
      <c r="BA39" s="342"/>
      <c r="BB39" s="342"/>
      <c r="BC39" s="343"/>
      <c r="BD39" s="344"/>
      <c r="BE39" s="342"/>
      <c r="BF39" s="342"/>
      <c r="BG39" s="342"/>
      <c r="BH39" s="342"/>
      <c r="BI39" s="342"/>
      <c r="BJ39" s="343"/>
      <c r="BK39" s="315"/>
    </row>
    <row r="40" spans="1:63" ht="15" customHeight="1" x14ac:dyDescent="0.25">
      <c r="A40" s="314"/>
      <c r="B40" s="293"/>
      <c r="C40" s="294"/>
      <c r="D40" s="294"/>
      <c r="E40" s="294"/>
      <c r="F40" s="294"/>
      <c r="G40" s="295"/>
      <c r="H40" s="293"/>
      <c r="I40" s="294"/>
      <c r="J40" s="294"/>
      <c r="K40" s="294"/>
      <c r="L40" s="294"/>
      <c r="M40" s="294"/>
      <c r="N40" s="295"/>
      <c r="O40" s="293"/>
      <c r="P40" s="294"/>
      <c r="Q40" s="294"/>
      <c r="R40" s="294"/>
      <c r="S40" s="345"/>
      <c r="T40" s="346"/>
      <c r="U40" s="346"/>
      <c r="V40" s="346"/>
      <c r="W40" s="346"/>
      <c r="X40" s="346"/>
      <c r="Y40" s="346"/>
      <c r="Z40" s="346"/>
      <c r="AA40" s="346"/>
      <c r="AB40" s="346"/>
      <c r="AC40" s="346"/>
      <c r="AD40" s="346"/>
      <c r="AE40" s="346"/>
      <c r="AF40" s="346"/>
      <c r="AG40" s="346"/>
      <c r="AH40" s="346"/>
      <c r="AI40" s="346"/>
      <c r="AJ40" s="346"/>
      <c r="AK40" s="346"/>
      <c r="AL40" s="346"/>
      <c r="AM40" s="346"/>
      <c r="AN40" s="346"/>
      <c r="AO40" s="346"/>
      <c r="AP40" s="346"/>
      <c r="AQ40" s="346"/>
      <c r="AR40" s="346"/>
      <c r="AS40" s="346"/>
      <c r="AT40" s="346"/>
      <c r="AU40" s="346"/>
      <c r="AV40" s="346"/>
      <c r="AW40" s="347"/>
      <c r="AX40" s="348"/>
      <c r="AY40" s="348"/>
      <c r="AZ40" s="348"/>
      <c r="BA40" s="348"/>
      <c r="BB40" s="348"/>
      <c r="BC40" s="349"/>
      <c r="BD40" s="350"/>
      <c r="BE40" s="348"/>
      <c r="BF40" s="348"/>
      <c r="BG40" s="348"/>
      <c r="BH40" s="348"/>
      <c r="BI40" s="348"/>
      <c r="BJ40" s="349"/>
      <c r="BK40" s="315"/>
    </row>
    <row r="41" spans="1:63" ht="15" customHeight="1" x14ac:dyDescent="0.25">
      <c r="A41" s="314"/>
      <c r="B41" s="283"/>
      <c r="C41" s="281"/>
      <c r="D41" s="281"/>
      <c r="E41" s="281"/>
      <c r="F41" s="281"/>
      <c r="G41" s="282"/>
      <c r="H41" s="283"/>
      <c r="I41" s="281"/>
      <c r="J41" s="281"/>
      <c r="K41" s="281"/>
      <c r="L41" s="281"/>
      <c r="M41" s="281"/>
      <c r="N41" s="282"/>
      <c r="O41" s="283"/>
      <c r="P41" s="281"/>
      <c r="Q41" s="281"/>
      <c r="R41" s="281"/>
      <c r="S41" s="339"/>
      <c r="T41" s="340"/>
      <c r="U41" s="340"/>
      <c r="V41" s="340"/>
      <c r="W41" s="340"/>
      <c r="X41" s="340"/>
      <c r="Y41" s="340"/>
      <c r="Z41" s="340"/>
      <c r="AA41" s="340"/>
      <c r="AB41" s="340"/>
      <c r="AC41" s="340"/>
      <c r="AD41" s="340"/>
      <c r="AE41" s="340"/>
      <c r="AF41" s="340"/>
      <c r="AG41" s="340"/>
      <c r="AH41" s="340"/>
      <c r="AI41" s="340"/>
      <c r="AJ41" s="340"/>
      <c r="AK41" s="340"/>
      <c r="AL41" s="340"/>
      <c r="AM41" s="340"/>
      <c r="AN41" s="340"/>
      <c r="AO41" s="340"/>
      <c r="AP41" s="340"/>
      <c r="AQ41" s="340"/>
      <c r="AR41" s="340"/>
      <c r="AS41" s="340"/>
      <c r="AT41" s="340"/>
      <c r="AU41" s="340"/>
      <c r="AV41" s="340"/>
      <c r="AW41" s="341"/>
      <c r="AX41" s="342"/>
      <c r="AY41" s="342"/>
      <c r="AZ41" s="342"/>
      <c r="BA41" s="342"/>
      <c r="BB41" s="342"/>
      <c r="BC41" s="343"/>
      <c r="BD41" s="344"/>
      <c r="BE41" s="342"/>
      <c r="BF41" s="342"/>
      <c r="BG41" s="342"/>
      <c r="BH41" s="342"/>
      <c r="BI41" s="342"/>
      <c r="BJ41" s="343"/>
      <c r="BK41" s="315"/>
    </row>
    <row r="42" spans="1:63" ht="15" customHeight="1" x14ac:dyDescent="0.25">
      <c r="A42" s="314"/>
      <c r="B42" s="293"/>
      <c r="C42" s="294"/>
      <c r="D42" s="294"/>
      <c r="E42" s="294"/>
      <c r="F42" s="294"/>
      <c r="G42" s="295"/>
      <c r="H42" s="293"/>
      <c r="I42" s="294"/>
      <c r="J42" s="294"/>
      <c r="K42" s="294"/>
      <c r="L42" s="294"/>
      <c r="M42" s="294"/>
      <c r="N42" s="295"/>
      <c r="O42" s="293"/>
      <c r="P42" s="294"/>
      <c r="Q42" s="294"/>
      <c r="R42" s="294"/>
      <c r="S42" s="345"/>
      <c r="T42" s="346"/>
      <c r="U42" s="346"/>
      <c r="V42" s="346"/>
      <c r="W42" s="346"/>
      <c r="X42" s="346"/>
      <c r="Y42" s="346"/>
      <c r="Z42" s="346"/>
      <c r="AA42" s="346"/>
      <c r="AB42" s="346"/>
      <c r="AC42" s="346"/>
      <c r="AD42" s="346"/>
      <c r="AE42" s="346"/>
      <c r="AF42" s="346"/>
      <c r="AG42" s="346"/>
      <c r="AH42" s="346"/>
      <c r="AI42" s="346"/>
      <c r="AJ42" s="346"/>
      <c r="AK42" s="346"/>
      <c r="AL42" s="346"/>
      <c r="AM42" s="346"/>
      <c r="AN42" s="346"/>
      <c r="AO42" s="346"/>
      <c r="AP42" s="346"/>
      <c r="AQ42" s="346"/>
      <c r="AR42" s="346"/>
      <c r="AS42" s="346"/>
      <c r="AT42" s="346"/>
      <c r="AU42" s="346"/>
      <c r="AV42" s="346"/>
      <c r="AW42" s="347"/>
      <c r="AX42" s="348"/>
      <c r="AY42" s="348"/>
      <c r="AZ42" s="348"/>
      <c r="BA42" s="348"/>
      <c r="BB42" s="348"/>
      <c r="BC42" s="349"/>
      <c r="BD42" s="350"/>
      <c r="BE42" s="348"/>
      <c r="BF42" s="348"/>
      <c r="BG42" s="348"/>
      <c r="BH42" s="348"/>
      <c r="BI42" s="348"/>
      <c r="BJ42" s="349"/>
      <c r="BK42" s="315"/>
    </row>
    <row r="43" spans="1:63" ht="15" customHeight="1" x14ac:dyDescent="0.25">
      <c r="A43" s="314"/>
      <c r="B43" s="283"/>
      <c r="C43" s="281"/>
      <c r="D43" s="281"/>
      <c r="E43" s="281"/>
      <c r="F43" s="281"/>
      <c r="G43" s="282"/>
      <c r="H43" s="283"/>
      <c r="I43" s="281"/>
      <c r="J43" s="281"/>
      <c r="K43" s="281"/>
      <c r="L43" s="281"/>
      <c r="M43" s="281"/>
      <c r="N43" s="282"/>
      <c r="O43" s="283"/>
      <c r="P43" s="281"/>
      <c r="Q43" s="281"/>
      <c r="R43" s="281"/>
      <c r="S43" s="339"/>
      <c r="T43" s="340"/>
      <c r="U43" s="340"/>
      <c r="V43" s="340"/>
      <c r="W43" s="340"/>
      <c r="X43" s="340"/>
      <c r="Y43" s="340"/>
      <c r="Z43" s="340"/>
      <c r="AA43" s="340"/>
      <c r="AB43" s="340"/>
      <c r="AC43" s="340"/>
      <c r="AD43" s="340"/>
      <c r="AE43" s="340"/>
      <c r="AF43" s="340"/>
      <c r="AG43" s="340"/>
      <c r="AH43" s="340"/>
      <c r="AI43" s="340"/>
      <c r="AJ43" s="340"/>
      <c r="AK43" s="340"/>
      <c r="AL43" s="340"/>
      <c r="AM43" s="340"/>
      <c r="AN43" s="340"/>
      <c r="AO43" s="340"/>
      <c r="AP43" s="340"/>
      <c r="AQ43" s="340"/>
      <c r="AR43" s="340"/>
      <c r="AS43" s="340"/>
      <c r="AT43" s="340"/>
      <c r="AU43" s="340"/>
      <c r="AV43" s="340"/>
      <c r="AW43" s="341"/>
      <c r="AX43" s="342"/>
      <c r="AY43" s="342"/>
      <c r="AZ43" s="342"/>
      <c r="BA43" s="342"/>
      <c r="BB43" s="342"/>
      <c r="BC43" s="343"/>
      <c r="BD43" s="344"/>
      <c r="BE43" s="342"/>
      <c r="BF43" s="342"/>
      <c r="BG43" s="342"/>
      <c r="BH43" s="342"/>
      <c r="BI43" s="342"/>
      <c r="BJ43" s="343"/>
      <c r="BK43" s="315"/>
    </row>
    <row r="44" spans="1:63" ht="15" customHeight="1" x14ac:dyDescent="0.25">
      <c r="A44" s="314"/>
      <c r="B44" s="293"/>
      <c r="C44" s="294"/>
      <c r="D44" s="294"/>
      <c r="E44" s="294"/>
      <c r="F44" s="294"/>
      <c r="G44" s="295"/>
      <c r="H44" s="293"/>
      <c r="I44" s="294"/>
      <c r="J44" s="294"/>
      <c r="K44" s="294"/>
      <c r="L44" s="294"/>
      <c r="M44" s="294"/>
      <c r="N44" s="295"/>
      <c r="O44" s="293"/>
      <c r="P44" s="294"/>
      <c r="Q44" s="294"/>
      <c r="R44" s="294"/>
      <c r="S44" s="345"/>
      <c r="T44" s="346"/>
      <c r="U44" s="346"/>
      <c r="V44" s="346"/>
      <c r="W44" s="346"/>
      <c r="X44" s="346"/>
      <c r="Y44" s="346"/>
      <c r="Z44" s="346"/>
      <c r="AA44" s="346"/>
      <c r="AB44" s="346"/>
      <c r="AC44" s="346"/>
      <c r="AD44" s="346"/>
      <c r="AE44" s="346"/>
      <c r="AF44" s="346"/>
      <c r="AG44" s="346"/>
      <c r="AH44" s="346"/>
      <c r="AI44" s="346"/>
      <c r="AJ44" s="346"/>
      <c r="AK44" s="346"/>
      <c r="AL44" s="346"/>
      <c r="AM44" s="346"/>
      <c r="AN44" s="346"/>
      <c r="AO44" s="346"/>
      <c r="AP44" s="346"/>
      <c r="AQ44" s="346"/>
      <c r="AR44" s="346"/>
      <c r="AS44" s="346"/>
      <c r="AT44" s="346"/>
      <c r="AU44" s="346"/>
      <c r="AV44" s="346"/>
      <c r="AW44" s="347"/>
      <c r="AX44" s="348"/>
      <c r="AY44" s="348"/>
      <c r="AZ44" s="348"/>
      <c r="BA44" s="348"/>
      <c r="BB44" s="348"/>
      <c r="BC44" s="349"/>
      <c r="BD44" s="350"/>
      <c r="BE44" s="348"/>
      <c r="BF44" s="348"/>
      <c r="BG44" s="348"/>
      <c r="BH44" s="348"/>
      <c r="BI44" s="348"/>
      <c r="BJ44" s="349"/>
      <c r="BK44" s="315"/>
    </row>
    <row r="45" spans="1:63" ht="15" customHeight="1" x14ac:dyDescent="0.25">
      <c r="A45" s="314"/>
      <c r="B45" s="283"/>
      <c r="C45" s="281"/>
      <c r="D45" s="281"/>
      <c r="E45" s="281"/>
      <c r="F45" s="281"/>
      <c r="G45" s="282"/>
      <c r="H45" s="283"/>
      <c r="I45" s="281"/>
      <c r="J45" s="281"/>
      <c r="K45" s="281"/>
      <c r="L45" s="281"/>
      <c r="M45" s="281"/>
      <c r="N45" s="282"/>
      <c r="O45" s="283"/>
      <c r="P45" s="281"/>
      <c r="Q45" s="281"/>
      <c r="R45" s="281"/>
      <c r="S45" s="339"/>
      <c r="T45" s="340"/>
      <c r="U45" s="340"/>
      <c r="V45" s="340"/>
      <c r="W45" s="340"/>
      <c r="X45" s="340"/>
      <c r="Y45" s="340"/>
      <c r="Z45" s="340"/>
      <c r="AA45" s="340"/>
      <c r="AB45" s="340"/>
      <c r="AC45" s="340"/>
      <c r="AD45" s="340"/>
      <c r="AE45" s="340"/>
      <c r="AF45" s="340"/>
      <c r="AG45" s="340"/>
      <c r="AH45" s="340"/>
      <c r="AI45" s="340"/>
      <c r="AJ45" s="340"/>
      <c r="AK45" s="340"/>
      <c r="AL45" s="340"/>
      <c r="AM45" s="340"/>
      <c r="AN45" s="340"/>
      <c r="AO45" s="340"/>
      <c r="AP45" s="340"/>
      <c r="AQ45" s="340"/>
      <c r="AR45" s="340"/>
      <c r="AS45" s="340"/>
      <c r="AT45" s="340"/>
      <c r="AU45" s="340"/>
      <c r="AV45" s="340"/>
      <c r="AW45" s="341"/>
      <c r="AX45" s="342"/>
      <c r="AY45" s="342"/>
      <c r="AZ45" s="342"/>
      <c r="BA45" s="342"/>
      <c r="BB45" s="342"/>
      <c r="BC45" s="343"/>
      <c r="BD45" s="344"/>
      <c r="BE45" s="342"/>
      <c r="BF45" s="342"/>
      <c r="BG45" s="342"/>
      <c r="BH45" s="342"/>
      <c r="BI45" s="342"/>
      <c r="BJ45" s="343"/>
      <c r="BK45" s="315"/>
    </row>
    <row r="46" spans="1:63" ht="15" customHeight="1" x14ac:dyDescent="0.25">
      <c r="A46" s="314"/>
      <c r="B46" s="293"/>
      <c r="C46" s="294"/>
      <c r="D46" s="294"/>
      <c r="E46" s="294"/>
      <c r="F46" s="294"/>
      <c r="G46" s="295"/>
      <c r="H46" s="293"/>
      <c r="I46" s="294"/>
      <c r="J46" s="294"/>
      <c r="K46" s="294"/>
      <c r="L46" s="294"/>
      <c r="M46" s="294"/>
      <c r="N46" s="295"/>
      <c r="O46" s="293"/>
      <c r="P46" s="294"/>
      <c r="Q46" s="294"/>
      <c r="R46" s="294"/>
      <c r="S46" s="345"/>
      <c r="T46" s="346"/>
      <c r="U46" s="346"/>
      <c r="V46" s="346"/>
      <c r="W46" s="346"/>
      <c r="X46" s="346"/>
      <c r="Y46" s="346"/>
      <c r="Z46" s="346"/>
      <c r="AA46" s="346"/>
      <c r="AB46" s="346"/>
      <c r="AC46" s="346"/>
      <c r="AD46" s="346"/>
      <c r="AE46" s="346"/>
      <c r="AF46" s="346"/>
      <c r="AG46" s="346"/>
      <c r="AH46" s="346"/>
      <c r="AI46" s="346"/>
      <c r="AJ46" s="346"/>
      <c r="AK46" s="346"/>
      <c r="AL46" s="346"/>
      <c r="AM46" s="346"/>
      <c r="AN46" s="346"/>
      <c r="AO46" s="346"/>
      <c r="AP46" s="346"/>
      <c r="AQ46" s="346"/>
      <c r="AR46" s="346"/>
      <c r="AS46" s="346"/>
      <c r="AT46" s="346"/>
      <c r="AU46" s="346"/>
      <c r="AV46" s="346"/>
      <c r="AW46" s="347"/>
      <c r="AX46" s="348"/>
      <c r="AY46" s="348"/>
      <c r="AZ46" s="348"/>
      <c r="BA46" s="348"/>
      <c r="BB46" s="348"/>
      <c r="BC46" s="349"/>
      <c r="BD46" s="350"/>
      <c r="BE46" s="348"/>
      <c r="BF46" s="348"/>
      <c r="BG46" s="348"/>
      <c r="BH46" s="348"/>
      <c r="BI46" s="348"/>
      <c r="BJ46" s="349"/>
      <c r="BK46" s="315"/>
    </row>
    <row r="47" spans="1:63" ht="15" customHeight="1" x14ac:dyDescent="0.25">
      <c r="A47" s="314"/>
      <c r="B47" s="283"/>
      <c r="C47" s="281"/>
      <c r="D47" s="281"/>
      <c r="E47" s="281"/>
      <c r="F47" s="281"/>
      <c r="G47" s="282"/>
      <c r="H47" s="283"/>
      <c r="I47" s="281"/>
      <c r="J47" s="281"/>
      <c r="K47" s="281"/>
      <c r="L47" s="281"/>
      <c r="M47" s="281"/>
      <c r="N47" s="282"/>
      <c r="O47" s="283"/>
      <c r="P47" s="281"/>
      <c r="Q47" s="281"/>
      <c r="R47" s="281"/>
      <c r="S47" s="339"/>
      <c r="T47" s="340"/>
      <c r="U47" s="340"/>
      <c r="V47" s="340"/>
      <c r="W47" s="340"/>
      <c r="X47" s="340"/>
      <c r="Y47" s="340"/>
      <c r="Z47" s="340"/>
      <c r="AA47" s="340"/>
      <c r="AB47" s="340"/>
      <c r="AC47" s="340"/>
      <c r="AD47" s="340"/>
      <c r="AE47" s="340"/>
      <c r="AF47" s="340"/>
      <c r="AG47" s="340"/>
      <c r="AH47" s="340"/>
      <c r="AI47" s="340"/>
      <c r="AJ47" s="340"/>
      <c r="AK47" s="340"/>
      <c r="AL47" s="340"/>
      <c r="AM47" s="340"/>
      <c r="AN47" s="340"/>
      <c r="AO47" s="340"/>
      <c r="AP47" s="340"/>
      <c r="AQ47" s="340"/>
      <c r="AR47" s="340"/>
      <c r="AS47" s="340"/>
      <c r="AT47" s="340"/>
      <c r="AU47" s="340"/>
      <c r="AV47" s="340"/>
      <c r="AW47" s="341"/>
      <c r="AX47" s="342"/>
      <c r="AY47" s="342"/>
      <c r="AZ47" s="342"/>
      <c r="BA47" s="342"/>
      <c r="BB47" s="342"/>
      <c r="BC47" s="343"/>
      <c r="BD47" s="344"/>
      <c r="BE47" s="342"/>
      <c r="BF47" s="342"/>
      <c r="BG47" s="342"/>
      <c r="BH47" s="342"/>
      <c r="BI47" s="342"/>
      <c r="BJ47" s="343"/>
      <c r="BK47" s="315"/>
    </row>
    <row r="48" spans="1:63" ht="15" customHeight="1" x14ac:dyDescent="0.25">
      <c r="A48" s="314"/>
      <c r="B48" s="293"/>
      <c r="C48" s="294"/>
      <c r="D48" s="294"/>
      <c r="E48" s="294"/>
      <c r="F48" s="294"/>
      <c r="G48" s="295"/>
      <c r="H48" s="293"/>
      <c r="I48" s="294"/>
      <c r="J48" s="294"/>
      <c r="K48" s="294"/>
      <c r="L48" s="294"/>
      <c r="M48" s="294"/>
      <c r="N48" s="295"/>
      <c r="O48" s="293"/>
      <c r="P48" s="294"/>
      <c r="Q48" s="294"/>
      <c r="R48" s="294"/>
      <c r="S48" s="345"/>
      <c r="T48" s="346"/>
      <c r="U48" s="346"/>
      <c r="V48" s="346"/>
      <c r="W48" s="346"/>
      <c r="X48" s="346"/>
      <c r="Y48" s="346"/>
      <c r="Z48" s="346"/>
      <c r="AA48" s="346"/>
      <c r="AB48" s="346"/>
      <c r="AC48" s="346"/>
      <c r="AD48" s="346"/>
      <c r="AE48" s="346"/>
      <c r="AF48" s="346"/>
      <c r="AG48" s="346"/>
      <c r="AH48" s="346"/>
      <c r="AI48" s="346"/>
      <c r="AJ48" s="346"/>
      <c r="AK48" s="346"/>
      <c r="AL48" s="346"/>
      <c r="AM48" s="346"/>
      <c r="AN48" s="346"/>
      <c r="AO48" s="346"/>
      <c r="AP48" s="346"/>
      <c r="AQ48" s="346"/>
      <c r="AR48" s="346"/>
      <c r="AS48" s="346"/>
      <c r="AT48" s="346"/>
      <c r="AU48" s="346"/>
      <c r="AV48" s="346"/>
      <c r="AW48" s="347"/>
      <c r="AX48" s="348"/>
      <c r="AY48" s="348"/>
      <c r="AZ48" s="348"/>
      <c r="BA48" s="348"/>
      <c r="BB48" s="348"/>
      <c r="BC48" s="349"/>
      <c r="BD48" s="350"/>
      <c r="BE48" s="348"/>
      <c r="BF48" s="348"/>
      <c r="BG48" s="348"/>
      <c r="BH48" s="348"/>
      <c r="BI48" s="348"/>
      <c r="BJ48" s="349"/>
      <c r="BK48" s="315"/>
    </row>
    <row r="49" spans="1:63" ht="15" customHeight="1" x14ac:dyDescent="0.25">
      <c r="A49" s="314"/>
      <c r="B49" s="283"/>
      <c r="C49" s="281"/>
      <c r="D49" s="281"/>
      <c r="E49" s="281"/>
      <c r="F49" s="281"/>
      <c r="G49" s="282"/>
      <c r="H49" s="283"/>
      <c r="I49" s="281"/>
      <c r="J49" s="281"/>
      <c r="K49" s="281"/>
      <c r="L49" s="281"/>
      <c r="M49" s="281"/>
      <c r="N49" s="282"/>
      <c r="O49" s="283"/>
      <c r="P49" s="281"/>
      <c r="Q49" s="281"/>
      <c r="R49" s="281"/>
      <c r="S49" s="339"/>
      <c r="T49" s="340"/>
      <c r="U49" s="340"/>
      <c r="V49" s="340"/>
      <c r="W49" s="340"/>
      <c r="X49" s="340"/>
      <c r="Y49" s="340"/>
      <c r="Z49" s="340"/>
      <c r="AA49" s="340"/>
      <c r="AB49" s="340"/>
      <c r="AC49" s="340"/>
      <c r="AD49" s="340"/>
      <c r="AE49" s="340"/>
      <c r="AF49" s="340"/>
      <c r="AG49" s="340"/>
      <c r="AH49" s="340"/>
      <c r="AI49" s="340"/>
      <c r="AJ49" s="340"/>
      <c r="AK49" s="340"/>
      <c r="AL49" s="340"/>
      <c r="AM49" s="340"/>
      <c r="AN49" s="340"/>
      <c r="AO49" s="340"/>
      <c r="AP49" s="340"/>
      <c r="AQ49" s="340"/>
      <c r="AR49" s="340"/>
      <c r="AS49" s="340"/>
      <c r="AT49" s="340"/>
      <c r="AU49" s="340"/>
      <c r="AV49" s="340"/>
      <c r="AW49" s="341"/>
      <c r="AX49" s="342"/>
      <c r="AY49" s="342"/>
      <c r="AZ49" s="342"/>
      <c r="BA49" s="342"/>
      <c r="BB49" s="342"/>
      <c r="BC49" s="343"/>
      <c r="BD49" s="344"/>
      <c r="BE49" s="342"/>
      <c r="BF49" s="342"/>
      <c r="BG49" s="342"/>
      <c r="BH49" s="342"/>
      <c r="BI49" s="342"/>
      <c r="BJ49" s="343"/>
      <c r="BK49" s="315"/>
    </row>
    <row r="50" spans="1:63" ht="15" customHeight="1" x14ac:dyDescent="0.25">
      <c r="A50" s="314"/>
      <c r="B50" s="293"/>
      <c r="C50" s="294"/>
      <c r="D50" s="294"/>
      <c r="E50" s="294"/>
      <c r="F50" s="294"/>
      <c r="G50" s="295"/>
      <c r="H50" s="293"/>
      <c r="I50" s="294"/>
      <c r="J50" s="294"/>
      <c r="K50" s="294"/>
      <c r="L50" s="294"/>
      <c r="M50" s="294"/>
      <c r="N50" s="295"/>
      <c r="O50" s="293"/>
      <c r="P50" s="294"/>
      <c r="Q50" s="294"/>
      <c r="R50" s="294"/>
      <c r="S50" s="345"/>
      <c r="T50" s="346"/>
      <c r="U50" s="346"/>
      <c r="V50" s="346"/>
      <c r="W50" s="346"/>
      <c r="X50" s="346"/>
      <c r="Y50" s="346"/>
      <c r="Z50" s="346"/>
      <c r="AA50" s="346"/>
      <c r="AB50" s="346"/>
      <c r="AC50" s="346"/>
      <c r="AD50" s="346"/>
      <c r="AE50" s="346"/>
      <c r="AF50" s="346"/>
      <c r="AG50" s="346"/>
      <c r="AH50" s="346"/>
      <c r="AI50" s="346"/>
      <c r="AJ50" s="346"/>
      <c r="AK50" s="346"/>
      <c r="AL50" s="346"/>
      <c r="AM50" s="346"/>
      <c r="AN50" s="346"/>
      <c r="AO50" s="346"/>
      <c r="AP50" s="346"/>
      <c r="AQ50" s="346"/>
      <c r="AR50" s="346"/>
      <c r="AS50" s="346"/>
      <c r="AT50" s="346"/>
      <c r="AU50" s="346"/>
      <c r="AV50" s="346"/>
      <c r="AW50" s="347"/>
      <c r="AX50" s="348"/>
      <c r="AY50" s="348"/>
      <c r="AZ50" s="348"/>
      <c r="BA50" s="348"/>
      <c r="BB50" s="348"/>
      <c r="BC50" s="349"/>
      <c r="BD50" s="350"/>
      <c r="BE50" s="348"/>
      <c r="BF50" s="348"/>
      <c r="BG50" s="348"/>
      <c r="BH50" s="348"/>
      <c r="BI50" s="348"/>
      <c r="BJ50" s="349"/>
      <c r="BK50" s="315"/>
    </row>
    <row r="51" spans="1:63" ht="15" customHeight="1" x14ac:dyDescent="0.25">
      <c r="A51" s="314"/>
      <c r="B51" s="283"/>
      <c r="C51" s="281"/>
      <c r="D51" s="281"/>
      <c r="E51" s="281"/>
      <c r="F51" s="281"/>
      <c r="G51" s="282"/>
      <c r="H51" s="283"/>
      <c r="I51" s="281"/>
      <c r="J51" s="281"/>
      <c r="K51" s="281"/>
      <c r="L51" s="281"/>
      <c r="M51" s="281"/>
      <c r="N51" s="282"/>
      <c r="O51" s="283"/>
      <c r="P51" s="281"/>
      <c r="Q51" s="281"/>
      <c r="R51" s="281"/>
      <c r="S51" s="339"/>
      <c r="T51" s="340"/>
      <c r="U51" s="340"/>
      <c r="V51" s="340"/>
      <c r="W51" s="340"/>
      <c r="X51" s="340"/>
      <c r="Y51" s="340"/>
      <c r="Z51" s="340"/>
      <c r="AA51" s="340"/>
      <c r="AB51" s="340"/>
      <c r="AC51" s="340"/>
      <c r="AD51" s="340"/>
      <c r="AE51" s="340"/>
      <c r="AF51" s="340"/>
      <c r="AG51" s="340"/>
      <c r="AH51" s="340"/>
      <c r="AI51" s="340"/>
      <c r="AJ51" s="340"/>
      <c r="AK51" s="340"/>
      <c r="AL51" s="340"/>
      <c r="AM51" s="340"/>
      <c r="AN51" s="340"/>
      <c r="AO51" s="340"/>
      <c r="AP51" s="340"/>
      <c r="AQ51" s="340"/>
      <c r="AR51" s="340"/>
      <c r="AS51" s="340"/>
      <c r="AT51" s="340"/>
      <c r="AU51" s="340"/>
      <c r="AV51" s="340"/>
      <c r="AW51" s="341"/>
      <c r="AX51" s="342"/>
      <c r="AY51" s="342"/>
      <c r="AZ51" s="342"/>
      <c r="BA51" s="342"/>
      <c r="BB51" s="342"/>
      <c r="BC51" s="343"/>
      <c r="BD51" s="344"/>
      <c r="BE51" s="342"/>
      <c r="BF51" s="342"/>
      <c r="BG51" s="342"/>
      <c r="BH51" s="342"/>
      <c r="BI51" s="342"/>
      <c r="BJ51" s="343"/>
      <c r="BK51" s="315"/>
    </row>
    <row r="52" spans="1:63" ht="15" customHeight="1" x14ac:dyDescent="0.25">
      <c r="A52" s="314"/>
      <c r="B52" s="293"/>
      <c r="C52" s="294"/>
      <c r="D52" s="294"/>
      <c r="E52" s="294"/>
      <c r="F52" s="294"/>
      <c r="G52" s="295"/>
      <c r="H52" s="293"/>
      <c r="I52" s="294"/>
      <c r="J52" s="294"/>
      <c r="K52" s="294"/>
      <c r="L52" s="294"/>
      <c r="M52" s="294"/>
      <c r="N52" s="295"/>
      <c r="O52" s="293"/>
      <c r="P52" s="294"/>
      <c r="Q52" s="294"/>
      <c r="R52" s="294"/>
      <c r="S52" s="345"/>
      <c r="T52" s="346"/>
      <c r="U52" s="346"/>
      <c r="V52" s="346"/>
      <c r="W52" s="346"/>
      <c r="X52" s="346"/>
      <c r="Y52" s="346"/>
      <c r="Z52" s="346"/>
      <c r="AA52" s="346"/>
      <c r="AB52" s="346"/>
      <c r="AC52" s="346"/>
      <c r="AD52" s="346"/>
      <c r="AE52" s="346"/>
      <c r="AF52" s="346"/>
      <c r="AG52" s="346"/>
      <c r="AH52" s="346"/>
      <c r="AI52" s="346"/>
      <c r="AJ52" s="346"/>
      <c r="AK52" s="346"/>
      <c r="AL52" s="346"/>
      <c r="AM52" s="346"/>
      <c r="AN52" s="346"/>
      <c r="AO52" s="346"/>
      <c r="AP52" s="346"/>
      <c r="AQ52" s="346"/>
      <c r="AR52" s="346"/>
      <c r="AS52" s="346"/>
      <c r="AT52" s="346"/>
      <c r="AU52" s="346"/>
      <c r="AV52" s="346"/>
      <c r="AW52" s="347"/>
      <c r="AX52" s="348"/>
      <c r="AY52" s="348"/>
      <c r="AZ52" s="348"/>
      <c r="BA52" s="348"/>
      <c r="BB52" s="348"/>
      <c r="BC52" s="349"/>
      <c r="BD52" s="350"/>
      <c r="BE52" s="348"/>
      <c r="BF52" s="348"/>
      <c r="BG52" s="348"/>
      <c r="BH52" s="348"/>
      <c r="BI52" s="348"/>
      <c r="BJ52" s="349"/>
      <c r="BK52" s="315"/>
    </row>
    <row r="53" spans="1:63" ht="15" customHeight="1" x14ac:dyDescent="0.25">
      <c r="A53" s="314"/>
      <c r="B53" s="283"/>
      <c r="C53" s="281"/>
      <c r="D53" s="281"/>
      <c r="E53" s="281"/>
      <c r="F53" s="281"/>
      <c r="G53" s="282"/>
      <c r="H53" s="283"/>
      <c r="I53" s="281"/>
      <c r="J53" s="281"/>
      <c r="K53" s="281"/>
      <c r="L53" s="281"/>
      <c r="M53" s="281"/>
      <c r="N53" s="282"/>
      <c r="O53" s="283"/>
      <c r="P53" s="281"/>
      <c r="Q53" s="281"/>
      <c r="R53" s="281"/>
      <c r="S53" s="339"/>
      <c r="T53" s="340"/>
      <c r="U53" s="340"/>
      <c r="V53" s="340"/>
      <c r="W53" s="340"/>
      <c r="X53" s="340"/>
      <c r="Y53" s="340"/>
      <c r="Z53" s="340"/>
      <c r="AA53" s="340"/>
      <c r="AB53" s="340"/>
      <c r="AC53" s="340"/>
      <c r="AD53" s="340"/>
      <c r="AE53" s="340"/>
      <c r="AF53" s="340"/>
      <c r="AG53" s="340"/>
      <c r="AH53" s="340"/>
      <c r="AI53" s="340"/>
      <c r="AJ53" s="340"/>
      <c r="AK53" s="340"/>
      <c r="AL53" s="340"/>
      <c r="AM53" s="340"/>
      <c r="AN53" s="340"/>
      <c r="AO53" s="340"/>
      <c r="AP53" s="340"/>
      <c r="AQ53" s="340"/>
      <c r="AR53" s="340"/>
      <c r="AS53" s="340"/>
      <c r="AT53" s="340"/>
      <c r="AU53" s="340"/>
      <c r="AV53" s="340"/>
      <c r="AW53" s="341"/>
      <c r="AX53" s="342"/>
      <c r="AY53" s="342"/>
      <c r="AZ53" s="342"/>
      <c r="BA53" s="342"/>
      <c r="BB53" s="342"/>
      <c r="BC53" s="343"/>
      <c r="BD53" s="344"/>
      <c r="BE53" s="342"/>
      <c r="BF53" s="342"/>
      <c r="BG53" s="342"/>
      <c r="BH53" s="342"/>
      <c r="BI53" s="342"/>
      <c r="BJ53" s="343"/>
      <c r="BK53" s="315"/>
    </row>
    <row r="54" spans="1:63" ht="15" customHeight="1" x14ac:dyDescent="0.25">
      <c r="A54" s="314"/>
      <c r="B54" s="293"/>
      <c r="C54" s="294"/>
      <c r="D54" s="294"/>
      <c r="E54" s="294"/>
      <c r="F54" s="294"/>
      <c r="G54" s="295"/>
      <c r="H54" s="293"/>
      <c r="I54" s="294"/>
      <c r="J54" s="294"/>
      <c r="K54" s="294"/>
      <c r="L54" s="294"/>
      <c r="M54" s="294"/>
      <c r="N54" s="295"/>
      <c r="O54" s="293"/>
      <c r="P54" s="294"/>
      <c r="Q54" s="294"/>
      <c r="R54" s="294"/>
      <c r="S54" s="345"/>
      <c r="T54" s="346"/>
      <c r="U54" s="346"/>
      <c r="V54" s="346"/>
      <c r="W54" s="346"/>
      <c r="X54" s="346"/>
      <c r="Y54" s="346"/>
      <c r="Z54" s="346"/>
      <c r="AA54" s="346"/>
      <c r="AB54" s="346"/>
      <c r="AC54" s="346"/>
      <c r="AD54" s="346"/>
      <c r="AE54" s="346"/>
      <c r="AF54" s="346"/>
      <c r="AG54" s="346"/>
      <c r="AH54" s="346"/>
      <c r="AI54" s="346"/>
      <c r="AJ54" s="346"/>
      <c r="AK54" s="346"/>
      <c r="AL54" s="346"/>
      <c r="AM54" s="346"/>
      <c r="AN54" s="346"/>
      <c r="AO54" s="346"/>
      <c r="AP54" s="346"/>
      <c r="AQ54" s="346"/>
      <c r="AR54" s="346"/>
      <c r="AS54" s="346"/>
      <c r="AT54" s="346"/>
      <c r="AU54" s="346"/>
      <c r="AV54" s="346"/>
      <c r="AW54" s="347"/>
      <c r="AX54" s="348"/>
      <c r="AY54" s="348"/>
      <c r="AZ54" s="348"/>
      <c r="BA54" s="348"/>
      <c r="BB54" s="348"/>
      <c r="BC54" s="349"/>
      <c r="BD54" s="350"/>
      <c r="BE54" s="348"/>
      <c r="BF54" s="348"/>
      <c r="BG54" s="348"/>
      <c r="BH54" s="348"/>
      <c r="BI54" s="348"/>
      <c r="BJ54" s="349"/>
      <c r="BK54" s="315"/>
    </row>
    <row r="55" spans="1:63" ht="15" customHeight="1" x14ac:dyDescent="0.25">
      <c r="A55" s="311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  <c r="Z55" s="312"/>
      <c r="AA55" s="312"/>
      <c r="AB55" s="312"/>
      <c r="AC55" s="312"/>
      <c r="AD55" s="312"/>
      <c r="AE55" s="312"/>
      <c r="AF55" s="312"/>
      <c r="AG55" s="312"/>
      <c r="AH55" s="312"/>
      <c r="AI55" s="312"/>
      <c r="AJ55" s="312"/>
      <c r="AK55" s="312"/>
      <c r="AL55" s="312"/>
      <c r="AM55" s="312"/>
      <c r="AN55" s="312"/>
      <c r="AO55" s="312"/>
      <c r="AP55" s="312"/>
      <c r="AQ55" s="312"/>
      <c r="AR55" s="312"/>
      <c r="AS55" s="312"/>
      <c r="AT55" s="312"/>
      <c r="AU55" s="312"/>
      <c r="AV55" s="312"/>
      <c r="AW55" s="312"/>
      <c r="AX55" s="312"/>
      <c r="AY55" s="312"/>
      <c r="AZ55" s="312"/>
      <c r="BA55" s="312"/>
      <c r="BB55" s="312"/>
      <c r="BC55" s="312"/>
      <c r="BD55" s="312"/>
      <c r="BE55" s="312"/>
      <c r="BF55" s="312"/>
      <c r="BG55" s="312"/>
      <c r="BH55" s="312"/>
      <c r="BI55" s="312"/>
      <c r="BJ55" s="312"/>
      <c r="BK55" s="313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11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1"/>
  </cols>
  <sheetData>
    <row r="1" spans="1:63" ht="24.95" customHeight="1" x14ac:dyDescent="0.25">
      <c r="A1" s="364" t="s">
        <v>268</v>
      </c>
      <c r="B1" s="365"/>
      <c r="C1" s="365"/>
      <c r="D1" s="365"/>
      <c r="E1" s="365"/>
      <c r="F1" s="365"/>
      <c r="G1" s="365"/>
      <c r="H1" s="365"/>
      <c r="I1" s="365"/>
      <c r="J1" s="366"/>
      <c r="K1" s="364" t="s">
        <v>269</v>
      </c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6"/>
      <c r="W1" s="367" t="str">
        <f>IF(表紙!W1="","",表紙!W1)</f>
        <v>詳細設計書</v>
      </c>
      <c r="X1" s="368"/>
      <c r="Y1" s="368"/>
      <c r="Z1" s="368"/>
      <c r="AA1" s="368"/>
      <c r="AB1" s="368"/>
      <c r="AC1" s="368"/>
      <c r="AD1" s="368"/>
      <c r="AE1" s="368"/>
      <c r="AF1" s="368"/>
      <c r="AG1" s="368"/>
      <c r="AH1" s="368"/>
      <c r="AI1" s="368"/>
      <c r="AJ1" s="368"/>
      <c r="AK1" s="368"/>
      <c r="AL1" s="368"/>
      <c r="AM1" s="368"/>
      <c r="AN1" s="368"/>
      <c r="AO1" s="369"/>
      <c r="AP1" s="274" t="s">
        <v>271</v>
      </c>
      <c r="AQ1" s="275"/>
      <c r="AR1" s="275"/>
      <c r="AS1" s="276"/>
      <c r="AT1" s="274" t="s">
        <v>272</v>
      </c>
      <c r="AU1" s="275"/>
      <c r="AV1" s="275"/>
      <c r="AW1" s="275"/>
      <c r="AX1" s="276"/>
      <c r="AY1" s="274" t="s">
        <v>273</v>
      </c>
      <c r="AZ1" s="275"/>
      <c r="BA1" s="275"/>
      <c r="BB1" s="276"/>
      <c r="BC1" s="274" t="s">
        <v>274</v>
      </c>
      <c r="BD1" s="275"/>
      <c r="BE1" s="275"/>
      <c r="BF1" s="275"/>
      <c r="BG1" s="276"/>
      <c r="BH1" s="274" t="s">
        <v>275</v>
      </c>
      <c r="BI1" s="275"/>
      <c r="BJ1" s="275"/>
      <c r="BK1" s="276"/>
    </row>
    <row r="2" spans="1:63" ht="15" customHeight="1" x14ac:dyDescent="0.25">
      <c r="A2" s="190" t="str">
        <f>IF(表紙!A2="","",表紙!A2)</f>
        <v>POSサーバー</v>
      </c>
      <c r="B2" s="191"/>
      <c r="C2" s="191"/>
      <c r="D2" s="191"/>
      <c r="E2" s="191"/>
      <c r="F2" s="191"/>
      <c r="G2" s="191"/>
      <c r="H2" s="191"/>
      <c r="I2" s="191"/>
      <c r="J2" s="192"/>
      <c r="K2" s="190" t="str">
        <f>IF(表紙!K2="","",表紙!K2)</f>
        <v>POSサーバ</v>
      </c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2"/>
      <c r="W2" s="370"/>
      <c r="X2" s="371"/>
      <c r="Y2" s="371"/>
      <c r="Z2" s="371"/>
      <c r="AA2" s="371"/>
      <c r="AB2" s="371"/>
      <c r="AC2" s="371"/>
      <c r="AD2" s="371"/>
      <c r="AE2" s="371"/>
      <c r="AF2" s="371"/>
      <c r="AG2" s="371"/>
      <c r="AH2" s="371"/>
      <c r="AI2" s="371"/>
      <c r="AJ2" s="371"/>
      <c r="AK2" s="371"/>
      <c r="AL2" s="371"/>
      <c r="AM2" s="371"/>
      <c r="AN2" s="371"/>
      <c r="AO2" s="372"/>
      <c r="AP2" s="283" t="str">
        <f>IF(表紙!AP2="","",表紙!AP2)</f>
        <v>DuNT</v>
      </c>
      <c r="AQ2" s="281"/>
      <c r="AR2" s="281"/>
      <c r="AS2" s="282"/>
      <c r="AT2" s="287">
        <f>IF(表紙!AT2="","",表紙!AT2)</f>
        <v>45636</v>
      </c>
      <c r="AU2" s="288"/>
      <c r="AV2" s="288"/>
      <c r="AW2" s="288"/>
      <c r="AX2" s="289"/>
      <c r="AY2" s="283" t="str">
        <f>IF(表紙!AY2="","",表紙!AY2)</f>
        <v>DuNT</v>
      </c>
      <c r="AZ2" s="281"/>
      <c r="BA2" s="281"/>
      <c r="BB2" s="282"/>
      <c r="BC2" s="287">
        <f>IF(表紙!BC2="","",表紙!BC2)</f>
        <v>45636</v>
      </c>
      <c r="BD2" s="288"/>
      <c r="BE2" s="288"/>
      <c r="BF2" s="288"/>
      <c r="BG2" s="289"/>
      <c r="BH2" s="283">
        <f>IF(表紙!BH2="","",表紙!BH2)</f>
        <v>0.1</v>
      </c>
      <c r="BI2" s="281"/>
      <c r="BJ2" s="281"/>
      <c r="BK2" s="282"/>
    </row>
    <row r="3" spans="1:63" ht="15" customHeight="1" x14ac:dyDescent="0.25">
      <c r="A3" s="193"/>
      <c r="B3" s="194"/>
      <c r="C3" s="194"/>
      <c r="D3" s="194"/>
      <c r="E3" s="194"/>
      <c r="F3" s="194"/>
      <c r="G3" s="194"/>
      <c r="H3" s="194"/>
      <c r="I3" s="194"/>
      <c r="J3" s="195"/>
      <c r="K3" s="193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5"/>
      <c r="W3" s="373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374"/>
      <c r="AK3" s="374"/>
      <c r="AL3" s="374"/>
      <c r="AM3" s="374"/>
      <c r="AN3" s="374"/>
      <c r="AO3" s="375"/>
      <c r="AP3" s="293"/>
      <c r="AQ3" s="294"/>
      <c r="AR3" s="294"/>
      <c r="AS3" s="295"/>
      <c r="AT3" s="299"/>
      <c r="AU3" s="300"/>
      <c r="AV3" s="300"/>
      <c r="AW3" s="300"/>
      <c r="AX3" s="301"/>
      <c r="AY3" s="293"/>
      <c r="AZ3" s="294"/>
      <c r="BA3" s="294"/>
      <c r="BB3" s="295"/>
      <c r="BC3" s="299"/>
      <c r="BD3" s="300"/>
      <c r="BE3" s="300"/>
      <c r="BF3" s="300"/>
      <c r="BG3" s="301"/>
      <c r="BH3" s="293"/>
      <c r="BI3" s="294"/>
      <c r="BJ3" s="294"/>
      <c r="BK3" s="295"/>
    </row>
    <row r="4" spans="1:63" ht="24.95" customHeight="1" x14ac:dyDescent="0.25">
      <c r="A4" s="364" t="s">
        <v>277</v>
      </c>
      <c r="B4" s="365"/>
      <c r="C4" s="365"/>
      <c r="D4" s="365"/>
      <c r="E4" s="365"/>
      <c r="F4" s="365"/>
      <c r="G4" s="366"/>
      <c r="H4" s="183" t="str">
        <f>IF(表紙!H4="","",表紙!H4)</f>
        <v xml:space="preserve">31_レジ別速報・日報 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364" t="s">
        <v>279</v>
      </c>
      <c r="V4" s="365"/>
      <c r="W4" s="365"/>
      <c r="X4" s="365"/>
      <c r="Y4" s="366"/>
      <c r="Z4" s="186" t="str">
        <f>IF(表紙!Z4="","",表紙!Z4)</f>
        <v>画面設計書</v>
      </c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8"/>
      <c r="AP4" s="189" t="str">
        <f ca="1">MID(CELL("filename",A1),FIND("]",CELL("filename",A1))+1,255)</f>
        <v>SC3101</v>
      </c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8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5"/>
      <c r="BK6" s="16"/>
    </row>
    <row r="7" spans="1:63" ht="15" customHeight="1" x14ac:dyDescent="0.25">
      <c r="A7" s="15"/>
      <c r="B7" s="17" t="s">
        <v>286</v>
      </c>
      <c r="C7" s="376"/>
      <c r="D7" s="376"/>
      <c r="E7" s="376"/>
      <c r="F7" s="376"/>
      <c r="G7" s="376"/>
      <c r="H7" s="376"/>
      <c r="I7" s="376"/>
      <c r="J7" s="376"/>
      <c r="AE7" s="17"/>
      <c r="BK7" s="16"/>
    </row>
    <row r="8" spans="1:63" ht="15" customHeight="1" x14ac:dyDescent="0.25">
      <c r="A8" s="15"/>
      <c r="BK8" s="16"/>
    </row>
    <row r="9" spans="1:63" ht="15" customHeight="1" x14ac:dyDescent="0.25">
      <c r="A9" s="15"/>
      <c r="BK9" s="16"/>
    </row>
    <row r="10" spans="1:63" ht="15" customHeight="1" x14ac:dyDescent="0.25">
      <c r="A10" s="15"/>
      <c r="BK10" s="16"/>
    </row>
    <row r="11" spans="1:63" ht="15" customHeight="1" x14ac:dyDescent="0.25">
      <c r="A11" s="15"/>
      <c r="BK11" s="16"/>
    </row>
    <row r="12" spans="1:63" ht="15" customHeight="1" x14ac:dyDescent="0.25">
      <c r="A12" s="15"/>
      <c r="BK12" s="16"/>
    </row>
    <row r="13" spans="1:63" ht="15" customHeight="1" x14ac:dyDescent="0.25">
      <c r="A13" s="15"/>
      <c r="BK13" s="16"/>
    </row>
    <row r="14" spans="1:63" ht="15" customHeight="1" x14ac:dyDescent="0.25">
      <c r="A14" s="15"/>
      <c r="BK14" s="16"/>
    </row>
    <row r="15" spans="1:63" ht="15" customHeight="1" x14ac:dyDescent="0.25">
      <c r="A15" s="15"/>
      <c r="BK15" s="16"/>
    </row>
    <row r="16" spans="1:63" ht="15" customHeight="1" x14ac:dyDescent="0.25">
      <c r="A16" s="15"/>
      <c r="BK16" s="16"/>
    </row>
    <row r="17" spans="1:63" ht="15" customHeight="1" x14ac:dyDescent="0.25">
      <c r="A17" s="15"/>
      <c r="BK17" s="16"/>
    </row>
    <row r="18" spans="1:63" ht="15" customHeight="1" x14ac:dyDescent="0.25">
      <c r="A18" s="15"/>
      <c r="BK18" s="16"/>
    </row>
    <row r="19" spans="1:63" ht="15" customHeight="1" x14ac:dyDescent="0.25">
      <c r="A19" s="15"/>
      <c r="BK19" s="16"/>
    </row>
    <row r="20" spans="1:63" ht="15" customHeight="1" x14ac:dyDescent="0.25">
      <c r="A20" s="15"/>
      <c r="BK20" s="16"/>
    </row>
    <row r="21" spans="1:63" ht="15" customHeight="1" x14ac:dyDescent="0.25">
      <c r="A21" s="15"/>
      <c r="BK21" s="16"/>
    </row>
    <row r="22" spans="1:63" ht="15" customHeight="1" x14ac:dyDescent="0.25">
      <c r="A22" s="15"/>
      <c r="BK22" s="16"/>
    </row>
    <row r="23" spans="1:63" ht="15" customHeight="1" x14ac:dyDescent="0.25">
      <c r="A23" s="15"/>
      <c r="BK23" s="16"/>
    </row>
    <row r="24" spans="1:63" ht="15" customHeight="1" x14ac:dyDescent="0.25">
      <c r="A24" s="15"/>
      <c r="BK24" s="16"/>
    </row>
    <row r="25" spans="1:63" ht="15" customHeight="1" x14ac:dyDescent="0.25">
      <c r="A25" s="15"/>
      <c r="BK25" s="16"/>
    </row>
    <row r="26" spans="1:63" ht="15" customHeight="1" x14ac:dyDescent="0.25">
      <c r="A26" s="15"/>
      <c r="BK26" s="16"/>
    </row>
    <row r="27" spans="1:63" ht="15" customHeight="1" x14ac:dyDescent="0.25">
      <c r="A27" s="15"/>
      <c r="BK27" s="16"/>
    </row>
    <row r="28" spans="1:63" ht="15" customHeight="1" x14ac:dyDescent="0.25">
      <c r="A28" s="15"/>
      <c r="BK28" s="16"/>
    </row>
    <row r="29" spans="1:63" ht="15" customHeight="1" x14ac:dyDescent="0.25">
      <c r="A29" s="15"/>
      <c r="BK29" s="16"/>
    </row>
    <row r="30" spans="1:63" ht="15" customHeight="1" x14ac:dyDescent="0.25">
      <c r="A30" s="15"/>
      <c r="BK30" s="16"/>
    </row>
    <row r="31" spans="1:63" ht="15" customHeight="1" x14ac:dyDescent="0.25">
      <c r="A31" s="15"/>
      <c r="BK31" s="16"/>
    </row>
    <row r="32" spans="1:63" ht="15" customHeight="1" x14ac:dyDescent="0.25">
      <c r="A32" s="15"/>
      <c r="BK32" s="16"/>
    </row>
    <row r="33" spans="1:63" ht="15" customHeight="1" x14ac:dyDescent="0.25">
      <c r="A33" s="15"/>
      <c r="BK33" s="16"/>
    </row>
    <row r="34" spans="1:63" ht="15" customHeight="1" x14ac:dyDescent="0.25">
      <c r="A34" s="15"/>
      <c r="BK34" s="16"/>
    </row>
    <row r="35" spans="1:63" ht="15" customHeight="1" x14ac:dyDescent="0.25">
      <c r="A35" s="15"/>
      <c r="BK35" s="16"/>
    </row>
    <row r="36" spans="1:63" ht="15" customHeight="1" x14ac:dyDescent="0.25">
      <c r="A36" s="15"/>
      <c r="BK36" s="16"/>
    </row>
    <row r="37" spans="1:63" ht="15" customHeight="1" x14ac:dyDescent="0.25">
      <c r="A37" s="15"/>
      <c r="BK37" s="16"/>
    </row>
    <row r="38" spans="1:63" ht="15" customHeight="1" x14ac:dyDescent="0.25">
      <c r="A38" s="15"/>
      <c r="BK38" s="16"/>
    </row>
    <row r="39" spans="1:63" ht="15" customHeight="1" x14ac:dyDescent="0.25">
      <c r="A39" s="15"/>
      <c r="BK39" s="16"/>
    </row>
    <row r="40" spans="1:63" ht="15" customHeight="1" x14ac:dyDescent="0.25">
      <c r="A40" s="15"/>
      <c r="B40" s="17" t="s">
        <v>287</v>
      </c>
      <c r="BK40" s="16"/>
    </row>
    <row r="41" spans="1:63" x14ac:dyDescent="0.25">
      <c r="A41" s="15"/>
      <c r="BK41" s="16"/>
    </row>
    <row r="42" spans="1:63" ht="15.75" customHeight="1" x14ac:dyDescent="0.25">
      <c r="A42" s="15"/>
      <c r="B42" s="126" t="s">
        <v>288</v>
      </c>
      <c r="C42" s="127"/>
      <c r="D42" s="132" t="s">
        <v>289</v>
      </c>
      <c r="E42" s="133"/>
      <c r="F42" s="133"/>
      <c r="G42" s="133"/>
      <c r="H42" s="133"/>
      <c r="I42" s="133"/>
      <c r="J42" s="127"/>
      <c r="K42" s="132" t="s">
        <v>290</v>
      </c>
      <c r="L42" s="133"/>
      <c r="M42" s="127"/>
      <c r="N42" s="136" t="s">
        <v>16</v>
      </c>
      <c r="O42" s="139" t="s">
        <v>291</v>
      </c>
      <c r="P42" s="142" t="s">
        <v>292</v>
      </c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4"/>
      <c r="AR42" s="145" t="s">
        <v>293</v>
      </c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  <c r="BC42" s="148" t="s">
        <v>294</v>
      </c>
      <c r="BD42" s="149"/>
      <c r="BE42" s="149"/>
      <c r="BF42" s="149"/>
      <c r="BG42" s="149"/>
      <c r="BH42" s="149"/>
      <c r="BI42" s="149"/>
      <c r="BJ42" s="150"/>
      <c r="BK42" s="16"/>
    </row>
    <row r="43" spans="1:63" ht="15.75" customHeight="1" x14ac:dyDescent="0.25">
      <c r="A43" s="15"/>
      <c r="B43" s="128"/>
      <c r="C43" s="129"/>
      <c r="D43" s="128"/>
      <c r="E43" s="134"/>
      <c r="F43" s="134"/>
      <c r="G43" s="134"/>
      <c r="H43" s="134"/>
      <c r="I43" s="134"/>
      <c r="J43" s="129"/>
      <c r="K43" s="128"/>
      <c r="L43" s="134"/>
      <c r="M43" s="129"/>
      <c r="N43" s="137"/>
      <c r="O43" s="140"/>
      <c r="P43" s="157" t="s">
        <v>295</v>
      </c>
      <c r="Q43" s="158"/>
      <c r="R43" s="158"/>
      <c r="S43" s="158"/>
      <c r="T43" s="158"/>
      <c r="U43" s="158"/>
      <c r="V43" s="158"/>
      <c r="W43" s="159"/>
      <c r="X43" s="160" t="s">
        <v>296</v>
      </c>
      <c r="Y43" s="161"/>
      <c r="Z43" s="162"/>
      <c r="AA43" s="160" t="s">
        <v>297</v>
      </c>
      <c r="AB43" s="161"/>
      <c r="AC43" s="161"/>
      <c r="AD43" s="161"/>
      <c r="AE43" s="161"/>
      <c r="AF43" s="161"/>
      <c r="AG43" s="161"/>
      <c r="AH43" s="162"/>
      <c r="AI43" s="160" t="s">
        <v>298</v>
      </c>
      <c r="AJ43" s="161"/>
      <c r="AK43" s="161"/>
      <c r="AL43" s="161"/>
      <c r="AM43" s="161"/>
      <c r="AN43" s="161"/>
      <c r="AO43" s="161"/>
      <c r="AP43" s="161"/>
      <c r="AQ43" s="162"/>
      <c r="AR43" s="166" t="s">
        <v>24</v>
      </c>
      <c r="AS43" s="168" t="s">
        <v>299</v>
      </c>
      <c r="AT43" s="170" t="s">
        <v>300</v>
      </c>
      <c r="AU43" s="145" t="s">
        <v>295</v>
      </c>
      <c r="AV43" s="146"/>
      <c r="AW43" s="146"/>
      <c r="AX43" s="146"/>
      <c r="AY43" s="146"/>
      <c r="AZ43" s="146"/>
      <c r="BA43" s="146"/>
      <c r="BB43" s="147"/>
      <c r="BC43" s="151"/>
      <c r="BD43" s="152"/>
      <c r="BE43" s="152"/>
      <c r="BF43" s="152"/>
      <c r="BG43" s="152"/>
      <c r="BH43" s="152"/>
      <c r="BI43" s="152"/>
      <c r="BJ43" s="153"/>
      <c r="BK43" s="16"/>
    </row>
    <row r="44" spans="1:63" x14ac:dyDescent="0.25">
      <c r="A44" s="15"/>
      <c r="B44" s="130"/>
      <c r="C44" s="131"/>
      <c r="D44" s="130"/>
      <c r="E44" s="135"/>
      <c r="F44" s="135"/>
      <c r="G44" s="135"/>
      <c r="H44" s="135"/>
      <c r="I44" s="135"/>
      <c r="J44" s="131"/>
      <c r="K44" s="130"/>
      <c r="L44" s="135"/>
      <c r="M44" s="131"/>
      <c r="N44" s="138"/>
      <c r="O44" s="141"/>
      <c r="P44" s="142" t="s">
        <v>301</v>
      </c>
      <c r="Q44" s="143"/>
      <c r="R44" s="143"/>
      <c r="S44" s="144"/>
      <c r="T44" s="142" t="s">
        <v>289</v>
      </c>
      <c r="U44" s="143"/>
      <c r="V44" s="143"/>
      <c r="W44" s="144"/>
      <c r="X44" s="163"/>
      <c r="Y44" s="164"/>
      <c r="Z44" s="165"/>
      <c r="AA44" s="163"/>
      <c r="AB44" s="164"/>
      <c r="AC44" s="164"/>
      <c r="AD44" s="164"/>
      <c r="AE44" s="164"/>
      <c r="AF44" s="164"/>
      <c r="AG44" s="164"/>
      <c r="AH44" s="165"/>
      <c r="AI44" s="163"/>
      <c r="AJ44" s="164"/>
      <c r="AK44" s="164"/>
      <c r="AL44" s="164"/>
      <c r="AM44" s="164"/>
      <c r="AN44" s="164"/>
      <c r="AO44" s="164"/>
      <c r="AP44" s="164"/>
      <c r="AQ44" s="165"/>
      <c r="AR44" s="167"/>
      <c r="AS44" s="169"/>
      <c r="AT44" s="171"/>
      <c r="AU44" s="145" t="s">
        <v>301</v>
      </c>
      <c r="AV44" s="146"/>
      <c r="AW44" s="146"/>
      <c r="AX44" s="172"/>
      <c r="AY44" s="173" t="s">
        <v>289</v>
      </c>
      <c r="AZ44" s="146"/>
      <c r="BA44" s="146"/>
      <c r="BB44" s="147"/>
      <c r="BC44" s="154"/>
      <c r="BD44" s="155"/>
      <c r="BE44" s="155"/>
      <c r="BF44" s="155"/>
      <c r="BG44" s="155"/>
      <c r="BH44" s="155"/>
      <c r="BI44" s="155"/>
      <c r="BJ44" s="156"/>
      <c r="BK44" s="16"/>
    </row>
    <row r="45" spans="1:63" x14ac:dyDescent="0.25">
      <c r="A45" s="15"/>
      <c r="B45" s="109">
        <v>0</v>
      </c>
      <c r="C45" s="111"/>
      <c r="D45" s="174" t="s">
        <v>34</v>
      </c>
      <c r="E45" s="175"/>
      <c r="F45" s="175"/>
      <c r="G45" s="175"/>
      <c r="H45" s="175"/>
      <c r="I45" s="175"/>
      <c r="J45" s="176"/>
      <c r="K45" s="90" t="s">
        <v>27</v>
      </c>
      <c r="L45" s="39"/>
      <c r="M45" s="40"/>
      <c r="N45" s="18" t="s">
        <v>28</v>
      </c>
      <c r="O45" s="19" t="s">
        <v>29</v>
      </c>
      <c r="P45" s="119" t="s">
        <v>28</v>
      </c>
      <c r="Q45" s="110"/>
      <c r="R45" s="110"/>
      <c r="S45" s="111"/>
      <c r="T45" s="119" t="s">
        <v>28</v>
      </c>
      <c r="U45" s="110"/>
      <c r="V45" s="110"/>
      <c r="W45" s="111"/>
      <c r="X45" s="177" t="s">
        <v>302</v>
      </c>
      <c r="Y45" s="178"/>
      <c r="Z45" s="179"/>
      <c r="AA45" s="109" t="s">
        <v>30</v>
      </c>
      <c r="AB45" s="110"/>
      <c r="AC45" s="110"/>
      <c r="AD45" s="110"/>
      <c r="AE45" s="110"/>
      <c r="AF45" s="110"/>
      <c r="AG45" s="110"/>
      <c r="AH45" s="111"/>
      <c r="AI45" s="123" t="s">
        <v>28</v>
      </c>
      <c r="AJ45" s="124"/>
      <c r="AK45" s="124"/>
      <c r="AL45" s="124"/>
      <c r="AM45" s="124"/>
      <c r="AN45" s="124"/>
      <c r="AO45" s="124"/>
      <c r="AP45" s="124"/>
      <c r="AQ45" s="125"/>
      <c r="AR45" s="20" t="s">
        <v>28</v>
      </c>
      <c r="AS45" s="20" t="s">
        <v>30</v>
      </c>
      <c r="AT45" s="20" t="s">
        <v>30</v>
      </c>
      <c r="AU45" s="109" t="s">
        <v>31</v>
      </c>
      <c r="AV45" s="110"/>
      <c r="AW45" s="110"/>
      <c r="AX45" s="111"/>
      <c r="AY45" s="109" t="s">
        <v>30</v>
      </c>
      <c r="AZ45" s="110"/>
      <c r="BA45" s="110"/>
      <c r="BB45" s="111"/>
      <c r="BC45" s="377" t="s">
        <v>303</v>
      </c>
      <c r="BD45" s="378"/>
      <c r="BE45" s="378"/>
      <c r="BF45" s="378"/>
      <c r="BG45" s="378"/>
      <c r="BH45" s="378"/>
      <c r="BI45" s="378"/>
      <c r="BJ45" s="379"/>
      <c r="BK45" s="16"/>
    </row>
    <row r="46" spans="1:63" x14ac:dyDescent="0.25">
      <c r="A46" s="15"/>
      <c r="B46" s="47">
        <f>B45+1</f>
        <v>1</v>
      </c>
      <c r="C46" s="49"/>
      <c r="D46" s="93" t="s">
        <v>42</v>
      </c>
      <c r="E46" s="94"/>
      <c r="F46" s="94"/>
      <c r="G46" s="94"/>
      <c r="H46" s="94"/>
      <c r="I46" s="94"/>
      <c r="J46" s="95"/>
      <c r="K46" s="90" t="s">
        <v>27</v>
      </c>
      <c r="L46" s="39"/>
      <c r="M46" s="40"/>
      <c r="N46" s="25" t="s">
        <v>28</v>
      </c>
      <c r="O46" s="19" t="s">
        <v>29</v>
      </c>
      <c r="P46" s="47" t="s">
        <v>31</v>
      </c>
      <c r="Q46" s="48"/>
      <c r="R46" s="48"/>
      <c r="S46" s="49"/>
      <c r="T46" s="47" t="s">
        <v>31</v>
      </c>
      <c r="U46" s="48"/>
      <c r="V46" s="48"/>
      <c r="W46" s="49"/>
      <c r="X46" s="115" t="s">
        <v>304</v>
      </c>
      <c r="Y46" s="116"/>
      <c r="Z46" s="117"/>
      <c r="AA46" s="47" t="s">
        <v>30</v>
      </c>
      <c r="AB46" s="48"/>
      <c r="AC46" s="48"/>
      <c r="AD46" s="48"/>
      <c r="AE46" s="48"/>
      <c r="AF46" s="48"/>
      <c r="AG46" s="48"/>
      <c r="AH46" s="49"/>
      <c r="AI46" s="50" t="s">
        <v>30</v>
      </c>
      <c r="AJ46" s="51"/>
      <c r="AK46" s="51"/>
      <c r="AL46" s="51"/>
      <c r="AM46" s="51"/>
      <c r="AN46" s="51"/>
      <c r="AO46" s="51"/>
      <c r="AP46" s="51"/>
      <c r="AQ46" s="52"/>
      <c r="AR46" s="21" t="s">
        <v>28</v>
      </c>
      <c r="AS46" s="21" t="s">
        <v>30</v>
      </c>
      <c r="AT46" s="21" t="s">
        <v>30</v>
      </c>
      <c r="AU46" s="47" t="s">
        <v>31</v>
      </c>
      <c r="AV46" s="48"/>
      <c r="AW46" s="48"/>
      <c r="AX46" s="49"/>
      <c r="AY46" s="47" t="s">
        <v>30</v>
      </c>
      <c r="AZ46" s="48"/>
      <c r="BA46" s="48"/>
      <c r="BB46" s="49"/>
      <c r="BC46" s="118"/>
      <c r="BD46" s="380"/>
      <c r="BE46" s="380"/>
      <c r="BF46" s="380"/>
      <c r="BG46" s="380"/>
      <c r="BH46" s="380"/>
      <c r="BI46" s="380"/>
      <c r="BJ46" s="381"/>
      <c r="BK46" s="16"/>
    </row>
    <row r="47" spans="1:63" ht="50.25" customHeight="1" x14ac:dyDescent="0.25">
      <c r="A47" s="15"/>
      <c r="B47" s="47">
        <f t="shared" ref="B47:B51" si="0">B46+1</f>
        <v>2</v>
      </c>
      <c r="C47" s="49"/>
      <c r="D47" s="97" t="s">
        <v>43</v>
      </c>
      <c r="E47" s="98"/>
      <c r="F47" s="98"/>
      <c r="G47" s="98"/>
      <c r="H47" s="98"/>
      <c r="I47" s="98"/>
      <c r="J47" s="99"/>
      <c r="K47" s="38" t="s">
        <v>305</v>
      </c>
      <c r="L47" s="39"/>
      <c r="M47" s="40"/>
      <c r="N47" s="19" t="s">
        <v>35</v>
      </c>
      <c r="O47" s="19" t="s">
        <v>29</v>
      </c>
      <c r="P47" s="47" t="s">
        <v>28</v>
      </c>
      <c r="Q47" s="48"/>
      <c r="R47" s="48"/>
      <c r="S47" s="49"/>
      <c r="T47" s="47" t="s">
        <v>28</v>
      </c>
      <c r="U47" s="48"/>
      <c r="V47" s="48"/>
      <c r="W47" s="49"/>
      <c r="X47" s="44" t="s">
        <v>306</v>
      </c>
      <c r="Y47" s="91"/>
      <c r="Z47" s="92"/>
      <c r="AA47" s="382" t="s">
        <v>307</v>
      </c>
      <c r="AB47" s="383"/>
      <c r="AC47" s="383"/>
      <c r="AD47" s="383"/>
      <c r="AE47" s="383"/>
      <c r="AF47" s="383"/>
      <c r="AG47" s="383"/>
      <c r="AH47" s="384"/>
      <c r="AI47" s="408" t="s">
        <v>330</v>
      </c>
      <c r="AJ47" s="386"/>
      <c r="AK47" s="386"/>
      <c r="AL47" s="386"/>
      <c r="AM47" s="386"/>
      <c r="AN47" s="386"/>
      <c r="AO47" s="386"/>
      <c r="AP47" s="386"/>
      <c r="AQ47" s="387"/>
      <c r="AR47" s="19" t="s">
        <v>29</v>
      </c>
      <c r="AS47" s="21" t="s">
        <v>30</v>
      </c>
      <c r="AT47" s="21" t="s">
        <v>30</v>
      </c>
      <c r="AU47" s="100" t="s">
        <v>31</v>
      </c>
      <c r="AV47" s="42"/>
      <c r="AW47" s="42"/>
      <c r="AX47" s="43"/>
      <c r="AY47" s="100" t="s">
        <v>30</v>
      </c>
      <c r="AZ47" s="42"/>
      <c r="BA47" s="42"/>
      <c r="BB47" s="43"/>
      <c r="BC47" s="388"/>
      <c r="BD47" s="389"/>
      <c r="BE47" s="389"/>
      <c r="BF47" s="389"/>
      <c r="BG47" s="389"/>
      <c r="BH47" s="389"/>
      <c r="BI47" s="389"/>
      <c r="BJ47" s="390"/>
      <c r="BK47" s="16"/>
    </row>
    <row r="48" spans="1:63" x14ac:dyDescent="0.25">
      <c r="A48" s="15"/>
      <c r="B48" s="47">
        <f t="shared" si="0"/>
        <v>3</v>
      </c>
      <c r="C48" s="49"/>
      <c r="D48" s="391" t="s">
        <v>45</v>
      </c>
      <c r="E48" s="392"/>
      <c r="F48" s="392"/>
      <c r="G48" s="392"/>
      <c r="H48" s="392"/>
      <c r="I48" s="392"/>
      <c r="J48" s="393"/>
      <c r="K48" s="90" t="s">
        <v>27</v>
      </c>
      <c r="L48" s="39"/>
      <c r="M48" s="40"/>
      <c r="N48" s="22" t="s">
        <v>28</v>
      </c>
      <c r="O48" s="19" t="s">
        <v>29</v>
      </c>
      <c r="P48" s="47" t="s">
        <v>31</v>
      </c>
      <c r="Q48" s="48"/>
      <c r="R48" s="48"/>
      <c r="S48" s="49"/>
      <c r="T48" s="47" t="s">
        <v>31</v>
      </c>
      <c r="U48" s="48"/>
      <c r="V48" s="48"/>
      <c r="W48" s="49"/>
      <c r="X48" s="96" t="s">
        <v>53</v>
      </c>
      <c r="Y48" s="48"/>
      <c r="Z48" s="49"/>
      <c r="AA48" s="47" t="s">
        <v>30</v>
      </c>
      <c r="AB48" s="48"/>
      <c r="AC48" s="48"/>
      <c r="AD48" s="48"/>
      <c r="AE48" s="48"/>
      <c r="AF48" s="48"/>
      <c r="AG48" s="48"/>
      <c r="AH48" s="49"/>
      <c r="AI48" s="50" t="s">
        <v>30</v>
      </c>
      <c r="AJ48" s="51"/>
      <c r="AK48" s="51"/>
      <c r="AL48" s="51"/>
      <c r="AM48" s="51"/>
      <c r="AN48" s="51"/>
      <c r="AO48" s="51"/>
      <c r="AP48" s="51"/>
      <c r="AQ48" s="52"/>
      <c r="AR48" s="21" t="s">
        <v>28</v>
      </c>
      <c r="AS48" s="21" t="s">
        <v>30</v>
      </c>
      <c r="AT48" s="21" t="s">
        <v>30</v>
      </c>
      <c r="AU48" s="47" t="s">
        <v>31</v>
      </c>
      <c r="AV48" s="48"/>
      <c r="AW48" s="48"/>
      <c r="AX48" s="49"/>
      <c r="AY48" s="47" t="s">
        <v>30</v>
      </c>
      <c r="AZ48" s="48"/>
      <c r="BA48" s="48"/>
      <c r="BB48" s="49"/>
      <c r="BC48" s="394"/>
      <c r="BD48" s="395"/>
      <c r="BE48" s="395"/>
      <c r="BF48" s="395"/>
      <c r="BG48" s="395"/>
      <c r="BH48" s="395"/>
      <c r="BI48" s="395"/>
      <c r="BJ48" s="396"/>
      <c r="BK48" s="16"/>
    </row>
    <row r="49" spans="1:63" ht="62.25" customHeight="1" x14ac:dyDescent="0.25">
      <c r="A49" s="15"/>
      <c r="B49" s="47">
        <f t="shared" si="0"/>
        <v>4</v>
      </c>
      <c r="C49" s="49"/>
      <c r="D49" s="97" t="s">
        <v>46</v>
      </c>
      <c r="E49" s="98"/>
      <c r="F49" s="98"/>
      <c r="G49" s="98"/>
      <c r="H49" s="98"/>
      <c r="I49" s="98"/>
      <c r="J49" s="99"/>
      <c r="K49" s="38" t="s">
        <v>308</v>
      </c>
      <c r="L49" s="39"/>
      <c r="M49" s="40"/>
      <c r="N49" s="22" t="s">
        <v>35</v>
      </c>
      <c r="O49" s="19" t="s">
        <v>28</v>
      </c>
      <c r="P49" s="47" t="s">
        <v>31</v>
      </c>
      <c r="Q49" s="48"/>
      <c r="R49" s="48"/>
      <c r="S49" s="49"/>
      <c r="T49" s="47" t="s">
        <v>31</v>
      </c>
      <c r="U49" s="48"/>
      <c r="V49" s="48"/>
      <c r="W49" s="49"/>
      <c r="X49" s="44" t="s">
        <v>309</v>
      </c>
      <c r="Y49" s="91"/>
      <c r="Z49" s="92"/>
      <c r="AA49" s="47" t="s">
        <v>30</v>
      </c>
      <c r="AB49" s="48"/>
      <c r="AC49" s="48"/>
      <c r="AD49" s="48"/>
      <c r="AE49" s="48"/>
      <c r="AF49" s="48"/>
      <c r="AG49" s="48"/>
      <c r="AH49" s="49"/>
      <c r="AI49" s="385" t="s">
        <v>49</v>
      </c>
      <c r="AJ49" s="386"/>
      <c r="AK49" s="386"/>
      <c r="AL49" s="386"/>
      <c r="AM49" s="386"/>
      <c r="AN49" s="386"/>
      <c r="AO49" s="386"/>
      <c r="AP49" s="386"/>
      <c r="AQ49" s="387"/>
      <c r="AR49" s="19" t="s">
        <v>29</v>
      </c>
      <c r="AS49" s="19" t="s">
        <v>28</v>
      </c>
      <c r="AT49" s="21" t="s">
        <v>30</v>
      </c>
      <c r="AU49" s="47" t="s">
        <v>31</v>
      </c>
      <c r="AV49" s="48"/>
      <c r="AW49" s="48"/>
      <c r="AX49" s="49"/>
      <c r="AY49" s="47" t="s">
        <v>30</v>
      </c>
      <c r="AZ49" s="48"/>
      <c r="BA49" s="48"/>
      <c r="BB49" s="49"/>
      <c r="BC49" s="388"/>
      <c r="BD49" s="380"/>
      <c r="BE49" s="380"/>
      <c r="BF49" s="380"/>
      <c r="BG49" s="380"/>
      <c r="BH49" s="380"/>
      <c r="BI49" s="380"/>
      <c r="BJ49" s="381"/>
      <c r="BK49" s="16"/>
    </row>
    <row r="50" spans="1:63" ht="32.25" customHeight="1" x14ac:dyDescent="0.25">
      <c r="A50" s="15"/>
      <c r="B50" s="47">
        <f t="shared" si="0"/>
        <v>5</v>
      </c>
      <c r="C50" s="49"/>
      <c r="D50" s="97" t="s">
        <v>37</v>
      </c>
      <c r="E50" s="98"/>
      <c r="F50" s="98"/>
      <c r="G50" s="98"/>
      <c r="H50" s="98"/>
      <c r="I50" s="98"/>
      <c r="J50" s="99"/>
      <c r="K50" s="38" t="s">
        <v>310</v>
      </c>
      <c r="L50" s="39"/>
      <c r="M50" s="40"/>
      <c r="N50" s="22" t="s">
        <v>35</v>
      </c>
      <c r="O50" s="19" t="s">
        <v>29</v>
      </c>
      <c r="P50" s="47" t="s">
        <v>28</v>
      </c>
      <c r="Q50" s="48"/>
      <c r="R50" s="48"/>
      <c r="S50" s="49"/>
      <c r="T50" s="47" t="s">
        <v>28</v>
      </c>
      <c r="U50" s="48"/>
      <c r="V50" s="48"/>
      <c r="W50" s="49"/>
      <c r="X50" s="44" t="s">
        <v>311</v>
      </c>
      <c r="Y50" s="91"/>
      <c r="Z50" s="92"/>
      <c r="AA50" s="47" t="s">
        <v>30</v>
      </c>
      <c r="AB50" s="48"/>
      <c r="AC50" s="48"/>
      <c r="AD50" s="48"/>
      <c r="AE50" s="48"/>
      <c r="AF50" s="48"/>
      <c r="AG50" s="48"/>
      <c r="AH50" s="49"/>
      <c r="AI50" s="408" t="s">
        <v>330</v>
      </c>
      <c r="AJ50" s="386"/>
      <c r="AK50" s="386"/>
      <c r="AL50" s="386"/>
      <c r="AM50" s="386"/>
      <c r="AN50" s="386"/>
      <c r="AO50" s="386"/>
      <c r="AP50" s="386"/>
      <c r="AQ50" s="387"/>
      <c r="AR50" s="19" t="s">
        <v>28</v>
      </c>
      <c r="AS50" s="19" t="s">
        <v>30</v>
      </c>
      <c r="AT50" s="21" t="s">
        <v>30</v>
      </c>
      <c r="AU50" s="47" t="s">
        <v>31</v>
      </c>
      <c r="AV50" s="48"/>
      <c r="AW50" s="48"/>
      <c r="AX50" s="49"/>
      <c r="AY50" s="47" t="s">
        <v>30</v>
      </c>
      <c r="AZ50" s="48"/>
      <c r="BA50" s="48"/>
      <c r="BB50" s="49"/>
      <c r="BC50" s="388" t="s">
        <v>312</v>
      </c>
      <c r="BD50" s="380"/>
      <c r="BE50" s="380"/>
      <c r="BF50" s="380"/>
      <c r="BG50" s="380"/>
      <c r="BH50" s="380"/>
      <c r="BI50" s="380"/>
      <c r="BJ50" s="381"/>
      <c r="BK50" s="16"/>
    </row>
    <row r="51" spans="1:63" ht="32.25" customHeight="1" x14ac:dyDescent="0.25">
      <c r="A51" s="15"/>
      <c r="B51" s="70">
        <f t="shared" si="0"/>
        <v>6</v>
      </c>
      <c r="C51" s="66"/>
      <c r="D51" s="211" t="s">
        <v>313</v>
      </c>
      <c r="E51" s="212"/>
      <c r="F51" s="212"/>
      <c r="G51" s="212"/>
      <c r="H51" s="212"/>
      <c r="I51" s="212"/>
      <c r="J51" s="213"/>
      <c r="K51" s="61" t="s">
        <v>310</v>
      </c>
      <c r="L51" s="62"/>
      <c r="M51" s="63"/>
      <c r="N51" s="23" t="s">
        <v>35</v>
      </c>
      <c r="O51" s="23" t="s">
        <v>28</v>
      </c>
      <c r="P51" s="64" t="s">
        <v>28</v>
      </c>
      <c r="Q51" s="65"/>
      <c r="R51" s="65"/>
      <c r="S51" s="66"/>
      <c r="T51" s="64" t="s">
        <v>28</v>
      </c>
      <c r="U51" s="65"/>
      <c r="V51" s="65"/>
      <c r="W51" s="66"/>
      <c r="X51" s="67" t="s">
        <v>28</v>
      </c>
      <c r="Y51" s="214"/>
      <c r="Z51" s="215"/>
      <c r="AA51" s="70" t="s">
        <v>30</v>
      </c>
      <c r="AB51" s="65"/>
      <c r="AC51" s="65"/>
      <c r="AD51" s="65"/>
      <c r="AE51" s="65"/>
      <c r="AF51" s="65"/>
      <c r="AG51" s="65"/>
      <c r="AH51" s="66"/>
      <c r="AI51" s="397" t="s">
        <v>40</v>
      </c>
      <c r="AJ51" s="398"/>
      <c r="AK51" s="398"/>
      <c r="AL51" s="398"/>
      <c r="AM51" s="398"/>
      <c r="AN51" s="398"/>
      <c r="AO51" s="398"/>
      <c r="AP51" s="398"/>
      <c r="AQ51" s="399"/>
      <c r="AR51" s="24" t="s">
        <v>28</v>
      </c>
      <c r="AS51" s="23" t="s">
        <v>28</v>
      </c>
      <c r="AT51" s="24" t="s">
        <v>30</v>
      </c>
      <c r="AU51" s="216" t="s">
        <v>31</v>
      </c>
      <c r="AV51" s="217"/>
      <c r="AW51" s="217"/>
      <c r="AX51" s="218"/>
      <c r="AY51" s="216" t="s">
        <v>30</v>
      </c>
      <c r="AZ51" s="217"/>
      <c r="BA51" s="217"/>
      <c r="BB51" s="218"/>
      <c r="BC51" s="400"/>
      <c r="BD51" s="401"/>
      <c r="BE51" s="401"/>
      <c r="BF51" s="401"/>
      <c r="BG51" s="401"/>
      <c r="BH51" s="401"/>
      <c r="BI51" s="401"/>
      <c r="BJ51" s="402"/>
      <c r="BK51" s="16"/>
    </row>
    <row r="52" spans="1:63" x14ac:dyDescent="0.25">
      <c r="A52" s="15"/>
      <c r="BK52" s="16"/>
    </row>
    <row r="53" spans="1:63" x14ac:dyDescent="0.25">
      <c r="A53" s="15"/>
      <c r="BK53" s="16"/>
    </row>
    <row r="54" spans="1:63" ht="15" customHeight="1" x14ac:dyDescent="0.25">
      <c r="A54" s="15"/>
      <c r="B54" s="17" t="s">
        <v>314</v>
      </c>
      <c r="C54" s="376"/>
      <c r="D54" s="376"/>
      <c r="E54" s="376"/>
      <c r="F54" s="376"/>
      <c r="G54" s="376"/>
      <c r="H54" s="376"/>
      <c r="I54" s="376"/>
      <c r="J54" s="376"/>
      <c r="AE54" s="17"/>
      <c r="BK54" s="16"/>
    </row>
    <row r="55" spans="1:63" x14ac:dyDescent="0.25">
      <c r="A55" s="15"/>
      <c r="BK55" s="16"/>
    </row>
    <row r="56" spans="1:63" ht="15" customHeight="1" x14ac:dyDescent="0.25">
      <c r="A56" s="15"/>
      <c r="BK56" s="16"/>
    </row>
    <row r="57" spans="1:63" ht="15" customHeight="1" x14ac:dyDescent="0.25">
      <c r="A57" s="15"/>
      <c r="BK57" s="16"/>
    </row>
    <row r="58" spans="1:63" ht="15" customHeight="1" x14ac:dyDescent="0.25">
      <c r="A58" s="15"/>
      <c r="BK58" s="16"/>
    </row>
    <row r="59" spans="1:63" ht="15" customHeight="1" x14ac:dyDescent="0.25">
      <c r="A59" s="15"/>
      <c r="BK59" s="16"/>
    </row>
    <row r="60" spans="1:63" ht="15" customHeight="1" x14ac:dyDescent="0.25">
      <c r="A60" s="15"/>
      <c r="BK60" s="16"/>
    </row>
    <row r="61" spans="1:63" ht="15" customHeight="1" x14ac:dyDescent="0.25">
      <c r="A61" s="15"/>
      <c r="BK61" s="16"/>
    </row>
    <row r="62" spans="1:63" ht="15" customHeight="1" x14ac:dyDescent="0.25">
      <c r="A62" s="15"/>
      <c r="BK62" s="16"/>
    </row>
    <row r="63" spans="1:63" ht="15" customHeight="1" x14ac:dyDescent="0.25">
      <c r="A63" s="15"/>
      <c r="BK63" s="16"/>
    </row>
    <row r="64" spans="1:63" ht="15" customHeight="1" x14ac:dyDescent="0.25">
      <c r="A64" s="15"/>
      <c r="BK64" s="16"/>
    </row>
    <row r="65" spans="1:63" ht="15" customHeight="1" x14ac:dyDescent="0.25">
      <c r="A65" s="15"/>
      <c r="BK65" s="16"/>
    </row>
    <row r="66" spans="1:63" ht="15" customHeight="1" x14ac:dyDescent="0.25">
      <c r="A66" s="15"/>
      <c r="BK66" s="16"/>
    </row>
    <row r="67" spans="1:63" ht="15" customHeight="1" x14ac:dyDescent="0.25">
      <c r="A67" s="15"/>
      <c r="BK67" s="16"/>
    </row>
    <row r="68" spans="1:63" ht="15" customHeight="1" x14ac:dyDescent="0.25">
      <c r="A68" s="15"/>
      <c r="BK68" s="16"/>
    </row>
    <row r="69" spans="1:63" ht="15" customHeight="1" x14ac:dyDescent="0.25">
      <c r="A69" s="15"/>
      <c r="BK69" s="16"/>
    </row>
    <row r="70" spans="1:63" ht="15" customHeight="1" x14ac:dyDescent="0.25">
      <c r="A70" s="15"/>
      <c r="BK70" s="16"/>
    </row>
    <row r="71" spans="1:63" ht="15" customHeight="1" x14ac:dyDescent="0.25">
      <c r="A71" s="15"/>
      <c r="BK71" s="16"/>
    </row>
    <row r="72" spans="1:63" ht="15" customHeight="1" x14ac:dyDescent="0.25">
      <c r="A72" s="15"/>
      <c r="BK72" s="16"/>
    </row>
    <row r="73" spans="1:63" ht="14.25" customHeight="1" x14ac:dyDescent="0.25">
      <c r="A73" s="15"/>
      <c r="BK73" s="16"/>
    </row>
    <row r="74" spans="1:63" ht="15" customHeight="1" x14ac:dyDescent="0.25">
      <c r="A74" s="15"/>
      <c r="BK74" s="16"/>
    </row>
    <row r="75" spans="1:63" ht="15" customHeight="1" x14ac:dyDescent="0.25">
      <c r="A75" s="15"/>
      <c r="BK75" s="16"/>
    </row>
    <row r="76" spans="1:63" x14ac:dyDescent="0.25">
      <c r="A76" s="15"/>
      <c r="BK76" s="16"/>
    </row>
    <row r="77" spans="1:63" x14ac:dyDescent="0.25">
      <c r="A77" s="15"/>
      <c r="BK77" s="16"/>
    </row>
    <row r="78" spans="1:63" x14ac:dyDescent="0.25">
      <c r="A78" s="15"/>
      <c r="BK78" s="16"/>
    </row>
    <row r="79" spans="1:63" x14ac:dyDescent="0.25">
      <c r="A79" s="15"/>
      <c r="BK79" s="16"/>
    </row>
    <row r="80" spans="1:63" x14ac:dyDescent="0.25">
      <c r="A80" s="15"/>
      <c r="BK80" s="16"/>
    </row>
    <row r="81" spans="1:63" x14ac:dyDescent="0.25">
      <c r="A81" s="15"/>
      <c r="BK81" s="16"/>
    </row>
    <row r="82" spans="1:63" x14ac:dyDescent="0.25">
      <c r="A82" s="15"/>
      <c r="BK82" s="16"/>
    </row>
    <row r="83" spans="1:63" x14ac:dyDescent="0.25">
      <c r="A83" s="15"/>
      <c r="BK83" s="16"/>
    </row>
    <row r="84" spans="1:63" x14ac:dyDescent="0.25">
      <c r="A84" s="15"/>
      <c r="BK84" s="16"/>
    </row>
    <row r="85" spans="1:63" x14ac:dyDescent="0.25">
      <c r="A85" s="15"/>
      <c r="BK85" s="16"/>
    </row>
    <row r="86" spans="1:63" ht="15" customHeight="1" x14ac:dyDescent="0.25">
      <c r="A86" s="15"/>
      <c r="B86" s="17" t="s">
        <v>287</v>
      </c>
      <c r="BK86" s="16"/>
    </row>
    <row r="87" spans="1:63" x14ac:dyDescent="0.25">
      <c r="A87" s="15"/>
      <c r="BK87" s="16"/>
    </row>
    <row r="88" spans="1:63" ht="15.75" customHeight="1" x14ac:dyDescent="0.25">
      <c r="A88" s="15"/>
      <c r="B88" s="126" t="s">
        <v>288</v>
      </c>
      <c r="C88" s="127"/>
      <c r="D88" s="132" t="s">
        <v>289</v>
      </c>
      <c r="E88" s="133"/>
      <c r="F88" s="133"/>
      <c r="G88" s="133"/>
      <c r="H88" s="133"/>
      <c r="I88" s="133"/>
      <c r="J88" s="127"/>
      <c r="K88" s="132" t="s">
        <v>290</v>
      </c>
      <c r="L88" s="133"/>
      <c r="M88" s="127"/>
      <c r="N88" s="136" t="s">
        <v>16</v>
      </c>
      <c r="O88" s="139" t="s">
        <v>291</v>
      </c>
      <c r="P88" s="142" t="s">
        <v>292</v>
      </c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4"/>
      <c r="AR88" s="145" t="s">
        <v>293</v>
      </c>
      <c r="AS88" s="146"/>
      <c r="AT88" s="146"/>
      <c r="AU88" s="146"/>
      <c r="AV88" s="146"/>
      <c r="AW88" s="146"/>
      <c r="AX88" s="146"/>
      <c r="AY88" s="146"/>
      <c r="AZ88" s="146"/>
      <c r="BA88" s="146"/>
      <c r="BB88" s="147"/>
      <c r="BC88" s="148" t="s">
        <v>294</v>
      </c>
      <c r="BD88" s="149"/>
      <c r="BE88" s="149"/>
      <c r="BF88" s="149"/>
      <c r="BG88" s="149"/>
      <c r="BH88" s="149"/>
      <c r="BI88" s="149"/>
      <c r="BJ88" s="150"/>
      <c r="BK88" s="16"/>
    </row>
    <row r="89" spans="1:63" ht="15.75" customHeight="1" x14ac:dyDescent="0.25">
      <c r="A89" s="15"/>
      <c r="B89" s="128"/>
      <c r="C89" s="129"/>
      <c r="D89" s="128"/>
      <c r="E89" s="134"/>
      <c r="F89" s="134"/>
      <c r="G89" s="134"/>
      <c r="H89" s="134"/>
      <c r="I89" s="134"/>
      <c r="J89" s="129"/>
      <c r="K89" s="128"/>
      <c r="L89" s="134"/>
      <c r="M89" s="129"/>
      <c r="N89" s="137"/>
      <c r="O89" s="140"/>
      <c r="P89" s="157" t="s">
        <v>295</v>
      </c>
      <c r="Q89" s="158"/>
      <c r="R89" s="158"/>
      <c r="S89" s="158"/>
      <c r="T89" s="158"/>
      <c r="U89" s="158"/>
      <c r="V89" s="158"/>
      <c r="W89" s="159"/>
      <c r="X89" s="160" t="s">
        <v>296</v>
      </c>
      <c r="Y89" s="161"/>
      <c r="Z89" s="162"/>
      <c r="AA89" s="160" t="s">
        <v>297</v>
      </c>
      <c r="AB89" s="161"/>
      <c r="AC89" s="161"/>
      <c r="AD89" s="161"/>
      <c r="AE89" s="161"/>
      <c r="AF89" s="161"/>
      <c r="AG89" s="161"/>
      <c r="AH89" s="162"/>
      <c r="AI89" s="160" t="s">
        <v>298</v>
      </c>
      <c r="AJ89" s="161"/>
      <c r="AK89" s="161"/>
      <c r="AL89" s="161"/>
      <c r="AM89" s="161"/>
      <c r="AN89" s="161"/>
      <c r="AO89" s="161"/>
      <c r="AP89" s="161"/>
      <c r="AQ89" s="162"/>
      <c r="AR89" s="166" t="s">
        <v>24</v>
      </c>
      <c r="AS89" s="168" t="s">
        <v>299</v>
      </c>
      <c r="AT89" s="170" t="s">
        <v>300</v>
      </c>
      <c r="AU89" s="145" t="s">
        <v>295</v>
      </c>
      <c r="AV89" s="146"/>
      <c r="AW89" s="146"/>
      <c r="AX89" s="146"/>
      <c r="AY89" s="146"/>
      <c r="AZ89" s="146"/>
      <c r="BA89" s="146"/>
      <c r="BB89" s="147"/>
      <c r="BC89" s="151"/>
      <c r="BD89" s="152"/>
      <c r="BE89" s="152"/>
      <c r="BF89" s="152"/>
      <c r="BG89" s="152"/>
      <c r="BH89" s="152"/>
      <c r="BI89" s="152"/>
      <c r="BJ89" s="153"/>
      <c r="BK89" s="16"/>
    </row>
    <row r="90" spans="1:63" x14ac:dyDescent="0.25">
      <c r="A90" s="15"/>
      <c r="B90" s="130"/>
      <c r="C90" s="131"/>
      <c r="D90" s="130"/>
      <c r="E90" s="135"/>
      <c r="F90" s="135"/>
      <c r="G90" s="135"/>
      <c r="H90" s="135"/>
      <c r="I90" s="135"/>
      <c r="J90" s="131"/>
      <c r="K90" s="130"/>
      <c r="L90" s="135"/>
      <c r="M90" s="131"/>
      <c r="N90" s="138"/>
      <c r="O90" s="141"/>
      <c r="P90" s="142" t="s">
        <v>301</v>
      </c>
      <c r="Q90" s="143"/>
      <c r="R90" s="143"/>
      <c r="S90" s="144"/>
      <c r="T90" s="142" t="s">
        <v>289</v>
      </c>
      <c r="U90" s="143"/>
      <c r="V90" s="143"/>
      <c r="W90" s="144"/>
      <c r="X90" s="163"/>
      <c r="Y90" s="164"/>
      <c r="Z90" s="165"/>
      <c r="AA90" s="163"/>
      <c r="AB90" s="164"/>
      <c r="AC90" s="164"/>
      <c r="AD90" s="164"/>
      <c r="AE90" s="164"/>
      <c r="AF90" s="164"/>
      <c r="AG90" s="164"/>
      <c r="AH90" s="165"/>
      <c r="AI90" s="163"/>
      <c r="AJ90" s="164"/>
      <c r="AK90" s="164"/>
      <c r="AL90" s="164"/>
      <c r="AM90" s="164"/>
      <c r="AN90" s="164"/>
      <c r="AO90" s="164"/>
      <c r="AP90" s="164"/>
      <c r="AQ90" s="165"/>
      <c r="AR90" s="167"/>
      <c r="AS90" s="169"/>
      <c r="AT90" s="171"/>
      <c r="AU90" s="145" t="s">
        <v>301</v>
      </c>
      <c r="AV90" s="146"/>
      <c r="AW90" s="146"/>
      <c r="AX90" s="172"/>
      <c r="AY90" s="173" t="s">
        <v>289</v>
      </c>
      <c r="AZ90" s="146"/>
      <c r="BA90" s="146"/>
      <c r="BB90" s="147"/>
      <c r="BC90" s="154"/>
      <c r="BD90" s="155"/>
      <c r="BE90" s="155"/>
      <c r="BF90" s="155"/>
      <c r="BG90" s="155"/>
      <c r="BH90" s="155"/>
      <c r="BI90" s="155"/>
      <c r="BJ90" s="156"/>
      <c r="BK90" s="16"/>
    </row>
    <row r="91" spans="1:63" x14ac:dyDescent="0.25">
      <c r="A91" s="15"/>
      <c r="B91" s="109">
        <v>7</v>
      </c>
      <c r="C91" s="111"/>
      <c r="D91" s="93" t="s">
        <v>331</v>
      </c>
      <c r="E91" s="94"/>
      <c r="F91" s="94"/>
      <c r="G91" s="94"/>
      <c r="H91" s="94"/>
      <c r="I91" s="94"/>
      <c r="J91" s="95"/>
      <c r="K91" s="38" t="s">
        <v>315</v>
      </c>
      <c r="L91" s="39"/>
      <c r="M91" s="40"/>
      <c r="N91" s="18" t="s">
        <v>28</v>
      </c>
      <c r="O91" s="19" t="s">
        <v>29</v>
      </c>
      <c r="P91" s="119" t="s">
        <v>28</v>
      </c>
      <c r="Q91" s="110"/>
      <c r="R91" s="110"/>
      <c r="S91" s="111"/>
      <c r="T91" s="119" t="s">
        <v>28</v>
      </c>
      <c r="U91" s="110"/>
      <c r="V91" s="110"/>
      <c r="W91" s="111"/>
      <c r="X91" s="120" t="s">
        <v>316</v>
      </c>
      <c r="Y91" s="121"/>
      <c r="Z91" s="122"/>
      <c r="AA91" s="109" t="s">
        <v>30</v>
      </c>
      <c r="AB91" s="110"/>
      <c r="AC91" s="110"/>
      <c r="AD91" s="110"/>
      <c r="AE91" s="110"/>
      <c r="AF91" s="110"/>
      <c r="AG91" s="110"/>
      <c r="AH91" s="111"/>
      <c r="AI91" s="123" t="s">
        <v>28</v>
      </c>
      <c r="AJ91" s="124"/>
      <c r="AK91" s="124"/>
      <c r="AL91" s="124"/>
      <c r="AM91" s="124"/>
      <c r="AN91" s="124"/>
      <c r="AO91" s="124"/>
      <c r="AP91" s="124"/>
      <c r="AQ91" s="125"/>
      <c r="AR91" s="20" t="s">
        <v>28</v>
      </c>
      <c r="AS91" s="20" t="s">
        <v>30</v>
      </c>
      <c r="AT91" s="20" t="s">
        <v>30</v>
      </c>
      <c r="AU91" s="109" t="s">
        <v>31</v>
      </c>
      <c r="AV91" s="110"/>
      <c r="AW91" s="110"/>
      <c r="AX91" s="111"/>
      <c r="AY91" s="109" t="s">
        <v>30</v>
      </c>
      <c r="AZ91" s="110"/>
      <c r="BA91" s="110"/>
      <c r="BB91" s="111"/>
      <c r="BC91" s="377"/>
      <c r="BD91" s="378"/>
      <c r="BE91" s="378"/>
      <c r="BF91" s="378"/>
      <c r="BG91" s="378"/>
      <c r="BH91" s="378"/>
      <c r="BI91" s="378"/>
      <c r="BJ91" s="379"/>
      <c r="BK91" s="16"/>
    </row>
    <row r="92" spans="1:63" x14ac:dyDescent="0.25">
      <c r="A92" s="15"/>
      <c r="B92" s="47">
        <f>B91+1</f>
        <v>8</v>
      </c>
      <c r="C92" s="49"/>
      <c r="D92" s="93" t="s">
        <v>56</v>
      </c>
      <c r="E92" s="94"/>
      <c r="F92" s="94"/>
      <c r="G92" s="94"/>
      <c r="H92" s="94"/>
      <c r="I92" s="94"/>
      <c r="J92" s="95"/>
      <c r="K92" s="90" t="s">
        <v>27</v>
      </c>
      <c r="L92" s="39"/>
      <c r="M92" s="40"/>
      <c r="N92" s="25" t="s">
        <v>28</v>
      </c>
      <c r="O92" s="19" t="s">
        <v>29</v>
      </c>
      <c r="P92" s="47" t="s">
        <v>31</v>
      </c>
      <c r="Q92" s="48"/>
      <c r="R92" s="48"/>
      <c r="S92" s="49"/>
      <c r="T92" s="47" t="s">
        <v>31</v>
      </c>
      <c r="U92" s="48"/>
      <c r="V92" s="48"/>
      <c r="W92" s="49"/>
      <c r="X92" s="115" t="s">
        <v>317</v>
      </c>
      <c r="Y92" s="116"/>
      <c r="Z92" s="117"/>
      <c r="AA92" s="47" t="s">
        <v>30</v>
      </c>
      <c r="AB92" s="48"/>
      <c r="AC92" s="48"/>
      <c r="AD92" s="48"/>
      <c r="AE92" s="48"/>
      <c r="AF92" s="48"/>
      <c r="AG92" s="48"/>
      <c r="AH92" s="49"/>
      <c r="AI92" s="50" t="s">
        <v>30</v>
      </c>
      <c r="AJ92" s="51"/>
      <c r="AK92" s="51"/>
      <c r="AL92" s="51"/>
      <c r="AM92" s="51"/>
      <c r="AN92" s="51"/>
      <c r="AO92" s="51"/>
      <c r="AP92" s="51"/>
      <c r="AQ92" s="52"/>
      <c r="AR92" s="21" t="s">
        <v>28</v>
      </c>
      <c r="AS92" s="21" t="s">
        <v>30</v>
      </c>
      <c r="AT92" s="21" t="s">
        <v>30</v>
      </c>
      <c r="AU92" s="47" t="s">
        <v>31</v>
      </c>
      <c r="AV92" s="48"/>
      <c r="AW92" s="48"/>
      <c r="AX92" s="49"/>
      <c r="AY92" s="47" t="s">
        <v>30</v>
      </c>
      <c r="AZ92" s="48"/>
      <c r="BA92" s="48"/>
      <c r="BB92" s="49"/>
      <c r="BC92" s="118"/>
      <c r="BD92" s="380"/>
      <c r="BE92" s="380"/>
      <c r="BF92" s="380"/>
      <c r="BG92" s="380"/>
      <c r="BH92" s="380"/>
      <c r="BI92" s="380"/>
      <c r="BJ92" s="381"/>
      <c r="BK92" s="16"/>
    </row>
    <row r="93" spans="1:63" x14ac:dyDescent="0.25">
      <c r="A93" s="15"/>
      <c r="B93" s="47">
        <f t="shared" ref="B93:B115" si="1">B92+1</f>
        <v>9</v>
      </c>
      <c r="C93" s="49"/>
      <c r="D93" s="97" t="s">
        <v>57</v>
      </c>
      <c r="E93" s="98"/>
      <c r="F93" s="98"/>
      <c r="G93" s="98"/>
      <c r="H93" s="98"/>
      <c r="I93" s="98"/>
      <c r="J93" s="99"/>
      <c r="K93" s="38" t="s">
        <v>315</v>
      </c>
      <c r="L93" s="39"/>
      <c r="M93" s="40"/>
      <c r="N93" s="25" t="s">
        <v>318</v>
      </c>
      <c r="O93" s="19" t="s">
        <v>28</v>
      </c>
      <c r="P93" s="100" t="s">
        <v>28</v>
      </c>
      <c r="Q93" s="42"/>
      <c r="R93" s="42"/>
      <c r="S93" s="43"/>
      <c r="T93" s="100" t="s">
        <v>28</v>
      </c>
      <c r="U93" s="42"/>
      <c r="V93" s="42"/>
      <c r="W93" s="43"/>
      <c r="X93" s="96" t="s">
        <v>28</v>
      </c>
      <c r="Y93" s="48"/>
      <c r="Z93" s="49"/>
      <c r="AA93" s="47" t="s">
        <v>30</v>
      </c>
      <c r="AB93" s="48"/>
      <c r="AC93" s="48"/>
      <c r="AD93" s="48"/>
      <c r="AE93" s="48"/>
      <c r="AF93" s="48"/>
      <c r="AG93" s="48"/>
      <c r="AH93" s="49"/>
      <c r="AI93" s="50" t="s">
        <v>30</v>
      </c>
      <c r="AJ93" s="51"/>
      <c r="AK93" s="51"/>
      <c r="AL93" s="51"/>
      <c r="AM93" s="51"/>
      <c r="AN93" s="51"/>
      <c r="AO93" s="51"/>
      <c r="AP93" s="51"/>
      <c r="AQ93" s="52"/>
      <c r="AR93" s="19" t="s">
        <v>28</v>
      </c>
      <c r="AS93" s="21" t="s">
        <v>30</v>
      </c>
      <c r="AT93" s="21" t="s">
        <v>30</v>
      </c>
      <c r="AU93" s="76" t="s">
        <v>31</v>
      </c>
      <c r="AV93" s="86"/>
      <c r="AW93" s="86"/>
      <c r="AX93" s="77"/>
      <c r="AY93" s="76" t="s">
        <v>30</v>
      </c>
      <c r="AZ93" s="86"/>
      <c r="BA93" s="86"/>
      <c r="BB93" s="77"/>
      <c r="BC93" s="388"/>
      <c r="BD93" s="389"/>
      <c r="BE93" s="389"/>
      <c r="BF93" s="389"/>
      <c r="BG93" s="389"/>
      <c r="BH93" s="389"/>
      <c r="BI93" s="389"/>
      <c r="BJ93" s="390"/>
      <c r="BK93" s="16"/>
    </row>
    <row r="94" spans="1:63" x14ac:dyDescent="0.25">
      <c r="A94" s="15"/>
      <c r="B94" s="47">
        <f t="shared" si="1"/>
        <v>10</v>
      </c>
      <c r="C94" s="49"/>
      <c r="D94" s="391" t="s">
        <v>58</v>
      </c>
      <c r="E94" s="392"/>
      <c r="F94" s="392"/>
      <c r="G94" s="392"/>
      <c r="H94" s="392"/>
      <c r="I94" s="392"/>
      <c r="J94" s="393"/>
      <c r="K94" s="90" t="s">
        <v>27</v>
      </c>
      <c r="L94" s="39"/>
      <c r="M94" s="40"/>
      <c r="N94" s="25" t="s">
        <v>28</v>
      </c>
      <c r="O94" s="19" t="s">
        <v>29</v>
      </c>
      <c r="P94" s="47" t="s">
        <v>31</v>
      </c>
      <c r="Q94" s="48"/>
      <c r="R94" s="48"/>
      <c r="S94" s="49"/>
      <c r="T94" s="47" t="s">
        <v>31</v>
      </c>
      <c r="U94" s="48"/>
      <c r="V94" s="48"/>
      <c r="W94" s="49"/>
      <c r="X94" s="96" t="s">
        <v>227</v>
      </c>
      <c r="Y94" s="48"/>
      <c r="Z94" s="49"/>
      <c r="AA94" s="47" t="s">
        <v>30</v>
      </c>
      <c r="AB94" s="48"/>
      <c r="AC94" s="48"/>
      <c r="AD94" s="48"/>
      <c r="AE94" s="48"/>
      <c r="AF94" s="48"/>
      <c r="AG94" s="48"/>
      <c r="AH94" s="49"/>
      <c r="AI94" s="50" t="s">
        <v>30</v>
      </c>
      <c r="AJ94" s="51"/>
      <c r="AK94" s="51"/>
      <c r="AL94" s="51"/>
      <c r="AM94" s="51"/>
      <c r="AN94" s="51"/>
      <c r="AO94" s="51"/>
      <c r="AP94" s="51"/>
      <c r="AQ94" s="52"/>
      <c r="AR94" s="21" t="s">
        <v>28</v>
      </c>
      <c r="AS94" s="21" t="s">
        <v>30</v>
      </c>
      <c r="AT94" s="21" t="s">
        <v>30</v>
      </c>
      <c r="AU94" s="76" t="s">
        <v>31</v>
      </c>
      <c r="AV94" s="86"/>
      <c r="AW94" s="86"/>
      <c r="AX94" s="77"/>
      <c r="AY94" s="76" t="s">
        <v>30</v>
      </c>
      <c r="AZ94" s="86"/>
      <c r="BA94" s="86"/>
      <c r="BB94" s="77"/>
      <c r="BC94" s="394"/>
      <c r="BD94" s="395"/>
      <c r="BE94" s="395"/>
      <c r="BF94" s="395"/>
      <c r="BG94" s="395"/>
      <c r="BH94" s="395"/>
      <c r="BI94" s="395"/>
      <c r="BJ94" s="396"/>
      <c r="BK94" s="16"/>
    </row>
    <row r="95" spans="1:63" x14ac:dyDescent="0.25">
      <c r="A95" s="15"/>
      <c r="B95" s="47">
        <f t="shared" si="1"/>
        <v>11</v>
      </c>
      <c r="C95" s="49"/>
      <c r="D95" s="97" t="s">
        <v>63</v>
      </c>
      <c r="E95" s="98"/>
      <c r="F95" s="98"/>
      <c r="G95" s="98"/>
      <c r="H95" s="98"/>
      <c r="I95" s="98"/>
      <c r="J95" s="99"/>
      <c r="K95" s="38" t="s">
        <v>315</v>
      </c>
      <c r="L95" s="39"/>
      <c r="M95" s="40"/>
      <c r="N95" s="25" t="s">
        <v>318</v>
      </c>
      <c r="O95" s="19" t="s">
        <v>28</v>
      </c>
      <c r="P95" s="100" t="s">
        <v>31</v>
      </c>
      <c r="Q95" s="42"/>
      <c r="R95" s="42"/>
      <c r="S95" s="43"/>
      <c r="T95" s="100" t="s">
        <v>31</v>
      </c>
      <c r="U95" s="42"/>
      <c r="V95" s="42"/>
      <c r="W95" s="43"/>
      <c r="X95" s="96" t="s">
        <v>28</v>
      </c>
      <c r="Y95" s="48"/>
      <c r="Z95" s="49"/>
      <c r="AA95" s="47" t="s">
        <v>30</v>
      </c>
      <c r="AB95" s="48"/>
      <c r="AC95" s="48"/>
      <c r="AD95" s="48"/>
      <c r="AE95" s="48"/>
      <c r="AF95" s="48"/>
      <c r="AG95" s="48"/>
      <c r="AH95" s="49"/>
      <c r="AI95" s="50" t="s">
        <v>30</v>
      </c>
      <c r="AJ95" s="51"/>
      <c r="AK95" s="51"/>
      <c r="AL95" s="51"/>
      <c r="AM95" s="51"/>
      <c r="AN95" s="51"/>
      <c r="AO95" s="51"/>
      <c r="AP95" s="51"/>
      <c r="AQ95" s="52"/>
      <c r="AR95" s="19" t="s">
        <v>28</v>
      </c>
      <c r="AS95" s="19" t="s">
        <v>28</v>
      </c>
      <c r="AT95" s="21" t="s">
        <v>30</v>
      </c>
      <c r="AU95" s="76" t="s">
        <v>31</v>
      </c>
      <c r="AV95" s="86"/>
      <c r="AW95" s="86"/>
      <c r="AX95" s="77"/>
      <c r="AY95" s="76" t="s">
        <v>30</v>
      </c>
      <c r="AZ95" s="86"/>
      <c r="BA95" s="86"/>
      <c r="BB95" s="77"/>
      <c r="BC95" s="388"/>
      <c r="BD95" s="380"/>
      <c r="BE95" s="380"/>
      <c r="BF95" s="380"/>
      <c r="BG95" s="380"/>
      <c r="BH95" s="380"/>
      <c r="BI95" s="380"/>
      <c r="BJ95" s="381"/>
      <c r="BK95" s="16"/>
    </row>
    <row r="96" spans="1:63" ht="15.75" customHeight="1" x14ac:dyDescent="0.25">
      <c r="A96" s="15"/>
      <c r="B96" s="47">
        <f t="shared" si="1"/>
        <v>12</v>
      </c>
      <c r="C96" s="49"/>
      <c r="D96" s="93" t="s">
        <v>61</v>
      </c>
      <c r="E96" s="94"/>
      <c r="F96" s="94"/>
      <c r="G96" s="94"/>
      <c r="H96" s="94"/>
      <c r="I96" s="94"/>
      <c r="J96" s="95"/>
      <c r="K96" s="90" t="s">
        <v>27</v>
      </c>
      <c r="L96" s="39"/>
      <c r="M96" s="40"/>
      <c r="N96" s="25" t="s">
        <v>318</v>
      </c>
      <c r="O96" s="19" t="s">
        <v>28</v>
      </c>
      <c r="P96" s="41" t="s">
        <v>28</v>
      </c>
      <c r="Q96" s="42"/>
      <c r="R96" s="42"/>
      <c r="S96" s="43"/>
      <c r="T96" s="41" t="s">
        <v>28</v>
      </c>
      <c r="U96" s="42"/>
      <c r="V96" s="42"/>
      <c r="W96" s="43"/>
      <c r="X96" s="96" t="s">
        <v>28</v>
      </c>
      <c r="Y96" s="48"/>
      <c r="Z96" s="49"/>
      <c r="AA96" s="47" t="s">
        <v>30</v>
      </c>
      <c r="AB96" s="48"/>
      <c r="AC96" s="48"/>
      <c r="AD96" s="48"/>
      <c r="AE96" s="48"/>
      <c r="AF96" s="48"/>
      <c r="AG96" s="48"/>
      <c r="AH96" s="49"/>
      <c r="AI96" s="50" t="s">
        <v>30</v>
      </c>
      <c r="AJ96" s="51"/>
      <c r="AK96" s="51"/>
      <c r="AL96" s="51"/>
      <c r="AM96" s="51"/>
      <c r="AN96" s="51"/>
      <c r="AO96" s="51"/>
      <c r="AP96" s="51"/>
      <c r="AQ96" s="52"/>
      <c r="AR96" s="21" t="s">
        <v>28</v>
      </c>
      <c r="AS96" s="19" t="s">
        <v>28</v>
      </c>
      <c r="AT96" s="21" t="s">
        <v>30</v>
      </c>
      <c r="AU96" s="76" t="s">
        <v>31</v>
      </c>
      <c r="AV96" s="86"/>
      <c r="AW96" s="86"/>
      <c r="AX96" s="77"/>
      <c r="AY96" s="76" t="s">
        <v>30</v>
      </c>
      <c r="AZ96" s="86"/>
      <c r="BA96" s="86"/>
      <c r="BB96" s="77"/>
      <c r="BC96" s="403"/>
      <c r="BD96" s="380"/>
      <c r="BE96" s="380"/>
      <c r="BF96" s="380"/>
      <c r="BG96" s="380"/>
      <c r="BH96" s="380"/>
      <c r="BI96" s="380"/>
      <c r="BJ96" s="381"/>
      <c r="BK96" s="16"/>
    </row>
    <row r="97" spans="1:63" ht="15.75" customHeight="1" x14ac:dyDescent="0.25">
      <c r="A97" s="15"/>
      <c r="B97" s="76">
        <f t="shared" si="1"/>
        <v>13</v>
      </c>
      <c r="C97" s="77"/>
      <c r="D97" s="78" t="s">
        <v>59</v>
      </c>
      <c r="E97" s="79"/>
      <c r="F97" s="79"/>
      <c r="G97" s="79"/>
      <c r="H97" s="79"/>
      <c r="I97" s="79"/>
      <c r="J97" s="80"/>
      <c r="K97" s="38" t="s">
        <v>315</v>
      </c>
      <c r="L97" s="39"/>
      <c r="M97" s="40"/>
      <c r="N97" s="25" t="s">
        <v>319</v>
      </c>
      <c r="O97" s="19" t="s">
        <v>29</v>
      </c>
      <c r="P97" s="81" t="s">
        <v>28</v>
      </c>
      <c r="Q97" s="48"/>
      <c r="R97" s="48"/>
      <c r="S97" s="49"/>
      <c r="T97" s="81" t="s">
        <v>28</v>
      </c>
      <c r="U97" s="48"/>
      <c r="V97" s="48"/>
      <c r="W97" s="49"/>
      <c r="X97" s="44" t="s">
        <v>320</v>
      </c>
      <c r="Y97" s="91"/>
      <c r="Z97" s="92"/>
      <c r="AA97" s="47" t="s">
        <v>30</v>
      </c>
      <c r="AB97" s="48"/>
      <c r="AC97" s="48"/>
      <c r="AD97" s="48"/>
      <c r="AE97" s="48"/>
      <c r="AF97" s="48"/>
      <c r="AG97" s="48"/>
      <c r="AH97" s="49"/>
      <c r="AI97" s="50" t="s">
        <v>30</v>
      </c>
      <c r="AJ97" s="51"/>
      <c r="AK97" s="51"/>
      <c r="AL97" s="51"/>
      <c r="AM97" s="51"/>
      <c r="AN97" s="51"/>
      <c r="AO97" s="51"/>
      <c r="AP97" s="51"/>
      <c r="AQ97" s="52"/>
      <c r="AR97" s="21" t="s">
        <v>28</v>
      </c>
      <c r="AS97" s="19" t="s">
        <v>28</v>
      </c>
      <c r="AT97" s="21" t="s">
        <v>30</v>
      </c>
      <c r="AU97" s="76" t="s">
        <v>31</v>
      </c>
      <c r="AV97" s="86"/>
      <c r="AW97" s="86"/>
      <c r="AX97" s="77"/>
      <c r="AY97" s="76" t="s">
        <v>30</v>
      </c>
      <c r="AZ97" s="86"/>
      <c r="BA97" s="86"/>
      <c r="BB97" s="77"/>
      <c r="BC97" s="388"/>
      <c r="BD97" s="380"/>
      <c r="BE97" s="380"/>
      <c r="BF97" s="380"/>
      <c r="BG97" s="380"/>
      <c r="BH97" s="380"/>
      <c r="BI97" s="380"/>
      <c r="BJ97" s="381"/>
      <c r="BK97" s="16"/>
    </row>
    <row r="98" spans="1:63" ht="15.75" customHeight="1" x14ac:dyDescent="0.25">
      <c r="A98" s="15"/>
      <c r="B98" s="76">
        <f t="shared" si="1"/>
        <v>14</v>
      </c>
      <c r="C98" s="77"/>
      <c r="D98" s="87" t="s">
        <v>64</v>
      </c>
      <c r="E98" s="88"/>
      <c r="F98" s="88"/>
      <c r="G98" s="88"/>
      <c r="H98" s="88"/>
      <c r="I98" s="88"/>
      <c r="J98" s="89"/>
      <c r="K98" s="90" t="s">
        <v>27</v>
      </c>
      <c r="L98" s="39"/>
      <c r="M98" s="40"/>
      <c r="N98" s="25" t="s">
        <v>318</v>
      </c>
      <c r="O98" s="19" t="s">
        <v>28</v>
      </c>
      <c r="P98" s="41" t="s">
        <v>28</v>
      </c>
      <c r="Q98" s="42"/>
      <c r="R98" s="42"/>
      <c r="S98" s="43"/>
      <c r="T98" s="41" t="s">
        <v>28</v>
      </c>
      <c r="U98" s="42"/>
      <c r="V98" s="42"/>
      <c r="W98" s="43"/>
      <c r="X98" s="44" t="s">
        <v>28</v>
      </c>
      <c r="Y98" s="45"/>
      <c r="Z98" s="46"/>
      <c r="AA98" s="47" t="s">
        <v>30</v>
      </c>
      <c r="AB98" s="48"/>
      <c r="AC98" s="48"/>
      <c r="AD98" s="48"/>
      <c r="AE98" s="48"/>
      <c r="AF98" s="48"/>
      <c r="AG98" s="48"/>
      <c r="AH98" s="49"/>
      <c r="AI98" s="50" t="s">
        <v>30</v>
      </c>
      <c r="AJ98" s="51"/>
      <c r="AK98" s="51"/>
      <c r="AL98" s="51"/>
      <c r="AM98" s="51"/>
      <c r="AN98" s="51"/>
      <c r="AO98" s="51"/>
      <c r="AP98" s="51"/>
      <c r="AQ98" s="52"/>
      <c r="AR98" s="21" t="s">
        <v>28</v>
      </c>
      <c r="AS98" s="19" t="s">
        <v>28</v>
      </c>
      <c r="AT98" s="21" t="s">
        <v>30</v>
      </c>
      <c r="AU98" s="47" t="s">
        <v>31</v>
      </c>
      <c r="AV98" s="48"/>
      <c r="AW98" s="48"/>
      <c r="AX98" s="49"/>
      <c r="AY98" s="47" t="s">
        <v>30</v>
      </c>
      <c r="AZ98" s="48"/>
      <c r="BA98" s="48"/>
      <c r="BB98" s="49"/>
      <c r="BC98" s="388" t="s">
        <v>81</v>
      </c>
      <c r="BD98" s="380"/>
      <c r="BE98" s="380"/>
      <c r="BF98" s="380"/>
      <c r="BG98" s="380"/>
      <c r="BH98" s="380"/>
      <c r="BI98" s="380"/>
      <c r="BJ98" s="381"/>
      <c r="BK98" s="16"/>
    </row>
    <row r="99" spans="1:63" ht="15.75" customHeight="1" x14ac:dyDescent="0.25">
      <c r="A99" s="15"/>
      <c r="B99" s="76">
        <f t="shared" si="1"/>
        <v>15</v>
      </c>
      <c r="C99" s="77"/>
      <c r="D99" s="78" t="s">
        <v>60</v>
      </c>
      <c r="E99" s="79"/>
      <c r="F99" s="79"/>
      <c r="G99" s="79"/>
      <c r="H99" s="79"/>
      <c r="I99" s="79"/>
      <c r="J99" s="80"/>
      <c r="K99" s="38" t="s">
        <v>315</v>
      </c>
      <c r="L99" s="39"/>
      <c r="M99" s="40"/>
      <c r="N99" s="25" t="s">
        <v>318</v>
      </c>
      <c r="O99" s="19" t="s">
        <v>28</v>
      </c>
      <c r="P99" s="41" t="s">
        <v>28</v>
      </c>
      <c r="Q99" s="42"/>
      <c r="R99" s="42"/>
      <c r="S99" s="43"/>
      <c r="T99" s="41" t="s">
        <v>28</v>
      </c>
      <c r="U99" s="42"/>
      <c r="V99" s="42"/>
      <c r="W99" s="43"/>
      <c r="X99" s="44" t="s">
        <v>28</v>
      </c>
      <c r="Y99" s="45"/>
      <c r="Z99" s="46"/>
      <c r="AA99" s="47" t="s">
        <v>30</v>
      </c>
      <c r="AB99" s="48"/>
      <c r="AC99" s="48"/>
      <c r="AD99" s="48"/>
      <c r="AE99" s="48"/>
      <c r="AF99" s="48"/>
      <c r="AG99" s="48"/>
      <c r="AH99" s="49"/>
      <c r="AI99" s="50" t="s">
        <v>30</v>
      </c>
      <c r="AJ99" s="51"/>
      <c r="AK99" s="51"/>
      <c r="AL99" s="51"/>
      <c r="AM99" s="51"/>
      <c r="AN99" s="51"/>
      <c r="AO99" s="51"/>
      <c r="AP99" s="51"/>
      <c r="AQ99" s="52"/>
      <c r="AR99" s="21" t="s">
        <v>28</v>
      </c>
      <c r="AS99" s="21" t="s">
        <v>28</v>
      </c>
      <c r="AT99" s="21" t="s">
        <v>30</v>
      </c>
      <c r="AU99" s="47" t="s">
        <v>31</v>
      </c>
      <c r="AV99" s="48"/>
      <c r="AW99" s="48"/>
      <c r="AX99" s="49"/>
      <c r="AY99" s="47" t="s">
        <v>30</v>
      </c>
      <c r="AZ99" s="48"/>
      <c r="BA99" s="48"/>
      <c r="BB99" s="49"/>
      <c r="BC99" s="388" t="s">
        <v>81</v>
      </c>
      <c r="BD99" s="380"/>
      <c r="BE99" s="380"/>
      <c r="BF99" s="380"/>
      <c r="BG99" s="380"/>
      <c r="BH99" s="380"/>
      <c r="BI99" s="380"/>
      <c r="BJ99" s="381"/>
      <c r="BK99" s="16"/>
    </row>
    <row r="100" spans="1:63" ht="15.75" customHeight="1" x14ac:dyDescent="0.25">
      <c r="A100" s="15"/>
      <c r="B100" s="76">
        <f t="shared" si="1"/>
        <v>16</v>
      </c>
      <c r="C100" s="77"/>
      <c r="D100" s="404" t="s">
        <v>67</v>
      </c>
      <c r="E100" s="405"/>
      <c r="F100" s="405"/>
      <c r="G100" s="405"/>
      <c r="H100" s="405"/>
      <c r="I100" s="405"/>
      <c r="J100" s="406"/>
      <c r="K100" s="38" t="s">
        <v>315</v>
      </c>
      <c r="L100" s="39"/>
      <c r="M100" s="40"/>
      <c r="N100" s="25" t="s">
        <v>28</v>
      </c>
      <c r="O100" s="19" t="s">
        <v>29</v>
      </c>
      <c r="P100" s="81" t="s">
        <v>28</v>
      </c>
      <c r="Q100" s="48"/>
      <c r="R100" s="48"/>
      <c r="S100" s="49"/>
      <c r="T100" s="81" t="s">
        <v>28</v>
      </c>
      <c r="U100" s="48"/>
      <c r="V100" s="48"/>
      <c r="W100" s="49"/>
      <c r="X100" s="44" t="s">
        <v>321</v>
      </c>
      <c r="Y100" s="45"/>
      <c r="Z100" s="46"/>
      <c r="AA100" s="47" t="s">
        <v>30</v>
      </c>
      <c r="AB100" s="48"/>
      <c r="AC100" s="48"/>
      <c r="AD100" s="48"/>
      <c r="AE100" s="48"/>
      <c r="AF100" s="48"/>
      <c r="AG100" s="48"/>
      <c r="AH100" s="49"/>
      <c r="AI100" s="50" t="s">
        <v>30</v>
      </c>
      <c r="AJ100" s="51"/>
      <c r="AK100" s="51"/>
      <c r="AL100" s="51"/>
      <c r="AM100" s="51"/>
      <c r="AN100" s="51"/>
      <c r="AO100" s="51"/>
      <c r="AP100" s="51"/>
      <c r="AQ100" s="52"/>
      <c r="AR100" s="21" t="s">
        <v>28</v>
      </c>
      <c r="AS100" s="21" t="s">
        <v>28</v>
      </c>
      <c r="AT100" s="21" t="s">
        <v>30</v>
      </c>
      <c r="AU100" s="47" t="s">
        <v>31</v>
      </c>
      <c r="AV100" s="48"/>
      <c r="AW100" s="48"/>
      <c r="AX100" s="49"/>
      <c r="AY100" s="47" t="s">
        <v>30</v>
      </c>
      <c r="AZ100" s="48"/>
      <c r="BA100" s="48"/>
      <c r="BB100" s="49"/>
      <c r="BC100" s="388"/>
      <c r="BD100" s="380"/>
      <c r="BE100" s="380"/>
      <c r="BF100" s="380"/>
      <c r="BG100" s="380"/>
      <c r="BH100" s="380"/>
      <c r="BI100" s="380"/>
      <c r="BJ100" s="381"/>
      <c r="BK100" s="16"/>
    </row>
    <row r="101" spans="1:63" x14ac:dyDescent="0.25">
      <c r="A101" s="15"/>
      <c r="B101" s="76">
        <f t="shared" si="1"/>
        <v>17</v>
      </c>
      <c r="C101" s="77"/>
      <c r="D101" s="78" t="s">
        <v>62</v>
      </c>
      <c r="E101" s="79"/>
      <c r="F101" s="79"/>
      <c r="G101" s="79"/>
      <c r="H101" s="79"/>
      <c r="I101" s="79"/>
      <c r="J101" s="80"/>
      <c r="K101" s="38" t="s">
        <v>315</v>
      </c>
      <c r="L101" s="39"/>
      <c r="M101" s="40"/>
      <c r="N101" s="25" t="s">
        <v>318</v>
      </c>
      <c r="O101" s="19" t="s">
        <v>28</v>
      </c>
      <c r="P101" s="41" t="s">
        <v>28</v>
      </c>
      <c r="Q101" s="42"/>
      <c r="R101" s="42"/>
      <c r="S101" s="43"/>
      <c r="T101" s="41" t="s">
        <v>28</v>
      </c>
      <c r="U101" s="42"/>
      <c r="V101" s="42"/>
      <c r="W101" s="43"/>
      <c r="X101" s="44" t="s">
        <v>28</v>
      </c>
      <c r="Y101" s="45"/>
      <c r="Z101" s="46"/>
      <c r="AA101" s="47" t="s">
        <v>30</v>
      </c>
      <c r="AB101" s="48"/>
      <c r="AC101" s="48"/>
      <c r="AD101" s="48"/>
      <c r="AE101" s="48"/>
      <c r="AF101" s="48"/>
      <c r="AG101" s="48"/>
      <c r="AH101" s="49"/>
      <c r="AI101" s="50" t="s">
        <v>30</v>
      </c>
      <c r="AJ101" s="51"/>
      <c r="AK101" s="51"/>
      <c r="AL101" s="51"/>
      <c r="AM101" s="51"/>
      <c r="AN101" s="51"/>
      <c r="AO101" s="51"/>
      <c r="AP101" s="51"/>
      <c r="AQ101" s="52"/>
      <c r="AR101" s="21" t="s">
        <v>28</v>
      </c>
      <c r="AS101" s="21" t="s">
        <v>28</v>
      </c>
      <c r="AT101" s="21" t="s">
        <v>30</v>
      </c>
      <c r="AU101" s="47" t="s">
        <v>31</v>
      </c>
      <c r="AV101" s="48"/>
      <c r="AW101" s="48"/>
      <c r="AX101" s="49"/>
      <c r="AY101" s="47" t="s">
        <v>30</v>
      </c>
      <c r="AZ101" s="48"/>
      <c r="BA101" s="48"/>
      <c r="BB101" s="49"/>
      <c r="BC101" s="388" t="s">
        <v>81</v>
      </c>
      <c r="BD101" s="380"/>
      <c r="BE101" s="380"/>
      <c r="BF101" s="380"/>
      <c r="BG101" s="380"/>
      <c r="BH101" s="380"/>
      <c r="BI101" s="380"/>
      <c r="BJ101" s="381"/>
      <c r="BK101" s="16"/>
    </row>
    <row r="102" spans="1:63" ht="15.75" customHeight="1" x14ac:dyDescent="0.25">
      <c r="A102" s="15"/>
      <c r="B102" s="76">
        <f t="shared" si="1"/>
        <v>18</v>
      </c>
      <c r="C102" s="77"/>
      <c r="D102" s="78" t="s">
        <v>65</v>
      </c>
      <c r="E102" s="79"/>
      <c r="F102" s="79"/>
      <c r="G102" s="79"/>
      <c r="H102" s="79"/>
      <c r="I102" s="79"/>
      <c r="J102" s="80"/>
      <c r="K102" s="38" t="s">
        <v>315</v>
      </c>
      <c r="L102" s="39"/>
      <c r="M102" s="40"/>
      <c r="N102" s="25" t="s">
        <v>318</v>
      </c>
      <c r="O102" s="19" t="s">
        <v>28</v>
      </c>
      <c r="P102" s="41" t="s">
        <v>28</v>
      </c>
      <c r="Q102" s="42"/>
      <c r="R102" s="42"/>
      <c r="S102" s="43"/>
      <c r="T102" s="41" t="s">
        <v>28</v>
      </c>
      <c r="U102" s="42"/>
      <c r="V102" s="42"/>
      <c r="W102" s="43"/>
      <c r="X102" s="83" t="s">
        <v>28</v>
      </c>
      <c r="Y102" s="84"/>
      <c r="Z102" s="85"/>
      <c r="AA102" s="47" t="s">
        <v>30</v>
      </c>
      <c r="AB102" s="48"/>
      <c r="AC102" s="48"/>
      <c r="AD102" s="48"/>
      <c r="AE102" s="48"/>
      <c r="AF102" s="48"/>
      <c r="AG102" s="48"/>
      <c r="AH102" s="49"/>
      <c r="AI102" s="50" t="s">
        <v>30</v>
      </c>
      <c r="AJ102" s="51"/>
      <c r="AK102" s="51"/>
      <c r="AL102" s="51"/>
      <c r="AM102" s="51"/>
      <c r="AN102" s="51"/>
      <c r="AO102" s="51"/>
      <c r="AP102" s="51"/>
      <c r="AQ102" s="52"/>
      <c r="AR102" s="21" t="s">
        <v>28</v>
      </c>
      <c r="AS102" s="21" t="s">
        <v>28</v>
      </c>
      <c r="AT102" s="21" t="s">
        <v>30</v>
      </c>
      <c r="AU102" s="47" t="s">
        <v>31</v>
      </c>
      <c r="AV102" s="48"/>
      <c r="AW102" s="48"/>
      <c r="AX102" s="49"/>
      <c r="AY102" s="47" t="s">
        <v>30</v>
      </c>
      <c r="AZ102" s="48"/>
      <c r="BA102" s="48"/>
      <c r="BB102" s="49"/>
      <c r="BC102" s="388" t="s">
        <v>81</v>
      </c>
      <c r="BD102" s="380"/>
      <c r="BE102" s="380"/>
      <c r="BF102" s="380"/>
      <c r="BG102" s="380"/>
      <c r="BH102" s="380"/>
      <c r="BI102" s="380"/>
      <c r="BJ102" s="381"/>
      <c r="BK102" s="16"/>
    </row>
    <row r="103" spans="1:63" ht="31.5" customHeight="1" x14ac:dyDescent="0.25">
      <c r="A103" s="15"/>
      <c r="B103" s="76">
        <f t="shared" si="1"/>
        <v>19</v>
      </c>
      <c r="C103" s="77"/>
      <c r="D103" s="78" t="s">
        <v>66</v>
      </c>
      <c r="E103" s="79"/>
      <c r="F103" s="79"/>
      <c r="G103" s="79"/>
      <c r="H103" s="79"/>
      <c r="I103" s="79"/>
      <c r="J103" s="80"/>
      <c r="K103" s="38" t="s">
        <v>315</v>
      </c>
      <c r="L103" s="39"/>
      <c r="M103" s="40"/>
      <c r="N103" s="25" t="s">
        <v>28</v>
      </c>
      <c r="O103" s="19" t="s">
        <v>29</v>
      </c>
      <c r="P103" s="81" t="s">
        <v>28</v>
      </c>
      <c r="Q103" s="48"/>
      <c r="R103" s="48"/>
      <c r="S103" s="49"/>
      <c r="T103" s="81" t="s">
        <v>28</v>
      </c>
      <c r="U103" s="48"/>
      <c r="V103" s="48"/>
      <c r="W103" s="49"/>
      <c r="X103" s="44" t="s">
        <v>322</v>
      </c>
      <c r="Y103" s="45"/>
      <c r="Z103" s="46"/>
      <c r="AA103" s="47" t="s">
        <v>30</v>
      </c>
      <c r="AB103" s="48"/>
      <c r="AC103" s="48"/>
      <c r="AD103" s="48"/>
      <c r="AE103" s="48"/>
      <c r="AF103" s="48"/>
      <c r="AG103" s="48"/>
      <c r="AH103" s="49"/>
      <c r="AI103" s="50" t="s">
        <v>30</v>
      </c>
      <c r="AJ103" s="51"/>
      <c r="AK103" s="51"/>
      <c r="AL103" s="51"/>
      <c r="AM103" s="51"/>
      <c r="AN103" s="51"/>
      <c r="AO103" s="51"/>
      <c r="AP103" s="51"/>
      <c r="AQ103" s="52"/>
      <c r="AR103" s="21" t="s">
        <v>28</v>
      </c>
      <c r="AS103" s="21" t="s">
        <v>28</v>
      </c>
      <c r="AT103" s="21" t="s">
        <v>30</v>
      </c>
      <c r="AU103" s="47" t="s">
        <v>31</v>
      </c>
      <c r="AV103" s="48"/>
      <c r="AW103" s="48"/>
      <c r="AX103" s="49"/>
      <c r="AY103" s="47" t="s">
        <v>30</v>
      </c>
      <c r="AZ103" s="48"/>
      <c r="BA103" s="48"/>
      <c r="BB103" s="49"/>
      <c r="BC103" s="403"/>
      <c r="BD103" s="380"/>
      <c r="BE103" s="380"/>
      <c r="BF103" s="380"/>
      <c r="BG103" s="380"/>
      <c r="BH103" s="380"/>
      <c r="BI103" s="380"/>
      <c r="BJ103" s="381"/>
      <c r="BK103" s="16"/>
    </row>
    <row r="104" spans="1:63" ht="47.25" customHeight="1" x14ac:dyDescent="0.25">
      <c r="A104" s="15"/>
      <c r="B104" s="76">
        <f t="shared" si="1"/>
        <v>20</v>
      </c>
      <c r="C104" s="77"/>
      <c r="D104" s="78" t="s">
        <v>68</v>
      </c>
      <c r="E104" s="79"/>
      <c r="F104" s="79"/>
      <c r="G104" s="79"/>
      <c r="H104" s="79"/>
      <c r="I104" s="79"/>
      <c r="J104" s="80"/>
      <c r="K104" s="38" t="s">
        <v>315</v>
      </c>
      <c r="L104" s="39"/>
      <c r="M104" s="40"/>
      <c r="N104" s="25" t="s">
        <v>318</v>
      </c>
      <c r="O104" s="19" t="s">
        <v>28</v>
      </c>
      <c r="P104" s="41" t="s">
        <v>28</v>
      </c>
      <c r="Q104" s="42"/>
      <c r="R104" s="42"/>
      <c r="S104" s="43"/>
      <c r="T104" s="41" t="s">
        <v>28</v>
      </c>
      <c r="U104" s="42"/>
      <c r="V104" s="42"/>
      <c r="W104" s="43"/>
      <c r="X104" s="83" t="s">
        <v>28</v>
      </c>
      <c r="Y104" s="84"/>
      <c r="Z104" s="85"/>
      <c r="AA104" s="47" t="s">
        <v>30</v>
      </c>
      <c r="AB104" s="48"/>
      <c r="AC104" s="48"/>
      <c r="AD104" s="48"/>
      <c r="AE104" s="48"/>
      <c r="AF104" s="48"/>
      <c r="AG104" s="48"/>
      <c r="AH104" s="49"/>
      <c r="AI104" s="50" t="s">
        <v>30</v>
      </c>
      <c r="AJ104" s="51"/>
      <c r="AK104" s="51"/>
      <c r="AL104" s="51"/>
      <c r="AM104" s="51"/>
      <c r="AN104" s="51"/>
      <c r="AO104" s="51"/>
      <c r="AP104" s="51"/>
      <c r="AQ104" s="52"/>
      <c r="AR104" s="21" t="s">
        <v>28</v>
      </c>
      <c r="AS104" s="21" t="s">
        <v>28</v>
      </c>
      <c r="AT104" s="21" t="s">
        <v>30</v>
      </c>
      <c r="AU104" s="47" t="s">
        <v>31</v>
      </c>
      <c r="AV104" s="48"/>
      <c r="AW104" s="48"/>
      <c r="AX104" s="49"/>
      <c r="AY104" s="47" t="s">
        <v>30</v>
      </c>
      <c r="AZ104" s="48"/>
      <c r="BA104" s="48"/>
      <c r="BB104" s="49"/>
      <c r="BC104" s="388" t="s">
        <v>81</v>
      </c>
      <c r="BD104" s="380"/>
      <c r="BE104" s="380"/>
      <c r="BF104" s="380"/>
      <c r="BG104" s="380"/>
      <c r="BH104" s="380"/>
      <c r="BI104" s="380"/>
      <c r="BJ104" s="381"/>
      <c r="BK104" s="16"/>
    </row>
    <row r="105" spans="1:63" ht="31.5" customHeight="1" x14ac:dyDescent="0.25">
      <c r="A105" s="15"/>
      <c r="B105" s="76">
        <f t="shared" si="1"/>
        <v>21</v>
      </c>
      <c r="C105" s="77"/>
      <c r="D105" s="78" t="s">
        <v>69</v>
      </c>
      <c r="E105" s="79"/>
      <c r="F105" s="79"/>
      <c r="G105" s="79"/>
      <c r="H105" s="79"/>
      <c r="I105" s="79"/>
      <c r="J105" s="80"/>
      <c r="K105" s="38" t="s">
        <v>315</v>
      </c>
      <c r="L105" s="39"/>
      <c r="M105" s="40"/>
      <c r="N105" s="25" t="s">
        <v>318</v>
      </c>
      <c r="O105" s="19" t="s">
        <v>28</v>
      </c>
      <c r="P105" s="41" t="s">
        <v>28</v>
      </c>
      <c r="Q105" s="42"/>
      <c r="R105" s="42"/>
      <c r="S105" s="43"/>
      <c r="T105" s="41" t="s">
        <v>28</v>
      </c>
      <c r="U105" s="42"/>
      <c r="V105" s="42"/>
      <c r="W105" s="43"/>
      <c r="X105" s="44" t="s">
        <v>28</v>
      </c>
      <c r="Y105" s="45"/>
      <c r="Z105" s="46"/>
      <c r="AA105" s="47" t="s">
        <v>30</v>
      </c>
      <c r="AB105" s="48"/>
      <c r="AC105" s="48"/>
      <c r="AD105" s="48"/>
      <c r="AE105" s="48"/>
      <c r="AF105" s="48"/>
      <c r="AG105" s="48"/>
      <c r="AH105" s="49"/>
      <c r="AI105" s="50" t="s">
        <v>30</v>
      </c>
      <c r="AJ105" s="51"/>
      <c r="AK105" s="51"/>
      <c r="AL105" s="51"/>
      <c r="AM105" s="51"/>
      <c r="AN105" s="51"/>
      <c r="AO105" s="51"/>
      <c r="AP105" s="51"/>
      <c r="AQ105" s="52"/>
      <c r="AR105" s="21" t="s">
        <v>28</v>
      </c>
      <c r="AS105" s="21" t="s">
        <v>28</v>
      </c>
      <c r="AT105" s="21" t="s">
        <v>30</v>
      </c>
      <c r="AU105" s="47" t="s">
        <v>31</v>
      </c>
      <c r="AV105" s="48"/>
      <c r="AW105" s="48"/>
      <c r="AX105" s="49"/>
      <c r="AY105" s="47" t="s">
        <v>30</v>
      </c>
      <c r="AZ105" s="48"/>
      <c r="BA105" s="48"/>
      <c r="BB105" s="49"/>
      <c r="BC105" s="388" t="s">
        <v>81</v>
      </c>
      <c r="BD105" s="380"/>
      <c r="BE105" s="380"/>
      <c r="BF105" s="380"/>
      <c r="BG105" s="380"/>
      <c r="BH105" s="380"/>
      <c r="BI105" s="380"/>
      <c r="BJ105" s="381"/>
      <c r="BK105" s="16"/>
    </row>
    <row r="106" spans="1:63" ht="30.75" customHeight="1" x14ac:dyDescent="0.25">
      <c r="A106" s="15"/>
      <c r="B106" s="76">
        <f t="shared" si="1"/>
        <v>22</v>
      </c>
      <c r="C106" s="77"/>
      <c r="D106" s="78" t="s">
        <v>70</v>
      </c>
      <c r="E106" s="79"/>
      <c r="F106" s="79"/>
      <c r="G106" s="79"/>
      <c r="H106" s="79"/>
      <c r="I106" s="79"/>
      <c r="J106" s="80"/>
      <c r="K106" s="38" t="s">
        <v>315</v>
      </c>
      <c r="L106" s="39"/>
      <c r="M106" s="40"/>
      <c r="N106" s="25" t="s">
        <v>28</v>
      </c>
      <c r="O106" s="19" t="s">
        <v>29</v>
      </c>
      <c r="P106" s="81" t="s">
        <v>28</v>
      </c>
      <c r="Q106" s="48"/>
      <c r="R106" s="48"/>
      <c r="S106" s="49"/>
      <c r="T106" s="81" t="s">
        <v>28</v>
      </c>
      <c r="U106" s="48"/>
      <c r="V106" s="48"/>
      <c r="W106" s="49"/>
      <c r="X106" s="44" t="s">
        <v>323</v>
      </c>
      <c r="Y106" s="45"/>
      <c r="Z106" s="46"/>
      <c r="AA106" s="47" t="s">
        <v>30</v>
      </c>
      <c r="AB106" s="48"/>
      <c r="AC106" s="48"/>
      <c r="AD106" s="48"/>
      <c r="AE106" s="48"/>
      <c r="AF106" s="48"/>
      <c r="AG106" s="48"/>
      <c r="AH106" s="49"/>
      <c r="AI106" s="50" t="s">
        <v>30</v>
      </c>
      <c r="AJ106" s="51"/>
      <c r="AK106" s="51"/>
      <c r="AL106" s="51"/>
      <c r="AM106" s="51"/>
      <c r="AN106" s="51"/>
      <c r="AO106" s="51"/>
      <c r="AP106" s="51"/>
      <c r="AQ106" s="52"/>
      <c r="AR106" s="21" t="s">
        <v>28</v>
      </c>
      <c r="AS106" s="21" t="s">
        <v>28</v>
      </c>
      <c r="AT106" s="21" t="s">
        <v>30</v>
      </c>
      <c r="AU106" s="47" t="s">
        <v>31</v>
      </c>
      <c r="AV106" s="48"/>
      <c r="AW106" s="48"/>
      <c r="AX106" s="49"/>
      <c r="AY106" s="47" t="s">
        <v>30</v>
      </c>
      <c r="AZ106" s="48"/>
      <c r="BA106" s="48"/>
      <c r="BB106" s="49"/>
      <c r="BC106" s="403"/>
      <c r="BD106" s="380"/>
      <c r="BE106" s="380"/>
      <c r="BF106" s="380"/>
      <c r="BG106" s="380"/>
      <c r="BH106" s="380"/>
      <c r="BI106" s="380"/>
      <c r="BJ106" s="381"/>
      <c r="BK106" s="16"/>
    </row>
    <row r="107" spans="1:63" ht="31.5" customHeight="1" x14ac:dyDescent="0.25">
      <c r="A107" s="15"/>
      <c r="B107" s="76">
        <f t="shared" si="1"/>
        <v>23</v>
      </c>
      <c r="C107" s="77"/>
      <c r="D107" s="78" t="s">
        <v>71</v>
      </c>
      <c r="E107" s="79"/>
      <c r="F107" s="79"/>
      <c r="G107" s="79"/>
      <c r="H107" s="79"/>
      <c r="I107" s="79"/>
      <c r="J107" s="80"/>
      <c r="K107" s="38" t="s">
        <v>315</v>
      </c>
      <c r="L107" s="39"/>
      <c r="M107" s="40"/>
      <c r="N107" s="25" t="s">
        <v>318</v>
      </c>
      <c r="O107" s="19" t="s">
        <v>28</v>
      </c>
      <c r="P107" s="41" t="s">
        <v>28</v>
      </c>
      <c r="Q107" s="42"/>
      <c r="R107" s="42"/>
      <c r="S107" s="43"/>
      <c r="T107" s="41" t="s">
        <v>28</v>
      </c>
      <c r="U107" s="42"/>
      <c r="V107" s="42"/>
      <c r="W107" s="43"/>
      <c r="X107" s="44" t="s">
        <v>28</v>
      </c>
      <c r="Y107" s="45"/>
      <c r="Z107" s="46"/>
      <c r="AA107" s="47" t="s">
        <v>30</v>
      </c>
      <c r="AB107" s="48"/>
      <c r="AC107" s="48"/>
      <c r="AD107" s="48"/>
      <c r="AE107" s="48"/>
      <c r="AF107" s="48"/>
      <c r="AG107" s="48"/>
      <c r="AH107" s="49"/>
      <c r="AI107" s="50" t="s">
        <v>30</v>
      </c>
      <c r="AJ107" s="51"/>
      <c r="AK107" s="51"/>
      <c r="AL107" s="51"/>
      <c r="AM107" s="51"/>
      <c r="AN107" s="51"/>
      <c r="AO107" s="51"/>
      <c r="AP107" s="51"/>
      <c r="AQ107" s="52"/>
      <c r="AR107" s="21" t="s">
        <v>28</v>
      </c>
      <c r="AS107" s="21" t="s">
        <v>28</v>
      </c>
      <c r="AT107" s="21" t="s">
        <v>30</v>
      </c>
      <c r="AU107" s="47" t="s">
        <v>31</v>
      </c>
      <c r="AV107" s="48"/>
      <c r="AW107" s="48"/>
      <c r="AX107" s="49"/>
      <c r="AY107" s="47" t="s">
        <v>30</v>
      </c>
      <c r="AZ107" s="48"/>
      <c r="BA107" s="48"/>
      <c r="BB107" s="49"/>
      <c r="BC107" s="388" t="s">
        <v>81</v>
      </c>
      <c r="BD107" s="380"/>
      <c r="BE107" s="380"/>
      <c r="BF107" s="380"/>
      <c r="BG107" s="380"/>
      <c r="BH107" s="380"/>
      <c r="BI107" s="380"/>
      <c r="BJ107" s="381"/>
      <c r="BK107" s="16"/>
    </row>
    <row r="108" spans="1:63" ht="32.25" customHeight="1" x14ac:dyDescent="0.25">
      <c r="A108" s="15"/>
      <c r="B108" s="76">
        <f t="shared" si="1"/>
        <v>24</v>
      </c>
      <c r="C108" s="77"/>
      <c r="D108" s="78" t="s">
        <v>72</v>
      </c>
      <c r="E108" s="79"/>
      <c r="F108" s="79"/>
      <c r="G108" s="79"/>
      <c r="H108" s="79"/>
      <c r="I108" s="79"/>
      <c r="J108" s="80"/>
      <c r="K108" s="38" t="s">
        <v>315</v>
      </c>
      <c r="L108" s="39"/>
      <c r="M108" s="40"/>
      <c r="N108" s="25" t="s">
        <v>318</v>
      </c>
      <c r="O108" s="19" t="s">
        <v>28</v>
      </c>
      <c r="P108" s="41" t="s">
        <v>28</v>
      </c>
      <c r="Q108" s="42"/>
      <c r="R108" s="42"/>
      <c r="S108" s="43"/>
      <c r="T108" s="41" t="s">
        <v>28</v>
      </c>
      <c r="U108" s="42"/>
      <c r="V108" s="42"/>
      <c r="W108" s="43"/>
      <c r="X108" s="44" t="s">
        <v>28</v>
      </c>
      <c r="Y108" s="45"/>
      <c r="Z108" s="46"/>
      <c r="AA108" s="47" t="s">
        <v>30</v>
      </c>
      <c r="AB108" s="48"/>
      <c r="AC108" s="48"/>
      <c r="AD108" s="48"/>
      <c r="AE108" s="48"/>
      <c r="AF108" s="48"/>
      <c r="AG108" s="48"/>
      <c r="AH108" s="49"/>
      <c r="AI108" s="50" t="s">
        <v>30</v>
      </c>
      <c r="AJ108" s="51"/>
      <c r="AK108" s="51"/>
      <c r="AL108" s="51"/>
      <c r="AM108" s="51"/>
      <c r="AN108" s="51"/>
      <c r="AO108" s="51"/>
      <c r="AP108" s="51"/>
      <c r="AQ108" s="52"/>
      <c r="AR108" s="21" t="s">
        <v>28</v>
      </c>
      <c r="AS108" s="21" t="s">
        <v>28</v>
      </c>
      <c r="AT108" s="21" t="s">
        <v>30</v>
      </c>
      <c r="AU108" s="47" t="s">
        <v>31</v>
      </c>
      <c r="AV108" s="48"/>
      <c r="AW108" s="48"/>
      <c r="AX108" s="49"/>
      <c r="AY108" s="47" t="s">
        <v>30</v>
      </c>
      <c r="AZ108" s="48"/>
      <c r="BA108" s="48"/>
      <c r="BB108" s="49"/>
      <c r="BC108" s="388" t="s">
        <v>81</v>
      </c>
      <c r="BD108" s="380"/>
      <c r="BE108" s="380"/>
      <c r="BF108" s="380"/>
      <c r="BG108" s="380"/>
      <c r="BH108" s="380"/>
      <c r="BI108" s="380"/>
      <c r="BJ108" s="381"/>
      <c r="BK108" s="16"/>
    </row>
    <row r="109" spans="1:63" ht="31.5" customHeight="1" x14ac:dyDescent="0.25">
      <c r="A109" s="15"/>
      <c r="B109" s="76">
        <f t="shared" si="1"/>
        <v>25</v>
      </c>
      <c r="C109" s="77"/>
      <c r="D109" s="78" t="s">
        <v>74</v>
      </c>
      <c r="E109" s="79"/>
      <c r="F109" s="79"/>
      <c r="G109" s="79"/>
      <c r="H109" s="79"/>
      <c r="I109" s="79"/>
      <c r="J109" s="80"/>
      <c r="K109" s="38" t="s">
        <v>315</v>
      </c>
      <c r="L109" s="39"/>
      <c r="M109" s="40"/>
      <c r="N109" s="25" t="s">
        <v>28</v>
      </c>
      <c r="O109" s="19" t="s">
        <v>29</v>
      </c>
      <c r="P109" s="81" t="s">
        <v>28</v>
      </c>
      <c r="Q109" s="48"/>
      <c r="R109" s="48"/>
      <c r="S109" s="49"/>
      <c r="T109" s="81" t="s">
        <v>28</v>
      </c>
      <c r="U109" s="48"/>
      <c r="V109" s="48"/>
      <c r="W109" s="49"/>
      <c r="X109" s="44" t="s">
        <v>324</v>
      </c>
      <c r="Y109" s="45"/>
      <c r="Z109" s="46"/>
      <c r="AA109" s="47" t="s">
        <v>30</v>
      </c>
      <c r="AB109" s="48"/>
      <c r="AC109" s="48"/>
      <c r="AD109" s="48"/>
      <c r="AE109" s="48"/>
      <c r="AF109" s="48"/>
      <c r="AG109" s="48"/>
      <c r="AH109" s="49"/>
      <c r="AI109" s="50" t="s">
        <v>30</v>
      </c>
      <c r="AJ109" s="51"/>
      <c r="AK109" s="51"/>
      <c r="AL109" s="51"/>
      <c r="AM109" s="51"/>
      <c r="AN109" s="51"/>
      <c r="AO109" s="51"/>
      <c r="AP109" s="51"/>
      <c r="AQ109" s="52"/>
      <c r="AR109" s="21" t="s">
        <v>28</v>
      </c>
      <c r="AS109" s="21" t="s">
        <v>28</v>
      </c>
      <c r="AT109" s="21" t="s">
        <v>30</v>
      </c>
      <c r="AU109" s="47" t="s">
        <v>31</v>
      </c>
      <c r="AV109" s="48"/>
      <c r="AW109" s="48"/>
      <c r="AX109" s="49"/>
      <c r="AY109" s="47" t="s">
        <v>30</v>
      </c>
      <c r="AZ109" s="48"/>
      <c r="BA109" s="48"/>
      <c r="BB109" s="49"/>
      <c r="BC109" s="403"/>
      <c r="BD109" s="380"/>
      <c r="BE109" s="380"/>
      <c r="BF109" s="380"/>
      <c r="BG109" s="380"/>
      <c r="BH109" s="380"/>
      <c r="BI109" s="380"/>
      <c r="BJ109" s="381"/>
      <c r="BK109" s="16"/>
    </row>
    <row r="110" spans="1:63" ht="32.25" customHeight="1" x14ac:dyDescent="0.25">
      <c r="A110" s="15"/>
      <c r="B110" s="76">
        <f t="shared" si="1"/>
        <v>26</v>
      </c>
      <c r="C110" s="77"/>
      <c r="D110" s="78" t="s">
        <v>75</v>
      </c>
      <c r="E110" s="79"/>
      <c r="F110" s="79"/>
      <c r="G110" s="79"/>
      <c r="H110" s="79"/>
      <c r="I110" s="79"/>
      <c r="J110" s="80"/>
      <c r="K110" s="38" t="s">
        <v>315</v>
      </c>
      <c r="L110" s="39"/>
      <c r="M110" s="40"/>
      <c r="N110" s="25" t="s">
        <v>318</v>
      </c>
      <c r="O110" s="19" t="s">
        <v>28</v>
      </c>
      <c r="P110" s="41" t="s">
        <v>28</v>
      </c>
      <c r="Q110" s="42"/>
      <c r="R110" s="42"/>
      <c r="S110" s="43"/>
      <c r="T110" s="41" t="s">
        <v>28</v>
      </c>
      <c r="U110" s="42"/>
      <c r="V110" s="42"/>
      <c r="W110" s="43"/>
      <c r="X110" s="44" t="s">
        <v>28</v>
      </c>
      <c r="Y110" s="45"/>
      <c r="Z110" s="46"/>
      <c r="AA110" s="47" t="s">
        <v>30</v>
      </c>
      <c r="AB110" s="48"/>
      <c r="AC110" s="48"/>
      <c r="AD110" s="48"/>
      <c r="AE110" s="48"/>
      <c r="AF110" s="48"/>
      <c r="AG110" s="48"/>
      <c r="AH110" s="49"/>
      <c r="AI110" s="50" t="s">
        <v>30</v>
      </c>
      <c r="AJ110" s="51"/>
      <c r="AK110" s="51"/>
      <c r="AL110" s="51"/>
      <c r="AM110" s="51"/>
      <c r="AN110" s="51"/>
      <c r="AO110" s="51"/>
      <c r="AP110" s="51"/>
      <c r="AQ110" s="52"/>
      <c r="AR110" s="21" t="s">
        <v>28</v>
      </c>
      <c r="AS110" s="21" t="s">
        <v>28</v>
      </c>
      <c r="AT110" s="21" t="s">
        <v>30</v>
      </c>
      <c r="AU110" s="47" t="s">
        <v>31</v>
      </c>
      <c r="AV110" s="48"/>
      <c r="AW110" s="48"/>
      <c r="AX110" s="49"/>
      <c r="AY110" s="47" t="s">
        <v>30</v>
      </c>
      <c r="AZ110" s="48"/>
      <c r="BA110" s="48"/>
      <c r="BB110" s="49"/>
      <c r="BC110" s="388" t="s">
        <v>82</v>
      </c>
      <c r="BD110" s="380"/>
      <c r="BE110" s="380"/>
      <c r="BF110" s="380"/>
      <c r="BG110" s="380"/>
      <c r="BH110" s="380"/>
      <c r="BI110" s="380"/>
      <c r="BJ110" s="381"/>
      <c r="BK110" s="16"/>
    </row>
    <row r="111" spans="1:63" ht="36" customHeight="1" x14ac:dyDescent="0.25">
      <c r="A111" s="15"/>
      <c r="B111" s="76">
        <f t="shared" si="1"/>
        <v>27</v>
      </c>
      <c r="C111" s="77"/>
      <c r="D111" s="78" t="s">
        <v>76</v>
      </c>
      <c r="E111" s="79"/>
      <c r="F111" s="79"/>
      <c r="G111" s="79"/>
      <c r="H111" s="79"/>
      <c r="I111" s="79"/>
      <c r="J111" s="80"/>
      <c r="K111" s="38" t="s">
        <v>315</v>
      </c>
      <c r="L111" s="39"/>
      <c r="M111" s="40"/>
      <c r="N111" s="25" t="s">
        <v>318</v>
      </c>
      <c r="O111" s="19" t="s">
        <v>28</v>
      </c>
      <c r="P111" s="41" t="s">
        <v>28</v>
      </c>
      <c r="Q111" s="42"/>
      <c r="R111" s="42"/>
      <c r="S111" s="43"/>
      <c r="T111" s="41" t="s">
        <v>28</v>
      </c>
      <c r="U111" s="42"/>
      <c r="V111" s="42"/>
      <c r="W111" s="43"/>
      <c r="X111" s="44" t="s">
        <v>28</v>
      </c>
      <c r="Y111" s="45"/>
      <c r="Z111" s="46"/>
      <c r="AA111" s="47" t="s">
        <v>30</v>
      </c>
      <c r="AB111" s="48"/>
      <c r="AC111" s="48"/>
      <c r="AD111" s="48"/>
      <c r="AE111" s="48"/>
      <c r="AF111" s="48"/>
      <c r="AG111" s="48"/>
      <c r="AH111" s="49"/>
      <c r="AI111" s="50" t="s">
        <v>30</v>
      </c>
      <c r="AJ111" s="51"/>
      <c r="AK111" s="51"/>
      <c r="AL111" s="51"/>
      <c r="AM111" s="51"/>
      <c r="AN111" s="51"/>
      <c r="AO111" s="51"/>
      <c r="AP111" s="51"/>
      <c r="AQ111" s="52"/>
      <c r="AR111" s="21" t="s">
        <v>28</v>
      </c>
      <c r="AS111" s="21" t="s">
        <v>28</v>
      </c>
      <c r="AT111" s="21" t="s">
        <v>30</v>
      </c>
      <c r="AU111" s="47" t="s">
        <v>31</v>
      </c>
      <c r="AV111" s="48"/>
      <c r="AW111" s="48"/>
      <c r="AX111" s="49"/>
      <c r="AY111" s="47" t="s">
        <v>30</v>
      </c>
      <c r="AZ111" s="48"/>
      <c r="BA111" s="48"/>
      <c r="BB111" s="49"/>
      <c r="BC111" s="388" t="s">
        <v>82</v>
      </c>
      <c r="BD111" s="380"/>
      <c r="BE111" s="380"/>
      <c r="BF111" s="380"/>
      <c r="BG111" s="380"/>
      <c r="BH111" s="380"/>
      <c r="BI111" s="380"/>
      <c r="BJ111" s="381"/>
      <c r="BK111" s="16"/>
    </row>
    <row r="112" spans="1:63" ht="15.75" customHeight="1" x14ac:dyDescent="0.25">
      <c r="A112" s="15"/>
      <c r="B112" s="76">
        <f t="shared" si="1"/>
        <v>28</v>
      </c>
      <c r="C112" s="77"/>
      <c r="D112" s="78" t="s">
        <v>77</v>
      </c>
      <c r="E112" s="79"/>
      <c r="F112" s="79"/>
      <c r="G112" s="79"/>
      <c r="H112" s="79"/>
      <c r="I112" s="79"/>
      <c r="J112" s="80"/>
      <c r="K112" s="38" t="s">
        <v>315</v>
      </c>
      <c r="L112" s="39"/>
      <c r="M112" s="40"/>
      <c r="N112" s="25" t="s">
        <v>28</v>
      </c>
      <c r="O112" s="19" t="s">
        <v>29</v>
      </c>
      <c r="P112" s="81" t="s">
        <v>28</v>
      </c>
      <c r="Q112" s="48"/>
      <c r="R112" s="48"/>
      <c r="S112" s="49"/>
      <c r="T112" s="81" t="s">
        <v>28</v>
      </c>
      <c r="U112" s="48"/>
      <c r="V112" s="48"/>
      <c r="W112" s="49"/>
      <c r="X112" s="44" t="s">
        <v>325</v>
      </c>
      <c r="Y112" s="45"/>
      <c r="Z112" s="46"/>
      <c r="AA112" s="47" t="s">
        <v>30</v>
      </c>
      <c r="AB112" s="48"/>
      <c r="AC112" s="48"/>
      <c r="AD112" s="48"/>
      <c r="AE112" s="48"/>
      <c r="AF112" s="48"/>
      <c r="AG112" s="48"/>
      <c r="AH112" s="49"/>
      <c r="AI112" s="50" t="s">
        <v>30</v>
      </c>
      <c r="AJ112" s="51"/>
      <c r="AK112" s="51"/>
      <c r="AL112" s="51"/>
      <c r="AM112" s="51"/>
      <c r="AN112" s="51"/>
      <c r="AO112" s="51"/>
      <c r="AP112" s="51"/>
      <c r="AQ112" s="52"/>
      <c r="AR112" s="21" t="s">
        <v>28</v>
      </c>
      <c r="AS112" s="21" t="s">
        <v>28</v>
      </c>
      <c r="AT112" s="21" t="s">
        <v>30</v>
      </c>
      <c r="AU112" s="47" t="s">
        <v>31</v>
      </c>
      <c r="AV112" s="48"/>
      <c r="AW112" s="48"/>
      <c r="AX112" s="49"/>
      <c r="AY112" s="47" t="s">
        <v>30</v>
      </c>
      <c r="AZ112" s="48"/>
      <c r="BA112" s="48"/>
      <c r="BB112" s="49"/>
      <c r="BC112" s="403"/>
      <c r="BD112" s="380"/>
      <c r="BE112" s="380"/>
      <c r="BF112" s="380"/>
      <c r="BG112" s="380"/>
      <c r="BH112" s="380"/>
      <c r="BI112" s="380"/>
      <c r="BJ112" s="381"/>
      <c r="BK112" s="16"/>
    </row>
    <row r="113" spans="1:63" ht="15.75" customHeight="1" x14ac:dyDescent="0.25">
      <c r="A113" s="15"/>
      <c r="B113" s="76">
        <f t="shared" si="1"/>
        <v>29</v>
      </c>
      <c r="C113" s="77"/>
      <c r="D113" s="78" t="s">
        <v>78</v>
      </c>
      <c r="E113" s="79"/>
      <c r="F113" s="79"/>
      <c r="G113" s="79"/>
      <c r="H113" s="79"/>
      <c r="I113" s="79"/>
      <c r="J113" s="80"/>
      <c r="K113" s="38" t="s">
        <v>315</v>
      </c>
      <c r="L113" s="39"/>
      <c r="M113" s="40"/>
      <c r="N113" s="25" t="s">
        <v>318</v>
      </c>
      <c r="O113" s="19" t="s">
        <v>28</v>
      </c>
      <c r="P113" s="41" t="s">
        <v>28</v>
      </c>
      <c r="Q113" s="42"/>
      <c r="R113" s="42"/>
      <c r="S113" s="43"/>
      <c r="T113" s="41" t="s">
        <v>28</v>
      </c>
      <c r="U113" s="42"/>
      <c r="V113" s="42"/>
      <c r="W113" s="43"/>
      <c r="X113" s="44" t="s">
        <v>28</v>
      </c>
      <c r="Y113" s="45"/>
      <c r="Z113" s="46"/>
      <c r="AA113" s="47" t="s">
        <v>30</v>
      </c>
      <c r="AB113" s="48"/>
      <c r="AC113" s="48"/>
      <c r="AD113" s="48"/>
      <c r="AE113" s="48"/>
      <c r="AF113" s="48"/>
      <c r="AG113" s="48"/>
      <c r="AH113" s="49"/>
      <c r="AI113" s="50" t="s">
        <v>30</v>
      </c>
      <c r="AJ113" s="51"/>
      <c r="AK113" s="51"/>
      <c r="AL113" s="51"/>
      <c r="AM113" s="51"/>
      <c r="AN113" s="51"/>
      <c r="AO113" s="51"/>
      <c r="AP113" s="51"/>
      <c r="AQ113" s="52"/>
      <c r="AR113" s="21" t="s">
        <v>28</v>
      </c>
      <c r="AS113" s="21" t="s">
        <v>28</v>
      </c>
      <c r="AT113" s="21" t="s">
        <v>30</v>
      </c>
      <c r="AU113" s="47" t="s">
        <v>31</v>
      </c>
      <c r="AV113" s="48"/>
      <c r="AW113" s="48"/>
      <c r="AX113" s="49"/>
      <c r="AY113" s="47" t="s">
        <v>30</v>
      </c>
      <c r="AZ113" s="48"/>
      <c r="BA113" s="48"/>
      <c r="BB113" s="49"/>
      <c r="BC113" s="388" t="s">
        <v>82</v>
      </c>
      <c r="BD113" s="380"/>
      <c r="BE113" s="380"/>
      <c r="BF113" s="380"/>
      <c r="BG113" s="380"/>
      <c r="BH113" s="380"/>
      <c r="BI113" s="380"/>
      <c r="BJ113" s="381"/>
      <c r="BK113" s="16"/>
    </row>
    <row r="114" spans="1:63" ht="15.75" customHeight="1" x14ac:dyDescent="0.25">
      <c r="A114" s="15"/>
      <c r="B114" s="76">
        <f t="shared" si="1"/>
        <v>30</v>
      </c>
      <c r="C114" s="77"/>
      <c r="D114" s="78" t="s">
        <v>79</v>
      </c>
      <c r="E114" s="79"/>
      <c r="F114" s="79"/>
      <c r="G114" s="79"/>
      <c r="H114" s="79"/>
      <c r="I114" s="79"/>
      <c r="J114" s="80"/>
      <c r="K114" s="38" t="s">
        <v>315</v>
      </c>
      <c r="L114" s="39"/>
      <c r="M114" s="40"/>
      <c r="N114" s="25" t="s">
        <v>318</v>
      </c>
      <c r="O114" s="19" t="s">
        <v>28</v>
      </c>
      <c r="P114" s="41" t="s">
        <v>28</v>
      </c>
      <c r="Q114" s="42"/>
      <c r="R114" s="42"/>
      <c r="S114" s="43"/>
      <c r="T114" s="41" t="s">
        <v>28</v>
      </c>
      <c r="U114" s="42"/>
      <c r="V114" s="42"/>
      <c r="W114" s="43"/>
      <c r="X114" s="44" t="s">
        <v>28</v>
      </c>
      <c r="Y114" s="45"/>
      <c r="Z114" s="46"/>
      <c r="AA114" s="47" t="s">
        <v>30</v>
      </c>
      <c r="AB114" s="48"/>
      <c r="AC114" s="48"/>
      <c r="AD114" s="48"/>
      <c r="AE114" s="48"/>
      <c r="AF114" s="48"/>
      <c r="AG114" s="48"/>
      <c r="AH114" s="49"/>
      <c r="AI114" s="50" t="s">
        <v>30</v>
      </c>
      <c r="AJ114" s="51"/>
      <c r="AK114" s="51"/>
      <c r="AL114" s="51"/>
      <c r="AM114" s="51"/>
      <c r="AN114" s="51"/>
      <c r="AO114" s="51"/>
      <c r="AP114" s="51"/>
      <c r="AQ114" s="52"/>
      <c r="AR114" s="21" t="s">
        <v>28</v>
      </c>
      <c r="AS114" s="21" t="s">
        <v>28</v>
      </c>
      <c r="AT114" s="21" t="s">
        <v>30</v>
      </c>
      <c r="AU114" s="47" t="s">
        <v>31</v>
      </c>
      <c r="AV114" s="48"/>
      <c r="AW114" s="48"/>
      <c r="AX114" s="49"/>
      <c r="AY114" s="47" t="s">
        <v>30</v>
      </c>
      <c r="AZ114" s="48"/>
      <c r="BA114" s="48"/>
      <c r="BB114" s="49"/>
      <c r="BC114" s="388" t="s">
        <v>82</v>
      </c>
      <c r="BD114" s="380"/>
      <c r="BE114" s="380"/>
      <c r="BF114" s="380"/>
      <c r="BG114" s="380"/>
      <c r="BH114" s="380"/>
      <c r="BI114" s="380"/>
      <c r="BJ114" s="381"/>
      <c r="BK114" s="16"/>
    </row>
    <row r="115" spans="1:63" ht="15.75" customHeight="1" x14ac:dyDescent="0.25">
      <c r="A115" s="15"/>
      <c r="B115" s="56">
        <f t="shared" si="1"/>
        <v>31</v>
      </c>
      <c r="C115" s="57"/>
      <c r="D115" s="58" t="s">
        <v>80</v>
      </c>
      <c r="E115" s="59"/>
      <c r="F115" s="59"/>
      <c r="G115" s="59"/>
      <c r="H115" s="59"/>
      <c r="I115" s="59"/>
      <c r="J115" s="60"/>
      <c r="K115" s="61" t="s">
        <v>310</v>
      </c>
      <c r="L115" s="62"/>
      <c r="M115" s="63"/>
      <c r="N115" s="26" t="s">
        <v>326</v>
      </c>
      <c r="O115" s="23" t="s">
        <v>29</v>
      </c>
      <c r="P115" s="64" t="s">
        <v>28</v>
      </c>
      <c r="Q115" s="65"/>
      <c r="R115" s="65"/>
      <c r="S115" s="66"/>
      <c r="T115" s="64" t="s">
        <v>28</v>
      </c>
      <c r="U115" s="65"/>
      <c r="V115" s="65"/>
      <c r="W115" s="66"/>
      <c r="X115" s="67" t="s">
        <v>327</v>
      </c>
      <c r="Y115" s="68"/>
      <c r="Z115" s="69"/>
      <c r="AA115" s="70" t="s">
        <v>30</v>
      </c>
      <c r="AB115" s="65"/>
      <c r="AC115" s="65"/>
      <c r="AD115" s="65"/>
      <c r="AE115" s="65"/>
      <c r="AF115" s="65"/>
      <c r="AG115" s="65"/>
      <c r="AH115" s="66"/>
      <c r="AI115" s="71" t="s">
        <v>328</v>
      </c>
      <c r="AJ115" s="72"/>
      <c r="AK115" s="72"/>
      <c r="AL115" s="72"/>
      <c r="AM115" s="72"/>
      <c r="AN115" s="72"/>
      <c r="AO115" s="72"/>
      <c r="AP115" s="72"/>
      <c r="AQ115" s="73"/>
      <c r="AR115" s="24" t="s">
        <v>28</v>
      </c>
      <c r="AS115" s="24" t="s">
        <v>28</v>
      </c>
      <c r="AT115" s="24" t="s">
        <v>30</v>
      </c>
      <c r="AU115" s="70" t="s">
        <v>31</v>
      </c>
      <c r="AV115" s="65"/>
      <c r="AW115" s="65"/>
      <c r="AX115" s="66"/>
      <c r="AY115" s="70" t="s">
        <v>30</v>
      </c>
      <c r="AZ115" s="65"/>
      <c r="BA115" s="65"/>
      <c r="BB115" s="66"/>
      <c r="BC115" s="407" t="s">
        <v>329</v>
      </c>
      <c r="BD115" s="401"/>
      <c r="BE115" s="401"/>
      <c r="BF115" s="401"/>
      <c r="BG115" s="401"/>
      <c r="BH115" s="401"/>
      <c r="BI115" s="401"/>
      <c r="BJ115" s="402"/>
      <c r="BK115" s="16"/>
    </row>
  </sheetData>
  <mergeCells count="412">
    <mergeCell ref="AY50:BB50"/>
    <mergeCell ref="BC49:BJ49"/>
    <mergeCell ref="B51:C51"/>
    <mergeCell ref="D51:J51"/>
    <mergeCell ref="K51:M51"/>
    <mergeCell ref="P51:S51"/>
    <mergeCell ref="T51:W51"/>
    <mergeCell ref="X51:Z51"/>
    <mergeCell ref="AA51:AH51"/>
    <mergeCell ref="AI51:AQ51"/>
    <mergeCell ref="AU51:AX51"/>
    <mergeCell ref="AY51:BB51"/>
    <mergeCell ref="BC51:BJ51"/>
    <mergeCell ref="BC50:BJ50"/>
    <mergeCell ref="B50:C50"/>
    <mergeCell ref="D50:J50"/>
    <mergeCell ref="K50:M50"/>
    <mergeCell ref="P50:S50"/>
    <mergeCell ref="T50:W50"/>
    <mergeCell ref="X50:Z50"/>
    <mergeCell ref="AA50:AH50"/>
    <mergeCell ref="AI50:AQ50"/>
    <mergeCell ref="AU50:AX50"/>
    <mergeCell ref="AY48:BB48"/>
    <mergeCell ref="BC48:BJ48"/>
    <mergeCell ref="B49:C49"/>
    <mergeCell ref="D49:J49"/>
    <mergeCell ref="K49:M49"/>
    <mergeCell ref="P49:S49"/>
    <mergeCell ref="T49:W49"/>
    <mergeCell ref="X49:Z49"/>
    <mergeCell ref="AA49:AH49"/>
    <mergeCell ref="AI49:AQ49"/>
    <mergeCell ref="AU49:AX49"/>
    <mergeCell ref="AY49:BB49"/>
    <mergeCell ref="B48:C48"/>
    <mergeCell ref="D48:J48"/>
    <mergeCell ref="K48:M48"/>
    <mergeCell ref="P48:S48"/>
    <mergeCell ref="T48:W48"/>
    <mergeCell ref="X48:Z48"/>
    <mergeCell ref="AA48:AH48"/>
    <mergeCell ref="AI48:AQ48"/>
    <mergeCell ref="AU48:AX48"/>
    <mergeCell ref="AY46:BB46"/>
    <mergeCell ref="BC46:BJ46"/>
    <mergeCell ref="B47:C47"/>
    <mergeCell ref="D47:J47"/>
    <mergeCell ref="K47:M47"/>
    <mergeCell ref="P47:S47"/>
    <mergeCell ref="T47:W47"/>
    <mergeCell ref="X47:Z47"/>
    <mergeCell ref="AA47:AH47"/>
    <mergeCell ref="AI47:AQ47"/>
    <mergeCell ref="AU47:AX47"/>
    <mergeCell ref="AY47:BB47"/>
    <mergeCell ref="BC47:BJ47"/>
    <mergeCell ref="B46:C46"/>
    <mergeCell ref="D46:J46"/>
    <mergeCell ref="K46:M46"/>
    <mergeCell ref="P46:S46"/>
    <mergeCell ref="T46:W46"/>
    <mergeCell ref="X46:Z46"/>
    <mergeCell ref="AA46:AH46"/>
    <mergeCell ref="AI46:AQ46"/>
    <mergeCell ref="AU46:AX4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2:C44"/>
    <mergeCell ref="D42:J44"/>
    <mergeCell ref="K42:M44"/>
    <mergeCell ref="N42:N44"/>
    <mergeCell ref="O42:O44"/>
    <mergeCell ref="AU44:AX44"/>
    <mergeCell ref="AY44:BB44"/>
    <mergeCell ref="B45:C45"/>
    <mergeCell ref="D45:J45"/>
    <mergeCell ref="K45:M45"/>
    <mergeCell ref="P45:S45"/>
    <mergeCell ref="T45:W45"/>
    <mergeCell ref="P42:AQ42"/>
    <mergeCell ref="AR42:BB42"/>
    <mergeCell ref="BC42:BJ44"/>
    <mergeCell ref="P43:W43"/>
    <mergeCell ref="X43:Z44"/>
    <mergeCell ref="AA43:AH44"/>
    <mergeCell ref="AI43:AQ44"/>
    <mergeCell ref="AR43:AR44"/>
    <mergeCell ref="AS43:AS44"/>
    <mergeCell ref="AT43:AT44"/>
    <mergeCell ref="X45:Z45"/>
    <mergeCell ref="AA45:AH45"/>
    <mergeCell ref="AI45:AQ45"/>
    <mergeCell ref="AU45:AX45"/>
    <mergeCell ref="AY45:BB45"/>
    <mergeCell ref="BC45:BJ45"/>
    <mergeCell ref="AU43:BB43"/>
    <mergeCell ref="P44:S44"/>
    <mergeCell ref="T44:W44"/>
    <mergeCell ref="B88:C90"/>
    <mergeCell ref="D88:J90"/>
    <mergeCell ref="K88:M90"/>
    <mergeCell ref="N88:N90"/>
    <mergeCell ref="O88:O90"/>
    <mergeCell ref="P88:AQ88"/>
    <mergeCell ref="AR88:BB88"/>
    <mergeCell ref="BC88:BJ90"/>
    <mergeCell ref="P89:W89"/>
    <mergeCell ref="X89:Z90"/>
    <mergeCell ref="AA89:AH90"/>
    <mergeCell ref="AI89:AQ90"/>
    <mergeCell ref="AR89:AR90"/>
    <mergeCell ref="AS89:AS90"/>
    <mergeCell ref="AT89:AT90"/>
    <mergeCell ref="AU89:BB89"/>
    <mergeCell ref="P90:S90"/>
    <mergeCell ref="T90:W90"/>
    <mergeCell ref="AU90:AX90"/>
    <mergeCell ref="AY90:BB90"/>
    <mergeCell ref="AY91:BB91"/>
    <mergeCell ref="BC91:BJ91"/>
    <mergeCell ref="B92:C92"/>
    <mergeCell ref="D92:J92"/>
    <mergeCell ref="K92:M92"/>
    <mergeCell ref="P92:S92"/>
    <mergeCell ref="T92:W92"/>
    <mergeCell ref="X92:Z92"/>
    <mergeCell ref="AA92:AH92"/>
    <mergeCell ref="AI92:AQ92"/>
    <mergeCell ref="AU92:AX92"/>
    <mergeCell ref="AY92:BB92"/>
    <mergeCell ref="BC92:BJ92"/>
    <mergeCell ref="B91:C91"/>
    <mergeCell ref="D91:J91"/>
    <mergeCell ref="K91:M91"/>
    <mergeCell ref="P91:S91"/>
    <mergeCell ref="T91:W91"/>
    <mergeCell ref="X91:Z91"/>
    <mergeCell ref="AA91:AH91"/>
    <mergeCell ref="AI91:AQ91"/>
    <mergeCell ref="AU91:AX91"/>
    <mergeCell ref="AY93:BB93"/>
    <mergeCell ref="BC93:BJ93"/>
    <mergeCell ref="B94:C94"/>
    <mergeCell ref="D94:J94"/>
    <mergeCell ref="K94:M94"/>
    <mergeCell ref="P94:S94"/>
    <mergeCell ref="T94:W94"/>
    <mergeCell ref="X94:Z94"/>
    <mergeCell ref="AA94:AH94"/>
    <mergeCell ref="AI94:AQ94"/>
    <mergeCell ref="AU94:AX94"/>
    <mergeCell ref="AY94:BB94"/>
    <mergeCell ref="BC94:BJ94"/>
    <mergeCell ref="B93:C93"/>
    <mergeCell ref="D93:J93"/>
    <mergeCell ref="K93:M93"/>
    <mergeCell ref="P93:S93"/>
    <mergeCell ref="T93:W93"/>
    <mergeCell ref="X93:Z93"/>
    <mergeCell ref="AA93:AH93"/>
    <mergeCell ref="AI93:AQ93"/>
    <mergeCell ref="AU93:AX93"/>
    <mergeCell ref="AY95:BB95"/>
    <mergeCell ref="BC95:BJ95"/>
    <mergeCell ref="B96:C96"/>
    <mergeCell ref="D96:J96"/>
    <mergeCell ref="K96:M96"/>
    <mergeCell ref="P96:S96"/>
    <mergeCell ref="T96:W96"/>
    <mergeCell ref="X96:Z96"/>
    <mergeCell ref="AA96:AH96"/>
    <mergeCell ref="AI96:AQ96"/>
    <mergeCell ref="AU96:AX96"/>
    <mergeCell ref="AY96:BB96"/>
    <mergeCell ref="BC96:BJ96"/>
    <mergeCell ref="B95:C95"/>
    <mergeCell ref="D95:J95"/>
    <mergeCell ref="K95:M95"/>
    <mergeCell ref="P95:S95"/>
    <mergeCell ref="T95:W95"/>
    <mergeCell ref="X95:Z95"/>
    <mergeCell ref="AA95:AH95"/>
    <mergeCell ref="AI95:AQ95"/>
    <mergeCell ref="AU95:AX95"/>
    <mergeCell ref="AY97:BB97"/>
    <mergeCell ref="BC97:BJ97"/>
    <mergeCell ref="B98:C98"/>
    <mergeCell ref="D98:J98"/>
    <mergeCell ref="K98:M98"/>
    <mergeCell ref="P98:S98"/>
    <mergeCell ref="T98:W98"/>
    <mergeCell ref="X98:Z98"/>
    <mergeCell ref="AA98:AH98"/>
    <mergeCell ref="AI98:AQ98"/>
    <mergeCell ref="AU98:AX98"/>
    <mergeCell ref="AY98:BB98"/>
    <mergeCell ref="BC98:BJ98"/>
    <mergeCell ref="B97:C97"/>
    <mergeCell ref="D97:J97"/>
    <mergeCell ref="K97:M97"/>
    <mergeCell ref="P97:S97"/>
    <mergeCell ref="T97:W97"/>
    <mergeCell ref="X97:Z97"/>
    <mergeCell ref="AA97:AH97"/>
    <mergeCell ref="AI97:AQ97"/>
    <mergeCell ref="AU97:AX97"/>
    <mergeCell ref="AY99:BB99"/>
    <mergeCell ref="BC99:BJ99"/>
    <mergeCell ref="B100:C100"/>
    <mergeCell ref="D100:J100"/>
    <mergeCell ref="K100:M100"/>
    <mergeCell ref="P100:S100"/>
    <mergeCell ref="T100:W100"/>
    <mergeCell ref="X100:Z100"/>
    <mergeCell ref="AA100:AH100"/>
    <mergeCell ref="AI100:AQ100"/>
    <mergeCell ref="AU100:AX100"/>
    <mergeCell ref="AY100:BB100"/>
    <mergeCell ref="BC100:BJ100"/>
    <mergeCell ref="B99:C99"/>
    <mergeCell ref="D99:J99"/>
    <mergeCell ref="K99:M99"/>
    <mergeCell ref="P99:S99"/>
    <mergeCell ref="T99:W99"/>
    <mergeCell ref="X99:Z99"/>
    <mergeCell ref="AA99:AH99"/>
    <mergeCell ref="AI99:AQ99"/>
    <mergeCell ref="AU99:AX99"/>
    <mergeCell ref="AY101:BB101"/>
    <mergeCell ref="BC101:BJ101"/>
    <mergeCell ref="B102:C102"/>
    <mergeCell ref="D102:J102"/>
    <mergeCell ref="K102:M102"/>
    <mergeCell ref="P102:S102"/>
    <mergeCell ref="T102:W102"/>
    <mergeCell ref="X102:Z102"/>
    <mergeCell ref="AA102:AH102"/>
    <mergeCell ref="AI102:AQ102"/>
    <mergeCell ref="AU102:AX102"/>
    <mergeCell ref="AY102:BB102"/>
    <mergeCell ref="BC102:BJ102"/>
    <mergeCell ref="B101:C101"/>
    <mergeCell ref="D101:J101"/>
    <mergeCell ref="K101:M101"/>
    <mergeCell ref="P101:S101"/>
    <mergeCell ref="T101:W101"/>
    <mergeCell ref="X101:Z101"/>
    <mergeCell ref="AA101:AH101"/>
    <mergeCell ref="AI101:AQ101"/>
    <mergeCell ref="AU101:AX101"/>
    <mergeCell ref="AY103:BB103"/>
    <mergeCell ref="BC103:BJ103"/>
    <mergeCell ref="B104:C104"/>
    <mergeCell ref="D104:J104"/>
    <mergeCell ref="K104:M104"/>
    <mergeCell ref="P104:S104"/>
    <mergeCell ref="T104:W104"/>
    <mergeCell ref="X104:Z104"/>
    <mergeCell ref="AA104:AH104"/>
    <mergeCell ref="AI104:AQ104"/>
    <mergeCell ref="AU104:AX104"/>
    <mergeCell ref="AY104:BB104"/>
    <mergeCell ref="BC104:BJ104"/>
    <mergeCell ref="B103:C103"/>
    <mergeCell ref="D103:J103"/>
    <mergeCell ref="K103:M103"/>
    <mergeCell ref="P103:S103"/>
    <mergeCell ref="T103:W103"/>
    <mergeCell ref="X103:Z103"/>
    <mergeCell ref="AA103:AH103"/>
    <mergeCell ref="AI103:AQ103"/>
    <mergeCell ref="AU103:AX103"/>
    <mergeCell ref="AY105:BB105"/>
    <mergeCell ref="BC105:BJ105"/>
    <mergeCell ref="B106:C106"/>
    <mergeCell ref="D106:J106"/>
    <mergeCell ref="K106:M106"/>
    <mergeCell ref="P106:S106"/>
    <mergeCell ref="T106:W106"/>
    <mergeCell ref="X106:Z106"/>
    <mergeCell ref="AA106:AH106"/>
    <mergeCell ref="AI106:AQ106"/>
    <mergeCell ref="AU106:AX106"/>
    <mergeCell ref="AY106:BB106"/>
    <mergeCell ref="BC106:BJ106"/>
    <mergeCell ref="B105:C105"/>
    <mergeCell ref="D105:J105"/>
    <mergeCell ref="K105:M105"/>
    <mergeCell ref="P105:S105"/>
    <mergeCell ref="T105:W105"/>
    <mergeCell ref="X105:Z105"/>
    <mergeCell ref="AA105:AH105"/>
    <mergeCell ref="AI105:AQ105"/>
    <mergeCell ref="AU105:AX105"/>
    <mergeCell ref="AY107:BB107"/>
    <mergeCell ref="BC107:BJ107"/>
    <mergeCell ref="B108:C108"/>
    <mergeCell ref="D108:J108"/>
    <mergeCell ref="K108:M108"/>
    <mergeCell ref="P108:S108"/>
    <mergeCell ref="T108:W108"/>
    <mergeCell ref="X108:Z108"/>
    <mergeCell ref="AA108:AH108"/>
    <mergeCell ref="AI108:AQ108"/>
    <mergeCell ref="AU108:AX108"/>
    <mergeCell ref="AY108:BB108"/>
    <mergeCell ref="BC108:BJ108"/>
    <mergeCell ref="B107:C107"/>
    <mergeCell ref="D107:J107"/>
    <mergeCell ref="K107:M107"/>
    <mergeCell ref="P107:S107"/>
    <mergeCell ref="T107:W107"/>
    <mergeCell ref="X107:Z107"/>
    <mergeCell ref="AA107:AH107"/>
    <mergeCell ref="AI107:AQ107"/>
    <mergeCell ref="AU107:AX107"/>
    <mergeCell ref="AY109:BB109"/>
    <mergeCell ref="BC109:BJ109"/>
    <mergeCell ref="B110:C110"/>
    <mergeCell ref="D110:J110"/>
    <mergeCell ref="K110:M110"/>
    <mergeCell ref="P110:S110"/>
    <mergeCell ref="T110:W110"/>
    <mergeCell ref="X110:Z110"/>
    <mergeCell ref="AA110:AH110"/>
    <mergeCell ref="AI110:AQ110"/>
    <mergeCell ref="AU110:AX110"/>
    <mergeCell ref="AY110:BB110"/>
    <mergeCell ref="BC110:BJ110"/>
    <mergeCell ref="B109:C109"/>
    <mergeCell ref="D109:J109"/>
    <mergeCell ref="K109:M109"/>
    <mergeCell ref="P109:S109"/>
    <mergeCell ref="T109:W109"/>
    <mergeCell ref="X109:Z109"/>
    <mergeCell ref="AA109:AH109"/>
    <mergeCell ref="AI109:AQ109"/>
    <mergeCell ref="AU109:AX109"/>
    <mergeCell ref="AY111:BB111"/>
    <mergeCell ref="BC111:BJ111"/>
    <mergeCell ref="B112:C112"/>
    <mergeCell ref="D112:J112"/>
    <mergeCell ref="K112:M112"/>
    <mergeCell ref="P112:S112"/>
    <mergeCell ref="T112:W112"/>
    <mergeCell ref="X112:Z112"/>
    <mergeCell ref="AA112:AH112"/>
    <mergeCell ref="AI112:AQ112"/>
    <mergeCell ref="AU112:AX112"/>
    <mergeCell ref="AY112:BB112"/>
    <mergeCell ref="BC112:BJ112"/>
    <mergeCell ref="B111:C111"/>
    <mergeCell ref="D111:J111"/>
    <mergeCell ref="K111:M111"/>
    <mergeCell ref="P111:S111"/>
    <mergeCell ref="T111:W111"/>
    <mergeCell ref="X111:Z111"/>
    <mergeCell ref="AA111:AH111"/>
    <mergeCell ref="AI111:AQ111"/>
    <mergeCell ref="AU111:AX111"/>
    <mergeCell ref="AY113:BB113"/>
    <mergeCell ref="BC113:BJ113"/>
    <mergeCell ref="B115:C115"/>
    <mergeCell ref="D115:J115"/>
    <mergeCell ref="K115:M115"/>
    <mergeCell ref="P115:S115"/>
    <mergeCell ref="T115:W115"/>
    <mergeCell ref="X115:Z115"/>
    <mergeCell ref="AA115:AH115"/>
    <mergeCell ref="AI115:AQ115"/>
    <mergeCell ref="AU115:AX115"/>
    <mergeCell ref="AY115:BB115"/>
    <mergeCell ref="BC115:BJ115"/>
    <mergeCell ref="B113:C113"/>
    <mergeCell ref="D113:J113"/>
    <mergeCell ref="K113:M113"/>
    <mergeCell ref="P113:S113"/>
    <mergeCell ref="T113:W113"/>
    <mergeCell ref="X113:Z113"/>
    <mergeCell ref="AA113:AH113"/>
    <mergeCell ref="AI113:AQ113"/>
    <mergeCell ref="AU113:AX113"/>
    <mergeCell ref="B114:C114"/>
    <mergeCell ref="D114:J114"/>
    <mergeCell ref="K114:M114"/>
    <mergeCell ref="P114:S114"/>
    <mergeCell ref="T114:W114"/>
    <mergeCell ref="X114:Z114"/>
    <mergeCell ref="AA114:AH114"/>
    <mergeCell ref="AI114:AQ114"/>
    <mergeCell ref="AU114:AX114"/>
    <mergeCell ref="AY114:BB114"/>
    <mergeCell ref="BC114:BJ114"/>
  </mergeCells>
  <dataValidations count="2">
    <dataValidation type="list" allowBlank="1" showInputMessage="1" showErrorMessage="1" sqref="AR51:AS51 AR93 AR95 O45:O51 AR47 AR49:AS49 AS95:AS115 AR99:AR115 O91:O115" xr:uid="{00000000-0002-0000-0200-000000000000}">
      <formula1>"－,●"</formula1>
    </dataValidation>
    <dataValidation type="list" allowBlank="1" showInputMessage="1" showErrorMessage="1" sqref="N45:N51 N91:N115" xr:uid="{00000000-0002-0000-0200-000001000000}">
      <formula1>"ー,I,O,I/O"</formula1>
    </dataValidation>
  </dataValidations>
  <pageMargins left="0.7" right="0.7" top="0.75" bottom="0.75" header="0.3" footer="0.3"/>
  <pageSetup scale="3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0B5A-4233-4518-893D-F07F67033A7A}">
  <sheetPr>
    <pageSetUpPr fitToPage="1"/>
  </sheetPr>
  <dimension ref="A1:BK352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1"/>
  </cols>
  <sheetData>
    <row r="1" spans="1:63" ht="24.9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2"/>
      <c r="K1" s="180" t="s">
        <v>2</v>
      </c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2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0" t="s">
        <v>3</v>
      </c>
      <c r="AQ1" s="9"/>
      <c r="AR1" s="9"/>
      <c r="AS1" s="8"/>
      <c r="AT1" s="10" t="s">
        <v>4</v>
      </c>
      <c r="AU1" s="9"/>
      <c r="AV1" s="9"/>
      <c r="AW1" s="9"/>
      <c r="AX1" s="8"/>
      <c r="AY1" s="10" t="s">
        <v>5</v>
      </c>
      <c r="AZ1" s="9"/>
      <c r="BA1" s="9"/>
      <c r="BB1" s="8"/>
      <c r="BC1" s="10" t="s">
        <v>6</v>
      </c>
      <c r="BD1" s="9"/>
      <c r="BE1" s="9"/>
      <c r="BF1" s="9"/>
      <c r="BG1" s="8"/>
      <c r="BH1" s="10" t="s">
        <v>7</v>
      </c>
      <c r="BI1" s="9"/>
      <c r="BJ1" s="9"/>
      <c r="BK1" s="8"/>
    </row>
    <row r="2" spans="1:63" ht="15" customHeight="1" x14ac:dyDescent="0.25">
      <c r="A2" s="190" t="str">
        <f>IF(表紙!A2="","",表紙!A2)</f>
        <v>POSサーバー</v>
      </c>
      <c r="B2" s="191"/>
      <c r="C2" s="191"/>
      <c r="D2" s="191"/>
      <c r="E2" s="191"/>
      <c r="F2" s="191"/>
      <c r="G2" s="191"/>
      <c r="H2" s="191"/>
      <c r="I2" s="191"/>
      <c r="J2" s="192"/>
      <c r="K2" s="190" t="str">
        <f>IF(表紙!K2="","",表紙!K2)</f>
        <v>POSサーバ</v>
      </c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2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7" t="str">
        <f>IF(表紙!AP2="","",表紙!AP2)</f>
        <v>DuNT</v>
      </c>
      <c r="AQ2" s="6"/>
      <c r="AR2" s="6"/>
      <c r="AS2" s="5"/>
      <c r="AT2" s="32">
        <f>IF(表紙!AT2="","",表紙!AT2)</f>
        <v>45636</v>
      </c>
      <c r="AU2" s="33"/>
      <c r="AV2" s="33"/>
      <c r="AW2" s="33"/>
      <c r="AX2" s="34"/>
      <c r="AY2" s="7" t="str">
        <f>IF(表紙!AY2="","",表紙!AY2)</f>
        <v>DuNT</v>
      </c>
      <c r="AZ2" s="6"/>
      <c r="BA2" s="6"/>
      <c r="BB2" s="5"/>
      <c r="BC2" s="32">
        <f>IF(表紙!BC2="","",表紙!BC2)</f>
        <v>45636</v>
      </c>
      <c r="BD2" s="33"/>
      <c r="BE2" s="33"/>
      <c r="BF2" s="33"/>
      <c r="BG2" s="34"/>
      <c r="BH2" s="7">
        <f>IF(表紙!BH2="","",表紙!BH2)</f>
        <v>0.1</v>
      </c>
      <c r="BI2" s="6"/>
      <c r="BJ2" s="6"/>
      <c r="BK2" s="5"/>
    </row>
    <row r="3" spans="1:63" ht="15" customHeight="1" x14ac:dyDescent="0.25">
      <c r="A3" s="193"/>
      <c r="B3" s="194"/>
      <c r="C3" s="194"/>
      <c r="D3" s="194"/>
      <c r="E3" s="194"/>
      <c r="F3" s="194"/>
      <c r="G3" s="194"/>
      <c r="H3" s="194"/>
      <c r="I3" s="194"/>
      <c r="J3" s="195"/>
      <c r="K3" s="193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5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4"/>
      <c r="AQ3" s="3"/>
      <c r="AR3" s="3"/>
      <c r="AS3" s="2"/>
      <c r="AT3" s="35"/>
      <c r="AU3" s="36"/>
      <c r="AV3" s="36"/>
      <c r="AW3" s="36"/>
      <c r="AX3" s="37"/>
      <c r="AY3" s="4"/>
      <c r="AZ3" s="3"/>
      <c r="BA3" s="3"/>
      <c r="BB3" s="2"/>
      <c r="BC3" s="35"/>
      <c r="BD3" s="36"/>
      <c r="BE3" s="36"/>
      <c r="BF3" s="36"/>
      <c r="BG3" s="37"/>
      <c r="BH3" s="4"/>
      <c r="BI3" s="3"/>
      <c r="BJ3" s="3"/>
      <c r="BK3" s="2"/>
    </row>
    <row r="4" spans="1:63" ht="24.95" customHeight="1" x14ac:dyDescent="0.25">
      <c r="A4" s="180" t="s">
        <v>1</v>
      </c>
      <c r="B4" s="181"/>
      <c r="C4" s="181"/>
      <c r="D4" s="181"/>
      <c r="E4" s="181"/>
      <c r="F4" s="181"/>
      <c r="G4" s="182"/>
      <c r="H4" s="183" t="str">
        <f>IF(表紙!H4="","",表紙!H4)</f>
        <v xml:space="preserve">31_レジ別速報・日報 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80" t="s">
        <v>8</v>
      </c>
      <c r="V4" s="181"/>
      <c r="W4" s="181"/>
      <c r="X4" s="181"/>
      <c r="Y4" s="182"/>
      <c r="Z4" s="186" t="str">
        <f>IF(表紙!Z4="","",表紙!Z4)</f>
        <v>画面設計書</v>
      </c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8"/>
      <c r="AP4" s="189" t="str">
        <f ca="1">MID(CELL("filename",A1),FIND("]",CELL("filename",A1))+1,255)</f>
        <v>SC3102</v>
      </c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8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5"/>
      <c r="BK6" s="16"/>
    </row>
    <row r="7" spans="1:63" ht="15" customHeight="1" x14ac:dyDescent="0.25">
      <c r="A7" s="15"/>
      <c r="B7" s="27" t="s">
        <v>131</v>
      </c>
      <c r="C7" s="28"/>
      <c r="D7" s="28"/>
      <c r="E7" s="28"/>
      <c r="F7" s="28"/>
      <c r="G7" s="28"/>
      <c r="H7" s="28"/>
      <c r="I7" s="28"/>
      <c r="J7" s="28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7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30"/>
    </row>
    <row r="8" spans="1:63" ht="15" customHeight="1" x14ac:dyDescent="0.25">
      <c r="A8" s="15"/>
      <c r="BK8" s="16"/>
    </row>
    <row r="9" spans="1:63" ht="15" customHeight="1" x14ac:dyDescent="0.25">
      <c r="A9" s="15"/>
      <c r="BK9" s="16"/>
    </row>
    <row r="10" spans="1:63" ht="15" customHeight="1" x14ac:dyDescent="0.25">
      <c r="A10" s="15"/>
      <c r="BK10" s="16"/>
    </row>
    <row r="11" spans="1:63" ht="15" customHeight="1" x14ac:dyDescent="0.25">
      <c r="A11" s="15"/>
      <c r="BK11" s="16"/>
    </row>
    <row r="12" spans="1:63" ht="15" customHeight="1" x14ac:dyDescent="0.25">
      <c r="A12" s="15"/>
      <c r="BK12" s="16"/>
    </row>
    <row r="13" spans="1:63" ht="15" customHeight="1" x14ac:dyDescent="0.25">
      <c r="A13" s="15"/>
      <c r="BK13" s="16"/>
    </row>
    <row r="14" spans="1:63" ht="15" customHeight="1" x14ac:dyDescent="0.25">
      <c r="A14" s="15"/>
      <c r="BK14" s="16"/>
    </row>
    <row r="15" spans="1:63" ht="15" customHeight="1" x14ac:dyDescent="0.25">
      <c r="A15" s="15"/>
      <c r="BK15" s="16"/>
    </row>
    <row r="16" spans="1:63" ht="15" customHeight="1" x14ac:dyDescent="0.25">
      <c r="A16" s="15"/>
      <c r="BK16" s="16"/>
    </row>
    <row r="17" spans="1:63" ht="15" customHeight="1" x14ac:dyDescent="0.25">
      <c r="A17" s="15"/>
      <c r="BK17" s="16"/>
    </row>
    <row r="18" spans="1:63" ht="15" customHeight="1" x14ac:dyDescent="0.25">
      <c r="A18" s="15"/>
      <c r="BK18" s="16"/>
    </row>
    <row r="19" spans="1:63" ht="15" customHeight="1" x14ac:dyDescent="0.25">
      <c r="A19" s="15"/>
      <c r="BK19" s="16"/>
    </row>
    <row r="20" spans="1:63" ht="15" customHeight="1" x14ac:dyDescent="0.25">
      <c r="A20" s="15"/>
      <c r="BK20" s="16"/>
    </row>
    <row r="21" spans="1:63" ht="15" customHeight="1" x14ac:dyDescent="0.25">
      <c r="A21" s="15"/>
      <c r="AX21" s="11" t="s">
        <v>41</v>
      </c>
      <c r="BK21" s="16"/>
    </row>
    <row r="22" spans="1:63" ht="15" customHeight="1" x14ac:dyDescent="0.25">
      <c r="A22" s="15"/>
      <c r="BK22" s="16"/>
    </row>
    <row r="23" spans="1:63" ht="15" customHeight="1" x14ac:dyDescent="0.25">
      <c r="A23" s="15"/>
      <c r="AX23" s="11" t="s">
        <v>55</v>
      </c>
      <c r="BK23" s="16"/>
    </row>
    <row r="24" spans="1:63" ht="15" customHeight="1" x14ac:dyDescent="0.25">
      <c r="A24" s="15"/>
      <c r="BK24" s="16"/>
    </row>
    <row r="25" spans="1:63" ht="15" customHeight="1" x14ac:dyDescent="0.25">
      <c r="A25" s="15"/>
      <c r="BK25" s="16"/>
    </row>
    <row r="26" spans="1:63" ht="15" customHeight="1" x14ac:dyDescent="0.25">
      <c r="A26" s="15"/>
      <c r="BK26" s="16"/>
    </row>
    <row r="27" spans="1:63" ht="15" customHeight="1" x14ac:dyDescent="0.25">
      <c r="A27" s="15"/>
      <c r="BK27" s="16"/>
    </row>
    <row r="28" spans="1:63" ht="15" customHeight="1" x14ac:dyDescent="0.25">
      <c r="A28" s="15"/>
      <c r="BK28" s="16"/>
    </row>
    <row r="29" spans="1:63" ht="15" customHeight="1" x14ac:dyDescent="0.25">
      <c r="A29" s="15"/>
      <c r="BK29" s="16"/>
    </row>
    <row r="30" spans="1:63" ht="15" customHeight="1" x14ac:dyDescent="0.25">
      <c r="A30" s="15"/>
      <c r="BK30" s="16"/>
    </row>
    <row r="31" spans="1:63" ht="15" customHeight="1" x14ac:dyDescent="0.25">
      <c r="A31" s="15"/>
      <c r="BK31" s="16"/>
    </row>
    <row r="32" spans="1:63" ht="15" customHeight="1" x14ac:dyDescent="0.25">
      <c r="A32" s="15"/>
      <c r="BK32" s="16"/>
    </row>
    <row r="33" spans="1:63" ht="15" customHeight="1" x14ac:dyDescent="0.25">
      <c r="A33" s="15"/>
      <c r="BK33" s="16"/>
    </row>
    <row r="34" spans="1:63" x14ac:dyDescent="0.25">
      <c r="A34" s="15"/>
      <c r="BK34" s="16"/>
    </row>
    <row r="35" spans="1:63" x14ac:dyDescent="0.25">
      <c r="A35" s="15"/>
      <c r="BK35" s="16"/>
    </row>
    <row r="36" spans="1:63" x14ac:dyDescent="0.25">
      <c r="A36" s="15"/>
      <c r="BK36" s="16"/>
    </row>
    <row r="37" spans="1:63" x14ac:dyDescent="0.25">
      <c r="A37" s="15"/>
      <c r="BK37" s="16"/>
    </row>
    <row r="38" spans="1:63" x14ac:dyDescent="0.25">
      <c r="A38" s="15"/>
      <c r="BK38" s="16"/>
    </row>
    <row r="39" spans="1:63" x14ac:dyDescent="0.25">
      <c r="A39" s="15"/>
      <c r="BK39" s="16"/>
    </row>
    <row r="40" spans="1:63" x14ac:dyDescent="0.25">
      <c r="A40" s="15"/>
      <c r="BK40" s="16"/>
    </row>
    <row r="41" spans="1:63" x14ac:dyDescent="0.25">
      <c r="A41" s="15"/>
      <c r="BK41" s="16"/>
    </row>
    <row r="42" spans="1:63" x14ac:dyDescent="0.25">
      <c r="A42" s="15"/>
      <c r="BK42" s="16"/>
    </row>
    <row r="43" spans="1:63" ht="15" customHeight="1" x14ac:dyDescent="0.25">
      <c r="A43" s="15"/>
      <c r="B43" s="17" t="s">
        <v>228</v>
      </c>
      <c r="BK43" s="16"/>
    </row>
    <row r="44" spans="1:63" x14ac:dyDescent="0.25">
      <c r="A44" s="15"/>
      <c r="BK44" s="16"/>
    </row>
    <row r="45" spans="1:63" ht="15.75" customHeight="1" x14ac:dyDescent="0.25">
      <c r="A45" s="15"/>
      <c r="B45" s="126" t="s">
        <v>229</v>
      </c>
      <c r="C45" s="127"/>
      <c r="D45" s="132" t="s">
        <v>230</v>
      </c>
      <c r="E45" s="133"/>
      <c r="F45" s="133"/>
      <c r="G45" s="133"/>
      <c r="H45" s="133"/>
      <c r="I45" s="133"/>
      <c r="J45" s="127"/>
      <c r="K45" s="132" t="s">
        <v>239</v>
      </c>
      <c r="L45" s="133"/>
      <c r="M45" s="127"/>
      <c r="N45" s="136" t="s">
        <v>243</v>
      </c>
      <c r="O45" s="139" t="s">
        <v>246</v>
      </c>
      <c r="P45" s="142" t="s">
        <v>247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4"/>
      <c r="AR45" s="145" t="s">
        <v>262</v>
      </c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  <c r="BC45" s="148" t="s">
        <v>266</v>
      </c>
      <c r="BD45" s="149"/>
      <c r="BE45" s="149"/>
      <c r="BF45" s="149"/>
      <c r="BG45" s="149"/>
      <c r="BH45" s="149"/>
      <c r="BI45" s="149"/>
      <c r="BJ45" s="150"/>
      <c r="BK45" s="16"/>
    </row>
    <row r="46" spans="1:63" ht="15.75" customHeight="1" x14ac:dyDescent="0.25">
      <c r="A46" s="15"/>
      <c r="B46" s="128"/>
      <c r="C46" s="129"/>
      <c r="D46" s="128"/>
      <c r="E46" s="134"/>
      <c r="F46" s="134"/>
      <c r="G46" s="134"/>
      <c r="H46" s="134"/>
      <c r="I46" s="134"/>
      <c r="J46" s="129"/>
      <c r="K46" s="128"/>
      <c r="L46" s="134"/>
      <c r="M46" s="129"/>
      <c r="N46" s="137"/>
      <c r="O46" s="140"/>
      <c r="P46" s="157" t="s">
        <v>248</v>
      </c>
      <c r="Q46" s="158"/>
      <c r="R46" s="158"/>
      <c r="S46" s="158"/>
      <c r="T46" s="158"/>
      <c r="U46" s="158"/>
      <c r="V46" s="158"/>
      <c r="W46" s="159"/>
      <c r="X46" s="160" t="s">
        <v>250</v>
      </c>
      <c r="Y46" s="161"/>
      <c r="Z46" s="162"/>
      <c r="AA46" s="160" t="s">
        <v>258</v>
      </c>
      <c r="AB46" s="161"/>
      <c r="AC46" s="161"/>
      <c r="AD46" s="161"/>
      <c r="AE46" s="161"/>
      <c r="AF46" s="161"/>
      <c r="AG46" s="161"/>
      <c r="AH46" s="162"/>
      <c r="AI46" s="160" t="s">
        <v>260</v>
      </c>
      <c r="AJ46" s="161"/>
      <c r="AK46" s="161"/>
      <c r="AL46" s="161"/>
      <c r="AM46" s="161"/>
      <c r="AN46" s="161"/>
      <c r="AO46" s="161"/>
      <c r="AP46" s="161"/>
      <c r="AQ46" s="162"/>
      <c r="AR46" s="166" t="s">
        <v>263</v>
      </c>
      <c r="AS46" s="168" t="s">
        <v>264</v>
      </c>
      <c r="AT46" s="170" t="s">
        <v>265</v>
      </c>
      <c r="AU46" s="145" t="s">
        <v>248</v>
      </c>
      <c r="AV46" s="146"/>
      <c r="AW46" s="146"/>
      <c r="AX46" s="146"/>
      <c r="AY46" s="146"/>
      <c r="AZ46" s="146"/>
      <c r="BA46" s="146"/>
      <c r="BB46" s="147"/>
      <c r="BC46" s="151"/>
      <c r="BD46" s="152"/>
      <c r="BE46" s="152"/>
      <c r="BF46" s="152"/>
      <c r="BG46" s="152"/>
      <c r="BH46" s="152"/>
      <c r="BI46" s="152"/>
      <c r="BJ46" s="153"/>
      <c r="BK46" s="16"/>
    </row>
    <row r="47" spans="1:63" x14ac:dyDescent="0.25">
      <c r="A47" s="15"/>
      <c r="B47" s="130"/>
      <c r="C47" s="131"/>
      <c r="D47" s="130"/>
      <c r="E47" s="135"/>
      <c r="F47" s="135"/>
      <c r="G47" s="135"/>
      <c r="H47" s="135"/>
      <c r="I47" s="135"/>
      <c r="J47" s="131"/>
      <c r="K47" s="130"/>
      <c r="L47" s="135"/>
      <c r="M47" s="131"/>
      <c r="N47" s="138"/>
      <c r="O47" s="141"/>
      <c r="P47" s="142" t="s">
        <v>249</v>
      </c>
      <c r="Q47" s="143"/>
      <c r="R47" s="143"/>
      <c r="S47" s="144"/>
      <c r="T47" s="142" t="s">
        <v>230</v>
      </c>
      <c r="U47" s="143"/>
      <c r="V47" s="143"/>
      <c r="W47" s="144"/>
      <c r="X47" s="163"/>
      <c r="Y47" s="164"/>
      <c r="Z47" s="165"/>
      <c r="AA47" s="163"/>
      <c r="AB47" s="164"/>
      <c r="AC47" s="164"/>
      <c r="AD47" s="164"/>
      <c r="AE47" s="164"/>
      <c r="AF47" s="164"/>
      <c r="AG47" s="164"/>
      <c r="AH47" s="165"/>
      <c r="AI47" s="163"/>
      <c r="AJ47" s="164"/>
      <c r="AK47" s="164"/>
      <c r="AL47" s="164"/>
      <c r="AM47" s="164"/>
      <c r="AN47" s="164"/>
      <c r="AO47" s="164"/>
      <c r="AP47" s="164"/>
      <c r="AQ47" s="165"/>
      <c r="AR47" s="167"/>
      <c r="AS47" s="169"/>
      <c r="AT47" s="171"/>
      <c r="AU47" s="145" t="s">
        <v>249</v>
      </c>
      <c r="AV47" s="146"/>
      <c r="AW47" s="146"/>
      <c r="AX47" s="172"/>
      <c r="AY47" s="173" t="s">
        <v>230</v>
      </c>
      <c r="AZ47" s="146"/>
      <c r="BA47" s="146"/>
      <c r="BB47" s="147"/>
      <c r="BC47" s="154"/>
      <c r="BD47" s="155"/>
      <c r="BE47" s="155"/>
      <c r="BF47" s="155"/>
      <c r="BG47" s="155"/>
      <c r="BH47" s="155"/>
      <c r="BI47" s="155"/>
      <c r="BJ47" s="156"/>
      <c r="BK47" s="16"/>
    </row>
    <row r="48" spans="1:63" ht="15.75" customHeight="1" x14ac:dyDescent="0.25">
      <c r="A48" s="15"/>
      <c r="B48" s="109">
        <v>0</v>
      </c>
      <c r="C48" s="111"/>
      <c r="D48" s="174" t="s">
        <v>34</v>
      </c>
      <c r="E48" s="175"/>
      <c r="F48" s="175"/>
      <c r="G48" s="175"/>
      <c r="H48" s="175"/>
      <c r="I48" s="175"/>
      <c r="J48" s="176"/>
      <c r="K48" s="90" t="s">
        <v>240</v>
      </c>
      <c r="L48" s="39"/>
      <c r="M48" s="40"/>
      <c r="N48" s="18" t="s">
        <v>28</v>
      </c>
      <c r="O48" s="19" t="s">
        <v>29</v>
      </c>
      <c r="P48" s="119" t="s">
        <v>28</v>
      </c>
      <c r="Q48" s="110"/>
      <c r="R48" s="110"/>
      <c r="S48" s="111"/>
      <c r="T48" s="119" t="s">
        <v>28</v>
      </c>
      <c r="U48" s="110"/>
      <c r="V48" s="110"/>
      <c r="W48" s="111"/>
      <c r="X48" s="177" t="s">
        <v>83</v>
      </c>
      <c r="Y48" s="178"/>
      <c r="Z48" s="179"/>
      <c r="AA48" s="109" t="s">
        <v>259</v>
      </c>
      <c r="AB48" s="110"/>
      <c r="AC48" s="110"/>
      <c r="AD48" s="110"/>
      <c r="AE48" s="110"/>
      <c r="AF48" s="110"/>
      <c r="AG48" s="110"/>
      <c r="AH48" s="111"/>
      <c r="AI48" s="123" t="s">
        <v>28</v>
      </c>
      <c r="AJ48" s="124"/>
      <c r="AK48" s="124"/>
      <c r="AL48" s="124"/>
      <c r="AM48" s="124"/>
      <c r="AN48" s="124"/>
      <c r="AO48" s="124"/>
      <c r="AP48" s="124"/>
      <c r="AQ48" s="125"/>
      <c r="AR48" s="20" t="s">
        <v>28</v>
      </c>
      <c r="AS48" s="20" t="s">
        <v>259</v>
      </c>
      <c r="AT48" s="20" t="s">
        <v>259</v>
      </c>
      <c r="AU48" s="109" t="s">
        <v>31</v>
      </c>
      <c r="AV48" s="110"/>
      <c r="AW48" s="110"/>
      <c r="AX48" s="111"/>
      <c r="AY48" s="109" t="s">
        <v>259</v>
      </c>
      <c r="AZ48" s="110"/>
      <c r="BA48" s="110"/>
      <c r="BB48" s="111"/>
      <c r="BC48" s="112" t="s">
        <v>94</v>
      </c>
      <c r="BD48" s="113"/>
      <c r="BE48" s="113"/>
      <c r="BF48" s="113"/>
      <c r="BG48" s="113"/>
      <c r="BH48" s="113"/>
      <c r="BI48" s="113"/>
      <c r="BJ48" s="114"/>
      <c r="BK48" s="16"/>
    </row>
    <row r="49" spans="1:63" x14ac:dyDescent="0.25">
      <c r="A49" s="15"/>
      <c r="B49" s="240" t="s">
        <v>129</v>
      </c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1"/>
      <c r="AR49" s="241"/>
      <c r="AS49" s="241"/>
      <c r="AT49" s="241"/>
      <c r="AU49" s="241"/>
      <c r="AV49" s="241"/>
      <c r="AW49" s="241"/>
      <c r="AX49" s="241"/>
      <c r="AY49" s="241"/>
      <c r="AZ49" s="241"/>
      <c r="BA49" s="241"/>
      <c r="BB49" s="241"/>
      <c r="BC49" s="241"/>
      <c r="BD49" s="241"/>
      <c r="BE49" s="241"/>
      <c r="BF49" s="241"/>
      <c r="BG49" s="241"/>
      <c r="BH49" s="241"/>
      <c r="BI49" s="241"/>
      <c r="BJ49" s="242"/>
      <c r="BK49" s="16"/>
    </row>
    <row r="50" spans="1:63" ht="15.75" customHeight="1" x14ac:dyDescent="0.25">
      <c r="A50" s="15"/>
      <c r="B50" s="47">
        <f>B48+1</f>
        <v>1</v>
      </c>
      <c r="C50" s="49"/>
      <c r="D50" s="93" t="s">
        <v>42</v>
      </c>
      <c r="E50" s="94"/>
      <c r="F50" s="94"/>
      <c r="G50" s="94"/>
      <c r="H50" s="94"/>
      <c r="I50" s="94"/>
      <c r="J50" s="95"/>
      <c r="K50" s="90" t="s">
        <v>240</v>
      </c>
      <c r="L50" s="39"/>
      <c r="M50" s="40"/>
      <c r="N50" s="25" t="s">
        <v>28</v>
      </c>
      <c r="O50" s="19" t="s">
        <v>29</v>
      </c>
      <c r="P50" s="47" t="s">
        <v>31</v>
      </c>
      <c r="Q50" s="48"/>
      <c r="R50" s="48"/>
      <c r="S50" s="49"/>
      <c r="T50" s="47" t="s">
        <v>31</v>
      </c>
      <c r="U50" s="48"/>
      <c r="V50" s="48"/>
      <c r="W50" s="49"/>
      <c r="X50" s="115" t="s">
        <v>90</v>
      </c>
      <c r="Y50" s="116"/>
      <c r="Z50" s="117"/>
      <c r="AA50" s="47" t="s">
        <v>259</v>
      </c>
      <c r="AB50" s="48"/>
      <c r="AC50" s="48"/>
      <c r="AD50" s="48"/>
      <c r="AE50" s="48"/>
      <c r="AF50" s="48"/>
      <c r="AG50" s="48"/>
      <c r="AH50" s="49"/>
      <c r="AI50" s="50" t="s">
        <v>259</v>
      </c>
      <c r="AJ50" s="51"/>
      <c r="AK50" s="51"/>
      <c r="AL50" s="51"/>
      <c r="AM50" s="51"/>
      <c r="AN50" s="51"/>
      <c r="AO50" s="51"/>
      <c r="AP50" s="51"/>
      <c r="AQ50" s="52"/>
      <c r="AR50" s="21" t="s">
        <v>28</v>
      </c>
      <c r="AS50" s="21" t="s">
        <v>259</v>
      </c>
      <c r="AT50" s="21" t="s">
        <v>259</v>
      </c>
      <c r="AU50" s="47" t="s">
        <v>31</v>
      </c>
      <c r="AV50" s="48"/>
      <c r="AW50" s="48"/>
      <c r="AX50" s="49"/>
      <c r="AY50" s="47" t="s">
        <v>259</v>
      </c>
      <c r="AZ50" s="48"/>
      <c r="BA50" s="48"/>
      <c r="BB50" s="49"/>
      <c r="BC50" s="118"/>
      <c r="BD50" s="54"/>
      <c r="BE50" s="54"/>
      <c r="BF50" s="54"/>
      <c r="BG50" s="54"/>
      <c r="BH50" s="54"/>
      <c r="BI50" s="54"/>
      <c r="BJ50" s="55"/>
      <c r="BK50" s="16"/>
    </row>
    <row r="51" spans="1:63" ht="69" customHeight="1" x14ac:dyDescent="0.25">
      <c r="A51" s="15"/>
      <c r="B51" s="47">
        <f t="shared" ref="B51:B52" si="0">B50+1</f>
        <v>2</v>
      </c>
      <c r="C51" s="49"/>
      <c r="D51" s="97" t="s">
        <v>43</v>
      </c>
      <c r="E51" s="98"/>
      <c r="F51" s="98"/>
      <c r="G51" s="98"/>
      <c r="H51" s="98"/>
      <c r="I51" s="98"/>
      <c r="J51" s="99"/>
      <c r="K51" s="38" t="s">
        <v>44</v>
      </c>
      <c r="L51" s="39"/>
      <c r="M51" s="40"/>
      <c r="N51" s="19" t="s">
        <v>244</v>
      </c>
      <c r="O51" s="19" t="s">
        <v>29</v>
      </c>
      <c r="P51" s="47" t="s">
        <v>28</v>
      </c>
      <c r="Q51" s="48"/>
      <c r="R51" s="48"/>
      <c r="S51" s="49"/>
      <c r="T51" s="47" t="s">
        <v>28</v>
      </c>
      <c r="U51" s="48"/>
      <c r="V51" s="48"/>
      <c r="W51" s="49"/>
      <c r="X51" s="44" t="s">
        <v>48</v>
      </c>
      <c r="Y51" s="91"/>
      <c r="Z51" s="92"/>
      <c r="AA51" s="205" t="s">
        <v>84</v>
      </c>
      <c r="AB51" s="206"/>
      <c r="AC51" s="206"/>
      <c r="AD51" s="206"/>
      <c r="AE51" s="206"/>
      <c r="AF51" s="206"/>
      <c r="AG51" s="206"/>
      <c r="AH51" s="207"/>
      <c r="AI51" s="208" t="s">
        <v>261</v>
      </c>
      <c r="AJ51" s="209"/>
      <c r="AK51" s="209"/>
      <c r="AL51" s="209"/>
      <c r="AM51" s="209"/>
      <c r="AN51" s="209"/>
      <c r="AO51" s="209"/>
      <c r="AP51" s="209"/>
      <c r="AQ51" s="210"/>
      <c r="AR51" s="19" t="s">
        <v>29</v>
      </c>
      <c r="AS51" s="21" t="s">
        <v>259</v>
      </c>
      <c r="AT51" s="21" t="s">
        <v>259</v>
      </c>
      <c r="AU51" s="100" t="s">
        <v>31</v>
      </c>
      <c r="AV51" s="42"/>
      <c r="AW51" s="42"/>
      <c r="AX51" s="43"/>
      <c r="AY51" s="100" t="s">
        <v>259</v>
      </c>
      <c r="AZ51" s="42"/>
      <c r="BA51" s="42"/>
      <c r="BB51" s="43"/>
      <c r="BC51" s="53"/>
      <c r="BD51" s="101"/>
      <c r="BE51" s="101"/>
      <c r="BF51" s="101"/>
      <c r="BG51" s="101"/>
      <c r="BH51" s="101"/>
      <c r="BI51" s="101"/>
      <c r="BJ51" s="102"/>
      <c r="BK51" s="16"/>
    </row>
    <row r="52" spans="1:63" ht="98.25" customHeight="1" x14ac:dyDescent="0.25">
      <c r="A52" s="15"/>
      <c r="B52" s="47">
        <f t="shared" si="0"/>
        <v>3</v>
      </c>
      <c r="C52" s="49"/>
      <c r="D52" s="103" t="s">
        <v>45</v>
      </c>
      <c r="E52" s="104"/>
      <c r="F52" s="104"/>
      <c r="G52" s="104"/>
      <c r="H52" s="104"/>
      <c r="I52" s="104"/>
      <c r="J52" s="105"/>
      <c r="K52" s="90" t="s">
        <v>240</v>
      </c>
      <c r="L52" s="39"/>
      <c r="M52" s="40"/>
      <c r="N52" s="22" t="s">
        <v>28</v>
      </c>
      <c r="O52" s="19" t="s">
        <v>29</v>
      </c>
      <c r="P52" s="47" t="s">
        <v>31</v>
      </c>
      <c r="Q52" s="48"/>
      <c r="R52" s="48"/>
      <c r="S52" s="49"/>
      <c r="T52" s="47" t="s">
        <v>31</v>
      </c>
      <c r="U52" s="48"/>
      <c r="V52" s="48"/>
      <c r="W52" s="49"/>
      <c r="X52" s="96" t="s">
        <v>91</v>
      </c>
      <c r="Y52" s="48"/>
      <c r="Z52" s="49"/>
      <c r="AA52" s="246" t="s">
        <v>332</v>
      </c>
      <c r="AB52" s="247"/>
      <c r="AC52" s="247"/>
      <c r="AD52" s="247"/>
      <c r="AE52" s="247"/>
      <c r="AF52" s="247"/>
      <c r="AG52" s="247"/>
      <c r="AH52" s="248"/>
      <c r="AI52" s="260" t="s">
        <v>39</v>
      </c>
      <c r="AJ52" s="51"/>
      <c r="AK52" s="51"/>
      <c r="AL52" s="51"/>
      <c r="AM52" s="51"/>
      <c r="AN52" s="51"/>
      <c r="AO52" s="51"/>
      <c r="AP52" s="51"/>
      <c r="AQ52" s="52"/>
      <c r="AR52" s="21" t="s">
        <v>28</v>
      </c>
      <c r="AS52" s="21" t="s">
        <v>39</v>
      </c>
      <c r="AT52" s="21" t="s">
        <v>39</v>
      </c>
      <c r="AU52" s="47" t="s">
        <v>31</v>
      </c>
      <c r="AV52" s="48"/>
      <c r="AW52" s="48"/>
      <c r="AX52" s="49"/>
      <c r="AY52" s="47" t="s">
        <v>39</v>
      </c>
      <c r="AZ52" s="48"/>
      <c r="BA52" s="48"/>
      <c r="BB52" s="49"/>
      <c r="BC52" s="106"/>
      <c r="BD52" s="107"/>
      <c r="BE52" s="107"/>
      <c r="BF52" s="107"/>
      <c r="BG52" s="107"/>
      <c r="BH52" s="107"/>
      <c r="BI52" s="107"/>
      <c r="BJ52" s="108"/>
      <c r="BK52" s="16"/>
    </row>
    <row r="53" spans="1:63" ht="57.75" customHeight="1" x14ac:dyDescent="0.25">
      <c r="A53" s="15"/>
      <c r="B53" s="47">
        <v>4.0999999999999996</v>
      </c>
      <c r="C53" s="49"/>
      <c r="D53" s="97" t="s">
        <v>46</v>
      </c>
      <c r="E53" s="98"/>
      <c r="F53" s="98"/>
      <c r="G53" s="98"/>
      <c r="H53" s="98"/>
      <c r="I53" s="98"/>
      <c r="J53" s="99"/>
      <c r="K53" s="243" t="s">
        <v>47</v>
      </c>
      <c r="L53" s="244"/>
      <c r="M53" s="245"/>
      <c r="N53" s="22" t="s">
        <v>244</v>
      </c>
      <c r="O53" s="19" t="s">
        <v>28</v>
      </c>
      <c r="P53" s="47" t="s">
        <v>31</v>
      </c>
      <c r="Q53" s="48"/>
      <c r="R53" s="48"/>
      <c r="S53" s="49"/>
      <c r="T53" s="47" t="s">
        <v>31</v>
      </c>
      <c r="U53" s="48"/>
      <c r="V53" s="48"/>
      <c r="W53" s="49"/>
      <c r="X53" s="44" t="s">
        <v>50</v>
      </c>
      <c r="Y53" s="91"/>
      <c r="Z53" s="92"/>
      <c r="AA53" s="246" t="s">
        <v>88</v>
      </c>
      <c r="AB53" s="247"/>
      <c r="AC53" s="247"/>
      <c r="AD53" s="247"/>
      <c r="AE53" s="247"/>
      <c r="AF53" s="247"/>
      <c r="AG53" s="247"/>
      <c r="AH53" s="248"/>
      <c r="AI53" s="208" t="s">
        <v>49</v>
      </c>
      <c r="AJ53" s="209"/>
      <c r="AK53" s="209"/>
      <c r="AL53" s="209"/>
      <c r="AM53" s="209"/>
      <c r="AN53" s="209"/>
      <c r="AO53" s="209"/>
      <c r="AP53" s="209"/>
      <c r="AQ53" s="210"/>
      <c r="AR53" s="19" t="s">
        <v>29</v>
      </c>
      <c r="AS53" s="19" t="s">
        <v>28</v>
      </c>
      <c r="AT53" s="21" t="s">
        <v>39</v>
      </c>
      <c r="AU53" s="47" t="s">
        <v>31</v>
      </c>
      <c r="AV53" s="48"/>
      <c r="AW53" s="48"/>
      <c r="AX53" s="49"/>
      <c r="AY53" s="47" t="s">
        <v>39</v>
      </c>
      <c r="AZ53" s="48"/>
      <c r="BA53" s="48"/>
      <c r="BB53" s="49"/>
      <c r="BC53" s="53"/>
      <c r="BD53" s="54"/>
      <c r="BE53" s="54"/>
      <c r="BF53" s="54"/>
      <c r="BG53" s="54"/>
      <c r="BH53" s="54"/>
      <c r="BI53" s="54"/>
      <c r="BJ53" s="55"/>
      <c r="BK53" s="16"/>
    </row>
    <row r="54" spans="1:63" ht="91.5" customHeight="1" x14ac:dyDescent="0.25">
      <c r="A54" s="15"/>
      <c r="B54" s="47">
        <v>4.2</v>
      </c>
      <c r="C54" s="49"/>
      <c r="D54" s="97" t="s">
        <v>85</v>
      </c>
      <c r="E54" s="98"/>
      <c r="F54" s="98"/>
      <c r="G54" s="98"/>
      <c r="H54" s="98"/>
      <c r="I54" s="98"/>
      <c r="J54" s="99"/>
      <c r="K54" s="243" t="s">
        <v>86</v>
      </c>
      <c r="L54" s="244"/>
      <c r="M54" s="245"/>
      <c r="N54" s="22" t="s">
        <v>244</v>
      </c>
      <c r="O54" s="19" t="s">
        <v>28</v>
      </c>
      <c r="P54" s="47" t="s">
        <v>31</v>
      </c>
      <c r="Q54" s="48"/>
      <c r="R54" s="48"/>
      <c r="S54" s="49"/>
      <c r="T54" s="47" t="s">
        <v>31</v>
      </c>
      <c r="U54" s="48"/>
      <c r="V54" s="48"/>
      <c r="W54" s="49"/>
      <c r="X54" s="44" t="s">
        <v>87</v>
      </c>
      <c r="Y54" s="91"/>
      <c r="Z54" s="92"/>
      <c r="AA54" s="246" t="s">
        <v>89</v>
      </c>
      <c r="AB54" s="247"/>
      <c r="AC54" s="247"/>
      <c r="AD54" s="247"/>
      <c r="AE54" s="247"/>
      <c r="AF54" s="247"/>
      <c r="AG54" s="247"/>
      <c r="AH54" s="248"/>
      <c r="AI54" s="208" t="s">
        <v>40</v>
      </c>
      <c r="AJ54" s="209"/>
      <c r="AK54" s="209"/>
      <c r="AL54" s="209"/>
      <c r="AM54" s="209"/>
      <c r="AN54" s="209"/>
      <c r="AO54" s="209"/>
      <c r="AP54" s="209"/>
      <c r="AQ54" s="210"/>
      <c r="AR54" s="19" t="s">
        <v>28</v>
      </c>
      <c r="AS54" s="19" t="s">
        <v>28</v>
      </c>
      <c r="AT54" s="21" t="s">
        <v>39</v>
      </c>
      <c r="AU54" s="47" t="s">
        <v>31</v>
      </c>
      <c r="AV54" s="48"/>
      <c r="AW54" s="48"/>
      <c r="AX54" s="49"/>
      <c r="AY54" s="47" t="s">
        <v>39</v>
      </c>
      <c r="AZ54" s="48"/>
      <c r="BA54" s="48"/>
      <c r="BB54" s="49"/>
      <c r="BC54" s="53"/>
      <c r="BD54" s="54"/>
      <c r="BE54" s="54"/>
      <c r="BF54" s="54"/>
      <c r="BG54" s="54"/>
      <c r="BH54" s="54"/>
      <c r="BI54" s="54"/>
      <c r="BJ54" s="55"/>
      <c r="BK54" s="16"/>
    </row>
    <row r="55" spans="1:63" ht="15.75" customHeight="1" x14ac:dyDescent="0.25">
      <c r="A55" s="15"/>
      <c r="B55" s="47">
        <v>5</v>
      </c>
      <c r="C55" s="49"/>
      <c r="D55" s="103" t="s">
        <v>51</v>
      </c>
      <c r="E55" s="104"/>
      <c r="F55" s="104"/>
      <c r="G55" s="104"/>
      <c r="H55" s="104"/>
      <c r="I55" s="104"/>
      <c r="J55" s="105"/>
      <c r="K55" s="38" t="s">
        <v>240</v>
      </c>
      <c r="L55" s="258"/>
      <c r="M55" s="259"/>
      <c r="N55" s="25" t="s">
        <v>28</v>
      </c>
      <c r="O55" s="19" t="s">
        <v>29</v>
      </c>
      <c r="P55" s="76" t="s">
        <v>28</v>
      </c>
      <c r="Q55" s="86"/>
      <c r="R55" s="86"/>
      <c r="S55" s="77"/>
      <c r="T55" s="76" t="s">
        <v>28</v>
      </c>
      <c r="U55" s="86"/>
      <c r="V55" s="86"/>
      <c r="W55" s="77"/>
      <c r="X55" s="96" t="s">
        <v>92</v>
      </c>
      <c r="Y55" s="255"/>
      <c r="Z55" s="256"/>
      <c r="AA55" s="47" t="s">
        <v>39</v>
      </c>
      <c r="AB55" s="48"/>
      <c r="AC55" s="48"/>
      <c r="AD55" s="48"/>
      <c r="AE55" s="48"/>
      <c r="AF55" s="48"/>
      <c r="AG55" s="48"/>
      <c r="AH55" s="49"/>
      <c r="AI55" s="50" t="s">
        <v>28</v>
      </c>
      <c r="AJ55" s="51"/>
      <c r="AK55" s="51"/>
      <c r="AL55" s="51"/>
      <c r="AM55" s="51"/>
      <c r="AN55" s="51"/>
      <c r="AO55" s="51"/>
      <c r="AP55" s="51"/>
      <c r="AQ55" s="52"/>
      <c r="AR55" s="21" t="s">
        <v>28</v>
      </c>
      <c r="AS55" s="21" t="s">
        <v>39</v>
      </c>
      <c r="AT55" s="21" t="s">
        <v>39</v>
      </c>
      <c r="AU55" s="47" t="s">
        <v>31</v>
      </c>
      <c r="AV55" s="48"/>
      <c r="AW55" s="48"/>
      <c r="AX55" s="49"/>
      <c r="AY55" s="47" t="s">
        <v>39</v>
      </c>
      <c r="AZ55" s="48"/>
      <c r="BA55" s="48"/>
      <c r="BB55" s="49"/>
      <c r="BC55" s="53"/>
      <c r="BD55" s="101"/>
      <c r="BE55" s="101"/>
      <c r="BF55" s="101"/>
      <c r="BG55" s="101"/>
      <c r="BH55" s="101"/>
      <c r="BI55" s="101"/>
      <c r="BJ55" s="102"/>
      <c r="BK55" s="16"/>
    </row>
    <row r="56" spans="1:63" ht="31.5" customHeight="1" x14ac:dyDescent="0.25">
      <c r="A56" s="15"/>
      <c r="B56" s="47">
        <f>B55+1</f>
        <v>6</v>
      </c>
      <c r="C56" s="49"/>
      <c r="D56" s="97" t="s">
        <v>52</v>
      </c>
      <c r="E56" s="98"/>
      <c r="F56" s="98"/>
      <c r="G56" s="98"/>
      <c r="H56" s="98"/>
      <c r="I56" s="98"/>
      <c r="J56" s="99"/>
      <c r="K56" s="38" t="s">
        <v>240</v>
      </c>
      <c r="L56" s="39"/>
      <c r="M56" s="40"/>
      <c r="N56" s="25" t="s">
        <v>245</v>
      </c>
      <c r="O56" s="19" t="s">
        <v>28</v>
      </c>
      <c r="P56" s="76" t="s">
        <v>28</v>
      </c>
      <c r="Q56" s="86"/>
      <c r="R56" s="86"/>
      <c r="S56" s="77"/>
      <c r="T56" s="76" t="s">
        <v>28</v>
      </c>
      <c r="U56" s="86"/>
      <c r="V56" s="86"/>
      <c r="W56" s="77"/>
      <c r="X56" s="96" t="s">
        <v>28</v>
      </c>
      <c r="Y56" s="48"/>
      <c r="Z56" s="49"/>
      <c r="AA56" s="47" t="s">
        <v>39</v>
      </c>
      <c r="AB56" s="48"/>
      <c r="AC56" s="48"/>
      <c r="AD56" s="48"/>
      <c r="AE56" s="48"/>
      <c r="AF56" s="48"/>
      <c r="AG56" s="48"/>
      <c r="AH56" s="49"/>
      <c r="AI56" s="50" t="s">
        <v>39</v>
      </c>
      <c r="AJ56" s="51"/>
      <c r="AK56" s="51"/>
      <c r="AL56" s="51"/>
      <c r="AM56" s="51"/>
      <c r="AN56" s="51"/>
      <c r="AO56" s="51"/>
      <c r="AP56" s="51"/>
      <c r="AQ56" s="52"/>
      <c r="AR56" s="19" t="s">
        <v>28</v>
      </c>
      <c r="AS56" s="21" t="s">
        <v>39</v>
      </c>
      <c r="AT56" s="21" t="s">
        <v>39</v>
      </c>
      <c r="AU56" s="76" t="s">
        <v>31</v>
      </c>
      <c r="AV56" s="86"/>
      <c r="AW56" s="86"/>
      <c r="AX56" s="77"/>
      <c r="AY56" s="76" t="s">
        <v>39</v>
      </c>
      <c r="AZ56" s="86"/>
      <c r="BA56" s="86"/>
      <c r="BB56" s="77"/>
      <c r="BC56" s="53" t="s">
        <v>333</v>
      </c>
      <c r="BD56" s="101"/>
      <c r="BE56" s="101"/>
      <c r="BF56" s="101"/>
      <c r="BG56" s="101"/>
      <c r="BH56" s="101"/>
      <c r="BI56" s="101"/>
      <c r="BJ56" s="102"/>
      <c r="BK56" s="16"/>
    </row>
    <row r="57" spans="1:63" x14ac:dyDescent="0.25">
      <c r="A57" s="15"/>
      <c r="B57" s="47">
        <f t="shared" ref="B57:B78" si="1">B56+1</f>
        <v>7</v>
      </c>
      <c r="C57" s="49"/>
      <c r="D57" s="226" t="s">
        <v>37</v>
      </c>
      <c r="E57" s="227"/>
      <c r="F57" s="227"/>
      <c r="G57" s="227"/>
      <c r="H57" s="227"/>
      <c r="I57" s="227"/>
      <c r="J57" s="228"/>
      <c r="K57" s="38" t="s">
        <v>241</v>
      </c>
      <c r="L57" s="39"/>
      <c r="M57" s="40"/>
      <c r="N57" s="22" t="s">
        <v>244</v>
      </c>
      <c r="O57" s="19" t="s">
        <v>29</v>
      </c>
      <c r="P57" s="229" t="s">
        <v>28</v>
      </c>
      <c r="Q57" s="86"/>
      <c r="R57" s="86"/>
      <c r="S57" s="77"/>
      <c r="T57" s="229" t="s">
        <v>28</v>
      </c>
      <c r="U57" s="86"/>
      <c r="V57" s="86"/>
      <c r="W57" s="77"/>
      <c r="X57" s="44" t="s">
        <v>37</v>
      </c>
      <c r="Y57" s="91"/>
      <c r="Z57" s="92"/>
      <c r="AA57" s="47" t="s">
        <v>39</v>
      </c>
      <c r="AB57" s="48"/>
      <c r="AC57" s="48"/>
      <c r="AD57" s="48"/>
      <c r="AE57" s="48"/>
      <c r="AF57" s="48"/>
      <c r="AG57" s="48"/>
      <c r="AH57" s="49"/>
      <c r="AI57" s="50" t="s">
        <v>39</v>
      </c>
      <c r="AJ57" s="51"/>
      <c r="AK57" s="51"/>
      <c r="AL57" s="51"/>
      <c r="AM57" s="51"/>
      <c r="AN57" s="51"/>
      <c r="AO57" s="51"/>
      <c r="AP57" s="51"/>
      <c r="AQ57" s="52"/>
      <c r="AR57" s="21" t="s">
        <v>28</v>
      </c>
      <c r="AS57" s="21" t="s">
        <v>28</v>
      </c>
      <c r="AT57" s="21" t="s">
        <v>39</v>
      </c>
      <c r="AU57" s="47" t="s">
        <v>31</v>
      </c>
      <c r="AV57" s="48"/>
      <c r="AW57" s="48"/>
      <c r="AX57" s="49"/>
      <c r="AY57" s="47" t="s">
        <v>39</v>
      </c>
      <c r="AZ57" s="48"/>
      <c r="BA57" s="48"/>
      <c r="BB57" s="49"/>
      <c r="BC57" s="230" t="s">
        <v>93</v>
      </c>
      <c r="BD57" s="107"/>
      <c r="BE57" s="107"/>
      <c r="BF57" s="107"/>
      <c r="BG57" s="107"/>
      <c r="BH57" s="107"/>
      <c r="BI57" s="107"/>
      <c r="BJ57" s="108"/>
      <c r="BK57" s="16"/>
    </row>
    <row r="58" spans="1:63" x14ac:dyDescent="0.25">
      <c r="A58" s="15"/>
      <c r="B58" s="47">
        <v>14</v>
      </c>
      <c r="C58" s="49"/>
      <c r="D58" s="226" t="s">
        <v>219</v>
      </c>
      <c r="E58" s="227"/>
      <c r="F58" s="227"/>
      <c r="G58" s="227"/>
      <c r="H58" s="227"/>
      <c r="I58" s="227"/>
      <c r="J58" s="228"/>
      <c r="K58" s="38" t="s">
        <v>38</v>
      </c>
      <c r="L58" s="39"/>
      <c r="M58" s="40"/>
      <c r="N58" s="22" t="s">
        <v>35</v>
      </c>
      <c r="O58" s="19" t="s">
        <v>29</v>
      </c>
      <c r="P58" s="229" t="s">
        <v>28</v>
      </c>
      <c r="Q58" s="86"/>
      <c r="R58" s="86"/>
      <c r="S58" s="77"/>
      <c r="T58" s="229" t="s">
        <v>28</v>
      </c>
      <c r="U58" s="86"/>
      <c r="V58" s="86"/>
      <c r="W58" s="77"/>
      <c r="X58" s="44" t="s">
        <v>28</v>
      </c>
      <c r="Y58" s="91"/>
      <c r="Z58" s="92"/>
      <c r="AA58" s="47" t="s">
        <v>39</v>
      </c>
      <c r="AB58" s="48"/>
      <c r="AC58" s="48"/>
      <c r="AD58" s="48"/>
      <c r="AE58" s="48"/>
      <c r="AF58" s="48"/>
      <c r="AG58" s="48"/>
      <c r="AH58" s="49"/>
      <c r="AI58" s="50" t="s">
        <v>39</v>
      </c>
      <c r="AJ58" s="51"/>
      <c r="AK58" s="51"/>
      <c r="AL58" s="51"/>
      <c r="AM58" s="51"/>
      <c r="AN58" s="51"/>
      <c r="AO58" s="51"/>
      <c r="AP58" s="51"/>
      <c r="AQ58" s="52"/>
      <c r="AR58" s="21" t="s">
        <v>28</v>
      </c>
      <c r="AS58" s="21" t="s">
        <v>28</v>
      </c>
      <c r="AT58" s="21" t="s">
        <v>39</v>
      </c>
      <c r="AU58" s="47" t="s">
        <v>31</v>
      </c>
      <c r="AV58" s="48"/>
      <c r="AW58" s="48"/>
      <c r="AX58" s="49"/>
      <c r="AY58" s="47" t="s">
        <v>39</v>
      </c>
      <c r="AZ58" s="48"/>
      <c r="BA58" s="48"/>
      <c r="BB58" s="49"/>
      <c r="BC58" s="230" t="s">
        <v>220</v>
      </c>
      <c r="BD58" s="107"/>
      <c r="BE58" s="107"/>
      <c r="BF58" s="107"/>
      <c r="BG58" s="107"/>
      <c r="BH58" s="107"/>
      <c r="BI58" s="107"/>
      <c r="BJ58" s="108"/>
      <c r="BK58" s="16"/>
    </row>
    <row r="59" spans="1:63" x14ac:dyDescent="0.25">
      <c r="A59" s="15"/>
      <c r="B59" s="240" t="s">
        <v>95</v>
      </c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  <c r="AA59" s="241"/>
      <c r="AB59" s="241"/>
      <c r="AC59" s="241"/>
      <c r="AD59" s="241"/>
      <c r="AE59" s="241"/>
      <c r="AF59" s="241"/>
      <c r="AG59" s="241"/>
      <c r="AH59" s="241"/>
      <c r="AI59" s="241"/>
      <c r="AJ59" s="241"/>
      <c r="AK59" s="241"/>
      <c r="AL59" s="241"/>
      <c r="AM59" s="241"/>
      <c r="AN59" s="241"/>
      <c r="AO59" s="241"/>
      <c r="AP59" s="241"/>
      <c r="AQ59" s="241"/>
      <c r="AR59" s="241"/>
      <c r="AS59" s="241"/>
      <c r="AT59" s="241"/>
      <c r="AU59" s="241"/>
      <c r="AV59" s="241"/>
      <c r="AW59" s="241"/>
      <c r="AX59" s="241"/>
      <c r="AY59" s="241"/>
      <c r="AZ59" s="241"/>
      <c r="BA59" s="241"/>
      <c r="BB59" s="241"/>
      <c r="BC59" s="241"/>
      <c r="BD59" s="241"/>
      <c r="BE59" s="241"/>
      <c r="BF59" s="241"/>
      <c r="BG59" s="241"/>
      <c r="BH59" s="241"/>
      <c r="BI59" s="241"/>
      <c r="BJ59" s="242"/>
      <c r="BK59" s="16"/>
    </row>
    <row r="60" spans="1:63" ht="15.75" customHeight="1" x14ac:dyDescent="0.25">
      <c r="A60" s="15"/>
      <c r="B60" s="47">
        <f>B57+1</f>
        <v>8</v>
      </c>
      <c r="C60" s="49"/>
      <c r="D60" s="97" t="s">
        <v>98</v>
      </c>
      <c r="E60" s="98"/>
      <c r="F60" s="98"/>
      <c r="G60" s="98"/>
      <c r="H60" s="98"/>
      <c r="I60" s="98"/>
      <c r="J60" s="99"/>
      <c r="K60" s="38" t="s">
        <v>240</v>
      </c>
      <c r="L60" s="258"/>
      <c r="M60" s="259"/>
      <c r="N60" s="25" t="s">
        <v>39</v>
      </c>
      <c r="O60" s="19" t="s">
        <v>29</v>
      </c>
      <c r="P60" s="76" t="s">
        <v>31</v>
      </c>
      <c r="Q60" s="86"/>
      <c r="R60" s="86"/>
      <c r="S60" s="77"/>
      <c r="T60" s="76" t="s">
        <v>31</v>
      </c>
      <c r="U60" s="86"/>
      <c r="V60" s="86"/>
      <c r="W60" s="77"/>
      <c r="X60" s="96" t="s">
        <v>96</v>
      </c>
      <c r="Y60" s="255"/>
      <c r="Z60" s="256"/>
      <c r="AA60" s="47" t="s">
        <v>39</v>
      </c>
      <c r="AB60" s="48"/>
      <c r="AC60" s="48"/>
      <c r="AD60" s="48"/>
      <c r="AE60" s="48"/>
      <c r="AF60" s="48"/>
      <c r="AG60" s="48"/>
      <c r="AH60" s="49"/>
      <c r="AI60" s="50" t="s">
        <v>39</v>
      </c>
      <c r="AJ60" s="51"/>
      <c r="AK60" s="51"/>
      <c r="AL60" s="51"/>
      <c r="AM60" s="51"/>
      <c r="AN60" s="51"/>
      <c r="AO60" s="51"/>
      <c r="AP60" s="51"/>
      <c r="AQ60" s="52"/>
      <c r="AR60" s="21" t="s">
        <v>28</v>
      </c>
      <c r="AS60" s="21" t="s">
        <v>28</v>
      </c>
      <c r="AT60" s="21" t="s">
        <v>39</v>
      </c>
      <c r="AU60" s="47" t="s">
        <v>31</v>
      </c>
      <c r="AV60" s="48"/>
      <c r="AW60" s="48"/>
      <c r="AX60" s="49"/>
      <c r="AY60" s="47" t="s">
        <v>39</v>
      </c>
      <c r="AZ60" s="48"/>
      <c r="BA60" s="48"/>
      <c r="BB60" s="49"/>
      <c r="BC60" s="230" t="s">
        <v>221</v>
      </c>
      <c r="BD60" s="107"/>
      <c r="BE60" s="107"/>
      <c r="BF60" s="107"/>
      <c r="BG60" s="107"/>
      <c r="BH60" s="107"/>
      <c r="BI60" s="107"/>
      <c r="BJ60" s="108"/>
      <c r="BK60" s="16"/>
    </row>
    <row r="61" spans="1:63" ht="15.75" customHeight="1" x14ac:dyDescent="0.25">
      <c r="A61" s="15"/>
      <c r="B61" s="47">
        <f t="shared" si="1"/>
        <v>9</v>
      </c>
      <c r="C61" s="49"/>
      <c r="D61" s="97" t="s">
        <v>99</v>
      </c>
      <c r="E61" s="98"/>
      <c r="F61" s="98"/>
      <c r="G61" s="98"/>
      <c r="H61" s="98"/>
      <c r="I61" s="98"/>
      <c r="J61" s="99"/>
      <c r="K61" s="38" t="s">
        <v>240</v>
      </c>
      <c r="L61" s="39"/>
      <c r="M61" s="40"/>
      <c r="N61" s="25" t="s">
        <v>28</v>
      </c>
      <c r="O61" s="19" t="s">
        <v>29</v>
      </c>
      <c r="P61" s="229" t="s">
        <v>28</v>
      </c>
      <c r="Q61" s="86"/>
      <c r="R61" s="86"/>
      <c r="S61" s="77"/>
      <c r="T61" s="229" t="s">
        <v>28</v>
      </c>
      <c r="U61" s="86"/>
      <c r="V61" s="86"/>
      <c r="W61" s="77"/>
      <c r="X61" s="96" t="s">
        <v>251</v>
      </c>
      <c r="Y61" s="255"/>
      <c r="Z61" s="256"/>
      <c r="AA61" s="47" t="s">
        <v>39</v>
      </c>
      <c r="AB61" s="48"/>
      <c r="AC61" s="48"/>
      <c r="AD61" s="48"/>
      <c r="AE61" s="48"/>
      <c r="AF61" s="48"/>
      <c r="AG61" s="48"/>
      <c r="AH61" s="49"/>
      <c r="AI61" s="50" t="s">
        <v>39</v>
      </c>
      <c r="AJ61" s="51"/>
      <c r="AK61" s="51"/>
      <c r="AL61" s="51"/>
      <c r="AM61" s="51"/>
      <c r="AN61" s="51"/>
      <c r="AO61" s="51"/>
      <c r="AP61" s="51"/>
      <c r="AQ61" s="52"/>
      <c r="AR61" s="21" t="s">
        <v>28</v>
      </c>
      <c r="AS61" s="21" t="s">
        <v>28</v>
      </c>
      <c r="AT61" s="21" t="s">
        <v>39</v>
      </c>
      <c r="AU61" s="47" t="s">
        <v>31</v>
      </c>
      <c r="AV61" s="48"/>
      <c r="AW61" s="48"/>
      <c r="AX61" s="49"/>
      <c r="AY61" s="47" t="s">
        <v>39</v>
      </c>
      <c r="AZ61" s="48"/>
      <c r="BA61" s="48"/>
      <c r="BB61" s="49"/>
      <c r="BC61" s="230"/>
      <c r="BD61" s="107"/>
      <c r="BE61" s="107"/>
      <c r="BF61" s="107"/>
      <c r="BG61" s="107"/>
      <c r="BH61" s="107"/>
      <c r="BI61" s="107"/>
      <c r="BJ61" s="108"/>
      <c r="BK61" s="16"/>
    </row>
    <row r="62" spans="1:63" x14ac:dyDescent="0.25">
      <c r="A62" s="15"/>
      <c r="B62" s="47">
        <f t="shared" si="1"/>
        <v>10</v>
      </c>
      <c r="C62" s="49"/>
      <c r="D62" s="234" t="s">
        <v>231</v>
      </c>
      <c r="E62" s="235"/>
      <c r="F62" s="235"/>
      <c r="G62" s="235"/>
      <c r="H62" s="235"/>
      <c r="I62" s="235"/>
      <c r="J62" s="236"/>
      <c r="K62" s="38" t="s">
        <v>240</v>
      </c>
      <c r="L62" s="39"/>
      <c r="M62" s="40"/>
      <c r="N62" s="25" t="s">
        <v>39</v>
      </c>
      <c r="O62" s="19" t="s">
        <v>29</v>
      </c>
      <c r="P62" s="229" t="s">
        <v>28</v>
      </c>
      <c r="Q62" s="86"/>
      <c r="R62" s="86"/>
      <c r="S62" s="77"/>
      <c r="T62" s="229" t="s">
        <v>28</v>
      </c>
      <c r="U62" s="86"/>
      <c r="V62" s="86"/>
      <c r="W62" s="77"/>
      <c r="X62" s="44" t="s">
        <v>252</v>
      </c>
      <c r="Y62" s="91"/>
      <c r="Z62" s="92"/>
      <c r="AA62" s="47" t="s">
        <v>39</v>
      </c>
      <c r="AB62" s="48"/>
      <c r="AC62" s="48"/>
      <c r="AD62" s="48"/>
      <c r="AE62" s="48"/>
      <c r="AF62" s="48"/>
      <c r="AG62" s="48"/>
      <c r="AH62" s="49"/>
      <c r="AI62" s="50" t="s">
        <v>39</v>
      </c>
      <c r="AJ62" s="51"/>
      <c r="AK62" s="51"/>
      <c r="AL62" s="51"/>
      <c r="AM62" s="51"/>
      <c r="AN62" s="51"/>
      <c r="AO62" s="51"/>
      <c r="AP62" s="51"/>
      <c r="AQ62" s="52"/>
      <c r="AR62" s="21"/>
      <c r="AS62" s="21"/>
      <c r="AT62" s="21"/>
      <c r="AU62" s="47"/>
      <c r="AV62" s="48"/>
      <c r="AW62" s="48"/>
      <c r="AX62" s="49"/>
      <c r="AY62" s="47"/>
      <c r="AZ62" s="48"/>
      <c r="BA62" s="48"/>
      <c r="BB62" s="49"/>
      <c r="BC62" s="230"/>
      <c r="BD62" s="107"/>
      <c r="BE62" s="107"/>
      <c r="BF62" s="107"/>
      <c r="BG62" s="107"/>
      <c r="BH62" s="107"/>
      <c r="BI62" s="107"/>
      <c r="BJ62" s="108"/>
      <c r="BK62" s="16"/>
    </row>
    <row r="63" spans="1:63" ht="15.75" customHeight="1" x14ac:dyDescent="0.25">
      <c r="A63" s="15"/>
      <c r="B63" s="47">
        <f t="shared" si="1"/>
        <v>11</v>
      </c>
      <c r="C63" s="49"/>
      <c r="D63" s="234" t="s">
        <v>104</v>
      </c>
      <c r="E63" s="235"/>
      <c r="F63" s="235"/>
      <c r="G63" s="235"/>
      <c r="H63" s="235"/>
      <c r="I63" s="235"/>
      <c r="J63" s="236"/>
      <c r="K63" s="38" t="s">
        <v>240</v>
      </c>
      <c r="L63" s="39"/>
      <c r="M63" s="40"/>
      <c r="N63" s="22" t="s">
        <v>39</v>
      </c>
      <c r="O63" s="19" t="s">
        <v>29</v>
      </c>
      <c r="P63" s="229" t="s">
        <v>28</v>
      </c>
      <c r="Q63" s="86"/>
      <c r="R63" s="86"/>
      <c r="S63" s="77"/>
      <c r="T63" s="229" t="s">
        <v>28</v>
      </c>
      <c r="U63" s="86"/>
      <c r="V63" s="86"/>
      <c r="W63" s="77"/>
      <c r="X63" s="44" t="s">
        <v>253</v>
      </c>
      <c r="Y63" s="91"/>
      <c r="Z63" s="92"/>
      <c r="AA63" s="47" t="s">
        <v>39</v>
      </c>
      <c r="AB63" s="48"/>
      <c r="AC63" s="48"/>
      <c r="AD63" s="48"/>
      <c r="AE63" s="48"/>
      <c r="AF63" s="48"/>
      <c r="AG63" s="48"/>
      <c r="AH63" s="49"/>
      <c r="AI63" s="50" t="s">
        <v>39</v>
      </c>
      <c r="AJ63" s="51"/>
      <c r="AK63" s="51"/>
      <c r="AL63" s="51"/>
      <c r="AM63" s="51"/>
      <c r="AN63" s="51"/>
      <c r="AO63" s="51"/>
      <c r="AP63" s="51"/>
      <c r="AQ63" s="52"/>
      <c r="AR63" s="21" t="s">
        <v>28</v>
      </c>
      <c r="AS63" s="21" t="s">
        <v>28</v>
      </c>
      <c r="AT63" s="21" t="s">
        <v>39</v>
      </c>
      <c r="AU63" s="47" t="s">
        <v>31</v>
      </c>
      <c r="AV63" s="48"/>
      <c r="AW63" s="48"/>
      <c r="AX63" s="49"/>
      <c r="AY63" s="47" t="s">
        <v>39</v>
      </c>
      <c r="AZ63" s="48"/>
      <c r="BA63" s="48"/>
      <c r="BB63" s="49"/>
      <c r="BC63" s="230"/>
      <c r="BD63" s="107"/>
      <c r="BE63" s="107"/>
      <c r="BF63" s="107"/>
      <c r="BG63" s="107"/>
      <c r="BH63" s="107"/>
      <c r="BI63" s="107"/>
      <c r="BJ63" s="108"/>
      <c r="BK63" s="16"/>
    </row>
    <row r="64" spans="1:63" ht="47.25" customHeight="1" x14ac:dyDescent="0.25">
      <c r="A64" s="15"/>
      <c r="B64" s="47">
        <f t="shared" si="1"/>
        <v>12</v>
      </c>
      <c r="C64" s="49"/>
      <c r="D64" s="237" t="s">
        <v>232</v>
      </c>
      <c r="E64" s="238"/>
      <c r="F64" s="238"/>
      <c r="G64" s="238"/>
      <c r="H64" s="238"/>
      <c r="I64" s="238"/>
      <c r="J64" s="239"/>
      <c r="K64" s="38" t="s">
        <v>240</v>
      </c>
      <c r="L64" s="39"/>
      <c r="M64" s="40"/>
      <c r="N64" s="22" t="s">
        <v>39</v>
      </c>
      <c r="O64" s="19" t="s">
        <v>29</v>
      </c>
      <c r="P64" s="229" t="s">
        <v>28</v>
      </c>
      <c r="Q64" s="86"/>
      <c r="R64" s="86"/>
      <c r="S64" s="77"/>
      <c r="T64" s="229" t="s">
        <v>28</v>
      </c>
      <c r="U64" s="86"/>
      <c r="V64" s="86"/>
      <c r="W64" s="77"/>
      <c r="X64" s="44" t="s">
        <v>254</v>
      </c>
      <c r="Y64" s="91"/>
      <c r="Z64" s="92"/>
      <c r="AA64" s="47" t="s">
        <v>39</v>
      </c>
      <c r="AB64" s="48"/>
      <c r="AC64" s="48"/>
      <c r="AD64" s="48"/>
      <c r="AE64" s="48"/>
      <c r="AF64" s="48"/>
      <c r="AG64" s="48"/>
      <c r="AH64" s="49"/>
      <c r="AI64" s="50" t="s">
        <v>39</v>
      </c>
      <c r="AJ64" s="51"/>
      <c r="AK64" s="51"/>
      <c r="AL64" s="51"/>
      <c r="AM64" s="51"/>
      <c r="AN64" s="51"/>
      <c r="AO64" s="51"/>
      <c r="AP64" s="51"/>
      <c r="AQ64" s="52"/>
      <c r="AR64" s="21" t="s">
        <v>28</v>
      </c>
      <c r="AS64" s="21" t="s">
        <v>28</v>
      </c>
      <c r="AT64" s="21" t="s">
        <v>39</v>
      </c>
      <c r="AU64" s="47" t="s">
        <v>31</v>
      </c>
      <c r="AV64" s="48"/>
      <c r="AW64" s="48"/>
      <c r="AX64" s="49"/>
      <c r="AY64" s="47" t="s">
        <v>39</v>
      </c>
      <c r="AZ64" s="48"/>
      <c r="BA64" s="48"/>
      <c r="BB64" s="49"/>
      <c r="BC64" s="230"/>
      <c r="BD64" s="107"/>
      <c r="BE64" s="107"/>
      <c r="BF64" s="107"/>
      <c r="BG64" s="107"/>
      <c r="BH64" s="107"/>
      <c r="BI64" s="107"/>
      <c r="BJ64" s="108"/>
      <c r="BK64" s="16"/>
    </row>
    <row r="65" spans="1:63" ht="31.5" customHeight="1" x14ac:dyDescent="0.25">
      <c r="A65" s="15"/>
      <c r="B65" s="47">
        <f t="shared" si="1"/>
        <v>13</v>
      </c>
      <c r="C65" s="49"/>
      <c r="D65" s="234" t="s">
        <v>103</v>
      </c>
      <c r="E65" s="235"/>
      <c r="F65" s="235"/>
      <c r="G65" s="235"/>
      <c r="H65" s="235"/>
      <c r="I65" s="235"/>
      <c r="J65" s="236"/>
      <c r="K65" s="38" t="s">
        <v>240</v>
      </c>
      <c r="L65" s="39"/>
      <c r="M65" s="40"/>
      <c r="N65" s="22" t="s">
        <v>28</v>
      </c>
      <c r="O65" s="19" t="s">
        <v>29</v>
      </c>
      <c r="P65" s="229" t="s">
        <v>28</v>
      </c>
      <c r="Q65" s="86"/>
      <c r="R65" s="86"/>
      <c r="S65" s="77"/>
      <c r="T65" s="229" t="s">
        <v>28</v>
      </c>
      <c r="U65" s="86"/>
      <c r="V65" s="86"/>
      <c r="W65" s="77"/>
      <c r="X65" s="44" t="s">
        <v>226</v>
      </c>
      <c r="Y65" s="91"/>
      <c r="Z65" s="92"/>
      <c r="AA65" s="47" t="s">
        <v>39</v>
      </c>
      <c r="AB65" s="48"/>
      <c r="AC65" s="48"/>
      <c r="AD65" s="48"/>
      <c r="AE65" s="48"/>
      <c r="AF65" s="48"/>
      <c r="AG65" s="48"/>
      <c r="AH65" s="49"/>
      <c r="AI65" s="50" t="s">
        <v>39</v>
      </c>
      <c r="AJ65" s="51"/>
      <c r="AK65" s="51"/>
      <c r="AL65" s="51"/>
      <c r="AM65" s="51"/>
      <c r="AN65" s="51"/>
      <c r="AO65" s="51"/>
      <c r="AP65" s="51"/>
      <c r="AQ65" s="52"/>
      <c r="AR65" s="21" t="s">
        <v>28</v>
      </c>
      <c r="AS65" s="21" t="s">
        <v>28</v>
      </c>
      <c r="AT65" s="21" t="s">
        <v>39</v>
      </c>
      <c r="AU65" s="47" t="s">
        <v>31</v>
      </c>
      <c r="AV65" s="48"/>
      <c r="AW65" s="48"/>
      <c r="AX65" s="49"/>
      <c r="AY65" s="47" t="s">
        <v>39</v>
      </c>
      <c r="AZ65" s="48"/>
      <c r="BA65" s="48"/>
      <c r="BB65" s="49"/>
      <c r="BC65" s="82"/>
      <c r="BD65" s="54"/>
      <c r="BE65" s="54"/>
      <c r="BF65" s="54"/>
      <c r="BG65" s="54"/>
      <c r="BH65" s="54"/>
      <c r="BI65" s="54"/>
      <c r="BJ65" s="55"/>
      <c r="BK65" s="16"/>
    </row>
    <row r="66" spans="1:63" ht="15.75" customHeight="1" x14ac:dyDescent="0.25">
      <c r="A66" s="15"/>
      <c r="B66" s="47">
        <v>15.1</v>
      </c>
      <c r="C66" s="49"/>
      <c r="D66" s="252" t="s">
        <v>106</v>
      </c>
      <c r="E66" s="253"/>
      <c r="F66" s="253"/>
      <c r="G66" s="253"/>
      <c r="H66" s="253"/>
      <c r="I66" s="253"/>
      <c r="J66" s="254"/>
      <c r="K66" s="90" t="s">
        <v>240</v>
      </c>
      <c r="L66" s="39"/>
      <c r="M66" s="40"/>
      <c r="N66" s="25" t="s">
        <v>39</v>
      </c>
      <c r="O66" s="19" t="s">
        <v>29</v>
      </c>
      <c r="P66" s="76" t="s">
        <v>31</v>
      </c>
      <c r="Q66" s="86"/>
      <c r="R66" s="86"/>
      <c r="S66" s="77"/>
      <c r="T66" s="76" t="s">
        <v>31</v>
      </c>
      <c r="U66" s="86"/>
      <c r="V66" s="86"/>
      <c r="W66" s="77"/>
      <c r="X66" s="96" t="s">
        <v>97</v>
      </c>
      <c r="Y66" s="255"/>
      <c r="Z66" s="256"/>
      <c r="AA66" s="47" t="s">
        <v>39</v>
      </c>
      <c r="AB66" s="48"/>
      <c r="AC66" s="48"/>
      <c r="AD66" s="48"/>
      <c r="AE66" s="48"/>
      <c r="AF66" s="48"/>
      <c r="AG66" s="48"/>
      <c r="AH66" s="49"/>
      <c r="AI66" s="50" t="s">
        <v>39</v>
      </c>
      <c r="AJ66" s="51"/>
      <c r="AK66" s="51"/>
      <c r="AL66" s="51"/>
      <c r="AM66" s="51"/>
      <c r="AN66" s="51"/>
      <c r="AO66" s="51"/>
      <c r="AP66" s="51"/>
      <c r="AQ66" s="52"/>
      <c r="AR66" s="21" t="s">
        <v>28</v>
      </c>
      <c r="AS66" s="21" t="s">
        <v>39</v>
      </c>
      <c r="AT66" s="21" t="s">
        <v>39</v>
      </c>
      <c r="AU66" s="47" t="s">
        <v>31</v>
      </c>
      <c r="AV66" s="48"/>
      <c r="AW66" s="48"/>
      <c r="AX66" s="49"/>
      <c r="AY66" s="47" t="s">
        <v>39</v>
      </c>
      <c r="AZ66" s="48"/>
      <c r="BA66" s="48"/>
      <c r="BB66" s="49"/>
      <c r="BC66" s="118"/>
      <c r="BD66" s="54"/>
      <c r="BE66" s="54"/>
      <c r="BF66" s="54"/>
      <c r="BG66" s="54"/>
      <c r="BH66" s="54"/>
      <c r="BI66" s="54"/>
      <c r="BJ66" s="55"/>
      <c r="BK66" s="16"/>
    </row>
    <row r="67" spans="1:63" ht="15.75" customHeight="1" x14ac:dyDescent="0.25">
      <c r="A67" s="15"/>
      <c r="B67" s="47">
        <v>15.2</v>
      </c>
      <c r="C67" s="49"/>
      <c r="D67" s="234" t="s">
        <v>233</v>
      </c>
      <c r="E67" s="235"/>
      <c r="F67" s="235"/>
      <c r="G67" s="235"/>
      <c r="H67" s="235"/>
      <c r="I67" s="235"/>
      <c r="J67" s="236"/>
      <c r="K67" s="38" t="s">
        <v>240</v>
      </c>
      <c r="L67" s="39"/>
      <c r="M67" s="40"/>
      <c r="N67" s="25" t="s">
        <v>245</v>
      </c>
      <c r="O67" s="19" t="s">
        <v>28</v>
      </c>
      <c r="P67" s="100" t="s">
        <v>28</v>
      </c>
      <c r="Q67" s="42"/>
      <c r="R67" s="42"/>
      <c r="S67" s="43"/>
      <c r="T67" s="100" t="s">
        <v>28</v>
      </c>
      <c r="U67" s="42"/>
      <c r="V67" s="42"/>
      <c r="W67" s="43"/>
      <c r="X67" s="44" t="s">
        <v>28</v>
      </c>
      <c r="Y67" s="91"/>
      <c r="Z67" s="92"/>
      <c r="AA67" s="47" t="s">
        <v>39</v>
      </c>
      <c r="AB67" s="48"/>
      <c r="AC67" s="48"/>
      <c r="AD67" s="48"/>
      <c r="AE67" s="48"/>
      <c r="AF67" s="48"/>
      <c r="AG67" s="48"/>
      <c r="AH67" s="49"/>
      <c r="AI67" s="50" t="s">
        <v>39</v>
      </c>
      <c r="AJ67" s="51"/>
      <c r="AK67" s="51"/>
      <c r="AL67" s="51"/>
      <c r="AM67" s="51"/>
      <c r="AN67" s="51"/>
      <c r="AO67" s="51"/>
      <c r="AP67" s="51"/>
      <c r="AQ67" s="52"/>
      <c r="AR67" s="19" t="s">
        <v>28</v>
      </c>
      <c r="AS67" s="21" t="s">
        <v>39</v>
      </c>
      <c r="AT67" s="21" t="s">
        <v>39</v>
      </c>
      <c r="AU67" s="76" t="s">
        <v>31</v>
      </c>
      <c r="AV67" s="86"/>
      <c r="AW67" s="86"/>
      <c r="AX67" s="77"/>
      <c r="AY67" s="76" t="s">
        <v>39</v>
      </c>
      <c r="AZ67" s="86"/>
      <c r="BA67" s="86"/>
      <c r="BB67" s="77"/>
      <c r="BC67" s="257"/>
      <c r="BD67" s="54"/>
      <c r="BE67" s="54"/>
      <c r="BF67" s="54"/>
      <c r="BG67" s="54"/>
      <c r="BH67" s="54"/>
      <c r="BI67" s="54"/>
      <c r="BJ67" s="55"/>
      <c r="BK67" s="16"/>
    </row>
    <row r="68" spans="1:63" ht="32.25" customHeight="1" x14ac:dyDescent="0.25">
      <c r="A68" s="15"/>
      <c r="B68" s="47">
        <v>15.3</v>
      </c>
      <c r="C68" s="49"/>
      <c r="D68" s="234" t="s">
        <v>108</v>
      </c>
      <c r="E68" s="235"/>
      <c r="F68" s="235"/>
      <c r="G68" s="235"/>
      <c r="H68" s="235"/>
      <c r="I68" s="235"/>
      <c r="J68" s="236"/>
      <c r="K68" s="90" t="s">
        <v>240</v>
      </c>
      <c r="L68" s="39"/>
      <c r="M68" s="40"/>
      <c r="N68" s="25" t="s">
        <v>245</v>
      </c>
      <c r="O68" s="19" t="s">
        <v>28</v>
      </c>
      <c r="P68" s="100" t="s">
        <v>31</v>
      </c>
      <c r="Q68" s="42"/>
      <c r="R68" s="42"/>
      <c r="S68" s="43"/>
      <c r="T68" s="100" t="s">
        <v>31</v>
      </c>
      <c r="U68" s="42"/>
      <c r="V68" s="42"/>
      <c r="W68" s="43"/>
      <c r="X68" s="44" t="s">
        <v>28</v>
      </c>
      <c r="Y68" s="91"/>
      <c r="Z68" s="92"/>
      <c r="AA68" s="47" t="s">
        <v>39</v>
      </c>
      <c r="AB68" s="48"/>
      <c r="AC68" s="48"/>
      <c r="AD68" s="48"/>
      <c r="AE68" s="48"/>
      <c r="AF68" s="48"/>
      <c r="AG68" s="48"/>
      <c r="AH68" s="49"/>
      <c r="AI68" s="50" t="s">
        <v>39</v>
      </c>
      <c r="AJ68" s="51"/>
      <c r="AK68" s="51"/>
      <c r="AL68" s="51"/>
      <c r="AM68" s="51"/>
      <c r="AN68" s="51"/>
      <c r="AO68" s="51"/>
      <c r="AP68" s="51"/>
      <c r="AQ68" s="52"/>
      <c r="AR68" s="21" t="s">
        <v>28</v>
      </c>
      <c r="AS68" s="21" t="s">
        <v>39</v>
      </c>
      <c r="AT68" s="21" t="s">
        <v>39</v>
      </c>
      <c r="AU68" s="76" t="s">
        <v>31</v>
      </c>
      <c r="AV68" s="86"/>
      <c r="AW68" s="86"/>
      <c r="AX68" s="77"/>
      <c r="AY68" s="76" t="s">
        <v>39</v>
      </c>
      <c r="AZ68" s="86"/>
      <c r="BA68" s="86"/>
      <c r="BB68" s="77"/>
      <c r="BC68" s="118"/>
      <c r="BD68" s="54"/>
      <c r="BE68" s="54"/>
      <c r="BF68" s="54"/>
      <c r="BG68" s="54"/>
      <c r="BH68" s="54"/>
      <c r="BI68" s="54"/>
      <c r="BJ68" s="55"/>
      <c r="BK68" s="16"/>
    </row>
    <row r="69" spans="1:63" ht="31.5" customHeight="1" x14ac:dyDescent="0.25">
      <c r="A69" s="15"/>
      <c r="B69" s="47">
        <v>15.4</v>
      </c>
      <c r="C69" s="49"/>
      <c r="D69" s="237" t="s">
        <v>195</v>
      </c>
      <c r="E69" s="238"/>
      <c r="F69" s="238"/>
      <c r="G69" s="238"/>
      <c r="H69" s="238"/>
      <c r="I69" s="238"/>
      <c r="J69" s="239"/>
      <c r="K69" s="38" t="s">
        <v>240</v>
      </c>
      <c r="L69" s="39"/>
      <c r="M69" s="40"/>
      <c r="N69" s="25" t="s">
        <v>245</v>
      </c>
      <c r="O69" s="19" t="s">
        <v>28</v>
      </c>
      <c r="P69" s="100" t="s">
        <v>31</v>
      </c>
      <c r="Q69" s="42"/>
      <c r="R69" s="42"/>
      <c r="S69" s="43"/>
      <c r="T69" s="100" t="s">
        <v>31</v>
      </c>
      <c r="U69" s="42"/>
      <c r="V69" s="42"/>
      <c r="W69" s="43"/>
      <c r="X69" s="44" t="s">
        <v>28</v>
      </c>
      <c r="Y69" s="91"/>
      <c r="Z69" s="92"/>
      <c r="AA69" s="47" t="s">
        <v>39</v>
      </c>
      <c r="AB69" s="48"/>
      <c r="AC69" s="48"/>
      <c r="AD69" s="48"/>
      <c r="AE69" s="48"/>
      <c r="AF69" s="48"/>
      <c r="AG69" s="48"/>
      <c r="AH69" s="49"/>
      <c r="AI69" s="50" t="s">
        <v>39</v>
      </c>
      <c r="AJ69" s="51"/>
      <c r="AK69" s="51"/>
      <c r="AL69" s="51"/>
      <c r="AM69" s="51"/>
      <c r="AN69" s="51"/>
      <c r="AO69" s="51"/>
      <c r="AP69" s="51"/>
      <c r="AQ69" s="52"/>
      <c r="AR69" s="19" t="s">
        <v>28</v>
      </c>
      <c r="AS69" s="19" t="s">
        <v>28</v>
      </c>
      <c r="AT69" s="21" t="s">
        <v>39</v>
      </c>
      <c r="AU69" s="76" t="s">
        <v>31</v>
      </c>
      <c r="AV69" s="86"/>
      <c r="AW69" s="86"/>
      <c r="AX69" s="77"/>
      <c r="AY69" s="76" t="s">
        <v>39</v>
      </c>
      <c r="AZ69" s="86"/>
      <c r="BA69" s="86"/>
      <c r="BB69" s="77"/>
      <c r="BC69" s="118"/>
      <c r="BD69" s="54"/>
      <c r="BE69" s="54"/>
      <c r="BF69" s="54"/>
      <c r="BG69" s="54"/>
      <c r="BH69" s="54"/>
      <c r="BI69" s="54"/>
      <c r="BJ69" s="55"/>
      <c r="BK69" s="16"/>
    </row>
    <row r="70" spans="1:63" ht="32.25" customHeight="1" x14ac:dyDescent="0.25">
      <c r="A70" s="15"/>
      <c r="B70" s="47">
        <v>15.5</v>
      </c>
      <c r="C70" s="49"/>
      <c r="D70" s="234" t="s">
        <v>109</v>
      </c>
      <c r="E70" s="235"/>
      <c r="F70" s="235"/>
      <c r="G70" s="235"/>
      <c r="H70" s="235"/>
      <c r="I70" s="235"/>
      <c r="J70" s="236"/>
      <c r="K70" s="90" t="s">
        <v>240</v>
      </c>
      <c r="L70" s="39"/>
      <c r="M70" s="40"/>
      <c r="N70" s="25" t="s">
        <v>245</v>
      </c>
      <c r="O70" s="19" t="s">
        <v>28</v>
      </c>
      <c r="P70" s="100" t="s">
        <v>31</v>
      </c>
      <c r="Q70" s="42"/>
      <c r="R70" s="42"/>
      <c r="S70" s="43"/>
      <c r="T70" s="100" t="s">
        <v>31</v>
      </c>
      <c r="U70" s="42"/>
      <c r="V70" s="42"/>
      <c r="W70" s="43"/>
      <c r="X70" s="44" t="s">
        <v>28</v>
      </c>
      <c r="Y70" s="91"/>
      <c r="Z70" s="92"/>
      <c r="AA70" s="47" t="s">
        <v>39</v>
      </c>
      <c r="AB70" s="48"/>
      <c r="AC70" s="48"/>
      <c r="AD70" s="48"/>
      <c r="AE70" s="48"/>
      <c r="AF70" s="48"/>
      <c r="AG70" s="48"/>
      <c r="AH70" s="49"/>
      <c r="AI70" s="50" t="s">
        <v>39</v>
      </c>
      <c r="AJ70" s="51"/>
      <c r="AK70" s="51"/>
      <c r="AL70" s="51"/>
      <c r="AM70" s="51"/>
      <c r="AN70" s="51"/>
      <c r="AO70" s="51"/>
      <c r="AP70" s="51"/>
      <c r="AQ70" s="52"/>
      <c r="AR70" s="21" t="s">
        <v>28</v>
      </c>
      <c r="AS70" s="19" t="s">
        <v>28</v>
      </c>
      <c r="AT70" s="21" t="s">
        <v>39</v>
      </c>
      <c r="AU70" s="76" t="s">
        <v>31</v>
      </c>
      <c r="AV70" s="86"/>
      <c r="AW70" s="86"/>
      <c r="AX70" s="77"/>
      <c r="AY70" s="76" t="s">
        <v>39</v>
      </c>
      <c r="AZ70" s="86"/>
      <c r="BA70" s="86"/>
      <c r="BB70" s="77"/>
      <c r="BC70" s="118"/>
      <c r="BD70" s="54"/>
      <c r="BE70" s="54"/>
      <c r="BF70" s="54"/>
      <c r="BG70" s="54"/>
      <c r="BH70" s="54"/>
      <c r="BI70" s="54"/>
      <c r="BJ70" s="55"/>
      <c r="BK70" s="16"/>
    </row>
    <row r="71" spans="1:63" ht="31.5" customHeight="1" x14ac:dyDescent="0.25">
      <c r="A71" s="15"/>
      <c r="B71" s="47">
        <f>B65+3</f>
        <v>16</v>
      </c>
      <c r="C71" s="49"/>
      <c r="D71" s="234" t="s">
        <v>110</v>
      </c>
      <c r="E71" s="235"/>
      <c r="F71" s="235"/>
      <c r="G71" s="235"/>
      <c r="H71" s="235"/>
      <c r="I71" s="235"/>
      <c r="J71" s="236"/>
      <c r="K71" s="38" t="s">
        <v>240</v>
      </c>
      <c r="L71" s="39"/>
      <c r="M71" s="40"/>
      <c r="N71" s="25" t="s">
        <v>39</v>
      </c>
      <c r="O71" s="19" t="s">
        <v>29</v>
      </c>
      <c r="P71" s="229" t="s">
        <v>28</v>
      </c>
      <c r="Q71" s="86"/>
      <c r="R71" s="86"/>
      <c r="S71" s="77"/>
      <c r="T71" s="229" t="s">
        <v>28</v>
      </c>
      <c r="U71" s="86"/>
      <c r="V71" s="86"/>
      <c r="W71" s="77"/>
      <c r="X71" s="44" t="s">
        <v>111</v>
      </c>
      <c r="Y71" s="91"/>
      <c r="Z71" s="92"/>
      <c r="AA71" s="47" t="s">
        <v>39</v>
      </c>
      <c r="AB71" s="48"/>
      <c r="AC71" s="48"/>
      <c r="AD71" s="48"/>
      <c r="AE71" s="48"/>
      <c r="AF71" s="48"/>
      <c r="AG71" s="48"/>
      <c r="AH71" s="49"/>
      <c r="AI71" s="50" t="s">
        <v>39</v>
      </c>
      <c r="AJ71" s="51"/>
      <c r="AK71" s="51"/>
      <c r="AL71" s="51"/>
      <c r="AM71" s="51"/>
      <c r="AN71" s="51"/>
      <c r="AO71" s="51"/>
      <c r="AP71" s="51"/>
      <c r="AQ71" s="52"/>
      <c r="AR71" s="21" t="s">
        <v>28</v>
      </c>
      <c r="AS71" s="19" t="s">
        <v>28</v>
      </c>
      <c r="AT71" s="21" t="s">
        <v>39</v>
      </c>
      <c r="AU71" s="76" t="s">
        <v>31</v>
      </c>
      <c r="AV71" s="86"/>
      <c r="AW71" s="86"/>
      <c r="AX71" s="77"/>
      <c r="AY71" s="76" t="s">
        <v>39</v>
      </c>
      <c r="AZ71" s="86"/>
      <c r="BA71" s="86"/>
      <c r="BB71" s="77"/>
      <c r="BC71" s="53"/>
      <c r="BD71" s="54"/>
      <c r="BE71" s="54"/>
      <c r="BF71" s="54"/>
      <c r="BG71" s="54"/>
      <c r="BH71" s="54"/>
      <c r="BI71" s="54"/>
      <c r="BJ71" s="55"/>
      <c r="BK71" s="16"/>
    </row>
    <row r="72" spans="1:63" ht="15.75" customHeight="1" x14ac:dyDescent="0.25">
      <c r="A72" s="15"/>
      <c r="B72" s="47">
        <f t="shared" si="1"/>
        <v>17</v>
      </c>
      <c r="C72" s="49"/>
      <c r="D72" s="252" t="s">
        <v>113</v>
      </c>
      <c r="E72" s="253"/>
      <c r="F72" s="253"/>
      <c r="G72" s="253"/>
      <c r="H72" s="253"/>
      <c r="I72" s="253"/>
      <c r="J72" s="254"/>
      <c r="K72" s="38" t="s">
        <v>240</v>
      </c>
      <c r="L72" s="39"/>
      <c r="M72" s="40"/>
      <c r="N72" s="25" t="s">
        <v>28</v>
      </c>
      <c r="O72" s="19" t="s">
        <v>29</v>
      </c>
      <c r="P72" s="229" t="s">
        <v>28</v>
      </c>
      <c r="Q72" s="86"/>
      <c r="R72" s="86"/>
      <c r="S72" s="77"/>
      <c r="T72" s="229" t="s">
        <v>28</v>
      </c>
      <c r="U72" s="86"/>
      <c r="V72" s="86"/>
      <c r="W72" s="77"/>
      <c r="X72" s="44" t="s">
        <v>112</v>
      </c>
      <c r="Y72" s="91"/>
      <c r="Z72" s="92"/>
      <c r="AA72" s="47" t="s">
        <v>39</v>
      </c>
      <c r="AB72" s="48"/>
      <c r="AC72" s="48"/>
      <c r="AD72" s="48"/>
      <c r="AE72" s="48"/>
      <c r="AF72" s="48"/>
      <c r="AG72" s="48"/>
      <c r="AH72" s="49"/>
      <c r="AI72" s="50" t="s">
        <v>39</v>
      </c>
      <c r="AJ72" s="51"/>
      <c r="AK72" s="51"/>
      <c r="AL72" s="51"/>
      <c r="AM72" s="51"/>
      <c r="AN72" s="51"/>
      <c r="AO72" s="51"/>
      <c r="AP72" s="51"/>
      <c r="AQ72" s="52"/>
      <c r="AR72" s="21" t="s">
        <v>28</v>
      </c>
      <c r="AS72" s="19" t="s">
        <v>28</v>
      </c>
      <c r="AT72" s="21" t="s">
        <v>39</v>
      </c>
      <c r="AU72" s="47" t="s">
        <v>31</v>
      </c>
      <c r="AV72" s="48"/>
      <c r="AW72" s="48"/>
      <c r="AX72" s="49"/>
      <c r="AY72" s="47" t="s">
        <v>39</v>
      </c>
      <c r="AZ72" s="48"/>
      <c r="BA72" s="48"/>
      <c r="BB72" s="49"/>
      <c r="BC72" s="118"/>
      <c r="BD72" s="54"/>
      <c r="BE72" s="54"/>
      <c r="BF72" s="54"/>
      <c r="BG72" s="54"/>
      <c r="BH72" s="54"/>
      <c r="BI72" s="54"/>
      <c r="BJ72" s="55"/>
      <c r="BK72" s="16"/>
    </row>
    <row r="73" spans="1:63" ht="15.75" customHeight="1" x14ac:dyDescent="0.25">
      <c r="A73" s="15"/>
      <c r="B73" s="47">
        <f t="shared" si="1"/>
        <v>18</v>
      </c>
      <c r="C73" s="49"/>
      <c r="D73" s="97" t="s">
        <v>114</v>
      </c>
      <c r="E73" s="98"/>
      <c r="F73" s="98"/>
      <c r="G73" s="98"/>
      <c r="H73" s="98"/>
      <c r="I73" s="98"/>
      <c r="J73" s="99"/>
      <c r="K73" s="38" t="s">
        <v>54</v>
      </c>
      <c r="L73" s="39"/>
      <c r="M73" s="40"/>
      <c r="N73" s="25" t="s">
        <v>245</v>
      </c>
      <c r="O73" s="19" t="s">
        <v>28</v>
      </c>
      <c r="P73" s="229" t="s">
        <v>28</v>
      </c>
      <c r="Q73" s="86"/>
      <c r="R73" s="86"/>
      <c r="S73" s="77"/>
      <c r="T73" s="229" t="s">
        <v>28</v>
      </c>
      <c r="U73" s="86"/>
      <c r="V73" s="86"/>
      <c r="W73" s="77"/>
      <c r="X73" s="44" t="s">
        <v>28</v>
      </c>
      <c r="Y73" s="91"/>
      <c r="Z73" s="92"/>
      <c r="AA73" s="47" t="s">
        <v>39</v>
      </c>
      <c r="AB73" s="48"/>
      <c r="AC73" s="48"/>
      <c r="AD73" s="48"/>
      <c r="AE73" s="48"/>
      <c r="AF73" s="48"/>
      <c r="AG73" s="48"/>
      <c r="AH73" s="49"/>
      <c r="AI73" s="50" t="s">
        <v>39</v>
      </c>
      <c r="AJ73" s="51"/>
      <c r="AK73" s="51"/>
      <c r="AL73" s="51"/>
      <c r="AM73" s="51"/>
      <c r="AN73" s="51"/>
      <c r="AO73" s="51"/>
      <c r="AP73" s="51"/>
      <c r="AQ73" s="52"/>
      <c r="AR73" s="21" t="s">
        <v>28</v>
      </c>
      <c r="AS73" s="21" t="s">
        <v>28</v>
      </c>
      <c r="AT73" s="21" t="s">
        <v>39</v>
      </c>
      <c r="AU73" s="47" t="s">
        <v>31</v>
      </c>
      <c r="AV73" s="48"/>
      <c r="AW73" s="48"/>
      <c r="AX73" s="49"/>
      <c r="AY73" s="47" t="s">
        <v>39</v>
      </c>
      <c r="AZ73" s="48"/>
      <c r="BA73" s="48"/>
      <c r="BB73" s="49"/>
      <c r="BC73" s="230"/>
      <c r="BD73" s="107"/>
      <c r="BE73" s="107"/>
      <c r="BF73" s="107"/>
      <c r="BG73" s="107"/>
      <c r="BH73" s="107"/>
      <c r="BI73" s="107"/>
      <c r="BJ73" s="108"/>
      <c r="BK73" s="16"/>
    </row>
    <row r="74" spans="1:63" ht="15.75" customHeight="1" x14ac:dyDescent="0.25">
      <c r="A74" s="15"/>
      <c r="B74" s="47">
        <f t="shared" si="1"/>
        <v>19</v>
      </c>
      <c r="C74" s="49"/>
      <c r="D74" s="249" t="s">
        <v>105</v>
      </c>
      <c r="E74" s="250"/>
      <c r="F74" s="250"/>
      <c r="G74" s="250"/>
      <c r="H74" s="250"/>
      <c r="I74" s="250"/>
      <c r="J74" s="251"/>
      <c r="K74" s="38" t="s">
        <v>240</v>
      </c>
      <c r="L74" s="39"/>
      <c r="M74" s="40"/>
      <c r="N74" s="25" t="s">
        <v>28</v>
      </c>
      <c r="O74" s="19" t="s">
        <v>29</v>
      </c>
      <c r="P74" s="229" t="s">
        <v>28</v>
      </c>
      <c r="Q74" s="86"/>
      <c r="R74" s="86"/>
      <c r="S74" s="77"/>
      <c r="T74" s="229" t="s">
        <v>28</v>
      </c>
      <c r="U74" s="86"/>
      <c r="V74" s="86"/>
      <c r="W74" s="77"/>
      <c r="X74" s="44" t="s">
        <v>252</v>
      </c>
      <c r="Y74" s="91"/>
      <c r="Z74" s="92"/>
      <c r="AA74" s="47" t="s">
        <v>39</v>
      </c>
      <c r="AB74" s="48"/>
      <c r="AC74" s="48"/>
      <c r="AD74" s="48"/>
      <c r="AE74" s="48"/>
      <c r="AF74" s="48"/>
      <c r="AG74" s="48"/>
      <c r="AH74" s="49"/>
      <c r="AI74" s="50" t="s">
        <v>39</v>
      </c>
      <c r="AJ74" s="51"/>
      <c r="AK74" s="51"/>
      <c r="AL74" s="51"/>
      <c r="AM74" s="51"/>
      <c r="AN74" s="51"/>
      <c r="AO74" s="51"/>
      <c r="AP74" s="51"/>
      <c r="AQ74" s="52"/>
      <c r="AR74" s="21" t="s">
        <v>28</v>
      </c>
      <c r="AS74" s="21" t="s">
        <v>28</v>
      </c>
      <c r="AT74" s="21" t="s">
        <v>39</v>
      </c>
      <c r="AU74" s="47" t="s">
        <v>31</v>
      </c>
      <c r="AV74" s="48"/>
      <c r="AW74" s="48"/>
      <c r="AX74" s="49"/>
      <c r="AY74" s="47" t="s">
        <v>39</v>
      </c>
      <c r="AZ74" s="48"/>
      <c r="BA74" s="48"/>
      <c r="BB74" s="49"/>
      <c r="BC74" s="230"/>
      <c r="BD74" s="107"/>
      <c r="BE74" s="107"/>
      <c r="BF74" s="107"/>
      <c r="BG74" s="107"/>
      <c r="BH74" s="107"/>
      <c r="BI74" s="107"/>
      <c r="BJ74" s="108"/>
      <c r="BK74" s="16"/>
    </row>
    <row r="75" spans="1:63" ht="31.5" customHeight="1" x14ac:dyDescent="0.25">
      <c r="A75" s="15"/>
      <c r="B75" s="47">
        <f t="shared" si="1"/>
        <v>20</v>
      </c>
      <c r="C75" s="49"/>
      <c r="D75" s="237" t="s">
        <v>115</v>
      </c>
      <c r="E75" s="238"/>
      <c r="F75" s="238"/>
      <c r="G75" s="238"/>
      <c r="H75" s="238"/>
      <c r="I75" s="238"/>
      <c r="J75" s="239"/>
      <c r="K75" s="38" t="s">
        <v>240</v>
      </c>
      <c r="L75" s="39"/>
      <c r="M75" s="40"/>
      <c r="N75" s="25" t="s">
        <v>28</v>
      </c>
      <c r="O75" s="19" t="s">
        <v>29</v>
      </c>
      <c r="P75" s="229" t="s">
        <v>28</v>
      </c>
      <c r="Q75" s="86"/>
      <c r="R75" s="86"/>
      <c r="S75" s="77"/>
      <c r="T75" s="229" t="s">
        <v>28</v>
      </c>
      <c r="U75" s="86"/>
      <c r="V75" s="86"/>
      <c r="W75" s="77"/>
      <c r="X75" s="44" t="s">
        <v>101</v>
      </c>
      <c r="Y75" s="91"/>
      <c r="Z75" s="92"/>
      <c r="AA75" s="47" t="s">
        <v>39</v>
      </c>
      <c r="AB75" s="48"/>
      <c r="AC75" s="48"/>
      <c r="AD75" s="48"/>
      <c r="AE75" s="48"/>
      <c r="AF75" s="48"/>
      <c r="AG75" s="48"/>
      <c r="AH75" s="49"/>
      <c r="AI75" s="50" t="s">
        <v>39</v>
      </c>
      <c r="AJ75" s="51"/>
      <c r="AK75" s="51"/>
      <c r="AL75" s="51"/>
      <c r="AM75" s="51"/>
      <c r="AN75" s="51"/>
      <c r="AO75" s="51"/>
      <c r="AP75" s="51"/>
      <c r="AQ75" s="52"/>
      <c r="AR75" s="21" t="s">
        <v>28</v>
      </c>
      <c r="AS75" s="21" t="s">
        <v>28</v>
      </c>
      <c r="AT75" s="21" t="s">
        <v>39</v>
      </c>
      <c r="AU75" s="47" t="s">
        <v>31</v>
      </c>
      <c r="AV75" s="48"/>
      <c r="AW75" s="48"/>
      <c r="AX75" s="49"/>
      <c r="AY75" s="47" t="s">
        <v>39</v>
      </c>
      <c r="AZ75" s="48"/>
      <c r="BA75" s="48"/>
      <c r="BB75" s="49"/>
      <c r="BC75" s="230"/>
      <c r="BD75" s="107"/>
      <c r="BE75" s="107"/>
      <c r="BF75" s="107"/>
      <c r="BG75" s="107"/>
      <c r="BH75" s="107"/>
      <c r="BI75" s="107"/>
      <c r="BJ75" s="108"/>
      <c r="BK75" s="16"/>
    </row>
    <row r="76" spans="1:63" ht="32.25" customHeight="1" x14ac:dyDescent="0.25">
      <c r="A76" s="15"/>
      <c r="B76" s="47">
        <f t="shared" si="1"/>
        <v>21</v>
      </c>
      <c r="C76" s="49"/>
      <c r="D76" s="237" t="s">
        <v>116</v>
      </c>
      <c r="E76" s="238"/>
      <c r="F76" s="238"/>
      <c r="G76" s="238"/>
      <c r="H76" s="238"/>
      <c r="I76" s="238"/>
      <c r="J76" s="239"/>
      <c r="K76" s="38" t="s">
        <v>240</v>
      </c>
      <c r="L76" s="39"/>
      <c r="M76" s="40"/>
      <c r="N76" s="25" t="s">
        <v>28</v>
      </c>
      <c r="O76" s="19" t="s">
        <v>29</v>
      </c>
      <c r="P76" s="229" t="s">
        <v>28</v>
      </c>
      <c r="Q76" s="86"/>
      <c r="R76" s="86"/>
      <c r="S76" s="77"/>
      <c r="T76" s="229" t="s">
        <v>28</v>
      </c>
      <c r="U76" s="86"/>
      <c r="V76" s="86"/>
      <c r="W76" s="77"/>
      <c r="X76" s="44" t="s">
        <v>119</v>
      </c>
      <c r="Y76" s="91"/>
      <c r="Z76" s="92"/>
      <c r="AA76" s="47" t="s">
        <v>39</v>
      </c>
      <c r="AB76" s="48"/>
      <c r="AC76" s="48"/>
      <c r="AD76" s="48"/>
      <c r="AE76" s="48"/>
      <c r="AF76" s="48"/>
      <c r="AG76" s="48"/>
      <c r="AH76" s="49"/>
      <c r="AI76" s="50" t="s">
        <v>39</v>
      </c>
      <c r="AJ76" s="51"/>
      <c r="AK76" s="51"/>
      <c r="AL76" s="51"/>
      <c r="AM76" s="51"/>
      <c r="AN76" s="51"/>
      <c r="AO76" s="51"/>
      <c r="AP76" s="51"/>
      <c r="AQ76" s="52"/>
      <c r="AR76" s="21" t="s">
        <v>28</v>
      </c>
      <c r="AS76" s="21" t="s">
        <v>28</v>
      </c>
      <c r="AT76" s="21" t="s">
        <v>39</v>
      </c>
      <c r="AU76" s="47" t="s">
        <v>31</v>
      </c>
      <c r="AV76" s="48"/>
      <c r="AW76" s="48"/>
      <c r="AX76" s="49"/>
      <c r="AY76" s="47" t="s">
        <v>39</v>
      </c>
      <c r="AZ76" s="48"/>
      <c r="BA76" s="48"/>
      <c r="BB76" s="49"/>
      <c r="BC76" s="230"/>
      <c r="BD76" s="107"/>
      <c r="BE76" s="107"/>
      <c r="BF76" s="107"/>
      <c r="BG76" s="107"/>
      <c r="BH76" s="107"/>
      <c r="BI76" s="107"/>
      <c r="BJ76" s="108"/>
      <c r="BK76" s="16"/>
    </row>
    <row r="77" spans="1:63" ht="31.5" customHeight="1" x14ac:dyDescent="0.25">
      <c r="A77" s="15"/>
      <c r="B77" s="47">
        <f t="shared" si="1"/>
        <v>22</v>
      </c>
      <c r="C77" s="49"/>
      <c r="D77" s="237" t="s">
        <v>234</v>
      </c>
      <c r="E77" s="238"/>
      <c r="F77" s="238"/>
      <c r="G77" s="238"/>
      <c r="H77" s="238"/>
      <c r="I77" s="238"/>
      <c r="J77" s="239"/>
      <c r="K77" s="38" t="s">
        <v>240</v>
      </c>
      <c r="L77" s="39"/>
      <c r="M77" s="40"/>
      <c r="N77" s="25" t="s">
        <v>28</v>
      </c>
      <c r="O77" s="19" t="s">
        <v>29</v>
      </c>
      <c r="P77" s="229" t="s">
        <v>28</v>
      </c>
      <c r="Q77" s="86"/>
      <c r="R77" s="86"/>
      <c r="S77" s="77"/>
      <c r="T77" s="229" t="s">
        <v>28</v>
      </c>
      <c r="U77" s="86"/>
      <c r="V77" s="86"/>
      <c r="W77" s="77"/>
      <c r="X77" s="44" t="s">
        <v>73</v>
      </c>
      <c r="Y77" s="91"/>
      <c r="Z77" s="92"/>
      <c r="AA77" s="47" t="s">
        <v>39</v>
      </c>
      <c r="AB77" s="48"/>
      <c r="AC77" s="48"/>
      <c r="AD77" s="48"/>
      <c r="AE77" s="48"/>
      <c r="AF77" s="48"/>
      <c r="AG77" s="48"/>
      <c r="AH77" s="49"/>
      <c r="AI77" s="50" t="s">
        <v>39</v>
      </c>
      <c r="AJ77" s="51"/>
      <c r="AK77" s="51"/>
      <c r="AL77" s="51"/>
      <c r="AM77" s="51"/>
      <c r="AN77" s="51"/>
      <c r="AO77" s="51"/>
      <c r="AP77" s="51"/>
      <c r="AQ77" s="52"/>
      <c r="AR77" s="21" t="s">
        <v>28</v>
      </c>
      <c r="AS77" s="21" t="s">
        <v>28</v>
      </c>
      <c r="AT77" s="21" t="s">
        <v>39</v>
      </c>
      <c r="AU77" s="47" t="s">
        <v>31</v>
      </c>
      <c r="AV77" s="48"/>
      <c r="AW77" s="48"/>
      <c r="AX77" s="49"/>
      <c r="AY77" s="47" t="s">
        <v>39</v>
      </c>
      <c r="AZ77" s="48"/>
      <c r="BA77" s="48"/>
      <c r="BB77" s="49"/>
      <c r="BC77" s="230"/>
      <c r="BD77" s="107"/>
      <c r="BE77" s="107"/>
      <c r="BF77" s="107"/>
      <c r="BG77" s="107"/>
      <c r="BH77" s="107"/>
      <c r="BI77" s="107"/>
      <c r="BJ77" s="108"/>
      <c r="BK77" s="16"/>
    </row>
    <row r="78" spans="1:63" ht="31.5" customHeight="1" x14ac:dyDescent="0.25">
      <c r="A78" s="15"/>
      <c r="B78" s="47">
        <f t="shared" si="1"/>
        <v>23</v>
      </c>
      <c r="C78" s="49"/>
      <c r="D78" s="237" t="s">
        <v>118</v>
      </c>
      <c r="E78" s="238"/>
      <c r="F78" s="238"/>
      <c r="G78" s="238"/>
      <c r="H78" s="238"/>
      <c r="I78" s="238"/>
      <c r="J78" s="239"/>
      <c r="K78" s="38" t="s">
        <v>240</v>
      </c>
      <c r="L78" s="39"/>
      <c r="M78" s="40"/>
      <c r="N78" s="25" t="s">
        <v>28</v>
      </c>
      <c r="O78" s="19" t="s">
        <v>29</v>
      </c>
      <c r="P78" s="229" t="s">
        <v>28</v>
      </c>
      <c r="Q78" s="86"/>
      <c r="R78" s="86"/>
      <c r="S78" s="77"/>
      <c r="T78" s="229" t="s">
        <v>28</v>
      </c>
      <c r="U78" s="86"/>
      <c r="V78" s="86"/>
      <c r="W78" s="77"/>
      <c r="X78" s="44" t="s">
        <v>120</v>
      </c>
      <c r="Y78" s="91"/>
      <c r="Z78" s="92"/>
      <c r="AA78" s="47" t="s">
        <v>39</v>
      </c>
      <c r="AB78" s="48"/>
      <c r="AC78" s="48"/>
      <c r="AD78" s="48"/>
      <c r="AE78" s="48"/>
      <c r="AF78" s="48"/>
      <c r="AG78" s="48"/>
      <c r="AH78" s="49"/>
      <c r="AI78" s="50" t="s">
        <v>39</v>
      </c>
      <c r="AJ78" s="51"/>
      <c r="AK78" s="51"/>
      <c r="AL78" s="51"/>
      <c r="AM78" s="51"/>
      <c r="AN78" s="51"/>
      <c r="AO78" s="51"/>
      <c r="AP78" s="51"/>
      <c r="AQ78" s="52"/>
      <c r="AR78" s="21" t="s">
        <v>28</v>
      </c>
      <c r="AS78" s="21" t="s">
        <v>28</v>
      </c>
      <c r="AT78" s="21" t="s">
        <v>39</v>
      </c>
      <c r="AU78" s="47" t="s">
        <v>31</v>
      </c>
      <c r="AV78" s="48"/>
      <c r="AW78" s="48"/>
      <c r="AX78" s="49"/>
      <c r="AY78" s="47" t="s">
        <v>39</v>
      </c>
      <c r="AZ78" s="48"/>
      <c r="BA78" s="48"/>
      <c r="BB78" s="49"/>
      <c r="BC78" s="230"/>
      <c r="BD78" s="107"/>
      <c r="BE78" s="107"/>
      <c r="BF78" s="107"/>
      <c r="BG78" s="107"/>
      <c r="BH78" s="107"/>
      <c r="BI78" s="107"/>
      <c r="BJ78" s="108"/>
      <c r="BK78" s="16"/>
    </row>
    <row r="79" spans="1:63" ht="15.75" customHeight="1" x14ac:dyDescent="0.25">
      <c r="A79" s="15"/>
      <c r="B79" s="47">
        <v>24.1</v>
      </c>
      <c r="C79" s="49"/>
      <c r="D79" s="234" t="s">
        <v>124</v>
      </c>
      <c r="E79" s="235"/>
      <c r="F79" s="235"/>
      <c r="G79" s="235"/>
      <c r="H79" s="235"/>
      <c r="I79" s="235"/>
      <c r="J79" s="236"/>
      <c r="K79" s="38" t="s">
        <v>240</v>
      </c>
      <c r="L79" s="39"/>
      <c r="M79" s="40"/>
      <c r="N79" s="25" t="s">
        <v>28</v>
      </c>
      <c r="O79" s="19" t="s">
        <v>29</v>
      </c>
      <c r="P79" s="229" t="s">
        <v>28</v>
      </c>
      <c r="Q79" s="86"/>
      <c r="R79" s="86"/>
      <c r="S79" s="77"/>
      <c r="T79" s="229" t="s">
        <v>28</v>
      </c>
      <c r="U79" s="86"/>
      <c r="V79" s="86"/>
      <c r="W79" s="77"/>
      <c r="X79" s="44" t="s">
        <v>114</v>
      </c>
      <c r="Y79" s="91"/>
      <c r="Z79" s="92"/>
      <c r="AA79" s="47" t="s">
        <v>39</v>
      </c>
      <c r="AB79" s="48"/>
      <c r="AC79" s="48"/>
      <c r="AD79" s="48"/>
      <c r="AE79" s="48"/>
      <c r="AF79" s="48"/>
      <c r="AG79" s="48"/>
      <c r="AH79" s="49"/>
      <c r="AI79" s="50" t="s">
        <v>39</v>
      </c>
      <c r="AJ79" s="51"/>
      <c r="AK79" s="51"/>
      <c r="AL79" s="51"/>
      <c r="AM79" s="51"/>
      <c r="AN79" s="51"/>
      <c r="AO79" s="51"/>
      <c r="AP79" s="51"/>
      <c r="AQ79" s="52"/>
      <c r="AR79" s="21" t="s">
        <v>28</v>
      </c>
      <c r="AS79" s="21" t="s">
        <v>28</v>
      </c>
      <c r="AT79" s="21" t="s">
        <v>39</v>
      </c>
      <c r="AU79" s="47" t="s">
        <v>31</v>
      </c>
      <c r="AV79" s="48"/>
      <c r="AW79" s="48"/>
      <c r="AX79" s="49"/>
      <c r="AY79" s="47" t="s">
        <v>39</v>
      </c>
      <c r="AZ79" s="48"/>
      <c r="BA79" s="48"/>
      <c r="BB79" s="49"/>
      <c r="BC79" s="230"/>
      <c r="BD79" s="107"/>
      <c r="BE79" s="107"/>
      <c r="BF79" s="107"/>
      <c r="BG79" s="107"/>
      <c r="BH79" s="107"/>
      <c r="BI79" s="107"/>
      <c r="BJ79" s="108"/>
      <c r="BK79" s="16"/>
    </row>
    <row r="80" spans="1:63" ht="32.25" customHeight="1" x14ac:dyDescent="0.25">
      <c r="A80" s="15"/>
      <c r="B80" s="47">
        <v>24.2</v>
      </c>
      <c r="C80" s="49"/>
      <c r="D80" s="231" t="s">
        <v>107</v>
      </c>
      <c r="E80" s="232"/>
      <c r="F80" s="232"/>
      <c r="G80" s="232"/>
      <c r="H80" s="232"/>
      <c r="I80" s="232"/>
      <c r="J80" s="233"/>
      <c r="K80" s="38" t="s">
        <v>240</v>
      </c>
      <c r="L80" s="39"/>
      <c r="M80" s="40"/>
      <c r="N80" s="25" t="s">
        <v>245</v>
      </c>
      <c r="O80" s="19" t="s">
        <v>28</v>
      </c>
      <c r="P80" s="229" t="s">
        <v>28</v>
      </c>
      <c r="Q80" s="86"/>
      <c r="R80" s="86"/>
      <c r="S80" s="77"/>
      <c r="T80" s="229" t="s">
        <v>28</v>
      </c>
      <c r="U80" s="86"/>
      <c r="V80" s="86"/>
      <c r="W80" s="77"/>
      <c r="X80" s="44" t="s">
        <v>28</v>
      </c>
      <c r="Y80" s="91"/>
      <c r="Z80" s="92"/>
      <c r="AA80" s="47" t="s">
        <v>39</v>
      </c>
      <c r="AB80" s="48"/>
      <c r="AC80" s="48"/>
      <c r="AD80" s="48"/>
      <c r="AE80" s="48"/>
      <c r="AF80" s="48"/>
      <c r="AG80" s="48"/>
      <c r="AH80" s="49"/>
      <c r="AI80" s="50" t="s">
        <v>39</v>
      </c>
      <c r="AJ80" s="51"/>
      <c r="AK80" s="51"/>
      <c r="AL80" s="51"/>
      <c r="AM80" s="51"/>
      <c r="AN80" s="51"/>
      <c r="AO80" s="51"/>
      <c r="AP80" s="51"/>
      <c r="AQ80" s="52"/>
      <c r="AR80" s="21" t="s">
        <v>28</v>
      </c>
      <c r="AS80" s="21" t="s">
        <v>28</v>
      </c>
      <c r="AT80" s="21" t="s">
        <v>39</v>
      </c>
      <c r="AU80" s="47" t="s">
        <v>31</v>
      </c>
      <c r="AV80" s="48"/>
      <c r="AW80" s="48"/>
      <c r="AX80" s="49"/>
      <c r="AY80" s="47" t="s">
        <v>39</v>
      </c>
      <c r="AZ80" s="48"/>
      <c r="BA80" s="48"/>
      <c r="BB80" s="49"/>
      <c r="BC80" s="230"/>
      <c r="BD80" s="107"/>
      <c r="BE80" s="107"/>
      <c r="BF80" s="107"/>
      <c r="BG80" s="107"/>
      <c r="BH80" s="107"/>
      <c r="BI80" s="107"/>
      <c r="BJ80" s="108"/>
      <c r="BK80" s="16"/>
    </row>
    <row r="81" spans="1:63" ht="15.75" customHeight="1" x14ac:dyDescent="0.25">
      <c r="A81" s="15"/>
      <c r="B81" s="47">
        <v>24.3</v>
      </c>
      <c r="C81" s="49"/>
      <c r="D81" s="231" t="s">
        <v>121</v>
      </c>
      <c r="E81" s="232"/>
      <c r="F81" s="232"/>
      <c r="G81" s="232"/>
      <c r="H81" s="232"/>
      <c r="I81" s="232"/>
      <c r="J81" s="233"/>
      <c r="K81" s="38" t="s">
        <v>240</v>
      </c>
      <c r="L81" s="39"/>
      <c r="M81" s="40"/>
      <c r="N81" s="25" t="s">
        <v>245</v>
      </c>
      <c r="O81" s="19" t="s">
        <v>28</v>
      </c>
      <c r="P81" s="229" t="s">
        <v>28</v>
      </c>
      <c r="Q81" s="86"/>
      <c r="R81" s="86"/>
      <c r="S81" s="77"/>
      <c r="T81" s="229" t="s">
        <v>28</v>
      </c>
      <c r="U81" s="86"/>
      <c r="V81" s="86"/>
      <c r="W81" s="77"/>
      <c r="X81" s="44" t="s">
        <v>28</v>
      </c>
      <c r="Y81" s="91"/>
      <c r="Z81" s="92"/>
      <c r="AA81" s="47" t="s">
        <v>39</v>
      </c>
      <c r="AB81" s="48"/>
      <c r="AC81" s="48"/>
      <c r="AD81" s="48"/>
      <c r="AE81" s="48"/>
      <c r="AF81" s="48"/>
      <c r="AG81" s="48"/>
      <c r="AH81" s="49"/>
      <c r="AI81" s="50" t="s">
        <v>39</v>
      </c>
      <c r="AJ81" s="51"/>
      <c r="AK81" s="51"/>
      <c r="AL81" s="51"/>
      <c r="AM81" s="51"/>
      <c r="AN81" s="51"/>
      <c r="AO81" s="51"/>
      <c r="AP81" s="51"/>
      <c r="AQ81" s="52"/>
      <c r="AR81" s="21" t="s">
        <v>28</v>
      </c>
      <c r="AS81" s="21" t="s">
        <v>28</v>
      </c>
      <c r="AT81" s="21" t="s">
        <v>39</v>
      </c>
      <c r="AU81" s="47" t="s">
        <v>31</v>
      </c>
      <c r="AV81" s="48"/>
      <c r="AW81" s="48"/>
      <c r="AX81" s="49"/>
      <c r="AY81" s="47" t="s">
        <v>39</v>
      </c>
      <c r="AZ81" s="48"/>
      <c r="BA81" s="48"/>
      <c r="BB81" s="49"/>
      <c r="BC81" s="230"/>
      <c r="BD81" s="107"/>
      <c r="BE81" s="107"/>
      <c r="BF81" s="107"/>
      <c r="BG81" s="107"/>
      <c r="BH81" s="107"/>
      <c r="BI81" s="107"/>
      <c r="BJ81" s="108"/>
      <c r="BK81" s="16"/>
    </row>
    <row r="82" spans="1:63" ht="15.75" customHeight="1" x14ac:dyDescent="0.25">
      <c r="A82" s="15"/>
      <c r="B82" s="47">
        <v>24.4</v>
      </c>
      <c r="C82" s="49"/>
      <c r="D82" s="231" t="s">
        <v>122</v>
      </c>
      <c r="E82" s="232"/>
      <c r="F82" s="232"/>
      <c r="G82" s="232"/>
      <c r="H82" s="232"/>
      <c r="I82" s="232"/>
      <c r="J82" s="233"/>
      <c r="K82" s="38" t="s">
        <v>240</v>
      </c>
      <c r="L82" s="39"/>
      <c r="M82" s="40"/>
      <c r="N82" s="25" t="s">
        <v>245</v>
      </c>
      <c r="O82" s="19" t="s">
        <v>28</v>
      </c>
      <c r="P82" s="229" t="s">
        <v>28</v>
      </c>
      <c r="Q82" s="86"/>
      <c r="R82" s="86"/>
      <c r="S82" s="77"/>
      <c r="T82" s="229" t="s">
        <v>28</v>
      </c>
      <c r="U82" s="86"/>
      <c r="V82" s="86"/>
      <c r="W82" s="77"/>
      <c r="X82" s="44" t="s">
        <v>28</v>
      </c>
      <c r="Y82" s="91"/>
      <c r="Z82" s="92"/>
      <c r="AA82" s="47" t="s">
        <v>39</v>
      </c>
      <c r="AB82" s="48"/>
      <c r="AC82" s="48"/>
      <c r="AD82" s="48"/>
      <c r="AE82" s="48"/>
      <c r="AF82" s="48"/>
      <c r="AG82" s="48"/>
      <c r="AH82" s="49"/>
      <c r="AI82" s="50" t="s">
        <v>39</v>
      </c>
      <c r="AJ82" s="51"/>
      <c r="AK82" s="51"/>
      <c r="AL82" s="51"/>
      <c r="AM82" s="51"/>
      <c r="AN82" s="51"/>
      <c r="AO82" s="51"/>
      <c r="AP82" s="51"/>
      <c r="AQ82" s="52"/>
      <c r="AR82" s="21" t="s">
        <v>28</v>
      </c>
      <c r="AS82" s="21" t="s">
        <v>28</v>
      </c>
      <c r="AT82" s="21" t="s">
        <v>39</v>
      </c>
      <c r="AU82" s="47" t="s">
        <v>31</v>
      </c>
      <c r="AV82" s="48"/>
      <c r="AW82" s="48"/>
      <c r="AX82" s="49"/>
      <c r="AY82" s="47" t="s">
        <v>39</v>
      </c>
      <c r="AZ82" s="48"/>
      <c r="BA82" s="48"/>
      <c r="BB82" s="49"/>
      <c r="BC82" s="230"/>
      <c r="BD82" s="107"/>
      <c r="BE82" s="107"/>
      <c r="BF82" s="107"/>
      <c r="BG82" s="107"/>
      <c r="BH82" s="107"/>
      <c r="BI82" s="107"/>
      <c r="BJ82" s="108"/>
      <c r="BK82" s="16"/>
    </row>
    <row r="83" spans="1:63" ht="15.75" customHeight="1" x14ac:dyDescent="0.25">
      <c r="A83" s="15"/>
      <c r="B83" s="47">
        <v>24.5</v>
      </c>
      <c r="C83" s="49"/>
      <c r="D83" s="231" t="s">
        <v>117</v>
      </c>
      <c r="E83" s="232"/>
      <c r="F83" s="232"/>
      <c r="G83" s="232"/>
      <c r="H83" s="232"/>
      <c r="I83" s="232"/>
      <c r="J83" s="233"/>
      <c r="K83" s="38" t="s">
        <v>240</v>
      </c>
      <c r="L83" s="39"/>
      <c r="M83" s="40"/>
      <c r="N83" s="25" t="s">
        <v>245</v>
      </c>
      <c r="O83" s="19" t="s">
        <v>28</v>
      </c>
      <c r="P83" s="229" t="s">
        <v>28</v>
      </c>
      <c r="Q83" s="86"/>
      <c r="R83" s="86"/>
      <c r="S83" s="77"/>
      <c r="T83" s="229" t="s">
        <v>28</v>
      </c>
      <c r="U83" s="86"/>
      <c r="V83" s="86"/>
      <c r="W83" s="77"/>
      <c r="X83" s="44" t="s">
        <v>28</v>
      </c>
      <c r="Y83" s="91"/>
      <c r="Z83" s="92"/>
      <c r="AA83" s="47" t="s">
        <v>39</v>
      </c>
      <c r="AB83" s="48"/>
      <c r="AC83" s="48"/>
      <c r="AD83" s="48"/>
      <c r="AE83" s="48"/>
      <c r="AF83" s="48"/>
      <c r="AG83" s="48"/>
      <c r="AH83" s="49"/>
      <c r="AI83" s="50" t="s">
        <v>39</v>
      </c>
      <c r="AJ83" s="51"/>
      <c r="AK83" s="51"/>
      <c r="AL83" s="51"/>
      <c r="AM83" s="51"/>
      <c r="AN83" s="51"/>
      <c r="AO83" s="51"/>
      <c r="AP83" s="51"/>
      <c r="AQ83" s="52"/>
      <c r="AR83" s="21" t="s">
        <v>28</v>
      </c>
      <c r="AS83" s="21" t="s">
        <v>28</v>
      </c>
      <c r="AT83" s="21" t="s">
        <v>39</v>
      </c>
      <c r="AU83" s="47" t="s">
        <v>31</v>
      </c>
      <c r="AV83" s="48"/>
      <c r="AW83" s="48"/>
      <c r="AX83" s="49"/>
      <c r="AY83" s="47" t="s">
        <v>39</v>
      </c>
      <c r="AZ83" s="48"/>
      <c r="BA83" s="48"/>
      <c r="BB83" s="49"/>
      <c r="BC83" s="230" t="s">
        <v>267</v>
      </c>
      <c r="BD83" s="107"/>
      <c r="BE83" s="107"/>
      <c r="BF83" s="107"/>
      <c r="BG83" s="107"/>
      <c r="BH83" s="107"/>
      <c r="BI83" s="107"/>
      <c r="BJ83" s="108"/>
      <c r="BK83" s="16"/>
    </row>
    <row r="84" spans="1:63" ht="15.75" customHeight="1" x14ac:dyDescent="0.25">
      <c r="A84" s="15"/>
      <c r="B84" s="47">
        <v>24.6</v>
      </c>
      <c r="C84" s="49"/>
      <c r="D84" s="261" t="s">
        <v>123</v>
      </c>
      <c r="E84" s="262"/>
      <c r="F84" s="262"/>
      <c r="G84" s="262"/>
      <c r="H84" s="262"/>
      <c r="I84" s="262"/>
      <c r="J84" s="263"/>
      <c r="K84" s="38" t="s">
        <v>240</v>
      </c>
      <c r="L84" s="39"/>
      <c r="M84" s="40"/>
      <c r="N84" s="25" t="s">
        <v>245</v>
      </c>
      <c r="O84" s="19" t="s">
        <v>28</v>
      </c>
      <c r="P84" s="229" t="s">
        <v>28</v>
      </c>
      <c r="Q84" s="86"/>
      <c r="R84" s="86"/>
      <c r="S84" s="77"/>
      <c r="T84" s="229" t="s">
        <v>28</v>
      </c>
      <c r="U84" s="86"/>
      <c r="V84" s="86"/>
      <c r="W84" s="77"/>
      <c r="X84" s="44" t="s">
        <v>28</v>
      </c>
      <c r="Y84" s="91"/>
      <c r="Z84" s="92"/>
      <c r="AA84" s="47" t="s">
        <v>39</v>
      </c>
      <c r="AB84" s="48"/>
      <c r="AC84" s="48"/>
      <c r="AD84" s="48"/>
      <c r="AE84" s="48"/>
      <c r="AF84" s="48"/>
      <c r="AG84" s="48"/>
      <c r="AH84" s="49"/>
      <c r="AI84" s="50" t="s">
        <v>39</v>
      </c>
      <c r="AJ84" s="51"/>
      <c r="AK84" s="51"/>
      <c r="AL84" s="51"/>
      <c r="AM84" s="51"/>
      <c r="AN84" s="51"/>
      <c r="AO84" s="51"/>
      <c r="AP84" s="51"/>
      <c r="AQ84" s="52"/>
      <c r="AR84" s="21" t="s">
        <v>28</v>
      </c>
      <c r="AS84" s="21" t="s">
        <v>28</v>
      </c>
      <c r="AT84" s="21" t="s">
        <v>39</v>
      </c>
      <c r="AU84" s="47" t="s">
        <v>31</v>
      </c>
      <c r="AV84" s="48"/>
      <c r="AW84" s="48"/>
      <c r="AX84" s="49"/>
      <c r="AY84" s="47" t="s">
        <v>39</v>
      </c>
      <c r="AZ84" s="48"/>
      <c r="BA84" s="48"/>
      <c r="BB84" s="49"/>
      <c r="BC84" s="230" t="s">
        <v>82</v>
      </c>
      <c r="BD84" s="107"/>
      <c r="BE84" s="107"/>
      <c r="BF84" s="107"/>
      <c r="BG84" s="107"/>
      <c r="BH84" s="107"/>
      <c r="BI84" s="107"/>
      <c r="BJ84" s="108"/>
      <c r="BK84" s="16"/>
    </row>
    <row r="85" spans="1:63" ht="32.25" customHeight="1" x14ac:dyDescent="0.25">
      <c r="A85" s="15"/>
      <c r="B85" s="47">
        <v>25</v>
      </c>
      <c r="C85" s="49"/>
      <c r="D85" s="234" t="s">
        <v>124</v>
      </c>
      <c r="E85" s="235"/>
      <c r="F85" s="235"/>
      <c r="G85" s="235"/>
      <c r="H85" s="235"/>
      <c r="I85" s="235"/>
      <c r="J85" s="236"/>
      <c r="K85" s="38" t="s">
        <v>240</v>
      </c>
      <c r="L85" s="39"/>
      <c r="M85" s="40"/>
      <c r="N85" s="25" t="s">
        <v>28</v>
      </c>
      <c r="O85" s="19" t="s">
        <v>29</v>
      </c>
      <c r="P85" s="229" t="s">
        <v>28</v>
      </c>
      <c r="Q85" s="86"/>
      <c r="R85" s="86"/>
      <c r="S85" s="77"/>
      <c r="T85" s="229" t="s">
        <v>28</v>
      </c>
      <c r="U85" s="86"/>
      <c r="V85" s="86"/>
      <c r="W85" s="77"/>
      <c r="X85" s="44" t="s">
        <v>114</v>
      </c>
      <c r="Y85" s="91"/>
      <c r="Z85" s="92"/>
      <c r="AA85" s="47" t="s">
        <v>39</v>
      </c>
      <c r="AB85" s="48"/>
      <c r="AC85" s="48"/>
      <c r="AD85" s="48"/>
      <c r="AE85" s="48"/>
      <c r="AF85" s="48"/>
      <c r="AG85" s="48"/>
      <c r="AH85" s="49"/>
      <c r="AI85" s="50" t="s">
        <v>39</v>
      </c>
      <c r="AJ85" s="51"/>
      <c r="AK85" s="51"/>
      <c r="AL85" s="51"/>
      <c r="AM85" s="51"/>
      <c r="AN85" s="51"/>
      <c r="AO85" s="51"/>
      <c r="AP85" s="51"/>
      <c r="AQ85" s="52"/>
      <c r="AR85" s="21" t="s">
        <v>28</v>
      </c>
      <c r="AS85" s="21" t="s">
        <v>28</v>
      </c>
      <c r="AT85" s="21" t="s">
        <v>39</v>
      </c>
      <c r="AU85" s="47" t="s">
        <v>31</v>
      </c>
      <c r="AV85" s="48"/>
      <c r="AW85" s="48"/>
      <c r="AX85" s="49"/>
      <c r="AY85" s="47" t="s">
        <v>39</v>
      </c>
      <c r="AZ85" s="48"/>
      <c r="BA85" s="48"/>
      <c r="BB85" s="49"/>
      <c r="BC85" s="230"/>
      <c r="BD85" s="107"/>
      <c r="BE85" s="107"/>
      <c r="BF85" s="107"/>
      <c r="BG85" s="107"/>
      <c r="BH85" s="107"/>
      <c r="BI85" s="107"/>
      <c r="BJ85" s="108"/>
      <c r="BK85" s="16"/>
    </row>
    <row r="86" spans="1:63" ht="31.5" customHeight="1" x14ac:dyDescent="0.25">
      <c r="A86" s="15"/>
      <c r="B86" s="47">
        <f t="shared" ref="B86:B88" si="2">B85+1</f>
        <v>26</v>
      </c>
      <c r="C86" s="49"/>
      <c r="D86" s="237" t="s">
        <v>125</v>
      </c>
      <c r="E86" s="238"/>
      <c r="F86" s="238"/>
      <c r="G86" s="238"/>
      <c r="H86" s="238"/>
      <c r="I86" s="238"/>
      <c r="J86" s="239"/>
      <c r="K86" s="38" t="s">
        <v>240</v>
      </c>
      <c r="L86" s="39"/>
      <c r="M86" s="40"/>
      <c r="N86" s="25" t="s">
        <v>28</v>
      </c>
      <c r="O86" s="19" t="s">
        <v>29</v>
      </c>
      <c r="P86" s="229" t="s">
        <v>28</v>
      </c>
      <c r="Q86" s="86"/>
      <c r="R86" s="86"/>
      <c r="S86" s="77"/>
      <c r="T86" s="229" t="s">
        <v>28</v>
      </c>
      <c r="U86" s="86"/>
      <c r="V86" s="86"/>
      <c r="W86" s="77"/>
      <c r="X86" s="44" t="s">
        <v>128</v>
      </c>
      <c r="Y86" s="91"/>
      <c r="Z86" s="92"/>
      <c r="AA86" s="47" t="s">
        <v>39</v>
      </c>
      <c r="AB86" s="48"/>
      <c r="AC86" s="48"/>
      <c r="AD86" s="48"/>
      <c r="AE86" s="48"/>
      <c r="AF86" s="48"/>
      <c r="AG86" s="48"/>
      <c r="AH86" s="49"/>
      <c r="AI86" s="50" t="s">
        <v>39</v>
      </c>
      <c r="AJ86" s="51"/>
      <c r="AK86" s="51"/>
      <c r="AL86" s="51"/>
      <c r="AM86" s="51"/>
      <c r="AN86" s="51"/>
      <c r="AO86" s="51"/>
      <c r="AP86" s="51"/>
      <c r="AQ86" s="52"/>
      <c r="AR86" s="21" t="s">
        <v>28</v>
      </c>
      <c r="AS86" s="21" t="s">
        <v>28</v>
      </c>
      <c r="AT86" s="21" t="s">
        <v>39</v>
      </c>
      <c r="AU86" s="47" t="s">
        <v>31</v>
      </c>
      <c r="AV86" s="48"/>
      <c r="AW86" s="48"/>
      <c r="AX86" s="49"/>
      <c r="AY86" s="47" t="s">
        <v>39</v>
      </c>
      <c r="AZ86" s="48"/>
      <c r="BA86" s="48"/>
      <c r="BB86" s="49"/>
      <c r="BC86" s="230"/>
      <c r="BD86" s="107"/>
      <c r="BE86" s="107"/>
      <c r="BF86" s="107"/>
      <c r="BG86" s="107"/>
      <c r="BH86" s="107"/>
      <c r="BI86" s="107"/>
      <c r="BJ86" s="108"/>
      <c r="BK86" s="16"/>
    </row>
    <row r="87" spans="1:63" ht="31.5" customHeight="1" x14ac:dyDescent="0.25">
      <c r="A87" s="15"/>
      <c r="B87" s="47">
        <f t="shared" si="2"/>
        <v>27</v>
      </c>
      <c r="C87" s="49"/>
      <c r="D87" s="237" t="s">
        <v>126</v>
      </c>
      <c r="E87" s="238"/>
      <c r="F87" s="238"/>
      <c r="G87" s="238"/>
      <c r="H87" s="238"/>
      <c r="I87" s="238"/>
      <c r="J87" s="239"/>
      <c r="K87" s="38" t="s">
        <v>240</v>
      </c>
      <c r="L87" s="39"/>
      <c r="M87" s="40"/>
      <c r="N87" s="25" t="s">
        <v>28</v>
      </c>
      <c r="O87" s="19" t="s">
        <v>29</v>
      </c>
      <c r="P87" s="229" t="s">
        <v>28</v>
      </c>
      <c r="Q87" s="86"/>
      <c r="R87" s="86"/>
      <c r="S87" s="77"/>
      <c r="T87" s="229" t="s">
        <v>28</v>
      </c>
      <c r="U87" s="86"/>
      <c r="V87" s="86"/>
      <c r="W87" s="77"/>
      <c r="X87" s="44" t="s">
        <v>28</v>
      </c>
      <c r="Y87" s="91"/>
      <c r="Z87" s="92"/>
      <c r="AA87" s="47" t="s">
        <v>39</v>
      </c>
      <c r="AB87" s="48"/>
      <c r="AC87" s="48"/>
      <c r="AD87" s="48"/>
      <c r="AE87" s="48"/>
      <c r="AF87" s="48"/>
      <c r="AG87" s="48"/>
      <c r="AH87" s="49"/>
      <c r="AI87" s="50" t="s">
        <v>39</v>
      </c>
      <c r="AJ87" s="51"/>
      <c r="AK87" s="51"/>
      <c r="AL87" s="51"/>
      <c r="AM87" s="51"/>
      <c r="AN87" s="51"/>
      <c r="AO87" s="51"/>
      <c r="AP87" s="51"/>
      <c r="AQ87" s="52"/>
      <c r="AR87" s="21" t="s">
        <v>28</v>
      </c>
      <c r="AS87" s="21" t="s">
        <v>28</v>
      </c>
      <c r="AT87" s="21" t="s">
        <v>39</v>
      </c>
      <c r="AU87" s="47" t="s">
        <v>31</v>
      </c>
      <c r="AV87" s="48"/>
      <c r="AW87" s="48"/>
      <c r="AX87" s="49"/>
      <c r="AY87" s="47" t="s">
        <v>39</v>
      </c>
      <c r="AZ87" s="48"/>
      <c r="BA87" s="48"/>
      <c r="BB87" s="49"/>
      <c r="BC87" s="230"/>
      <c r="BD87" s="107"/>
      <c r="BE87" s="107"/>
      <c r="BF87" s="107"/>
      <c r="BG87" s="107"/>
      <c r="BH87" s="107"/>
      <c r="BI87" s="107"/>
      <c r="BJ87" s="108"/>
      <c r="BK87" s="16"/>
    </row>
    <row r="88" spans="1:63" ht="15.75" customHeight="1" x14ac:dyDescent="0.25">
      <c r="A88" s="15"/>
      <c r="B88" s="70">
        <f t="shared" si="2"/>
        <v>28</v>
      </c>
      <c r="C88" s="66"/>
      <c r="D88" s="220" t="s">
        <v>127</v>
      </c>
      <c r="E88" s="221"/>
      <c r="F88" s="221"/>
      <c r="G88" s="221"/>
      <c r="H88" s="221"/>
      <c r="I88" s="221"/>
      <c r="J88" s="222"/>
      <c r="K88" s="61" t="s">
        <v>240</v>
      </c>
      <c r="L88" s="62"/>
      <c r="M88" s="63"/>
      <c r="N88" s="26" t="s">
        <v>28</v>
      </c>
      <c r="O88" s="23" t="s">
        <v>29</v>
      </c>
      <c r="P88" s="223" t="s">
        <v>28</v>
      </c>
      <c r="Q88" s="224"/>
      <c r="R88" s="224"/>
      <c r="S88" s="57"/>
      <c r="T88" s="223" t="s">
        <v>28</v>
      </c>
      <c r="U88" s="224"/>
      <c r="V88" s="224"/>
      <c r="W88" s="57"/>
      <c r="X88" s="67" t="s">
        <v>127</v>
      </c>
      <c r="Y88" s="214"/>
      <c r="Z88" s="215"/>
      <c r="AA88" s="70" t="s">
        <v>39</v>
      </c>
      <c r="AB88" s="65"/>
      <c r="AC88" s="65"/>
      <c r="AD88" s="65"/>
      <c r="AE88" s="65"/>
      <c r="AF88" s="65"/>
      <c r="AG88" s="65"/>
      <c r="AH88" s="66"/>
      <c r="AI88" s="225" t="s">
        <v>39</v>
      </c>
      <c r="AJ88" s="72"/>
      <c r="AK88" s="72"/>
      <c r="AL88" s="72"/>
      <c r="AM88" s="72"/>
      <c r="AN88" s="72"/>
      <c r="AO88" s="72"/>
      <c r="AP88" s="72"/>
      <c r="AQ88" s="73"/>
      <c r="AR88" s="24" t="s">
        <v>28</v>
      </c>
      <c r="AS88" s="24" t="s">
        <v>28</v>
      </c>
      <c r="AT88" s="24" t="s">
        <v>39</v>
      </c>
      <c r="AU88" s="70" t="s">
        <v>31</v>
      </c>
      <c r="AV88" s="65"/>
      <c r="AW88" s="65"/>
      <c r="AX88" s="66"/>
      <c r="AY88" s="70" t="s">
        <v>39</v>
      </c>
      <c r="AZ88" s="65"/>
      <c r="BA88" s="65"/>
      <c r="BB88" s="66"/>
      <c r="BC88" s="219"/>
      <c r="BD88" s="74"/>
      <c r="BE88" s="74"/>
      <c r="BF88" s="74"/>
      <c r="BG88" s="74"/>
      <c r="BH88" s="74"/>
      <c r="BI88" s="74"/>
      <c r="BJ88" s="75"/>
      <c r="BK88" s="16"/>
    </row>
    <row r="92" spans="1:63" ht="15" customHeight="1" x14ac:dyDescent="0.25">
      <c r="A92" s="15"/>
      <c r="B92" s="27" t="s">
        <v>130</v>
      </c>
      <c r="C92" s="28"/>
      <c r="D92" s="28"/>
      <c r="E92" s="28"/>
      <c r="F92" s="28"/>
      <c r="G92" s="28"/>
      <c r="H92" s="28"/>
      <c r="I92" s="28"/>
      <c r="J92" s="28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7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30"/>
    </row>
    <row r="126" spans="1:63" ht="15" customHeight="1" x14ac:dyDescent="0.25">
      <c r="A126" s="15"/>
      <c r="B126" s="17" t="s">
        <v>228</v>
      </c>
      <c r="BK126" s="16"/>
    </row>
    <row r="127" spans="1:63" x14ac:dyDescent="0.25">
      <c r="A127" s="15"/>
      <c r="BK127" s="16"/>
    </row>
    <row r="129" spans="1:63" ht="15.75" customHeight="1" x14ac:dyDescent="0.25">
      <c r="A129" s="15"/>
      <c r="B129" s="126" t="s">
        <v>229</v>
      </c>
      <c r="C129" s="127"/>
      <c r="D129" s="132" t="s">
        <v>230</v>
      </c>
      <c r="E129" s="133"/>
      <c r="F129" s="133"/>
      <c r="G129" s="133"/>
      <c r="H129" s="133"/>
      <c r="I129" s="133"/>
      <c r="J129" s="127"/>
      <c r="K129" s="132" t="s">
        <v>242</v>
      </c>
      <c r="L129" s="133"/>
      <c r="M129" s="127"/>
      <c r="N129" s="136" t="s">
        <v>243</v>
      </c>
      <c r="O129" s="139" t="s">
        <v>246</v>
      </c>
      <c r="P129" s="142" t="s">
        <v>247</v>
      </c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4"/>
      <c r="AR129" s="145" t="s">
        <v>262</v>
      </c>
      <c r="AS129" s="146"/>
      <c r="AT129" s="146"/>
      <c r="AU129" s="146"/>
      <c r="AV129" s="146"/>
      <c r="AW129" s="146"/>
      <c r="AX129" s="146"/>
      <c r="AY129" s="146"/>
      <c r="AZ129" s="146"/>
      <c r="BA129" s="146"/>
      <c r="BB129" s="147"/>
      <c r="BC129" s="148" t="s">
        <v>266</v>
      </c>
      <c r="BD129" s="149"/>
      <c r="BE129" s="149"/>
      <c r="BF129" s="149"/>
      <c r="BG129" s="149"/>
      <c r="BH129" s="149"/>
      <c r="BI129" s="149"/>
      <c r="BJ129" s="150"/>
      <c r="BK129" s="16"/>
    </row>
    <row r="130" spans="1:63" ht="15.75" customHeight="1" x14ac:dyDescent="0.25">
      <c r="A130" s="15"/>
      <c r="B130" s="128"/>
      <c r="C130" s="129"/>
      <c r="D130" s="128"/>
      <c r="E130" s="134"/>
      <c r="F130" s="134"/>
      <c r="G130" s="134"/>
      <c r="H130" s="134"/>
      <c r="I130" s="134"/>
      <c r="J130" s="129"/>
      <c r="K130" s="128"/>
      <c r="L130" s="134"/>
      <c r="M130" s="129"/>
      <c r="N130" s="137"/>
      <c r="O130" s="140"/>
      <c r="P130" s="157" t="s">
        <v>248</v>
      </c>
      <c r="Q130" s="158"/>
      <c r="R130" s="158"/>
      <c r="S130" s="158"/>
      <c r="T130" s="158"/>
      <c r="U130" s="158"/>
      <c r="V130" s="158"/>
      <c r="W130" s="159"/>
      <c r="X130" s="160" t="s">
        <v>250</v>
      </c>
      <c r="Y130" s="161"/>
      <c r="Z130" s="162"/>
      <c r="AA130" s="160" t="s">
        <v>258</v>
      </c>
      <c r="AB130" s="161"/>
      <c r="AC130" s="161"/>
      <c r="AD130" s="161"/>
      <c r="AE130" s="161"/>
      <c r="AF130" s="161"/>
      <c r="AG130" s="161"/>
      <c r="AH130" s="162"/>
      <c r="AI130" s="160" t="s">
        <v>260</v>
      </c>
      <c r="AJ130" s="161"/>
      <c r="AK130" s="161"/>
      <c r="AL130" s="161"/>
      <c r="AM130" s="161"/>
      <c r="AN130" s="161"/>
      <c r="AO130" s="161"/>
      <c r="AP130" s="161"/>
      <c r="AQ130" s="162"/>
      <c r="AR130" s="166" t="s">
        <v>263</v>
      </c>
      <c r="AS130" s="168" t="s">
        <v>264</v>
      </c>
      <c r="AT130" s="170" t="s">
        <v>265</v>
      </c>
      <c r="AU130" s="145" t="s">
        <v>248</v>
      </c>
      <c r="AV130" s="146"/>
      <c r="AW130" s="146"/>
      <c r="AX130" s="146"/>
      <c r="AY130" s="146"/>
      <c r="AZ130" s="146"/>
      <c r="BA130" s="146"/>
      <c r="BB130" s="147"/>
      <c r="BC130" s="151"/>
      <c r="BD130" s="152"/>
      <c r="BE130" s="152"/>
      <c r="BF130" s="152"/>
      <c r="BG130" s="152"/>
      <c r="BH130" s="152"/>
      <c r="BI130" s="152"/>
      <c r="BJ130" s="153"/>
      <c r="BK130" s="16"/>
    </row>
    <row r="131" spans="1:63" x14ac:dyDescent="0.25">
      <c r="A131" s="15"/>
      <c r="B131" s="130"/>
      <c r="C131" s="131"/>
      <c r="D131" s="130"/>
      <c r="E131" s="135"/>
      <c r="F131" s="135"/>
      <c r="G131" s="135"/>
      <c r="H131" s="135"/>
      <c r="I131" s="135"/>
      <c r="J131" s="131"/>
      <c r="K131" s="130"/>
      <c r="L131" s="135"/>
      <c r="M131" s="131"/>
      <c r="N131" s="138"/>
      <c r="O131" s="141"/>
      <c r="P131" s="142" t="s">
        <v>249</v>
      </c>
      <c r="Q131" s="143"/>
      <c r="R131" s="143"/>
      <c r="S131" s="144"/>
      <c r="T131" s="142" t="s">
        <v>230</v>
      </c>
      <c r="U131" s="143"/>
      <c r="V131" s="143"/>
      <c r="W131" s="144"/>
      <c r="X131" s="163"/>
      <c r="Y131" s="164"/>
      <c r="Z131" s="165"/>
      <c r="AA131" s="163"/>
      <c r="AB131" s="164"/>
      <c r="AC131" s="164"/>
      <c r="AD131" s="164"/>
      <c r="AE131" s="164"/>
      <c r="AF131" s="164"/>
      <c r="AG131" s="164"/>
      <c r="AH131" s="165"/>
      <c r="AI131" s="163"/>
      <c r="AJ131" s="164"/>
      <c r="AK131" s="164"/>
      <c r="AL131" s="164"/>
      <c r="AM131" s="164"/>
      <c r="AN131" s="164"/>
      <c r="AO131" s="164"/>
      <c r="AP131" s="164"/>
      <c r="AQ131" s="165"/>
      <c r="AR131" s="167"/>
      <c r="AS131" s="169"/>
      <c r="AT131" s="171"/>
      <c r="AU131" s="145" t="s">
        <v>249</v>
      </c>
      <c r="AV131" s="146"/>
      <c r="AW131" s="146"/>
      <c r="AX131" s="172"/>
      <c r="AY131" s="173" t="s">
        <v>230</v>
      </c>
      <c r="AZ131" s="146"/>
      <c r="BA131" s="146"/>
      <c r="BB131" s="147"/>
      <c r="BC131" s="154"/>
      <c r="BD131" s="155"/>
      <c r="BE131" s="155"/>
      <c r="BF131" s="155"/>
      <c r="BG131" s="155"/>
      <c r="BH131" s="155"/>
      <c r="BI131" s="155"/>
      <c r="BJ131" s="156"/>
      <c r="BK131" s="16"/>
    </row>
    <row r="132" spans="1:63" x14ac:dyDescent="0.25">
      <c r="A132" s="15"/>
      <c r="B132" s="240" t="s">
        <v>132</v>
      </c>
      <c r="C132" s="241"/>
      <c r="D132" s="241"/>
      <c r="E132" s="241"/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1"/>
      <c r="AK132" s="241"/>
      <c r="AL132" s="241"/>
      <c r="AM132" s="241"/>
      <c r="AN132" s="241"/>
      <c r="AO132" s="241"/>
      <c r="AP132" s="241"/>
      <c r="AQ132" s="241"/>
      <c r="AR132" s="241"/>
      <c r="AS132" s="241"/>
      <c r="AT132" s="241"/>
      <c r="AU132" s="241"/>
      <c r="AV132" s="241"/>
      <c r="AW132" s="241"/>
      <c r="AX132" s="241"/>
      <c r="AY132" s="241"/>
      <c r="AZ132" s="241"/>
      <c r="BA132" s="241"/>
      <c r="BB132" s="241"/>
      <c r="BC132" s="241"/>
      <c r="BD132" s="241"/>
      <c r="BE132" s="241"/>
      <c r="BF132" s="241"/>
      <c r="BG132" s="241"/>
      <c r="BH132" s="241"/>
      <c r="BI132" s="241"/>
      <c r="BJ132" s="242"/>
      <c r="BK132" s="16"/>
    </row>
    <row r="133" spans="1:63" ht="15.75" customHeight="1" x14ac:dyDescent="0.25">
      <c r="A133" s="15"/>
      <c r="B133" s="47">
        <v>29</v>
      </c>
      <c r="C133" s="49"/>
      <c r="D133" s="93" t="s">
        <v>235</v>
      </c>
      <c r="E133" s="94"/>
      <c r="F133" s="94"/>
      <c r="G133" s="94"/>
      <c r="H133" s="94"/>
      <c r="I133" s="94"/>
      <c r="J133" s="95"/>
      <c r="K133" s="90" t="s">
        <v>240</v>
      </c>
      <c r="L133" s="39"/>
      <c r="M133" s="40"/>
      <c r="N133" s="25" t="s">
        <v>28</v>
      </c>
      <c r="O133" s="19" t="s">
        <v>29</v>
      </c>
      <c r="P133" s="47" t="s">
        <v>31</v>
      </c>
      <c r="Q133" s="48"/>
      <c r="R133" s="48"/>
      <c r="S133" s="49"/>
      <c r="T133" s="47" t="s">
        <v>31</v>
      </c>
      <c r="U133" s="48"/>
      <c r="V133" s="48"/>
      <c r="W133" s="49"/>
      <c r="X133" s="115" t="s">
        <v>132</v>
      </c>
      <c r="Y133" s="116"/>
      <c r="Z133" s="117"/>
      <c r="AA133" s="47" t="s">
        <v>39</v>
      </c>
      <c r="AB133" s="48"/>
      <c r="AC133" s="48"/>
      <c r="AD133" s="48"/>
      <c r="AE133" s="48"/>
      <c r="AF133" s="48"/>
      <c r="AG133" s="48"/>
      <c r="AH133" s="49"/>
      <c r="AI133" s="50" t="s">
        <v>39</v>
      </c>
      <c r="AJ133" s="51"/>
      <c r="AK133" s="51"/>
      <c r="AL133" s="51"/>
      <c r="AM133" s="51"/>
      <c r="AN133" s="51"/>
      <c r="AO133" s="51"/>
      <c r="AP133" s="51"/>
      <c r="AQ133" s="52"/>
      <c r="AR133" s="21" t="s">
        <v>28</v>
      </c>
      <c r="AS133" s="21" t="s">
        <v>39</v>
      </c>
      <c r="AT133" s="21" t="s">
        <v>39</v>
      </c>
      <c r="AU133" s="47" t="s">
        <v>31</v>
      </c>
      <c r="AV133" s="48"/>
      <c r="AW133" s="48"/>
      <c r="AX133" s="49"/>
      <c r="AY133" s="47" t="s">
        <v>39</v>
      </c>
      <c r="AZ133" s="48"/>
      <c r="BA133" s="48"/>
      <c r="BB133" s="49"/>
      <c r="BC133" s="53" t="s">
        <v>222</v>
      </c>
      <c r="BD133" s="54"/>
      <c r="BE133" s="54"/>
      <c r="BF133" s="54"/>
      <c r="BG133" s="54"/>
      <c r="BH133" s="54"/>
      <c r="BI133" s="54"/>
      <c r="BJ133" s="55"/>
      <c r="BK133" s="16"/>
    </row>
    <row r="134" spans="1:63" x14ac:dyDescent="0.25">
      <c r="A134" s="15"/>
      <c r="B134" s="47">
        <f t="shared" ref="B134:B148" si="3">B133+1</f>
        <v>30</v>
      </c>
      <c r="C134" s="49"/>
      <c r="D134" s="97" t="s">
        <v>134</v>
      </c>
      <c r="E134" s="98"/>
      <c r="F134" s="98"/>
      <c r="G134" s="98"/>
      <c r="H134" s="98"/>
      <c r="I134" s="98"/>
      <c r="J134" s="99"/>
      <c r="K134" s="38" t="s">
        <v>240</v>
      </c>
      <c r="L134" s="39"/>
      <c r="M134" s="40"/>
      <c r="N134" s="25" t="s">
        <v>28</v>
      </c>
      <c r="O134" s="19" t="s">
        <v>29</v>
      </c>
      <c r="P134" s="47" t="s">
        <v>28</v>
      </c>
      <c r="Q134" s="48"/>
      <c r="R134" s="48"/>
      <c r="S134" s="49"/>
      <c r="T134" s="47" t="s">
        <v>28</v>
      </c>
      <c r="U134" s="48"/>
      <c r="V134" s="48"/>
      <c r="W134" s="49"/>
      <c r="X134" s="44" t="s">
        <v>135</v>
      </c>
      <c r="Y134" s="91"/>
      <c r="Z134" s="92"/>
      <c r="AA134" s="47" t="s">
        <v>39</v>
      </c>
      <c r="AB134" s="48"/>
      <c r="AC134" s="48"/>
      <c r="AD134" s="48"/>
      <c r="AE134" s="48"/>
      <c r="AF134" s="48"/>
      <c r="AG134" s="48"/>
      <c r="AH134" s="49"/>
      <c r="AI134" s="50" t="s">
        <v>39</v>
      </c>
      <c r="AJ134" s="51"/>
      <c r="AK134" s="51"/>
      <c r="AL134" s="51"/>
      <c r="AM134" s="51"/>
      <c r="AN134" s="51"/>
      <c r="AO134" s="51"/>
      <c r="AP134" s="51"/>
      <c r="AQ134" s="52"/>
      <c r="AR134" s="19" t="s">
        <v>28</v>
      </c>
      <c r="AS134" s="21" t="s">
        <v>39</v>
      </c>
      <c r="AT134" s="21" t="s">
        <v>39</v>
      </c>
      <c r="AU134" s="76" t="s">
        <v>31</v>
      </c>
      <c r="AV134" s="86"/>
      <c r="AW134" s="86"/>
      <c r="AX134" s="77"/>
      <c r="AY134" s="76" t="s">
        <v>39</v>
      </c>
      <c r="AZ134" s="86"/>
      <c r="BA134" s="86"/>
      <c r="BB134" s="77"/>
      <c r="BC134" s="53"/>
      <c r="BD134" s="101"/>
      <c r="BE134" s="101"/>
      <c r="BF134" s="101"/>
      <c r="BG134" s="101"/>
      <c r="BH134" s="101"/>
      <c r="BI134" s="101"/>
      <c r="BJ134" s="102"/>
      <c r="BK134" s="16"/>
    </row>
    <row r="135" spans="1:63" x14ac:dyDescent="0.25">
      <c r="A135" s="15"/>
      <c r="B135" s="47">
        <f t="shared" si="3"/>
        <v>31</v>
      </c>
      <c r="C135" s="49"/>
      <c r="D135" s="234" t="s">
        <v>137</v>
      </c>
      <c r="E135" s="235"/>
      <c r="F135" s="235"/>
      <c r="G135" s="235"/>
      <c r="H135" s="235"/>
      <c r="I135" s="235"/>
      <c r="J135" s="236"/>
      <c r="K135" s="38" t="s">
        <v>240</v>
      </c>
      <c r="L135" s="39"/>
      <c r="M135" s="40"/>
      <c r="N135" s="25" t="s">
        <v>28</v>
      </c>
      <c r="O135" s="19" t="s">
        <v>29</v>
      </c>
      <c r="P135" s="47" t="s">
        <v>28</v>
      </c>
      <c r="Q135" s="48"/>
      <c r="R135" s="48"/>
      <c r="S135" s="49"/>
      <c r="T135" s="47" t="s">
        <v>28</v>
      </c>
      <c r="U135" s="48"/>
      <c r="V135" s="48"/>
      <c r="W135" s="49"/>
      <c r="X135" s="44" t="s">
        <v>136</v>
      </c>
      <c r="Y135" s="91"/>
      <c r="Z135" s="92"/>
      <c r="AA135" s="47" t="s">
        <v>39</v>
      </c>
      <c r="AB135" s="48"/>
      <c r="AC135" s="48"/>
      <c r="AD135" s="48"/>
      <c r="AE135" s="48"/>
      <c r="AF135" s="48"/>
      <c r="AG135" s="48"/>
      <c r="AH135" s="49"/>
      <c r="AI135" s="50" t="s">
        <v>39</v>
      </c>
      <c r="AJ135" s="51"/>
      <c r="AK135" s="51"/>
      <c r="AL135" s="51"/>
      <c r="AM135" s="51"/>
      <c r="AN135" s="51"/>
      <c r="AO135" s="51"/>
      <c r="AP135" s="51"/>
      <c r="AQ135" s="52"/>
      <c r="AR135" s="19" t="s">
        <v>28</v>
      </c>
      <c r="AS135" s="21" t="s">
        <v>39</v>
      </c>
      <c r="AT135" s="21" t="s">
        <v>39</v>
      </c>
      <c r="AU135" s="76" t="s">
        <v>31</v>
      </c>
      <c r="AV135" s="86"/>
      <c r="AW135" s="86"/>
      <c r="AX135" s="77"/>
      <c r="AY135" s="76" t="s">
        <v>39</v>
      </c>
      <c r="AZ135" s="86"/>
      <c r="BA135" s="86"/>
      <c r="BB135" s="77"/>
      <c r="BC135" s="53"/>
      <c r="BD135" s="101"/>
      <c r="BE135" s="101"/>
      <c r="BF135" s="101"/>
      <c r="BG135" s="101"/>
      <c r="BH135" s="101"/>
      <c r="BI135" s="101"/>
      <c r="BJ135" s="102"/>
      <c r="BK135" s="16"/>
    </row>
    <row r="136" spans="1:63" x14ac:dyDescent="0.25">
      <c r="A136" s="15"/>
      <c r="B136" s="47">
        <f t="shared" si="3"/>
        <v>32</v>
      </c>
      <c r="C136" s="49"/>
      <c r="D136" s="234" t="s">
        <v>138</v>
      </c>
      <c r="E136" s="235"/>
      <c r="F136" s="235"/>
      <c r="G136" s="235"/>
      <c r="H136" s="235"/>
      <c r="I136" s="235"/>
      <c r="J136" s="236"/>
      <c r="K136" s="38" t="s">
        <v>240</v>
      </c>
      <c r="L136" s="39"/>
      <c r="M136" s="40"/>
      <c r="N136" s="25" t="s">
        <v>28</v>
      </c>
      <c r="O136" s="19" t="s">
        <v>29</v>
      </c>
      <c r="P136" s="47" t="s">
        <v>28</v>
      </c>
      <c r="Q136" s="48"/>
      <c r="R136" s="48"/>
      <c r="S136" s="49"/>
      <c r="T136" s="47" t="s">
        <v>28</v>
      </c>
      <c r="U136" s="48"/>
      <c r="V136" s="48"/>
      <c r="W136" s="49"/>
      <c r="X136" s="44" t="s">
        <v>139</v>
      </c>
      <c r="Y136" s="91"/>
      <c r="Z136" s="92"/>
      <c r="AA136" s="47" t="s">
        <v>39</v>
      </c>
      <c r="AB136" s="48"/>
      <c r="AC136" s="48"/>
      <c r="AD136" s="48"/>
      <c r="AE136" s="48"/>
      <c r="AF136" s="48"/>
      <c r="AG136" s="48"/>
      <c r="AH136" s="49"/>
      <c r="AI136" s="50" t="s">
        <v>39</v>
      </c>
      <c r="AJ136" s="51"/>
      <c r="AK136" s="51"/>
      <c r="AL136" s="51"/>
      <c r="AM136" s="51"/>
      <c r="AN136" s="51"/>
      <c r="AO136" s="51"/>
      <c r="AP136" s="51"/>
      <c r="AQ136" s="52"/>
      <c r="AR136" s="19" t="s">
        <v>28</v>
      </c>
      <c r="AS136" s="21" t="s">
        <v>39</v>
      </c>
      <c r="AT136" s="21" t="s">
        <v>39</v>
      </c>
      <c r="AU136" s="76" t="s">
        <v>31</v>
      </c>
      <c r="AV136" s="86"/>
      <c r="AW136" s="86"/>
      <c r="AX136" s="77"/>
      <c r="AY136" s="76" t="s">
        <v>39</v>
      </c>
      <c r="AZ136" s="86"/>
      <c r="BA136" s="86"/>
      <c r="BB136" s="77"/>
      <c r="BC136" s="53"/>
      <c r="BD136" s="101"/>
      <c r="BE136" s="101"/>
      <c r="BF136" s="101"/>
      <c r="BG136" s="101"/>
      <c r="BH136" s="101"/>
      <c r="BI136" s="101"/>
      <c r="BJ136" s="102"/>
      <c r="BK136" s="16"/>
    </row>
    <row r="137" spans="1:63" x14ac:dyDescent="0.25">
      <c r="A137" s="15"/>
      <c r="B137" s="47">
        <f t="shared" si="3"/>
        <v>33</v>
      </c>
      <c r="C137" s="49"/>
      <c r="D137" s="234" t="s">
        <v>140</v>
      </c>
      <c r="E137" s="235"/>
      <c r="F137" s="235"/>
      <c r="G137" s="235"/>
      <c r="H137" s="235"/>
      <c r="I137" s="235"/>
      <c r="J137" s="236"/>
      <c r="K137" s="38" t="s">
        <v>240</v>
      </c>
      <c r="L137" s="39"/>
      <c r="M137" s="40"/>
      <c r="N137" s="25" t="s">
        <v>28</v>
      </c>
      <c r="O137" s="19" t="s">
        <v>29</v>
      </c>
      <c r="P137" s="47" t="s">
        <v>28</v>
      </c>
      <c r="Q137" s="48"/>
      <c r="R137" s="48"/>
      <c r="S137" s="49"/>
      <c r="T137" s="47" t="s">
        <v>28</v>
      </c>
      <c r="U137" s="48"/>
      <c r="V137" s="48"/>
      <c r="W137" s="49"/>
      <c r="X137" s="44" t="s">
        <v>141</v>
      </c>
      <c r="Y137" s="91"/>
      <c r="Z137" s="92"/>
      <c r="AA137" s="47" t="s">
        <v>39</v>
      </c>
      <c r="AB137" s="48"/>
      <c r="AC137" s="48"/>
      <c r="AD137" s="48"/>
      <c r="AE137" s="48"/>
      <c r="AF137" s="48"/>
      <c r="AG137" s="48"/>
      <c r="AH137" s="49"/>
      <c r="AI137" s="50" t="s">
        <v>39</v>
      </c>
      <c r="AJ137" s="51"/>
      <c r="AK137" s="51"/>
      <c r="AL137" s="51"/>
      <c r="AM137" s="51"/>
      <c r="AN137" s="51"/>
      <c r="AO137" s="51"/>
      <c r="AP137" s="51"/>
      <c r="AQ137" s="52"/>
      <c r="AR137" s="19" t="s">
        <v>28</v>
      </c>
      <c r="AS137" s="21" t="s">
        <v>39</v>
      </c>
      <c r="AT137" s="21" t="s">
        <v>39</v>
      </c>
      <c r="AU137" s="76" t="s">
        <v>31</v>
      </c>
      <c r="AV137" s="86"/>
      <c r="AW137" s="86"/>
      <c r="AX137" s="77"/>
      <c r="AY137" s="76" t="s">
        <v>39</v>
      </c>
      <c r="AZ137" s="86"/>
      <c r="BA137" s="86"/>
      <c r="BB137" s="77"/>
      <c r="BC137" s="53"/>
      <c r="BD137" s="101"/>
      <c r="BE137" s="101"/>
      <c r="BF137" s="101"/>
      <c r="BG137" s="101"/>
      <c r="BH137" s="101"/>
      <c r="BI137" s="101"/>
      <c r="BJ137" s="102"/>
      <c r="BK137" s="16"/>
    </row>
    <row r="138" spans="1:63" x14ac:dyDescent="0.25">
      <c r="A138" s="15"/>
      <c r="B138" s="47">
        <f t="shared" si="3"/>
        <v>34</v>
      </c>
      <c r="C138" s="49"/>
      <c r="D138" s="234" t="s">
        <v>142</v>
      </c>
      <c r="E138" s="235"/>
      <c r="F138" s="235"/>
      <c r="G138" s="235"/>
      <c r="H138" s="235"/>
      <c r="I138" s="235"/>
      <c r="J138" s="236"/>
      <c r="K138" s="38" t="s">
        <v>240</v>
      </c>
      <c r="L138" s="39"/>
      <c r="M138" s="40"/>
      <c r="N138" s="25" t="s">
        <v>28</v>
      </c>
      <c r="O138" s="19" t="s">
        <v>29</v>
      </c>
      <c r="P138" s="47" t="s">
        <v>28</v>
      </c>
      <c r="Q138" s="48"/>
      <c r="R138" s="48"/>
      <c r="S138" s="49"/>
      <c r="T138" s="47" t="s">
        <v>28</v>
      </c>
      <c r="U138" s="48"/>
      <c r="V138" s="48"/>
      <c r="W138" s="49"/>
      <c r="X138" s="44" t="s">
        <v>143</v>
      </c>
      <c r="Y138" s="91"/>
      <c r="Z138" s="92"/>
      <c r="AA138" s="47" t="s">
        <v>39</v>
      </c>
      <c r="AB138" s="48"/>
      <c r="AC138" s="48"/>
      <c r="AD138" s="48"/>
      <c r="AE138" s="48"/>
      <c r="AF138" s="48"/>
      <c r="AG138" s="48"/>
      <c r="AH138" s="49"/>
      <c r="AI138" s="50" t="s">
        <v>39</v>
      </c>
      <c r="AJ138" s="51"/>
      <c r="AK138" s="51"/>
      <c r="AL138" s="51"/>
      <c r="AM138" s="51"/>
      <c r="AN138" s="51"/>
      <c r="AO138" s="51"/>
      <c r="AP138" s="51"/>
      <c r="AQ138" s="52"/>
      <c r="AR138" s="19" t="s">
        <v>28</v>
      </c>
      <c r="AS138" s="21" t="s">
        <v>39</v>
      </c>
      <c r="AT138" s="21" t="s">
        <v>39</v>
      </c>
      <c r="AU138" s="76" t="s">
        <v>31</v>
      </c>
      <c r="AV138" s="86"/>
      <c r="AW138" s="86"/>
      <c r="AX138" s="77"/>
      <c r="AY138" s="76" t="s">
        <v>39</v>
      </c>
      <c r="AZ138" s="86"/>
      <c r="BA138" s="86"/>
      <c r="BB138" s="77"/>
      <c r="BC138" s="53"/>
      <c r="BD138" s="101"/>
      <c r="BE138" s="101"/>
      <c r="BF138" s="101"/>
      <c r="BG138" s="101"/>
      <c r="BH138" s="101"/>
      <c r="BI138" s="101"/>
      <c r="BJ138" s="102"/>
      <c r="BK138" s="16"/>
    </row>
    <row r="139" spans="1:63" x14ac:dyDescent="0.25">
      <c r="A139" s="15"/>
      <c r="B139" s="47">
        <v>35.1</v>
      </c>
      <c r="C139" s="49"/>
      <c r="D139" s="234" t="s">
        <v>144</v>
      </c>
      <c r="E139" s="235"/>
      <c r="F139" s="235"/>
      <c r="G139" s="235"/>
      <c r="H139" s="235"/>
      <c r="I139" s="235"/>
      <c r="J139" s="236"/>
      <c r="K139" s="38" t="s">
        <v>240</v>
      </c>
      <c r="L139" s="39"/>
      <c r="M139" s="40"/>
      <c r="N139" s="19" t="s">
        <v>245</v>
      </c>
      <c r="O139" s="19" t="s">
        <v>28</v>
      </c>
      <c r="P139" s="100" t="s">
        <v>28</v>
      </c>
      <c r="Q139" s="42"/>
      <c r="R139" s="42"/>
      <c r="S139" s="43"/>
      <c r="T139" s="100" t="s">
        <v>28</v>
      </c>
      <c r="U139" s="42"/>
      <c r="V139" s="42"/>
      <c r="W139" s="43"/>
      <c r="X139" s="44" t="s">
        <v>28</v>
      </c>
      <c r="Y139" s="91"/>
      <c r="Z139" s="92"/>
      <c r="AA139" s="47" t="s">
        <v>39</v>
      </c>
      <c r="AB139" s="48"/>
      <c r="AC139" s="48"/>
      <c r="AD139" s="48"/>
      <c r="AE139" s="48"/>
      <c r="AF139" s="48"/>
      <c r="AG139" s="48"/>
      <c r="AH139" s="49"/>
      <c r="AI139" s="50" t="s">
        <v>39</v>
      </c>
      <c r="AJ139" s="51"/>
      <c r="AK139" s="51"/>
      <c r="AL139" s="51"/>
      <c r="AM139" s="51"/>
      <c r="AN139" s="51"/>
      <c r="AO139" s="51"/>
      <c r="AP139" s="51"/>
      <c r="AQ139" s="52"/>
      <c r="AR139" s="19" t="s">
        <v>28</v>
      </c>
      <c r="AS139" s="21" t="s">
        <v>39</v>
      </c>
      <c r="AT139" s="21" t="s">
        <v>39</v>
      </c>
      <c r="AU139" s="76" t="s">
        <v>31</v>
      </c>
      <c r="AV139" s="86"/>
      <c r="AW139" s="86"/>
      <c r="AX139" s="77"/>
      <c r="AY139" s="76" t="s">
        <v>39</v>
      </c>
      <c r="AZ139" s="86"/>
      <c r="BA139" s="86"/>
      <c r="BB139" s="77"/>
      <c r="BC139" s="53"/>
      <c r="BD139" s="101"/>
      <c r="BE139" s="101"/>
      <c r="BF139" s="101"/>
      <c r="BG139" s="101"/>
      <c r="BH139" s="101"/>
      <c r="BI139" s="101"/>
      <c r="BJ139" s="102"/>
      <c r="BK139" s="16"/>
    </row>
    <row r="140" spans="1:63" x14ac:dyDescent="0.25">
      <c r="A140" s="15"/>
      <c r="B140" s="47">
        <v>35.200000000000003</v>
      </c>
      <c r="C140" s="49"/>
      <c r="D140" s="234" t="s">
        <v>145</v>
      </c>
      <c r="E140" s="235"/>
      <c r="F140" s="235"/>
      <c r="G140" s="235"/>
      <c r="H140" s="235"/>
      <c r="I140" s="235"/>
      <c r="J140" s="236"/>
      <c r="K140" s="38" t="s">
        <v>240</v>
      </c>
      <c r="L140" s="39"/>
      <c r="M140" s="40"/>
      <c r="N140" s="19" t="s">
        <v>245</v>
      </c>
      <c r="O140" s="19" t="s">
        <v>28</v>
      </c>
      <c r="P140" s="100" t="s">
        <v>28</v>
      </c>
      <c r="Q140" s="42"/>
      <c r="R140" s="42"/>
      <c r="S140" s="43"/>
      <c r="T140" s="100" t="s">
        <v>28</v>
      </c>
      <c r="U140" s="42"/>
      <c r="V140" s="42"/>
      <c r="W140" s="43"/>
      <c r="X140" s="44" t="s">
        <v>28</v>
      </c>
      <c r="Y140" s="91"/>
      <c r="Z140" s="92"/>
      <c r="AA140" s="47" t="s">
        <v>39</v>
      </c>
      <c r="AB140" s="48"/>
      <c r="AC140" s="48"/>
      <c r="AD140" s="48"/>
      <c r="AE140" s="48"/>
      <c r="AF140" s="48"/>
      <c r="AG140" s="48"/>
      <c r="AH140" s="49"/>
      <c r="AI140" s="50" t="s">
        <v>39</v>
      </c>
      <c r="AJ140" s="51"/>
      <c r="AK140" s="51"/>
      <c r="AL140" s="51"/>
      <c r="AM140" s="51"/>
      <c r="AN140" s="51"/>
      <c r="AO140" s="51"/>
      <c r="AP140" s="51"/>
      <c r="AQ140" s="52"/>
      <c r="AR140" s="19" t="s">
        <v>28</v>
      </c>
      <c r="AS140" s="21" t="s">
        <v>39</v>
      </c>
      <c r="AT140" s="21" t="s">
        <v>39</v>
      </c>
      <c r="AU140" s="76" t="s">
        <v>31</v>
      </c>
      <c r="AV140" s="86"/>
      <c r="AW140" s="86"/>
      <c r="AX140" s="77"/>
      <c r="AY140" s="76" t="s">
        <v>39</v>
      </c>
      <c r="AZ140" s="86"/>
      <c r="BA140" s="86"/>
      <c r="BB140" s="77"/>
      <c r="BC140" s="53"/>
      <c r="BD140" s="101"/>
      <c r="BE140" s="101"/>
      <c r="BF140" s="101"/>
      <c r="BG140" s="101"/>
      <c r="BH140" s="101"/>
      <c r="BI140" s="101"/>
      <c r="BJ140" s="102"/>
      <c r="BK140" s="16"/>
    </row>
    <row r="141" spans="1:63" x14ac:dyDescent="0.25">
      <c r="A141" s="15"/>
      <c r="B141" s="47">
        <v>35.299999999999997</v>
      </c>
      <c r="C141" s="49"/>
      <c r="D141" s="234" t="s">
        <v>146</v>
      </c>
      <c r="E141" s="235"/>
      <c r="F141" s="235"/>
      <c r="G141" s="235"/>
      <c r="H141" s="235"/>
      <c r="I141" s="235"/>
      <c r="J141" s="236"/>
      <c r="K141" s="38" t="s">
        <v>240</v>
      </c>
      <c r="L141" s="39"/>
      <c r="M141" s="40"/>
      <c r="N141" s="19" t="s">
        <v>245</v>
      </c>
      <c r="O141" s="19" t="s">
        <v>28</v>
      </c>
      <c r="P141" s="100" t="s">
        <v>28</v>
      </c>
      <c r="Q141" s="42"/>
      <c r="R141" s="42"/>
      <c r="S141" s="43"/>
      <c r="T141" s="100" t="s">
        <v>28</v>
      </c>
      <c r="U141" s="42"/>
      <c r="V141" s="42"/>
      <c r="W141" s="43"/>
      <c r="X141" s="44" t="s">
        <v>28</v>
      </c>
      <c r="Y141" s="91"/>
      <c r="Z141" s="92"/>
      <c r="AA141" s="47" t="s">
        <v>39</v>
      </c>
      <c r="AB141" s="48"/>
      <c r="AC141" s="48"/>
      <c r="AD141" s="48"/>
      <c r="AE141" s="48"/>
      <c r="AF141" s="48"/>
      <c r="AG141" s="48"/>
      <c r="AH141" s="49"/>
      <c r="AI141" s="50" t="s">
        <v>39</v>
      </c>
      <c r="AJ141" s="51"/>
      <c r="AK141" s="51"/>
      <c r="AL141" s="51"/>
      <c r="AM141" s="51"/>
      <c r="AN141" s="51"/>
      <c r="AO141" s="51"/>
      <c r="AP141" s="51"/>
      <c r="AQ141" s="52"/>
      <c r="AR141" s="19" t="s">
        <v>28</v>
      </c>
      <c r="AS141" s="21" t="s">
        <v>39</v>
      </c>
      <c r="AT141" s="21" t="s">
        <v>39</v>
      </c>
      <c r="AU141" s="76" t="s">
        <v>31</v>
      </c>
      <c r="AV141" s="86"/>
      <c r="AW141" s="86"/>
      <c r="AX141" s="77"/>
      <c r="AY141" s="76" t="s">
        <v>39</v>
      </c>
      <c r="AZ141" s="86"/>
      <c r="BA141" s="86"/>
      <c r="BB141" s="77"/>
      <c r="BC141" s="53"/>
      <c r="BD141" s="101"/>
      <c r="BE141" s="101"/>
      <c r="BF141" s="101"/>
      <c r="BG141" s="101"/>
      <c r="BH141" s="101"/>
      <c r="BI141" s="101"/>
      <c r="BJ141" s="102"/>
      <c r="BK141" s="16"/>
    </row>
    <row r="142" spans="1:63" x14ac:dyDescent="0.25">
      <c r="A142" s="15"/>
      <c r="B142" s="47">
        <v>35.4</v>
      </c>
      <c r="C142" s="49"/>
      <c r="D142" s="234" t="s">
        <v>147</v>
      </c>
      <c r="E142" s="235"/>
      <c r="F142" s="235"/>
      <c r="G142" s="235"/>
      <c r="H142" s="235"/>
      <c r="I142" s="235"/>
      <c r="J142" s="236"/>
      <c r="K142" s="38" t="s">
        <v>240</v>
      </c>
      <c r="L142" s="39"/>
      <c r="M142" s="40"/>
      <c r="N142" s="19" t="s">
        <v>245</v>
      </c>
      <c r="O142" s="19" t="s">
        <v>28</v>
      </c>
      <c r="P142" s="100" t="s">
        <v>28</v>
      </c>
      <c r="Q142" s="42"/>
      <c r="R142" s="42"/>
      <c r="S142" s="43"/>
      <c r="T142" s="100" t="s">
        <v>28</v>
      </c>
      <c r="U142" s="42"/>
      <c r="V142" s="42"/>
      <c r="W142" s="43"/>
      <c r="X142" s="44" t="s">
        <v>28</v>
      </c>
      <c r="Y142" s="91"/>
      <c r="Z142" s="92"/>
      <c r="AA142" s="47" t="s">
        <v>39</v>
      </c>
      <c r="AB142" s="48"/>
      <c r="AC142" s="48"/>
      <c r="AD142" s="48"/>
      <c r="AE142" s="48"/>
      <c r="AF142" s="48"/>
      <c r="AG142" s="48"/>
      <c r="AH142" s="49"/>
      <c r="AI142" s="50" t="s">
        <v>39</v>
      </c>
      <c r="AJ142" s="51"/>
      <c r="AK142" s="51"/>
      <c r="AL142" s="51"/>
      <c r="AM142" s="51"/>
      <c r="AN142" s="51"/>
      <c r="AO142" s="51"/>
      <c r="AP142" s="51"/>
      <c r="AQ142" s="52"/>
      <c r="AR142" s="19" t="s">
        <v>28</v>
      </c>
      <c r="AS142" s="21" t="s">
        <v>39</v>
      </c>
      <c r="AT142" s="21" t="s">
        <v>39</v>
      </c>
      <c r="AU142" s="76" t="s">
        <v>31</v>
      </c>
      <c r="AV142" s="86"/>
      <c r="AW142" s="86"/>
      <c r="AX142" s="77"/>
      <c r="AY142" s="76" t="s">
        <v>39</v>
      </c>
      <c r="AZ142" s="86"/>
      <c r="BA142" s="86"/>
      <c r="BB142" s="77"/>
      <c r="BC142" s="53"/>
      <c r="BD142" s="101"/>
      <c r="BE142" s="101"/>
      <c r="BF142" s="101"/>
      <c r="BG142" s="101"/>
      <c r="BH142" s="101"/>
      <c r="BI142" s="101"/>
      <c r="BJ142" s="102"/>
      <c r="BK142" s="16"/>
    </row>
    <row r="143" spans="1:63" x14ac:dyDescent="0.25">
      <c r="A143" s="15"/>
      <c r="B143" s="47">
        <v>35.5</v>
      </c>
      <c r="C143" s="49"/>
      <c r="D143" s="234" t="s">
        <v>148</v>
      </c>
      <c r="E143" s="235"/>
      <c r="F143" s="235"/>
      <c r="G143" s="235"/>
      <c r="H143" s="235"/>
      <c r="I143" s="235"/>
      <c r="J143" s="236"/>
      <c r="K143" s="38" t="s">
        <v>240</v>
      </c>
      <c r="L143" s="39"/>
      <c r="M143" s="40"/>
      <c r="N143" s="19" t="s">
        <v>245</v>
      </c>
      <c r="O143" s="19" t="s">
        <v>28</v>
      </c>
      <c r="P143" s="100" t="s">
        <v>28</v>
      </c>
      <c r="Q143" s="42"/>
      <c r="R143" s="42"/>
      <c r="S143" s="43"/>
      <c r="T143" s="100" t="s">
        <v>28</v>
      </c>
      <c r="U143" s="42"/>
      <c r="V143" s="42"/>
      <c r="W143" s="43"/>
      <c r="X143" s="44" t="s">
        <v>28</v>
      </c>
      <c r="Y143" s="91"/>
      <c r="Z143" s="92"/>
      <c r="AA143" s="47" t="s">
        <v>39</v>
      </c>
      <c r="AB143" s="48"/>
      <c r="AC143" s="48"/>
      <c r="AD143" s="48"/>
      <c r="AE143" s="48"/>
      <c r="AF143" s="48"/>
      <c r="AG143" s="48"/>
      <c r="AH143" s="49"/>
      <c r="AI143" s="50" t="s">
        <v>39</v>
      </c>
      <c r="AJ143" s="51"/>
      <c r="AK143" s="51"/>
      <c r="AL143" s="51"/>
      <c r="AM143" s="51"/>
      <c r="AN143" s="51"/>
      <c r="AO143" s="51"/>
      <c r="AP143" s="51"/>
      <c r="AQ143" s="52"/>
      <c r="AR143" s="19" t="s">
        <v>28</v>
      </c>
      <c r="AS143" s="21" t="s">
        <v>39</v>
      </c>
      <c r="AT143" s="21" t="s">
        <v>39</v>
      </c>
      <c r="AU143" s="76" t="s">
        <v>31</v>
      </c>
      <c r="AV143" s="86"/>
      <c r="AW143" s="86"/>
      <c r="AX143" s="77"/>
      <c r="AY143" s="76" t="s">
        <v>39</v>
      </c>
      <c r="AZ143" s="86"/>
      <c r="BA143" s="86"/>
      <c r="BB143" s="77"/>
      <c r="BC143" s="53"/>
      <c r="BD143" s="101"/>
      <c r="BE143" s="101"/>
      <c r="BF143" s="101"/>
      <c r="BG143" s="101"/>
      <c r="BH143" s="101"/>
      <c r="BI143" s="101"/>
      <c r="BJ143" s="102"/>
      <c r="BK143" s="16"/>
    </row>
    <row r="144" spans="1:63" x14ac:dyDescent="0.25">
      <c r="A144" s="15"/>
      <c r="B144" s="47">
        <v>36</v>
      </c>
      <c r="C144" s="49"/>
      <c r="D144" s="97" t="s">
        <v>150</v>
      </c>
      <c r="E144" s="98"/>
      <c r="F144" s="98"/>
      <c r="G144" s="98"/>
      <c r="H144" s="98"/>
      <c r="I144" s="98"/>
      <c r="J144" s="99"/>
      <c r="K144" s="38" t="s">
        <v>240</v>
      </c>
      <c r="L144" s="39"/>
      <c r="M144" s="40"/>
      <c r="N144" s="19" t="s">
        <v>39</v>
      </c>
      <c r="O144" s="19" t="s">
        <v>29</v>
      </c>
      <c r="P144" s="47" t="s">
        <v>28</v>
      </c>
      <c r="Q144" s="48"/>
      <c r="R144" s="48"/>
      <c r="S144" s="49"/>
      <c r="T144" s="47" t="s">
        <v>28</v>
      </c>
      <c r="U144" s="48"/>
      <c r="V144" s="48"/>
      <c r="W144" s="49"/>
      <c r="X144" s="44" t="s">
        <v>149</v>
      </c>
      <c r="Y144" s="91"/>
      <c r="Z144" s="92"/>
      <c r="AA144" s="47" t="s">
        <v>39</v>
      </c>
      <c r="AB144" s="48"/>
      <c r="AC144" s="48"/>
      <c r="AD144" s="48"/>
      <c r="AE144" s="48"/>
      <c r="AF144" s="48"/>
      <c r="AG144" s="48"/>
      <c r="AH144" s="49"/>
      <c r="AI144" s="50" t="s">
        <v>39</v>
      </c>
      <c r="AJ144" s="51"/>
      <c r="AK144" s="51"/>
      <c r="AL144" s="51"/>
      <c r="AM144" s="51"/>
      <c r="AN144" s="51"/>
      <c r="AO144" s="51"/>
      <c r="AP144" s="51"/>
      <c r="AQ144" s="52"/>
      <c r="AR144" s="19" t="s">
        <v>28</v>
      </c>
      <c r="AS144" s="21" t="s">
        <v>39</v>
      </c>
      <c r="AT144" s="21" t="s">
        <v>39</v>
      </c>
      <c r="AU144" s="76" t="s">
        <v>31</v>
      </c>
      <c r="AV144" s="86"/>
      <c r="AW144" s="86"/>
      <c r="AX144" s="77"/>
      <c r="AY144" s="76" t="s">
        <v>39</v>
      </c>
      <c r="AZ144" s="86"/>
      <c r="BA144" s="86"/>
      <c r="BB144" s="77"/>
      <c r="BC144" s="53"/>
      <c r="BD144" s="101"/>
      <c r="BE144" s="101"/>
      <c r="BF144" s="101"/>
      <c r="BG144" s="101"/>
      <c r="BH144" s="101"/>
      <c r="BI144" s="101"/>
      <c r="BJ144" s="102"/>
      <c r="BK144" s="16"/>
    </row>
    <row r="145" spans="1:63" x14ac:dyDescent="0.25">
      <c r="A145" s="15"/>
      <c r="B145" s="47">
        <f t="shared" si="3"/>
        <v>37</v>
      </c>
      <c r="C145" s="49"/>
      <c r="D145" s="234" t="s">
        <v>105</v>
      </c>
      <c r="E145" s="235"/>
      <c r="F145" s="235"/>
      <c r="G145" s="235"/>
      <c r="H145" s="235"/>
      <c r="I145" s="235"/>
      <c r="J145" s="236"/>
      <c r="K145" s="38" t="s">
        <v>240</v>
      </c>
      <c r="L145" s="39"/>
      <c r="M145" s="40"/>
      <c r="N145" s="19" t="s">
        <v>39</v>
      </c>
      <c r="O145" s="19" t="s">
        <v>29</v>
      </c>
      <c r="P145" s="47" t="s">
        <v>28</v>
      </c>
      <c r="Q145" s="48"/>
      <c r="R145" s="48"/>
      <c r="S145" s="49"/>
      <c r="T145" s="47" t="s">
        <v>28</v>
      </c>
      <c r="U145" s="48"/>
      <c r="V145" s="48"/>
      <c r="W145" s="49"/>
      <c r="X145" s="44" t="s">
        <v>252</v>
      </c>
      <c r="Y145" s="91"/>
      <c r="Z145" s="92"/>
      <c r="AA145" s="47" t="s">
        <v>39</v>
      </c>
      <c r="AB145" s="48"/>
      <c r="AC145" s="48"/>
      <c r="AD145" s="48"/>
      <c r="AE145" s="48"/>
      <c r="AF145" s="48"/>
      <c r="AG145" s="48"/>
      <c r="AH145" s="49"/>
      <c r="AI145" s="50" t="s">
        <v>39</v>
      </c>
      <c r="AJ145" s="51"/>
      <c r="AK145" s="51"/>
      <c r="AL145" s="51"/>
      <c r="AM145" s="51"/>
      <c r="AN145" s="51"/>
      <c r="AO145" s="51"/>
      <c r="AP145" s="51"/>
      <c r="AQ145" s="52"/>
      <c r="AR145" s="19" t="s">
        <v>28</v>
      </c>
      <c r="AS145" s="21" t="s">
        <v>39</v>
      </c>
      <c r="AT145" s="21" t="s">
        <v>39</v>
      </c>
      <c r="AU145" s="76" t="s">
        <v>31</v>
      </c>
      <c r="AV145" s="86"/>
      <c r="AW145" s="86"/>
      <c r="AX145" s="77"/>
      <c r="AY145" s="76" t="s">
        <v>39</v>
      </c>
      <c r="AZ145" s="86"/>
      <c r="BA145" s="86"/>
      <c r="BB145" s="77"/>
      <c r="BC145" s="53"/>
      <c r="BD145" s="101"/>
      <c r="BE145" s="101"/>
      <c r="BF145" s="101"/>
      <c r="BG145" s="101"/>
      <c r="BH145" s="101"/>
      <c r="BI145" s="101"/>
      <c r="BJ145" s="102"/>
      <c r="BK145" s="16"/>
    </row>
    <row r="146" spans="1:63" ht="30.75" customHeight="1" x14ac:dyDescent="0.25">
      <c r="A146" s="15"/>
      <c r="B146" s="47">
        <f t="shared" si="3"/>
        <v>38</v>
      </c>
      <c r="C146" s="49"/>
      <c r="D146" s="234" t="s">
        <v>152</v>
      </c>
      <c r="E146" s="235"/>
      <c r="F146" s="235"/>
      <c r="G146" s="235"/>
      <c r="H146" s="235"/>
      <c r="I146" s="235"/>
      <c r="J146" s="236"/>
      <c r="K146" s="38" t="s">
        <v>240</v>
      </c>
      <c r="L146" s="39"/>
      <c r="M146" s="40"/>
      <c r="N146" s="19" t="s">
        <v>39</v>
      </c>
      <c r="O146" s="19" t="s">
        <v>29</v>
      </c>
      <c r="P146" s="47" t="s">
        <v>28</v>
      </c>
      <c r="Q146" s="48"/>
      <c r="R146" s="48"/>
      <c r="S146" s="49"/>
      <c r="T146" s="47" t="s">
        <v>28</v>
      </c>
      <c r="U146" s="48"/>
      <c r="V146" s="48"/>
      <c r="W146" s="49"/>
      <c r="X146" s="44" t="s">
        <v>153</v>
      </c>
      <c r="Y146" s="91"/>
      <c r="Z146" s="92"/>
      <c r="AA146" s="47" t="s">
        <v>39</v>
      </c>
      <c r="AB146" s="48"/>
      <c r="AC146" s="48"/>
      <c r="AD146" s="48"/>
      <c r="AE146" s="48"/>
      <c r="AF146" s="48"/>
      <c r="AG146" s="48"/>
      <c r="AH146" s="49"/>
      <c r="AI146" s="50" t="s">
        <v>39</v>
      </c>
      <c r="AJ146" s="51"/>
      <c r="AK146" s="51"/>
      <c r="AL146" s="51"/>
      <c r="AM146" s="51"/>
      <c r="AN146" s="51"/>
      <c r="AO146" s="51"/>
      <c r="AP146" s="51"/>
      <c r="AQ146" s="52"/>
      <c r="AR146" s="19" t="s">
        <v>28</v>
      </c>
      <c r="AS146" s="21" t="s">
        <v>39</v>
      </c>
      <c r="AT146" s="21" t="s">
        <v>39</v>
      </c>
      <c r="AU146" s="76" t="s">
        <v>31</v>
      </c>
      <c r="AV146" s="86"/>
      <c r="AW146" s="86"/>
      <c r="AX146" s="77"/>
      <c r="AY146" s="76" t="s">
        <v>39</v>
      </c>
      <c r="AZ146" s="86"/>
      <c r="BA146" s="86"/>
      <c r="BB146" s="77"/>
      <c r="BC146" s="53"/>
      <c r="BD146" s="101"/>
      <c r="BE146" s="101"/>
      <c r="BF146" s="101"/>
      <c r="BG146" s="101"/>
      <c r="BH146" s="101"/>
      <c r="BI146" s="101"/>
      <c r="BJ146" s="102"/>
      <c r="BK146" s="16"/>
    </row>
    <row r="147" spans="1:63" ht="45.75" customHeight="1" x14ac:dyDescent="0.25">
      <c r="A147" s="15"/>
      <c r="B147" s="47">
        <f t="shared" si="3"/>
        <v>39</v>
      </c>
      <c r="C147" s="49"/>
      <c r="D147" s="234" t="s">
        <v>195</v>
      </c>
      <c r="E147" s="235"/>
      <c r="F147" s="235"/>
      <c r="G147" s="235"/>
      <c r="H147" s="235"/>
      <c r="I147" s="235"/>
      <c r="J147" s="236"/>
      <c r="K147" s="38" t="s">
        <v>240</v>
      </c>
      <c r="L147" s="39"/>
      <c r="M147" s="40"/>
      <c r="N147" s="19" t="s">
        <v>39</v>
      </c>
      <c r="O147" s="19" t="s">
        <v>29</v>
      </c>
      <c r="P147" s="47" t="s">
        <v>28</v>
      </c>
      <c r="Q147" s="48"/>
      <c r="R147" s="48"/>
      <c r="S147" s="49"/>
      <c r="T147" s="47" t="s">
        <v>28</v>
      </c>
      <c r="U147" s="48"/>
      <c r="V147" s="48"/>
      <c r="W147" s="49"/>
      <c r="X147" s="44" t="s">
        <v>254</v>
      </c>
      <c r="Y147" s="91"/>
      <c r="Z147" s="92"/>
      <c r="AA147" s="47" t="s">
        <v>39</v>
      </c>
      <c r="AB147" s="48"/>
      <c r="AC147" s="48"/>
      <c r="AD147" s="48"/>
      <c r="AE147" s="48"/>
      <c r="AF147" s="48"/>
      <c r="AG147" s="48"/>
      <c r="AH147" s="49"/>
      <c r="AI147" s="50" t="s">
        <v>39</v>
      </c>
      <c r="AJ147" s="51"/>
      <c r="AK147" s="51"/>
      <c r="AL147" s="51"/>
      <c r="AM147" s="51"/>
      <c r="AN147" s="51"/>
      <c r="AO147" s="51"/>
      <c r="AP147" s="51"/>
      <c r="AQ147" s="52"/>
      <c r="AR147" s="19" t="s">
        <v>28</v>
      </c>
      <c r="AS147" s="21" t="s">
        <v>39</v>
      </c>
      <c r="AT147" s="21" t="s">
        <v>39</v>
      </c>
      <c r="AU147" s="76" t="s">
        <v>31</v>
      </c>
      <c r="AV147" s="86"/>
      <c r="AW147" s="86"/>
      <c r="AX147" s="77"/>
      <c r="AY147" s="76" t="s">
        <v>39</v>
      </c>
      <c r="AZ147" s="86"/>
      <c r="BA147" s="86"/>
      <c r="BB147" s="77"/>
      <c r="BC147" s="53"/>
      <c r="BD147" s="101"/>
      <c r="BE147" s="101"/>
      <c r="BF147" s="101"/>
      <c r="BG147" s="101"/>
      <c r="BH147" s="101"/>
      <c r="BI147" s="101"/>
      <c r="BJ147" s="102"/>
      <c r="BK147" s="16"/>
    </row>
    <row r="148" spans="1:63" ht="31.5" customHeight="1" x14ac:dyDescent="0.25">
      <c r="A148" s="15"/>
      <c r="B148" s="47">
        <f t="shared" si="3"/>
        <v>40</v>
      </c>
      <c r="C148" s="49"/>
      <c r="D148" s="234" t="s">
        <v>155</v>
      </c>
      <c r="E148" s="235"/>
      <c r="F148" s="235"/>
      <c r="G148" s="235"/>
      <c r="H148" s="235"/>
      <c r="I148" s="235"/>
      <c r="J148" s="236"/>
      <c r="K148" s="38" t="s">
        <v>240</v>
      </c>
      <c r="L148" s="39"/>
      <c r="M148" s="40"/>
      <c r="N148" s="19" t="s">
        <v>39</v>
      </c>
      <c r="O148" s="19" t="s">
        <v>29</v>
      </c>
      <c r="P148" s="47" t="s">
        <v>28</v>
      </c>
      <c r="Q148" s="48"/>
      <c r="R148" s="48"/>
      <c r="S148" s="49"/>
      <c r="T148" s="47" t="s">
        <v>28</v>
      </c>
      <c r="U148" s="48"/>
      <c r="V148" s="48"/>
      <c r="W148" s="49"/>
      <c r="X148" s="44" t="s">
        <v>154</v>
      </c>
      <c r="Y148" s="91"/>
      <c r="Z148" s="92"/>
      <c r="AA148" s="47" t="s">
        <v>39</v>
      </c>
      <c r="AB148" s="48"/>
      <c r="AC148" s="48"/>
      <c r="AD148" s="48"/>
      <c r="AE148" s="48"/>
      <c r="AF148" s="48"/>
      <c r="AG148" s="48"/>
      <c r="AH148" s="49"/>
      <c r="AI148" s="50" t="s">
        <v>39</v>
      </c>
      <c r="AJ148" s="51"/>
      <c r="AK148" s="51"/>
      <c r="AL148" s="51"/>
      <c r="AM148" s="51"/>
      <c r="AN148" s="51"/>
      <c r="AO148" s="51"/>
      <c r="AP148" s="51"/>
      <c r="AQ148" s="52"/>
      <c r="AR148" s="19" t="s">
        <v>28</v>
      </c>
      <c r="AS148" s="21" t="s">
        <v>39</v>
      </c>
      <c r="AT148" s="21" t="s">
        <v>39</v>
      </c>
      <c r="AU148" s="76" t="s">
        <v>31</v>
      </c>
      <c r="AV148" s="86"/>
      <c r="AW148" s="86"/>
      <c r="AX148" s="77"/>
      <c r="AY148" s="76" t="s">
        <v>39</v>
      </c>
      <c r="AZ148" s="86"/>
      <c r="BA148" s="86"/>
      <c r="BB148" s="77"/>
      <c r="BC148" s="53"/>
      <c r="BD148" s="101"/>
      <c r="BE148" s="101"/>
      <c r="BF148" s="101"/>
      <c r="BG148" s="101"/>
      <c r="BH148" s="101"/>
      <c r="BI148" s="101"/>
      <c r="BJ148" s="102"/>
      <c r="BK148" s="16"/>
    </row>
    <row r="149" spans="1:63" ht="31.5" customHeight="1" x14ac:dyDescent="0.25">
      <c r="A149" s="15"/>
      <c r="B149" s="47">
        <v>41.1</v>
      </c>
      <c r="C149" s="49"/>
      <c r="D149" s="234" t="s">
        <v>151</v>
      </c>
      <c r="E149" s="235"/>
      <c r="F149" s="235"/>
      <c r="G149" s="235"/>
      <c r="H149" s="235"/>
      <c r="I149" s="235"/>
      <c r="J149" s="236"/>
      <c r="K149" s="38" t="s">
        <v>240</v>
      </c>
      <c r="L149" s="39"/>
      <c r="M149" s="40"/>
      <c r="N149" s="19" t="s">
        <v>245</v>
      </c>
      <c r="O149" s="19" t="s">
        <v>28</v>
      </c>
      <c r="P149" s="100" t="s">
        <v>28</v>
      </c>
      <c r="Q149" s="42"/>
      <c r="R149" s="42"/>
      <c r="S149" s="43"/>
      <c r="T149" s="100" t="s">
        <v>28</v>
      </c>
      <c r="U149" s="42"/>
      <c r="V149" s="42"/>
      <c r="W149" s="43"/>
      <c r="X149" s="44" t="s">
        <v>28</v>
      </c>
      <c r="Y149" s="91"/>
      <c r="Z149" s="92"/>
      <c r="AA149" s="47" t="s">
        <v>39</v>
      </c>
      <c r="AB149" s="48"/>
      <c r="AC149" s="48"/>
      <c r="AD149" s="48"/>
      <c r="AE149" s="48"/>
      <c r="AF149" s="48"/>
      <c r="AG149" s="48"/>
      <c r="AH149" s="49"/>
      <c r="AI149" s="50" t="s">
        <v>39</v>
      </c>
      <c r="AJ149" s="51"/>
      <c r="AK149" s="51"/>
      <c r="AL149" s="51"/>
      <c r="AM149" s="51"/>
      <c r="AN149" s="51"/>
      <c r="AO149" s="51"/>
      <c r="AP149" s="51"/>
      <c r="AQ149" s="52"/>
      <c r="AR149" s="19" t="s">
        <v>28</v>
      </c>
      <c r="AS149" s="21" t="s">
        <v>39</v>
      </c>
      <c r="AT149" s="21" t="s">
        <v>39</v>
      </c>
      <c r="AU149" s="76" t="s">
        <v>31</v>
      </c>
      <c r="AV149" s="86"/>
      <c r="AW149" s="86"/>
      <c r="AX149" s="77"/>
      <c r="AY149" s="76" t="s">
        <v>39</v>
      </c>
      <c r="AZ149" s="86"/>
      <c r="BA149" s="86"/>
      <c r="BB149" s="77"/>
      <c r="BC149" s="53"/>
      <c r="BD149" s="101"/>
      <c r="BE149" s="101"/>
      <c r="BF149" s="101"/>
      <c r="BG149" s="101"/>
      <c r="BH149" s="101"/>
      <c r="BI149" s="101"/>
      <c r="BJ149" s="102"/>
      <c r="BK149" s="16"/>
    </row>
    <row r="150" spans="1:63" ht="31.5" customHeight="1" x14ac:dyDescent="0.25">
      <c r="A150" s="15"/>
      <c r="B150" s="47">
        <v>41.2</v>
      </c>
      <c r="C150" s="49"/>
      <c r="D150" s="234" t="s">
        <v>107</v>
      </c>
      <c r="E150" s="235"/>
      <c r="F150" s="235"/>
      <c r="G150" s="235"/>
      <c r="H150" s="235"/>
      <c r="I150" s="235"/>
      <c r="J150" s="236"/>
      <c r="K150" s="38" t="s">
        <v>240</v>
      </c>
      <c r="L150" s="39"/>
      <c r="M150" s="40"/>
      <c r="N150" s="19" t="s">
        <v>245</v>
      </c>
      <c r="O150" s="19" t="s">
        <v>28</v>
      </c>
      <c r="P150" s="100" t="s">
        <v>28</v>
      </c>
      <c r="Q150" s="42"/>
      <c r="R150" s="42"/>
      <c r="S150" s="43"/>
      <c r="T150" s="100" t="s">
        <v>28</v>
      </c>
      <c r="U150" s="42"/>
      <c r="V150" s="42"/>
      <c r="W150" s="43"/>
      <c r="X150" s="44" t="s">
        <v>28</v>
      </c>
      <c r="Y150" s="91"/>
      <c r="Z150" s="92"/>
      <c r="AA150" s="47" t="s">
        <v>39</v>
      </c>
      <c r="AB150" s="48"/>
      <c r="AC150" s="48"/>
      <c r="AD150" s="48"/>
      <c r="AE150" s="48"/>
      <c r="AF150" s="48"/>
      <c r="AG150" s="48"/>
      <c r="AH150" s="49"/>
      <c r="AI150" s="50" t="s">
        <v>39</v>
      </c>
      <c r="AJ150" s="51"/>
      <c r="AK150" s="51"/>
      <c r="AL150" s="51"/>
      <c r="AM150" s="51"/>
      <c r="AN150" s="51"/>
      <c r="AO150" s="51"/>
      <c r="AP150" s="51"/>
      <c r="AQ150" s="52"/>
      <c r="AR150" s="19" t="s">
        <v>28</v>
      </c>
      <c r="AS150" s="21" t="s">
        <v>39</v>
      </c>
      <c r="AT150" s="21" t="s">
        <v>39</v>
      </c>
      <c r="AU150" s="76" t="s">
        <v>31</v>
      </c>
      <c r="AV150" s="86"/>
      <c r="AW150" s="86"/>
      <c r="AX150" s="77"/>
      <c r="AY150" s="76" t="s">
        <v>39</v>
      </c>
      <c r="AZ150" s="86"/>
      <c r="BA150" s="86"/>
      <c r="BB150" s="77"/>
      <c r="BC150" s="53"/>
      <c r="BD150" s="101"/>
      <c r="BE150" s="101"/>
      <c r="BF150" s="101"/>
      <c r="BG150" s="101"/>
      <c r="BH150" s="101"/>
      <c r="BI150" s="101"/>
      <c r="BJ150" s="102"/>
      <c r="BK150" s="16"/>
    </row>
    <row r="151" spans="1:63" ht="32.25" customHeight="1" x14ac:dyDescent="0.25">
      <c r="A151" s="15"/>
      <c r="B151" s="47">
        <v>41.3</v>
      </c>
      <c r="C151" s="49"/>
      <c r="D151" s="234" t="s">
        <v>156</v>
      </c>
      <c r="E151" s="235"/>
      <c r="F151" s="235"/>
      <c r="G151" s="235"/>
      <c r="H151" s="235"/>
      <c r="I151" s="235"/>
      <c r="J151" s="236"/>
      <c r="K151" s="38" t="s">
        <v>240</v>
      </c>
      <c r="L151" s="39"/>
      <c r="M151" s="40"/>
      <c r="N151" s="19" t="s">
        <v>245</v>
      </c>
      <c r="O151" s="19" t="s">
        <v>28</v>
      </c>
      <c r="P151" s="100" t="s">
        <v>28</v>
      </c>
      <c r="Q151" s="42"/>
      <c r="R151" s="42"/>
      <c r="S151" s="43"/>
      <c r="T151" s="100" t="s">
        <v>28</v>
      </c>
      <c r="U151" s="42"/>
      <c r="V151" s="42"/>
      <c r="W151" s="43"/>
      <c r="X151" s="44" t="s">
        <v>28</v>
      </c>
      <c r="Y151" s="91"/>
      <c r="Z151" s="92"/>
      <c r="AA151" s="47" t="s">
        <v>39</v>
      </c>
      <c r="AB151" s="48"/>
      <c r="AC151" s="48"/>
      <c r="AD151" s="48"/>
      <c r="AE151" s="48"/>
      <c r="AF151" s="48"/>
      <c r="AG151" s="48"/>
      <c r="AH151" s="49"/>
      <c r="AI151" s="50" t="s">
        <v>39</v>
      </c>
      <c r="AJ151" s="51"/>
      <c r="AK151" s="51"/>
      <c r="AL151" s="51"/>
      <c r="AM151" s="51"/>
      <c r="AN151" s="51"/>
      <c r="AO151" s="51"/>
      <c r="AP151" s="51"/>
      <c r="AQ151" s="52"/>
      <c r="AR151" s="19" t="s">
        <v>28</v>
      </c>
      <c r="AS151" s="21" t="s">
        <v>39</v>
      </c>
      <c r="AT151" s="21" t="s">
        <v>39</v>
      </c>
      <c r="AU151" s="76" t="s">
        <v>31</v>
      </c>
      <c r="AV151" s="86"/>
      <c r="AW151" s="86"/>
      <c r="AX151" s="77"/>
      <c r="AY151" s="76" t="s">
        <v>39</v>
      </c>
      <c r="AZ151" s="86"/>
      <c r="BA151" s="86"/>
      <c r="BB151" s="77"/>
      <c r="BC151" s="53"/>
      <c r="BD151" s="101"/>
      <c r="BE151" s="101"/>
      <c r="BF151" s="101"/>
      <c r="BG151" s="101"/>
      <c r="BH151" s="101"/>
      <c r="BI151" s="101"/>
      <c r="BJ151" s="102"/>
      <c r="BK151" s="16"/>
    </row>
    <row r="152" spans="1:63" ht="29.25" customHeight="1" x14ac:dyDescent="0.25">
      <c r="A152" s="15"/>
      <c r="B152" s="47">
        <v>41.4</v>
      </c>
      <c r="C152" s="49"/>
      <c r="D152" s="234" t="s">
        <v>196</v>
      </c>
      <c r="E152" s="235"/>
      <c r="F152" s="235"/>
      <c r="G152" s="235"/>
      <c r="H152" s="235"/>
      <c r="I152" s="235"/>
      <c r="J152" s="236"/>
      <c r="K152" s="38" t="s">
        <v>240</v>
      </c>
      <c r="L152" s="39"/>
      <c r="M152" s="40"/>
      <c r="N152" s="19" t="s">
        <v>245</v>
      </c>
      <c r="O152" s="19" t="s">
        <v>28</v>
      </c>
      <c r="P152" s="100" t="s">
        <v>28</v>
      </c>
      <c r="Q152" s="42"/>
      <c r="R152" s="42"/>
      <c r="S152" s="43"/>
      <c r="T152" s="100" t="s">
        <v>28</v>
      </c>
      <c r="U152" s="42"/>
      <c r="V152" s="42"/>
      <c r="W152" s="43"/>
      <c r="X152" s="44" t="s">
        <v>28</v>
      </c>
      <c r="Y152" s="91"/>
      <c r="Z152" s="92"/>
      <c r="AA152" s="47" t="s">
        <v>39</v>
      </c>
      <c r="AB152" s="48"/>
      <c r="AC152" s="48"/>
      <c r="AD152" s="48"/>
      <c r="AE152" s="48"/>
      <c r="AF152" s="48"/>
      <c r="AG152" s="48"/>
      <c r="AH152" s="49"/>
      <c r="AI152" s="50" t="s">
        <v>39</v>
      </c>
      <c r="AJ152" s="51"/>
      <c r="AK152" s="51"/>
      <c r="AL152" s="51"/>
      <c r="AM152" s="51"/>
      <c r="AN152" s="51"/>
      <c r="AO152" s="51"/>
      <c r="AP152" s="51"/>
      <c r="AQ152" s="52"/>
      <c r="AR152" s="19" t="s">
        <v>28</v>
      </c>
      <c r="AS152" s="21" t="s">
        <v>39</v>
      </c>
      <c r="AT152" s="21" t="s">
        <v>39</v>
      </c>
      <c r="AU152" s="76" t="s">
        <v>31</v>
      </c>
      <c r="AV152" s="86"/>
      <c r="AW152" s="86"/>
      <c r="AX152" s="77"/>
      <c r="AY152" s="76" t="s">
        <v>39</v>
      </c>
      <c r="AZ152" s="86"/>
      <c r="BA152" s="86"/>
      <c r="BB152" s="77"/>
      <c r="BC152" s="53"/>
      <c r="BD152" s="101"/>
      <c r="BE152" s="101"/>
      <c r="BF152" s="101"/>
      <c r="BG152" s="101"/>
      <c r="BH152" s="101"/>
      <c r="BI152" s="101"/>
      <c r="BJ152" s="102"/>
      <c r="BK152" s="16"/>
    </row>
    <row r="153" spans="1:63" ht="31.5" customHeight="1" x14ac:dyDescent="0.25">
      <c r="A153" s="15"/>
      <c r="B153" s="70">
        <v>41.5</v>
      </c>
      <c r="C153" s="66"/>
      <c r="D153" s="264" t="s">
        <v>157</v>
      </c>
      <c r="E153" s="265"/>
      <c r="F153" s="265"/>
      <c r="G153" s="265"/>
      <c r="H153" s="265"/>
      <c r="I153" s="265"/>
      <c r="J153" s="266"/>
      <c r="K153" s="61" t="s">
        <v>240</v>
      </c>
      <c r="L153" s="62"/>
      <c r="M153" s="63"/>
      <c r="N153" s="23" t="s">
        <v>245</v>
      </c>
      <c r="O153" s="23" t="s">
        <v>28</v>
      </c>
      <c r="P153" s="216" t="s">
        <v>28</v>
      </c>
      <c r="Q153" s="217"/>
      <c r="R153" s="217"/>
      <c r="S153" s="218"/>
      <c r="T153" s="216" t="s">
        <v>28</v>
      </c>
      <c r="U153" s="217"/>
      <c r="V153" s="217"/>
      <c r="W153" s="218"/>
      <c r="X153" s="67" t="s">
        <v>28</v>
      </c>
      <c r="Y153" s="214"/>
      <c r="Z153" s="215"/>
      <c r="AA153" s="70" t="s">
        <v>39</v>
      </c>
      <c r="AB153" s="65"/>
      <c r="AC153" s="65"/>
      <c r="AD153" s="65"/>
      <c r="AE153" s="65"/>
      <c r="AF153" s="65"/>
      <c r="AG153" s="65"/>
      <c r="AH153" s="66"/>
      <c r="AI153" s="225" t="s">
        <v>39</v>
      </c>
      <c r="AJ153" s="72"/>
      <c r="AK153" s="72"/>
      <c r="AL153" s="72"/>
      <c r="AM153" s="72"/>
      <c r="AN153" s="72"/>
      <c r="AO153" s="72"/>
      <c r="AP153" s="72"/>
      <c r="AQ153" s="73"/>
      <c r="AR153" s="23" t="s">
        <v>28</v>
      </c>
      <c r="AS153" s="24" t="s">
        <v>39</v>
      </c>
      <c r="AT153" s="24" t="s">
        <v>39</v>
      </c>
      <c r="AU153" s="56" t="s">
        <v>31</v>
      </c>
      <c r="AV153" s="224"/>
      <c r="AW153" s="224"/>
      <c r="AX153" s="57"/>
      <c r="AY153" s="56" t="s">
        <v>39</v>
      </c>
      <c r="AZ153" s="224"/>
      <c r="BA153" s="224"/>
      <c r="BB153" s="57"/>
      <c r="BC153" s="219"/>
      <c r="BD153" s="267"/>
      <c r="BE153" s="267"/>
      <c r="BF153" s="267"/>
      <c r="BG153" s="267"/>
      <c r="BH153" s="267"/>
      <c r="BI153" s="267"/>
      <c r="BJ153" s="268"/>
      <c r="BK153" s="16"/>
    </row>
    <row r="157" spans="1:63" ht="15" customHeight="1" x14ac:dyDescent="0.25">
      <c r="A157" s="15"/>
      <c r="B157" s="27" t="s">
        <v>158</v>
      </c>
      <c r="C157" s="28"/>
      <c r="D157" s="28"/>
      <c r="E157" s="28"/>
      <c r="F157" s="28"/>
      <c r="G157" s="28"/>
      <c r="H157" s="28"/>
      <c r="I157" s="28"/>
      <c r="J157" s="28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7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30"/>
    </row>
    <row r="191" spans="1:63" ht="15" customHeight="1" x14ac:dyDescent="0.25">
      <c r="A191" s="15"/>
      <c r="B191" s="17" t="s">
        <v>228</v>
      </c>
      <c r="BK191" s="16"/>
    </row>
    <row r="192" spans="1:63" x14ac:dyDescent="0.25">
      <c r="A192" s="15"/>
      <c r="BK192" s="16"/>
    </row>
    <row r="194" spans="1:63" ht="15.75" customHeight="1" x14ac:dyDescent="0.25">
      <c r="A194" s="15"/>
      <c r="B194" s="126" t="s">
        <v>229</v>
      </c>
      <c r="C194" s="127"/>
      <c r="D194" s="132" t="s">
        <v>230</v>
      </c>
      <c r="E194" s="133"/>
      <c r="F194" s="133"/>
      <c r="G194" s="133"/>
      <c r="H194" s="133"/>
      <c r="I194" s="133"/>
      <c r="J194" s="127"/>
      <c r="K194" s="132" t="s">
        <v>242</v>
      </c>
      <c r="L194" s="133"/>
      <c r="M194" s="127"/>
      <c r="N194" s="136" t="s">
        <v>243</v>
      </c>
      <c r="O194" s="139" t="s">
        <v>246</v>
      </c>
      <c r="P194" s="142" t="s">
        <v>247</v>
      </c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4"/>
      <c r="AR194" s="145" t="s">
        <v>262</v>
      </c>
      <c r="AS194" s="146"/>
      <c r="AT194" s="146"/>
      <c r="AU194" s="146"/>
      <c r="AV194" s="146"/>
      <c r="AW194" s="146"/>
      <c r="AX194" s="146"/>
      <c r="AY194" s="146"/>
      <c r="AZ194" s="146"/>
      <c r="BA194" s="146"/>
      <c r="BB194" s="147"/>
      <c r="BC194" s="148" t="s">
        <v>266</v>
      </c>
      <c r="BD194" s="149"/>
      <c r="BE194" s="149"/>
      <c r="BF194" s="149"/>
      <c r="BG194" s="149"/>
      <c r="BH194" s="149"/>
      <c r="BI194" s="149"/>
      <c r="BJ194" s="150"/>
      <c r="BK194" s="16"/>
    </row>
    <row r="195" spans="1:63" ht="15.75" customHeight="1" x14ac:dyDescent="0.25">
      <c r="A195" s="15"/>
      <c r="B195" s="128"/>
      <c r="C195" s="129"/>
      <c r="D195" s="128"/>
      <c r="E195" s="134"/>
      <c r="F195" s="134"/>
      <c r="G195" s="134"/>
      <c r="H195" s="134"/>
      <c r="I195" s="134"/>
      <c r="J195" s="129"/>
      <c r="K195" s="128"/>
      <c r="L195" s="134"/>
      <c r="M195" s="129"/>
      <c r="N195" s="137"/>
      <c r="O195" s="140"/>
      <c r="P195" s="157" t="s">
        <v>248</v>
      </c>
      <c r="Q195" s="158"/>
      <c r="R195" s="158"/>
      <c r="S195" s="158"/>
      <c r="T195" s="158"/>
      <c r="U195" s="158"/>
      <c r="V195" s="158"/>
      <c r="W195" s="159"/>
      <c r="X195" s="160" t="s">
        <v>250</v>
      </c>
      <c r="Y195" s="161"/>
      <c r="Z195" s="162"/>
      <c r="AA195" s="160" t="s">
        <v>258</v>
      </c>
      <c r="AB195" s="161"/>
      <c r="AC195" s="161"/>
      <c r="AD195" s="161"/>
      <c r="AE195" s="161"/>
      <c r="AF195" s="161"/>
      <c r="AG195" s="161"/>
      <c r="AH195" s="162"/>
      <c r="AI195" s="160" t="s">
        <v>260</v>
      </c>
      <c r="AJ195" s="161"/>
      <c r="AK195" s="161"/>
      <c r="AL195" s="161"/>
      <c r="AM195" s="161"/>
      <c r="AN195" s="161"/>
      <c r="AO195" s="161"/>
      <c r="AP195" s="161"/>
      <c r="AQ195" s="162"/>
      <c r="AR195" s="166" t="s">
        <v>263</v>
      </c>
      <c r="AS195" s="168" t="s">
        <v>264</v>
      </c>
      <c r="AT195" s="170" t="s">
        <v>265</v>
      </c>
      <c r="AU195" s="145" t="s">
        <v>248</v>
      </c>
      <c r="AV195" s="146"/>
      <c r="AW195" s="146"/>
      <c r="AX195" s="146"/>
      <c r="AY195" s="146"/>
      <c r="AZ195" s="146"/>
      <c r="BA195" s="146"/>
      <c r="BB195" s="147"/>
      <c r="BC195" s="151"/>
      <c r="BD195" s="152"/>
      <c r="BE195" s="152"/>
      <c r="BF195" s="152"/>
      <c r="BG195" s="152"/>
      <c r="BH195" s="152"/>
      <c r="BI195" s="152"/>
      <c r="BJ195" s="153"/>
      <c r="BK195" s="16"/>
    </row>
    <row r="196" spans="1:63" x14ac:dyDescent="0.25">
      <c r="A196" s="15"/>
      <c r="B196" s="130"/>
      <c r="C196" s="131"/>
      <c r="D196" s="130"/>
      <c r="E196" s="135"/>
      <c r="F196" s="135"/>
      <c r="G196" s="135"/>
      <c r="H196" s="135"/>
      <c r="I196" s="135"/>
      <c r="J196" s="131"/>
      <c r="K196" s="130"/>
      <c r="L196" s="135"/>
      <c r="M196" s="131"/>
      <c r="N196" s="138"/>
      <c r="O196" s="141"/>
      <c r="P196" s="142" t="s">
        <v>249</v>
      </c>
      <c r="Q196" s="143"/>
      <c r="R196" s="143"/>
      <c r="S196" s="144"/>
      <c r="T196" s="142" t="s">
        <v>230</v>
      </c>
      <c r="U196" s="143"/>
      <c r="V196" s="143"/>
      <c r="W196" s="144"/>
      <c r="X196" s="163"/>
      <c r="Y196" s="164"/>
      <c r="Z196" s="165"/>
      <c r="AA196" s="163"/>
      <c r="AB196" s="164"/>
      <c r="AC196" s="164"/>
      <c r="AD196" s="164"/>
      <c r="AE196" s="164"/>
      <c r="AF196" s="164"/>
      <c r="AG196" s="164"/>
      <c r="AH196" s="165"/>
      <c r="AI196" s="163"/>
      <c r="AJ196" s="164"/>
      <c r="AK196" s="164"/>
      <c r="AL196" s="164"/>
      <c r="AM196" s="164"/>
      <c r="AN196" s="164"/>
      <c r="AO196" s="164"/>
      <c r="AP196" s="164"/>
      <c r="AQ196" s="165"/>
      <c r="AR196" s="167"/>
      <c r="AS196" s="169"/>
      <c r="AT196" s="171"/>
      <c r="AU196" s="145" t="s">
        <v>249</v>
      </c>
      <c r="AV196" s="146"/>
      <c r="AW196" s="146"/>
      <c r="AX196" s="172"/>
      <c r="AY196" s="173" t="s">
        <v>230</v>
      </c>
      <c r="AZ196" s="146"/>
      <c r="BA196" s="146"/>
      <c r="BB196" s="147"/>
      <c r="BC196" s="154"/>
      <c r="BD196" s="155"/>
      <c r="BE196" s="155"/>
      <c r="BF196" s="155"/>
      <c r="BG196" s="155"/>
      <c r="BH196" s="155"/>
      <c r="BI196" s="155"/>
      <c r="BJ196" s="156"/>
      <c r="BK196" s="16"/>
    </row>
    <row r="197" spans="1:63" x14ac:dyDescent="0.25">
      <c r="A197" s="15"/>
      <c r="B197" s="240" t="s">
        <v>159</v>
      </c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1"/>
      <c r="AK197" s="241"/>
      <c r="AL197" s="241"/>
      <c r="AM197" s="241"/>
      <c r="AN197" s="241"/>
      <c r="AO197" s="241"/>
      <c r="AP197" s="241"/>
      <c r="AQ197" s="241"/>
      <c r="AR197" s="241"/>
      <c r="AS197" s="241"/>
      <c r="AT197" s="241"/>
      <c r="AU197" s="241"/>
      <c r="AV197" s="241"/>
      <c r="AW197" s="241"/>
      <c r="AX197" s="241"/>
      <c r="AY197" s="241"/>
      <c r="AZ197" s="241"/>
      <c r="BA197" s="241"/>
      <c r="BB197" s="241"/>
      <c r="BC197" s="241"/>
      <c r="BD197" s="241"/>
      <c r="BE197" s="241"/>
      <c r="BF197" s="241"/>
      <c r="BG197" s="241"/>
      <c r="BH197" s="241"/>
      <c r="BI197" s="241"/>
      <c r="BJ197" s="242"/>
      <c r="BK197" s="16"/>
    </row>
    <row r="198" spans="1:63" ht="15.75" customHeight="1" x14ac:dyDescent="0.25">
      <c r="A198" s="15"/>
      <c r="B198" s="47">
        <v>42</v>
      </c>
      <c r="C198" s="49"/>
      <c r="D198" s="93" t="s">
        <v>235</v>
      </c>
      <c r="E198" s="94"/>
      <c r="F198" s="94"/>
      <c r="G198" s="94"/>
      <c r="H198" s="94"/>
      <c r="I198" s="94"/>
      <c r="J198" s="95"/>
      <c r="K198" s="90" t="s">
        <v>240</v>
      </c>
      <c r="L198" s="39"/>
      <c r="M198" s="40"/>
      <c r="N198" s="25" t="s">
        <v>28</v>
      </c>
      <c r="O198" s="19" t="s">
        <v>29</v>
      </c>
      <c r="P198" s="47" t="s">
        <v>31</v>
      </c>
      <c r="Q198" s="48"/>
      <c r="R198" s="48"/>
      <c r="S198" s="49"/>
      <c r="T198" s="47" t="s">
        <v>31</v>
      </c>
      <c r="U198" s="48"/>
      <c r="V198" s="48"/>
      <c r="W198" s="49"/>
      <c r="X198" s="115" t="s">
        <v>160</v>
      </c>
      <c r="Y198" s="116"/>
      <c r="Z198" s="117"/>
      <c r="AA198" s="47" t="s">
        <v>39</v>
      </c>
      <c r="AB198" s="48"/>
      <c r="AC198" s="48"/>
      <c r="AD198" s="48"/>
      <c r="AE198" s="48"/>
      <c r="AF198" s="48"/>
      <c r="AG198" s="48"/>
      <c r="AH198" s="49"/>
      <c r="AI198" s="50" t="s">
        <v>39</v>
      </c>
      <c r="AJ198" s="51"/>
      <c r="AK198" s="51"/>
      <c r="AL198" s="51"/>
      <c r="AM198" s="51"/>
      <c r="AN198" s="51"/>
      <c r="AO198" s="51"/>
      <c r="AP198" s="51"/>
      <c r="AQ198" s="52"/>
      <c r="AR198" s="21" t="s">
        <v>28</v>
      </c>
      <c r="AS198" s="21" t="s">
        <v>39</v>
      </c>
      <c r="AT198" s="21" t="s">
        <v>39</v>
      </c>
      <c r="AU198" s="47" t="s">
        <v>31</v>
      </c>
      <c r="AV198" s="48"/>
      <c r="AW198" s="48"/>
      <c r="AX198" s="49"/>
      <c r="AY198" s="47" t="s">
        <v>39</v>
      </c>
      <c r="AZ198" s="48"/>
      <c r="BA198" s="48"/>
      <c r="BB198" s="49"/>
      <c r="BC198" s="53" t="s">
        <v>223</v>
      </c>
      <c r="BD198" s="54"/>
      <c r="BE198" s="54"/>
      <c r="BF198" s="54"/>
      <c r="BG198" s="54"/>
      <c r="BH198" s="54"/>
      <c r="BI198" s="54"/>
      <c r="BJ198" s="55"/>
      <c r="BK198" s="16"/>
    </row>
    <row r="199" spans="1:63" x14ac:dyDescent="0.25">
      <c r="A199" s="15"/>
      <c r="B199" s="47">
        <f t="shared" ref="B199:B213" si="4">B198+1</f>
        <v>43</v>
      </c>
      <c r="C199" s="49"/>
      <c r="D199" s="97" t="s">
        <v>161</v>
      </c>
      <c r="E199" s="98"/>
      <c r="F199" s="98"/>
      <c r="G199" s="98"/>
      <c r="H199" s="98"/>
      <c r="I199" s="98"/>
      <c r="J199" s="99"/>
      <c r="K199" s="38" t="s">
        <v>240</v>
      </c>
      <c r="L199" s="39"/>
      <c r="M199" s="40"/>
      <c r="N199" s="25" t="s">
        <v>28</v>
      </c>
      <c r="O199" s="19" t="s">
        <v>29</v>
      </c>
      <c r="P199" s="47" t="s">
        <v>28</v>
      </c>
      <c r="Q199" s="48"/>
      <c r="R199" s="48"/>
      <c r="S199" s="49"/>
      <c r="T199" s="47" t="s">
        <v>28</v>
      </c>
      <c r="U199" s="48"/>
      <c r="V199" s="48"/>
      <c r="W199" s="49"/>
      <c r="X199" s="44" t="s">
        <v>162</v>
      </c>
      <c r="Y199" s="91"/>
      <c r="Z199" s="92"/>
      <c r="AA199" s="47" t="s">
        <v>39</v>
      </c>
      <c r="AB199" s="48"/>
      <c r="AC199" s="48"/>
      <c r="AD199" s="48"/>
      <c r="AE199" s="48"/>
      <c r="AF199" s="48"/>
      <c r="AG199" s="48"/>
      <c r="AH199" s="49"/>
      <c r="AI199" s="50" t="s">
        <v>39</v>
      </c>
      <c r="AJ199" s="51"/>
      <c r="AK199" s="51"/>
      <c r="AL199" s="51"/>
      <c r="AM199" s="51"/>
      <c r="AN199" s="51"/>
      <c r="AO199" s="51"/>
      <c r="AP199" s="51"/>
      <c r="AQ199" s="52"/>
      <c r="AR199" s="19" t="s">
        <v>28</v>
      </c>
      <c r="AS199" s="21" t="s">
        <v>39</v>
      </c>
      <c r="AT199" s="21" t="s">
        <v>39</v>
      </c>
      <c r="AU199" s="76" t="s">
        <v>31</v>
      </c>
      <c r="AV199" s="86"/>
      <c r="AW199" s="86"/>
      <c r="AX199" s="77"/>
      <c r="AY199" s="76" t="s">
        <v>39</v>
      </c>
      <c r="AZ199" s="86"/>
      <c r="BA199" s="86"/>
      <c r="BB199" s="77"/>
      <c r="BC199" s="53"/>
      <c r="BD199" s="101"/>
      <c r="BE199" s="101"/>
      <c r="BF199" s="101"/>
      <c r="BG199" s="101"/>
      <c r="BH199" s="101"/>
      <c r="BI199" s="101"/>
      <c r="BJ199" s="102"/>
      <c r="BK199" s="16"/>
    </row>
    <row r="200" spans="1:63" x14ac:dyDescent="0.25">
      <c r="A200" s="15"/>
      <c r="B200" s="47">
        <f t="shared" si="4"/>
        <v>44</v>
      </c>
      <c r="C200" s="49"/>
      <c r="D200" s="234" t="s">
        <v>105</v>
      </c>
      <c r="E200" s="235"/>
      <c r="F200" s="235"/>
      <c r="G200" s="235"/>
      <c r="H200" s="235"/>
      <c r="I200" s="235"/>
      <c r="J200" s="236"/>
      <c r="K200" s="38" t="s">
        <v>240</v>
      </c>
      <c r="L200" s="39"/>
      <c r="M200" s="40"/>
      <c r="N200" s="25" t="s">
        <v>28</v>
      </c>
      <c r="O200" s="19" t="s">
        <v>29</v>
      </c>
      <c r="P200" s="47" t="s">
        <v>28</v>
      </c>
      <c r="Q200" s="48"/>
      <c r="R200" s="48"/>
      <c r="S200" s="49"/>
      <c r="T200" s="47" t="s">
        <v>28</v>
      </c>
      <c r="U200" s="48"/>
      <c r="V200" s="48"/>
      <c r="W200" s="49"/>
      <c r="X200" s="44" t="s">
        <v>252</v>
      </c>
      <c r="Y200" s="91"/>
      <c r="Z200" s="92"/>
      <c r="AA200" s="47" t="s">
        <v>39</v>
      </c>
      <c r="AB200" s="48"/>
      <c r="AC200" s="48"/>
      <c r="AD200" s="48"/>
      <c r="AE200" s="48"/>
      <c r="AF200" s="48"/>
      <c r="AG200" s="48"/>
      <c r="AH200" s="49"/>
      <c r="AI200" s="50" t="s">
        <v>39</v>
      </c>
      <c r="AJ200" s="51"/>
      <c r="AK200" s="51"/>
      <c r="AL200" s="51"/>
      <c r="AM200" s="51"/>
      <c r="AN200" s="51"/>
      <c r="AO200" s="51"/>
      <c r="AP200" s="51"/>
      <c r="AQ200" s="52"/>
      <c r="AR200" s="19" t="s">
        <v>28</v>
      </c>
      <c r="AS200" s="21" t="s">
        <v>39</v>
      </c>
      <c r="AT200" s="21" t="s">
        <v>39</v>
      </c>
      <c r="AU200" s="76" t="s">
        <v>31</v>
      </c>
      <c r="AV200" s="86"/>
      <c r="AW200" s="86"/>
      <c r="AX200" s="77"/>
      <c r="AY200" s="76" t="s">
        <v>39</v>
      </c>
      <c r="AZ200" s="86"/>
      <c r="BA200" s="86"/>
      <c r="BB200" s="77"/>
      <c r="BC200" s="53"/>
      <c r="BD200" s="101"/>
      <c r="BE200" s="101"/>
      <c r="BF200" s="101"/>
      <c r="BG200" s="101"/>
      <c r="BH200" s="101"/>
      <c r="BI200" s="101"/>
      <c r="BJ200" s="102"/>
      <c r="BK200" s="16"/>
    </row>
    <row r="201" spans="1:63" x14ac:dyDescent="0.25">
      <c r="A201" s="15"/>
      <c r="B201" s="47">
        <f t="shared" si="4"/>
        <v>45</v>
      </c>
      <c r="C201" s="49"/>
      <c r="D201" s="234" t="s">
        <v>236</v>
      </c>
      <c r="E201" s="235"/>
      <c r="F201" s="235"/>
      <c r="G201" s="235"/>
      <c r="H201" s="235"/>
      <c r="I201" s="235"/>
      <c r="J201" s="236"/>
      <c r="K201" s="38" t="s">
        <v>240</v>
      </c>
      <c r="L201" s="39"/>
      <c r="M201" s="40"/>
      <c r="N201" s="25" t="s">
        <v>28</v>
      </c>
      <c r="O201" s="19" t="s">
        <v>29</v>
      </c>
      <c r="P201" s="47" t="s">
        <v>28</v>
      </c>
      <c r="Q201" s="48"/>
      <c r="R201" s="48"/>
      <c r="S201" s="49"/>
      <c r="T201" s="47" t="s">
        <v>28</v>
      </c>
      <c r="U201" s="48"/>
      <c r="V201" s="48"/>
      <c r="W201" s="49"/>
      <c r="X201" s="44" t="s">
        <v>255</v>
      </c>
      <c r="Y201" s="91"/>
      <c r="Z201" s="92"/>
      <c r="AA201" s="47" t="s">
        <v>39</v>
      </c>
      <c r="AB201" s="48"/>
      <c r="AC201" s="48"/>
      <c r="AD201" s="48"/>
      <c r="AE201" s="48"/>
      <c r="AF201" s="48"/>
      <c r="AG201" s="48"/>
      <c r="AH201" s="49"/>
      <c r="AI201" s="50" t="s">
        <v>39</v>
      </c>
      <c r="AJ201" s="51"/>
      <c r="AK201" s="51"/>
      <c r="AL201" s="51"/>
      <c r="AM201" s="51"/>
      <c r="AN201" s="51"/>
      <c r="AO201" s="51"/>
      <c r="AP201" s="51"/>
      <c r="AQ201" s="52"/>
      <c r="AR201" s="19" t="s">
        <v>28</v>
      </c>
      <c r="AS201" s="21" t="s">
        <v>39</v>
      </c>
      <c r="AT201" s="21" t="s">
        <v>39</v>
      </c>
      <c r="AU201" s="76" t="s">
        <v>31</v>
      </c>
      <c r="AV201" s="86"/>
      <c r="AW201" s="86"/>
      <c r="AX201" s="77"/>
      <c r="AY201" s="76" t="s">
        <v>39</v>
      </c>
      <c r="AZ201" s="86"/>
      <c r="BA201" s="86"/>
      <c r="BB201" s="77"/>
      <c r="BC201" s="53"/>
      <c r="BD201" s="101"/>
      <c r="BE201" s="101"/>
      <c r="BF201" s="101"/>
      <c r="BG201" s="101"/>
      <c r="BH201" s="101"/>
      <c r="BI201" s="101"/>
      <c r="BJ201" s="102"/>
      <c r="BK201" s="16"/>
    </row>
    <row r="202" spans="1:63" ht="57" customHeight="1" x14ac:dyDescent="0.25">
      <c r="A202" s="15"/>
      <c r="B202" s="47">
        <f t="shared" si="4"/>
        <v>46</v>
      </c>
      <c r="C202" s="49"/>
      <c r="D202" s="234" t="s">
        <v>173</v>
      </c>
      <c r="E202" s="235"/>
      <c r="F202" s="235"/>
      <c r="G202" s="235"/>
      <c r="H202" s="235"/>
      <c r="I202" s="235"/>
      <c r="J202" s="236"/>
      <c r="K202" s="38" t="s">
        <v>240</v>
      </c>
      <c r="L202" s="39"/>
      <c r="M202" s="40"/>
      <c r="N202" s="25" t="s">
        <v>28</v>
      </c>
      <c r="O202" s="19" t="s">
        <v>29</v>
      </c>
      <c r="P202" s="47" t="s">
        <v>28</v>
      </c>
      <c r="Q202" s="48"/>
      <c r="R202" s="48"/>
      <c r="S202" s="49"/>
      <c r="T202" s="47" t="s">
        <v>28</v>
      </c>
      <c r="U202" s="48"/>
      <c r="V202" s="48"/>
      <c r="W202" s="49"/>
      <c r="X202" s="44" t="s">
        <v>254</v>
      </c>
      <c r="Y202" s="91"/>
      <c r="Z202" s="92"/>
      <c r="AA202" s="47" t="s">
        <v>39</v>
      </c>
      <c r="AB202" s="48"/>
      <c r="AC202" s="48"/>
      <c r="AD202" s="48"/>
      <c r="AE202" s="48"/>
      <c r="AF202" s="48"/>
      <c r="AG202" s="48"/>
      <c r="AH202" s="49"/>
      <c r="AI202" s="50" t="s">
        <v>39</v>
      </c>
      <c r="AJ202" s="51"/>
      <c r="AK202" s="51"/>
      <c r="AL202" s="51"/>
      <c r="AM202" s="51"/>
      <c r="AN202" s="51"/>
      <c r="AO202" s="51"/>
      <c r="AP202" s="51"/>
      <c r="AQ202" s="52"/>
      <c r="AR202" s="19" t="s">
        <v>28</v>
      </c>
      <c r="AS202" s="21" t="s">
        <v>39</v>
      </c>
      <c r="AT202" s="21" t="s">
        <v>39</v>
      </c>
      <c r="AU202" s="76" t="s">
        <v>31</v>
      </c>
      <c r="AV202" s="86"/>
      <c r="AW202" s="86"/>
      <c r="AX202" s="77"/>
      <c r="AY202" s="76" t="s">
        <v>39</v>
      </c>
      <c r="AZ202" s="86"/>
      <c r="BA202" s="86"/>
      <c r="BB202" s="77"/>
      <c r="BC202" s="53"/>
      <c r="BD202" s="101"/>
      <c r="BE202" s="101"/>
      <c r="BF202" s="101"/>
      <c r="BG202" s="101"/>
      <c r="BH202" s="101"/>
      <c r="BI202" s="101"/>
      <c r="BJ202" s="102"/>
      <c r="BK202" s="16"/>
    </row>
    <row r="203" spans="1:63" ht="47.25" customHeight="1" x14ac:dyDescent="0.25">
      <c r="A203" s="15"/>
      <c r="B203" s="47">
        <f t="shared" si="4"/>
        <v>47</v>
      </c>
      <c r="C203" s="49"/>
      <c r="D203" s="234" t="s">
        <v>168</v>
      </c>
      <c r="E203" s="235"/>
      <c r="F203" s="235"/>
      <c r="G203" s="235"/>
      <c r="H203" s="235"/>
      <c r="I203" s="235"/>
      <c r="J203" s="236"/>
      <c r="K203" s="38" t="s">
        <v>240</v>
      </c>
      <c r="L203" s="39"/>
      <c r="M203" s="40"/>
      <c r="N203" s="25" t="s">
        <v>28</v>
      </c>
      <c r="O203" s="19" t="s">
        <v>29</v>
      </c>
      <c r="P203" s="47" t="s">
        <v>28</v>
      </c>
      <c r="Q203" s="48"/>
      <c r="R203" s="48"/>
      <c r="S203" s="49"/>
      <c r="T203" s="47" t="s">
        <v>28</v>
      </c>
      <c r="U203" s="48"/>
      <c r="V203" s="48"/>
      <c r="W203" s="49"/>
      <c r="X203" s="44" t="s">
        <v>256</v>
      </c>
      <c r="Y203" s="91"/>
      <c r="Z203" s="92"/>
      <c r="AA203" s="47" t="s">
        <v>39</v>
      </c>
      <c r="AB203" s="48"/>
      <c r="AC203" s="48"/>
      <c r="AD203" s="48"/>
      <c r="AE203" s="48"/>
      <c r="AF203" s="48"/>
      <c r="AG203" s="48"/>
      <c r="AH203" s="49"/>
      <c r="AI203" s="50" t="s">
        <v>39</v>
      </c>
      <c r="AJ203" s="51"/>
      <c r="AK203" s="51"/>
      <c r="AL203" s="51"/>
      <c r="AM203" s="51"/>
      <c r="AN203" s="51"/>
      <c r="AO203" s="51"/>
      <c r="AP203" s="51"/>
      <c r="AQ203" s="52"/>
      <c r="AR203" s="19" t="s">
        <v>28</v>
      </c>
      <c r="AS203" s="21" t="s">
        <v>39</v>
      </c>
      <c r="AT203" s="21" t="s">
        <v>39</v>
      </c>
      <c r="AU203" s="76" t="s">
        <v>31</v>
      </c>
      <c r="AV203" s="86"/>
      <c r="AW203" s="86"/>
      <c r="AX203" s="77"/>
      <c r="AY203" s="76" t="s">
        <v>39</v>
      </c>
      <c r="AZ203" s="86"/>
      <c r="BA203" s="86"/>
      <c r="BB203" s="77"/>
      <c r="BC203" s="53"/>
      <c r="BD203" s="101"/>
      <c r="BE203" s="101"/>
      <c r="BF203" s="101"/>
      <c r="BG203" s="101"/>
      <c r="BH203" s="101"/>
      <c r="BI203" s="101"/>
      <c r="BJ203" s="102"/>
      <c r="BK203" s="16"/>
    </row>
    <row r="204" spans="1:63" x14ac:dyDescent="0.25">
      <c r="A204" s="15"/>
      <c r="B204" s="47">
        <v>48.1</v>
      </c>
      <c r="C204" s="49"/>
      <c r="D204" s="234" t="s">
        <v>169</v>
      </c>
      <c r="E204" s="235"/>
      <c r="F204" s="235"/>
      <c r="G204" s="235"/>
      <c r="H204" s="235"/>
      <c r="I204" s="235"/>
      <c r="J204" s="236"/>
      <c r="K204" s="38" t="s">
        <v>240</v>
      </c>
      <c r="L204" s="39"/>
      <c r="M204" s="40"/>
      <c r="N204" s="19" t="s">
        <v>245</v>
      </c>
      <c r="O204" s="19" t="s">
        <v>28</v>
      </c>
      <c r="P204" s="100" t="s">
        <v>28</v>
      </c>
      <c r="Q204" s="42"/>
      <c r="R204" s="42"/>
      <c r="S204" s="43"/>
      <c r="T204" s="100" t="s">
        <v>28</v>
      </c>
      <c r="U204" s="42"/>
      <c r="V204" s="42"/>
      <c r="W204" s="43"/>
      <c r="X204" s="44" t="s">
        <v>28</v>
      </c>
      <c r="Y204" s="91"/>
      <c r="Z204" s="92"/>
      <c r="AA204" s="47" t="s">
        <v>39</v>
      </c>
      <c r="AB204" s="48"/>
      <c r="AC204" s="48"/>
      <c r="AD204" s="48"/>
      <c r="AE204" s="48"/>
      <c r="AF204" s="48"/>
      <c r="AG204" s="48"/>
      <c r="AH204" s="49"/>
      <c r="AI204" s="50" t="s">
        <v>39</v>
      </c>
      <c r="AJ204" s="51"/>
      <c r="AK204" s="51"/>
      <c r="AL204" s="51"/>
      <c r="AM204" s="51"/>
      <c r="AN204" s="51"/>
      <c r="AO204" s="51"/>
      <c r="AP204" s="51"/>
      <c r="AQ204" s="52"/>
      <c r="AR204" s="19" t="s">
        <v>28</v>
      </c>
      <c r="AS204" s="21" t="s">
        <v>39</v>
      </c>
      <c r="AT204" s="21" t="s">
        <v>39</v>
      </c>
      <c r="AU204" s="76" t="s">
        <v>31</v>
      </c>
      <c r="AV204" s="86"/>
      <c r="AW204" s="86"/>
      <c r="AX204" s="77"/>
      <c r="AY204" s="76" t="s">
        <v>39</v>
      </c>
      <c r="AZ204" s="86"/>
      <c r="BA204" s="86"/>
      <c r="BB204" s="77"/>
      <c r="BC204" s="53"/>
      <c r="BD204" s="101"/>
      <c r="BE204" s="101"/>
      <c r="BF204" s="101"/>
      <c r="BG204" s="101"/>
      <c r="BH204" s="101"/>
      <c r="BI204" s="101"/>
      <c r="BJ204" s="102"/>
      <c r="BK204" s="16"/>
    </row>
    <row r="205" spans="1:63" x14ac:dyDescent="0.25">
      <c r="A205" s="15"/>
      <c r="B205" s="47">
        <v>48.2</v>
      </c>
      <c r="C205" s="49"/>
      <c r="D205" s="234" t="s">
        <v>107</v>
      </c>
      <c r="E205" s="235"/>
      <c r="F205" s="235"/>
      <c r="G205" s="235"/>
      <c r="H205" s="235"/>
      <c r="I205" s="235"/>
      <c r="J205" s="236"/>
      <c r="K205" s="38" t="s">
        <v>240</v>
      </c>
      <c r="L205" s="39"/>
      <c r="M205" s="40"/>
      <c r="N205" s="19" t="s">
        <v>245</v>
      </c>
      <c r="O205" s="19" t="s">
        <v>28</v>
      </c>
      <c r="P205" s="100" t="s">
        <v>28</v>
      </c>
      <c r="Q205" s="42"/>
      <c r="R205" s="42"/>
      <c r="S205" s="43"/>
      <c r="T205" s="100" t="s">
        <v>28</v>
      </c>
      <c r="U205" s="42"/>
      <c r="V205" s="42"/>
      <c r="W205" s="43"/>
      <c r="X205" s="44" t="s">
        <v>28</v>
      </c>
      <c r="Y205" s="91"/>
      <c r="Z205" s="92"/>
      <c r="AA205" s="47" t="s">
        <v>39</v>
      </c>
      <c r="AB205" s="48"/>
      <c r="AC205" s="48"/>
      <c r="AD205" s="48"/>
      <c r="AE205" s="48"/>
      <c r="AF205" s="48"/>
      <c r="AG205" s="48"/>
      <c r="AH205" s="49"/>
      <c r="AI205" s="50" t="s">
        <v>39</v>
      </c>
      <c r="AJ205" s="51"/>
      <c r="AK205" s="51"/>
      <c r="AL205" s="51"/>
      <c r="AM205" s="51"/>
      <c r="AN205" s="51"/>
      <c r="AO205" s="51"/>
      <c r="AP205" s="51"/>
      <c r="AQ205" s="52"/>
      <c r="AR205" s="19" t="s">
        <v>28</v>
      </c>
      <c r="AS205" s="21" t="s">
        <v>39</v>
      </c>
      <c r="AT205" s="21" t="s">
        <v>39</v>
      </c>
      <c r="AU205" s="76" t="s">
        <v>31</v>
      </c>
      <c r="AV205" s="86"/>
      <c r="AW205" s="86"/>
      <c r="AX205" s="77"/>
      <c r="AY205" s="76" t="s">
        <v>39</v>
      </c>
      <c r="AZ205" s="86"/>
      <c r="BA205" s="86"/>
      <c r="BB205" s="77"/>
      <c r="BC205" s="53"/>
      <c r="BD205" s="101"/>
      <c r="BE205" s="101"/>
      <c r="BF205" s="101"/>
      <c r="BG205" s="101"/>
      <c r="BH205" s="101"/>
      <c r="BI205" s="101"/>
      <c r="BJ205" s="102"/>
      <c r="BK205" s="16"/>
    </row>
    <row r="206" spans="1:63" x14ac:dyDescent="0.25">
      <c r="A206" s="15"/>
      <c r="B206" s="47">
        <v>48.3</v>
      </c>
      <c r="C206" s="49"/>
      <c r="D206" s="234" t="s">
        <v>237</v>
      </c>
      <c r="E206" s="235"/>
      <c r="F206" s="235"/>
      <c r="G206" s="235"/>
      <c r="H206" s="235"/>
      <c r="I206" s="235"/>
      <c r="J206" s="236"/>
      <c r="K206" s="38" t="s">
        <v>240</v>
      </c>
      <c r="L206" s="39"/>
      <c r="M206" s="40"/>
      <c r="N206" s="19" t="s">
        <v>245</v>
      </c>
      <c r="O206" s="19" t="s">
        <v>28</v>
      </c>
      <c r="P206" s="100" t="s">
        <v>28</v>
      </c>
      <c r="Q206" s="42"/>
      <c r="R206" s="42"/>
      <c r="S206" s="43"/>
      <c r="T206" s="100" t="s">
        <v>28</v>
      </c>
      <c r="U206" s="42"/>
      <c r="V206" s="42"/>
      <c r="W206" s="43"/>
      <c r="X206" s="44" t="s">
        <v>28</v>
      </c>
      <c r="Y206" s="91"/>
      <c r="Z206" s="92"/>
      <c r="AA206" s="47" t="s">
        <v>39</v>
      </c>
      <c r="AB206" s="48"/>
      <c r="AC206" s="48"/>
      <c r="AD206" s="48"/>
      <c r="AE206" s="48"/>
      <c r="AF206" s="48"/>
      <c r="AG206" s="48"/>
      <c r="AH206" s="49"/>
      <c r="AI206" s="50" t="s">
        <v>39</v>
      </c>
      <c r="AJ206" s="51"/>
      <c r="AK206" s="51"/>
      <c r="AL206" s="51"/>
      <c r="AM206" s="51"/>
      <c r="AN206" s="51"/>
      <c r="AO206" s="51"/>
      <c r="AP206" s="51"/>
      <c r="AQ206" s="52"/>
      <c r="AR206" s="19" t="s">
        <v>28</v>
      </c>
      <c r="AS206" s="21" t="s">
        <v>39</v>
      </c>
      <c r="AT206" s="21" t="s">
        <v>39</v>
      </c>
      <c r="AU206" s="76" t="s">
        <v>31</v>
      </c>
      <c r="AV206" s="86"/>
      <c r="AW206" s="86"/>
      <c r="AX206" s="77"/>
      <c r="AY206" s="76" t="s">
        <v>39</v>
      </c>
      <c r="AZ206" s="86"/>
      <c r="BA206" s="86"/>
      <c r="BB206" s="77"/>
      <c r="BC206" s="53"/>
      <c r="BD206" s="101"/>
      <c r="BE206" s="101"/>
      <c r="BF206" s="101"/>
      <c r="BG206" s="101"/>
      <c r="BH206" s="101"/>
      <c r="BI206" s="101"/>
      <c r="BJ206" s="102"/>
      <c r="BK206" s="16"/>
    </row>
    <row r="207" spans="1:63" ht="31.5" customHeight="1" x14ac:dyDescent="0.25">
      <c r="A207" s="15"/>
      <c r="B207" s="47">
        <v>48.4</v>
      </c>
      <c r="C207" s="49"/>
      <c r="D207" s="234" t="s">
        <v>177</v>
      </c>
      <c r="E207" s="235"/>
      <c r="F207" s="235"/>
      <c r="G207" s="235"/>
      <c r="H207" s="235"/>
      <c r="I207" s="235"/>
      <c r="J207" s="236"/>
      <c r="K207" s="38" t="s">
        <v>240</v>
      </c>
      <c r="L207" s="39"/>
      <c r="M207" s="40"/>
      <c r="N207" s="19" t="s">
        <v>245</v>
      </c>
      <c r="O207" s="19" t="s">
        <v>28</v>
      </c>
      <c r="P207" s="100" t="s">
        <v>28</v>
      </c>
      <c r="Q207" s="42"/>
      <c r="R207" s="42"/>
      <c r="S207" s="43"/>
      <c r="T207" s="100" t="s">
        <v>28</v>
      </c>
      <c r="U207" s="42"/>
      <c r="V207" s="42"/>
      <c r="W207" s="43"/>
      <c r="X207" s="44" t="s">
        <v>28</v>
      </c>
      <c r="Y207" s="91"/>
      <c r="Z207" s="92"/>
      <c r="AA207" s="47" t="s">
        <v>39</v>
      </c>
      <c r="AB207" s="48"/>
      <c r="AC207" s="48"/>
      <c r="AD207" s="48"/>
      <c r="AE207" s="48"/>
      <c r="AF207" s="48"/>
      <c r="AG207" s="48"/>
      <c r="AH207" s="49"/>
      <c r="AI207" s="50" t="s">
        <v>39</v>
      </c>
      <c r="AJ207" s="51"/>
      <c r="AK207" s="51"/>
      <c r="AL207" s="51"/>
      <c r="AM207" s="51"/>
      <c r="AN207" s="51"/>
      <c r="AO207" s="51"/>
      <c r="AP207" s="51"/>
      <c r="AQ207" s="52"/>
      <c r="AR207" s="19" t="s">
        <v>28</v>
      </c>
      <c r="AS207" s="21" t="s">
        <v>39</v>
      </c>
      <c r="AT207" s="21" t="s">
        <v>39</v>
      </c>
      <c r="AU207" s="76" t="s">
        <v>31</v>
      </c>
      <c r="AV207" s="86"/>
      <c r="AW207" s="86"/>
      <c r="AX207" s="77"/>
      <c r="AY207" s="76" t="s">
        <v>39</v>
      </c>
      <c r="AZ207" s="86"/>
      <c r="BA207" s="86"/>
      <c r="BB207" s="77"/>
      <c r="BC207" s="53"/>
      <c r="BD207" s="101"/>
      <c r="BE207" s="101"/>
      <c r="BF207" s="101"/>
      <c r="BG207" s="101"/>
      <c r="BH207" s="101"/>
      <c r="BI207" s="101"/>
      <c r="BJ207" s="102"/>
      <c r="BK207" s="16"/>
    </row>
    <row r="208" spans="1:63" ht="31.5" customHeight="1" x14ac:dyDescent="0.25">
      <c r="A208" s="15"/>
      <c r="B208" s="47">
        <v>48.5</v>
      </c>
      <c r="C208" s="49"/>
      <c r="D208" s="234" t="s">
        <v>170</v>
      </c>
      <c r="E208" s="235"/>
      <c r="F208" s="235"/>
      <c r="G208" s="235"/>
      <c r="H208" s="235"/>
      <c r="I208" s="235"/>
      <c r="J208" s="236"/>
      <c r="K208" s="38" t="s">
        <v>240</v>
      </c>
      <c r="L208" s="39"/>
      <c r="M208" s="40"/>
      <c r="N208" s="19" t="s">
        <v>245</v>
      </c>
      <c r="O208" s="19" t="s">
        <v>28</v>
      </c>
      <c r="P208" s="100" t="s">
        <v>28</v>
      </c>
      <c r="Q208" s="42"/>
      <c r="R208" s="42"/>
      <c r="S208" s="43"/>
      <c r="T208" s="100" t="s">
        <v>28</v>
      </c>
      <c r="U208" s="42"/>
      <c r="V208" s="42"/>
      <c r="W208" s="43"/>
      <c r="X208" s="44" t="s">
        <v>28</v>
      </c>
      <c r="Y208" s="91"/>
      <c r="Z208" s="92"/>
      <c r="AA208" s="47" t="s">
        <v>39</v>
      </c>
      <c r="AB208" s="48"/>
      <c r="AC208" s="48"/>
      <c r="AD208" s="48"/>
      <c r="AE208" s="48"/>
      <c r="AF208" s="48"/>
      <c r="AG208" s="48"/>
      <c r="AH208" s="49"/>
      <c r="AI208" s="50" t="s">
        <v>39</v>
      </c>
      <c r="AJ208" s="51"/>
      <c r="AK208" s="51"/>
      <c r="AL208" s="51"/>
      <c r="AM208" s="51"/>
      <c r="AN208" s="51"/>
      <c r="AO208" s="51"/>
      <c r="AP208" s="51"/>
      <c r="AQ208" s="52"/>
      <c r="AR208" s="19" t="s">
        <v>28</v>
      </c>
      <c r="AS208" s="21" t="s">
        <v>39</v>
      </c>
      <c r="AT208" s="21" t="s">
        <v>39</v>
      </c>
      <c r="AU208" s="76" t="s">
        <v>31</v>
      </c>
      <c r="AV208" s="86"/>
      <c r="AW208" s="86"/>
      <c r="AX208" s="77"/>
      <c r="AY208" s="76" t="s">
        <v>39</v>
      </c>
      <c r="AZ208" s="86"/>
      <c r="BA208" s="86"/>
      <c r="BB208" s="77"/>
      <c r="BC208" s="53"/>
      <c r="BD208" s="101"/>
      <c r="BE208" s="101"/>
      <c r="BF208" s="101"/>
      <c r="BG208" s="101"/>
      <c r="BH208" s="101"/>
      <c r="BI208" s="101"/>
      <c r="BJ208" s="102"/>
      <c r="BK208" s="16"/>
    </row>
    <row r="209" spans="1:63" x14ac:dyDescent="0.25">
      <c r="A209" s="15"/>
      <c r="B209" s="47">
        <v>49</v>
      </c>
      <c r="C209" s="49"/>
      <c r="D209" s="97" t="s">
        <v>171</v>
      </c>
      <c r="E209" s="98"/>
      <c r="F209" s="98"/>
      <c r="G209" s="98"/>
      <c r="H209" s="98"/>
      <c r="I209" s="98"/>
      <c r="J209" s="99"/>
      <c r="K209" s="38" t="s">
        <v>240</v>
      </c>
      <c r="L209" s="39"/>
      <c r="M209" s="40"/>
      <c r="N209" s="19" t="s">
        <v>39</v>
      </c>
      <c r="O209" s="19" t="s">
        <v>29</v>
      </c>
      <c r="P209" s="47" t="s">
        <v>28</v>
      </c>
      <c r="Q209" s="48"/>
      <c r="R209" s="48"/>
      <c r="S209" s="49"/>
      <c r="T209" s="47" t="s">
        <v>28</v>
      </c>
      <c r="U209" s="48"/>
      <c r="V209" s="48"/>
      <c r="W209" s="49"/>
      <c r="X209" s="44" t="s">
        <v>163</v>
      </c>
      <c r="Y209" s="91"/>
      <c r="Z209" s="92"/>
      <c r="AA209" s="47" t="s">
        <v>39</v>
      </c>
      <c r="AB209" s="48"/>
      <c r="AC209" s="48"/>
      <c r="AD209" s="48"/>
      <c r="AE209" s="48"/>
      <c r="AF209" s="48"/>
      <c r="AG209" s="48"/>
      <c r="AH209" s="49"/>
      <c r="AI209" s="50" t="s">
        <v>39</v>
      </c>
      <c r="AJ209" s="51"/>
      <c r="AK209" s="51"/>
      <c r="AL209" s="51"/>
      <c r="AM209" s="51"/>
      <c r="AN209" s="51"/>
      <c r="AO209" s="51"/>
      <c r="AP209" s="51"/>
      <c r="AQ209" s="52"/>
      <c r="AR209" s="19" t="s">
        <v>28</v>
      </c>
      <c r="AS209" s="21" t="s">
        <v>39</v>
      </c>
      <c r="AT209" s="21" t="s">
        <v>39</v>
      </c>
      <c r="AU209" s="76" t="s">
        <v>31</v>
      </c>
      <c r="AV209" s="86"/>
      <c r="AW209" s="86"/>
      <c r="AX209" s="77"/>
      <c r="AY209" s="76" t="s">
        <v>39</v>
      </c>
      <c r="AZ209" s="86"/>
      <c r="BA209" s="86"/>
      <c r="BB209" s="77"/>
      <c r="BC209" s="53"/>
      <c r="BD209" s="101"/>
      <c r="BE209" s="101"/>
      <c r="BF209" s="101"/>
      <c r="BG209" s="101"/>
      <c r="BH209" s="101"/>
      <c r="BI209" s="101"/>
      <c r="BJ209" s="102"/>
      <c r="BK209" s="16"/>
    </row>
    <row r="210" spans="1:63" ht="15.75" customHeight="1" x14ac:dyDescent="0.25">
      <c r="A210" s="15"/>
      <c r="B210" s="47">
        <f t="shared" si="4"/>
        <v>50</v>
      </c>
      <c r="C210" s="49"/>
      <c r="D210" s="234" t="s">
        <v>105</v>
      </c>
      <c r="E210" s="235"/>
      <c r="F210" s="235"/>
      <c r="G210" s="235"/>
      <c r="H210" s="235"/>
      <c r="I210" s="235"/>
      <c r="J210" s="236"/>
      <c r="K210" s="38" t="s">
        <v>240</v>
      </c>
      <c r="L210" s="39"/>
      <c r="M210" s="40"/>
      <c r="N210" s="19" t="s">
        <v>39</v>
      </c>
      <c r="O210" s="19" t="s">
        <v>29</v>
      </c>
      <c r="P210" s="47" t="s">
        <v>28</v>
      </c>
      <c r="Q210" s="48"/>
      <c r="R210" s="48"/>
      <c r="S210" s="49"/>
      <c r="T210" s="47" t="s">
        <v>28</v>
      </c>
      <c r="U210" s="48"/>
      <c r="V210" s="48"/>
      <c r="W210" s="49"/>
      <c r="X210" s="44" t="s">
        <v>252</v>
      </c>
      <c r="Y210" s="91"/>
      <c r="Z210" s="92"/>
      <c r="AA210" s="47" t="s">
        <v>39</v>
      </c>
      <c r="AB210" s="48"/>
      <c r="AC210" s="48"/>
      <c r="AD210" s="48"/>
      <c r="AE210" s="48"/>
      <c r="AF210" s="48"/>
      <c r="AG210" s="48"/>
      <c r="AH210" s="49"/>
      <c r="AI210" s="50" t="s">
        <v>39</v>
      </c>
      <c r="AJ210" s="51"/>
      <c r="AK210" s="51"/>
      <c r="AL210" s="51"/>
      <c r="AM210" s="51"/>
      <c r="AN210" s="51"/>
      <c r="AO210" s="51"/>
      <c r="AP210" s="51"/>
      <c r="AQ210" s="52"/>
      <c r="AR210" s="19" t="s">
        <v>28</v>
      </c>
      <c r="AS210" s="21" t="s">
        <v>39</v>
      </c>
      <c r="AT210" s="21" t="s">
        <v>39</v>
      </c>
      <c r="AU210" s="76" t="s">
        <v>31</v>
      </c>
      <c r="AV210" s="86"/>
      <c r="AW210" s="86"/>
      <c r="AX210" s="77"/>
      <c r="AY210" s="76" t="s">
        <v>39</v>
      </c>
      <c r="AZ210" s="86"/>
      <c r="BA210" s="86"/>
      <c r="BB210" s="77"/>
      <c r="BC210" s="53"/>
      <c r="BD210" s="101"/>
      <c r="BE210" s="101"/>
      <c r="BF210" s="101"/>
      <c r="BG210" s="101"/>
      <c r="BH210" s="101"/>
      <c r="BI210" s="101"/>
      <c r="BJ210" s="102"/>
      <c r="BK210" s="16"/>
    </row>
    <row r="211" spans="1:63" x14ac:dyDescent="0.25">
      <c r="A211" s="15"/>
      <c r="B211" s="47">
        <f t="shared" si="4"/>
        <v>51</v>
      </c>
      <c r="C211" s="49"/>
      <c r="D211" s="234" t="s">
        <v>236</v>
      </c>
      <c r="E211" s="235"/>
      <c r="F211" s="235"/>
      <c r="G211" s="235"/>
      <c r="H211" s="235"/>
      <c r="I211" s="235"/>
      <c r="J211" s="236"/>
      <c r="K211" s="38" t="s">
        <v>240</v>
      </c>
      <c r="L211" s="39"/>
      <c r="M211" s="40"/>
      <c r="N211" s="19" t="s">
        <v>39</v>
      </c>
      <c r="O211" s="19" t="s">
        <v>29</v>
      </c>
      <c r="P211" s="47" t="s">
        <v>28</v>
      </c>
      <c r="Q211" s="48"/>
      <c r="R211" s="48"/>
      <c r="S211" s="49"/>
      <c r="T211" s="47" t="s">
        <v>28</v>
      </c>
      <c r="U211" s="48"/>
      <c r="V211" s="48"/>
      <c r="W211" s="49"/>
      <c r="X211" s="44" t="s">
        <v>255</v>
      </c>
      <c r="Y211" s="91"/>
      <c r="Z211" s="92"/>
      <c r="AA211" s="47" t="s">
        <v>39</v>
      </c>
      <c r="AB211" s="48"/>
      <c r="AC211" s="48"/>
      <c r="AD211" s="48"/>
      <c r="AE211" s="48"/>
      <c r="AF211" s="48"/>
      <c r="AG211" s="48"/>
      <c r="AH211" s="49"/>
      <c r="AI211" s="50" t="s">
        <v>39</v>
      </c>
      <c r="AJ211" s="51"/>
      <c r="AK211" s="51"/>
      <c r="AL211" s="51"/>
      <c r="AM211" s="51"/>
      <c r="AN211" s="51"/>
      <c r="AO211" s="51"/>
      <c r="AP211" s="51"/>
      <c r="AQ211" s="52"/>
      <c r="AR211" s="19" t="s">
        <v>28</v>
      </c>
      <c r="AS211" s="21" t="s">
        <v>39</v>
      </c>
      <c r="AT211" s="21" t="s">
        <v>39</v>
      </c>
      <c r="AU211" s="76" t="s">
        <v>31</v>
      </c>
      <c r="AV211" s="86"/>
      <c r="AW211" s="86"/>
      <c r="AX211" s="77"/>
      <c r="AY211" s="76" t="s">
        <v>39</v>
      </c>
      <c r="AZ211" s="86"/>
      <c r="BA211" s="86"/>
      <c r="BB211" s="77"/>
      <c r="BC211" s="53"/>
      <c r="BD211" s="101"/>
      <c r="BE211" s="101"/>
      <c r="BF211" s="101"/>
      <c r="BG211" s="101"/>
      <c r="BH211" s="101"/>
      <c r="BI211" s="101"/>
      <c r="BJ211" s="102"/>
      <c r="BK211" s="16"/>
    </row>
    <row r="212" spans="1:63" ht="45.75" customHeight="1" x14ac:dyDescent="0.25">
      <c r="A212" s="15"/>
      <c r="B212" s="47">
        <f t="shared" si="4"/>
        <v>52</v>
      </c>
      <c r="C212" s="49"/>
      <c r="D212" s="234" t="s">
        <v>172</v>
      </c>
      <c r="E212" s="235"/>
      <c r="F212" s="235"/>
      <c r="G212" s="235"/>
      <c r="H212" s="235"/>
      <c r="I212" s="235"/>
      <c r="J212" s="236"/>
      <c r="K212" s="38" t="s">
        <v>240</v>
      </c>
      <c r="L212" s="39"/>
      <c r="M212" s="40"/>
      <c r="N212" s="19" t="s">
        <v>39</v>
      </c>
      <c r="O212" s="19" t="s">
        <v>29</v>
      </c>
      <c r="P212" s="47" t="s">
        <v>28</v>
      </c>
      <c r="Q212" s="48"/>
      <c r="R212" s="48"/>
      <c r="S212" s="49"/>
      <c r="T212" s="47" t="s">
        <v>28</v>
      </c>
      <c r="U212" s="48"/>
      <c r="V212" s="48"/>
      <c r="W212" s="49"/>
      <c r="X212" s="44" t="s">
        <v>254</v>
      </c>
      <c r="Y212" s="91"/>
      <c r="Z212" s="92"/>
      <c r="AA212" s="47" t="s">
        <v>39</v>
      </c>
      <c r="AB212" s="48"/>
      <c r="AC212" s="48"/>
      <c r="AD212" s="48"/>
      <c r="AE212" s="48"/>
      <c r="AF212" s="48"/>
      <c r="AG212" s="48"/>
      <c r="AH212" s="49"/>
      <c r="AI212" s="50" t="s">
        <v>39</v>
      </c>
      <c r="AJ212" s="51"/>
      <c r="AK212" s="51"/>
      <c r="AL212" s="51"/>
      <c r="AM212" s="51"/>
      <c r="AN212" s="51"/>
      <c r="AO212" s="51"/>
      <c r="AP212" s="51"/>
      <c r="AQ212" s="52"/>
      <c r="AR212" s="19" t="s">
        <v>28</v>
      </c>
      <c r="AS212" s="21" t="s">
        <v>39</v>
      </c>
      <c r="AT212" s="21" t="s">
        <v>39</v>
      </c>
      <c r="AU212" s="76" t="s">
        <v>31</v>
      </c>
      <c r="AV212" s="86"/>
      <c r="AW212" s="86"/>
      <c r="AX212" s="77"/>
      <c r="AY212" s="76" t="s">
        <v>39</v>
      </c>
      <c r="AZ212" s="86"/>
      <c r="BA212" s="86"/>
      <c r="BB212" s="77"/>
      <c r="BC212" s="53"/>
      <c r="BD212" s="101"/>
      <c r="BE212" s="101"/>
      <c r="BF212" s="101"/>
      <c r="BG212" s="101"/>
      <c r="BH212" s="101"/>
      <c r="BI212" s="101"/>
      <c r="BJ212" s="102"/>
      <c r="BK212" s="16"/>
    </row>
    <row r="213" spans="1:63" ht="31.5" customHeight="1" x14ac:dyDescent="0.25">
      <c r="A213" s="15"/>
      <c r="B213" s="47">
        <f t="shared" si="4"/>
        <v>53</v>
      </c>
      <c r="C213" s="49"/>
      <c r="D213" s="234" t="s">
        <v>168</v>
      </c>
      <c r="E213" s="235"/>
      <c r="F213" s="235"/>
      <c r="G213" s="235"/>
      <c r="H213" s="235"/>
      <c r="I213" s="235"/>
      <c r="J213" s="236"/>
      <c r="K213" s="38" t="s">
        <v>240</v>
      </c>
      <c r="L213" s="39"/>
      <c r="M213" s="40"/>
      <c r="N213" s="19" t="s">
        <v>39</v>
      </c>
      <c r="O213" s="19" t="s">
        <v>29</v>
      </c>
      <c r="P213" s="47" t="s">
        <v>28</v>
      </c>
      <c r="Q213" s="48"/>
      <c r="R213" s="48"/>
      <c r="S213" s="49"/>
      <c r="T213" s="47" t="s">
        <v>28</v>
      </c>
      <c r="U213" s="48"/>
      <c r="V213" s="48"/>
      <c r="W213" s="49"/>
      <c r="X213" s="44" t="s">
        <v>256</v>
      </c>
      <c r="Y213" s="91"/>
      <c r="Z213" s="92"/>
      <c r="AA213" s="47" t="s">
        <v>39</v>
      </c>
      <c r="AB213" s="48"/>
      <c r="AC213" s="48"/>
      <c r="AD213" s="48"/>
      <c r="AE213" s="48"/>
      <c r="AF213" s="48"/>
      <c r="AG213" s="48"/>
      <c r="AH213" s="49"/>
      <c r="AI213" s="50" t="s">
        <v>39</v>
      </c>
      <c r="AJ213" s="51"/>
      <c r="AK213" s="51"/>
      <c r="AL213" s="51"/>
      <c r="AM213" s="51"/>
      <c r="AN213" s="51"/>
      <c r="AO213" s="51"/>
      <c r="AP213" s="51"/>
      <c r="AQ213" s="52"/>
      <c r="AR213" s="19" t="s">
        <v>28</v>
      </c>
      <c r="AS213" s="21" t="s">
        <v>39</v>
      </c>
      <c r="AT213" s="21" t="s">
        <v>39</v>
      </c>
      <c r="AU213" s="76" t="s">
        <v>31</v>
      </c>
      <c r="AV213" s="86"/>
      <c r="AW213" s="86"/>
      <c r="AX213" s="77"/>
      <c r="AY213" s="76" t="s">
        <v>39</v>
      </c>
      <c r="AZ213" s="86"/>
      <c r="BA213" s="86"/>
      <c r="BB213" s="77"/>
      <c r="BC213" s="53"/>
      <c r="BD213" s="101"/>
      <c r="BE213" s="101"/>
      <c r="BF213" s="101"/>
      <c r="BG213" s="101"/>
      <c r="BH213" s="101"/>
      <c r="BI213" s="101"/>
      <c r="BJ213" s="102"/>
      <c r="BK213" s="16"/>
    </row>
    <row r="214" spans="1:63" x14ac:dyDescent="0.25">
      <c r="A214" s="15"/>
      <c r="B214" s="47">
        <v>54.1</v>
      </c>
      <c r="C214" s="49"/>
      <c r="D214" s="234" t="s">
        <v>175</v>
      </c>
      <c r="E214" s="235"/>
      <c r="F214" s="235"/>
      <c r="G214" s="235"/>
      <c r="H214" s="235"/>
      <c r="I214" s="235"/>
      <c r="J214" s="236"/>
      <c r="K214" s="38" t="s">
        <v>240</v>
      </c>
      <c r="L214" s="39"/>
      <c r="M214" s="40"/>
      <c r="N214" s="19" t="s">
        <v>245</v>
      </c>
      <c r="O214" s="19" t="s">
        <v>28</v>
      </c>
      <c r="P214" s="100" t="s">
        <v>28</v>
      </c>
      <c r="Q214" s="42"/>
      <c r="R214" s="42"/>
      <c r="S214" s="43"/>
      <c r="T214" s="100" t="s">
        <v>28</v>
      </c>
      <c r="U214" s="42"/>
      <c r="V214" s="42"/>
      <c r="W214" s="43"/>
      <c r="X214" s="44" t="s">
        <v>28</v>
      </c>
      <c r="Y214" s="91"/>
      <c r="Z214" s="92"/>
      <c r="AA214" s="47" t="s">
        <v>39</v>
      </c>
      <c r="AB214" s="48"/>
      <c r="AC214" s="48"/>
      <c r="AD214" s="48"/>
      <c r="AE214" s="48"/>
      <c r="AF214" s="48"/>
      <c r="AG214" s="48"/>
      <c r="AH214" s="49"/>
      <c r="AI214" s="50" t="s">
        <v>39</v>
      </c>
      <c r="AJ214" s="51"/>
      <c r="AK214" s="51"/>
      <c r="AL214" s="51"/>
      <c r="AM214" s="51"/>
      <c r="AN214" s="51"/>
      <c r="AO214" s="51"/>
      <c r="AP214" s="51"/>
      <c r="AQ214" s="52"/>
      <c r="AR214" s="19" t="s">
        <v>28</v>
      </c>
      <c r="AS214" s="21" t="s">
        <v>39</v>
      </c>
      <c r="AT214" s="21" t="s">
        <v>39</v>
      </c>
      <c r="AU214" s="76" t="s">
        <v>31</v>
      </c>
      <c r="AV214" s="86"/>
      <c r="AW214" s="86"/>
      <c r="AX214" s="77"/>
      <c r="AY214" s="76" t="s">
        <v>39</v>
      </c>
      <c r="AZ214" s="86"/>
      <c r="BA214" s="86"/>
      <c r="BB214" s="77"/>
      <c r="BC214" s="53"/>
      <c r="BD214" s="101"/>
      <c r="BE214" s="101"/>
      <c r="BF214" s="101"/>
      <c r="BG214" s="101"/>
      <c r="BH214" s="101"/>
      <c r="BI214" s="101"/>
      <c r="BJ214" s="102"/>
      <c r="BK214" s="16"/>
    </row>
    <row r="215" spans="1:63" x14ac:dyDescent="0.25">
      <c r="A215" s="15"/>
      <c r="B215" s="47">
        <v>54.2</v>
      </c>
      <c r="C215" s="49"/>
      <c r="D215" s="234" t="s">
        <v>107</v>
      </c>
      <c r="E215" s="235"/>
      <c r="F215" s="235"/>
      <c r="G215" s="235"/>
      <c r="H215" s="235"/>
      <c r="I215" s="235"/>
      <c r="J215" s="236"/>
      <c r="K215" s="38" t="s">
        <v>240</v>
      </c>
      <c r="L215" s="39"/>
      <c r="M215" s="40"/>
      <c r="N215" s="19" t="s">
        <v>245</v>
      </c>
      <c r="O215" s="19" t="s">
        <v>28</v>
      </c>
      <c r="P215" s="100" t="s">
        <v>28</v>
      </c>
      <c r="Q215" s="42"/>
      <c r="R215" s="42"/>
      <c r="S215" s="43"/>
      <c r="T215" s="100" t="s">
        <v>28</v>
      </c>
      <c r="U215" s="42"/>
      <c r="V215" s="42"/>
      <c r="W215" s="43"/>
      <c r="X215" s="44" t="s">
        <v>28</v>
      </c>
      <c r="Y215" s="91"/>
      <c r="Z215" s="92"/>
      <c r="AA215" s="47" t="s">
        <v>39</v>
      </c>
      <c r="AB215" s="48"/>
      <c r="AC215" s="48"/>
      <c r="AD215" s="48"/>
      <c r="AE215" s="48"/>
      <c r="AF215" s="48"/>
      <c r="AG215" s="48"/>
      <c r="AH215" s="49"/>
      <c r="AI215" s="50" t="s">
        <v>39</v>
      </c>
      <c r="AJ215" s="51"/>
      <c r="AK215" s="51"/>
      <c r="AL215" s="51"/>
      <c r="AM215" s="51"/>
      <c r="AN215" s="51"/>
      <c r="AO215" s="51"/>
      <c r="AP215" s="51"/>
      <c r="AQ215" s="52"/>
      <c r="AR215" s="19" t="s">
        <v>28</v>
      </c>
      <c r="AS215" s="21" t="s">
        <v>39</v>
      </c>
      <c r="AT215" s="21" t="s">
        <v>39</v>
      </c>
      <c r="AU215" s="76" t="s">
        <v>31</v>
      </c>
      <c r="AV215" s="86"/>
      <c r="AW215" s="86"/>
      <c r="AX215" s="77"/>
      <c r="AY215" s="76" t="s">
        <v>39</v>
      </c>
      <c r="AZ215" s="86"/>
      <c r="BA215" s="86"/>
      <c r="BB215" s="77"/>
      <c r="BC215" s="53"/>
      <c r="BD215" s="101"/>
      <c r="BE215" s="101"/>
      <c r="BF215" s="101"/>
      <c r="BG215" s="101"/>
      <c r="BH215" s="101"/>
      <c r="BI215" s="101"/>
      <c r="BJ215" s="102"/>
      <c r="BK215" s="16"/>
    </row>
    <row r="216" spans="1:63" x14ac:dyDescent="0.25">
      <c r="A216" s="15"/>
      <c r="B216" s="47">
        <v>54.3</v>
      </c>
      <c r="C216" s="49"/>
      <c r="D216" s="234" t="s">
        <v>174</v>
      </c>
      <c r="E216" s="235"/>
      <c r="F216" s="235"/>
      <c r="G216" s="235"/>
      <c r="H216" s="235"/>
      <c r="I216" s="235"/>
      <c r="J216" s="236"/>
      <c r="K216" s="38" t="s">
        <v>240</v>
      </c>
      <c r="L216" s="39"/>
      <c r="M216" s="40"/>
      <c r="N216" s="19" t="s">
        <v>245</v>
      </c>
      <c r="O216" s="19" t="s">
        <v>28</v>
      </c>
      <c r="P216" s="100" t="s">
        <v>28</v>
      </c>
      <c r="Q216" s="42"/>
      <c r="R216" s="42"/>
      <c r="S216" s="43"/>
      <c r="T216" s="100" t="s">
        <v>28</v>
      </c>
      <c r="U216" s="42"/>
      <c r="V216" s="42"/>
      <c r="W216" s="43"/>
      <c r="X216" s="44" t="s">
        <v>28</v>
      </c>
      <c r="Y216" s="91"/>
      <c r="Z216" s="92"/>
      <c r="AA216" s="47" t="s">
        <v>39</v>
      </c>
      <c r="AB216" s="48"/>
      <c r="AC216" s="48"/>
      <c r="AD216" s="48"/>
      <c r="AE216" s="48"/>
      <c r="AF216" s="48"/>
      <c r="AG216" s="48"/>
      <c r="AH216" s="49"/>
      <c r="AI216" s="50" t="s">
        <v>39</v>
      </c>
      <c r="AJ216" s="51"/>
      <c r="AK216" s="51"/>
      <c r="AL216" s="51"/>
      <c r="AM216" s="51"/>
      <c r="AN216" s="51"/>
      <c r="AO216" s="51"/>
      <c r="AP216" s="51"/>
      <c r="AQ216" s="52"/>
      <c r="AR216" s="19" t="s">
        <v>28</v>
      </c>
      <c r="AS216" s="21" t="s">
        <v>39</v>
      </c>
      <c r="AT216" s="21" t="s">
        <v>39</v>
      </c>
      <c r="AU216" s="76" t="s">
        <v>31</v>
      </c>
      <c r="AV216" s="86"/>
      <c r="AW216" s="86"/>
      <c r="AX216" s="77"/>
      <c r="AY216" s="76" t="s">
        <v>39</v>
      </c>
      <c r="AZ216" s="86"/>
      <c r="BA216" s="86"/>
      <c r="BB216" s="77"/>
      <c r="BC216" s="53"/>
      <c r="BD216" s="101"/>
      <c r="BE216" s="101"/>
      <c r="BF216" s="101"/>
      <c r="BG216" s="101"/>
      <c r="BH216" s="101"/>
      <c r="BI216" s="101"/>
      <c r="BJ216" s="102"/>
      <c r="BK216" s="16"/>
    </row>
    <row r="217" spans="1:63" ht="29.25" customHeight="1" x14ac:dyDescent="0.25">
      <c r="A217" s="15"/>
      <c r="B217" s="47">
        <v>54.4</v>
      </c>
      <c r="C217" s="49"/>
      <c r="D217" s="234" t="s">
        <v>176</v>
      </c>
      <c r="E217" s="235"/>
      <c r="F217" s="235"/>
      <c r="G217" s="235"/>
      <c r="H217" s="235"/>
      <c r="I217" s="235"/>
      <c r="J217" s="236"/>
      <c r="K217" s="38" t="s">
        <v>240</v>
      </c>
      <c r="L217" s="39"/>
      <c r="M217" s="40"/>
      <c r="N217" s="19" t="s">
        <v>245</v>
      </c>
      <c r="O217" s="19" t="s">
        <v>28</v>
      </c>
      <c r="P217" s="100" t="s">
        <v>28</v>
      </c>
      <c r="Q217" s="42"/>
      <c r="R217" s="42"/>
      <c r="S217" s="43"/>
      <c r="T217" s="100" t="s">
        <v>28</v>
      </c>
      <c r="U217" s="42"/>
      <c r="V217" s="42"/>
      <c r="W217" s="43"/>
      <c r="X217" s="44" t="s">
        <v>28</v>
      </c>
      <c r="Y217" s="91"/>
      <c r="Z217" s="92"/>
      <c r="AA217" s="47" t="s">
        <v>39</v>
      </c>
      <c r="AB217" s="48"/>
      <c r="AC217" s="48"/>
      <c r="AD217" s="48"/>
      <c r="AE217" s="48"/>
      <c r="AF217" s="48"/>
      <c r="AG217" s="48"/>
      <c r="AH217" s="49"/>
      <c r="AI217" s="50" t="s">
        <v>39</v>
      </c>
      <c r="AJ217" s="51"/>
      <c r="AK217" s="51"/>
      <c r="AL217" s="51"/>
      <c r="AM217" s="51"/>
      <c r="AN217" s="51"/>
      <c r="AO217" s="51"/>
      <c r="AP217" s="51"/>
      <c r="AQ217" s="52"/>
      <c r="AR217" s="19" t="s">
        <v>28</v>
      </c>
      <c r="AS217" s="21" t="s">
        <v>39</v>
      </c>
      <c r="AT217" s="21" t="s">
        <v>39</v>
      </c>
      <c r="AU217" s="76" t="s">
        <v>31</v>
      </c>
      <c r="AV217" s="86"/>
      <c r="AW217" s="86"/>
      <c r="AX217" s="77"/>
      <c r="AY217" s="76" t="s">
        <v>39</v>
      </c>
      <c r="AZ217" s="86"/>
      <c r="BA217" s="86"/>
      <c r="BB217" s="77"/>
      <c r="BC217" s="53"/>
      <c r="BD217" s="101"/>
      <c r="BE217" s="101"/>
      <c r="BF217" s="101"/>
      <c r="BG217" s="101"/>
      <c r="BH217" s="101"/>
      <c r="BI217" s="101"/>
      <c r="BJ217" s="102"/>
      <c r="BK217" s="16"/>
    </row>
    <row r="218" spans="1:63" ht="31.5" customHeight="1" x14ac:dyDescent="0.25">
      <c r="A218" s="15"/>
      <c r="B218" s="70">
        <v>54.5</v>
      </c>
      <c r="C218" s="66"/>
      <c r="D218" s="264" t="s">
        <v>170</v>
      </c>
      <c r="E218" s="265"/>
      <c r="F218" s="265"/>
      <c r="G218" s="265"/>
      <c r="H218" s="265"/>
      <c r="I218" s="265"/>
      <c r="J218" s="266"/>
      <c r="K218" s="61" t="s">
        <v>240</v>
      </c>
      <c r="L218" s="62"/>
      <c r="M218" s="63"/>
      <c r="N218" s="23" t="s">
        <v>245</v>
      </c>
      <c r="O218" s="23" t="s">
        <v>28</v>
      </c>
      <c r="P218" s="216" t="s">
        <v>28</v>
      </c>
      <c r="Q218" s="217"/>
      <c r="R218" s="217"/>
      <c r="S218" s="218"/>
      <c r="T218" s="216" t="s">
        <v>28</v>
      </c>
      <c r="U218" s="217"/>
      <c r="V218" s="217"/>
      <c r="W218" s="218"/>
      <c r="X218" s="67" t="s">
        <v>28</v>
      </c>
      <c r="Y218" s="214"/>
      <c r="Z218" s="215"/>
      <c r="AA218" s="70" t="s">
        <v>39</v>
      </c>
      <c r="AB218" s="65"/>
      <c r="AC218" s="65"/>
      <c r="AD218" s="65"/>
      <c r="AE218" s="65"/>
      <c r="AF218" s="65"/>
      <c r="AG218" s="65"/>
      <c r="AH218" s="66"/>
      <c r="AI218" s="225" t="s">
        <v>39</v>
      </c>
      <c r="AJ218" s="72"/>
      <c r="AK218" s="72"/>
      <c r="AL218" s="72"/>
      <c r="AM218" s="72"/>
      <c r="AN218" s="72"/>
      <c r="AO218" s="72"/>
      <c r="AP218" s="72"/>
      <c r="AQ218" s="73"/>
      <c r="AR218" s="23" t="s">
        <v>28</v>
      </c>
      <c r="AS218" s="24" t="s">
        <v>39</v>
      </c>
      <c r="AT218" s="24" t="s">
        <v>39</v>
      </c>
      <c r="AU218" s="56" t="s">
        <v>31</v>
      </c>
      <c r="AV218" s="224"/>
      <c r="AW218" s="224"/>
      <c r="AX218" s="57"/>
      <c r="AY218" s="56" t="s">
        <v>39</v>
      </c>
      <c r="AZ218" s="224"/>
      <c r="BA218" s="224"/>
      <c r="BB218" s="57"/>
      <c r="BC218" s="219"/>
      <c r="BD218" s="267"/>
      <c r="BE218" s="267"/>
      <c r="BF218" s="267"/>
      <c r="BG218" s="267"/>
      <c r="BH218" s="267"/>
      <c r="BI218" s="267"/>
      <c r="BJ218" s="268"/>
      <c r="BK218" s="16"/>
    </row>
    <row r="221" spans="1:63" ht="15" customHeight="1" x14ac:dyDescent="0.25">
      <c r="A221" s="15"/>
      <c r="B221" s="27" t="s">
        <v>178</v>
      </c>
      <c r="C221" s="28"/>
      <c r="D221" s="28"/>
      <c r="E221" s="28"/>
      <c r="F221" s="28"/>
      <c r="G221" s="28"/>
      <c r="H221" s="28"/>
      <c r="I221" s="28"/>
      <c r="J221" s="28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7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30"/>
    </row>
    <row r="255" spans="1:63" ht="15" customHeight="1" x14ac:dyDescent="0.25">
      <c r="A255" s="15"/>
      <c r="B255" s="17" t="s">
        <v>228</v>
      </c>
      <c r="BK255" s="16"/>
    </row>
    <row r="256" spans="1:63" x14ac:dyDescent="0.25">
      <c r="A256" s="15"/>
      <c r="BK256" s="16"/>
    </row>
    <row r="258" spans="1:63" ht="15.75" customHeight="1" x14ac:dyDescent="0.25">
      <c r="A258" s="15"/>
      <c r="B258" s="126" t="s">
        <v>229</v>
      </c>
      <c r="C258" s="127"/>
      <c r="D258" s="132" t="s">
        <v>230</v>
      </c>
      <c r="E258" s="133"/>
      <c r="F258" s="133"/>
      <c r="G258" s="133"/>
      <c r="H258" s="133"/>
      <c r="I258" s="133"/>
      <c r="J258" s="127"/>
      <c r="K258" s="132" t="s">
        <v>242</v>
      </c>
      <c r="L258" s="133"/>
      <c r="M258" s="127"/>
      <c r="N258" s="136" t="s">
        <v>243</v>
      </c>
      <c r="O258" s="139" t="s">
        <v>246</v>
      </c>
      <c r="P258" s="142" t="s">
        <v>247</v>
      </c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4"/>
      <c r="AR258" s="145" t="s">
        <v>262</v>
      </c>
      <c r="AS258" s="146"/>
      <c r="AT258" s="146"/>
      <c r="AU258" s="146"/>
      <c r="AV258" s="146"/>
      <c r="AW258" s="146"/>
      <c r="AX258" s="146"/>
      <c r="AY258" s="146"/>
      <c r="AZ258" s="146"/>
      <c r="BA258" s="146"/>
      <c r="BB258" s="147"/>
      <c r="BC258" s="148" t="s">
        <v>266</v>
      </c>
      <c r="BD258" s="149"/>
      <c r="BE258" s="149"/>
      <c r="BF258" s="149"/>
      <c r="BG258" s="149"/>
      <c r="BH258" s="149"/>
      <c r="BI258" s="149"/>
      <c r="BJ258" s="150"/>
      <c r="BK258" s="16"/>
    </row>
    <row r="259" spans="1:63" ht="15.75" customHeight="1" x14ac:dyDescent="0.25">
      <c r="A259" s="15"/>
      <c r="B259" s="128"/>
      <c r="C259" s="129"/>
      <c r="D259" s="128"/>
      <c r="E259" s="134"/>
      <c r="F259" s="134"/>
      <c r="G259" s="134"/>
      <c r="H259" s="134"/>
      <c r="I259" s="134"/>
      <c r="J259" s="129"/>
      <c r="K259" s="128"/>
      <c r="L259" s="134"/>
      <c r="M259" s="129"/>
      <c r="N259" s="137"/>
      <c r="O259" s="140"/>
      <c r="P259" s="157" t="s">
        <v>248</v>
      </c>
      <c r="Q259" s="158"/>
      <c r="R259" s="158"/>
      <c r="S259" s="158"/>
      <c r="T259" s="158"/>
      <c r="U259" s="158"/>
      <c r="V259" s="158"/>
      <c r="W259" s="159"/>
      <c r="X259" s="160" t="s">
        <v>250</v>
      </c>
      <c r="Y259" s="161"/>
      <c r="Z259" s="162"/>
      <c r="AA259" s="160" t="s">
        <v>258</v>
      </c>
      <c r="AB259" s="161"/>
      <c r="AC259" s="161"/>
      <c r="AD259" s="161"/>
      <c r="AE259" s="161"/>
      <c r="AF259" s="161"/>
      <c r="AG259" s="161"/>
      <c r="AH259" s="162"/>
      <c r="AI259" s="160" t="s">
        <v>260</v>
      </c>
      <c r="AJ259" s="161"/>
      <c r="AK259" s="161"/>
      <c r="AL259" s="161"/>
      <c r="AM259" s="161"/>
      <c r="AN259" s="161"/>
      <c r="AO259" s="161"/>
      <c r="AP259" s="161"/>
      <c r="AQ259" s="162"/>
      <c r="AR259" s="166" t="s">
        <v>263</v>
      </c>
      <c r="AS259" s="168" t="s">
        <v>264</v>
      </c>
      <c r="AT259" s="170" t="s">
        <v>265</v>
      </c>
      <c r="AU259" s="145" t="s">
        <v>248</v>
      </c>
      <c r="AV259" s="146"/>
      <c r="AW259" s="146"/>
      <c r="AX259" s="146"/>
      <c r="AY259" s="146"/>
      <c r="AZ259" s="146"/>
      <c r="BA259" s="146"/>
      <c r="BB259" s="147"/>
      <c r="BC259" s="151"/>
      <c r="BD259" s="152"/>
      <c r="BE259" s="152"/>
      <c r="BF259" s="152"/>
      <c r="BG259" s="152"/>
      <c r="BH259" s="152"/>
      <c r="BI259" s="152"/>
      <c r="BJ259" s="153"/>
      <c r="BK259" s="16"/>
    </row>
    <row r="260" spans="1:63" x14ac:dyDescent="0.25">
      <c r="A260" s="15"/>
      <c r="B260" s="130"/>
      <c r="C260" s="131"/>
      <c r="D260" s="130"/>
      <c r="E260" s="135"/>
      <c r="F260" s="135"/>
      <c r="G260" s="135"/>
      <c r="H260" s="135"/>
      <c r="I260" s="135"/>
      <c r="J260" s="131"/>
      <c r="K260" s="130"/>
      <c r="L260" s="135"/>
      <c r="M260" s="131"/>
      <c r="N260" s="138"/>
      <c r="O260" s="141"/>
      <c r="P260" s="142" t="s">
        <v>249</v>
      </c>
      <c r="Q260" s="143"/>
      <c r="R260" s="143"/>
      <c r="S260" s="144"/>
      <c r="T260" s="142" t="s">
        <v>230</v>
      </c>
      <c r="U260" s="143"/>
      <c r="V260" s="143"/>
      <c r="W260" s="144"/>
      <c r="X260" s="163"/>
      <c r="Y260" s="164"/>
      <c r="Z260" s="165"/>
      <c r="AA260" s="163"/>
      <c r="AB260" s="164"/>
      <c r="AC260" s="164"/>
      <c r="AD260" s="164"/>
      <c r="AE260" s="164"/>
      <c r="AF260" s="164"/>
      <c r="AG260" s="164"/>
      <c r="AH260" s="165"/>
      <c r="AI260" s="163"/>
      <c r="AJ260" s="164"/>
      <c r="AK260" s="164"/>
      <c r="AL260" s="164"/>
      <c r="AM260" s="164"/>
      <c r="AN260" s="164"/>
      <c r="AO260" s="164"/>
      <c r="AP260" s="164"/>
      <c r="AQ260" s="165"/>
      <c r="AR260" s="167"/>
      <c r="AS260" s="169"/>
      <c r="AT260" s="171"/>
      <c r="AU260" s="145" t="s">
        <v>249</v>
      </c>
      <c r="AV260" s="146"/>
      <c r="AW260" s="146"/>
      <c r="AX260" s="172"/>
      <c r="AY260" s="173" t="s">
        <v>230</v>
      </c>
      <c r="AZ260" s="146"/>
      <c r="BA260" s="146"/>
      <c r="BB260" s="147"/>
      <c r="BC260" s="154"/>
      <c r="BD260" s="155"/>
      <c r="BE260" s="155"/>
      <c r="BF260" s="155"/>
      <c r="BG260" s="155"/>
      <c r="BH260" s="155"/>
      <c r="BI260" s="155"/>
      <c r="BJ260" s="156"/>
      <c r="BK260" s="16"/>
    </row>
    <row r="261" spans="1:63" x14ac:dyDescent="0.25">
      <c r="A261" s="15"/>
      <c r="B261" s="240" t="s">
        <v>179</v>
      </c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1"/>
      <c r="AK261" s="241"/>
      <c r="AL261" s="241"/>
      <c r="AM261" s="241"/>
      <c r="AN261" s="241"/>
      <c r="AO261" s="241"/>
      <c r="AP261" s="241"/>
      <c r="AQ261" s="241"/>
      <c r="AR261" s="241"/>
      <c r="AS261" s="241"/>
      <c r="AT261" s="241"/>
      <c r="AU261" s="241"/>
      <c r="AV261" s="241"/>
      <c r="AW261" s="241"/>
      <c r="AX261" s="241"/>
      <c r="AY261" s="241"/>
      <c r="AZ261" s="241"/>
      <c r="BA261" s="241"/>
      <c r="BB261" s="241"/>
      <c r="BC261" s="241"/>
      <c r="BD261" s="241"/>
      <c r="BE261" s="241"/>
      <c r="BF261" s="241"/>
      <c r="BG261" s="241"/>
      <c r="BH261" s="241"/>
      <c r="BI261" s="241"/>
      <c r="BJ261" s="242"/>
      <c r="BK261" s="16"/>
    </row>
    <row r="262" spans="1:63" ht="15.75" customHeight="1" x14ac:dyDescent="0.25">
      <c r="A262" s="15"/>
      <c r="B262" s="47">
        <v>55</v>
      </c>
      <c r="C262" s="49"/>
      <c r="D262" s="93" t="s">
        <v>235</v>
      </c>
      <c r="E262" s="94"/>
      <c r="F262" s="94"/>
      <c r="G262" s="94"/>
      <c r="H262" s="94"/>
      <c r="I262" s="94"/>
      <c r="J262" s="95"/>
      <c r="K262" s="90" t="s">
        <v>240</v>
      </c>
      <c r="L262" s="39"/>
      <c r="M262" s="40"/>
      <c r="N262" s="25" t="s">
        <v>28</v>
      </c>
      <c r="O262" s="19" t="s">
        <v>29</v>
      </c>
      <c r="P262" s="47" t="s">
        <v>31</v>
      </c>
      <c r="Q262" s="48"/>
      <c r="R262" s="48"/>
      <c r="S262" s="49"/>
      <c r="T262" s="47" t="s">
        <v>31</v>
      </c>
      <c r="U262" s="48"/>
      <c r="V262" s="48"/>
      <c r="W262" s="49"/>
      <c r="X262" s="115" t="s">
        <v>180</v>
      </c>
      <c r="Y262" s="116"/>
      <c r="Z262" s="117"/>
      <c r="AA262" s="47" t="s">
        <v>39</v>
      </c>
      <c r="AB262" s="48"/>
      <c r="AC262" s="48"/>
      <c r="AD262" s="48"/>
      <c r="AE262" s="48"/>
      <c r="AF262" s="48"/>
      <c r="AG262" s="48"/>
      <c r="AH262" s="49"/>
      <c r="AI262" s="50" t="s">
        <v>39</v>
      </c>
      <c r="AJ262" s="51"/>
      <c r="AK262" s="51"/>
      <c r="AL262" s="51"/>
      <c r="AM262" s="51"/>
      <c r="AN262" s="51"/>
      <c r="AO262" s="51"/>
      <c r="AP262" s="51"/>
      <c r="AQ262" s="52"/>
      <c r="AR262" s="21" t="s">
        <v>28</v>
      </c>
      <c r="AS262" s="21" t="s">
        <v>39</v>
      </c>
      <c r="AT262" s="21" t="s">
        <v>39</v>
      </c>
      <c r="AU262" s="47" t="s">
        <v>31</v>
      </c>
      <c r="AV262" s="48"/>
      <c r="AW262" s="48"/>
      <c r="AX262" s="49"/>
      <c r="AY262" s="47" t="s">
        <v>39</v>
      </c>
      <c r="AZ262" s="48"/>
      <c r="BA262" s="48"/>
      <c r="BB262" s="49"/>
      <c r="BC262" s="53" t="s">
        <v>224</v>
      </c>
      <c r="BD262" s="54"/>
      <c r="BE262" s="54"/>
      <c r="BF262" s="54"/>
      <c r="BG262" s="54"/>
      <c r="BH262" s="54"/>
      <c r="BI262" s="54"/>
      <c r="BJ262" s="55"/>
      <c r="BK262" s="16"/>
    </row>
    <row r="263" spans="1:63" x14ac:dyDescent="0.25">
      <c r="A263" s="15"/>
      <c r="B263" s="47">
        <f t="shared" ref="B263:B273" si="5">B262+1</f>
        <v>56</v>
      </c>
      <c r="C263" s="49"/>
      <c r="D263" s="97" t="s">
        <v>182</v>
      </c>
      <c r="E263" s="98"/>
      <c r="F263" s="98"/>
      <c r="G263" s="98"/>
      <c r="H263" s="98"/>
      <c r="I263" s="98"/>
      <c r="J263" s="99"/>
      <c r="K263" s="38" t="s">
        <v>240</v>
      </c>
      <c r="L263" s="39"/>
      <c r="M263" s="40"/>
      <c r="N263" s="25" t="s">
        <v>28</v>
      </c>
      <c r="O263" s="19" t="s">
        <v>29</v>
      </c>
      <c r="P263" s="47" t="s">
        <v>28</v>
      </c>
      <c r="Q263" s="48"/>
      <c r="R263" s="48"/>
      <c r="S263" s="49"/>
      <c r="T263" s="47" t="s">
        <v>28</v>
      </c>
      <c r="U263" s="48"/>
      <c r="V263" s="48"/>
      <c r="W263" s="49"/>
      <c r="X263" s="44" t="s">
        <v>181</v>
      </c>
      <c r="Y263" s="91"/>
      <c r="Z263" s="92"/>
      <c r="AA263" s="47" t="s">
        <v>39</v>
      </c>
      <c r="AB263" s="48"/>
      <c r="AC263" s="48"/>
      <c r="AD263" s="48"/>
      <c r="AE263" s="48"/>
      <c r="AF263" s="48"/>
      <c r="AG263" s="48"/>
      <c r="AH263" s="49"/>
      <c r="AI263" s="50" t="s">
        <v>39</v>
      </c>
      <c r="AJ263" s="51"/>
      <c r="AK263" s="51"/>
      <c r="AL263" s="51"/>
      <c r="AM263" s="51"/>
      <c r="AN263" s="51"/>
      <c r="AO263" s="51"/>
      <c r="AP263" s="51"/>
      <c r="AQ263" s="52"/>
      <c r="AR263" s="19" t="s">
        <v>28</v>
      </c>
      <c r="AS263" s="21" t="s">
        <v>39</v>
      </c>
      <c r="AT263" s="21" t="s">
        <v>39</v>
      </c>
      <c r="AU263" s="76" t="s">
        <v>31</v>
      </c>
      <c r="AV263" s="86"/>
      <c r="AW263" s="86"/>
      <c r="AX263" s="77"/>
      <c r="AY263" s="76" t="s">
        <v>39</v>
      </c>
      <c r="AZ263" s="86"/>
      <c r="BA263" s="86"/>
      <c r="BB263" s="77"/>
      <c r="BC263" s="53"/>
      <c r="BD263" s="101"/>
      <c r="BE263" s="101"/>
      <c r="BF263" s="101"/>
      <c r="BG263" s="101"/>
      <c r="BH263" s="101"/>
      <c r="BI263" s="101"/>
      <c r="BJ263" s="102"/>
      <c r="BK263" s="16"/>
    </row>
    <row r="264" spans="1:63" x14ac:dyDescent="0.25">
      <c r="A264" s="15"/>
      <c r="B264" s="47">
        <f t="shared" si="5"/>
        <v>57</v>
      </c>
      <c r="C264" s="49"/>
      <c r="D264" s="234" t="s">
        <v>105</v>
      </c>
      <c r="E264" s="235"/>
      <c r="F264" s="235"/>
      <c r="G264" s="235"/>
      <c r="H264" s="235"/>
      <c r="I264" s="235"/>
      <c r="J264" s="236"/>
      <c r="K264" s="38" t="s">
        <v>240</v>
      </c>
      <c r="L264" s="39"/>
      <c r="M264" s="40"/>
      <c r="N264" s="25" t="s">
        <v>28</v>
      </c>
      <c r="O264" s="19" t="s">
        <v>29</v>
      </c>
      <c r="P264" s="47" t="s">
        <v>28</v>
      </c>
      <c r="Q264" s="48"/>
      <c r="R264" s="48"/>
      <c r="S264" s="49"/>
      <c r="T264" s="47" t="s">
        <v>28</v>
      </c>
      <c r="U264" s="48"/>
      <c r="V264" s="48"/>
      <c r="W264" s="49"/>
      <c r="X264" s="44" t="s">
        <v>252</v>
      </c>
      <c r="Y264" s="91"/>
      <c r="Z264" s="92"/>
      <c r="AA264" s="47" t="s">
        <v>39</v>
      </c>
      <c r="AB264" s="48"/>
      <c r="AC264" s="48"/>
      <c r="AD264" s="48"/>
      <c r="AE264" s="48"/>
      <c r="AF264" s="48"/>
      <c r="AG264" s="48"/>
      <c r="AH264" s="49"/>
      <c r="AI264" s="50" t="s">
        <v>39</v>
      </c>
      <c r="AJ264" s="51"/>
      <c r="AK264" s="51"/>
      <c r="AL264" s="51"/>
      <c r="AM264" s="51"/>
      <c r="AN264" s="51"/>
      <c r="AO264" s="51"/>
      <c r="AP264" s="51"/>
      <c r="AQ264" s="52"/>
      <c r="AR264" s="19" t="s">
        <v>28</v>
      </c>
      <c r="AS264" s="21" t="s">
        <v>39</v>
      </c>
      <c r="AT264" s="21" t="s">
        <v>39</v>
      </c>
      <c r="AU264" s="76" t="s">
        <v>31</v>
      </c>
      <c r="AV264" s="86"/>
      <c r="AW264" s="86"/>
      <c r="AX264" s="77"/>
      <c r="AY264" s="76" t="s">
        <v>39</v>
      </c>
      <c r="AZ264" s="86"/>
      <c r="BA264" s="86"/>
      <c r="BB264" s="77"/>
      <c r="BC264" s="53"/>
      <c r="BD264" s="101"/>
      <c r="BE264" s="101"/>
      <c r="BF264" s="101"/>
      <c r="BG264" s="101"/>
      <c r="BH264" s="101"/>
      <c r="BI264" s="101"/>
      <c r="BJ264" s="102"/>
      <c r="BK264" s="16"/>
    </row>
    <row r="265" spans="1:63" x14ac:dyDescent="0.25">
      <c r="A265" s="15"/>
      <c r="B265" s="47">
        <f t="shared" si="5"/>
        <v>58</v>
      </c>
      <c r="C265" s="49"/>
      <c r="D265" s="234" t="s">
        <v>236</v>
      </c>
      <c r="E265" s="235"/>
      <c r="F265" s="235"/>
      <c r="G265" s="235"/>
      <c r="H265" s="235"/>
      <c r="I265" s="235"/>
      <c r="J265" s="236"/>
      <c r="K265" s="38" t="s">
        <v>240</v>
      </c>
      <c r="L265" s="39"/>
      <c r="M265" s="40"/>
      <c r="N265" s="25" t="s">
        <v>28</v>
      </c>
      <c r="O265" s="19" t="s">
        <v>29</v>
      </c>
      <c r="P265" s="47" t="s">
        <v>28</v>
      </c>
      <c r="Q265" s="48"/>
      <c r="R265" s="48"/>
      <c r="S265" s="49"/>
      <c r="T265" s="47" t="s">
        <v>28</v>
      </c>
      <c r="U265" s="48"/>
      <c r="V265" s="48"/>
      <c r="W265" s="49"/>
      <c r="X265" s="44" t="s">
        <v>255</v>
      </c>
      <c r="Y265" s="91"/>
      <c r="Z265" s="92"/>
      <c r="AA265" s="47" t="s">
        <v>39</v>
      </c>
      <c r="AB265" s="48"/>
      <c r="AC265" s="48"/>
      <c r="AD265" s="48"/>
      <c r="AE265" s="48"/>
      <c r="AF265" s="48"/>
      <c r="AG265" s="48"/>
      <c r="AH265" s="49"/>
      <c r="AI265" s="50" t="s">
        <v>39</v>
      </c>
      <c r="AJ265" s="51"/>
      <c r="AK265" s="51"/>
      <c r="AL265" s="51"/>
      <c r="AM265" s="51"/>
      <c r="AN265" s="51"/>
      <c r="AO265" s="51"/>
      <c r="AP265" s="51"/>
      <c r="AQ265" s="52"/>
      <c r="AR265" s="19" t="s">
        <v>28</v>
      </c>
      <c r="AS265" s="21" t="s">
        <v>39</v>
      </c>
      <c r="AT265" s="21" t="s">
        <v>39</v>
      </c>
      <c r="AU265" s="76" t="s">
        <v>31</v>
      </c>
      <c r="AV265" s="86"/>
      <c r="AW265" s="86"/>
      <c r="AX265" s="77"/>
      <c r="AY265" s="76" t="s">
        <v>39</v>
      </c>
      <c r="AZ265" s="86"/>
      <c r="BA265" s="86"/>
      <c r="BB265" s="77"/>
      <c r="BC265" s="53"/>
      <c r="BD265" s="101"/>
      <c r="BE265" s="101"/>
      <c r="BF265" s="101"/>
      <c r="BG265" s="101"/>
      <c r="BH265" s="101"/>
      <c r="BI265" s="101"/>
      <c r="BJ265" s="102"/>
      <c r="BK265" s="16"/>
    </row>
    <row r="266" spans="1:63" x14ac:dyDescent="0.25">
      <c r="A266" s="15"/>
      <c r="B266" s="47">
        <v>59.1</v>
      </c>
      <c r="C266" s="49"/>
      <c r="D266" s="234" t="s">
        <v>184</v>
      </c>
      <c r="E266" s="235"/>
      <c r="F266" s="235"/>
      <c r="G266" s="235"/>
      <c r="H266" s="235"/>
      <c r="I266" s="235"/>
      <c r="J266" s="236"/>
      <c r="K266" s="38" t="s">
        <v>240</v>
      </c>
      <c r="L266" s="39"/>
      <c r="M266" s="40"/>
      <c r="N266" s="19" t="s">
        <v>39</v>
      </c>
      <c r="O266" s="19" t="s">
        <v>29</v>
      </c>
      <c r="P266" s="76" t="s">
        <v>28</v>
      </c>
      <c r="Q266" s="86"/>
      <c r="R266" s="86"/>
      <c r="S266" s="77"/>
      <c r="T266" s="76" t="s">
        <v>28</v>
      </c>
      <c r="U266" s="86"/>
      <c r="V266" s="86"/>
      <c r="W266" s="77"/>
      <c r="X266" s="44" t="s">
        <v>186</v>
      </c>
      <c r="Y266" s="91"/>
      <c r="Z266" s="92"/>
      <c r="AA266" s="47" t="s">
        <v>39</v>
      </c>
      <c r="AB266" s="48"/>
      <c r="AC266" s="48"/>
      <c r="AD266" s="48"/>
      <c r="AE266" s="48"/>
      <c r="AF266" s="48"/>
      <c r="AG266" s="48"/>
      <c r="AH266" s="49"/>
      <c r="AI266" s="50" t="s">
        <v>39</v>
      </c>
      <c r="AJ266" s="51"/>
      <c r="AK266" s="51"/>
      <c r="AL266" s="51"/>
      <c r="AM266" s="51"/>
      <c r="AN266" s="51"/>
      <c r="AO266" s="51"/>
      <c r="AP266" s="51"/>
      <c r="AQ266" s="52"/>
      <c r="AR266" s="19" t="s">
        <v>28</v>
      </c>
      <c r="AS266" s="21" t="s">
        <v>39</v>
      </c>
      <c r="AT266" s="21" t="s">
        <v>39</v>
      </c>
      <c r="AU266" s="76" t="s">
        <v>31</v>
      </c>
      <c r="AV266" s="86"/>
      <c r="AW266" s="86"/>
      <c r="AX266" s="77"/>
      <c r="AY266" s="76" t="s">
        <v>39</v>
      </c>
      <c r="AZ266" s="86"/>
      <c r="BA266" s="86"/>
      <c r="BB266" s="77"/>
      <c r="BC266" s="53"/>
      <c r="BD266" s="101"/>
      <c r="BE266" s="101"/>
      <c r="BF266" s="101"/>
      <c r="BG266" s="101"/>
      <c r="BH266" s="101"/>
      <c r="BI266" s="101"/>
      <c r="BJ266" s="102"/>
      <c r="BK266" s="16"/>
    </row>
    <row r="267" spans="1:63" x14ac:dyDescent="0.25">
      <c r="A267" s="15"/>
      <c r="B267" s="47">
        <v>59.2</v>
      </c>
      <c r="C267" s="49"/>
      <c r="D267" s="234" t="s">
        <v>185</v>
      </c>
      <c r="E267" s="235"/>
      <c r="F267" s="235"/>
      <c r="G267" s="235"/>
      <c r="H267" s="235"/>
      <c r="I267" s="235"/>
      <c r="J267" s="236"/>
      <c r="K267" s="38" t="s">
        <v>240</v>
      </c>
      <c r="L267" s="39"/>
      <c r="M267" s="40"/>
      <c r="N267" s="19" t="s">
        <v>245</v>
      </c>
      <c r="O267" s="19" t="s">
        <v>28</v>
      </c>
      <c r="P267" s="100" t="s">
        <v>28</v>
      </c>
      <c r="Q267" s="42"/>
      <c r="R267" s="42"/>
      <c r="S267" s="43"/>
      <c r="T267" s="100" t="s">
        <v>28</v>
      </c>
      <c r="U267" s="42"/>
      <c r="V267" s="42"/>
      <c r="W267" s="43"/>
      <c r="X267" s="44" t="s">
        <v>28</v>
      </c>
      <c r="Y267" s="91"/>
      <c r="Z267" s="92"/>
      <c r="AA267" s="47" t="s">
        <v>39</v>
      </c>
      <c r="AB267" s="48"/>
      <c r="AC267" s="48"/>
      <c r="AD267" s="48"/>
      <c r="AE267" s="48"/>
      <c r="AF267" s="48"/>
      <c r="AG267" s="48"/>
      <c r="AH267" s="49"/>
      <c r="AI267" s="50" t="s">
        <v>39</v>
      </c>
      <c r="AJ267" s="51"/>
      <c r="AK267" s="51"/>
      <c r="AL267" s="51"/>
      <c r="AM267" s="51"/>
      <c r="AN267" s="51"/>
      <c r="AO267" s="51"/>
      <c r="AP267" s="51"/>
      <c r="AQ267" s="52"/>
      <c r="AR267" s="19" t="s">
        <v>28</v>
      </c>
      <c r="AS267" s="21" t="s">
        <v>39</v>
      </c>
      <c r="AT267" s="21" t="s">
        <v>39</v>
      </c>
      <c r="AU267" s="76" t="s">
        <v>31</v>
      </c>
      <c r="AV267" s="86"/>
      <c r="AW267" s="86"/>
      <c r="AX267" s="77"/>
      <c r="AY267" s="76" t="s">
        <v>39</v>
      </c>
      <c r="AZ267" s="86"/>
      <c r="BA267" s="86"/>
      <c r="BB267" s="77"/>
      <c r="BC267" s="53"/>
      <c r="BD267" s="101"/>
      <c r="BE267" s="101"/>
      <c r="BF267" s="101"/>
      <c r="BG267" s="101"/>
      <c r="BH267" s="101"/>
      <c r="BI267" s="101"/>
      <c r="BJ267" s="102"/>
      <c r="BK267" s="16"/>
    </row>
    <row r="268" spans="1:63" x14ac:dyDescent="0.25">
      <c r="A268" s="15"/>
      <c r="B268" s="47">
        <v>59.3</v>
      </c>
      <c r="C268" s="49"/>
      <c r="D268" s="234" t="s">
        <v>174</v>
      </c>
      <c r="E268" s="235"/>
      <c r="F268" s="235"/>
      <c r="G268" s="235"/>
      <c r="H268" s="235"/>
      <c r="I268" s="235"/>
      <c r="J268" s="236"/>
      <c r="K268" s="38" t="s">
        <v>240</v>
      </c>
      <c r="L268" s="39"/>
      <c r="M268" s="40"/>
      <c r="N268" s="19" t="s">
        <v>245</v>
      </c>
      <c r="O268" s="19" t="s">
        <v>28</v>
      </c>
      <c r="P268" s="100" t="s">
        <v>28</v>
      </c>
      <c r="Q268" s="42"/>
      <c r="R268" s="42"/>
      <c r="S268" s="43"/>
      <c r="T268" s="100" t="s">
        <v>28</v>
      </c>
      <c r="U268" s="42"/>
      <c r="V268" s="42"/>
      <c r="W268" s="43"/>
      <c r="X268" s="44" t="s">
        <v>28</v>
      </c>
      <c r="Y268" s="91"/>
      <c r="Z268" s="92"/>
      <c r="AA268" s="47" t="s">
        <v>39</v>
      </c>
      <c r="AB268" s="48"/>
      <c r="AC268" s="48"/>
      <c r="AD268" s="48"/>
      <c r="AE268" s="48"/>
      <c r="AF268" s="48"/>
      <c r="AG268" s="48"/>
      <c r="AH268" s="49"/>
      <c r="AI268" s="50" t="s">
        <v>39</v>
      </c>
      <c r="AJ268" s="51"/>
      <c r="AK268" s="51"/>
      <c r="AL268" s="51"/>
      <c r="AM268" s="51"/>
      <c r="AN268" s="51"/>
      <c r="AO268" s="51"/>
      <c r="AP268" s="51"/>
      <c r="AQ268" s="52"/>
      <c r="AR268" s="19" t="s">
        <v>28</v>
      </c>
      <c r="AS268" s="21" t="s">
        <v>39</v>
      </c>
      <c r="AT268" s="21" t="s">
        <v>39</v>
      </c>
      <c r="AU268" s="76" t="s">
        <v>31</v>
      </c>
      <c r="AV268" s="86"/>
      <c r="AW268" s="86"/>
      <c r="AX268" s="77"/>
      <c r="AY268" s="76" t="s">
        <v>39</v>
      </c>
      <c r="AZ268" s="86"/>
      <c r="BA268" s="86"/>
      <c r="BB268" s="77"/>
      <c r="BC268" s="53"/>
      <c r="BD268" s="101"/>
      <c r="BE268" s="101"/>
      <c r="BF268" s="101"/>
      <c r="BG268" s="101"/>
      <c r="BH268" s="101"/>
      <c r="BI268" s="101"/>
      <c r="BJ268" s="102"/>
      <c r="BK268" s="16"/>
    </row>
    <row r="269" spans="1:63" x14ac:dyDescent="0.25">
      <c r="A269" s="15"/>
      <c r="B269" s="47">
        <v>60</v>
      </c>
      <c r="C269" s="49"/>
      <c r="D269" s="97" t="s">
        <v>183</v>
      </c>
      <c r="E269" s="98"/>
      <c r="F269" s="98"/>
      <c r="G269" s="98"/>
      <c r="H269" s="98"/>
      <c r="I269" s="98"/>
      <c r="J269" s="99"/>
      <c r="K269" s="38" t="s">
        <v>240</v>
      </c>
      <c r="L269" s="39"/>
      <c r="M269" s="40"/>
      <c r="N269" s="19" t="s">
        <v>39</v>
      </c>
      <c r="O269" s="19" t="s">
        <v>29</v>
      </c>
      <c r="P269" s="47" t="s">
        <v>28</v>
      </c>
      <c r="Q269" s="48"/>
      <c r="R269" s="48"/>
      <c r="S269" s="49"/>
      <c r="T269" s="47" t="s">
        <v>28</v>
      </c>
      <c r="U269" s="48"/>
      <c r="V269" s="48"/>
      <c r="W269" s="49"/>
      <c r="X269" s="44" t="s">
        <v>189</v>
      </c>
      <c r="Y269" s="91"/>
      <c r="Z269" s="92"/>
      <c r="AA269" s="47" t="s">
        <v>39</v>
      </c>
      <c r="AB269" s="48"/>
      <c r="AC269" s="48"/>
      <c r="AD269" s="48"/>
      <c r="AE269" s="48"/>
      <c r="AF269" s="48"/>
      <c r="AG269" s="48"/>
      <c r="AH269" s="49"/>
      <c r="AI269" s="50" t="s">
        <v>39</v>
      </c>
      <c r="AJ269" s="51"/>
      <c r="AK269" s="51"/>
      <c r="AL269" s="51"/>
      <c r="AM269" s="51"/>
      <c r="AN269" s="51"/>
      <c r="AO269" s="51"/>
      <c r="AP269" s="51"/>
      <c r="AQ269" s="52"/>
      <c r="AR269" s="19" t="s">
        <v>28</v>
      </c>
      <c r="AS269" s="21" t="s">
        <v>39</v>
      </c>
      <c r="AT269" s="21" t="s">
        <v>39</v>
      </c>
      <c r="AU269" s="76" t="s">
        <v>31</v>
      </c>
      <c r="AV269" s="86"/>
      <c r="AW269" s="86"/>
      <c r="AX269" s="77"/>
      <c r="AY269" s="76" t="s">
        <v>39</v>
      </c>
      <c r="AZ269" s="86"/>
      <c r="BA269" s="86"/>
      <c r="BB269" s="77"/>
      <c r="BC269" s="53"/>
      <c r="BD269" s="101"/>
      <c r="BE269" s="101"/>
      <c r="BF269" s="101"/>
      <c r="BG269" s="101"/>
      <c r="BH269" s="101"/>
      <c r="BI269" s="101"/>
      <c r="BJ269" s="102"/>
      <c r="BK269" s="16"/>
    </row>
    <row r="270" spans="1:63" ht="15.75" customHeight="1" x14ac:dyDescent="0.25">
      <c r="A270" s="15"/>
      <c r="B270" s="47">
        <f t="shared" si="5"/>
        <v>61</v>
      </c>
      <c r="C270" s="49"/>
      <c r="D270" s="234" t="s">
        <v>105</v>
      </c>
      <c r="E270" s="235"/>
      <c r="F270" s="235"/>
      <c r="G270" s="235"/>
      <c r="H270" s="235"/>
      <c r="I270" s="235"/>
      <c r="J270" s="236"/>
      <c r="K270" s="38" t="s">
        <v>240</v>
      </c>
      <c r="L270" s="39"/>
      <c r="M270" s="40"/>
      <c r="N270" s="19" t="s">
        <v>39</v>
      </c>
      <c r="O270" s="19" t="s">
        <v>29</v>
      </c>
      <c r="P270" s="47" t="s">
        <v>28</v>
      </c>
      <c r="Q270" s="48"/>
      <c r="R270" s="48"/>
      <c r="S270" s="49"/>
      <c r="T270" s="47" t="s">
        <v>28</v>
      </c>
      <c r="U270" s="48"/>
      <c r="V270" s="48"/>
      <c r="W270" s="49"/>
      <c r="X270" s="44" t="s">
        <v>252</v>
      </c>
      <c r="Y270" s="91"/>
      <c r="Z270" s="92"/>
      <c r="AA270" s="47" t="s">
        <v>39</v>
      </c>
      <c r="AB270" s="48"/>
      <c r="AC270" s="48"/>
      <c r="AD270" s="48"/>
      <c r="AE270" s="48"/>
      <c r="AF270" s="48"/>
      <c r="AG270" s="48"/>
      <c r="AH270" s="49"/>
      <c r="AI270" s="50" t="s">
        <v>39</v>
      </c>
      <c r="AJ270" s="51"/>
      <c r="AK270" s="51"/>
      <c r="AL270" s="51"/>
      <c r="AM270" s="51"/>
      <c r="AN270" s="51"/>
      <c r="AO270" s="51"/>
      <c r="AP270" s="51"/>
      <c r="AQ270" s="52"/>
      <c r="AR270" s="19" t="s">
        <v>28</v>
      </c>
      <c r="AS270" s="21" t="s">
        <v>39</v>
      </c>
      <c r="AT270" s="21" t="s">
        <v>39</v>
      </c>
      <c r="AU270" s="76" t="s">
        <v>31</v>
      </c>
      <c r="AV270" s="86"/>
      <c r="AW270" s="86"/>
      <c r="AX270" s="77"/>
      <c r="AY270" s="76" t="s">
        <v>39</v>
      </c>
      <c r="AZ270" s="86"/>
      <c r="BA270" s="86"/>
      <c r="BB270" s="77"/>
      <c r="BC270" s="53"/>
      <c r="BD270" s="101"/>
      <c r="BE270" s="101"/>
      <c r="BF270" s="101"/>
      <c r="BG270" s="101"/>
      <c r="BH270" s="101"/>
      <c r="BI270" s="101"/>
      <c r="BJ270" s="102"/>
      <c r="BK270" s="16"/>
    </row>
    <row r="271" spans="1:63" ht="15.75" customHeight="1" x14ac:dyDescent="0.25">
      <c r="A271" s="15"/>
      <c r="B271" s="47">
        <f t="shared" si="5"/>
        <v>62</v>
      </c>
      <c r="C271" s="49"/>
      <c r="D271" s="234" t="s">
        <v>236</v>
      </c>
      <c r="E271" s="235"/>
      <c r="F271" s="235"/>
      <c r="G271" s="235"/>
      <c r="H271" s="235"/>
      <c r="I271" s="235"/>
      <c r="J271" s="236"/>
      <c r="K271" s="38" t="s">
        <v>240</v>
      </c>
      <c r="L271" s="39"/>
      <c r="M271" s="40"/>
      <c r="N271" s="19" t="s">
        <v>39</v>
      </c>
      <c r="O271" s="19" t="s">
        <v>29</v>
      </c>
      <c r="P271" s="47" t="s">
        <v>28</v>
      </c>
      <c r="Q271" s="48"/>
      <c r="R271" s="48"/>
      <c r="S271" s="49"/>
      <c r="T271" s="47" t="s">
        <v>28</v>
      </c>
      <c r="U271" s="48"/>
      <c r="V271" s="48"/>
      <c r="W271" s="49"/>
      <c r="X271" s="44" t="s">
        <v>255</v>
      </c>
      <c r="Y271" s="91"/>
      <c r="Z271" s="92"/>
      <c r="AA271" s="47" t="s">
        <v>39</v>
      </c>
      <c r="AB271" s="48"/>
      <c r="AC271" s="48"/>
      <c r="AD271" s="48"/>
      <c r="AE271" s="48"/>
      <c r="AF271" s="48"/>
      <c r="AG271" s="48"/>
      <c r="AH271" s="49"/>
      <c r="AI271" s="50" t="s">
        <v>39</v>
      </c>
      <c r="AJ271" s="51"/>
      <c r="AK271" s="51"/>
      <c r="AL271" s="51"/>
      <c r="AM271" s="51"/>
      <c r="AN271" s="51"/>
      <c r="AO271" s="51"/>
      <c r="AP271" s="51"/>
      <c r="AQ271" s="52"/>
      <c r="AR271" s="19" t="s">
        <v>28</v>
      </c>
      <c r="AS271" s="21" t="s">
        <v>39</v>
      </c>
      <c r="AT271" s="21" t="s">
        <v>39</v>
      </c>
      <c r="AU271" s="76" t="s">
        <v>31</v>
      </c>
      <c r="AV271" s="86"/>
      <c r="AW271" s="86"/>
      <c r="AX271" s="77"/>
      <c r="AY271" s="76" t="s">
        <v>39</v>
      </c>
      <c r="AZ271" s="86"/>
      <c r="BA271" s="86"/>
      <c r="BB271" s="77"/>
      <c r="BC271" s="53"/>
      <c r="BD271" s="101"/>
      <c r="BE271" s="101"/>
      <c r="BF271" s="101"/>
      <c r="BG271" s="101"/>
      <c r="BH271" s="101"/>
      <c r="BI271" s="101"/>
      <c r="BJ271" s="102"/>
      <c r="BK271" s="16"/>
    </row>
    <row r="272" spans="1:63" ht="45.75" customHeight="1" x14ac:dyDescent="0.25">
      <c r="A272" s="15"/>
      <c r="B272" s="47">
        <f t="shared" si="5"/>
        <v>63</v>
      </c>
      <c r="C272" s="49"/>
      <c r="D272" s="234" t="s">
        <v>172</v>
      </c>
      <c r="E272" s="235"/>
      <c r="F272" s="235"/>
      <c r="G272" s="235"/>
      <c r="H272" s="235"/>
      <c r="I272" s="235"/>
      <c r="J272" s="236"/>
      <c r="K272" s="38" t="s">
        <v>240</v>
      </c>
      <c r="L272" s="39"/>
      <c r="M272" s="40"/>
      <c r="N272" s="19" t="s">
        <v>39</v>
      </c>
      <c r="O272" s="19" t="s">
        <v>29</v>
      </c>
      <c r="P272" s="47" t="s">
        <v>28</v>
      </c>
      <c r="Q272" s="48"/>
      <c r="R272" s="48"/>
      <c r="S272" s="49"/>
      <c r="T272" s="47" t="s">
        <v>28</v>
      </c>
      <c r="U272" s="48"/>
      <c r="V272" s="48"/>
      <c r="W272" s="49"/>
      <c r="X272" s="44" t="s">
        <v>254</v>
      </c>
      <c r="Y272" s="91"/>
      <c r="Z272" s="92"/>
      <c r="AA272" s="47" t="s">
        <v>39</v>
      </c>
      <c r="AB272" s="48"/>
      <c r="AC272" s="48"/>
      <c r="AD272" s="48"/>
      <c r="AE272" s="48"/>
      <c r="AF272" s="48"/>
      <c r="AG272" s="48"/>
      <c r="AH272" s="49"/>
      <c r="AI272" s="50" t="s">
        <v>39</v>
      </c>
      <c r="AJ272" s="51"/>
      <c r="AK272" s="51"/>
      <c r="AL272" s="51"/>
      <c r="AM272" s="51"/>
      <c r="AN272" s="51"/>
      <c r="AO272" s="51"/>
      <c r="AP272" s="51"/>
      <c r="AQ272" s="52"/>
      <c r="AR272" s="19" t="s">
        <v>28</v>
      </c>
      <c r="AS272" s="21" t="s">
        <v>39</v>
      </c>
      <c r="AT272" s="21" t="s">
        <v>39</v>
      </c>
      <c r="AU272" s="76" t="s">
        <v>31</v>
      </c>
      <c r="AV272" s="86"/>
      <c r="AW272" s="86"/>
      <c r="AX272" s="77"/>
      <c r="AY272" s="76" t="s">
        <v>39</v>
      </c>
      <c r="AZ272" s="86"/>
      <c r="BA272" s="86"/>
      <c r="BB272" s="77"/>
      <c r="BC272" s="53"/>
      <c r="BD272" s="101"/>
      <c r="BE272" s="101"/>
      <c r="BF272" s="101"/>
      <c r="BG272" s="101"/>
      <c r="BH272" s="101"/>
      <c r="BI272" s="101"/>
      <c r="BJ272" s="102"/>
      <c r="BK272" s="16"/>
    </row>
    <row r="273" spans="1:63" ht="31.5" customHeight="1" x14ac:dyDescent="0.25">
      <c r="A273" s="15"/>
      <c r="B273" s="47">
        <f t="shared" si="5"/>
        <v>64</v>
      </c>
      <c r="C273" s="49"/>
      <c r="D273" s="234" t="s">
        <v>168</v>
      </c>
      <c r="E273" s="235"/>
      <c r="F273" s="235"/>
      <c r="G273" s="235"/>
      <c r="H273" s="235"/>
      <c r="I273" s="235"/>
      <c r="J273" s="236"/>
      <c r="K273" s="38" t="s">
        <v>240</v>
      </c>
      <c r="L273" s="39"/>
      <c r="M273" s="40"/>
      <c r="N273" s="19" t="s">
        <v>39</v>
      </c>
      <c r="O273" s="19" t="s">
        <v>29</v>
      </c>
      <c r="P273" s="47" t="s">
        <v>28</v>
      </c>
      <c r="Q273" s="48"/>
      <c r="R273" s="48"/>
      <c r="S273" s="49"/>
      <c r="T273" s="47" t="s">
        <v>28</v>
      </c>
      <c r="U273" s="48"/>
      <c r="V273" s="48"/>
      <c r="W273" s="49"/>
      <c r="X273" s="44" t="s">
        <v>256</v>
      </c>
      <c r="Y273" s="91"/>
      <c r="Z273" s="92"/>
      <c r="AA273" s="47" t="s">
        <v>39</v>
      </c>
      <c r="AB273" s="48"/>
      <c r="AC273" s="48"/>
      <c r="AD273" s="48"/>
      <c r="AE273" s="48"/>
      <c r="AF273" s="48"/>
      <c r="AG273" s="48"/>
      <c r="AH273" s="49"/>
      <c r="AI273" s="50" t="s">
        <v>39</v>
      </c>
      <c r="AJ273" s="51"/>
      <c r="AK273" s="51"/>
      <c r="AL273" s="51"/>
      <c r="AM273" s="51"/>
      <c r="AN273" s="51"/>
      <c r="AO273" s="51"/>
      <c r="AP273" s="51"/>
      <c r="AQ273" s="52"/>
      <c r="AR273" s="19" t="s">
        <v>28</v>
      </c>
      <c r="AS273" s="21" t="s">
        <v>39</v>
      </c>
      <c r="AT273" s="21" t="s">
        <v>39</v>
      </c>
      <c r="AU273" s="76" t="s">
        <v>31</v>
      </c>
      <c r="AV273" s="86"/>
      <c r="AW273" s="86"/>
      <c r="AX273" s="77"/>
      <c r="AY273" s="76" t="s">
        <v>39</v>
      </c>
      <c r="AZ273" s="86"/>
      <c r="BA273" s="86"/>
      <c r="BB273" s="77"/>
      <c r="BC273" s="53"/>
      <c r="BD273" s="101"/>
      <c r="BE273" s="101"/>
      <c r="BF273" s="101"/>
      <c r="BG273" s="101"/>
      <c r="BH273" s="101"/>
      <c r="BI273" s="101"/>
      <c r="BJ273" s="102"/>
      <c r="BK273" s="16"/>
    </row>
    <row r="274" spans="1:63" x14ac:dyDescent="0.25">
      <c r="A274" s="15"/>
      <c r="B274" s="47">
        <v>65.099999999999994</v>
      </c>
      <c r="C274" s="49"/>
      <c r="D274" s="234" t="s">
        <v>238</v>
      </c>
      <c r="E274" s="235"/>
      <c r="F274" s="235"/>
      <c r="G274" s="235"/>
      <c r="H274" s="235"/>
      <c r="I274" s="235"/>
      <c r="J274" s="236"/>
      <c r="K274" s="38" t="s">
        <v>240</v>
      </c>
      <c r="L274" s="39"/>
      <c r="M274" s="40"/>
      <c r="N274" s="19" t="s">
        <v>39</v>
      </c>
      <c r="O274" s="19" t="s">
        <v>29</v>
      </c>
      <c r="P274" s="76" t="s">
        <v>28</v>
      </c>
      <c r="Q274" s="86"/>
      <c r="R274" s="86"/>
      <c r="S274" s="77"/>
      <c r="T274" s="76" t="s">
        <v>28</v>
      </c>
      <c r="U274" s="86"/>
      <c r="V274" s="86"/>
      <c r="W274" s="77"/>
      <c r="X274" s="44" t="s">
        <v>28</v>
      </c>
      <c r="Y274" s="91"/>
      <c r="Z274" s="92"/>
      <c r="AA274" s="47" t="s">
        <v>39</v>
      </c>
      <c r="AB274" s="48"/>
      <c r="AC274" s="48"/>
      <c r="AD274" s="48"/>
      <c r="AE274" s="48"/>
      <c r="AF274" s="48"/>
      <c r="AG274" s="48"/>
      <c r="AH274" s="49"/>
      <c r="AI274" s="50" t="s">
        <v>39</v>
      </c>
      <c r="AJ274" s="51"/>
      <c r="AK274" s="51"/>
      <c r="AL274" s="51"/>
      <c r="AM274" s="51"/>
      <c r="AN274" s="51"/>
      <c r="AO274" s="51"/>
      <c r="AP274" s="51"/>
      <c r="AQ274" s="52"/>
      <c r="AR274" s="19" t="s">
        <v>28</v>
      </c>
      <c r="AS274" s="21" t="s">
        <v>39</v>
      </c>
      <c r="AT274" s="21" t="s">
        <v>39</v>
      </c>
      <c r="AU274" s="76" t="s">
        <v>31</v>
      </c>
      <c r="AV274" s="86"/>
      <c r="AW274" s="86"/>
      <c r="AX274" s="77"/>
      <c r="AY274" s="76" t="s">
        <v>39</v>
      </c>
      <c r="AZ274" s="86"/>
      <c r="BA274" s="86"/>
      <c r="BB274" s="77"/>
      <c r="BC274" s="53"/>
      <c r="BD274" s="101"/>
      <c r="BE274" s="101"/>
      <c r="BF274" s="101"/>
      <c r="BG274" s="101"/>
      <c r="BH274" s="101"/>
      <c r="BI274" s="101"/>
      <c r="BJ274" s="102"/>
      <c r="BK274" s="16"/>
    </row>
    <row r="275" spans="1:63" x14ac:dyDescent="0.25">
      <c r="A275" s="15"/>
      <c r="B275" s="47">
        <v>65.2</v>
      </c>
      <c r="C275" s="49"/>
      <c r="D275" s="234" t="s">
        <v>107</v>
      </c>
      <c r="E275" s="235"/>
      <c r="F275" s="235"/>
      <c r="G275" s="235"/>
      <c r="H275" s="235"/>
      <c r="I275" s="235"/>
      <c r="J275" s="236"/>
      <c r="K275" s="38" t="s">
        <v>240</v>
      </c>
      <c r="L275" s="39"/>
      <c r="M275" s="40"/>
      <c r="N275" s="19" t="s">
        <v>245</v>
      </c>
      <c r="O275" s="19" t="s">
        <v>28</v>
      </c>
      <c r="P275" s="100" t="s">
        <v>28</v>
      </c>
      <c r="Q275" s="42"/>
      <c r="R275" s="42"/>
      <c r="S275" s="43"/>
      <c r="T275" s="100" t="s">
        <v>28</v>
      </c>
      <c r="U275" s="42"/>
      <c r="V275" s="42"/>
      <c r="W275" s="43"/>
      <c r="X275" s="44" t="s">
        <v>28</v>
      </c>
      <c r="Y275" s="91"/>
      <c r="Z275" s="92"/>
      <c r="AA275" s="47" t="s">
        <v>39</v>
      </c>
      <c r="AB275" s="48"/>
      <c r="AC275" s="48"/>
      <c r="AD275" s="48"/>
      <c r="AE275" s="48"/>
      <c r="AF275" s="48"/>
      <c r="AG275" s="48"/>
      <c r="AH275" s="49"/>
      <c r="AI275" s="50" t="s">
        <v>39</v>
      </c>
      <c r="AJ275" s="51"/>
      <c r="AK275" s="51"/>
      <c r="AL275" s="51"/>
      <c r="AM275" s="51"/>
      <c r="AN275" s="51"/>
      <c r="AO275" s="51"/>
      <c r="AP275" s="51"/>
      <c r="AQ275" s="52"/>
      <c r="AR275" s="19" t="s">
        <v>28</v>
      </c>
      <c r="AS275" s="21" t="s">
        <v>39</v>
      </c>
      <c r="AT275" s="21" t="s">
        <v>39</v>
      </c>
      <c r="AU275" s="76" t="s">
        <v>31</v>
      </c>
      <c r="AV275" s="86"/>
      <c r="AW275" s="86"/>
      <c r="AX275" s="77"/>
      <c r="AY275" s="76" t="s">
        <v>39</v>
      </c>
      <c r="AZ275" s="86"/>
      <c r="BA275" s="86"/>
      <c r="BB275" s="77"/>
      <c r="BC275" s="53"/>
      <c r="BD275" s="101"/>
      <c r="BE275" s="101"/>
      <c r="BF275" s="101"/>
      <c r="BG275" s="101"/>
      <c r="BH275" s="101"/>
      <c r="BI275" s="101"/>
      <c r="BJ275" s="102"/>
      <c r="BK275" s="16"/>
    </row>
    <row r="276" spans="1:63" x14ac:dyDescent="0.25">
      <c r="A276" s="15"/>
      <c r="B276" s="47">
        <v>65.3</v>
      </c>
      <c r="C276" s="49"/>
      <c r="D276" s="234" t="s">
        <v>174</v>
      </c>
      <c r="E276" s="235"/>
      <c r="F276" s="235"/>
      <c r="G276" s="235"/>
      <c r="H276" s="235"/>
      <c r="I276" s="235"/>
      <c r="J276" s="236"/>
      <c r="K276" s="38" t="s">
        <v>240</v>
      </c>
      <c r="L276" s="39"/>
      <c r="M276" s="40"/>
      <c r="N276" s="19" t="s">
        <v>245</v>
      </c>
      <c r="O276" s="19" t="s">
        <v>28</v>
      </c>
      <c r="P276" s="100" t="s">
        <v>28</v>
      </c>
      <c r="Q276" s="42"/>
      <c r="R276" s="42"/>
      <c r="S276" s="43"/>
      <c r="T276" s="100" t="s">
        <v>28</v>
      </c>
      <c r="U276" s="42"/>
      <c r="V276" s="42"/>
      <c r="W276" s="43"/>
      <c r="X276" s="44" t="s">
        <v>28</v>
      </c>
      <c r="Y276" s="91"/>
      <c r="Z276" s="92"/>
      <c r="AA276" s="47" t="s">
        <v>39</v>
      </c>
      <c r="AB276" s="48"/>
      <c r="AC276" s="48"/>
      <c r="AD276" s="48"/>
      <c r="AE276" s="48"/>
      <c r="AF276" s="48"/>
      <c r="AG276" s="48"/>
      <c r="AH276" s="49"/>
      <c r="AI276" s="50" t="s">
        <v>39</v>
      </c>
      <c r="AJ276" s="51"/>
      <c r="AK276" s="51"/>
      <c r="AL276" s="51"/>
      <c r="AM276" s="51"/>
      <c r="AN276" s="51"/>
      <c r="AO276" s="51"/>
      <c r="AP276" s="51"/>
      <c r="AQ276" s="52"/>
      <c r="AR276" s="19" t="s">
        <v>28</v>
      </c>
      <c r="AS276" s="21" t="s">
        <v>39</v>
      </c>
      <c r="AT276" s="21" t="s">
        <v>39</v>
      </c>
      <c r="AU276" s="76" t="s">
        <v>31</v>
      </c>
      <c r="AV276" s="86"/>
      <c r="AW276" s="86"/>
      <c r="AX276" s="77"/>
      <c r="AY276" s="76" t="s">
        <v>39</v>
      </c>
      <c r="AZ276" s="86"/>
      <c r="BA276" s="86"/>
      <c r="BB276" s="77"/>
      <c r="BC276" s="53"/>
      <c r="BD276" s="101"/>
      <c r="BE276" s="101"/>
      <c r="BF276" s="101"/>
      <c r="BG276" s="101"/>
      <c r="BH276" s="101"/>
      <c r="BI276" s="101"/>
      <c r="BJ276" s="102"/>
      <c r="BK276" s="16"/>
    </row>
    <row r="277" spans="1:63" ht="49.5" customHeight="1" x14ac:dyDescent="0.25">
      <c r="A277" s="15"/>
      <c r="B277" s="47">
        <v>65.400000000000006</v>
      </c>
      <c r="C277" s="49"/>
      <c r="D277" s="234" t="s">
        <v>176</v>
      </c>
      <c r="E277" s="235"/>
      <c r="F277" s="235"/>
      <c r="G277" s="235"/>
      <c r="H277" s="235"/>
      <c r="I277" s="235"/>
      <c r="J277" s="236"/>
      <c r="K277" s="38" t="s">
        <v>240</v>
      </c>
      <c r="L277" s="39"/>
      <c r="M277" s="40"/>
      <c r="N277" s="19" t="s">
        <v>245</v>
      </c>
      <c r="O277" s="19" t="s">
        <v>28</v>
      </c>
      <c r="P277" s="100" t="s">
        <v>28</v>
      </c>
      <c r="Q277" s="42"/>
      <c r="R277" s="42"/>
      <c r="S277" s="43"/>
      <c r="T277" s="100" t="s">
        <v>28</v>
      </c>
      <c r="U277" s="42"/>
      <c r="V277" s="42"/>
      <c r="W277" s="43"/>
      <c r="X277" s="44" t="s">
        <v>28</v>
      </c>
      <c r="Y277" s="91"/>
      <c r="Z277" s="92"/>
      <c r="AA277" s="47" t="s">
        <v>39</v>
      </c>
      <c r="AB277" s="48"/>
      <c r="AC277" s="48"/>
      <c r="AD277" s="48"/>
      <c r="AE277" s="48"/>
      <c r="AF277" s="48"/>
      <c r="AG277" s="48"/>
      <c r="AH277" s="49"/>
      <c r="AI277" s="50" t="s">
        <v>39</v>
      </c>
      <c r="AJ277" s="51"/>
      <c r="AK277" s="51"/>
      <c r="AL277" s="51"/>
      <c r="AM277" s="51"/>
      <c r="AN277" s="51"/>
      <c r="AO277" s="51"/>
      <c r="AP277" s="51"/>
      <c r="AQ277" s="52"/>
      <c r="AR277" s="19" t="s">
        <v>28</v>
      </c>
      <c r="AS277" s="21" t="s">
        <v>39</v>
      </c>
      <c r="AT277" s="21" t="s">
        <v>39</v>
      </c>
      <c r="AU277" s="76" t="s">
        <v>31</v>
      </c>
      <c r="AV277" s="86"/>
      <c r="AW277" s="86"/>
      <c r="AX277" s="77"/>
      <c r="AY277" s="76" t="s">
        <v>39</v>
      </c>
      <c r="AZ277" s="86"/>
      <c r="BA277" s="86"/>
      <c r="BB277" s="77"/>
      <c r="BC277" s="53"/>
      <c r="BD277" s="101"/>
      <c r="BE277" s="101"/>
      <c r="BF277" s="101"/>
      <c r="BG277" s="101"/>
      <c r="BH277" s="101"/>
      <c r="BI277" s="101"/>
      <c r="BJ277" s="102"/>
      <c r="BK277" s="16"/>
    </row>
    <row r="278" spans="1:63" ht="29.25" customHeight="1" x14ac:dyDescent="0.25">
      <c r="A278" s="15"/>
      <c r="B278" s="47">
        <v>65.5</v>
      </c>
      <c r="C278" s="49"/>
      <c r="D278" s="234" t="s">
        <v>170</v>
      </c>
      <c r="E278" s="235"/>
      <c r="F278" s="235"/>
      <c r="G278" s="235"/>
      <c r="H278" s="235"/>
      <c r="I278" s="235"/>
      <c r="J278" s="236"/>
      <c r="K278" s="38" t="s">
        <v>240</v>
      </c>
      <c r="L278" s="39"/>
      <c r="M278" s="40"/>
      <c r="N278" s="19" t="s">
        <v>245</v>
      </c>
      <c r="O278" s="19" t="s">
        <v>28</v>
      </c>
      <c r="P278" s="100" t="s">
        <v>28</v>
      </c>
      <c r="Q278" s="42"/>
      <c r="R278" s="42"/>
      <c r="S278" s="43"/>
      <c r="T278" s="100" t="s">
        <v>28</v>
      </c>
      <c r="U278" s="42"/>
      <c r="V278" s="42"/>
      <c r="W278" s="43"/>
      <c r="X278" s="44" t="s">
        <v>28</v>
      </c>
      <c r="Y278" s="91"/>
      <c r="Z278" s="92"/>
      <c r="AA278" s="47" t="s">
        <v>39</v>
      </c>
      <c r="AB278" s="48"/>
      <c r="AC278" s="48"/>
      <c r="AD278" s="48"/>
      <c r="AE278" s="48"/>
      <c r="AF278" s="48"/>
      <c r="AG278" s="48"/>
      <c r="AH278" s="49"/>
      <c r="AI278" s="50" t="s">
        <v>39</v>
      </c>
      <c r="AJ278" s="51"/>
      <c r="AK278" s="51"/>
      <c r="AL278" s="51"/>
      <c r="AM278" s="51"/>
      <c r="AN278" s="51"/>
      <c r="AO278" s="51"/>
      <c r="AP278" s="51"/>
      <c r="AQ278" s="52"/>
      <c r="AR278" s="19" t="s">
        <v>28</v>
      </c>
      <c r="AS278" s="21" t="s">
        <v>39</v>
      </c>
      <c r="AT278" s="21" t="s">
        <v>39</v>
      </c>
      <c r="AU278" s="76" t="s">
        <v>31</v>
      </c>
      <c r="AV278" s="86"/>
      <c r="AW278" s="86"/>
      <c r="AX278" s="77"/>
      <c r="AY278" s="76" t="s">
        <v>39</v>
      </c>
      <c r="AZ278" s="86"/>
      <c r="BA278" s="86"/>
      <c r="BB278" s="77"/>
      <c r="BC278" s="53"/>
      <c r="BD278" s="101"/>
      <c r="BE278" s="101"/>
      <c r="BF278" s="101"/>
      <c r="BG278" s="101"/>
      <c r="BH278" s="101"/>
      <c r="BI278" s="101"/>
      <c r="BJ278" s="102"/>
      <c r="BK278" s="16"/>
    </row>
    <row r="279" spans="1:63" x14ac:dyDescent="0.25">
      <c r="A279" s="15"/>
      <c r="B279" s="47">
        <v>66</v>
      </c>
      <c r="C279" s="49"/>
      <c r="D279" s="234" t="s">
        <v>187</v>
      </c>
      <c r="E279" s="235"/>
      <c r="F279" s="235"/>
      <c r="G279" s="235"/>
      <c r="H279" s="235"/>
      <c r="I279" s="235"/>
      <c r="J279" s="236"/>
      <c r="K279" s="38" t="s">
        <v>240</v>
      </c>
      <c r="L279" s="39"/>
      <c r="M279" s="40"/>
      <c r="N279" s="19" t="s">
        <v>39</v>
      </c>
      <c r="O279" s="19" t="s">
        <v>29</v>
      </c>
      <c r="P279" s="76" t="s">
        <v>28</v>
      </c>
      <c r="Q279" s="86"/>
      <c r="R279" s="86"/>
      <c r="S279" s="77"/>
      <c r="T279" s="76" t="s">
        <v>28</v>
      </c>
      <c r="U279" s="86"/>
      <c r="V279" s="86"/>
      <c r="W279" s="77"/>
      <c r="X279" s="44" t="s">
        <v>188</v>
      </c>
      <c r="Y279" s="91"/>
      <c r="Z279" s="92"/>
      <c r="AA279" s="47" t="s">
        <v>39</v>
      </c>
      <c r="AB279" s="48"/>
      <c r="AC279" s="48"/>
      <c r="AD279" s="48"/>
      <c r="AE279" s="48"/>
      <c r="AF279" s="48"/>
      <c r="AG279" s="48"/>
      <c r="AH279" s="49"/>
      <c r="AI279" s="50" t="s">
        <v>39</v>
      </c>
      <c r="AJ279" s="51"/>
      <c r="AK279" s="51"/>
      <c r="AL279" s="51"/>
      <c r="AM279" s="51"/>
      <c r="AN279" s="51"/>
      <c r="AO279" s="51"/>
      <c r="AP279" s="51"/>
      <c r="AQ279" s="52"/>
      <c r="AR279" s="19" t="s">
        <v>28</v>
      </c>
      <c r="AS279" s="21" t="s">
        <v>39</v>
      </c>
      <c r="AT279" s="21" t="s">
        <v>39</v>
      </c>
      <c r="AU279" s="76" t="s">
        <v>31</v>
      </c>
      <c r="AV279" s="86"/>
      <c r="AW279" s="86"/>
      <c r="AX279" s="77"/>
      <c r="AY279" s="76" t="s">
        <v>39</v>
      </c>
      <c r="AZ279" s="86"/>
      <c r="BA279" s="86"/>
      <c r="BB279" s="77"/>
      <c r="BC279" s="53"/>
      <c r="BD279" s="101"/>
      <c r="BE279" s="101"/>
      <c r="BF279" s="101"/>
      <c r="BG279" s="101"/>
      <c r="BH279" s="101"/>
      <c r="BI279" s="101"/>
      <c r="BJ279" s="102"/>
      <c r="BK279" s="16"/>
    </row>
    <row r="280" spans="1:63" x14ac:dyDescent="0.25">
      <c r="A280" s="15"/>
      <c r="B280" s="70">
        <v>67</v>
      </c>
      <c r="C280" s="66"/>
      <c r="D280" s="264" t="s">
        <v>191</v>
      </c>
      <c r="E280" s="265"/>
      <c r="F280" s="265"/>
      <c r="G280" s="265"/>
      <c r="H280" s="265"/>
      <c r="I280" s="265"/>
      <c r="J280" s="266"/>
      <c r="K280" s="61" t="s">
        <v>240</v>
      </c>
      <c r="L280" s="62"/>
      <c r="M280" s="63"/>
      <c r="N280" s="23" t="s">
        <v>39</v>
      </c>
      <c r="O280" s="23" t="s">
        <v>29</v>
      </c>
      <c r="P280" s="56" t="s">
        <v>28</v>
      </c>
      <c r="Q280" s="224"/>
      <c r="R280" s="224"/>
      <c r="S280" s="57"/>
      <c r="T280" s="56" t="s">
        <v>28</v>
      </c>
      <c r="U280" s="224"/>
      <c r="V280" s="224"/>
      <c r="W280" s="57"/>
      <c r="X280" s="67" t="s">
        <v>190</v>
      </c>
      <c r="Y280" s="214"/>
      <c r="Z280" s="215"/>
      <c r="AA280" s="70" t="s">
        <v>39</v>
      </c>
      <c r="AB280" s="65"/>
      <c r="AC280" s="65"/>
      <c r="AD280" s="65"/>
      <c r="AE280" s="65"/>
      <c r="AF280" s="65"/>
      <c r="AG280" s="65"/>
      <c r="AH280" s="66"/>
      <c r="AI280" s="225" t="s">
        <v>39</v>
      </c>
      <c r="AJ280" s="72"/>
      <c r="AK280" s="72"/>
      <c r="AL280" s="72"/>
      <c r="AM280" s="72"/>
      <c r="AN280" s="72"/>
      <c r="AO280" s="72"/>
      <c r="AP280" s="72"/>
      <c r="AQ280" s="73"/>
      <c r="AR280" s="23" t="s">
        <v>28</v>
      </c>
      <c r="AS280" s="24" t="s">
        <v>39</v>
      </c>
      <c r="AT280" s="24" t="s">
        <v>39</v>
      </c>
      <c r="AU280" s="56" t="s">
        <v>31</v>
      </c>
      <c r="AV280" s="224"/>
      <c r="AW280" s="224"/>
      <c r="AX280" s="57"/>
      <c r="AY280" s="56" t="s">
        <v>39</v>
      </c>
      <c r="AZ280" s="224"/>
      <c r="BA280" s="224"/>
      <c r="BB280" s="57"/>
      <c r="BC280" s="219"/>
      <c r="BD280" s="267"/>
      <c r="BE280" s="267"/>
      <c r="BF280" s="267"/>
      <c r="BG280" s="267"/>
      <c r="BH280" s="267"/>
      <c r="BI280" s="267"/>
      <c r="BJ280" s="268"/>
      <c r="BK280" s="16"/>
    </row>
    <row r="283" spans="1:63" ht="15" customHeight="1" x14ac:dyDescent="0.25">
      <c r="A283" s="15"/>
      <c r="B283" s="27" t="s">
        <v>193</v>
      </c>
      <c r="C283" s="28"/>
      <c r="D283" s="28"/>
      <c r="E283" s="28"/>
      <c r="F283" s="28"/>
      <c r="G283" s="28"/>
      <c r="H283" s="28"/>
      <c r="I283" s="28"/>
      <c r="J283" s="28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7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30"/>
    </row>
    <row r="317" spans="1:63" ht="15" customHeight="1" x14ac:dyDescent="0.25">
      <c r="A317" s="15"/>
      <c r="B317" s="17" t="s">
        <v>12</v>
      </c>
      <c r="BK317" s="16"/>
    </row>
    <row r="318" spans="1:63" x14ac:dyDescent="0.25">
      <c r="A318" s="15"/>
      <c r="BK318" s="16"/>
    </row>
    <row r="320" spans="1:63" ht="15.75" customHeight="1" x14ac:dyDescent="0.25">
      <c r="A320" s="15"/>
      <c r="B320" s="126" t="s">
        <v>13</v>
      </c>
      <c r="C320" s="127"/>
      <c r="D320" s="132" t="s">
        <v>230</v>
      </c>
      <c r="E320" s="133"/>
      <c r="F320" s="133"/>
      <c r="G320" s="133"/>
      <c r="H320" s="133"/>
      <c r="I320" s="133"/>
      <c r="J320" s="127"/>
      <c r="K320" s="132" t="s">
        <v>15</v>
      </c>
      <c r="L320" s="133"/>
      <c r="M320" s="127"/>
      <c r="N320" s="136" t="s">
        <v>16</v>
      </c>
      <c r="O320" s="139" t="s">
        <v>33</v>
      </c>
      <c r="P320" s="142" t="s">
        <v>17</v>
      </c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4"/>
      <c r="AR320" s="145" t="s">
        <v>18</v>
      </c>
      <c r="AS320" s="146"/>
      <c r="AT320" s="146"/>
      <c r="AU320" s="146"/>
      <c r="AV320" s="146"/>
      <c r="AW320" s="146"/>
      <c r="AX320" s="146"/>
      <c r="AY320" s="146"/>
      <c r="AZ320" s="146"/>
      <c r="BA320" s="146"/>
      <c r="BB320" s="147"/>
      <c r="BC320" s="148" t="s">
        <v>19</v>
      </c>
      <c r="BD320" s="149"/>
      <c r="BE320" s="149"/>
      <c r="BF320" s="149"/>
      <c r="BG320" s="149"/>
      <c r="BH320" s="149"/>
      <c r="BI320" s="149"/>
      <c r="BJ320" s="150"/>
      <c r="BK320" s="16"/>
    </row>
    <row r="321" spans="1:63" ht="15.75" customHeight="1" x14ac:dyDescent="0.25">
      <c r="A321" s="15"/>
      <c r="B321" s="128"/>
      <c r="C321" s="129"/>
      <c r="D321" s="128"/>
      <c r="E321" s="134"/>
      <c r="F321" s="134"/>
      <c r="G321" s="134"/>
      <c r="H321" s="134"/>
      <c r="I321" s="134"/>
      <c r="J321" s="129"/>
      <c r="K321" s="128"/>
      <c r="L321" s="134"/>
      <c r="M321" s="129"/>
      <c r="N321" s="137"/>
      <c r="O321" s="140"/>
      <c r="P321" s="157" t="s">
        <v>248</v>
      </c>
      <c r="Q321" s="158"/>
      <c r="R321" s="158"/>
      <c r="S321" s="158"/>
      <c r="T321" s="158"/>
      <c r="U321" s="158"/>
      <c r="V321" s="158"/>
      <c r="W321" s="159"/>
      <c r="X321" s="160" t="s">
        <v>21</v>
      </c>
      <c r="Y321" s="161"/>
      <c r="Z321" s="162"/>
      <c r="AA321" s="160" t="s">
        <v>22</v>
      </c>
      <c r="AB321" s="161"/>
      <c r="AC321" s="161"/>
      <c r="AD321" s="161"/>
      <c r="AE321" s="161"/>
      <c r="AF321" s="161"/>
      <c r="AG321" s="161"/>
      <c r="AH321" s="162"/>
      <c r="AI321" s="160" t="s">
        <v>23</v>
      </c>
      <c r="AJ321" s="161"/>
      <c r="AK321" s="161"/>
      <c r="AL321" s="161"/>
      <c r="AM321" s="161"/>
      <c r="AN321" s="161"/>
      <c r="AO321" s="161"/>
      <c r="AP321" s="161"/>
      <c r="AQ321" s="162"/>
      <c r="AR321" s="166" t="s">
        <v>24</v>
      </c>
      <c r="AS321" s="168" t="s">
        <v>25</v>
      </c>
      <c r="AT321" s="170" t="s">
        <v>26</v>
      </c>
      <c r="AU321" s="145" t="s">
        <v>20</v>
      </c>
      <c r="AV321" s="146"/>
      <c r="AW321" s="146"/>
      <c r="AX321" s="146"/>
      <c r="AY321" s="146"/>
      <c r="AZ321" s="146"/>
      <c r="BA321" s="146"/>
      <c r="BB321" s="147"/>
      <c r="BC321" s="151"/>
      <c r="BD321" s="152"/>
      <c r="BE321" s="152"/>
      <c r="BF321" s="152"/>
      <c r="BG321" s="152"/>
      <c r="BH321" s="152"/>
      <c r="BI321" s="152"/>
      <c r="BJ321" s="153"/>
      <c r="BK321" s="16"/>
    </row>
    <row r="322" spans="1:63" x14ac:dyDescent="0.25">
      <c r="A322" s="15"/>
      <c r="B322" s="130"/>
      <c r="C322" s="131"/>
      <c r="D322" s="130"/>
      <c r="E322" s="135"/>
      <c r="F322" s="135"/>
      <c r="G322" s="135"/>
      <c r="H322" s="135"/>
      <c r="I322" s="135"/>
      <c r="J322" s="131"/>
      <c r="K322" s="130"/>
      <c r="L322" s="135"/>
      <c r="M322" s="131"/>
      <c r="N322" s="138"/>
      <c r="O322" s="141"/>
      <c r="P322" s="142" t="s">
        <v>249</v>
      </c>
      <c r="Q322" s="143"/>
      <c r="R322" s="143"/>
      <c r="S322" s="144"/>
      <c r="T322" s="142" t="s">
        <v>230</v>
      </c>
      <c r="U322" s="143"/>
      <c r="V322" s="143"/>
      <c r="W322" s="144"/>
      <c r="X322" s="163"/>
      <c r="Y322" s="164"/>
      <c r="Z322" s="165"/>
      <c r="AA322" s="163"/>
      <c r="AB322" s="164"/>
      <c r="AC322" s="164"/>
      <c r="AD322" s="164"/>
      <c r="AE322" s="164"/>
      <c r="AF322" s="164"/>
      <c r="AG322" s="164"/>
      <c r="AH322" s="165"/>
      <c r="AI322" s="163"/>
      <c r="AJ322" s="164"/>
      <c r="AK322" s="164"/>
      <c r="AL322" s="164"/>
      <c r="AM322" s="164"/>
      <c r="AN322" s="164"/>
      <c r="AO322" s="164"/>
      <c r="AP322" s="164"/>
      <c r="AQ322" s="165"/>
      <c r="AR322" s="167"/>
      <c r="AS322" s="169"/>
      <c r="AT322" s="171"/>
      <c r="AU322" s="145" t="s">
        <v>32</v>
      </c>
      <c r="AV322" s="146"/>
      <c r="AW322" s="146"/>
      <c r="AX322" s="172"/>
      <c r="AY322" s="173" t="s">
        <v>14</v>
      </c>
      <c r="AZ322" s="146"/>
      <c r="BA322" s="146"/>
      <c r="BB322" s="147"/>
      <c r="BC322" s="154"/>
      <c r="BD322" s="155"/>
      <c r="BE322" s="155"/>
      <c r="BF322" s="155"/>
      <c r="BG322" s="155"/>
      <c r="BH322" s="155"/>
      <c r="BI322" s="155"/>
      <c r="BJ322" s="156"/>
      <c r="BK322" s="16"/>
    </row>
    <row r="323" spans="1:63" x14ac:dyDescent="0.25">
      <c r="A323" s="15"/>
      <c r="B323" s="240" t="s">
        <v>197</v>
      </c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1"/>
      <c r="AK323" s="241"/>
      <c r="AL323" s="241"/>
      <c r="AM323" s="241"/>
      <c r="AN323" s="241"/>
      <c r="AO323" s="241"/>
      <c r="AP323" s="241"/>
      <c r="AQ323" s="241"/>
      <c r="AR323" s="241"/>
      <c r="AS323" s="241"/>
      <c r="AT323" s="241"/>
      <c r="AU323" s="241"/>
      <c r="AV323" s="241"/>
      <c r="AW323" s="241"/>
      <c r="AX323" s="241"/>
      <c r="AY323" s="241"/>
      <c r="AZ323" s="241"/>
      <c r="BA323" s="241"/>
      <c r="BB323" s="241"/>
      <c r="BC323" s="241"/>
      <c r="BD323" s="241"/>
      <c r="BE323" s="241"/>
      <c r="BF323" s="241"/>
      <c r="BG323" s="241"/>
      <c r="BH323" s="241"/>
      <c r="BI323" s="241"/>
      <c r="BJ323" s="242"/>
      <c r="BK323" s="16"/>
    </row>
    <row r="324" spans="1:63" ht="15.75" customHeight="1" x14ac:dyDescent="0.25">
      <c r="A324" s="15"/>
      <c r="B324" s="47">
        <v>68</v>
      </c>
      <c r="C324" s="49"/>
      <c r="D324" s="93" t="s">
        <v>133</v>
      </c>
      <c r="E324" s="94"/>
      <c r="F324" s="94"/>
      <c r="G324" s="94"/>
      <c r="H324" s="94"/>
      <c r="I324" s="94"/>
      <c r="J324" s="95"/>
      <c r="K324" s="90" t="s">
        <v>27</v>
      </c>
      <c r="L324" s="39"/>
      <c r="M324" s="40"/>
      <c r="N324" s="25" t="s">
        <v>28</v>
      </c>
      <c r="O324" s="19" t="s">
        <v>29</v>
      </c>
      <c r="P324" s="47" t="s">
        <v>31</v>
      </c>
      <c r="Q324" s="48"/>
      <c r="R324" s="48"/>
      <c r="S324" s="49"/>
      <c r="T324" s="47" t="s">
        <v>31</v>
      </c>
      <c r="U324" s="48"/>
      <c r="V324" s="48"/>
      <c r="W324" s="49"/>
      <c r="X324" s="115" t="s">
        <v>257</v>
      </c>
      <c r="Y324" s="116"/>
      <c r="Z324" s="117"/>
      <c r="AA324" s="47" t="s">
        <v>39</v>
      </c>
      <c r="AB324" s="48"/>
      <c r="AC324" s="48"/>
      <c r="AD324" s="48"/>
      <c r="AE324" s="48"/>
      <c r="AF324" s="48"/>
      <c r="AG324" s="48"/>
      <c r="AH324" s="49"/>
      <c r="AI324" s="50" t="s">
        <v>39</v>
      </c>
      <c r="AJ324" s="51"/>
      <c r="AK324" s="51"/>
      <c r="AL324" s="51"/>
      <c r="AM324" s="51"/>
      <c r="AN324" s="51"/>
      <c r="AO324" s="51"/>
      <c r="AP324" s="51"/>
      <c r="AQ324" s="52"/>
      <c r="AR324" s="21" t="s">
        <v>28</v>
      </c>
      <c r="AS324" s="21" t="s">
        <v>39</v>
      </c>
      <c r="AT324" s="21" t="s">
        <v>39</v>
      </c>
      <c r="AU324" s="47" t="s">
        <v>31</v>
      </c>
      <c r="AV324" s="48"/>
      <c r="AW324" s="48"/>
      <c r="AX324" s="49"/>
      <c r="AY324" s="47" t="s">
        <v>39</v>
      </c>
      <c r="AZ324" s="48"/>
      <c r="BA324" s="48"/>
      <c r="BB324" s="49"/>
      <c r="BC324" s="53" t="s">
        <v>225</v>
      </c>
      <c r="BD324" s="54"/>
      <c r="BE324" s="54"/>
      <c r="BF324" s="54"/>
      <c r="BG324" s="54"/>
      <c r="BH324" s="54"/>
      <c r="BI324" s="54"/>
      <c r="BJ324" s="55"/>
      <c r="BK324" s="16"/>
    </row>
    <row r="325" spans="1:63" x14ac:dyDescent="0.25">
      <c r="A325" s="15"/>
      <c r="B325" s="47">
        <f t="shared" ref="B325:B347" si="6">B324+1</f>
        <v>69</v>
      </c>
      <c r="C325" s="49"/>
      <c r="D325" s="97" t="s">
        <v>194</v>
      </c>
      <c r="E325" s="98"/>
      <c r="F325" s="98"/>
      <c r="G325" s="98"/>
      <c r="H325" s="98"/>
      <c r="I325" s="98"/>
      <c r="J325" s="99"/>
      <c r="K325" s="38" t="s">
        <v>27</v>
      </c>
      <c r="L325" s="39"/>
      <c r="M325" s="40"/>
      <c r="N325" s="25" t="s">
        <v>28</v>
      </c>
      <c r="O325" s="19" t="s">
        <v>29</v>
      </c>
      <c r="P325" s="47" t="s">
        <v>28</v>
      </c>
      <c r="Q325" s="48"/>
      <c r="R325" s="48"/>
      <c r="S325" s="49"/>
      <c r="T325" s="47" t="s">
        <v>28</v>
      </c>
      <c r="U325" s="48"/>
      <c r="V325" s="48"/>
      <c r="W325" s="49"/>
      <c r="X325" s="44" t="s">
        <v>192</v>
      </c>
      <c r="Y325" s="91"/>
      <c r="Z325" s="92"/>
      <c r="AA325" s="47" t="s">
        <v>39</v>
      </c>
      <c r="AB325" s="48"/>
      <c r="AC325" s="48"/>
      <c r="AD325" s="48"/>
      <c r="AE325" s="48"/>
      <c r="AF325" s="48"/>
      <c r="AG325" s="48"/>
      <c r="AH325" s="49"/>
      <c r="AI325" s="50" t="s">
        <v>39</v>
      </c>
      <c r="AJ325" s="51"/>
      <c r="AK325" s="51"/>
      <c r="AL325" s="51"/>
      <c r="AM325" s="51"/>
      <c r="AN325" s="51"/>
      <c r="AO325" s="51"/>
      <c r="AP325" s="51"/>
      <c r="AQ325" s="52"/>
      <c r="AR325" s="19" t="s">
        <v>28</v>
      </c>
      <c r="AS325" s="21" t="s">
        <v>39</v>
      </c>
      <c r="AT325" s="21" t="s">
        <v>39</v>
      </c>
      <c r="AU325" s="76" t="s">
        <v>31</v>
      </c>
      <c r="AV325" s="86"/>
      <c r="AW325" s="86"/>
      <c r="AX325" s="77"/>
      <c r="AY325" s="76" t="s">
        <v>39</v>
      </c>
      <c r="AZ325" s="86"/>
      <c r="BA325" s="86"/>
      <c r="BB325" s="77"/>
      <c r="BC325" s="53"/>
      <c r="BD325" s="101"/>
      <c r="BE325" s="101"/>
      <c r="BF325" s="101"/>
      <c r="BG325" s="101"/>
      <c r="BH325" s="101"/>
      <c r="BI325" s="101"/>
      <c r="BJ325" s="102"/>
      <c r="BK325" s="16"/>
    </row>
    <row r="326" spans="1:63" x14ac:dyDescent="0.25">
      <c r="A326" s="15"/>
      <c r="B326" s="47">
        <f t="shared" si="6"/>
        <v>70</v>
      </c>
      <c r="C326" s="49"/>
      <c r="D326" s="234" t="s">
        <v>105</v>
      </c>
      <c r="E326" s="235"/>
      <c r="F326" s="235"/>
      <c r="G326" s="235"/>
      <c r="H326" s="235"/>
      <c r="I326" s="235"/>
      <c r="J326" s="236"/>
      <c r="K326" s="38" t="s">
        <v>27</v>
      </c>
      <c r="L326" s="39"/>
      <c r="M326" s="40"/>
      <c r="N326" s="25" t="s">
        <v>28</v>
      </c>
      <c r="O326" s="19" t="s">
        <v>29</v>
      </c>
      <c r="P326" s="47" t="s">
        <v>28</v>
      </c>
      <c r="Q326" s="48"/>
      <c r="R326" s="48"/>
      <c r="S326" s="49"/>
      <c r="T326" s="47" t="s">
        <v>28</v>
      </c>
      <c r="U326" s="48"/>
      <c r="V326" s="48"/>
      <c r="W326" s="49"/>
      <c r="X326" s="44" t="s">
        <v>252</v>
      </c>
      <c r="Y326" s="91"/>
      <c r="Z326" s="92"/>
      <c r="AA326" s="47" t="s">
        <v>39</v>
      </c>
      <c r="AB326" s="48"/>
      <c r="AC326" s="48"/>
      <c r="AD326" s="48"/>
      <c r="AE326" s="48"/>
      <c r="AF326" s="48"/>
      <c r="AG326" s="48"/>
      <c r="AH326" s="49"/>
      <c r="AI326" s="50" t="s">
        <v>39</v>
      </c>
      <c r="AJ326" s="51"/>
      <c r="AK326" s="51"/>
      <c r="AL326" s="51"/>
      <c r="AM326" s="51"/>
      <c r="AN326" s="51"/>
      <c r="AO326" s="51"/>
      <c r="AP326" s="51"/>
      <c r="AQ326" s="52"/>
      <c r="AR326" s="19" t="s">
        <v>28</v>
      </c>
      <c r="AS326" s="21" t="s">
        <v>39</v>
      </c>
      <c r="AT326" s="21" t="s">
        <v>39</v>
      </c>
      <c r="AU326" s="76" t="s">
        <v>31</v>
      </c>
      <c r="AV326" s="86"/>
      <c r="AW326" s="86"/>
      <c r="AX326" s="77"/>
      <c r="AY326" s="76" t="s">
        <v>39</v>
      </c>
      <c r="AZ326" s="86"/>
      <c r="BA326" s="86"/>
      <c r="BB326" s="77"/>
      <c r="BC326" s="53"/>
      <c r="BD326" s="101"/>
      <c r="BE326" s="101"/>
      <c r="BF326" s="101"/>
      <c r="BG326" s="101"/>
      <c r="BH326" s="101"/>
      <c r="BI326" s="101"/>
      <c r="BJ326" s="102"/>
      <c r="BK326" s="16"/>
    </row>
    <row r="327" spans="1:63" ht="19.5" customHeight="1" x14ac:dyDescent="0.25">
      <c r="A327" s="15"/>
      <c r="B327" s="47">
        <f>B326+1</f>
        <v>71</v>
      </c>
      <c r="C327" s="49"/>
      <c r="D327" s="234" t="s">
        <v>236</v>
      </c>
      <c r="E327" s="235"/>
      <c r="F327" s="235"/>
      <c r="G327" s="235"/>
      <c r="H327" s="235"/>
      <c r="I327" s="235"/>
      <c r="J327" s="236"/>
      <c r="K327" s="38" t="s">
        <v>27</v>
      </c>
      <c r="L327" s="39"/>
      <c r="M327" s="40"/>
      <c r="N327" s="25" t="s">
        <v>28</v>
      </c>
      <c r="O327" s="19" t="s">
        <v>29</v>
      </c>
      <c r="P327" s="47" t="s">
        <v>28</v>
      </c>
      <c r="Q327" s="48"/>
      <c r="R327" s="48"/>
      <c r="S327" s="49"/>
      <c r="T327" s="47" t="s">
        <v>28</v>
      </c>
      <c r="U327" s="48"/>
      <c r="V327" s="48"/>
      <c r="W327" s="49"/>
      <c r="X327" s="44" t="s">
        <v>255</v>
      </c>
      <c r="Y327" s="91"/>
      <c r="Z327" s="92"/>
      <c r="AA327" s="47" t="s">
        <v>39</v>
      </c>
      <c r="AB327" s="48"/>
      <c r="AC327" s="48"/>
      <c r="AD327" s="48"/>
      <c r="AE327" s="48"/>
      <c r="AF327" s="48"/>
      <c r="AG327" s="48"/>
      <c r="AH327" s="49"/>
      <c r="AI327" s="50" t="s">
        <v>39</v>
      </c>
      <c r="AJ327" s="51"/>
      <c r="AK327" s="51"/>
      <c r="AL327" s="51"/>
      <c r="AM327" s="51"/>
      <c r="AN327" s="51"/>
      <c r="AO327" s="51"/>
      <c r="AP327" s="51"/>
      <c r="AQ327" s="52"/>
      <c r="AR327" s="19" t="s">
        <v>28</v>
      </c>
      <c r="AS327" s="21" t="s">
        <v>39</v>
      </c>
      <c r="AT327" s="21" t="s">
        <v>39</v>
      </c>
      <c r="AU327" s="76" t="s">
        <v>31</v>
      </c>
      <c r="AV327" s="86"/>
      <c r="AW327" s="86"/>
      <c r="AX327" s="77"/>
      <c r="AY327" s="76" t="s">
        <v>39</v>
      </c>
      <c r="AZ327" s="86"/>
      <c r="BA327" s="86"/>
      <c r="BB327" s="77"/>
      <c r="BC327" s="53"/>
      <c r="BD327" s="101"/>
      <c r="BE327" s="101"/>
      <c r="BF327" s="101"/>
      <c r="BG327" s="101"/>
      <c r="BH327" s="101"/>
      <c r="BI327" s="101"/>
      <c r="BJ327" s="102"/>
      <c r="BK327" s="16"/>
    </row>
    <row r="328" spans="1:63" ht="48" customHeight="1" x14ac:dyDescent="0.25">
      <c r="A328" s="15"/>
      <c r="B328" s="47">
        <f t="shared" si="6"/>
        <v>72</v>
      </c>
      <c r="C328" s="49"/>
      <c r="D328" s="234" t="s">
        <v>172</v>
      </c>
      <c r="E328" s="235"/>
      <c r="F328" s="235"/>
      <c r="G328" s="235"/>
      <c r="H328" s="235"/>
      <c r="I328" s="235"/>
      <c r="J328" s="236"/>
      <c r="K328" s="38" t="s">
        <v>27</v>
      </c>
      <c r="L328" s="39"/>
      <c r="M328" s="40"/>
      <c r="N328" s="25" t="s">
        <v>28</v>
      </c>
      <c r="O328" s="19" t="s">
        <v>29</v>
      </c>
      <c r="P328" s="47" t="s">
        <v>28</v>
      </c>
      <c r="Q328" s="48"/>
      <c r="R328" s="48"/>
      <c r="S328" s="49"/>
      <c r="T328" s="47" t="s">
        <v>28</v>
      </c>
      <c r="U328" s="48"/>
      <c r="V328" s="48"/>
      <c r="W328" s="49"/>
      <c r="X328" s="44" t="s">
        <v>254</v>
      </c>
      <c r="Y328" s="91"/>
      <c r="Z328" s="92"/>
      <c r="AA328" s="47" t="s">
        <v>39</v>
      </c>
      <c r="AB328" s="48"/>
      <c r="AC328" s="48"/>
      <c r="AD328" s="48"/>
      <c r="AE328" s="48"/>
      <c r="AF328" s="48"/>
      <c r="AG328" s="48"/>
      <c r="AH328" s="49"/>
      <c r="AI328" s="50" t="s">
        <v>39</v>
      </c>
      <c r="AJ328" s="51"/>
      <c r="AK328" s="51"/>
      <c r="AL328" s="51"/>
      <c r="AM328" s="51"/>
      <c r="AN328" s="51"/>
      <c r="AO328" s="51"/>
      <c r="AP328" s="51"/>
      <c r="AQ328" s="52"/>
      <c r="AR328" s="19" t="s">
        <v>28</v>
      </c>
      <c r="AS328" s="21" t="s">
        <v>39</v>
      </c>
      <c r="AT328" s="21" t="s">
        <v>39</v>
      </c>
      <c r="AU328" s="76" t="s">
        <v>31</v>
      </c>
      <c r="AV328" s="86"/>
      <c r="AW328" s="86"/>
      <c r="AX328" s="77"/>
      <c r="AY328" s="76" t="s">
        <v>39</v>
      </c>
      <c r="AZ328" s="86"/>
      <c r="BA328" s="86"/>
      <c r="BB328" s="77"/>
      <c r="BC328" s="53"/>
      <c r="BD328" s="101"/>
      <c r="BE328" s="101"/>
      <c r="BF328" s="101"/>
      <c r="BG328" s="101"/>
      <c r="BH328" s="101"/>
      <c r="BI328" s="101"/>
      <c r="BJ328" s="102"/>
      <c r="BK328" s="16"/>
    </row>
    <row r="329" spans="1:63" ht="37.5" customHeight="1" x14ac:dyDescent="0.25">
      <c r="A329" s="15"/>
      <c r="B329" s="47">
        <f t="shared" si="6"/>
        <v>73</v>
      </c>
      <c r="C329" s="49"/>
      <c r="D329" s="234" t="s">
        <v>168</v>
      </c>
      <c r="E329" s="235"/>
      <c r="F329" s="235"/>
      <c r="G329" s="235"/>
      <c r="H329" s="235"/>
      <c r="I329" s="235"/>
      <c r="J329" s="236"/>
      <c r="K329" s="38" t="s">
        <v>27</v>
      </c>
      <c r="L329" s="39"/>
      <c r="M329" s="40"/>
      <c r="N329" s="25" t="s">
        <v>28</v>
      </c>
      <c r="O329" s="19" t="s">
        <v>29</v>
      </c>
      <c r="P329" s="47" t="s">
        <v>28</v>
      </c>
      <c r="Q329" s="48"/>
      <c r="R329" s="48"/>
      <c r="S329" s="49"/>
      <c r="T329" s="47" t="s">
        <v>28</v>
      </c>
      <c r="U329" s="48"/>
      <c r="V329" s="48"/>
      <c r="W329" s="49"/>
      <c r="X329" s="44" t="s">
        <v>256</v>
      </c>
      <c r="Y329" s="91"/>
      <c r="Z329" s="92"/>
      <c r="AA329" s="47" t="s">
        <v>39</v>
      </c>
      <c r="AB329" s="48"/>
      <c r="AC329" s="48"/>
      <c r="AD329" s="48"/>
      <c r="AE329" s="48"/>
      <c r="AF329" s="48"/>
      <c r="AG329" s="48"/>
      <c r="AH329" s="49"/>
      <c r="AI329" s="50" t="s">
        <v>39</v>
      </c>
      <c r="AJ329" s="51"/>
      <c r="AK329" s="51"/>
      <c r="AL329" s="51"/>
      <c r="AM329" s="51"/>
      <c r="AN329" s="51"/>
      <c r="AO329" s="51"/>
      <c r="AP329" s="51"/>
      <c r="AQ329" s="52"/>
      <c r="AR329" s="19" t="s">
        <v>28</v>
      </c>
      <c r="AS329" s="21" t="s">
        <v>39</v>
      </c>
      <c r="AT329" s="21" t="s">
        <v>39</v>
      </c>
      <c r="AU329" s="76" t="s">
        <v>31</v>
      </c>
      <c r="AV329" s="86"/>
      <c r="AW329" s="86"/>
      <c r="AX329" s="77"/>
      <c r="AY329" s="76" t="s">
        <v>39</v>
      </c>
      <c r="AZ329" s="86"/>
      <c r="BA329" s="86"/>
      <c r="BB329" s="77"/>
      <c r="BC329" s="53"/>
      <c r="BD329" s="101"/>
      <c r="BE329" s="101"/>
      <c r="BF329" s="101"/>
      <c r="BG329" s="101"/>
      <c r="BH329" s="101"/>
      <c r="BI329" s="101"/>
      <c r="BJ329" s="102"/>
      <c r="BK329" s="16"/>
    </row>
    <row r="330" spans="1:63" ht="15.75" customHeight="1" x14ac:dyDescent="0.25">
      <c r="A330" s="15"/>
      <c r="B330" s="47">
        <v>74.099999999999994</v>
      </c>
      <c r="C330" s="49"/>
      <c r="D330" s="234" t="s">
        <v>198</v>
      </c>
      <c r="E330" s="235"/>
      <c r="F330" s="235"/>
      <c r="G330" s="235"/>
      <c r="H330" s="235"/>
      <c r="I330" s="235"/>
      <c r="J330" s="236"/>
      <c r="K330" s="38" t="s">
        <v>27</v>
      </c>
      <c r="L330" s="258"/>
      <c r="M330" s="259"/>
      <c r="N330" s="19" t="s">
        <v>39</v>
      </c>
      <c r="O330" s="19" t="s">
        <v>29</v>
      </c>
      <c r="P330" s="76" t="s">
        <v>28</v>
      </c>
      <c r="Q330" s="86"/>
      <c r="R330" s="86"/>
      <c r="S330" s="77"/>
      <c r="T330" s="76" t="s">
        <v>28</v>
      </c>
      <c r="U330" s="86"/>
      <c r="V330" s="86"/>
      <c r="W330" s="77"/>
      <c r="X330" s="269" t="s">
        <v>206</v>
      </c>
      <c r="Y330" s="270"/>
      <c r="Z330" s="271"/>
      <c r="AA330" s="47" t="s">
        <v>39</v>
      </c>
      <c r="AB330" s="48"/>
      <c r="AC330" s="48"/>
      <c r="AD330" s="48"/>
      <c r="AE330" s="48"/>
      <c r="AF330" s="48"/>
      <c r="AG330" s="48"/>
      <c r="AH330" s="49"/>
      <c r="AI330" s="50" t="s">
        <v>39</v>
      </c>
      <c r="AJ330" s="51"/>
      <c r="AK330" s="51"/>
      <c r="AL330" s="51"/>
      <c r="AM330" s="51"/>
      <c r="AN330" s="51"/>
      <c r="AO330" s="51"/>
      <c r="AP330" s="51"/>
      <c r="AQ330" s="52"/>
      <c r="AR330" s="19" t="s">
        <v>28</v>
      </c>
      <c r="AS330" s="21" t="s">
        <v>39</v>
      </c>
      <c r="AT330" s="21" t="s">
        <v>39</v>
      </c>
      <c r="AU330" s="76" t="s">
        <v>31</v>
      </c>
      <c r="AV330" s="86"/>
      <c r="AW330" s="86"/>
      <c r="AX330" s="77"/>
      <c r="AY330" s="76" t="s">
        <v>39</v>
      </c>
      <c r="AZ330" s="86"/>
      <c r="BA330" s="86"/>
      <c r="BB330" s="77"/>
      <c r="BC330" s="53"/>
      <c r="BD330" s="101"/>
      <c r="BE330" s="101"/>
      <c r="BF330" s="101"/>
      <c r="BG330" s="101"/>
      <c r="BH330" s="101"/>
      <c r="BI330" s="101"/>
      <c r="BJ330" s="102"/>
      <c r="BK330" s="16"/>
    </row>
    <row r="331" spans="1:63" ht="15.75" customHeight="1" x14ac:dyDescent="0.25">
      <c r="A331" s="15"/>
      <c r="B331" s="47">
        <v>74.2</v>
      </c>
      <c r="C331" s="49"/>
      <c r="D331" s="234" t="s">
        <v>107</v>
      </c>
      <c r="E331" s="235"/>
      <c r="F331" s="235"/>
      <c r="G331" s="235"/>
      <c r="H331" s="235"/>
      <c r="I331" s="235"/>
      <c r="J331" s="236"/>
      <c r="K331" s="38" t="s">
        <v>27</v>
      </c>
      <c r="L331" s="258"/>
      <c r="M331" s="259"/>
      <c r="N331" s="19" t="s">
        <v>245</v>
      </c>
      <c r="O331" s="19" t="s">
        <v>28</v>
      </c>
      <c r="P331" s="100" t="s">
        <v>28</v>
      </c>
      <c r="Q331" s="42"/>
      <c r="R331" s="42"/>
      <c r="S331" s="43"/>
      <c r="T331" s="100" t="s">
        <v>28</v>
      </c>
      <c r="U331" s="42"/>
      <c r="V331" s="42"/>
      <c r="W331" s="43"/>
      <c r="X331" s="44" t="s">
        <v>28</v>
      </c>
      <c r="Y331" s="45"/>
      <c r="Z331" s="46"/>
      <c r="AA331" s="47" t="s">
        <v>39</v>
      </c>
      <c r="AB331" s="48"/>
      <c r="AC331" s="48"/>
      <c r="AD331" s="48"/>
      <c r="AE331" s="48"/>
      <c r="AF331" s="48"/>
      <c r="AG331" s="48"/>
      <c r="AH331" s="49"/>
      <c r="AI331" s="50" t="s">
        <v>39</v>
      </c>
      <c r="AJ331" s="51"/>
      <c r="AK331" s="51"/>
      <c r="AL331" s="51"/>
      <c r="AM331" s="51"/>
      <c r="AN331" s="51"/>
      <c r="AO331" s="51"/>
      <c r="AP331" s="51"/>
      <c r="AQ331" s="52"/>
      <c r="AR331" s="19" t="s">
        <v>28</v>
      </c>
      <c r="AS331" s="21" t="s">
        <v>39</v>
      </c>
      <c r="AT331" s="21" t="s">
        <v>39</v>
      </c>
      <c r="AU331" s="76" t="s">
        <v>31</v>
      </c>
      <c r="AV331" s="86"/>
      <c r="AW331" s="86"/>
      <c r="AX331" s="77"/>
      <c r="AY331" s="76" t="s">
        <v>39</v>
      </c>
      <c r="AZ331" s="86"/>
      <c r="BA331" s="86"/>
      <c r="BB331" s="77"/>
      <c r="BC331" s="53"/>
      <c r="BD331" s="101"/>
      <c r="BE331" s="101"/>
      <c r="BF331" s="101"/>
      <c r="BG331" s="101"/>
      <c r="BH331" s="101"/>
      <c r="BI331" s="101"/>
      <c r="BJ331" s="102"/>
      <c r="BK331" s="16"/>
    </row>
    <row r="332" spans="1:63" x14ac:dyDescent="0.25">
      <c r="A332" s="15"/>
      <c r="B332" s="47">
        <v>74.3</v>
      </c>
      <c r="C332" s="49"/>
      <c r="D332" s="234" t="s">
        <v>174</v>
      </c>
      <c r="E332" s="235"/>
      <c r="F332" s="235"/>
      <c r="G332" s="235"/>
      <c r="H332" s="235"/>
      <c r="I332" s="235"/>
      <c r="J332" s="236"/>
      <c r="K332" s="38" t="s">
        <v>27</v>
      </c>
      <c r="L332" s="39"/>
      <c r="M332" s="40"/>
      <c r="N332" s="19" t="s">
        <v>245</v>
      </c>
      <c r="O332" s="19" t="s">
        <v>28</v>
      </c>
      <c r="P332" s="100" t="s">
        <v>28</v>
      </c>
      <c r="Q332" s="42"/>
      <c r="R332" s="42"/>
      <c r="S332" s="43"/>
      <c r="T332" s="100" t="s">
        <v>28</v>
      </c>
      <c r="U332" s="42"/>
      <c r="V332" s="42"/>
      <c r="W332" s="43"/>
      <c r="X332" s="44" t="s">
        <v>28</v>
      </c>
      <c r="Y332" s="91"/>
      <c r="Z332" s="92"/>
      <c r="AA332" s="47" t="s">
        <v>39</v>
      </c>
      <c r="AB332" s="48"/>
      <c r="AC332" s="48"/>
      <c r="AD332" s="48"/>
      <c r="AE332" s="48"/>
      <c r="AF332" s="48"/>
      <c r="AG332" s="48"/>
      <c r="AH332" s="49"/>
      <c r="AI332" s="50" t="s">
        <v>39</v>
      </c>
      <c r="AJ332" s="51"/>
      <c r="AK332" s="51"/>
      <c r="AL332" s="51"/>
      <c r="AM332" s="51"/>
      <c r="AN332" s="51"/>
      <c r="AO332" s="51"/>
      <c r="AP332" s="51"/>
      <c r="AQ332" s="52"/>
      <c r="AR332" s="19" t="s">
        <v>28</v>
      </c>
      <c r="AS332" s="21" t="s">
        <v>39</v>
      </c>
      <c r="AT332" s="21" t="s">
        <v>39</v>
      </c>
      <c r="AU332" s="76" t="s">
        <v>31</v>
      </c>
      <c r="AV332" s="86"/>
      <c r="AW332" s="86"/>
      <c r="AX332" s="77"/>
      <c r="AY332" s="76" t="s">
        <v>39</v>
      </c>
      <c r="AZ332" s="86"/>
      <c r="BA332" s="86"/>
      <c r="BB332" s="77"/>
      <c r="BC332" s="53"/>
      <c r="BD332" s="101"/>
      <c r="BE332" s="101"/>
      <c r="BF332" s="101"/>
      <c r="BG332" s="101"/>
      <c r="BH332" s="101"/>
      <c r="BI332" s="101"/>
      <c r="BJ332" s="102"/>
      <c r="BK332" s="16"/>
    </row>
    <row r="333" spans="1:63" ht="49.5" customHeight="1" x14ac:dyDescent="0.25">
      <c r="A333" s="15"/>
      <c r="B333" s="47">
        <v>74.400000000000006</v>
      </c>
      <c r="C333" s="49"/>
      <c r="D333" s="234" t="s">
        <v>176</v>
      </c>
      <c r="E333" s="235"/>
      <c r="F333" s="235"/>
      <c r="G333" s="235"/>
      <c r="H333" s="235"/>
      <c r="I333" s="235"/>
      <c r="J333" s="236"/>
      <c r="K333" s="38" t="s">
        <v>27</v>
      </c>
      <c r="L333" s="39"/>
      <c r="M333" s="40"/>
      <c r="N333" s="19" t="s">
        <v>245</v>
      </c>
      <c r="O333" s="19" t="s">
        <v>28</v>
      </c>
      <c r="P333" s="100" t="s">
        <v>28</v>
      </c>
      <c r="Q333" s="42"/>
      <c r="R333" s="42"/>
      <c r="S333" s="43"/>
      <c r="T333" s="100" t="s">
        <v>28</v>
      </c>
      <c r="U333" s="42"/>
      <c r="V333" s="42"/>
      <c r="W333" s="43"/>
      <c r="X333" s="44" t="s">
        <v>28</v>
      </c>
      <c r="Y333" s="91"/>
      <c r="Z333" s="92"/>
      <c r="AA333" s="47" t="s">
        <v>39</v>
      </c>
      <c r="AB333" s="48"/>
      <c r="AC333" s="48"/>
      <c r="AD333" s="48"/>
      <c r="AE333" s="48"/>
      <c r="AF333" s="48"/>
      <c r="AG333" s="48"/>
      <c r="AH333" s="49"/>
      <c r="AI333" s="50" t="s">
        <v>39</v>
      </c>
      <c r="AJ333" s="51"/>
      <c r="AK333" s="51"/>
      <c r="AL333" s="51"/>
      <c r="AM333" s="51"/>
      <c r="AN333" s="51"/>
      <c r="AO333" s="51"/>
      <c r="AP333" s="51"/>
      <c r="AQ333" s="52"/>
      <c r="AR333" s="19" t="s">
        <v>28</v>
      </c>
      <c r="AS333" s="21" t="s">
        <v>39</v>
      </c>
      <c r="AT333" s="21" t="s">
        <v>39</v>
      </c>
      <c r="AU333" s="76" t="s">
        <v>31</v>
      </c>
      <c r="AV333" s="86"/>
      <c r="AW333" s="86"/>
      <c r="AX333" s="77"/>
      <c r="AY333" s="76" t="s">
        <v>39</v>
      </c>
      <c r="AZ333" s="86"/>
      <c r="BA333" s="86"/>
      <c r="BB333" s="77"/>
      <c r="BC333" s="53"/>
      <c r="BD333" s="101"/>
      <c r="BE333" s="101"/>
      <c r="BF333" s="101"/>
      <c r="BG333" s="101"/>
      <c r="BH333" s="101"/>
      <c r="BI333" s="101"/>
      <c r="BJ333" s="102"/>
      <c r="BK333" s="16"/>
    </row>
    <row r="334" spans="1:63" ht="29.25" customHeight="1" x14ac:dyDescent="0.25">
      <c r="A334" s="15"/>
      <c r="B334" s="47">
        <v>74.5</v>
      </c>
      <c r="C334" s="49"/>
      <c r="D334" s="234" t="s">
        <v>170</v>
      </c>
      <c r="E334" s="235"/>
      <c r="F334" s="235"/>
      <c r="G334" s="235"/>
      <c r="H334" s="235"/>
      <c r="I334" s="235"/>
      <c r="J334" s="236"/>
      <c r="K334" s="38" t="s">
        <v>27</v>
      </c>
      <c r="L334" s="39"/>
      <c r="M334" s="40"/>
      <c r="N334" s="19" t="s">
        <v>245</v>
      </c>
      <c r="O334" s="19" t="s">
        <v>28</v>
      </c>
      <c r="P334" s="100" t="s">
        <v>28</v>
      </c>
      <c r="Q334" s="42"/>
      <c r="R334" s="42"/>
      <c r="S334" s="43"/>
      <c r="T334" s="100" t="s">
        <v>28</v>
      </c>
      <c r="U334" s="42"/>
      <c r="V334" s="42"/>
      <c r="W334" s="43"/>
      <c r="X334" s="44" t="s">
        <v>28</v>
      </c>
      <c r="Y334" s="91"/>
      <c r="Z334" s="92"/>
      <c r="AA334" s="47" t="s">
        <v>39</v>
      </c>
      <c r="AB334" s="48"/>
      <c r="AC334" s="48"/>
      <c r="AD334" s="48"/>
      <c r="AE334" s="48"/>
      <c r="AF334" s="48"/>
      <c r="AG334" s="48"/>
      <c r="AH334" s="49"/>
      <c r="AI334" s="50" t="s">
        <v>39</v>
      </c>
      <c r="AJ334" s="51"/>
      <c r="AK334" s="51"/>
      <c r="AL334" s="51"/>
      <c r="AM334" s="51"/>
      <c r="AN334" s="51"/>
      <c r="AO334" s="51"/>
      <c r="AP334" s="51"/>
      <c r="AQ334" s="52"/>
      <c r="AR334" s="19" t="s">
        <v>28</v>
      </c>
      <c r="AS334" s="21" t="s">
        <v>39</v>
      </c>
      <c r="AT334" s="21" t="s">
        <v>39</v>
      </c>
      <c r="AU334" s="76" t="s">
        <v>31</v>
      </c>
      <c r="AV334" s="86"/>
      <c r="AW334" s="86"/>
      <c r="AX334" s="77"/>
      <c r="AY334" s="76" t="s">
        <v>39</v>
      </c>
      <c r="AZ334" s="86"/>
      <c r="BA334" s="86"/>
      <c r="BB334" s="77"/>
      <c r="BC334" s="53"/>
      <c r="BD334" s="101"/>
      <c r="BE334" s="101"/>
      <c r="BF334" s="101"/>
      <c r="BG334" s="101"/>
      <c r="BH334" s="101"/>
      <c r="BI334" s="101"/>
      <c r="BJ334" s="102"/>
      <c r="BK334" s="16"/>
    </row>
    <row r="335" spans="1:63" ht="15.75" customHeight="1" x14ac:dyDescent="0.25">
      <c r="A335" s="15"/>
      <c r="B335" s="47">
        <v>75</v>
      </c>
      <c r="C335" s="49"/>
      <c r="D335" s="234" t="s">
        <v>200</v>
      </c>
      <c r="E335" s="235"/>
      <c r="F335" s="235"/>
      <c r="G335" s="235"/>
      <c r="H335" s="235"/>
      <c r="I335" s="235"/>
      <c r="J335" s="236"/>
      <c r="K335" s="38" t="s">
        <v>27</v>
      </c>
      <c r="L335" s="39"/>
      <c r="M335" s="40"/>
      <c r="N335" s="25" t="s">
        <v>28</v>
      </c>
      <c r="O335" s="19" t="s">
        <v>29</v>
      </c>
      <c r="P335" s="47" t="s">
        <v>28</v>
      </c>
      <c r="Q335" s="48"/>
      <c r="R335" s="48"/>
      <c r="S335" s="49"/>
      <c r="T335" s="47" t="s">
        <v>28</v>
      </c>
      <c r="U335" s="48"/>
      <c r="V335" s="48"/>
      <c r="W335" s="49"/>
      <c r="X335" s="269" t="s">
        <v>207</v>
      </c>
      <c r="Y335" s="272"/>
      <c r="Z335" s="273"/>
      <c r="AA335" s="47" t="s">
        <v>39</v>
      </c>
      <c r="AB335" s="48"/>
      <c r="AC335" s="48"/>
      <c r="AD335" s="48"/>
      <c r="AE335" s="48"/>
      <c r="AF335" s="48"/>
      <c r="AG335" s="48"/>
      <c r="AH335" s="49"/>
      <c r="AI335" s="50" t="s">
        <v>39</v>
      </c>
      <c r="AJ335" s="51"/>
      <c r="AK335" s="51"/>
      <c r="AL335" s="51"/>
      <c r="AM335" s="51"/>
      <c r="AN335" s="51"/>
      <c r="AO335" s="51"/>
      <c r="AP335" s="51"/>
      <c r="AQ335" s="52"/>
      <c r="AR335" s="19" t="s">
        <v>28</v>
      </c>
      <c r="AS335" s="21" t="s">
        <v>39</v>
      </c>
      <c r="AT335" s="21" t="s">
        <v>39</v>
      </c>
      <c r="AU335" s="76" t="s">
        <v>31</v>
      </c>
      <c r="AV335" s="86"/>
      <c r="AW335" s="86"/>
      <c r="AX335" s="77"/>
      <c r="AY335" s="76" t="s">
        <v>39</v>
      </c>
      <c r="AZ335" s="86"/>
      <c r="BA335" s="86"/>
      <c r="BB335" s="77"/>
      <c r="BC335" s="53"/>
      <c r="BD335" s="101"/>
      <c r="BE335" s="101"/>
      <c r="BF335" s="101"/>
      <c r="BG335" s="101"/>
      <c r="BH335" s="101"/>
      <c r="BI335" s="101"/>
      <c r="BJ335" s="102"/>
      <c r="BK335" s="16"/>
    </row>
    <row r="336" spans="1:63" ht="29.25" customHeight="1" x14ac:dyDescent="0.25">
      <c r="A336" s="15"/>
      <c r="B336" s="47">
        <v>76</v>
      </c>
      <c r="C336" s="49"/>
      <c r="D336" s="234" t="s">
        <v>199</v>
      </c>
      <c r="E336" s="235"/>
      <c r="F336" s="235"/>
      <c r="G336" s="235"/>
      <c r="H336" s="235"/>
      <c r="I336" s="235"/>
      <c r="J336" s="236"/>
      <c r="K336" s="38" t="s">
        <v>27</v>
      </c>
      <c r="L336" s="39"/>
      <c r="M336" s="40"/>
      <c r="N336" s="25" t="s">
        <v>28</v>
      </c>
      <c r="O336" s="19" t="s">
        <v>29</v>
      </c>
      <c r="P336" s="47" t="s">
        <v>28</v>
      </c>
      <c r="Q336" s="48"/>
      <c r="R336" s="48"/>
      <c r="S336" s="49"/>
      <c r="T336" s="47" t="s">
        <v>28</v>
      </c>
      <c r="U336" s="48"/>
      <c r="V336" s="48"/>
      <c r="W336" s="49"/>
      <c r="X336" s="269" t="s">
        <v>208</v>
      </c>
      <c r="Y336" s="272"/>
      <c r="Z336" s="273"/>
      <c r="AA336" s="47" t="s">
        <v>39</v>
      </c>
      <c r="AB336" s="48"/>
      <c r="AC336" s="48"/>
      <c r="AD336" s="48"/>
      <c r="AE336" s="48"/>
      <c r="AF336" s="48"/>
      <c r="AG336" s="48"/>
      <c r="AH336" s="49"/>
      <c r="AI336" s="50" t="s">
        <v>39</v>
      </c>
      <c r="AJ336" s="51"/>
      <c r="AK336" s="51"/>
      <c r="AL336" s="51"/>
      <c r="AM336" s="51"/>
      <c r="AN336" s="51"/>
      <c r="AO336" s="51"/>
      <c r="AP336" s="51"/>
      <c r="AQ336" s="52"/>
      <c r="AR336" s="19" t="s">
        <v>28</v>
      </c>
      <c r="AS336" s="21" t="s">
        <v>39</v>
      </c>
      <c r="AT336" s="21" t="s">
        <v>39</v>
      </c>
      <c r="AU336" s="76" t="s">
        <v>31</v>
      </c>
      <c r="AV336" s="86"/>
      <c r="AW336" s="86"/>
      <c r="AX336" s="77"/>
      <c r="AY336" s="76" t="s">
        <v>39</v>
      </c>
      <c r="AZ336" s="86"/>
      <c r="BA336" s="86"/>
      <c r="BB336" s="77"/>
      <c r="BC336" s="53"/>
      <c r="BD336" s="101"/>
      <c r="BE336" s="101"/>
      <c r="BF336" s="101"/>
      <c r="BG336" s="101"/>
      <c r="BH336" s="101"/>
      <c r="BI336" s="101"/>
      <c r="BJ336" s="102"/>
      <c r="BK336" s="16"/>
    </row>
    <row r="337" spans="1:63" ht="30.75" customHeight="1" x14ac:dyDescent="0.25">
      <c r="A337" s="15"/>
      <c r="B337" s="47">
        <v>77</v>
      </c>
      <c r="C337" s="49"/>
      <c r="D337" s="234" t="s">
        <v>205</v>
      </c>
      <c r="E337" s="235"/>
      <c r="F337" s="235"/>
      <c r="G337" s="235"/>
      <c r="H337" s="235"/>
      <c r="I337" s="235"/>
      <c r="J337" s="236"/>
      <c r="K337" s="38" t="s">
        <v>27</v>
      </c>
      <c r="L337" s="39"/>
      <c r="M337" s="40"/>
      <c r="N337" s="25" t="s">
        <v>28</v>
      </c>
      <c r="O337" s="19" t="s">
        <v>29</v>
      </c>
      <c r="P337" s="47" t="s">
        <v>28</v>
      </c>
      <c r="Q337" s="48"/>
      <c r="R337" s="48"/>
      <c r="S337" s="49"/>
      <c r="T337" s="47" t="s">
        <v>28</v>
      </c>
      <c r="U337" s="48"/>
      <c r="V337" s="48"/>
      <c r="W337" s="49"/>
      <c r="X337" s="269" t="s">
        <v>209</v>
      </c>
      <c r="Y337" s="272"/>
      <c r="Z337" s="273"/>
      <c r="AA337" s="47" t="s">
        <v>39</v>
      </c>
      <c r="AB337" s="48"/>
      <c r="AC337" s="48"/>
      <c r="AD337" s="48"/>
      <c r="AE337" s="48"/>
      <c r="AF337" s="48"/>
      <c r="AG337" s="48"/>
      <c r="AH337" s="49"/>
      <c r="AI337" s="50" t="s">
        <v>39</v>
      </c>
      <c r="AJ337" s="51"/>
      <c r="AK337" s="51"/>
      <c r="AL337" s="51"/>
      <c r="AM337" s="51"/>
      <c r="AN337" s="51"/>
      <c r="AO337" s="51"/>
      <c r="AP337" s="51"/>
      <c r="AQ337" s="52"/>
      <c r="AR337" s="19" t="s">
        <v>28</v>
      </c>
      <c r="AS337" s="21" t="s">
        <v>39</v>
      </c>
      <c r="AT337" s="21" t="s">
        <v>39</v>
      </c>
      <c r="AU337" s="76" t="s">
        <v>31</v>
      </c>
      <c r="AV337" s="86"/>
      <c r="AW337" s="86"/>
      <c r="AX337" s="77"/>
      <c r="AY337" s="76" t="s">
        <v>39</v>
      </c>
      <c r="AZ337" s="86"/>
      <c r="BA337" s="86"/>
      <c r="BB337" s="77"/>
      <c r="BC337" s="53"/>
      <c r="BD337" s="101"/>
      <c r="BE337" s="101"/>
      <c r="BF337" s="101"/>
      <c r="BG337" s="101"/>
      <c r="BH337" s="101"/>
      <c r="BI337" s="101"/>
      <c r="BJ337" s="102"/>
      <c r="BK337" s="16"/>
    </row>
    <row r="338" spans="1:63" ht="35.25" customHeight="1" x14ac:dyDescent="0.25">
      <c r="A338" s="15"/>
      <c r="B338" s="47">
        <v>78</v>
      </c>
      <c r="C338" s="49"/>
      <c r="D338" s="234" t="s">
        <v>203</v>
      </c>
      <c r="E338" s="235"/>
      <c r="F338" s="235"/>
      <c r="G338" s="235"/>
      <c r="H338" s="235"/>
      <c r="I338" s="235"/>
      <c r="J338" s="236"/>
      <c r="K338" s="38" t="s">
        <v>27</v>
      </c>
      <c r="L338" s="39"/>
      <c r="M338" s="40"/>
      <c r="N338" s="25" t="s">
        <v>28</v>
      </c>
      <c r="O338" s="19" t="s">
        <v>29</v>
      </c>
      <c r="P338" s="47" t="s">
        <v>28</v>
      </c>
      <c r="Q338" s="48"/>
      <c r="R338" s="48"/>
      <c r="S338" s="49"/>
      <c r="T338" s="47" t="s">
        <v>28</v>
      </c>
      <c r="U338" s="48"/>
      <c r="V338" s="48"/>
      <c r="W338" s="49"/>
      <c r="X338" s="269" t="s">
        <v>210</v>
      </c>
      <c r="Y338" s="272"/>
      <c r="Z338" s="273"/>
      <c r="AA338" s="81" t="s">
        <v>39</v>
      </c>
      <c r="AB338" s="48"/>
      <c r="AC338" s="48"/>
      <c r="AD338" s="48"/>
      <c r="AE338" s="48"/>
      <c r="AF338" s="48"/>
      <c r="AG338" s="48"/>
      <c r="AH338" s="49"/>
      <c r="AI338" s="50" t="s">
        <v>39</v>
      </c>
      <c r="AJ338" s="51"/>
      <c r="AK338" s="51"/>
      <c r="AL338" s="51"/>
      <c r="AM338" s="51"/>
      <c r="AN338" s="51"/>
      <c r="AO338" s="51"/>
      <c r="AP338" s="51"/>
      <c r="AQ338" s="52"/>
      <c r="AR338" s="19" t="s">
        <v>28</v>
      </c>
      <c r="AS338" s="21" t="s">
        <v>39</v>
      </c>
      <c r="AT338" s="21" t="s">
        <v>39</v>
      </c>
      <c r="AU338" s="76" t="s">
        <v>31</v>
      </c>
      <c r="AV338" s="86"/>
      <c r="AW338" s="86"/>
      <c r="AX338" s="77"/>
      <c r="AY338" s="76" t="s">
        <v>39</v>
      </c>
      <c r="AZ338" s="86"/>
      <c r="BA338" s="86"/>
      <c r="BB338" s="77"/>
      <c r="BC338" s="53"/>
      <c r="BD338" s="101"/>
      <c r="BE338" s="101"/>
      <c r="BF338" s="101"/>
      <c r="BG338" s="101"/>
      <c r="BH338" s="101"/>
      <c r="BI338" s="101"/>
      <c r="BJ338" s="102"/>
      <c r="BK338" s="16"/>
    </row>
    <row r="339" spans="1:63" ht="30.75" customHeight="1" x14ac:dyDescent="0.25">
      <c r="A339" s="15"/>
      <c r="B339" s="47">
        <v>79</v>
      </c>
      <c r="C339" s="49"/>
      <c r="D339" s="234" t="s">
        <v>215</v>
      </c>
      <c r="E339" s="235"/>
      <c r="F339" s="235"/>
      <c r="G339" s="235"/>
      <c r="H339" s="235"/>
      <c r="I339" s="235"/>
      <c r="J339" s="236"/>
      <c r="K339" s="38" t="s">
        <v>27</v>
      </c>
      <c r="L339" s="39"/>
      <c r="M339" s="40"/>
      <c r="N339" s="25" t="s">
        <v>28</v>
      </c>
      <c r="O339" s="19" t="s">
        <v>29</v>
      </c>
      <c r="P339" s="47" t="s">
        <v>28</v>
      </c>
      <c r="Q339" s="48"/>
      <c r="R339" s="48"/>
      <c r="S339" s="49"/>
      <c r="T339" s="47" t="s">
        <v>28</v>
      </c>
      <c r="U339" s="48"/>
      <c r="V339" s="48"/>
      <c r="W339" s="49"/>
      <c r="X339" s="269" t="s">
        <v>211</v>
      </c>
      <c r="Y339" s="272"/>
      <c r="Z339" s="273"/>
      <c r="AA339" s="47" t="s">
        <v>39</v>
      </c>
      <c r="AB339" s="48"/>
      <c r="AC339" s="48"/>
      <c r="AD339" s="48"/>
      <c r="AE339" s="48"/>
      <c r="AF339" s="48"/>
      <c r="AG339" s="48"/>
      <c r="AH339" s="49"/>
      <c r="AI339" s="50" t="s">
        <v>39</v>
      </c>
      <c r="AJ339" s="51"/>
      <c r="AK339" s="51"/>
      <c r="AL339" s="51"/>
      <c r="AM339" s="51"/>
      <c r="AN339" s="51"/>
      <c r="AO339" s="51"/>
      <c r="AP339" s="51"/>
      <c r="AQ339" s="52"/>
      <c r="AR339" s="19" t="s">
        <v>28</v>
      </c>
      <c r="AS339" s="21" t="s">
        <v>39</v>
      </c>
      <c r="AT339" s="21" t="s">
        <v>39</v>
      </c>
      <c r="AU339" s="76" t="s">
        <v>31</v>
      </c>
      <c r="AV339" s="86"/>
      <c r="AW339" s="86"/>
      <c r="AX339" s="77"/>
      <c r="AY339" s="76" t="s">
        <v>39</v>
      </c>
      <c r="AZ339" s="86"/>
      <c r="BA339" s="86"/>
      <c r="BB339" s="77"/>
      <c r="BC339" s="53"/>
      <c r="BD339" s="101"/>
      <c r="BE339" s="101"/>
      <c r="BF339" s="101"/>
      <c r="BG339" s="101"/>
      <c r="BH339" s="101"/>
      <c r="BI339" s="101"/>
      <c r="BJ339" s="102"/>
      <c r="BK339" s="16"/>
    </row>
    <row r="340" spans="1:63" ht="19.5" customHeight="1" x14ac:dyDescent="0.25">
      <c r="A340" s="15"/>
      <c r="B340" s="47">
        <v>80</v>
      </c>
      <c r="C340" s="49"/>
      <c r="D340" s="234" t="s">
        <v>204</v>
      </c>
      <c r="E340" s="235"/>
      <c r="F340" s="235"/>
      <c r="G340" s="235"/>
      <c r="H340" s="235"/>
      <c r="I340" s="235"/>
      <c r="J340" s="236"/>
      <c r="K340" s="38" t="s">
        <v>27</v>
      </c>
      <c r="L340" s="39"/>
      <c r="M340" s="40"/>
      <c r="N340" s="25" t="s">
        <v>28</v>
      </c>
      <c r="O340" s="19" t="s">
        <v>29</v>
      </c>
      <c r="P340" s="47" t="s">
        <v>28</v>
      </c>
      <c r="Q340" s="48"/>
      <c r="R340" s="48"/>
      <c r="S340" s="49"/>
      <c r="T340" s="47" t="s">
        <v>28</v>
      </c>
      <c r="U340" s="48"/>
      <c r="V340" s="48"/>
      <c r="W340" s="49"/>
      <c r="X340" s="269" t="s">
        <v>212</v>
      </c>
      <c r="Y340" s="272"/>
      <c r="Z340" s="273"/>
      <c r="AA340" s="47" t="s">
        <v>39</v>
      </c>
      <c r="AB340" s="48"/>
      <c r="AC340" s="48"/>
      <c r="AD340" s="48"/>
      <c r="AE340" s="48"/>
      <c r="AF340" s="48"/>
      <c r="AG340" s="48"/>
      <c r="AH340" s="49"/>
      <c r="AI340" s="50" t="s">
        <v>39</v>
      </c>
      <c r="AJ340" s="51"/>
      <c r="AK340" s="51"/>
      <c r="AL340" s="51"/>
      <c r="AM340" s="51"/>
      <c r="AN340" s="51"/>
      <c r="AO340" s="51"/>
      <c r="AP340" s="51"/>
      <c r="AQ340" s="52"/>
      <c r="AR340" s="19" t="s">
        <v>28</v>
      </c>
      <c r="AS340" s="21" t="s">
        <v>39</v>
      </c>
      <c r="AT340" s="21" t="s">
        <v>39</v>
      </c>
      <c r="AU340" s="76" t="s">
        <v>31</v>
      </c>
      <c r="AV340" s="86"/>
      <c r="AW340" s="86"/>
      <c r="AX340" s="77"/>
      <c r="AY340" s="76" t="s">
        <v>39</v>
      </c>
      <c r="AZ340" s="86"/>
      <c r="BA340" s="86"/>
      <c r="BB340" s="77"/>
      <c r="BC340" s="53"/>
      <c r="BD340" s="101"/>
      <c r="BE340" s="101"/>
      <c r="BF340" s="101"/>
      <c r="BG340" s="101"/>
      <c r="BH340" s="101"/>
      <c r="BI340" s="101"/>
      <c r="BJ340" s="102"/>
      <c r="BK340" s="16"/>
    </row>
    <row r="341" spans="1:63" ht="33" customHeight="1" x14ac:dyDescent="0.25">
      <c r="A341" s="15"/>
      <c r="B341" s="47">
        <v>81</v>
      </c>
      <c r="C341" s="49"/>
      <c r="D341" s="234" t="s">
        <v>202</v>
      </c>
      <c r="E341" s="235"/>
      <c r="F341" s="235"/>
      <c r="G341" s="235"/>
      <c r="H341" s="235"/>
      <c r="I341" s="235"/>
      <c r="J341" s="236"/>
      <c r="K341" s="38" t="s">
        <v>27</v>
      </c>
      <c r="L341" s="39"/>
      <c r="M341" s="40"/>
      <c r="N341" s="25" t="s">
        <v>28</v>
      </c>
      <c r="O341" s="19" t="s">
        <v>29</v>
      </c>
      <c r="P341" s="47" t="s">
        <v>28</v>
      </c>
      <c r="Q341" s="48"/>
      <c r="R341" s="48"/>
      <c r="S341" s="49"/>
      <c r="T341" s="47" t="s">
        <v>28</v>
      </c>
      <c r="U341" s="48"/>
      <c r="V341" s="48"/>
      <c r="W341" s="49"/>
      <c r="X341" s="269" t="s">
        <v>213</v>
      </c>
      <c r="Y341" s="272"/>
      <c r="Z341" s="273"/>
      <c r="AA341" s="47" t="s">
        <v>39</v>
      </c>
      <c r="AB341" s="48"/>
      <c r="AC341" s="48"/>
      <c r="AD341" s="48"/>
      <c r="AE341" s="48"/>
      <c r="AF341" s="48"/>
      <c r="AG341" s="48"/>
      <c r="AH341" s="49"/>
      <c r="AI341" s="50" t="s">
        <v>39</v>
      </c>
      <c r="AJ341" s="51"/>
      <c r="AK341" s="51"/>
      <c r="AL341" s="51"/>
      <c r="AM341" s="51"/>
      <c r="AN341" s="51"/>
      <c r="AO341" s="51"/>
      <c r="AP341" s="51"/>
      <c r="AQ341" s="52"/>
      <c r="AR341" s="19" t="s">
        <v>28</v>
      </c>
      <c r="AS341" s="21" t="s">
        <v>39</v>
      </c>
      <c r="AT341" s="21" t="s">
        <v>39</v>
      </c>
      <c r="AU341" s="76" t="s">
        <v>31</v>
      </c>
      <c r="AV341" s="86"/>
      <c r="AW341" s="86"/>
      <c r="AX341" s="77"/>
      <c r="AY341" s="76" t="s">
        <v>39</v>
      </c>
      <c r="AZ341" s="86"/>
      <c r="BA341" s="86"/>
      <c r="BB341" s="77"/>
      <c r="BC341" s="53"/>
      <c r="BD341" s="101"/>
      <c r="BE341" s="101"/>
      <c r="BF341" s="101"/>
      <c r="BG341" s="101"/>
      <c r="BH341" s="101"/>
      <c r="BI341" s="101"/>
      <c r="BJ341" s="102"/>
      <c r="BK341" s="16"/>
    </row>
    <row r="342" spans="1:63" ht="19.5" customHeight="1" x14ac:dyDescent="0.25">
      <c r="A342" s="15"/>
      <c r="B342" s="47">
        <v>82</v>
      </c>
      <c r="C342" s="49"/>
      <c r="D342" s="234" t="s">
        <v>201</v>
      </c>
      <c r="E342" s="235"/>
      <c r="F342" s="235"/>
      <c r="G342" s="235"/>
      <c r="H342" s="235"/>
      <c r="I342" s="235"/>
      <c r="J342" s="236"/>
      <c r="K342" s="38" t="s">
        <v>27</v>
      </c>
      <c r="L342" s="39"/>
      <c r="M342" s="40"/>
      <c r="N342" s="25" t="s">
        <v>28</v>
      </c>
      <c r="O342" s="19" t="s">
        <v>29</v>
      </c>
      <c r="P342" s="47" t="s">
        <v>28</v>
      </c>
      <c r="Q342" s="48"/>
      <c r="R342" s="48"/>
      <c r="S342" s="49"/>
      <c r="T342" s="47" t="s">
        <v>28</v>
      </c>
      <c r="U342" s="48"/>
      <c r="V342" s="48"/>
      <c r="W342" s="49"/>
      <c r="X342" s="269" t="s">
        <v>214</v>
      </c>
      <c r="Y342" s="272"/>
      <c r="Z342" s="273"/>
      <c r="AA342" s="47" t="s">
        <v>39</v>
      </c>
      <c r="AB342" s="48"/>
      <c r="AC342" s="48"/>
      <c r="AD342" s="48"/>
      <c r="AE342" s="48"/>
      <c r="AF342" s="48"/>
      <c r="AG342" s="48"/>
      <c r="AH342" s="49"/>
      <c r="AI342" s="50" t="s">
        <v>39</v>
      </c>
      <c r="AJ342" s="51"/>
      <c r="AK342" s="51"/>
      <c r="AL342" s="51"/>
      <c r="AM342" s="51"/>
      <c r="AN342" s="51"/>
      <c r="AO342" s="51"/>
      <c r="AP342" s="51"/>
      <c r="AQ342" s="52"/>
      <c r="AR342" s="19" t="s">
        <v>28</v>
      </c>
      <c r="AS342" s="21" t="s">
        <v>39</v>
      </c>
      <c r="AT342" s="21" t="s">
        <v>39</v>
      </c>
      <c r="AU342" s="76" t="s">
        <v>31</v>
      </c>
      <c r="AV342" s="86"/>
      <c r="AW342" s="86"/>
      <c r="AX342" s="77"/>
      <c r="AY342" s="76" t="s">
        <v>39</v>
      </c>
      <c r="AZ342" s="86"/>
      <c r="BA342" s="86"/>
      <c r="BB342" s="77"/>
      <c r="BC342" s="53"/>
      <c r="BD342" s="101"/>
      <c r="BE342" s="101"/>
      <c r="BF342" s="101"/>
      <c r="BG342" s="101"/>
      <c r="BH342" s="101"/>
      <c r="BI342" s="101"/>
      <c r="BJ342" s="102"/>
      <c r="BK342" s="16"/>
    </row>
    <row r="343" spans="1:63" x14ac:dyDescent="0.25">
      <c r="A343" s="15"/>
      <c r="B343" s="47">
        <v>83</v>
      </c>
      <c r="C343" s="49"/>
      <c r="D343" s="97" t="s">
        <v>217</v>
      </c>
      <c r="E343" s="98"/>
      <c r="F343" s="98"/>
      <c r="G343" s="98"/>
      <c r="H343" s="98"/>
      <c r="I343" s="98"/>
      <c r="J343" s="99"/>
      <c r="K343" s="38" t="s">
        <v>27</v>
      </c>
      <c r="L343" s="258"/>
      <c r="M343" s="259"/>
      <c r="N343" s="19" t="s">
        <v>39</v>
      </c>
      <c r="O343" s="19" t="s">
        <v>29</v>
      </c>
      <c r="P343" s="47" t="s">
        <v>28</v>
      </c>
      <c r="Q343" s="48"/>
      <c r="R343" s="48"/>
      <c r="S343" s="49"/>
      <c r="T343" s="47" t="s">
        <v>28</v>
      </c>
      <c r="U343" s="48"/>
      <c r="V343" s="48"/>
      <c r="W343" s="49"/>
      <c r="X343" s="44" t="s">
        <v>216</v>
      </c>
      <c r="Y343" s="45"/>
      <c r="Z343" s="46"/>
      <c r="AA343" s="47" t="s">
        <v>39</v>
      </c>
      <c r="AB343" s="48"/>
      <c r="AC343" s="48"/>
      <c r="AD343" s="48"/>
      <c r="AE343" s="48"/>
      <c r="AF343" s="48"/>
      <c r="AG343" s="48"/>
      <c r="AH343" s="49"/>
      <c r="AI343" s="50" t="s">
        <v>39</v>
      </c>
      <c r="AJ343" s="51"/>
      <c r="AK343" s="51"/>
      <c r="AL343" s="51"/>
      <c r="AM343" s="51"/>
      <c r="AN343" s="51"/>
      <c r="AO343" s="51"/>
      <c r="AP343" s="51"/>
      <c r="AQ343" s="52"/>
      <c r="AR343" s="19" t="s">
        <v>28</v>
      </c>
      <c r="AS343" s="21" t="s">
        <v>39</v>
      </c>
      <c r="AT343" s="21" t="s">
        <v>39</v>
      </c>
      <c r="AU343" s="76" t="s">
        <v>31</v>
      </c>
      <c r="AV343" s="86"/>
      <c r="AW343" s="86"/>
      <c r="AX343" s="77"/>
      <c r="AY343" s="76" t="s">
        <v>39</v>
      </c>
      <c r="AZ343" s="86"/>
      <c r="BA343" s="86"/>
      <c r="BB343" s="77"/>
      <c r="BC343" s="53"/>
      <c r="BD343" s="101"/>
      <c r="BE343" s="101"/>
      <c r="BF343" s="101"/>
      <c r="BG343" s="101"/>
      <c r="BH343" s="101"/>
      <c r="BI343" s="101"/>
      <c r="BJ343" s="102"/>
      <c r="BK343" s="16"/>
    </row>
    <row r="344" spans="1:63" ht="15.75" customHeight="1" x14ac:dyDescent="0.25">
      <c r="A344" s="15"/>
      <c r="B344" s="47">
        <f>B343+1</f>
        <v>84</v>
      </c>
      <c r="C344" s="49"/>
      <c r="D344" s="234" t="s">
        <v>105</v>
      </c>
      <c r="E344" s="235"/>
      <c r="F344" s="235"/>
      <c r="G344" s="235"/>
      <c r="H344" s="235"/>
      <c r="I344" s="235"/>
      <c r="J344" s="236"/>
      <c r="K344" s="38" t="s">
        <v>27</v>
      </c>
      <c r="L344" s="39"/>
      <c r="M344" s="40"/>
      <c r="N344" s="19" t="s">
        <v>39</v>
      </c>
      <c r="O344" s="19" t="s">
        <v>29</v>
      </c>
      <c r="P344" s="47" t="s">
        <v>28</v>
      </c>
      <c r="Q344" s="48"/>
      <c r="R344" s="48"/>
      <c r="S344" s="49"/>
      <c r="T344" s="47" t="s">
        <v>28</v>
      </c>
      <c r="U344" s="48"/>
      <c r="V344" s="48"/>
      <c r="W344" s="49"/>
      <c r="X344" s="44" t="s">
        <v>100</v>
      </c>
      <c r="Y344" s="91"/>
      <c r="Z344" s="92"/>
      <c r="AA344" s="47" t="s">
        <v>39</v>
      </c>
      <c r="AB344" s="48"/>
      <c r="AC344" s="48"/>
      <c r="AD344" s="48"/>
      <c r="AE344" s="48"/>
      <c r="AF344" s="48"/>
      <c r="AG344" s="48"/>
      <c r="AH344" s="49"/>
      <c r="AI344" s="50" t="s">
        <v>39</v>
      </c>
      <c r="AJ344" s="51"/>
      <c r="AK344" s="51"/>
      <c r="AL344" s="51"/>
      <c r="AM344" s="51"/>
      <c r="AN344" s="51"/>
      <c r="AO344" s="51"/>
      <c r="AP344" s="51"/>
      <c r="AQ344" s="52"/>
      <c r="AR344" s="19" t="s">
        <v>28</v>
      </c>
      <c r="AS344" s="21" t="s">
        <v>39</v>
      </c>
      <c r="AT344" s="21" t="s">
        <v>39</v>
      </c>
      <c r="AU344" s="76" t="s">
        <v>31</v>
      </c>
      <c r="AV344" s="86"/>
      <c r="AW344" s="86"/>
      <c r="AX344" s="77"/>
      <c r="AY344" s="76" t="s">
        <v>39</v>
      </c>
      <c r="AZ344" s="86"/>
      <c r="BA344" s="86"/>
      <c r="BB344" s="77"/>
      <c r="BC344" s="53"/>
      <c r="BD344" s="101"/>
      <c r="BE344" s="101"/>
      <c r="BF344" s="101"/>
      <c r="BG344" s="101"/>
      <c r="BH344" s="101"/>
      <c r="BI344" s="101"/>
      <c r="BJ344" s="102"/>
      <c r="BK344" s="16"/>
    </row>
    <row r="345" spans="1:63" ht="15.75" customHeight="1" x14ac:dyDescent="0.25">
      <c r="A345" s="15"/>
      <c r="B345" s="47">
        <f t="shared" si="6"/>
        <v>85</v>
      </c>
      <c r="C345" s="49"/>
      <c r="D345" s="234" t="s">
        <v>164</v>
      </c>
      <c r="E345" s="235"/>
      <c r="F345" s="235"/>
      <c r="G345" s="235"/>
      <c r="H345" s="235"/>
      <c r="I345" s="235"/>
      <c r="J345" s="236"/>
      <c r="K345" s="38" t="s">
        <v>27</v>
      </c>
      <c r="L345" s="39"/>
      <c r="M345" s="40"/>
      <c r="N345" s="19" t="s">
        <v>39</v>
      </c>
      <c r="O345" s="19" t="s">
        <v>29</v>
      </c>
      <c r="P345" s="47" t="s">
        <v>28</v>
      </c>
      <c r="Q345" s="48"/>
      <c r="R345" s="48"/>
      <c r="S345" s="49"/>
      <c r="T345" s="47" t="s">
        <v>28</v>
      </c>
      <c r="U345" s="48"/>
      <c r="V345" s="48"/>
      <c r="W345" s="49"/>
      <c r="X345" s="44" t="s">
        <v>165</v>
      </c>
      <c r="Y345" s="91"/>
      <c r="Z345" s="92"/>
      <c r="AA345" s="47" t="s">
        <v>39</v>
      </c>
      <c r="AB345" s="48"/>
      <c r="AC345" s="48"/>
      <c r="AD345" s="48"/>
      <c r="AE345" s="48"/>
      <c r="AF345" s="48"/>
      <c r="AG345" s="48"/>
      <c r="AH345" s="49"/>
      <c r="AI345" s="50" t="s">
        <v>39</v>
      </c>
      <c r="AJ345" s="51"/>
      <c r="AK345" s="51"/>
      <c r="AL345" s="51"/>
      <c r="AM345" s="51"/>
      <c r="AN345" s="51"/>
      <c r="AO345" s="51"/>
      <c r="AP345" s="51"/>
      <c r="AQ345" s="52"/>
      <c r="AR345" s="19" t="s">
        <v>28</v>
      </c>
      <c r="AS345" s="21" t="s">
        <v>39</v>
      </c>
      <c r="AT345" s="21" t="s">
        <v>39</v>
      </c>
      <c r="AU345" s="76" t="s">
        <v>31</v>
      </c>
      <c r="AV345" s="86"/>
      <c r="AW345" s="86"/>
      <c r="AX345" s="77"/>
      <c r="AY345" s="76" t="s">
        <v>39</v>
      </c>
      <c r="AZ345" s="86"/>
      <c r="BA345" s="86"/>
      <c r="BB345" s="77"/>
      <c r="BC345" s="53"/>
      <c r="BD345" s="101"/>
      <c r="BE345" s="101"/>
      <c r="BF345" s="101"/>
      <c r="BG345" s="101"/>
      <c r="BH345" s="101"/>
      <c r="BI345" s="101"/>
      <c r="BJ345" s="102"/>
      <c r="BK345" s="16"/>
    </row>
    <row r="346" spans="1:63" ht="45.75" customHeight="1" x14ac:dyDescent="0.25">
      <c r="A346" s="15"/>
      <c r="B346" s="47">
        <f t="shared" si="6"/>
        <v>86</v>
      </c>
      <c r="C346" s="49"/>
      <c r="D346" s="234" t="s">
        <v>166</v>
      </c>
      <c r="E346" s="235"/>
      <c r="F346" s="235"/>
      <c r="G346" s="235"/>
      <c r="H346" s="235"/>
      <c r="I346" s="235"/>
      <c r="J346" s="236"/>
      <c r="K346" s="38" t="s">
        <v>27</v>
      </c>
      <c r="L346" s="39"/>
      <c r="M346" s="40"/>
      <c r="N346" s="19" t="s">
        <v>39</v>
      </c>
      <c r="O346" s="19" t="s">
        <v>29</v>
      </c>
      <c r="P346" s="47" t="s">
        <v>28</v>
      </c>
      <c r="Q346" s="48"/>
      <c r="R346" s="48"/>
      <c r="S346" s="49"/>
      <c r="T346" s="47" t="s">
        <v>28</v>
      </c>
      <c r="U346" s="48"/>
      <c r="V346" s="48"/>
      <c r="W346" s="49"/>
      <c r="X346" s="44" t="s">
        <v>102</v>
      </c>
      <c r="Y346" s="91"/>
      <c r="Z346" s="92"/>
      <c r="AA346" s="47" t="s">
        <v>39</v>
      </c>
      <c r="AB346" s="48"/>
      <c r="AC346" s="48"/>
      <c r="AD346" s="48"/>
      <c r="AE346" s="48"/>
      <c r="AF346" s="48"/>
      <c r="AG346" s="48"/>
      <c r="AH346" s="49"/>
      <c r="AI346" s="50" t="s">
        <v>39</v>
      </c>
      <c r="AJ346" s="51"/>
      <c r="AK346" s="51"/>
      <c r="AL346" s="51"/>
      <c r="AM346" s="51"/>
      <c r="AN346" s="51"/>
      <c r="AO346" s="51"/>
      <c r="AP346" s="51"/>
      <c r="AQ346" s="52"/>
      <c r="AR346" s="19" t="s">
        <v>28</v>
      </c>
      <c r="AS346" s="21" t="s">
        <v>39</v>
      </c>
      <c r="AT346" s="21" t="s">
        <v>39</v>
      </c>
      <c r="AU346" s="76" t="s">
        <v>31</v>
      </c>
      <c r="AV346" s="86"/>
      <c r="AW346" s="86"/>
      <c r="AX346" s="77"/>
      <c r="AY346" s="76" t="s">
        <v>39</v>
      </c>
      <c r="AZ346" s="86"/>
      <c r="BA346" s="86"/>
      <c r="BB346" s="77"/>
      <c r="BC346" s="53"/>
      <c r="BD346" s="101"/>
      <c r="BE346" s="101"/>
      <c r="BF346" s="101"/>
      <c r="BG346" s="101"/>
      <c r="BH346" s="101"/>
      <c r="BI346" s="101"/>
      <c r="BJ346" s="102"/>
      <c r="BK346" s="16"/>
    </row>
    <row r="347" spans="1:63" ht="31.5" customHeight="1" x14ac:dyDescent="0.25">
      <c r="A347" s="15"/>
      <c r="B347" s="47">
        <f t="shared" si="6"/>
        <v>87</v>
      </c>
      <c r="C347" s="49"/>
      <c r="D347" s="234" t="s">
        <v>168</v>
      </c>
      <c r="E347" s="235"/>
      <c r="F347" s="235"/>
      <c r="G347" s="235"/>
      <c r="H347" s="235"/>
      <c r="I347" s="235"/>
      <c r="J347" s="236"/>
      <c r="K347" s="38" t="s">
        <v>27</v>
      </c>
      <c r="L347" s="39"/>
      <c r="M347" s="40"/>
      <c r="N347" s="19" t="s">
        <v>39</v>
      </c>
      <c r="O347" s="19" t="s">
        <v>29</v>
      </c>
      <c r="P347" s="47" t="s">
        <v>28</v>
      </c>
      <c r="Q347" s="48"/>
      <c r="R347" s="48"/>
      <c r="S347" s="49"/>
      <c r="T347" s="47" t="s">
        <v>28</v>
      </c>
      <c r="U347" s="48"/>
      <c r="V347" s="48"/>
      <c r="W347" s="49"/>
      <c r="X347" s="44" t="s">
        <v>167</v>
      </c>
      <c r="Y347" s="91"/>
      <c r="Z347" s="92"/>
      <c r="AA347" s="47" t="s">
        <v>39</v>
      </c>
      <c r="AB347" s="48"/>
      <c r="AC347" s="48"/>
      <c r="AD347" s="48"/>
      <c r="AE347" s="48"/>
      <c r="AF347" s="48"/>
      <c r="AG347" s="48"/>
      <c r="AH347" s="49"/>
      <c r="AI347" s="50" t="s">
        <v>39</v>
      </c>
      <c r="AJ347" s="51"/>
      <c r="AK347" s="51"/>
      <c r="AL347" s="51"/>
      <c r="AM347" s="51"/>
      <c r="AN347" s="51"/>
      <c r="AO347" s="51"/>
      <c r="AP347" s="51"/>
      <c r="AQ347" s="52"/>
      <c r="AR347" s="19" t="s">
        <v>28</v>
      </c>
      <c r="AS347" s="21" t="s">
        <v>39</v>
      </c>
      <c r="AT347" s="21" t="s">
        <v>39</v>
      </c>
      <c r="AU347" s="76" t="s">
        <v>31</v>
      </c>
      <c r="AV347" s="86"/>
      <c r="AW347" s="86"/>
      <c r="AX347" s="77"/>
      <c r="AY347" s="76" t="s">
        <v>39</v>
      </c>
      <c r="AZ347" s="86"/>
      <c r="BA347" s="86"/>
      <c r="BB347" s="77"/>
      <c r="BC347" s="53"/>
      <c r="BD347" s="101"/>
      <c r="BE347" s="101"/>
      <c r="BF347" s="101"/>
      <c r="BG347" s="101"/>
      <c r="BH347" s="101"/>
      <c r="BI347" s="101"/>
      <c r="BJ347" s="102"/>
      <c r="BK347" s="16"/>
    </row>
    <row r="348" spans="1:63" x14ac:dyDescent="0.25">
      <c r="A348" s="15"/>
      <c r="B348" s="47">
        <v>88.1</v>
      </c>
      <c r="C348" s="49"/>
      <c r="D348" s="234" t="s">
        <v>218</v>
      </c>
      <c r="E348" s="235"/>
      <c r="F348" s="235"/>
      <c r="G348" s="235"/>
      <c r="H348" s="235"/>
      <c r="I348" s="235"/>
      <c r="J348" s="236"/>
      <c r="K348" s="38" t="s">
        <v>27</v>
      </c>
      <c r="L348" s="39"/>
      <c r="M348" s="40"/>
      <c r="N348" s="19" t="s">
        <v>39</v>
      </c>
      <c r="O348" s="19" t="s">
        <v>29</v>
      </c>
      <c r="P348" s="76" t="s">
        <v>28</v>
      </c>
      <c r="Q348" s="86"/>
      <c r="R348" s="86"/>
      <c r="S348" s="77"/>
      <c r="T348" s="76" t="s">
        <v>28</v>
      </c>
      <c r="U348" s="86"/>
      <c r="V348" s="86"/>
      <c r="W348" s="77"/>
      <c r="X348" s="44" t="s">
        <v>28</v>
      </c>
      <c r="Y348" s="91"/>
      <c r="Z348" s="92"/>
      <c r="AA348" s="47" t="s">
        <v>39</v>
      </c>
      <c r="AB348" s="48"/>
      <c r="AC348" s="48"/>
      <c r="AD348" s="48"/>
      <c r="AE348" s="48"/>
      <c r="AF348" s="48"/>
      <c r="AG348" s="48"/>
      <c r="AH348" s="49"/>
      <c r="AI348" s="50" t="s">
        <v>39</v>
      </c>
      <c r="AJ348" s="51"/>
      <c r="AK348" s="51"/>
      <c r="AL348" s="51"/>
      <c r="AM348" s="51"/>
      <c r="AN348" s="51"/>
      <c r="AO348" s="51"/>
      <c r="AP348" s="51"/>
      <c r="AQ348" s="52"/>
      <c r="AR348" s="19" t="s">
        <v>28</v>
      </c>
      <c r="AS348" s="21" t="s">
        <v>39</v>
      </c>
      <c r="AT348" s="21" t="s">
        <v>39</v>
      </c>
      <c r="AU348" s="76" t="s">
        <v>31</v>
      </c>
      <c r="AV348" s="86"/>
      <c r="AW348" s="86"/>
      <c r="AX348" s="77"/>
      <c r="AY348" s="76" t="s">
        <v>39</v>
      </c>
      <c r="AZ348" s="86"/>
      <c r="BA348" s="86"/>
      <c r="BB348" s="77"/>
      <c r="BC348" s="53"/>
      <c r="BD348" s="101"/>
      <c r="BE348" s="101"/>
      <c r="BF348" s="101"/>
      <c r="BG348" s="101"/>
      <c r="BH348" s="101"/>
      <c r="BI348" s="101"/>
      <c r="BJ348" s="102"/>
      <c r="BK348" s="16"/>
    </row>
    <row r="349" spans="1:63" x14ac:dyDescent="0.25">
      <c r="A349" s="15"/>
      <c r="B349" s="47">
        <v>88.2</v>
      </c>
      <c r="C349" s="49"/>
      <c r="D349" s="234" t="s">
        <v>107</v>
      </c>
      <c r="E349" s="235"/>
      <c r="F349" s="235"/>
      <c r="G349" s="235"/>
      <c r="H349" s="235"/>
      <c r="I349" s="235"/>
      <c r="J349" s="236"/>
      <c r="K349" s="38" t="s">
        <v>27</v>
      </c>
      <c r="L349" s="39"/>
      <c r="M349" s="40"/>
      <c r="N349" s="19" t="s">
        <v>245</v>
      </c>
      <c r="O349" s="19" t="s">
        <v>28</v>
      </c>
      <c r="P349" s="100" t="s">
        <v>28</v>
      </c>
      <c r="Q349" s="42"/>
      <c r="R349" s="42"/>
      <c r="S349" s="43"/>
      <c r="T349" s="100" t="s">
        <v>28</v>
      </c>
      <c r="U349" s="42"/>
      <c r="V349" s="42"/>
      <c r="W349" s="43"/>
      <c r="X349" s="44" t="s">
        <v>28</v>
      </c>
      <c r="Y349" s="91"/>
      <c r="Z349" s="92"/>
      <c r="AA349" s="47" t="s">
        <v>39</v>
      </c>
      <c r="AB349" s="48"/>
      <c r="AC349" s="48"/>
      <c r="AD349" s="48"/>
      <c r="AE349" s="48"/>
      <c r="AF349" s="48"/>
      <c r="AG349" s="48"/>
      <c r="AH349" s="49"/>
      <c r="AI349" s="50" t="s">
        <v>39</v>
      </c>
      <c r="AJ349" s="51"/>
      <c r="AK349" s="51"/>
      <c r="AL349" s="51"/>
      <c r="AM349" s="51"/>
      <c r="AN349" s="51"/>
      <c r="AO349" s="51"/>
      <c r="AP349" s="51"/>
      <c r="AQ349" s="52"/>
      <c r="AR349" s="19" t="s">
        <v>28</v>
      </c>
      <c r="AS349" s="21" t="s">
        <v>39</v>
      </c>
      <c r="AT349" s="21" t="s">
        <v>39</v>
      </c>
      <c r="AU349" s="76" t="s">
        <v>31</v>
      </c>
      <c r="AV349" s="86"/>
      <c r="AW349" s="86"/>
      <c r="AX349" s="77"/>
      <c r="AY349" s="76" t="s">
        <v>39</v>
      </c>
      <c r="AZ349" s="86"/>
      <c r="BA349" s="86"/>
      <c r="BB349" s="77"/>
      <c r="BC349" s="53"/>
      <c r="BD349" s="101"/>
      <c r="BE349" s="101"/>
      <c r="BF349" s="101"/>
      <c r="BG349" s="101"/>
      <c r="BH349" s="101"/>
      <c r="BI349" s="101"/>
      <c r="BJ349" s="102"/>
      <c r="BK349" s="16"/>
    </row>
    <row r="350" spans="1:63" x14ac:dyDescent="0.25">
      <c r="A350" s="15"/>
      <c r="B350" s="47">
        <v>83.3</v>
      </c>
      <c r="C350" s="49"/>
      <c r="D350" s="234" t="s">
        <v>174</v>
      </c>
      <c r="E350" s="235"/>
      <c r="F350" s="235"/>
      <c r="G350" s="235"/>
      <c r="H350" s="235"/>
      <c r="I350" s="235"/>
      <c r="J350" s="236"/>
      <c r="K350" s="38" t="s">
        <v>27</v>
      </c>
      <c r="L350" s="39"/>
      <c r="M350" s="40"/>
      <c r="N350" s="19" t="s">
        <v>245</v>
      </c>
      <c r="O350" s="19" t="s">
        <v>28</v>
      </c>
      <c r="P350" s="100" t="s">
        <v>28</v>
      </c>
      <c r="Q350" s="42"/>
      <c r="R350" s="42"/>
      <c r="S350" s="43"/>
      <c r="T350" s="100" t="s">
        <v>28</v>
      </c>
      <c r="U350" s="42"/>
      <c r="V350" s="42"/>
      <c r="W350" s="43"/>
      <c r="X350" s="44" t="s">
        <v>28</v>
      </c>
      <c r="Y350" s="91"/>
      <c r="Z350" s="92"/>
      <c r="AA350" s="47" t="s">
        <v>39</v>
      </c>
      <c r="AB350" s="48"/>
      <c r="AC350" s="48"/>
      <c r="AD350" s="48"/>
      <c r="AE350" s="48"/>
      <c r="AF350" s="48"/>
      <c r="AG350" s="48"/>
      <c r="AH350" s="49"/>
      <c r="AI350" s="50" t="s">
        <v>39</v>
      </c>
      <c r="AJ350" s="51"/>
      <c r="AK350" s="51"/>
      <c r="AL350" s="51"/>
      <c r="AM350" s="51"/>
      <c r="AN350" s="51"/>
      <c r="AO350" s="51"/>
      <c r="AP350" s="51"/>
      <c r="AQ350" s="52"/>
      <c r="AR350" s="19" t="s">
        <v>28</v>
      </c>
      <c r="AS350" s="21" t="s">
        <v>39</v>
      </c>
      <c r="AT350" s="21" t="s">
        <v>39</v>
      </c>
      <c r="AU350" s="76" t="s">
        <v>31</v>
      </c>
      <c r="AV350" s="86"/>
      <c r="AW350" s="86"/>
      <c r="AX350" s="77"/>
      <c r="AY350" s="76" t="s">
        <v>39</v>
      </c>
      <c r="AZ350" s="86"/>
      <c r="BA350" s="86"/>
      <c r="BB350" s="77"/>
      <c r="BC350" s="53"/>
      <c r="BD350" s="101"/>
      <c r="BE350" s="101"/>
      <c r="BF350" s="101"/>
      <c r="BG350" s="101"/>
      <c r="BH350" s="101"/>
      <c r="BI350" s="101"/>
      <c r="BJ350" s="102"/>
      <c r="BK350" s="16"/>
    </row>
    <row r="351" spans="1:63" ht="29.25" customHeight="1" x14ac:dyDescent="0.25">
      <c r="A351" s="15"/>
      <c r="B351" s="47">
        <v>84.4</v>
      </c>
      <c r="C351" s="49"/>
      <c r="D351" s="234" t="s">
        <v>176</v>
      </c>
      <c r="E351" s="235"/>
      <c r="F351" s="235"/>
      <c r="G351" s="235"/>
      <c r="H351" s="235"/>
      <c r="I351" s="235"/>
      <c r="J351" s="236"/>
      <c r="K351" s="38" t="s">
        <v>27</v>
      </c>
      <c r="L351" s="39"/>
      <c r="M351" s="40"/>
      <c r="N351" s="19" t="s">
        <v>245</v>
      </c>
      <c r="O351" s="19" t="s">
        <v>28</v>
      </c>
      <c r="P351" s="100" t="s">
        <v>28</v>
      </c>
      <c r="Q351" s="42"/>
      <c r="R351" s="42"/>
      <c r="S351" s="43"/>
      <c r="T351" s="100" t="s">
        <v>28</v>
      </c>
      <c r="U351" s="42"/>
      <c r="V351" s="42"/>
      <c r="W351" s="43"/>
      <c r="X351" s="44" t="s">
        <v>28</v>
      </c>
      <c r="Y351" s="91"/>
      <c r="Z351" s="92"/>
      <c r="AA351" s="47" t="s">
        <v>39</v>
      </c>
      <c r="AB351" s="48"/>
      <c r="AC351" s="48"/>
      <c r="AD351" s="48"/>
      <c r="AE351" s="48"/>
      <c r="AF351" s="48"/>
      <c r="AG351" s="48"/>
      <c r="AH351" s="49"/>
      <c r="AI351" s="50" t="s">
        <v>39</v>
      </c>
      <c r="AJ351" s="51"/>
      <c r="AK351" s="51"/>
      <c r="AL351" s="51"/>
      <c r="AM351" s="51"/>
      <c r="AN351" s="51"/>
      <c r="AO351" s="51"/>
      <c r="AP351" s="51"/>
      <c r="AQ351" s="52"/>
      <c r="AR351" s="19" t="s">
        <v>28</v>
      </c>
      <c r="AS351" s="21" t="s">
        <v>39</v>
      </c>
      <c r="AT351" s="21" t="s">
        <v>39</v>
      </c>
      <c r="AU351" s="76" t="s">
        <v>31</v>
      </c>
      <c r="AV351" s="86"/>
      <c r="AW351" s="86"/>
      <c r="AX351" s="77"/>
      <c r="AY351" s="76" t="s">
        <v>39</v>
      </c>
      <c r="AZ351" s="86"/>
      <c r="BA351" s="86"/>
      <c r="BB351" s="77"/>
      <c r="BC351" s="53"/>
      <c r="BD351" s="101"/>
      <c r="BE351" s="101"/>
      <c r="BF351" s="101"/>
      <c r="BG351" s="101"/>
      <c r="BH351" s="101"/>
      <c r="BI351" s="101"/>
      <c r="BJ351" s="102"/>
      <c r="BK351" s="16"/>
    </row>
    <row r="352" spans="1:63" ht="29.25" customHeight="1" x14ac:dyDescent="0.25">
      <c r="A352" s="15"/>
      <c r="B352" s="70">
        <v>85.5</v>
      </c>
      <c r="C352" s="66"/>
      <c r="D352" s="264" t="s">
        <v>170</v>
      </c>
      <c r="E352" s="265"/>
      <c r="F352" s="265"/>
      <c r="G352" s="265"/>
      <c r="H352" s="265"/>
      <c r="I352" s="265"/>
      <c r="J352" s="266"/>
      <c r="K352" s="61" t="s">
        <v>27</v>
      </c>
      <c r="L352" s="62"/>
      <c r="M352" s="63"/>
      <c r="N352" s="23" t="s">
        <v>36</v>
      </c>
      <c r="O352" s="23" t="s">
        <v>28</v>
      </c>
      <c r="P352" s="216" t="s">
        <v>28</v>
      </c>
      <c r="Q352" s="217"/>
      <c r="R352" s="217"/>
      <c r="S352" s="218"/>
      <c r="T352" s="216" t="s">
        <v>28</v>
      </c>
      <c r="U352" s="217"/>
      <c r="V352" s="217"/>
      <c r="W352" s="218"/>
      <c r="X352" s="67" t="s">
        <v>28</v>
      </c>
      <c r="Y352" s="214"/>
      <c r="Z352" s="215"/>
      <c r="AA352" s="70" t="s">
        <v>39</v>
      </c>
      <c r="AB352" s="65"/>
      <c r="AC352" s="65"/>
      <c r="AD352" s="65"/>
      <c r="AE352" s="65"/>
      <c r="AF352" s="65"/>
      <c r="AG352" s="65"/>
      <c r="AH352" s="66"/>
      <c r="AI352" s="225" t="s">
        <v>39</v>
      </c>
      <c r="AJ352" s="72"/>
      <c r="AK352" s="72"/>
      <c r="AL352" s="72"/>
      <c r="AM352" s="72"/>
      <c r="AN352" s="72"/>
      <c r="AO352" s="72"/>
      <c r="AP352" s="72"/>
      <c r="AQ352" s="73"/>
      <c r="AR352" s="23" t="s">
        <v>28</v>
      </c>
      <c r="AS352" s="24" t="s">
        <v>39</v>
      </c>
      <c r="AT352" s="24" t="s">
        <v>39</v>
      </c>
      <c r="AU352" s="56" t="s">
        <v>31</v>
      </c>
      <c r="AV352" s="224"/>
      <c r="AW352" s="224"/>
      <c r="AX352" s="57"/>
      <c r="AY352" s="56" t="s">
        <v>30</v>
      </c>
      <c r="AZ352" s="224"/>
      <c r="BA352" s="224"/>
      <c r="BB352" s="57"/>
      <c r="BC352" s="219"/>
      <c r="BD352" s="267"/>
      <c r="BE352" s="267"/>
      <c r="BF352" s="267"/>
      <c r="BG352" s="267"/>
      <c r="BH352" s="267"/>
      <c r="BI352" s="267"/>
      <c r="BJ352" s="268"/>
      <c r="BK352" s="16"/>
    </row>
  </sheetData>
  <mergeCells count="1545">
    <mergeCell ref="AY342:BB342"/>
    <mergeCell ref="BC342:BJ342"/>
    <mergeCell ref="B342:C342"/>
    <mergeCell ref="D342:J342"/>
    <mergeCell ref="K342:M342"/>
    <mergeCell ref="P342:S342"/>
    <mergeCell ref="T342:W342"/>
    <mergeCell ref="X342:Z342"/>
    <mergeCell ref="AA342:AH342"/>
    <mergeCell ref="AI342:AQ342"/>
    <mergeCell ref="AU342:AX342"/>
    <mergeCell ref="AY340:BB340"/>
    <mergeCell ref="BC340:BJ340"/>
    <mergeCell ref="B341:C341"/>
    <mergeCell ref="D341:J341"/>
    <mergeCell ref="K341:M341"/>
    <mergeCell ref="P341:S341"/>
    <mergeCell ref="T341:W341"/>
    <mergeCell ref="X341:Z341"/>
    <mergeCell ref="AA341:AH341"/>
    <mergeCell ref="AI341:AQ341"/>
    <mergeCell ref="AU341:AX341"/>
    <mergeCell ref="AY341:BB341"/>
    <mergeCell ref="BC341:BJ341"/>
    <mergeCell ref="B340:C340"/>
    <mergeCell ref="D340:J340"/>
    <mergeCell ref="K340:M340"/>
    <mergeCell ref="P340:S340"/>
    <mergeCell ref="T340:W340"/>
    <mergeCell ref="X340:Z340"/>
    <mergeCell ref="AA340:AH340"/>
    <mergeCell ref="AI340:AQ340"/>
    <mergeCell ref="AU340:AX340"/>
    <mergeCell ref="AY338:BB338"/>
    <mergeCell ref="BC338:BJ338"/>
    <mergeCell ref="B339:C339"/>
    <mergeCell ref="D339:J339"/>
    <mergeCell ref="K339:M339"/>
    <mergeCell ref="P339:S339"/>
    <mergeCell ref="T339:W339"/>
    <mergeCell ref="X339:Z339"/>
    <mergeCell ref="AA339:AH339"/>
    <mergeCell ref="AI339:AQ339"/>
    <mergeCell ref="AU339:AX339"/>
    <mergeCell ref="AY339:BB339"/>
    <mergeCell ref="BC339:BJ339"/>
    <mergeCell ref="B338:C338"/>
    <mergeCell ref="D338:J338"/>
    <mergeCell ref="K338:M338"/>
    <mergeCell ref="P338:S338"/>
    <mergeCell ref="T338:W338"/>
    <mergeCell ref="X338:Z338"/>
    <mergeCell ref="AA338:AH338"/>
    <mergeCell ref="AI338:AQ338"/>
    <mergeCell ref="AU338:AX338"/>
    <mergeCell ref="BC337:BJ337"/>
    <mergeCell ref="B337:C337"/>
    <mergeCell ref="D337:J337"/>
    <mergeCell ref="K337:M337"/>
    <mergeCell ref="P337:S337"/>
    <mergeCell ref="T337:W337"/>
    <mergeCell ref="X337:Z337"/>
    <mergeCell ref="AA337:AH337"/>
    <mergeCell ref="AI337:AQ337"/>
    <mergeCell ref="AU337:AX337"/>
    <mergeCell ref="AY336:BB336"/>
    <mergeCell ref="BC336:BJ336"/>
    <mergeCell ref="B333:C333"/>
    <mergeCell ref="D333:J333"/>
    <mergeCell ref="K333:M333"/>
    <mergeCell ref="P333:S333"/>
    <mergeCell ref="T333:W333"/>
    <mergeCell ref="X333:Z333"/>
    <mergeCell ref="AA333:AH333"/>
    <mergeCell ref="AI333:AQ333"/>
    <mergeCell ref="AU333:AX333"/>
    <mergeCell ref="AY333:BB333"/>
    <mergeCell ref="BC333:BJ333"/>
    <mergeCell ref="B334:C334"/>
    <mergeCell ref="D334:J334"/>
    <mergeCell ref="K334:M334"/>
    <mergeCell ref="P334:S334"/>
    <mergeCell ref="T334:W334"/>
    <mergeCell ref="X334:Z334"/>
    <mergeCell ref="AA334:AH334"/>
    <mergeCell ref="AI334:AQ334"/>
    <mergeCell ref="AY349:BB349"/>
    <mergeCell ref="BC349:BJ349"/>
    <mergeCell ref="B350:C350"/>
    <mergeCell ref="D350:J350"/>
    <mergeCell ref="K350:M350"/>
    <mergeCell ref="P350:S350"/>
    <mergeCell ref="T350:W350"/>
    <mergeCell ref="X350:Z350"/>
    <mergeCell ref="AU334:AX334"/>
    <mergeCell ref="AY334:BB334"/>
    <mergeCell ref="BC334:BJ334"/>
    <mergeCell ref="B336:C336"/>
    <mergeCell ref="D336:J336"/>
    <mergeCell ref="K336:M336"/>
    <mergeCell ref="P336:S336"/>
    <mergeCell ref="T336:W336"/>
    <mergeCell ref="X336:Z336"/>
    <mergeCell ref="AA336:AH336"/>
    <mergeCell ref="AI336:AQ336"/>
    <mergeCell ref="AU336:AX336"/>
    <mergeCell ref="B335:C335"/>
    <mergeCell ref="D335:J335"/>
    <mergeCell ref="K335:M335"/>
    <mergeCell ref="P335:S335"/>
    <mergeCell ref="T335:W335"/>
    <mergeCell ref="X335:Z335"/>
    <mergeCell ref="AA335:AH335"/>
    <mergeCell ref="AI335:AQ335"/>
    <mergeCell ref="AU335:AX335"/>
    <mergeCell ref="AY335:BB335"/>
    <mergeCell ref="BC335:BJ335"/>
    <mergeCell ref="AY337:BB337"/>
    <mergeCell ref="AY351:BB351"/>
    <mergeCell ref="BC351:BJ351"/>
    <mergeCell ref="B352:C352"/>
    <mergeCell ref="D352:J352"/>
    <mergeCell ref="K352:M352"/>
    <mergeCell ref="P352:S352"/>
    <mergeCell ref="T352:W352"/>
    <mergeCell ref="X352:Z352"/>
    <mergeCell ref="AA352:AH352"/>
    <mergeCell ref="AI352:AQ352"/>
    <mergeCell ref="AU352:AX352"/>
    <mergeCell ref="AY352:BB352"/>
    <mergeCell ref="BC352:BJ352"/>
    <mergeCell ref="B351:C351"/>
    <mergeCell ref="D351:J351"/>
    <mergeCell ref="K351:M351"/>
    <mergeCell ref="P351:S351"/>
    <mergeCell ref="T351:W351"/>
    <mergeCell ref="X351:Z351"/>
    <mergeCell ref="AA351:AH351"/>
    <mergeCell ref="AI351:AQ351"/>
    <mergeCell ref="AU351:AX351"/>
    <mergeCell ref="AA350:AH350"/>
    <mergeCell ref="AI350:AQ350"/>
    <mergeCell ref="AU350:AX350"/>
    <mergeCell ref="AY350:BB350"/>
    <mergeCell ref="BC350:BJ350"/>
    <mergeCell ref="B349:C349"/>
    <mergeCell ref="D349:J349"/>
    <mergeCell ref="K349:M349"/>
    <mergeCell ref="P349:S349"/>
    <mergeCell ref="T349:W349"/>
    <mergeCell ref="X349:Z349"/>
    <mergeCell ref="AA349:AH349"/>
    <mergeCell ref="AI349:AQ349"/>
    <mergeCell ref="AU349:AX349"/>
    <mergeCell ref="AY347:BB347"/>
    <mergeCell ref="BC347:BJ347"/>
    <mergeCell ref="B348:C348"/>
    <mergeCell ref="D348:J348"/>
    <mergeCell ref="K348:M348"/>
    <mergeCell ref="P348:S348"/>
    <mergeCell ref="T348:W348"/>
    <mergeCell ref="X348:Z348"/>
    <mergeCell ref="AA348:AH348"/>
    <mergeCell ref="AI348:AQ348"/>
    <mergeCell ref="AU348:AX348"/>
    <mergeCell ref="AY348:BB348"/>
    <mergeCell ref="BC348:BJ348"/>
    <mergeCell ref="B347:C347"/>
    <mergeCell ref="D347:J347"/>
    <mergeCell ref="K347:M347"/>
    <mergeCell ref="P347:S347"/>
    <mergeCell ref="T347:W347"/>
    <mergeCell ref="X347:Z347"/>
    <mergeCell ref="AA347:AH347"/>
    <mergeCell ref="AI347:AQ347"/>
    <mergeCell ref="AU347:AX347"/>
    <mergeCell ref="AY345:BB345"/>
    <mergeCell ref="BC345:BJ345"/>
    <mergeCell ref="B346:C346"/>
    <mergeCell ref="D346:J346"/>
    <mergeCell ref="K346:M346"/>
    <mergeCell ref="P346:S346"/>
    <mergeCell ref="T346:W346"/>
    <mergeCell ref="X346:Z346"/>
    <mergeCell ref="AA346:AH346"/>
    <mergeCell ref="AI346:AQ346"/>
    <mergeCell ref="AU346:AX346"/>
    <mergeCell ref="AY346:BB346"/>
    <mergeCell ref="BC346:BJ346"/>
    <mergeCell ref="B345:C345"/>
    <mergeCell ref="D345:J345"/>
    <mergeCell ref="K345:M345"/>
    <mergeCell ref="P345:S345"/>
    <mergeCell ref="T345:W345"/>
    <mergeCell ref="X345:Z345"/>
    <mergeCell ref="AA345:AH345"/>
    <mergeCell ref="AI345:AQ345"/>
    <mergeCell ref="AU345:AX345"/>
    <mergeCell ref="AY343:BB343"/>
    <mergeCell ref="BC343:BJ343"/>
    <mergeCell ref="B344:C344"/>
    <mergeCell ref="D344:J344"/>
    <mergeCell ref="K344:M344"/>
    <mergeCell ref="P344:S344"/>
    <mergeCell ref="T344:W344"/>
    <mergeCell ref="X344:Z344"/>
    <mergeCell ref="AA344:AH344"/>
    <mergeCell ref="AI344:AQ344"/>
    <mergeCell ref="AU344:AX344"/>
    <mergeCell ref="AY344:BB344"/>
    <mergeCell ref="BC344:BJ344"/>
    <mergeCell ref="B343:C343"/>
    <mergeCell ref="D343:J343"/>
    <mergeCell ref="K343:M343"/>
    <mergeCell ref="P343:S343"/>
    <mergeCell ref="T343:W343"/>
    <mergeCell ref="X343:Z343"/>
    <mergeCell ref="AA343:AH343"/>
    <mergeCell ref="AI343:AQ343"/>
    <mergeCell ref="AU343:AX343"/>
    <mergeCell ref="AI327:AQ327"/>
    <mergeCell ref="AY331:BB331"/>
    <mergeCell ref="BC331:BJ331"/>
    <mergeCell ref="B332:C332"/>
    <mergeCell ref="D332:J332"/>
    <mergeCell ref="K332:M332"/>
    <mergeCell ref="P332:S332"/>
    <mergeCell ref="T332:W332"/>
    <mergeCell ref="X332:Z332"/>
    <mergeCell ref="AA332:AH332"/>
    <mergeCell ref="AI332:AQ332"/>
    <mergeCell ref="AU332:AX332"/>
    <mergeCell ref="AY332:BB332"/>
    <mergeCell ref="BC332:BJ332"/>
    <mergeCell ref="B331:C331"/>
    <mergeCell ref="D331:J331"/>
    <mergeCell ref="K331:M331"/>
    <mergeCell ref="P331:S331"/>
    <mergeCell ref="T331:W331"/>
    <mergeCell ref="X331:Z331"/>
    <mergeCell ref="AA331:AH331"/>
    <mergeCell ref="AI331:AQ331"/>
    <mergeCell ref="AU331:AX331"/>
    <mergeCell ref="AI329:AQ329"/>
    <mergeCell ref="AU329:AX329"/>
    <mergeCell ref="AY329:BB329"/>
    <mergeCell ref="BC329:BJ329"/>
    <mergeCell ref="B329:C329"/>
    <mergeCell ref="D329:J329"/>
    <mergeCell ref="K329:M329"/>
    <mergeCell ref="P329:S329"/>
    <mergeCell ref="T329:W329"/>
    <mergeCell ref="B330:C330"/>
    <mergeCell ref="D330:J330"/>
    <mergeCell ref="K330:M330"/>
    <mergeCell ref="P330:S330"/>
    <mergeCell ref="T330:W330"/>
    <mergeCell ref="X330:Z330"/>
    <mergeCell ref="AA330:AH330"/>
    <mergeCell ref="AI330:AQ330"/>
    <mergeCell ref="AU330:AX330"/>
    <mergeCell ref="AY330:BB330"/>
    <mergeCell ref="BC330:BJ330"/>
    <mergeCell ref="B328:C328"/>
    <mergeCell ref="D328:J328"/>
    <mergeCell ref="K328:M328"/>
    <mergeCell ref="P328:S328"/>
    <mergeCell ref="T328:W328"/>
    <mergeCell ref="X328:Z328"/>
    <mergeCell ref="AA328:AH328"/>
    <mergeCell ref="AI328:AQ328"/>
    <mergeCell ref="AU328:AX328"/>
    <mergeCell ref="AY328:BB328"/>
    <mergeCell ref="BC328:BJ328"/>
    <mergeCell ref="X329:Z329"/>
    <mergeCell ref="AA329:AH329"/>
    <mergeCell ref="AU327:AX327"/>
    <mergeCell ref="AY325:BB325"/>
    <mergeCell ref="BC325:BJ325"/>
    <mergeCell ref="B326:C326"/>
    <mergeCell ref="D326:J326"/>
    <mergeCell ref="K326:M326"/>
    <mergeCell ref="P326:S326"/>
    <mergeCell ref="T326:W326"/>
    <mergeCell ref="X326:Z326"/>
    <mergeCell ref="AA326:AH326"/>
    <mergeCell ref="AI326:AQ326"/>
    <mergeCell ref="AU326:AX326"/>
    <mergeCell ref="AY326:BB326"/>
    <mergeCell ref="BC326:BJ326"/>
    <mergeCell ref="B325:C325"/>
    <mergeCell ref="D325:J325"/>
    <mergeCell ref="K325:M325"/>
    <mergeCell ref="P325:S325"/>
    <mergeCell ref="T325:W325"/>
    <mergeCell ref="X325:Z325"/>
    <mergeCell ref="AA325:AH325"/>
    <mergeCell ref="AI325:AQ325"/>
    <mergeCell ref="AU325:AX325"/>
    <mergeCell ref="AY327:BB327"/>
    <mergeCell ref="BC327:BJ327"/>
    <mergeCell ref="B327:C327"/>
    <mergeCell ref="D327:J327"/>
    <mergeCell ref="K327:M327"/>
    <mergeCell ref="P327:S327"/>
    <mergeCell ref="T327:W327"/>
    <mergeCell ref="X327:Z327"/>
    <mergeCell ref="AA327:AH327"/>
    <mergeCell ref="B323:BJ323"/>
    <mergeCell ref="B324:C324"/>
    <mergeCell ref="D324:J324"/>
    <mergeCell ref="K324:M324"/>
    <mergeCell ref="P324:S324"/>
    <mergeCell ref="T324:W324"/>
    <mergeCell ref="X324:Z324"/>
    <mergeCell ref="AA324:AH324"/>
    <mergeCell ref="AI324:AQ324"/>
    <mergeCell ref="AU324:AX324"/>
    <mergeCell ref="AY324:BB324"/>
    <mergeCell ref="BC324:BJ324"/>
    <mergeCell ref="B320:C322"/>
    <mergeCell ref="D320:J322"/>
    <mergeCell ref="K320:M322"/>
    <mergeCell ref="N320:N322"/>
    <mergeCell ref="O320:O322"/>
    <mergeCell ref="P320:AQ320"/>
    <mergeCell ref="AR320:BB320"/>
    <mergeCell ref="BC320:BJ322"/>
    <mergeCell ref="P321:W321"/>
    <mergeCell ref="X321:Z322"/>
    <mergeCell ref="AA321:AH322"/>
    <mergeCell ref="AI321:AQ322"/>
    <mergeCell ref="AR321:AR322"/>
    <mergeCell ref="AS321:AS322"/>
    <mergeCell ref="AT321:AT322"/>
    <mergeCell ref="AU321:BB321"/>
    <mergeCell ref="P322:S322"/>
    <mergeCell ref="T322:W322"/>
    <mergeCell ref="AU322:AX322"/>
    <mergeCell ref="AY322:BB322"/>
    <mergeCell ref="AY279:BB279"/>
    <mergeCell ref="BC279:BJ279"/>
    <mergeCell ref="B280:C280"/>
    <mergeCell ref="D280:J280"/>
    <mergeCell ref="K280:M280"/>
    <mergeCell ref="P280:S280"/>
    <mergeCell ref="T280:W280"/>
    <mergeCell ref="X280:Z280"/>
    <mergeCell ref="AA280:AH280"/>
    <mergeCell ref="AI280:AQ280"/>
    <mergeCell ref="AU280:AX280"/>
    <mergeCell ref="AY280:BB280"/>
    <mergeCell ref="BC280:BJ280"/>
    <mergeCell ref="B279:C279"/>
    <mergeCell ref="D279:J279"/>
    <mergeCell ref="K279:M279"/>
    <mergeCell ref="P279:S279"/>
    <mergeCell ref="T279:W279"/>
    <mergeCell ref="X279:Z279"/>
    <mergeCell ref="AA279:AH279"/>
    <mergeCell ref="AI279:AQ279"/>
    <mergeCell ref="AU279:AX279"/>
    <mergeCell ref="AY277:BB277"/>
    <mergeCell ref="BC277:BJ277"/>
    <mergeCell ref="B278:C278"/>
    <mergeCell ref="D278:J278"/>
    <mergeCell ref="K278:M278"/>
    <mergeCell ref="P278:S278"/>
    <mergeCell ref="T278:W278"/>
    <mergeCell ref="X278:Z278"/>
    <mergeCell ref="AA278:AH278"/>
    <mergeCell ref="AI278:AQ278"/>
    <mergeCell ref="AU278:AX278"/>
    <mergeCell ref="AY278:BB278"/>
    <mergeCell ref="BC278:BJ278"/>
    <mergeCell ref="B277:C277"/>
    <mergeCell ref="D277:J277"/>
    <mergeCell ref="K277:M277"/>
    <mergeCell ref="P277:S277"/>
    <mergeCell ref="T277:W277"/>
    <mergeCell ref="X277:Z277"/>
    <mergeCell ref="AA277:AH277"/>
    <mergeCell ref="AI277:AQ277"/>
    <mergeCell ref="AU277:AX277"/>
    <mergeCell ref="AY275:BB275"/>
    <mergeCell ref="BC275:BJ275"/>
    <mergeCell ref="B276:C276"/>
    <mergeCell ref="D276:J276"/>
    <mergeCell ref="K276:M276"/>
    <mergeCell ref="P276:S276"/>
    <mergeCell ref="T276:W276"/>
    <mergeCell ref="X276:Z276"/>
    <mergeCell ref="AA276:AH276"/>
    <mergeCell ref="AI276:AQ276"/>
    <mergeCell ref="AU276:AX276"/>
    <mergeCell ref="AY276:BB276"/>
    <mergeCell ref="BC276:BJ276"/>
    <mergeCell ref="B275:C275"/>
    <mergeCell ref="D275:J275"/>
    <mergeCell ref="K275:M275"/>
    <mergeCell ref="P275:S275"/>
    <mergeCell ref="T275:W275"/>
    <mergeCell ref="X275:Z275"/>
    <mergeCell ref="AA275:AH275"/>
    <mergeCell ref="AI275:AQ275"/>
    <mergeCell ref="AU275:AX275"/>
    <mergeCell ref="AY273:BB273"/>
    <mergeCell ref="BC273:BJ273"/>
    <mergeCell ref="B274:C274"/>
    <mergeCell ref="D274:J274"/>
    <mergeCell ref="K274:M274"/>
    <mergeCell ref="P274:S274"/>
    <mergeCell ref="T274:W274"/>
    <mergeCell ref="X274:Z274"/>
    <mergeCell ref="AA274:AH274"/>
    <mergeCell ref="AI274:AQ274"/>
    <mergeCell ref="AU274:AX274"/>
    <mergeCell ref="AY274:BB274"/>
    <mergeCell ref="BC274:BJ274"/>
    <mergeCell ref="B273:C273"/>
    <mergeCell ref="D273:J273"/>
    <mergeCell ref="K273:M273"/>
    <mergeCell ref="P273:S273"/>
    <mergeCell ref="T273:W273"/>
    <mergeCell ref="X273:Z273"/>
    <mergeCell ref="AA273:AH273"/>
    <mergeCell ref="AI273:AQ273"/>
    <mergeCell ref="AU273:AX273"/>
    <mergeCell ref="AY271:BB271"/>
    <mergeCell ref="BC271:BJ271"/>
    <mergeCell ref="B272:C272"/>
    <mergeCell ref="D272:J272"/>
    <mergeCell ref="K272:M272"/>
    <mergeCell ref="P272:S272"/>
    <mergeCell ref="T272:W272"/>
    <mergeCell ref="X272:Z272"/>
    <mergeCell ref="AA272:AH272"/>
    <mergeCell ref="AI272:AQ272"/>
    <mergeCell ref="AU272:AX272"/>
    <mergeCell ref="AY272:BB272"/>
    <mergeCell ref="BC272:BJ272"/>
    <mergeCell ref="B271:C271"/>
    <mergeCell ref="D271:J271"/>
    <mergeCell ref="K271:M271"/>
    <mergeCell ref="P271:S271"/>
    <mergeCell ref="T271:W271"/>
    <mergeCell ref="X271:Z271"/>
    <mergeCell ref="AA271:AH271"/>
    <mergeCell ref="AI271:AQ271"/>
    <mergeCell ref="AU271:AX271"/>
    <mergeCell ref="AY269:BB269"/>
    <mergeCell ref="BC269:BJ269"/>
    <mergeCell ref="B270:C270"/>
    <mergeCell ref="D270:J270"/>
    <mergeCell ref="K270:M270"/>
    <mergeCell ref="P270:S270"/>
    <mergeCell ref="T270:W270"/>
    <mergeCell ref="X270:Z270"/>
    <mergeCell ref="AA270:AH270"/>
    <mergeCell ref="AI270:AQ270"/>
    <mergeCell ref="AU270:AX270"/>
    <mergeCell ref="AY270:BB270"/>
    <mergeCell ref="BC270:BJ270"/>
    <mergeCell ref="B269:C269"/>
    <mergeCell ref="D269:J269"/>
    <mergeCell ref="K269:M269"/>
    <mergeCell ref="P269:S269"/>
    <mergeCell ref="T269:W269"/>
    <mergeCell ref="X269:Z269"/>
    <mergeCell ref="AA269:AH269"/>
    <mergeCell ref="AI269:AQ269"/>
    <mergeCell ref="AU269:AX269"/>
    <mergeCell ref="AY267:BB267"/>
    <mergeCell ref="BC267:BJ267"/>
    <mergeCell ref="B268:C268"/>
    <mergeCell ref="D268:J268"/>
    <mergeCell ref="K268:M268"/>
    <mergeCell ref="P268:S268"/>
    <mergeCell ref="T268:W268"/>
    <mergeCell ref="X268:Z268"/>
    <mergeCell ref="AA268:AH268"/>
    <mergeCell ref="AI268:AQ268"/>
    <mergeCell ref="AU268:AX268"/>
    <mergeCell ref="AY268:BB268"/>
    <mergeCell ref="BC268:BJ268"/>
    <mergeCell ref="B267:C267"/>
    <mergeCell ref="D267:J267"/>
    <mergeCell ref="K267:M267"/>
    <mergeCell ref="P267:S267"/>
    <mergeCell ref="T267:W267"/>
    <mergeCell ref="X267:Z267"/>
    <mergeCell ref="AA267:AH267"/>
    <mergeCell ref="AI267:AQ267"/>
    <mergeCell ref="AU267:AX267"/>
    <mergeCell ref="B266:C266"/>
    <mergeCell ref="D266:J266"/>
    <mergeCell ref="K266:M266"/>
    <mergeCell ref="P266:S266"/>
    <mergeCell ref="T266:W266"/>
    <mergeCell ref="X266:Z266"/>
    <mergeCell ref="AA266:AH266"/>
    <mergeCell ref="AI266:AQ266"/>
    <mergeCell ref="AU266:AX266"/>
    <mergeCell ref="AY266:BB266"/>
    <mergeCell ref="BC266:BJ266"/>
    <mergeCell ref="AY265:BB265"/>
    <mergeCell ref="BC265:BJ265"/>
    <mergeCell ref="B265:C265"/>
    <mergeCell ref="D265:J265"/>
    <mergeCell ref="K265:M265"/>
    <mergeCell ref="P265:S265"/>
    <mergeCell ref="T265:W265"/>
    <mergeCell ref="X265:Z265"/>
    <mergeCell ref="AA265:AH265"/>
    <mergeCell ref="AI265:AQ265"/>
    <mergeCell ref="AU265:AX265"/>
    <mergeCell ref="AY263:BB263"/>
    <mergeCell ref="BC263:BJ263"/>
    <mergeCell ref="B264:C264"/>
    <mergeCell ref="D264:J264"/>
    <mergeCell ref="K264:M264"/>
    <mergeCell ref="P264:S264"/>
    <mergeCell ref="T264:W264"/>
    <mergeCell ref="X264:Z264"/>
    <mergeCell ref="AA264:AH264"/>
    <mergeCell ref="AI264:AQ264"/>
    <mergeCell ref="AU264:AX264"/>
    <mergeCell ref="AY264:BB264"/>
    <mergeCell ref="BC264:BJ264"/>
    <mergeCell ref="B263:C263"/>
    <mergeCell ref="D263:J263"/>
    <mergeCell ref="K263:M263"/>
    <mergeCell ref="P263:S263"/>
    <mergeCell ref="T263:W263"/>
    <mergeCell ref="X263:Z263"/>
    <mergeCell ref="AA263:AH263"/>
    <mergeCell ref="AI263:AQ263"/>
    <mergeCell ref="AU263:AX263"/>
    <mergeCell ref="B261:BJ261"/>
    <mergeCell ref="B262:C262"/>
    <mergeCell ref="D262:J262"/>
    <mergeCell ref="K262:M262"/>
    <mergeCell ref="P262:S262"/>
    <mergeCell ref="T262:W262"/>
    <mergeCell ref="X262:Z262"/>
    <mergeCell ref="AA262:AH262"/>
    <mergeCell ref="AI262:AQ262"/>
    <mergeCell ref="AU262:AX262"/>
    <mergeCell ref="AY262:BB262"/>
    <mergeCell ref="BC262:BJ262"/>
    <mergeCell ref="B258:C260"/>
    <mergeCell ref="D258:J260"/>
    <mergeCell ref="K258:M260"/>
    <mergeCell ref="N258:N260"/>
    <mergeCell ref="O258:O260"/>
    <mergeCell ref="P258:AQ258"/>
    <mergeCell ref="AR258:BB258"/>
    <mergeCell ref="BC258:BJ260"/>
    <mergeCell ref="P259:W259"/>
    <mergeCell ref="X259:Z260"/>
    <mergeCell ref="AA259:AH260"/>
    <mergeCell ref="AI259:AQ260"/>
    <mergeCell ref="AR259:AR260"/>
    <mergeCell ref="AS259:AS260"/>
    <mergeCell ref="AT259:AT260"/>
    <mergeCell ref="AU259:BB259"/>
    <mergeCell ref="P260:S260"/>
    <mergeCell ref="T260:W260"/>
    <mergeCell ref="AU260:AX260"/>
    <mergeCell ref="AY260:BB260"/>
    <mergeCell ref="AY217:BB217"/>
    <mergeCell ref="BC217:BJ217"/>
    <mergeCell ref="B218:C218"/>
    <mergeCell ref="D218:J218"/>
    <mergeCell ref="K218:M218"/>
    <mergeCell ref="P218:S218"/>
    <mergeCell ref="T218:W218"/>
    <mergeCell ref="X218:Z218"/>
    <mergeCell ref="AA218:AH218"/>
    <mergeCell ref="AI218:AQ218"/>
    <mergeCell ref="AU218:AX218"/>
    <mergeCell ref="AY218:BB218"/>
    <mergeCell ref="BC218:BJ218"/>
    <mergeCell ref="B217:C217"/>
    <mergeCell ref="D217:J217"/>
    <mergeCell ref="K217:M217"/>
    <mergeCell ref="P217:S217"/>
    <mergeCell ref="T217:W217"/>
    <mergeCell ref="X217:Z217"/>
    <mergeCell ref="AA217:AH217"/>
    <mergeCell ref="AI217:AQ217"/>
    <mergeCell ref="AU217:AX217"/>
    <mergeCell ref="AY215:BB215"/>
    <mergeCell ref="BC215:BJ215"/>
    <mergeCell ref="B216:C216"/>
    <mergeCell ref="D216:J216"/>
    <mergeCell ref="K216:M216"/>
    <mergeCell ref="P216:S216"/>
    <mergeCell ref="T216:W216"/>
    <mergeCell ref="X216:Z216"/>
    <mergeCell ref="AA216:AH216"/>
    <mergeCell ref="AI216:AQ216"/>
    <mergeCell ref="AU216:AX216"/>
    <mergeCell ref="AY216:BB216"/>
    <mergeCell ref="BC216:BJ216"/>
    <mergeCell ref="B215:C215"/>
    <mergeCell ref="D215:J215"/>
    <mergeCell ref="K215:M215"/>
    <mergeCell ref="P215:S215"/>
    <mergeCell ref="T215:W215"/>
    <mergeCell ref="X215:Z215"/>
    <mergeCell ref="AA215:AH215"/>
    <mergeCell ref="AI215:AQ215"/>
    <mergeCell ref="AU215:AX215"/>
    <mergeCell ref="AY213:BB213"/>
    <mergeCell ref="BC213:BJ213"/>
    <mergeCell ref="B214:C214"/>
    <mergeCell ref="D214:J214"/>
    <mergeCell ref="K214:M214"/>
    <mergeCell ref="P214:S214"/>
    <mergeCell ref="T214:W214"/>
    <mergeCell ref="X214:Z214"/>
    <mergeCell ref="AA214:AH214"/>
    <mergeCell ref="AI214:AQ214"/>
    <mergeCell ref="AU214:AX214"/>
    <mergeCell ref="AY214:BB214"/>
    <mergeCell ref="BC214:BJ214"/>
    <mergeCell ref="B213:C213"/>
    <mergeCell ref="D213:J213"/>
    <mergeCell ref="K213:M213"/>
    <mergeCell ref="P213:S213"/>
    <mergeCell ref="T213:W213"/>
    <mergeCell ref="X213:Z213"/>
    <mergeCell ref="AA213:AH213"/>
    <mergeCell ref="AI213:AQ213"/>
    <mergeCell ref="AU213:AX213"/>
    <mergeCell ref="AY211:BB211"/>
    <mergeCell ref="BC211:BJ211"/>
    <mergeCell ref="B212:C212"/>
    <mergeCell ref="D212:J212"/>
    <mergeCell ref="K212:M212"/>
    <mergeCell ref="P212:S212"/>
    <mergeCell ref="T212:W212"/>
    <mergeCell ref="X212:Z212"/>
    <mergeCell ref="AA212:AH212"/>
    <mergeCell ref="AI212:AQ212"/>
    <mergeCell ref="AU212:AX212"/>
    <mergeCell ref="AY212:BB212"/>
    <mergeCell ref="BC212:BJ212"/>
    <mergeCell ref="B211:C211"/>
    <mergeCell ref="D211:J211"/>
    <mergeCell ref="K211:M211"/>
    <mergeCell ref="P211:S211"/>
    <mergeCell ref="T211:W211"/>
    <mergeCell ref="X211:Z211"/>
    <mergeCell ref="AA211:AH211"/>
    <mergeCell ref="AI211:AQ211"/>
    <mergeCell ref="AU211:AX211"/>
    <mergeCell ref="AY209:BB209"/>
    <mergeCell ref="BC209:BJ209"/>
    <mergeCell ref="B210:C210"/>
    <mergeCell ref="D210:J210"/>
    <mergeCell ref="K210:M210"/>
    <mergeCell ref="P210:S210"/>
    <mergeCell ref="T210:W210"/>
    <mergeCell ref="X210:Z210"/>
    <mergeCell ref="AA210:AH210"/>
    <mergeCell ref="AI210:AQ210"/>
    <mergeCell ref="AU210:AX210"/>
    <mergeCell ref="AY210:BB210"/>
    <mergeCell ref="BC210:BJ210"/>
    <mergeCell ref="B209:C209"/>
    <mergeCell ref="D209:J209"/>
    <mergeCell ref="K209:M209"/>
    <mergeCell ref="P209:S209"/>
    <mergeCell ref="T209:W209"/>
    <mergeCell ref="X209:Z209"/>
    <mergeCell ref="AA209:AH209"/>
    <mergeCell ref="AI209:AQ209"/>
    <mergeCell ref="AU209:AX209"/>
    <mergeCell ref="AY207:BB207"/>
    <mergeCell ref="BC207:BJ207"/>
    <mergeCell ref="B208:C208"/>
    <mergeCell ref="D208:J208"/>
    <mergeCell ref="K208:M208"/>
    <mergeCell ref="P208:S208"/>
    <mergeCell ref="T208:W208"/>
    <mergeCell ref="X208:Z208"/>
    <mergeCell ref="AA208:AH208"/>
    <mergeCell ref="AI208:AQ208"/>
    <mergeCell ref="AU208:AX208"/>
    <mergeCell ref="AY208:BB208"/>
    <mergeCell ref="BC208:BJ208"/>
    <mergeCell ref="B207:C207"/>
    <mergeCell ref="D207:J207"/>
    <mergeCell ref="K207:M207"/>
    <mergeCell ref="P207:S207"/>
    <mergeCell ref="T207:W207"/>
    <mergeCell ref="X207:Z207"/>
    <mergeCell ref="AA207:AH207"/>
    <mergeCell ref="AI207:AQ207"/>
    <mergeCell ref="AU207:AX207"/>
    <mergeCell ref="AY205:BB205"/>
    <mergeCell ref="BC205:BJ205"/>
    <mergeCell ref="B206:C206"/>
    <mergeCell ref="D206:J206"/>
    <mergeCell ref="K206:M206"/>
    <mergeCell ref="P206:S206"/>
    <mergeCell ref="T206:W206"/>
    <mergeCell ref="X206:Z206"/>
    <mergeCell ref="AA206:AH206"/>
    <mergeCell ref="AI206:AQ206"/>
    <mergeCell ref="AU206:AX206"/>
    <mergeCell ref="AY206:BB206"/>
    <mergeCell ref="BC206:BJ206"/>
    <mergeCell ref="B205:C205"/>
    <mergeCell ref="D205:J205"/>
    <mergeCell ref="K205:M205"/>
    <mergeCell ref="P205:S205"/>
    <mergeCell ref="T205:W205"/>
    <mergeCell ref="X205:Z205"/>
    <mergeCell ref="AA205:AH205"/>
    <mergeCell ref="AI205:AQ205"/>
    <mergeCell ref="AU205:AX205"/>
    <mergeCell ref="AY203:BB203"/>
    <mergeCell ref="BC203:BJ203"/>
    <mergeCell ref="B204:C204"/>
    <mergeCell ref="D204:J204"/>
    <mergeCell ref="K204:M204"/>
    <mergeCell ref="P204:S204"/>
    <mergeCell ref="T204:W204"/>
    <mergeCell ref="X204:Z204"/>
    <mergeCell ref="AA204:AH204"/>
    <mergeCell ref="AI204:AQ204"/>
    <mergeCell ref="AU204:AX204"/>
    <mergeCell ref="AY204:BB204"/>
    <mergeCell ref="BC204:BJ204"/>
    <mergeCell ref="B203:C203"/>
    <mergeCell ref="D203:J203"/>
    <mergeCell ref="K203:M203"/>
    <mergeCell ref="P203:S203"/>
    <mergeCell ref="T203:W203"/>
    <mergeCell ref="X203:Z203"/>
    <mergeCell ref="AA203:AH203"/>
    <mergeCell ref="AI203:AQ203"/>
    <mergeCell ref="AU203:AX203"/>
    <mergeCell ref="AY201:BB201"/>
    <mergeCell ref="BC201:BJ201"/>
    <mergeCell ref="B202:C202"/>
    <mergeCell ref="D202:J202"/>
    <mergeCell ref="K202:M202"/>
    <mergeCell ref="P202:S202"/>
    <mergeCell ref="T202:W202"/>
    <mergeCell ref="X202:Z202"/>
    <mergeCell ref="AA202:AH202"/>
    <mergeCell ref="AI202:AQ202"/>
    <mergeCell ref="AU202:AX202"/>
    <mergeCell ref="AY202:BB202"/>
    <mergeCell ref="BC202:BJ202"/>
    <mergeCell ref="B201:C201"/>
    <mergeCell ref="D201:J201"/>
    <mergeCell ref="K201:M201"/>
    <mergeCell ref="P201:S201"/>
    <mergeCell ref="T201:W201"/>
    <mergeCell ref="X201:Z201"/>
    <mergeCell ref="AA201:AH201"/>
    <mergeCell ref="AI201:AQ201"/>
    <mergeCell ref="AU201:AX201"/>
    <mergeCell ref="AY199:BB199"/>
    <mergeCell ref="BC199:BJ199"/>
    <mergeCell ref="B200:C200"/>
    <mergeCell ref="D200:J200"/>
    <mergeCell ref="K200:M200"/>
    <mergeCell ref="P200:S200"/>
    <mergeCell ref="T200:W200"/>
    <mergeCell ref="X200:Z200"/>
    <mergeCell ref="AA200:AH200"/>
    <mergeCell ref="AI200:AQ200"/>
    <mergeCell ref="AU200:AX200"/>
    <mergeCell ref="AY200:BB200"/>
    <mergeCell ref="BC200:BJ200"/>
    <mergeCell ref="B199:C199"/>
    <mergeCell ref="D199:J199"/>
    <mergeCell ref="K199:M199"/>
    <mergeCell ref="P199:S199"/>
    <mergeCell ref="T199:W199"/>
    <mergeCell ref="X199:Z199"/>
    <mergeCell ref="AA199:AH199"/>
    <mergeCell ref="AI199:AQ199"/>
    <mergeCell ref="AU199:AX199"/>
    <mergeCell ref="B197:BJ197"/>
    <mergeCell ref="B198:C198"/>
    <mergeCell ref="D198:J198"/>
    <mergeCell ref="K198:M198"/>
    <mergeCell ref="P198:S198"/>
    <mergeCell ref="T198:W198"/>
    <mergeCell ref="X198:Z198"/>
    <mergeCell ref="AA198:AH198"/>
    <mergeCell ref="AI198:AQ198"/>
    <mergeCell ref="AU198:AX198"/>
    <mergeCell ref="AY198:BB198"/>
    <mergeCell ref="BC198:BJ198"/>
    <mergeCell ref="B194:C196"/>
    <mergeCell ref="D194:J196"/>
    <mergeCell ref="K194:M196"/>
    <mergeCell ref="N194:N196"/>
    <mergeCell ref="O194:O196"/>
    <mergeCell ref="P194:AQ194"/>
    <mergeCell ref="AR194:BB194"/>
    <mergeCell ref="BC194:BJ196"/>
    <mergeCell ref="P195:W195"/>
    <mergeCell ref="X195:Z196"/>
    <mergeCell ref="AA195:AH196"/>
    <mergeCell ref="AI195:AQ196"/>
    <mergeCell ref="AR195:AR196"/>
    <mergeCell ref="AS195:AS196"/>
    <mergeCell ref="AT195:AT196"/>
    <mergeCell ref="AU195:BB195"/>
    <mergeCell ref="P196:S196"/>
    <mergeCell ref="T196:W196"/>
    <mergeCell ref="AU196:AX196"/>
    <mergeCell ref="AY196:BB196"/>
    <mergeCell ref="AY152:BB152"/>
    <mergeCell ref="BC152:BJ152"/>
    <mergeCell ref="B153:C153"/>
    <mergeCell ref="D153:J153"/>
    <mergeCell ref="K153:M153"/>
    <mergeCell ref="P153:S153"/>
    <mergeCell ref="T153:W153"/>
    <mergeCell ref="X153:Z153"/>
    <mergeCell ref="AA153:AH153"/>
    <mergeCell ref="AI153:AQ153"/>
    <mergeCell ref="AU153:AX153"/>
    <mergeCell ref="AY153:BB153"/>
    <mergeCell ref="BC153:BJ153"/>
    <mergeCell ref="B152:C152"/>
    <mergeCell ref="D152:J152"/>
    <mergeCell ref="K152:M152"/>
    <mergeCell ref="P152:S152"/>
    <mergeCell ref="T152:W152"/>
    <mergeCell ref="X152:Z152"/>
    <mergeCell ref="AA152:AH152"/>
    <mergeCell ref="AI152:AQ152"/>
    <mergeCell ref="AU152:AX152"/>
    <mergeCell ref="AY150:BB150"/>
    <mergeCell ref="BC150:BJ150"/>
    <mergeCell ref="B151:C151"/>
    <mergeCell ref="D151:J151"/>
    <mergeCell ref="K151:M151"/>
    <mergeCell ref="P151:S151"/>
    <mergeCell ref="T151:W151"/>
    <mergeCell ref="X151:Z151"/>
    <mergeCell ref="AA151:AH151"/>
    <mergeCell ref="AI151:AQ151"/>
    <mergeCell ref="AU151:AX151"/>
    <mergeCell ref="AY151:BB151"/>
    <mergeCell ref="BC151:BJ151"/>
    <mergeCell ref="B150:C150"/>
    <mergeCell ref="D150:J150"/>
    <mergeCell ref="K150:M150"/>
    <mergeCell ref="P150:S150"/>
    <mergeCell ref="T150:W150"/>
    <mergeCell ref="X150:Z150"/>
    <mergeCell ref="AA150:AH150"/>
    <mergeCell ref="AI150:AQ150"/>
    <mergeCell ref="AU150:AX150"/>
    <mergeCell ref="AY148:BB148"/>
    <mergeCell ref="BC148:BJ148"/>
    <mergeCell ref="B149:C149"/>
    <mergeCell ref="D149:J149"/>
    <mergeCell ref="K149:M149"/>
    <mergeCell ref="P149:S149"/>
    <mergeCell ref="T149:W149"/>
    <mergeCell ref="X149:Z149"/>
    <mergeCell ref="AA149:AH149"/>
    <mergeCell ref="AI149:AQ149"/>
    <mergeCell ref="AU149:AX149"/>
    <mergeCell ref="AY149:BB149"/>
    <mergeCell ref="BC149:BJ149"/>
    <mergeCell ref="B148:C148"/>
    <mergeCell ref="D148:J148"/>
    <mergeCell ref="K148:M148"/>
    <mergeCell ref="P148:S148"/>
    <mergeCell ref="T148:W148"/>
    <mergeCell ref="X148:Z148"/>
    <mergeCell ref="AA148:AH148"/>
    <mergeCell ref="AI148:AQ148"/>
    <mergeCell ref="AU148:AX148"/>
    <mergeCell ref="AY146:BB146"/>
    <mergeCell ref="BC146:BJ146"/>
    <mergeCell ref="B147:C147"/>
    <mergeCell ref="D147:J147"/>
    <mergeCell ref="K147:M147"/>
    <mergeCell ref="P147:S147"/>
    <mergeCell ref="T147:W147"/>
    <mergeCell ref="X147:Z147"/>
    <mergeCell ref="AA147:AH147"/>
    <mergeCell ref="AI147:AQ147"/>
    <mergeCell ref="AU147:AX147"/>
    <mergeCell ref="AY147:BB147"/>
    <mergeCell ref="BC147:BJ147"/>
    <mergeCell ref="B146:C146"/>
    <mergeCell ref="D146:J146"/>
    <mergeCell ref="K146:M146"/>
    <mergeCell ref="P146:S146"/>
    <mergeCell ref="T146:W146"/>
    <mergeCell ref="X146:Z146"/>
    <mergeCell ref="AA146:AH146"/>
    <mergeCell ref="AI146:AQ146"/>
    <mergeCell ref="AU146:AX146"/>
    <mergeCell ref="AY144:BB144"/>
    <mergeCell ref="BC144:BJ144"/>
    <mergeCell ref="B145:C145"/>
    <mergeCell ref="D145:J145"/>
    <mergeCell ref="K145:M145"/>
    <mergeCell ref="P145:S145"/>
    <mergeCell ref="T145:W145"/>
    <mergeCell ref="X145:Z145"/>
    <mergeCell ref="AA145:AH145"/>
    <mergeCell ref="AI145:AQ145"/>
    <mergeCell ref="AU145:AX145"/>
    <mergeCell ref="AY145:BB145"/>
    <mergeCell ref="BC145:BJ145"/>
    <mergeCell ref="B144:C144"/>
    <mergeCell ref="D144:J144"/>
    <mergeCell ref="K144:M144"/>
    <mergeCell ref="P144:S144"/>
    <mergeCell ref="T144:W144"/>
    <mergeCell ref="X144:Z144"/>
    <mergeCell ref="AA144:AH144"/>
    <mergeCell ref="AI144:AQ144"/>
    <mergeCell ref="AU144:AX144"/>
    <mergeCell ref="AY142:BB142"/>
    <mergeCell ref="BC142:BJ142"/>
    <mergeCell ref="B143:C143"/>
    <mergeCell ref="D143:J143"/>
    <mergeCell ref="K143:M143"/>
    <mergeCell ref="P143:S143"/>
    <mergeCell ref="T143:W143"/>
    <mergeCell ref="X143:Z143"/>
    <mergeCell ref="AA143:AH143"/>
    <mergeCell ref="AI143:AQ143"/>
    <mergeCell ref="AU143:AX143"/>
    <mergeCell ref="AY143:BB143"/>
    <mergeCell ref="BC143:BJ143"/>
    <mergeCell ref="B142:C142"/>
    <mergeCell ref="D142:J142"/>
    <mergeCell ref="K142:M142"/>
    <mergeCell ref="P142:S142"/>
    <mergeCell ref="T142:W142"/>
    <mergeCell ref="X142:Z142"/>
    <mergeCell ref="AA142:AH142"/>
    <mergeCell ref="AI142:AQ142"/>
    <mergeCell ref="AU142:AX142"/>
    <mergeCell ref="AY140:BB140"/>
    <mergeCell ref="BC140:BJ140"/>
    <mergeCell ref="B141:C141"/>
    <mergeCell ref="D141:J141"/>
    <mergeCell ref="K141:M141"/>
    <mergeCell ref="P141:S141"/>
    <mergeCell ref="T141:W141"/>
    <mergeCell ref="X141:Z141"/>
    <mergeCell ref="AA141:AH141"/>
    <mergeCell ref="AI141:AQ141"/>
    <mergeCell ref="AU141:AX141"/>
    <mergeCell ref="AY141:BB141"/>
    <mergeCell ref="BC141:BJ141"/>
    <mergeCell ref="B140:C140"/>
    <mergeCell ref="D140:J140"/>
    <mergeCell ref="K140:M140"/>
    <mergeCell ref="P140:S140"/>
    <mergeCell ref="T140:W140"/>
    <mergeCell ref="X140:Z140"/>
    <mergeCell ref="AA140:AH140"/>
    <mergeCell ref="AI140:AQ140"/>
    <mergeCell ref="AU140:AX140"/>
    <mergeCell ref="AY138:BB138"/>
    <mergeCell ref="BC138:BJ138"/>
    <mergeCell ref="B139:C139"/>
    <mergeCell ref="D139:J139"/>
    <mergeCell ref="K139:M139"/>
    <mergeCell ref="P139:S139"/>
    <mergeCell ref="T139:W139"/>
    <mergeCell ref="X139:Z139"/>
    <mergeCell ref="AA139:AH139"/>
    <mergeCell ref="AI139:AQ139"/>
    <mergeCell ref="AU139:AX139"/>
    <mergeCell ref="AY139:BB139"/>
    <mergeCell ref="BC139:BJ139"/>
    <mergeCell ref="B138:C138"/>
    <mergeCell ref="D138:J138"/>
    <mergeCell ref="K138:M138"/>
    <mergeCell ref="P138:S138"/>
    <mergeCell ref="T138:W138"/>
    <mergeCell ref="X138:Z138"/>
    <mergeCell ref="AA138:AH138"/>
    <mergeCell ref="AI138:AQ138"/>
    <mergeCell ref="AU138:AX138"/>
    <mergeCell ref="AY136:BB136"/>
    <mergeCell ref="BC136:BJ136"/>
    <mergeCell ref="B137:C137"/>
    <mergeCell ref="D137:J137"/>
    <mergeCell ref="K137:M137"/>
    <mergeCell ref="P137:S137"/>
    <mergeCell ref="T137:W137"/>
    <mergeCell ref="X137:Z137"/>
    <mergeCell ref="AA137:AH137"/>
    <mergeCell ref="AI137:AQ137"/>
    <mergeCell ref="AU137:AX137"/>
    <mergeCell ref="AY137:BB137"/>
    <mergeCell ref="BC137:BJ137"/>
    <mergeCell ref="B136:C136"/>
    <mergeCell ref="D136:J136"/>
    <mergeCell ref="K136:M136"/>
    <mergeCell ref="P136:S136"/>
    <mergeCell ref="T136:W136"/>
    <mergeCell ref="X136:Z136"/>
    <mergeCell ref="AA136:AH136"/>
    <mergeCell ref="AI136:AQ136"/>
    <mergeCell ref="AU136:AX136"/>
    <mergeCell ref="AY134:BB134"/>
    <mergeCell ref="BC134:BJ134"/>
    <mergeCell ref="B135:C135"/>
    <mergeCell ref="D135:J135"/>
    <mergeCell ref="K135:M135"/>
    <mergeCell ref="P135:S135"/>
    <mergeCell ref="T135:W135"/>
    <mergeCell ref="X135:Z135"/>
    <mergeCell ref="AA135:AH135"/>
    <mergeCell ref="AI135:AQ135"/>
    <mergeCell ref="AU135:AX135"/>
    <mergeCell ref="AY135:BB135"/>
    <mergeCell ref="BC135:BJ135"/>
    <mergeCell ref="B134:C134"/>
    <mergeCell ref="D134:J134"/>
    <mergeCell ref="K134:M134"/>
    <mergeCell ref="P134:S134"/>
    <mergeCell ref="T134:W134"/>
    <mergeCell ref="X134:Z134"/>
    <mergeCell ref="AA134:AH134"/>
    <mergeCell ref="AI134:AQ134"/>
    <mergeCell ref="AU134:AX134"/>
    <mergeCell ref="B132:BJ132"/>
    <mergeCell ref="B133:C133"/>
    <mergeCell ref="D133:J133"/>
    <mergeCell ref="K133:M133"/>
    <mergeCell ref="P133:S133"/>
    <mergeCell ref="T133:W133"/>
    <mergeCell ref="X133:Z133"/>
    <mergeCell ref="AA133:AH133"/>
    <mergeCell ref="AI133:AQ133"/>
    <mergeCell ref="AU133:AX133"/>
    <mergeCell ref="AY133:BB133"/>
    <mergeCell ref="BC133:BJ133"/>
    <mergeCell ref="AY87:BB87"/>
    <mergeCell ref="BC87:BJ87"/>
    <mergeCell ref="B49:BJ49"/>
    <mergeCell ref="B129:C131"/>
    <mergeCell ref="D129:J131"/>
    <mergeCell ref="K129:M131"/>
    <mergeCell ref="N129:N131"/>
    <mergeCell ref="O129:O131"/>
    <mergeCell ref="P129:AQ129"/>
    <mergeCell ref="AR129:BB129"/>
    <mergeCell ref="BC129:BJ131"/>
    <mergeCell ref="P130:W130"/>
    <mergeCell ref="X130:Z131"/>
    <mergeCell ref="AA130:AH131"/>
    <mergeCell ref="AI130:AQ131"/>
    <mergeCell ref="AR130:AR131"/>
    <mergeCell ref="AS130:AS131"/>
    <mergeCell ref="AT130:AT131"/>
    <mergeCell ref="AU130:BB130"/>
    <mergeCell ref="P131:S131"/>
    <mergeCell ref="T131:W131"/>
    <mergeCell ref="AU131:AX131"/>
    <mergeCell ref="AY131:BB131"/>
    <mergeCell ref="B87:C87"/>
    <mergeCell ref="D87:J87"/>
    <mergeCell ref="K87:M87"/>
    <mergeCell ref="P87:S87"/>
    <mergeCell ref="T87:W87"/>
    <mergeCell ref="X87:Z87"/>
    <mergeCell ref="AA87:AH87"/>
    <mergeCell ref="AI87:AQ87"/>
    <mergeCell ref="AU87:AX87"/>
    <mergeCell ref="AY85:BB85"/>
    <mergeCell ref="BC85:BJ85"/>
    <mergeCell ref="B86:C86"/>
    <mergeCell ref="D86:J86"/>
    <mergeCell ref="K86:M86"/>
    <mergeCell ref="P86:S86"/>
    <mergeCell ref="T86:W86"/>
    <mergeCell ref="X86:Z86"/>
    <mergeCell ref="AA86:AH86"/>
    <mergeCell ref="AI86:AQ86"/>
    <mergeCell ref="AU86:AX86"/>
    <mergeCell ref="AY86:BB86"/>
    <mergeCell ref="BC86:BJ86"/>
    <mergeCell ref="B85:C85"/>
    <mergeCell ref="D85:J85"/>
    <mergeCell ref="K85:M85"/>
    <mergeCell ref="P85:S85"/>
    <mergeCell ref="T85:W85"/>
    <mergeCell ref="X85:Z85"/>
    <mergeCell ref="AA85:AH85"/>
    <mergeCell ref="AI85:AQ85"/>
    <mergeCell ref="AU85:AX85"/>
    <mergeCell ref="AY83:BB83"/>
    <mergeCell ref="BC83:BJ83"/>
    <mergeCell ref="B84:C84"/>
    <mergeCell ref="D84:J84"/>
    <mergeCell ref="K84:M84"/>
    <mergeCell ref="P84:S84"/>
    <mergeCell ref="T84:W84"/>
    <mergeCell ref="X84:Z84"/>
    <mergeCell ref="AA84:AH84"/>
    <mergeCell ref="AI84:AQ84"/>
    <mergeCell ref="AU84:AX84"/>
    <mergeCell ref="AY84:BB84"/>
    <mergeCell ref="BC84:BJ84"/>
    <mergeCell ref="B83:C83"/>
    <mergeCell ref="D83:J83"/>
    <mergeCell ref="K83:M83"/>
    <mergeCell ref="P83:S83"/>
    <mergeCell ref="T83:W83"/>
    <mergeCell ref="X83:Z83"/>
    <mergeCell ref="AA83:AH83"/>
    <mergeCell ref="AI83:AQ83"/>
    <mergeCell ref="AU83:AX8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5:C47"/>
    <mergeCell ref="D45:J47"/>
    <mergeCell ref="K45:M47"/>
    <mergeCell ref="N45:N47"/>
    <mergeCell ref="O45:O47"/>
    <mergeCell ref="AU47:AX47"/>
    <mergeCell ref="AY47:BB47"/>
    <mergeCell ref="B48:C48"/>
    <mergeCell ref="D48:J48"/>
    <mergeCell ref="K48:M48"/>
    <mergeCell ref="P48:S48"/>
    <mergeCell ref="T48:W48"/>
    <mergeCell ref="P45:AQ45"/>
    <mergeCell ref="AR45:BB45"/>
    <mergeCell ref="BC45:BJ47"/>
    <mergeCell ref="P46:W46"/>
    <mergeCell ref="X46:Z47"/>
    <mergeCell ref="AA46:AH47"/>
    <mergeCell ref="AI46:AQ47"/>
    <mergeCell ref="AR46:AR47"/>
    <mergeCell ref="AS46:AS47"/>
    <mergeCell ref="AT46:AT47"/>
    <mergeCell ref="X48:Z48"/>
    <mergeCell ref="AA48:AH48"/>
    <mergeCell ref="AI48:AQ48"/>
    <mergeCell ref="AU48:AX48"/>
    <mergeCell ref="AY48:BB48"/>
    <mergeCell ref="BC48:BJ48"/>
    <mergeCell ref="AU46:BB46"/>
    <mergeCell ref="P47:S47"/>
    <mergeCell ref="T47:W47"/>
    <mergeCell ref="B51:C51"/>
    <mergeCell ref="D51:J51"/>
    <mergeCell ref="K51:M51"/>
    <mergeCell ref="P51:S51"/>
    <mergeCell ref="T51:W51"/>
    <mergeCell ref="B50:C50"/>
    <mergeCell ref="D50:J50"/>
    <mergeCell ref="K50:M50"/>
    <mergeCell ref="P50:S50"/>
    <mergeCell ref="T50:W50"/>
    <mergeCell ref="X51:Z51"/>
    <mergeCell ref="AA51:AH51"/>
    <mergeCell ref="AI51:AQ51"/>
    <mergeCell ref="AU51:AX51"/>
    <mergeCell ref="AY51:BB51"/>
    <mergeCell ref="BC51:BJ51"/>
    <mergeCell ref="AA50:AH50"/>
    <mergeCell ref="AI50:AQ50"/>
    <mergeCell ref="AU50:AX50"/>
    <mergeCell ref="AY50:BB50"/>
    <mergeCell ref="BC50:BJ50"/>
    <mergeCell ref="X50:Z50"/>
    <mergeCell ref="B53:C53"/>
    <mergeCell ref="D53:J53"/>
    <mergeCell ref="K53:M53"/>
    <mergeCell ref="P53:S53"/>
    <mergeCell ref="T53:W53"/>
    <mergeCell ref="B52:C52"/>
    <mergeCell ref="D52:J52"/>
    <mergeCell ref="K52:M52"/>
    <mergeCell ref="P52:S52"/>
    <mergeCell ref="T52:W52"/>
    <mergeCell ref="X53:Z53"/>
    <mergeCell ref="AA53:AH53"/>
    <mergeCell ref="AI53:AQ53"/>
    <mergeCell ref="AU53:AX53"/>
    <mergeCell ref="AY53:BB53"/>
    <mergeCell ref="BC53:BJ53"/>
    <mergeCell ref="AA52:AH52"/>
    <mergeCell ref="AI52:AQ52"/>
    <mergeCell ref="AU52:AX52"/>
    <mergeCell ref="AY52:BB52"/>
    <mergeCell ref="BC52:BJ52"/>
    <mergeCell ref="X52:Z52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B60:C60"/>
    <mergeCell ref="D60:J60"/>
    <mergeCell ref="K60:M60"/>
    <mergeCell ref="P60:S60"/>
    <mergeCell ref="T60:W60"/>
    <mergeCell ref="B57:C57"/>
    <mergeCell ref="D57:J57"/>
    <mergeCell ref="K57:M57"/>
    <mergeCell ref="P57:S57"/>
    <mergeCell ref="T57:W57"/>
    <mergeCell ref="X60:Z60"/>
    <mergeCell ref="AA60:AH60"/>
    <mergeCell ref="AI60:AQ60"/>
    <mergeCell ref="AU60:AX60"/>
    <mergeCell ref="AY60:BB60"/>
    <mergeCell ref="BC60:BJ60"/>
    <mergeCell ref="AA57:AH57"/>
    <mergeCell ref="AI57:AQ57"/>
    <mergeCell ref="AU57:AX57"/>
    <mergeCell ref="AY57:BB57"/>
    <mergeCell ref="BC57:BJ57"/>
    <mergeCell ref="X57:Z57"/>
    <mergeCell ref="B65:C65"/>
    <mergeCell ref="D65:J65"/>
    <mergeCell ref="K65:M65"/>
    <mergeCell ref="P65:S65"/>
    <mergeCell ref="T65:W65"/>
    <mergeCell ref="B61:C61"/>
    <mergeCell ref="D61:J61"/>
    <mergeCell ref="K61:M61"/>
    <mergeCell ref="P61:S61"/>
    <mergeCell ref="T61:W61"/>
    <mergeCell ref="B64:C64"/>
    <mergeCell ref="D64:J64"/>
    <mergeCell ref="K64:M64"/>
    <mergeCell ref="P64:S64"/>
    <mergeCell ref="T64:W64"/>
    <mergeCell ref="B62:C62"/>
    <mergeCell ref="D62:J62"/>
    <mergeCell ref="K62:M62"/>
    <mergeCell ref="P62:S62"/>
    <mergeCell ref="T62:W62"/>
    <mergeCell ref="B63:C63"/>
    <mergeCell ref="D63:J63"/>
    <mergeCell ref="K63:M63"/>
    <mergeCell ref="P63:S63"/>
    <mergeCell ref="X65:Z65"/>
    <mergeCell ref="AA65:AH65"/>
    <mergeCell ref="AI65:AQ65"/>
    <mergeCell ref="AU65:AX65"/>
    <mergeCell ref="AY65:BB65"/>
    <mergeCell ref="BC65:BJ65"/>
    <mergeCell ref="AA61:AH61"/>
    <mergeCell ref="AI61:AQ61"/>
    <mergeCell ref="AU61:AX61"/>
    <mergeCell ref="AY61:BB61"/>
    <mergeCell ref="BC61:BJ61"/>
    <mergeCell ref="X61:Z61"/>
    <mergeCell ref="B67:C67"/>
    <mergeCell ref="D67:J67"/>
    <mergeCell ref="K67:M67"/>
    <mergeCell ref="P67:S67"/>
    <mergeCell ref="T67:W67"/>
    <mergeCell ref="B66:C66"/>
    <mergeCell ref="D66:J66"/>
    <mergeCell ref="K66:M66"/>
    <mergeCell ref="P66:S66"/>
    <mergeCell ref="T66:W66"/>
    <mergeCell ref="X67:Z67"/>
    <mergeCell ref="AA67:AH67"/>
    <mergeCell ref="AI67:AQ67"/>
    <mergeCell ref="AU67:AX67"/>
    <mergeCell ref="AY67:BB67"/>
    <mergeCell ref="BC67:BJ67"/>
    <mergeCell ref="AA66:AH66"/>
    <mergeCell ref="AI66:AQ66"/>
    <mergeCell ref="AU66:AX66"/>
    <mergeCell ref="AY66:BB66"/>
    <mergeCell ref="BC66:BJ66"/>
    <mergeCell ref="X66:Z66"/>
    <mergeCell ref="B69:C69"/>
    <mergeCell ref="D69:J69"/>
    <mergeCell ref="K69:M69"/>
    <mergeCell ref="P69:S69"/>
    <mergeCell ref="T69:W69"/>
    <mergeCell ref="B68:C68"/>
    <mergeCell ref="D68:J68"/>
    <mergeCell ref="K68:M68"/>
    <mergeCell ref="P68:S68"/>
    <mergeCell ref="T68:W68"/>
    <mergeCell ref="X69:Z69"/>
    <mergeCell ref="AA69:AH69"/>
    <mergeCell ref="AI69:AQ69"/>
    <mergeCell ref="AU69:AX69"/>
    <mergeCell ref="AY69:BB69"/>
    <mergeCell ref="BC69:BJ69"/>
    <mergeCell ref="AA68:AH68"/>
    <mergeCell ref="AI68:AQ68"/>
    <mergeCell ref="AU68:AX68"/>
    <mergeCell ref="AY68:BB68"/>
    <mergeCell ref="BC68:BJ68"/>
    <mergeCell ref="X68:Z68"/>
    <mergeCell ref="B71:C71"/>
    <mergeCell ref="D71:J71"/>
    <mergeCell ref="K71:M71"/>
    <mergeCell ref="P71:S71"/>
    <mergeCell ref="T71:W71"/>
    <mergeCell ref="B70:C70"/>
    <mergeCell ref="D70:J70"/>
    <mergeCell ref="K70:M70"/>
    <mergeCell ref="P70:S70"/>
    <mergeCell ref="T70:W70"/>
    <mergeCell ref="X71:Z71"/>
    <mergeCell ref="AA71:AH71"/>
    <mergeCell ref="AI71:AQ71"/>
    <mergeCell ref="AU71:AX71"/>
    <mergeCell ref="AY71:BB71"/>
    <mergeCell ref="BC71:BJ71"/>
    <mergeCell ref="AA70:AH70"/>
    <mergeCell ref="AI70:AQ70"/>
    <mergeCell ref="AU70:AX70"/>
    <mergeCell ref="AY70:BB70"/>
    <mergeCell ref="BC70:BJ70"/>
    <mergeCell ref="X70:Z70"/>
    <mergeCell ref="B73:C73"/>
    <mergeCell ref="D73:J73"/>
    <mergeCell ref="K73:M73"/>
    <mergeCell ref="P73:S73"/>
    <mergeCell ref="T73:W73"/>
    <mergeCell ref="B72:C72"/>
    <mergeCell ref="D72:J72"/>
    <mergeCell ref="K72:M72"/>
    <mergeCell ref="P72:S72"/>
    <mergeCell ref="T72:W72"/>
    <mergeCell ref="X73:Z73"/>
    <mergeCell ref="AA73:AH73"/>
    <mergeCell ref="AI73:AQ73"/>
    <mergeCell ref="AU73:AX73"/>
    <mergeCell ref="AY73:BB73"/>
    <mergeCell ref="BC73:BJ73"/>
    <mergeCell ref="AA72:AH72"/>
    <mergeCell ref="AI72:AQ72"/>
    <mergeCell ref="AU72:AX72"/>
    <mergeCell ref="AY72:BB72"/>
    <mergeCell ref="BC72:BJ72"/>
    <mergeCell ref="X72:Z72"/>
    <mergeCell ref="AU62:AX62"/>
    <mergeCell ref="AY62:BB62"/>
    <mergeCell ref="BC62:BJ62"/>
    <mergeCell ref="X62:Z62"/>
    <mergeCell ref="X63:Z63"/>
    <mergeCell ref="AA63:AH63"/>
    <mergeCell ref="AI63:AQ63"/>
    <mergeCell ref="AU63:AX63"/>
    <mergeCell ref="AY63:BB63"/>
    <mergeCell ref="BC63:BJ63"/>
    <mergeCell ref="B75:C75"/>
    <mergeCell ref="D75:J75"/>
    <mergeCell ref="K75:M75"/>
    <mergeCell ref="P75:S75"/>
    <mergeCell ref="T75:W75"/>
    <mergeCell ref="B74:C74"/>
    <mergeCell ref="D74:J74"/>
    <mergeCell ref="K74:M74"/>
    <mergeCell ref="P74:S74"/>
    <mergeCell ref="T74:W74"/>
    <mergeCell ref="X75:Z75"/>
    <mergeCell ref="AA75:AH75"/>
    <mergeCell ref="AI75:AQ75"/>
    <mergeCell ref="AU75:AX75"/>
    <mergeCell ref="AY75:BB75"/>
    <mergeCell ref="BC75:BJ75"/>
    <mergeCell ref="AA74:AH74"/>
    <mergeCell ref="AI74:AQ74"/>
    <mergeCell ref="AU74:AX74"/>
    <mergeCell ref="AY74:BB74"/>
    <mergeCell ref="BC74:BJ74"/>
    <mergeCell ref="X74:Z74"/>
    <mergeCell ref="AY54:BB54"/>
    <mergeCell ref="BC54:BJ54"/>
    <mergeCell ref="B59:BJ59"/>
    <mergeCell ref="B76:C76"/>
    <mergeCell ref="D76:J76"/>
    <mergeCell ref="K76:M76"/>
    <mergeCell ref="P76:S76"/>
    <mergeCell ref="T76:W76"/>
    <mergeCell ref="X76:Z76"/>
    <mergeCell ref="AA76:AH76"/>
    <mergeCell ref="AI76:AQ76"/>
    <mergeCell ref="AU76:AX76"/>
    <mergeCell ref="AY76:BB76"/>
    <mergeCell ref="BC76:BJ76"/>
    <mergeCell ref="B54:C54"/>
    <mergeCell ref="D54:J54"/>
    <mergeCell ref="K54:M54"/>
    <mergeCell ref="P54:S54"/>
    <mergeCell ref="T54:W54"/>
    <mergeCell ref="X54:Z54"/>
    <mergeCell ref="AA54:AH54"/>
    <mergeCell ref="AI54:AQ54"/>
    <mergeCell ref="AU54:AX54"/>
    <mergeCell ref="T63:W63"/>
    <mergeCell ref="X64:Z64"/>
    <mergeCell ref="AA64:AH64"/>
    <mergeCell ref="AI64:AQ64"/>
    <mergeCell ref="AU64:AX64"/>
    <mergeCell ref="AY64:BB64"/>
    <mergeCell ref="BC64:BJ64"/>
    <mergeCell ref="AA62:AH62"/>
    <mergeCell ref="AI62:AQ62"/>
    <mergeCell ref="AI79:AQ79"/>
    <mergeCell ref="AU79:AX79"/>
    <mergeCell ref="AY77:BB77"/>
    <mergeCell ref="BC77:BJ77"/>
    <mergeCell ref="B78:C78"/>
    <mergeCell ref="D78:J78"/>
    <mergeCell ref="K78:M78"/>
    <mergeCell ref="P78:S78"/>
    <mergeCell ref="T78:W78"/>
    <mergeCell ref="X78:Z78"/>
    <mergeCell ref="AA78:AH78"/>
    <mergeCell ref="AI78:AQ78"/>
    <mergeCell ref="AU78:AX78"/>
    <mergeCell ref="AY78:BB78"/>
    <mergeCell ref="BC78:BJ78"/>
    <mergeCell ref="B77:C77"/>
    <mergeCell ref="D77:J77"/>
    <mergeCell ref="K77:M77"/>
    <mergeCell ref="P77:S77"/>
    <mergeCell ref="T77:W77"/>
    <mergeCell ref="X77:Z77"/>
    <mergeCell ref="AA77:AH77"/>
    <mergeCell ref="AI77:AQ77"/>
    <mergeCell ref="AU77:AX77"/>
    <mergeCell ref="AU82:AX82"/>
    <mergeCell ref="AY82:BB82"/>
    <mergeCell ref="BC82:BJ82"/>
    <mergeCell ref="B81:C81"/>
    <mergeCell ref="D81:J81"/>
    <mergeCell ref="K81:M81"/>
    <mergeCell ref="P81:S81"/>
    <mergeCell ref="T81:W81"/>
    <mergeCell ref="X81:Z81"/>
    <mergeCell ref="AA81:AH81"/>
    <mergeCell ref="AI81:AQ81"/>
    <mergeCell ref="AU81:AX81"/>
    <mergeCell ref="AY79:BB79"/>
    <mergeCell ref="BC79:BJ79"/>
    <mergeCell ref="B80:C80"/>
    <mergeCell ref="D80:J80"/>
    <mergeCell ref="K80:M80"/>
    <mergeCell ref="P80:S80"/>
    <mergeCell ref="T80:W80"/>
    <mergeCell ref="X80:Z80"/>
    <mergeCell ref="AA80:AH80"/>
    <mergeCell ref="AI80:AQ80"/>
    <mergeCell ref="AU80:AX80"/>
    <mergeCell ref="AY80:BB80"/>
    <mergeCell ref="BC80:BJ80"/>
    <mergeCell ref="B79:C79"/>
    <mergeCell ref="D79:J79"/>
    <mergeCell ref="K79:M79"/>
    <mergeCell ref="P79:S79"/>
    <mergeCell ref="T79:W79"/>
    <mergeCell ref="X79:Z79"/>
    <mergeCell ref="AA79:AH79"/>
    <mergeCell ref="AY88:BB88"/>
    <mergeCell ref="BC88:BJ88"/>
    <mergeCell ref="B88:C88"/>
    <mergeCell ref="D88:J88"/>
    <mergeCell ref="K88:M88"/>
    <mergeCell ref="P88:S88"/>
    <mergeCell ref="T88:W88"/>
    <mergeCell ref="X88:Z88"/>
    <mergeCell ref="AA88:AH88"/>
    <mergeCell ref="AI88:AQ88"/>
    <mergeCell ref="AU88:AX88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AY58:BB58"/>
    <mergeCell ref="BC58:BJ58"/>
    <mergeCell ref="AY81:BB81"/>
    <mergeCell ref="BC81:BJ81"/>
    <mergeCell ref="B82:C82"/>
    <mergeCell ref="D82:J82"/>
    <mergeCell ref="K82:M82"/>
    <mergeCell ref="P82:S82"/>
    <mergeCell ref="T82:W82"/>
    <mergeCell ref="X82:Z82"/>
    <mergeCell ref="AA82:AH82"/>
    <mergeCell ref="AI82:AQ82"/>
  </mergeCells>
  <dataValidations count="2">
    <dataValidation type="list" allowBlank="1" showInputMessage="1" showErrorMessage="1" sqref="N60:N88 N48 N324:N352 N133:N153 N198:N218 N262:N280 N50:N58" xr:uid="{00000000-0002-0000-0300-000000000000}">
      <formula1>"ー,I,O,I/O"</formula1>
    </dataValidation>
    <dataValidation type="list" allowBlank="1" showInputMessage="1" showErrorMessage="1" sqref="AR51 AR67 AR69 AR53:AS54 AR56 AR60:AS65 O50:O58 AS69:AS88 O60:O88 AR73:AR88 O48 AR325:AR352 AR134:AR153 O198:O218 AR199:AR218 O133:O153 O262:O280 AR263:AR280 O324:O352 AR57:AS58" xr:uid="{00000000-0002-0000-0300-000001000000}">
      <formula1>"－,●"</formula1>
    </dataValidation>
  </dataValidations>
  <pageMargins left="0.7" right="0.7" top="0.75" bottom="0.75" header="0.3" footer="0.3"/>
  <pageSetup scale="1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F1CD2D-76DE-4D44-8C73-C8A7F65CB93C}"/>
</file>

<file path=customXml/itemProps2.xml><?xml version="1.0" encoding="utf-8"?>
<ds:datastoreItem xmlns:ds="http://schemas.openxmlformats.org/officeDocument/2006/customXml" ds:itemID="{CC58A77E-53C3-4F80-8ABD-CC9BEF124A38}"/>
</file>

<file path=customXml/itemProps3.xml><?xml version="1.0" encoding="utf-8"?>
<ds:datastoreItem xmlns:ds="http://schemas.openxmlformats.org/officeDocument/2006/customXml" ds:itemID="{04731109-63E5-4237-AD46-B2268606E65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改訂履歴</vt:lpstr>
      <vt:lpstr>SC3101</vt:lpstr>
      <vt:lpstr>SC3102</vt:lpstr>
      <vt:lpstr>'SC3101'!Print_Area</vt:lpstr>
      <vt:lpstr>'SC3102'!Print_Area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2025-01-02T02:19:56Z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