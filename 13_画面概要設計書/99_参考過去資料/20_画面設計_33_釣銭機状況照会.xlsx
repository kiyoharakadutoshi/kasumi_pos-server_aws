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CE18F544-279D-43EC-B43F-6BC78D165B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3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P2" i="4"/>
  <c r="AP2" i="7" s="1"/>
  <c r="AP2" i="3" l="1"/>
  <c r="BH2" i="3"/>
  <c r="AY2" i="3"/>
  <c r="BC2" i="3"/>
</calcChain>
</file>

<file path=xl/sharedStrings.xml><?xml version="1.0" encoding="utf-8"?>
<sst xmlns="http://schemas.openxmlformats.org/spreadsheetml/2006/main" count="925" uniqueCount="170">
  <si>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</si>
  <si>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</si>
  <si>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</si>
  <si>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</si>
  <si>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</si>
  <si>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</si>
  <si>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</si>
  <si>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</si>
  <si>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</si>
  <si>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</si>
  <si>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</si>
  <si>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</si>
  <si>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種別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</si>
  <si>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</si>
  <si>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レジNo.</t>
    </r>
  </si>
  <si>
    <r>
      <rPr>
        <sz val="11"/>
        <color rgb="FF000000"/>
        <rFont val="Meiryo UI"/>
        <family val="2"/>
      </rPr>
      <t>¥10,000</t>
    </r>
  </si>
  <si>
    <r>
      <rPr>
        <sz val="11"/>
        <color rgb="FF000000"/>
        <rFont val="Meiryo UI"/>
        <family val="2"/>
      </rPr>
      <t>¥5,000</t>
    </r>
  </si>
  <si>
    <r>
      <rPr>
        <sz val="11"/>
        <color rgb="FF000000"/>
        <rFont val="Meiryo UI"/>
        <family val="2"/>
      </rPr>
      <t>¥2,000</t>
    </r>
  </si>
  <si>
    <r>
      <rPr>
        <sz val="11"/>
        <color rgb="FF000000"/>
        <rFont val="Meiryo UI"/>
        <family val="2"/>
      </rPr>
      <t>¥1,000</t>
    </r>
  </si>
  <si>
    <r>
      <rPr>
        <sz val="11"/>
        <color rgb="FF000000"/>
        <rFont val="Meiryo UI"/>
        <family val="2"/>
      </rPr>
      <t>¥500</t>
    </r>
  </si>
  <si>
    <r>
      <rPr>
        <sz val="11"/>
        <color rgb="FF000000"/>
        <rFont val="Meiryo UI"/>
        <family val="2"/>
      </rPr>
      <t>¥100</t>
    </r>
  </si>
  <si>
    <r>
      <rPr>
        <sz val="11"/>
        <color rgb="FF000000"/>
        <rFont val="Meiryo UI"/>
        <family val="2"/>
      </rPr>
      <t>¥50</t>
    </r>
  </si>
  <si>
    <r>
      <rPr>
        <sz val="11"/>
        <color rgb="FF000000"/>
        <rFont val="Meiryo UI"/>
        <family val="2"/>
      </rPr>
      <t>¥10</t>
    </r>
  </si>
  <si>
    <r>
      <rPr>
        <sz val="11"/>
        <color rgb="FF000000"/>
        <rFont val="Meiryo UI"/>
        <family val="2"/>
      </rPr>
      <t>¥5</t>
    </r>
  </si>
  <si>
    <r>
      <rPr>
        <sz val="11"/>
        <color rgb="FF000000"/>
        <rFont val="Meiryo UI"/>
        <family val="2"/>
      </rPr>
      <t>¥1</t>
    </r>
  </si>
  <si>
    <r>
      <rPr>
        <sz val="11"/>
        <color rgb="FF000000"/>
        <rFont val="Meiryo UI"/>
        <family val="2"/>
      </rPr>
      <t>最終取得日付</t>
    </r>
  </si>
  <si>
    <r>
      <rPr>
        <sz val="11"/>
        <color rgb="FF000000"/>
        <rFont val="Meiryo UI"/>
        <family val="2"/>
      </rPr>
      <t>レジNo.(値）</t>
    </r>
  </si>
  <si>
    <r>
      <rPr>
        <sz val="11"/>
        <color rgb="FF000000"/>
        <rFont val="Meiryo UI"/>
        <family val="2"/>
      </rPr>
      <t>保留枚数</t>
    </r>
  </si>
  <si>
    <r>
      <rPr>
        <sz val="11"/>
        <color rgb="FF000000"/>
        <rFont val="Meiryo UI"/>
        <family val="2"/>
      </rPr>
      <t>基準枚数</t>
    </r>
  </si>
  <si>
    <r>
      <rPr>
        <sz val="11"/>
        <color rgb="FF000000"/>
        <rFont val="Meiryo UI"/>
        <family val="2"/>
      </rPr>
      <t>補充枚数</t>
    </r>
  </si>
  <si>
    <r>
      <rPr>
        <sz val="11"/>
        <color rgb="FF000000"/>
        <rFont val="Meiryo UI"/>
        <family val="2"/>
      </rPr>
      <t>¥10,000の基準枚数</t>
    </r>
  </si>
  <si>
    <r>
      <rPr>
        <sz val="11"/>
        <color rgb="FF000000"/>
        <rFont val="Meiryo UI"/>
        <family val="2"/>
      </rPr>
      <t>¥5000の基準枚数</t>
    </r>
  </si>
  <si>
    <r>
      <rPr>
        <sz val="11"/>
        <color rgb="FF000000"/>
        <rFont val="Meiryo UI"/>
        <family val="2"/>
      </rPr>
      <t>¥2000の基準枚数</t>
    </r>
  </si>
  <si>
    <r>
      <rPr>
        <sz val="11"/>
        <color rgb="FF000000"/>
        <rFont val="Meiryo UI"/>
        <family val="2"/>
      </rPr>
      <t>¥1000の基準枚数</t>
    </r>
  </si>
  <si>
    <r>
      <rPr>
        <sz val="11"/>
        <color rgb="FF000000"/>
        <rFont val="Meiryo UI"/>
        <family val="2"/>
      </rPr>
      <t>¥500の基準枚数</t>
    </r>
  </si>
  <si>
    <r>
      <rPr>
        <sz val="11"/>
        <color rgb="FF000000"/>
        <rFont val="Meiryo UI"/>
        <family val="2"/>
      </rPr>
      <t>¥100の基準枚数</t>
    </r>
  </si>
  <si>
    <r>
      <rPr>
        <sz val="11"/>
        <color rgb="FF000000"/>
        <rFont val="Meiryo UI"/>
        <family val="2"/>
      </rPr>
      <t>¥50の基準枚数</t>
    </r>
  </si>
  <si>
    <r>
      <rPr>
        <sz val="11"/>
        <color rgb="FF000000"/>
        <rFont val="Meiryo UI"/>
        <family val="2"/>
      </rPr>
      <t>¥10の基準枚数</t>
    </r>
  </si>
  <si>
    <r>
      <rPr>
        <sz val="11"/>
        <color rgb="FF000000"/>
        <rFont val="Meiryo UI"/>
        <family val="2"/>
      </rPr>
      <t>¥5の基準枚数</t>
    </r>
  </si>
  <si>
    <r>
      <rPr>
        <sz val="11"/>
        <color rgb="FF000000"/>
        <rFont val="Meiryo UI"/>
        <family val="2"/>
      </rPr>
      <t>¥1の基準枚数</t>
    </r>
  </si>
  <si>
    <r>
      <rPr>
        <sz val="11"/>
        <color rgb="FF000000"/>
        <rFont val="Meiryo UI"/>
        <family val="2"/>
      </rPr>
      <t>最終取得日付（値）</t>
    </r>
  </si>
  <si>
    <r>
      <rPr>
        <sz val="11"/>
        <color rgb="FF000000"/>
        <rFont val="Meiryo UI"/>
        <family val="2"/>
      </rPr>
      <t>¥10,000の保留枚数</t>
    </r>
  </si>
  <si>
    <r>
      <rPr>
        <sz val="11"/>
        <color rgb="FF000000"/>
        <rFont val="Meiryo UI"/>
        <family val="2"/>
      </rPr>
      <t>¥5000の保留枚数</t>
    </r>
  </si>
  <si>
    <r>
      <rPr>
        <sz val="11"/>
        <color rgb="FF000000"/>
        <rFont val="Meiryo UI"/>
        <family val="2"/>
      </rPr>
      <t>¥2000の保留枚数</t>
    </r>
  </si>
  <si>
    <r>
      <rPr>
        <sz val="11"/>
        <color rgb="FF000000"/>
        <rFont val="Meiryo UI"/>
        <family val="2"/>
      </rPr>
      <t>¥1000の保留枚数</t>
    </r>
  </si>
  <si>
    <r>
      <rPr>
        <sz val="11"/>
        <color rgb="FF000000"/>
        <rFont val="Meiryo UI"/>
        <family val="2"/>
      </rPr>
      <t>¥500の保留枚数</t>
    </r>
  </si>
  <si>
    <r>
      <rPr>
        <sz val="11"/>
        <color rgb="FF000000"/>
        <rFont val="Meiryo UI"/>
        <family val="2"/>
      </rPr>
      <t>¥100の保留枚数</t>
    </r>
  </si>
  <si>
    <r>
      <rPr>
        <sz val="11"/>
        <color rgb="FF000000"/>
        <rFont val="Meiryo UI"/>
        <family val="2"/>
      </rPr>
      <t>¥50の保留枚数</t>
    </r>
  </si>
  <si>
    <r>
      <rPr>
        <sz val="11"/>
        <color rgb="FF000000"/>
        <rFont val="Meiryo UI"/>
        <family val="2"/>
      </rPr>
      <t>¥10の保留枚数</t>
    </r>
  </si>
  <si>
    <r>
      <rPr>
        <sz val="11"/>
        <color rgb="FF000000"/>
        <rFont val="Meiryo UI"/>
        <family val="2"/>
      </rPr>
      <t>¥1の保留枚数</t>
    </r>
  </si>
  <si>
    <r>
      <rPr>
        <sz val="11"/>
        <color rgb="FF000000"/>
        <rFont val="Meiryo UI"/>
        <family val="2"/>
      </rPr>
      <t>¥5の保留枚数</t>
    </r>
  </si>
  <si>
    <r>
      <rPr>
        <sz val="11"/>
        <color rgb="FF000000"/>
        <rFont val="Meiryo UI"/>
        <family val="2"/>
      </rPr>
      <t>¥10,000の補充枚数</t>
    </r>
  </si>
  <si>
    <r>
      <rPr>
        <sz val="11"/>
        <color rgb="FF000000"/>
        <rFont val="Meiryo UI"/>
        <family val="2"/>
      </rPr>
      <t>¥5000の補充枚数</t>
    </r>
  </si>
  <si>
    <r>
      <rPr>
        <sz val="11"/>
        <color rgb="FF000000"/>
        <rFont val="Meiryo UI"/>
        <family val="2"/>
      </rPr>
      <t>¥2000の補充枚数</t>
    </r>
  </si>
  <si>
    <r>
      <rPr>
        <sz val="11"/>
        <color rgb="FF000000"/>
        <rFont val="Meiryo UI"/>
        <family val="2"/>
      </rPr>
      <t>¥1000の補充枚数</t>
    </r>
  </si>
  <si>
    <r>
      <rPr>
        <sz val="11"/>
        <color rgb="FF000000"/>
        <rFont val="Meiryo UI"/>
        <family val="2"/>
      </rPr>
      <t>¥500の補充枚数</t>
    </r>
  </si>
  <si>
    <r>
      <rPr>
        <sz val="11"/>
        <color rgb="FF000000"/>
        <rFont val="Meiryo UI"/>
        <family val="2"/>
      </rPr>
      <t>¥100の補充枚数</t>
    </r>
  </si>
  <si>
    <r>
      <rPr>
        <sz val="11"/>
        <color rgb="FF000000"/>
        <rFont val="Meiryo UI"/>
        <family val="2"/>
      </rPr>
      <t>¥50の補充枚数</t>
    </r>
  </si>
  <si>
    <r>
      <rPr>
        <sz val="11"/>
        <color rgb="FF000000"/>
        <rFont val="Meiryo UI"/>
        <family val="2"/>
      </rPr>
      <t>¥10の補充枚数</t>
    </r>
  </si>
  <si>
    <r>
      <rPr>
        <sz val="11"/>
        <color rgb="FF000000"/>
        <rFont val="Meiryo UI"/>
        <family val="2"/>
      </rPr>
      <t>¥5の補充枚数</t>
    </r>
  </si>
  <si>
    <r>
      <rPr>
        <sz val="11"/>
        <color rgb="FF000000"/>
        <rFont val="Meiryo UI"/>
        <family val="2"/>
      </rPr>
      <t>¥1の補充枚数</t>
    </r>
  </si>
  <si>
    <r>
      <rPr>
        <sz val="11"/>
        <color rgb="FF000000"/>
        <rFont val="Meiryo UI"/>
        <family val="2"/>
      </rPr>
      <t>補充が必要</t>
    </r>
  </si>
  <si>
    <r>
      <rPr>
        <sz val="11"/>
        <color rgb="FF000000"/>
        <rFont val="Meiryo UI"/>
        <family val="2"/>
      </rPr>
      <t>補充不要</t>
    </r>
  </si>
  <si>
    <r>
      <rPr>
        <sz val="11"/>
        <color rgb="FF000000"/>
        <rFont val="Meiryo UI"/>
        <family val="2"/>
      </rPr>
      <t>補充枚数項目の補充不要セルの色</t>
    </r>
  </si>
  <si>
    <r>
      <rPr>
        <sz val="11"/>
        <color rgb="FF000000"/>
        <rFont val="Meiryo UI"/>
        <family val="2"/>
      </rPr>
      <t>常に「-」を表示する。</t>
    </r>
  </si>
  <si>
    <r>
      <rPr>
        <sz val="11"/>
        <color rgb="FF000000"/>
        <rFont val="Meiryo UI"/>
        <family val="2"/>
      </rPr>
      <t>AP3301</t>
    </r>
  </si>
  <si>
    <r>
      <rPr>
        <sz val="11"/>
        <color rgb="FF000000"/>
        <rFont val="Meiryo UI"/>
        <family val="2"/>
      </rPr>
      <t>AP3301/AP3303</t>
    </r>
  </si>
  <si>
    <r>
      <rPr>
        <sz val="11"/>
        <color rgb="FF000000"/>
        <rFont val="Meiryo UI"/>
        <family val="2"/>
      </rPr>
      <t>AP3301/AP3304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</si>
  <si>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</si>
  <si>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33_釣銭機状況照会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</si>
  <si>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</si>
  <si>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補充発生レジのみ</t>
    </r>
  </si>
  <si>
    <r>
      <rPr>
        <sz val="11"/>
        <color rgb="FF000000"/>
        <rFont val="Meiryo UI"/>
        <family val="2"/>
      </rPr>
      <t>全レジ</t>
    </r>
  </si>
  <si>
    <r>
      <rPr>
        <sz val="11"/>
        <color rgb="FF000000"/>
        <rFont val="Meiryo UI"/>
        <family val="2"/>
      </rPr>
      <t>補充枚数項目の補充が必要なセルの色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</si>
  <si>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</si>
  <si>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</si>
  <si>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</si>
  <si>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</si>
  <si>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</si>
  <si>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</si>
  <si>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</si>
  <si>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</si>
  <si>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</si>
  <si>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</si>
  <si>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</si>
  <si>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</si>
  <si>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</si>
  <si>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</si>
  <si>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</si>
  <si>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</si>
  <si>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</si>
  <si>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</si>
  <si>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</si>
  <si>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</si>
  <si>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</si>
  <si>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</si>
  <si>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</si>
  <si>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</si>
  <si>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</si>
  <si>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</si>
  <si>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</si>
  <si>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</si>
  <si>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</si>
  <si>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</si>
  <si>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</si>
  <si>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</si>
  <si>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</si>
  <si>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</si>
  <si>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釣銭機状況照会</t>
  </si>
  <si>
    <t>ー</t>
  </si>
  <si>
    <t>種別</t>
  </si>
  <si>
    <t>ラジオ</t>
  </si>
  <si>
    <t>チェックを外す</t>
  </si>
  <si>
    <t>チェックを入れる</t>
  </si>
  <si>
    <t>ボタン</t>
  </si>
  <si>
    <t>対象店舗がある場合は有効になる</t>
  </si>
  <si>
    <r>
      <rPr>
        <sz val="11"/>
        <color rgb="FF000000"/>
        <rFont val="Meiryo UI"/>
        <family val="2"/>
      </rPr>
      <t>イベントID：SC3301-02</t>
    </r>
  </si>
  <si>
    <r>
      <rPr>
        <sz val="11"/>
        <color rgb="FF000000"/>
        <rFont val="Meiryo UI"/>
        <family val="2"/>
      </rPr>
      <t>イベントID：SC3301-03</t>
    </r>
  </si>
  <si>
    <t>¥5,000</t>
  </si>
  <si>
    <t>¥1,000</t>
  </si>
  <si>
    <t>¥100</t>
  </si>
  <si>
    <t>¥10</t>
  </si>
  <si>
    <t>¥1</t>
  </si>
  <si>
    <t>code</t>
  </si>
  <si>
    <t>基準枚数</t>
  </si>
  <si>
    <t>cash_threshold.ten_thousand_count</t>
  </si>
  <si>
    <t>cash_threshold.five_thousand_count</t>
  </si>
  <si>
    <t>cash_threshold.two_thousand_count</t>
  </si>
  <si>
    <t>cash_threshold.one_thousand_count</t>
  </si>
  <si>
    <t>cash_threshold.five_hundred_count</t>
  </si>
  <si>
    <t>cash_threshold.one_hundred_count</t>
  </si>
  <si>
    <t>cash_threshold.fifty_count</t>
  </si>
  <si>
    <t>cash_threshold.ten_count</t>
  </si>
  <si>
    <t>cash_threshold.five_count</t>
  </si>
  <si>
    <t>cash_threshold.one_count</t>
  </si>
  <si>
    <t>remaining_cash.last_retrieved_date</t>
  </si>
  <si>
    <r>
      <rPr>
        <sz val="11"/>
        <color rgb="FF000000"/>
        <rFont val="Meiryo UI"/>
        <family val="2"/>
      </rPr>
      <t xml:space="preserve">形式：yyyy/mm/dd hh:mm </t>
    </r>
  </si>
  <si>
    <t>保留枚数</t>
  </si>
  <si>
    <t>remaining_cash.ten_thousand_count</t>
  </si>
  <si>
    <t>remaining_cash.five_thousand_count</t>
  </si>
  <si>
    <t>remaining_cash.two_thousand_count</t>
  </si>
  <si>
    <t>remaining_cash.one_thousand_count</t>
  </si>
  <si>
    <t>remaining_cash.five_hundred_count</t>
  </si>
  <si>
    <t>remaining_cash.one_hundred_count</t>
  </si>
  <si>
    <t>remaining_cash.fifty_count</t>
  </si>
  <si>
    <t>remaining_cash.ten_count</t>
  </si>
  <si>
    <t>remaining_cash.five_count</t>
  </si>
  <si>
    <t>remaining_cash.one_count</t>
  </si>
  <si>
    <t>補充枚数</t>
  </si>
  <si>
    <t>additional_cash.ten_thousand_count</t>
  </si>
  <si>
    <t>additional_cash.five_thousand_count</t>
  </si>
  <si>
    <t>additional_cash.two_thousand_count</t>
  </si>
  <si>
    <t>additional_cash.one_thousand_count</t>
  </si>
  <si>
    <t>additional_cash.five_hundred_count</t>
  </si>
  <si>
    <t>additional_cash.one_hundred_count</t>
  </si>
  <si>
    <t>additional_cash.fifty_count</t>
  </si>
  <si>
    <t>additional_cash.ten_count</t>
  </si>
  <si>
    <t>additional_cash.five_count</t>
  </si>
  <si>
    <t>additional_cash.one_count</t>
  </si>
  <si>
    <t>補充不要</t>
  </si>
  <si>
    <t>補充が必要</t>
  </si>
  <si>
    <t>AP3301/AP3302</t>
  </si>
  <si>
    <t>AnhDD</t>
  </si>
  <si>
    <t>インターフェースを更新</t>
  </si>
  <si>
    <t>SC3301</t>
  </si>
  <si>
    <t>タイトル</t>
  </si>
  <si>
    <t>テキスト</t>
  </si>
  <si>
    <t>店舗選択エリア</t>
  </si>
  <si>
    <t>共通</t>
  </si>
  <si>
    <r>
      <rPr>
        <sz val="11"/>
        <color rgb="FF0000FF"/>
        <rFont val="Meiryo UI"/>
        <family val="2"/>
      </rPr>
      <t>印刷アイコン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</si>
</sst>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25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6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3" xfId="0" applyFont="1" applyBorder="1"/>
    <xf numFmtId="0" fontId="10" fillId="0" borderId="0" xfId="6" applyFont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2" xfId="0" applyFont="1" applyBorder="1"/>
    <xf numFmtId="0" fontId="10" fillId="0" borderId="2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6" fillId="2" borderId="0" xfId="0" applyFont="1" applyFill="1"/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 wrapText="1"/>
    </xf>
    <xf numFmtId="0" fontId="3" fillId="0" borderId="32" xfId="6" applyFont="1" applyBorder="1" applyAlignment="1">
      <alignment horizontal="center" vertical="center" wrapText="1"/>
    </xf>
    <xf numFmtId="0" fontId="3" fillId="0" borderId="33" xfId="6" applyFont="1" applyBorder="1" applyAlignment="1">
      <alignment horizontal="center" vertical="center" wrapText="1"/>
    </xf>
    <xf numFmtId="0" fontId="10" fillId="0" borderId="31" xfId="6" applyFont="1" applyBorder="1" applyAlignment="1">
      <alignment horizontal="center" vertical="center" wrapText="1"/>
    </xf>
    <xf numFmtId="0" fontId="10" fillId="0" borderId="32" xfId="6" applyFont="1" applyBorder="1" applyAlignment="1">
      <alignment horizontal="center" vertical="center" wrapText="1"/>
    </xf>
    <xf numFmtId="0" fontId="10" fillId="0" borderId="33" xfId="6" applyFont="1" applyBorder="1" applyAlignment="1">
      <alignment horizontal="center"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4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4" fillId="0" borderId="31" xfId="6" applyFont="1" applyBorder="1" applyAlignment="1">
      <alignment horizontal="center" vertical="center"/>
    </xf>
    <xf numFmtId="0" fontId="3" fillId="0" borderId="31" xfId="6" quotePrefix="1" applyFont="1" applyBorder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10" fillId="0" borderId="34" xfId="6" quotePrefix="1" applyFont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left" vertical="center" wrapText="1"/>
    </xf>
    <xf numFmtId="0" fontId="10" fillId="0" borderId="36" xfId="6" quotePrefix="1" applyFont="1" applyBorder="1" applyAlignment="1">
      <alignment horizontal="left" vertical="center" wrapText="1"/>
    </xf>
    <xf numFmtId="0" fontId="3" fillId="0" borderId="31" xfId="6" quotePrefix="1" applyFont="1" applyBorder="1" applyAlignment="1">
      <alignment horizontal="left" vertical="center" wrapText="1"/>
    </xf>
    <xf numFmtId="0" fontId="3" fillId="0" borderId="32" xfId="6" quotePrefix="1" applyFont="1" applyBorder="1" applyAlignment="1">
      <alignment horizontal="left" vertical="center" wrapText="1"/>
    </xf>
    <xf numFmtId="0" fontId="3" fillId="0" borderId="33" xfId="6" quotePrefix="1" applyFont="1" applyBorder="1" applyAlignment="1">
      <alignment horizontal="left" vertical="center" wrapText="1"/>
    </xf>
    <xf numFmtId="0" fontId="3" fillId="0" borderId="31" xfId="6" applyFont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4" fillId="3" borderId="19" xfId="6" applyFont="1" applyFill="1" applyBorder="1" applyAlignment="1">
      <alignment vertical="center"/>
    </xf>
    <xf numFmtId="0" fontId="3" fillId="3" borderId="20" xfId="6" applyFont="1" applyFill="1" applyBorder="1" applyAlignment="1">
      <alignment vertical="center"/>
    </xf>
    <xf numFmtId="0" fontId="3" fillId="3" borderId="21" xfId="6" applyFont="1" applyFill="1" applyBorder="1" applyAlignment="1">
      <alignment vertical="center"/>
    </xf>
    <xf numFmtId="0" fontId="4" fillId="4" borderId="19" xfId="6" applyFont="1" applyFill="1" applyBorder="1" applyAlignment="1">
      <alignment vertical="center"/>
    </xf>
    <xf numFmtId="0" fontId="3" fillId="4" borderId="20" xfId="6" applyFont="1" applyFill="1" applyBorder="1" applyAlignment="1">
      <alignment vertical="center"/>
    </xf>
    <xf numFmtId="0" fontId="3" fillId="4" borderId="21" xfId="6" applyFont="1" applyFill="1" applyBorder="1" applyAlignment="1">
      <alignment vertical="center"/>
    </xf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3" borderId="19" xfId="6" applyFont="1" applyFill="1" applyBorder="1"/>
    <xf numFmtId="0" fontId="4" fillId="3" borderId="20" xfId="6" applyFont="1" applyFill="1" applyBorder="1"/>
    <xf numFmtId="0" fontId="4" fillId="3" borderId="21" xfId="6" applyFont="1" applyFill="1" applyBorder="1"/>
    <xf numFmtId="0" fontId="4" fillId="3" borderId="22" xfId="6" applyFont="1" applyFill="1" applyBorder="1" applyAlignment="1">
      <alignment vertical="center"/>
    </xf>
    <xf numFmtId="0" fontId="3" fillId="3" borderId="23" xfId="6" applyFont="1" applyFill="1" applyBorder="1" applyAlignment="1">
      <alignment vertical="center"/>
    </xf>
    <xf numFmtId="0" fontId="3" fillId="3" borderId="2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37" xfId="6" applyFont="1" applyFill="1" applyBorder="1" applyAlignment="1">
      <alignment vertical="center" wrapText="1"/>
    </xf>
    <xf numFmtId="0" fontId="4" fillId="4" borderId="38" xfId="6" applyFont="1" applyFill="1" applyBorder="1" applyAlignment="1">
      <alignment vertical="center" wrapText="1"/>
    </xf>
    <xf numFmtId="0" fontId="4" fillId="4" borderId="24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6" fillId="2" borderId="19" xfId="6" applyFont="1" applyFill="1" applyBorder="1" applyAlignment="1">
      <alignment horizontal="center" vertical="center"/>
    </xf>
    <xf numFmtId="0" fontId="6" fillId="2" borderId="20" xfId="6" applyFont="1" applyFill="1" applyBorder="1" applyAlignment="1">
      <alignment horizontal="center" vertical="center"/>
    </xf>
    <xf numFmtId="0" fontId="6" fillId="2" borderId="21" xfId="6" applyFont="1" applyFill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6" borderId="22" xfId="6" applyFont="1" applyFill="1" applyBorder="1" applyAlignment="1">
      <alignment vertical="center" wrapText="1"/>
    </xf>
    <xf numFmtId="0" fontId="3" fillId="6" borderId="24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37" xfId="6" applyFont="1" applyFill="1" applyBorder="1" applyAlignment="1">
      <alignment vertical="center" shrinkToFit="1"/>
    </xf>
    <xf numFmtId="0" fontId="3" fillId="6" borderId="39" xfId="6" applyFont="1" applyFill="1" applyBorder="1" applyAlignment="1">
      <alignment vertical="center" shrinkToFit="1"/>
    </xf>
    <xf numFmtId="0" fontId="3" fillId="6" borderId="38" xfId="6" applyFont="1" applyFill="1" applyBorder="1" applyAlignment="1">
      <alignment vertical="center" shrinkToFit="1"/>
    </xf>
    <xf numFmtId="0" fontId="4" fillId="6" borderId="37" xfId="6" applyFont="1" applyFill="1" applyBorder="1" applyAlignment="1">
      <alignment vertical="center" wrapText="1"/>
    </xf>
    <xf numFmtId="0" fontId="4" fillId="6" borderId="39" xfId="6" applyFont="1" applyFill="1" applyBorder="1" applyAlignment="1">
      <alignment vertical="center" wrapText="1"/>
    </xf>
    <xf numFmtId="0" fontId="4" fillId="6" borderId="38" xfId="6" applyFont="1" applyFill="1" applyBorder="1" applyAlignment="1">
      <alignment vertical="center" wrapText="1"/>
    </xf>
    <xf numFmtId="0" fontId="3" fillId="4" borderId="40" xfId="6" applyFont="1" applyFill="1" applyBorder="1" applyAlignment="1">
      <alignment vertical="center"/>
    </xf>
    <xf numFmtId="0" fontId="4" fillId="4" borderId="41" xfId="6" applyFont="1" applyFill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9" fillId="0" borderId="23" xfId="6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0" fillId="0" borderId="31" xfId="6" applyFont="1" applyBorder="1" applyAlignment="1">
      <alignment vertical="center"/>
    </xf>
    <xf numFmtId="0" fontId="10" fillId="0" borderId="32" xfId="6" applyFont="1" applyBorder="1" applyAlignment="1">
      <alignment vertical="center"/>
    </xf>
    <xf numFmtId="0" fontId="10" fillId="0" borderId="33" xfId="6" applyFont="1" applyBorder="1" applyAlignment="1">
      <alignment vertical="center"/>
    </xf>
    <xf numFmtId="0" fontId="10" fillId="0" borderId="28" xfId="6" applyFont="1" applyBorder="1" applyAlignment="1">
      <alignment vertical="center" wrapText="1"/>
    </xf>
    <xf numFmtId="0" fontId="10" fillId="0" borderId="29" xfId="6" applyFont="1" applyBorder="1" applyAlignment="1">
      <alignment vertical="center" wrapText="1"/>
    </xf>
    <xf numFmtId="0" fontId="10" fillId="0" borderId="30" xfId="6" applyFont="1" applyBorder="1" applyAlignment="1">
      <alignment vertical="center" wrapText="1"/>
    </xf>
    <xf numFmtId="0" fontId="3" fillId="0" borderId="28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28" xfId="6" quotePrefix="1" applyFont="1" applyBorder="1" applyAlignment="1">
      <alignment vertical="center" wrapText="1"/>
    </xf>
    <xf numFmtId="0" fontId="3" fillId="0" borderId="29" xfId="6" quotePrefix="1" applyFont="1" applyBorder="1" applyAlignment="1">
      <alignment vertical="center" wrapText="1"/>
    </xf>
    <xf numFmtId="0" fontId="3" fillId="0" borderId="30" xfId="6" quotePrefix="1" applyFont="1" applyBorder="1" applyAlignment="1">
      <alignment vertical="center" wrapText="1"/>
    </xf>
    <xf numFmtId="0" fontId="3" fillId="0" borderId="29" xfId="6" applyFont="1" applyBorder="1" applyAlignment="1">
      <alignment horizontal="center" vertical="center"/>
    </xf>
    <xf numFmtId="0" fontId="4" fillId="0" borderId="28" xfId="6" applyFont="1" applyBorder="1" applyAlignment="1">
      <alignment horizontal="center" vertical="center"/>
    </xf>
    <xf numFmtId="0" fontId="10" fillId="0" borderId="31" xfId="6" applyFont="1" applyBorder="1" applyAlignment="1">
      <alignment vertical="center" wrapText="1"/>
    </xf>
    <xf numFmtId="0" fontId="10" fillId="0" borderId="32" xfId="6" applyFont="1" applyBorder="1" applyAlignment="1">
      <alignment vertical="center" wrapText="1"/>
    </xf>
    <xf numFmtId="0" fontId="10" fillId="0" borderId="33" xfId="6" applyFont="1" applyBorder="1" applyAlignment="1">
      <alignment vertical="center" wrapText="1"/>
    </xf>
    <xf numFmtId="0" fontId="4" fillId="0" borderId="28" xfId="6" quotePrefix="1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14" fontId="13" fillId="0" borderId="22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4" fillId="0" borderId="31" xfId="6" quotePrefix="1" applyFont="1" applyBorder="1" applyAlignment="1">
      <alignment horizontal="center" vertical="center" wrapText="1"/>
    </xf>
    <xf numFmtId="0" fontId="14" fillId="0" borderId="32" xfId="6" applyFont="1" applyBorder="1" applyAlignment="1">
      <alignment horizontal="center" vertical="center" wrapText="1"/>
    </xf>
    <xf numFmtId="0" fontId="14" fillId="0" borderId="33" xfId="6" applyFont="1" applyBorder="1" applyAlignment="1">
      <alignment horizontal="center" vertical="center" wrapText="1"/>
    </xf>
    <xf numFmtId="0" fontId="15" fillId="0" borderId="22" xfId="6" applyFont="1" applyBorder="1" applyAlignment="1">
      <alignment horizontal="center" vertical="center"/>
    </xf>
    <xf numFmtId="0" fontId="15" fillId="0" borderId="24" xfId="6" applyFont="1" applyBorder="1" applyAlignment="1">
      <alignment horizontal="center" vertical="center"/>
    </xf>
    <xf numFmtId="0" fontId="15" fillId="0" borderId="25" xfId="6" applyFont="1" applyBorder="1" applyAlignment="1">
      <alignment vertical="center"/>
    </xf>
    <xf numFmtId="0" fontId="15" fillId="0" borderId="26" xfId="6" applyFont="1" applyBorder="1" applyAlignment="1">
      <alignment vertical="center"/>
    </xf>
    <xf numFmtId="0" fontId="15" fillId="0" borderId="27" xfId="6" applyFont="1" applyBorder="1" applyAlignment="1">
      <alignment vertical="center"/>
    </xf>
    <xf numFmtId="0" fontId="15" fillId="0" borderId="31" xfId="6" applyFont="1" applyBorder="1" applyAlignment="1">
      <alignment vertical="center"/>
    </xf>
    <xf numFmtId="0" fontId="15" fillId="0" borderId="32" xfId="6" applyFont="1" applyBorder="1" applyAlignment="1">
      <alignment vertical="center"/>
    </xf>
    <xf numFmtId="0" fontId="15" fillId="0" borderId="33" xfId="6" applyFont="1" applyBorder="1" applyAlignment="1">
      <alignment vertical="center"/>
    </xf>
    <xf numFmtId="0" fontId="15" fillId="0" borderId="17" xfId="6" applyFont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25" xfId="6" applyFont="1" applyBorder="1" applyAlignment="1">
      <alignment horizontal="center" vertical="center"/>
    </xf>
    <xf numFmtId="0" fontId="15" fillId="0" borderId="26" xfId="6" applyFont="1" applyBorder="1" applyAlignment="1">
      <alignment horizontal="center" vertical="center"/>
    </xf>
    <xf numFmtId="0" fontId="15" fillId="0" borderId="27" xfId="6" applyFont="1" applyBorder="1" applyAlignment="1">
      <alignment horizontal="center" vertical="center"/>
    </xf>
    <xf numFmtId="0" fontId="15" fillId="0" borderId="25" xfId="6" applyFont="1" applyBorder="1" applyAlignment="1">
      <alignment horizontal="center" vertical="center" wrapText="1"/>
    </xf>
    <xf numFmtId="0" fontId="15" fillId="0" borderId="26" xfId="6" applyFont="1" applyBorder="1" applyAlignment="1">
      <alignment horizontal="center" vertical="center" wrapText="1"/>
    </xf>
    <xf numFmtId="0" fontId="15" fillId="0" borderId="27" xfId="6" applyFont="1" applyBorder="1" applyAlignment="1">
      <alignment horizontal="center" vertical="center" wrapText="1"/>
    </xf>
    <xf numFmtId="0" fontId="15" fillId="0" borderId="17" xfId="6" applyFont="1" applyBorder="1" applyAlignment="1">
      <alignment vertical="center"/>
    </xf>
    <xf numFmtId="0" fontId="15" fillId="0" borderId="31" xfId="6" applyFont="1" applyBorder="1" applyAlignment="1">
      <alignment horizontal="center" vertical="center"/>
    </xf>
    <xf numFmtId="0" fontId="15" fillId="0" borderId="33" xfId="6" applyFont="1" applyBorder="1" applyAlignment="1">
      <alignment horizontal="center" vertical="center"/>
    </xf>
    <xf numFmtId="0" fontId="15" fillId="0" borderId="31" xfId="6" quotePrefix="1" applyFont="1" applyBorder="1" applyAlignment="1">
      <alignment vertical="center"/>
    </xf>
    <xf numFmtId="0" fontId="15" fillId="0" borderId="32" xfId="6" quotePrefix="1" applyFont="1" applyBorder="1" applyAlignment="1">
      <alignment vertical="center"/>
    </xf>
    <xf numFmtId="0" fontId="15" fillId="0" borderId="33" xfId="6" quotePrefix="1" applyFont="1" applyBorder="1" applyAlignment="1">
      <alignment vertical="center"/>
    </xf>
    <xf numFmtId="0" fontId="15" fillId="0" borderId="32" xfId="6" applyFont="1" applyBorder="1" applyAlignment="1">
      <alignment horizontal="center" vertical="center"/>
    </xf>
    <xf numFmtId="0" fontId="15" fillId="0" borderId="31" xfId="6" quotePrefix="1" applyFont="1" applyBorder="1" applyAlignment="1">
      <alignment horizontal="center" vertical="center" wrapText="1"/>
    </xf>
    <xf numFmtId="0" fontId="15" fillId="0" borderId="32" xfId="6" applyFont="1" applyBorder="1" applyAlignment="1">
      <alignment horizontal="center" vertical="center" wrapText="1"/>
    </xf>
    <xf numFmtId="0" fontId="15" fillId="0" borderId="33" xfId="6" applyFont="1" applyBorder="1" applyAlignment="1">
      <alignment horizontal="center" vertical="center" wrapText="1"/>
    </xf>
    <xf numFmtId="0" fontId="15" fillId="0" borderId="16" xfId="6" applyFont="1" applyBorder="1" applyAlignment="1">
      <alignment vertical="center"/>
    </xf>
    <xf numFmtId="0" fontId="15" fillId="0" borderId="31" xfId="6" applyFont="1" applyBorder="1" applyAlignment="1">
      <alignment horizontal="center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22412</xdr:rowOff>
    </xdr:from>
    <xdr:to>
      <xdr:col>53</xdr:col>
      <xdr:colOff>201705</xdr:colOff>
      <xdr:row>42</xdr:row>
      <xdr:rowOff>145677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E7195C-6530-48EA-A738-F6D518E05FEE}"/>
            </a:ext>
          </a:extLst>
        </xdr:cNvPr>
        <xdr:cNvGrpSpPr/>
      </xdr:nvGrpSpPr>
      <xdr:grpSpPr>
        <a:xfrm>
          <a:off x="470647" y="1658471"/>
          <a:ext cx="12203205" cy="6589059"/>
          <a:chOff x="13413441" y="1826559"/>
          <a:chExt cx="12203205" cy="6589059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F4BBBF5-DCCD-B62F-8633-51B51FFFF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413441" y="1826559"/>
            <a:ext cx="12203205" cy="6589059"/>
          </a:xfrm>
          <a:prstGeom prst="rect">
            <a:avLst/>
          </a:prstGeom>
        </xdr:spPr>
      </xdr:pic>
      <xdr:sp macro="" textlink="">
        <xdr:nvSpPr>
          <xdr:cNvPr id="61" name="Callout: Line 60">
            <a:extLst>
              <a:ext uri="{FF2B5EF4-FFF2-40B4-BE49-F238E27FC236}">
                <a16:creationId xmlns:a16="http://schemas.microsoft.com/office/drawing/2014/main" id="{BFCDE99D-A8EB-BCD7-99FC-F49F3031864D}"/>
              </a:ext>
            </a:extLst>
          </xdr:cNvPr>
          <xdr:cNvSpPr/>
        </xdr:nvSpPr>
        <xdr:spPr>
          <a:xfrm>
            <a:off x="16640737" y="2039470"/>
            <a:ext cx="348983" cy="349784"/>
          </a:xfrm>
          <a:prstGeom prst="borderCallout1">
            <a:avLst>
              <a:gd name="adj1" fmla="val 156612"/>
              <a:gd name="adj2" fmla="val 57300"/>
              <a:gd name="adj3" fmla="val 85747"/>
              <a:gd name="adj4" fmla="val 4150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</a:t>
            </a:r>
          </a:p>
        </xdr:txBody>
      </xdr:sp>
      <xdr:sp macro="" textlink="">
        <xdr:nvSpPr>
          <xdr:cNvPr id="63" name="Callout: Line 62">
            <a:extLst>
              <a:ext uri="{FF2B5EF4-FFF2-40B4-BE49-F238E27FC236}">
                <a16:creationId xmlns:a16="http://schemas.microsoft.com/office/drawing/2014/main" id="{646EF359-73B4-9215-B91F-9926F740B3B8}"/>
              </a:ext>
            </a:extLst>
          </xdr:cNvPr>
          <xdr:cNvSpPr/>
        </xdr:nvSpPr>
        <xdr:spPr>
          <a:xfrm>
            <a:off x="13716002" y="2073087"/>
            <a:ext cx="339379" cy="347383"/>
          </a:xfrm>
          <a:prstGeom prst="borderCallout1">
            <a:avLst>
              <a:gd name="adj1" fmla="val 101588"/>
              <a:gd name="adj2" fmla="val 60738"/>
              <a:gd name="adj3" fmla="val 135594"/>
              <a:gd name="adj4" fmla="val 60975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2</a:t>
            </a:r>
          </a:p>
        </xdr:txBody>
      </xdr:sp>
      <xdr:sp macro="" textlink="">
        <xdr:nvSpPr>
          <xdr:cNvPr id="65" name="Callout: Line 64">
            <a:extLst>
              <a:ext uri="{FF2B5EF4-FFF2-40B4-BE49-F238E27FC236}">
                <a16:creationId xmlns:a16="http://schemas.microsoft.com/office/drawing/2014/main" id="{0A75406E-4BAE-A2C0-8658-6F4A0C216EB8}"/>
              </a:ext>
            </a:extLst>
          </xdr:cNvPr>
          <xdr:cNvSpPr/>
        </xdr:nvSpPr>
        <xdr:spPr>
          <a:xfrm>
            <a:off x="14735737" y="2050675"/>
            <a:ext cx="348984" cy="347383"/>
          </a:xfrm>
          <a:prstGeom prst="borderCallout1">
            <a:avLst>
              <a:gd name="adj1" fmla="val 95136"/>
              <a:gd name="adj2" fmla="val 53044"/>
              <a:gd name="adj3" fmla="val 145272"/>
              <a:gd name="adj4" fmla="val 53856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3</a:t>
            </a:r>
          </a:p>
        </xdr:txBody>
      </xdr:sp>
      <xdr:sp macro="" textlink="">
        <xdr:nvSpPr>
          <xdr:cNvPr id="66" name="Callout: Line 65">
            <a:extLst>
              <a:ext uri="{FF2B5EF4-FFF2-40B4-BE49-F238E27FC236}">
                <a16:creationId xmlns:a16="http://schemas.microsoft.com/office/drawing/2014/main" id="{1A823155-6D41-04A0-0607-3D6A77A98A72}"/>
              </a:ext>
            </a:extLst>
          </xdr:cNvPr>
          <xdr:cNvSpPr/>
        </xdr:nvSpPr>
        <xdr:spPr>
          <a:xfrm>
            <a:off x="16091649" y="2028264"/>
            <a:ext cx="339379" cy="347383"/>
          </a:xfrm>
          <a:prstGeom prst="borderCallout1">
            <a:avLst>
              <a:gd name="adj1" fmla="val 101588"/>
              <a:gd name="adj2" fmla="val 64040"/>
              <a:gd name="adj3" fmla="val 148498"/>
              <a:gd name="adj4" fmla="val 64277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4</a:t>
            </a:r>
          </a:p>
        </xdr:txBody>
      </xdr:sp>
      <xdr:sp macro="" textlink="">
        <xdr:nvSpPr>
          <xdr:cNvPr id="67" name="Callout: Line 66">
            <a:extLst>
              <a:ext uri="{FF2B5EF4-FFF2-40B4-BE49-F238E27FC236}">
                <a16:creationId xmlns:a16="http://schemas.microsoft.com/office/drawing/2014/main" id="{4EB738DF-39F3-1400-A7E7-D63BE4F6A526}"/>
              </a:ext>
            </a:extLst>
          </xdr:cNvPr>
          <xdr:cNvSpPr/>
        </xdr:nvSpPr>
        <xdr:spPr>
          <a:xfrm>
            <a:off x="23297031" y="2353234"/>
            <a:ext cx="339379" cy="349784"/>
          </a:xfrm>
          <a:prstGeom prst="borderCallout1">
            <a:avLst>
              <a:gd name="adj1" fmla="val -58779"/>
              <a:gd name="adj2" fmla="val 46950"/>
              <a:gd name="adj3" fmla="val -3219"/>
              <a:gd name="adj4" fmla="val 4751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6</a:t>
            </a:r>
          </a:p>
        </xdr:txBody>
      </xdr:sp>
      <xdr:sp macro="" textlink="">
        <xdr:nvSpPr>
          <xdr:cNvPr id="68" name="Callout: Line 67">
            <a:extLst>
              <a:ext uri="{FF2B5EF4-FFF2-40B4-BE49-F238E27FC236}">
                <a16:creationId xmlns:a16="http://schemas.microsoft.com/office/drawing/2014/main" id="{3713AF60-E41C-3E0E-F15C-D58104E286AC}"/>
              </a:ext>
            </a:extLst>
          </xdr:cNvPr>
          <xdr:cNvSpPr/>
        </xdr:nvSpPr>
        <xdr:spPr>
          <a:xfrm>
            <a:off x="13940119" y="3412338"/>
            <a:ext cx="348985" cy="347383"/>
          </a:xfrm>
          <a:prstGeom prst="borderCallout1">
            <a:avLst>
              <a:gd name="adj1" fmla="val 1358"/>
              <a:gd name="adj2" fmla="val 49247"/>
              <a:gd name="adj3" fmla="val -54036"/>
              <a:gd name="adj4" fmla="val 5209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7</a:t>
            </a:r>
          </a:p>
        </xdr:txBody>
      </xdr:sp>
      <xdr:sp macro="" textlink="">
        <xdr:nvSpPr>
          <xdr:cNvPr id="69" name="Callout: Line 68">
            <a:extLst>
              <a:ext uri="{FF2B5EF4-FFF2-40B4-BE49-F238E27FC236}">
                <a16:creationId xmlns:a16="http://schemas.microsoft.com/office/drawing/2014/main" id="{7B023D53-3684-DA68-9577-B3CEC9D52439}"/>
              </a:ext>
            </a:extLst>
          </xdr:cNvPr>
          <xdr:cNvSpPr/>
        </xdr:nvSpPr>
        <xdr:spPr>
          <a:xfrm>
            <a:off x="14825382" y="3384176"/>
            <a:ext cx="339378" cy="347383"/>
          </a:xfrm>
          <a:prstGeom prst="borderCallout1">
            <a:avLst>
              <a:gd name="adj1" fmla="val 1358"/>
              <a:gd name="adj2" fmla="val 49156"/>
              <a:gd name="adj3" fmla="val -50810"/>
              <a:gd name="adj4" fmla="val 4604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8</a:t>
            </a:r>
          </a:p>
        </xdr:txBody>
      </xdr:sp>
      <xdr:sp macro="" textlink="">
        <xdr:nvSpPr>
          <xdr:cNvPr id="70" name="Callout: Line 69">
            <a:extLst>
              <a:ext uri="{FF2B5EF4-FFF2-40B4-BE49-F238E27FC236}">
                <a16:creationId xmlns:a16="http://schemas.microsoft.com/office/drawing/2014/main" id="{FF455EF4-DD3D-3581-44BF-CBA5E22E0805}"/>
              </a:ext>
            </a:extLst>
          </xdr:cNvPr>
          <xdr:cNvSpPr/>
        </xdr:nvSpPr>
        <xdr:spPr>
          <a:xfrm>
            <a:off x="15677028" y="3440206"/>
            <a:ext cx="348984" cy="347383"/>
          </a:xfrm>
          <a:prstGeom prst="borderCallout1">
            <a:avLst>
              <a:gd name="adj1" fmla="val -66384"/>
              <a:gd name="adj2" fmla="val 58880"/>
              <a:gd name="adj3" fmla="val 13706"/>
              <a:gd name="adj4" fmla="val 55310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9</a:t>
            </a:r>
          </a:p>
        </xdr:txBody>
      </xdr:sp>
      <xdr:sp macro="" textlink="">
        <xdr:nvSpPr>
          <xdr:cNvPr id="71" name="Callout: Line 70">
            <a:extLst>
              <a:ext uri="{FF2B5EF4-FFF2-40B4-BE49-F238E27FC236}">
                <a16:creationId xmlns:a16="http://schemas.microsoft.com/office/drawing/2014/main" id="{6394C76A-635C-E6B2-8E0D-7E54B71B40FE}"/>
              </a:ext>
            </a:extLst>
          </xdr:cNvPr>
          <xdr:cNvSpPr/>
        </xdr:nvSpPr>
        <xdr:spPr>
          <a:xfrm>
            <a:off x="16707971" y="3384176"/>
            <a:ext cx="401497" cy="347383"/>
          </a:xfrm>
          <a:prstGeom prst="borderCallout1">
            <a:avLst>
              <a:gd name="adj1" fmla="val 7809"/>
              <a:gd name="adj2" fmla="val 44085"/>
              <a:gd name="adj3" fmla="val -47584"/>
              <a:gd name="adj4" fmla="val 46788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10</a:t>
            </a:r>
          </a:p>
        </xdr:txBody>
      </xdr:sp>
      <xdr:sp macro="" textlink="">
        <xdr:nvSpPr>
          <xdr:cNvPr id="72" name="Callout: Line 71">
            <a:extLst>
              <a:ext uri="{FF2B5EF4-FFF2-40B4-BE49-F238E27FC236}">
                <a16:creationId xmlns:a16="http://schemas.microsoft.com/office/drawing/2014/main" id="{0D10D89D-10C0-D43F-A264-464E569AADA0}"/>
              </a:ext>
            </a:extLst>
          </xdr:cNvPr>
          <xdr:cNvSpPr/>
        </xdr:nvSpPr>
        <xdr:spPr>
          <a:xfrm>
            <a:off x="17604442" y="3384176"/>
            <a:ext cx="389075" cy="347383"/>
          </a:xfrm>
          <a:prstGeom prst="borderCallout1">
            <a:avLst>
              <a:gd name="adj1" fmla="val 1358"/>
              <a:gd name="adj2" fmla="val 49578"/>
              <a:gd name="adj3" fmla="val -44359"/>
              <a:gd name="adj4" fmla="val 50114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11</a:t>
            </a:r>
          </a:p>
        </xdr:txBody>
      </xdr:sp>
      <xdr:sp macro="" textlink="">
        <xdr:nvSpPr>
          <xdr:cNvPr id="73" name="Callout: Line 72">
            <a:extLst>
              <a:ext uri="{FF2B5EF4-FFF2-40B4-BE49-F238E27FC236}">
                <a16:creationId xmlns:a16="http://schemas.microsoft.com/office/drawing/2014/main" id="{BA8FD251-0D4E-D41F-BF57-0A74BD939407}"/>
              </a:ext>
            </a:extLst>
          </xdr:cNvPr>
          <xdr:cNvSpPr/>
        </xdr:nvSpPr>
        <xdr:spPr>
          <a:xfrm>
            <a:off x="18539402" y="3384176"/>
            <a:ext cx="420951" cy="347383"/>
          </a:xfrm>
          <a:prstGeom prst="borderCallout1">
            <a:avLst>
              <a:gd name="adj1" fmla="val 11035"/>
              <a:gd name="adj2" fmla="val 49796"/>
              <a:gd name="adj3" fmla="val -57262"/>
              <a:gd name="adj4" fmla="val 48805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12</a:t>
            </a:r>
          </a:p>
        </xdr:txBody>
      </xdr:sp>
      <xdr:sp macro="" textlink="">
        <xdr:nvSpPr>
          <xdr:cNvPr id="74" name="Callout: Line 73">
            <a:extLst>
              <a:ext uri="{FF2B5EF4-FFF2-40B4-BE49-F238E27FC236}">
                <a16:creationId xmlns:a16="http://schemas.microsoft.com/office/drawing/2014/main" id="{B381BA73-B1FF-9D9A-7DAB-46EF2F7DAF15}"/>
              </a:ext>
            </a:extLst>
          </xdr:cNvPr>
          <xdr:cNvSpPr/>
        </xdr:nvSpPr>
        <xdr:spPr>
          <a:xfrm>
            <a:off x="19394666" y="3406589"/>
            <a:ext cx="372510" cy="347383"/>
          </a:xfrm>
          <a:prstGeom prst="borderCallout1">
            <a:avLst>
              <a:gd name="adj1" fmla="val -1868"/>
              <a:gd name="adj2" fmla="val 49450"/>
              <a:gd name="adj3" fmla="val -66939"/>
              <a:gd name="adj4" fmla="val 50882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13</a:t>
            </a:r>
          </a:p>
        </xdr:txBody>
      </xdr:sp>
      <xdr:sp macro="" textlink="">
        <xdr:nvSpPr>
          <xdr:cNvPr id="75" name="Callout: Line 74">
            <a:extLst>
              <a:ext uri="{FF2B5EF4-FFF2-40B4-BE49-F238E27FC236}">
                <a16:creationId xmlns:a16="http://schemas.microsoft.com/office/drawing/2014/main" id="{E5CF981C-6507-D963-7740-175BF2DEF9C7}"/>
              </a:ext>
            </a:extLst>
          </xdr:cNvPr>
          <xdr:cNvSpPr/>
        </xdr:nvSpPr>
        <xdr:spPr>
          <a:xfrm>
            <a:off x="20237824" y="3384176"/>
            <a:ext cx="373622" cy="347383"/>
          </a:xfrm>
          <a:prstGeom prst="borderCallout1">
            <a:avLst>
              <a:gd name="adj1" fmla="val 7809"/>
              <a:gd name="adj2" fmla="val 52458"/>
              <a:gd name="adj3" fmla="val -79842"/>
              <a:gd name="adj4" fmla="val 53828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14</a:t>
            </a:r>
          </a:p>
        </xdr:txBody>
      </xdr:sp>
      <xdr:sp macro="" textlink="">
        <xdr:nvSpPr>
          <xdr:cNvPr id="76" name="Callout: Line 75">
            <a:extLst>
              <a:ext uri="{FF2B5EF4-FFF2-40B4-BE49-F238E27FC236}">
                <a16:creationId xmlns:a16="http://schemas.microsoft.com/office/drawing/2014/main" id="{5B8FDB6F-32C8-9C3E-BD9D-09D38E1BA225}"/>
              </a:ext>
            </a:extLst>
          </xdr:cNvPr>
          <xdr:cNvSpPr/>
        </xdr:nvSpPr>
        <xdr:spPr>
          <a:xfrm>
            <a:off x="21040854" y="3395382"/>
            <a:ext cx="362381" cy="347383"/>
          </a:xfrm>
          <a:prstGeom prst="borderCallout1">
            <a:avLst>
              <a:gd name="adj1" fmla="val 7809"/>
              <a:gd name="adj2" fmla="val 55550"/>
              <a:gd name="adj3" fmla="val -66939"/>
              <a:gd name="adj4" fmla="val 5757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15</a:t>
            </a:r>
          </a:p>
        </xdr:txBody>
      </xdr:sp>
      <xdr:sp macro="" textlink="">
        <xdr:nvSpPr>
          <xdr:cNvPr id="77" name="Callout: Line 76">
            <a:extLst>
              <a:ext uri="{FF2B5EF4-FFF2-40B4-BE49-F238E27FC236}">
                <a16:creationId xmlns:a16="http://schemas.microsoft.com/office/drawing/2014/main" id="{D02CE59C-CD2D-7846-4FC2-5D7AA5EE1BF4}"/>
              </a:ext>
            </a:extLst>
          </xdr:cNvPr>
          <xdr:cNvSpPr/>
        </xdr:nvSpPr>
        <xdr:spPr>
          <a:xfrm>
            <a:off x="21758030" y="3384176"/>
            <a:ext cx="362382" cy="347383"/>
          </a:xfrm>
          <a:prstGeom prst="borderCallout1">
            <a:avLst>
              <a:gd name="adj1" fmla="val 11035"/>
              <a:gd name="adj2" fmla="val 52458"/>
              <a:gd name="adj3" fmla="val -57262"/>
              <a:gd name="adj4" fmla="val 5447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16</a:t>
            </a:r>
          </a:p>
        </xdr:txBody>
      </xdr:sp>
      <xdr:sp macro="" textlink="">
        <xdr:nvSpPr>
          <xdr:cNvPr id="78" name="Callout: Line 77">
            <a:extLst>
              <a:ext uri="{FF2B5EF4-FFF2-40B4-BE49-F238E27FC236}">
                <a16:creationId xmlns:a16="http://schemas.microsoft.com/office/drawing/2014/main" id="{43EBA016-731D-9F4B-7CC7-18D5037B9706}"/>
              </a:ext>
            </a:extLst>
          </xdr:cNvPr>
          <xdr:cNvSpPr/>
        </xdr:nvSpPr>
        <xdr:spPr>
          <a:xfrm>
            <a:off x="22461929" y="3384176"/>
            <a:ext cx="364453" cy="347383"/>
          </a:xfrm>
          <a:prstGeom prst="borderCallout1">
            <a:avLst>
              <a:gd name="adj1" fmla="val 11035"/>
              <a:gd name="adj2" fmla="val 55533"/>
              <a:gd name="adj3" fmla="val -63714"/>
              <a:gd name="adj4" fmla="val 54356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17</a:t>
            </a:r>
          </a:p>
        </xdr:txBody>
      </xdr:sp>
      <xdr:sp macro="" textlink="">
        <xdr:nvSpPr>
          <xdr:cNvPr id="79" name="Callout: Line 78">
            <a:extLst>
              <a:ext uri="{FF2B5EF4-FFF2-40B4-BE49-F238E27FC236}">
                <a16:creationId xmlns:a16="http://schemas.microsoft.com/office/drawing/2014/main" id="{012B247F-91FE-4EBB-6D72-04D6EBC9955E}"/>
              </a:ext>
            </a:extLst>
          </xdr:cNvPr>
          <xdr:cNvSpPr/>
        </xdr:nvSpPr>
        <xdr:spPr>
          <a:xfrm>
            <a:off x="23106529" y="3384176"/>
            <a:ext cx="367254" cy="347383"/>
          </a:xfrm>
          <a:prstGeom prst="borderCallout1">
            <a:avLst>
              <a:gd name="adj1" fmla="val 1358"/>
              <a:gd name="adj2" fmla="val 52458"/>
              <a:gd name="adj3" fmla="val -41133"/>
              <a:gd name="adj4" fmla="val 5114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18</a:t>
            </a:r>
          </a:p>
        </xdr:txBody>
      </xdr:sp>
      <xdr:sp macro="" textlink="">
        <xdr:nvSpPr>
          <xdr:cNvPr id="80" name="Callout: Line 79">
            <a:extLst>
              <a:ext uri="{FF2B5EF4-FFF2-40B4-BE49-F238E27FC236}">
                <a16:creationId xmlns:a16="http://schemas.microsoft.com/office/drawing/2014/main" id="{13630771-246E-C441-52B2-576B514B06CB}"/>
              </a:ext>
            </a:extLst>
          </xdr:cNvPr>
          <xdr:cNvSpPr/>
        </xdr:nvSpPr>
        <xdr:spPr>
          <a:xfrm>
            <a:off x="24230732" y="3395381"/>
            <a:ext cx="362382" cy="347383"/>
          </a:xfrm>
          <a:prstGeom prst="borderCallout1">
            <a:avLst>
              <a:gd name="adj1" fmla="val 7809"/>
              <a:gd name="adj2" fmla="val 49366"/>
              <a:gd name="adj3" fmla="val -34681"/>
              <a:gd name="adj4" fmla="val 5447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19</a:t>
            </a: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7614E6F0-DC02-D372-9CA3-B9342E28D939}"/>
              </a:ext>
            </a:extLst>
          </xdr:cNvPr>
          <xdr:cNvSpPr/>
        </xdr:nvSpPr>
        <xdr:spPr>
          <a:xfrm>
            <a:off x="13592736" y="4639724"/>
            <a:ext cx="361930" cy="27746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20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68B2EFD-948F-F9E3-A2EF-AA25B6AE4FCF}"/>
              </a:ext>
            </a:extLst>
          </xdr:cNvPr>
          <xdr:cNvSpPr/>
        </xdr:nvSpPr>
        <xdr:spPr>
          <a:xfrm>
            <a:off x="14353464" y="4493559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21</a:t>
            </a: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6E8AD8DC-9F85-B274-9EEE-0EC21FAEF5AB}"/>
              </a:ext>
            </a:extLst>
          </xdr:cNvPr>
          <xdr:cNvSpPr/>
        </xdr:nvSpPr>
        <xdr:spPr>
          <a:xfrm>
            <a:off x="15419294" y="4462080"/>
            <a:ext cx="359860" cy="23771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22</a:t>
            </a: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9F86EC32-9281-B4F4-82B7-1666F06A280D}"/>
              </a:ext>
            </a:extLst>
          </xdr:cNvPr>
          <xdr:cNvSpPr/>
        </xdr:nvSpPr>
        <xdr:spPr>
          <a:xfrm>
            <a:off x="16472647" y="4457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23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F8AC289E-08CF-399D-00B3-EF4246799CF4}"/>
              </a:ext>
            </a:extLst>
          </xdr:cNvPr>
          <xdr:cNvSpPr/>
        </xdr:nvSpPr>
        <xdr:spPr>
          <a:xfrm>
            <a:off x="17413941" y="4493559"/>
            <a:ext cx="357058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24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24CF0139-8B96-E209-9FB6-D681F12ADC95}"/>
              </a:ext>
            </a:extLst>
          </xdr:cNvPr>
          <xdr:cNvSpPr/>
        </xdr:nvSpPr>
        <xdr:spPr>
          <a:xfrm>
            <a:off x="18355235" y="4472852"/>
            <a:ext cx="359860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25</a:t>
            </a: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7BF6567F-BCF7-42A5-396D-7B4CA66839A3}"/>
              </a:ext>
            </a:extLst>
          </xdr:cNvPr>
          <xdr:cNvSpPr/>
        </xdr:nvSpPr>
        <xdr:spPr>
          <a:xfrm>
            <a:off x="19296529" y="4493559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26</a:t>
            </a: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EA17476E-E512-344E-FC33-32330075B302}"/>
              </a:ext>
            </a:extLst>
          </xdr:cNvPr>
          <xdr:cNvSpPr/>
        </xdr:nvSpPr>
        <xdr:spPr>
          <a:xfrm>
            <a:off x="20116090" y="4493559"/>
            <a:ext cx="357057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27</a:t>
            </a: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75C1E83F-7FCD-0401-2F36-E8ABF47C49AB}"/>
              </a:ext>
            </a:extLst>
          </xdr:cNvPr>
          <xdr:cNvSpPr/>
        </xdr:nvSpPr>
        <xdr:spPr>
          <a:xfrm>
            <a:off x="20878090" y="4504765"/>
            <a:ext cx="357058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28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57272CEE-FD62-1775-5E89-D033991FCB81}"/>
              </a:ext>
            </a:extLst>
          </xdr:cNvPr>
          <xdr:cNvSpPr/>
        </xdr:nvSpPr>
        <xdr:spPr>
          <a:xfrm>
            <a:off x="21593736" y="4493559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29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06195B34-2352-3153-45C3-6212FC5565A9}"/>
              </a:ext>
            </a:extLst>
          </xdr:cNvPr>
          <xdr:cNvSpPr/>
        </xdr:nvSpPr>
        <xdr:spPr>
          <a:xfrm>
            <a:off x="22254882" y="4493559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30</a:t>
            </a: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7A222FBC-0D4A-AA6F-94E5-956022D728C0}"/>
              </a:ext>
            </a:extLst>
          </xdr:cNvPr>
          <xdr:cNvSpPr/>
        </xdr:nvSpPr>
        <xdr:spPr>
          <a:xfrm>
            <a:off x="22935099" y="4467882"/>
            <a:ext cx="361930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31</a:t>
            </a: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52BD8CA7-62E6-8D0B-B43E-75B947AA28EB}"/>
              </a:ext>
            </a:extLst>
          </xdr:cNvPr>
          <xdr:cNvSpPr/>
        </xdr:nvSpPr>
        <xdr:spPr>
          <a:xfrm>
            <a:off x="24822560" y="4493559"/>
            <a:ext cx="357058" cy="27746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32</a:t>
            </a: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2541C893-6330-2ED4-D1F2-97D4A0191EA2}"/>
              </a:ext>
            </a:extLst>
          </xdr:cNvPr>
          <xdr:cNvSpPr/>
        </xdr:nvSpPr>
        <xdr:spPr>
          <a:xfrm>
            <a:off x="14331053" y="4832317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33</a:t>
            </a: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F751824D-4A2F-AC79-9566-AD4487FD2C81}"/>
              </a:ext>
            </a:extLst>
          </xdr:cNvPr>
          <xdr:cNvSpPr/>
        </xdr:nvSpPr>
        <xdr:spPr>
          <a:xfrm>
            <a:off x="15406816" y="4809905"/>
            <a:ext cx="359860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34</a:t>
            </a: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82060EA8-F13C-B15B-4C15-F21C69F34202}"/>
              </a:ext>
            </a:extLst>
          </xdr:cNvPr>
          <xdr:cNvSpPr/>
        </xdr:nvSpPr>
        <xdr:spPr>
          <a:xfrm>
            <a:off x="16472647" y="4838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35</a:t>
            </a: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E0B18AD3-7272-9A05-7F23-DC9F32969DD3}"/>
              </a:ext>
            </a:extLst>
          </xdr:cNvPr>
          <xdr:cNvSpPr/>
        </xdr:nvSpPr>
        <xdr:spPr>
          <a:xfrm>
            <a:off x="17413941" y="4874559"/>
            <a:ext cx="357058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36</a:t>
            </a: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314BDC46-EE56-36B1-0655-186C63FD9D1E}"/>
              </a:ext>
            </a:extLst>
          </xdr:cNvPr>
          <xdr:cNvSpPr/>
        </xdr:nvSpPr>
        <xdr:spPr>
          <a:xfrm>
            <a:off x="18355235" y="4853852"/>
            <a:ext cx="359860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37</a:t>
            </a: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839CC0B0-0E03-A22B-C1E9-4178F8A61D3B}"/>
              </a:ext>
            </a:extLst>
          </xdr:cNvPr>
          <xdr:cNvSpPr/>
        </xdr:nvSpPr>
        <xdr:spPr>
          <a:xfrm>
            <a:off x="19296529" y="4874559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38</a:t>
            </a: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F4E5A020-D2DF-4EEA-7664-4AF04F38E9FA}"/>
              </a:ext>
            </a:extLst>
          </xdr:cNvPr>
          <xdr:cNvSpPr/>
        </xdr:nvSpPr>
        <xdr:spPr>
          <a:xfrm>
            <a:off x="20113289" y="4843912"/>
            <a:ext cx="359858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39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AF8FBAA-B28D-20EC-67E9-6D0B50F1590E}"/>
              </a:ext>
            </a:extLst>
          </xdr:cNvPr>
          <xdr:cNvSpPr/>
        </xdr:nvSpPr>
        <xdr:spPr>
          <a:xfrm>
            <a:off x="20865353" y="4874559"/>
            <a:ext cx="357058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40</a:t>
            </a:r>
          </a:p>
        </xdr:txBody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8E569637-82EF-0EDD-C9CC-EC64ABC6F1A2}"/>
              </a:ext>
            </a:extLst>
          </xdr:cNvPr>
          <xdr:cNvSpPr/>
        </xdr:nvSpPr>
        <xdr:spPr>
          <a:xfrm>
            <a:off x="21581988" y="4833973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41</a:t>
            </a:r>
          </a:p>
        </xdr:txBody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C5375D78-1AEF-3F11-F757-730771FC67E9}"/>
              </a:ext>
            </a:extLst>
          </xdr:cNvPr>
          <xdr:cNvSpPr/>
        </xdr:nvSpPr>
        <xdr:spPr>
          <a:xfrm>
            <a:off x="22277294" y="4840942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42</a:t>
            </a: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5BF2EFB9-AECB-932A-8D32-EDB97F63CCE6}"/>
              </a:ext>
            </a:extLst>
          </xdr:cNvPr>
          <xdr:cNvSpPr/>
        </xdr:nvSpPr>
        <xdr:spPr>
          <a:xfrm>
            <a:off x="22937901" y="4848882"/>
            <a:ext cx="359128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43</a:t>
            </a: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4F2574F8-5CCF-F048-105E-F059B6E2BE37}"/>
              </a:ext>
            </a:extLst>
          </xdr:cNvPr>
          <xdr:cNvSpPr/>
        </xdr:nvSpPr>
        <xdr:spPr>
          <a:xfrm>
            <a:off x="14308641" y="5190905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44</a:t>
            </a: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EB236FCB-CE20-851F-9936-6B27867AB370}"/>
              </a:ext>
            </a:extLst>
          </xdr:cNvPr>
          <xdr:cNvSpPr/>
        </xdr:nvSpPr>
        <xdr:spPr>
          <a:xfrm>
            <a:off x="15406816" y="5190905"/>
            <a:ext cx="359860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45</a:t>
            </a: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8108E0A0-95BC-AD0E-B223-5E5DFA3D2916}"/>
              </a:ext>
            </a:extLst>
          </xdr:cNvPr>
          <xdr:cNvSpPr/>
        </xdr:nvSpPr>
        <xdr:spPr>
          <a:xfrm>
            <a:off x="16472647" y="5219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46</a:t>
            </a: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3E43F38B-A103-727C-CE36-3E1CB72CD9B2}"/>
              </a:ext>
            </a:extLst>
          </xdr:cNvPr>
          <xdr:cNvSpPr/>
        </xdr:nvSpPr>
        <xdr:spPr>
          <a:xfrm>
            <a:off x="17524729" y="5223256"/>
            <a:ext cx="359859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47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EA86D4D0-879B-0335-ED34-8B8216AB1C4C}"/>
              </a:ext>
            </a:extLst>
          </xdr:cNvPr>
          <xdr:cNvSpPr/>
        </xdr:nvSpPr>
        <xdr:spPr>
          <a:xfrm>
            <a:off x="18355235" y="5234852"/>
            <a:ext cx="357058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48</a:t>
            </a: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4944C0DF-2C14-2998-161C-2DE108F4CE15}"/>
              </a:ext>
            </a:extLst>
          </xdr:cNvPr>
          <xdr:cNvSpPr/>
        </xdr:nvSpPr>
        <xdr:spPr>
          <a:xfrm>
            <a:off x="19317670" y="5238165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49</a:t>
            </a: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1B6BFC26-78FA-56B7-ABA6-F22B821F3ACE}"/>
              </a:ext>
            </a:extLst>
          </xdr:cNvPr>
          <xdr:cNvSpPr/>
        </xdr:nvSpPr>
        <xdr:spPr>
          <a:xfrm>
            <a:off x="20113289" y="5224912"/>
            <a:ext cx="359858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50</a:t>
            </a: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01C0535A-52A7-5FB5-753B-8759240A8452}"/>
              </a:ext>
            </a:extLst>
          </xdr:cNvPr>
          <xdr:cNvSpPr/>
        </xdr:nvSpPr>
        <xdr:spPr>
          <a:xfrm>
            <a:off x="20841671" y="5228225"/>
            <a:ext cx="359859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51</a:t>
            </a:r>
          </a:p>
        </xdr:txBody>
      </xdr:sp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BDB7509A-775D-9241-9FA3-72C8B1E7C1DA}"/>
              </a:ext>
            </a:extLst>
          </xdr:cNvPr>
          <xdr:cNvSpPr/>
        </xdr:nvSpPr>
        <xdr:spPr>
          <a:xfrm>
            <a:off x="21560118" y="5203767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52</a:t>
            </a: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49BE7461-C89C-3A51-8452-54BFC8EFC86F}"/>
              </a:ext>
            </a:extLst>
          </xdr:cNvPr>
          <xdr:cNvSpPr/>
        </xdr:nvSpPr>
        <xdr:spPr>
          <a:xfrm>
            <a:off x="22333323" y="5232415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53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7CE3CA20-F140-E2CE-FDFD-3E630BAB2A23}"/>
              </a:ext>
            </a:extLst>
          </xdr:cNvPr>
          <xdr:cNvSpPr/>
        </xdr:nvSpPr>
        <xdr:spPr>
          <a:xfrm>
            <a:off x="22937901" y="5229882"/>
            <a:ext cx="359128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54</a:t>
            </a:r>
          </a:p>
        </xdr:txBody>
      </xdr:sp>
      <xdr:sp macro="" textlink="">
        <xdr:nvSpPr>
          <xdr:cNvPr id="116" name="Callout: Line 115">
            <a:extLst>
              <a:ext uri="{FF2B5EF4-FFF2-40B4-BE49-F238E27FC236}">
                <a16:creationId xmlns:a16="http://schemas.microsoft.com/office/drawing/2014/main" id="{2A883ABA-C5E6-F4B1-0BEC-412D3A50CE3C}"/>
              </a:ext>
            </a:extLst>
          </xdr:cNvPr>
          <xdr:cNvSpPr/>
        </xdr:nvSpPr>
        <xdr:spPr>
          <a:xfrm>
            <a:off x="21682068" y="7429500"/>
            <a:ext cx="403412" cy="349784"/>
          </a:xfrm>
          <a:prstGeom prst="borderCallout1">
            <a:avLst>
              <a:gd name="adj1" fmla="val 159637"/>
              <a:gd name="adj2" fmla="val 81411"/>
              <a:gd name="adj3" fmla="val 91871"/>
              <a:gd name="adj4" fmla="val 4658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55</a:t>
            </a:r>
          </a:p>
        </xdr:txBody>
      </xdr:sp>
      <xdr:sp macro="" textlink="">
        <xdr:nvSpPr>
          <xdr:cNvPr id="117" name="Callout: Line 116">
            <a:extLst>
              <a:ext uri="{FF2B5EF4-FFF2-40B4-BE49-F238E27FC236}">
                <a16:creationId xmlns:a16="http://schemas.microsoft.com/office/drawing/2014/main" id="{1EBC9CD2-3EEB-9877-9F1A-7F57BFB6564C}"/>
              </a:ext>
            </a:extLst>
          </xdr:cNvPr>
          <xdr:cNvSpPr/>
        </xdr:nvSpPr>
        <xdr:spPr>
          <a:xfrm>
            <a:off x="23532353" y="7434884"/>
            <a:ext cx="401342" cy="349784"/>
          </a:xfrm>
          <a:prstGeom prst="borderCallout1">
            <a:avLst>
              <a:gd name="adj1" fmla="val 159637"/>
              <a:gd name="adj2" fmla="val 81411"/>
              <a:gd name="adj3" fmla="val 91871"/>
              <a:gd name="adj4" fmla="val 4658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" customWidth="1"/>
    <col min="61" max="16384" width="2.77734375" style="12"/>
  </cols>
  <sheetData>
    <row r="1" spans="1:63" ht="24.95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75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39" t="s">
        <v>76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1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38" t="s">
        <v>82</v>
      </c>
      <c r="B2" s="33"/>
      <c r="C2" s="33"/>
      <c r="D2" s="33"/>
      <c r="E2" s="33"/>
      <c r="F2" s="33"/>
      <c r="G2" s="33"/>
      <c r="H2" s="33"/>
      <c r="I2" s="33"/>
      <c r="J2" s="34"/>
      <c r="K2" s="32" t="s">
        <v>1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42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/>
      <c r="AP2" s="32" t="str">
        <f>改訂履歴!$H$11</f>
        <v>SonMNT</v>
      </c>
      <c r="AQ2" s="33"/>
      <c r="AR2" s="33"/>
      <c r="AS2" s="34"/>
      <c r="AT2" s="60">
        <f>改訂履歴!$B$11</f>
        <v>45512</v>
      </c>
      <c r="AU2" s="61"/>
      <c r="AV2" s="61"/>
      <c r="AW2" s="61"/>
      <c r="AX2" s="62"/>
      <c r="AY2" s="32" t="str">
        <f>LOOKUP(2,1/(改訂履歴!H11:H30000&lt;&gt;""),改訂履歴!H11:H30000)</f>
        <v>AnhDD</v>
      </c>
      <c r="AZ2" s="33"/>
      <c r="BA2" s="33"/>
      <c r="BB2" s="34"/>
      <c r="BC2" s="60">
        <f>LOOKUP(2,1/(改訂履歴!B11:B30000&lt;&gt;""),改訂履歴!B11:B30000)</f>
        <v>45617</v>
      </c>
      <c r="BD2" s="61"/>
      <c r="BE2" s="61"/>
      <c r="BF2" s="61"/>
      <c r="BG2" s="62"/>
      <c r="BH2" s="54">
        <f>LOOKUP(2,1/(改訂履歴!O11:O30000&lt;&gt;""),改訂履歴!O11:O30000)</f>
        <v>0.2</v>
      </c>
      <c r="BI2" s="55"/>
      <c r="BJ2" s="55"/>
      <c r="BK2" s="56"/>
    </row>
    <row r="3" spans="1:63" ht="1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5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7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57"/>
      <c r="BI3" s="58"/>
      <c r="BJ3" s="58"/>
      <c r="BK3" s="59"/>
    </row>
    <row r="4" spans="1:63" ht="24.95" customHeight="1" x14ac:dyDescent="0.25">
      <c r="A4" s="29" t="s">
        <v>83</v>
      </c>
      <c r="B4" s="30"/>
      <c r="C4" s="30"/>
      <c r="D4" s="30"/>
      <c r="E4" s="30"/>
      <c r="F4" s="30"/>
      <c r="G4" s="31"/>
      <c r="H4" s="50" t="s">
        <v>69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9" t="s">
        <v>84</v>
      </c>
      <c r="V4" s="30"/>
      <c r="W4" s="30"/>
      <c r="X4" s="30"/>
      <c r="Y4" s="31"/>
      <c r="Z4" s="53" t="s">
        <v>85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>
        <f t="array" aca="1" ref="AP4" ca="1">RIGHT(CELL("filename",$A$1),LEN(CELL("filename",$A$1))-FIND("]",CELL("filename",$A$1)))</f>
        <v>表紙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thickBot="1" x14ac:dyDescent="0.3">
      <c r="A14" s="16"/>
      <c r="BK14" s="17"/>
    </row>
    <row r="15" spans="1:63" ht="15" customHeight="1" thickTop="1" x14ac:dyDescent="0.25">
      <c r="A15" s="16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20"/>
      <c r="BK15" s="17"/>
    </row>
    <row r="16" spans="1:63" ht="15" customHeight="1" x14ac:dyDescent="0.25">
      <c r="A16" s="16"/>
      <c r="K16" s="21"/>
      <c r="L16" s="48" t="s">
        <v>86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22"/>
      <c r="BK16" s="17"/>
    </row>
    <row r="17" spans="1:63" ht="15" customHeight="1" x14ac:dyDescent="0.25">
      <c r="A17" s="16"/>
      <c r="K17" s="21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22"/>
      <c r="BK17" s="17"/>
    </row>
    <row r="18" spans="1:63" ht="15" customHeight="1" x14ac:dyDescent="0.25">
      <c r="A18" s="16"/>
      <c r="K18" s="21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22"/>
      <c r="BK18" s="17"/>
    </row>
    <row r="19" spans="1:63" ht="15" customHeight="1" x14ac:dyDescent="0.25">
      <c r="A19" s="16"/>
      <c r="K19" s="2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22"/>
      <c r="BK19" s="17"/>
    </row>
    <row r="20" spans="1:63" ht="15" customHeight="1" x14ac:dyDescent="0.25">
      <c r="A20" s="16"/>
      <c r="K20" s="2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22"/>
      <c r="BK20" s="17"/>
    </row>
    <row r="21" spans="1:63" ht="15" customHeight="1" x14ac:dyDescent="0.25">
      <c r="A21" s="16"/>
      <c r="K21" s="21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22"/>
      <c r="BK21" s="17"/>
    </row>
    <row r="22" spans="1:63" ht="15" customHeight="1" thickBot="1" x14ac:dyDescent="0.3">
      <c r="A22" s="16"/>
      <c r="K22" s="21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2"/>
      <c r="BK22" s="17"/>
    </row>
    <row r="23" spans="1:63" ht="15" customHeight="1" x14ac:dyDescent="0.25">
      <c r="A23" s="16"/>
      <c r="K23" s="21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2"/>
      <c r="BK23" s="17"/>
    </row>
    <row r="24" spans="1:63" ht="15" customHeight="1" x14ac:dyDescent="0.25">
      <c r="A24" s="16"/>
      <c r="K24" s="21"/>
      <c r="L24" s="49" t="str">
        <f>K2&amp;"/"&amp;H4&amp;"/"&amp;Z4</f>
        <v>POSサーバー/33_釣銭機状況照会/画面設計書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22"/>
      <c r="BK24" s="17"/>
    </row>
    <row r="25" spans="1:63" ht="15" customHeight="1" x14ac:dyDescent="0.25">
      <c r="A25" s="16"/>
      <c r="K25" s="2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22"/>
      <c r="BK25" s="17"/>
    </row>
    <row r="26" spans="1:63" ht="15" customHeight="1" x14ac:dyDescent="0.25">
      <c r="A26" s="16"/>
      <c r="K26" s="21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22"/>
      <c r="BK26" s="17"/>
    </row>
    <row r="27" spans="1:63" ht="15" customHeight="1" x14ac:dyDescent="0.25">
      <c r="A27" s="16"/>
      <c r="K27" s="21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22"/>
      <c r="BK27" s="17"/>
    </row>
    <row r="28" spans="1:63" ht="15" customHeight="1" x14ac:dyDescent="0.25">
      <c r="A28" s="16"/>
      <c r="K28" s="2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22"/>
      <c r="BK28" s="17"/>
    </row>
    <row r="29" spans="1:63" ht="15" customHeight="1" x14ac:dyDescent="0.25">
      <c r="A29" s="16"/>
      <c r="K29" s="21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22"/>
      <c r="BK29" s="17"/>
    </row>
    <row r="30" spans="1:63" ht="15" customHeight="1" x14ac:dyDescent="0.25">
      <c r="A30" s="16"/>
      <c r="K30" s="21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22"/>
      <c r="BK30" s="17"/>
    </row>
    <row r="31" spans="1:63" ht="15" customHeight="1" x14ac:dyDescent="0.25">
      <c r="A31" s="16"/>
      <c r="K31" s="2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22"/>
      <c r="BK31" s="17"/>
    </row>
    <row r="32" spans="1:63" ht="15" customHeight="1" x14ac:dyDescent="0.25">
      <c r="A32" s="16"/>
      <c r="K32" s="2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22"/>
      <c r="BK32" s="17"/>
    </row>
    <row r="33" spans="1:63" ht="15" customHeight="1" x14ac:dyDescent="0.25">
      <c r="A33" s="16"/>
      <c r="K33" s="21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22"/>
      <c r="BK33" s="17"/>
    </row>
    <row r="34" spans="1:63" ht="15" customHeight="1" x14ac:dyDescent="0.25">
      <c r="A34" s="16"/>
      <c r="K34" s="21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22"/>
      <c r="BK34" s="17"/>
    </row>
    <row r="35" spans="1:63" ht="15" customHeight="1" x14ac:dyDescent="0.25">
      <c r="A35" s="16"/>
      <c r="K35" s="2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22"/>
      <c r="BK35" s="17"/>
    </row>
    <row r="36" spans="1:63" ht="15" customHeight="1" x14ac:dyDescent="0.25">
      <c r="A36" s="16"/>
      <c r="K36" s="2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22"/>
      <c r="BK36" s="17"/>
    </row>
    <row r="37" spans="1:63" ht="15" customHeight="1" thickBot="1" x14ac:dyDescent="0.3">
      <c r="A37" s="16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7"/>
      <c r="BK37" s="17"/>
    </row>
    <row r="38" spans="1:63" ht="15" customHeight="1" thickTop="1" x14ac:dyDescent="0.25">
      <c r="A38" s="16"/>
      <c r="BK38" s="17"/>
    </row>
    <row r="39" spans="1:63" ht="15" customHeight="1" x14ac:dyDescent="0.25">
      <c r="A39" s="16"/>
      <c r="BK39" s="17"/>
    </row>
    <row r="40" spans="1:63" ht="15" customHeight="1" x14ac:dyDescent="0.25">
      <c r="A40" s="16"/>
      <c r="BK40" s="17"/>
    </row>
    <row r="41" spans="1:63" ht="15" customHeight="1" x14ac:dyDescent="0.25">
      <c r="A41" s="16"/>
      <c r="BK41" s="17"/>
    </row>
    <row r="42" spans="1:63" ht="15" customHeight="1" x14ac:dyDescent="0.25">
      <c r="A42" s="16"/>
      <c r="BK42" s="17"/>
    </row>
    <row r="43" spans="1:63" ht="15" customHeight="1" x14ac:dyDescent="0.25">
      <c r="A43" s="16"/>
      <c r="BK43" s="17"/>
    </row>
    <row r="44" spans="1:63" ht="15" customHeight="1" x14ac:dyDescent="0.25">
      <c r="A44" s="16"/>
      <c r="Q44" s="69" t="s">
        <v>87</v>
      </c>
      <c r="R44" s="70"/>
      <c r="S44" s="70"/>
      <c r="T44" s="70"/>
      <c r="U44" s="70"/>
      <c r="V44" s="70"/>
      <c r="W44" s="70"/>
      <c r="X44" s="70"/>
      <c r="Y44" s="70"/>
      <c r="Z44" s="71"/>
      <c r="AA44" s="69" t="s">
        <v>88</v>
      </c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1"/>
      <c r="AQ44" s="69" t="s">
        <v>81</v>
      </c>
      <c r="AR44" s="70"/>
      <c r="AS44" s="70"/>
      <c r="AT44" s="70"/>
      <c r="AU44" s="71"/>
      <c r="BK44" s="17"/>
    </row>
    <row r="45" spans="1:63" ht="15" customHeight="1" x14ac:dyDescent="0.25">
      <c r="A45" s="16"/>
      <c r="Q45" s="72"/>
      <c r="R45" s="73"/>
      <c r="S45" s="73"/>
      <c r="T45" s="73"/>
      <c r="U45" s="73"/>
      <c r="V45" s="73"/>
      <c r="W45" s="73"/>
      <c r="X45" s="73"/>
      <c r="Y45" s="73"/>
      <c r="Z45" s="74"/>
      <c r="AA45" s="72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4"/>
      <c r="AQ45" s="72"/>
      <c r="AR45" s="73"/>
      <c r="AS45" s="73"/>
      <c r="AT45" s="73"/>
      <c r="AU45" s="74"/>
      <c r="BK45" s="17"/>
    </row>
    <row r="46" spans="1:63" ht="15" customHeight="1" x14ac:dyDescent="0.25">
      <c r="A46" s="16"/>
      <c r="Q46" s="32"/>
      <c r="R46" s="33"/>
      <c r="S46" s="33"/>
      <c r="T46" s="33"/>
      <c r="U46" s="33"/>
      <c r="V46" s="33"/>
      <c r="W46" s="33"/>
      <c r="X46" s="33"/>
      <c r="Y46" s="33"/>
      <c r="Z46" s="34"/>
      <c r="AA46" s="32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4"/>
      <c r="AQ46" s="32"/>
      <c r="AR46" s="33"/>
      <c r="AS46" s="33"/>
      <c r="AT46" s="33"/>
      <c r="AU46" s="34"/>
      <c r="BK46" s="17"/>
    </row>
    <row r="47" spans="1:63" ht="15" customHeight="1" x14ac:dyDescent="0.25">
      <c r="A47" s="16"/>
      <c r="Q47" s="66"/>
      <c r="R47" s="67"/>
      <c r="S47" s="67"/>
      <c r="T47" s="67"/>
      <c r="U47" s="67"/>
      <c r="V47" s="67"/>
      <c r="W47" s="67"/>
      <c r="X47" s="67"/>
      <c r="Y47" s="67"/>
      <c r="Z47" s="68"/>
      <c r="AA47" s="66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8"/>
      <c r="AQ47" s="66"/>
      <c r="AR47" s="67"/>
      <c r="AS47" s="67"/>
      <c r="AT47" s="67"/>
      <c r="AU47" s="68"/>
      <c r="BK47" s="17"/>
    </row>
    <row r="48" spans="1:63" ht="15" customHeight="1" x14ac:dyDescent="0.25">
      <c r="A48" s="16"/>
      <c r="Q48" s="66"/>
      <c r="R48" s="67"/>
      <c r="S48" s="67"/>
      <c r="T48" s="67"/>
      <c r="U48" s="67"/>
      <c r="V48" s="67"/>
      <c r="W48" s="67"/>
      <c r="X48" s="67"/>
      <c r="Y48" s="67"/>
      <c r="Z48" s="68"/>
      <c r="AA48" s="66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8"/>
      <c r="AQ48" s="66"/>
      <c r="AR48" s="67"/>
      <c r="AS48" s="67"/>
      <c r="AT48" s="67"/>
      <c r="AU48" s="68"/>
      <c r="BK48" s="17"/>
    </row>
    <row r="49" spans="1:63" ht="15" customHeight="1" x14ac:dyDescent="0.25">
      <c r="A49" s="16"/>
      <c r="Q49" s="35"/>
      <c r="R49" s="36"/>
      <c r="S49" s="36"/>
      <c r="T49" s="36"/>
      <c r="U49" s="36"/>
      <c r="V49" s="36"/>
      <c r="W49" s="36"/>
      <c r="X49" s="36"/>
      <c r="Y49" s="36"/>
      <c r="Z49" s="37"/>
      <c r="AA49" s="35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7"/>
      <c r="AQ49" s="35"/>
      <c r="AR49" s="36"/>
      <c r="AS49" s="36"/>
      <c r="AT49" s="36"/>
      <c r="AU49" s="37"/>
      <c r="BK49" s="17"/>
    </row>
    <row r="50" spans="1:63" ht="15" customHeight="1" x14ac:dyDescent="0.25">
      <c r="A50" s="16"/>
      <c r="BK50" s="17"/>
    </row>
    <row r="51" spans="1:63" ht="15" customHeight="1" x14ac:dyDescent="0.25">
      <c r="A51" s="16"/>
      <c r="BK51" s="17"/>
    </row>
    <row r="52" spans="1:63" ht="15" customHeight="1" x14ac:dyDescent="0.25">
      <c r="A52" s="16"/>
      <c r="BK52" s="17"/>
    </row>
    <row r="53" spans="1:63" ht="15" customHeight="1" x14ac:dyDescent="0.25">
      <c r="A53" s="16"/>
      <c r="BK53" s="17"/>
    </row>
    <row r="54" spans="1:63" ht="15" customHeight="1" x14ac:dyDescent="0.25">
      <c r="A54" s="16"/>
      <c r="BK54" s="17"/>
    </row>
    <row r="55" spans="1:63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" customWidth="1"/>
    <col min="61" max="16384" width="2.77734375" style="12"/>
  </cols>
  <sheetData>
    <row r="1" spans="1:63" ht="24.95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75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75" t="str">
        <f>IF(表紙!W1="","",表紙!W1)</f>
        <v>詳細設計書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1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32" t="str">
        <f>IF(表紙!A2="","",表紙!A2)</f>
        <v>POSサーバー</v>
      </c>
      <c r="B2" s="33"/>
      <c r="C2" s="33"/>
      <c r="D2" s="33"/>
      <c r="E2" s="33"/>
      <c r="F2" s="33"/>
      <c r="G2" s="33"/>
      <c r="H2" s="33"/>
      <c r="I2" s="33"/>
      <c r="J2" s="34"/>
      <c r="K2" s="32" t="str">
        <f>IF(表紙!K2="","",表紙!K2)</f>
        <v>POSサーバー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42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/>
      <c r="AP2" s="32" t="str">
        <f>IF(表紙!AP2="","",表紙!AP2)</f>
        <v>SonMNT</v>
      </c>
      <c r="AQ2" s="33"/>
      <c r="AR2" s="33"/>
      <c r="AS2" s="34"/>
      <c r="AT2" s="60">
        <f>IF(表紙!AT2="","",表紙!AT2)</f>
        <v>45512</v>
      </c>
      <c r="AU2" s="61"/>
      <c r="AV2" s="61"/>
      <c r="AW2" s="61"/>
      <c r="AX2" s="62"/>
      <c r="AY2" s="32" t="str">
        <f>IF(表紙!AY2="","",表紙!AY2)</f>
        <v>AnhDD</v>
      </c>
      <c r="AZ2" s="33"/>
      <c r="BA2" s="33"/>
      <c r="BB2" s="34"/>
      <c r="BC2" s="60">
        <f>IF(表紙!BC2="","",表紙!BC2)</f>
        <v>45617</v>
      </c>
      <c r="BD2" s="61"/>
      <c r="BE2" s="61"/>
      <c r="BF2" s="61"/>
      <c r="BG2" s="62"/>
      <c r="BH2" s="32">
        <f>IF(表紙!BH2="","",表紙!BH2)</f>
        <v>0.2</v>
      </c>
      <c r="BI2" s="33"/>
      <c r="BJ2" s="33"/>
      <c r="BK2" s="34"/>
    </row>
    <row r="3" spans="1:63" ht="1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5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7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35"/>
      <c r="BI3" s="36"/>
      <c r="BJ3" s="36"/>
      <c r="BK3" s="37"/>
    </row>
    <row r="4" spans="1:63" ht="24.95" customHeight="1" x14ac:dyDescent="0.25">
      <c r="A4" s="29" t="s">
        <v>89</v>
      </c>
      <c r="B4" s="30"/>
      <c r="C4" s="30"/>
      <c r="D4" s="30"/>
      <c r="E4" s="30"/>
      <c r="F4" s="30"/>
      <c r="G4" s="31"/>
      <c r="H4" s="50" t="str">
        <f>IF(表紙!H4="","",表紙!H4)</f>
        <v>33_釣銭機状況照会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9" t="s">
        <v>84</v>
      </c>
      <c r="V4" s="30"/>
      <c r="W4" s="30"/>
      <c r="X4" s="30"/>
      <c r="Y4" s="31"/>
      <c r="Z4" s="50" t="str">
        <f>IF(表紙!Z4="","",表紙!Z4)</f>
        <v>画面設計書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>
        <f t="array" aca="1" ref="AP4" ca="1">RIGHT(CELL("filename",$A$1),LEN(CELL("filename",$A$1))-FIND("]",CELL("filename",$A$1)))</f>
        <v>改訂履歴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K7" s="17"/>
    </row>
    <row r="8" spans="1:63" ht="15" customHeight="1" x14ac:dyDescent="0.25">
      <c r="A8" s="16"/>
      <c r="B8" s="12" t="s">
        <v>0</v>
      </c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10" s="88" t="s">
        <v>80</v>
      </c>
      <c r="C10" s="88"/>
      <c r="D10" s="88"/>
      <c r="E10" s="88"/>
      <c r="F10" s="88"/>
      <c r="G10" s="88"/>
      <c r="H10" s="88" t="s">
        <v>79</v>
      </c>
      <c r="I10" s="88"/>
      <c r="J10" s="88"/>
      <c r="K10" s="88"/>
      <c r="L10" s="88"/>
      <c r="M10" s="88"/>
      <c r="N10" s="88"/>
      <c r="O10" s="88" t="s">
        <v>81</v>
      </c>
      <c r="P10" s="88"/>
      <c r="Q10" s="88"/>
      <c r="R10" s="88"/>
      <c r="S10" s="88" t="s">
        <v>90</v>
      </c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 t="s">
        <v>87</v>
      </c>
      <c r="AY10" s="88"/>
      <c r="AZ10" s="88"/>
      <c r="BA10" s="88"/>
      <c r="BB10" s="88"/>
      <c r="BC10" s="88"/>
      <c r="BD10" s="88" t="s">
        <v>88</v>
      </c>
      <c r="BE10" s="88"/>
      <c r="BF10" s="88"/>
      <c r="BG10" s="88"/>
      <c r="BH10" s="88"/>
      <c r="BI10" s="88"/>
      <c r="BJ10" s="88"/>
      <c r="BK10" s="17"/>
    </row>
    <row r="11" spans="1:63" ht="15" customHeight="1" x14ac:dyDescent="0.25">
      <c r="A11" s="16"/>
      <c r="B11" s="60">
        <v>45512</v>
      </c>
      <c r="C11" s="33"/>
      <c r="D11" s="33"/>
      <c r="E11" s="33"/>
      <c r="F11" s="33"/>
      <c r="G11" s="34"/>
      <c r="H11" s="38" t="s">
        <v>91</v>
      </c>
      <c r="I11" s="33"/>
      <c r="J11" s="33"/>
      <c r="K11" s="33"/>
      <c r="L11" s="33"/>
      <c r="M11" s="33"/>
      <c r="N11" s="34"/>
      <c r="O11" s="32">
        <v>0.1</v>
      </c>
      <c r="P11" s="33"/>
      <c r="Q11" s="33"/>
      <c r="R11" s="33"/>
      <c r="S11" s="76" t="s">
        <v>2</v>
      </c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8"/>
      <c r="AX11" s="79"/>
      <c r="AY11" s="79"/>
      <c r="AZ11" s="79"/>
      <c r="BA11" s="79"/>
      <c r="BB11" s="79"/>
      <c r="BC11" s="80"/>
      <c r="BD11" s="83"/>
      <c r="BE11" s="79"/>
      <c r="BF11" s="79"/>
      <c r="BG11" s="79"/>
      <c r="BH11" s="79"/>
      <c r="BI11" s="79"/>
      <c r="BJ11" s="80"/>
      <c r="BK11" s="17"/>
    </row>
    <row r="12" spans="1:63" ht="15" customHeight="1" x14ac:dyDescent="0.25">
      <c r="A12" s="16"/>
      <c r="B12" s="35"/>
      <c r="C12" s="36"/>
      <c r="D12" s="36"/>
      <c r="E12" s="36"/>
      <c r="F12" s="36"/>
      <c r="G12" s="37"/>
      <c r="H12" s="35"/>
      <c r="I12" s="36"/>
      <c r="J12" s="36"/>
      <c r="K12" s="36"/>
      <c r="L12" s="36"/>
      <c r="M12" s="36"/>
      <c r="N12" s="37"/>
      <c r="O12" s="35"/>
      <c r="P12" s="36"/>
      <c r="Q12" s="36"/>
      <c r="R12" s="36"/>
      <c r="S12" s="85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7"/>
      <c r="AX12" s="81"/>
      <c r="AY12" s="81"/>
      <c r="AZ12" s="81"/>
      <c r="BA12" s="81"/>
      <c r="BB12" s="81"/>
      <c r="BC12" s="82"/>
      <c r="BD12" s="84"/>
      <c r="BE12" s="81"/>
      <c r="BF12" s="81"/>
      <c r="BG12" s="81"/>
      <c r="BH12" s="81"/>
      <c r="BI12" s="81"/>
      <c r="BJ12" s="82"/>
      <c r="BK12" s="17"/>
    </row>
    <row r="13" spans="1:63" ht="15" customHeight="1" x14ac:dyDescent="0.25">
      <c r="A13" s="16"/>
      <c r="B13" s="208">
        <v>45617</v>
      </c>
      <c r="C13" s="209"/>
      <c r="D13" s="209"/>
      <c r="E13" s="209"/>
      <c r="F13" s="209"/>
      <c r="G13" s="210"/>
      <c r="H13" s="211" t="s">
        <v>162</v>
      </c>
      <c r="I13" s="209"/>
      <c r="J13" s="209"/>
      <c r="K13" s="209"/>
      <c r="L13" s="209"/>
      <c r="M13" s="209"/>
      <c r="N13" s="210"/>
      <c r="O13" s="211">
        <v>0.2</v>
      </c>
      <c r="P13" s="209"/>
      <c r="Q13" s="209"/>
      <c r="R13" s="209"/>
      <c r="S13" s="212" t="s">
        <v>164</v>
      </c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4"/>
      <c r="AX13" s="79"/>
      <c r="AY13" s="79"/>
      <c r="AZ13" s="79"/>
      <c r="BA13" s="79"/>
      <c r="BB13" s="79"/>
      <c r="BC13" s="80"/>
      <c r="BD13" s="83"/>
      <c r="BE13" s="79"/>
      <c r="BF13" s="79"/>
      <c r="BG13" s="79"/>
      <c r="BH13" s="79"/>
      <c r="BI13" s="79"/>
      <c r="BJ13" s="80"/>
      <c r="BK13" s="17"/>
    </row>
    <row r="14" spans="1:63" ht="15" customHeight="1" x14ac:dyDescent="0.25">
      <c r="A14" s="16"/>
      <c r="B14" s="215"/>
      <c r="C14" s="216"/>
      <c r="D14" s="216"/>
      <c r="E14" s="216"/>
      <c r="F14" s="216"/>
      <c r="G14" s="217"/>
      <c r="H14" s="215"/>
      <c r="I14" s="216"/>
      <c r="J14" s="216"/>
      <c r="K14" s="216"/>
      <c r="L14" s="216"/>
      <c r="M14" s="216"/>
      <c r="N14" s="217"/>
      <c r="O14" s="215"/>
      <c r="P14" s="216"/>
      <c r="Q14" s="216"/>
      <c r="R14" s="216"/>
      <c r="S14" s="218" t="s">
        <v>163</v>
      </c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20"/>
      <c r="AX14" s="81"/>
      <c r="AY14" s="81"/>
      <c r="AZ14" s="81"/>
      <c r="BA14" s="81"/>
      <c r="BB14" s="81"/>
      <c r="BC14" s="82"/>
      <c r="BD14" s="84"/>
      <c r="BE14" s="81"/>
      <c r="BF14" s="81"/>
      <c r="BG14" s="81"/>
      <c r="BH14" s="81"/>
      <c r="BI14" s="81"/>
      <c r="BJ14" s="82"/>
      <c r="BK14" s="17"/>
    </row>
    <row r="15" spans="1:63" ht="15" customHeight="1" x14ac:dyDescent="0.25">
      <c r="A15" s="16"/>
      <c r="B15" s="32"/>
      <c r="C15" s="33"/>
      <c r="D15" s="33"/>
      <c r="E15" s="33"/>
      <c r="F15" s="33"/>
      <c r="G15" s="34"/>
      <c r="H15" s="32"/>
      <c r="I15" s="33"/>
      <c r="J15" s="33"/>
      <c r="K15" s="33"/>
      <c r="L15" s="33"/>
      <c r="M15" s="33"/>
      <c r="N15" s="34"/>
      <c r="O15" s="32"/>
      <c r="P15" s="33"/>
      <c r="Q15" s="33"/>
      <c r="R15" s="33"/>
      <c r="S15" s="76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8"/>
      <c r="AX15" s="79"/>
      <c r="AY15" s="79"/>
      <c r="AZ15" s="79"/>
      <c r="BA15" s="79"/>
      <c r="BB15" s="79"/>
      <c r="BC15" s="80"/>
      <c r="BD15" s="83"/>
      <c r="BE15" s="79"/>
      <c r="BF15" s="79"/>
      <c r="BG15" s="79"/>
      <c r="BH15" s="79"/>
      <c r="BI15" s="79"/>
      <c r="BJ15" s="80"/>
      <c r="BK15" s="17"/>
    </row>
    <row r="16" spans="1:63" ht="15" customHeight="1" x14ac:dyDescent="0.25">
      <c r="A16" s="16"/>
      <c r="B16" s="35"/>
      <c r="C16" s="36"/>
      <c r="D16" s="36"/>
      <c r="E16" s="36"/>
      <c r="F16" s="36"/>
      <c r="G16" s="37"/>
      <c r="H16" s="35"/>
      <c r="I16" s="36"/>
      <c r="J16" s="36"/>
      <c r="K16" s="36"/>
      <c r="L16" s="36"/>
      <c r="M16" s="36"/>
      <c r="N16" s="37"/>
      <c r="O16" s="35"/>
      <c r="P16" s="36"/>
      <c r="Q16" s="36"/>
      <c r="R16" s="36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7"/>
      <c r="AX16" s="81"/>
      <c r="AY16" s="81"/>
      <c r="AZ16" s="81"/>
      <c r="BA16" s="81"/>
      <c r="BB16" s="81"/>
      <c r="BC16" s="82"/>
      <c r="BD16" s="84"/>
      <c r="BE16" s="81"/>
      <c r="BF16" s="81"/>
      <c r="BG16" s="81"/>
      <c r="BH16" s="81"/>
      <c r="BI16" s="81"/>
      <c r="BJ16" s="82"/>
      <c r="BK16" s="17"/>
    </row>
    <row r="17" spans="1:63" ht="15" customHeight="1" x14ac:dyDescent="0.25">
      <c r="A17" s="16"/>
      <c r="B17" s="32"/>
      <c r="C17" s="33"/>
      <c r="D17" s="33"/>
      <c r="E17" s="33"/>
      <c r="F17" s="33"/>
      <c r="G17" s="34"/>
      <c r="H17" s="32"/>
      <c r="I17" s="33"/>
      <c r="J17" s="33"/>
      <c r="K17" s="33"/>
      <c r="L17" s="33"/>
      <c r="M17" s="33"/>
      <c r="N17" s="34"/>
      <c r="O17" s="32"/>
      <c r="P17" s="33"/>
      <c r="Q17" s="33"/>
      <c r="R17" s="33"/>
      <c r="S17" s="76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8"/>
      <c r="AX17" s="79"/>
      <c r="AY17" s="79"/>
      <c r="AZ17" s="79"/>
      <c r="BA17" s="79"/>
      <c r="BB17" s="79"/>
      <c r="BC17" s="80"/>
      <c r="BD17" s="83"/>
      <c r="BE17" s="79"/>
      <c r="BF17" s="79"/>
      <c r="BG17" s="79"/>
      <c r="BH17" s="79"/>
      <c r="BI17" s="79"/>
      <c r="BJ17" s="80"/>
      <c r="BK17" s="17"/>
    </row>
    <row r="18" spans="1:63" ht="15" customHeight="1" x14ac:dyDescent="0.25">
      <c r="A18" s="16"/>
      <c r="B18" s="35"/>
      <c r="C18" s="36"/>
      <c r="D18" s="36"/>
      <c r="E18" s="36"/>
      <c r="F18" s="36"/>
      <c r="G18" s="37"/>
      <c r="H18" s="35"/>
      <c r="I18" s="36"/>
      <c r="J18" s="36"/>
      <c r="K18" s="36"/>
      <c r="L18" s="36"/>
      <c r="M18" s="36"/>
      <c r="N18" s="37"/>
      <c r="O18" s="35"/>
      <c r="P18" s="36"/>
      <c r="Q18" s="36"/>
      <c r="R18" s="36"/>
      <c r="S18" s="85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7"/>
      <c r="AX18" s="81"/>
      <c r="AY18" s="81"/>
      <c r="AZ18" s="81"/>
      <c r="BA18" s="81"/>
      <c r="BB18" s="81"/>
      <c r="BC18" s="82"/>
      <c r="BD18" s="84"/>
      <c r="BE18" s="81"/>
      <c r="BF18" s="81"/>
      <c r="BG18" s="81"/>
      <c r="BH18" s="81"/>
      <c r="BI18" s="81"/>
      <c r="BJ18" s="82"/>
      <c r="BK18" s="17"/>
    </row>
    <row r="19" spans="1:63" ht="15" customHeight="1" x14ac:dyDescent="0.25">
      <c r="A19" s="16"/>
      <c r="B19" s="32"/>
      <c r="C19" s="33"/>
      <c r="D19" s="33"/>
      <c r="E19" s="33"/>
      <c r="F19" s="33"/>
      <c r="G19" s="34"/>
      <c r="H19" s="32"/>
      <c r="I19" s="33"/>
      <c r="J19" s="33"/>
      <c r="K19" s="33"/>
      <c r="L19" s="33"/>
      <c r="M19" s="33"/>
      <c r="N19" s="34"/>
      <c r="O19" s="32"/>
      <c r="P19" s="33"/>
      <c r="Q19" s="33"/>
      <c r="R19" s="33"/>
      <c r="S19" s="76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8"/>
      <c r="AX19" s="79"/>
      <c r="AY19" s="79"/>
      <c r="AZ19" s="79"/>
      <c r="BA19" s="79"/>
      <c r="BB19" s="79"/>
      <c r="BC19" s="80"/>
      <c r="BD19" s="83"/>
      <c r="BE19" s="79"/>
      <c r="BF19" s="79"/>
      <c r="BG19" s="79"/>
      <c r="BH19" s="79"/>
      <c r="BI19" s="79"/>
      <c r="BJ19" s="80"/>
      <c r="BK19" s="17"/>
    </row>
    <row r="20" spans="1:63" ht="15" customHeight="1" x14ac:dyDescent="0.25">
      <c r="A20" s="16"/>
      <c r="B20" s="35"/>
      <c r="C20" s="36"/>
      <c r="D20" s="36"/>
      <c r="E20" s="36"/>
      <c r="F20" s="36"/>
      <c r="G20" s="37"/>
      <c r="H20" s="35"/>
      <c r="I20" s="36"/>
      <c r="J20" s="36"/>
      <c r="K20" s="36"/>
      <c r="L20" s="36"/>
      <c r="M20" s="36"/>
      <c r="N20" s="37"/>
      <c r="O20" s="35"/>
      <c r="P20" s="36"/>
      <c r="Q20" s="36"/>
      <c r="R20" s="36"/>
      <c r="S20" s="85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7"/>
      <c r="AX20" s="81"/>
      <c r="AY20" s="81"/>
      <c r="AZ20" s="81"/>
      <c r="BA20" s="81"/>
      <c r="BB20" s="81"/>
      <c r="BC20" s="82"/>
      <c r="BD20" s="84"/>
      <c r="BE20" s="81"/>
      <c r="BF20" s="81"/>
      <c r="BG20" s="81"/>
      <c r="BH20" s="81"/>
      <c r="BI20" s="81"/>
      <c r="BJ20" s="82"/>
      <c r="BK20" s="17"/>
    </row>
    <row r="21" spans="1:63" ht="15" customHeight="1" x14ac:dyDescent="0.25">
      <c r="A21" s="16"/>
      <c r="B21" s="32"/>
      <c r="C21" s="33"/>
      <c r="D21" s="33"/>
      <c r="E21" s="33"/>
      <c r="F21" s="33"/>
      <c r="G21" s="34"/>
      <c r="H21" s="32"/>
      <c r="I21" s="33"/>
      <c r="J21" s="33"/>
      <c r="K21" s="33"/>
      <c r="L21" s="33"/>
      <c r="M21" s="33"/>
      <c r="N21" s="34"/>
      <c r="O21" s="32"/>
      <c r="P21" s="33"/>
      <c r="Q21" s="33"/>
      <c r="R21" s="33"/>
      <c r="S21" s="76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8"/>
      <c r="AX21" s="79"/>
      <c r="AY21" s="79"/>
      <c r="AZ21" s="79"/>
      <c r="BA21" s="79"/>
      <c r="BB21" s="79"/>
      <c r="BC21" s="80"/>
      <c r="BD21" s="83"/>
      <c r="BE21" s="79"/>
      <c r="BF21" s="79"/>
      <c r="BG21" s="79"/>
      <c r="BH21" s="79"/>
      <c r="BI21" s="79"/>
      <c r="BJ21" s="80"/>
      <c r="BK21" s="17"/>
    </row>
    <row r="22" spans="1:63" ht="15" customHeight="1" x14ac:dyDescent="0.25">
      <c r="A22" s="16"/>
      <c r="B22" s="35"/>
      <c r="C22" s="36"/>
      <c r="D22" s="36"/>
      <c r="E22" s="36"/>
      <c r="F22" s="36"/>
      <c r="G22" s="37"/>
      <c r="H22" s="35"/>
      <c r="I22" s="36"/>
      <c r="J22" s="36"/>
      <c r="K22" s="36"/>
      <c r="L22" s="36"/>
      <c r="M22" s="36"/>
      <c r="N22" s="37"/>
      <c r="O22" s="35"/>
      <c r="P22" s="36"/>
      <c r="Q22" s="36"/>
      <c r="R22" s="36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7"/>
      <c r="AX22" s="81"/>
      <c r="AY22" s="81"/>
      <c r="AZ22" s="81"/>
      <c r="BA22" s="81"/>
      <c r="BB22" s="81"/>
      <c r="BC22" s="82"/>
      <c r="BD22" s="84"/>
      <c r="BE22" s="81"/>
      <c r="BF22" s="81"/>
      <c r="BG22" s="81"/>
      <c r="BH22" s="81"/>
      <c r="BI22" s="81"/>
      <c r="BJ22" s="82"/>
      <c r="BK22" s="17"/>
    </row>
    <row r="23" spans="1:63" ht="15" customHeight="1" x14ac:dyDescent="0.25">
      <c r="A23" s="16"/>
      <c r="B23" s="32"/>
      <c r="C23" s="33"/>
      <c r="D23" s="33"/>
      <c r="E23" s="33"/>
      <c r="F23" s="33"/>
      <c r="G23" s="34"/>
      <c r="H23" s="32"/>
      <c r="I23" s="33"/>
      <c r="J23" s="33"/>
      <c r="K23" s="33"/>
      <c r="L23" s="33"/>
      <c r="M23" s="33"/>
      <c r="N23" s="34"/>
      <c r="O23" s="32"/>
      <c r="P23" s="33"/>
      <c r="Q23" s="33"/>
      <c r="R23" s="33"/>
      <c r="S23" s="76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8"/>
      <c r="AX23" s="79"/>
      <c r="AY23" s="79"/>
      <c r="AZ23" s="79"/>
      <c r="BA23" s="79"/>
      <c r="BB23" s="79"/>
      <c r="BC23" s="80"/>
      <c r="BD23" s="83"/>
      <c r="BE23" s="79"/>
      <c r="BF23" s="79"/>
      <c r="BG23" s="79"/>
      <c r="BH23" s="79"/>
      <c r="BI23" s="79"/>
      <c r="BJ23" s="80"/>
      <c r="BK23" s="17"/>
    </row>
    <row r="24" spans="1:63" ht="15" customHeight="1" x14ac:dyDescent="0.25">
      <c r="A24" s="16"/>
      <c r="B24" s="35"/>
      <c r="C24" s="36"/>
      <c r="D24" s="36"/>
      <c r="E24" s="36"/>
      <c r="F24" s="36"/>
      <c r="G24" s="37"/>
      <c r="H24" s="35"/>
      <c r="I24" s="36"/>
      <c r="J24" s="36"/>
      <c r="K24" s="36"/>
      <c r="L24" s="36"/>
      <c r="M24" s="36"/>
      <c r="N24" s="37"/>
      <c r="O24" s="35"/>
      <c r="P24" s="36"/>
      <c r="Q24" s="36"/>
      <c r="R24" s="36"/>
      <c r="S24" s="85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7"/>
      <c r="AX24" s="81"/>
      <c r="AY24" s="81"/>
      <c r="AZ24" s="81"/>
      <c r="BA24" s="81"/>
      <c r="BB24" s="81"/>
      <c r="BC24" s="82"/>
      <c r="BD24" s="84"/>
      <c r="BE24" s="81"/>
      <c r="BF24" s="81"/>
      <c r="BG24" s="81"/>
      <c r="BH24" s="81"/>
      <c r="BI24" s="81"/>
      <c r="BJ24" s="82"/>
      <c r="BK24" s="17"/>
    </row>
    <row r="25" spans="1:63" ht="15" customHeight="1" x14ac:dyDescent="0.25">
      <c r="A25" s="16"/>
      <c r="B25" s="32"/>
      <c r="C25" s="33"/>
      <c r="D25" s="33"/>
      <c r="E25" s="33"/>
      <c r="F25" s="33"/>
      <c r="G25" s="34"/>
      <c r="H25" s="32"/>
      <c r="I25" s="33"/>
      <c r="J25" s="33"/>
      <c r="K25" s="33"/>
      <c r="L25" s="33"/>
      <c r="M25" s="33"/>
      <c r="N25" s="34"/>
      <c r="O25" s="32"/>
      <c r="P25" s="33"/>
      <c r="Q25" s="33"/>
      <c r="R25" s="33"/>
      <c r="S25" s="76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8"/>
      <c r="AX25" s="79"/>
      <c r="AY25" s="79"/>
      <c r="AZ25" s="79"/>
      <c r="BA25" s="79"/>
      <c r="BB25" s="79"/>
      <c r="BC25" s="80"/>
      <c r="BD25" s="83"/>
      <c r="BE25" s="79"/>
      <c r="BF25" s="79"/>
      <c r="BG25" s="79"/>
      <c r="BH25" s="79"/>
      <c r="BI25" s="79"/>
      <c r="BJ25" s="80"/>
      <c r="BK25" s="17"/>
    </row>
    <row r="26" spans="1:63" ht="15" customHeight="1" x14ac:dyDescent="0.25">
      <c r="A26" s="16"/>
      <c r="B26" s="35"/>
      <c r="C26" s="36"/>
      <c r="D26" s="36"/>
      <c r="E26" s="36"/>
      <c r="F26" s="36"/>
      <c r="G26" s="37"/>
      <c r="H26" s="35"/>
      <c r="I26" s="36"/>
      <c r="J26" s="36"/>
      <c r="K26" s="36"/>
      <c r="L26" s="36"/>
      <c r="M26" s="36"/>
      <c r="N26" s="37"/>
      <c r="O26" s="35"/>
      <c r="P26" s="36"/>
      <c r="Q26" s="36"/>
      <c r="R26" s="36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7"/>
      <c r="AX26" s="81"/>
      <c r="AY26" s="81"/>
      <c r="AZ26" s="81"/>
      <c r="BA26" s="81"/>
      <c r="BB26" s="81"/>
      <c r="BC26" s="82"/>
      <c r="BD26" s="84"/>
      <c r="BE26" s="81"/>
      <c r="BF26" s="81"/>
      <c r="BG26" s="81"/>
      <c r="BH26" s="81"/>
      <c r="BI26" s="81"/>
      <c r="BJ26" s="82"/>
      <c r="BK26" s="17"/>
    </row>
    <row r="27" spans="1:63" ht="15" customHeight="1" x14ac:dyDescent="0.25">
      <c r="A27" s="16"/>
      <c r="B27" s="32"/>
      <c r="C27" s="33"/>
      <c r="D27" s="33"/>
      <c r="E27" s="33"/>
      <c r="F27" s="33"/>
      <c r="G27" s="34"/>
      <c r="H27" s="32"/>
      <c r="I27" s="33"/>
      <c r="J27" s="33"/>
      <c r="K27" s="33"/>
      <c r="L27" s="33"/>
      <c r="M27" s="33"/>
      <c r="N27" s="34"/>
      <c r="O27" s="32"/>
      <c r="P27" s="33"/>
      <c r="Q27" s="33"/>
      <c r="R27" s="33"/>
      <c r="S27" s="76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8"/>
      <c r="AX27" s="79"/>
      <c r="AY27" s="79"/>
      <c r="AZ27" s="79"/>
      <c r="BA27" s="79"/>
      <c r="BB27" s="79"/>
      <c r="BC27" s="80"/>
      <c r="BD27" s="83"/>
      <c r="BE27" s="79"/>
      <c r="BF27" s="79"/>
      <c r="BG27" s="79"/>
      <c r="BH27" s="79"/>
      <c r="BI27" s="79"/>
      <c r="BJ27" s="80"/>
      <c r="BK27" s="17"/>
    </row>
    <row r="28" spans="1:63" ht="15" customHeight="1" x14ac:dyDescent="0.25">
      <c r="A28" s="16"/>
      <c r="B28" s="35"/>
      <c r="C28" s="36"/>
      <c r="D28" s="36"/>
      <c r="E28" s="36"/>
      <c r="F28" s="36"/>
      <c r="G28" s="37"/>
      <c r="H28" s="35"/>
      <c r="I28" s="36"/>
      <c r="J28" s="36"/>
      <c r="K28" s="36"/>
      <c r="L28" s="36"/>
      <c r="M28" s="36"/>
      <c r="N28" s="37"/>
      <c r="O28" s="35"/>
      <c r="P28" s="36"/>
      <c r="Q28" s="36"/>
      <c r="R28" s="36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7"/>
      <c r="AX28" s="81"/>
      <c r="AY28" s="81"/>
      <c r="AZ28" s="81"/>
      <c r="BA28" s="81"/>
      <c r="BB28" s="81"/>
      <c r="BC28" s="82"/>
      <c r="BD28" s="84"/>
      <c r="BE28" s="81"/>
      <c r="BF28" s="81"/>
      <c r="BG28" s="81"/>
      <c r="BH28" s="81"/>
      <c r="BI28" s="81"/>
      <c r="BJ28" s="82"/>
      <c r="BK28" s="17"/>
    </row>
    <row r="29" spans="1:63" ht="15" customHeight="1" x14ac:dyDescent="0.25">
      <c r="A29" s="16"/>
      <c r="B29" s="32"/>
      <c r="C29" s="33"/>
      <c r="D29" s="33"/>
      <c r="E29" s="33"/>
      <c r="F29" s="33"/>
      <c r="G29" s="34"/>
      <c r="H29" s="32"/>
      <c r="I29" s="33"/>
      <c r="J29" s="33"/>
      <c r="K29" s="33"/>
      <c r="L29" s="33"/>
      <c r="M29" s="33"/>
      <c r="N29" s="34"/>
      <c r="O29" s="32"/>
      <c r="P29" s="33"/>
      <c r="Q29" s="33"/>
      <c r="R29" s="33"/>
      <c r="S29" s="76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8"/>
      <c r="AX29" s="79"/>
      <c r="AY29" s="79"/>
      <c r="AZ29" s="79"/>
      <c r="BA29" s="79"/>
      <c r="BB29" s="79"/>
      <c r="BC29" s="80"/>
      <c r="BD29" s="83"/>
      <c r="BE29" s="79"/>
      <c r="BF29" s="79"/>
      <c r="BG29" s="79"/>
      <c r="BH29" s="79"/>
      <c r="BI29" s="79"/>
      <c r="BJ29" s="80"/>
      <c r="BK29" s="17"/>
    </row>
    <row r="30" spans="1:63" ht="15" customHeight="1" x14ac:dyDescent="0.25">
      <c r="A30" s="16"/>
      <c r="B30" s="35"/>
      <c r="C30" s="36"/>
      <c r="D30" s="36"/>
      <c r="E30" s="36"/>
      <c r="F30" s="36"/>
      <c r="G30" s="37"/>
      <c r="H30" s="35"/>
      <c r="I30" s="36"/>
      <c r="J30" s="36"/>
      <c r="K30" s="36"/>
      <c r="L30" s="36"/>
      <c r="M30" s="36"/>
      <c r="N30" s="37"/>
      <c r="O30" s="35"/>
      <c r="P30" s="36"/>
      <c r="Q30" s="36"/>
      <c r="R30" s="36"/>
      <c r="S30" s="85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7"/>
      <c r="AX30" s="81"/>
      <c r="AY30" s="81"/>
      <c r="AZ30" s="81"/>
      <c r="BA30" s="81"/>
      <c r="BB30" s="81"/>
      <c r="BC30" s="82"/>
      <c r="BD30" s="84"/>
      <c r="BE30" s="81"/>
      <c r="BF30" s="81"/>
      <c r="BG30" s="81"/>
      <c r="BH30" s="81"/>
      <c r="BI30" s="81"/>
      <c r="BJ30" s="82"/>
      <c r="BK30" s="17"/>
    </row>
    <row r="31" spans="1:63" ht="15" customHeight="1" x14ac:dyDescent="0.25">
      <c r="A31" s="16"/>
      <c r="B31" s="32"/>
      <c r="C31" s="33"/>
      <c r="D31" s="33"/>
      <c r="E31" s="33"/>
      <c r="F31" s="33"/>
      <c r="G31" s="34"/>
      <c r="H31" s="32"/>
      <c r="I31" s="33"/>
      <c r="J31" s="33"/>
      <c r="K31" s="33"/>
      <c r="L31" s="33"/>
      <c r="M31" s="33"/>
      <c r="N31" s="34"/>
      <c r="O31" s="32"/>
      <c r="P31" s="33"/>
      <c r="Q31" s="33"/>
      <c r="R31" s="33"/>
      <c r="S31" s="76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8"/>
      <c r="AX31" s="79"/>
      <c r="AY31" s="79"/>
      <c r="AZ31" s="79"/>
      <c r="BA31" s="79"/>
      <c r="BB31" s="79"/>
      <c r="BC31" s="80"/>
      <c r="BD31" s="83"/>
      <c r="BE31" s="79"/>
      <c r="BF31" s="79"/>
      <c r="BG31" s="79"/>
      <c r="BH31" s="79"/>
      <c r="BI31" s="79"/>
      <c r="BJ31" s="80"/>
      <c r="BK31" s="17"/>
    </row>
    <row r="32" spans="1:63" ht="15" customHeight="1" x14ac:dyDescent="0.25">
      <c r="A32" s="16"/>
      <c r="B32" s="35"/>
      <c r="C32" s="36"/>
      <c r="D32" s="36"/>
      <c r="E32" s="36"/>
      <c r="F32" s="36"/>
      <c r="G32" s="37"/>
      <c r="H32" s="35"/>
      <c r="I32" s="36"/>
      <c r="J32" s="36"/>
      <c r="K32" s="36"/>
      <c r="L32" s="36"/>
      <c r="M32" s="36"/>
      <c r="N32" s="37"/>
      <c r="O32" s="35"/>
      <c r="P32" s="36"/>
      <c r="Q32" s="36"/>
      <c r="R32" s="36"/>
      <c r="S32" s="85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7"/>
      <c r="AX32" s="81"/>
      <c r="AY32" s="81"/>
      <c r="AZ32" s="81"/>
      <c r="BA32" s="81"/>
      <c r="BB32" s="81"/>
      <c r="BC32" s="82"/>
      <c r="BD32" s="84"/>
      <c r="BE32" s="81"/>
      <c r="BF32" s="81"/>
      <c r="BG32" s="81"/>
      <c r="BH32" s="81"/>
      <c r="BI32" s="81"/>
      <c r="BJ32" s="82"/>
      <c r="BK32" s="17"/>
    </row>
    <row r="33" spans="1:63" ht="15" customHeight="1" x14ac:dyDescent="0.25">
      <c r="A33" s="16"/>
      <c r="B33" s="32"/>
      <c r="C33" s="33"/>
      <c r="D33" s="33"/>
      <c r="E33" s="33"/>
      <c r="F33" s="33"/>
      <c r="G33" s="34"/>
      <c r="H33" s="32"/>
      <c r="I33" s="33"/>
      <c r="J33" s="33"/>
      <c r="K33" s="33"/>
      <c r="L33" s="33"/>
      <c r="M33" s="33"/>
      <c r="N33" s="34"/>
      <c r="O33" s="32"/>
      <c r="P33" s="33"/>
      <c r="Q33" s="33"/>
      <c r="R33" s="33"/>
      <c r="S33" s="76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8"/>
      <c r="AX33" s="79"/>
      <c r="AY33" s="79"/>
      <c r="AZ33" s="79"/>
      <c r="BA33" s="79"/>
      <c r="BB33" s="79"/>
      <c r="BC33" s="80"/>
      <c r="BD33" s="83"/>
      <c r="BE33" s="79"/>
      <c r="BF33" s="79"/>
      <c r="BG33" s="79"/>
      <c r="BH33" s="79"/>
      <c r="BI33" s="79"/>
      <c r="BJ33" s="80"/>
      <c r="BK33" s="17"/>
    </row>
    <row r="34" spans="1:63" ht="15" customHeight="1" x14ac:dyDescent="0.25">
      <c r="A34" s="16"/>
      <c r="B34" s="35"/>
      <c r="C34" s="36"/>
      <c r="D34" s="36"/>
      <c r="E34" s="36"/>
      <c r="F34" s="36"/>
      <c r="G34" s="37"/>
      <c r="H34" s="35"/>
      <c r="I34" s="36"/>
      <c r="J34" s="36"/>
      <c r="K34" s="36"/>
      <c r="L34" s="36"/>
      <c r="M34" s="36"/>
      <c r="N34" s="37"/>
      <c r="O34" s="35"/>
      <c r="P34" s="36"/>
      <c r="Q34" s="36"/>
      <c r="R34" s="36"/>
      <c r="S34" s="85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7"/>
      <c r="AX34" s="81"/>
      <c r="AY34" s="81"/>
      <c r="AZ34" s="81"/>
      <c r="BA34" s="81"/>
      <c r="BB34" s="81"/>
      <c r="BC34" s="82"/>
      <c r="BD34" s="84"/>
      <c r="BE34" s="81"/>
      <c r="BF34" s="81"/>
      <c r="BG34" s="81"/>
      <c r="BH34" s="81"/>
      <c r="BI34" s="81"/>
      <c r="BJ34" s="82"/>
      <c r="BK34" s="17"/>
    </row>
    <row r="35" spans="1:63" ht="15" customHeight="1" x14ac:dyDescent="0.25">
      <c r="A35" s="16"/>
      <c r="B35" s="32"/>
      <c r="C35" s="33"/>
      <c r="D35" s="33"/>
      <c r="E35" s="33"/>
      <c r="F35" s="33"/>
      <c r="G35" s="34"/>
      <c r="H35" s="32"/>
      <c r="I35" s="33"/>
      <c r="J35" s="33"/>
      <c r="K35" s="33"/>
      <c r="L35" s="33"/>
      <c r="M35" s="33"/>
      <c r="N35" s="34"/>
      <c r="O35" s="32"/>
      <c r="P35" s="33"/>
      <c r="Q35" s="33"/>
      <c r="R35" s="33"/>
      <c r="S35" s="76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8"/>
      <c r="AX35" s="79"/>
      <c r="AY35" s="79"/>
      <c r="AZ35" s="79"/>
      <c r="BA35" s="79"/>
      <c r="BB35" s="79"/>
      <c r="BC35" s="80"/>
      <c r="BD35" s="83"/>
      <c r="BE35" s="79"/>
      <c r="BF35" s="79"/>
      <c r="BG35" s="79"/>
      <c r="BH35" s="79"/>
      <c r="BI35" s="79"/>
      <c r="BJ35" s="80"/>
      <c r="BK35" s="17"/>
    </row>
    <row r="36" spans="1:63" ht="15" customHeight="1" x14ac:dyDescent="0.25">
      <c r="A36" s="16"/>
      <c r="B36" s="35"/>
      <c r="C36" s="36"/>
      <c r="D36" s="36"/>
      <c r="E36" s="36"/>
      <c r="F36" s="36"/>
      <c r="G36" s="37"/>
      <c r="H36" s="35"/>
      <c r="I36" s="36"/>
      <c r="J36" s="36"/>
      <c r="K36" s="36"/>
      <c r="L36" s="36"/>
      <c r="M36" s="36"/>
      <c r="N36" s="37"/>
      <c r="O36" s="35"/>
      <c r="P36" s="36"/>
      <c r="Q36" s="36"/>
      <c r="R36" s="36"/>
      <c r="S36" s="85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7"/>
      <c r="AX36" s="81"/>
      <c r="AY36" s="81"/>
      <c r="AZ36" s="81"/>
      <c r="BA36" s="81"/>
      <c r="BB36" s="81"/>
      <c r="BC36" s="82"/>
      <c r="BD36" s="84"/>
      <c r="BE36" s="81"/>
      <c r="BF36" s="81"/>
      <c r="BG36" s="81"/>
      <c r="BH36" s="81"/>
      <c r="BI36" s="81"/>
      <c r="BJ36" s="82"/>
      <c r="BK36" s="17"/>
    </row>
    <row r="37" spans="1:63" ht="15" customHeight="1" x14ac:dyDescent="0.25">
      <c r="A37" s="16"/>
      <c r="B37" s="32"/>
      <c r="C37" s="33"/>
      <c r="D37" s="33"/>
      <c r="E37" s="33"/>
      <c r="F37" s="33"/>
      <c r="G37" s="34"/>
      <c r="H37" s="32"/>
      <c r="I37" s="33"/>
      <c r="J37" s="33"/>
      <c r="K37" s="33"/>
      <c r="L37" s="33"/>
      <c r="M37" s="33"/>
      <c r="N37" s="34"/>
      <c r="O37" s="32"/>
      <c r="P37" s="33"/>
      <c r="Q37" s="33"/>
      <c r="R37" s="33"/>
      <c r="S37" s="76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8"/>
      <c r="AX37" s="79"/>
      <c r="AY37" s="79"/>
      <c r="AZ37" s="79"/>
      <c r="BA37" s="79"/>
      <c r="BB37" s="79"/>
      <c r="BC37" s="80"/>
      <c r="BD37" s="83"/>
      <c r="BE37" s="79"/>
      <c r="BF37" s="79"/>
      <c r="BG37" s="79"/>
      <c r="BH37" s="79"/>
      <c r="BI37" s="79"/>
      <c r="BJ37" s="80"/>
      <c r="BK37" s="17"/>
    </row>
    <row r="38" spans="1:63" ht="15" customHeight="1" x14ac:dyDescent="0.25">
      <c r="A38" s="16"/>
      <c r="B38" s="35"/>
      <c r="C38" s="36"/>
      <c r="D38" s="36"/>
      <c r="E38" s="36"/>
      <c r="F38" s="36"/>
      <c r="G38" s="37"/>
      <c r="H38" s="35"/>
      <c r="I38" s="36"/>
      <c r="J38" s="36"/>
      <c r="K38" s="36"/>
      <c r="L38" s="36"/>
      <c r="M38" s="36"/>
      <c r="N38" s="37"/>
      <c r="O38" s="35"/>
      <c r="P38" s="36"/>
      <c r="Q38" s="36"/>
      <c r="R38" s="36"/>
      <c r="S38" s="85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7"/>
      <c r="AX38" s="81"/>
      <c r="AY38" s="81"/>
      <c r="AZ38" s="81"/>
      <c r="BA38" s="81"/>
      <c r="BB38" s="81"/>
      <c r="BC38" s="82"/>
      <c r="BD38" s="84"/>
      <c r="BE38" s="81"/>
      <c r="BF38" s="81"/>
      <c r="BG38" s="81"/>
      <c r="BH38" s="81"/>
      <c r="BI38" s="81"/>
      <c r="BJ38" s="82"/>
      <c r="BK38" s="17"/>
    </row>
    <row r="39" spans="1:63" ht="15" customHeight="1" x14ac:dyDescent="0.25">
      <c r="A39" s="16"/>
      <c r="B39" s="32"/>
      <c r="C39" s="33"/>
      <c r="D39" s="33"/>
      <c r="E39" s="33"/>
      <c r="F39" s="33"/>
      <c r="G39" s="34"/>
      <c r="H39" s="32"/>
      <c r="I39" s="33"/>
      <c r="J39" s="33"/>
      <c r="K39" s="33"/>
      <c r="L39" s="33"/>
      <c r="M39" s="33"/>
      <c r="N39" s="34"/>
      <c r="O39" s="32"/>
      <c r="P39" s="33"/>
      <c r="Q39" s="33"/>
      <c r="R39" s="33"/>
      <c r="S39" s="76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8"/>
      <c r="AX39" s="79"/>
      <c r="AY39" s="79"/>
      <c r="AZ39" s="79"/>
      <c r="BA39" s="79"/>
      <c r="BB39" s="79"/>
      <c r="BC39" s="80"/>
      <c r="BD39" s="83"/>
      <c r="BE39" s="79"/>
      <c r="BF39" s="79"/>
      <c r="BG39" s="79"/>
      <c r="BH39" s="79"/>
      <c r="BI39" s="79"/>
      <c r="BJ39" s="80"/>
      <c r="BK39" s="17"/>
    </row>
    <row r="40" spans="1:63" ht="15" customHeight="1" x14ac:dyDescent="0.25">
      <c r="A40" s="16"/>
      <c r="B40" s="35"/>
      <c r="C40" s="36"/>
      <c r="D40" s="36"/>
      <c r="E40" s="36"/>
      <c r="F40" s="36"/>
      <c r="G40" s="37"/>
      <c r="H40" s="35"/>
      <c r="I40" s="36"/>
      <c r="J40" s="36"/>
      <c r="K40" s="36"/>
      <c r="L40" s="36"/>
      <c r="M40" s="36"/>
      <c r="N40" s="37"/>
      <c r="O40" s="35"/>
      <c r="P40" s="36"/>
      <c r="Q40" s="36"/>
      <c r="R40" s="36"/>
      <c r="S40" s="85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7"/>
      <c r="AX40" s="81"/>
      <c r="AY40" s="81"/>
      <c r="AZ40" s="81"/>
      <c r="BA40" s="81"/>
      <c r="BB40" s="81"/>
      <c r="BC40" s="82"/>
      <c r="BD40" s="84"/>
      <c r="BE40" s="81"/>
      <c r="BF40" s="81"/>
      <c r="BG40" s="81"/>
      <c r="BH40" s="81"/>
      <c r="BI40" s="81"/>
      <c r="BJ40" s="82"/>
      <c r="BK40" s="17"/>
    </row>
    <row r="41" spans="1:63" ht="15" customHeight="1" x14ac:dyDescent="0.25">
      <c r="A41" s="16"/>
      <c r="B41" s="32"/>
      <c r="C41" s="33"/>
      <c r="D41" s="33"/>
      <c r="E41" s="33"/>
      <c r="F41" s="33"/>
      <c r="G41" s="34"/>
      <c r="H41" s="32"/>
      <c r="I41" s="33"/>
      <c r="J41" s="33"/>
      <c r="K41" s="33"/>
      <c r="L41" s="33"/>
      <c r="M41" s="33"/>
      <c r="N41" s="34"/>
      <c r="O41" s="32"/>
      <c r="P41" s="33"/>
      <c r="Q41" s="33"/>
      <c r="R41" s="33"/>
      <c r="S41" s="76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8"/>
      <c r="AX41" s="79"/>
      <c r="AY41" s="79"/>
      <c r="AZ41" s="79"/>
      <c r="BA41" s="79"/>
      <c r="BB41" s="79"/>
      <c r="BC41" s="80"/>
      <c r="BD41" s="83"/>
      <c r="BE41" s="79"/>
      <c r="BF41" s="79"/>
      <c r="BG41" s="79"/>
      <c r="BH41" s="79"/>
      <c r="BI41" s="79"/>
      <c r="BJ41" s="80"/>
      <c r="BK41" s="17"/>
    </row>
    <row r="42" spans="1:63" ht="15" customHeight="1" x14ac:dyDescent="0.25">
      <c r="A42" s="16"/>
      <c r="B42" s="35"/>
      <c r="C42" s="36"/>
      <c r="D42" s="36"/>
      <c r="E42" s="36"/>
      <c r="F42" s="36"/>
      <c r="G42" s="37"/>
      <c r="H42" s="35"/>
      <c r="I42" s="36"/>
      <c r="J42" s="36"/>
      <c r="K42" s="36"/>
      <c r="L42" s="36"/>
      <c r="M42" s="36"/>
      <c r="N42" s="37"/>
      <c r="O42" s="35"/>
      <c r="P42" s="36"/>
      <c r="Q42" s="36"/>
      <c r="R42" s="36"/>
      <c r="S42" s="85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7"/>
      <c r="AX42" s="81"/>
      <c r="AY42" s="81"/>
      <c r="AZ42" s="81"/>
      <c r="BA42" s="81"/>
      <c r="BB42" s="81"/>
      <c r="BC42" s="82"/>
      <c r="BD42" s="84"/>
      <c r="BE42" s="81"/>
      <c r="BF42" s="81"/>
      <c r="BG42" s="81"/>
      <c r="BH42" s="81"/>
      <c r="BI42" s="81"/>
      <c r="BJ42" s="82"/>
      <c r="BK42" s="17"/>
    </row>
    <row r="43" spans="1:63" ht="15" customHeight="1" x14ac:dyDescent="0.25">
      <c r="A43" s="16"/>
      <c r="B43" s="32"/>
      <c r="C43" s="33"/>
      <c r="D43" s="33"/>
      <c r="E43" s="33"/>
      <c r="F43" s="33"/>
      <c r="G43" s="34"/>
      <c r="H43" s="32"/>
      <c r="I43" s="33"/>
      <c r="J43" s="33"/>
      <c r="K43" s="33"/>
      <c r="L43" s="33"/>
      <c r="M43" s="33"/>
      <c r="N43" s="34"/>
      <c r="O43" s="32"/>
      <c r="P43" s="33"/>
      <c r="Q43" s="33"/>
      <c r="R43" s="33"/>
      <c r="S43" s="76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8"/>
      <c r="AX43" s="79"/>
      <c r="AY43" s="79"/>
      <c r="AZ43" s="79"/>
      <c r="BA43" s="79"/>
      <c r="BB43" s="79"/>
      <c r="BC43" s="80"/>
      <c r="BD43" s="83"/>
      <c r="BE43" s="79"/>
      <c r="BF43" s="79"/>
      <c r="BG43" s="79"/>
      <c r="BH43" s="79"/>
      <c r="BI43" s="79"/>
      <c r="BJ43" s="80"/>
      <c r="BK43" s="17"/>
    </row>
    <row r="44" spans="1:63" ht="15" customHeight="1" x14ac:dyDescent="0.25">
      <c r="A44" s="16"/>
      <c r="B44" s="35"/>
      <c r="C44" s="36"/>
      <c r="D44" s="36"/>
      <c r="E44" s="36"/>
      <c r="F44" s="36"/>
      <c r="G44" s="37"/>
      <c r="H44" s="35"/>
      <c r="I44" s="36"/>
      <c r="J44" s="36"/>
      <c r="K44" s="36"/>
      <c r="L44" s="36"/>
      <c r="M44" s="36"/>
      <c r="N44" s="37"/>
      <c r="O44" s="35"/>
      <c r="P44" s="36"/>
      <c r="Q44" s="36"/>
      <c r="R44" s="36"/>
      <c r="S44" s="85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7"/>
      <c r="AX44" s="81"/>
      <c r="AY44" s="81"/>
      <c r="AZ44" s="81"/>
      <c r="BA44" s="81"/>
      <c r="BB44" s="81"/>
      <c r="BC44" s="82"/>
      <c r="BD44" s="84"/>
      <c r="BE44" s="81"/>
      <c r="BF44" s="81"/>
      <c r="BG44" s="81"/>
      <c r="BH44" s="81"/>
      <c r="BI44" s="81"/>
      <c r="BJ44" s="82"/>
      <c r="BK44" s="17"/>
    </row>
    <row r="45" spans="1:63" ht="15" customHeight="1" x14ac:dyDescent="0.25">
      <c r="A45" s="16"/>
      <c r="B45" s="32"/>
      <c r="C45" s="33"/>
      <c r="D45" s="33"/>
      <c r="E45" s="33"/>
      <c r="F45" s="33"/>
      <c r="G45" s="34"/>
      <c r="H45" s="32"/>
      <c r="I45" s="33"/>
      <c r="J45" s="33"/>
      <c r="K45" s="33"/>
      <c r="L45" s="33"/>
      <c r="M45" s="33"/>
      <c r="N45" s="34"/>
      <c r="O45" s="32"/>
      <c r="P45" s="33"/>
      <c r="Q45" s="33"/>
      <c r="R45" s="33"/>
      <c r="S45" s="76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8"/>
      <c r="AX45" s="79"/>
      <c r="AY45" s="79"/>
      <c r="AZ45" s="79"/>
      <c r="BA45" s="79"/>
      <c r="BB45" s="79"/>
      <c r="BC45" s="80"/>
      <c r="BD45" s="83"/>
      <c r="BE45" s="79"/>
      <c r="BF45" s="79"/>
      <c r="BG45" s="79"/>
      <c r="BH45" s="79"/>
      <c r="BI45" s="79"/>
      <c r="BJ45" s="80"/>
      <c r="BK45" s="17"/>
    </row>
    <row r="46" spans="1:63" ht="15" customHeight="1" x14ac:dyDescent="0.25">
      <c r="A46" s="16"/>
      <c r="B46" s="35"/>
      <c r="C46" s="36"/>
      <c r="D46" s="36"/>
      <c r="E46" s="36"/>
      <c r="F46" s="36"/>
      <c r="G46" s="37"/>
      <c r="H46" s="35"/>
      <c r="I46" s="36"/>
      <c r="J46" s="36"/>
      <c r="K46" s="36"/>
      <c r="L46" s="36"/>
      <c r="M46" s="36"/>
      <c r="N46" s="37"/>
      <c r="O46" s="35"/>
      <c r="P46" s="36"/>
      <c r="Q46" s="36"/>
      <c r="R46" s="36"/>
      <c r="S46" s="85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7"/>
      <c r="AX46" s="81"/>
      <c r="AY46" s="81"/>
      <c r="AZ46" s="81"/>
      <c r="BA46" s="81"/>
      <c r="BB46" s="81"/>
      <c r="BC46" s="82"/>
      <c r="BD46" s="84"/>
      <c r="BE46" s="81"/>
      <c r="BF46" s="81"/>
      <c r="BG46" s="81"/>
      <c r="BH46" s="81"/>
      <c r="BI46" s="81"/>
      <c r="BJ46" s="82"/>
      <c r="BK46" s="17"/>
    </row>
    <row r="47" spans="1:63" ht="15" customHeight="1" x14ac:dyDescent="0.25">
      <c r="A47" s="16"/>
      <c r="B47" s="32"/>
      <c r="C47" s="33"/>
      <c r="D47" s="33"/>
      <c r="E47" s="33"/>
      <c r="F47" s="33"/>
      <c r="G47" s="34"/>
      <c r="H47" s="32"/>
      <c r="I47" s="33"/>
      <c r="J47" s="33"/>
      <c r="K47" s="33"/>
      <c r="L47" s="33"/>
      <c r="M47" s="33"/>
      <c r="N47" s="34"/>
      <c r="O47" s="32"/>
      <c r="P47" s="33"/>
      <c r="Q47" s="33"/>
      <c r="R47" s="33"/>
      <c r="S47" s="76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8"/>
      <c r="AX47" s="79"/>
      <c r="AY47" s="79"/>
      <c r="AZ47" s="79"/>
      <c r="BA47" s="79"/>
      <c r="BB47" s="79"/>
      <c r="BC47" s="80"/>
      <c r="BD47" s="83"/>
      <c r="BE47" s="79"/>
      <c r="BF47" s="79"/>
      <c r="BG47" s="79"/>
      <c r="BH47" s="79"/>
      <c r="BI47" s="79"/>
      <c r="BJ47" s="80"/>
      <c r="BK47" s="17"/>
    </row>
    <row r="48" spans="1:63" ht="15" customHeight="1" x14ac:dyDescent="0.25">
      <c r="A48" s="16"/>
      <c r="B48" s="35"/>
      <c r="C48" s="36"/>
      <c r="D48" s="36"/>
      <c r="E48" s="36"/>
      <c r="F48" s="36"/>
      <c r="G48" s="37"/>
      <c r="H48" s="35"/>
      <c r="I48" s="36"/>
      <c r="J48" s="36"/>
      <c r="K48" s="36"/>
      <c r="L48" s="36"/>
      <c r="M48" s="36"/>
      <c r="N48" s="37"/>
      <c r="O48" s="35"/>
      <c r="P48" s="36"/>
      <c r="Q48" s="36"/>
      <c r="R48" s="36"/>
      <c r="S48" s="85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7"/>
      <c r="AX48" s="81"/>
      <c r="AY48" s="81"/>
      <c r="AZ48" s="81"/>
      <c r="BA48" s="81"/>
      <c r="BB48" s="81"/>
      <c r="BC48" s="82"/>
      <c r="BD48" s="84"/>
      <c r="BE48" s="81"/>
      <c r="BF48" s="81"/>
      <c r="BG48" s="81"/>
      <c r="BH48" s="81"/>
      <c r="BI48" s="81"/>
      <c r="BJ48" s="82"/>
      <c r="BK48" s="17"/>
    </row>
    <row r="49" spans="1:63" ht="15" customHeight="1" x14ac:dyDescent="0.25">
      <c r="A49" s="16"/>
      <c r="B49" s="32"/>
      <c r="C49" s="33"/>
      <c r="D49" s="33"/>
      <c r="E49" s="33"/>
      <c r="F49" s="33"/>
      <c r="G49" s="34"/>
      <c r="H49" s="32"/>
      <c r="I49" s="33"/>
      <c r="J49" s="33"/>
      <c r="K49" s="33"/>
      <c r="L49" s="33"/>
      <c r="M49" s="33"/>
      <c r="N49" s="34"/>
      <c r="O49" s="32"/>
      <c r="P49" s="33"/>
      <c r="Q49" s="33"/>
      <c r="R49" s="33"/>
      <c r="S49" s="76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8"/>
      <c r="AX49" s="79"/>
      <c r="AY49" s="79"/>
      <c r="AZ49" s="79"/>
      <c r="BA49" s="79"/>
      <c r="BB49" s="79"/>
      <c r="BC49" s="80"/>
      <c r="BD49" s="83"/>
      <c r="BE49" s="79"/>
      <c r="BF49" s="79"/>
      <c r="BG49" s="79"/>
      <c r="BH49" s="79"/>
      <c r="BI49" s="79"/>
      <c r="BJ49" s="80"/>
      <c r="BK49" s="17"/>
    </row>
    <row r="50" spans="1:63" ht="15" customHeight="1" x14ac:dyDescent="0.25">
      <c r="A50" s="16"/>
      <c r="B50" s="35"/>
      <c r="C50" s="36"/>
      <c r="D50" s="36"/>
      <c r="E50" s="36"/>
      <c r="F50" s="36"/>
      <c r="G50" s="37"/>
      <c r="H50" s="35"/>
      <c r="I50" s="36"/>
      <c r="J50" s="36"/>
      <c r="K50" s="36"/>
      <c r="L50" s="36"/>
      <c r="M50" s="36"/>
      <c r="N50" s="37"/>
      <c r="O50" s="35"/>
      <c r="P50" s="36"/>
      <c r="Q50" s="36"/>
      <c r="R50" s="36"/>
      <c r="S50" s="85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7"/>
      <c r="AX50" s="81"/>
      <c r="AY50" s="81"/>
      <c r="AZ50" s="81"/>
      <c r="BA50" s="81"/>
      <c r="BB50" s="81"/>
      <c r="BC50" s="82"/>
      <c r="BD50" s="84"/>
      <c r="BE50" s="81"/>
      <c r="BF50" s="81"/>
      <c r="BG50" s="81"/>
      <c r="BH50" s="81"/>
      <c r="BI50" s="81"/>
      <c r="BJ50" s="82"/>
      <c r="BK50" s="17"/>
    </row>
    <row r="51" spans="1:63" ht="15" customHeight="1" x14ac:dyDescent="0.25">
      <c r="A51" s="16"/>
      <c r="B51" s="32"/>
      <c r="C51" s="33"/>
      <c r="D51" s="33"/>
      <c r="E51" s="33"/>
      <c r="F51" s="33"/>
      <c r="G51" s="34"/>
      <c r="H51" s="32"/>
      <c r="I51" s="33"/>
      <c r="J51" s="33"/>
      <c r="K51" s="33"/>
      <c r="L51" s="33"/>
      <c r="M51" s="33"/>
      <c r="N51" s="34"/>
      <c r="O51" s="32"/>
      <c r="P51" s="33"/>
      <c r="Q51" s="33"/>
      <c r="R51" s="33"/>
      <c r="S51" s="76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8"/>
      <c r="AX51" s="79"/>
      <c r="AY51" s="79"/>
      <c r="AZ51" s="79"/>
      <c r="BA51" s="79"/>
      <c r="BB51" s="79"/>
      <c r="BC51" s="80"/>
      <c r="BD51" s="83"/>
      <c r="BE51" s="79"/>
      <c r="BF51" s="79"/>
      <c r="BG51" s="79"/>
      <c r="BH51" s="79"/>
      <c r="BI51" s="79"/>
      <c r="BJ51" s="80"/>
      <c r="BK51" s="17"/>
    </row>
    <row r="52" spans="1:63" ht="15" customHeight="1" x14ac:dyDescent="0.25">
      <c r="A52" s="16"/>
      <c r="B52" s="35"/>
      <c r="C52" s="36"/>
      <c r="D52" s="36"/>
      <c r="E52" s="36"/>
      <c r="F52" s="36"/>
      <c r="G52" s="37"/>
      <c r="H52" s="35"/>
      <c r="I52" s="36"/>
      <c r="J52" s="36"/>
      <c r="K52" s="36"/>
      <c r="L52" s="36"/>
      <c r="M52" s="36"/>
      <c r="N52" s="37"/>
      <c r="O52" s="35"/>
      <c r="P52" s="36"/>
      <c r="Q52" s="36"/>
      <c r="R52" s="36"/>
      <c r="S52" s="85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7"/>
      <c r="AX52" s="81"/>
      <c r="AY52" s="81"/>
      <c r="AZ52" s="81"/>
      <c r="BA52" s="81"/>
      <c r="BB52" s="81"/>
      <c r="BC52" s="82"/>
      <c r="BD52" s="84"/>
      <c r="BE52" s="81"/>
      <c r="BF52" s="81"/>
      <c r="BG52" s="81"/>
      <c r="BH52" s="81"/>
      <c r="BI52" s="81"/>
      <c r="BJ52" s="82"/>
      <c r="BK52" s="17"/>
    </row>
    <row r="53" spans="1:63" ht="15" customHeight="1" x14ac:dyDescent="0.25">
      <c r="A53" s="16"/>
      <c r="B53" s="32"/>
      <c r="C53" s="33"/>
      <c r="D53" s="33"/>
      <c r="E53" s="33"/>
      <c r="F53" s="33"/>
      <c r="G53" s="34"/>
      <c r="H53" s="32"/>
      <c r="I53" s="33"/>
      <c r="J53" s="33"/>
      <c r="K53" s="33"/>
      <c r="L53" s="33"/>
      <c r="M53" s="33"/>
      <c r="N53" s="34"/>
      <c r="O53" s="32"/>
      <c r="P53" s="33"/>
      <c r="Q53" s="33"/>
      <c r="R53" s="33"/>
      <c r="S53" s="76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8"/>
      <c r="AX53" s="79"/>
      <c r="AY53" s="79"/>
      <c r="AZ53" s="79"/>
      <c r="BA53" s="79"/>
      <c r="BB53" s="79"/>
      <c r="BC53" s="80"/>
      <c r="BD53" s="83"/>
      <c r="BE53" s="79"/>
      <c r="BF53" s="79"/>
      <c r="BG53" s="79"/>
      <c r="BH53" s="79"/>
      <c r="BI53" s="79"/>
      <c r="BJ53" s="80"/>
      <c r="BK53" s="17"/>
    </row>
    <row r="54" spans="1:63" ht="15" customHeight="1" x14ac:dyDescent="0.25">
      <c r="A54" s="16"/>
      <c r="B54" s="35"/>
      <c r="C54" s="36"/>
      <c r="D54" s="36"/>
      <c r="E54" s="36"/>
      <c r="F54" s="36"/>
      <c r="G54" s="37"/>
      <c r="H54" s="35"/>
      <c r="I54" s="36"/>
      <c r="J54" s="36"/>
      <c r="K54" s="36"/>
      <c r="L54" s="36"/>
      <c r="M54" s="36"/>
      <c r="N54" s="37"/>
      <c r="O54" s="35"/>
      <c r="P54" s="36"/>
      <c r="Q54" s="36"/>
      <c r="R54" s="36"/>
      <c r="S54" s="85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7"/>
      <c r="AX54" s="81"/>
      <c r="AY54" s="81"/>
      <c r="AZ54" s="81"/>
      <c r="BA54" s="81"/>
      <c r="BB54" s="81"/>
      <c r="BC54" s="82"/>
      <c r="BD54" s="84"/>
      <c r="BE54" s="81"/>
      <c r="BF54" s="81"/>
      <c r="BG54" s="81"/>
      <c r="BH54" s="81"/>
      <c r="BI54" s="81"/>
      <c r="BJ54" s="82"/>
      <c r="BK54" s="17"/>
    </row>
    <row r="55" spans="1:63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110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148" t="s">
        <v>74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75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77" t="str">
        <f>IF(表紙!W1="","",表紙!W1)</f>
        <v>詳細設計書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116" t="str">
        <f>IF(表紙!A2="","",表紙!A2)</f>
        <v>POSサーバー</v>
      </c>
      <c r="B2" s="173"/>
      <c r="C2" s="173"/>
      <c r="D2" s="173"/>
      <c r="E2" s="173"/>
      <c r="F2" s="173"/>
      <c r="G2" s="173"/>
      <c r="H2" s="173"/>
      <c r="I2" s="173"/>
      <c r="J2" s="117"/>
      <c r="K2" s="116" t="str">
        <f>IF(表紙!K2="","",表紙!K2)</f>
        <v>POSサーバー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17"/>
      <c r="W2" s="180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2"/>
      <c r="AP2" s="32" t="str">
        <f>IF(表紙!AP2="","",表紙!AP2)</f>
        <v>SonMNT</v>
      </c>
      <c r="AQ2" s="33"/>
      <c r="AR2" s="33"/>
      <c r="AS2" s="34"/>
      <c r="AT2" s="60">
        <f>IF(表紙!AT2="","",表紙!AT2)</f>
        <v>45512</v>
      </c>
      <c r="AU2" s="61"/>
      <c r="AV2" s="61"/>
      <c r="AW2" s="61"/>
      <c r="AX2" s="62"/>
      <c r="AY2" s="32" t="str">
        <f>IF(表紙!AY2="","",表紙!AY2)</f>
        <v>AnhDD</v>
      </c>
      <c r="AZ2" s="33"/>
      <c r="BA2" s="33"/>
      <c r="BB2" s="34"/>
      <c r="BC2" s="60">
        <f>IF(表紙!BC2="","",表紙!BC2)</f>
        <v>45617</v>
      </c>
      <c r="BD2" s="61"/>
      <c r="BE2" s="61"/>
      <c r="BF2" s="61"/>
      <c r="BG2" s="62"/>
      <c r="BH2" s="32">
        <f>IF(表紙!BH2="","",表紙!BH2)</f>
        <v>0.2</v>
      </c>
      <c r="BI2" s="33"/>
      <c r="BJ2" s="33"/>
      <c r="BK2" s="34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5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35"/>
      <c r="BI3" s="36"/>
      <c r="BJ3" s="36"/>
      <c r="BK3" s="37"/>
    </row>
    <row r="4" spans="1:63" ht="24.95" customHeight="1" x14ac:dyDescent="0.25">
      <c r="A4" s="148" t="s">
        <v>83</v>
      </c>
      <c r="B4" s="149"/>
      <c r="C4" s="149"/>
      <c r="D4" s="149"/>
      <c r="E4" s="149"/>
      <c r="F4" s="149"/>
      <c r="G4" s="150"/>
      <c r="H4" s="151" t="str">
        <f>IF(表紙!H4="","",表紙!H4)</f>
        <v>33_釣銭機状況照会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84</v>
      </c>
      <c r="V4" s="149"/>
      <c r="W4" s="149"/>
      <c r="X4" s="149"/>
      <c r="Y4" s="150"/>
      <c r="Z4" s="151" t="str">
        <f>IF(表紙!Z4="","",表紙!Z4)</f>
        <v>画面設計書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SC3301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92</v>
      </c>
      <c r="C7" s="28"/>
      <c r="D7" s="28"/>
      <c r="E7" s="28"/>
      <c r="F7" s="28"/>
      <c r="G7" s="28"/>
      <c r="H7" s="28"/>
      <c r="I7" s="28"/>
      <c r="J7" s="28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ht="14.25" customHeight="1" x14ac:dyDescent="0.25">
      <c r="A40" s="5"/>
      <c r="BK40" s="6"/>
    </row>
    <row r="41" spans="1:63" ht="15" customHeight="1" x14ac:dyDescent="0.25">
      <c r="A41" s="5"/>
      <c r="BK41" s="6"/>
    </row>
    <row r="42" spans="1:63" ht="15" customHeight="1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ht="15" customHeight="1" x14ac:dyDescent="0.25">
      <c r="A47" s="5"/>
      <c r="B47" s="7" t="s">
        <v>93</v>
      </c>
      <c r="BK47" s="6"/>
    </row>
    <row r="48" spans="1:63" x14ac:dyDescent="0.25">
      <c r="A48" s="5"/>
      <c r="BK48" s="6"/>
    </row>
    <row r="49" spans="1:63" ht="15.75" customHeight="1" x14ac:dyDescent="0.25">
      <c r="A49" s="5"/>
      <c r="B49" s="155" t="s">
        <v>94</v>
      </c>
      <c r="C49" s="156"/>
      <c r="D49" s="161" t="s">
        <v>95</v>
      </c>
      <c r="E49" s="162"/>
      <c r="F49" s="162"/>
      <c r="G49" s="162"/>
      <c r="H49" s="162"/>
      <c r="I49" s="162"/>
      <c r="J49" s="156"/>
      <c r="K49" s="161" t="s">
        <v>96</v>
      </c>
      <c r="L49" s="162"/>
      <c r="M49" s="156"/>
      <c r="N49" s="165" t="s">
        <v>3</v>
      </c>
      <c r="O49" s="168" t="s">
        <v>97</v>
      </c>
      <c r="P49" s="118" t="s">
        <v>98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20"/>
      <c r="AR49" s="121" t="s">
        <v>99</v>
      </c>
      <c r="AS49" s="122"/>
      <c r="AT49" s="122"/>
      <c r="AU49" s="122"/>
      <c r="AV49" s="122"/>
      <c r="AW49" s="122"/>
      <c r="AX49" s="122"/>
      <c r="AY49" s="122"/>
      <c r="AZ49" s="122"/>
      <c r="BA49" s="122"/>
      <c r="BB49" s="123"/>
      <c r="BC49" s="124" t="s">
        <v>100</v>
      </c>
      <c r="BD49" s="125"/>
      <c r="BE49" s="125"/>
      <c r="BF49" s="125"/>
      <c r="BG49" s="125"/>
      <c r="BH49" s="125"/>
      <c r="BI49" s="125"/>
      <c r="BJ49" s="126"/>
      <c r="BK49" s="6"/>
    </row>
    <row r="50" spans="1:63" ht="15.75" customHeight="1" x14ac:dyDescent="0.25">
      <c r="A50" s="5"/>
      <c r="B50" s="157"/>
      <c r="C50" s="158"/>
      <c r="D50" s="157"/>
      <c r="E50" s="163"/>
      <c r="F50" s="163"/>
      <c r="G50" s="163"/>
      <c r="H50" s="163"/>
      <c r="I50" s="163"/>
      <c r="J50" s="158"/>
      <c r="K50" s="157"/>
      <c r="L50" s="163"/>
      <c r="M50" s="158"/>
      <c r="N50" s="166"/>
      <c r="O50" s="169"/>
      <c r="P50" s="133" t="s">
        <v>101</v>
      </c>
      <c r="Q50" s="134"/>
      <c r="R50" s="134"/>
      <c r="S50" s="134"/>
      <c r="T50" s="134"/>
      <c r="U50" s="134"/>
      <c r="V50" s="134"/>
      <c r="W50" s="135"/>
      <c r="X50" s="136" t="s">
        <v>102</v>
      </c>
      <c r="Y50" s="137"/>
      <c r="Z50" s="138"/>
      <c r="AA50" s="136" t="s">
        <v>103</v>
      </c>
      <c r="AB50" s="137"/>
      <c r="AC50" s="137"/>
      <c r="AD50" s="137"/>
      <c r="AE50" s="137"/>
      <c r="AF50" s="137"/>
      <c r="AG50" s="137"/>
      <c r="AH50" s="138"/>
      <c r="AI50" s="136" t="s">
        <v>104</v>
      </c>
      <c r="AJ50" s="137"/>
      <c r="AK50" s="137"/>
      <c r="AL50" s="137"/>
      <c r="AM50" s="137"/>
      <c r="AN50" s="137"/>
      <c r="AO50" s="137"/>
      <c r="AP50" s="137"/>
      <c r="AQ50" s="138"/>
      <c r="AR50" s="142" t="s">
        <v>4</v>
      </c>
      <c r="AS50" s="144" t="s">
        <v>105</v>
      </c>
      <c r="AT50" s="146" t="s">
        <v>106</v>
      </c>
      <c r="AU50" s="121" t="s">
        <v>101</v>
      </c>
      <c r="AV50" s="122"/>
      <c r="AW50" s="122"/>
      <c r="AX50" s="122"/>
      <c r="AY50" s="122"/>
      <c r="AZ50" s="122"/>
      <c r="BA50" s="122"/>
      <c r="BB50" s="123"/>
      <c r="BC50" s="127"/>
      <c r="BD50" s="128"/>
      <c r="BE50" s="128"/>
      <c r="BF50" s="128"/>
      <c r="BG50" s="128"/>
      <c r="BH50" s="128"/>
      <c r="BI50" s="128"/>
      <c r="BJ50" s="129"/>
      <c r="BK50" s="6"/>
    </row>
    <row r="51" spans="1:63" x14ac:dyDescent="0.25">
      <c r="A51" s="5"/>
      <c r="B51" s="159"/>
      <c r="C51" s="160"/>
      <c r="D51" s="159"/>
      <c r="E51" s="164"/>
      <c r="F51" s="164"/>
      <c r="G51" s="164"/>
      <c r="H51" s="164"/>
      <c r="I51" s="164"/>
      <c r="J51" s="160"/>
      <c r="K51" s="159"/>
      <c r="L51" s="164"/>
      <c r="M51" s="160"/>
      <c r="N51" s="167"/>
      <c r="O51" s="170"/>
      <c r="P51" s="118" t="s">
        <v>107</v>
      </c>
      <c r="Q51" s="119"/>
      <c r="R51" s="119"/>
      <c r="S51" s="120"/>
      <c r="T51" s="118" t="s">
        <v>95</v>
      </c>
      <c r="U51" s="119"/>
      <c r="V51" s="119"/>
      <c r="W51" s="120"/>
      <c r="X51" s="139"/>
      <c r="Y51" s="140"/>
      <c r="Z51" s="141"/>
      <c r="AA51" s="139"/>
      <c r="AB51" s="140"/>
      <c r="AC51" s="140"/>
      <c r="AD51" s="140"/>
      <c r="AE51" s="140"/>
      <c r="AF51" s="140"/>
      <c r="AG51" s="140"/>
      <c r="AH51" s="141"/>
      <c r="AI51" s="139"/>
      <c r="AJ51" s="140"/>
      <c r="AK51" s="140"/>
      <c r="AL51" s="140"/>
      <c r="AM51" s="140"/>
      <c r="AN51" s="140"/>
      <c r="AO51" s="140"/>
      <c r="AP51" s="140"/>
      <c r="AQ51" s="141"/>
      <c r="AR51" s="143"/>
      <c r="AS51" s="145"/>
      <c r="AT51" s="147"/>
      <c r="AU51" s="121" t="s">
        <v>107</v>
      </c>
      <c r="AV51" s="122"/>
      <c r="AW51" s="122"/>
      <c r="AX51" s="171"/>
      <c r="AY51" s="172" t="s">
        <v>95</v>
      </c>
      <c r="AZ51" s="122"/>
      <c r="BA51" s="122"/>
      <c r="BB51" s="123"/>
      <c r="BC51" s="130"/>
      <c r="BD51" s="131"/>
      <c r="BE51" s="131"/>
      <c r="BF51" s="131"/>
      <c r="BG51" s="131"/>
      <c r="BH51" s="131"/>
      <c r="BI51" s="131"/>
      <c r="BJ51" s="132"/>
      <c r="BK51" s="6"/>
    </row>
    <row r="52" spans="1:63" ht="36" customHeight="1" x14ac:dyDescent="0.25">
      <c r="A52" s="5"/>
      <c r="B52" s="224">
        <v>0</v>
      </c>
      <c r="C52" s="225"/>
      <c r="D52" s="226" t="s">
        <v>165</v>
      </c>
      <c r="E52" s="227"/>
      <c r="F52" s="227"/>
      <c r="G52" s="227"/>
      <c r="H52" s="227"/>
      <c r="I52" s="227"/>
      <c r="J52" s="228"/>
      <c r="K52" s="229" t="s">
        <v>166</v>
      </c>
      <c r="L52" s="230"/>
      <c r="M52" s="231"/>
      <c r="N52" s="232" t="s">
        <v>6</v>
      </c>
      <c r="O52" s="233" t="s">
        <v>7</v>
      </c>
      <c r="P52" s="234" t="s">
        <v>6</v>
      </c>
      <c r="Q52" s="235"/>
      <c r="R52" s="235"/>
      <c r="S52" s="236"/>
      <c r="T52" s="234" t="s">
        <v>6</v>
      </c>
      <c r="U52" s="235"/>
      <c r="V52" s="235"/>
      <c r="W52" s="236"/>
      <c r="X52" s="237" t="s">
        <v>108</v>
      </c>
      <c r="Y52" s="238"/>
      <c r="Z52" s="239"/>
      <c r="AA52" s="234" t="s">
        <v>109</v>
      </c>
      <c r="AB52" s="235"/>
      <c r="AC52" s="235"/>
      <c r="AD52" s="235"/>
      <c r="AE52" s="235"/>
      <c r="AF52" s="235"/>
      <c r="AG52" s="235"/>
      <c r="AH52" s="236"/>
      <c r="AI52" s="234" t="s">
        <v>6</v>
      </c>
      <c r="AJ52" s="235"/>
      <c r="AK52" s="235"/>
      <c r="AL52" s="235"/>
      <c r="AM52" s="235"/>
      <c r="AN52" s="235"/>
      <c r="AO52" s="235"/>
      <c r="AP52" s="235"/>
      <c r="AQ52" s="236"/>
      <c r="AR52" s="240" t="s">
        <v>6</v>
      </c>
      <c r="AS52" s="240" t="s">
        <v>109</v>
      </c>
      <c r="AT52" s="240" t="s">
        <v>109</v>
      </c>
      <c r="AU52" s="234" t="s">
        <v>6</v>
      </c>
      <c r="AV52" s="235"/>
      <c r="AW52" s="235"/>
      <c r="AX52" s="236"/>
      <c r="AY52" s="234" t="s">
        <v>109</v>
      </c>
      <c r="AZ52" s="235"/>
      <c r="BA52" s="235"/>
      <c r="BB52" s="236"/>
      <c r="BC52" s="237" t="s">
        <v>109</v>
      </c>
      <c r="BD52" s="238"/>
      <c r="BE52" s="238"/>
      <c r="BF52" s="238"/>
      <c r="BG52" s="238"/>
      <c r="BH52" s="238"/>
      <c r="BI52" s="238"/>
      <c r="BJ52" s="239"/>
      <c r="BK52" s="6"/>
    </row>
    <row r="53" spans="1:63" x14ac:dyDescent="0.25">
      <c r="A53" s="5"/>
      <c r="B53" s="241">
        <v>1</v>
      </c>
      <c r="C53" s="242"/>
      <c r="D53" s="243" t="s">
        <v>167</v>
      </c>
      <c r="E53" s="244"/>
      <c r="F53" s="244"/>
      <c r="G53" s="244"/>
      <c r="H53" s="244"/>
      <c r="I53" s="244"/>
      <c r="J53" s="245"/>
      <c r="K53" s="229" t="s">
        <v>168</v>
      </c>
      <c r="L53" s="230"/>
      <c r="M53" s="231"/>
      <c r="N53" s="233" t="s">
        <v>6</v>
      </c>
      <c r="O53" s="233" t="s">
        <v>7</v>
      </c>
      <c r="P53" s="241" t="s">
        <v>6</v>
      </c>
      <c r="Q53" s="246"/>
      <c r="R53" s="246"/>
      <c r="S53" s="242"/>
      <c r="T53" s="241" t="s">
        <v>6</v>
      </c>
      <c r="U53" s="246"/>
      <c r="V53" s="246"/>
      <c r="W53" s="242"/>
      <c r="X53" s="247" t="s">
        <v>6</v>
      </c>
      <c r="Y53" s="248"/>
      <c r="Z53" s="249"/>
      <c r="AA53" s="241" t="s">
        <v>109</v>
      </c>
      <c r="AB53" s="246"/>
      <c r="AC53" s="246"/>
      <c r="AD53" s="246"/>
      <c r="AE53" s="246"/>
      <c r="AF53" s="246"/>
      <c r="AG53" s="246"/>
      <c r="AH53" s="242"/>
      <c r="AI53" s="241" t="s">
        <v>109</v>
      </c>
      <c r="AJ53" s="246"/>
      <c r="AK53" s="246"/>
      <c r="AL53" s="246"/>
      <c r="AM53" s="246"/>
      <c r="AN53" s="246"/>
      <c r="AO53" s="246"/>
      <c r="AP53" s="246"/>
      <c r="AQ53" s="242"/>
      <c r="AR53" s="250" t="s">
        <v>6</v>
      </c>
      <c r="AS53" s="250" t="s">
        <v>109</v>
      </c>
      <c r="AT53" s="250" t="s">
        <v>109</v>
      </c>
      <c r="AU53" s="241" t="s">
        <v>6</v>
      </c>
      <c r="AV53" s="246"/>
      <c r="AW53" s="246"/>
      <c r="AX53" s="242"/>
      <c r="AY53" s="241" t="s">
        <v>109</v>
      </c>
      <c r="AZ53" s="246"/>
      <c r="BA53" s="246"/>
      <c r="BB53" s="242"/>
      <c r="BC53" s="251" t="s">
        <v>109</v>
      </c>
      <c r="BD53" s="248"/>
      <c r="BE53" s="248"/>
      <c r="BF53" s="248"/>
      <c r="BG53" s="248"/>
      <c r="BH53" s="248"/>
      <c r="BI53" s="248"/>
      <c r="BJ53" s="249"/>
      <c r="BK53" s="6"/>
    </row>
    <row r="54" spans="1:63" x14ac:dyDescent="0.25">
      <c r="A54" s="5"/>
      <c r="B54" s="89">
        <v>2</v>
      </c>
      <c r="C54" s="91"/>
      <c r="D54" s="112" t="s">
        <v>12</v>
      </c>
      <c r="E54" s="113"/>
      <c r="F54" s="113"/>
      <c r="G54" s="113"/>
      <c r="H54" s="113"/>
      <c r="I54" s="113"/>
      <c r="J54" s="114"/>
      <c r="K54" s="115" t="s">
        <v>5</v>
      </c>
      <c r="L54" s="102"/>
      <c r="M54" s="103"/>
      <c r="N54" s="8" t="s">
        <v>6</v>
      </c>
      <c r="O54" s="8" t="s">
        <v>7</v>
      </c>
      <c r="P54" s="89" t="s">
        <v>9</v>
      </c>
      <c r="Q54" s="90"/>
      <c r="R54" s="90"/>
      <c r="S54" s="91"/>
      <c r="T54" s="104" t="s">
        <v>6</v>
      </c>
      <c r="U54" s="90"/>
      <c r="V54" s="90"/>
      <c r="W54" s="91"/>
      <c r="X54" s="106" t="s">
        <v>110</v>
      </c>
      <c r="Y54" s="107"/>
      <c r="Z54" s="108"/>
      <c r="AA54" s="89" t="s">
        <v>8</v>
      </c>
      <c r="AB54" s="90"/>
      <c r="AC54" s="90"/>
      <c r="AD54" s="90"/>
      <c r="AE54" s="90"/>
      <c r="AF54" s="90"/>
      <c r="AG54" s="90"/>
      <c r="AH54" s="91"/>
      <c r="AI54" s="89" t="s">
        <v>8</v>
      </c>
      <c r="AJ54" s="90"/>
      <c r="AK54" s="90"/>
      <c r="AL54" s="90"/>
      <c r="AM54" s="90"/>
      <c r="AN54" s="90"/>
      <c r="AO54" s="90"/>
      <c r="AP54" s="90"/>
      <c r="AQ54" s="91"/>
      <c r="AR54" s="9" t="s">
        <v>6</v>
      </c>
      <c r="AS54" s="9" t="s">
        <v>8</v>
      </c>
      <c r="AT54" s="9" t="s">
        <v>8</v>
      </c>
      <c r="AU54" s="104" t="s">
        <v>161</v>
      </c>
      <c r="AV54" s="90"/>
      <c r="AW54" s="90"/>
      <c r="AX54" s="91"/>
      <c r="AY54" s="89" t="s">
        <v>68</v>
      </c>
      <c r="AZ54" s="90"/>
      <c r="BA54" s="90"/>
      <c r="BB54" s="91"/>
      <c r="BC54" s="95" t="s">
        <v>8</v>
      </c>
      <c r="BD54" s="96"/>
      <c r="BE54" s="96"/>
      <c r="BF54" s="96"/>
      <c r="BG54" s="96"/>
      <c r="BH54" s="96"/>
      <c r="BI54" s="96"/>
      <c r="BJ54" s="97"/>
      <c r="BK54" s="6"/>
    </row>
    <row r="55" spans="1:63" ht="37.5" customHeight="1" x14ac:dyDescent="0.25">
      <c r="A55" s="5"/>
      <c r="B55" s="89">
        <v>3</v>
      </c>
      <c r="C55" s="91"/>
      <c r="D55" s="98" t="s">
        <v>71</v>
      </c>
      <c r="E55" s="99"/>
      <c r="F55" s="99"/>
      <c r="G55" s="99"/>
      <c r="H55" s="99"/>
      <c r="I55" s="99"/>
      <c r="J55" s="100"/>
      <c r="K55" s="101" t="s">
        <v>111</v>
      </c>
      <c r="L55" s="102"/>
      <c r="M55" s="103"/>
      <c r="N55" s="8" t="s">
        <v>11</v>
      </c>
      <c r="O55" s="8" t="s">
        <v>7</v>
      </c>
      <c r="P55" s="89" t="s">
        <v>9</v>
      </c>
      <c r="Q55" s="90"/>
      <c r="R55" s="90"/>
      <c r="S55" s="91"/>
      <c r="T55" s="104" t="s">
        <v>6</v>
      </c>
      <c r="U55" s="90"/>
      <c r="V55" s="90"/>
      <c r="W55" s="91"/>
      <c r="X55" s="221" t="s">
        <v>113</v>
      </c>
      <c r="Y55" s="222"/>
      <c r="Z55" s="223"/>
      <c r="AA55" s="89" t="s">
        <v>8</v>
      </c>
      <c r="AB55" s="90"/>
      <c r="AC55" s="90"/>
      <c r="AD55" s="90"/>
      <c r="AE55" s="90"/>
      <c r="AF55" s="90"/>
      <c r="AG55" s="90"/>
      <c r="AH55" s="91"/>
      <c r="AI55" s="89" t="s">
        <v>8</v>
      </c>
      <c r="AJ55" s="90"/>
      <c r="AK55" s="90"/>
      <c r="AL55" s="90"/>
      <c r="AM55" s="90"/>
      <c r="AN55" s="90"/>
      <c r="AO55" s="90"/>
      <c r="AP55" s="90"/>
      <c r="AQ55" s="91"/>
      <c r="AR55" s="9" t="s">
        <v>6</v>
      </c>
      <c r="AS55" s="9" t="s">
        <v>8</v>
      </c>
      <c r="AT55" s="9" t="s">
        <v>8</v>
      </c>
      <c r="AU55" s="89" t="s">
        <v>66</v>
      </c>
      <c r="AV55" s="90"/>
      <c r="AW55" s="90"/>
      <c r="AX55" s="91"/>
      <c r="AY55" s="89" t="s">
        <v>68</v>
      </c>
      <c r="AZ55" s="90"/>
      <c r="BA55" s="90"/>
      <c r="BB55" s="91"/>
      <c r="BC55" s="95" t="s">
        <v>8</v>
      </c>
      <c r="BD55" s="96"/>
      <c r="BE55" s="96"/>
      <c r="BF55" s="96"/>
      <c r="BG55" s="96"/>
      <c r="BH55" s="96"/>
      <c r="BI55" s="96"/>
      <c r="BJ55" s="97"/>
      <c r="BK55" s="6"/>
    </row>
    <row r="56" spans="1:63" ht="34.5" customHeight="1" x14ac:dyDescent="0.25">
      <c r="A56" s="5"/>
      <c r="B56" s="89">
        <v>4</v>
      </c>
      <c r="C56" s="91"/>
      <c r="D56" s="109" t="s">
        <v>72</v>
      </c>
      <c r="E56" s="110"/>
      <c r="F56" s="110"/>
      <c r="G56" s="110"/>
      <c r="H56" s="110"/>
      <c r="I56" s="110"/>
      <c r="J56" s="111"/>
      <c r="K56" s="101" t="s">
        <v>111</v>
      </c>
      <c r="L56" s="102"/>
      <c r="M56" s="103"/>
      <c r="N56" s="8" t="s">
        <v>11</v>
      </c>
      <c r="O56" s="8" t="s">
        <v>7</v>
      </c>
      <c r="P56" s="89" t="s">
        <v>9</v>
      </c>
      <c r="Q56" s="90"/>
      <c r="R56" s="90"/>
      <c r="S56" s="91"/>
      <c r="T56" s="104" t="s">
        <v>6</v>
      </c>
      <c r="U56" s="90"/>
      <c r="V56" s="90"/>
      <c r="W56" s="91"/>
      <c r="X56" s="221" t="s">
        <v>112</v>
      </c>
      <c r="Y56" s="222"/>
      <c r="Z56" s="223"/>
      <c r="AA56" s="89" t="s">
        <v>8</v>
      </c>
      <c r="AB56" s="90"/>
      <c r="AC56" s="90"/>
      <c r="AD56" s="90"/>
      <c r="AE56" s="90"/>
      <c r="AF56" s="90"/>
      <c r="AG56" s="90"/>
      <c r="AH56" s="91"/>
      <c r="AI56" s="89" t="s">
        <v>8</v>
      </c>
      <c r="AJ56" s="90"/>
      <c r="AK56" s="90"/>
      <c r="AL56" s="90"/>
      <c r="AM56" s="90"/>
      <c r="AN56" s="90"/>
      <c r="AO56" s="90"/>
      <c r="AP56" s="90"/>
      <c r="AQ56" s="91"/>
      <c r="AR56" s="9" t="s">
        <v>6</v>
      </c>
      <c r="AS56" s="9" t="s">
        <v>8</v>
      </c>
      <c r="AT56" s="9" t="s">
        <v>8</v>
      </c>
      <c r="AU56" s="89" t="s">
        <v>67</v>
      </c>
      <c r="AV56" s="90"/>
      <c r="AW56" s="90"/>
      <c r="AX56" s="91"/>
      <c r="AY56" s="89" t="s">
        <v>68</v>
      </c>
      <c r="AZ56" s="90"/>
      <c r="BA56" s="90"/>
      <c r="BB56" s="91"/>
      <c r="BC56" s="95" t="s">
        <v>8</v>
      </c>
      <c r="BD56" s="96"/>
      <c r="BE56" s="96"/>
      <c r="BF56" s="96"/>
      <c r="BG56" s="96"/>
      <c r="BH56" s="96"/>
      <c r="BI56" s="96"/>
      <c r="BJ56" s="97"/>
      <c r="BK56" s="6"/>
    </row>
    <row r="57" spans="1:63" ht="48" customHeight="1" x14ac:dyDescent="0.25">
      <c r="A57" s="5"/>
      <c r="B57" s="89">
        <v>5</v>
      </c>
      <c r="C57" s="91"/>
      <c r="D57" s="98" t="s">
        <v>13</v>
      </c>
      <c r="E57" s="99"/>
      <c r="F57" s="99"/>
      <c r="G57" s="99"/>
      <c r="H57" s="99"/>
      <c r="I57" s="99"/>
      <c r="J57" s="100"/>
      <c r="K57" s="101" t="s">
        <v>114</v>
      </c>
      <c r="L57" s="102"/>
      <c r="M57" s="103"/>
      <c r="N57" s="8" t="s">
        <v>11</v>
      </c>
      <c r="O57" s="8" t="s">
        <v>7</v>
      </c>
      <c r="P57" s="89" t="s">
        <v>9</v>
      </c>
      <c r="Q57" s="90"/>
      <c r="R57" s="90"/>
      <c r="S57" s="91"/>
      <c r="T57" s="104" t="s">
        <v>6</v>
      </c>
      <c r="U57" s="90"/>
      <c r="V57" s="90"/>
      <c r="W57" s="91"/>
      <c r="X57" s="105" t="s">
        <v>70</v>
      </c>
      <c r="Y57" s="93"/>
      <c r="Z57" s="94"/>
      <c r="AA57" s="89" t="s">
        <v>8</v>
      </c>
      <c r="AB57" s="90"/>
      <c r="AC57" s="90"/>
      <c r="AD57" s="90"/>
      <c r="AE57" s="90"/>
      <c r="AF57" s="90"/>
      <c r="AG57" s="90"/>
      <c r="AH57" s="91"/>
      <c r="AI57" s="92" t="s">
        <v>115</v>
      </c>
      <c r="AJ57" s="93"/>
      <c r="AK57" s="93"/>
      <c r="AL57" s="93"/>
      <c r="AM57" s="93"/>
      <c r="AN57" s="93"/>
      <c r="AO57" s="93"/>
      <c r="AP57" s="93"/>
      <c r="AQ57" s="94"/>
      <c r="AR57" s="9" t="s">
        <v>6</v>
      </c>
      <c r="AS57" s="9" t="s">
        <v>8</v>
      </c>
      <c r="AT57" s="9" t="s">
        <v>8</v>
      </c>
      <c r="AU57" s="89" t="s">
        <v>9</v>
      </c>
      <c r="AV57" s="90"/>
      <c r="AW57" s="90"/>
      <c r="AX57" s="91"/>
      <c r="AY57" s="89" t="s">
        <v>8</v>
      </c>
      <c r="AZ57" s="90"/>
      <c r="BA57" s="90"/>
      <c r="BB57" s="91"/>
      <c r="BC57" s="95" t="s">
        <v>116</v>
      </c>
      <c r="BD57" s="96"/>
      <c r="BE57" s="96"/>
      <c r="BF57" s="96"/>
      <c r="BG57" s="96"/>
      <c r="BH57" s="96"/>
      <c r="BI57" s="96"/>
      <c r="BJ57" s="97"/>
      <c r="BK57" s="6"/>
    </row>
    <row r="58" spans="1:63" ht="64.5" customHeight="1" x14ac:dyDescent="0.25">
      <c r="A58" s="5"/>
      <c r="B58" s="89">
        <v>6</v>
      </c>
      <c r="C58" s="91"/>
      <c r="D58" s="112" t="s">
        <v>169</v>
      </c>
      <c r="E58" s="113"/>
      <c r="F58" s="113"/>
      <c r="G58" s="113"/>
      <c r="H58" s="113"/>
      <c r="I58" s="113"/>
      <c r="J58" s="114"/>
      <c r="K58" s="101" t="s">
        <v>114</v>
      </c>
      <c r="L58" s="102"/>
      <c r="M58" s="103"/>
      <c r="N58" s="8" t="s">
        <v>11</v>
      </c>
      <c r="O58" s="8" t="s">
        <v>7</v>
      </c>
      <c r="P58" s="89" t="s">
        <v>9</v>
      </c>
      <c r="Q58" s="90"/>
      <c r="R58" s="90"/>
      <c r="S58" s="91"/>
      <c r="T58" s="104" t="s">
        <v>6</v>
      </c>
      <c r="U58" s="90"/>
      <c r="V58" s="90"/>
      <c r="W58" s="91"/>
      <c r="X58" s="105" t="s">
        <v>70</v>
      </c>
      <c r="Y58" s="93"/>
      <c r="Z58" s="94"/>
      <c r="AA58" s="89" t="s">
        <v>8</v>
      </c>
      <c r="AB58" s="90"/>
      <c r="AC58" s="90"/>
      <c r="AD58" s="90"/>
      <c r="AE58" s="90"/>
      <c r="AF58" s="90"/>
      <c r="AG58" s="90"/>
      <c r="AH58" s="91"/>
      <c r="AI58" s="92" t="s">
        <v>115</v>
      </c>
      <c r="AJ58" s="93"/>
      <c r="AK58" s="93"/>
      <c r="AL58" s="93"/>
      <c r="AM58" s="93"/>
      <c r="AN58" s="93"/>
      <c r="AO58" s="93"/>
      <c r="AP58" s="93"/>
      <c r="AQ58" s="94"/>
      <c r="AR58" s="9" t="s">
        <v>6</v>
      </c>
      <c r="AS58" s="9" t="s">
        <v>8</v>
      </c>
      <c r="AT58" s="9" t="s">
        <v>8</v>
      </c>
      <c r="AU58" s="89" t="s">
        <v>9</v>
      </c>
      <c r="AV58" s="90"/>
      <c r="AW58" s="90"/>
      <c r="AX58" s="91"/>
      <c r="AY58" s="89" t="s">
        <v>8</v>
      </c>
      <c r="AZ58" s="90"/>
      <c r="BA58" s="90"/>
      <c r="BB58" s="91"/>
      <c r="BC58" s="95" t="s">
        <v>117</v>
      </c>
      <c r="BD58" s="96"/>
      <c r="BE58" s="96"/>
      <c r="BF58" s="96"/>
      <c r="BG58" s="96"/>
      <c r="BH58" s="96"/>
      <c r="BI58" s="96"/>
      <c r="BJ58" s="97"/>
      <c r="BK58" s="6"/>
    </row>
    <row r="59" spans="1:63" ht="33" customHeight="1" x14ac:dyDescent="0.25">
      <c r="A59" s="5"/>
      <c r="B59" s="89">
        <v>7</v>
      </c>
      <c r="C59" s="91"/>
      <c r="D59" s="98" t="s">
        <v>14</v>
      </c>
      <c r="E59" s="99"/>
      <c r="F59" s="99"/>
      <c r="G59" s="99"/>
      <c r="H59" s="99"/>
      <c r="I59" s="99"/>
      <c r="J59" s="100"/>
      <c r="K59" s="115" t="s">
        <v>5</v>
      </c>
      <c r="L59" s="102"/>
      <c r="M59" s="103"/>
      <c r="N59" s="8" t="s">
        <v>6</v>
      </c>
      <c r="O59" s="8" t="s">
        <v>7</v>
      </c>
      <c r="P59" s="89" t="s">
        <v>9</v>
      </c>
      <c r="Q59" s="90"/>
      <c r="R59" s="90"/>
      <c r="S59" s="91"/>
      <c r="T59" s="104" t="s">
        <v>6</v>
      </c>
      <c r="U59" s="90"/>
      <c r="V59" s="90"/>
      <c r="W59" s="91"/>
      <c r="X59" s="105" t="s">
        <v>14</v>
      </c>
      <c r="Y59" s="93"/>
      <c r="Z59" s="94"/>
      <c r="AA59" s="89" t="s">
        <v>8</v>
      </c>
      <c r="AB59" s="90"/>
      <c r="AC59" s="90"/>
      <c r="AD59" s="90"/>
      <c r="AE59" s="90"/>
      <c r="AF59" s="90"/>
      <c r="AG59" s="90"/>
      <c r="AH59" s="91"/>
      <c r="AI59" s="89" t="s">
        <v>8</v>
      </c>
      <c r="AJ59" s="90"/>
      <c r="AK59" s="90"/>
      <c r="AL59" s="90"/>
      <c r="AM59" s="90"/>
      <c r="AN59" s="90"/>
      <c r="AO59" s="90"/>
      <c r="AP59" s="90"/>
      <c r="AQ59" s="91"/>
      <c r="AR59" s="9" t="s">
        <v>6</v>
      </c>
      <c r="AS59" s="9" t="s">
        <v>8</v>
      </c>
      <c r="AT59" s="9" t="s">
        <v>8</v>
      </c>
      <c r="AU59" s="89" t="s">
        <v>9</v>
      </c>
      <c r="AV59" s="90"/>
      <c r="AW59" s="90"/>
      <c r="AX59" s="91"/>
      <c r="AY59" s="89" t="s">
        <v>8</v>
      </c>
      <c r="AZ59" s="90"/>
      <c r="BA59" s="90"/>
      <c r="BB59" s="91"/>
      <c r="BC59" s="95" t="s">
        <v>8</v>
      </c>
      <c r="BD59" s="96"/>
      <c r="BE59" s="96"/>
      <c r="BF59" s="96"/>
      <c r="BG59" s="96"/>
      <c r="BH59" s="96"/>
      <c r="BI59" s="96"/>
      <c r="BJ59" s="97"/>
      <c r="BK59" s="6"/>
    </row>
    <row r="60" spans="1:63" x14ac:dyDescent="0.25">
      <c r="A60" s="5"/>
      <c r="B60" s="89">
        <v>8</v>
      </c>
      <c r="C60" s="91"/>
      <c r="D60" s="112" t="s">
        <v>12</v>
      </c>
      <c r="E60" s="113"/>
      <c r="F60" s="113"/>
      <c r="G60" s="113"/>
      <c r="H60" s="113"/>
      <c r="I60" s="113"/>
      <c r="J60" s="114"/>
      <c r="K60" s="115" t="s">
        <v>5</v>
      </c>
      <c r="L60" s="102"/>
      <c r="M60" s="103"/>
      <c r="N60" s="8" t="s">
        <v>6</v>
      </c>
      <c r="O60" s="8" t="s">
        <v>7</v>
      </c>
      <c r="P60" s="89" t="s">
        <v>9</v>
      </c>
      <c r="Q60" s="90"/>
      <c r="R60" s="90"/>
      <c r="S60" s="91"/>
      <c r="T60" s="104" t="s">
        <v>6</v>
      </c>
      <c r="U60" s="90"/>
      <c r="V60" s="90"/>
      <c r="W60" s="91"/>
      <c r="X60" s="106" t="s">
        <v>110</v>
      </c>
      <c r="Y60" s="107"/>
      <c r="Z60" s="108"/>
      <c r="AA60" s="89" t="s">
        <v>8</v>
      </c>
      <c r="AB60" s="90"/>
      <c r="AC60" s="90"/>
      <c r="AD60" s="90"/>
      <c r="AE60" s="90"/>
      <c r="AF60" s="90"/>
      <c r="AG60" s="90"/>
      <c r="AH60" s="91"/>
      <c r="AI60" s="89" t="s">
        <v>8</v>
      </c>
      <c r="AJ60" s="90"/>
      <c r="AK60" s="90"/>
      <c r="AL60" s="90"/>
      <c r="AM60" s="90"/>
      <c r="AN60" s="90"/>
      <c r="AO60" s="90"/>
      <c r="AP60" s="90"/>
      <c r="AQ60" s="91"/>
      <c r="AR60" s="9" t="s">
        <v>6</v>
      </c>
      <c r="AS60" s="9" t="s">
        <v>8</v>
      </c>
      <c r="AT60" s="9" t="s">
        <v>8</v>
      </c>
      <c r="AU60" s="89" t="s">
        <v>9</v>
      </c>
      <c r="AV60" s="90"/>
      <c r="AW60" s="90"/>
      <c r="AX60" s="91"/>
      <c r="AY60" s="89" t="s">
        <v>8</v>
      </c>
      <c r="AZ60" s="90"/>
      <c r="BA60" s="90"/>
      <c r="BB60" s="91"/>
      <c r="BC60" s="186" t="s">
        <v>64</v>
      </c>
      <c r="BD60" s="187"/>
      <c r="BE60" s="187"/>
      <c r="BF60" s="187"/>
      <c r="BG60" s="187"/>
      <c r="BH60" s="187"/>
      <c r="BI60" s="187"/>
      <c r="BJ60" s="188"/>
      <c r="BK60" s="6"/>
    </row>
    <row r="61" spans="1:63" x14ac:dyDescent="0.25">
      <c r="A61" s="5"/>
      <c r="B61" s="89">
        <v>9</v>
      </c>
      <c r="C61" s="91"/>
      <c r="D61" s="98" t="s">
        <v>15</v>
      </c>
      <c r="E61" s="99"/>
      <c r="F61" s="99"/>
      <c r="G61" s="99"/>
      <c r="H61" s="99"/>
      <c r="I61" s="99"/>
      <c r="J61" s="100"/>
      <c r="K61" s="115" t="s">
        <v>5</v>
      </c>
      <c r="L61" s="102"/>
      <c r="M61" s="103"/>
      <c r="N61" s="8" t="s">
        <v>6</v>
      </c>
      <c r="O61" s="8" t="s">
        <v>6</v>
      </c>
      <c r="P61" s="89" t="s">
        <v>9</v>
      </c>
      <c r="Q61" s="90"/>
      <c r="R61" s="90"/>
      <c r="S61" s="91"/>
      <c r="T61" s="104" t="s">
        <v>6</v>
      </c>
      <c r="U61" s="90"/>
      <c r="V61" s="90"/>
      <c r="W61" s="91"/>
      <c r="X61" s="105" t="s">
        <v>15</v>
      </c>
      <c r="Y61" s="93"/>
      <c r="Z61" s="94"/>
      <c r="AA61" s="89" t="s">
        <v>8</v>
      </c>
      <c r="AB61" s="90"/>
      <c r="AC61" s="90"/>
      <c r="AD61" s="90"/>
      <c r="AE61" s="90"/>
      <c r="AF61" s="90"/>
      <c r="AG61" s="90"/>
      <c r="AH61" s="91"/>
      <c r="AI61" s="89" t="s">
        <v>8</v>
      </c>
      <c r="AJ61" s="90"/>
      <c r="AK61" s="90"/>
      <c r="AL61" s="90"/>
      <c r="AM61" s="90"/>
      <c r="AN61" s="90"/>
      <c r="AO61" s="90"/>
      <c r="AP61" s="90"/>
      <c r="AQ61" s="91"/>
      <c r="AR61" s="9" t="s">
        <v>6</v>
      </c>
      <c r="AS61" s="9" t="s">
        <v>8</v>
      </c>
      <c r="AT61" s="9" t="s">
        <v>8</v>
      </c>
      <c r="AU61" s="89" t="s">
        <v>9</v>
      </c>
      <c r="AV61" s="90"/>
      <c r="AW61" s="90"/>
      <c r="AX61" s="91"/>
      <c r="AY61" s="89" t="s">
        <v>8</v>
      </c>
      <c r="AZ61" s="90"/>
      <c r="BA61" s="90"/>
      <c r="BB61" s="91"/>
      <c r="BC61" s="95" t="s">
        <v>8</v>
      </c>
      <c r="BD61" s="96"/>
      <c r="BE61" s="96"/>
      <c r="BF61" s="96"/>
      <c r="BG61" s="96"/>
      <c r="BH61" s="96"/>
      <c r="BI61" s="96"/>
      <c r="BJ61" s="97"/>
      <c r="BK61" s="6"/>
    </row>
    <row r="62" spans="1:63" x14ac:dyDescent="0.25">
      <c r="A62" s="5"/>
      <c r="B62" s="89">
        <v>10</v>
      </c>
      <c r="C62" s="91"/>
      <c r="D62" s="112" t="s">
        <v>16</v>
      </c>
      <c r="E62" s="113"/>
      <c r="F62" s="113"/>
      <c r="G62" s="113"/>
      <c r="H62" s="113"/>
      <c r="I62" s="113"/>
      <c r="J62" s="114"/>
      <c r="K62" s="115" t="s">
        <v>5</v>
      </c>
      <c r="L62" s="102"/>
      <c r="M62" s="103"/>
      <c r="N62" s="8" t="s">
        <v>6</v>
      </c>
      <c r="O62" s="8" t="s">
        <v>6</v>
      </c>
      <c r="P62" s="89" t="s">
        <v>9</v>
      </c>
      <c r="Q62" s="90"/>
      <c r="R62" s="90"/>
      <c r="S62" s="91"/>
      <c r="T62" s="104" t="s">
        <v>6</v>
      </c>
      <c r="U62" s="90"/>
      <c r="V62" s="90"/>
      <c r="W62" s="91"/>
      <c r="X62" s="106" t="s">
        <v>118</v>
      </c>
      <c r="Y62" s="107"/>
      <c r="Z62" s="108"/>
      <c r="AA62" s="89" t="s">
        <v>8</v>
      </c>
      <c r="AB62" s="90"/>
      <c r="AC62" s="90"/>
      <c r="AD62" s="90"/>
      <c r="AE62" s="90"/>
      <c r="AF62" s="90"/>
      <c r="AG62" s="90"/>
      <c r="AH62" s="91"/>
      <c r="AI62" s="89" t="s">
        <v>8</v>
      </c>
      <c r="AJ62" s="90"/>
      <c r="AK62" s="90"/>
      <c r="AL62" s="90"/>
      <c r="AM62" s="90"/>
      <c r="AN62" s="90"/>
      <c r="AO62" s="90"/>
      <c r="AP62" s="90"/>
      <c r="AQ62" s="91"/>
      <c r="AR62" s="9" t="s">
        <v>6</v>
      </c>
      <c r="AS62" s="9" t="s">
        <v>8</v>
      </c>
      <c r="AT62" s="9" t="s">
        <v>8</v>
      </c>
      <c r="AU62" s="89" t="s">
        <v>9</v>
      </c>
      <c r="AV62" s="90"/>
      <c r="AW62" s="90"/>
      <c r="AX62" s="91"/>
      <c r="AY62" s="89" t="s">
        <v>8</v>
      </c>
      <c r="AZ62" s="90"/>
      <c r="BA62" s="90"/>
      <c r="BB62" s="91"/>
      <c r="BC62" s="95" t="s">
        <v>8</v>
      </c>
      <c r="BD62" s="96"/>
      <c r="BE62" s="96"/>
      <c r="BF62" s="96"/>
      <c r="BG62" s="96"/>
      <c r="BH62" s="96"/>
      <c r="BI62" s="96"/>
      <c r="BJ62" s="97"/>
      <c r="BK62" s="6"/>
    </row>
    <row r="63" spans="1:63" x14ac:dyDescent="0.25">
      <c r="A63" s="5"/>
      <c r="B63" s="89">
        <v>11</v>
      </c>
      <c r="C63" s="91"/>
      <c r="D63" s="98" t="s">
        <v>17</v>
      </c>
      <c r="E63" s="99"/>
      <c r="F63" s="99"/>
      <c r="G63" s="99"/>
      <c r="H63" s="99"/>
      <c r="I63" s="99"/>
      <c r="J63" s="100"/>
      <c r="K63" s="115" t="s">
        <v>5</v>
      </c>
      <c r="L63" s="102"/>
      <c r="M63" s="103"/>
      <c r="N63" s="8" t="s">
        <v>6</v>
      </c>
      <c r="O63" s="8" t="s">
        <v>6</v>
      </c>
      <c r="P63" s="89" t="s">
        <v>9</v>
      </c>
      <c r="Q63" s="90"/>
      <c r="R63" s="90"/>
      <c r="S63" s="91"/>
      <c r="T63" s="104" t="s">
        <v>6</v>
      </c>
      <c r="U63" s="90"/>
      <c r="V63" s="90"/>
      <c r="W63" s="91"/>
      <c r="X63" s="105" t="s">
        <v>17</v>
      </c>
      <c r="Y63" s="93"/>
      <c r="Z63" s="94"/>
      <c r="AA63" s="89" t="s">
        <v>8</v>
      </c>
      <c r="AB63" s="90"/>
      <c r="AC63" s="90"/>
      <c r="AD63" s="90"/>
      <c r="AE63" s="90"/>
      <c r="AF63" s="90"/>
      <c r="AG63" s="90"/>
      <c r="AH63" s="91"/>
      <c r="AI63" s="89" t="s">
        <v>8</v>
      </c>
      <c r="AJ63" s="90"/>
      <c r="AK63" s="90"/>
      <c r="AL63" s="90"/>
      <c r="AM63" s="90"/>
      <c r="AN63" s="90"/>
      <c r="AO63" s="90"/>
      <c r="AP63" s="90"/>
      <c r="AQ63" s="91"/>
      <c r="AR63" s="9" t="s">
        <v>6</v>
      </c>
      <c r="AS63" s="9" t="s">
        <v>8</v>
      </c>
      <c r="AT63" s="9" t="s">
        <v>8</v>
      </c>
      <c r="AU63" s="89" t="s">
        <v>9</v>
      </c>
      <c r="AV63" s="90"/>
      <c r="AW63" s="90"/>
      <c r="AX63" s="91"/>
      <c r="AY63" s="89" t="s">
        <v>8</v>
      </c>
      <c r="AZ63" s="90"/>
      <c r="BA63" s="90"/>
      <c r="BB63" s="91"/>
      <c r="BC63" s="95" t="s">
        <v>8</v>
      </c>
      <c r="BD63" s="96"/>
      <c r="BE63" s="96"/>
      <c r="BF63" s="96"/>
      <c r="BG63" s="96"/>
      <c r="BH63" s="96"/>
      <c r="BI63" s="96"/>
      <c r="BJ63" s="97"/>
      <c r="BK63" s="6"/>
    </row>
    <row r="64" spans="1:63" x14ac:dyDescent="0.25">
      <c r="A64" s="5"/>
      <c r="B64" s="89">
        <v>12</v>
      </c>
      <c r="C64" s="91"/>
      <c r="D64" s="112" t="s">
        <v>18</v>
      </c>
      <c r="E64" s="113"/>
      <c r="F64" s="113"/>
      <c r="G64" s="113"/>
      <c r="H64" s="113"/>
      <c r="I64" s="113"/>
      <c r="J64" s="114"/>
      <c r="K64" s="115" t="s">
        <v>5</v>
      </c>
      <c r="L64" s="102"/>
      <c r="M64" s="103"/>
      <c r="N64" s="8" t="s">
        <v>6</v>
      </c>
      <c r="O64" s="8" t="s">
        <v>6</v>
      </c>
      <c r="P64" s="89" t="s">
        <v>9</v>
      </c>
      <c r="Q64" s="90"/>
      <c r="R64" s="90"/>
      <c r="S64" s="91"/>
      <c r="T64" s="104" t="s">
        <v>6</v>
      </c>
      <c r="U64" s="90"/>
      <c r="V64" s="90"/>
      <c r="W64" s="91"/>
      <c r="X64" s="106" t="s">
        <v>119</v>
      </c>
      <c r="Y64" s="107"/>
      <c r="Z64" s="108"/>
      <c r="AA64" s="89" t="s">
        <v>8</v>
      </c>
      <c r="AB64" s="90"/>
      <c r="AC64" s="90"/>
      <c r="AD64" s="90"/>
      <c r="AE64" s="90"/>
      <c r="AF64" s="90"/>
      <c r="AG64" s="90"/>
      <c r="AH64" s="91"/>
      <c r="AI64" s="89" t="s">
        <v>8</v>
      </c>
      <c r="AJ64" s="90"/>
      <c r="AK64" s="90"/>
      <c r="AL64" s="90"/>
      <c r="AM64" s="90"/>
      <c r="AN64" s="90"/>
      <c r="AO64" s="90"/>
      <c r="AP64" s="90"/>
      <c r="AQ64" s="91"/>
      <c r="AR64" s="9" t="s">
        <v>6</v>
      </c>
      <c r="AS64" s="9" t="s">
        <v>8</v>
      </c>
      <c r="AT64" s="9" t="s">
        <v>8</v>
      </c>
      <c r="AU64" s="89" t="s">
        <v>9</v>
      </c>
      <c r="AV64" s="90"/>
      <c r="AW64" s="90"/>
      <c r="AX64" s="91"/>
      <c r="AY64" s="89" t="s">
        <v>8</v>
      </c>
      <c r="AZ64" s="90"/>
      <c r="BA64" s="90"/>
      <c r="BB64" s="91"/>
      <c r="BC64" s="95" t="s">
        <v>8</v>
      </c>
      <c r="BD64" s="96"/>
      <c r="BE64" s="96"/>
      <c r="BF64" s="96"/>
      <c r="BG64" s="96"/>
      <c r="BH64" s="96"/>
      <c r="BI64" s="96"/>
      <c r="BJ64" s="97"/>
      <c r="BK64" s="6"/>
    </row>
    <row r="65" spans="1:63" x14ac:dyDescent="0.25">
      <c r="A65" s="5"/>
      <c r="B65" s="89">
        <v>13</v>
      </c>
      <c r="C65" s="91"/>
      <c r="D65" s="98" t="s">
        <v>19</v>
      </c>
      <c r="E65" s="99"/>
      <c r="F65" s="99"/>
      <c r="G65" s="99"/>
      <c r="H65" s="99"/>
      <c r="I65" s="99"/>
      <c r="J65" s="100"/>
      <c r="K65" s="115" t="s">
        <v>5</v>
      </c>
      <c r="L65" s="102"/>
      <c r="M65" s="103"/>
      <c r="N65" s="8" t="s">
        <v>6</v>
      </c>
      <c r="O65" s="8" t="s">
        <v>6</v>
      </c>
      <c r="P65" s="89" t="s">
        <v>9</v>
      </c>
      <c r="Q65" s="90"/>
      <c r="R65" s="90"/>
      <c r="S65" s="91"/>
      <c r="T65" s="104" t="s">
        <v>6</v>
      </c>
      <c r="U65" s="90"/>
      <c r="V65" s="90"/>
      <c r="W65" s="91"/>
      <c r="X65" s="105" t="s">
        <v>19</v>
      </c>
      <c r="Y65" s="93"/>
      <c r="Z65" s="94"/>
      <c r="AA65" s="89" t="s">
        <v>8</v>
      </c>
      <c r="AB65" s="90"/>
      <c r="AC65" s="90"/>
      <c r="AD65" s="90"/>
      <c r="AE65" s="90"/>
      <c r="AF65" s="90"/>
      <c r="AG65" s="90"/>
      <c r="AH65" s="91"/>
      <c r="AI65" s="89" t="s">
        <v>8</v>
      </c>
      <c r="AJ65" s="90"/>
      <c r="AK65" s="90"/>
      <c r="AL65" s="90"/>
      <c r="AM65" s="90"/>
      <c r="AN65" s="90"/>
      <c r="AO65" s="90"/>
      <c r="AP65" s="90"/>
      <c r="AQ65" s="91"/>
      <c r="AR65" s="9" t="s">
        <v>6</v>
      </c>
      <c r="AS65" s="9" t="s">
        <v>8</v>
      </c>
      <c r="AT65" s="9" t="s">
        <v>8</v>
      </c>
      <c r="AU65" s="89" t="s">
        <v>9</v>
      </c>
      <c r="AV65" s="90"/>
      <c r="AW65" s="90"/>
      <c r="AX65" s="91"/>
      <c r="AY65" s="89" t="s">
        <v>8</v>
      </c>
      <c r="AZ65" s="90"/>
      <c r="BA65" s="90"/>
      <c r="BB65" s="91"/>
      <c r="BC65" s="95" t="s">
        <v>8</v>
      </c>
      <c r="BD65" s="96"/>
      <c r="BE65" s="96"/>
      <c r="BF65" s="96"/>
      <c r="BG65" s="96"/>
      <c r="BH65" s="96"/>
      <c r="BI65" s="96"/>
      <c r="BJ65" s="97"/>
      <c r="BK65" s="6"/>
    </row>
    <row r="66" spans="1:63" x14ac:dyDescent="0.25">
      <c r="A66" s="5"/>
      <c r="B66" s="89">
        <v>14</v>
      </c>
      <c r="C66" s="91"/>
      <c r="D66" s="112" t="s">
        <v>20</v>
      </c>
      <c r="E66" s="113"/>
      <c r="F66" s="113"/>
      <c r="G66" s="113"/>
      <c r="H66" s="113"/>
      <c r="I66" s="113"/>
      <c r="J66" s="114"/>
      <c r="K66" s="115" t="s">
        <v>5</v>
      </c>
      <c r="L66" s="102"/>
      <c r="M66" s="103"/>
      <c r="N66" s="8" t="s">
        <v>6</v>
      </c>
      <c r="O66" s="8" t="s">
        <v>6</v>
      </c>
      <c r="P66" s="89" t="s">
        <v>9</v>
      </c>
      <c r="Q66" s="90"/>
      <c r="R66" s="90"/>
      <c r="S66" s="91"/>
      <c r="T66" s="104" t="s">
        <v>6</v>
      </c>
      <c r="U66" s="90"/>
      <c r="V66" s="90"/>
      <c r="W66" s="91"/>
      <c r="X66" s="106" t="s">
        <v>120</v>
      </c>
      <c r="Y66" s="107"/>
      <c r="Z66" s="108"/>
      <c r="AA66" s="89" t="s">
        <v>8</v>
      </c>
      <c r="AB66" s="90"/>
      <c r="AC66" s="90"/>
      <c r="AD66" s="90"/>
      <c r="AE66" s="90"/>
      <c r="AF66" s="90"/>
      <c r="AG66" s="90"/>
      <c r="AH66" s="91"/>
      <c r="AI66" s="89" t="s">
        <v>8</v>
      </c>
      <c r="AJ66" s="90"/>
      <c r="AK66" s="90"/>
      <c r="AL66" s="90"/>
      <c r="AM66" s="90"/>
      <c r="AN66" s="90"/>
      <c r="AO66" s="90"/>
      <c r="AP66" s="90"/>
      <c r="AQ66" s="91"/>
      <c r="AR66" s="9" t="s">
        <v>6</v>
      </c>
      <c r="AS66" s="9" t="s">
        <v>8</v>
      </c>
      <c r="AT66" s="9" t="s">
        <v>8</v>
      </c>
      <c r="AU66" s="89" t="s">
        <v>9</v>
      </c>
      <c r="AV66" s="90"/>
      <c r="AW66" s="90"/>
      <c r="AX66" s="91"/>
      <c r="AY66" s="89" t="s">
        <v>8</v>
      </c>
      <c r="AZ66" s="90"/>
      <c r="BA66" s="90"/>
      <c r="BB66" s="91"/>
      <c r="BC66" s="95" t="s">
        <v>8</v>
      </c>
      <c r="BD66" s="96"/>
      <c r="BE66" s="96"/>
      <c r="BF66" s="96"/>
      <c r="BG66" s="96"/>
      <c r="BH66" s="96"/>
      <c r="BI66" s="96"/>
      <c r="BJ66" s="97"/>
      <c r="BK66" s="6"/>
    </row>
    <row r="67" spans="1:63" x14ac:dyDescent="0.25">
      <c r="A67" s="5"/>
      <c r="B67" s="89">
        <v>15</v>
      </c>
      <c r="C67" s="91"/>
      <c r="D67" s="98" t="s">
        <v>21</v>
      </c>
      <c r="E67" s="99"/>
      <c r="F67" s="99"/>
      <c r="G67" s="99"/>
      <c r="H67" s="99"/>
      <c r="I67" s="99"/>
      <c r="J67" s="100"/>
      <c r="K67" s="115" t="s">
        <v>5</v>
      </c>
      <c r="L67" s="102"/>
      <c r="M67" s="103"/>
      <c r="N67" s="8" t="s">
        <v>6</v>
      </c>
      <c r="O67" s="8" t="s">
        <v>6</v>
      </c>
      <c r="P67" s="89" t="s">
        <v>9</v>
      </c>
      <c r="Q67" s="90"/>
      <c r="R67" s="90"/>
      <c r="S67" s="91"/>
      <c r="T67" s="104" t="s">
        <v>6</v>
      </c>
      <c r="U67" s="90"/>
      <c r="V67" s="90"/>
      <c r="W67" s="91"/>
      <c r="X67" s="105" t="s">
        <v>21</v>
      </c>
      <c r="Y67" s="93"/>
      <c r="Z67" s="94"/>
      <c r="AA67" s="89" t="s">
        <v>8</v>
      </c>
      <c r="AB67" s="90"/>
      <c r="AC67" s="90"/>
      <c r="AD67" s="90"/>
      <c r="AE67" s="90"/>
      <c r="AF67" s="90"/>
      <c r="AG67" s="90"/>
      <c r="AH67" s="91"/>
      <c r="AI67" s="89" t="s">
        <v>8</v>
      </c>
      <c r="AJ67" s="90"/>
      <c r="AK67" s="90"/>
      <c r="AL67" s="90"/>
      <c r="AM67" s="90"/>
      <c r="AN67" s="90"/>
      <c r="AO67" s="90"/>
      <c r="AP67" s="90"/>
      <c r="AQ67" s="91"/>
      <c r="AR67" s="9" t="s">
        <v>6</v>
      </c>
      <c r="AS67" s="9" t="s">
        <v>8</v>
      </c>
      <c r="AT67" s="9" t="s">
        <v>8</v>
      </c>
      <c r="AU67" s="89" t="s">
        <v>9</v>
      </c>
      <c r="AV67" s="90"/>
      <c r="AW67" s="90"/>
      <c r="AX67" s="91"/>
      <c r="AY67" s="89" t="s">
        <v>8</v>
      </c>
      <c r="AZ67" s="90"/>
      <c r="BA67" s="90"/>
      <c r="BB67" s="91"/>
      <c r="BC67" s="95" t="s">
        <v>8</v>
      </c>
      <c r="BD67" s="96"/>
      <c r="BE67" s="96"/>
      <c r="BF67" s="96"/>
      <c r="BG67" s="96"/>
      <c r="BH67" s="96"/>
      <c r="BI67" s="96"/>
      <c r="BJ67" s="97"/>
      <c r="BK67" s="6"/>
    </row>
    <row r="68" spans="1:63" x14ac:dyDescent="0.25">
      <c r="A68" s="5"/>
      <c r="B68" s="89">
        <v>16</v>
      </c>
      <c r="C68" s="91"/>
      <c r="D68" s="112" t="s">
        <v>22</v>
      </c>
      <c r="E68" s="113"/>
      <c r="F68" s="113"/>
      <c r="G68" s="113"/>
      <c r="H68" s="113"/>
      <c r="I68" s="113"/>
      <c r="J68" s="114"/>
      <c r="K68" s="115" t="s">
        <v>5</v>
      </c>
      <c r="L68" s="102"/>
      <c r="M68" s="103"/>
      <c r="N68" s="8" t="s">
        <v>6</v>
      </c>
      <c r="O68" s="8" t="s">
        <v>6</v>
      </c>
      <c r="P68" s="89" t="s">
        <v>9</v>
      </c>
      <c r="Q68" s="90"/>
      <c r="R68" s="90"/>
      <c r="S68" s="91"/>
      <c r="T68" s="104" t="s">
        <v>6</v>
      </c>
      <c r="U68" s="90"/>
      <c r="V68" s="90"/>
      <c r="W68" s="91"/>
      <c r="X68" s="106" t="s">
        <v>121</v>
      </c>
      <c r="Y68" s="107"/>
      <c r="Z68" s="108"/>
      <c r="AA68" s="89" t="s">
        <v>8</v>
      </c>
      <c r="AB68" s="90"/>
      <c r="AC68" s="90"/>
      <c r="AD68" s="90"/>
      <c r="AE68" s="90"/>
      <c r="AF68" s="90"/>
      <c r="AG68" s="90"/>
      <c r="AH68" s="91"/>
      <c r="AI68" s="89" t="s">
        <v>8</v>
      </c>
      <c r="AJ68" s="90"/>
      <c r="AK68" s="90"/>
      <c r="AL68" s="90"/>
      <c r="AM68" s="90"/>
      <c r="AN68" s="90"/>
      <c r="AO68" s="90"/>
      <c r="AP68" s="90"/>
      <c r="AQ68" s="91"/>
      <c r="AR68" s="9" t="s">
        <v>6</v>
      </c>
      <c r="AS68" s="9" t="s">
        <v>8</v>
      </c>
      <c r="AT68" s="9" t="s">
        <v>8</v>
      </c>
      <c r="AU68" s="89" t="s">
        <v>9</v>
      </c>
      <c r="AV68" s="90"/>
      <c r="AW68" s="90"/>
      <c r="AX68" s="91"/>
      <c r="AY68" s="89" t="s">
        <v>8</v>
      </c>
      <c r="AZ68" s="90"/>
      <c r="BA68" s="90"/>
      <c r="BB68" s="91"/>
      <c r="BC68" s="95" t="s">
        <v>8</v>
      </c>
      <c r="BD68" s="96"/>
      <c r="BE68" s="96"/>
      <c r="BF68" s="96"/>
      <c r="BG68" s="96"/>
      <c r="BH68" s="96"/>
      <c r="BI68" s="96"/>
      <c r="BJ68" s="97"/>
      <c r="BK68" s="6"/>
    </row>
    <row r="69" spans="1:63" x14ac:dyDescent="0.25">
      <c r="A69" s="5"/>
      <c r="B69" s="89">
        <v>17</v>
      </c>
      <c r="C69" s="91"/>
      <c r="D69" s="98" t="s">
        <v>23</v>
      </c>
      <c r="E69" s="99"/>
      <c r="F69" s="99"/>
      <c r="G69" s="99"/>
      <c r="H69" s="99"/>
      <c r="I69" s="99"/>
      <c r="J69" s="100"/>
      <c r="K69" s="115" t="s">
        <v>5</v>
      </c>
      <c r="L69" s="102"/>
      <c r="M69" s="103"/>
      <c r="N69" s="8" t="s">
        <v>6</v>
      </c>
      <c r="O69" s="8" t="s">
        <v>6</v>
      </c>
      <c r="P69" s="89" t="s">
        <v>9</v>
      </c>
      <c r="Q69" s="90"/>
      <c r="R69" s="90"/>
      <c r="S69" s="91"/>
      <c r="T69" s="104" t="s">
        <v>6</v>
      </c>
      <c r="U69" s="90"/>
      <c r="V69" s="90"/>
      <c r="W69" s="91"/>
      <c r="X69" s="105" t="s">
        <v>23</v>
      </c>
      <c r="Y69" s="93"/>
      <c r="Z69" s="94"/>
      <c r="AA69" s="89" t="s">
        <v>8</v>
      </c>
      <c r="AB69" s="90"/>
      <c r="AC69" s="90"/>
      <c r="AD69" s="90"/>
      <c r="AE69" s="90"/>
      <c r="AF69" s="90"/>
      <c r="AG69" s="90"/>
      <c r="AH69" s="91"/>
      <c r="AI69" s="89" t="s">
        <v>8</v>
      </c>
      <c r="AJ69" s="90"/>
      <c r="AK69" s="90"/>
      <c r="AL69" s="90"/>
      <c r="AM69" s="90"/>
      <c r="AN69" s="90"/>
      <c r="AO69" s="90"/>
      <c r="AP69" s="90"/>
      <c r="AQ69" s="91"/>
      <c r="AR69" s="9" t="s">
        <v>6</v>
      </c>
      <c r="AS69" s="9" t="s">
        <v>8</v>
      </c>
      <c r="AT69" s="9" t="s">
        <v>8</v>
      </c>
      <c r="AU69" s="89" t="s">
        <v>9</v>
      </c>
      <c r="AV69" s="90"/>
      <c r="AW69" s="90"/>
      <c r="AX69" s="91"/>
      <c r="AY69" s="89" t="s">
        <v>8</v>
      </c>
      <c r="AZ69" s="90"/>
      <c r="BA69" s="90"/>
      <c r="BB69" s="91"/>
      <c r="BC69" s="95" t="s">
        <v>8</v>
      </c>
      <c r="BD69" s="96"/>
      <c r="BE69" s="96"/>
      <c r="BF69" s="96"/>
      <c r="BG69" s="96"/>
      <c r="BH69" s="96"/>
      <c r="BI69" s="96"/>
      <c r="BJ69" s="97"/>
      <c r="BK69" s="6"/>
    </row>
    <row r="70" spans="1:63" x14ac:dyDescent="0.25">
      <c r="A70" s="5"/>
      <c r="B70" s="89">
        <v>18</v>
      </c>
      <c r="C70" s="91"/>
      <c r="D70" s="112" t="s">
        <v>24</v>
      </c>
      <c r="E70" s="113"/>
      <c r="F70" s="113"/>
      <c r="G70" s="113"/>
      <c r="H70" s="113"/>
      <c r="I70" s="113"/>
      <c r="J70" s="114"/>
      <c r="K70" s="115" t="s">
        <v>5</v>
      </c>
      <c r="L70" s="102"/>
      <c r="M70" s="103"/>
      <c r="N70" s="8" t="s">
        <v>6</v>
      </c>
      <c r="O70" s="8" t="s">
        <v>6</v>
      </c>
      <c r="P70" s="89" t="s">
        <v>9</v>
      </c>
      <c r="Q70" s="90"/>
      <c r="R70" s="90"/>
      <c r="S70" s="91"/>
      <c r="T70" s="104" t="s">
        <v>6</v>
      </c>
      <c r="U70" s="90"/>
      <c r="V70" s="90"/>
      <c r="W70" s="91"/>
      <c r="X70" s="106" t="s">
        <v>122</v>
      </c>
      <c r="Y70" s="107"/>
      <c r="Z70" s="108"/>
      <c r="AA70" s="89" t="s">
        <v>8</v>
      </c>
      <c r="AB70" s="90"/>
      <c r="AC70" s="90"/>
      <c r="AD70" s="90"/>
      <c r="AE70" s="90"/>
      <c r="AF70" s="90"/>
      <c r="AG70" s="90"/>
      <c r="AH70" s="91"/>
      <c r="AI70" s="89" t="s">
        <v>8</v>
      </c>
      <c r="AJ70" s="90"/>
      <c r="AK70" s="90"/>
      <c r="AL70" s="90"/>
      <c r="AM70" s="90"/>
      <c r="AN70" s="90"/>
      <c r="AO70" s="90"/>
      <c r="AP70" s="90"/>
      <c r="AQ70" s="91"/>
      <c r="AR70" s="9" t="s">
        <v>6</v>
      </c>
      <c r="AS70" s="9" t="s">
        <v>8</v>
      </c>
      <c r="AT70" s="9" t="s">
        <v>8</v>
      </c>
      <c r="AU70" s="89" t="s">
        <v>9</v>
      </c>
      <c r="AV70" s="90"/>
      <c r="AW70" s="90"/>
      <c r="AX70" s="91"/>
      <c r="AY70" s="89" t="s">
        <v>8</v>
      </c>
      <c r="AZ70" s="90"/>
      <c r="BA70" s="90"/>
      <c r="BB70" s="91"/>
      <c r="BC70" s="95" t="s">
        <v>8</v>
      </c>
      <c r="BD70" s="96"/>
      <c r="BE70" s="96"/>
      <c r="BF70" s="96"/>
      <c r="BG70" s="96"/>
      <c r="BH70" s="96"/>
      <c r="BI70" s="96"/>
      <c r="BJ70" s="97"/>
      <c r="BK70" s="6"/>
    </row>
    <row r="71" spans="1:63" ht="29.25" customHeight="1" x14ac:dyDescent="0.25">
      <c r="A71" s="5"/>
      <c r="B71" s="89">
        <v>19</v>
      </c>
      <c r="C71" s="91"/>
      <c r="D71" s="98" t="s">
        <v>25</v>
      </c>
      <c r="E71" s="99"/>
      <c r="F71" s="99"/>
      <c r="G71" s="99"/>
      <c r="H71" s="99"/>
      <c r="I71" s="99"/>
      <c r="J71" s="100"/>
      <c r="K71" s="115" t="s">
        <v>5</v>
      </c>
      <c r="L71" s="102"/>
      <c r="M71" s="103"/>
      <c r="N71" s="8" t="s">
        <v>6</v>
      </c>
      <c r="O71" s="8" t="s">
        <v>7</v>
      </c>
      <c r="P71" s="89" t="s">
        <v>9</v>
      </c>
      <c r="Q71" s="90"/>
      <c r="R71" s="90"/>
      <c r="S71" s="91"/>
      <c r="T71" s="104" t="s">
        <v>6</v>
      </c>
      <c r="U71" s="90"/>
      <c r="V71" s="90"/>
      <c r="W71" s="91"/>
      <c r="X71" s="105" t="s">
        <v>25</v>
      </c>
      <c r="Y71" s="93"/>
      <c r="Z71" s="94"/>
      <c r="AA71" s="89" t="s">
        <v>8</v>
      </c>
      <c r="AB71" s="90"/>
      <c r="AC71" s="90"/>
      <c r="AD71" s="90"/>
      <c r="AE71" s="90"/>
      <c r="AF71" s="90"/>
      <c r="AG71" s="90"/>
      <c r="AH71" s="91"/>
      <c r="AI71" s="89" t="s">
        <v>8</v>
      </c>
      <c r="AJ71" s="90"/>
      <c r="AK71" s="90"/>
      <c r="AL71" s="90"/>
      <c r="AM71" s="90"/>
      <c r="AN71" s="90"/>
      <c r="AO71" s="90"/>
      <c r="AP71" s="90"/>
      <c r="AQ71" s="91"/>
      <c r="AR71" s="9" t="s">
        <v>6</v>
      </c>
      <c r="AS71" s="9" t="s">
        <v>8</v>
      </c>
      <c r="AT71" s="9" t="s">
        <v>8</v>
      </c>
      <c r="AU71" s="89" t="s">
        <v>9</v>
      </c>
      <c r="AV71" s="90"/>
      <c r="AW71" s="90"/>
      <c r="AX71" s="91"/>
      <c r="AY71" s="89" t="s">
        <v>8</v>
      </c>
      <c r="AZ71" s="90"/>
      <c r="BA71" s="90"/>
      <c r="BB71" s="91"/>
      <c r="BC71" s="95" t="s">
        <v>8</v>
      </c>
      <c r="BD71" s="96"/>
      <c r="BE71" s="96"/>
      <c r="BF71" s="96"/>
      <c r="BG71" s="96"/>
      <c r="BH71" s="96"/>
      <c r="BI71" s="96"/>
      <c r="BJ71" s="97"/>
      <c r="BK71" s="6"/>
    </row>
    <row r="72" spans="1:63" ht="32.25" customHeight="1" x14ac:dyDescent="0.25">
      <c r="A72" s="5"/>
      <c r="B72" s="89">
        <v>20</v>
      </c>
      <c r="C72" s="91"/>
      <c r="D72" s="112" t="s">
        <v>26</v>
      </c>
      <c r="E72" s="113"/>
      <c r="F72" s="113"/>
      <c r="G72" s="113"/>
      <c r="H72" s="113"/>
      <c r="I72" s="113"/>
      <c r="J72" s="114"/>
      <c r="K72" s="115" t="s">
        <v>5</v>
      </c>
      <c r="L72" s="102"/>
      <c r="M72" s="103"/>
      <c r="N72" s="8" t="s">
        <v>10</v>
      </c>
      <c r="O72" s="8" t="s">
        <v>6</v>
      </c>
      <c r="P72" s="89" t="s">
        <v>65</v>
      </c>
      <c r="Q72" s="90"/>
      <c r="R72" s="90"/>
      <c r="S72" s="91"/>
      <c r="T72" s="104" t="s">
        <v>123</v>
      </c>
      <c r="U72" s="90"/>
      <c r="V72" s="90"/>
      <c r="W72" s="91"/>
      <c r="X72" s="106" t="s">
        <v>109</v>
      </c>
      <c r="Y72" s="107"/>
      <c r="Z72" s="108"/>
      <c r="AA72" s="104" t="s">
        <v>109</v>
      </c>
      <c r="AB72" s="90"/>
      <c r="AC72" s="90"/>
      <c r="AD72" s="90"/>
      <c r="AE72" s="90"/>
      <c r="AF72" s="90"/>
      <c r="AG72" s="90"/>
      <c r="AH72" s="91"/>
      <c r="AI72" s="89" t="s">
        <v>8</v>
      </c>
      <c r="AJ72" s="90"/>
      <c r="AK72" s="90"/>
      <c r="AL72" s="90"/>
      <c r="AM72" s="90"/>
      <c r="AN72" s="90"/>
      <c r="AO72" s="90"/>
      <c r="AP72" s="90"/>
      <c r="AQ72" s="91"/>
      <c r="AR72" s="9" t="s">
        <v>6</v>
      </c>
      <c r="AS72" s="9" t="s">
        <v>8</v>
      </c>
      <c r="AT72" s="9" t="s">
        <v>8</v>
      </c>
      <c r="AU72" s="89" t="s">
        <v>9</v>
      </c>
      <c r="AV72" s="90"/>
      <c r="AW72" s="90"/>
      <c r="AX72" s="91"/>
      <c r="AY72" s="89" t="s">
        <v>8</v>
      </c>
      <c r="AZ72" s="90"/>
      <c r="BA72" s="90"/>
      <c r="BB72" s="91"/>
      <c r="BC72" s="95" t="s">
        <v>8</v>
      </c>
      <c r="BD72" s="96"/>
      <c r="BE72" s="96"/>
      <c r="BF72" s="96"/>
      <c r="BG72" s="96"/>
      <c r="BH72" s="96"/>
      <c r="BI72" s="96"/>
      <c r="BJ72" s="97"/>
      <c r="BK72" s="6"/>
    </row>
    <row r="73" spans="1:63" ht="35.25" customHeight="1" x14ac:dyDescent="0.25">
      <c r="A73" s="5"/>
      <c r="B73" s="89">
        <v>21</v>
      </c>
      <c r="C73" s="91"/>
      <c r="D73" s="98" t="s">
        <v>28</v>
      </c>
      <c r="E73" s="99"/>
      <c r="F73" s="99"/>
      <c r="G73" s="99"/>
      <c r="H73" s="99"/>
      <c r="I73" s="99"/>
      <c r="J73" s="100"/>
      <c r="K73" s="115" t="s">
        <v>5</v>
      </c>
      <c r="L73" s="102"/>
      <c r="M73" s="103"/>
      <c r="N73" s="8" t="s">
        <v>10</v>
      </c>
      <c r="O73" s="8" t="s">
        <v>7</v>
      </c>
      <c r="P73" s="89" t="s">
        <v>9</v>
      </c>
      <c r="Q73" s="90"/>
      <c r="R73" s="90"/>
      <c r="S73" s="91"/>
      <c r="T73" s="104" t="s">
        <v>6</v>
      </c>
      <c r="U73" s="90"/>
      <c r="V73" s="90"/>
      <c r="W73" s="91"/>
      <c r="X73" s="106" t="s">
        <v>124</v>
      </c>
      <c r="Y73" s="107"/>
      <c r="Z73" s="108"/>
      <c r="AA73" s="89" t="s">
        <v>8</v>
      </c>
      <c r="AB73" s="90"/>
      <c r="AC73" s="90"/>
      <c r="AD73" s="90"/>
      <c r="AE73" s="90"/>
      <c r="AF73" s="90"/>
      <c r="AG73" s="90"/>
      <c r="AH73" s="91"/>
      <c r="AI73" s="89" t="s">
        <v>8</v>
      </c>
      <c r="AJ73" s="90"/>
      <c r="AK73" s="90"/>
      <c r="AL73" s="90"/>
      <c r="AM73" s="90"/>
      <c r="AN73" s="90"/>
      <c r="AO73" s="90"/>
      <c r="AP73" s="90"/>
      <c r="AQ73" s="91"/>
      <c r="AR73" s="9" t="s">
        <v>6</v>
      </c>
      <c r="AS73" s="9" t="s">
        <v>8</v>
      </c>
      <c r="AT73" s="9" t="s">
        <v>8</v>
      </c>
      <c r="AU73" s="89" t="s">
        <v>9</v>
      </c>
      <c r="AV73" s="90"/>
      <c r="AW73" s="90"/>
      <c r="AX73" s="91"/>
      <c r="AY73" s="89" t="s">
        <v>8</v>
      </c>
      <c r="AZ73" s="90"/>
      <c r="BA73" s="90"/>
      <c r="BB73" s="91"/>
      <c r="BC73" s="95" t="s">
        <v>8</v>
      </c>
      <c r="BD73" s="96"/>
      <c r="BE73" s="96"/>
      <c r="BF73" s="96"/>
      <c r="BG73" s="96"/>
      <c r="BH73" s="96"/>
      <c r="BI73" s="96"/>
      <c r="BJ73" s="97"/>
      <c r="BK73" s="6"/>
    </row>
    <row r="74" spans="1:63" ht="53.25" customHeight="1" x14ac:dyDescent="0.25">
      <c r="A74" s="5"/>
      <c r="B74" s="89">
        <v>22</v>
      </c>
      <c r="C74" s="91"/>
      <c r="D74" s="112" t="s">
        <v>30</v>
      </c>
      <c r="E74" s="113"/>
      <c r="F74" s="113"/>
      <c r="G74" s="113"/>
      <c r="H74" s="113"/>
      <c r="I74" s="113"/>
      <c r="J74" s="114"/>
      <c r="K74" s="115" t="s">
        <v>5</v>
      </c>
      <c r="L74" s="102"/>
      <c r="M74" s="103"/>
      <c r="N74" s="8" t="s">
        <v>10</v>
      </c>
      <c r="O74" s="8" t="s">
        <v>6</v>
      </c>
      <c r="P74" s="89" t="s">
        <v>65</v>
      </c>
      <c r="Q74" s="90"/>
      <c r="R74" s="90"/>
      <c r="S74" s="91"/>
      <c r="T74" s="92" t="s">
        <v>125</v>
      </c>
      <c r="U74" s="93"/>
      <c r="V74" s="93"/>
      <c r="W74" s="94"/>
      <c r="X74" s="106" t="s">
        <v>6</v>
      </c>
      <c r="Y74" s="107"/>
      <c r="Z74" s="108"/>
      <c r="AA74" s="89" t="s">
        <v>8</v>
      </c>
      <c r="AB74" s="90"/>
      <c r="AC74" s="90"/>
      <c r="AD74" s="90"/>
      <c r="AE74" s="90"/>
      <c r="AF74" s="90"/>
      <c r="AG74" s="90"/>
      <c r="AH74" s="91"/>
      <c r="AI74" s="89" t="s">
        <v>8</v>
      </c>
      <c r="AJ74" s="90"/>
      <c r="AK74" s="90"/>
      <c r="AL74" s="90"/>
      <c r="AM74" s="90"/>
      <c r="AN74" s="90"/>
      <c r="AO74" s="90"/>
      <c r="AP74" s="90"/>
      <c r="AQ74" s="91"/>
      <c r="AR74" s="9" t="s">
        <v>6</v>
      </c>
      <c r="AS74" s="9" t="s">
        <v>8</v>
      </c>
      <c r="AT74" s="9" t="s">
        <v>8</v>
      </c>
      <c r="AU74" s="89" t="s">
        <v>9</v>
      </c>
      <c r="AV74" s="90"/>
      <c r="AW74" s="90"/>
      <c r="AX74" s="91"/>
      <c r="AY74" s="89" t="s">
        <v>8</v>
      </c>
      <c r="AZ74" s="90"/>
      <c r="BA74" s="90"/>
      <c r="BB74" s="91"/>
      <c r="BC74" s="95" t="s">
        <v>8</v>
      </c>
      <c r="BD74" s="96"/>
      <c r="BE74" s="96"/>
      <c r="BF74" s="96"/>
      <c r="BG74" s="96"/>
      <c r="BH74" s="96"/>
      <c r="BI74" s="96"/>
      <c r="BJ74" s="97"/>
      <c r="BK74" s="6"/>
    </row>
    <row r="75" spans="1:63" ht="51.75" customHeight="1" x14ac:dyDescent="0.25">
      <c r="A75" s="5"/>
      <c r="B75" s="89">
        <v>23</v>
      </c>
      <c r="C75" s="91"/>
      <c r="D75" s="112" t="s">
        <v>31</v>
      </c>
      <c r="E75" s="113"/>
      <c r="F75" s="113"/>
      <c r="G75" s="113"/>
      <c r="H75" s="113"/>
      <c r="I75" s="113"/>
      <c r="J75" s="114"/>
      <c r="K75" s="115" t="s">
        <v>5</v>
      </c>
      <c r="L75" s="102"/>
      <c r="M75" s="103"/>
      <c r="N75" s="8" t="s">
        <v>10</v>
      </c>
      <c r="O75" s="8" t="s">
        <v>6</v>
      </c>
      <c r="P75" s="89" t="s">
        <v>65</v>
      </c>
      <c r="Q75" s="90"/>
      <c r="R75" s="90"/>
      <c r="S75" s="91"/>
      <c r="T75" s="92" t="s">
        <v>126</v>
      </c>
      <c r="U75" s="93"/>
      <c r="V75" s="93"/>
      <c r="W75" s="94"/>
      <c r="X75" s="106" t="s">
        <v>6</v>
      </c>
      <c r="Y75" s="107"/>
      <c r="Z75" s="108"/>
      <c r="AA75" s="89" t="s">
        <v>8</v>
      </c>
      <c r="AB75" s="90"/>
      <c r="AC75" s="90"/>
      <c r="AD75" s="90"/>
      <c r="AE75" s="90"/>
      <c r="AF75" s="90"/>
      <c r="AG75" s="90"/>
      <c r="AH75" s="91"/>
      <c r="AI75" s="89" t="s">
        <v>8</v>
      </c>
      <c r="AJ75" s="90"/>
      <c r="AK75" s="90"/>
      <c r="AL75" s="90"/>
      <c r="AM75" s="90"/>
      <c r="AN75" s="90"/>
      <c r="AO75" s="90"/>
      <c r="AP75" s="90"/>
      <c r="AQ75" s="91"/>
      <c r="AR75" s="9" t="s">
        <v>6</v>
      </c>
      <c r="AS75" s="9" t="s">
        <v>8</v>
      </c>
      <c r="AT75" s="9" t="s">
        <v>8</v>
      </c>
      <c r="AU75" s="89" t="s">
        <v>9</v>
      </c>
      <c r="AV75" s="90"/>
      <c r="AW75" s="90"/>
      <c r="AX75" s="91"/>
      <c r="AY75" s="89" t="s">
        <v>8</v>
      </c>
      <c r="AZ75" s="90"/>
      <c r="BA75" s="90"/>
      <c r="BB75" s="91"/>
      <c r="BC75" s="95" t="s">
        <v>8</v>
      </c>
      <c r="BD75" s="96"/>
      <c r="BE75" s="96"/>
      <c r="BF75" s="96"/>
      <c r="BG75" s="96"/>
      <c r="BH75" s="96"/>
      <c r="BI75" s="96"/>
      <c r="BJ75" s="97"/>
      <c r="BK75" s="6"/>
    </row>
    <row r="76" spans="1:63" ht="52.5" customHeight="1" x14ac:dyDescent="0.25">
      <c r="A76" s="5"/>
      <c r="B76" s="89">
        <v>24</v>
      </c>
      <c r="C76" s="91"/>
      <c r="D76" s="112" t="s">
        <v>32</v>
      </c>
      <c r="E76" s="113"/>
      <c r="F76" s="113"/>
      <c r="G76" s="113"/>
      <c r="H76" s="113"/>
      <c r="I76" s="113"/>
      <c r="J76" s="114"/>
      <c r="K76" s="115" t="s">
        <v>5</v>
      </c>
      <c r="L76" s="102"/>
      <c r="M76" s="103"/>
      <c r="N76" s="8" t="s">
        <v>10</v>
      </c>
      <c r="O76" s="8" t="s">
        <v>6</v>
      </c>
      <c r="P76" s="89" t="s">
        <v>65</v>
      </c>
      <c r="Q76" s="90"/>
      <c r="R76" s="90"/>
      <c r="S76" s="91"/>
      <c r="T76" s="92" t="s">
        <v>127</v>
      </c>
      <c r="U76" s="93"/>
      <c r="V76" s="93"/>
      <c r="W76" s="94"/>
      <c r="X76" s="106" t="s">
        <v>6</v>
      </c>
      <c r="Y76" s="107"/>
      <c r="Z76" s="108"/>
      <c r="AA76" s="89" t="s">
        <v>8</v>
      </c>
      <c r="AB76" s="90"/>
      <c r="AC76" s="90"/>
      <c r="AD76" s="90"/>
      <c r="AE76" s="90"/>
      <c r="AF76" s="90"/>
      <c r="AG76" s="90"/>
      <c r="AH76" s="91"/>
      <c r="AI76" s="89" t="s">
        <v>8</v>
      </c>
      <c r="AJ76" s="90"/>
      <c r="AK76" s="90"/>
      <c r="AL76" s="90"/>
      <c r="AM76" s="90"/>
      <c r="AN76" s="90"/>
      <c r="AO76" s="90"/>
      <c r="AP76" s="90"/>
      <c r="AQ76" s="91"/>
      <c r="AR76" s="9" t="s">
        <v>6</v>
      </c>
      <c r="AS76" s="9" t="s">
        <v>8</v>
      </c>
      <c r="AT76" s="9" t="s">
        <v>8</v>
      </c>
      <c r="AU76" s="89" t="s">
        <v>9</v>
      </c>
      <c r="AV76" s="90"/>
      <c r="AW76" s="90"/>
      <c r="AX76" s="91"/>
      <c r="AY76" s="89" t="s">
        <v>8</v>
      </c>
      <c r="AZ76" s="90"/>
      <c r="BA76" s="90"/>
      <c r="BB76" s="91"/>
      <c r="BC76" s="95" t="s">
        <v>8</v>
      </c>
      <c r="BD76" s="96"/>
      <c r="BE76" s="96"/>
      <c r="BF76" s="96"/>
      <c r="BG76" s="96"/>
      <c r="BH76" s="96"/>
      <c r="BI76" s="96"/>
      <c r="BJ76" s="97"/>
      <c r="BK76" s="6"/>
    </row>
    <row r="77" spans="1:63" ht="50.25" customHeight="1" x14ac:dyDescent="0.25">
      <c r="A77" s="5"/>
      <c r="B77" s="89">
        <v>25</v>
      </c>
      <c r="C77" s="91"/>
      <c r="D77" s="112" t="s">
        <v>33</v>
      </c>
      <c r="E77" s="113"/>
      <c r="F77" s="113"/>
      <c r="G77" s="113"/>
      <c r="H77" s="113"/>
      <c r="I77" s="113"/>
      <c r="J77" s="114"/>
      <c r="K77" s="115" t="s">
        <v>5</v>
      </c>
      <c r="L77" s="102"/>
      <c r="M77" s="103"/>
      <c r="N77" s="8" t="s">
        <v>10</v>
      </c>
      <c r="O77" s="8" t="s">
        <v>6</v>
      </c>
      <c r="P77" s="89" t="s">
        <v>65</v>
      </c>
      <c r="Q77" s="90"/>
      <c r="R77" s="90"/>
      <c r="S77" s="91"/>
      <c r="T77" s="92" t="s">
        <v>128</v>
      </c>
      <c r="U77" s="93"/>
      <c r="V77" s="93"/>
      <c r="W77" s="94"/>
      <c r="X77" s="106" t="s">
        <v>6</v>
      </c>
      <c r="Y77" s="107"/>
      <c r="Z77" s="108"/>
      <c r="AA77" s="89" t="s">
        <v>8</v>
      </c>
      <c r="AB77" s="90"/>
      <c r="AC77" s="90"/>
      <c r="AD77" s="90"/>
      <c r="AE77" s="90"/>
      <c r="AF77" s="90"/>
      <c r="AG77" s="90"/>
      <c r="AH77" s="91"/>
      <c r="AI77" s="89" t="s">
        <v>8</v>
      </c>
      <c r="AJ77" s="90"/>
      <c r="AK77" s="90"/>
      <c r="AL77" s="90"/>
      <c r="AM77" s="90"/>
      <c r="AN77" s="90"/>
      <c r="AO77" s="90"/>
      <c r="AP77" s="90"/>
      <c r="AQ77" s="91"/>
      <c r="AR77" s="9" t="s">
        <v>6</v>
      </c>
      <c r="AS77" s="9" t="s">
        <v>8</v>
      </c>
      <c r="AT77" s="9" t="s">
        <v>8</v>
      </c>
      <c r="AU77" s="89" t="s">
        <v>9</v>
      </c>
      <c r="AV77" s="90"/>
      <c r="AW77" s="90"/>
      <c r="AX77" s="91"/>
      <c r="AY77" s="89" t="s">
        <v>8</v>
      </c>
      <c r="AZ77" s="90"/>
      <c r="BA77" s="90"/>
      <c r="BB77" s="91"/>
      <c r="BC77" s="95" t="s">
        <v>8</v>
      </c>
      <c r="BD77" s="96"/>
      <c r="BE77" s="96"/>
      <c r="BF77" s="96"/>
      <c r="BG77" s="96"/>
      <c r="BH77" s="96"/>
      <c r="BI77" s="96"/>
      <c r="BJ77" s="97"/>
      <c r="BK77" s="6"/>
    </row>
    <row r="78" spans="1:63" ht="62.25" customHeight="1" x14ac:dyDescent="0.25">
      <c r="A78" s="5"/>
      <c r="B78" s="89">
        <v>26</v>
      </c>
      <c r="C78" s="91"/>
      <c r="D78" s="112" t="s">
        <v>34</v>
      </c>
      <c r="E78" s="113"/>
      <c r="F78" s="113"/>
      <c r="G78" s="113"/>
      <c r="H78" s="113"/>
      <c r="I78" s="113"/>
      <c r="J78" s="114"/>
      <c r="K78" s="115" t="s">
        <v>5</v>
      </c>
      <c r="L78" s="102"/>
      <c r="M78" s="103"/>
      <c r="N78" s="8" t="s">
        <v>10</v>
      </c>
      <c r="O78" s="8" t="s">
        <v>6</v>
      </c>
      <c r="P78" s="89" t="s">
        <v>65</v>
      </c>
      <c r="Q78" s="90"/>
      <c r="R78" s="90"/>
      <c r="S78" s="91"/>
      <c r="T78" s="92" t="s">
        <v>129</v>
      </c>
      <c r="U78" s="93"/>
      <c r="V78" s="93"/>
      <c r="W78" s="94"/>
      <c r="X78" s="106" t="s">
        <v>6</v>
      </c>
      <c r="Y78" s="107"/>
      <c r="Z78" s="108"/>
      <c r="AA78" s="89" t="s">
        <v>8</v>
      </c>
      <c r="AB78" s="90"/>
      <c r="AC78" s="90"/>
      <c r="AD78" s="90"/>
      <c r="AE78" s="90"/>
      <c r="AF78" s="90"/>
      <c r="AG78" s="90"/>
      <c r="AH78" s="91"/>
      <c r="AI78" s="89" t="s">
        <v>8</v>
      </c>
      <c r="AJ78" s="90"/>
      <c r="AK78" s="90"/>
      <c r="AL78" s="90"/>
      <c r="AM78" s="90"/>
      <c r="AN78" s="90"/>
      <c r="AO78" s="90"/>
      <c r="AP78" s="90"/>
      <c r="AQ78" s="91"/>
      <c r="AR78" s="9" t="s">
        <v>6</v>
      </c>
      <c r="AS78" s="9" t="s">
        <v>8</v>
      </c>
      <c r="AT78" s="9" t="s">
        <v>8</v>
      </c>
      <c r="AU78" s="89" t="s">
        <v>9</v>
      </c>
      <c r="AV78" s="90"/>
      <c r="AW78" s="90"/>
      <c r="AX78" s="91"/>
      <c r="AY78" s="89" t="s">
        <v>8</v>
      </c>
      <c r="AZ78" s="90"/>
      <c r="BA78" s="90"/>
      <c r="BB78" s="91"/>
      <c r="BC78" s="95" t="s">
        <v>8</v>
      </c>
      <c r="BD78" s="96"/>
      <c r="BE78" s="96"/>
      <c r="BF78" s="96"/>
      <c r="BG78" s="96"/>
      <c r="BH78" s="96"/>
      <c r="BI78" s="96"/>
      <c r="BJ78" s="97"/>
      <c r="BK78" s="6"/>
    </row>
    <row r="79" spans="1:63" ht="62.25" customHeight="1" x14ac:dyDescent="0.25">
      <c r="A79" s="5"/>
      <c r="B79" s="89">
        <v>27</v>
      </c>
      <c r="C79" s="91"/>
      <c r="D79" s="112" t="s">
        <v>35</v>
      </c>
      <c r="E79" s="113"/>
      <c r="F79" s="113"/>
      <c r="G79" s="113"/>
      <c r="H79" s="113"/>
      <c r="I79" s="113"/>
      <c r="J79" s="114"/>
      <c r="K79" s="115" t="s">
        <v>5</v>
      </c>
      <c r="L79" s="102"/>
      <c r="M79" s="103"/>
      <c r="N79" s="8" t="s">
        <v>10</v>
      </c>
      <c r="O79" s="8" t="s">
        <v>6</v>
      </c>
      <c r="P79" s="89" t="s">
        <v>65</v>
      </c>
      <c r="Q79" s="90"/>
      <c r="R79" s="90"/>
      <c r="S79" s="91"/>
      <c r="T79" s="92" t="s">
        <v>130</v>
      </c>
      <c r="U79" s="93"/>
      <c r="V79" s="93"/>
      <c r="W79" s="94"/>
      <c r="X79" s="106" t="s">
        <v>6</v>
      </c>
      <c r="Y79" s="107"/>
      <c r="Z79" s="108"/>
      <c r="AA79" s="89" t="s">
        <v>8</v>
      </c>
      <c r="AB79" s="90"/>
      <c r="AC79" s="90"/>
      <c r="AD79" s="90"/>
      <c r="AE79" s="90"/>
      <c r="AF79" s="90"/>
      <c r="AG79" s="90"/>
      <c r="AH79" s="91"/>
      <c r="AI79" s="89" t="s">
        <v>8</v>
      </c>
      <c r="AJ79" s="90"/>
      <c r="AK79" s="90"/>
      <c r="AL79" s="90"/>
      <c r="AM79" s="90"/>
      <c r="AN79" s="90"/>
      <c r="AO79" s="90"/>
      <c r="AP79" s="90"/>
      <c r="AQ79" s="91"/>
      <c r="AR79" s="9" t="s">
        <v>6</v>
      </c>
      <c r="AS79" s="9" t="s">
        <v>8</v>
      </c>
      <c r="AT79" s="9" t="s">
        <v>8</v>
      </c>
      <c r="AU79" s="89" t="s">
        <v>9</v>
      </c>
      <c r="AV79" s="90"/>
      <c r="AW79" s="90"/>
      <c r="AX79" s="91"/>
      <c r="AY79" s="89" t="s">
        <v>8</v>
      </c>
      <c r="AZ79" s="90"/>
      <c r="BA79" s="90"/>
      <c r="BB79" s="91"/>
      <c r="BC79" s="95" t="s">
        <v>8</v>
      </c>
      <c r="BD79" s="96"/>
      <c r="BE79" s="96"/>
      <c r="BF79" s="96"/>
      <c r="BG79" s="96"/>
      <c r="BH79" s="96"/>
      <c r="BI79" s="96"/>
      <c r="BJ79" s="97"/>
      <c r="BK79" s="6"/>
    </row>
    <row r="80" spans="1:63" ht="31.5" customHeight="1" x14ac:dyDescent="0.25">
      <c r="A80" s="5"/>
      <c r="B80" s="89">
        <v>28</v>
      </c>
      <c r="C80" s="91"/>
      <c r="D80" s="112" t="s">
        <v>36</v>
      </c>
      <c r="E80" s="113"/>
      <c r="F80" s="113"/>
      <c r="G80" s="113"/>
      <c r="H80" s="113"/>
      <c r="I80" s="113"/>
      <c r="J80" s="114"/>
      <c r="K80" s="115" t="s">
        <v>5</v>
      </c>
      <c r="L80" s="102"/>
      <c r="M80" s="103"/>
      <c r="N80" s="8" t="s">
        <v>10</v>
      </c>
      <c r="O80" s="8" t="s">
        <v>6</v>
      </c>
      <c r="P80" s="89" t="s">
        <v>65</v>
      </c>
      <c r="Q80" s="90"/>
      <c r="R80" s="90"/>
      <c r="S80" s="91"/>
      <c r="T80" s="92" t="s">
        <v>131</v>
      </c>
      <c r="U80" s="93"/>
      <c r="V80" s="93"/>
      <c r="W80" s="94"/>
      <c r="X80" s="106" t="s">
        <v>6</v>
      </c>
      <c r="Y80" s="107"/>
      <c r="Z80" s="108"/>
      <c r="AA80" s="89" t="s">
        <v>8</v>
      </c>
      <c r="AB80" s="90"/>
      <c r="AC80" s="90"/>
      <c r="AD80" s="90"/>
      <c r="AE80" s="90"/>
      <c r="AF80" s="90"/>
      <c r="AG80" s="90"/>
      <c r="AH80" s="91"/>
      <c r="AI80" s="89" t="s">
        <v>8</v>
      </c>
      <c r="AJ80" s="90"/>
      <c r="AK80" s="90"/>
      <c r="AL80" s="90"/>
      <c r="AM80" s="90"/>
      <c r="AN80" s="90"/>
      <c r="AO80" s="90"/>
      <c r="AP80" s="90"/>
      <c r="AQ80" s="91"/>
      <c r="AR80" s="9" t="s">
        <v>6</v>
      </c>
      <c r="AS80" s="9" t="s">
        <v>8</v>
      </c>
      <c r="AT80" s="9" t="s">
        <v>8</v>
      </c>
      <c r="AU80" s="89" t="s">
        <v>9</v>
      </c>
      <c r="AV80" s="90"/>
      <c r="AW80" s="90"/>
      <c r="AX80" s="91"/>
      <c r="AY80" s="89" t="s">
        <v>8</v>
      </c>
      <c r="AZ80" s="90"/>
      <c r="BA80" s="90"/>
      <c r="BB80" s="91"/>
      <c r="BC80" s="95" t="s">
        <v>8</v>
      </c>
      <c r="BD80" s="96"/>
      <c r="BE80" s="96"/>
      <c r="BF80" s="96"/>
      <c r="BG80" s="96"/>
      <c r="BH80" s="96"/>
      <c r="BI80" s="96"/>
      <c r="BJ80" s="97"/>
      <c r="BK80" s="6"/>
    </row>
    <row r="81" spans="1:63" ht="43.5" customHeight="1" x14ac:dyDescent="0.25">
      <c r="A81" s="5"/>
      <c r="B81" s="89">
        <v>29</v>
      </c>
      <c r="C81" s="91"/>
      <c r="D81" s="112" t="s">
        <v>37</v>
      </c>
      <c r="E81" s="113"/>
      <c r="F81" s="113"/>
      <c r="G81" s="113"/>
      <c r="H81" s="113"/>
      <c r="I81" s="113"/>
      <c r="J81" s="114"/>
      <c r="K81" s="115" t="s">
        <v>5</v>
      </c>
      <c r="L81" s="102"/>
      <c r="M81" s="103"/>
      <c r="N81" s="8" t="s">
        <v>10</v>
      </c>
      <c r="O81" s="8" t="s">
        <v>6</v>
      </c>
      <c r="P81" s="89" t="s">
        <v>65</v>
      </c>
      <c r="Q81" s="90"/>
      <c r="R81" s="90"/>
      <c r="S81" s="91"/>
      <c r="T81" s="92" t="s">
        <v>132</v>
      </c>
      <c r="U81" s="93"/>
      <c r="V81" s="93"/>
      <c r="W81" s="94"/>
      <c r="X81" s="106" t="s">
        <v>6</v>
      </c>
      <c r="Y81" s="107"/>
      <c r="Z81" s="108"/>
      <c r="AA81" s="89" t="s">
        <v>8</v>
      </c>
      <c r="AB81" s="90"/>
      <c r="AC81" s="90"/>
      <c r="AD81" s="90"/>
      <c r="AE81" s="90"/>
      <c r="AF81" s="90"/>
      <c r="AG81" s="90"/>
      <c r="AH81" s="91"/>
      <c r="AI81" s="89" t="s">
        <v>8</v>
      </c>
      <c r="AJ81" s="90"/>
      <c r="AK81" s="90"/>
      <c r="AL81" s="90"/>
      <c r="AM81" s="90"/>
      <c r="AN81" s="90"/>
      <c r="AO81" s="90"/>
      <c r="AP81" s="90"/>
      <c r="AQ81" s="91"/>
      <c r="AR81" s="9" t="s">
        <v>6</v>
      </c>
      <c r="AS81" s="9" t="s">
        <v>8</v>
      </c>
      <c r="AT81" s="9" t="s">
        <v>8</v>
      </c>
      <c r="AU81" s="89" t="s">
        <v>9</v>
      </c>
      <c r="AV81" s="90"/>
      <c r="AW81" s="90"/>
      <c r="AX81" s="91"/>
      <c r="AY81" s="89" t="s">
        <v>8</v>
      </c>
      <c r="AZ81" s="90"/>
      <c r="BA81" s="90"/>
      <c r="BB81" s="91"/>
      <c r="BC81" s="95" t="s">
        <v>8</v>
      </c>
      <c r="BD81" s="96"/>
      <c r="BE81" s="96"/>
      <c r="BF81" s="96"/>
      <c r="BG81" s="96"/>
      <c r="BH81" s="96"/>
      <c r="BI81" s="96"/>
      <c r="BJ81" s="97"/>
      <c r="BK81" s="6"/>
    </row>
    <row r="82" spans="1:63" ht="48.75" customHeight="1" x14ac:dyDescent="0.25">
      <c r="A82" s="5"/>
      <c r="B82" s="89">
        <v>30</v>
      </c>
      <c r="C82" s="91"/>
      <c r="D82" s="112" t="s">
        <v>38</v>
      </c>
      <c r="E82" s="113"/>
      <c r="F82" s="113"/>
      <c r="G82" s="113"/>
      <c r="H82" s="113"/>
      <c r="I82" s="113"/>
      <c r="J82" s="114"/>
      <c r="K82" s="115" t="s">
        <v>5</v>
      </c>
      <c r="L82" s="102"/>
      <c r="M82" s="103"/>
      <c r="N82" s="8" t="s">
        <v>10</v>
      </c>
      <c r="O82" s="8" t="s">
        <v>6</v>
      </c>
      <c r="P82" s="89" t="s">
        <v>65</v>
      </c>
      <c r="Q82" s="90"/>
      <c r="R82" s="90"/>
      <c r="S82" s="91"/>
      <c r="T82" s="92" t="s">
        <v>133</v>
      </c>
      <c r="U82" s="93"/>
      <c r="V82" s="93"/>
      <c r="W82" s="94"/>
      <c r="X82" s="106" t="s">
        <v>6</v>
      </c>
      <c r="Y82" s="107"/>
      <c r="Z82" s="108"/>
      <c r="AA82" s="89" t="s">
        <v>8</v>
      </c>
      <c r="AB82" s="90"/>
      <c r="AC82" s="90"/>
      <c r="AD82" s="90"/>
      <c r="AE82" s="90"/>
      <c r="AF82" s="90"/>
      <c r="AG82" s="90"/>
      <c r="AH82" s="91"/>
      <c r="AI82" s="89" t="s">
        <v>8</v>
      </c>
      <c r="AJ82" s="90"/>
      <c r="AK82" s="90"/>
      <c r="AL82" s="90"/>
      <c r="AM82" s="90"/>
      <c r="AN82" s="90"/>
      <c r="AO82" s="90"/>
      <c r="AP82" s="90"/>
      <c r="AQ82" s="91"/>
      <c r="AR82" s="9" t="s">
        <v>6</v>
      </c>
      <c r="AS82" s="9" t="s">
        <v>8</v>
      </c>
      <c r="AT82" s="9" t="s">
        <v>8</v>
      </c>
      <c r="AU82" s="89" t="s">
        <v>9</v>
      </c>
      <c r="AV82" s="90"/>
      <c r="AW82" s="90"/>
      <c r="AX82" s="91"/>
      <c r="AY82" s="89" t="s">
        <v>8</v>
      </c>
      <c r="AZ82" s="90"/>
      <c r="BA82" s="90"/>
      <c r="BB82" s="91"/>
      <c r="BC82" s="95" t="s">
        <v>8</v>
      </c>
      <c r="BD82" s="96"/>
      <c r="BE82" s="96"/>
      <c r="BF82" s="96"/>
      <c r="BG82" s="96"/>
      <c r="BH82" s="96"/>
      <c r="BI82" s="96"/>
      <c r="BJ82" s="97"/>
      <c r="BK82" s="6"/>
    </row>
    <row r="83" spans="1:63" ht="58.5" customHeight="1" x14ac:dyDescent="0.25">
      <c r="A83" s="5"/>
      <c r="B83" s="89">
        <v>31</v>
      </c>
      <c r="C83" s="91"/>
      <c r="D83" s="112" t="s">
        <v>39</v>
      </c>
      <c r="E83" s="113"/>
      <c r="F83" s="113"/>
      <c r="G83" s="113"/>
      <c r="H83" s="113"/>
      <c r="I83" s="113"/>
      <c r="J83" s="114"/>
      <c r="K83" s="115" t="s">
        <v>5</v>
      </c>
      <c r="L83" s="102"/>
      <c r="M83" s="103"/>
      <c r="N83" s="8" t="s">
        <v>10</v>
      </c>
      <c r="O83" s="8" t="s">
        <v>6</v>
      </c>
      <c r="P83" s="89" t="s">
        <v>65</v>
      </c>
      <c r="Q83" s="90"/>
      <c r="R83" s="90"/>
      <c r="S83" s="91"/>
      <c r="T83" s="92" t="s">
        <v>134</v>
      </c>
      <c r="U83" s="93"/>
      <c r="V83" s="93"/>
      <c r="W83" s="94"/>
      <c r="X83" s="106" t="s">
        <v>6</v>
      </c>
      <c r="Y83" s="107"/>
      <c r="Z83" s="108"/>
      <c r="AA83" s="89" t="s">
        <v>8</v>
      </c>
      <c r="AB83" s="90"/>
      <c r="AC83" s="90"/>
      <c r="AD83" s="90"/>
      <c r="AE83" s="90"/>
      <c r="AF83" s="90"/>
      <c r="AG83" s="90"/>
      <c r="AH83" s="91"/>
      <c r="AI83" s="89" t="s">
        <v>8</v>
      </c>
      <c r="AJ83" s="90"/>
      <c r="AK83" s="90"/>
      <c r="AL83" s="90"/>
      <c r="AM83" s="90"/>
      <c r="AN83" s="90"/>
      <c r="AO83" s="90"/>
      <c r="AP83" s="90"/>
      <c r="AQ83" s="91"/>
      <c r="AR83" s="9" t="s">
        <v>6</v>
      </c>
      <c r="AS83" s="9" t="s">
        <v>8</v>
      </c>
      <c r="AT83" s="9" t="s">
        <v>8</v>
      </c>
      <c r="AU83" s="89" t="s">
        <v>9</v>
      </c>
      <c r="AV83" s="90"/>
      <c r="AW83" s="90"/>
      <c r="AX83" s="91"/>
      <c r="AY83" s="89" t="s">
        <v>8</v>
      </c>
      <c r="AZ83" s="90"/>
      <c r="BA83" s="90"/>
      <c r="BB83" s="91"/>
      <c r="BC83" s="95" t="s">
        <v>8</v>
      </c>
      <c r="BD83" s="96"/>
      <c r="BE83" s="96"/>
      <c r="BF83" s="96"/>
      <c r="BG83" s="96"/>
      <c r="BH83" s="96"/>
      <c r="BI83" s="96"/>
      <c r="BJ83" s="97"/>
      <c r="BK83" s="6"/>
    </row>
    <row r="84" spans="1:63" ht="61.5" customHeight="1" x14ac:dyDescent="0.25">
      <c r="A84" s="5"/>
      <c r="B84" s="89">
        <v>32</v>
      </c>
      <c r="C84" s="91"/>
      <c r="D84" s="112" t="s">
        <v>40</v>
      </c>
      <c r="E84" s="113"/>
      <c r="F84" s="113"/>
      <c r="G84" s="113"/>
      <c r="H84" s="113"/>
      <c r="I84" s="113"/>
      <c r="J84" s="114"/>
      <c r="K84" s="115" t="s">
        <v>5</v>
      </c>
      <c r="L84" s="102"/>
      <c r="M84" s="103"/>
      <c r="N84" s="8" t="s">
        <v>10</v>
      </c>
      <c r="O84" s="8" t="s">
        <v>6</v>
      </c>
      <c r="P84" s="89" t="s">
        <v>65</v>
      </c>
      <c r="Q84" s="90"/>
      <c r="R84" s="90"/>
      <c r="S84" s="91"/>
      <c r="T84" s="92" t="s">
        <v>135</v>
      </c>
      <c r="U84" s="93"/>
      <c r="V84" s="93"/>
      <c r="W84" s="94"/>
      <c r="X84" s="106" t="s">
        <v>6</v>
      </c>
      <c r="Y84" s="107"/>
      <c r="Z84" s="108"/>
      <c r="AA84" s="89" t="s">
        <v>8</v>
      </c>
      <c r="AB84" s="90"/>
      <c r="AC84" s="90"/>
      <c r="AD84" s="90"/>
      <c r="AE84" s="90"/>
      <c r="AF84" s="90"/>
      <c r="AG84" s="90"/>
      <c r="AH84" s="91"/>
      <c r="AI84" s="89" t="s">
        <v>8</v>
      </c>
      <c r="AJ84" s="90"/>
      <c r="AK84" s="90"/>
      <c r="AL84" s="90"/>
      <c r="AM84" s="90"/>
      <c r="AN84" s="90"/>
      <c r="AO84" s="90"/>
      <c r="AP84" s="90"/>
      <c r="AQ84" s="91"/>
      <c r="AR84" s="9" t="s">
        <v>6</v>
      </c>
      <c r="AS84" s="9" t="s">
        <v>8</v>
      </c>
      <c r="AT84" s="9" t="s">
        <v>8</v>
      </c>
      <c r="AU84" s="89" t="s">
        <v>9</v>
      </c>
      <c r="AV84" s="90"/>
      <c r="AW84" s="90"/>
      <c r="AX84" s="91"/>
      <c r="AY84" s="89" t="s">
        <v>8</v>
      </c>
      <c r="AZ84" s="90"/>
      <c r="BA84" s="90"/>
      <c r="BB84" s="91"/>
      <c r="BC84" s="199" t="s">
        <v>136</v>
      </c>
      <c r="BD84" s="200"/>
      <c r="BE84" s="200"/>
      <c r="BF84" s="200"/>
      <c r="BG84" s="200"/>
      <c r="BH84" s="200"/>
      <c r="BI84" s="200"/>
      <c r="BJ84" s="201"/>
      <c r="BK84" s="6"/>
    </row>
    <row r="85" spans="1:63" ht="33" customHeight="1" x14ac:dyDescent="0.25">
      <c r="A85" s="5"/>
      <c r="B85" s="89">
        <v>33</v>
      </c>
      <c r="C85" s="91"/>
      <c r="D85" s="112" t="s">
        <v>27</v>
      </c>
      <c r="E85" s="113"/>
      <c r="F85" s="113"/>
      <c r="G85" s="113"/>
      <c r="H85" s="113"/>
      <c r="I85" s="113"/>
      <c r="J85" s="114"/>
      <c r="K85" s="115" t="s">
        <v>5</v>
      </c>
      <c r="L85" s="102"/>
      <c r="M85" s="103"/>
      <c r="N85" s="8" t="s">
        <v>10</v>
      </c>
      <c r="O85" s="8" t="s">
        <v>7</v>
      </c>
      <c r="P85" s="89" t="s">
        <v>9</v>
      </c>
      <c r="Q85" s="90"/>
      <c r="R85" s="90"/>
      <c r="S85" s="91"/>
      <c r="T85" s="104" t="s">
        <v>6</v>
      </c>
      <c r="U85" s="90"/>
      <c r="V85" s="90"/>
      <c r="W85" s="91"/>
      <c r="X85" s="106" t="s">
        <v>137</v>
      </c>
      <c r="Y85" s="107"/>
      <c r="Z85" s="108"/>
      <c r="AA85" s="89" t="s">
        <v>8</v>
      </c>
      <c r="AB85" s="90"/>
      <c r="AC85" s="90"/>
      <c r="AD85" s="90"/>
      <c r="AE85" s="90"/>
      <c r="AF85" s="90"/>
      <c r="AG85" s="90"/>
      <c r="AH85" s="91"/>
      <c r="AI85" s="89" t="s">
        <v>8</v>
      </c>
      <c r="AJ85" s="90"/>
      <c r="AK85" s="90"/>
      <c r="AL85" s="90"/>
      <c r="AM85" s="90"/>
      <c r="AN85" s="90"/>
      <c r="AO85" s="90"/>
      <c r="AP85" s="90"/>
      <c r="AQ85" s="91"/>
      <c r="AR85" s="9" t="s">
        <v>6</v>
      </c>
      <c r="AS85" s="9" t="s">
        <v>8</v>
      </c>
      <c r="AT85" s="9" t="s">
        <v>8</v>
      </c>
      <c r="AU85" s="89" t="s">
        <v>9</v>
      </c>
      <c r="AV85" s="90"/>
      <c r="AW85" s="90"/>
      <c r="AX85" s="91"/>
      <c r="AY85" s="89" t="s">
        <v>8</v>
      </c>
      <c r="AZ85" s="90"/>
      <c r="BA85" s="90"/>
      <c r="BB85" s="91"/>
      <c r="BC85" s="95" t="s">
        <v>8</v>
      </c>
      <c r="BD85" s="96"/>
      <c r="BE85" s="96"/>
      <c r="BF85" s="96"/>
      <c r="BG85" s="96"/>
      <c r="BH85" s="96"/>
      <c r="BI85" s="96"/>
      <c r="BJ85" s="97"/>
      <c r="BK85" s="6"/>
    </row>
    <row r="86" spans="1:63" ht="68.25" customHeight="1" x14ac:dyDescent="0.25">
      <c r="A86" s="5"/>
      <c r="B86" s="89">
        <v>34</v>
      </c>
      <c r="C86" s="91"/>
      <c r="D86" s="112" t="s">
        <v>41</v>
      </c>
      <c r="E86" s="113"/>
      <c r="F86" s="113"/>
      <c r="G86" s="113"/>
      <c r="H86" s="113"/>
      <c r="I86" s="113"/>
      <c r="J86" s="114"/>
      <c r="K86" s="115" t="s">
        <v>5</v>
      </c>
      <c r="L86" s="102"/>
      <c r="M86" s="103"/>
      <c r="N86" s="8" t="s">
        <v>10</v>
      </c>
      <c r="O86" s="8" t="s">
        <v>6</v>
      </c>
      <c r="P86" s="89" t="s">
        <v>65</v>
      </c>
      <c r="Q86" s="90"/>
      <c r="R86" s="90"/>
      <c r="S86" s="91"/>
      <c r="T86" s="92" t="s">
        <v>138</v>
      </c>
      <c r="U86" s="93"/>
      <c r="V86" s="93"/>
      <c r="W86" s="94"/>
      <c r="X86" s="106" t="s">
        <v>6</v>
      </c>
      <c r="Y86" s="107"/>
      <c r="Z86" s="108"/>
      <c r="AA86" s="89" t="s">
        <v>8</v>
      </c>
      <c r="AB86" s="90"/>
      <c r="AC86" s="90"/>
      <c r="AD86" s="90"/>
      <c r="AE86" s="90"/>
      <c r="AF86" s="90"/>
      <c r="AG86" s="90"/>
      <c r="AH86" s="91"/>
      <c r="AI86" s="89" t="s">
        <v>8</v>
      </c>
      <c r="AJ86" s="90"/>
      <c r="AK86" s="90"/>
      <c r="AL86" s="90"/>
      <c r="AM86" s="90"/>
      <c r="AN86" s="90"/>
      <c r="AO86" s="90"/>
      <c r="AP86" s="90"/>
      <c r="AQ86" s="91"/>
      <c r="AR86" s="9" t="s">
        <v>6</v>
      </c>
      <c r="AS86" s="9" t="s">
        <v>8</v>
      </c>
      <c r="AT86" s="9" t="s">
        <v>8</v>
      </c>
      <c r="AU86" s="89" t="s">
        <v>9</v>
      </c>
      <c r="AV86" s="90"/>
      <c r="AW86" s="90"/>
      <c r="AX86" s="91"/>
      <c r="AY86" s="89" t="s">
        <v>8</v>
      </c>
      <c r="AZ86" s="90"/>
      <c r="BA86" s="90"/>
      <c r="BB86" s="91"/>
      <c r="BC86" s="95" t="s">
        <v>8</v>
      </c>
      <c r="BD86" s="96"/>
      <c r="BE86" s="96"/>
      <c r="BF86" s="96"/>
      <c r="BG86" s="96"/>
      <c r="BH86" s="96"/>
      <c r="BI86" s="96"/>
      <c r="BJ86" s="97"/>
      <c r="BK86" s="6"/>
    </row>
    <row r="87" spans="1:63" ht="50.25" customHeight="1" x14ac:dyDescent="0.25">
      <c r="A87" s="5"/>
      <c r="B87" s="89">
        <v>35</v>
      </c>
      <c r="C87" s="91"/>
      <c r="D87" s="112" t="s">
        <v>42</v>
      </c>
      <c r="E87" s="113"/>
      <c r="F87" s="113"/>
      <c r="G87" s="113"/>
      <c r="H87" s="113"/>
      <c r="I87" s="113"/>
      <c r="J87" s="114"/>
      <c r="K87" s="115" t="s">
        <v>5</v>
      </c>
      <c r="L87" s="102"/>
      <c r="M87" s="103"/>
      <c r="N87" s="8" t="s">
        <v>10</v>
      </c>
      <c r="O87" s="8" t="s">
        <v>6</v>
      </c>
      <c r="P87" s="89" t="s">
        <v>65</v>
      </c>
      <c r="Q87" s="90"/>
      <c r="R87" s="90"/>
      <c r="S87" s="91"/>
      <c r="T87" s="92" t="s">
        <v>139</v>
      </c>
      <c r="U87" s="93"/>
      <c r="V87" s="93"/>
      <c r="W87" s="94"/>
      <c r="X87" s="106" t="s">
        <v>6</v>
      </c>
      <c r="Y87" s="107"/>
      <c r="Z87" s="108"/>
      <c r="AA87" s="89" t="s">
        <v>8</v>
      </c>
      <c r="AB87" s="90"/>
      <c r="AC87" s="90"/>
      <c r="AD87" s="90"/>
      <c r="AE87" s="90"/>
      <c r="AF87" s="90"/>
      <c r="AG87" s="90"/>
      <c r="AH87" s="91"/>
      <c r="AI87" s="89" t="s">
        <v>8</v>
      </c>
      <c r="AJ87" s="90"/>
      <c r="AK87" s="90"/>
      <c r="AL87" s="90"/>
      <c r="AM87" s="90"/>
      <c r="AN87" s="90"/>
      <c r="AO87" s="90"/>
      <c r="AP87" s="90"/>
      <c r="AQ87" s="91"/>
      <c r="AR87" s="9" t="s">
        <v>6</v>
      </c>
      <c r="AS87" s="9" t="s">
        <v>8</v>
      </c>
      <c r="AT87" s="9" t="s">
        <v>8</v>
      </c>
      <c r="AU87" s="89" t="s">
        <v>9</v>
      </c>
      <c r="AV87" s="90"/>
      <c r="AW87" s="90"/>
      <c r="AX87" s="91"/>
      <c r="AY87" s="89" t="s">
        <v>8</v>
      </c>
      <c r="AZ87" s="90"/>
      <c r="BA87" s="90"/>
      <c r="BB87" s="91"/>
      <c r="BC87" s="95" t="s">
        <v>8</v>
      </c>
      <c r="BD87" s="96"/>
      <c r="BE87" s="96"/>
      <c r="BF87" s="96"/>
      <c r="BG87" s="96"/>
      <c r="BH87" s="96"/>
      <c r="BI87" s="96"/>
      <c r="BJ87" s="97"/>
      <c r="BK87" s="6"/>
    </row>
    <row r="88" spans="1:63" ht="58.5" customHeight="1" x14ac:dyDescent="0.25">
      <c r="A88" s="5"/>
      <c r="B88" s="89">
        <v>36</v>
      </c>
      <c r="C88" s="91"/>
      <c r="D88" s="112" t="s">
        <v>43</v>
      </c>
      <c r="E88" s="113"/>
      <c r="F88" s="113"/>
      <c r="G88" s="113"/>
      <c r="H88" s="113"/>
      <c r="I88" s="113"/>
      <c r="J88" s="114"/>
      <c r="K88" s="115" t="s">
        <v>5</v>
      </c>
      <c r="L88" s="102"/>
      <c r="M88" s="103"/>
      <c r="N88" s="8" t="s">
        <v>10</v>
      </c>
      <c r="O88" s="8" t="s">
        <v>6</v>
      </c>
      <c r="P88" s="89" t="s">
        <v>65</v>
      </c>
      <c r="Q88" s="90"/>
      <c r="R88" s="90"/>
      <c r="S88" s="91"/>
      <c r="T88" s="92" t="s">
        <v>140</v>
      </c>
      <c r="U88" s="93"/>
      <c r="V88" s="93"/>
      <c r="W88" s="94"/>
      <c r="X88" s="106" t="s">
        <v>6</v>
      </c>
      <c r="Y88" s="107"/>
      <c r="Z88" s="108"/>
      <c r="AA88" s="89" t="s">
        <v>8</v>
      </c>
      <c r="AB88" s="90"/>
      <c r="AC88" s="90"/>
      <c r="AD88" s="90"/>
      <c r="AE88" s="90"/>
      <c r="AF88" s="90"/>
      <c r="AG88" s="90"/>
      <c r="AH88" s="91"/>
      <c r="AI88" s="89" t="s">
        <v>8</v>
      </c>
      <c r="AJ88" s="90"/>
      <c r="AK88" s="90"/>
      <c r="AL88" s="90"/>
      <c r="AM88" s="90"/>
      <c r="AN88" s="90"/>
      <c r="AO88" s="90"/>
      <c r="AP88" s="90"/>
      <c r="AQ88" s="91"/>
      <c r="AR88" s="9" t="s">
        <v>6</v>
      </c>
      <c r="AS88" s="9" t="s">
        <v>8</v>
      </c>
      <c r="AT88" s="9" t="s">
        <v>8</v>
      </c>
      <c r="AU88" s="89" t="s">
        <v>9</v>
      </c>
      <c r="AV88" s="90"/>
      <c r="AW88" s="90"/>
      <c r="AX88" s="91"/>
      <c r="AY88" s="89" t="s">
        <v>8</v>
      </c>
      <c r="AZ88" s="90"/>
      <c r="BA88" s="90"/>
      <c r="BB88" s="91"/>
      <c r="BC88" s="95" t="s">
        <v>8</v>
      </c>
      <c r="BD88" s="96"/>
      <c r="BE88" s="96"/>
      <c r="BF88" s="96"/>
      <c r="BG88" s="96"/>
      <c r="BH88" s="96"/>
      <c r="BI88" s="96"/>
      <c r="BJ88" s="97"/>
      <c r="BK88" s="6"/>
    </row>
    <row r="89" spans="1:63" ht="56.25" customHeight="1" x14ac:dyDescent="0.25">
      <c r="A89" s="5"/>
      <c r="B89" s="89">
        <v>37</v>
      </c>
      <c r="C89" s="91"/>
      <c r="D89" s="112" t="s">
        <v>44</v>
      </c>
      <c r="E89" s="113"/>
      <c r="F89" s="113"/>
      <c r="G89" s="113"/>
      <c r="H89" s="113"/>
      <c r="I89" s="113"/>
      <c r="J89" s="114"/>
      <c r="K89" s="115" t="s">
        <v>5</v>
      </c>
      <c r="L89" s="102"/>
      <c r="M89" s="103"/>
      <c r="N89" s="8" t="s">
        <v>10</v>
      </c>
      <c r="O89" s="8" t="s">
        <v>6</v>
      </c>
      <c r="P89" s="89" t="s">
        <v>65</v>
      </c>
      <c r="Q89" s="90"/>
      <c r="R89" s="90"/>
      <c r="S89" s="91"/>
      <c r="T89" s="92" t="s">
        <v>141</v>
      </c>
      <c r="U89" s="93"/>
      <c r="V89" s="93"/>
      <c r="W89" s="94"/>
      <c r="X89" s="106" t="s">
        <v>6</v>
      </c>
      <c r="Y89" s="107"/>
      <c r="Z89" s="108"/>
      <c r="AA89" s="89" t="s">
        <v>8</v>
      </c>
      <c r="AB89" s="90"/>
      <c r="AC89" s="90"/>
      <c r="AD89" s="90"/>
      <c r="AE89" s="90"/>
      <c r="AF89" s="90"/>
      <c r="AG89" s="90"/>
      <c r="AH89" s="91"/>
      <c r="AI89" s="89" t="s">
        <v>8</v>
      </c>
      <c r="AJ89" s="90"/>
      <c r="AK89" s="90"/>
      <c r="AL89" s="90"/>
      <c r="AM89" s="90"/>
      <c r="AN89" s="90"/>
      <c r="AO89" s="90"/>
      <c r="AP89" s="90"/>
      <c r="AQ89" s="91"/>
      <c r="AR89" s="9" t="s">
        <v>6</v>
      </c>
      <c r="AS89" s="9" t="s">
        <v>8</v>
      </c>
      <c r="AT89" s="9" t="s">
        <v>8</v>
      </c>
      <c r="AU89" s="89" t="s">
        <v>9</v>
      </c>
      <c r="AV89" s="90"/>
      <c r="AW89" s="90"/>
      <c r="AX89" s="91"/>
      <c r="AY89" s="89" t="s">
        <v>8</v>
      </c>
      <c r="AZ89" s="90"/>
      <c r="BA89" s="90"/>
      <c r="BB89" s="91"/>
      <c r="BC89" s="95" t="s">
        <v>8</v>
      </c>
      <c r="BD89" s="96"/>
      <c r="BE89" s="96"/>
      <c r="BF89" s="96"/>
      <c r="BG89" s="96"/>
      <c r="BH89" s="96"/>
      <c r="BI89" s="96"/>
      <c r="BJ89" s="97"/>
      <c r="BK89" s="6"/>
    </row>
    <row r="90" spans="1:63" ht="56.25" customHeight="1" x14ac:dyDescent="0.25">
      <c r="A90" s="5"/>
      <c r="B90" s="89">
        <v>38</v>
      </c>
      <c r="C90" s="91"/>
      <c r="D90" s="112" t="s">
        <v>45</v>
      </c>
      <c r="E90" s="113"/>
      <c r="F90" s="113"/>
      <c r="G90" s="113"/>
      <c r="H90" s="113"/>
      <c r="I90" s="113"/>
      <c r="J90" s="114"/>
      <c r="K90" s="115" t="s">
        <v>5</v>
      </c>
      <c r="L90" s="102"/>
      <c r="M90" s="103"/>
      <c r="N90" s="8" t="s">
        <v>10</v>
      </c>
      <c r="O90" s="8" t="s">
        <v>6</v>
      </c>
      <c r="P90" s="89" t="s">
        <v>65</v>
      </c>
      <c r="Q90" s="90"/>
      <c r="R90" s="90"/>
      <c r="S90" s="91"/>
      <c r="T90" s="92" t="s">
        <v>142</v>
      </c>
      <c r="U90" s="93"/>
      <c r="V90" s="93"/>
      <c r="W90" s="94"/>
      <c r="X90" s="106" t="s">
        <v>6</v>
      </c>
      <c r="Y90" s="107"/>
      <c r="Z90" s="108"/>
      <c r="AA90" s="89" t="s">
        <v>8</v>
      </c>
      <c r="AB90" s="90"/>
      <c r="AC90" s="90"/>
      <c r="AD90" s="90"/>
      <c r="AE90" s="90"/>
      <c r="AF90" s="90"/>
      <c r="AG90" s="90"/>
      <c r="AH90" s="91"/>
      <c r="AI90" s="89" t="s">
        <v>8</v>
      </c>
      <c r="AJ90" s="90"/>
      <c r="AK90" s="90"/>
      <c r="AL90" s="90"/>
      <c r="AM90" s="90"/>
      <c r="AN90" s="90"/>
      <c r="AO90" s="90"/>
      <c r="AP90" s="90"/>
      <c r="AQ90" s="91"/>
      <c r="AR90" s="9" t="s">
        <v>6</v>
      </c>
      <c r="AS90" s="9" t="s">
        <v>8</v>
      </c>
      <c r="AT90" s="9" t="s">
        <v>8</v>
      </c>
      <c r="AU90" s="89" t="s">
        <v>9</v>
      </c>
      <c r="AV90" s="90"/>
      <c r="AW90" s="90"/>
      <c r="AX90" s="91"/>
      <c r="AY90" s="89" t="s">
        <v>8</v>
      </c>
      <c r="AZ90" s="90"/>
      <c r="BA90" s="90"/>
      <c r="BB90" s="91"/>
      <c r="BC90" s="95" t="s">
        <v>8</v>
      </c>
      <c r="BD90" s="96"/>
      <c r="BE90" s="96"/>
      <c r="BF90" s="96"/>
      <c r="BG90" s="96"/>
      <c r="BH90" s="96"/>
      <c r="BI90" s="96"/>
      <c r="BJ90" s="97"/>
      <c r="BK90" s="6"/>
    </row>
    <row r="91" spans="1:63" ht="53.25" customHeight="1" x14ac:dyDescent="0.25">
      <c r="A91" s="5"/>
      <c r="B91" s="89">
        <v>39</v>
      </c>
      <c r="C91" s="91"/>
      <c r="D91" s="112" t="s">
        <v>46</v>
      </c>
      <c r="E91" s="113"/>
      <c r="F91" s="113"/>
      <c r="G91" s="113"/>
      <c r="H91" s="113"/>
      <c r="I91" s="113"/>
      <c r="J91" s="114"/>
      <c r="K91" s="115" t="s">
        <v>5</v>
      </c>
      <c r="L91" s="102"/>
      <c r="M91" s="103"/>
      <c r="N91" s="8" t="s">
        <v>10</v>
      </c>
      <c r="O91" s="8" t="s">
        <v>6</v>
      </c>
      <c r="P91" s="89" t="s">
        <v>65</v>
      </c>
      <c r="Q91" s="90"/>
      <c r="R91" s="90"/>
      <c r="S91" s="91"/>
      <c r="T91" s="92" t="s">
        <v>143</v>
      </c>
      <c r="U91" s="93"/>
      <c r="V91" s="93"/>
      <c r="W91" s="94"/>
      <c r="X91" s="106" t="s">
        <v>6</v>
      </c>
      <c r="Y91" s="107"/>
      <c r="Z91" s="108"/>
      <c r="AA91" s="89" t="s">
        <v>8</v>
      </c>
      <c r="AB91" s="90"/>
      <c r="AC91" s="90"/>
      <c r="AD91" s="90"/>
      <c r="AE91" s="90"/>
      <c r="AF91" s="90"/>
      <c r="AG91" s="90"/>
      <c r="AH91" s="91"/>
      <c r="AI91" s="89" t="s">
        <v>8</v>
      </c>
      <c r="AJ91" s="90"/>
      <c r="AK91" s="90"/>
      <c r="AL91" s="90"/>
      <c r="AM91" s="90"/>
      <c r="AN91" s="90"/>
      <c r="AO91" s="90"/>
      <c r="AP91" s="90"/>
      <c r="AQ91" s="91"/>
      <c r="AR91" s="9" t="s">
        <v>6</v>
      </c>
      <c r="AS91" s="9" t="s">
        <v>8</v>
      </c>
      <c r="AT91" s="9" t="s">
        <v>8</v>
      </c>
      <c r="AU91" s="89" t="s">
        <v>9</v>
      </c>
      <c r="AV91" s="90"/>
      <c r="AW91" s="90"/>
      <c r="AX91" s="91"/>
      <c r="AY91" s="89" t="s">
        <v>8</v>
      </c>
      <c r="AZ91" s="90"/>
      <c r="BA91" s="90"/>
      <c r="BB91" s="91"/>
      <c r="BC91" s="95" t="s">
        <v>8</v>
      </c>
      <c r="BD91" s="96"/>
      <c r="BE91" s="96"/>
      <c r="BF91" s="96"/>
      <c r="BG91" s="96"/>
      <c r="BH91" s="96"/>
      <c r="BI91" s="96"/>
      <c r="BJ91" s="97"/>
      <c r="BK91" s="6"/>
    </row>
    <row r="92" spans="1:63" ht="48.75" customHeight="1" x14ac:dyDescent="0.25">
      <c r="A92" s="5"/>
      <c r="B92" s="89">
        <v>40</v>
      </c>
      <c r="C92" s="91"/>
      <c r="D92" s="112" t="s">
        <v>47</v>
      </c>
      <c r="E92" s="113"/>
      <c r="F92" s="113"/>
      <c r="G92" s="113"/>
      <c r="H92" s="113"/>
      <c r="I92" s="113"/>
      <c r="J92" s="114"/>
      <c r="K92" s="115" t="s">
        <v>5</v>
      </c>
      <c r="L92" s="102"/>
      <c r="M92" s="103"/>
      <c r="N92" s="8" t="s">
        <v>10</v>
      </c>
      <c r="O92" s="8" t="s">
        <v>6</v>
      </c>
      <c r="P92" s="89" t="s">
        <v>65</v>
      </c>
      <c r="Q92" s="90"/>
      <c r="R92" s="90"/>
      <c r="S92" s="91"/>
      <c r="T92" s="92" t="s">
        <v>144</v>
      </c>
      <c r="U92" s="93"/>
      <c r="V92" s="93"/>
      <c r="W92" s="94"/>
      <c r="X92" s="106" t="s">
        <v>6</v>
      </c>
      <c r="Y92" s="107"/>
      <c r="Z92" s="108"/>
      <c r="AA92" s="89" t="s">
        <v>8</v>
      </c>
      <c r="AB92" s="90"/>
      <c r="AC92" s="90"/>
      <c r="AD92" s="90"/>
      <c r="AE92" s="90"/>
      <c r="AF92" s="90"/>
      <c r="AG92" s="90"/>
      <c r="AH92" s="91"/>
      <c r="AI92" s="89" t="s">
        <v>8</v>
      </c>
      <c r="AJ92" s="90"/>
      <c r="AK92" s="90"/>
      <c r="AL92" s="90"/>
      <c r="AM92" s="90"/>
      <c r="AN92" s="90"/>
      <c r="AO92" s="90"/>
      <c r="AP92" s="90"/>
      <c r="AQ92" s="91"/>
      <c r="AR92" s="9" t="s">
        <v>6</v>
      </c>
      <c r="AS92" s="9" t="s">
        <v>8</v>
      </c>
      <c r="AT92" s="9" t="s">
        <v>8</v>
      </c>
      <c r="AU92" s="89" t="s">
        <v>9</v>
      </c>
      <c r="AV92" s="90"/>
      <c r="AW92" s="90"/>
      <c r="AX92" s="91"/>
      <c r="AY92" s="89" t="s">
        <v>8</v>
      </c>
      <c r="AZ92" s="90"/>
      <c r="BA92" s="90"/>
      <c r="BB92" s="91"/>
      <c r="BC92" s="95" t="s">
        <v>8</v>
      </c>
      <c r="BD92" s="96"/>
      <c r="BE92" s="96"/>
      <c r="BF92" s="96"/>
      <c r="BG92" s="96"/>
      <c r="BH92" s="96"/>
      <c r="BI92" s="96"/>
      <c r="BJ92" s="97"/>
      <c r="BK92" s="6"/>
    </row>
    <row r="93" spans="1:63" ht="53.25" customHeight="1" x14ac:dyDescent="0.25">
      <c r="A93" s="5"/>
      <c r="B93" s="89">
        <v>41</v>
      </c>
      <c r="C93" s="91"/>
      <c r="D93" s="112" t="s">
        <v>48</v>
      </c>
      <c r="E93" s="113"/>
      <c r="F93" s="113"/>
      <c r="G93" s="113"/>
      <c r="H93" s="113"/>
      <c r="I93" s="113"/>
      <c r="J93" s="114"/>
      <c r="K93" s="115" t="s">
        <v>5</v>
      </c>
      <c r="L93" s="102"/>
      <c r="M93" s="103"/>
      <c r="N93" s="8" t="s">
        <v>10</v>
      </c>
      <c r="O93" s="8" t="s">
        <v>6</v>
      </c>
      <c r="P93" s="89" t="s">
        <v>65</v>
      </c>
      <c r="Q93" s="90"/>
      <c r="R93" s="90"/>
      <c r="S93" s="91"/>
      <c r="T93" s="92" t="s">
        <v>145</v>
      </c>
      <c r="U93" s="93"/>
      <c r="V93" s="93"/>
      <c r="W93" s="94"/>
      <c r="X93" s="106" t="s">
        <v>6</v>
      </c>
      <c r="Y93" s="107"/>
      <c r="Z93" s="108"/>
      <c r="AA93" s="89" t="s">
        <v>8</v>
      </c>
      <c r="AB93" s="90"/>
      <c r="AC93" s="90"/>
      <c r="AD93" s="90"/>
      <c r="AE93" s="90"/>
      <c r="AF93" s="90"/>
      <c r="AG93" s="90"/>
      <c r="AH93" s="91"/>
      <c r="AI93" s="89" t="s">
        <v>8</v>
      </c>
      <c r="AJ93" s="90"/>
      <c r="AK93" s="90"/>
      <c r="AL93" s="90"/>
      <c r="AM93" s="90"/>
      <c r="AN93" s="90"/>
      <c r="AO93" s="90"/>
      <c r="AP93" s="90"/>
      <c r="AQ93" s="91"/>
      <c r="AR93" s="9" t="s">
        <v>6</v>
      </c>
      <c r="AS93" s="9" t="s">
        <v>8</v>
      </c>
      <c r="AT93" s="9" t="s">
        <v>8</v>
      </c>
      <c r="AU93" s="89" t="s">
        <v>9</v>
      </c>
      <c r="AV93" s="90"/>
      <c r="AW93" s="90"/>
      <c r="AX93" s="91"/>
      <c r="AY93" s="89" t="s">
        <v>8</v>
      </c>
      <c r="AZ93" s="90"/>
      <c r="BA93" s="90"/>
      <c r="BB93" s="91"/>
      <c r="BC93" s="95" t="s">
        <v>8</v>
      </c>
      <c r="BD93" s="96"/>
      <c r="BE93" s="96"/>
      <c r="BF93" s="96"/>
      <c r="BG93" s="96"/>
      <c r="BH93" s="96"/>
      <c r="BI93" s="96"/>
      <c r="BJ93" s="97"/>
      <c r="BK93" s="6"/>
    </row>
    <row r="94" spans="1:63" ht="47.25" customHeight="1" x14ac:dyDescent="0.25">
      <c r="A94" s="5"/>
      <c r="B94" s="89">
        <v>42</v>
      </c>
      <c r="C94" s="91"/>
      <c r="D94" s="112" t="s">
        <v>50</v>
      </c>
      <c r="E94" s="113"/>
      <c r="F94" s="113"/>
      <c r="G94" s="113"/>
      <c r="H94" s="113"/>
      <c r="I94" s="113"/>
      <c r="J94" s="114"/>
      <c r="K94" s="115" t="s">
        <v>5</v>
      </c>
      <c r="L94" s="102"/>
      <c r="M94" s="103"/>
      <c r="N94" s="8" t="s">
        <v>10</v>
      </c>
      <c r="O94" s="8" t="s">
        <v>6</v>
      </c>
      <c r="P94" s="89" t="s">
        <v>65</v>
      </c>
      <c r="Q94" s="90"/>
      <c r="R94" s="90"/>
      <c r="S94" s="91"/>
      <c r="T94" s="92" t="s">
        <v>146</v>
      </c>
      <c r="U94" s="93"/>
      <c r="V94" s="93"/>
      <c r="W94" s="94"/>
      <c r="X94" s="106" t="s">
        <v>6</v>
      </c>
      <c r="Y94" s="107"/>
      <c r="Z94" s="108"/>
      <c r="AA94" s="89" t="s">
        <v>8</v>
      </c>
      <c r="AB94" s="90"/>
      <c r="AC94" s="90"/>
      <c r="AD94" s="90"/>
      <c r="AE94" s="90"/>
      <c r="AF94" s="90"/>
      <c r="AG94" s="90"/>
      <c r="AH94" s="91"/>
      <c r="AI94" s="89" t="s">
        <v>8</v>
      </c>
      <c r="AJ94" s="90"/>
      <c r="AK94" s="90"/>
      <c r="AL94" s="90"/>
      <c r="AM94" s="90"/>
      <c r="AN94" s="90"/>
      <c r="AO94" s="90"/>
      <c r="AP94" s="90"/>
      <c r="AQ94" s="91"/>
      <c r="AR94" s="9" t="s">
        <v>6</v>
      </c>
      <c r="AS94" s="9" t="s">
        <v>8</v>
      </c>
      <c r="AT94" s="9" t="s">
        <v>8</v>
      </c>
      <c r="AU94" s="89" t="s">
        <v>9</v>
      </c>
      <c r="AV94" s="90"/>
      <c r="AW94" s="90"/>
      <c r="AX94" s="91"/>
      <c r="AY94" s="89" t="s">
        <v>8</v>
      </c>
      <c r="AZ94" s="90"/>
      <c r="BA94" s="90"/>
      <c r="BB94" s="91"/>
      <c r="BC94" s="95" t="s">
        <v>8</v>
      </c>
      <c r="BD94" s="96"/>
      <c r="BE94" s="96"/>
      <c r="BF94" s="96"/>
      <c r="BG94" s="96"/>
      <c r="BH94" s="96"/>
      <c r="BI94" s="96"/>
      <c r="BJ94" s="97"/>
      <c r="BK94" s="6"/>
    </row>
    <row r="95" spans="1:63" ht="52.5" customHeight="1" x14ac:dyDescent="0.25">
      <c r="A95" s="5"/>
      <c r="B95" s="89">
        <v>43</v>
      </c>
      <c r="C95" s="91"/>
      <c r="D95" s="112" t="s">
        <v>49</v>
      </c>
      <c r="E95" s="113"/>
      <c r="F95" s="113"/>
      <c r="G95" s="113"/>
      <c r="H95" s="113"/>
      <c r="I95" s="113"/>
      <c r="J95" s="114"/>
      <c r="K95" s="115" t="s">
        <v>5</v>
      </c>
      <c r="L95" s="102"/>
      <c r="M95" s="103"/>
      <c r="N95" s="8" t="s">
        <v>10</v>
      </c>
      <c r="O95" s="8" t="s">
        <v>6</v>
      </c>
      <c r="P95" s="89" t="s">
        <v>65</v>
      </c>
      <c r="Q95" s="90"/>
      <c r="R95" s="90"/>
      <c r="S95" s="91"/>
      <c r="T95" s="92" t="s">
        <v>147</v>
      </c>
      <c r="U95" s="93"/>
      <c r="V95" s="93"/>
      <c r="W95" s="94"/>
      <c r="X95" s="106" t="s">
        <v>6</v>
      </c>
      <c r="Y95" s="107"/>
      <c r="Z95" s="108"/>
      <c r="AA95" s="89" t="s">
        <v>8</v>
      </c>
      <c r="AB95" s="90"/>
      <c r="AC95" s="90"/>
      <c r="AD95" s="90"/>
      <c r="AE95" s="90"/>
      <c r="AF95" s="90"/>
      <c r="AG95" s="90"/>
      <c r="AH95" s="91"/>
      <c r="AI95" s="89" t="s">
        <v>8</v>
      </c>
      <c r="AJ95" s="90"/>
      <c r="AK95" s="90"/>
      <c r="AL95" s="90"/>
      <c r="AM95" s="90"/>
      <c r="AN95" s="90"/>
      <c r="AO95" s="90"/>
      <c r="AP95" s="90"/>
      <c r="AQ95" s="91"/>
      <c r="AR95" s="9" t="s">
        <v>6</v>
      </c>
      <c r="AS95" s="9" t="s">
        <v>8</v>
      </c>
      <c r="AT95" s="9" t="s">
        <v>8</v>
      </c>
      <c r="AU95" s="89" t="s">
        <v>9</v>
      </c>
      <c r="AV95" s="90"/>
      <c r="AW95" s="90"/>
      <c r="AX95" s="91"/>
      <c r="AY95" s="89" t="s">
        <v>8</v>
      </c>
      <c r="AZ95" s="90"/>
      <c r="BA95" s="90"/>
      <c r="BB95" s="91"/>
      <c r="BC95" s="95" t="s">
        <v>8</v>
      </c>
      <c r="BD95" s="96"/>
      <c r="BE95" s="96"/>
      <c r="BF95" s="96"/>
      <c r="BG95" s="96"/>
      <c r="BH95" s="96"/>
      <c r="BI95" s="96"/>
      <c r="BJ95" s="97"/>
      <c r="BK95" s="6"/>
    </row>
    <row r="96" spans="1:63" ht="35.25" customHeight="1" x14ac:dyDescent="0.25">
      <c r="A96" s="5"/>
      <c r="B96" s="89">
        <v>44</v>
      </c>
      <c r="C96" s="91"/>
      <c r="D96" s="98" t="s">
        <v>29</v>
      </c>
      <c r="E96" s="99"/>
      <c r="F96" s="99"/>
      <c r="G96" s="99"/>
      <c r="H96" s="99"/>
      <c r="I96" s="99"/>
      <c r="J96" s="100"/>
      <c r="K96" s="115" t="s">
        <v>5</v>
      </c>
      <c r="L96" s="102"/>
      <c r="M96" s="103"/>
      <c r="N96" s="8" t="s">
        <v>10</v>
      </c>
      <c r="O96" s="8" t="s">
        <v>7</v>
      </c>
      <c r="P96" s="89" t="s">
        <v>9</v>
      </c>
      <c r="Q96" s="90"/>
      <c r="R96" s="90"/>
      <c r="S96" s="91"/>
      <c r="T96" s="104" t="s">
        <v>6</v>
      </c>
      <c r="U96" s="90"/>
      <c r="V96" s="90"/>
      <c r="W96" s="91"/>
      <c r="X96" s="106" t="s">
        <v>148</v>
      </c>
      <c r="Y96" s="107"/>
      <c r="Z96" s="108"/>
      <c r="AA96" s="89" t="s">
        <v>8</v>
      </c>
      <c r="AB96" s="90"/>
      <c r="AC96" s="90"/>
      <c r="AD96" s="90"/>
      <c r="AE96" s="90"/>
      <c r="AF96" s="90"/>
      <c r="AG96" s="90"/>
      <c r="AH96" s="91"/>
      <c r="AI96" s="89" t="s">
        <v>8</v>
      </c>
      <c r="AJ96" s="90"/>
      <c r="AK96" s="90"/>
      <c r="AL96" s="90"/>
      <c r="AM96" s="90"/>
      <c r="AN96" s="90"/>
      <c r="AO96" s="90"/>
      <c r="AP96" s="90"/>
      <c r="AQ96" s="91"/>
      <c r="AR96" s="9" t="s">
        <v>6</v>
      </c>
      <c r="AS96" s="9" t="s">
        <v>8</v>
      </c>
      <c r="AT96" s="9" t="s">
        <v>8</v>
      </c>
      <c r="AU96" s="89" t="s">
        <v>9</v>
      </c>
      <c r="AV96" s="90"/>
      <c r="AW96" s="90"/>
      <c r="AX96" s="91"/>
      <c r="AY96" s="89" t="s">
        <v>8</v>
      </c>
      <c r="AZ96" s="90"/>
      <c r="BA96" s="90"/>
      <c r="BB96" s="91"/>
      <c r="BC96" s="95" t="s">
        <v>8</v>
      </c>
      <c r="BD96" s="96"/>
      <c r="BE96" s="96"/>
      <c r="BF96" s="96"/>
      <c r="BG96" s="96"/>
      <c r="BH96" s="96"/>
      <c r="BI96" s="96"/>
      <c r="BJ96" s="97"/>
      <c r="BK96" s="6"/>
    </row>
    <row r="97" spans="1:63" ht="90" customHeight="1" x14ac:dyDescent="0.25">
      <c r="A97" s="5"/>
      <c r="B97" s="89">
        <v>45</v>
      </c>
      <c r="C97" s="91"/>
      <c r="D97" s="112" t="s">
        <v>51</v>
      </c>
      <c r="E97" s="113"/>
      <c r="F97" s="113"/>
      <c r="G97" s="113"/>
      <c r="H97" s="113"/>
      <c r="I97" s="113"/>
      <c r="J97" s="114"/>
      <c r="K97" s="115" t="s">
        <v>5</v>
      </c>
      <c r="L97" s="102"/>
      <c r="M97" s="103"/>
      <c r="N97" s="8" t="s">
        <v>10</v>
      </c>
      <c r="O97" s="8" t="s">
        <v>6</v>
      </c>
      <c r="P97" s="89" t="s">
        <v>65</v>
      </c>
      <c r="Q97" s="90"/>
      <c r="R97" s="90"/>
      <c r="S97" s="91"/>
      <c r="T97" s="92" t="s">
        <v>149</v>
      </c>
      <c r="U97" s="93"/>
      <c r="V97" s="93"/>
      <c r="W97" s="94"/>
      <c r="X97" s="106" t="s">
        <v>6</v>
      </c>
      <c r="Y97" s="107"/>
      <c r="Z97" s="108"/>
      <c r="AA97" s="89" t="s">
        <v>8</v>
      </c>
      <c r="AB97" s="90"/>
      <c r="AC97" s="90"/>
      <c r="AD97" s="90"/>
      <c r="AE97" s="90"/>
      <c r="AF97" s="90"/>
      <c r="AG97" s="90"/>
      <c r="AH97" s="91"/>
      <c r="AI97" s="89" t="s">
        <v>8</v>
      </c>
      <c r="AJ97" s="90"/>
      <c r="AK97" s="90"/>
      <c r="AL97" s="90"/>
      <c r="AM97" s="90"/>
      <c r="AN97" s="90"/>
      <c r="AO97" s="90"/>
      <c r="AP97" s="90"/>
      <c r="AQ97" s="91"/>
      <c r="AR97" s="9" t="s">
        <v>6</v>
      </c>
      <c r="AS97" s="9" t="s">
        <v>8</v>
      </c>
      <c r="AT97" s="9" t="s">
        <v>8</v>
      </c>
      <c r="AU97" s="89" t="s">
        <v>9</v>
      </c>
      <c r="AV97" s="90"/>
      <c r="AW97" s="90"/>
      <c r="AX97" s="91"/>
      <c r="AY97" s="89" t="s">
        <v>8</v>
      </c>
      <c r="AZ97" s="90"/>
      <c r="BA97" s="90"/>
      <c r="BB97" s="91"/>
      <c r="BC97" s="95" t="s">
        <v>8</v>
      </c>
      <c r="BD97" s="96"/>
      <c r="BE97" s="96"/>
      <c r="BF97" s="96"/>
      <c r="BG97" s="96"/>
      <c r="BH97" s="96"/>
      <c r="BI97" s="96"/>
      <c r="BJ97" s="97"/>
      <c r="BK97" s="6"/>
    </row>
    <row r="98" spans="1:63" ht="54" customHeight="1" x14ac:dyDescent="0.25">
      <c r="A98" s="5"/>
      <c r="B98" s="89">
        <v>46</v>
      </c>
      <c r="C98" s="91"/>
      <c r="D98" s="112" t="s">
        <v>52</v>
      </c>
      <c r="E98" s="113"/>
      <c r="F98" s="113"/>
      <c r="G98" s="113"/>
      <c r="H98" s="113"/>
      <c r="I98" s="113"/>
      <c r="J98" s="114"/>
      <c r="K98" s="115" t="s">
        <v>5</v>
      </c>
      <c r="L98" s="102"/>
      <c r="M98" s="103"/>
      <c r="N98" s="8" t="s">
        <v>10</v>
      </c>
      <c r="O98" s="8" t="s">
        <v>6</v>
      </c>
      <c r="P98" s="89" t="s">
        <v>65</v>
      </c>
      <c r="Q98" s="90"/>
      <c r="R98" s="90"/>
      <c r="S98" s="91"/>
      <c r="T98" s="92" t="s">
        <v>150</v>
      </c>
      <c r="U98" s="93"/>
      <c r="V98" s="93"/>
      <c r="W98" s="94"/>
      <c r="X98" s="106" t="s">
        <v>6</v>
      </c>
      <c r="Y98" s="107"/>
      <c r="Z98" s="108"/>
      <c r="AA98" s="89" t="s">
        <v>8</v>
      </c>
      <c r="AB98" s="90"/>
      <c r="AC98" s="90"/>
      <c r="AD98" s="90"/>
      <c r="AE98" s="90"/>
      <c r="AF98" s="90"/>
      <c r="AG98" s="90"/>
      <c r="AH98" s="91"/>
      <c r="AI98" s="89" t="s">
        <v>8</v>
      </c>
      <c r="AJ98" s="90"/>
      <c r="AK98" s="90"/>
      <c r="AL98" s="90"/>
      <c r="AM98" s="90"/>
      <c r="AN98" s="90"/>
      <c r="AO98" s="90"/>
      <c r="AP98" s="90"/>
      <c r="AQ98" s="91"/>
      <c r="AR98" s="9" t="s">
        <v>6</v>
      </c>
      <c r="AS98" s="9" t="s">
        <v>8</v>
      </c>
      <c r="AT98" s="9" t="s">
        <v>8</v>
      </c>
      <c r="AU98" s="89" t="s">
        <v>9</v>
      </c>
      <c r="AV98" s="90"/>
      <c r="AW98" s="90"/>
      <c r="AX98" s="91"/>
      <c r="AY98" s="89" t="s">
        <v>8</v>
      </c>
      <c r="AZ98" s="90"/>
      <c r="BA98" s="90"/>
      <c r="BB98" s="91"/>
      <c r="BC98" s="95" t="s">
        <v>8</v>
      </c>
      <c r="BD98" s="96"/>
      <c r="BE98" s="96"/>
      <c r="BF98" s="96"/>
      <c r="BG98" s="96"/>
      <c r="BH98" s="96"/>
      <c r="BI98" s="96"/>
      <c r="BJ98" s="97"/>
      <c r="BK98" s="6"/>
    </row>
    <row r="99" spans="1:63" ht="47.25" customHeight="1" x14ac:dyDescent="0.25">
      <c r="A99" s="5"/>
      <c r="B99" s="89">
        <v>47</v>
      </c>
      <c r="C99" s="91"/>
      <c r="D99" s="112" t="s">
        <v>53</v>
      </c>
      <c r="E99" s="113"/>
      <c r="F99" s="113"/>
      <c r="G99" s="113"/>
      <c r="H99" s="113"/>
      <c r="I99" s="113"/>
      <c r="J99" s="114"/>
      <c r="K99" s="115" t="s">
        <v>5</v>
      </c>
      <c r="L99" s="102"/>
      <c r="M99" s="103"/>
      <c r="N99" s="8" t="s">
        <v>10</v>
      </c>
      <c r="O99" s="8" t="s">
        <v>6</v>
      </c>
      <c r="P99" s="89" t="s">
        <v>65</v>
      </c>
      <c r="Q99" s="90"/>
      <c r="R99" s="90"/>
      <c r="S99" s="91"/>
      <c r="T99" s="92" t="s">
        <v>151</v>
      </c>
      <c r="U99" s="93"/>
      <c r="V99" s="93"/>
      <c r="W99" s="94"/>
      <c r="X99" s="106" t="s">
        <v>6</v>
      </c>
      <c r="Y99" s="107"/>
      <c r="Z99" s="108"/>
      <c r="AA99" s="89" t="s">
        <v>8</v>
      </c>
      <c r="AB99" s="90"/>
      <c r="AC99" s="90"/>
      <c r="AD99" s="90"/>
      <c r="AE99" s="90"/>
      <c r="AF99" s="90"/>
      <c r="AG99" s="90"/>
      <c r="AH99" s="91"/>
      <c r="AI99" s="89" t="s">
        <v>8</v>
      </c>
      <c r="AJ99" s="90"/>
      <c r="AK99" s="90"/>
      <c r="AL99" s="90"/>
      <c r="AM99" s="90"/>
      <c r="AN99" s="90"/>
      <c r="AO99" s="90"/>
      <c r="AP99" s="90"/>
      <c r="AQ99" s="91"/>
      <c r="AR99" s="9" t="s">
        <v>6</v>
      </c>
      <c r="AS99" s="9" t="s">
        <v>8</v>
      </c>
      <c r="AT99" s="9" t="s">
        <v>8</v>
      </c>
      <c r="AU99" s="89" t="s">
        <v>9</v>
      </c>
      <c r="AV99" s="90"/>
      <c r="AW99" s="90"/>
      <c r="AX99" s="91"/>
      <c r="AY99" s="89" t="s">
        <v>8</v>
      </c>
      <c r="AZ99" s="90"/>
      <c r="BA99" s="90"/>
      <c r="BB99" s="91"/>
      <c r="BC99" s="95" t="s">
        <v>8</v>
      </c>
      <c r="BD99" s="96"/>
      <c r="BE99" s="96"/>
      <c r="BF99" s="96"/>
      <c r="BG99" s="96"/>
      <c r="BH99" s="96"/>
      <c r="BI99" s="96"/>
      <c r="BJ99" s="97"/>
      <c r="BK99" s="6"/>
    </row>
    <row r="100" spans="1:63" ht="67.5" customHeight="1" x14ac:dyDescent="0.25">
      <c r="A100" s="5"/>
      <c r="B100" s="89">
        <v>48</v>
      </c>
      <c r="C100" s="91"/>
      <c r="D100" s="112" t="s">
        <v>54</v>
      </c>
      <c r="E100" s="113"/>
      <c r="F100" s="113"/>
      <c r="G100" s="113"/>
      <c r="H100" s="113"/>
      <c r="I100" s="113"/>
      <c r="J100" s="114"/>
      <c r="K100" s="115" t="s">
        <v>5</v>
      </c>
      <c r="L100" s="102"/>
      <c r="M100" s="103"/>
      <c r="N100" s="8" t="s">
        <v>10</v>
      </c>
      <c r="O100" s="8" t="s">
        <v>6</v>
      </c>
      <c r="P100" s="89" t="s">
        <v>65</v>
      </c>
      <c r="Q100" s="90"/>
      <c r="R100" s="90"/>
      <c r="S100" s="91"/>
      <c r="T100" s="92" t="s">
        <v>152</v>
      </c>
      <c r="U100" s="93"/>
      <c r="V100" s="93"/>
      <c r="W100" s="94"/>
      <c r="X100" s="106" t="s">
        <v>6</v>
      </c>
      <c r="Y100" s="107"/>
      <c r="Z100" s="108"/>
      <c r="AA100" s="89" t="s">
        <v>8</v>
      </c>
      <c r="AB100" s="90"/>
      <c r="AC100" s="90"/>
      <c r="AD100" s="90"/>
      <c r="AE100" s="90"/>
      <c r="AF100" s="90"/>
      <c r="AG100" s="90"/>
      <c r="AH100" s="91"/>
      <c r="AI100" s="89" t="s">
        <v>8</v>
      </c>
      <c r="AJ100" s="90"/>
      <c r="AK100" s="90"/>
      <c r="AL100" s="90"/>
      <c r="AM100" s="90"/>
      <c r="AN100" s="90"/>
      <c r="AO100" s="90"/>
      <c r="AP100" s="90"/>
      <c r="AQ100" s="91"/>
      <c r="AR100" s="9" t="s">
        <v>6</v>
      </c>
      <c r="AS100" s="9" t="s">
        <v>8</v>
      </c>
      <c r="AT100" s="9" t="s">
        <v>8</v>
      </c>
      <c r="AU100" s="89" t="s">
        <v>9</v>
      </c>
      <c r="AV100" s="90"/>
      <c r="AW100" s="90"/>
      <c r="AX100" s="91"/>
      <c r="AY100" s="89" t="s">
        <v>8</v>
      </c>
      <c r="AZ100" s="90"/>
      <c r="BA100" s="90"/>
      <c r="BB100" s="91"/>
      <c r="BC100" s="95" t="s">
        <v>8</v>
      </c>
      <c r="BD100" s="96"/>
      <c r="BE100" s="96"/>
      <c r="BF100" s="96"/>
      <c r="BG100" s="96"/>
      <c r="BH100" s="96"/>
      <c r="BI100" s="96"/>
      <c r="BJ100" s="97"/>
      <c r="BK100" s="6"/>
    </row>
    <row r="101" spans="1:63" ht="48" customHeight="1" x14ac:dyDescent="0.25">
      <c r="A101" s="5"/>
      <c r="B101" s="89">
        <v>49</v>
      </c>
      <c r="C101" s="91"/>
      <c r="D101" s="112" t="s">
        <v>55</v>
      </c>
      <c r="E101" s="113"/>
      <c r="F101" s="113"/>
      <c r="G101" s="113"/>
      <c r="H101" s="113"/>
      <c r="I101" s="113"/>
      <c r="J101" s="114"/>
      <c r="K101" s="115" t="s">
        <v>5</v>
      </c>
      <c r="L101" s="102"/>
      <c r="M101" s="103"/>
      <c r="N101" s="8" t="s">
        <v>10</v>
      </c>
      <c r="O101" s="8" t="s">
        <v>6</v>
      </c>
      <c r="P101" s="89" t="s">
        <v>65</v>
      </c>
      <c r="Q101" s="90"/>
      <c r="R101" s="90"/>
      <c r="S101" s="91"/>
      <c r="T101" s="92" t="s">
        <v>153</v>
      </c>
      <c r="U101" s="93"/>
      <c r="V101" s="93"/>
      <c r="W101" s="94"/>
      <c r="X101" s="106" t="s">
        <v>6</v>
      </c>
      <c r="Y101" s="107"/>
      <c r="Z101" s="108"/>
      <c r="AA101" s="89" t="s">
        <v>8</v>
      </c>
      <c r="AB101" s="90"/>
      <c r="AC101" s="90"/>
      <c r="AD101" s="90"/>
      <c r="AE101" s="90"/>
      <c r="AF101" s="90"/>
      <c r="AG101" s="90"/>
      <c r="AH101" s="91"/>
      <c r="AI101" s="89" t="s">
        <v>8</v>
      </c>
      <c r="AJ101" s="90"/>
      <c r="AK101" s="90"/>
      <c r="AL101" s="90"/>
      <c r="AM101" s="90"/>
      <c r="AN101" s="90"/>
      <c r="AO101" s="90"/>
      <c r="AP101" s="90"/>
      <c r="AQ101" s="91"/>
      <c r="AR101" s="9" t="s">
        <v>6</v>
      </c>
      <c r="AS101" s="9" t="s">
        <v>8</v>
      </c>
      <c r="AT101" s="9" t="s">
        <v>8</v>
      </c>
      <c r="AU101" s="89" t="s">
        <v>9</v>
      </c>
      <c r="AV101" s="90"/>
      <c r="AW101" s="90"/>
      <c r="AX101" s="91"/>
      <c r="AY101" s="89" t="s">
        <v>8</v>
      </c>
      <c r="AZ101" s="90"/>
      <c r="BA101" s="90"/>
      <c r="BB101" s="91"/>
      <c r="BC101" s="95" t="s">
        <v>8</v>
      </c>
      <c r="BD101" s="96"/>
      <c r="BE101" s="96"/>
      <c r="BF101" s="96"/>
      <c r="BG101" s="96"/>
      <c r="BH101" s="96"/>
      <c r="BI101" s="96"/>
      <c r="BJ101" s="97"/>
      <c r="BK101" s="6"/>
    </row>
    <row r="102" spans="1:63" ht="51.75" customHeight="1" x14ac:dyDescent="0.25">
      <c r="A102" s="5"/>
      <c r="B102" s="89">
        <v>50</v>
      </c>
      <c r="C102" s="91"/>
      <c r="D102" s="112" t="s">
        <v>56</v>
      </c>
      <c r="E102" s="113"/>
      <c r="F102" s="113"/>
      <c r="G102" s="113"/>
      <c r="H102" s="113"/>
      <c r="I102" s="113"/>
      <c r="J102" s="114"/>
      <c r="K102" s="115" t="s">
        <v>5</v>
      </c>
      <c r="L102" s="102"/>
      <c r="M102" s="103"/>
      <c r="N102" s="8" t="s">
        <v>10</v>
      </c>
      <c r="O102" s="8" t="s">
        <v>6</v>
      </c>
      <c r="P102" s="89" t="s">
        <v>65</v>
      </c>
      <c r="Q102" s="90"/>
      <c r="R102" s="90"/>
      <c r="S102" s="91"/>
      <c r="T102" s="92" t="s">
        <v>154</v>
      </c>
      <c r="U102" s="93"/>
      <c r="V102" s="93"/>
      <c r="W102" s="94"/>
      <c r="X102" s="106" t="s">
        <v>6</v>
      </c>
      <c r="Y102" s="107"/>
      <c r="Z102" s="108"/>
      <c r="AA102" s="89" t="s">
        <v>8</v>
      </c>
      <c r="AB102" s="90"/>
      <c r="AC102" s="90"/>
      <c r="AD102" s="90"/>
      <c r="AE102" s="90"/>
      <c r="AF102" s="90"/>
      <c r="AG102" s="90"/>
      <c r="AH102" s="91"/>
      <c r="AI102" s="89" t="s">
        <v>8</v>
      </c>
      <c r="AJ102" s="90"/>
      <c r="AK102" s="90"/>
      <c r="AL102" s="90"/>
      <c r="AM102" s="90"/>
      <c r="AN102" s="90"/>
      <c r="AO102" s="90"/>
      <c r="AP102" s="90"/>
      <c r="AQ102" s="91"/>
      <c r="AR102" s="9" t="s">
        <v>6</v>
      </c>
      <c r="AS102" s="9" t="s">
        <v>8</v>
      </c>
      <c r="AT102" s="9" t="s">
        <v>8</v>
      </c>
      <c r="AU102" s="89" t="s">
        <v>9</v>
      </c>
      <c r="AV102" s="90"/>
      <c r="AW102" s="90"/>
      <c r="AX102" s="91"/>
      <c r="AY102" s="89" t="s">
        <v>8</v>
      </c>
      <c r="AZ102" s="90"/>
      <c r="BA102" s="90"/>
      <c r="BB102" s="91"/>
      <c r="BC102" s="95" t="s">
        <v>8</v>
      </c>
      <c r="BD102" s="96"/>
      <c r="BE102" s="96"/>
      <c r="BF102" s="96"/>
      <c r="BG102" s="96"/>
      <c r="BH102" s="96"/>
      <c r="BI102" s="96"/>
      <c r="BJ102" s="97"/>
      <c r="BK102" s="6"/>
    </row>
    <row r="103" spans="1:63" ht="59.25" customHeight="1" x14ac:dyDescent="0.25">
      <c r="A103" s="5"/>
      <c r="B103" s="89">
        <v>51</v>
      </c>
      <c r="C103" s="91"/>
      <c r="D103" s="112" t="s">
        <v>57</v>
      </c>
      <c r="E103" s="113"/>
      <c r="F103" s="113"/>
      <c r="G103" s="113"/>
      <c r="H103" s="113"/>
      <c r="I103" s="113"/>
      <c r="J103" s="114"/>
      <c r="K103" s="115" t="s">
        <v>5</v>
      </c>
      <c r="L103" s="102"/>
      <c r="M103" s="103"/>
      <c r="N103" s="8" t="s">
        <v>10</v>
      </c>
      <c r="O103" s="8" t="s">
        <v>6</v>
      </c>
      <c r="P103" s="89" t="s">
        <v>65</v>
      </c>
      <c r="Q103" s="90"/>
      <c r="R103" s="90"/>
      <c r="S103" s="91"/>
      <c r="T103" s="92" t="s">
        <v>155</v>
      </c>
      <c r="U103" s="93"/>
      <c r="V103" s="93"/>
      <c r="W103" s="94"/>
      <c r="X103" s="106" t="s">
        <v>6</v>
      </c>
      <c r="Y103" s="107"/>
      <c r="Z103" s="108"/>
      <c r="AA103" s="89" t="s">
        <v>8</v>
      </c>
      <c r="AB103" s="90"/>
      <c r="AC103" s="90"/>
      <c r="AD103" s="90"/>
      <c r="AE103" s="90"/>
      <c r="AF103" s="90"/>
      <c r="AG103" s="90"/>
      <c r="AH103" s="91"/>
      <c r="AI103" s="89" t="s">
        <v>8</v>
      </c>
      <c r="AJ103" s="90"/>
      <c r="AK103" s="90"/>
      <c r="AL103" s="90"/>
      <c r="AM103" s="90"/>
      <c r="AN103" s="90"/>
      <c r="AO103" s="90"/>
      <c r="AP103" s="90"/>
      <c r="AQ103" s="91"/>
      <c r="AR103" s="9" t="s">
        <v>6</v>
      </c>
      <c r="AS103" s="9" t="s">
        <v>8</v>
      </c>
      <c r="AT103" s="9" t="s">
        <v>8</v>
      </c>
      <c r="AU103" s="89" t="s">
        <v>9</v>
      </c>
      <c r="AV103" s="90"/>
      <c r="AW103" s="90"/>
      <c r="AX103" s="91"/>
      <c r="AY103" s="89" t="s">
        <v>8</v>
      </c>
      <c r="AZ103" s="90"/>
      <c r="BA103" s="90"/>
      <c r="BB103" s="91"/>
      <c r="BC103" s="95" t="s">
        <v>8</v>
      </c>
      <c r="BD103" s="96"/>
      <c r="BE103" s="96"/>
      <c r="BF103" s="96"/>
      <c r="BG103" s="96"/>
      <c r="BH103" s="96"/>
      <c r="BI103" s="96"/>
      <c r="BJ103" s="97"/>
      <c r="BK103" s="6"/>
    </row>
    <row r="104" spans="1:63" ht="48" customHeight="1" x14ac:dyDescent="0.25">
      <c r="A104" s="5"/>
      <c r="B104" s="89">
        <v>52</v>
      </c>
      <c r="C104" s="91"/>
      <c r="D104" s="112" t="s">
        <v>58</v>
      </c>
      <c r="E104" s="113"/>
      <c r="F104" s="113"/>
      <c r="G104" s="113"/>
      <c r="H104" s="113"/>
      <c r="I104" s="113"/>
      <c r="J104" s="114"/>
      <c r="K104" s="115" t="s">
        <v>5</v>
      </c>
      <c r="L104" s="102"/>
      <c r="M104" s="103"/>
      <c r="N104" s="8" t="s">
        <v>10</v>
      </c>
      <c r="O104" s="8" t="s">
        <v>6</v>
      </c>
      <c r="P104" s="89" t="s">
        <v>65</v>
      </c>
      <c r="Q104" s="90"/>
      <c r="R104" s="90"/>
      <c r="S104" s="91"/>
      <c r="T104" s="92" t="s">
        <v>156</v>
      </c>
      <c r="U104" s="93"/>
      <c r="V104" s="93"/>
      <c r="W104" s="94"/>
      <c r="X104" s="106" t="s">
        <v>6</v>
      </c>
      <c r="Y104" s="107"/>
      <c r="Z104" s="108"/>
      <c r="AA104" s="89" t="s">
        <v>8</v>
      </c>
      <c r="AB104" s="90"/>
      <c r="AC104" s="90"/>
      <c r="AD104" s="90"/>
      <c r="AE104" s="90"/>
      <c r="AF104" s="90"/>
      <c r="AG104" s="90"/>
      <c r="AH104" s="91"/>
      <c r="AI104" s="89" t="s">
        <v>8</v>
      </c>
      <c r="AJ104" s="90"/>
      <c r="AK104" s="90"/>
      <c r="AL104" s="90"/>
      <c r="AM104" s="90"/>
      <c r="AN104" s="90"/>
      <c r="AO104" s="90"/>
      <c r="AP104" s="90"/>
      <c r="AQ104" s="91"/>
      <c r="AR104" s="9" t="s">
        <v>6</v>
      </c>
      <c r="AS104" s="9" t="s">
        <v>8</v>
      </c>
      <c r="AT104" s="9" t="s">
        <v>8</v>
      </c>
      <c r="AU104" s="89" t="s">
        <v>9</v>
      </c>
      <c r="AV104" s="90"/>
      <c r="AW104" s="90"/>
      <c r="AX104" s="91"/>
      <c r="AY104" s="89" t="s">
        <v>8</v>
      </c>
      <c r="AZ104" s="90"/>
      <c r="BA104" s="90"/>
      <c r="BB104" s="91"/>
      <c r="BC104" s="95" t="s">
        <v>8</v>
      </c>
      <c r="BD104" s="96"/>
      <c r="BE104" s="96"/>
      <c r="BF104" s="96"/>
      <c r="BG104" s="96"/>
      <c r="BH104" s="96"/>
      <c r="BI104" s="96"/>
      <c r="BJ104" s="97"/>
      <c r="BK104" s="6"/>
    </row>
    <row r="105" spans="1:63" ht="45" customHeight="1" x14ac:dyDescent="0.25">
      <c r="A105" s="5"/>
      <c r="B105" s="89">
        <v>53</v>
      </c>
      <c r="C105" s="91"/>
      <c r="D105" s="112" t="s">
        <v>59</v>
      </c>
      <c r="E105" s="113"/>
      <c r="F105" s="113"/>
      <c r="G105" s="113"/>
      <c r="H105" s="113"/>
      <c r="I105" s="113"/>
      <c r="J105" s="114"/>
      <c r="K105" s="115" t="s">
        <v>5</v>
      </c>
      <c r="L105" s="102"/>
      <c r="M105" s="103"/>
      <c r="N105" s="8" t="s">
        <v>10</v>
      </c>
      <c r="O105" s="8" t="s">
        <v>6</v>
      </c>
      <c r="P105" s="89" t="s">
        <v>65</v>
      </c>
      <c r="Q105" s="90"/>
      <c r="R105" s="90"/>
      <c r="S105" s="91"/>
      <c r="T105" s="92" t="s">
        <v>157</v>
      </c>
      <c r="U105" s="93"/>
      <c r="V105" s="93"/>
      <c r="W105" s="94"/>
      <c r="X105" s="106" t="s">
        <v>6</v>
      </c>
      <c r="Y105" s="107"/>
      <c r="Z105" s="108"/>
      <c r="AA105" s="89" t="s">
        <v>8</v>
      </c>
      <c r="AB105" s="90"/>
      <c r="AC105" s="90"/>
      <c r="AD105" s="90"/>
      <c r="AE105" s="90"/>
      <c r="AF105" s="90"/>
      <c r="AG105" s="90"/>
      <c r="AH105" s="91"/>
      <c r="AI105" s="89" t="s">
        <v>8</v>
      </c>
      <c r="AJ105" s="90"/>
      <c r="AK105" s="90"/>
      <c r="AL105" s="90"/>
      <c r="AM105" s="90"/>
      <c r="AN105" s="90"/>
      <c r="AO105" s="90"/>
      <c r="AP105" s="90"/>
      <c r="AQ105" s="91"/>
      <c r="AR105" s="9" t="s">
        <v>6</v>
      </c>
      <c r="AS105" s="9" t="s">
        <v>8</v>
      </c>
      <c r="AT105" s="9" t="s">
        <v>8</v>
      </c>
      <c r="AU105" s="89" t="s">
        <v>9</v>
      </c>
      <c r="AV105" s="90"/>
      <c r="AW105" s="90"/>
      <c r="AX105" s="91"/>
      <c r="AY105" s="89" t="s">
        <v>8</v>
      </c>
      <c r="AZ105" s="90"/>
      <c r="BA105" s="90"/>
      <c r="BB105" s="91"/>
      <c r="BC105" s="95" t="s">
        <v>8</v>
      </c>
      <c r="BD105" s="96"/>
      <c r="BE105" s="96"/>
      <c r="BF105" s="96"/>
      <c r="BG105" s="96"/>
      <c r="BH105" s="96"/>
      <c r="BI105" s="96"/>
      <c r="BJ105" s="97"/>
      <c r="BK105" s="6"/>
    </row>
    <row r="106" spans="1:63" ht="47.25" customHeight="1" x14ac:dyDescent="0.25">
      <c r="A106" s="5"/>
      <c r="B106" s="89">
        <v>54</v>
      </c>
      <c r="C106" s="91"/>
      <c r="D106" s="112" t="s">
        <v>60</v>
      </c>
      <c r="E106" s="113"/>
      <c r="F106" s="113"/>
      <c r="G106" s="113"/>
      <c r="H106" s="113"/>
      <c r="I106" s="113"/>
      <c r="J106" s="114"/>
      <c r="K106" s="115" t="s">
        <v>5</v>
      </c>
      <c r="L106" s="102"/>
      <c r="M106" s="103"/>
      <c r="N106" s="8" t="s">
        <v>10</v>
      </c>
      <c r="O106" s="8" t="s">
        <v>6</v>
      </c>
      <c r="P106" s="89" t="s">
        <v>65</v>
      </c>
      <c r="Q106" s="90"/>
      <c r="R106" s="90"/>
      <c r="S106" s="91"/>
      <c r="T106" s="92" t="s">
        <v>158</v>
      </c>
      <c r="U106" s="93"/>
      <c r="V106" s="93"/>
      <c r="W106" s="94"/>
      <c r="X106" s="106" t="s">
        <v>6</v>
      </c>
      <c r="Y106" s="107"/>
      <c r="Z106" s="108"/>
      <c r="AA106" s="89" t="s">
        <v>8</v>
      </c>
      <c r="AB106" s="90"/>
      <c r="AC106" s="90"/>
      <c r="AD106" s="90"/>
      <c r="AE106" s="90"/>
      <c r="AF106" s="90"/>
      <c r="AG106" s="90"/>
      <c r="AH106" s="91"/>
      <c r="AI106" s="89" t="s">
        <v>8</v>
      </c>
      <c r="AJ106" s="90"/>
      <c r="AK106" s="90"/>
      <c r="AL106" s="90"/>
      <c r="AM106" s="90"/>
      <c r="AN106" s="90"/>
      <c r="AO106" s="90"/>
      <c r="AP106" s="90"/>
      <c r="AQ106" s="91"/>
      <c r="AR106" s="9" t="s">
        <v>6</v>
      </c>
      <c r="AS106" s="9" t="s">
        <v>8</v>
      </c>
      <c r="AT106" s="9" t="s">
        <v>8</v>
      </c>
      <c r="AU106" s="89" t="s">
        <v>9</v>
      </c>
      <c r="AV106" s="90"/>
      <c r="AW106" s="90"/>
      <c r="AX106" s="91"/>
      <c r="AY106" s="89" t="s">
        <v>8</v>
      </c>
      <c r="AZ106" s="90"/>
      <c r="BA106" s="90"/>
      <c r="BB106" s="91"/>
      <c r="BC106" s="95" t="s">
        <v>8</v>
      </c>
      <c r="BD106" s="96"/>
      <c r="BE106" s="96"/>
      <c r="BF106" s="96"/>
      <c r="BG106" s="96"/>
      <c r="BH106" s="96"/>
      <c r="BI106" s="96"/>
      <c r="BJ106" s="97"/>
      <c r="BK106" s="6"/>
    </row>
    <row r="107" spans="1:63" ht="73.5" customHeight="1" x14ac:dyDescent="0.25">
      <c r="A107" s="5"/>
      <c r="B107" s="89">
        <v>55</v>
      </c>
      <c r="C107" s="91"/>
      <c r="D107" s="98" t="s">
        <v>62</v>
      </c>
      <c r="E107" s="99"/>
      <c r="F107" s="99"/>
      <c r="G107" s="99"/>
      <c r="H107" s="99"/>
      <c r="I107" s="99"/>
      <c r="J107" s="100"/>
      <c r="K107" s="115" t="s">
        <v>5</v>
      </c>
      <c r="L107" s="102"/>
      <c r="M107" s="103"/>
      <c r="N107" s="8" t="s">
        <v>6</v>
      </c>
      <c r="O107" s="8" t="s">
        <v>7</v>
      </c>
      <c r="P107" s="89" t="s">
        <v>9</v>
      </c>
      <c r="Q107" s="90"/>
      <c r="R107" s="90"/>
      <c r="S107" s="91"/>
      <c r="T107" s="104" t="s">
        <v>6</v>
      </c>
      <c r="U107" s="90"/>
      <c r="V107" s="90"/>
      <c r="W107" s="91"/>
      <c r="X107" s="106" t="s">
        <v>159</v>
      </c>
      <c r="Y107" s="107"/>
      <c r="Z107" s="108"/>
      <c r="AA107" s="89" t="s">
        <v>8</v>
      </c>
      <c r="AB107" s="90"/>
      <c r="AC107" s="90"/>
      <c r="AD107" s="90"/>
      <c r="AE107" s="90"/>
      <c r="AF107" s="90"/>
      <c r="AG107" s="90"/>
      <c r="AH107" s="91"/>
      <c r="AI107" s="89" t="s">
        <v>8</v>
      </c>
      <c r="AJ107" s="90"/>
      <c r="AK107" s="90"/>
      <c r="AL107" s="90"/>
      <c r="AM107" s="90"/>
      <c r="AN107" s="90"/>
      <c r="AO107" s="90"/>
      <c r="AP107" s="90"/>
      <c r="AQ107" s="91"/>
      <c r="AR107" s="9" t="s">
        <v>6</v>
      </c>
      <c r="AS107" s="9" t="s">
        <v>8</v>
      </c>
      <c r="AT107" s="9" t="s">
        <v>8</v>
      </c>
      <c r="AU107" s="89" t="s">
        <v>9</v>
      </c>
      <c r="AV107" s="90"/>
      <c r="AW107" s="90"/>
      <c r="AX107" s="91"/>
      <c r="AY107" s="89" t="s">
        <v>8</v>
      </c>
      <c r="AZ107" s="90"/>
      <c r="BA107" s="90"/>
      <c r="BB107" s="91"/>
      <c r="BC107" s="199" t="s">
        <v>63</v>
      </c>
      <c r="BD107" s="200"/>
      <c r="BE107" s="200"/>
      <c r="BF107" s="200"/>
      <c r="BG107" s="200"/>
      <c r="BH107" s="200"/>
      <c r="BI107" s="200"/>
      <c r="BJ107" s="201"/>
      <c r="BK107" s="6"/>
    </row>
    <row r="108" spans="1:63" ht="75.75" customHeight="1" x14ac:dyDescent="0.25">
      <c r="A108" s="5"/>
      <c r="B108" s="192">
        <v>56</v>
      </c>
      <c r="C108" s="193"/>
      <c r="D108" s="194" t="s">
        <v>61</v>
      </c>
      <c r="E108" s="195"/>
      <c r="F108" s="195"/>
      <c r="G108" s="195"/>
      <c r="H108" s="195"/>
      <c r="I108" s="195"/>
      <c r="J108" s="196"/>
      <c r="K108" s="205" t="s">
        <v>5</v>
      </c>
      <c r="L108" s="206"/>
      <c r="M108" s="207"/>
      <c r="N108" s="10" t="s">
        <v>6</v>
      </c>
      <c r="O108" s="10" t="s">
        <v>7</v>
      </c>
      <c r="P108" s="192" t="s">
        <v>9</v>
      </c>
      <c r="Q108" s="197"/>
      <c r="R108" s="197"/>
      <c r="S108" s="193"/>
      <c r="T108" s="198" t="s">
        <v>6</v>
      </c>
      <c r="U108" s="197"/>
      <c r="V108" s="197"/>
      <c r="W108" s="193"/>
      <c r="X108" s="202" t="s">
        <v>160</v>
      </c>
      <c r="Y108" s="203"/>
      <c r="Z108" s="204"/>
      <c r="AA108" s="192" t="s">
        <v>8</v>
      </c>
      <c r="AB108" s="197"/>
      <c r="AC108" s="197"/>
      <c r="AD108" s="197"/>
      <c r="AE108" s="197"/>
      <c r="AF108" s="197"/>
      <c r="AG108" s="197"/>
      <c r="AH108" s="193"/>
      <c r="AI108" s="192" t="s">
        <v>8</v>
      </c>
      <c r="AJ108" s="197"/>
      <c r="AK108" s="197"/>
      <c r="AL108" s="197"/>
      <c r="AM108" s="197"/>
      <c r="AN108" s="197"/>
      <c r="AO108" s="197"/>
      <c r="AP108" s="197"/>
      <c r="AQ108" s="193"/>
      <c r="AR108" s="11" t="s">
        <v>6</v>
      </c>
      <c r="AS108" s="11" t="s">
        <v>8</v>
      </c>
      <c r="AT108" s="11" t="s">
        <v>8</v>
      </c>
      <c r="AU108" s="192" t="s">
        <v>9</v>
      </c>
      <c r="AV108" s="197"/>
      <c r="AW108" s="197"/>
      <c r="AX108" s="193"/>
      <c r="AY108" s="192" t="s">
        <v>8</v>
      </c>
      <c r="AZ108" s="197"/>
      <c r="BA108" s="197"/>
      <c r="BB108" s="193"/>
      <c r="BC108" s="189" t="s">
        <v>73</v>
      </c>
      <c r="BD108" s="190"/>
      <c r="BE108" s="190"/>
      <c r="BF108" s="190"/>
      <c r="BG108" s="190"/>
      <c r="BH108" s="190"/>
      <c r="BI108" s="190"/>
      <c r="BJ108" s="191"/>
      <c r="BK108" s="6"/>
    </row>
    <row r="109" spans="1:63" x14ac:dyDescent="0.25">
      <c r="A109" s="5"/>
      <c r="BK109" s="6"/>
    </row>
    <row r="110" spans="1:63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4"/>
    </row>
  </sheetData>
  <mergeCells count="667">
    <mergeCell ref="AY107:BB107"/>
    <mergeCell ref="X108:Z108"/>
    <mergeCell ref="K108:M108"/>
    <mergeCell ref="X107:Z107"/>
    <mergeCell ref="AU107:AX107"/>
    <mergeCell ref="AY105:BB105"/>
    <mergeCell ref="X106:Z106"/>
    <mergeCell ref="AU106:AX106"/>
    <mergeCell ref="AY106:BB106"/>
    <mergeCell ref="K106:M106"/>
    <mergeCell ref="P106:S106"/>
    <mergeCell ref="T106:W106"/>
    <mergeCell ref="X105:Z105"/>
    <mergeCell ref="AU105:AX105"/>
    <mergeCell ref="AY108:BB108"/>
    <mergeCell ref="AY103:BB103"/>
    <mergeCell ref="X104:Z104"/>
    <mergeCell ref="AU104:AX104"/>
    <mergeCell ref="AY104:BB104"/>
    <mergeCell ref="K104:M104"/>
    <mergeCell ref="P104:S104"/>
    <mergeCell ref="T104:W104"/>
    <mergeCell ref="X103:Z103"/>
    <mergeCell ref="AU103:AX103"/>
    <mergeCell ref="K103:M103"/>
    <mergeCell ref="P103:S103"/>
    <mergeCell ref="T103:W103"/>
    <mergeCell ref="AA103:AH103"/>
    <mergeCell ref="AI103:AQ103"/>
    <mergeCell ref="BC108:BJ108"/>
    <mergeCell ref="B108:C108"/>
    <mergeCell ref="D108:J108"/>
    <mergeCell ref="P108:S108"/>
    <mergeCell ref="T108:W108"/>
    <mergeCell ref="AA108:AH108"/>
    <mergeCell ref="AI108:AQ108"/>
    <mergeCell ref="AU108:AX108"/>
    <mergeCell ref="AY84:BB84"/>
    <mergeCell ref="BC84:BJ84"/>
    <mergeCell ref="B107:C107"/>
    <mergeCell ref="D107:J107"/>
    <mergeCell ref="K107:M107"/>
    <mergeCell ref="P107:S107"/>
    <mergeCell ref="T107:W107"/>
    <mergeCell ref="AA107:AH107"/>
    <mergeCell ref="AI107:AQ107"/>
    <mergeCell ref="BC107:BJ107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BC105:BJ105"/>
    <mergeCell ref="B106:C106"/>
    <mergeCell ref="D106:J106"/>
    <mergeCell ref="AA106:AH106"/>
    <mergeCell ref="AI106:AQ106"/>
    <mergeCell ref="BC106:BJ106"/>
    <mergeCell ref="B105:C105"/>
    <mergeCell ref="D105:J105"/>
    <mergeCell ref="K105:M105"/>
    <mergeCell ref="P105:S105"/>
    <mergeCell ref="T105:W105"/>
    <mergeCell ref="AA105:AH105"/>
    <mergeCell ref="AI105:AQ105"/>
    <mergeCell ref="BC103:BJ103"/>
    <mergeCell ref="B104:C104"/>
    <mergeCell ref="D104:J104"/>
    <mergeCell ref="AA104:AH104"/>
    <mergeCell ref="AI104:AQ104"/>
    <mergeCell ref="BC104:BJ104"/>
    <mergeCell ref="B103:C103"/>
    <mergeCell ref="D103:J103"/>
    <mergeCell ref="BC101:BJ101"/>
    <mergeCell ref="B102:C102"/>
    <mergeCell ref="D102:J102"/>
    <mergeCell ref="AA102:AH102"/>
    <mergeCell ref="AI102:AQ102"/>
    <mergeCell ref="BC102:BJ102"/>
    <mergeCell ref="B101:C101"/>
    <mergeCell ref="D101:J101"/>
    <mergeCell ref="K101:M101"/>
    <mergeCell ref="P101:S101"/>
    <mergeCell ref="T101:W101"/>
    <mergeCell ref="AA101:AH101"/>
    <mergeCell ref="AI101:AQ101"/>
    <mergeCell ref="AY101:BB101"/>
    <mergeCell ref="X102:Z102"/>
    <mergeCell ref="AU102:AX102"/>
    <mergeCell ref="AY102:BB102"/>
    <mergeCell ref="K102:M102"/>
    <mergeCell ref="P102:S102"/>
    <mergeCell ref="T102:W102"/>
    <mergeCell ref="X101:Z101"/>
    <mergeCell ref="AU101:AX101"/>
    <mergeCell ref="BC99:BJ99"/>
    <mergeCell ref="B100:C100"/>
    <mergeCell ref="D100:J100"/>
    <mergeCell ref="AA100:AH100"/>
    <mergeCell ref="AI100:AQ100"/>
    <mergeCell ref="BC100:BJ100"/>
    <mergeCell ref="B99:C99"/>
    <mergeCell ref="D99:J99"/>
    <mergeCell ref="K99:M99"/>
    <mergeCell ref="P99:S99"/>
    <mergeCell ref="T99:W99"/>
    <mergeCell ref="AA99:AH99"/>
    <mergeCell ref="AI99:AQ99"/>
    <mergeCell ref="AY99:BB99"/>
    <mergeCell ref="X100:Z100"/>
    <mergeCell ref="AU100:AX100"/>
    <mergeCell ref="AY100:BB100"/>
    <mergeCell ref="K100:M100"/>
    <mergeCell ref="P100:S100"/>
    <mergeCell ref="T100:W100"/>
    <mergeCell ref="X99:Z99"/>
    <mergeCell ref="AU99:AX99"/>
    <mergeCell ref="AY97:BB97"/>
    <mergeCell ref="BC97:BJ97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89:BB89"/>
    <mergeCell ref="BC89:BJ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BC75:BJ75"/>
    <mergeCell ref="K76:M76"/>
    <mergeCell ref="P76:S76"/>
    <mergeCell ref="T76:W76"/>
    <mergeCell ref="X75:Z75"/>
    <mergeCell ref="BC76:BJ76"/>
    <mergeCell ref="K75:M75"/>
    <mergeCell ref="P75:S75"/>
    <mergeCell ref="X74:Z74"/>
    <mergeCell ref="AY75:BB75"/>
    <mergeCell ref="AU75:AX75"/>
    <mergeCell ref="AY76:BB76"/>
    <mergeCell ref="X76:Z76"/>
    <mergeCell ref="AU76:AX76"/>
    <mergeCell ref="BC74:BJ74"/>
    <mergeCell ref="AA83:AH83"/>
    <mergeCell ref="AY83:BB83"/>
    <mergeCell ref="BC83:BJ83"/>
    <mergeCell ref="B83:C83"/>
    <mergeCell ref="D83:J83"/>
    <mergeCell ref="K83:M83"/>
    <mergeCell ref="P83:S83"/>
    <mergeCell ref="T83:W83"/>
    <mergeCell ref="X83:Z83"/>
    <mergeCell ref="AI83:AQ83"/>
    <mergeCell ref="AU83:AX83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AA77:AH77"/>
    <mergeCell ref="AI77:AQ77"/>
    <mergeCell ref="X77:Z77"/>
    <mergeCell ref="AU77:AX77"/>
    <mergeCell ref="AY77:BB77"/>
    <mergeCell ref="K77:M77"/>
    <mergeCell ref="P77:S77"/>
    <mergeCell ref="T77:W77"/>
    <mergeCell ref="B76:C76"/>
    <mergeCell ref="D76:J76"/>
    <mergeCell ref="AA76:AH76"/>
    <mergeCell ref="AI76:AQ76"/>
    <mergeCell ref="B75:C75"/>
    <mergeCell ref="D75:J75"/>
    <mergeCell ref="T75:W75"/>
    <mergeCell ref="AA75:AH75"/>
    <mergeCell ref="AI75:AQ75"/>
    <mergeCell ref="AY72:BB72"/>
    <mergeCell ref="BC72:BJ72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3:BB73"/>
    <mergeCell ref="BC73:BJ73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B74:C74"/>
    <mergeCell ref="D74:J74"/>
    <mergeCell ref="K74:M74"/>
    <mergeCell ref="P74:S74"/>
    <mergeCell ref="T74:W74"/>
    <mergeCell ref="AA74:AH74"/>
    <mergeCell ref="AI74:AQ74"/>
    <mergeCell ref="AU74:AX74"/>
    <mergeCell ref="AY74:BB74"/>
    <mergeCell ref="AY70:BB70"/>
    <mergeCell ref="BC70:BJ70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1:BB71"/>
    <mergeCell ref="BC71:BJ71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8:BB68"/>
    <mergeCell ref="BC68:BJ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9:BB69"/>
    <mergeCell ref="BC69:BJ69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6:BB66"/>
    <mergeCell ref="BC66:BJ66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7:BB67"/>
    <mergeCell ref="BC67:BJ67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4:BJ64"/>
    <mergeCell ref="AY62:BB62"/>
    <mergeCell ref="BC62:BJ62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58:BB58"/>
    <mergeCell ref="BC58:BJ58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AA57:AH57"/>
    <mergeCell ref="AI57:AQ57"/>
    <mergeCell ref="AU57:AX57"/>
    <mergeCell ref="AY57:BB57"/>
    <mergeCell ref="BC57:BJ57"/>
    <mergeCell ref="B57:C57"/>
    <mergeCell ref="D57:J57"/>
    <mergeCell ref="K57:M57"/>
    <mergeCell ref="P57:S57"/>
    <mergeCell ref="T57:W57"/>
    <mergeCell ref="X57:Z57"/>
  </mergeCells>
  <dataValidations count="1">
    <dataValidation type="list" allowBlank="1" showInputMessage="1" showErrorMessage="1" sqref="O52:O108" xr:uid="{00000000-0002-0000-0200-000000000000}">
      <formula1>"－,●"</formula1>
    </dataValidation>
  </dataValidations>
  <pageMargins left="0.7" right="0.7" top="0.75" bottom="0.75" header="0.3" footer="0.3"/>
  <pageSetup scale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SC3301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2024-11-25T03:26:33Z</dcterms:modified>
  <cp:category/>
  <cp:contentStatus/>
</cp:coreProperties>
</file>