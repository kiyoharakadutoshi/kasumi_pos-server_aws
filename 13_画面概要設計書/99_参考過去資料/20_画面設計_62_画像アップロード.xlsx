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Pos system\20_画面設計\"/>
    </mc:Choice>
  </mc:AlternateContent>
  <xr:revisionPtr revIDLastSave="0" documentId="13_ncr:1_{2E965D3B-A797-42B1-9253-FF3207F3CB6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SC6201" sheetId="7" r:id="rId3"/>
  </sheets>
  <definedNames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3" a="1"/>
  <c r="AP4" i="3" s="1"/>
  <c r="Z4" i="3"/>
  <c r="H4" i="3"/>
  <c r="K2" i="3"/>
  <c r="A2" i="3"/>
  <c r="W1" i="3"/>
  <c r="L24" i="4"/>
  <c r="AP4" i="4" a="1"/>
  <c r="AP4" i="4" s="1"/>
  <c r="BH2" i="4"/>
  <c r="BH2" i="7" s="1"/>
  <c r="BC2" i="4"/>
  <c r="BC2" i="7" s="1"/>
  <c r="AY2" i="4"/>
  <c r="AY2" i="7" s="1"/>
  <c r="AT2" i="4"/>
  <c r="AT2" i="7" s="1"/>
  <c r="AP2" i="4"/>
  <c r="AP2" i="7" s="1"/>
  <c r="AP2" i="3" l="1"/>
  <c r="BH2" i="3"/>
  <c r="AT2" i="3"/>
  <c r="AY2" i="3"/>
  <c r="BC2" i="3"/>
</calcChain>
</file>

<file path=xl/sharedStrings.xml><?xml version="1.0" encoding="utf-8"?>
<sst xmlns="http://schemas.openxmlformats.org/spreadsheetml/2006/main" count="366" uniqueCount="106">
  <si>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</si>
  <si>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</si>
  <si>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</si>
  <si>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</si>
  <si>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</si>
  <si>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</si>
  <si>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</si>
  <si>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</si>
  <si>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</si>
  <si>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画面タイトル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</si>
  <si>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</si>
  <si>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</si>
  <si>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画像種別</t>
    </r>
  </si>
  <si>
    <r>
      <rPr>
        <sz val="11"/>
        <color rgb="FF000000"/>
        <rFont val="Meiryo UI"/>
        <family val="2"/>
      </rPr>
      <t>プリセット画像</t>
    </r>
  </si>
  <si>
    <r>
      <rPr>
        <sz val="11"/>
        <color rgb="FF000000"/>
        <rFont val="Meiryo UI"/>
        <family val="2"/>
      </rPr>
      <t>レシートロゴ</t>
    </r>
  </si>
  <si>
    <r>
      <rPr>
        <sz val="11"/>
        <color rgb="FF000000"/>
        <rFont val="Meiryo UI"/>
        <family val="2"/>
      </rPr>
      <t>新規アップロード</t>
    </r>
  </si>
  <si>
    <r>
      <rPr>
        <sz val="11"/>
        <color rgb="FF000000"/>
        <rFont val="Meiryo UI"/>
        <family val="2"/>
      </rPr>
      <t>ファイル選択</t>
    </r>
  </si>
  <si>
    <r>
      <rPr>
        <sz val="11"/>
        <color rgb="FF000000"/>
        <rFont val="Meiryo UI"/>
        <family val="2"/>
      </rPr>
      <t>選択解除</t>
    </r>
  </si>
  <si>
    <r>
      <rPr>
        <sz val="11"/>
        <color rgb="FF000000"/>
        <rFont val="Meiryo UI"/>
        <family val="2"/>
      </rPr>
      <t>アップロード済</t>
    </r>
  </si>
  <si>
    <r>
      <rPr>
        <sz val="11"/>
        <color rgb="FF000000"/>
        <rFont val="Meiryo UI"/>
        <family val="2"/>
      </rPr>
      <t>ファイル名</t>
    </r>
  </si>
  <si>
    <r>
      <rPr>
        <sz val="11"/>
        <color rgb="FF000000"/>
        <rFont val="Meiryo UI"/>
        <family val="2"/>
      </rPr>
      <t>削除</t>
    </r>
  </si>
  <si>
    <r>
      <rPr>
        <sz val="11"/>
        <color rgb="FF000000"/>
        <rFont val="Meiryo UI"/>
        <family val="2"/>
      </rPr>
      <t>選択済のアップロード画像</t>
    </r>
  </si>
  <si>
    <r>
      <rPr>
        <sz val="11"/>
        <color rgb="FF000000"/>
        <rFont val="Meiryo UI"/>
        <family val="2"/>
      </rPr>
      <t>選択済のアップロード画像（アップロードされた）</t>
    </r>
  </si>
  <si>
    <r>
      <rPr>
        <sz val="11"/>
        <color rgb="FF000000"/>
        <rFont val="Meiryo UI"/>
        <family val="2"/>
      </rPr>
      <t>F04:クリア</t>
    </r>
  </si>
  <si>
    <r>
      <rPr>
        <sz val="11"/>
        <color rgb="FF000000"/>
        <rFont val="Meiryo UI"/>
        <family val="2"/>
      </rPr>
      <t>F09:確定</t>
    </r>
  </si>
  <si>
    <r>
      <rPr>
        <sz val="11"/>
        <color rgb="FF000000"/>
        <rFont val="Meiryo UI"/>
        <family val="2"/>
      </rPr>
      <t>image_url</t>
    </r>
  </si>
  <si>
    <r>
      <rPr>
        <sz val="11"/>
        <color rgb="FF000000"/>
        <rFont val="Meiryo UI"/>
        <family val="2"/>
      </rPr>
      <t>62_画像アップロード</t>
    </r>
  </si>
  <si>
    <r>
      <rPr>
        <sz val="11"/>
        <color rgb="FF000000"/>
        <rFont val="Meiryo UI"/>
        <family val="2"/>
      </rPr>
      <t>デフォルト：チェックを入れる</t>
    </r>
  </si>
  <si>
    <r>
      <rPr>
        <sz val="11"/>
        <color rgb="FF000000"/>
        <rFont val="Meiryo UI"/>
        <family val="2"/>
      </rPr>
      <t>デフォルト：チェックを外す</t>
    </r>
  </si>
  <si>
    <r>
      <rPr>
        <sz val="11"/>
        <color rgb="FF000000"/>
        <rFont val="Meiryo UI"/>
        <family val="2"/>
      </rPr>
      <t>デフォルト：有効</t>
    </r>
  </si>
  <si>
    <r>
      <rPr>
        <sz val="11"/>
        <color rgb="FF000000"/>
        <rFont val="Meiryo UI"/>
        <family val="2"/>
      </rPr>
      <t>削除チェックボックス</t>
    </r>
  </si>
  <si>
    <r>
      <rPr>
        <sz val="11"/>
        <color rgb="FF000000"/>
        <rFont val="Meiryo UI"/>
        <family val="2"/>
      </rPr>
      <t>アップロード済のファイル名</t>
    </r>
  </si>
  <si>
    <r>
      <rPr>
        <sz val="11"/>
        <color rgb="FF000000"/>
        <rFont val="Meiryo UI"/>
        <family val="2"/>
      </rPr>
      <t>アップロード画像一覧</t>
    </r>
  </si>
  <si>
    <r>
      <rPr>
        <sz val="11"/>
        <color rgb="FF000000"/>
        <rFont val="Meiryo UI"/>
        <family val="2"/>
      </rPr>
      <t>削除された画像のrecord_id一覧</t>
    </r>
  </si>
  <si>
    <r>
      <rPr>
        <sz val="11"/>
        <color rgb="FF000000"/>
        <rFont val="Meiryo UI"/>
        <family val="2"/>
      </rPr>
      <t>店舗選択エリア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</si>
  <si>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</si>
  <si>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</si>
  <si>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</si>
  <si>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</si>
  <si>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</si>
  <si>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</si>
  <si>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</si>
  <si>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</si>
  <si>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</si>
  <si>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</si>
  <si>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</si>
  <si>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画面設計書</t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</si>
  <si>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</si>
  <si>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</si>
  <si>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</si>
  <si>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</si>
  <si>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</si>
  <si>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SonMNT</t>
  </si>
  <si>
    <t xml:space="preserve">■イメージ </t>
  </si>
  <si>
    <t>■画面項目定義</t>
  </si>
  <si>
    <t>画面項目ID</t>
  </si>
  <si>
    <t>項目</t>
  </si>
  <si>
    <t>タイプ</t>
  </si>
  <si>
    <t>多言語</t>
  </si>
  <si>
    <t>出力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</si>
  <si>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</si>
  <si>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</si>
  <si>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</si>
  <si>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</si>
  <si>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</si>
  <si>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</si>
  <si>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</si>
  <si>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桁</t>
  </si>
  <si>
    <t>API名</t>
  </si>
  <si>
    <t>テキスト</t>
  </si>
  <si>
    <t>画像アップロード</t>
  </si>
  <si>
    <t>ー</t>
  </si>
  <si>
    <t>画像種別 *</t>
  </si>
  <si>
    <t>ラジオ</t>
  </si>
  <si>
    <t>プリセット画像</t>
  </si>
  <si>
    <t>AP6601</t>
  </si>
  <si>
    <t>type</t>
  </si>
  <si>
    <t>レシートロゴ</t>
  </si>
  <si>
    <t>新規アップロード</t>
  </si>
  <si>
    <t>ボタン</t>
  </si>
  <si>
    <t>ファイル選択</t>
  </si>
  <si>
    <r>
      <rPr>
        <sz val="11"/>
        <color rgb="FF000000"/>
        <rFont val="Meiryo UI"/>
        <family val="2"/>
      </rPr>
      <t>イベントID：SC6201-03</t>
    </r>
  </si>
  <si>
    <t>選択解除</t>
  </si>
  <si>
    <r>
      <rPr>
        <sz val="11"/>
        <color rgb="FF000000"/>
        <rFont val="Meiryo UI"/>
        <family val="2"/>
      </rPr>
      <t>イベントID：SC6201-04</t>
    </r>
  </si>
  <si>
    <r>
      <rPr>
        <sz val="11"/>
        <color rgb="FF000000"/>
        <rFont val="Meiryo UI"/>
        <family val="2"/>
      </rPr>
      <t>イベントID：SC6201-05</t>
    </r>
  </si>
  <si>
    <t>files</t>
  </si>
  <si>
    <t>チェックボックス</t>
  </si>
  <si>
    <t>AP1505</t>
  </si>
  <si>
    <t>record_id</t>
  </si>
  <si>
    <t>deleted_image_list</t>
  </si>
  <si>
    <t>file_name</t>
  </si>
  <si>
    <t>イメージ</t>
  </si>
  <si>
    <t>ユーザーがNo.11の画像名をタッチした時に表示する。</t>
  </si>
  <si>
    <t>ユーザーがNo.13の画像名をタッチした時に表示する。</t>
  </si>
  <si>
    <r>
      <rPr>
        <sz val="11"/>
        <color rgb="FF000000"/>
        <rFont val="Meiryo UI"/>
        <family val="2"/>
      </rPr>
      <t>イベントID：SC6201-06</t>
    </r>
  </si>
  <si>
    <r>
      <rPr>
        <sz val="11"/>
        <color rgb="FF000000"/>
        <rFont val="Meiryo UI"/>
        <family val="2"/>
      </rPr>
      <t>イベントID：SC6201-07</t>
    </r>
  </si>
  <si>
    <t>イベントID：SC6201-01</t>
  </si>
  <si>
    <t>20_画面設計_00_共通.xlsxの店舗選択エリアをご参照ください。</t>
  </si>
  <si>
    <t>DuNT</t>
  </si>
  <si>
    <t>SC6201</t>
  </si>
  <si>
    <t>検索条件エリアに検索ボタンを追加する。</t>
  </si>
  <si>
    <t>イベントID：SC6201-02</t>
  </si>
  <si>
    <t>I</t>
  </si>
  <si>
    <t>検索</t>
  </si>
  <si>
    <t>デフォルト：有効</t>
  </si>
  <si>
    <t>イベントID: SC6201-02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</si>
</sst>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6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FF"/>
      <name val="Meiryo UI"/>
      <family val="3"/>
      <charset val="128"/>
    </font>
    <font>
      <sz val="11"/>
      <color rgb="FF0000FF"/>
      <name val="Meiryo UI"/>
      <family val="2"/>
    </font>
    <font>
      <strike/>
      <sz val="11"/>
      <color rgb="FF0000FF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5" fillId="0" borderId="0">
      <alignment vertical="center"/>
    </xf>
  </cellStyleXfs>
  <cellXfs count="294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1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4" fillId="0" borderId="0" xfId="6" applyFont="1" applyAlignment="1">
      <alignment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9" xfId="6" applyFont="1" applyBorder="1" applyAlignment="1">
      <alignment horizontal="center" vertical="center"/>
    </xf>
    <xf numFmtId="0" fontId="3" fillId="0" borderId="20" xfId="6" applyFont="1" applyBorder="1" applyAlignment="1">
      <alignment horizontal="center" vertical="center"/>
    </xf>
    <xf numFmtId="0" fontId="3" fillId="0" borderId="20" xfId="6" applyFont="1" applyBorder="1" applyAlignment="1">
      <alignment vertical="center"/>
    </xf>
    <xf numFmtId="0" fontId="3" fillId="0" borderId="18" xfId="6" applyFont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3" fillId="0" borderId="19" xfId="6" applyFont="1" applyBorder="1" applyAlignment="1">
      <alignment vertical="center"/>
    </xf>
    <xf numFmtId="0" fontId="10" fillId="0" borderId="0" xfId="0" applyFont="1"/>
    <xf numFmtId="0" fontId="10" fillId="0" borderId="2" xfId="0" applyFont="1" applyBorder="1"/>
    <xf numFmtId="0" fontId="10" fillId="0" borderId="3" xfId="0" applyFont="1" applyBorder="1"/>
    <xf numFmtId="0" fontId="10" fillId="0" borderId="5" xfId="0" applyFont="1" applyBorder="1"/>
    <xf numFmtId="0" fontId="10" fillId="0" borderId="1" xfId="0" applyFont="1" applyBorder="1"/>
    <xf numFmtId="0" fontId="10" fillId="0" borderId="4" xfId="0" applyFont="1" applyBorder="1"/>
    <xf numFmtId="0" fontId="10" fillId="0" borderId="7" xfId="0" applyFont="1" applyBorder="1"/>
    <xf numFmtId="0" fontId="10" fillId="0" borderId="8" xfId="0" applyFont="1" applyBorder="1"/>
    <xf numFmtId="0" fontId="10" fillId="0" borderId="11" xfId="0" applyFont="1" applyBorder="1"/>
    <xf numFmtId="0" fontId="10" fillId="0" borderId="6" xfId="0" applyFont="1" applyBorder="1"/>
    <xf numFmtId="0" fontId="10" fillId="0" borderId="12" xfId="0" applyFont="1" applyBorder="1"/>
    <xf numFmtId="0" fontId="10" fillId="0" borderId="14" xfId="0" applyFont="1" applyBorder="1"/>
    <xf numFmtId="0" fontId="10" fillId="0" borderId="15" xfId="0" applyFont="1" applyBorder="1"/>
    <xf numFmtId="0" fontId="10" fillId="0" borderId="9" xfId="0" applyFont="1" applyBorder="1"/>
    <xf numFmtId="0" fontId="10" fillId="0" borderId="10" xfId="0" applyFont="1" applyBorder="1"/>
    <xf numFmtId="0" fontId="10" fillId="0" borderId="13" xfId="0" applyFont="1" applyBorder="1"/>
    <xf numFmtId="0" fontId="10" fillId="0" borderId="0" xfId="6" applyFont="1" applyAlignment="1">
      <alignment vertical="center"/>
    </xf>
    <xf numFmtId="0" fontId="6" fillId="2" borderId="25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2" fontId="10" fillId="0" borderId="22" xfId="0" applyNumberFormat="1" applyFont="1" applyBorder="1" applyAlignment="1">
      <alignment horizontal="center" vertical="center"/>
    </xf>
    <xf numFmtId="2" fontId="10" fillId="0" borderId="23" xfId="0" applyNumberFormat="1" applyFont="1" applyBorder="1" applyAlignment="1">
      <alignment horizontal="center" vertical="center"/>
    </xf>
    <xf numFmtId="2" fontId="10" fillId="0" borderId="24" xfId="0" applyNumberFormat="1" applyFont="1" applyBorder="1" applyAlignment="1">
      <alignment horizontal="center" vertical="center"/>
    </xf>
    <xf numFmtId="2" fontId="10" fillId="0" borderId="2" xfId="0" applyNumberFormat="1" applyFont="1" applyBorder="1" applyAlignment="1">
      <alignment horizontal="center" vertical="center"/>
    </xf>
    <xf numFmtId="2" fontId="10" fillId="0" borderId="3" xfId="0" applyNumberFormat="1" applyFont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14" fontId="10" fillId="0" borderId="22" xfId="0" applyNumberFormat="1" applyFont="1" applyBorder="1" applyAlignment="1">
      <alignment horizontal="center" vertical="center"/>
    </xf>
    <xf numFmtId="14" fontId="10" fillId="0" borderId="23" xfId="0" applyNumberFormat="1" applyFont="1" applyBorder="1" applyAlignment="1">
      <alignment horizontal="center" vertical="center"/>
    </xf>
    <xf numFmtId="14" fontId="10" fillId="0" borderId="24" xfId="0" applyNumberFormat="1" applyFont="1" applyBorder="1" applyAlignment="1">
      <alignment horizontal="center" vertical="center"/>
    </xf>
    <xf numFmtId="14" fontId="10" fillId="0" borderId="2" xfId="0" applyNumberFormat="1" applyFont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/>
    </xf>
    <xf numFmtId="14" fontId="10" fillId="0" borderId="5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6" fillId="2" borderId="2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0" fillId="0" borderId="23" xfId="0" applyFont="1" applyBorder="1"/>
    <xf numFmtId="0" fontId="10" fillId="0" borderId="24" xfId="0" applyFont="1" applyBorder="1"/>
    <xf numFmtId="0" fontId="10" fillId="0" borderId="3" xfId="0" applyFont="1" applyBorder="1"/>
    <xf numFmtId="0" fontId="10" fillId="0" borderId="5" xfId="0" applyFont="1" applyBorder="1"/>
    <xf numFmtId="0" fontId="10" fillId="0" borderId="22" xfId="0" applyFont="1" applyBorder="1"/>
    <xf numFmtId="0" fontId="10" fillId="0" borderId="2" xfId="0" applyFont="1" applyBorder="1"/>
    <xf numFmtId="0" fontId="10" fillId="0" borderId="30" xfId="0" applyFont="1" applyBorder="1"/>
    <xf numFmtId="0" fontId="10" fillId="0" borderId="31" xfId="0" applyFont="1" applyBorder="1"/>
    <xf numFmtId="0" fontId="10" fillId="0" borderId="32" xfId="0" applyFont="1" applyBorder="1"/>
    <xf numFmtId="0" fontId="10" fillId="0" borderId="28" xfId="0" applyFont="1" applyBorder="1"/>
    <xf numFmtId="0" fontId="10" fillId="0" borderId="29" xfId="0" applyFont="1" applyBorder="1"/>
    <xf numFmtId="0" fontId="10" fillId="0" borderId="16" xfId="0" applyFont="1" applyBorder="1"/>
    <xf numFmtId="0" fontId="6" fillId="2" borderId="0" xfId="0" applyFont="1" applyFill="1"/>
    <xf numFmtId="0" fontId="3" fillId="0" borderId="35" xfId="6" applyFont="1" applyBorder="1" applyAlignment="1">
      <alignment horizontal="left" vertical="center"/>
    </xf>
    <xf numFmtId="0" fontId="3" fillId="0" borderId="36" xfId="6" applyFont="1" applyBorder="1" applyAlignment="1">
      <alignment horizontal="left" vertical="center"/>
    </xf>
    <xf numFmtId="0" fontId="3" fillId="0" borderId="37" xfId="6" applyFont="1" applyBorder="1" applyAlignment="1">
      <alignment horizontal="left" vertical="center"/>
    </xf>
    <xf numFmtId="0" fontId="3" fillId="0" borderId="33" xfId="6" applyFont="1" applyBorder="1" applyAlignment="1">
      <alignment horizontal="center" vertical="center"/>
    </xf>
    <xf numFmtId="0" fontId="3" fillId="0" borderId="34" xfId="6" applyFont="1" applyBorder="1" applyAlignment="1">
      <alignment horizontal="center" vertical="center"/>
    </xf>
    <xf numFmtId="0" fontId="3" fillId="0" borderId="21" xfId="6" applyFont="1" applyBorder="1" applyAlignment="1">
      <alignment horizontal="center" vertical="center"/>
    </xf>
    <xf numFmtId="0" fontId="10" fillId="0" borderId="35" xfId="6" applyFont="1" applyBorder="1" applyAlignment="1">
      <alignment vertical="center" wrapText="1"/>
    </xf>
    <xf numFmtId="0" fontId="10" fillId="0" borderId="36" xfId="6" applyFont="1" applyBorder="1" applyAlignment="1">
      <alignment vertical="center" wrapText="1"/>
    </xf>
    <xf numFmtId="0" fontId="10" fillId="0" borderId="37" xfId="6" applyFont="1" applyBorder="1" applyAlignment="1">
      <alignment vertical="center" wrapText="1"/>
    </xf>
    <xf numFmtId="0" fontId="3" fillId="0" borderId="35" xfId="6" applyFont="1" applyBorder="1" applyAlignment="1">
      <alignment horizontal="center" vertical="center"/>
    </xf>
    <xf numFmtId="0" fontId="3" fillId="0" borderId="37" xfId="6" applyFont="1" applyBorder="1" applyAlignment="1">
      <alignment horizontal="center" vertical="center"/>
    </xf>
    <xf numFmtId="0" fontId="3" fillId="0" borderId="35" xfId="6" quotePrefix="1" applyFont="1" applyBorder="1" applyAlignment="1">
      <alignment vertical="center"/>
    </xf>
    <xf numFmtId="0" fontId="3" fillId="0" borderId="36" xfId="6" quotePrefix="1" applyFont="1" applyBorder="1" applyAlignment="1">
      <alignment vertical="center"/>
    </xf>
    <xf numFmtId="0" fontId="3" fillId="0" borderId="37" xfId="6" quotePrefix="1" applyFont="1" applyBorder="1" applyAlignment="1">
      <alignment vertical="center"/>
    </xf>
    <xf numFmtId="0" fontId="4" fillId="0" borderId="35" xfId="6" applyFont="1" applyBorder="1" applyAlignment="1">
      <alignment vertical="center"/>
    </xf>
    <xf numFmtId="0" fontId="3" fillId="0" borderId="36" xfId="6" applyFont="1" applyBorder="1" applyAlignment="1">
      <alignment vertical="center"/>
    </xf>
    <xf numFmtId="0" fontId="3" fillId="0" borderId="37" xfId="6" applyFont="1" applyBorder="1" applyAlignment="1">
      <alignment vertical="center"/>
    </xf>
    <xf numFmtId="0" fontId="4" fillId="0" borderId="33" xfId="6" applyFont="1" applyBorder="1" applyAlignment="1">
      <alignment horizontal="center" vertical="center"/>
    </xf>
    <xf numFmtId="0" fontId="4" fillId="0" borderId="34" xfId="6" applyFont="1" applyBorder="1" applyAlignment="1">
      <alignment horizontal="center" vertical="center"/>
    </xf>
    <xf numFmtId="0" fontId="4" fillId="0" borderId="21" xfId="6" applyFont="1" applyBorder="1" applyAlignment="1">
      <alignment horizontal="center" vertical="center"/>
    </xf>
    <xf numFmtId="0" fontId="4" fillId="0" borderId="35" xfId="6" quotePrefix="1" applyFont="1" applyBorder="1" applyAlignment="1">
      <alignment horizontal="center" vertical="center"/>
    </xf>
    <xf numFmtId="0" fontId="4" fillId="0" borderId="36" xfId="6" applyFont="1" applyBorder="1" applyAlignment="1">
      <alignment horizontal="center" vertical="center"/>
    </xf>
    <xf numFmtId="0" fontId="4" fillId="0" borderId="37" xfId="6" applyFont="1" applyBorder="1" applyAlignment="1">
      <alignment horizontal="center" vertical="center"/>
    </xf>
    <xf numFmtId="0" fontId="4" fillId="0" borderId="33" xfId="6" applyFont="1" applyBorder="1" applyAlignment="1">
      <alignment horizontal="center" vertical="center" wrapText="1"/>
    </xf>
    <xf numFmtId="0" fontId="4" fillId="0" borderId="34" xfId="6" applyFont="1" applyBorder="1" applyAlignment="1">
      <alignment horizontal="center" vertical="center" wrapText="1"/>
    </xf>
    <xf numFmtId="0" fontId="4" fillId="0" borderId="21" xfId="6" applyFont="1" applyBorder="1" applyAlignment="1">
      <alignment horizontal="center" vertical="center" wrapText="1"/>
    </xf>
    <xf numFmtId="0" fontId="4" fillId="0" borderId="35" xfId="6" applyFont="1" applyBorder="1" applyAlignment="1">
      <alignment horizontal="left" vertical="center"/>
    </xf>
    <xf numFmtId="0" fontId="4" fillId="0" borderId="36" xfId="6" applyFont="1" applyBorder="1" applyAlignment="1">
      <alignment horizontal="left" vertical="center"/>
    </xf>
    <xf numFmtId="0" fontId="4" fillId="0" borderId="37" xfId="6" applyFont="1" applyBorder="1" applyAlignment="1">
      <alignment horizontal="left" vertical="center"/>
    </xf>
    <xf numFmtId="0" fontId="3" fillId="0" borderId="33" xfId="6" applyFont="1" applyBorder="1" applyAlignment="1">
      <alignment vertical="center" wrapText="1"/>
    </xf>
    <xf numFmtId="0" fontId="3" fillId="0" borderId="34" xfId="6" applyFont="1" applyBorder="1" applyAlignment="1">
      <alignment vertical="center" wrapText="1"/>
    </xf>
    <xf numFmtId="0" fontId="3" fillId="0" borderId="21" xfId="6" applyFont="1" applyBorder="1" applyAlignment="1">
      <alignment vertical="center" wrapText="1"/>
    </xf>
    <xf numFmtId="0" fontId="4" fillId="0" borderId="33" xfId="6" applyFont="1" applyBorder="1" applyAlignment="1">
      <alignment vertical="center"/>
    </xf>
    <xf numFmtId="0" fontId="4" fillId="0" borderId="34" xfId="6" applyFont="1" applyBorder="1" applyAlignment="1">
      <alignment vertical="center"/>
    </xf>
    <xf numFmtId="0" fontId="4" fillId="0" borderId="21" xfId="6" applyFont="1" applyBorder="1" applyAlignment="1">
      <alignment vertical="center"/>
    </xf>
    <xf numFmtId="0" fontId="3" fillId="0" borderId="35" xfId="6" quotePrefix="1" applyFont="1" applyBorder="1" applyAlignment="1">
      <alignment vertical="center" wrapText="1"/>
    </xf>
    <xf numFmtId="0" fontId="3" fillId="0" borderId="36" xfId="6" quotePrefix="1" applyFont="1" applyBorder="1" applyAlignment="1">
      <alignment vertical="center" wrapText="1"/>
    </xf>
    <xf numFmtId="0" fontId="3" fillId="0" borderId="37" xfId="6" quotePrefix="1" applyFont="1" applyBorder="1" applyAlignment="1">
      <alignment vertical="center" wrapText="1"/>
    </xf>
    <xf numFmtId="0" fontId="3" fillId="0" borderId="33" xfId="6" applyFont="1" applyBorder="1" applyAlignment="1">
      <alignment vertical="center"/>
    </xf>
    <xf numFmtId="0" fontId="3" fillId="0" borderId="34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8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28" xfId="6" applyFont="1" applyBorder="1" applyAlignment="1">
      <alignment vertical="center"/>
    </xf>
    <xf numFmtId="0" fontId="3" fillId="0" borderId="29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4" fillId="0" borderId="28" xfId="6" applyFont="1" applyBorder="1" applyAlignment="1">
      <alignment vertical="center"/>
    </xf>
    <xf numFmtId="0" fontId="4" fillId="0" borderId="29" xfId="6" applyFont="1" applyBorder="1" applyAlignment="1">
      <alignment vertical="center"/>
    </xf>
    <xf numFmtId="0" fontId="4" fillId="0" borderId="16" xfId="6" applyFont="1" applyBorder="1" applyAlignment="1">
      <alignment vertical="center"/>
    </xf>
    <xf numFmtId="0" fontId="4" fillId="0" borderId="28" xfId="6" applyFont="1" applyBorder="1" applyAlignment="1">
      <alignment horizontal="center" vertical="center"/>
    </xf>
    <xf numFmtId="0" fontId="4" fillId="0" borderId="29" xfId="6" applyFont="1" applyBorder="1" applyAlignment="1">
      <alignment horizontal="center" vertical="center"/>
    </xf>
    <xf numFmtId="0" fontId="4" fillId="0" borderId="16" xfId="6" applyFont="1" applyBorder="1" applyAlignment="1">
      <alignment horizontal="center" vertical="center"/>
    </xf>
    <xf numFmtId="0" fontId="4" fillId="5" borderId="25" xfId="6" applyFont="1" applyFill="1" applyBorder="1" applyAlignment="1">
      <alignment vertical="center"/>
    </xf>
    <xf numFmtId="0" fontId="3" fillId="5" borderId="26" xfId="6" applyFont="1" applyFill="1" applyBorder="1" applyAlignment="1">
      <alignment vertical="center"/>
    </xf>
    <xf numFmtId="0" fontId="3" fillId="5" borderId="27" xfId="6" applyFont="1" applyFill="1" applyBorder="1" applyAlignment="1">
      <alignment vertical="center"/>
    </xf>
    <xf numFmtId="0" fontId="4" fillId="4" borderId="25" xfId="6" applyFont="1" applyFill="1" applyBorder="1" applyAlignment="1">
      <alignment vertical="center"/>
    </xf>
    <xf numFmtId="0" fontId="3" fillId="4" borderId="26" xfId="6" applyFont="1" applyFill="1" applyBorder="1" applyAlignment="1">
      <alignment vertical="center"/>
    </xf>
    <xf numFmtId="0" fontId="3" fillId="4" borderId="27" xfId="6" applyFont="1" applyFill="1" applyBorder="1" applyAlignment="1">
      <alignment vertical="center"/>
    </xf>
    <xf numFmtId="0" fontId="4" fillId="6" borderId="22" xfId="6" applyFont="1" applyFill="1" applyBorder="1" applyAlignment="1">
      <alignment vertical="center"/>
    </xf>
    <xf numFmtId="0" fontId="3" fillId="6" borderId="23" xfId="6" applyFont="1" applyFill="1" applyBorder="1" applyAlignment="1">
      <alignment vertical="center"/>
    </xf>
    <xf numFmtId="0" fontId="3" fillId="6" borderId="24" xfId="6" applyFont="1" applyFill="1" applyBorder="1" applyAlignment="1">
      <alignment vertical="center"/>
    </xf>
    <xf numFmtId="0" fontId="3" fillId="6" borderId="1" xfId="6" applyFont="1" applyFill="1" applyBorder="1" applyAlignment="1">
      <alignment vertical="center"/>
    </xf>
    <xf numFmtId="0" fontId="3" fillId="6" borderId="0" xfId="6" applyFont="1" applyFill="1" applyAlignment="1">
      <alignment vertical="center"/>
    </xf>
    <xf numFmtId="0" fontId="3" fillId="6" borderId="4" xfId="6" applyFont="1" applyFill="1" applyBorder="1" applyAlignment="1">
      <alignment vertical="center"/>
    </xf>
    <xf numFmtId="0" fontId="3" fillId="6" borderId="2" xfId="6" applyFont="1" applyFill="1" applyBorder="1" applyAlignment="1">
      <alignment vertical="center"/>
    </xf>
    <xf numFmtId="0" fontId="3" fillId="6" borderId="3" xfId="6" applyFont="1" applyFill="1" applyBorder="1" applyAlignment="1">
      <alignment vertical="center"/>
    </xf>
    <xf numFmtId="0" fontId="3" fillId="6" borderId="5" xfId="6" applyFont="1" applyFill="1" applyBorder="1" applyAlignment="1">
      <alignment vertical="center"/>
    </xf>
    <xf numFmtId="0" fontId="4" fillId="5" borderId="25" xfId="6" applyFont="1" applyFill="1" applyBorder="1"/>
    <xf numFmtId="0" fontId="4" fillId="5" borderId="26" xfId="6" applyFont="1" applyFill="1" applyBorder="1"/>
    <xf numFmtId="0" fontId="4" fillId="5" borderId="27" xfId="6" applyFont="1" applyFill="1" applyBorder="1"/>
    <xf numFmtId="0" fontId="4" fillId="5" borderId="22" xfId="6" applyFont="1" applyFill="1" applyBorder="1" applyAlignment="1">
      <alignment vertical="center"/>
    </xf>
    <xf numFmtId="0" fontId="3" fillId="5" borderId="23" xfId="6" applyFont="1" applyFill="1" applyBorder="1" applyAlignment="1">
      <alignment vertical="center"/>
    </xf>
    <xf numFmtId="0" fontId="3" fillId="5" borderId="24" xfId="6" applyFont="1" applyFill="1" applyBorder="1" applyAlignment="1">
      <alignment vertical="center"/>
    </xf>
    <xf numFmtId="0" fontId="3" fillId="5" borderId="2" xfId="6" applyFont="1" applyFill="1" applyBorder="1" applyAlignment="1">
      <alignment vertical="center"/>
    </xf>
    <xf numFmtId="0" fontId="3" fillId="5" borderId="3" xfId="6" applyFont="1" applyFill="1" applyBorder="1" applyAlignment="1">
      <alignment vertical="center"/>
    </xf>
    <xf numFmtId="0" fontId="3" fillId="5" borderId="5" xfId="6" applyFont="1" applyFill="1" applyBorder="1" applyAlignment="1">
      <alignment vertical="center"/>
    </xf>
    <xf numFmtId="0" fontId="3" fillId="4" borderId="22" xfId="6" applyFont="1" applyFill="1" applyBorder="1" applyAlignment="1">
      <alignment vertical="center" wrapText="1"/>
    </xf>
    <xf numFmtId="0" fontId="3" fillId="4" borderId="2" xfId="6" applyFont="1" applyFill="1" applyBorder="1" applyAlignment="1">
      <alignment vertical="center" wrapText="1"/>
    </xf>
    <xf numFmtId="0" fontId="4" fillId="4" borderId="38" xfId="6" applyFont="1" applyFill="1" applyBorder="1" applyAlignment="1">
      <alignment vertical="center" wrapText="1"/>
    </xf>
    <xf numFmtId="0" fontId="4" fillId="4" borderId="40" xfId="6" applyFont="1" applyFill="1" applyBorder="1" applyAlignment="1">
      <alignment vertical="center" wrapText="1"/>
    </xf>
    <xf numFmtId="0" fontId="4" fillId="4" borderId="24" xfId="6" applyFont="1" applyFill="1" applyBorder="1" applyAlignment="1">
      <alignment vertical="center" wrapText="1"/>
    </xf>
    <xf numFmtId="0" fontId="4" fillId="4" borderId="5" xfId="6" applyFont="1" applyFill="1" applyBorder="1" applyAlignment="1">
      <alignment vertical="center" wrapText="1"/>
    </xf>
    <xf numFmtId="0" fontId="4" fillId="0" borderId="28" xfId="6" applyFont="1" applyBorder="1" applyAlignment="1">
      <alignment horizontal="center" vertical="center" wrapText="1"/>
    </xf>
    <xf numFmtId="0" fontId="4" fillId="0" borderId="29" xfId="6" applyFont="1" applyBorder="1" applyAlignment="1">
      <alignment horizontal="center" vertical="center" wrapText="1"/>
    </xf>
    <xf numFmtId="0" fontId="4" fillId="0" borderId="16" xfId="6" applyFont="1" applyBorder="1" applyAlignment="1">
      <alignment horizontal="center" vertical="center" wrapText="1"/>
    </xf>
    <xf numFmtId="0" fontId="4" fillId="0" borderId="28" xfId="6" applyFont="1" applyBorder="1" applyAlignment="1">
      <alignment horizontal="left" vertical="center"/>
    </xf>
    <xf numFmtId="0" fontId="4" fillId="0" borderId="29" xfId="6" applyFont="1" applyBorder="1" applyAlignment="1">
      <alignment horizontal="left" vertical="center"/>
    </xf>
    <xf numFmtId="0" fontId="4" fillId="0" borderId="16" xfId="6" applyFont="1" applyBorder="1" applyAlignment="1">
      <alignment horizontal="left" vertical="center"/>
    </xf>
    <xf numFmtId="0" fontId="3" fillId="0" borderId="28" xfId="6" applyFont="1" applyBorder="1" applyAlignment="1">
      <alignment horizontal="left" vertical="center"/>
    </xf>
    <xf numFmtId="0" fontId="3" fillId="0" borderId="29" xfId="6" applyFont="1" applyBorder="1" applyAlignment="1">
      <alignment horizontal="left" vertical="center"/>
    </xf>
    <xf numFmtId="0" fontId="3" fillId="0" borderId="16" xfId="6" applyFont="1" applyBorder="1" applyAlignment="1">
      <alignment horizontal="left" vertical="center"/>
    </xf>
    <xf numFmtId="0" fontId="3" fillId="0" borderId="29" xfId="6" applyFont="1" applyBorder="1" applyAlignment="1">
      <alignment horizontal="center" vertical="center"/>
    </xf>
    <xf numFmtId="0" fontId="4" fillId="0" borderId="35" xfId="6" applyFont="1" applyBorder="1" applyAlignment="1">
      <alignment vertical="center" wrapText="1"/>
    </xf>
    <xf numFmtId="0" fontId="6" fillId="2" borderId="25" xfId="6" applyFont="1" applyFill="1" applyBorder="1" applyAlignment="1">
      <alignment horizontal="center" vertical="center"/>
    </xf>
    <xf numFmtId="0" fontId="6" fillId="2" borderId="26" xfId="6" applyFont="1" applyFill="1" applyBorder="1" applyAlignment="1">
      <alignment horizontal="center" vertical="center"/>
    </xf>
    <xf numFmtId="0" fontId="6" fillId="2" borderId="27" xfId="6" applyFont="1" applyFill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3" fillId="0" borderId="26" xfId="6" applyFont="1" applyBorder="1" applyAlignment="1">
      <alignment horizontal="center" vertical="center"/>
    </xf>
    <xf numFmtId="0" fontId="3" fillId="0" borderId="27" xfId="6" applyFont="1" applyBorder="1" applyAlignment="1">
      <alignment horizontal="center" vertical="center"/>
    </xf>
    <xf numFmtId="0" fontId="4" fillId="0" borderId="25" xfId="6" applyFont="1" applyBorder="1" applyAlignment="1">
      <alignment horizontal="center" vertical="center"/>
    </xf>
    <xf numFmtId="0" fontId="4" fillId="3" borderId="22" xfId="6" applyFont="1" applyFill="1" applyBorder="1" applyAlignment="1">
      <alignment vertical="center" wrapText="1"/>
    </xf>
    <xf numFmtId="0" fontId="3" fillId="3" borderId="24" xfId="6" applyFont="1" applyFill="1" applyBorder="1" applyAlignment="1">
      <alignment vertical="center"/>
    </xf>
    <xf numFmtId="0" fontId="3" fillId="3" borderId="1" xfId="6" applyFont="1" applyFill="1" applyBorder="1" applyAlignment="1">
      <alignment vertical="center"/>
    </xf>
    <xf numFmtId="0" fontId="3" fillId="3" borderId="4" xfId="6" applyFont="1" applyFill="1" applyBorder="1" applyAlignment="1">
      <alignment vertical="center"/>
    </xf>
    <xf numFmtId="0" fontId="3" fillId="3" borderId="2" xfId="6" applyFont="1" applyFill="1" applyBorder="1" applyAlignment="1">
      <alignment vertical="center"/>
    </xf>
    <xf numFmtId="0" fontId="3" fillId="3" borderId="5" xfId="6" applyFont="1" applyFill="1" applyBorder="1" applyAlignment="1">
      <alignment vertical="center"/>
    </xf>
    <xf numFmtId="0" fontId="4" fillId="3" borderId="22" xfId="6" applyFont="1" applyFill="1" applyBorder="1" applyAlignment="1">
      <alignment vertical="center"/>
    </xf>
    <xf numFmtId="0" fontId="3" fillId="3" borderId="23" xfId="6" applyFont="1" applyFill="1" applyBorder="1" applyAlignment="1">
      <alignment vertical="center"/>
    </xf>
    <xf numFmtId="0" fontId="3" fillId="3" borderId="0" xfId="6" applyFont="1" applyFill="1" applyAlignment="1">
      <alignment vertical="center"/>
    </xf>
    <xf numFmtId="0" fontId="3" fillId="3" borderId="3" xfId="6" applyFont="1" applyFill="1" applyBorder="1" applyAlignment="1">
      <alignment vertical="center"/>
    </xf>
    <xf numFmtId="0" fontId="3" fillId="3" borderId="38" xfId="6" applyFont="1" applyFill="1" applyBorder="1" applyAlignment="1">
      <alignment vertical="center" shrinkToFit="1"/>
    </xf>
    <xf numFmtId="0" fontId="3" fillId="3" borderId="39" xfId="6" applyFont="1" applyFill="1" applyBorder="1" applyAlignment="1">
      <alignment vertical="center" shrinkToFit="1"/>
    </xf>
    <xf numFmtId="0" fontId="3" fillId="3" borderId="40" xfId="6" applyFont="1" applyFill="1" applyBorder="1" applyAlignment="1">
      <alignment vertical="center" shrinkToFit="1"/>
    </xf>
    <xf numFmtId="0" fontId="4" fillId="3" borderId="38" xfId="6" applyFont="1" applyFill="1" applyBorder="1" applyAlignment="1">
      <alignment vertical="center" wrapText="1"/>
    </xf>
    <xf numFmtId="0" fontId="4" fillId="3" borderId="39" xfId="6" applyFont="1" applyFill="1" applyBorder="1" applyAlignment="1">
      <alignment vertical="center" wrapText="1"/>
    </xf>
    <xf numFmtId="0" fontId="4" fillId="3" borderId="40" xfId="6" applyFont="1" applyFill="1" applyBorder="1" applyAlignment="1">
      <alignment vertical="center" wrapText="1"/>
    </xf>
    <xf numFmtId="0" fontId="3" fillId="4" borderId="41" xfId="6" applyFont="1" applyFill="1" applyBorder="1" applyAlignment="1">
      <alignment vertical="center"/>
    </xf>
    <xf numFmtId="0" fontId="4" fillId="4" borderId="42" xfId="6" applyFont="1" applyFill="1" applyBorder="1" applyAlignment="1">
      <alignment vertical="center"/>
    </xf>
    <xf numFmtId="0" fontId="3" fillId="0" borderId="22" xfId="6" applyFont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9" fillId="0" borderId="22" xfId="6" applyFont="1" applyBorder="1" applyAlignment="1">
      <alignment horizontal="center" vertical="center"/>
    </xf>
    <xf numFmtId="0" fontId="9" fillId="0" borderId="23" xfId="6" applyFont="1" applyBorder="1" applyAlignment="1">
      <alignment horizontal="center" vertical="center"/>
    </xf>
    <xf numFmtId="0" fontId="9" fillId="0" borderId="24" xfId="6" applyFont="1" applyBorder="1" applyAlignment="1">
      <alignment horizontal="center" vertical="center"/>
    </xf>
    <xf numFmtId="0" fontId="9" fillId="0" borderId="1" xfId="6" applyFont="1" applyBorder="1" applyAlignment="1">
      <alignment horizontal="center" vertical="center"/>
    </xf>
    <xf numFmtId="0" fontId="9" fillId="0" borderId="0" xfId="6" applyFont="1" applyAlignment="1">
      <alignment horizontal="center" vertical="center"/>
    </xf>
    <xf numFmtId="0" fontId="9" fillId="0" borderId="4" xfId="6" applyFont="1" applyBorder="1" applyAlignment="1">
      <alignment horizontal="center" vertical="center"/>
    </xf>
    <xf numFmtId="0" fontId="9" fillId="0" borderId="2" xfId="6" applyFont="1" applyBorder="1" applyAlignment="1">
      <alignment horizontal="center" vertical="center"/>
    </xf>
    <xf numFmtId="0" fontId="9" fillId="0" borderId="3" xfId="6" applyFont="1" applyBorder="1" applyAlignment="1">
      <alignment horizontal="center" vertical="center"/>
    </xf>
    <xf numFmtId="0" fontId="9" fillId="0" borderId="5" xfId="6" applyFont="1" applyBorder="1" applyAlignment="1">
      <alignment horizontal="center" vertical="center"/>
    </xf>
    <xf numFmtId="0" fontId="3" fillId="0" borderId="36" xfId="6" applyFont="1" applyBorder="1" applyAlignment="1">
      <alignment horizontal="center" vertical="center"/>
    </xf>
    <xf numFmtId="0" fontId="4" fillId="0" borderId="35" xfId="6" applyFont="1" applyBorder="1" applyAlignment="1">
      <alignment horizontal="center" vertical="center"/>
    </xf>
    <xf numFmtId="0" fontId="3" fillId="0" borderId="35" xfId="6" quotePrefix="1" applyFont="1" applyBorder="1" applyAlignment="1">
      <alignment horizontal="center" vertical="center"/>
    </xf>
    <xf numFmtId="0" fontId="10" fillId="0" borderId="33" xfId="6" quotePrefix="1" applyFont="1" applyBorder="1" applyAlignment="1">
      <alignment vertical="center" wrapText="1"/>
    </xf>
    <xf numFmtId="0" fontId="10" fillId="0" borderId="34" xfId="6" quotePrefix="1" applyFont="1" applyBorder="1" applyAlignment="1">
      <alignment vertical="center" wrapText="1"/>
    </xf>
    <xf numFmtId="0" fontId="10" fillId="0" borderId="21" xfId="6" quotePrefix="1" applyFont="1" applyBorder="1" applyAlignment="1">
      <alignment vertical="center" wrapText="1"/>
    </xf>
    <xf numFmtId="0" fontId="4" fillId="0" borderId="35" xfId="6" applyFont="1" applyBorder="1" applyAlignment="1">
      <alignment horizontal="center" vertical="center" wrapText="1"/>
    </xf>
    <xf numFmtId="0" fontId="4" fillId="0" borderId="35" xfId="6" applyFont="1" applyBorder="1" applyAlignment="1">
      <alignment horizontal="left" vertical="center" wrapText="1"/>
    </xf>
    <xf numFmtId="0" fontId="4" fillId="0" borderId="36" xfId="6" applyFont="1" applyBorder="1" applyAlignment="1">
      <alignment horizontal="left" vertical="center" wrapText="1"/>
    </xf>
    <xf numFmtId="0" fontId="4" fillId="0" borderId="37" xfId="6" applyFont="1" applyBorder="1" applyAlignment="1">
      <alignment horizontal="left" vertical="center" wrapText="1"/>
    </xf>
    <xf numFmtId="0" fontId="3" fillId="0" borderId="35" xfId="6" applyFont="1" applyBorder="1" applyAlignment="1">
      <alignment horizontal="left" vertical="center" wrapText="1"/>
    </xf>
    <xf numFmtId="0" fontId="3" fillId="0" borderId="36" xfId="6" applyFont="1" applyBorder="1" applyAlignment="1">
      <alignment horizontal="left" vertical="center" wrapText="1"/>
    </xf>
    <xf numFmtId="0" fontId="3" fillId="0" borderId="37" xfId="6" applyFont="1" applyBorder="1" applyAlignment="1">
      <alignment horizontal="left" vertical="center" wrapText="1"/>
    </xf>
    <xf numFmtId="0" fontId="3" fillId="0" borderId="30" xfId="6" applyFont="1" applyBorder="1" applyAlignment="1">
      <alignment horizontal="center" vertical="center"/>
    </xf>
    <xf numFmtId="0" fontId="3" fillId="0" borderId="31" xfId="6" applyFont="1" applyBorder="1" applyAlignment="1">
      <alignment horizontal="center" vertical="center"/>
    </xf>
    <xf numFmtId="0" fontId="3" fillId="0" borderId="32" xfId="6" applyFont="1" applyBorder="1" applyAlignment="1">
      <alignment horizontal="center" vertical="center"/>
    </xf>
    <xf numFmtId="0" fontId="4" fillId="0" borderId="30" xfId="6" applyFont="1" applyBorder="1" applyAlignment="1">
      <alignment vertical="center" wrapText="1"/>
    </xf>
    <xf numFmtId="0" fontId="10" fillId="0" borderId="31" xfId="6" applyFont="1" applyBorder="1" applyAlignment="1">
      <alignment vertical="center" wrapText="1"/>
    </xf>
    <xf numFmtId="0" fontId="10" fillId="0" borderId="32" xfId="6" applyFont="1" applyBorder="1" applyAlignment="1">
      <alignment vertical="center" wrapText="1"/>
    </xf>
    <xf numFmtId="0" fontId="3" fillId="0" borderId="30" xfId="6" quotePrefix="1" applyFont="1" applyBorder="1" applyAlignment="1">
      <alignment vertical="center"/>
    </xf>
    <xf numFmtId="0" fontId="3" fillId="0" borderId="31" xfId="6" quotePrefix="1" applyFont="1" applyBorder="1" applyAlignment="1">
      <alignment vertical="center"/>
    </xf>
    <xf numFmtId="0" fontId="3" fillId="0" borderId="32" xfId="6" quotePrefix="1" applyFont="1" applyBorder="1" applyAlignment="1">
      <alignment vertical="center"/>
    </xf>
    <xf numFmtId="0" fontId="4" fillId="0" borderId="30" xfId="6" quotePrefix="1" applyFont="1" applyBorder="1" applyAlignment="1">
      <alignment horizontal="center" vertical="center"/>
    </xf>
    <xf numFmtId="0" fontId="4" fillId="0" borderId="31" xfId="6" applyFont="1" applyBorder="1" applyAlignment="1">
      <alignment horizontal="center" vertical="center"/>
    </xf>
    <xf numFmtId="0" fontId="4" fillId="0" borderId="32" xfId="6" applyFont="1" applyBorder="1" applyAlignment="1">
      <alignment horizontal="center" vertical="center"/>
    </xf>
    <xf numFmtId="0" fontId="3" fillId="0" borderId="30" xfId="6" applyFont="1" applyBorder="1" applyAlignment="1">
      <alignment horizontal="left" vertical="center"/>
    </xf>
    <xf numFmtId="0" fontId="3" fillId="0" borderId="31" xfId="6" applyFont="1" applyBorder="1" applyAlignment="1">
      <alignment horizontal="left" vertical="center"/>
    </xf>
    <xf numFmtId="0" fontId="3" fillId="0" borderId="32" xfId="6" applyFont="1" applyBorder="1" applyAlignment="1">
      <alignment horizontal="left" vertical="center"/>
    </xf>
    <xf numFmtId="0" fontId="4" fillId="0" borderId="30" xfId="6" applyFont="1" applyBorder="1" applyAlignment="1">
      <alignment horizontal="left" vertical="center"/>
    </xf>
    <xf numFmtId="14" fontId="13" fillId="0" borderId="22" xfId="0" applyNumberFormat="1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28" xfId="0" applyFont="1" applyBorder="1"/>
    <xf numFmtId="0" fontId="13" fillId="0" borderId="29" xfId="0" applyFont="1" applyBorder="1"/>
    <xf numFmtId="0" fontId="13" fillId="0" borderId="16" xfId="0" applyFont="1" applyBorder="1"/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30" xfId="0" applyFont="1" applyBorder="1"/>
    <xf numFmtId="0" fontId="13" fillId="0" borderId="31" xfId="0" applyFont="1" applyBorder="1"/>
    <xf numFmtId="0" fontId="13" fillId="0" borderId="32" xfId="0" applyFont="1" applyBorder="1"/>
    <xf numFmtId="0" fontId="15" fillId="0" borderId="35" xfId="6" applyFont="1" applyBorder="1" applyAlignment="1">
      <alignment vertical="center" wrapText="1"/>
    </xf>
    <xf numFmtId="0" fontId="15" fillId="0" borderId="36" xfId="6" applyFont="1" applyBorder="1" applyAlignment="1">
      <alignment vertical="center" wrapText="1"/>
    </xf>
    <xf numFmtId="0" fontId="15" fillId="0" borderId="37" xfId="6" applyFont="1" applyBorder="1" applyAlignment="1">
      <alignment vertical="center" wrapText="1"/>
    </xf>
    <xf numFmtId="0" fontId="14" fillId="0" borderId="1" xfId="6" applyFont="1" applyBorder="1" applyAlignment="1">
      <alignment vertical="center"/>
    </xf>
    <xf numFmtId="0" fontId="14" fillId="0" borderId="30" xfId="6" applyFont="1" applyBorder="1" applyAlignment="1">
      <alignment horizontal="center" vertical="center"/>
    </xf>
    <xf numFmtId="0" fontId="14" fillId="0" borderId="32" xfId="6" applyFont="1" applyBorder="1" applyAlignment="1">
      <alignment horizontal="center" vertical="center"/>
    </xf>
    <xf numFmtId="0" fontId="14" fillId="0" borderId="30" xfId="6" quotePrefix="1" applyFont="1" applyBorder="1" applyAlignment="1">
      <alignment vertical="center"/>
    </xf>
    <xf numFmtId="0" fontId="14" fillId="0" borderId="31" xfId="6" quotePrefix="1" applyFont="1" applyBorder="1" applyAlignment="1">
      <alignment vertical="center"/>
    </xf>
    <xf numFmtId="0" fontId="14" fillId="0" borderId="32" xfId="6" quotePrefix="1" applyFont="1" applyBorder="1" applyAlignment="1">
      <alignment vertical="center"/>
    </xf>
    <xf numFmtId="0" fontId="14" fillId="0" borderId="31" xfId="6" applyFont="1" applyBorder="1" applyAlignment="1">
      <alignment horizontal="center" vertical="center"/>
    </xf>
    <xf numFmtId="0" fontId="14" fillId="0" borderId="20" xfId="6" applyFont="1" applyBorder="1" applyAlignment="1">
      <alignment horizontal="center" vertical="center"/>
    </xf>
    <xf numFmtId="0" fontId="14" fillId="0" borderId="30" xfId="6" quotePrefix="1" applyFont="1" applyBorder="1" applyAlignment="1">
      <alignment horizontal="center" vertical="center"/>
    </xf>
    <xf numFmtId="0" fontId="14" fillId="0" borderId="30" xfId="6" applyFont="1" applyBorder="1" applyAlignment="1">
      <alignment horizontal="left" vertical="center"/>
    </xf>
    <xf numFmtId="0" fontId="14" fillId="0" borderId="31" xfId="6" applyFont="1" applyBorder="1" applyAlignment="1">
      <alignment horizontal="left" vertical="center"/>
    </xf>
    <xf numFmtId="0" fontId="14" fillId="0" borderId="32" xfId="6" applyFont="1" applyBorder="1" applyAlignment="1">
      <alignment horizontal="left" vertical="center"/>
    </xf>
    <xf numFmtId="0" fontId="14" fillId="0" borderId="20" xfId="6" applyFont="1" applyBorder="1" applyAlignment="1">
      <alignment vertical="center"/>
    </xf>
    <xf numFmtId="0" fontId="14" fillId="0" borderId="30" xfId="6" applyFont="1" applyBorder="1" applyAlignment="1">
      <alignment vertical="center" wrapText="1"/>
    </xf>
    <xf numFmtId="0" fontId="14" fillId="0" borderId="31" xfId="6" applyFont="1" applyBorder="1" applyAlignment="1">
      <alignment vertical="center" wrapText="1"/>
    </xf>
    <xf numFmtId="0" fontId="14" fillId="0" borderId="32" xfId="6" applyFont="1" applyBorder="1" applyAlignment="1">
      <alignment vertical="center" wrapText="1"/>
    </xf>
    <xf numFmtId="0" fontId="14" fillId="0" borderId="4" xfId="6" applyFont="1" applyBorder="1" applyAlignment="1">
      <alignment vertical="center"/>
    </xf>
    <xf numFmtId="0" fontId="14" fillId="0" borderId="0" xfId="6" applyFont="1" applyAlignment="1">
      <alignment vertical="center"/>
    </xf>
    <xf numFmtId="0" fontId="14" fillId="0" borderId="30" xfId="6" applyFont="1" applyBorder="1" applyAlignment="1">
      <alignment horizontal="left" vertical="top"/>
    </xf>
    <xf numFmtId="0" fontId="14" fillId="0" borderId="31" xfId="6" applyFont="1" applyBorder="1" applyAlignment="1">
      <alignment horizontal="left" vertical="top"/>
    </xf>
    <xf numFmtId="0" fontId="14" fillId="0" borderId="32" xfId="6" applyFont="1" applyBorder="1" applyAlignment="1">
      <alignment horizontal="left" vertical="top"/>
    </xf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22414</xdr:colOff>
      <xdr:row>9</xdr:row>
      <xdr:rowOff>22412</xdr:rowOff>
    </xdr:from>
    <xdr:to>
      <xdr:col>58</xdr:col>
      <xdr:colOff>22412</xdr:colOff>
      <xdr:row>43</xdr:row>
      <xdr:rowOff>116375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B542F2-ADC8-4B87-A5AB-7CCDF9218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8385" y="1871383"/>
          <a:ext cx="12942792" cy="6951963"/>
        </a:xfrm>
        <a:prstGeom prst="rect">
          <a:avLst/>
        </a:prstGeom>
      </xdr:spPr>
    </xdr:pic>
    <xdr:clientData/>
  </xdr:twoCellAnchor>
  <xdr:twoCellAnchor>
    <xdr:from>
      <xdr:col>13</xdr:col>
      <xdr:colOff>33618</xdr:colOff>
      <xdr:row>7</xdr:row>
      <xdr:rowOff>44824</xdr:rowOff>
    </xdr:from>
    <xdr:to>
      <xdr:col>14</xdr:col>
      <xdr:colOff>156884</xdr:colOff>
      <xdr:row>8</xdr:row>
      <xdr:rowOff>199734</xdr:rowOff>
    </xdr:to>
    <xdr:sp macro="" textlink="">
      <xdr:nvSpPr>
        <xdr:cNvPr id="3" name="Callout: Line 2">
          <a:extLst>
            <a:ext uri="{FF2B5EF4-FFF2-40B4-BE49-F238E27FC236}">
              <a16:creationId xmlns:a16="http://schemas.microsoft.com/office/drawing/2014/main" id="{FDE26CE9-6B75-488A-8CB0-87AEE8965D8B}"/>
            </a:ext>
          </a:extLst>
        </xdr:cNvPr>
        <xdr:cNvSpPr/>
      </xdr:nvSpPr>
      <xdr:spPr>
        <a:xfrm>
          <a:off x="3092824" y="1490383"/>
          <a:ext cx="358589" cy="356616"/>
        </a:xfrm>
        <a:prstGeom prst="borderCallout1">
          <a:avLst>
            <a:gd name="adj1" fmla="val 46750"/>
            <a:gd name="adj2" fmla="val 2012"/>
            <a:gd name="adj3" fmla="val 132955"/>
            <a:gd name="adj4" fmla="val -6850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0</a:t>
          </a:r>
        </a:p>
      </xdr:txBody>
    </xdr:sp>
    <xdr:clientData/>
  </xdr:twoCellAnchor>
  <xdr:twoCellAnchor>
    <xdr:from>
      <xdr:col>1</xdr:col>
      <xdr:colOff>134470</xdr:colOff>
      <xdr:row>27</xdr:row>
      <xdr:rowOff>44823</xdr:rowOff>
    </xdr:from>
    <xdr:to>
      <xdr:col>3</xdr:col>
      <xdr:colOff>22412</xdr:colOff>
      <xdr:row>28</xdr:row>
      <xdr:rowOff>199733</xdr:rowOff>
    </xdr:to>
    <xdr:sp macro="" textlink="">
      <xdr:nvSpPr>
        <xdr:cNvPr id="4" name="Callout: Line 3">
          <a:extLst>
            <a:ext uri="{FF2B5EF4-FFF2-40B4-BE49-F238E27FC236}">
              <a16:creationId xmlns:a16="http://schemas.microsoft.com/office/drawing/2014/main" id="{289B67D6-5FA2-493B-90EA-C5D5BC52F943}"/>
            </a:ext>
          </a:extLst>
        </xdr:cNvPr>
        <xdr:cNvSpPr/>
      </xdr:nvSpPr>
      <xdr:spPr>
        <a:xfrm>
          <a:off x="369794" y="5524499"/>
          <a:ext cx="358589" cy="356616"/>
        </a:xfrm>
        <a:prstGeom prst="borderCallout1">
          <a:avLst>
            <a:gd name="adj1" fmla="val 49892"/>
            <a:gd name="adj2" fmla="val 98887"/>
            <a:gd name="adj3" fmla="val 139240"/>
            <a:gd name="adj4" fmla="val 18774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1</a:t>
          </a:r>
        </a:p>
      </xdr:txBody>
    </xdr:sp>
    <xdr:clientData/>
  </xdr:twoCellAnchor>
  <xdr:twoCellAnchor>
    <xdr:from>
      <xdr:col>20</xdr:col>
      <xdr:colOff>224118</xdr:colOff>
      <xdr:row>9</xdr:row>
      <xdr:rowOff>78442</xdr:rowOff>
    </xdr:from>
    <xdr:to>
      <xdr:col>22</xdr:col>
      <xdr:colOff>112060</xdr:colOff>
      <xdr:row>11</xdr:row>
      <xdr:rowOff>31647</xdr:rowOff>
    </xdr:to>
    <xdr:sp macro="" textlink="">
      <xdr:nvSpPr>
        <xdr:cNvPr id="5" name="Callout: Line 4">
          <a:extLst>
            <a:ext uri="{FF2B5EF4-FFF2-40B4-BE49-F238E27FC236}">
              <a16:creationId xmlns:a16="http://schemas.microsoft.com/office/drawing/2014/main" id="{78865FD5-5902-424E-B405-02F88980ED3D}"/>
            </a:ext>
          </a:extLst>
        </xdr:cNvPr>
        <xdr:cNvSpPr/>
      </xdr:nvSpPr>
      <xdr:spPr>
        <a:xfrm>
          <a:off x="4930589" y="1927413"/>
          <a:ext cx="358589" cy="356616"/>
        </a:xfrm>
        <a:prstGeom prst="borderCallout1">
          <a:avLst>
            <a:gd name="adj1" fmla="val 46750"/>
            <a:gd name="adj2" fmla="val 2012"/>
            <a:gd name="adj3" fmla="val 145524"/>
            <a:gd name="adj4" fmla="val -7475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4</a:t>
          </a:r>
        </a:p>
      </xdr:txBody>
    </xdr:sp>
    <xdr:clientData/>
  </xdr:twoCellAnchor>
  <xdr:twoCellAnchor>
    <xdr:from>
      <xdr:col>26</xdr:col>
      <xdr:colOff>22412</xdr:colOff>
      <xdr:row>9</xdr:row>
      <xdr:rowOff>78440</xdr:rowOff>
    </xdr:from>
    <xdr:to>
      <xdr:col>27</xdr:col>
      <xdr:colOff>145678</xdr:colOff>
      <xdr:row>11</xdr:row>
      <xdr:rowOff>31645</xdr:rowOff>
    </xdr:to>
    <xdr:sp macro="" textlink="">
      <xdr:nvSpPr>
        <xdr:cNvPr id="6" name="Callout: Line 5">
          <a:extLst>
            <a:ext uri="{FF2B5EF4-FFF2-40B4-BE49-F238E27FC236}">
              <a16:creationId xmlns:a16="http://schemas.microsoft.com/office/drawing/2014/main" id="{1884DE3B-4503-4483-9EBC-FA78CACC4785}"/>
            </a:ext>
          </a:extLst>
        </xdr:cNvPr>
        <xdr:cNvSpPr/>
      </xdr:nvSpPr>
      <xdr:spPr>
        <a:xfrm>
          <a:off x="6140824" y="1927411"/>
          <a:ext cx="358589" cy="356616"/>
        </a:xfrm>
        <a:prstGeom prst="borderCallout1">
          <a:avLst>
            <a:gd name="adj1" fmla="val 46750"/>
            <a:gd name="adj2" fmla="val 2012"/>
            <a:gd name="adj3" fmla="val 145524"/>
            <a:gd name="adj4" fmla="val -7475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5</a:t>
          </a:r>
          <a:endParaRPr lang="en-US" sz="11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30</xdr:col>
      <xdr:colOff>67236</xdr:colOff>
      <xdr:row>9</xdr:row>
      <xdr:rowOff>78441</xdr:rowOff>
    </xdr:from>
    <xdr:to>
      <xdr:col>31</xdr:col>
      <xdr:colOff>190502</xdr:colOff>
      <xdr:row>11</xdr:row>
      <xdr:rowOff>31646</xdr:rowOff>
    </xdr:to>
    <xdr:sp macro="" textlink="">
      <xdr:nvSpPr>
        <xdr:cNvPr id="7" name="Callout: Line 6">
          <a:extLst>
            <a:ext uri="{FF2B5EF4-FFF2-40B4-BE49-F238E27FC236}">
              <a16:creationId xmlns:a16="http://schemas.microsoft.com/office/drawing/2014/main" id="{291A5832-7819-46AA-BA77-DB9B9D42809C}"/>
            </a:ext>
          </a:extLst>
        </xdr:cNvPr>
        <xdr:cNvSpPr/>
      </xdr:nvSpPr>
      <xdr:spPr>
        <a:xfrm>
          <a:off x="7126942" y="1927412"/>
          <a:ext cx="358589" cy="356616"/>
        </a:xfrm>
        <a:prstGeom prst="borderCallout1">
          <a:avLst>
            <a:gd name="adj1" fmla="val 46750"/>
            <a:gd name="adj2" fmla="val 2012"/>
            <a:gd name="adj3" fmla="val 145524"/>
            <a:gd name="adj4" fmla="val -7475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6</a:t>
          </a:r>
          <a:endParaRPr lang="en-US" sz="11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36</xdr:col>
      <xdr:colOff>44825</xdr:colOff>
      <xdr:row>9</xdr:row>
      <xdr:rowOff>67235</xdr:rowOff>
    </xdr:from>
    <xdr:to>
      <xdr:col>37</xdr:col>
      <xdr:colOff>168090</xdr:colOff>
      <xdr:row>11</xdr:row>
      <xdr:rowOff>20440</xdr:rowOff>
    </xdr:to>
    <xdr:sp macro="" textlink="">
      <xdr:nvSpPr>
        <xdr:cNvPr id="8" name="Callout: Line 7">
          <a:extLst>
            <a:ext uri="{FF2B5EF4-FFF2-40B4-BE49-F238E27FC236}">
              <a16:creationId xmlns:a16="http://schemas.microsoft.com/office/drawing/2014/main" id="{82D3CF1C-A331-472B-A54C-B795BFC9806F}"/>
            </a:ext>
          </a:extLst>
        </xdr:cNvPr>
        <xdr:cNvSpPr/>
      </xdr:nvSpPr>
      <xdr:spPr>
        <a:xfrm>
          <a:off x="8516472" y="1916206"/>
          <a:ext cx="358589" cy="356616"/>
        </a:xfrm>
        <a:prstGeom prst="borderCallout1">
          <a:avLst>
            <a:gd name="adj1" fmla="val 46750"/>
            <a:gd name="adj2" fmla="val 2012"/>
            <a:gd name="adj3" fmla="val 145524"/>
            <a:gd name="adj4" fmla="val -74755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7</a:t>
          </a:r>
          <a:endParaRPr lang="en-US" sz="11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28</xdr:col>
      <xdr:colOff>112058</xdr:colOff>
      <xdr:row>13</xdr:row>
      <xdr:rowOff>100854</xdr:rowOff>
    </xdr:from>
    <xdr:to>
      <xdr:col>30</xdr:col>
      <xdr:colOff>0</xdr:colOff>
      <xdr:row>15</xdr:row>
      <xdr:rowOff>54058</xdr:rowOff>
    </xdr:to>
    <xdr:sp macro="" textlink="">
      <xdr:nvSpPr>
        <xdr:cNvPr id="9" name="Callout: Line 8">
          <a:extLst>
            <a:ext uri="{FF2B5EF4-FFF2-40B4-BE49-F238E27FC236}">
              <a16:creationId xmlns:a16="http://schemas.microsoft.com/office/drawing/2014/main" id="{A6D98572-9F63-4F1E-8763-73F9E874C616}"/>
            </a:ext>
          </a:extLst>
        </xdr:cNvPr>
        <xdr:cNvSpPr/>
      </xdr:nvSpPr>
      <xdr:spPr>
        <a:xfrm>
          <a:off x="6701117" y="2756648"/>
          <a:ext cx="358589" cy="356616"/>
        </a:xfrm>
        <a:prstGeom prst="borderCallout1">
          <a:avLst>
            <a:gd name="adj1" fmla="val 46750"/>
            <a:gd name="adj2" fmla="val 2012"/>
            <a:gd name="adj3" fmla="val 82678"/>
            <a:gd name="adj4" fmla="val -8413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8</a:t>
          </a:r>
        </a:p>
      </xdr:txBody>
    </xdr:sp>
    <xdr:clientData/>
  </xdr:twoCellAnchor>
  <xdr:twoCellAnchor>
    <xdr:from>
      <xdr:col>40</xdr:col>
      <xdr:colOff>33618</xdr:colOff>
      <xdr:row>13</xdr:row>
      <xdr:rowOff>11207</xdr:rowOff>
    </xdr:from>
    <xdr:to>
      <xdr:col>41</xdr:col>
      <xdr:colOff>156883</xdr:colOff>
      <xdr:row>14</xdr:row>
      <xdr:rowOff>166117</xdr:rowOff>
    </xdr:to>
    <xdr:sp macro="" textlink="">
      <xdr:nvSpPr>
        <xdr:cNvPr id="10" name="Callout: Line 9">
          <a:extLst>
            <a:ext uri="{FF2B5EF4-FFF2-40B4-BE49-F238E27FC236}">
              <a16:creationId xmlns:a16="http://schemas.microsoft.com/office/drawing/2014/main" id="{4FE0648A-00B7-49B2-9693-D2004E97ADF2}"/>
            </a:ext>
          </a:extLst>
        </xdr:cNvPr>
        <xdr:cNvSpPr/>
      </xdr:nvSpPr>
      <xdr:spPr>
        <a:xfrm>
          <a:off x="9446559" y="2667001"/>
          <a:ext cx="358589" cy="356616"/>
        </a:xfrm>
        <a:prstGeom prst="borderCallout1">
          <a:avLst>
            <a:gd name="adj1" fmla="val 46750"/>
            <a:gd name="adj2" fmla="val 2012"/>
            <a:gd name="adj3" fmla="val 82678"/>
            <a:gd name="adj4" fmla="val -8413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9</a:t>
          </a:r>
          <a:endParaRPr lang="en-US" sz="11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52</xdr:col>
      <xdr:colOff>56029</xdr:colOff>
      <xdr:row>13</xdr:row>
      <xdr:rowOff>11206</xdr:rowOff>
    </xdr:from>
    <xdr:to>
      <xdr:col>53</xdr:col>
      <xdr:colOff>179295</xdr:colOff>
      <xdr:row>14</xdr:row>
      <xdr:rowOff>166116</xdr:rowOff>
    </xdr:to>
    <xdr:sp macro="" textlink="">
      <xdr:nvSpPr>
        <xdr:cNvPr id="11" name="Callout: Line 10">
          <a:extLst>
            <a:ext uri="{FF2B5EF4-FFF2-40B4-BE49-F238E27FC236}">
              <a16:creationId xmlns:a16="http://schemas.microsoft.com/office/drawing/2014/main" id="{555DB125-2840-4B97-B9FC-60856BBC400C}"/>
            </a:ext>
          </a:extLst>
        </xdr:cNvPr>
        <xdr:cNvSpPr/>
      </xdr:nvSpPr>
      <xdr:spPr>
        <a:xfrm>
          <a:off x="12292853" y="2667000"/>
          <a:ext cx="358589" cy="356616"/>
        </a:xfrm>
        <a:prstGeom prst="borderCallout1">
          <a:avLst>
            <a:gd name="adj1" fmla="val 46750"/>
            <a:gd name="adj2" fmla="val 2012"/>
            <a:gd name="adj3" fmla="val 82678"/>
            <a:gd name="adj4" fmla="val -8413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10</a:t>
          </a:r>
          <a:endParaRPr lang="en-US" sz="11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22</xdr:col>
      <xdr:colOff>224118</xdr:colOff>
      <xdr:row>16</xdr:row>
      <xdr:rowOff>78441</xdr:rowOff>
    </xdr:from>
    <xdr:to>
      <xdr:col>24</xdr:col>
      <xdr:colOff>112060</xdr:colOff>
      <xdr:row>18</xdr:row>
      <xdr:rowOff>31645</xdr:rowOff>
    </xdr:to>
    <xdr:sp macro="" textlink="">
      <xdr:nvSpPr>
        <xdr:cNvPr id="12" name="Callout: Line 11">
          <a:extLst>
            <a:ext uri="{FF2B5EF4-FFF2-40B4-BE49-F238E27FC236}">
              <a16:creationId xmlns:a16="http://schemas.microsoft.com/office/drawing/2014/main" id="{56FC754E-03A0-4864-B7B5-2E45481912C0}"/>
            </a:ext>
          </a:extLst>
        </xdr:cNvPr>
        <xdr:cNvSpPr/>
      </xdr:nvSpPr>
      <xdr:spPr>
        <a:xfrm>
          <a:off x="5401236" y="3339353"/>
          <a:ext cx="358589" cy="356616"/>
        </a:xfrm>
        <a:prstGeom prst="borderCallout1">
          <a:avLst>
            <a:gd name="adj1" fmla="val 46750"/>
            <a:gd name="adj2" fmla="val 2012"/>
            <a:gd name="adj3" fmla="val 82678"/>
            <a:gd name="adj4" fmla="val -8413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11</a:t>
          </a:r>
          <a:endParaRPr lang="en-US" sz="11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39</xdr:col>
      <xdr:colOff>134471</xdr:colOff>
      <xdr:row>18</xdr:row>
      <xdr:rowOff>168089</xdr:rowOff>
    </xdr:from>
    <xdr:to>
      <xdr:col>41</xdr:col>
      <xdr:colOff>22413</xdr:colOff>
      <xdr:row>20</xdr:row>
      <xdr:rowOff>121294</xdr:rowOff>
    </xdr:to>
    <xdr:sp macro="" textlink="">
      <xdr:nvSpPr>
        <xdr:cNvPr id="13" name="Callout: Line 12">
          <a:extLst>
            <a:ext uri="{FF2B5EF4-FFF2-40B4-BE49-F238E27FC236}">
              <a16:creationId xmlns:a16="http://schemas.microsoft.com/office/drawing/2014/main" id="{DB767CFB-EB57-4736-AA81-573D6799B8CB}"/>
            </a:ext>
          </a:extLst>
        </xdr:cNvPr>
        <xdr:cNvSpPr/>
      </xdr:nvSpPr>
      <xdr:spPr>
        <a:xfrm>
          <a:off x="9312089" y="3832413"/>
          <a:ext cx="358589" cy="356616"/>
        </a:xfrm>
        <a:prstGeom prst="borderCallout1">
          <a:avLst>
            <a:gd name="adj1" fmla="val 46750"/>
            <a:gd name="adj2" fmla="val 2012"/>
            <a:gd name="adj3" fmla="val 82678"/>
            <a:gd name="adj4" fmla="val -8413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12</a:t>
          </a:r>
          <a:endParaRPr lang="en-US" sz="11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48</xdr:col>
      <xdr:colOff>156882</xdr:colOff>
      <xdr:row>17</xdr:row>
      <xdr:rowOff>67235</xdr:rowOff>
    </xdr:from>
    <xdr:to>
      <xdr:col>50</xdr:col>
      <xdr:colOff>44824</xdr:colOff>
      <xdr:row>19</xdr:row>
      <xdr:rowOff>20440</xdr:rowOff>
    </xdr:to>
    <xdr:sp macro="" textlink="">
      <xdr:nvSpPr>
        <xdr:cNvPr id="14" name="Callout: Line 13">
          <a:extLst>
            <a:ext uri="{FF2B5EF4-FFF2-40B4-BE49-F238E27FC236}">
              <a16:creationId xmlns:a16="http://schemas.microsoft.com/office/drawing/2014/main" id="{4D3E2154-E715-4FA8-95E8-8602DDC581AF}"/>
            </a:ext>
          </a:extLst>
        </xdr:cNvPr>
        <xdr:cNvSpPr/>
      </xdr:nvSpPr>
      <xdr:spPr>
        <a:xfrm>
          <a:off x="11452411" y="3529853"/>
          <a:ext cx="358589" cy="356616"/>
        </a:xfrm>
        <a:prstGeom prst="borderCallout1">
          <a:avLst>
            <a:gd name="adj1" fmla="val 46750"/>
            <a:gd name="adj2" fmla="val 2012"/>
            <a:gd name="adj3" fmla="val 82678"/>
            <a:gd name="adj4" fmla="val -8413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13</a:t>
          </a:r>
          <a:endParaRPr lang="en-US" sz="11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26</xdr:col>
      <xdr:colOff>1</xdr:colOff>
      <xdr:row>32</xdr:row>
      <xdr:rowOff>33618</xdr:rowOff>
    </xdr:from>
    <xdr:to>
      <xdr:col>27</xdr:col>
      <xdr:colOff>123267</xdr:colOff>
      <xdr:row>33</xdr:row>
      <xdr:rowOff>188528</xdr:rowOff>
    </xdr:to>
    <xdr:sp macro="" textlink="">
      <xdr:nvSpPr>
        <xdr:cNvPr id="15" name="Callout: Line 14">
          <a:extLst>
            <a:ext uri="{FF2B5EF4-FFF2-40B4-BE49-F238E27FC236}">
              <a16:creationId xmlns:a16="http://schemas.microsoft.com/office/drawing/2014/main" id="{212958CF-3F04-48D3-94AD-68B54C1103BE}"/>
            </a:ext>
          </a:extLst>
        </xdr:cNvPr>
        <xdr:cNvSpPr/>
      </xdr:nvSpPr>
      <xdr:spPr>
        <a:xfrm>
          <a:off x="6118413" y="6521824"/>
          <a:ext cx="358589" cy="356616"/>
        </a:xfrm>
        <a:prstGeom prst="borderCallout1">
          <a:avLst>
            <a:gd name="adj1" fmla="val 46750"/>
            <a:gd name="adj2" fmla="val 2012"/>
            <a:gd name="adj3" fmla="val 82678"/>
            <a:gd name="adj4" fmla="val -8413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14</a:t>
          </a:r>
          <a:endParaRPr lang="en-US" sz="11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42</xdr:col>
      <xdr:colOff>56030</xdr:colOff>
      <xdr:row>32</xdr:row>
      <xdr:rowOff>78441</xdr:rowOff>
    </xdr:from>
    <xdr:to>
      <xdr:col>43</xdr:col>
      <xdr:colOff>179295</xdr:colOff>
      <xdr:row>34</xdr:row>
      <xdr:rowOff>31645</xdr:rowOff>
    </xdr:to>
    <xdr:sp macro="" textlink="">
      <xdr:nvSpPr>
        <xdr:cNvPr id="16" name="Callout: Line 15">
          <a:extLst>
            <a:ext uri="{FF2B5EF4-FFF2-40B4-BE49-F238E27FC236}">
              <a16:creationId xmlns:a16="http://schemas.microsoft.com/office/drawing/2014/main" id="{2FF7C0A0-023B-47DF-BC8D-7D2EA3C2E035}"/>
            </a:ext>
          </a:extLst>
        </xdr:cNvPr>
        <xdr:cNvSpPr/>
      </xdr:nvSpPr>
      <xdr:spPr>
        <a:xfrm>
          <a:off x="9939618" y="6566647"/>
          <a:ext cx="358589" cy="356616"/>
        </a:xfrm>
        <a:prstGeom prst="borderCallout1">
          <a:avLst>
            <a:gd name="adj1" fmla="val 46750"/>
            <a:gd name="adj2" fmla="val 2012"/>
            <a:gd name="adj3" fmla="val 82678"/>
            <a:gd name="adj4" fmla="val -8413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15</a:t>
          </a:r>
          <a:endParaRPr lang="en-US" sz="11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51</xdr:col>
      <xdr:colOff>201705</xdr:colOff>
      <xdr:row>39</xdr:row>
      <xdr:rowOff>22412</xdr:rowOff>
    </xdr:from>
    <xdr:to>
      <xdr:col>53</xdr:col>
      <xdr:colOff>89647</xdr:colOff>
      <xdr:row>40</xdr:row>
      <xdr:rowOff>177322</xdr:rowOff>
    </xdr:to>
    <xdr:sp macro="" textlink="">
      <xdr:nvSpPr>
        <xdr:cNvPr id="17" name="Callout: Line 16">
          <a:extLst>
            <a:ext uri="{FF2B5EF4-FFF2-40B4-BE49-F238E27FC236}">
              <a16:creationId xmlns:a16="http://schemas.microsoft.com/office/drawing/2014/main" id="{3A3717FE-E65A-484A-B67B-6A10E1660D6E}"/>
            </a:ext>
          </a:extLst>
        </xdr:cNvPr>
        <xdr:cNvSpPr/>
      </xdr:nvSpPr>
      <xdr:spPr>
        <a:xfrm>
          <a:off x="12203205" y="7922559"/>
          <a:ext cx="358589" cy="356616"/>
        </a:xfrm>
        <a:prstGeom prst="borderCallout1">
          <a:avLst>
            <a:gd name="adj1" fmla="val 46750"/>
            <a:gd name="adj2" fmla="val 2012"/>
            <a:gd name="adj3" fmla="val 158093"/>
            <a:gd name="adj4" fmla="val -52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16</a:t>
          </a:r>
          <a:endParaRPr lang="en-US" sz="11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55</xdr:col>
      <xdr:colOff>89648</xdr:colOff>
      <xdr:row>39</xdr:row>
      <xdr:rowOff>44823</xdr:rowOff>
    </xdr:from>
    <xdr:to>
      <xdr:col>56</xdr:col>
      <xdr:colOff>212913</xdr:colOff>
      <xdr:row>40</xdr:row>
      <xdr:rowOff>199733</xdr:rowOff>
    </xdr:to>
    <xdr:sp macro="" textlink="">
      <xdr:nvSpPr>
        <xdr:cNvPr id="18" name="Callout: Line 17">
          <a:extLst>
            <a:ext uri="{FF2B5EF4-FFF2-40B4-BE49-F238E27FC236}">
              <a16:creationId xmlns:a16="http://schemas.microsoft.com/office/drawing/2014/main" id="{BB5C9E66-2519-4DDF-8F72-14440A72E698}"/>
            </a:ext>
          </a:extLst>
        </xdr:cNvPr>
        <xdr:cNvSpPr/>
      </xdr:nvSpPr>
      <xdr:spPr>
        <a:xfrm>
          <a:off x="13032442" y="7944970"/>
          <a:ext cx="358589" cy="356616"/>
        </a:xfrm>
        <a:prstGeom prst="borderCallout1">
          <a:avLst>
            <a:gd name="adj1" fmla="val 46750"/>
            <a:gd name="adj2" fmla="val 2012"/>
            <a:gd name="adj3" fmla="val 158093"/>
            <a:gd name="adj4" fmla="val -52880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17</a:t>
          </a:r>
          <a:endParaRPr lang="en-US" sz="11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</xdr:col>
      <xdr:colOff>0</xdr:colOff>
      <xdr:row>12</xdr:row>
      <xdr:rowOff>67236</xdr:rowOff>
    </xdr:from>
    <xdr:to>
      <xdr:col>16</xdr:col>
      <xdr:colOff>78442</xdr:colOff>
      <xdr:row>28</xdr:row>
      <xdr:rowOff>156883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B89D11A-2C47-476B-A072-B6672F761F33}"/>
            </a:ext>
          </a:extLst>
        </xdr:cNvPr>
        <xdr:cNvSpPr/>
      </xdr:nvSpPr>
      <xdr:spPr>
        <a:xfrm>
          <a:off x="941294" y="2521324"/>
          <a:ext cx="2902324" cy="3316941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134471</xdr:colOff>
      <xdr:row>29</xdr:row>
      <xdr:rowOff>44822</xdr:rowOff>
    </xdr:from>
    <xdr:to>
      <xdr:col>3</xdr:col>
      <xdr:colOff>22413</xdr:colOff>
      <xdr:row>30</xdr:row>
      <xdr:rowOff>199732</xdr:rowOff>
    </xdr:to>
    <xdr:sp macro="" textlink="">
      <xdr:nvSpPr>
        <xdr:cNvPr id="20" name="Callout: Line 19">
          <a:extLst>
            <a:ext uri="{FF2B5EF4-FFF2-40B4-BE49-F238E27FC236}">
              <a16:creationId xmlns:a16="http://schemas.microsoft.com/office/drawing/2014/main" id="{8E446FF5-E9C8-44B1-BCA0-486521F9F5B2}"/>
            </a:ext>
          </a:extLst>
        </xdr:cNvPr>
        <xdr:cNvSpPr/>
      </xdr:nvSpPr>
      <xdr:spPr>
        <a:xfrm>
          <a:off x="369795" y="5927910"/>
          <a:ext cx="358589" cy="356616"/>
        </a:xfrm>
        <a:prstGeom prst="borderCallout1">
          <a:avLst>
            <a:gd name="adj1" fmla="val 49892"/>
            <a:gd name="adj2" fmla="val 98887"/>
            <a:gd name="adj3" fmla="val 114102"/>
            <a:gd name="adj4" fmla="val 17524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2</a:t>
          </a:r>
          <a:endParaRPr lang="en-US" sz="11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</xdr:col>
      <xdr:colOff>134474</xdr:colOff>
      <xdr:row>31</xdr:row>
      <xdr:rowOff>44822</xdr:rowOff>
    </xdr:from>
    <xdr:to>
      <xdr:col>3</xdr:col>
      <xdr:colOff>22416</xdr:colOff>
      <xdr:row>32</xdr:row>
      <xdr:rowOff>199732</xdr:rowOff>
    </xdr:to>
    <xdr:sp macro="" textlink="">
      <xdr:nvSpPr>
        <xdr:cNvPr id="21" name="Callout: Line 20">
          <a:extLst>
            <a:ext uri="{FF2B5EF4-FFF2-40B4-BE49-F238E27FC236}">
              <a16:creationId xmlns:a16="http://schemas.microsoft.com/office/drawing/2014/main" id="{7FC53A1D-021B-4A8A-A2B2-983DA3964568}"/>
            </a:ext>
          </a:extLst>
        </xdr:cNvPr>
        <xdr:cNvSpPr/>
      </xdr:nvSpPr>
      <xdr:spPr>
        <a:xfrm>
          <a:off x="369798" y="6331322"/>
          <a:ext cx="358589" cy="356616"/>
        </a:xfrm>
        <a:prstGeom prst="borderCallout1">
          <a:avLst>
            <a:gd name="adj1" fmla="val 49892"/>
            <a:gd name="adj2" fmla="val 98887"/>
            <a:gd name="adj3" fmla="val 92106"/>
            <a:gd name="adj4" fmla="val 184619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vi-VN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3</a:t>
          </a:r>
          <a:endParaRPr lang="en-US" sz="11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</xdr:col>
      <xdr:colOff>123265</xdr:colOff>
      <xdr:row>14</xdr:row>
      <xdr:rowOff>134471</xdr:rowOff>
    </xdr:from>
    <xdr:to>
      <xdr:col>3</xdr:col>
      <xdr:colOff>11207</xdr:colOff>
      <xdr:row>16</xdr:row>
      <xdr:rowOff>87675</xdr:rowOff>
    </xdr:to>
    <xdr:sp macro="" textlink="">
      <xdr:nvSpPr>
        <xdr:cNvPr id="24" name="Callout: Line 23">
          <a:extLst>
            <a:ext uri="{FF2B5EF4-FFF2-40B4-BE49-F238E27FC236}">
              <a16:creationId xmlns:a16="http://schemas.microsoft.com/office/drawing/2014/main" id="{99A7ECD4-90BB-4594-8378-F7B04930E2C7}"/>
            </a:ext>
          </a:extLst>
        </xdr:cNvPr>
        <xdr:cNvSpPr/>
      </xdr:nvSpPr>
      <xdr:spPr>
        <a:xfrm>
          <a:off x="358589" y="2991971"/>
          <a:ext cx="358589" cy="356616"/>
        </a:xfrm>
        <a:prstGeom prst="borderCallout1">
          <a:avLst>
            <a:gd name="adj1" fmla="val 49892"/>
            <a:gd name="adj2" fmla="val 98887"/>
            <a:gd name="adj3" fmla="val 139240"/>
            <a:gd name="adj4" fmla="val 18774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1</a:t>
          </a:r>
          <a:r>
            <a:rPr lang="vi-VN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8</a:t>
          </a:r>
          <a:endParaRPr lang="en-US" sz="1100">
            <a:solidFill>
              <a:sysClr val="windowText" lastClr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 editAs="oneCell">
    <xdr:from>
      <xdr:col>13</xdr:col>
      <xdr:colOff>179077</xdr:colOff>
      <xdr:row>40</xdr:row>
      <xdr:rowOff>112060</xdr:rowOff>
    </xdr:from>
    <xdr:to>
      <xdr:col>15</xdr:col>
      <xdr:colOff>191682</xdr:colOff>
      <xdr:row>42</xdr:row>
      <xdr:rowOff>44824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7A1DB45-C484-4394-87D5-A561F6F9E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238283" y="8213913"/>
          <a:ext cx="483252" cy="336176"/>
        </a:xfrm>
        <a:prstGeom prst="rect">
          <a:avLst/>
        </a:prstGeom>
      </xdr:spPr>
    </xdr:pic>
    <xdr:clientData/>
  </xdr:twoCellAnchor>
  <xdr:twoCellAnchor>
    <xdr:from>
      <xdr:col>11</xdr:col>
      <xdr:colOff>134470</xdr:colOff>
      <xdr:row>39</xdr:row>
      <xdr:rowOff>11206</xdr:rowOff>
    </xdr:from>
    <xdr:to>
      <xdr:col>13</xdr:col>
      <xdr:colOff>22412</xdr:colOff>
      <xdr:row>40</xdr:row>
      <xdr:rowOff>166116</xdr:rowOff>
    </xdr:to>
    <xdr:sp macro="" textlink="">
      <xdr:nvSpPr>
        <xdr:cNvPr id="29" name="Callout: Line 28">
          <a:extLst>
            <a:ext uri="{FF2B5EF4-FFF2-40B4-BE49-F238E27FC236}">
              <a16:creationId xmlns:a16="http://schemas.microsoft.com/office/drawing/2014/main" id="{B4E637BD-9DD2-4850-B111-FE365B8E47BD}"/>
            </a:ext>
          </a:extLst>
        </xdr:cNvPr>
        <xdr:cNvSpPr/>
      </xdr:nvSpPr>
      <xdr:spPr>
        <a:xfrm>
          <a:off x="2723029" y="7911353"/>
          <a:ext cx="358589" cy="356616"/>
        </a:xfrm>
        <a:prstGeom prst="borderCallout1">
          <a:avLst>
            <a:gd name="adj1" fmla="val 49892"/>
            <a:gd name="adj2" fmla="val 98887"/>
            <a:gd name="adj3" fmla="val 139240"/>
            <a:gd name="adj4" fmla="val 187744"/>
          </a:avLst>
        </a:prstGeom>
        <a:solidFill>
          <a:srgbClr val="FFFF00"/>
        </a:soli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11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19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8" customWidth="1"/>
    <col min="61" max="16384" width="2.77734375" style="18"/>
  </cols>
  <sheetData>
    <row r="1" spans="1:63" ht="24.95" customHeight="1" x14ac:dyDescent="0.25">
      <c r="A1" s="35" t="s">
        <v>35</v>
      </c>
      <c r="B1" s="36"/>
      <c r="C1" s="36"/>
      <c r="D1" s="36"/>
      <c r="E1" s="36"/>
      <c r="F1" s="36"/>
      <c r="G1" s="36"/>
      <c r="H1" s="36"/>
      <c r="I1" s="36"/>
      <c r="J1" s="37"/>
      <c r="K1" s="35" t="s">
        <v>36</v>
      </c>
      <c r="L1" s="36"/>
      <c r="M1" s="36"/>
      <c r="N1" s="36"/>
      <c r="O1" s="36"/>
      <c r="P1" s="36"/>
      <c r="Q1" s="36"/>
      <c r="R1" s="36"/>
      <c r="S1" s="36"/>
      <c r="T1" s="36"/>
      <c r="U1" s="36"/>
      <c r="V1" s="37"/>
      <c r="W1" s="45" t="s">
        <v>37</v>
      </c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7"/>
      <c r="AP1" s="35" t="s">
        <v>38</v>
      </c>
      <c r="AQ1" s="36"/>
      <c r="AR1" s="36"/>
      <c r="AS1" s="37"/>
      <c r="AT1" s="35" t="s">
        <v>39</v>
      </c>
      <c r="AU1" s="36"/>
      <c r="AV1" s="36"/>
      <c r="AW1" s="36"/>
      <c r="AX1" s="37"/>
      <c r="AY1" s="35" t="s">
        <v>40</v>
      </c>
      <c r="AZ1" s="36"/>
      <c r="BA1" s="36"/>
      <c r="BB1" s="37"/>
      <c r="BC1" s="35" t="s">
        <v>41</v>
      </c>
      <c r="BD1" s="36"/>
      <c r="BE1" s="36"/>
      <c r="BF1" s="36"/>
      <c r="BG1" s="37"/>
      <c r="BH1" s="35" t="s">
        <v>42</v>
      </c>
      <c r="BI1" s="36"/>
      <c r="BJ1" s="36"/>
      <c r="BK1" s="37"/>
    </row>
    <row r="2" spans="1:63" ht="15" customHeight="1" x14ac:dyDescent="0.25">
      <c r="A2" s="44" t="s">
        <v>43</v>
      </c>
      <c r="B2" s="39"/>
      <c r="C2" s="39"/>
      <c r="D2" s="39"/>
      <c r="E2" s="39"/>
      <c r="F2" s="39"/>
      <c r="G2" s="39"/>
      <c r="H2" s="39"/>
      <c r="I2" s="39"/>
      <c r="J2" s="40"/>
      <c r="K2" s="38" t="s">
        <v>1</v>
      </c>
      <c r="L2" s="39"/>
      <c r="M2" s="39"/>
      <c r="N2" s="39"/>
      <c r="O2" s="39"/>
      <c r="P2" s="39"/>
      <c r="Q2" s="39"/>
      <c r="R2" s="39"/>
      <c r="S2" s="39"/>
      <c r="T2" s="39"/>
      <c r="U2" s="39"/>
      <c r="V2" s="40"/>
      <c r="W2" s="48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50"/>
      <c r="AP2" s="38" t="str">
        <f>改訂履歴!$H$11</f>
        <v>SonMNT</v>
      </c>
      <c r="AQ2" s="39"/>
      <c r="AR2" s="39"/>
      <c r="AS2" s="40"/>
      <c r="AT2" s="66">
        <f>改訂履歴!$B$11</f>
        <v>45505</v>
      </c>
      <c r="AU2" s="67"/>
      <c r="AV2" s="67"/>
      <c r="AW2" s="67"/>
      <c r="AX2" s="68"/>
      <c r="AY2" s="38" t="str">
        <f>LOOKUP(2,1/(改訂履歴!H11:H30000&lt;&gt;""),改訂履歴!H11:H30000)</f>
        <v>DuNT</v>
      </c>
      <c r="AZ2" s="39"/>
      <c r="BA2" s="39"/>
      <c r="BB2" s="40"/>
      <c r="BC2" s="66">
        <f>LOOKUP(2,1/(改訂履歴!B11:B30000&lt;&gt;""),改訂履歴!B11:B30000)</f>
        <v>45546</v>
      </c>
      <c r="BD2" s="67"/>
      <c r="BE2" s="67"/>
      <c r="BF2" s="67"/>
      <c r="BG2" s="68"/>
      <c r="BH2" s="60">
        <f>LOOKUP(2,1/(改訂履歴!O11:O30000&lt;&gt;""),改訂履歴!O11:O30000)</f>
        <v>0.2</v>
      </c>
      <c r="BI2" s="61"/>
      <c r="BJ2" s="61"/>
      <c r="BK2" s="62"/>
    </row>
    <row r="3" spans="1:63" ht="15" customHeight="1" x14ac:dyDescent="0.25">
      <c r="A3" s="41"/>
      <c r="B3" s="42"/>
      <c r="C3" s="42"/>
      <c r="D3" s="42"/>
      <c r="E3" s="42"/>
      <c r="F3" s="42"/>
      <c r="G3" s="42"/>
      <c r="H3" s="42"/>
      <c r="I3" s="42"/>
      <c r="J3" s="43"/>
      <c r="K3" s="41"/>
      <c r="L3" s="42"/>
      <c r="M3" s="42"/>
      <c r="N3" s="42"/>
      <c r="O3" s="42"/>
      <c r="P3" s="42"/>
      <c r="Q3" s="42"/>
      <c r="R3" s="42"/>
      <c r="S3" s="42"/>
      <c r="T3" s="42"/>
      <c r="U3" s="42"/>
      <c r="V3" s="43"/>
      <c r="W3" s="51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3"/>
      <c r="AP3" s="41"/>
      <c r="AQ3" s="42"/>
      <c r="AR3" s="42"/>
      <c r="AS3" s="43"/>
      <c r="AT3" s="69"/>
      <c r="AU3" s="70"/>
      <c r="AV3" s="70"/>
      <c r="AW3" s="70"/>
      <c r="AX3" s="71"/>
      <c r="AY3" s="41"/>
      <c r="AZ3" s="42"/>
      <c r="BA3" s="42"/>
      <c r="BB3" s="43"/>
      <c r="BC3" s="69"/>
      <c r="BD3" s="70"/>
      <c r="BE3" s="70"/>
      <c r="BF3" s="70"/>
      <c r="BG3" s="71"/>
      <c r="BH3" s="63"/>
      <c r="BI3" s="64"/>
      <c r="BJ3" s="64"/>
      <c r="BK3" s="65"/>
    </row>
    <row r="4" spans="1:63" ht="24.95" customHeight="1" x14ac:dyDescent="0.25">
      <c r="A4" s="35" t="s">
        <v>44</v>
      </c>
      <c r="B4" s="36"/>
      <c r="C4" s="36"/>
      <c r="D4" s="36"/>
      <c r="E4" s="36"/>
      <c r="F4" s="36"/>
      <c r="G4" s="37"/>
      <c r="H4" s="56" t="s">
        <v>26</v>
      </c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8"/>
      <c r="U4" s="35" t="s">
        <v>45</v>
      </c>
      <c r="V4" s="36"/>
      <c r="W4" s="36"/>
      <c r="X4" s="36"/>
      <c r="Y4" s="37"/>
      <c r="Z4" s="59" t="s">
        <v>46</v>
      </c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8"/>
      <c r="AP4" s="56" t="str">
        <f t="array" aca="1" ref="AP4" ca="1">RIGHT(CELL("filename",$A$1),LEN(CELL("filename",$A$1))-FIND("]",CELL("filename",$A$1)))</f>
        <v>表紙</v>
      </c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8"/>
    </row>
    <row r="5" spans="1:63" ht="5.0999999999999996" customHeight="1" x14ac:dyDescent="0.25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1"/>
    </row>
    <row r="6" spans="1:63" ht="15" customHeight="1" x14ac:dyDescent="0.25">
      <c r="A6" s="22"/>
      <c r="BK6" s="23"/>
    </row>
    <row r="7" spans="1:63" ht="15" customHeight="1" x14ac:dyDescent="0.25">
      <c r="A7" s="22"/>
      <c r="BK7" s="23"/>
    </row>
    <row r="8" spans="1:63" ht="15" customHeight="1" x14ac:dyDescent="0.25">
      <c r="A8" s="22"/>
      <c r="BK8" s="23"/>
    </row>
    <row r="9" spans="1:63" ht="15" customHeight="1" x14ac:dyDescent="0.25">
      <c r="A9" s="22"/>
      <c r="BK9" s="23"/>
    </row>
    <row r="10" spans="1:63" ht="15" customHeight="1" x14ac:dyDescent="0.25">
      <c r="A10" s="22"/>
      <c r="BK10" s="23"/>
    </row>
    <row r="11" spans="1:63" ht="15" customHeight="1" x14ac:dyDescent="0.25">
      <c r="A11" s="22"/>
      <c r="BK11" s="23"/>
    </row>
    <row r="12" spans="1:63" ht="15" customHeight="1" x14ac:dyDescent="0.25">
      <c r="A12" s="22"/>
      <c r="BK12" s="23"/>
    </row>
    <row r="13" spans="1:63" ht="15" customHeight="1" x14ac:dyDescent="0.25">
      <c r="A13" s="22"/>
      <c r="BK13" s="23"/>
    </row>
    <row r="14" spans="1:63" ht="15" customHeight="1" thickBot="1" x14ac:dyDescent="0.3">
      <c r="A14" s="22"/>
      <c r="BK14" s="23"/>
    </row>
    <row r="15" spans="1:63" ht="15" customHeight="1" thickTop="1" x14ac:dyDescent="0.25">
      <c r="A15" s="22"/>
      <c r="K15" s="24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6"/>
      <c r="BK15" s="23"/>
    </row>
    <row r="16" spans="1:63" ht="15" customHeight="1" x14ac:dyDescent="0.25">
      <c r="A16" s="22"/>
      <c r="K16" s="27"/>
      <c r="L16" s="54" t="s">
        <v>47</v>
      </c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28"/>
      <c r="BK16" s="23"/>
    </row>
    <row r="17" spans="1:63" ht="15" customHeight="1" x14ac:dyDescent="0.25">
      <c r="A17" s="22"/>
      <c r="K17" s="27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28"/>
      <c r="BK17" s="23"/>
    </row>
    <row r="18" spans="1:63" ht="15" customHeight="1" x14ac:dyDescent="0.25">
      <c r="A18" s="22"/>
      <c r="K18" s="27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28"/>
      <c r="BK18" s="23"/>
    </row>
    <row r="19" spans="1:63" ht="15" customHeight="1" x14ac:dyDescent="0.25">
      <c r="A19" s="22"/>
      <c r="K19" s="27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28"/>
      <c r="BK19" s="23"/>
    </row>
    <row r="20" spans="1:63" ht="15" customHeight="1" x14ac:dyDescent="0.25">
      <c r="A20" s="22"/>
      <c r="K20" s="27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28"/>
      <c r="BK20" s="23"/>
    </row>
    <row r="21" spans="1:63" ht="15" customHeight="1" x14ac:dyDescent="0.25">
      <c r="A21" s="22"/>
      <c r="K21" s="27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28"/>
      <c r="BK21" s="23"/>
    </row>
    <row r="22" spans="1:63" ht="15" customHeight="1" thickBot="1" x14ac:dyDescent="0.3">
      <c r="A22" s="22"/>
      <c r="K22" s="27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8"/>
      <c r="BK22" s="23"/>
    </row>
    <row r="23" spans="1:63" ht="15" customHeight="1" x14ac:dyDescent="0.25">
      <c r="A23" s="22"/>
      <c r="K23" s="2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28"/>
      <c r="BK23" s="23"/>
    </row>
    <row r="24" spans="1:63" ht="15" customHeight="1" x14ac:dyDescent="0.25">
      <c r="A24" s="22"/>
      <c r="K24" s="27"/>
      <c r="L24" s="55" t="str">
        <f>K2&amp;"/"&amp;H4&amp;"/"&amp;Z4</f>
        <v>POSサーバ/62_画像アップロード/画面設計書</v>
      </c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28"/>
      <c r="BK24" s="23"/>
    </row>
    <row r="25" spans="1:63" ht="15" customHeight="1" x14ac:dyDescent="0.25">
      <c r="A25" s="22"/>
      <c r="K25" s="27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28"/>
      <c r="BK25" s="23"/>
    </row>
    <row r="26" spans="1:63" ht="15" customHeight="1" x14ac:dyDescent="0.25">
      <c r="A26" s="22"/>
      <c r="K26" s="27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28"/>
      <c r="BK26" s="23"/>
    </row>
    <row r="27" spans="1:63" ht="15" customHeight="1" x14ac:dyDescent="0.25">
      <c r="A27" s="22"/>
      <c r="K27" s="27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28"/>
      <c r="BK27" s="23"/>
    </row>
    <row r="28" spans="1:63" ht="15" customHeight="1" x14ac:dyDescent="0.25">
      <c r="A28" s="22"/>
      <c r="K28" s="27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28"/>
      <c r="BK28" s="23"/>
    </row>
    <row r="29" spans="1:63" ht="15" customHeight="1" x14ac:dyDescent="0.25">
      <c r="A29" s="22"/>
      <c r="K29" s="27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28"/>
      <c r="BK29" s="23"/>
    </row>
    <row r="30" spans="1:63" ht="15" customHeight="1" x14ac:dyDescent="0.25">
      <c r="A30" s="22"/>
      <c r="K30" s="27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28"/>
      <c r="BK30" s="23"/>
    </row>
    <row r="31" spans="1:63" ht="15" customHeight="1" x14ac:dyDescent="0.25">
      <c r="A31" s="22"/>
      <c r="K31" s="27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28"/>
      <c r="BK31" s="23"/>
    </row>
    <row r="32" spans="1:63" ht="15" customHeight="1" x14ac:dyDescent="0.25">
      <c r="A32" s="22"/>
      <c r="K32" s="27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28"/>
      <c r="BK32" s="23"/>
    </row>
    <row r="33" spans="1:63" ht="15" customHeight="1" x14ac:dyDescent="0.25">
      <c r="A33" s="22"/>
      <c r="K33" s="27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28"/>
      <c r="BK33" s="23"/>
    </row>
    <row r="34" spans="1:63" ht="15" customHeight="1" x14ac:dyDescent="0.25">
      <c r="A34" s="22"/>
      <c r="K34" s="27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28"/>
      <c r="BK34" s="23"/>
    </row>
    <row r="35" spans="1:63" ht="15" customHeight="1" x14ac:dyDescent="0.25">
      <c r="A35" s="22"/>
      <c r="K35" s="27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28"/>
      <c r="BK35" s="23"/>
    </row>
    <row r="36" spans="1:63" ht="15" customHeight="1" x14ac:dyDescent="0.25">
      <c r="A36" s="22"/>
      <c r="K36" s="27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28"/>
      <c r="BK36" s="23"/>
    </row>
    <row r="37" spans="1:63" ht="15" customHeight="1" thickBot="1" x14ac:dyDescent="0.3">
      <c r="A37" s="22"/>
      <c r="K37" s="31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3"/>
      <c r="BK37" s="23"/>
    </row>
    <row r="38" spans="1:63" ht="15" customHeight="1" thickTop="1" x14ac:dyDescent="0.25">
      <c r="A38" s="22"/>
      <c r="BK38" s="23"/>
    </row>
    <row r="39" spans="1:63" ht="15" customHeight="1" x14ac:dyDescent="0.25">
      <c r="A39" s="22"/>
      <c r="BK39" s="23"/>
    </row>
    <row r="40" spans="1:63" ht="15" customHeight="1" x14ac:dyDescent="0.25">
      <c r="A40" s="22"/>
      <c r="BK40" s="23"/>
    </row>
    <row r="41" spans="1:63" ht="15" customHeight="1" x14ac:dyDescent="0.25">
      <c r="A41" s="22"/>
      <c r="BK41" s="23"/>
    </row>
    <row r="42" spans="1:63" ht="15" customHeight="1" x14ac:dyDescent="0.25">
      <c r="A42" s="22"/>
      <c r="BK42" s="23"/>
    </row>
    <row r="43" spans="1:63" ht="15" customHeight="1" x14ac:dyDescent="0.25">
      <c r="A43" s="22"/>
      <c r="BK43" s="23"/>
    </row>
    <row r="44" spans="1:63" ht="15" customHeight="1" x14ac:dyDescent="0.25">
      <c r="A44" s="22"/>
      <c r="Q44" s="75" t="s">
        <v>48</v>
      </c>
      <c r="R44" s="76"/>
      <c r="S44" s="76"/>
      <c r="T44" s="76"/>
      <c r="U44" s="76"/>
      <c r="V44" s="76"/>
      <c r="W44" s="76"/>
      <c r="X44" s="76"/>
      <c r="Y44" s="76"/>
      <c r="Z44" s="77"/>
      <c r="AA44" s="75" t="s">
        <v>49</v>
      </c>
      <c r="AB44" s="76"/>
      <c r="AC44" s="76"/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7"/>
      <c r="AQ44" s="75" t="s">
        <v>42</v>
      </c>
      <c r="AR44" s="76"/>
      <c r="AS44" s="76"/>
      <c r="AT44" s="76"/>
      <c r="AU44" s="77"/>
      <c r="BK44" s="23"/>
    </row>
    <row r="45" spans="1:63" ht="15" customHeight="1" x14ac:dyDescent="0.25">
      <c r="A45" s="22"/>
      <c r="Q45" s="78"/>
      <c r="R45" s="79"/>
      <c r="S45" s="79"/>
      <c r="T45" s="79"/>
      <c r="U45" s="79"/>
      <c r="V45" s="79"/>
      <c r="W45" s="79"/>
      <c r="X45" s="79"/>
      <c r="Y45" s="79"/>
      <c r="Z45" s="80"/>
      <c r="AA45" s="78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80"/>
      <c r="AQ45" s="78"/>
      <c r="AR45" s="79"/>
      <c r="AS45" s="79"/>
      <c r="AT45" s="79"/>
      <c r="AU45" s="80"/>
      <c r="BK45" s="23"/>
    </row>
    <row r="46" spans="1:63" ht="15" customHeight="1" x14ac:dyDescent="0.25">
      <c r="A46" s="22"/>
      <c r="Q46" s="38"/>
      <c r="R46" s="39"/>
      <c r="S46" s="39"/>
      <c r="T46" s="39"/>
      <c r="U46" s="39"/>
      <c r="V46" s="39"/>
      <c r="W46" s="39"/>
      <c r="X46" s="39"/>
      <c r="Y46" s="39"/>
      <c r="Z46" s="40"/>
      <c r="AA46" s="38"/>
      <c r="AB46" s="39"/>
      <c r="AC46" s="39"/>
      <c r="AD46" s="39"/>
      <c r="AE46" s="39"/>
      <c r="AF46" s="39"/>
      <c r="AG46" s="39"/>
      <c r="AH46" s="39"/>
      <c r="AI46" s="39"/>
      <c r="AJ46" s="39"/>
      <c r="AK46" s="39"/>
      <c r="AL46" s="39"/>
      <c r="AM46" s="39"/>
      <c r="AN46" s="39"/>
      <c r="AO46" s="39"/>
      <c r="AP46" s="40"/>
      <c r="AQ46" s="38"/>
      <c r="AR46" s="39"/>
      <c r="AS46" s="39"/>
      <c r="AT46" s="39"/>
      <c r="AU46" s="40"/>
      <c r="BK46" s="23"/>
    </row>
    <row r="47" spans="1:63" ht="15" customHeight="1" x14ac:dyDescent="0.25">
      <c r="A47" s="22"/>
      <c r="Q47" s="72"/>
      <c r="R47" s="73"/>
      <c r="S47" s="73"/>
      <c r="T47" s="73"/>
      <c r="U47" s="73"/>
      <c r="V47" s="73"/>
      <c r="W47" s="73"/>
      <c r="X47" s="73"/>
      <c r="Y47" s="73"/>
      <c r="Z47" s="74"/>
      <c r="AA47" s="72"/>
      <c r="AB47" s="73"/>
      <c r="AC47" s="73"/>
      <c r="AD47" s="73"/>
      <c r="AE47" s="73"/>
      <c r="AF47" s="73"/>
      <c r="AG47" s="73"/>
      <c r="AH47" s="73"/>
      <c r="AI47" s="73"/>
      <c r="AJ47" s="73"/>
      <c r="AK47" s="73"/>
      <c r="AL47" s="73"/>
      <c r="AM47" s="73"/>
      <c r="AN47" s="73"/>
      <c r="AO47" s="73"/>
      <c r="AP47" s="74"/>
      <c r="AQ47" s="72"/>
      <c r="AR47" s="73"/>
      <c r="AS47" s="73"/>
      <c r="AT47" s="73"/>
      <c r="AU47" s="74"/>
      <c r="BK47" s="23"/>
    </row>
    <row r="48" spans="1:63" ht="15" customHeight="1" x14ac:dyDescent="0.25">
      <c r="A48" s="22"/>
      <c r="Q48" s="72"/>
      <c r="R48" s="73"/>
      <c r="S48" s="73"/>
      <c r="T48" s="73"/>
      <c r="U48" s="73"/>
      <c r="V48" s="73"/>
      <c r="W48" s="73"/>
      <c r="X48" s="73"/>
      <c r="Y48" s="73"/>
      <c r="Z48" s="74"/>
      <c r="AA48" s="72"/>
      <c r="AB48" s="73"/>
      <c r="AC48" s="73"/>
      <c r="AD48" s="73"/>
      <c r="AE48" s="73"/>
      <c r="AF48" s="73"/>
      <c r="AG48" s="73"/>
      <c r="AH48" s="73"/>
      <c r="AI48" s="73"/>
      <c r="AJ48" s="73"/>
      <c r="AK48" s="73"/>
      <c r="AL48" s="73"/>
      <c r="AM48" s="73"/>
      <c r="AN48" s="73"/>
      <c r="AO48" s="73"/>
      <c r="AP48" s="74"/>
      <c r="AQ48" s="72"/>
      <c r="AR48" s="73"/>
      <c r="AS48" s="73"/>
      <c r="AT48" s="73"/>
      <c r="AU48" s="74"/>
      <c r="BK48" s="23"/>
    </row>
    <row r="49" spans="1:63" ht="15" customHeight="1" x14ac:dyDescent="0.25">
      <c r="A49" s="22"/>
      <c r="Q49" s="41"/>
      <c r="R49" s="42"/>
      <c r="S49" s="42"/>
      <c r="T49" s="42"/>
      <c r="U49" s="42"/>
      <c r="V49" s="42"/>
      <c r="W49" s="42"/>
      <c r="X49" s="42"/>
      <c r="Y49" s="42"/>
      <c r="Z49" s="43"/>
      <c r="AA49" s="41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3"/>
      <c r="AQ49" s="41"/>
      <c r="AR49" s="42"/>
      <c r="AS49" s="42"/>
      <c r="AT49" s="42"/>
      <c r="AU49" s="43"/>
      <c r="BK49" s="23"/>
    </row>
    <row r="50" spans="1:63" ht="15" customHeight="1" x14ac:dyDescent="0.25">
      <c r="A50" s="22"/>
      <c r="BK50" s="23"/>
    </row>
    <row r="51" spans="1:63" ht="15" customHeight="1" x14ac:dyDescent="0.25">
      <c r="A51" s="22"/>
      <c r="BK51" s="23"/>
    </row>
    <row r="52" spans="1:63" ht="15" customHeight="1" x14ac:dyDescent="0.25">
      <c r="A52" s="22"/>
      <c r="BK52" s="23"/>
    </row>
    <row r="53" spans="1:63" ht="15" customHeight="1" x14ac:dyDescent="0.25">
      <c r="A53" s="22"/>
      <c r="BK53" s="23"/>
    </row>
    <row r="54" spans="1:63" ht="15" customHeight="1" x14ac:dyDescent="0.25">
      <c r="A54" s="22"/>
      <c r="BK54" s="23"/>
    </row>
    <row r="55" spans="1:63" ht="15" customHeight="1" x14ac:dyDescent="0.25">
      <c r="A55" s="19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1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tabColor rgb="FF0000FF"/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8" customWidth="1"/>
    <col min="61" max="16384" width="2.77734375" style="18"/>
  </cols>
  <sheetData>
    <row r="1" spans="1:63" ht="24.95" customHeight="1" x14ac:dyDescent="0.25">
      <c r="A1" s="35" t="s">
        <v>35</v>
      </c>
      <c r="B1" s="36"/>
      <c r="C1" s="36"/>
      <c r="D1" s="36"/>
      <c r="E1" s="36"/>
      <c r="F1" s="36"/>
      <c r="G1" s="36"/>
      <c r="H1" s="36"/>
      <c r="I1" s="36"/>
      <c r="J1" s="37"/>
      <c r="K1" s="35" t="s">
        <v>36</v>
      </c>
      <c r="L1" s="36"/>
      <c r="M1" s="36"/>
      <c r="N1" s="36"/>
      <c r="O1" s="36"/>
      <c r="P1" s="36"/>
      <c r="Q1" s="36"/>
      <c r="R1" s="36"/>
      <c r="S1" s="36"/>
      <c r="T1" s="36"/>
      <c r="U1" s="36"/>
      <c r="V1" s="37"/>
      <c r="W1" s="81" t="str">
        <f>IF(表紙!W1="","",表紙!W1)</f>
        <v>詳細設計書</v>
      </c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7"/>
      <c r="AP1" s="35" t="s">
        <v>38</v>
      </c>
      <c r="AQ1" s="36"/>
      <c r="AR1" s="36"/>
      <c r="AS1" s="37"/>
      <c r="AT1" s="35" t="s">
        <v>39</v>
      </c>
      <c r="AU1" s="36"/>
      <c r="AV1" s="36"/>
      <c r="AW1" s="36"/>
      <c r="AX1" s="37"/>
      <c r="AY1" s="35" t="s">
        <v>40</v>
      </c>
      <c r="AZ1" s="36"/>
      <c r="BA1" s="36"/>
      <c r="BB1" s="37"/>
      <c r="BC1" s="35" t="s">
        <v>41</v>
      </c>
      <c r="BD1" s="36"/>
      <c r="BE1" s="36"/>
      <c r="BF1" s="36"/>
      <c r="BG1" s="37"/>
      <c r="BH1" s="35" t="s">
        <v>42</v>
      </c>
      <c r="BI1" s="36"/>
      <c r="BJ1" s="36"/>
      <c r="BK1" s="37"/>
    </row>
    <row r="2" spans="1:63" ht="15" customHeight="1" x14ac:dyDescent="0.25">
      <c r="A2" s="38" t="str">
        <f>IF(表紙!A2="","",表紙!A2)</f>
        <v>POSサーバー</v>
      </c>
      <c r="B2" s="39"/>
      <c r="C2" s="39"/>
      <c r="D2" s="39"/>
      <c r="E2" s="39"/>
      <c r="F2" s="39"/>
      <c r="G2" s="39"/>
      <c r="H2" s="39"/>
      <c r="I2" s="39"/>
      <c r="J2" s="40"/>
      <c r="K2" s="38" t="str">
        <f>IF(表紙!K2="","",表紙!K2)</f>
        <v>POSサーバ</v>
      </c>
      <c r="L2" s="39"/>
      <c r="M2" s="39"/>
      <c r="N2" s="39"/>
      <c r="O2" s="39"/>
      <c r="P2" s="39"/>
      <c r="Q2" s="39"/>
      <c r="R2" s="39"/>
      <c r="S2" s="39"/>
      <c r="T2" s="39"/>
      <c r="U2" s="39"/>
      <c r="V2" s="40"/>
      <c r="W2" s="48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50"/>
      <c r="AP2" s="38" t="str">
        <f>IF(表紙!AP2="","",表紙!AP2)</f>
        <v>SonMNT</v>
      </c>
      <c r="AQ2" s="39"/>
      <c r="AR2" s="39"/>
      <c r="AS2" s="40"/>
      <c r="AT2" s="66">
        <f>IF(表紙!AT2="","",表紙!AT2)</f>
        <v>45505</v>
      </c>
      <c r="AU2" s="67"/>
      <c r="AV2" s="67"/>
      <c r="AW2" s="67"/>
      <c r="AX2" s="68"/>
      <c r="AY2" s="38" t="str">
        <f>IF(表紙!AY2="","",表紙!AY2)</f>
        <v>DuNT</v>
      </c>
      <c r="AZ2" s="39"/>
      <c r="BA2" s="39"/>
      <c r="BB2" s="40"/>
      <c r="BC2" s="66">
        <f>IF(表紙!BC2="","",表紙!BC2)</f>
        <v>45546</v>
      </c>
      <c r="BD2" s="67"/>
      <c r="BE2" s="67"/>
      <c r="BF2" s="67"/>
      <c r="BG2" s="68"/>
      <c r="BH2" s="38">
        <f>IF(表紙!BH2="","",表紙!BH2)</f>
        <v>0.2</v>
      </c>
      <c r="BI2" s="39"/>
      <c r="BJ2" s="39"/>
      <c r="BK2" s="40"/>
    </row>
    <row r="3" spans="1:63" ht="15" customHeight="1" x14ac:dyDescent="0.25">
      <c r="A3" s="41"/>
      <c r="B3" s="42"/>
      <c r="C3" s="42"/>
      <c r="D3" s="42"/>
      <c r="E3" s="42"/>
      <c r="F3" s="42"/>
      <c r="G3" s="42"/>
      <c r="H3" s="42"/>
      <c r="I3" s="42"/>
      <c r="J3" s="43"/>
      <c r="K3" s="41"/>
      <c r="L3" s="42"/>
      <c r="M3" s="42"/>
      <c r="N3" s="42"/>
      <c r="O3" s="42"/>
      <c r="P3" s="42"/>
      <c r="Q3" s="42"/>
      <c r="R3" s="42"/>
      <c r="S3" s="42"/>
      <c r="T3" s="42"/>
      <c r="U3" s="42"/>
      <c r="V3" s="43"/>
      <c r="W3" s="51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3"/>
      <c r="AP3" s="41"/>
      <c r="AQ3" s="42"/>
      <c r="AR3" s="42"/>
      <c r="AS3" s="43"/>
      <c r="AT3" s="69"/>
      <c r="AU3" s="70"/>
      <c r="AV3" s="70"/>
      <c r="AW3" s="70"/>
      <c r="AX3" s="71"/>
      <c r="AY3" s="41"/>
      <c r="AZ3" s="42"/>
      <c r="BA3" s="42"/>
      <c r="BB3" s="43"/>
      <c r="BC3" s="69"/>
      <c r="BD3" s="70"/>
      <c r="BE3" s="70"/>
      <c r="BF3" s="70"/>
      <c r="BG3" s="71"/>
      <c r="BH3" s="41"/>
      <c r="BI3" s="42"/>
      <c r="BJ3" s="42"/>
      <c r="BK3" s="43"/>
    </row>
    <row r="4" spans="1:63" ht="24.95" customHeight="1" x14ac:dyDescent="0.25">
      <c r="A4" s="35" t="s">
        <v>50</v>
      </c>
      <c r="B4" s="36"/>
      <c r="C4" s="36"/>
      <c r="D4" s="36"/>
      <c r="E4" s="36"/>
      <c r="F4" s="36"/>
      <c r="G4" s="37"/>
      <c r="H4" s="56" t="str">
        <f>IF(表紙!H4="","",表紙!H4)</f>
        <v>62_画像アップロード</v>
      </c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8"/>
      <c r="U4" s="35" t="s">
        <v>45</v>
      </c>
      <c r="V4" s="36"/>
      <c r="W4" s="36"/>
      <c r="X4" s="36"/>
      <c r="Y4" s="37"/>
      <c r="Z4" s="56" t="str">
        <f>IF(表紙!Z4="","",表紙!Z4)</f>
        <v>画面設計書</v>
      </c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57"/>
      <c r="AN4" s="57"/>
      <c r="AO4" s="58"/>
      <c r="AP4" s="56" t="str">
        <f t="array" aca="1" ref="AP4" ca="1">RIGHT(CELL("filename",$A$1),LEN(CELL("filename",$A$1))-FIND("]",CELL("filename",$A$1)))</f>
        <v>改訂履歴</v>
      </c>
      <c r="AQ4" s="57"/>
      <c r="AR4" s="57"/>
      <c r="AS4" s="57"/>
      <c r="AT4" s="57"/>
      <c r="AU4" s="57"/>
      <c r="AV4" s="57"/>
      <c r="AW4" s="57"/>
      <c r="AX4" s="57"/>
      <c r="AY4" s="57"/>
      <c r="AZ4" s="57"/>
      <c r="BA4" s="57"/>
      <c r="BB4" s="57"/>
      <c r="BC4" s="57"/>
      <c r="BD4" s="57"/>
      <c r="BE4" s="57"/>
      <c r="BF4" s="57"/>
      <c r="BG4" s="57"/>
      <c r="BH4" s="57"/>
      <c r="BI4" s="57"/>
      <c r="BJ4" s="57"/>
      <c r="BK4" s="58"/>
    </row>
    <row r="5" spans="1:63" ht="5.0999999999999996" customHeight="1" x14ac:dyDescent="0.25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1"/>
    </row>
    <row r="6" spans="1:63" ht="15" customHeight="1" x14ac:dyDescent="0.25">
      <c r="A6" s="22"/>
      <c r="BK6" s="23"/>
    </row>
    <row r="7" spans="1:63" ht="15" customHeight="1" x14ac:dyDescent="0.25">
      <c r="A7" s="22"/>
      <c r="BK7" s="23"/>
    </row>
    <row r="8" spans="1:63" ht="15" customHeight="1" x14ac:dyDescent="0.25">
      <c r="A8" s="22"/>
      <c r="B8" s="18" t="s">
        <v>0</v>
      </c>
      <c r="BK8" s="23"/>
    </row>
    <row r="9" spans="1:63" ht="15" customHeight="1" x14ac:dyDescent="0.25">
      <c r="A9" s="22"/>
      <c r="BK9" s="23"/>
    </row>
    <row r="10" spans="1:63" ht="15" customHeight="1" x14ac:dyDescent="0.25">
      <c r="A10" s="22"/>
      <c r="B10" s="94" t="s">
        <v>41</v>
      </c>
      <c r="C10" s="94"/>
      <c r="D10" s="94"/>
      <c r="E10" s="94"/>
      <c r="F10" s="94"/>
      <c r="G10" s="94"/>
      <c r="H10" s="94" t="s">
        <v>40</v>
      </c>
      <c r="I10" s="94"/>
      <c r="J10" s="94"/>
      <c r="K10" s="94"/>
      <c r="L10" s="94"/>
      <c r="M10" s="94"/>
      <c r="N10" s="94"/>
      <c r="O10" s="94" t="s">
        <v>42</v>
      </c>
      <c r="P10" s="94"/>
      <c r="Q10" s="94"/>
      <c r="R10" s="94"/>
      <c r="S10" s="94" t="s">
        <v>51</v>
      </c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4"/>
      <c r="AQ10" s="94"/>
      <c r="AR10" s="94"/>
      <c r="AS10" s="94"/>
      <c r="AT10" s="94"/>
      <c r="AU10" s="94"/>
      <c r="AV10" s="94"/>
      <c r="AW10" s="94"/>
      <c r="AX10" s="94" t="s">
        <v>48</v>
      </c>
      <c r="AY10" s="94"/>
      <c r="AZ10" s="94"/>
      <c r="BA10" s="94"/>
      <c r="BB10" s="94"/>
      <c r="BC10" s="94"/>
      <c r="BD10" s="94" t="s">
        <v>49</v>
      </c>
      <c r="BE10" s="94"/>
      <c r="BF10" s="94"/>
      <c r="BG10" s="94"/>
      <c r="BH10" s="94"/>
      <c r="BI10" s="94"/>
      <c r="BJ10" s="94"/>
      <c r="BK10" s="23"/>
    </row>
    <row r="11" spans="1:63" ht="15" customHeight="1" x14ac:dyDescent="0.25">
      <c r="A11" s="22"/>
      <c r="B11" s="66">
        <v>45505</v>
      </c>
      <c r="C11" s="39"/>
      <c r="D11" s="39"/>
      <c r="E11" s="39"/>
      <c r="F11" s="39"/>
      <c r="G11" s="40"/>
      <c r="H11" s="44" t="s">
        <v>52</v>
      </c>
      <c r="I11" s="39"/>
      <c r="J11" s="39"/>
      <c r="K11" s="39"/>
      <c r="L11" s="39"/>
      <c r="M11" s="39"/>
      <c r="N11" s="40"/>
      <c r="O11" s="38">
        <v>0.1</v>
      </c>
      <c r="P11" s="39"/>
      <c r="Q11" s="39"/>
      <c r="R11" s="39"/>
      <c r="S11" s="91" t="s">
        <v>2</v>
      </c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3"/>
      <c r="AX11" s="82"/>
      <c r="AY11" s="82"/>
      <c r="AZ11" s="82"/>
      <c r="BA11" s="82"/>
      <c r="BB11" s="82"/>
      <c r="BC11" s="83"/>
      <c r="BD11" s="86"/>
      <c r="BE11" s="82"/>
      <c r="BF11" s="82"/>
      <c r="BG11" s="82"/>
      <c r="BH11" s="82"/>
      <c r="BI11" s="82"/>
      <c r="BJ11" s="83"/>
      <c r="BK11" s="23"/>
    </row>
    <row r="12" spans="1:63" ht="15" customHeight="1" x14ac:dyDescent="0.25">
      <c r="A12" s="22"/>
      <c r="B12" s="41"/>
      <c r="C12" s="42"/>
      <c r="D12" s="42"/>
      <c r="E12" s="42"/>
      <c r="F12" s="42"/>
      <c r="G12" s="43"/>
      <c r="H12" s="41"/>
      <c r="I12" s="42"/>
      <c r="J12" s="42"/>
      <c r="K12" s="42"/>
      <c r="L12" s="42"/>
      <c r="M12" s="42"/>
      <c r="N12" s="43"/>
      <c r="O12" s="41"/>
      <c r="P12" s="42"/>
      <c r="Q12" s="42"/>
      <c r="R12" s="42"/>
      <c r="S12" s="88"/>
      <c r="T12" s="89"/>
      <c r="U12" s="89"/>
      <c r="V12" s="89"/>
      <c r="W12" s="89"/>
      <c r="X12" s="89"/>
      <c r="Y12" s="89"/>
      <c r="Z12" s="89"/>
      <c r="AA12" s="89"/>
      <c r="AB12" s="89"/>
      <c r="AC12" s="89"/>
      <c r="AD12" s="89"/>
      <c r="AE12" s="89"/>
      <c r="AF12" s="89"/>
      <c r="AG12" s="89"/>
      <c r="AH12" s="89"/>
      <c r="AI12" s="89"/>
      <c r="AJ12" s="89"/>
      <c r="AK12" s="89"/>
      <c r="AL12" s="89"/>
      <c r="AM12" s="89"/>
      <c r="AN12" s="89"/>
      <c r="AO12" s="89"/>
      <c r="AP12" s="89"/>
      <c r="AQ12" s="89"/>
      <c r="AR12" s="89"/>
      <c r="AS12" s="89"/>
      <c r="AT12" s="89"/>
      <c r="AU12" s="89"/>
      <c r="AV12" s="89"/>
      <c r="AW12" s="90"/>
      <c r="AX12" s="84"/>
      <c r="AY12" s="84"/>
      <c r="AZ12" s="84"/>
      <c r="BA12" s="84"/>
      <c r="BB12" s="84"/>
      <c r="BC12" s="85"/>
      <c r="BD12" s="87"/>
      <c r="BE12" s="84"/>
      <c r="BF12" s="84"/>
      <c r="BG12" s="84"/>
      <c r="BH12" s="84"/>
      <c r="BI12" s="84"/>
      <c r="BJ12" s="85"/>
      <c r="BK12" s="23"/>
    </row>
    <row r="13" spans="1:63" ht="15" customHeight="1" x14ac:dyDescent="0.25">
      <c r="A13" s="22"/>
      <c r="B13" s="257">
        <v>45546</v>
      </c>
      <c r="C13" s="258"/>
      <c r="D13" s="258"/>
      <c r="E13" s="258"/>
      <c r="F13" s="258"/>
      <c r="G13" s="259"/>
      <c r="H13" s="260" t="s">
        <v>98</v>
      </c>
      <c r="I13" s="258"/>
      <c r="J13" s="258"/>
      <c r="K13" s="258"/>
      <c r="L13" s="258"/>
      <c r="M13" s="258"/>
      <c r="N13" s="259"/>
      <c r="O13" s="260">
        <v>0.2</v>
      </c>
      <c r="P13" s="258"/>
      <c r="Q13" s="258"/>
      <c r="R13" s="258"/>
      <c r="S13" s="261" t="s">
        <v>99</v>
      </c>
      <c r="T13" s="262"/>
      <c r="U13" s="262"/>
      <c r="V13" s="262"/>
      <c r="W13" s="262"/>
      <c r="X13" s="262"/>
      <c r="Y13" s="262"/>
      <c r="Z13" s="262"/>
      <c r="AA13" s="262"/>
      <c r="AB13" s="262"/>
      <c r="AC13" s="262"/>
      <c r="AD13" s="262"/>
      <c r="AE13" s="262"/>
      <c r="AF13" s="262"/>
      <c r="AG13" s="262"/>
      <c r="AH13" s="262"/>
      <c r="AI13" s="262"/>
      <c r="AJ13" s="262"/>
      <c r="AK13" s="262"/>
      <c r="AL13" s="262"/>
      <c r="AM13" s="262"/>
      <c r="AN13" s="262"/>
      <c r="AO13" s="262"/>
      <c r="AP13" s="262"/>
      <c r="AQ13" s="262"/>
      <c r="AR13" s="262"/>
      <c r="AS13" s="262"/>
      <c r="AT13" s="262"/>
      <c r="AU13" s="262"/>
      <c r="AV13" s="262"/>
      <c r="AW13" s="263"/>
      <c r="AX13" s="82"/>
      <c r="AY13" s="82"/>
      <c r="AZ13" s="82"/>
      <c r="BA13" s="82"/>
      <c r="BB13" s="82"/>
      <c r="BC13" s="83"/>
      <c r="BD13" s="86"/>
      <c r="BE13" s="82"/>
      <c r="BF13" s="82"/>
      <c r="BG13" s="82"/>
      <c r="BH13" s="82"/>
      <c r="BI13" s="82"/>
      <c r="BJ13" s="83"/>
      <c r="BK13" s="23"/>
    </row>
    <row r="14" spans="1:63" ht="15" customHeight="1" x14ac:dyDescent="0.25">
      <c r="A14" s="22"/>
      <c r="B14" s="264"/>
      <c r="C14" s="265"/>
      <c r="D14" s="265"/>
      <c r="E14" s="265"/>
      <c r="F14" s="265"/>
      <c r="G14" s="266"/>
      <c r="H14" s="264"/>
      <c r="I14" s="265"/>
      <c r="J14" s="265"/>
      <c r="K14" s="265"/>
      <c r="L14" s="265"/>
      <c r="M14" s="265"/>
      <c r="N14" s="266"/>
      <c r="O14" s="264"/>
      <c r="P14" s="265"/>
      <c r="Q14" s="265"/>
      <c r="R14" s="265"/>
      <c r="S14" s="267" t="s">
        <v>100</v>
      </c>
      <c r="T14" s="268"/>
      <c r="U14" s="268"/>
      <c r="V14" s="268"/>
      <c r="W14" s="268"/>
      <c r="X14" s="268"/>
      <c r="Y14" s="268"/>
      <c r="Z14" s="268"/>
      <c r="AA14" s="268"/>
      <c r="AB14" s="268"/>
      <c r="AC14" s="268"/>
      <c r="AD14" s="268"/>
      <c r="AE14" s="268"/>
      <c r="AF14" s="268"/>
      <c r="AG14" s="268"/>
      <c r="AH14" s="268"/>
      <c r="AI14" s="268"/>
      <c r="AJ14" s="268"/>
      <c r="AK14" s="268"/>
      <c r="AL14" s="268"/>
      <c r="AM14" s="268"/>
      <c r="AN14" s="268"/>
      <c r="AO14" s="268"/>
      <c r="AP14" s="268"/>
      <c r="AQ14" s="268"/>
      <c r="AR14" s="268"/>
      <c r="AS14" s="268"/>
      <c r="AT14" s="268"/>
      <c r="AU14" s="268"/>
      <c r="AV14" s="268"/>
      <c r="AW14" s="269"/>
      <c r="AX14" s="84"/>
      <c r="AY14" s="84"/>
      <c r="AZ14" s="84"/>
      <c r="BA14" s="84"/>
      <c r="BB14" s="84"/>
      <c r="BC14" s="85"/>
      <c r="BD14" s="87"/>
      <c r="BE14" s="84"/>
      <c r="BF14" s="84"/>
      <c r="BG14" s="84"/>
      <c r="BH14" s="84"/>
      <c r="BI14" s="84"/>
      <c r="BJ14" s="85"/>
      <c r="BK14" s="23"/>
    </row>
    <row r="15" spans="1:63" ht="15" customHeight="1" x14ac:dyDescent="0.25">
      <c r="A15" s="22"/>
      <c r="B15" s="38"/>
      <c r="C15" s="39"/>
      <c r="D15" s="39"/>
      <c r="E15" s="39"/>
      <c r="F15" s="39"/>
      <c r="G15" s="40"/>
      <c r="H15" s="38"/>
      <c r="I15" s="39"/>
      <c r="J15" s="39"/>
      <c r="K15" s="39"/>
      <c r="L15" s="39"/>
      <c r="M15" s="39"/>
      <c r="N15" s="40"/>
      <c r="O15" s="38"/>
      <c r="P15" s="39"/>
      <c r="Q15" s="39"/>
      <c r="R15" s="39"/>
      <c r="S15" s="91"/>
      <c r="T15" s="92"/>
      <c r="U15" s="92"/>
      <c r="V15" s="92"/>
      <c r="W15" s="92"/>
      <c r="X15" s="92"/>
      <c r="Y15" s="92"/>
      <c r="Z15" s="92"/>
      <c r="AA15" s="92"/>
      <c r="AB15" s="92"/>
      <c r="AC15" s="92"/>
      <c r="AD15" s="92"/>
      <c r="AE15" s="92"/>
      <c r="AF15" s="92"/>
      <c r="AG15" s="92"/>
      <c r="AH15" s="92"/>
      <c r="AI15" s="92"/>
      <c r="AJ15" s="92"/>
      <c r="AK15" s="92"/>
      <c r="AL15" s="92"/>
      <c r="AM15" s="92"/>
      <c r="AN15" s="92"/>
      <c r="AO15" s="92"/>
      <c r="AP15" s="92"/>
      <c r="AQ15" s="92"/>
      <c r="AR15" s="92"/>
      <c r="AS15" s="92"/>
      <c r="AT15" s="92"/>
      <c r="AU15" s="92"/>
      <c r="AV15" s="92"/>
      <c r="AW15" s="93"/>
      <c r="AX15" s="82"/>
      <c r="AY15" s="82"/>
      <c r="AZ15" s="82"/>
      <c r="BA15" s="82"/>
      <c r="BB15" s="82"/>
      <c r="BC15" s="83"/>
      <c r="BD15" s="86"/>
      <c r="BE15" s="82"/>
      <c r="BF15" s="82"/>
      <c r="BG15" s="82"/>
      <c r="BH15" s="82"/>
      <c r="BI15" s="82"/>
      <c r="BJ15" s="83"/>
      <c r="BK15" s="23"/>
    </row>
    <row r="16" spans="1:63" ht="15" customHeight="1" x14ac:dyDescent="0.25">
      <c r="A16" s="22"/>
      <c r="B16" s="41"/>
      <c r="C16" s="42"/>
      <c r="D16" s="42"/>
      <c r="E16" s="42"/>
      <c r="F16" s="42"/>
      <c r="G16" s="43"/>
      <c r="H16" s="41"/>
      <c r="I16" s="42"/>
      <c r="J16" s="42"/>
      <c r="K16" s="42"/>
      <c r="L16" s="42"/>
      <c r="M16" s="42"/>
      <c r="N16" s="43"/>
      <c r="O16" s="41"/>
      <c r="P16" s="42"/>
      <c r="Q16" s="42"/>
      <c r="R16" s="42"/>
      <c r="S16" s="88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  <c r="AH16" s="89"/>
      <c r="AI16" s="89"/>
      <c r="AJ16" s="89"/>
      <c r="AK16" s="89"/>
      <c r="AL16" s="89"/>
      <c r="AM16" s="89"/>
      <c r="AN16" s="89"/>
      <c r="AO16" s="89"/>
      <c r="AP16" s="89"/>
      <c r="AQ16" s="89"/>
      <c r="AR16" s="89"/>
      <c r="AS16" s="89"/>
      <c r="AT16" s="89"/>
      <c r="AU16" s="89"/>
      <c r="AV16" s="89"/>
      <c r="AW16" s="90"/>
      <c r="AX16" s="84"/>
      <c r="AY16" s="84"/>
      <c r="AZ16" s="84"/>
      <c r="BA16" s="84"/>
      <c r="BB16" s="84"/>
      <c r="BC16" s="85"/>
      <c r="BD16" s="87"/>
      <c r="BE16" s="84"/>
      <c r="BF16" s="84"/>
      <c r="BG16" s="84"/>
      <c r="BH16" s="84"/>
      <c r="BI16" s="84"/>
      <c r="BJ16" s="85"/>
      <c r="BK16" s="23"/>
    </row>
    <row r="17" spans="1:63" ht="15" customHeight="1" x14ac:dyDescent="0.25">
      <c r="A17" s="22"/>
      <c r="B17" s="38"/>
      <c r="C17" s="39"/>
      <c r="D17" s="39"/>
      <c r="E17" s="39"/>
      <c r="F17" s="39"/>
      <c r="G17" s="40"/>
      <c r="H17" s="38"/>
      <c r="I17" s="39"/>
      <c r="J17" s="39"/>
      <c r="K17" s="39"/>
      <c r="L17" s="39"/>
      <c r="M17" s="39"/>
      <c r="N17" s="40"/>
      <c r="O17" s="38"/>
      <c r="P17" s="39"/>
      <c r="Q17" s="39"/>
      <c r="R17" s="39"/>
      <c r="S17" s="91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3"/>
      <c r="AX17" s="82"/>
      <c r="AY17" s="82"/>
      <c r="AZ17" s="82"/>
      <c r="BA17" s="82"/>
      <c r="BB17" s="82"/>
      <c r="BC17" s="83"/>
      <c r="BD17" s="86"/>
      <c r="BE17" s="82"/>
      <c r="BF17" s="82"/>
      <c r="BG17" s="82"/>
      <c r="BH17" s="82"/>
      <c r="BI17" s="82"/>
      <c r="BJ17" s="83"/>
      <c r="BK17" s="23"/>
    </row>
    <row r="18" spans="1:63" ht="15" customHeight="1" x14ac:dyDescent="0.25">
      <c r="A18" s="22"/>
      <c r="B18" s="41"/>
      <c r="C18" s="42"/>
      <c r="D18" s="42"/>
      <c r="E18" s="42"/>
      <c r="F18" s="42"/>
      <c r="G18" s="43"/>
      <c r="H18" s="41"/>
      <c r="I18" s="42"/>
      <c r="J18" s="42"/>
      <c r="K18" s="42"/>
      <c r="L18" s="42"/>
      <c r="M18" s="42"/>
      <c r="N18" s="43"/>
      <c r="O18" s="41"/>
      <c r="P18" s="42"/>
      <c r="Q18" s="42"/>
      <c r="R18" s="42"/>
      <c r="S18" s="88"/>
      <c r="T18" s="89"/>
      <c r="U18" s="89"/>
      <c r="V18" s="89"/>
      <c r="W18" s="89"/>
      <c r="X18" s="89"/>
      <c r="Y18" s="89"/>
      <c r="Z18" s="89"/>
      <c r="AA18" s="89"/>
      <c r="AB18" s="89"/>
      <c r="AC18" s="89"/>
      <c r="AD18" s="89"/>
      <c r="AE18" s="89"/>
      <c r="AF18" s="89"/>
      <c r="AG18" s="89"/>
      <c r="AH18" s="89"/>
      <c r="AI18" s="89"/>
      <c r="AJ18" s="89"/>
      <c r="AK18" s="89"/>
      <c r="AL18" s="89"/>
      <c r="AM18" s="89"/>
      <c r="AN18" s="89"/>
      <c r="AO18" s="89"/>
      <c r="AP18" s="89"/>
      <c r="AQ18" s="89"/>
      <c r="AR18" s="89"/>
      <c r="AS18" s="89"/>
      <c r="AT18" s="89"/>
      <c r="AU18" s="89"/>
      <c r="AV18" s="89"/>
      <c r="AW18" s="90"/>
      <c r="AX18" s="84"/>
      <c r="AY18" s="84"/>
      <c r="AZ18" s="84"/>
      <c r="BA18" s="84"/>
      <c r="BB18" s="84"/>
      <c r="BC18" s="85"/>
      <c r="BD18" s="87"/>
      <c r="BE18" s="84"/>
      <c r="BF18" s="84"/>
      <c r="BG18" s="84"/>
      <c r="BH18" s="84"/>
      <c r="BI18" s="84"/>
      <c r="BJ18" s="85"/>
      <c r="BK18" s="23"/>
    </row>
    <row r="19" spans="1:63" ht="15" customHeight="1" x14ac:dyDescent="0.25">
      <c r="A19" s="22"/>
      <c r="B19" s="38"/>
      <c r="C19" s="39"/>
      <c r="D19" s="39"/>
      <c r="E19" s="39"/>
      <c r="F19" s="39"/>
      <c r="G19" s="40"/>
      <c r="H19" s="38"/>
      <c r="I19" s="39"/>
      <c r="J19" s="39"/>
      <c r="K19" s="39"/>
      <c r="L19" s="39"/>
      <c r="M19" s="39"/>
      <c r="N19" s="40"/>
      <c r="O19" s="38"/>
      <c r="P19" s="39"/>
      <c r="Q19" s="39"/>
      <c r="R19" s="39"/>
      <c r="S19" s="91"/>
      <c r="T19" s="92"/>
      <c r="U19" s="92"/>
      <c r="V19" s="92"/>
      <c r="W19" s="92"/>
      <c r="X19" s="92"/>
      <c r="Y19" s="92"/>
      <c r="Z19" s="92"/>
      <c r="AA19" s="92"/>
      <c r="AB19" s="92"/>
      <c r="AC19" s="92"/>
      <c r="AD19" s="92"/>
      <c r="AE19" s="92"/>
      <c r="AF19" s="92"/>
      <c r="AG19" s="92"/>
      <c r="AH19" s="92"/>
      <c r="AI19" s="92"/>
      <c r="AJ19" s="92"/>
      <c r="AK19" s="92"/>
      <c r="AL19" s="92"/>
      <c r="AM19" s="92"/>
      <c r="AN19" s="92"/>
      <c r="AO19" s="92"/>
      <c r="AP19" s="92"/>
      <c r="AQ19" s="92"/>
      <c r="AR19" s="92"/>
      <c r="AS19" s="92"/>
      <c r="AT19" s="92"/>
      <c r="AU19" s="92"/>
      <c r="AV19" s="92"/>
      <c r="AW19" s="93"/>
      <c r="AX19" s="82"/>
      <c r="AY19" s="82"/>
      <c r="AZ19" s="82"/>
      <c r="BA19" s="82"/>
      <c r="BB19" s="82"/>
      <c r="BC19" s="83"/>
      <c r="BD19" s="86"/>
      <c r="BE19" s="82"/>
      <c r="BF19" s="82"/>
      <c r="BG19" s="82"/>
      <c r="BH19" s="82"/>
      <c r="BI19" s="82"/>
      <c r="BJ19" s="83"/>
      <c r="BK19" s="23"/>
    </row>
    <row r="20" spans="1:63" ht="15" customHeight="1" x14ac:dyDescent="0.25">
      <c r="A20" s="22"/>
      <c r="B20" s="41"/>
      <c r="C20" s="42"/>
      <c r="D20" s="42"/>
      <c r="E20" s="42"/>
      <c r="F20" s="42"/>
      <c r="G20" s="43"/>
      <c r="H20" s="41"/>
      <c r="I20" s="42"/>
      <c r="J20" s="42"/>
      <c r="K20" s="42"/>
      <c r="L20" s="42"/>
      <c r="M20" s="42"/>
      <c r="N20" s="43"/>
      <c r="O20" s="41"/>
      <c r="P20" s="42"/>
      <c r="Q20" s="42"/>
      <c r="R20" s="42"/>
      <c r="S20" s="88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90"/>
      <c r="AX20" s="84"/>
      <c r="AY20" s="84"/>
      <c r="AZ20" s="84"/>
      <c r="BA20" s="84"/>
      <c r="BB20" s="84"/>
      <c r="BC20" s="85"/>
      <c r="BD20" s="87"/>
      <c r="BE20" s="84"/>
      <c r="BF20" s="84"/>
      <c r="BG20" s="84"/>
      <c r="BH20" s="84"/>
      <c r="BI20" s="84"/>
      <c r="BJ20" s="85"/>
      <c r="BK20" s="23"/>
    </row>
    <row r="21" spans="1:63" ht="15" customHeight="1" x14ac:dyDescent="0.25">
      <c r="A21" s="22"/>
      <c r="B21" s="38"/>
      <c r="C21" s="39"/>
      <c r="D21" s="39"/>
      <c r="E21" s="39"/>
      <c r="F21" s="39"/>
      <c r="G21" s="40"/>
      <c r="H21" s="38"/>
      <c r="I21" s="39"/>
      <c r="J21" s="39"/>
      <c r="K21" s="39"/>
      <c r="L21" s="39"/>
      <c r="M21" s="39"/>
      <c r="N21" s="40"/>
      <c r="O21" s="38"/>
      <c r="P21" s="39"/>
      <c r="Q21" s="39"/>
      <c r="R21" s="39"/>
      <c r="S21" s="91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3"/>
      <c r="AX21" s="82"/>
      <c r="AY21" s="82"/>
      <c r="AZ21" s="82"/>
      <c r="BA21" s="82"/>
      <c r="BB21" s="82"/>
      <c r="BC21" s="83"/>
      <c r="BD21" s="86"/>
      <c r="BE21" s="82"/>
      <c r="BF21" s="82"/>
      <c r="BG21" s="82"/>
      <c r="BH21" s="82"/>
      <c r="BI21" s="82"/>
      <c r="BJ21" s="83"/>
      <c r="BK21" s="23"/>
    </row>
    <row r="22" spans="1:63" ht="15" customHeight="1" x14ac:dyDescent="0.25">
      <c r="A22" s="22"/>
      <c r="B22" s="41"/>
      <c r="C22" s="42"/>
      <c r="D22" s="42"/>
      <c r="E22" s="42"/>
      <c r="F22" s="42"/>
      <c r="G22" s="43"/>
      <c r="H22" s="41"/>
      <c r="I22" s="42"/>
      <c r="J22" s="42"/>
      <c r="K22" s="42"/>
      <c r="L22" s="42"/>
      <c r="M22" s="42"/>
      <c r="N22" s="43"/>
      <c r="O22" s="41"/>
      <c r="P22" s="42"/>
      <c r="Q22" s="42"/>
      <c r="R22" s="42"/>
      <c r="S22" s="88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90"/>
      <c r="AX22" s="84"/>
      <c r="AY22" s="84"/>
      <c r="AZ22" s="84"/>
      <c r="BA22" s="84"/>
      <c r="BB22" s="84"/>
      <c r="BC22" s="85"/>
      <c r="BD22" s="87"/>
      <c r="BE22" s="84"/>
      <c r="BF22" s="84"/>
      <c r="BG22" s="84"/>
      <c r="BH22" s="84"/>
      <c r="BI22" s="84"/>
      <c r="BJ22" s="85"/>
      <c r="BK22" s="23"/>
    </row>
    <row r="23" spans="1:63" ht="15" customHeight="1" x14ac:dyDescent="0.25">
      <c r="A23" s="22"/>
      <c r="B23" s="38"/>
      <c r="C23" s="39"/>
      <c r="D23" s="39"/>
      <c r="E23" s="39"/>
      <c r="F23" s="39"/>
      <c r="G23" s="40"/>
      <c r="H23" s="38"/>
      <c r="I23" s="39"/>
      <c r="J23" s="39"/>
      <c r="K23" s="39"/>
      <c r="L23" s="39"/>
      <c r="M23" s="39"/>
      <c r="N23" s="40"/>
      <c r="O23" s="38"/>
      <c r="P23" s="39"/>
      <c r="Q23" s="39"/>
      <c r="R23" s="39"/>
      <c r="S23" s="91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2"/>
      <c r="AW23" s="93"/>
      <c r="AX23" s="82"/>
      <c r="AY23" s="82"/>
      <c r="AZ23" s="82"/>
      <c r="BA23" s="82"/>
      <c r="BB23" s="82"/>
      <c r="BC23" s="83"/>
      <c r="BD23" s="86"/>
      <c r="BE23" s="82"/>
      <c r="BF23" s="82"/>
      <c r="BG23" s="82"/>
      <c r="BH23" s="82"/>
      <c r="BI23" s="82"/>
      <c r="BJ23" s="83"/>
      <c r="BK23" s="23"/>
    </row>
    <row r="24" spans="1:63" ht="15" customHeight="1" x14ac:dyDescent="0.25">
      <c r="A24" s="22"/>
      <c r="B24" s="41"/>
      <c r="C24" s="42"/>
      <c r="D24" s="42"/>
      <c r="E24" s="42"/>
      <c r="F24" s="42"/>
      <c r="G24" s="43"/>
      <c r="H24" s="41"/>
      <c r="I24" s="42"/>
      <c r="J24" s="42"/>
      <c r="K24" s="42"/>
      <c r="L24" s="42"/>
      <c r="M24" s="42"/>
      <c r="N24" s="43"/>
      <c r="O24" s="41"/>
      <c r="P24" s="42"/>
      <c r="Q24" s="42"/>
      <c r="R24" s="42"/>
      <c r="S24" s="88"/>
      <c r="T24" s="89"/>
      <c r="U24" s="89"/>
      <c r="V24" s="89"/>
      <c r="W24" s="89"/>
      <c r="X24" s="89"/>
      <c r="Y24" s="89"/>
      <c r="Z24" s="89"/>
      <c r="AA24" s="89"/>
      <c r="AB24" s="89"/>
      <c r="AC24" s="89"/>
      <c r="AD24" s="89"/>
      <c r="AE24" s="89"/>
      <c r="AF24" s="89"/>
      <c r="AG24" s="89"/>
      <c r="AH24" s="89"/>
      <c r="AI24" s="89"/>
      <c r="AJ24" s="89"/>
      <c r="AK24" s="89"/>
      <c r="AL24" s="89"/>
      <c r="AM24" s="89"/>
      <c r="AN24" s="89"/>
      <c r="AO24" s="89"/>
      <c r="AP24" s="89"/>
      <c r="AQ24" s="89"/>
      <c r="AR24" s="89"/>
      <c r="AS24" s="89"/>
      <c r="AT24" s="89"/>
      <c r="AU24" s="89"/>
      <c r="AV24" s="89"/>
      <c r="AW24" s="90"/>
      <c r="AX24" s="84"/>
      <c r="AY24" s="84"/>
      <c r="AZ24" s="84"/>
      <c r="BA24" s="84"/>
      <c r="BB24" s="84"/>
      <c r="BC24" s="85"/>
      <c r="BD24" s="87"/>
      <c r="BE24" s="84"/>
      <c r="BF24" s="84"/>
      <c r="BG24" s="84"/>
      <c r="BH24" s="84"/>
      <c r="BI24" s="84"/>
      <c r="BJ24" s="85"/>
      <c r="BK24" s="23"/>
    </row>
    <row r="25" spans="1:63" ht="15" customHeight="1" x14ac:dyDescent="0.25">
      <c r="A25" s="22"/>
      <c r="B25" s="38"/>
      <c r="C25" s="39"/>
      <c r="D25" s="39"/>
      <c r="E25" s="39"/>
      <c r="F25" s="39"/>
      <c r="G25" s="40"/>
      <c r="H25" s="38"/>
      <c r="I25" s="39"/>
      <c r="J25" s="39"/>
      <c r="K25" s="39"/>
      <c r="L25" s="39"/>
      <c r="M25" s="39"/>
      <c r="N25" s="40"/>
      <c r="O25" s="38"/>
      <c r="P25" s="39"/>
      <c r="Q25" s="39"/>
      <c r="R25" s="39"/>
      <c r="S25" s="91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3"/>
      <c r="AX25" s="82"/>
      <c r="AY25" s="82"/>
      <c r="AZ25" s="82"/>
      <c r="BA25" s="82"/>
      <c r="BB25" s="82"/>
      <c r="BC25" s="83"/>
      <c r="BD25" s="86"/>
      <c r="BE25" s="82"/>
      <c r="BF25" s="82"/>
      <c r="BG25" s="82"/>
      <c r="BH25" s="82"/>
      <c r="BI25" s="82"/>
      <c r="BJ25" s="83"/>
      <c r="BK25" s="23"/>
    </row>
    <row r="26" spans="1:63" ht="15" customHeight="1" x14ac:dyDescent="0.25">
      <c r="A26" s="22"/>
      <c r="B26" s="41"/>
      <c r="C26" s="42"/>
      <c r="D26" s="42"/>
      <c r="E26" s="42"/>
      <c r="F26" s="42"/>
      <c r="G26" s="43"/>
      <c r="H26" s="41"/>
      <c r="I26" s="42"/>
      <c r="J26" s="42"/>
      <c r="K26" s="42"/>
      <c r="L26" s="42"/>
      <c r="M26" s="42"/>
      <c r="N26" s="43"/>
      <c r="O26" s="41"/>
      <c r="P26" s="42"/>
      <c r="Q26" s="42"/>
      <c r="R26" s="42"/>
      <c r="S26" s="88"/>
      <c r="T26" s="89"/>
      <c r="U26" s="89"/>
      <c r="V26" s="89"/>
      <c r="W26" s="89"/>
      <c r="X26" s="89"/>
      <c r="Y26" s="89"/>
      <c r="Z26" s="89"/>
      <c r="AA26" s="89"/>
      <c r="AB26" s="89"/>
      <c r="AC26" s="89"/>
      <c r="AD26" s="89"/>
      <c r="AE26" s="89"/>
      <c r="AF26" s="89"/>
      <c r="AG26" s="89"/>
      <c r="AH26" s="89"/>
      <c r="AI26" s="89"/>
      <c r="AJ26" s="89"/>
      <c r="AK26" s="89"/>
      <c r="AL26" s="89"/>
      <c r="AM26" s="89"/>
      <c r="AN26" s="89"/>
      <c r="AO26" s="89"/>
      <c r="AP26" s="89"/>
      <c r="AQ26" s="89"/>
      <c r="AR26" s="89"/>
      <c r="AS26" s="89"/>
      <c r="AT26" s="89"/>
      <c r="AU26" s="89"/>
      <c r="AV26" s="89"/>
      <c r="AW26" s="90"/>
      <c r="AX26" s="84"/>
      <c r="AY26" s="84"/>
      <c r="AZ26" s="84"/>
      <c r="BA26" s="84"/>
      <c r="BB26" s="84"/>
      <c r="BC26" s="85"/>
      <c r="BD26" s="87"/>
      <c r="BE26" s="84"/>
      <c r="BF26" s="84"/>
      <c r="BG26" s="84"/>
      <c r="BH26" s="84"/>
      <c r="BI26" s="84"/>
      <c r="BJ26" s="85"/>
      <c r="BK26" s="23"/>
    </row>
    <row r="27" spans="1:63" ht="15" customHeight="1" x14ac:dyDescent="0.25">
      <c r="A27" s="22"/>
      <c r="B27" s="38"/>
      <c r="C27" s="39"/>
      <c r="D27" s="39"/>
      <c r="E27" s="39"/>
      <c r="F27" s="39"/>
      <c r="G27" s="40"/>
      <c r="H27" s="38"/>
      <c r="I27" s="39"/>
      <c r="J27" s="39"/>
      <c r="K27" s="39"/>
      <c r="L27" s="39"/>
      <c r="M27" s="39"/>
      <c r="N27" s="40"/>
      <c r="O27" s="38"/>
      <c r="P27" s="39"/>
      <c r="Q27" s="39"/>
      <c r="R27" s="39"/>
      <c r="S27" s="91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2"/>
      <c r="AQ27" s="92"/>
      <c r="AR27" s="92"/>
      <c r="AS27" s="92"/>
      <c r="AT27" s="92"/>
      <c r="AU27" s="92"/>
      <c r="AV27" s="92"/>
      <c r="AW27" s="93"/>
      <c r="AX27" s="82"/>
      <c r="AY27" s="82"/>
      <c r="AZ27" s="82"/>
      <c r="BA27" s="82"/>
      <c r="BB27" s="82"/>
      <c r="BC27" s="83"/>
      <c r="BD27" s="86"/>
      <c r="BE27" s="82"/>
      <c r="BF27" s="82"/>
      <c r="BG27" s="82"/>
      <c r="BH27" s="82"/>
      <c r="BI27" s="82"/>
      <c r="BJ27" s="83"/>
      <c r="BK27" s="23"/>
    </row>
    <row r="28" spans="1:63" ht="15" customHeight="1" x14ac:dyDescent="0.25">
      <c r="A28" s="22"/>
      <c r="B28" s="41"/>
      <c r="C28" s="42"/>
      <c r="D28" s="42"/>
      <c r="E28" s="42"/>
      <c r="F28" s="42"/>
      <c r="G28" s="43"/>
      <c r="H28" s="41"/>
      <c r="I28" s="42"/>
      <c r="J28" s="42"/>
      <c r="K28" s="42"/>
      <c r="L28" s="42"/>
      <c r="M28" s="42"/>
      <c r="N28" s="43"/>
      <c r="O28" s="41"/>
      <c r="P28" s="42"/>
      <c r="Q28" s="42"/>
      <c r="R28" s="42"/>
      <c r="S28" s="88"/>
      <c r="T28" s="89"/>
      <c r="U28" s="89"/>
      <c r="V28" s="89"/>
      <c r="W28" s="89"/>
      <c r="X28" s="89"/>
      <c r="Y28" s="89"/>
      <c r="Z28" s="89"/>
      <c r="AA28" s="89"/>
      <c r="AB28" s="89"/>
      <c r="AC28" s="89"/>
      <c r="AD28" s="89"/>
      <c r="AE28" s="89"/>
      <c r="AF28" s="89"/>
      <c r="AG28" s="89"/>
      <c r="AH28" s="89"/>
      <c r="AI28" s="89"/>
      <c r="AJ28" s="89"/>
      <c r="AK28" s="89"/>
      <c r="AL28" s="89"/>
      <c r="AM28" s="89"/>
      <c r="AN28" s="89"/>
      <c r="AO28" s="89"/>
      <c r="AP28" s="89"/>
      <c r="AQ28" s="89"/>
      <c r="AR28" s="89"/>
      <c r="AS28" s="89"/>
      <c r="AT28" s="89"/>
      <c r="AU28" s="89"/>
      <c r="AV28" s="89"/>
      <c r="AW28" s="90"/>
      <c r="AX28" s="84"/>
      <c r="AY28" s="84"/>
      <c r="AZ28" s="84"/>
      <c r="BA28" s="84"/>
      <c r="BB28" s="84"/>
      <c r="BC28" s="85"/>
      <c r="BD28" s="87"/>
      <c r="BE28" s="84"/>
      <c r="BF28" s="84"/>
      <c r="BG28" s="84"/>
      <c r="BH28" s="84"/>
      <c r="BI28" s="84"/>
      <c r="BJ28" s="85"/>
      <c r="BK28" s="23"/>
    </row>
    <row r="29" spans="1:63" ht="15" customHeight="1" x14ac:dyDescent="0.25">
      <c r="A29" s="22"/>
      <c r="B29" s="38"/>
      <c r="C29" s="39"/>
      <c r="D29" s="39"/>
      <c r="E29" s="39"/>
      <c r="F29" s="39"/>
      <c r="G29" s="40"/>
      <c r="H29" s="38"/>
      <c r="I29" s="39"/>
      <c r="J29" s="39"/>
      <c r="K29" s="39"/>
      <c r="L29" s="39"/>
      <c r="M29" s="39"/>
      <c r="N29" s="40"/>
      <c r="O29" s="38"/>
      <c r="P29" s="39"/>
      <c r="Q29" s="39"/>
      <c r="R29" s="39"/>
      <c r="S29" s="91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3"/>
      <c r="AX29" s="82"/>
      <c r="AY29" s="82"/>
      <c r="AZ29" s="82"/>
      <c r="BA29" s="82"/>
      <c r="BB29" s="82"/>
      <c r="BC29" s="83"/>
      <c r="BD29" s="86"/>
      <c r="BE29" s="82"/>
      <c r="BF29" s="82"/>
      <c r="BG29" s="82"/>
      <c r="BH29" s="82"/>
      <c r="BI29" s="82"/>
      <c r="BJ29" s="83"/>
      <c r="BK29" s="23"/>
    </row>
    <row r="30" spans="1:63" ht="15" customHeight="1" x14ac:dyDescent="0.25">
      <c r="A30" s="22"/>
      <c r="B30" s="41"/>
      <c r="C30" s="42"/>
      <c r="D30" s="42"/>
      <c r="E30" s="42"/>
      <c r="F30" s="42"/>
      <c r="G30" s="43"/>
      <c r="H30" s="41"/>
      <c r="I30" s="42"/>
      <c r="J30" s="42"/>
      <c r="K30" s="42"/>
      <c r="L30" s="42"/>
      <c r="M30" s="42"/>
      <c r="N30" s="43"/>
      <c r="O30" s="41"/>
      <c r="P30" s="42"/>
      <c r="Q30" s="42"/>
      <c r="R30" s="42"/>
      <c r="S30" s="88"/>
      <c r="T30" s="89"/>
      <c r="U30" s="89"/>
      <c r="V30" s="89"/>
      <c r="W30" s="89"/>
      <c r="X30" s="89"/>
      <c r="Y30" s="89"/>
      <c r="Z30" s="89"/>
      <c r="AA30" s="89"/>
      <c r="AB30" s="89"/>
      <c r="AC30" s="89"/>
      <c r="AD30" s="89"/>
      <c r="AE30" s="89"/>
      <c r="AF30" s="89"/>
      <c r="AG30" s="89"/>
      <c r="AH30" s="89"/>
      <c r="AI30" s="89"/>
      <c r="AJ30" s="89"/>
      <c r="AK30" s="89"/>
      <c r="AL30" s="89"/>
      <c r="AM30" s="89"/>
      <c r="AN30" s="89"/>
      <c r="AO30" s="89"/>
      <c r="AP30" s="89"/>
      <c r="AQ30" s="89"/>
      <c r="AR30" s="89"/>
      <c r="AS30" s="89"/>
      <c r="AT30" s="89"/>
      <c r="AU30" s="89"/>
      <c r="AV30" s="89"/>
      <c r="AW30" s="90"/>
      <c r="AX30" s="84"/>
      <c r="AY30" s="84"/>
      <c r="AZ30" s="84"/>
      <c r="BA30" s="84"/>
      <c r="BB30" s="84"/>
      <c r="BC30" s="85"/>
      <c r="BD30" s="87"/>
      <c r="BE30" s="84"/>
      <c r="BF30" s="84"/>
      <c r="BG30" s="84"/>
      <c r="BH30" s="84"/>
      <c r="BI30" s="84"/>
      <c r="BJ30" s="85"/>
      <c r="BK30" s="23"/>
    </row>
    <row r="31" spans="1:63" ht="15" customHeight="1" x14ac:dyDescent="0.25">
      <c r="A31" s="22"/>
      <c r="B31" s="38"/>
      <c r="C31" s="39"/>
      <c r="D31" s="39"/>
      <c r="E31" s="39"/>
      <c r="F31" s="39"/>
      <c r="G31" s="40"/>
      <c r="H31" s="38"/>
      <c r="I31" s="39"/>
      <c r="J31" s="39"/>
      <c r="K31" s="39"/>
      <c r="L31" s="39"/>
      <c r="M31" s="39"/>
      <c r="N31" s="40"/>
      <c r="O31" s="38"/>
      <c r="P31" s="39"/>
      <c r="Q31" s="39"/>
      <c r="R31" s="39"/>
      <c r="S31" s="91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2"/>
      <c r="AQ31" s="92"/>
      <c r="AR31" s="92"/>
      <c r="AS31" s="92"/>
      <c r="AT31" s="92"/>
      <c r="AU31" s="92"/>
      <c r="AV31" s="92"/>
      <c r="AW31" s="93"/>
      <c r="AX31" s="82"/>
      <c r="AY31" s="82"/>
      <c r="AZ31" s="82"/>
      <c r="BA31" s="82"/>
      <c r="BB31" s="82"/>
      <c r="BC31" s="83"/>
      <c r="BD31" s="86"/>
      <c r="BE31" s="82"/>
      <c r="BF31" s="82"/>
      <c r="BG31" s="82"/>
      <c r="BH31" s="82"/>
      <c r="BI31" s="82"/>
      <c r="BJ31" s="83"/>
      <c r="BK31" s="23"/>
    </row>
    <row r="32" spans="1:63" ht="15" customHeight="1" x14ac:dyDescent="0.25">
      <c r="A32" s="22"/>
      <c r="B32" s="41"/>
      <c r="C32" s="42"/>
      <c r="D32" s="42"/>
      <c r="E32" s="42"/>
      <c r="F32" s="42"/>
      <c r="G32" s="43"/>
      <c r="H32" s="41"/>
      <c r="I32" s="42"/>
      <c r="J32" s="42"/>
      <c r="K32" s="42"/>
      <c r="L32" s="42"/>
      <c r="M32" s="42"/>
      <c r="N32" s="43"/>
      <c r="O32" s="41"/>
      <c r="P32" s="42"/>
      <c r="Q32" s="42"/>
      <c r="R32" s="42"/>
      <c r="S32" s="88"/>
      <c r="T32" s="89"/>
      <c r="U32" s="89"/>
      <c r="V32" s="89"/>
      <c r="W32" s="89"/>
      <c r="X32" s="89"/>
      <c r="Y32" s="89"/>
      <c r="Z32" s="89"/>
      <c r="AA32" s="89"/>
      <c r="AB32" s="89"/>
      <c r="AC32" s="89"/>
      <c r="AD32" s="89"/>
      <c r="AE32" s="89"/>
      <c r="AF32" s="89"/>
      <c r="AG32" s="89"/>
      <c r="AH32" s="89"/>
      <c r="AI32" s="89"/>
      <c r="AJ32" s="89"/>
      <c r="AK32" s="89"/>
      <c r="AL32" s="89"/>
      <c r="AM32" s="89"/>
      <c r="AN32" s="89"/>
      <c r="AO32" s="89"/>
      <c r="AP32" s="89"/>
      <c r="AQ32" s="89"/>
      <c r="AR32" s="89"/>
      <c r="AS32" s="89"/>
      <c r="AT32" s="89"/>
      <c r="AU32" s="89"/>
      <c r="AV32" s="89"/>
      <c r="AW32" s="90"/>
      <c r="AX32" s="84"/>
      <c r="AY32" s="84"/>
      <c r="AZ32" s="84"/>
      <c r="BA32" s="84"/>
      <c r="BB32" s="84"/>
      <c r="BC32" s="85"/>
      <c r="BD32" s="87"/>
      <c r="BE32" s="84"/>
      <c r="BF32" s="84"/>
      <c r="BG32" s="84"/>
      <c r="BH32" s="84"/>
      <c r="BI32" s="84"/>
      <c r="BJ32" s="85"/>
      <c r="BK32" s="23"/>
    </row>
    <row r="33" spans="1:63" ht="15" customHeight="1" x14ac:dyDescent="0.25">
      <c r="A33" s="22"/>
      <c r="B33" s="38"/>
      <c r="C33" s="39"/>
      <c r="D33" s="39"/>
      <c r="E33" s="39"/>
      <c r="F33" s="39"/>
      <c r="G33" s="40"/>
      <c r="H33" s="38"/>
      <c r="I33" s="39"/>
      <c r="J33" s="39"/>
      <c r="K33" s="39"/>
      <c r="L33" s="39"/>
      <c r="M33" s="39"/>
      <c r="N33" s="40"/>
      <c r="O33" s="38"/>
      <c r="P33" s="39"/>
      <c r="Q33" s="39"/>
      <c r="R33" s="39"/>
      <c r="S33" s="91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2"/>
      <c r="AQ33" s="92"/>
      <c r="AR33" s="92"/>
      <c r="AS33" s="92"/>
      <c r="AT33" s="92"/>
      <c r="AU33" s="92"/>
      <c r="AV33" s="92"/>
      <c r="AW33" s="93"/>
      <c r="AX33" s="82"/>
      <c r="AY33" s="82"/>
      <c r="AZ33" s="82"/>
      <c r="BA33" s="82"/>
      <c r="BB33" s="82"/>
      <c r="BC33" s="83"/>
      <c r="BD33" s="86"/>
      <c r="BE33" s="82"/>
      <c r="BF33" s="82"/>
      <c r="BG33" s="82"/>
      <c r="BH33" s="82"/>
      <c r="BI33" s="82"/>
      <c r="BJ33" s="83"/>
      <c r="BK33" s="23"/>
    </row>
    <row r="34" spans="1:63" ht="15" customHeight="1" x14ac:dyDescent="0.25">
      <c r="A34" s="22"/>
      <c r="B34" s="41"/>
      <c r="C34" s="42"/>
      <c r="D34" s="42"/>
      <c r="E34" s="42"/>
      <c r="F34" s="42"/>
      <c r="G34" s="43"/>
      <c r="H34" s="41"/>
      <c r="I34" s="42"/>
      <c r="J34" s="42"/>
      <c r="K34" s="42"/>
      <c r="L34" s="42"/>
      <c r="M34" s="42"/>
      <c r="N34" s="43"/>
      <c r="O34" s="41"/>
      <c r="P34" s="42"/>
      <c r="Q34" s="42"/>
      <c r="R34" s="42"/>
      <c r="S34" s="88"/>
      <c r="T34" s="89"/>
      <c r="U34" s="89"/>
      <c r="V34" s="89"/>
      <c r="W34" s="89"/>
      <c r="X34" s="89"/>
      <c r="Y34" s="89"/>
      <c r="Z34" s="89"/>
      <c r="AA34" s="89"/>
      <c r="AB34" s="89"/>
      <c r="AC34" s="89"/>
      <c r="AD34" s="89"/>
      <c r="AE34" s="89"/>
      <c r="AF34" s="89"/>
      <c r="AG34" s="89"/>
      <c r="AH34" s="89"/>
      <c r="AI34" s="89"/>
      <c r="AJ34" s="89"/>
      <c r="AK34" s="89"/>
      <c r="AL34" s="89"/>
      <c r="AM34" s="89"/>
      <c r="AN34" s="89"/>
      <c r="AO34" s="89"/>
      <c r="AP34" s="89"/>
      <c r="AQ34" s="89"/>
      <c r="AR34" s="89"/>
      <c r="AS34" s="89"/>
      <c r="AT34" s="89"/>
      <c r="AU34" s="89"/>
      <c r="AV34" s="89"/>
      <c r="AW34" s="90"/>
      <c r="AX34" s="84"/>
      <c r="AY34" s="84"/>
      <c r="AZ34" s="84"/>
      <c r="BA34" s="84"/>
      <c r="BB34" s="84"/>
      <c r="BC34" s="85"/>
      <c r="BD34" s="87"/>
      <c r="BE34" s="84"/>
      <c r="BF34" s="84"/>
      <c r="BG34" s="84"/>
      <c r="BH34" s="84"/>
      <c r="BI34" s="84"/>
      <c r="BJ34" s="85"/>
      <c r="BK34" s="23"/>
    </row>
    <row r="35" spans="1:63" ht="15" customHeight="1" x14ac:dyDescent="0.25">
      <c r="A35" s="22"/>
      <c r="B35" s="38"/>
      <c r="C35" s="39"/>
      <c r="D35" s="39"/>
      <c r="E35" s="39"/>
      <c r="F35" s="39"/>
      <c r="G35" s="40"/>
      <c r="H35" s="38"/>
      <c r="I35" s="39"/>
      <c r="J35" s="39"/>
      <c r="K35" s="39"/>
      <c r="L35" s="39"/>
      <c r="M35" s="39"/>
      <c r="N35" s="40"/>
      <c r="O35" s="38"/>
      <c r="P35" s="39"/>
      <c r="Q35" s="39"/>
      <c r="R35" s="39"/>
      <c r="S35" s="91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3"/>
      <c r="AX35" s="82"/>
      <c r="AY35" s="82"/>
      <c r="AZ35" s="82"/>
      <c r="BA35" s="82"/>
      <c r="BB35" s="82"/>
      <c r="BC35" s="83"/>
      <c r="BD35" s="86"/>
      <c r="BE35" s="82"/>
      <c r="BF35" s="82"/>
      <c r="BG35" s="82"/>
      <c r="BH35" s="82"/>
      <c r="BI35" s="82"/>
      <c r="BJ35" s="83"/>
      <c r="BK35" s="23"/>
    </row>
    <row r="36" spans="1:63" ht="15" customHeight="1" x14ac:dyDescent="0.25">
      <c r="A36" s="22"/>
      <c r="B36" s="41"/>
      <c r="C36" s="42"/>
      <c r="D36" s="42"/>
      <c r="E36" s="42"/>
      <c r="F36" s="42"/>
      <c r="G36" s="43"/>
      <c r="H36" s="41"/>
      <c r="I36" s="42"/>
      <c r="J36" s="42"/>
      <c r="K36" s="42"/>
      <c r="L36" s="42"/>
      <c r="M36" s="42"/>
      <c r="N36" s="43"/>
      <c r="O36" s="41"/>
      <c r="P36" s="42"/>
      <c r="Q36" s="42"/>
      <c r="R36" s="42"/>
      <c r="S36" s="88"/>
      <c r="T36" s="89"/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89"/>
      <c r="AJ36" s="89"/>
      <c r="AK36" s="89"/>
      <c r="AL36" s="89"/>
      <c r="AM36" s="89"/>
      <c r="AN36" s="89"/>
      <c r="AO36" s="89"/>
      <c r="AP36" s="89"/>
      <c r="AQ36" s="89"/>
      <c r="AR36" s="89"/>
      <c r="AS36" s="89"/>
      <c r="AT36" s="89"/>
      <c r="AU36" s="89"/>
      <c r="AV36" s="89"/>
      <c r="AW36" s="90"/>
      <c r="AX36" s="84"/>
      <c r="AY36" s="84"/>
      <c r="AZ36" s="84"/>
      <c r="BA36" s="84"/>
      <c r="BB36" s="84"/>
      <c r="BC36" s="85"/>
      <c r="BD36" s="87"/>
      <c r="BE36" s="84"/>
      <c r="BF36" s="84"/>
      <c r="BG36" s="84"/>
      <c r="BH36" s="84"/>
      <c r="BI36" s="84"/>
      <c r="BJ36" s="85"/>
      <c r="BK36" s="23"/>
    </row>
    <row r="37" spans="1:63" ht="15" customHeight="1" x14ac:dyDescent="0.25">
      <c r="A37" s="22"/>
      <c r="B37" s="38"/>
      <c r="C37" s="39"/>
      <c r="D37" s="39"/>
      <c r="E37" s="39"/>
      <c r="F37" s="39"/>
      <c r="G37" s="40"/>
      <c r="H37" s="38"/>
      <c r="I37" s="39"/>
      <c r="J37" s="39"/>
      <c r="K37" s="39"/>
      <c r="L37" s="39"/>
      <c r="M37" s="39"/>
      <c r="N37" s="40"/>
      <c r="O37" s="38"/>
      <c r="P37" s="39"/>
      <c r="Q37" s="39"/>
      <c r="R37" s="39"/>
      <c r="S37" s="91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92"/>
      <c r="AM37" s="92"/>
      <c r="AN37" s="92"/>
      <c r="AO37" s="92"/>
      <c r="AP37" s="92"/>
      <c r="AQ37" s="92"/>
      <c r="AR37" s="92"/>
      <c r="AS37" s="92"/>
      <c r="AT37" s="92"/>
      <c r="AU37" s="92"/>
      <c r="AV37" s="92"/>
      <c r="AW37" s="93"/>
      <c r="AX37" s="82"/>
      <c r="AY37" s="82"/>
      <c r="AZ37" s="82"/>
      <c r="BA37" s="82"/>
      <c r="BB37" s="82"/>
      <c r="BC37" s="83"/>
      <c r="BD37" s="86"/>
      <c r="BE37" s="82"/>
      <c r="BF37" s="82"/>
      <c r="BG37" s="82"/>
      <c r="BH37" s="82"/>
      <c r="BI37" s="82"/>
      <c r="BJ37" s="83"/>
      <c r="BK37" s="23"/>
    </row>
    <row r="38" spans="1:63" ht="15" customHeight="1" x14ac:dyDescent="0.25">
      <c r="A38" s="22"/>
      <c r="B38" s="41"/>
      <c r="C38" s="42"/>
      <c r="D38" s="42"/>
      <c r="E38" s="42"/>
      <c r="F38" s="42"/>
      <c r="G38" s="43"/>
      <c r="H38" s="41"/>
      <c r="I38" s="42"/>
      <c r="J38" s="42"/>
      <c r="K38" s="42"/>
      <c r="L38" s="42"/>
      <c r="M38" s="42"/>
      <c r="N38" s="43"/>
      <c r="O38" s="41"/>
      <c r="P38" s="42"/>
      <c r="Q38" s="42"/>
      <c r="R38" s="42"/>
      <c r="S38" s="88"/>
      <c r="T38" s="89"/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89"/>
      <c r="AJ38" s="89"/>
      <c r="AK38" s="89"/>
      <c r="AL38" s="89"/>
      <c r="AM38" s="89"/>
      <c r="AN38" s="89"/>
      <c r="AO38" s="89"/>
      <c r="AP38" s="89"/>
      <c r="AQ38" s="89"/>
      <c r="AR38" s="89"/>
      <c r="AS38" s="89"/>
      <c r="AT38" s="89"/>
      <c r="AU38" s="89"/>
      <c r="AV38" s="89"/>
      <c r="AW38" s="90"/>
      <c r="AX38" s="84"/>
      <c r="AY38" s="84"/>
      <c r="AZ38" s="84"/>
      <c r="BA38" s="84"/>
      <c r="BB38" s="84"/>
      <c r="BC38" s="85"/>
      <c r="BD38" s="87"/>
      <c r="BE38" s="84"/>
      <c r="BF38" s="84"/>
      <c r="BG38" s="84"/>
      <c r="BH38" s="84"/>
      <c r="BI38" s="84"/>
      <c r="BJ38" s="85"/>
      <c r="BK38" s="23"/>
    </row>
    <row r="39" spans="1:63" ht="15" customHeight="1" x14ac:dyDescent="0.25">
      <c r="A39" s="22"/>
      <c r="B39" s="38"/>
      <c r="C39" s="39"/>
      <c r="D39" s="39"/>
      <c r="E39" s="39"/>
      <c r="F39" s="39"/>
      <c r="G39" s="40"/>
      <c r="H39" s="38"/>
      <c r="I39" s="39"/>
      <c r="J39" s="39"/>
      <c r="K39" s="39"/>
      <c r="L39" s="39"/>
      <c r="M39" s="39"/>
      <c r="N39" s="40"/>
      <c r="O39" s="38"/>
      <c r="P39" s="39"/>
      <c r="Q39" s="39"/>
      <c r="R39" s="39"/>
      <c r="S39" s="91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92"/>
      <c r="AN39" s="92"/>
      <c r="AO39" s="92"/>
      <c r="AP39" s="92"/>
      <c r="AQ39" s="92"/>
      <c r="AR39" s="92"/>
      <c r="AS39" s="92"/>
      <c r="AT39" s="92"/>
      <c r="AU39" s="92"/>
      <c r="AV39" s="92"/>
      <c r="AW39" s="93"/>
      <c r="AX39" s="82"/>
      <c r="AY39" s="82"/>
      <c r="AZ39" s="82"/>
      <c r="BA39" s="82"/>
      <c r="BB39" s="82"/>
      <c r="BC39" s="83"/>
      <c r="BD39" s="86"/>
      <c r="BE39" s="82"/>
      <c r="BF39" s="82"/>
      <c r="BG39" s="82"/>
      <c r="BH39" s="82"/>
      <c r="BI39" s="82"/>
      <c r="BJ39" s="83"/>
      <c r="BK39" s="23"/>
    </row>
    <row r="40" spans="1:63" ht="15" customHeight="1" x14ac:dyDescent="0.25">
      <c r="A40" s="22"/>
      <c r="B40" s="41"/>
      <c r="C40" s="42"/>
      <c r="D40" s="42"/>
      <c r="E40" s="42"/>
      <c r="F40" s="42"/>
      <c r="G40" s="43"/>
      <c r="H40" s="41"/>
      <c r="I40" s="42"/>
      <c r="J40" s="42"/>
      <c r="K40" s="42"/>
      <c r="L40" s="42"/>
      <c r="M40" s="42"/>
      <c r="N40" s="43"/>
      <c r="O40" s="41"/>
      <c r="P40" s="42"/>
      <c r="Q40" s="42"/>
      <c r="R40" s="42"/>
      <c r="S40" s="88"/>
      <c r="T40" s="89"/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89"/>
      <c r="AJ40" s="89"/>
      <c r="AK40" s="89"/>
      <c r="AL40" s="89"/>
      <c r="AM40" s="89"/>
      <c r="AN40" s="89"/>
      <c r="AO40" s="89"/>
      <c r="AP40" s="89"/>
      <c r="AQ40" s="89"/>
      <c r="AR40" s="89"/>
      <c r="AS40" s="89"/>
      <c r="AT40" s="89"/>
      <c r="AU40" s="89"/>
      <c r="AV40" s="89"/>
      <c r="AW40" s="90"/>
      <c r="AX40" s="84"/>
      <c r="AY40" s="84"/>
      <c r="AZ40" s="84"/>
      <c r="BA40" s="84"/>
      <c r="BB40" s="84"/>
      <c r="BC40" s="85"/>
      <c r="BD40" s="87"/>
      <c r="BE40" s="84"/>
      <c r="BF40" s="84"/>
      <c r="BG40" s="84"/>
      <c r="BH40" s="84"/>
      <c r="BI40" s="84"/>
      <c r="BJ40" s="85"/>
      <c r="BK40" s="23"/>
    </row>
    <row r="41" spans="1:63" ht="15" customHeight="1" x14ac:dyDescent="0.25">
      <c r="A41" s="22"/>
      <c r="B41" s="38"/>
      <c r="C41" s="39"/>
      <c r="D41" s="39"/>
      <c r="E41" s="39"/>
      <c r="F41" s="39"/>
      <c r="G41" s="40"/>
      <c r="H41" s="38"/>
      <c r="I41" s="39"/>
      <c r="J41" s="39"/>
      <c r="K41" s="39"/>
      <c r="L41" s="39"/>
      <c r="M41" s="39"/>
      <c r="N41" s="40"/>
      <c r="O41" s="38"/>
      <c r="P41" s="39"/>
      <c r="Q41" s="39"/>
      <c r="R41" s="39"/>
      <c r="S41" s="91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2"/>
      <c r="AV41" s="92"/>
      <c r="AW41" s="93"/>
      <c r="AX41" s="82"/>
      <c r="AY41" s="82"/>
      <c r="AZ41" s="82"/>
      <c r="BA41" s="82"/>
      <c r="BB41" s="82"/>
      <c r="BC41" s="83"/>
      <c r="BD41" s="86"/>
      <c r="BE41" s="82"/>
      <c r="BF41" s="82"/>
      <c r="BG41" s="82"/>
      <c r="BH41" s="82"/>
      <c r="BI41" s="82"/>
      <c r="BJ41" s="83"/>
      <c r="BK41" s="23"/>
    </row>
    <row r="42" spans="1:63" ht="15" customHeight="1" x14ac:dyDescent="0.25">
      <c r="A42" s="22"/>
      <c r="B42" s="41"/>
      <c r="C42" s="42"/>
      <c r="D42" s="42"/>
      <c r="E42" s="42"/>
      <c r="F42" s="42"/>
      <c r="G42" s="43"/>
      <c r="H42" s="41"/>
      <c r="I42" s="42"/>
      <c r="J42" s="42"/>
      <c r="K42" s="42"/>
      <c r="L42" s="42"/>
      <c r="M42" s="42"/>
      <c r="N42" s="43"/>
      <c r="O42" s="41"/>
      <c r="P42" s="42"/>
      <c r="Q42" s="42"/>
      <c r="R42" s="42"/>
      <c r="S42" s="88"/>
      <c r="T42" s="89"/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89"/>
      <c r="AJ42" s="89"/>
      <c r="AK42" s="89"/>
      <c r="AL42" s="89"/>
      <c r="AM42" s="89"/>
      <c r="AN42" s="89"/>
      <c r="AO42" s="89"/>
      <c r="AP42" s="89"/>
      <c r="AQ42" s="89"/>
      <c r="AR42" s="89"/>
      <c r="AS42" s="89"/>
      <c r="AT42" s="89"/>
      <c r="AU42" s="89"/>
      <c r="AV42" s="89"/>
      <c r="AW42" s="90"/>
      <c r="AX42" s="84"/>
      <c r="AY42" s="84"/>
      <c r="AZ42" s="84"/>
      <c r="BA42" s="84"/>
      <c r="BB42" s="84"/>
      <c r="BC42" s="85"/>
      <c r="BD42" s="87"/>
      <c r="BE42" s="84"/>
      <c r="BF42" s="84"/>
      <c r="BG42" s="84"/>
      <c r="BH42" s="84"/>
      <c r="BI42" s="84"/>
      <c r="BJ42" s="85"/>
      <c r="BK42" s="23"/>
    </row>
    <row r="43" spans="1:63" ht="15" customHeight="1" x14ac:dyDescent="0.25">
      <c r="A43" s="22"/>
      <c r="B43" s="38"/>
      <c r="C43" s="39"/>
      <c r="D43" s="39"/>
      <c r="E43" s="39"/>
      <c r="F43" s="39"/>
      <c r="G43" s="40"/>
      <c r="H43" s="38"/>
      <c r="I43" s="39"/>
      <c r="J43" s="39"/>
      <c r="K43" s="39"/>
      <c r="L43" s="39"/>
      <c r="M43" s="39"/>
      <c r="N43" s="40"/>
      <c r="O43" s="38"/>
      <c r="P43" s="39"/>
      <c r="Q43" s="39"/>
      <c r="R43" s="39"/>
      <c r="S43" s="91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2"/>
      <c r="AV43" s="92"/>
      <c r="AW43" s="93"/>
      <c r="AX43" s="82"/>
      <c r="AY43" s="82"/>
      <c r="AZ43" s="82"/>
      <c r="BA43" s="82"/>
      <c r="BB43" s="82"/>
      <c r="BC43" s="83"/>
      <c r="BD43" s="86"/>
      <c r="BE43" s="82"/>
      <c r="BF43" s="82"/>
      <c r="BG43" s="82"/>
      <c r="BH43" s="82"/>
      <c r="BI43" s="82"/>
      <c r="BJ43" s="83"/>
      <c r="BK43" s="23"/>
    </row>
    <row r="44" spans="1:63" ht="15" customHeight="1" x14ac:dyDescent="0.25">
      <c r="A44" s="22"/>
      <c r="B44" s="41"/>
      <c r="C44" s="42"/>
      <c r="D44" s="42"/>
      <c r="E44" s="42"/>
      <c r="F44" s="42"/>
      <c r="G44" s="43"/>
      <c r="H44" s="41"/>
      <c r="I44" s="42"/>
      <c r="J44" s="42"/>
      <c r="K44" s="42"/>
      <c r="L44" s="42"/>
      <c r="M44" s="42"/>
      <c r="N44" s="43"/>
      <c r="O44" s="41"/>
      <c r="P44" s="42"/>
      <c r="Q44" s="42"/>
      <c r="R44" s="42"/>
      <c r="S44" s="88"/>
      <c r="T44" s="89"/>
      <c r="U44" s="89"/>
      <c r="V44" s="89"/>
      <c r="W44" s="89"/>
      <c r="X44" s="89"/>
      <c r="Y44" s="89"/>
      <c r="Z44" s="89"/>
      <c r="AA44" s="89"/>
      <c r="AB44" s="89"/>
      <c r="AC44" s="89"/>
      <c r="AD44" s="89"/>
      <c r="AE44" s="89"/>
      <c r="AF44" s="89"/>
      <c r="AG44" s="89"/>
      <c r="AH44" s="89"/>
      <c r="AI44" s="89"/>
      <c r="AJ44" s="89"/>
      <c r="AK44" s="89"/>
      <c r="AL44" s="89"/>
      <c r="AM44" s="89"/>
      <c r="AN44" s="89"/>
      <c r="AO44" s="89"/>
      <c r="AP44" s="89"/>
      <c r="AQ44" s="89"/>
      <c r="AR44" s="89"/>
      <c r="AS44" s="89"/>
      <c r="AT44" s="89"/>
      <c r="AU44" s="89"/>
      <c r="AV44" s="89"/>
      <c r="AW44" s="90"/>
      <c r="AX44" s="84"/>
      <c r="AY44" s="84"/>
      <c r="AZ44" s="84"/>
      <c r="BA44" s="84"/>
      <c r="BB44" s="84"/>
      <c r="BC44" s="85"/>
      <c r="BD44" s="87"/>
      <c r="BE44" s="84"/>
      <c r="BF44" s="84"/>
      <c r="BG44" s="84"/>
      <c r="BH44" s="84"/>
      <c r="BI44" s="84"/>
      <c r="BJ44" s="85"/>
      <c r="BK44" s="23"/>
    </row>
    <row r="45" spans="1:63" ht="15" customHeight="1" x14ac:dyDescent="0.25">
      <c r="A45" s="22"/>
      <c r="B45" s="38"/>
      <c r="C45" s="39"/>
      <c r="D45" s="39"/>
      <c r="E45" s="39"/>
      <c r="F45" s="39"/>
      <c r="G45" s="40"/>
      <c r="H45" s="38"/>
      <c r="I45" s="39"/>
      <c r="J45" s="39"/>
      <c r="K45" s="39"/>
      <c r="L45" s="39"/>
      <c r="M45" s="39"/>
      <c r="N45" s="40"/>
      <c r="O45" s="38"/>
      <c r="P45" s="39"/>
      <c r="Q45" s="39"/>
      <c r="R45" s="39"/>
      <c r="S45" s="91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92"/>
      <c r="AF45" s="92"/>
      <c r="AG45" s="92"/>
      <c r="AH45" s="92"/>
      <c r="AI45" s="92"/>
      <c r="AJ45" s="92"/>
      <c r="AK45" s="92"/>
      <c r="AL45" s="92"/>
      <c r="AM45" s="92"/>
      <c r="AN45" s="92"/>
      <c r="AO45" s="92"/>
      <c r="AP45" s="92"/>
      <c r="AQ45" s="92"/>
      <c r="AR45" s="92"/>
      <c r="AS45" s="92"/>
      <c r="AT45" s="92"/>
      <c r="AU45" s="92"/>
      <c r="AV45" s="92"/>
      <c r="AW45" s="93"/>
      <c r="AX45" s="82"/>
      <c r="AY45" s="82"/>
      <c r="AZ45" s="82"/>
      <c r="BA45" s="82"/>
      <c r="BB45" s="82"/>
      <c r="BC45" s="83"/>
      <c r="BD45" s="86"/>
      <c r="BE45" s="82"/>
      <c r="BF45" s="82"/>
      <c r="BG45" s="82"/>
      <c r="BH45" s="82"/>
      <c r="BI45" s="82"/>
      <c r="BJ45" s="83"/>
      <c r="BK45" s="23"/>
    </row>
    <row r="46" spans="1:63" ht="15" customHeight="1" x14ac:dyDescent="0.25">
      <c r="A46" s="22"/>
      <c r="B46" s="41"/>
      <c r="C46" s="42"/>
      <c r="D46" s="42"/>
      <c r="E46" s="42"/>
      <c r="F46" s="42"/>
      <c r="G46" s="43"/>
      <c r="H46" s="41"/>
      <c r="I46" s="42"/>
      <c r="J46" s="42"/>
      <c r="K46" s="42"/>
      <c r="L46" s="42"/>
      <c r="M46" s="42"/>
      <c r="N46" s="43"/>
      <c r="O46" s="41"/>
      <c r="P46" s="42"/>
      <c r="Q46" s="42"/>
      <c r="R46" s="42"/>
      <c r="S46" s="88"/>
      <c r="T46" s="89"/>
      <c r="U46" s="89"/>
      <c r="V46" s="89"/>
      <c r="W46" s="89"/>
      <c r="X46" s="89"/>
      <c r="Y46" s="89"/>
      <c r="Z46" s="89"/>
      <c r="AA46" s="89"/>
      <c r="AB46" s="89"/>
      <c r="AC46" s="89"/>
      <c r="AD46" s="89"/>
      <c r="AE46" s="89"/>
      <c r="AF46" s="89"/>
      <c r="AG46" s="89"/>
      <c r="AH46" s="89"/>
      <c r="AI46" s="89"/>
      <c r="AJ46" s="89"/>
      <c r="AK46" s="89"/>
      <c r="AL46" s="89"/>
      <c r="AM46" s="89"/>
      <c r="AN46" s="89"/>
      <c r="AO46" s="89"/>
      <c r="AP46" s="89"/>
      <c r="AQ46" s="89"/>
      <c r="AR46" s="89"/>
      <c r="AS46" s="89"/>
      <c r="AT46" s="89"/>
      <c r="AU46" s="89"/>
      <c r="AV46" s="89"/>
      <c r="AW46" s="90"/>
      <c r="AX46" s="84"/>
      <c r="AY46" s="84"/>
      <c r="AZ46" s="84"/>
      <c r="BA46" s="84"/>
      <c r="BB46" s="84"/>
      <c r="BC46" s="85"/>
      <c r="BD46" s="87"/>
      <c r="BE46" s="84"/>
      <c r="BF46" s="84"/>
      <c r="BG46" s="84"/>
      <c r="BH46" s="84"/>
      <c r="BI46" s="84"/>
      <c r="BJ46" s="85"/>
      <c r="BK46" s="23"/>
    </row>
    <row r="47" spans="1:63" ht="15" customHeight="1" x14ac:dyDescent="0.25">
      <c r="A47" s="22"/>
      <c r="B47" s="38"/>
      <c r="C47" s="39"/>
      <c r="D47" s="39"/>
      <c r="E47" s="39"/>
      <c r="F47" s="39"/>
      <c r="G47" s="40"/>
      <c r="H47" s="38"/>
      <c r="I47" s="39"/>
      <c r="J47" s="39"/>
      <c r="K47" s="39"/>
      <c r="L47" s="39"/>
      <c r="M47" s="39"/>
      <c r="N47" s="40"/>
      <c r="O47" s="38"/>
      <c r="P47" s="39"/>
      <c r="Q47" s="39"/>
      <c r="R47" s="39"/>
      <c r="S47" s="91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2"/>
      <c r="AV47" s="92"/>
      <c r="AW47" s="93"/>
      <c r="AX47" s="82"/>
      <c r="AY47" s="82"/>
      <c r="AZ47" s="82"/>
      <c r="BA47" s="82"/>
      <c r="BB47" s="82"/>
      <c r="BC47" s="83"/>
      <c r="BD47" s="86"/>
      <c r="BE47" s="82"/>
      <c r="BF47" s="82"/>
      <c r="BG47" s="82"/>
      <c r="BH47" s="82"/>
      <c r="BI47" s="82"/>
      <c r="BJ47" s="83"/>
      <c r="BK47" s="23"/>
    </row>
    <row r="48" spans="1:63" ht="15" customHeight="1" x14ac:dyDescent="0.25">
      <c r="A48" s="22"/>
      <c r="B48" s="41"/>
      <c r="C48" s="42"/>
      <c r="D48" s="42"/>
      <c r="E48" s="42"/>
      <c r="F48" s="42"/>
      <c r="G48" s="43"/>
      <c r="H48" s="41"/>
      <c r="I48" s="42"/>
      <c r="J48" s="42"/>
      <c r="K48" s="42"/>
      <c r="L48" s="42"/>
      <c r="M48" s="42"/>
      <c r="N48" s="43"/>
      <c r="O48" s="41"/>
      <c r="P48" s="42"/>
      <c r="Q48" s="42"/>
      <c r="R48" s="42"/>
      <c r="S48" s="88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89"/>
      <c r="AN48" s="89"/>
      <c r="AO48" s="89"/>
      <c r="AP48" s="89"/>
      <c r="AQ48" s="89"/>
      <c r="AR48" s="89"/>
      <c r="AS48" s="89"/>
      <c r="AT48" s="89"/>
      <c r="AU48" s="89"/>
      <c r="AV48" s="89"/>
      <c r="AW48" s="90"/>
      <c r="AX48" s="84"/>
      <c r="AY48" s="84"/>
      <c r="AZ48" s="84"/>
      <c r="BA48" s="84"/>
      <c r="BB48" s="84"/>
      <c r="BC48" s="85"/>
      <c r="BD48" s="87"/>
      <c r="BE48" s="84"/>
      <c r="BF48" s="84"/>
      <c r="BG48" s="84"/>
      <c r="BH48" s="84"/>
      <c r="BI48" s="84"/>
      <c r="BJ48" s="85"/>
      <c r="BK48" s="23"/>
    </row>
    <row r="49" spans="1:63" ht="15" customHeight="1" x14ac:dyDescent="0.25">
      <c r="A49" s="22"/>
      <c r="B49" s="38"/>
      <c r="C49" s="39"/>
      <c r="D49" s="39"/>
      <c r="E49" s="39"/>
      <c r="F49" s="39"/>
      <c r="G49" s="40"/>
      <c r="H49" s="38"/>
      <c r="I49" s="39"/>
      <c r="J49" s="39"/>
      <c r="K49" s="39"/>
      <c r="L49" s="39"/>
      <c r="M49" s="39"/>
      <c r="N49" s="40"/>
      <c r="O49" s="38"/>
      <c r="P49" s="39"/>
      <c r="Q49" s="39"/>
      <c r="R49" s="39"/>
      <c r="S49" s="91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2"/>
      <c r="AV49" s="92"/>
      <c r="AW49" s="93"/>
      <c r="AX49" s="82"/>
      <c r="AY49" s="82"/>
      <c r="AZ49" s="82"/>
      <c r="BA49" s="82"/>
      <c r="BB49" s="82"/>
      <c r="BC49" s="83"/>
      <c r="BD49" s="86"/>
      <c r="BE49" s="82"/>
      <c r="BF49" s="82"/>
      <c r="BG49" s="82"/>
      <c r="BH49" s="82"/>
      <c r="BI49" s="82"/>
      <c r="BJ49" s="83"/>
      <c r="BK49" s="23"/>
    </row>
    <row r="50" spans="1:63" ht="15" customHeight="1" x14ac:dyDescent="0.25">
      <c r="A50" s="22"/>
      <c r="B50" s="41"/>
      <c r="C50" s="42"/>
      <c r="D50" s="42"/>
      <c r="E50" s="42"/>
      <c r="F50" s="42"/>
      <c r="G50" s="43"/>
      <c r="H50" s="41"/>
      <c r="I50" s="42"/>
      <c r="J50" s="42"/>
      <c r="K50" s="42"/>
      <c r="L50" s="42"/>
      <c r="M50" s="42"/>
      <c r="N50" s="43"/>
      <c r="O50" s="41"/>
      <c r="P50" s="42"/>
      <c r="Q50" s="42"/>
      <c r="R50" s="42"/>
      <c r="S50" s="88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89"/>
      <c r="AQ50" s="89"/>
      <c r="AR50" s="89"/>
      <c r="AS50" s="89"/>
      <c r="AT50" s="89"/>
      <c r="AU50" s="89"/>
      <c r="AV50" s="89"/>
      <c r="AW50" s="90"/>
      <c r="AX50" s="84"/>
      <c r="AY50" s="84"/>
      <c r="AZ50" s="84"/>
      <c r="BA50" s="84"/>
      <c r="BB50" s="84"/>
      <c r="BC50" s="85"/>
      <c r="BD50" s="87"/>
      <c r="BE50" s="84"/>
      <c r="BF50" s="84"/>
      <c r="BG50" s="84"/>
      <c r="BH50" s="84"/>
      <c r="BI50" s="84"/>
      <c r="BJ50" s="85"/>
      <c r="BK50" s="23"/>
    </row>
    <row r="51" spans="1:63" ht="15" customHeight="1" x14ac:dyDescent="0.25">
      <c r="A51" s="22"/>
      <c r="B51" s="38"/>
      <c r="C51" s="39"/>
      <c r="D51" s="39"/>
      <c r="E51" s="39"/>
      <c r="F51" s="39"/>
      <c r="G51" s="40"/>
      <c r="H51" s="38"/>
      <c r="I51" s="39"/>
      <c r="J51" s="39"/>
      <c r="K51" s="39"/>
      <c r="L51" s="39"/>
      <c r="M51" s="39"/>
      <c r="N51" s="40"/>
      <c r="O51" s="38"/>
      <c r="P51" s="39"/>
      <c r="Q51" s="39"/>
      <c r="R51" s="39"/>
      <c r="S51" s="91"/>
      <c r="T51" s="92"/>
      <c r="U51" s="92"/>
      <c r="V51" s="92"/>
      <c r="W51" s="92"/>
      <c r="X51" s="92"/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3"/>
      <c r="AX51" s="82"/>
      <c r="AY51" s="82"/>
      <c r="AZ51" s="82"/>
      <c r="BA51" s="82"/>
      <c r="BB51" s="82"/>
      <c r="BC51" s="83"/>
      <c r="BD51" s="86"/>
      <c r="BE51" s="82"/>
      <c r="BF51" s="82"/>
      <c r="BG51" s="82"/>
      <c r="BH51" s="82"/>
      <c r="BI51" s="82"/>
      <c r="BJ51" s="83"/>
      <c r="BK51" s="23"/>
    </row>
    <row r="52" spans="1:63" ht="15" customHeight="1" x14ac:dyDescent="0.25">
      <c r="A52" s="22"/>
      <c r="B52" s="41"/>
      <c r="C52" s="42"/>
      <c r="D52" s="42"/>
      <c r="E52" s="42"/>
      <c r="F52" s="42"/>
      <c r="G52" s="43"/>
      <c r="H52" s="41"/>
      <c r="I52" s="42"/>
      <c r="J52" s="42"/>
      <c r="K52" s="42"/>
      <c r="L52" s="42"/>
      <c r="M52" s="42"/>
      <c r="N52" s="43"/>
      <c r="O52" s="41"/>
      <c r="P52" s="42"/>
      <c r="Q52" s="42"/>
      <c r="R52" s="42"/>
      <c r="S52" s="88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  <c r="AS52" s="89"/>
      <c r="AT52" s="89"/>
      <c r="AU52" s="89"/>
      <c r="AV52" s="89"/>
      <c r="AW52" s="90"/>
      <c r="AX52" s="84"/>
      <c r="AY52" s="84"/>
      <c r="AZ52" s="84"/>
      <c r="BA52" s="84"/>
      <c r="BB52" s="84"/>
      <c r="BC52" s="85"/>
      <c r="BD52" s="87"/>
      <c r="BE52" s="84"/>
      <c r="BF52" s="84"/>
      <c r="BG52" s="84"/>
      <c r="BH52" s="84"/>
      <c r="BI52" s="84"/>
      <c r="BJ52" s="85"/>
      <c r="BK52" s="23"/>
    </row>
    <row r="53" spans="1:63" ht="15" customHeight="1" x14ac:dyDescent="0.25">
      <c r="A53" s="22"/>
      <c r="B53" s="38"/>
      <c r="C53" s="39"/>
      <c r="D53" s="39"/>
      <c r="E53" s="39"/>
      <c r="F53" s="39"/>
      <c r="G53" s="40"/>
      <c r="H53" s="38"/>
      <c r="I53" s="39"/>
      <c r="J53" s="39"/>
      <c r="K53" s="39"/>
      <c r="L53" s="39"/>
      <c r="M53" s="39"/>
      <c r="N53" s="40"/>
      <c r="O53" s="38"/>
      <c r="P53" s="39"/>
      <c r="Q53" s="39"/>
      <c r="R53" s="39"/>
      <c r="S53" s="91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92"/>
      <c r="AN53" s="92"/>
      <c r="AO53" s="92"/>
      <c r="AP53" s="92"/>
      <c r="AQ53" s="92"/>
      <c r="AR53" s="92"/>
      <c r="AS53" s="92"/>
      <c r="AT53" s="92"/>
      <c r="AU53" s="92"/>
      <c r="AV53" s="92"/>
      <c r="AW53" s="93"/>
      <c r="AX53" s="82"/>
      <c r="AY53" s="82"/>
      <c r="AZ53" s="82"/>
      <c r="BA53" s="82"/>
      <c r="BB53" s="82"/>
      <c r="BC53" s="83"/>
      <c r="BD53" s="86"/>
      <c r="BE53" s="82"/>
      <c r="BF53" s="82"/>
      <c r="BG53" s="82"/>
      <c r="BH53" s="82"/>
      <c r="BI53" s="82"/>
      <c r="BJ53" s="83"/>
      <c r="BK53" s="23"/>
    </row>
    <row r="54" spans="1:63" ht="15" customHeight="1" x14ac:dyDescent="0.25">
      <c r="A54" s="22"/>
      <c r="B54" s="41"/>
      <c r="C54" s="42"/>
      <c r="D54" s="42"/>
      <c r="E54" s="42"/>
      <c r="F54" s="42"/>
      <c r="G54" s="43"/>
      <c r="H54" s="41"/>
      <c r="I54" s="42"/>
      <c r="J54" s="42"/>
      <c r="K54" s="42"/>
      <c r="L54" s="42"/>
      <c r="M54" s="42"/>
      <c r="N54" s="43"/>
      <c r="O54" s="41"/>
      <c r="P54" s="42"/>
      <c r="Q54" s="42"/>
      <c r="R54" s="42"/>
      <c r="S54" s="88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  <c r="AS54" s="89"/>
      <c r="AT54" s="89"/>
      <c r="AU54" s="89"/>
      <c r="AV54" s="89"/>
      <c r="AW54" s="90"/>
      <c r="AX54" s="84"/>
      <c r="AY54" s="84"/>
      <c r="AZ54" s="84"/>
      <c r="BA54" s="84"/>
      <c r="BB54" s="84"/>
      <c r="BC54" s="85"/>
      <c r="BD54" s="87"/>
      <c r="BE54" s="84"/>
      <c r="BF54" s="84"/>
      <c r="BG54" s="84"/>
      <c r="BH54" s="84"/>
      <c r="BI54" s="84"/>
      <c r="BJ54" s="85"/>
      <c r="BK54" s="23"/>
    </row>
    <row r="55" spans="1:63" ht="15" customHeight="1" x14ac:dyDescent="0.25">
      <c r="A55" s="19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1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tabColor rgb="FF0000FF"/>
    <pageSetUpPr fitToPage="1"/>
  </sheetPr>
  <dimension ref="A1:BK73"/>
  <sheetViews>
    <sheetView view="pageBreakPreview" zoomScale="85" zoomScaleNormal="100" zoomScaleSheetLayoutView="85" zoomScalePageLayoutView="55" workbookViewId="0">
      <selection sqref="A1:J1"/>
    </sheetView>
  </sheetViews>
  <sheetFormatPr defaultColWidth="2.77734375" defaultRowHeight="15.75" x14ac:dyDescent="0.25"/>
  <cols>
    <col min="1" max="16384" width="2.77734375" style="1"/>
  </cols>
  <sheetData>
    <row r="1" spans="1:63" ht="24.95" customHeight="1" x14ac:dyDescent="0.25">
      <c r="A1" s="188" t="s">
        <v>35</v>
      </c>
      <c r="B1" s="189"/>
      <c r="C1" s="189"/>
      <c r="D1" s="189"/>
      <c r="E1" s="189"/>
      <c r="F1" s="189"/>
      <c r="G1" s="189"/>
      <c r="H1" s="189"/>
      <c r="I1" s="189"/>
      <c r="J1" s="190"/>
      <c r="K1" s="188" t="s">
        <v>36</v>
      </c>
      <c r="L1" s="189"/>
      <c r="M1" s="189"/>
      <c r="N1" s="189"/>
      <c r="O1" s="189"/>
      <c r="P1" s="189"/>
      <c r="Q1" s="189"/>
      <c r="R1" s="189"/>
      <c r="S1" s="189"/>
      <c r="T1" s="189"/>
      <c r="U1" s="189"/>
      <c r="V1" s="190"/>
      <c r="W1" s="219" t="str">
        <f>IF(表紙!W1="","",表紙!W1)</f>
        <v>詳細設計書</v>
      </c>
      <c r="X1" s="220"/>
      <c r="Y1" s="220"/>
      <c r="Z1" s="220"/>
      <c r="AA1" s="220"/>
      <c r="AB1" s="220"/>
      <c r="AC1" s="220"/>
      <c r="AD1" s="220"/>
      <c r="AE1" s="220"/>
      <c r="AF1" s="220"/>
      <c r="AG1" s="220"/>
      <c r="AH1" s="220"/>
      <c r="AI1" s="220"/>
      <c r="AJ1" s="220"/>
      <c r="AK1" s="220"/>
      <c r="AL1" s="220"/>
      <c r="AM1" s="220"/>
      <c r="AN1" s="220"/>
      <c r="AO1" s="221"/>
      <c r="AP1" s="35" t="s">
        <v>38</v>
      </c>
      <c r="AQ1" s="36"/>
      <c r="AR1" s="36"/>
      <c r="AS1" s="37"/>
      <c r="AT1" s="35" t="s">
        <v>39</v>
      </c>
      <c r="AU1" s="36"/>
      <c r="AV1" s="36"/>
      <c r="AW1" s="36"/>
      <c r="AX1" s="37"/>
      <c r="AY1" s="35" t="s">
        <v>40</v>
      </c>
      <c r="AZ1" s="36"/>
      <c r="BA1" s="36"/>
      <c r="BB1" s="37"/>
      <c r="BC1" s="35" t="s">
        <v>41</v>
      </c>
      <c r="BD1" s="36"/>
      <c r="BE1" s="36"/>
      <c r="BF1" s="36"/>
      <c r="BG1" s="37"/>
      <c r="BH1" s="35" t="s">
        <v>42</v>
      </c>
      <c r="BI1" s="36"/>
      <c r="BJ1" s="36"/>
      <c r="BK1" s="37"/>
    </row>
    <row r="2" spans="1:63" ht="15" customHeight="1" x14ac:dyDescent="0.25">
      <c r="A2" s="213" t="str">
        <f>IF(表紙!A2="","",表紙!A2)</f>
        <v>POSサーバー</v>
      </c>
      <c r="B2" s="214"/>
      <c r="C2" s="214"/>
      <c r="D2" s="214"/>
      <c r="E2" s="214"/>
      <c r="F2" s="214"/>
      <c r="G2" s="214"/>
      <c r="H2" s="214"/>
      <c r="I2" s="214"/>
      <c r="J2" s="215"/>
      <c r="K2" s="213" t="str">
        <f>IF(表紙!K2="","",表紙!K2)</f>
        <v>POSサーバ</v>
      </c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15"/>
      <c r="W2" s="222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4"/>
      <c r="AP2" s="38" t="str">
        <f>IF(表紙!AP2="","",表紙!AP2)</f>
        <v>SonMNT</v>
      </c>
      <c r="AQ2" s="39"/>
      <c r="AR2" s="39"/>
      <c r="AS2" s="40"/>
      <c r="AT2" s="66">
        <f>IF(表紙!AT2="","",表紙!AT2)</f>
        <v>45505</v>
      </c>
      <c r="AU2" s="67"/>
      <c r="AV2" s="67"/>
      <c r="AW2" s="67"/>
      <c r="AX2" s="68"/>
      <c r="AY2" s="38" t="str">
        <f>IF(表紙!AY2="","",表紙!AY2)</f>
        <v>DuNT</v>
      </c>
      <c r="AZ2" s="39"/>
      <c r="BA2" s="39"/>
      <c r="BB2" s="40"/>
      <c r="BC2" s="66">
        <f>IF(表紙!BC2="","",表紙!BC2)</f>
        <v>45546</v>
      </c>
      <c r="BD2" s="67"/>
      <c r="BE2" s="67"/>
      <c r="BF2" s="67"/>
      <c r="BG2" s="68"/>
      <c r="BH2" s="38">
        <f>IF(表紙!BH2="","",表紙!BH2)</f>
        <v>0.2</v>
      </c>
      <c r="BI2" s="39"/>
      <c r="BJ2" s="39"/>
      <c r="BK2" s="40"/>
    </row>
    <row r="3" spans="1:63" ht="15" customHeight="1" x14ac:dyDescent="0.25">
      <c r="A3" s="216"/>
      <c r="B3" s="217"/>
      <c r="C3" s="217"/>
      <c r="D3" s="217"/>
      <c r="E3" s="217"/>
      <c r="F3" s="217"/>
      <c r="G3" s="217"/>
      <c r="H3" s="217"/>
      <c r="I3" s="217"/>
      <c r="J3" s="218"/>
      <c r="K3" s="216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8"/>
      <c r="W3" s="225"/>
      <c r="X3" s="226"/>
      <c r="Y3" s="226"/>
      <c r="Z3" s="226"/>
      <c r="AA3" s="226"/>
      <c r="AB3" s="226"/>
      <c r="AC3" s="226"/>
      <c r="AD3" s="226"/>
      <c r="AE3" s="226"/>
      <c r="AF3" s="226"/>
      <c r="AG3" s="226"/>
      <c r="AH3" s="226"/>
      <c r="AI3" s="226"/>
      <c r="AJ3" s="226"/>
      <c r="AK3" s="226"/>
      <c r="AL3" s="226"/>
      <c r="AM3" s="226"/>
      <c r="AN3" s="226"/>
      <c r="AO3" s="227"/>
      <c r="AP3" s="41"/>
      <c r="AQ3" s="42"/>
      <c r="AR3" s="42"/>
      <c r="AS3" s="43"/>
      <c r="AT3" s="69"/>
      <c r="AU3" s="70"/>
      <c r="AV3" s="70"/>
      <c r="AW3" s="70"/>
      <c r="AX3" s="71"/>
      <c r="AY3" s="41"/>
      <c r="AZ3" s="42"/>
      <c r="BA3" s="42"/>
      <c r="BB3" s="43"/>
      <c r="BC3" s="69"/>
      <c r="BD3" s="70"/>
      <c r="BE3" s="70"/>
      <c r="BF3" s="70"/>
      <c r="BG3" s="71"/>
      <c r="BH3" s="41"/>
      <c r="BI3" s="42"/>
      <c r="BJ3" s="42"/>
      <c r="BK3" s="43"/>
    </row>
    <row r="4" spans="1:63" ht="24.95" customHeight="1" x14ac:dyDescent="0.25">
      <c r="A4" s="188" t="s">
        <v>44</v>
      </c>
      <c r="B4" s="189"/>
      <c r="C4" s="189"/>
      <c r="D4" s="189"/>
      <c r="E4" s="189"/>
      <c r="F4" s="189"/>
      <c r="G4" s="190"/>
      <c r="H4" s="191" t="str">
        <f>IF(表紙!H4="","",表紙!H4)</f>
        <v>62_画像アップロード</v>
      </c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  <c r="T4" s="193"/>
      <c r="U4" s="188" t="s">
        <v>45</v>
      </c>
      <c r="V4" s="189"/>
      <c r="W4" s="189"/>
      <c r="X4" s="189"/>
      <c r="Y4" s="190"/>
      <c r="Z4" s="191" t="str">
        <f>IF(表紙!Z4="","",表紙!Z4)</f>
        <v>画面設計書</v>
      </c>
      <c r="AA4" s="192"/>
      <c r="AB4" s="192"/>
      <c r="AC4" s="192"/>
      <c r="AD4" s="192"/>
      <c r="AE4" s="192"/>
      <c r="AF4" s="192"/>
      <c r="AG4" s="192"/>
      <c r="AH4" s="192"/>
      <c r="AI4" s="192"/>
      <c r="AJ4" s="192"/>
      <c r="AK4" s="192"/>
      <c r="AL4" s="192"/>
      <c r="AM4" s="192"/>
      <c r="AN4" s="192"/>
      <c r="AO4" s="193"/>
      <c r="AP4" s="194" t="str">
        <f ca="1">MID(CELL("filename",A1),FIND("]",CELL("filename",A1))+1,255)</f>
        <v>SC6201</v>
      </c>
      <c r="AQ4" s="192"/>
      <c r="AR4" s="192"/>
      <c r="AS4" s="192"/>
      <c r="AT4" s="192"/>
      <c r="AU4" s="192"/>
      <c r="AV4" s="192"/>
      <c r="AW4" s="192"/>
      <c r="AX4" s="192"/>
      <c r="AY4" s="192"/>
      <c r="AZ4" s="192"/>
      <c r="BA4" s="192"/>
      <c r="BB4" s="192"/>
      <c r="BC4" s="192"/>
      <c r="BD4" s="192"/>
      <c r="BE4" s="192"/>
      <c r="BF4" s="192"/>
      <c r="BG4" s="192"/>
      <c r="BH4" s="192"/>
      <c r="BI4" s="192"/>
      <c r="BJ4" s="192"/>
      <c r="BK4" s="193"/>
    </row>
    <row r="5" spans="1:63" ht="5.0999999999999996" customHeight="1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 x14ac:dyDescent="0.25">
      <c r="A6" s="5"/>
      <c r="BK6" s="6"/>
    </row>
    <row r="7" spans="1:63" ht="15" customHeight="1" x14ac:dyDescent="0.25">
      <c r="A7" s="5"/>
      <c r="B7" s="7" t="s">
        <v>53</v>
      </c>
      <c r="C7" s="34"/>
      <c r="D7" s="34"/>
      <c r="E7" s="34"/>
      <c r="F7" s="34"/>
      <c r="G7" s="34"/>
      <c r="H7" s="34"/>
      <c r="I7" s="34"/>
      <c r="J7" s="34"/>
      <c r="AE7" s="7"/>
      <c r="BK7" s="6"/>
    </row>
    <row r="8" spans="1:63" x14ac:dyDescent="0.25">
      <c r="A8" s="5"/>
      <c r="BK8" s="6"/>
    </row>
    <row r="9" spans="1:63" x14ac:dyDescent="0.25">
      <c r="A9" s="5"/>
      <c r="BK9" s="6"/>
    </row>
    <row r="10" spans="1:63" x14ac:dyDescent="0.25">
      <c r="A10" s="5"/>
      <c r="BK10" s="6"/>
    </row>
    <row r="11" spans="1:63" x14ac:dyDescent="0.25">
      <c r="A11" s="5"/>
      <c r="BK11" s="6"/>
    </row>
    <row r="12" spans="1:63" x14ac:dyDescent="0.25">
      <c r="A12" s="5"/>
      <c r="BK12" s="6"/>
    </row>
    <row r="13" spans="1:63" x14ac:dyDescent="0.25">
      <c r="A13" s="5"/>
      <c r="BK13" s="6"/>
    </row>
    <row r="14" spans="1:63" x14ac:dyDescent="0.25">
      <c r="A14" s="5"/>
      <c r="BK14" s="6"/>
    </row>
    <row r="15" spans="1:63" x14ac:dyDescent="0.25">
      <c r="A15" s="5"/>
      <c r="BK15" s="6"/>
    </row>
    <row r="16" spans="1:63" x14ac:dyDescent="0.25">
      <c r="A16" s="5"/>
      <c r="BK16" s="6"/>
    </row>
    <row r="17" spans="1:63" x14ac:dyDescent="0.25">
      <c r="A17" s="5"/>
      <c r="BK17" s="6"/>
    </row>
    <row r="18" spans="1:63" x14ac:dyDescent="0.25">
      <c r="A18" s="5"/>
      <c r="BK18" s="6"/>
    </row>
    <row r="19" spans="1:63" x14ac:dyDescent="0.25">
      <c r="A19" s="5"/>
      <c r="BK19" s="6"/>
    </row>
    <row r="20" spans="1:63" x14ac:dyDescent="0.25">
      <c r="A20" s="5"/>
      <c r="BK20" s="6"/>
    </row>
    <row r="21" spans="1:63" x14ac:dyDescent="0.25">
      <c r="A21" s="5"/>
      <c r="BK21" s="6"/>
    </row>
    <row r="22" spans="1:63" x14ac:dyDescent="0.25">
      <c r="A22" s="5"/>
      <c r="BK22" s="6"/>
    </row>
    <row r="23" spans="1:63" x14ac:dyDescent="0.25">
      <c r="A23" s="5"/>
      <c r="BK23" s="6"/>
    </row>
    <row r="24" spans="1:63" x14ac:dyDescent="0.25">
      <c r="A24" s="5"/>
      <c r="BK24" s="6"/>
    </row>
    <row r="25" spans="1:63" x14ac:dyDescent="0.25">
      <c r="A25" s="5"/>
      <c r="BK25" s="6"/>
    </row>
    <row r="26" spans="1:63" x14ac:dyDescent="0.25">
      <c r="A26" s="5"/>
      <c r="BK26" s="6"/>
    </row>
    <row r="27" spans="1:63" x14ac:dyDescent="0.25">
      <c r="A27" s="5"/>
      <c r="BK27" s="6"/>
    </row>
    <row r="28" spans="1:63" x14ac:dyDescent="0.25">
      <c r="A28" s="5"/>
      <c r="BK28" s="6"/>
    </row>
    <row r="29" spans="1:63" x14ac:dyDescent="0.25">
      <c r="A29" s="5"/>
      <c r="BK29" s="6"/>
    </row>
    <row r="30" spans="1:63" x14ac:dyDescent="0.25">
      <c r="A30" s="5"/>
      <c r="BK30" s="6"/>
    </row>
    <row r="31" spans="1:63" x14ac:dyDescent="0.25">
      <c r="A31" s="5"/>
      <c r="BK31" s="6"/>
    </row>
    <row r="32" spans="1:63" x14ac:dyDescent="0.25">
      <c r="A32" s="5"/>
      <c r="BK32" s="6"/>
    </row>
    <row r="33" spans="1:63" x14ac:dyDescent="0.25">
      <c r="A33" s="5"/>
      <c r="BK33" s="6"/>
    </row>
    <row r="34" spans="1:63" x14ac:dyDescent="0.25">
      <c r="A34" s="5"/>
      <c r="BK34" s="6"/>
    </row>
    <row r="35" spans="1:63" x14ac:dyDescent="0.25">
      <c r="A35" s="5"/>
      <c r="BK35" s="6"/>
    </row>
    <row r="36" spans="1:63" x14ac:dyDescent="0.25">
      <c r="A36" s="5"/>
      <c r="BK36" s="6"/>
    </row>
    <row r="37" spans="1:63" x14ac:dyDescent="0.25">
      <c r="A37" s="5"/>
      <c r="BK37" s="6"/>
    </row>
    <row r="38" spans="1:63" x14ac:dyDescent="0.25">
      <c r="A38" s="5"/>
      <c r="BK38" s="6"/>
    </row>
    <row r="39" spans="1:63" x14ac:dyDescent="0.25">
      <c r="A39" s="5"/>
      <c r="BK39" s="6"/>
    </row>
    <row r="40" spans="1:63" x14ac:dyDescent="0.25">
      <c r="A40" s="5"/>
      <c r="BK40" s="6"/>
    </row>
    <row r="41" spans="1:63" x14ac:dyDescent="0.25">
      <c r="A41" s="5"/>
      <c r="BK41" s="6"/>
    </row>
    <row r="42" spans="1:63" x14ac:dyDescent="0.25">
      <c r="A42" s="5"/>
      <c r="BK42" s="6"/>
    </row>
    <row r="43" spans="1:63" x14ac:dyDescent="0.25">
      <c r="A43" s="5"/>
      <c r="BK43" s="6"/>
    </row>
    <row r="44" spans="1:63" x14ac:dyDescent="0.25">
      <c r="A44" s="5"/>
      <c r="BK44" s="6"/>
    </row>
    <row r="45" spans="1:63" x14ac:dyDescent="0.25">
      <c r="A45" s="5"/>
      <c r="BK45" s="6"/>
    </row>
    <row r="46" spans="1:63" x14ac:dyDescent="0.25">
      <c r="A46" s="5"/>
      <c r="BK46" s="6"/>
    </row>
    <row r="47" spans="1:63" ht="15" customHeight="1" x14ac:dyDescent="0.25">
      <c r="A47" s="5"/>
      <c r="B47" s="7" t="s">
        <v>54</v>
      </c>
      <c r="BK47" s="6"/>
    </row>
    <row r="48" spans="1:63" x14ac:dyDescent="0.25">
      <c r="A48" s="5"/>
      <c r="BK48" s="6"/>
    </row>
    <row r="49" spans="1:63" ht="15.75" customHeight="1" x14ac:dyDescent="0.25">
      <c r="A49" s="5"/>
      <c r="B49" s="195" t="s">
        <v>55</v>
      </c>
      <c r="C49" s="196"/>
      <c r="D49" s="201" t="s">
        <v>56</v>
      </c>
      <c r="E49" s="202"/>
      <c r="F49" s="202"/>
      <c r="G49" s="202"/>
      <c r="H49" s="202"/>
      <c r="I49" s="202"/>
      <c r="J49" s="196"/>
      <c r="K49" s="201" t="s">
        <v>57</v>
      </c>
      <c r="L49" s="202"/>
      <c r="M49" s="196"/>
      <c r="N49" s="205" t="s">
        <v>3</v>
      </c>
      <c r="O49" s="208" t="s">
        <v>58</v>
      </c>
      <c r="P49" s="147" t="s">
        <v>59</v>
      </c>
      <c r="Q49" s="148"/>
      <c r="R49" s="148"/>
      <c r="S49" s="148"/>
      <c r="T49" s="148"/>
      <c r="U49" s="148"/>
      <c r="V49" s="148"/>
      <c r="W49" s="148"/>
      <c r="X49" s="148"/>
      <c r="Y49" s="148"/>
      <c r="Z49" s="148"/>
      <c r="AA49" s="148"/>
      <c r="AB49" s="148"/>
      <c r="AC49" s="148"/>
      <c r="AD49" s="148"/>
      <c r="AE49" s="148"/>
      <c r="AF49" s="148"/>
      <c r="AG49" s="148"/>
      <c r="AH49" s="148"/>
      <c r="AI49" s="148"/>
      <c r="AJ49" s="148"/>
      <c r="AK49" s="148"/>
      <c r="AL49" s="148"/>
      <c r="AM49" s="148"/>
      <c r="AN49" s="148"/>
      <c r="AO49" s="148"/>
      <c r="AP49" s="148"/>
      <c r="AQ49" s="149"/>
      <c r="AR49" s="150" t="s">
        <v>60</v>
      </c>
      <c r="AS49" s="151"/>
      <c r="AT49" s="151"/>
      <c r="AU49" s="151"/>
      <c r="AV49" s="151"/>
      <c r="AW49" s="151"/>
      <c r="AX49" s="151"/>
      <c r="AY49" s="151"/>
      <c r="AZ49" s="151"/>
      <c r="BA49" s="151"/>
      <c r="BB49" s="152"/>
      <c r="BC49" s="153" t="s">
        <v>61</v>
      </c>
      <c r="BD49" s="154"/>
      <c r="BE49" s="154"/>
      <c r="BF49" s="154"/>
      <c r="BG49" s="154"/>
      <c r="BH49" s="154"/>
      <c r="BI49" s="154"/>
      <c r="BJ49" s="155"/>
      <c r="BK49" s="6"/>
    </row>
    <row r="50" spans="1:63" ht="15.75" customHeight="1" x14ac:dyDescent="0.25">
      <c r="A50" s="5"/>
      <c r="B50" s="197"/>
      <c r="C50" s="198"/>
      <c r="D50" s="197"/>
      <c r="E50" s="203"/>
      <c r="F50" s="203"/>
      <c r="G50" s="203"/>
      <c r="H50" s="203"/>
      <c r="I50" s="203"/>
      <c r="J50" s="198"/>
      <c r="K50" s="197"/>
      <c r="L50" s="203"/>
      <c r="M50" s="198"/>
      <c r="N50" s="206"/>
      <c r="O50" s="209"/>
      <c r="P50" s="162" t="s">
        <v>62</v>
      </c>
      <c r="Q50" s="163"/>
      <c r="R50" s="163"/>
      <c r="S50" s="163"/>
      <c r="T50" s="163"/>
      <c r="U50" s="163"/>
      <c r="V50" s="163"/>
      <c r="W50" s="164"/>
      <c r="X50" s="165" t="s">
        <v>63</v>
      </c>
      <c r="Y50" s="166"/>
      <c r="Z50" s="167"/>
      <c r="AA50" s="165" t="s">
        <v>64</v>
      </c>
      <c r="AB50" s="166"/>
      <c r="AC50" s="166"/>
      <c r="AD50" s="166"/>
      <c r="AE50" s="166"/>
      <c r="AF50" s="166"/>
      <c r="AG50" s="166"/>
      <c r="AH50" s="167"/>
      <c r="AI50" s="165" t="s">
        <v>65</v>
      </c>
      <c r="AJ50" s="166"/>
      <c r="AK50" s="166"/>
      <c r="AL50" s="166"/>
      <c r="AM50" s="166"/>
      <c r="AN50" s="166"/>
      <c r="AO50" s="166"/>
      <c r="AP50" s="166"/>
      <c r="AQ50" s="167"/>
      <c r="AR50" s="171" t="s">
        <v>4</v>
      </c>
      <c r="AS50" s="173" t="s">
        <v>66</v>
      </c>
      <c r="AT50" s="175" t="s">
        <v>67</v>
      </c>
      <c r="AU50" s="150" t="s">
        <v>62</v>
      </c>
      <c r="AV50" s="151"/>
      <c r="AW50" s="151"/>
      <c r="AX50" s="151"/>
      <c r="AY50" s="151"/>
      <c r="AZ50" s="151"/>
      <c r="BA50" s="151"/>
      <c r="BB50" s="152"/>
      <c r="BC50" s="156"/>
      <c r="BD50" s="157"/>
      <c r="BE50" s="157"/>
      <c r="BF50" s="157"/>
      <c r="BG50" s="157"/>
      <c r="BH50" s="157"/>
      <c r="BI50" s="157"/>
      <c r="BJ50" s="158"/>
      <c r="BK50" s="6"/>
    </row>
    <row r="51" spans="1:63" x14ac:dyDescent="0.25">
      <c r="A51" s="5"/>
      <c r="B51" s="199"/>
      <c r="C51" s="200"/>
      <c r="D51" s="199"/>
      <c r="E51" s="204"/>
      <c r="F51" s="204"/>
      <c r="G51" s="204"/>
      <c r="H51" s="204"/>
      <c r="I51" s="204"/>
      <c r="J51" s="200"/>
      <c r="K51" s="199"/>
      <c r="L51" s="204"/>
      <c r="M51" s="200"/>
      <c r="N51" s="207"/>
      <c r="O51" s="210"/>
      <c r="P51" s="147" t="s">
        <v>68</v>
      </c>
      <c r="Q51" s="148"/>
      <c r="R51" s="148"/>
      <c r="S51" s="149"/>
      <c r="T51" s="147" t="s">
        <v>56</v>
      </c>
      <c r="U51" s="148"/>
      <c r="V51" s="148"/>
      <c r="W51" s="149"/>
      <c r="X51" s="168"/>
      <c r="Y51" s="169"/>
      <c r="Z51" s="170"/>
      <c r="AA51" s="168"/>
      <c r="AB51" s="169"/>
      <c r="AC51" s="169"/>
      <c r="AD51" s="169"/>
      <c r="AE51" s="169"/>
      <c r="AF51" s="169"/>
      <c r="AG51" s="169"/>
      <c r="AH51" s="170"/>
      <c r="AI51" s="168"/>
      <c r="AJ51" s="169"/>
      <c r="AK51" s="169"/>
      <c r="AL51" s="169"/>
      <c r="AM51" s="169"/>
      <c r="AN51" s="169"/>
      <c r="AO51" s="169"/>
      <c r="AP51" s="169"/>
      <c r="AQ51" s="170"/>
      <c r="AR51" s="172"/>
      <c r="AS51" s="174"/>
      <c r="AT51" s="176"/>
      <c r="AU51" s="150" t="s">
        <v>68</v>
      </c>
      <c r="AV51" s="151"/>
      <c r="AW51" s="151"/>
      <c r="AX51" s="211"/>
      <c r="AY51" s="212" t="s">
        <v>56</v>
      </c>
      <c r="AZ51" s="151"/>
      <c r="BA51" s="151"/>
      <c r="BB51" s="152"/>
      <c r="BC51" s="159"/>
      <c r="BD51" s="160"/>
      <c r="BE51" s="160"/>
      <c r="BF51" s="160"/>
      <c r="BG51" s="160"/>
      <c r="BH51" s="160"/>
      <c r="BI51" s="160"/>
      <c r="BJ51" s="161"/>
      <c r="BK51" s="6"/>
    </row>
    <row r="52" spans="1:63" ht="36.75" customHeight="1" x14ac:dyDescent="0.25">
      <c r="A52" s="5"/>
      <c r="B52" s="136">
        <v>0</v>
      </c>
      <c r="C52" s="137"/>
      <c r="D52" s="138" t="s">
        <v>9</v>
      </c>
      <c r="E52" s="139"/>
      <c r="F52" s="139"/>
      <c r="G52" s="139"/>
      <c r="H52" s="139"/>
      <c r="I52" s="139"/>
      <c r="J52" s="140"/>
      <c r="K52" s="141" t="s">
        <v>69</v>
      </c>
      <c r="L52" s="142"/>
      <c r="M52" s="143"/>
      <c r="N52" s="8" t="s">
        <v>5</v>
      </c>
      <c r="O52" s="15" t="s">
        <v>6</v>
      </c>
      <c r="P52" s="144" t="s">
        <v>5</v>
      </c>
      <c r="Q52" s="145"/>
      <c r="R52" s="145"/>
      <c r="S52" s="146"/>
      <c r="T52" s="144" t="s">
        <v>5</v>
      </c>
      <c r="U52" s="145"/>
      <c r="V52" s="145"/>
      <c r="W52" s="146"/>
      <c r="X52" s="177" t="s">
        <v>70</v>
      </c>
      <c r="Y52" s="178"/>
      <c r="Z52" s="179"/>
      <c r="AA52" s="180" t="s">
        <v>71</v>
      </c>
      <c r="AB52" s="181"/>
      <c r="AC52" s="181"/>
      <c r="AD52" s="181"/>
      <c r="AE52" s="181"/>
      <c r="AF52" s="181"/>
      <c r="AG52" s="181"/>
      <c r="AH52" s="182"/>
      <c r="AI52" s="183" t="s">
        <v>7</v>
      </c>
      <c r="AJ52" s="184"/>
      <c r="AK52" s="184"/>
      <c r="AL52" s="184"/>
      <c r="AM52" s="184"/>
      <c r="AN52" s="184"/>
      <c r="AO52" s="184"/>
      <c r="AP52" s="184"/>
      <c r="AQ52" s="185"/>
      <c r="AR52" s="10" t="s">
        <v>5</v>
      </c>
      <c r="AS52" s="10" t="s">
        <v>7</v>
      </c>
      <c r="AT52" s="10" t="s">
        <v>7</v>
      </c>
      <c r="AU52" s="136" t="s">
        <v>8</v>
      </c>
      <c r="AV52" s="186"/>
      <c r="AW52" s="186"/>
      <c r="AX52" s="137"/>
      <c r="AY52" s="136" t="s">
        <v>7</v>
      </c>
      <c r="AZ52" s="186"/>
      <c r="BA52" s="186"/>
      <c r="BB52" s="137"/>
      <c r="BC52" s="187" t="s">
        <v>96</v>
      </c>
      <c r="BD52" s="102"/>
      <c r="BE52" s="102"/>
      <c r="BF52" s="102"/>
      <c r="BG52" s="102"/>
      <c r="BH52" s="102"/>
      <c r="BI52" s="102"/>
      <c r="BJ52" s="103"/>
      <c r="BK52" s="6"/>
    </row>
    <row r="53" spans="1:63" x14ac:dyDescent="0.25">
      <c r="A53" s="5"/>
      <c r="B53" s="98">
        <v>1</v>
      </c>
      <c r="C53" s="100"/>
      <c r="D53" s="133" t="s">
        <v>12</v>
      </c>
      <c r="E53" s="134"/>
      <c r="F53" s="134"/>
      <c r="G53" s="134"/>
      <c r="H53" s="134"/>
      <c r="I53" s="134"/>
      <c r="J53" s="135"/>
      <c r="K53" s="127" t="s">
        <v>69</v>
      </c>
      <c r="L53" s="128"/>
      <c r="M53" s="129"/>
      <c r="N53" s="16" t="s">
        <v>5</v>
      </c>
      <c r="O53" s="12" t="s">
        <v>6</v>
      </c>
      <c r="P53" s="112" t="s">
        <v>5</v>
      </c>
      <c r="Q53" s="113"/>
      <c r="R53" s="113"/>
      <c r="S53" s="114"/>
      <c r="T53" s="112" t="s">
        <v>5</v>
      </c>
      <c r="U53" s="113"/>
      <c r="V53" s="113"/>
      <c r="W53" s="114"/>
      <c r="X53" s="118" t="s">
        <v>72</v>
      </c>
      <c r="Y53" s="119"/>
      <c r="Z53" s="120"/>
      <c r="AA53" s="121" t="s">
        <v>71</v>
      </c>
      <c r="AB53" s="122"/>
      <c r="AC53" s="122"/>
      <c r="AD53" s="122"/>
      <c r="AE53" s="122"/>
      <c r="AF53" s="122"/>
      <c r="AG53" s="122"/>
      <c r="AH53" s="123"/>
      <c r="AI53" s="95" t="s">
        <v>7</v>
      </c>
      <c r="AJ53" s="96"/>
      <c r="AK53" s="96"/>
      <c r="AL53" s="96"/>
      <c r="AM53" s="96"/>
      <c r="AN53" s="96"/>
      <c r="AO53" s="96"/>
      <c r="AP53" s="96"/>
      <c r="AQ53" s="97"/>
      <c r="AR53" s="17" t="s">
        <v>5</v>
      </c>
      <c r="AS53" s="17" t="s">
        <v>7</v>
      </c>
      <c r="AT53" s="17" t="s">
        <v>7</v>
      </c>
      <c r="AU53" s="98" t="s">
        <v>8</v>
      </c>
      <c r="AV53" s="99"/>
      <c r="AW53" s="99"/>
      <c r="AX53" s="100"/>
      <c r="AY53" s="112" t="s">
        <v>71</v>
      </c>
      <c r="AZ53" s="99"/>
      <c r="BA53" s="99"/>
      <c r="BB53" s="100"/>
      <c r="BC53" s="270" t="s">
        <v>101</v>
      </c>
      <c r="BD53" s="271"/>
      <c r="BE53" s="271"/>
      <c r="BF53" s="271"/>
      <c r="BG53" s="271"/>
      <c r="BH53" s="271"/>
      <c r="BI53" s="271"/>
      <c r="BJ53" s="272"/>
      <c r="BK53" s="6"/>
    </row>
    <row r="54" spans="1:63" ht="32.25" customHeight="1" x14ac:dyDescent="0.25">
      <c r="A54" s="5"/>
      <c r="B54" s="104">
        <v>2</v>
      </c>
      <c r="C54" s="105"/>
      <c r="D54" s="130" t="s">
        <v>13</v>
      </c>
      <c r="E54" s="131"/>
      <c r="F54" s="131"/>
      <c r="G54" s="131"/>
      <c r="H54" s="131"/>
      <c r="I54" s="131"/>
      <c r="J54" s="132"/>
      <c r="K54" s="109" t="s">
        <v>73</v>
      </c>
      <c r="L54" s="110"/>
      <c r="M54" s="111"/>
      <c r="N54" s="9" t="s">
        <v>10</v>
      </c>
      <c r="O54" s="9" t="s">
        <v>6</v>
      </c>
      <c r="P54" s="112" t="s">
        <v>5</v>
      </c>
      <c r="Q54" s="113"/>
      <c r="R54" s="113"/>
      <c r="S54" s="114"/>
      <c r="T54" s="112" t="s">
        <v>5</v>
      </c>
      <c r="U54" s="113"/>
      <c r="V54" s="113"/>
      <c r="W54" s="114"/>
      <c r="X54" s="115" t="s">
        <v>74</v>
      </c>
      <c r="Y54" s="116"/>
      <c r="Z54" s="117"/>
      <c r="AA54" s="95" t="s">
        <v>7</v>
      </c>
      <c r="AB54" s="96"/>
      <c r="AC54" s="96"/>
      <c r="AD54" s="96"/>
      <c r="AE54" s="96"/>
      <c r="AF54" s="96"/>
      <c r="AG54" s="96"/>
      <c r="AH54" s="97"/>
      <c r="AI54" s="95" t="s">
        <v>7</v>
      </c>
      <c r="AJ54" s="96"/>
      <c r="AK54" s="96"/>
      <c r="AL54" s="96"/>
      <c r="AM54" s="96"/>
      <c r="AN54" s="96"/>
      <c r="AO54" s="96"/>
      <c r="AP54" s="96"/>
      <c r="AQ54" s="97"/>
      <c r="AR54" s="11" t="s">
        <v>5</v>
      </c>
      <c r="AS54" s="17" t="s">
        <v>7</v>
      </c>
      <c r="AT54" s="17" t="s">
        <v>7</v>
      </c>
      <c r="AU54" s="112" t="s">
        <v>75</v>
      </c>
      <c r="AV54" s="99"/>
      <c r="AW54" s="99"/>
      <c r="AX54" s="100"/>
      <c r="AY54" s="112" t="s">
        <v>76</v>
      </c>
      <c r="AZ54" s="99"/>
      <c r="BA54" s="99"/>
      <c r="BB54" s="100"/>
      <c r="BC54" s="101" t="s">
        <v>27</v>
      </c>
      <c r="BD54" s="102"/>
      <c r="BE54" s="102"/>
      <c r="BF54" s="102"/>
      <c r="BG54" s="102"/>
      <c r="BH54" s="102"/>
      <c r="BI54" s="102"/>
      <c r="BJ54" s="103"/>
      <c r="BK54" s="6"/>
    </row>
    <row r="55" spans="1:63" ht="27" customHeight="1" x14ac:dyDescent="0.25">
      <c r="A55" s="5"/>
      <c r="B55" s="104">
        <v>3</v>
      </c>
      <c r="C55" s="105"/>
      <c r="D55" s="106" t="s">
        <v>14</v>
      </c>
      <c r="E55" s="107"/>
      <c r="F55" s="107"/>
      <c r="G55" s="107"/>
      <c r="H55" s="107"/>
      <c r="I55" s="107"/>
      <c r="J55" s="108"/>
      <c r="K55" s="109" t="s">
        <v>73</v>
      </c>
      <c r="L55" s="110"/>
      <c r="M55" s="111"/>
      <c r="N55" s="9" t="s">
        <v>10</v>
      </c>
      <c r="O55" s="9" t="s">
        <v>6</v>
      </c>
      <c r="P55" s="112" t="s">
        <v>5</v>
      </c>
      <c r="Q55" s="113"/>
      <c r="R55" s="113"/>
      <c r="S55" s="114"/>
      <c r="T55" s="112" t="s">
        <v>5</v>
      </c>
      <c r="U55" s="113"/>
      <c r="V55" s="113"/>
      <c r="W55" s="114"/>
      <c r="X55" s="115" t="s">
        <v>77</v>
      </c>
      <c r="Y55" s="116"/>
      <c r="Z55" s="117"/>
      <c r="AA55" s="95" t="s">
        <v>7</v>
      </c>
      <c r="AB55" s="96"/>
      <c r="AC55" s="96"/>
      <c r="AD55" s="96"/>
      <c r="AE55" s="96"/>
      <c r="AF55" s="96"/>
      <c r="AG55" s="96"/>
      <c r="AH55" s="97"/>
      <c r="AI55" s="95" t="s">
        <v>7</v>
      </c>
      <c r="AJ55" s="96"/>
      <c r="AK55" s="96"/>
      <c r="AL55" s="96"/>
      <c r="AM55" s="96"/>
      <c r="AN55" s="96"/>
      <c r="AO55" s="96"/>
      <c r="AP55" s="96"/>
      <c r="AQ55" s="97"/>
      <c r="AR55" s="11" t="s">
        <v>5</v>
      </c>
      <c r="AS55" s="11" t="s">
        <v>7</v>
      </c>
      <c r="AT55" s="17" t="s">
        <v>7</v>
      </c>
      <c r="AU55" s="112" t="s">
        <v>75</v>
      </c>
      <c r="AV55" s="99"/>
      <c r="AW55" s="99"/>
      <c r="AX55" s="100"/>
      <c r="AY55" s="112" t="s">
        <v>76</v>
      </c>
      <c r="AZ55" s="99"/>
      <c r="BA55" s="99"/>
      <c r="BB55" s="100"/>
      <c r="BC55" s="101" t="s">
        <v>28</v>
      </c>
      <c r="BD55" s="102"/>
      <c r="BE55" s="102"/>
      <c r="BF55" s="102"/>
      <c r="BG55" s="102"/>
      <c r="BH55" s="102"/>
      <c r="BI55" s="102"/>
      <c r="BJ55" s="103"/>
      <c r="BK55" s="6"/>
    </row>
    <row r="56" spans="1:63" ht="33.75" customHeight="1" x14ac:dyDescent="0.25">
      <c r="A56" s="5"/>
      <c r="B56" s="104">
        <v>4</v>
      </c>
      <c r="C56" s="105"/>
      <c r="D56" s="124" t="s">
        <v>15</v>
      </c>
      <c r="E56" s="125"/>
      <c r="F56" s="125"/>
      <c r="G56" s="125"/>
      <c r="H56" s="125"/>
      <c r="I56" s="125"/>
      <c r="J56" s="126"/>
      <c r="K56" s="127" t="s">
        <v>69</v>
      </c>
      <c r="L56" s="128"/>
      <c r="M56" s="129"/>
      <c r="N56" s="16" t="s">
        <v>5</v>
      </c>
      <c r="O56" s="12" t="s">
        <v>6</v>
      </c>
      <c r="P56" s="112" t="s">
        <v>5</v>
      </c>
      <c r="Q56" s="113"/>
      <c r="R56" s="113"/>
      <c r="S56" s="114"/>
      <c r="T56" s="112" t="s">
        <v>5</v>
      </c>
      <c r="U56" s="113"/>
      <c r="V56" s="113"/>
      <c r="W56" s="114"/>
      <c r="X56" s="118" t="s">
        <v>78</v>
      </c>
      <c r="Y56" s="119"/>
      <c r="Z56" s="120"/>
      <c r="AA56" s="121" t="s">
        <v>71</v>
      </c>
      <c r="AB56" s="122"/>
      <c r="AC56" s="122"/>
      <c r="AD56" s="122"/>
      <c r="AE56" s="122"/>
      <c r="AF56" s="122"/>
      <c r="AG56" s="122"/>
      <c r="AH56" s="123"/>
      <c r="AI56" s="95" t="s">
        <v>7</v>
      </c>
      <c r="AJ56" s="96"/>
      <c r="AK56" s="96"/>
      <c r="AL56" s="96"/>
      <c r="AM56" s="96"/>
      <c r="AN56" s="96"/>
      <c r="AO56" s="96"/>
      <c r="AP56" s="96"/>
      <c r="AQ56" s="97"/>
      <c r="AR56" s="17" t="s">
        <v>5</v>
      </c>
      <c r="AS56" s="17" t="s">
        <v>7</v>
      </c>
      <c r="AT56" s="17" t="s">
        <v>7</v>
      </c>
      <c r="AU56" s="98" t="s">
        <v>8</v>
      </c>
      <c r="AV56" s="99"/>
      <c r="AW56" s="99"/>
      <c r="AX56" s="100"/>
      <c r="AY56" s="98" t="s">
        <v>7</v>
      </c>
      <c r="AZ56" s="99"/>
      <c r="BA56" s="99"/>
      <c r="BB56" s="100"/>
      <c r="BC56" s="101" t="s">
        <v>7</v>
      </c>
      <c r="BD56" s="102"/>
      <c r="BE56" s="102"/>
      <c r="BF56" s="102"/>
      <c r="BG56" s="102"/>
      <c r="BH56" s="102"/>
      <c r="BI56" s="102"/>
      <c r="BJ56" s="103"/>
      <c r="BK56" s="6"/>
    </row>
    <row r="57" spans="1:63" ht="15.75" customHeight="1" x14ac:dyDescent="0.25">
      <c r="A57" s="5"/>
      <c r="B57" s="104">
        <v>5</v>
      </c>
      <c r="C57" s="105"/>
      <c r="D57" s="106" t="s">
        <v>16</v>
      </c>
      <c r="E57" s="107"/>
      <c r="F57" s="107"/>
      <c r="G57" s="107"/>
      <c r="H57" s="107"/>
      <c r="I57" s="107"/>
      <c r="J57" s="108"/>
      <c r="K57" s="109" t="s">
        <v>79</v>
      </c>
      <c r="L57" s="110"/>
      <c r="M57" s="111"/>
      <c r="N57" s="9" t="s">
        <v>10</v>
      </c>
      <c r="O57" s="12" t="s">
        <v>6</v>
      </c>
      <c r="P57" s="112" t="s">
        <v>5</v>
      </c>
      <c r="Q57" s="113"/>
      <c r="R57" s="113"/>
      <c r="S57" s="114"/>
      <c r="T57" s="112" t="s">
        <v>5</v>
      </c>
      <c r="U57" s="113"/>
      <c r="V57" s="113"/>
      <c r="W57" s="114"/>
      <c r="X57" s="115" t="s">
        <v>80</v>
      </c>
      <c r="Y57" s="116"/>
      <c r="Z57" s="117"/>
      <c r="AA57" s="95" t="s">
        <v>7</v>
      </c>
      <c r="AB57" s="96"/>
      <c r="AC57" s="96"/>
      <c r="AD57" s="96"/>
      <c r="AE57" s="96"/>
      <c r="AF57" s="96"/>
      <c r="AG57" s="96"/>
      <c r="AH57" s="97"/>
      <c r="AI57" s="95" t="s">
        <v>29</v>
      </c>
      <c r="AJ57" s="96"/>
      <c r="AK57" s="96"/>
      <c r="AL57" s="96"/>
      <c r="AM57" s="96"/>
      <c r="AN57" s="96"/>
      <c r="AO57" s="96"/>
      <c r="AP57" s="96"/>
      <c r="AQ57" s="97"/>
      <c r="AR57" s="11" t="s">
        <v>5</v>
      </c>
      <c r="AS57" s="11" t="s">
        <v>7</v>
      </c>
      <c r="AT57" s="17" t="s">
        <v>7</v>
      </c>
      <c r="AU57" s="98" t="s">
        <v>8</v>
      </c>
      <c r="AV57" s="99"/>
      <c r="AW57" s="99"/>
      <c r="AX57" s="100"/>
      <c r="AY57" s="98" t="s">
        <v>7</v>
      </c>
      <c r="AZ57" s="99"/>
      <c r="BA57" s="99"/>
      <c r="BB57" s="100"/>
      <c r="BC57" s="101" t="s">
        <v>81</v>
      </c>
      <c r="BD57" s="102"/>
      <c r="BE57" s="102"/>
      <c r="BF57" s="102"/>
      <c r="BG57" s="102"/>
      <c r="BH57" s="102"/>
      <c r="BI57" s="102"/>
      <c r="BJ57" s="103"/>
      <c r="BK57" s="6"/>
    </row>
    <row r="58" spans="1:63" x14ac:dyDescent="0.25">
      <c r="A58" s="5"/>
      <c r="B58" s="104">
        <v>6</v>
      </c>
      <c r="C58" s="105"/>
      <c r="D58" s="106" t="s">
        <v>17</v>
      </c>
      <c r="E58" s="107"/>
      <c r="F58" s="107"/>
      <c r="G58" s="107"/>
      <c r="H58" s="107"/>
      <c r="I58" s="107"/>
      <c r="J58" s="108"/>
      <c r="K58" s="109" t="s">
        <v>79</v>
      </c>
      <c r="L58" s="110"/>
      <c r="M58" s="111"/>
      <c r="N58" s="9" t="s">
        <v>10</v>
      </c>
      <c r="O58" s="9" t="s">
        <v>6</v>
      </c>
      <c r="P58" s="112" t="s">
        <v>5</v>
      </c>
      <c r="Q58" s="113"/>
      <c r="R58" s="113"/>
      <c r="S58" s="114"/>
      <c r="T58" s="112" t="s">
        <v>5</v>
      </c>
      <c r="U58" s="113"/>
      <c r="V58" s="113"/>
      <c r="W58" s="114"/>
      <c r="X58" s="115" t="s">
        <v>82</v>
      </c>
      <c r="Y58" s="116"/>
      <c r="Z58" s="117"/>
      <c r="AA58" s="95" t="s">
        <v>7</v>
      </c>
      <c r="AB58" s="96"/>
      <c r="AC58" s="96"/>
      <c r="AD58" s="96"/>
      <c r="AE58" s="96"/>
      <c r="AF58" s="96"/>
      <c r="AG58" s="96"/>
      <c r="AH58" s="97"/>
      <c r="AI58" s="95" t="s">
        <v>29</v>
      </c>
      <c r="AJ58" s="96"/>
      <c r="AK58" s="96"/>
      <c r="AL58" s="96"/>
      <c r="AM58" s="96"/>
      <c r="AN58" s="96"/>
      <c r="AO58" s="96"/>
      <c r="AP58" s="96"/>
      <c r="AQ58" s="97"/>
      <c r="AR58" s="11" t="s">
        <v>5</v>
      </c>
      <c r="AS58" s="11" t="s">
        <v>7</v>
      </c>
      <c r="AT58" s="17" t="s">
        <v>7</v>
      </c>
      <c r="AU58" s="98" t="s">
        <v>8</v>
      </c>
      <c r="AV58" s="99"/>
      <c r="AW58" s="99"/>
      <c r="AX58" s="100"/>
      <c r="AY58" s="98" t="s">
        <v>7</v>
      </c>
      <c r="AZ58" s="99"/>
      <c r="BA58" s="99"/>
      <c r="BB58" s="100"/>
      <c r="BC58" s="101" t="s">
        <v>83</v>
      </c>
      <c r="BD58" s="102"/>
      <c r="BE58" s="102"/>
      <c r="BF58" s="102"/>
      <c r="BG58" s="102"/>
      <c r="BH58" s="102"/>
      <c r="BI58" s="102"/>
      <c r="BJ58" s="103"/>
      <c r="BK58" s="6"/>
    </row>
    <row r="59" spans="1:63" x14ac:dyDescent="0.25">
      <c r="A59" s="5"/>
      <c r="B59" s="104">
        <v>7</v>
      </c>
      <c r="C59" s="105"/>
      <c r="D59" s="106" t="s">
        <v>18</v>
      </c>
      <c r="E59" s="107"/>
      <c r="F59" s="107"/>
      <c r="G59" s="107"/>
      <c r="H59" s="107"/>
      <c r="I59" s="107"/>
      <c r="J59" s="108"/>
      <c r="K59" s="127" t="s">
        <v>69</v>
      </c>
      <c r="L59" s="128"/>
      <c r="M59" s="129"/>
      <c r="N59" s="16" t="s">
        <v>5</v>
      </c>
      <c r="O59" s="9" t="s">
        <v>6</v>
      </c>
      <c r="P59" s="104" t="s">
        <v>8</v>
      </c>
      <c r="Q59" s="228"/>
      <c r="R59" s="228"/>
      <c r="S59" s="105"/>
      <c r="T59" s="229" t="s">
        <v>5</v>
      </c>
      <c r="U59" s="228"/>
      <c r="V59" s="228"/>
      <c r="W59" s="105"/>
      <c r="X59" s="230" t="s">
        <v>18</v>
      </c>
      <c r="Y59" s="228"/>
      <c r="Z59" s="105"/>
      <c r="AA59" s="121" t="s">
        <v>71</v>
      </c>
      <c r="AB59" s="122"/>
      <c r="AC59" s="122"/>
      <c r="AD59" s="122"/>
      <c r="AE59" s="122"/>
      <c r="AF59" s="122"/>
      <c r="AG59" s="122"/>
      <c r="AH59" s="123"/>
      <c r="AI59" s="95" t="s">
        <v>7</v>
      </c>
      <c r="AJ59" s="96"/>
      <c r="AK59" s="96"/>
      <c r="AL59" s="96"/>
      <c r="AM59" s="96"/>
      <c r="AN59" s="96"/>
      <c r="AO59" s="96"/>
      <c r="AP59" s="96"/>
      <c r="AQ59" s="97"/>
      <c r="AR59" s="11" t="s">
        <v>5</v>
      </c>
      <c r="AS59" s="11" t="s">
        <v>7</v>
      </c>
      <c r="AT59" s="11" t="s">
        <v>7</v>
      </c>
      <c r="AU59" s="98" t="s">
        <v>8</v>
      </c>
      <c r="AV59" s="99"/>
      <c r="AW59" s="99"/>
      <c r="AX59" s="100"/>
      <c r="AY59" s="112" t="s">
        <v>71</v>
      </c>
      <c r="AZ59" s="99"/>
      <c r="BA59" s="99"/>
      <c r="BB59" s="100"/>
      <c r="BC59" s="101" t="s">
        <v>7</v>
      </c>
      <c r="BD59" s="102"/>
      <c r="BE59" s="102"/>
      <c r="BF59" s="102"/>
      <c r="BG59" s="102"/>
      <c r="BH59" s="102"/>
      <c r="BI59" s="102"/>
      <c r="BJ59" s="103"/>
      <c r="BK59" s="6"/>
    </row>
    <row r="60" spans="1:63" ht="33.75" customHeight="1" x14ac:dyDescent="0.25">
      <c r="A60" s="5"/>
      <c r="B60" s="104">
        <v>8</v>
      </c>
      <c r="C60" s="105"/>
      <c r="D60" s="130" t="s">
        <v>19</v>
      </c>
      <c r="E60" s="131"/>
      <c r="F60" s="131"/>
      <c r="G60" s="131"/>
      <c r="H60" s="131"/>
      <c r="I60" s="131"/>
      <c r="J60" s="132"/>
      <c r="K60" s="127" t="s">
        <v>69</v>
      </c>
      <c r="L60" s="128"/>
      <c r="M60" s="129"/>
      <c r="N60" s="16" t="s">
        <v>5</v>
      </c>
      <c r="O60" s="12" t="s">
        <v>6</v>
      </c>
      <c r="P60" s="104" t="s">
        <v>8</v>
      </c>
      <c r="Q60" s="228"/>
      <c r="R60" s="228"/>
      <c r="S60" s="105"/>
      <c r="T60" s="104" t="s">
        <v>8</v>
      </c>
      <c r="U60" s="228"/>
      <c r="V60" s="228"/>
      <c r="W60" s="105"/>
      <c r="X60" s="230" t="s">
        <v>19</v>
      </c>
      <c r="Y60" s="228"/>
      <c r="Z60" s="105"/>
      <c r="AA60" s="121" t="s">
        <v>71</v>
      </c>
      <c r="AB60" s="122"/>
      <c r="AC60" s="122"/>
      <c r="AD60" s="122"/>
      <c r="AE60" s="122"/>
      <c r="AF60" s="122"/>
      <c r="AG60" s="122"/>
      <c r="AH60" s="123"/>
      <c r="AI60" s="95" t="s">
        <v>7</v>
      </c>
      <c r="AJ60" s="96"/>
      <c r="AK60" s="96"/>
      <c r="AL60" s="96"/>
      <c r="AM60" s="96"/>
      <c r="AN60" s="96"/>
      <c r="AO60" s="96"/>
      <c r="AP60" s="96"/>
      <c r="AQ60" s="97"/>
      <c r="AR60" s="17" t="s">
        <v>5</v>
      </c>
      <c r="AS60" s="17" t="s">
        <v>7</v>
      </c>
      <c r="AT60" s="17" t="s">
        <v>7</v>
      </c>
      <c r="AU60" s="98" t="s">
        <v>8</v>
      </c>
      <c r="AV60" s="99"/>
      <c r="AW60" s="99"/>
      <c r="AX60" s="100"/>
      <c r="AY60" s="98" t="s">
        <v>7</v>
      </c>
      <c r="AZ60" s="99"/>
      <c r="BA60" s="99"/>
      <c r="BB60" s="100"/>
      <c r="BC60" s="101" t="s">
        <v>7</v>
      </c>
      <c r="BD60" s="102"/>
      <c r="BE60" s="102"/>
      <c r="BF60" s="102"/>
      <c r="BG60" s="102"/>
      <c r="BH60" s="102"/>
      <c r="BI60" s="102"/>
      <c r="BJ60" s="103"/>
      <c r="BK60" s="6"/>
    </row>
    <row r="61" spans="1:63" ht="35.25" customHeight="1" x14ac:dyDescent="0.25">
      <c r="A61" s="5"/>
      <c r="B61" s="104">
        <v>9</v>
      </c>
      <c r="C61" s="105"/>
      <c r="D61" s="231" t="s">
        <v>20</v>
      </c>
      <c r="E61" s="232"/>
      <c r="F61" s="232"/>
      <c r="G61" s="232"/>
      <c r="H61" s="232"/>
      <c r="I61" s="232"/>
      <c r="J61" s="233"/>
      <c r="K61" s="127" t="s">
        <v>69</v>
      </c>
      <c r="L61" s="128"/>
      <c r="M61" s="129"/>
      <c r="N61" s="16" t="s">
        <v>5</v>
      </c>
      <c r="O61" s="12" t="s">
        <v>6</v>
      </c>
      <c r="P61" s="104" t="s">
        <v>8</v>
      </c>
      <c r="Q61" s="228"/>
      <c r="R61" s="228"/>
      <c r="S61" s="105"/>
      <c r="T61" s="104" t="s">
        <v>8</v>
      </c>
      <c r="U61" s="228"/>
      <c r="V61" s="228"/>
      <c r="W61" s="105"/>
      <c r="X61" s="230" t="s">
        <v>20</v>
      </c>
      <c r="Y61" s="228"/>
      <c r="Z61" s="105"/>
      <c r="AA61" s="121" t="s">
        <v>71</v>
      </c>
      <c r="AB61" s="122"/>
      <c r="AC61" s="122"/>
      <c r="AD61" s="122"/>
      <c r="AE61" s="122"/>
      <c r="AF61" s="122"/>
      <c r="AG61" s="122"/>
      <c r="AH61" s="123"/>
      <c r="AI61" s="95" t="s">
        <v>7</v>
      </c>
      <c r="AJ61" s="96"/>
      <c r="AK61" s="96"/>
      <c r="AL61" s="96"/>
      <c r="AM61" s="96"/>
      <c r="AN61" s="96"/>
      <c r="AO61" s="96"/>
      <c r="AP61" s="96"/>
      <c r="AQ61" s="97"/>
      <c r="AR61" s="17" t="s">
        <v>5</v>
      </c>
      <c r="AS61" s="17" t="s">
        <v>7</v>
      </c>
      <c r="AT61" s="17" t="s">
        <v>7</v>
      </c>
      <c r="AU61" s="98" t="s">
        <v>8</v>
      </c>
      <c r="AV61" s="99"/>
      <c r="AW61" s="99"/>
      <c r="AX61" s="100"/>
      <c r="AY61" s="98" t="s">
        <v>7</v>
      </c>
      <c r="AZ61" s="99"/>
      <c r="BA61" s="99"/>
      <c r="BB61" s="100"/>
      <c r="BC61" s="101" t="s">
        <v>7</v>
      </c>
      <c r="BD61" s="102"/>
      <c r="BE61" s="102"/>
      <c r="BF61" s="102"/>
      <c r="BG61" s="102"/>
      <c r="BH61" s="102"/>
      <c r="BI61" s="102"/>
      <c r="BJ61" s="103"/>
      <c r="BK61" s="6"/>
    </row>
    <row r="62" spans="1:63" ht="33.75" customHeight="1" x14ac:dyDescent="0.25">
      <c r="A62" s="5"/>
      <c r="B62" s="104">
        <v>10</v>
      </c>
      <c r="C62" s="105"/>
      <c r="D62" s="130" t="s">
        <v>19</v>
      </c>
      <c r="E62" s="131"/>
      <c r="F62" s="131"/>
      <c r="G62" s="131"/>
      <c r="H62" s="131"/>
      <c r="I62" s="131"/>
      <c r="J62" s="132"/>
      <c r="K62" s="127" t="s">
        <v>69</v>
      </c>
      <c r="L62" s="128"/>
      <c r="M62" s="129"/>
      <c r="N62" s="16" t="s">
        <v>5</v>
      </c>
      <c r="O62" s="12" t="s">
        <v>6</v>
      </c>
      <c r="P62" s="104" t="s">
        <v>8</v>
      </c>
      <c r="Q62" s="228"/>
      <c r="R62" s="228"/>
      <c r="S62" s="105"/>
      <c r="T62" s="104" t="s">
        <v>8</v>
      </c>
      <c r="U62" s="228"/>
      <c r="V62" s="228"/>
      <c r="W62" s="105"/>
      <c r="X62" s="230" t="s">
        <v>19</v>
      </c>
      <c r="Y62" s="228"/>
      <c r="Z62" s="105"/>
      <c r="AA62" s="121" t="s">
        <v>71</v>
      </c>
      <c r="AB62" s="122"/>
      <c r="AC62" s="122"/>
      <c r="AD62" s="122"/>
      <c r="AE62" s="122"/>
      <c r="AF62" s="122"/>
      <c r="AG62" s="122"/>
      <c r="AH62" s="123"/>
      <c r="AI62" s="95" t="s">
        <v>7</v>
      </c>
      <c r="AJ62" s="96"/>
      <c r="AK62" s="96"/>
      <c r="AL62" s="96"/>
      <c r="AM62" s="96"/>
      <c r="AN62" s="96"/>
      <c r="AO62" s="96"/>
      <c r="AP62" s="96"/>
      <c r="AQ62" s="97"/>
      <c r="AR62" s="17" t="s">
        <v>5</v>
      </c>
      <c r="AS62" s="17" t="s">
        <v>7</v>
      </c>
      <c r="AT62" s="17" t="s">
        <v>7</v>
      </c>
      <c r="AU62" s="98" t="s">
        <v>8</v>
      </c>
      <c r="AV62" s="99"/>
      <c r="AW62" s="99"/>
      <c r="AX62" s="100"/>
      <c r="AY62" s="98" t="s">
        <v>7</v>
      </c>
      <c r="AZ62" s="99"/>
      <c r="BA62" s="99"/>
      <c r="BB62" s="100"/>
      <c r="BC62" s="101" t="s">
        <v>84</v>
      </c>
      <c r="BD62" s="102"/>
      <c r="BE62" s="102"/>
      <c r="BF62" s="102"/>
      <c r="BG62" s="102"/>
      <c r="BH62" s="102"/>
      <c r="BI62" s="102"/>
      <c r="BJ62" s="103"/>
      <c r="BK62" s="6"/>
    </row>
    <row r="63" spans="1:63" ht="32.25" customHeight="1" x14ac:dyDescent="0.25">
      <c r="A63" s="5"/>
      <c r="B63" s="104">
        <v>11</v>
      </c>
      <c r="C63" s="105"/>
      <c r="D63" s="231" t="s">
        <v>31</v>
      </c>
      <c r="E63" s="232"/>
      <c r="F63" s="232"/>
      <c r="G63" s="232"/>
      <c r="H63" s="232"/>
      <c r="I63" s="232"/>
      <c r="J63" s="233"/>
      <c r="K63" s="127" t="s">
        <v>69</v>
      </c>
      <c r="L63" s="128"/>
      <c r="M63" s="129"/>
      <c r="N63" s="16" t="s">
        <v>10</v>
      </c>
      <c r="O63" s="12" t="s">
        <v>5</v>
      </c>
      <c r="P63" s="104" t="s">
        <v>8</v>
      </c>
      <c r="Q63" s="228"/>
      <c r="R63" s="228"/>
      <c r="S63" s="105"/>
      <c r="T63" s="229" t="s">
        <v>5</v>
      </c>
      <c r="U63" s="228"/>
      <c r="V63" s="228"/>
      <c r="W63" s="105"/>
      <c r="X63" s="230" t="s">
        <v>5</v>
      </c>
      <c r="Y63" s="228"/>
      <c r="Z63" s="105"/>
      <c r="AA63" s="121" t="s">
        <v>71</v>
      </c>
      <c r="AB63" s="122"/>
      <c r="AC63" s="122"/>
      <c r="AD63" s="122"/>
      <c r="AE63" s="122"/>
      <c r="AF63" s="122"/>
      <c r="AG63" s="122"/>
      <c r="AH63" s="123"/>
      <c r="AI63" s="95" t="s">
        <v>7</v>
      </c>
      <c r="AJ63" s="96"/>
      <c r="AK63" s="96"/>
      <c r="AL63" s="96"/>
      <c r="AM63" s="96"/>
      <c r="AN63" s="96"/>
      <c r="AO63" s="96"/>
      <c r="AP63" s="96"/>
      <c r="AQ63" s="97"/>
      <c r="AR63" s="17" t="s">
        <v>5</v>
      </c>
      <c r="AS63" s="17" t="s">
        <v>7</v>
      </c>
      <c r="AT63" s="17" t="s">
        <v>7</v>
      </c>
      <c r="AU63" s="112" t="s">
        <v>75</v>
      </c>
      <c r="AV63" s="99"/>
      <c r="AW63" s="99"/>
      <c r="AX63" s="100"/>
      <c r="AY63" s="112" t="s">
        <v>85</v>
      </c>
      <c r="AZ63" s="99"/>
      <c r="BA63" s="99"/>
      <c r="BB63" s="100"/>
      <c r="BC63" s="101" t="s">
        <v>32</v>
      </c>
      <c r="BD63" s="102"/>
      <c r="BE63" s="102"/>
      <c r="BF63" s="102"/>
      <c r="BG63" s="102"/>
      <c r="BH63" s="102"/>
      <c r="BI63" s="102"/>
      <c r="BJ63" s="103"/>
      <c r="BK63" s="6"/>
    </row>
    <row r="64" spans="1:63" ht="43.5" customHeight="1" x14ac:dyDescent="0.25">
      <c r="A64" s="5"/>
      <c r="B64" s="104">
        <v>12</v>
      </c>
      <c r="C64" s="105"/>
      <c r="D64" s="231" t="s">
        <v>30</v>
      </c>
      <c r="E64" s="232"/>
      <c r="F64" s="232"/>
      <c r="G64" s="232"/>
      <c r="H64" s="232"/>
      <c r="I64" s="232"/>
      <c r="J64" s="233"/>
      <c r="K64" s="127" t="s">
        <v>86</v>
      </c>
      <c r="L64" s="128"/>
      <c r="M64" s="129"/>
      <c r="N64" s="16" t="s">
        <v>3</v>
      </c>
      <c r="O64" s="12" t="s">
        <v>5</v>
      </c>
      <c r="P64" s="229" t="s">
        <v>87</v>
      </c>
      <c r="Q64" s="228"/>
      <c r="R64" s="228"/>
      <c r="S64" s="105"/>
      <c r="T64" s="229" t="s">
        <v>88</v>
      </c>
      <c r="U64" s="228"/>
      <c r="V64" s="228"/>
      <c r="W64" s="105"/>
      <c r="X64" s="230" t="s">
        <v>5</v>
      </c>
      <c r="Y64" s="228"/>
      <c r="Z64" s="105"/>
      <c r="AA64" s="121" t="s">
        <v>71</v>
      </c>
      <c r="AB64" s="122"/>
      <c r="AC64" s="122"/>
      <c r="AD64" s="122"/>
      <c r="AE64" s="122"/>
      <c r="AF64" s="122"/>
      <c r="AG64" s="122"/>
      <c r="AH64" s="123"/>
      <c r="AI64" s="95" t="s">
        <v>7</v>
      </c>
      <c r="AJ64" s="96"/>
      <c r="AK64" s="96"/>
      <c r="AL64" s="96"/>
      <c r="AM64" s="96"/>
      <c r="AN64" s="96"/>
      <c r="AO64" s="96"/>
      <c r="AP64" s="96"/>
      <c r="AQ64" s="97"/>
      <c r="AR64" s="17" t="s">
        <v>5</v>
      </c>
      <c r="AS64" s="17" t="s">
        <v>7</v>
      </c>
      <c r="AT64" s="17" t="s">
        <v>7</v>
      </c>
      <c r="AU64" s="112" t="s">
        <v>75</v>
      </c>
      <c r="AV64" s="99"/>
      <c r="AW64" s="99"/>
      <c r="AX64" s="100"/>
      <c r="AY64" s="112" t="s">
        <v>89</v>
      </c>
      <c r="AZ64" s="99"/>
      <c r="BA64" s="99"/>
      <c r="BB64" s="100"/>
      <c r="BC64" s="101" t="s">
        <v>33</v>
      </c>
      <c r="BD64" s="102"/>
      <c r="BE64" s="102"/>
      <c r="BF64" s="102"/>
      <c r="BG64" s="102"/>
      <c r="BH64" s="102"/>
      <c r="BI64" s="102"/>
      <c r="BJ64" s="103"/>
      <c r="BK64" s="6"/>
    </row>
    <row r="65" spans="1:63" ht="35.25" customHeight="1" x14ac:dyDescent="0.25">
      <c r="A65" s="5"/>
      <c r="B65" s="104">
        <v>13</v>
      </c>
      <c r="C65" s="105"/>
      <c r="D65" s="231" t="s">
        <v>31</v>
      </c>
      <c r="E65" s="232"/>
      <c r="F65" s="232"/>
      <c r="G65" s="232"/>
      <c r="H65" s="232"/>
      <c r="I65" s="232"/>
      <c r="J65" s="233"/>
      <c r="K65" s="127" t="s">
        <v>69</v>
      </c>
      <c r="L65" s="128"/>
      <c r="M65" s="129"/>
      <c r="N65" s="16" t="s">
        <v>11</v>
      </c>
      <c r="O65" s="12" t="s">
        <v>5</v>
      </c>
      <c r="P65" s="229" t="s">
        <v>87</v>
      </c>
      <c r="Q65" s="228"/>
      <c r="R65" s="228"/>
      <c r="S65" s="105"/>
      <c r="T65" s="234" t="s">
        <v>90</v>
      </c>
      <c r="U65" s="228"/>
      <c r="V65" s="228"/>
      <c r="W65" s="105"/>
      <c r="X65" s="230" t="s">
        <v>5</v>
      </c>
      <c r="Y65" s="228"/>
      <c r="Z65" s="105"/>
      <c r="AA65" s="121" t="s">
        <v>71</v>
      </c>
      <c r="AB65" s="122"/>
      <c r="AC65" s="122"/>
      <c r="AD65" s="122"/>
      <c r="AE65" s="122"/>
      <c r="AF65" s="122"/>
      <c r="AG65" s="122"/>
      <c r="AH65" s="123"/>
      <c r="AI65" s="95" t="s">
        <v>7</v>
      </c>
      <c r="AJ65" s="96"/>
      <c r="AK65" s="96"/>
      <c r="AL65" s="96"/>
      <c r="AM65" s="96"/>
      <c r="AN65" s="96"/>
      <c r="AO65" s="96"/>
      <c r="AP65" s="96"/>
      <c r="AQ65" s="97"/>
      <c r="AR65" s="17" t="s">
        <v>5</v>
      </c>
      <c r="AS65" s="17" t="s">
        <v>7</v>
      </c>
      <c r="AT65" s="17" t="s">
        <v>7</v>
      </c>
      <c r="AU65" s="98" t="s">
        <v>8</v>
      </c>
      <c r="AV65" s="99"/>
      <c r="AW65" s="99"/>
      <c r="AX65" s="100"/>
      <c r="AY65" s="98" t="s">
        <v>7</v>
      </c>
      <c r="AZ65" s="99"/>
      <c r="BA65" s="99"/>
      <c r="BB65" s="100"/>
      <c r="BC65" s="101" t="s">
        <v>84</v>
      </c>
      <c r="BD65" s="102"/>
      <c r="BE65" s="102"/>
      <c r="BF65" s="102"/>
      <c r="BG65" s="102"/>
      <c r="BH65" s="102"/>
      <c r="BI65" s="102"/>
      <c r="BJ65" s="103"/>
      <c r="BK65" s="6"/>
    </row>
    <row r="66" spans="1:63" ht="57" customHeight="1" x14ac:dyDescent="0.25">
      <c r="A66" s="5"/>
      <c r="B66" s="104">
        <v>14</v>
      </c>
      <c r="C66" s="105"/>
      <c r="D66" s="130" t="s">
        <v>21</v>
      </c>
      <c r="E66" s="131"/>
      <c r="F66" s="131"/>
      <c r="G66" s="131"/>
      <c r="H66" s="131"/>
      <c r="I66" s="131"/>
      <c r="J66" s="132"/>
      <c r="K66" s="127" t="s">
        <v>91</v>
      </c>
      <c r="L66" s="128"/>
      <c r="M66" s="129"/>
      <c r="N66" s="16" t="s">
        <v>11</v>
      </c>
      <c r="O66" s="16" t="s">
        <v>5</v>
      </c>
      <c r="P66" s="104" t="s">
        <v>8</v>
      </c>
      <c r="Q66" s="228"/>
      <c r="R66" s="228"/>
      <c r="S66" s="105"/>
      <c r="T66" s="104" t="s">
        <v>8</v>
      </c>
      <c r="U66" s="228"/>
      <c r="V66" s="228"/>
      <c r="W66" s="105"/>
      <c r="X66" s="230" t="s">
        <v>5</v>
      </c>
      <c r="Y66" s="228"/>
      <c r="Z66" s="105"/>
      <c r="AA66" s="235" t="s">
        <v>92</v>
      </c>
      <c r="AB66" s="236"/>
      <c r="AC66" s="236"/>
      <c r="AD66" s="236"/>
      <c r="AE66" s="236"/>
      <c r="AF66" s="236"/>
      <c r="AG66" s="236"/>
      <c r="AH66" s="237"/>
      <c r="AI66" s="95" t="s">
        <v>7</v>
      </c>
      <c r="AJ66" s="96"/>
      <c r="AK66" s="96"/>
      <c r="AL66" s="96"/>
      <c r="AM66" s="96"/>
      <c r="AN66" s="96"/>
      <c r="AO66" s="96"/>
      <c r="AP66" s="96"/>
      <c r="AQ66" s="97"/>
      <c r="AR66" s="17" t="s">
        <v>5</v>
      </c>
      <c r="AS66" s="17" t="s">
        <v>7</v>
      </c>
      <c r="AT66" s="17" t="s">
        <v>7</v>
      </c>
      <c r="AU66" s="98" t="s">
        <v>8</v>
      </c>
      <c r="AV66" s="99"/>
      <c r="AW66" s="99"/>
      <c r="AX66" s="100"/>
      <c r="AY66" s="98" t="s">
        <v>7</v>
      </c>
      <c r="AZ66" s="99"/>
      <c r="BA66" s="99"/>
      <c r="BB66" s="100"/>
      <c r="BC66" s="101" t="s">
        <v>7</v>
      </c>
      <c r="BD66" s="102"/>
      <c r="BE66" s="102"/>
      <c r="BF66" s="102"/>
      <c r="BG66" s="102"/>
      <c r="BH66" s="102"/>
      <c r="BI66" s="102"/>
      <c r="BJ66" s="103"/>
      <c r="BK66" s="6"/>
    </row>
    <row r="67" spans="1:63" ht="50.25" customHeight="1" x14ac:dyDescent="0.25">
      <c r="A67" s="5"/>
      <c r="B67" s="104">
        <v>15</v>
      </c>
      <c r="C67" s="105"/>
      <c r="D67" s="130" t="s">
        <v>22</v>
      </c>
      <c r="E67" s="131"/>
      <c r="F67" s="131"/>
      <c r="G67" s="131"/>
      <c r="H67" s="131"/>
      <c r="I67" s="131"/>
      <c r="J67" s="132"/>
      <c r="K67" s="127" t="s">
        <v>91</v>
      </c>
      <c r="L67" s="128"/>
      <c r="M67" s="129"/>
      <c r="N67" s="16" t="s">
        <v>11</v>
      </c>
      <c r="O67" s="16" t="s">
        <v>5</v>
      </c>
      <c r="P67" s="229" t="s">
        <v>87</v>
      </c>
      <c r="Q67" s="228"/>
      <c r="R67" s="228"/>
      <c r="S67" s="105"/>
      <c r="T67" s="104" t="s">
        <v>25</v>
      </c>
      <c r="U67" s="228"/>
      <c r="V67" s="228"/>
      <c r="W67" s="105"/>
      <c r="X67" s="230" t="s">
        <v>5</v>
      </c>
      <c r="Y67" s="228"/>
      <c r="Z67" s="105"/>
      <c r="AA67" s="235" t="s">
        <v>93</v>
      </c>
      <c r="AB67" s="236"/>
      <c r="AC67" s="236"/>
      <c r="AD67" s="236"/>
      <c r="AE67" s="236"/>
      <c r="AF67" s="236"/>
      <c r="AG67" s="236"/>
      <c r="AH67" s="237"/>
      <c r="AI67" s="95" t="s">
        <v>7</v>
      </c>
      <c r="AJ67" s="96"/>
      <c r="AK67" s="96"/>
      <c r="AL67" s="96"/>
      <c r="AM67" s="96"/>
      <c r="AN67" s="96"/>
      <c r="AO67" s="96"/>
      <c r="AP67" s="96"/>
      <c r="AQ67" s="97"/>
      <c r="AR67" s="17" t="s">
        <v>5</v>
      </c>
      <c r="AS67" s="17" t="s">
        <v>7</v>
      </c>
      <c r="AT67" s="17" t="s">
        <v>7</v>
      </c>
      <c r="AU67" s="98" t="s">
        <v>8</v>
      </c>
      <c r="AV67" s="99"/>
      <c r="AW67" s="99"/>
      <c r="AX67" s="100"/>
      <c r="AY67" s="98" t="s">
        <v>7</v>
      </c>
      <c r="AZ67" s="99"/>
      <c r="BA67" s="99"/>
      <c r="BB67" s="100"/>
      <c r="BC67" s="101" t="s">
        <v>7</v>
      </c>
      <c r="BD67" s="102"/>
      <c r="BE67" s="102"/>
      <c r="BF67" s="102"/>
      <c r="BG67" s="102"/>
      <c r="BH67" s="102"/>
      <c r="BI67" s="102"/>
      <c r="BJ67" s="103"/>
      <c r="BK67" s="6"/>
    </row>
    <row r="68" spans="1:63" x14ac:dyDescent="0.25">
      <c r="A68" s="5"/>
      <c r="B68" s="104">
        <v>16</v>
      </c>
      <c r="C68" s="105"/>
      <c r="D68" s="130" t="s">
        <v>23</v>
      </c>
      <c r="E68" s="131"/>
      <c r="F68" s="131"/>
      <c r="G68" s="131"/>
      <c r="H68" s="131"/>
      <c r="I68" s="131"/>
      <c r="J68" s="132"/>
      <c r="K68" s="109" t="s">
        <v>79</v>
      </c>
      <c r="L68" s="110"/>
      <c r="M68" s="111"/>
      <c r="N68" s="16" t="s">
        <v>10</v>
      </c>
      <c r="O68" s="12" t="s">
        <v>6</v>
      </c>
      <c r="P68" s="104" t="s">
        <v>8</v>
      </c>
      <c r="Q68" s="228"/>
      <c r="R68" s="228"/>
      <c r="S68" s="105"/>
      <c r="T68" s="104" t="s">
        <v>8</v>
      </c>
      <c r="U68" s="228"/>
      <c r="V68" s="228"/>
      <c r="W68" s="105"/>
      <c r="X68" s="230" t="s">
        <v>23</v>
      </c>
      <c r="Y68" s="228"/>
      <c r="Z68" s="105"/>
      <c r="AA68" s="121" t="s">
        <v>71</v>
      </c>
      <c r="AB68" s="122"/>
      <c r="AC68" s="122"/>
      <c r="AD68" s="122"/>
      <c r="AE68" s="122"/>
      <c r="AF68" s="122"/>
      <c r="AG68" s="122"/>
      <c r="AH68" s="123"/>
      <c r="AI68" s="238" t="s">
        <v>29</v>
      </c>
      <c r="AJ68" s="239"/>
      <c r="AK68" s="239"/>
      <c r="AL68" s="239"/>
      <c r="AM68" s="239"/>
      <c r="AN68" s="239"/>
      <c r="AO68" s="239"/>
      <c r="AP68" s="239"/>
      <c r="AQ68" s="240"/>
      <c r="AR68" s="17" t="s">
        <v>5</v>
      </c>
      <c r="AS68" s="17" t="s">
        <v>7</v>
      </c>
      <c r="AT68" s="17" t="s">
        <v>7</v>
      </c>
      <c r="AU68" s="98" t="s">
        <v>8</v>
      </c>
      <c r="AV68" s="99"/>
      <c r="AW68" s="99"/>
      <c r="AX68" s="100"/>
      <c r="AY68" s="98" t="s">
        <v>7</v>
      </c>
      <c r="AZ68" s="99"/>
      <c r="BA68" s="99"/>
      <c r="BB68" s="100"/>
      <c r="BC68" s="101" t="s">
        <v>94</v>
      </c>
      <c r="BD68" s="102"/>
      <c r="BE68" s="102"/>
      <c r="BF68" s="102"/>
      <c r="BG68" s="102"/>
      <c r="BH68" s="102"/>
      <c r="BI68" s="102"/>
      <c r="BJ68" s="103"/>
      <c r="BK68" s="6"/>
    </row>
    <row r="69" spans="1:63" x14ac:dyDescent="0.25">
      <c r="A69" s="5"/>
      <c r="B69" s="104">
        <v>17</v>
      </c>
      <c r="C69" s="105"/>
      <c r="D69" s="130" t="s">
        <v>24</v>
      </c>
      <c r="E69" s="131"/>
      <c r="F69" s="131"/>
      <c r="G69" s="131"/>
      <c r="H69" s="131"/>
      <c r="I69" s="131"/>
      <c r="J69" s="132"/>
      <c r="K69" s="109" t="s">
        <v>79</v>
      </c>
      <c r="L69" s="110"/>
      <c r="M69" s="111"/>
      <c r="N69" s="12" t="s">
        <v>10</v>
      </c>
      <c r="O69" s="12" t="s">
        <v>6</v>
      </c>
      <c r="P69" s="229" t="s">
        <v>5</v>
      </c>
      <c r="Q69" s="228"/>
      <c r="R69" s="228"/>
      <c r="S69" s="105"/>
      <c r="T69" s="104" t="s">
        <v>8</v>
      </c>
      <c r="U69" s="228"/>
      <c r="V69" s="228"/>
      <c r="W69" s="105"/>
      <c r="X69" s="230" t="s">
        <v>24</v>
      </c>
      <c r="Y69" s="228"/>
      <c r="Z69" s="105"/>
      <c r="AA69" s="121" t="s">
        <v>71</v>
      </c>
      <c r="AB69" s="122"/>
      <c r="AC69" s="122"/>
      <c r="AD69" s="122"/>
      <c r="AE69" s="122"/>
      <c r="AF69" s="122"/>
      <c r="AG69" s="122"/>
      <c r="AH69" s="123"/>
      <c r="AI69" s="235" t="s">
        <v>104</v>
      </c>
      <c r="AJ69" s="239"/>
      <c r="AK69" s="239"/>
      <c r="AL69" s="239"/>
      <c r="AM69" s="239"/>
      <c r="AN69" s="239"/>
      <c r="AO69" s="239"/>
      <c r="AP69" s="239"/>
      <c r="AQ69" s="240"/>
      <c r="AR69" s="17" t="s">
        <v>5</v>
      </c>
      <c r="AS69" s="17" t="s">
        <v>7</v>
      </c>
      <c r="AT69" s="17" t="s">
        <v>7</v>
      </c>
      <c r="AU69" s="98" t="s">
        <v>8</v>
      </c>
      <c r="AV69" s="99"/>
      <c r="AW69" s="99"/>
      <c r="AX69" s="100"/>
      <c r="AY69" s="98" t="s">
        <v>7</v>
      </c>
      <c r="AZ69" s="99"/>
      <c r="BA69" s="99"/>
      <c r="BB69" s="100"/>
      <c r="BC69" s="101" t="s">
        <v>95</v>
      </c>
      <c r="BD69" s="102"/>
      <c r="BE69" s="102"/>
      <c r="BF69" s="102"/>
      <c r="BG69" s="102"/>
      <c r="BH69" s="102"/>
      <c r="BI69" s="102"/>
      <c r="BJ69" s="103"/>
      <c r="BK69" s="6"/>
    </row>
    <row r="70" spans="1:63" ht="63" customHeight="1" x14ac:dyDescent="0.25">
      <c r="A70" s="5"/>
      <c r="B70" s="241">
        <v>18</v>
      </c>
      <c r="C70" s="243"/>
      <c r="D70" s="247" t="s">
        <v>34</v>
      </c>
      <c r="E70" s="248"/>
      <c r="F70" s="248"/>
      <c r="G70" s="248"/>
      <c r="H70" s="248"/>
      <c r="I70" s="248"/>
      <c r="J70" s="249"/>
      <c r="K70" s="241" t="s">
        <v>5</v>
      </c>
      <c r="L70" s="242"/>
      <c r="M70" s="243"/>
      <c r="N70" s="13" t="s">
        <v>5</v>
      </c>
      <c r="O70" s="13"/>
      <c r="P70" s="241" t="s">
        <v>5</v>
      </c>
      <c r="Q70" s="242"/>
      <c r="R70" s="242"/>
      <c r="S70" s="243"/>
      <c r="T70" s="241" t="s">
        <v>5</v>
      </c>
      <c r="U70" s="242"/>
      <c r="V70" s="242"/>
      <c r="W70" s="243"/>
      <c r="X70" s="250" t="s">
        <v>5</v>
      </c>
      <c r="Y70" s="251"/>
      <c r="Z70" s="252"/>
      <c r="AA70" s="253" t="s">
        <v>5</v>
      </c>
      <c r="AB70" s="254"/>
      <c r="AC70" s="254"/>
      <c r="AD70" s="254"/>
      <c r="AE70" s="254"/>
      <c r="AF70" s="254"/>
      <c r="AG70" s="254"/>
      <c r="AH70" s="255"/>
      <c r="AI70" s="256" t="s">
        <v>5</v>
      </c>
      <c r="AJ70" s="254"/>
      <c r="AK70" s="254"/>
      <c r="AL70" s="254"/>
      <c r="AM70" s="254"/>
      <c r="AN70" s="254"/>
      <c r="AO70" s="254"/>
      <c r="AP70" s="254"/>
      <c r="AQ70" s="255"/>
      <c r="AR70" s="14" t="s">
        <v>5</v>
      </c>
      <c r="AS70" s="14" t="s">
        <v>5</v>
      </c>
      <c r="AT70" s="14" t="s">
        <v>5</v>
      </c>
      <c r="AU70" s="241" t="s">
        <v>5</v>
      </c>
      <c r="AV70" s="242"/>
      <c r="AW70" s="242"/>
      <c r="AX70" s="243"/>
      <c r="AY70" s="241" t="s">
        <v>5</v>
      </c>
      <c r="AZ70" s="242"/>
      <c r="BA70" s="242"/>
      <c r="BB70" s="243"/>
      <c r="BC70" s="244" t="s">
        <v>97</v>
      </c>
      <c r="BD70" s="245"/>
      <c r="BE70" s="245"/>
      <c r="BF70" s="245"/>
      <c r="BG70" s="245"/>
      <c r="BH70" s="245"/>
      <c r="BI70" s="245"/>
      <c r="BJ70" s="246"/>
      <c r="BK70" s="6"/>
    </row>
    <row r="71" spans="1:63" s="290" customFormat="1" x14ac:dyDescent="0.25">
      <c r="A71" s="273"/>
      <c r="B71" s="274">
        <v>19</v>
      </c>
      <c r="C71" s="275"/>
      <c r="D71" s="276" t="s">
        <v>103</v>
      </c>
      <c r="E71" s="277"/>
      <c r="F71" s="277"/>
      <c r="G71" s="277"/>
      <c r="H71" s="277"/>
      <c r="I71" s="277"/>
      <c r="J71" s="278"/>
      <c r="K71" s="291" t="s">
        <v>79</v>
      </c>
      <c r="L71" s="292"/>
      <c r="M71" s="293"/>
      <c r="N71" s="280" t="s">
        <v>102</v>
      </c>
      <c r="O71" s="280" t="s">
        <v>6</v>
      </c>
      <c r="P71" s="274" t="s">
        <v>5</v>
      </c>
      <c r="Q71" s="279"/>
      <c r="R71" s="279"/>
      <c r="S71" s="275"/>
      <c r="T71" s="274" t="s">
        <v>5</v>
      </c>
      <c r="U71" s="279"/>
      <c r="V71" s="279"/>
      <c r="W71" s="275"/>
      <c r="X71" s="281" t="s">
        <v>103</v>
      </c>
      <c r="Y71" s="279"/>
      <c r="Z71" s="275"/>
      <c r="AA71" s="282" t="s">
        <v>5</v>
      </c>
      <c r="AB71" s="283"/>
      <c r="AC71" s="283"/>
      <c r="AD71" s="283"/>
      <c r="AE71" s="283"/>
      <c r="AF71" s="283"/>
      <c r="AG71" s="283"/>
      <c r="AH71" s="284"/>
      <c r="AI71" s="282" t="s">
        <v>104</v>
      </c>
      <c r="AJ71" s="283"/>
      <c r="AK71" s="283"/>
      <c r="AL71" s="283"/>
      <c r="AM71" s="283"/>
      <c r="AN71" s="283"/>
      <c r="AO71" s="283"/>
      <c r="AP71" s="283"/>
      <c r="AQ71" s="284"/>
      <c r="AR71" s="285" t="s">
        <v>5</v>
      </c>
      <c r="AS71" s="285" t="s">
        <v>5</v>
      </c>
      <c r="AT71" s="285"/>
      <c r="AU71" s="274"/>
      <c r="AV71" s="279"/>
      <c r="AW71" s="279"/>
      <c r="AX71" s="275"/>
      <c r="AY71" s="274"/>
      <c r="AZ71" s="279"/>
      <c r="BA71" s="279"/>
      <c r="BB71" s="275"/>
      <c r="BC71" s="286" t="s">
        <v>105</v>
      </c>
      <c r="BD71" s="287"/>
      <c r="BE71" s="287"/>
      <c r="BF71" s="287"/>
      <c r="BG71" s="287"/>
      <c r="BH71" s="287"/>
      <c r="BI71" s="287"/>
      <c r="BJ71" s="288"/>
      <c r="BK71" s="289"/>
    </row>
    <row r="72" spans="1:63" x14ac:dyDescent="0.25">
      <c r="A72" s="5"/>
      <c r="BK72" s="6"/>
    </row>
    <row r="73" spans="1:63" x14ac:dyDescent="0.25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4"/>
    </row>
  </sheetData>
  <mergeCells count="260">
    <mergeCell ref="AY71:BB71"/>
    <mergeCell ref="BC71:BJ71"/>
    <mergeCell ref="B71:C71"/>
    <mergeCell ref="D71:J71"/>
    <mergeCell ref="K71:M71"/>
    <mergeCell ref="P71:S71"/>
    <mergeCell ref="T71:W71"/>
    <mergeCell ref="X71:Z71"/>
    <mergeCell ref="AA71:AH71"/>
    <mergeCell ref="AI71:AQ71"/>
    <mergeCell ref="AU71:AX71"/>
    <mergeCell ref="AY70:BB70"/>
    <mergeCell ref="BC70:BJ70"/>
    <mergeCell ref="B70:C70"/>
    <mergeCell ref="D70:J70"/>
    <mergeCell ref="K70:M70"/>
    <mergeCell ref="P70:S70"/>
    <mergeCell ref="T70:W70"/>
    <mergeCell ref="X70:Z70"/>
    <mergeCell ref="AA70:AH70"/>
    <mergeCell ref="AI70:AQ70"/>
    <mergeCell ref="AU70:AX70"/>
    <mergeCell ref="AY69:BB69"/>
    <mergeCell ref="BC69:BJ69"/>
    <mergeCell ref="AY68:BB68"/>
    <mergeCell ref="BC68:BJ68"/>
    <mergeCell ref="B68:C68"/>
    <mergeCell ref="D68:J68"/>
    <mergeCell ref="K68:M68"/>
    <mergeCell ref="P68:S68"/>
    <mergeCell ref="T68:W68"/>
    <mergeCell ref="X68:Z68"/>
    <mergeCell ref="AA68:AH68"/>
    <mergeCell ref="AI68:AQ68"/>
    <mergeCell ref="AU68:AX68"/>
    <mergeCell ref="B69:C69"/>
    <mergeCell ref="D69:J69"/>
    <mergeCell ref="K69:M69"/>
    <mergeCell ref="P69:S69"/>
    <mergeCell ref="T69:W69"/>
    <mergeCell ref="X69:Z69"/>
    <mergeCell ref="AA69:AH69"/>
    <mergeCell ref="AI69:AQ69"/>
    <mergeCell ref="AU69:AX69"/>
    <mergeCell ref="AY66:BB66"/>
    <mergeCell ref="BC66:BJ66"/>
    <mergeCell ref="B67:C67"/>
    <mergeCell ref="D67:J67"/>
    <mergeCell ref="K67:M67"/>
    <mergeCell ref="P67:S67"/>
    <mergeCell ref="T67:W67"/>
    <mergeCell ref="X67:Z67"/>
    <mergeCell ref="AA67:AH67"/>
    <mergeCell ref="AI67:AQ67"/>
    <mergeCell ref="AU67:AX67"/>
    <mergeCell ref="AY67:BB67"/>
    <mergeCell ref="BC67:BJ67"/>
    <mergeCell ref="B66:C66"/>
    <mergeCell ref="D66:J66"/>
    <mergeCell ref="K66:M66"/>
    <mergeCell ref="P66:S66"/>
    <mergeCell ref="T66:W66"/>
    <mergeCell ref="X66:Z66"/>
    <mergeCell ref="AA66:AH66"/>
    <mergeCell ref="AI66:AQ66"/>
    <mergeCell ref="AU66:AX66"/>
    <mergeCell ref="AY64:BB64"/>
    <mergeCell ref="BC64:BJ64"/>
    <mergeCell ref="B65:C65"/>
    <mergeCell ref="D65:J65"/>
    <mergeCell ref="K65:M65"/>
    <mergeCell ref="P65:S65"/>
    <mergeCell ref="T65:W65"/>
    <mergeCell ref="X65:Z65"/>
    <mergeCell ref="AA65:AH65"/>
    <mergeCell ref="AI65:AQ65"/>
    <mergeCell ref="AU65:AX65"/>
    <mergeCell ref="AY65:BB65"/>
    <mergeCell ref="BC65:BJ65"/>
    <mergeCell ref="B64:C64"/>
    <mergeCell ref="D64:J64"/>
    <mergeCell ref="K64:M64"/>
    <mergeCell ref="P64:S64"/>
    <mergeCell ref="T64:W64"/>
    <mergeCell ref="X64:Z64"/>
    <mergeCell ref="AA64:AH64"/>
    <mergeCell ref="AI64:AQ64"/>
    <mergeCell ref="AU64:AX64"/>
    <mergeCell ref="AY62:BB62"/>
    <mergeCell ref="BC62:BJ62"/>
    <mergeCell ref="B63:C63"/>
    <mergeCell ref="D63:J63"/>
    <mergeCell ref="K63:M63"/>
    <mergeCell ref="P63:S63"/>
    <mergeCell ref="T63:W63"/>
    <mergeCell ref="X63:Z63"/>
    <mergeCell ref="AA63:AH63"/>
    <mergeCell ref="AI63:AQ63"/>
    <mergeCell ref="AU63:AX63"/>
    <mergeCell ref="AY63:BB63"/>
    <mergeCell ref="BC63:BJ63"/>
    <mergeCell ref="B62:C62"/>
    <mergeCell ref="D62:J62"/>
    <mergeCell ref="K62:M62"/>
    <mergeCell ref="P62:S62"/>
    <mergeCell ref="T62:W62"/>
    <mergeCell ref="X62:Z62"/>
    <mergeCell ref="AA62:AH62"/>
    <mergeCell ref="AI62:AQ62"/>
    <mergeCell ref="AU62:AX62"/>
    <mergeCell ref="AY60:BB60"/>
    <mergeCell ref="BC60:BJ60"/>
    <mergeCell ref="B61:C61"/>
    <mergeCell ref="D61:J61"/>
    <mergeCell ref="K61:M61"/>
    <mergeCell ref="P61:S61"/>
    <mergeCell ref="T61:W61"/>
    <mergeCell ref="X61:Z61"/>
    <mergeCell ref="AA61:AH61"/>
    <mergeCell ref="AI61:AQ61"/>
    <mergeCell ref="AU61:AX61"/>
    <mergeCell ref="AY61:BB61"/>
    <mergeCell ref="BC61:BJ61"/>
    <mergeCell ref="B60:C60"/>
    <mergeCell ref="D60:J60"/>
    <mergeCell ref="K60:M60"/>
    <mergeCell ref="P60:S60"/>
    <mergeCell ref="T60:W60"/>
    <mergeCell ref="X60:Z60"/>
    <mergeCell ref="AA60:AH60"/>
    <mergeCell ref="AI60:AQ60"/>
    <mergeCell ref="AU60:AX60"/>
    <mergeCell ref="AY58:BB58"/>
    <mergeCell ref="BC58:BJ58"/>
    <mergeCell ref="B59:C59"/>
    <mergeCell ref="D59:J59"/>
    <mergeCell ref="K59:M59"/>
    <mergeCell ref="P59:S59"/>
    <mergeCell ref="T59:W59"/>
    <mergeCell ref="X59:Z59"/>
    <mergeCell ref="AA59:AH59"/>
    <mergeCell ref="AI59:AQ59"/>
    <mergeCell ref="AU59:AX59"/>
    <mergeCell ref="AY59:BB59"/>
    <mergeCell ref="BC59:BJ59"/>
    <mergeCell ref="B58:C58"/>
    <mergeCell ref="D58:J58"/>
    <mergeCell ref="K58:M58"/>
    <mergeCell ref="P58:S58"/>
    <mergeCell ref="T58:W58"/>
    <mergeCell ref="X58:Z58"/>
    <mergeCell ref="AA58:AH58"/>
    <mergeCell ref="AI58:AQ58"/>
    <mergeCell ref="AU58:AX58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49:C51"/>
    <mergeCell ref="D49:J51"/>
    <mergeCell ref="K49:M51"/>
    <mergeCell ref="N49:N51"/>
    <mergeCell ref="O49:O51"/>
    <mergeCell ref="AU51:AX51"/>
    <mergeCell ref="AY51:BB51"/>
    <mergeCell ref="B52:C52"/>
    <mergeCell ref="D52:J52"/>
    <mergeCell ref="K52:M52"/>
    <mergeCell ref="P52:S52"/>
    <mergeCell ref="T52:W52"/>
    <mergeCell ref="P49:AQ49"/>
    <mergeCell ref="AR49:BB49"/>
    <mergeCell ref="BC49:BJ51"/>
    <mergeCell ref="P50:W50"/>
    <mergeCell ref="X50:Z51"/>
    <mergeCell ref="AA50:AH51"/>
    <mergeCell ref="AI50:AQ51"/>
    <mergeCell ref="AR50:AR51"/>
    <mergeCell ref="AS50:AS51"/>
    <mergeCell ref="AT50:AT51"/>
    <mergeCell ref="X52:Z52"/>
    <mergeCell ref="AA52:AH52"/>
    <mergeCell ref="AI52:AQ52"/>
    <mergeCell ref="AU52:AX52"/>
    <mergeCell ref="AY52:BB52"/>
    <mergeCell ref="BC52:BJ52"/>
    <mergeCell ref="AU50:BB50"/>
    <mergeCell ref="P51:S51"/>
    <mergeCell ref="T51:W51"/>
    <mergeCell ref="B54:C54"/>
    <mergeCell ref="D54:J54"/>
    <mergeCell ref="K54:M54"/>
    <mergeCell ref="P54:S54"/>
    <mergeCell ref="T54:W54"/>
    <mergeCell ref="B53:C53"/>
    <mergeCell ref="D53:J53"/>
    <mergeCell ref="K53:M53"/>
    <mergeCell ref="P53:S53"/>
    <mergeCell ref="T53:W53"/>
    <mergeCell ref="X54:Z54"/>
    <mergeCell ref="AA54:AH54"/>
    <mergeCell ref="AI54:AQ54"/>
    <mergeCell ref="AU54:AX54"/>
    <mergeCell ref="AY54:BB54"/>
    <mergeCell ref="BC54:BJ54"/>
    <mergeCell ref="AA53:AH53"/>
    <mergeCell ref="AI53:AQ53"/>
    <mergeCell ref="AU53:AX53"/>
    <mergeCell ref="AY53:BB53"/>
    <mergeCell ref="BC53:BJ53"/>
    <mergeCell ref="X53:Z53"/>
    <mergeCell ref="B56:C56"/>
    <mergeCell ref="D56:J56"/>
    <mergeCell ref="K56:M56"/>
    <mergeCell ref="P56:S56"/>
    <mergeCell ref="T56:W56"/>
    <mergeCell ref="B55:C55"/>
    <mergeCell ref="D55:J55"/>
    <mergeCell ref="K55:M55"/>
    <mergeCell ref="P55:S55"/>
    <mergeCell ref="T55:W55"/>
    <mergeCell ref="X56:Z56"/>
    <mergeCell ref="AA56:AH56"/>
    <mergeCell ref="AI56:AQ56"/>
    <mergeCell ref="AU56:AX56"/>
    <mergeCell ref="AY56:BB56"/>
    <mergeCell ref="BC56:BJ56"/>
    <mergeCell ref="AA55:AH55"/>
    <mergeCell ref="AI55:AQ55"/>
    <mergeCell ref="AU55:AX55"/>
    <mergeCell ref="AY55:BB55"/>
    <mergeCell ref="BC55:BJ55"/>
    <mergeCell ref="X55:Z55"/>
    <mergeCell ref="AA57:AH57"/>
    <mergeCell ref="AI57:AQ57"/>
    <mergeCell ref="AU57:AX57"/>
    <mergeCell ref="AY57:BB57"/>
    <mergeCell ref="BC57:BJ57"/>
    <mergeCell ref="B57:C57"/>
    <mergeCell ref="D57:J57"/>
    <mergeCell ref="K57:M57"/>
    <mergeCell ref="P57:S57"/>
    <mergeCell ref="T57:W57"/>
    <mergeCell ref="X57:Z57"/>
  </mergeCells>
  <dataValidations count="3">
    <dataValidation type="list" allowBlank="1" showInputMessage="1" showErrorMessage="1" sqref="O52:O65 O68:O71" xr:uid="{00000000-0002-0000-0200-000000000000}">
      <formula1>"－,●"</formula1>
    </dataValidation>
    <dataValidation type="list" allowBlank="1" showInputMessage="1" showErrorMessage="1" sqref="O66:O67 N52:N63 N65:N71" xr:uid="{00000000-0002-0000-0200-000001000000}">
      <formula1>"－,O,I"</formula1>
    </dataValidation>
    <dataValidation type="list" allowBlank="1" showInputMessage="1" showErrorMessage="1" sqref="N64" xr:uid="{00000000-0002-0000-0200-000002000000}">
      <formula1>"－,O,I,I/O"</formula1>
    </dataValidation>
  </dataValidations>
  <pageMargins left="0.7" right="0.7" top="0.75" bottom="0.75" header="0.3" footer="0.3"/>
  <pageSetup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表紙</vt:lpstr>
      <vt:lpstr>改訂履歴</vt:lpstr>
      <vt:lpstr>SC6201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2024-09-12T09:46:00Z</dcterms:modified>
  <cp:category/>
  <cp:contentStatus/>
</cp:coreProperties>
</file>