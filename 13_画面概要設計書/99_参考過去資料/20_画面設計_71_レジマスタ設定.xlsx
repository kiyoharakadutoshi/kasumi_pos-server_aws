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20_画面設計\"/>
    </mc:Choice>
  </mc:AlternateContent>
  <xr:revisionPtr revIDLastSave="0" documentId="13_ncr:1_{2F3F4FE6-4CD0-4DB9-87C0-C102754A2644}"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7101" sheetId="7" r:id="rId3"/>
    <sheet name="SC7102" sheetId="10" r:id="rId4"/>
    <sheet name="MD7101" sheetId="11" r:id="rId5"/>
  </sheets>
  <definedNames>
    <definedName name="_xlnm.Print_Area" localSheetId="4">'MD7101'!$A$1:$BK$156</definedName>
    <definedName name="_xlnm.Print_Area" localSheetId="2">'SC7101'!$A$1:$BK$118</definedName>
    <definedName name="_xlnm.Print_Area" localSheetId="3">'SC7102'!$A$1:$BK$72</definedName>
    <definedName name="_xlnm.Print_Area" localSheetId="1">改訂履歴!$A$1:$BK$58</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11" l="1"/>
  <c r="Z4" i="11"/>
  <c r="H4" i="11"/>
  <c r="K2" i="11"/>
  <c r="A2" i="11"/>
  <c r="W1" i="11"/>
  <c r="AP4" i="10"/>
  <c r="Z4" i="10"/>
  <c r="H4" i="10"/>
  <c r="K2" i="10"/>
  <c r="A2" i="10"/>
  <c r="W1" i="10"/>
  <c r="AP4" i="7"/>
  <c r="Z4" i="7"/>
  <c r="H4" i="7"/>
  <c r="K2" i="7"/>
  <c r="A2" i="7"/>
  <c r="W1" i="7"/>
  <c r="AP4" i="3" a="1"/>
  <c r="AP4" i="3" s="1"/>
  <c r="Z4" i="3"/>
  <c r="H4" i="3"/>
  <c r="K2" i="3"/>
  <c r="A2" i="3"/>
  <c r="W1" i="3"/>
  <c r="L24" i="4"/>
  <c r="AP4" i="4" a="1"/>
  <c r="AP4" i="4" s="1"/>
  <c r="BH2" i="4"/>
  <c r="BH2" i="7" s="1"/>
  <c r="BC2" i="4"/>
  <c r="BC2" i="11" s="1"/>
  <c r="AY2" i="4"/>
  <c r="AY2" i="10" s="1"/>
  <c r="AT2" i="4"/>
  <c r="AT2" i="7" s="1"/>
  <c r="AP2" i="4"/>
  <c r="AP2" i="7" s="1"/>
  <c r="AY2" i="3" l="1"/>
  <c r="AY2" i="7"/>
  <c r="BC2" i="10"/>
  <c r="AP2" i="11"/>
  <c r="BH2" i="11"/>
  <c r="BC2" i="3"/>
  <c r="BC2" i="7"/>
  <c r="AP2" i="10"/>
  <c r="BH2" i="10"/>
  <c r="AT2" i="11"/>
  <c r="AP2" i="3"/>
  <c r="BH2" i="3"/>
  <c r="AT2" i="10"/>
  <c r="AY2" i="11"/>
  <c r="AT2" i="3"/>
</calcChain>
</file>

<file path=xl/sharedStrings.xml><?xml version="1.0" encoding="utf-8"?>
<sst xmlns="http://schemas.openxmlformats.org/spreadsheetml/2006/main" count="1824" uniqueCount="412">
  <si>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</si>
  <si>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</si>
  <si>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</si>
  <si>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</si>
  <si>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</si>
  <si>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</si>
  <si>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</si>
  <si>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</si>
  <si>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</si>
  <si>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</si>
  <si>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</si>
  <si>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</si>
  <si>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</si>
  <si>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新規</t>
    </r>
  </si>
  <si>
    <r>
      <rPr>
        <sz val="11"/>
        <color rgb="FF000000"/>
        <rFont val="Meiryo UI"/>
        <family val="2"/>
      </rPr>
      <t>画面項目ID</t>
    </r>
  </si>
  <si>
    <r>
      <rPr>
        <sz val="11"/>
        <color rgb="FF000000"/>
        <rFont val="Meiryo UI"/>
        <family val="2"/>
      </rPr>
      <t>項目</t>
    </r>
  </si>
  <si>
    <r>
      <rPr>
        <sz val="11"/>
        <color rgb="FF000000"/>
        <rFont val="Meiryo UI"/>
        <family val="2"/>
      </rPr>
      <t>タイプ</t>
    </r>
  </si>
  <si>
    <r>
      <rPr>
        <sz val="11"/>
        <color rgb="FF000000"/>
        <rFont val="Meiryo UI"/>
        <family val="2"/>
      </rPr>
      <t>I/O</t>
    </r>
  </si>
  <si>
    <r>
      <rPr>
        <sz val="11"/>
        <color rgb="FF000000"/>
        <rFont val="Meiryo UI"/>
        <family val="2"/>
      </rPr>
      <t>出力</t>
    </r>
  </si>
  <si>
    <r>
      <rPr>
        <sz val="11"/>
        <color rgb="FF000000"/>
        <rFont val="Meiryo UI"/>
        <family val="2"/>
      </rPr>
      <t>インプット</t>
    </r>
  </si>
  <si>
    <r>
      <rPr>
        <sz val="11"/>
        <color rgb="FF000000"/>
        <rFont val="Meiryo UI"/>
        <family val="2"/>
      </rPr>
      <t>備考</t>
    </r>
  </si>
  <si>
    <r>
      <rPr>
        <sz val="11"/>
        <color rgb="FF000000"/>
        <rFont val="Meiryo UI"/>
        <family val="2"/>
      </rPr>
      <t>マッピングデータ</t>
    </r>
  </si>
  <si>
    <r>
      <rPr>
        <sz val="11"/>
        <color rgb="FF000000"/>
        <rFont val="Meiryo UI"/>
        <family val="2"/>
      </rPr>
      <t>初期値</t>
    </r>
  </si>
  <si>
    <r>
      <rPr>
        <sz val="11"/>
        <color rgb="FF000000"/>
        <rFont val="Meiryo UI"/>
        <family val="2"/>
      </rPr>
      <t>表示コントロール</t>
    </r>
  </si>
  <si>
    <r>
      <rPr>
        <sz val="11"/>
        <color rgb="FF000000"/>
        <rFont val="Meiryo UI"/>
        <family val="2"/>
      </rPr>
      <t>Control enable</t>
    </r>
  </si>
  <si>
    <r>
      <rPr>
        <sz val="11"/>
        <color rgb="FF000000"/>
        <rFont val="Meiryo UI"/>
        <family val="2"/>
      </rPr>
      <t>桁</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</si>
  <si>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</si>
  <si>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</si>
  <si>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</si>
  <si>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</si>
  <si>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</si>
  <si>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</si>
  <si>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Password</t>
    </r>
  </si>
  <si>
    <r>
      <rPr>
        <sz val="11"/>
        <color rgb="FF000000"/>
        <rFont val="Meiryo UI"/>
        <family val="2"/>
      </rPr>
      <t>POSサーバー</t>
    </r>
  </si>
  <si>
    <r>
      <rPr>
        <sz val="24"/>
        <color rgb="FF000000"/>
        <rFont val="Meiryo UI"/>
        <family val="3"/>
      </rPr>
      <t>POSサーバーの詳細設計書</t>
    </r>
  </si>
  <si>
    <r>
      <rPr>
        <sz val="11"/>
        <color rgb="FF000000"/>
        <rFont val="Meiryo UI"/>
        <family val="2"/>
      </rPr>
      <t>画面設計書</t>
    </r>
  </si>
  <si>
    <r>
      <rPr>
        <sz val="11"/>
        <color rgb="FF000000"/>
        <rFont val="Meiryo UI"/>
        <family val="2"/>
      </rPr>
      <t>API名</t>
    </r>
  </si>
  <si>
    <r>
      <rPr>
        <sz val="11"/>
        <color rgb="FF000000"/>
        <rFont val="Meiryo UI"/>
        <family val="2"/>
      </rPr>
      <t>多言語</t>
    </r>
  </si>
  <si>
    <r>
      <rPr>
        <sz val="18"/>
        <color rgb="FF000000"/>
        <rFont val="Meiryo UI"/>
        <family val="3"/>
      </rPr>
      <t>詳細設計書</t>
    </r>
  </si>
  <si>
    <r>
      <rPr>
        <sz val="11"/>
        <color rgb="FF000000"/>
        <rFont val="Meiryo UI"/>
        <family val="2"/>
      </rPr>
      <t>画面タイトル</t>
    </r>
  </si>
  <si>
    <r>
      <rPr>
        <sz val="11"/>
        <color rgb="FF000000"/>
        <rFont val="Meiryo UI"/>
        <family val="2"/>
      </rPr>
      <t>店舗（列名）</t>
    </r>
  </si>
  <si>
    <r>
      <rPr>
        <sz val="11"/>
        <color rgb="FF000000"/>
        <rFont val="Meiryo UI"/>
        <family val="2"/>
      </rPr>
      <t>店舗（値）</t>
    </r>
  </si>
  <si>
    <r>
      <rPr>
        <sz val="11"/>
        <color rgb="FF000000"/>
        <rFont val="Meiryo UI"/>
        <family val="2"/>
      </rPr>
      <t>プリセットレイアウト（列名）</t>
    </r>
  </si>
  <si>
    <r>
      <rPr>
        <sz val="11"/>
        <color rgb="FF000000"/>
        <rFont val="Meiryo UI"/>
        <family val="2"/>
      </rPr>
      <t>プリセットレイアウト（値）</t>
    </r>
  </si>
  <si>
    <r>
      <rPr>
        <sz val="11"/>
        <color rgb="FF000000"/>
        <rFont val="Meiryo UI"/>
        <family val="2"/>
      </rPr>
      <t>ファンクションレイアウト（値）</t>
    </r>
  </si>
  <si>
    <r>
      <rPr>
        <sz val="11"/>
        <color rgb="FF000000"/>
        <rFont val="Meiryo UI"/>
        <family val="2"/>
      </rPr>
      <t>12.10</t>
    </r>
  </si>
  <si>
    <r>
      <rPr>
        <sz val="11"/>
        <color rgb="FF000000"/>
        <rFont val="Meiryo UI"/>
        <family val="2"/>
      </rPr>
      <t>レシートメッセージ（値）</t>
    </r>
  </si>
  <si>
    <r>
      <rPr>
        <sz val="11"/>
        <color rgb="FF000000"/>
        <rFont val="Meiryo UI"/>
        <family val="2"/>
      </rPr>
      <t>IPアドレス（列名）</t>
    </r>
  </si>
  <si>
    <r>
      <rPr>
        <sz val="11"/>
        <color rgb="FF000000"/>
        <rFont val="Meiryo UI"/>
        <family val="2"/>
      </rPr>
      <t>IPアドレス（値）</t>
    </r>
  </si>
  <si>
    <r>
      <rPr>
        <sz val="11"/>
        <color rgb="FF000000"/>
        <rFont val="Meiryo UI"/>
        <family val="2"/>
      </rPr>
      <t>MACアドレス（列名）</t>
    </r>
  </si>
  <si>
    <r>
      <rPr>
        <sz val="11"/>
        <color rgb="FF000000"/>
        <rFont val="Meiryo UI"/>
        <family val="2"/>
      </rPr>
      <t>MACアドレス（値）</t>
    </r>
  </si>
  <si>
    <r>
      <rPr>
        <sz val="11"/>
        <color rgb="FF000000"/>
        <rFont val="Meiryo UI"/>
        <family val="2"/>
      </rPr>
      <t>レジ番号</t>
    </r>
  </si>
  <si>
    <r>
      <rPr>
        <sz val="11"/>
        <color rgb="FF000000"/>
        <rFont val="Meiryo UI"/>
        <family val="2"/>
      </rPr>
      <t>ノード種別</t>
    </r>
  </si>
  <si>
    <r>
      <rPr>
        <sz val="11"/>
        <color rgb="FF000000"/>
        <rFont val="Meiryo UI"/>
        <family val="2"/>
      </rPr>
      <t>プリセットレイアウト</t>
    </r>
  </si>
  <si>
    <r>
      <rPr>
        <sz val="11"/>
        <color rgb="FF000000"/>
        <rFont val="Meiryo UI"/>
        <family val="2"/>
      </rPr>
      <t>ファンクションレイアウト</t>
    </r>
  </si>
  <si>
    <r>
      <rPr>
        <sz val="11"/>
        <color rgb="FF000000"/>
        <rFont val="Meiryo UI"/>
        <family val="2"/>
      </rPr>
      <t>キーボードレイアウト</t>
    </r>
  </si>
  <si>
    <r>
      <rPr>
        <sz val="11"/>
        <color rgb="FF000000"/>
        <rFont val="Meiryo UI"/>
        <family val="2"/>
      </rPr>
      <t>IPアドレス</t>
    </r>
  </si>
  <si>
    <r>
      <rPr>
        <sz val="11"/>
        <color rgb="FF000000"/>
        <rFont val="Meiryo UI"/>
        <family val="2"/>
      </rPr>
      <t>MACアドレス</t>
    </r>
  </si>
  <si>
    <r>
      <rPr>
        <sz val="11"/>
        <color rgb="FF000000"/>
        <rFont val="Meiryo UI"/>
        <family val="2"/>
      </rPr>
      <t>店舗選択ビュー</t>
    </r>
  </si>
  <si>
    <r>
      <rPr>
        <sz val="11"/>
        <color rgb="FF000000"/>
        <rFont val="Meiryo UI"/>
        <family val="2"/>
      </rPr>
      <t>検索</t>
    </r>
  </si>
  <si>
    <r>
      <rPr>
        <sz val="11"/>
        <color rgb="FF000000"/>
        <rFont val="Meiryo UI"/>
        <family val="2"/>
      </rPr>
      <t>ボタン</t>
    </r>
  </si>
  <si>
    <r>
      <rPr>
        <sz val="11"/>
        <color rgb="FF000000"/>
        <rFont val="Meiryo UI"/>
        <family val="2"/>
      </rPr>
      <t>I</t>
    </r>
  </si>
  <si>
    <r>
      <rPr>
        <sz val="11"/>
        <color rgb="FF000000"/>
        <rFont val="Meiryo UI"/>
        <family val="2"/>
      </rPr>
      <t>View</t>
    </r>
  </si>
  <si>
    <r>
      <rPr>
        <sz val="11"/>
        <color rgb="FF000000"/>
        <rFont val="Meiryo UI"/>
        <family val="2"/>
      </rPr>
      <t>検索条件ビュー</t>
    </r>
  </si>
  <si>
    <r>
      <rPr>
        <sz val="11"/>
        <color rgb="FF000000"/>
        <rFont val="Meiryo UI"/>
        <family val="2"/>
      </rPr>
      <t>レジ番号 （タイトル）</t>
    </r>
  </si>
  <si>
    <r>
      <rPr>
        <sz val="11"/>
        <color rgb="FF000000"/>
        <rFont val="Meiryo UI"/>
        <family val="2"/>
      </rPr>
      <t>レジ種別（値）</t>
    </r>
  </si>
  <si>
    <r>
      <rPr>
        <sz val="11"/>
        <color rgb="FF000000"/>
        <rFont val="Meiryo UI"/>
        <family val="2"/>
      </rPr>
      <t>ノード種別（値）</t>
    </r>
  </si>
  <si>
    <r>
      <rPr>
        <sz val="11"/>
        <color rgb="FF000000"/>
        <rFont val="Meiryo UI"/>
        <family val="2"/>
      </rPr>
      <t>レジ種別（タイトル）</t>
    </r>
  </si>
  <si>
    <r>
      <rPr>
        <sz val="11"/>
        <color rgb="FF000000"/>
        <rFont val="Meiryo UI"/>
        <family val="2"/>
      </rPr>
      <t>ノード種別（タイトル）</t>
    </r>
  </si>
  <si>
    <r>
      <rPr>
        <sz val="11"/>
        <color rgb="FF000000"/>
        <rFont val="Meiryo UI"/>
        <family val="2"/>
      </rPr>
      <t>プリセットレイアウト（タイトル）</t>
    </r>
  </si>
  <si>
    <r>
      <rPr>
        <sz val="11"/>
        <color rgb="FF000000"/>
        <rFont val="Meiryo UI"/>
        <family val="2"/>
      </rPr>
      <t>ファンクションレイアウト（タイトル）</t>
    </r>
  </si>
  <si>
    <r>
      <rPr>
        <sz val="11"/>
        <color rgb="FF000000"/>
        <rFont val="Meiryo UI"/>
        <family val="2"/>
      </rPr>
      <t>キーボードレイアウト（タイトル）</t>
    </r>
  </si>
  <si>
    <r>
      <rPr>
        <sz val="10"/>
        <color rgb="FF000000"/>
        <rFont val="Meiryo UI"/>
        <family val="2"/>
      </rPr>
      <t>キーボードレイアウト（値）</t>
    </r>
  </si>
  <si>
    <r>
      <rPr>
        <sz val="11"/>
        <color rgb="FF000000"/>
        <rFont val="Meiryo UI"/>
        <family val="2"/>
      </rPr>
      <t>レジ番号 （値）</t>
    </r>
  </si>
  <si>
    <r>
      <rPr>
        <sz val="11"/>
        <color rgb="FF000000"/>
        <rFont val="Meiryo UI"/>
        <family val="2"/>
      </rPr>
      <t>Edittext</t>
    </r>
  </si>
  <si>
    <r>
      <rPr>
        <sz val="11"/>
        <color rgb="FF000000"/>
        <rFont val="Meiryo UI"/>
        <family val="2"/>
      </rPr>
      <t>ドロップダウン</t>
    </r>
  </si>
  <si>
    <r>
      <rPr>
        <sz val="11"/>
        <color rgb="FF000000"/>
        <rFont val="Meiryo UI"/>
        <family val="2"/>
      </rPr>
      <t>有効</t>
    </r>
  </si>
  <si>
    <r>
      <rPr>
        <sz val="11"/>
        <color rgb="FF000000"/>
        <rFont val="Meiryo UI"/>
        <family val="2"/>
      </rPr>
      <t>確定</t>
    </r>
  </si>
  <si>
    <r>
      <rPr>
        <sz val="11"/>
        <color rgb="FF000000"/>
        <rFont val="Meiryo UI"/>
        <family val="2"/>
      </rPr>
      <t>必須</t>
    </r>
  </si>
  <si>
    <r>
      <rPr>
        <sz val="11"/>
        <color rgb="FF000000"/>
        <rFont val="Meiryo UI"/>
        <family val="2"/>
      </rPr>
      <t>数字</t>
    </r>
  </si>
  <si>
    <r>
      <rPr>
        <sz val="11"/>
        <color rgb="FF000000"/>
        <rFont val="Meiryo UI"/>
        <family val="2"/>
      </rPr>
      <t>0-15桁</t>
    </r>
  </si>
  <si>
    <r>
      <rPr>
        <sz val="11"/>
        <color rgb="FF000000"/>
        <rFont val="Meiryo UI"/>
        <family val="2"/>
      </rPr>
      <t>レジ種別追加</t>
    </r>
  </si>
  <si>
    <r>
      <rPr>
        <sz val="11"/>
        <color rgb="FF000000"/>
        <rFont val="Meiryo UI"/>
        <family val="2"/>
      </rPr>
      <t>CSV取込</t>
    </r>
  </si>
  <si>
    <r>
      <rPr>
        <sz val="11"/>
        <color rgb="FF000000"/>
        <rFont val="Meiryo UI"/>
        <family val="2"/>
      </rPr>
      <t>CSV出力</t>
    </r>
  </si>
  <si>
    <r>
      <rPr>
        <sz val="11"/>
        <color rgb="FF000000"/>
        <rFont val="Meiryo UI"/>
        <family val="2"/>
      </rPr>
      <t>削除</t>
    </r>
  </si>
  <si>
    <r>
      <rPr>
        <sz val="11"/>
        <color rgb="FF000000"/>
        <rFont val="Meiryo UI"/>
        <family val="2"/>
      </rPr>
      <t>編集</t>
    </r>
  </si>
  <si>
    <r>
      <rPr>
        <sz val="11"/>
        <color rgb="FF000000"/>
        <rFont val="Meiryo UI"/>
        <family val="2"/>
      </rPr>
      <t>コピー</t>
    </r>
  </si>
  <si>
    <r>
      <rPr>
        <sz val="11"/>
        <color rgb="FF000000"/>
        <rFont val="Meiryo UI"/>
        <family val="2"/>
      </rPr>
      <t>イベントID：SC7101-01</t>
    </r>
  </si>
  <si>
    <r>
      <rPr>
        <sz val="11"/>
        <color rgb="FF000000"/>
        <rFont val="Meiryo UI"/>
        <family val="2"/>
      </rPr>
      <t>イベントID：SC7101-03</t>
    </r>
  </si>
  <si>
    <r>
      <rPr>
        <sz val="11"/>
        <color rgb="FF000000"/>
        <rFont val="Meiryo UI"/>
        <family val="2"/>
      </rPr>
      <t>イベントID：SC7101-02</t>
    </r>
  </si>
  <si>
    <r>
      <rPr>
        <sz val="11"/>
        <color rgb="FF000000"/>
        <rFont val="Meiryo UI"/>
        <family val="2"/>
      </rPr>
      <t>イベントID：SC7101-04</t>
    </r>
  </si>
  <si>
    <r>
      <rPr>
        <sz val="11"/>
        <color rgb="FF000000"/>
        <rFont val="Meiryo UI"/>
        <family val="2"/>
      </rPr>
      <t>イベントID：SC7101-05</t>
    </r>
  </si>
  <si>
    <r>
      <rPr>
        <sz val="11"/>
        <color rgb="FF000000"/>
        <rFont val="Meiryo UI"/>
        <family val="2"/>
      </rPr>
      <t>イベントID：SC7101-06</t>
    </r>
  </si>
  <si>
    <r>
      <rPr>
        <sz val="11"/>
        <color rgb="FF000000"/>
        <rFont val="Meiryo UI"/>
        <family val="2"/>
      </rPr>
      <t>イベントID：SC7101-07</t>
    </r>
  </si>
  <si>
    <r>
      <rPr>
        <sz val="11"/>
        <color rgb="FF000000"/>
        <rFont val="Meiryo UI"/>
        <family val="2"/>
      </rPr>
      <t>イベントID：SC7101-08</t>
    </r>
  </si>
  <si>
    <r>
      <rPr>
        <sz val="11"/>
        <color rgb="FF000000"/>
        <rFont val="Meiryo UI"/>
        <family val="2"/>
      </rPr>
      <t>イベントID：SC7101-09</t>
    </r>
  </si>
  <si>
    <r>
      <rPr>
        <sz val="11"/>
        <color rgb="FF000000"/>
        <rFont val="Meiryo UI"/>
        <family val="2"/>
      </rPr>
      <t>イベントID：SC7101-10</t>
    </r>
  </si>
  <si>
    <r>
      <rPr>
        <sz val="11"/>
        <color rgb="FF000000"/>
        <rFont val="Meiryo UI"/>
        <family val="2"/>
      </rPr>
      <t>イベントID：SC7101-11</t>
    </r>
  </si>
  <si>
    <r>
      <rPr>
        <sz val="11"/>
        <color rgb="FF000000"/>
        <rFont val="Meiryo UI"/>
        <family val="2"/>
      </rPr>
      <t>決定</t>
    </r>
  </si>
  <si>
    <r>
      <rPr>
        <sz val="11"/>
        <color rgb="FF000000"/>
        <rFont val="Meiryo UI"/>
        <family val="2"/>
      </rPr>
      <t>AP1501</t>
    </r>
  </si>
  <si>
    <r>
      <rPr>
        <sz val="11"/>
        <color rgb="FF000000"/>
        <rFont val="Meiryo UI"/>
        <family val="2"/>
      </rPr>
      <t>preset_layouts.preset_layout_code : preset_layouts.preset_layout_name</t>
    </r>
  </si>
  <si>
    <r>
      <rPr>
        <sz val="11"/>
        <color rgb="FF000000"/>
        <rFont val="Meiryo UI"/>
        <family val="2"/>
      </rPr>
      <t>AP1503 (MC7102)</t>
    </r>
  </si>
  <si>
    <r>
      <rPr>
        <sz val="11"/>
        <color rgb="FF000000"/>
        <rFont val="Meiryo UI"/>
        <family val="2"/>
      </rPr>
      <t>AP1503 (MC7103)</t>
    </r>
  </si>
  <si>
    <r>
      <rPr>
        <sz val="11"/>
        <color rgb="FF000000"/>
        <rFont val="Meiryo UI"/>
        <family val="2"/>
      </rPr>
      <t>AP1503 (MC7101)</t>
    </r>
  </si>
  <si>
    <r>
      <rPr>
        <sz val="11"/>
        <color rgb="FF000000"/>
        <rFont val="Meiryo UI"/>
        <family val="2"/>
      </rPr>
      <t>AP7102</t>
    </r>
  </si>
  <si>
    <r>
      <rPr>
        <sz val="11"/>
        <color rgb="FF000000"/>
        <rFont val="Meiryo UI"/>
        <family val="2"/>
      </rPr>
      <t>CashMachine.store_code:CashMachine.store_name</t>
    </r>
  </si>
  <si>
    <r>
      <rPr>
        <sz val="11"/>
        <color rgb="FF000000"/>
        <rFont val="Meiryo UI"/>
        <family val="2"/>
      </rPr>
      <t>検索条件（値）</t>
    </r>
  </si>
  <si>
    <r>
      <rPr>
        <sz val="11"/>
        <color rgb="FF000000"/>
        <rFont val="Meiryo UI"/>
        <family val="2"/>
      </rPr>
      <t>EditText</t>
    </r>
  </si>
  <si>
    <r>
      <rPr>
        <sz val="11"/>
        <color rgb="FF000000"/>
        <rFont val="Meiryo UI"/>
        <family val="2"/>
      </rPr>
      <t>1件をフォーカスした時に有効にする</t>
    </r>
  </si>
  <si>
    <r>
      <rPr>
        <sz val="11"/>
        <color rgb="FF000000"/>
        <rFont val="Meiryo UI"/>
        <family val="2"/>
      </rPr>
      <t>71_レジマスタ設定</t>
    </r>
  </si>
  <si>
    <r>
      <rPr>
        <sz val="11"/>
        <color rgb="FF000000"/>
        <rFont val="Meiryo UI"/>
        <family val="2"/>
      </rPr>
      <t>レジ番号（列名）</t>
    </r>
  </si>
  <si>
    <r>
      <rPr>
        <sz val="11"/>
        <color rgb="FF000000"/>
        <rFont val="Meiryo UI"/>
        <family val="2"/>
      </rPr>
      <t>レジ番号（値）</t>
    </r>
  </si>
  <si>
    <r>
      <rPr>
        <sz val="11"/>
        <color rgb="FF000000"/>
        <rFont val="Meiryo UI"/>
        <family val="2"/>
      </rPr>
      <t>レジ種別（列名）</t>
    </r>
  </si>
  <si>
    <r>
      <rPr>
        <sz val="11"/>
        <color rgb="FF000000"/>
        <rFont val="Meiryo UI"/>
        <family val="2"/>
      </rPr>
      <t>レジ種別名称の列</t>
    </r>
  </si>
  <si>
    <r>
      <rPr>
        <sz val="11"/>
        <color rgb="FF000000"/>
        <rFont val="Meiryo UI"/>
        <family val="2"/>
      </rPr>
      <t>レジ種別名称（値）</t>
    </r>
  </si>
  <si>
    <r>
      <rPr>
        <sz val="11"/>
        <color rgb="FF000000"/>
        <rFont val="Meiryo UI"/>
        <family val="2"/>
      </rPr>
      <t>AP7103</t>
    </r>
  </si>
  <si>
    <r>
      <rPr>
        <sz val="11"/>
        <color rgb="FF000000"/>
        <rFont val="Meiryo UI"/>
        <family val="2"/>
      </rPr>
      <t>CashRegisterType.name－</t>
    </r>
  </si>
  <si>
    <r>
      <rPr>
        <sz val="11"/>
        <color rgb="FF000000"/>
        <rFont val="Meiryo UI"/>
        <family val="2"/>
      </rPr>
      <t>type_name</t>
    </r>
  </si>
  <si>
    <r>
      <rPr>
        <sz val="11"/>
        <color rgb="FF000000"/>
        <rFont val="Meiryo UI"/>
        <family val="2"/>
      </rPr>
      <t>店舗（タイトル）</t>
    </r>
  </si>
  <si>
    <r>
      <rPr>
        <sz val="11"/>
        <color rgb="FF000000"/>
        <rFont val="Meiryo UI"/>
        <family val="2"/>
      </rPr>
      <t>モーダル（タイトル）</t>
    </r>
  </si>
  <si>
    <r>
      <rPr>
        <sz val="11"/>
        <color rgb="FF000000"/>
        <rFont val="Meiryo UI"/>
        <family val="2"/>
      </rPr>
      <t>イベントID：MD7101-01</t>
    </r>
  </si>
  <si>
    <r>
      <rPr>
        <sz val="11"/>
        <color rgb="FF000000"/>
        <rFont val="Meiryo UI"/>
        <family val="2"/>
      </rPr>
      <t>店舗*</t>
    </r>
  </si>
  <si>
    <r>
      <rPr>
        <sz val="11"/>
        <color rgb="FF000000"/>
        <rFont val="Meiryo UI"/>
        <family val="2"/>
      </rPr>
      <t>レジ番号（タイトル）</t>
    </r>
  </si>
  <si>
    <r>
      <rPr>
        <sz val="11"/>
        <color rgb="FF000000"/>
        <rFont val="Meiryo UI"/>
        <family val="2"/>
      </rPr>
      <t>レジ番号*</t>
    </r>
  </si>
  <si>
    <r>
      <rPr>
        <sz val="11"/>
        <color rgb="FF000000"/>
        <rFont val="Meiryo UI"/>
        <family val="2"/>
      </rPr>
      <t>レジ種別*</t>
    </r>
  </si>
  <si>
    <r>
      <rPr>
        <sz val="11"/>
        <color rgb="FF000000"/>
        <rFont val="Meiryo UI"/>
        <family val="2"/>
      </rPr>
      <t>プリセットレイアウト*</t>
    </r>
  </si>
  <si>
    <r>
      <rPr>
        <sz val="11"/>
        <color rgb="FF000000"/>
        <rFont val="Meiryo UI"/>
        <family val="2"/>
      </rPr>
      <t>ノード種別*</t>
    </r>
  </si>
  <si>
    <r>
      <rPr>
        <sz val="11"/>
        <color rgb="FF000000"/>
        <rFont val="Meiryo UI"/>
        <family val="2"/>
      </rPr>
      <t>キーボードレイアウト（値）</t>
    </r>
  </si>
  <si>
    <r>
      <rPr>
        <sz val="11"/>
        <color rgb="FF000000"/>
        <rFont val="Meiryo UI"/>
        <family val="2"/>
      </rPr>
      <t>キーボードレイアウト*</t>
    </r>
  </si>
  <si>
    <r>
      <rPr>
        <sz val="11"/>
        <color rgb="FF000000"/>
        <rFont val="Meiryo UI"/>
        <family val="2"/>
      </rPr>
      <t>レシートメッセージ*</t>
    </r>
  </si>
  <si>
    <r>
      <rPr>
        <sz val="11"/>
        <color rgb="FF000000"/>
        <rFont val="Meiryo UI"/>
        <family val="2"/>
      </rPr>
      <t>レシートメッセージ（タイトル）</t>
    </r>
  </si>
  <si>
    <r>
      <rPr>
        <sz val="11"/>
        <color rgb="FF000000"/>
        <rFont val="Meiryo UI"/>
        <family val="2"/>
      </rPr>
      <t>IPアドレス（タイトル）</t>
    </r>
  </si>
  <si>
    <r>
      <rPr>
        <sz val="11"/>
        <color rgb="FF000000"/>
        <rFont val="Meiryo UI"/>
        <family val="2"/>
      </rPr>
      <t>MACアドレス（タイトル）</t>
    </r>
  </si>
  <si>
    <r>
      <rPr>
        <sz val="11"/>
        <color rgb="FF000000"/>
        <rFont val="Meiryo UI"/>
        <family val="2"/>
      </rPr>
      <t>POS機種</t>
    </r>
  </si>
  <si>
    <r>
      <rPr>
        <sz val="11"/>
        <color rgb="FF000000"/>
        <rFont val="Meiryo UI"/>
        <family val="2"/>
      </rPr>
      <t>釣銭機機種（タイトル）</t>
    </r>
  </si>
  <si>
    <r>
      <rPr>
        <sz val="11"/>
        <color rgb="FF000000"/>
        <rFont val="Meiryo UI"/>
        <family val="2"/>
      </rPr>
      <t>釣銭機機種（値）</t>
    </r>
  </si>
  <si>
    <r>
      <rPr>
        <sz val="11"/>
        <color rgb="FF000000"/>
        <rFont val="Meiryo UI"/>
        <family val="2"/>
      </rPr>
      <t>朝割除外</t>
    </r>
  </si>
  <si>
    <r>
      <rPr>
        <sz val="11"/>
        <color rgb="FF000000"/>
        <rFont val="Meiryo UI"/>
        <family val="2"/>
      </rPr>
      <t>メガ割除外</t>
    </r>
  </si>
  <si>
    <r>
      <rPr>
        <sz val="11"/>
        <color rgb="FF000000"/>
        <rFont val="Meiryo UI"/>
        <family val="2"/>
      </rPr>
      <t>客数集計除外</t>
    </r>
  </si>
  <si>
    <r>
      <rPr>
        <sz val="11"/>
        <color rgb="FF000000"/>
        <rFont val="Meiryo UI"/>
        <family val="2"/>
      </rPr>
      <t>起動時間</t>
    </r>
  </si>
  <si>
    <r>
      <rPr>
        <sz val="11"/>
        <color rgb="FF000000"/>
        <rFont val="Meiryo UI"/>
        <family val="2"/>
      </rPr>
      <t>起動時間（タイトル）</t>
    </r>
  </si>
  <si>
    <r>
      <rPr>
        <sz val="11"/>
        <color rgb="FF000000"/>
        <rFont val="Meiryo UI"/>
        <family val="2"/>
      </rPr>
      <t>起動時間（値）</t>
    </r>
  </si>
  <si>
    <r>
      <rPr>
        <sz val="11"/>
        <color rgb="FF000000"/>
        <rFont val="Meiryo UI"/>
        <family val="2"/>
      </rPr>
      <t>Time Picker</t>
    </r>
  </si>
  <si>
    <r>
      <rPr>
        <sz val="11"/>
        <color rgb="FF000000"/>
        <rFont val="Meiryo UI"/>
        <family val="2"/>
      </rPr>
      <t>釣銭機機種</t>
    </r>
  </si>
  <si>
    <r>
      <rPr>
        <sz val="11"/>
        <color rgb="FF000000"/>
        <rFont val="Meiryo UI"/>
        <family val="2"/>
      </rPr>
      <t>スキャンナ機種（タイトル）</t>
    </r>
  </si>
  <si>
    <r>
      <rPr>
        <sz val="11"/>
        <color rgb="FF000000"/>
        <rFont val="Meiryo UI"/>
        <family val="2"/>
      </rPr>
      <t>スキャンナ機種 （値）</t>
    </r>
  </si>
  <si>
    <r>
      <rPr>
        <sz val="11"/>
        <color rgb="FF000000"/>
        <rFont val="Meiryo UI"/>
        <family val="2"/>
      </rPr>
      <t>スキャンナ機種</t>
    </r>
  </si>
  <si>
    <r>
      <rPr>
        <sz val="11"/>
        <color rgb="FF000000"/>
        <rFont val="Meiryo UI"/>
        <family val="2"/>
      </rPr>
      <t>更新日（タイトル）</t>
    </r>
  </si>
  <si>
    <r>
      <rPr>
        <sz val="11"/>
        <color rgb="FF000000"/>
        <rFont val="Meiryo UI"/>
        <family val="2"/>
      </rPr>
      <t>更新日（値）</t>
    </r>
  </si>
  <si>
    <r>
      <rPr>
        <sz val="11"/>
        <color rgb="FF000000"/>
        <rFont val="Meiryo UI"/>
        <family val="2"/>
      </rPr>
      <t>更新日</t>
    </r>
  </si>
  <si>
    <r>
      <rPr>
        <sz val="11"/>
        <color rgb="FF000000"/>
        <rFont val="Meiryo UI"/>
        <family val="2"/>
      </rPr>
      <t>更新者（タイトル）</t>
    </r>
  </si>
  <si>
    <r>
      <rPr>
        <sz val="11"/>
        <color rgb="FF000000"/>
        <rFont val="Meiryo UI"/>
        <family val="2"/>
      </rPr>
      <t>更新者（値）</t>
    </r>
  </si>
  <si>
    <r>
      <rPr>
        <sz val="11"/>
        <color rgb="FF000000"/>
        <rFont val="Meiryo UI"/>
        <family val="2"/>
      </rPr>
      <t>更新者</t>
    </r>
  </si>
  <si>
    <r>
      <rPr>
        <sz val="11"/>
        <color rgb="FF000000"/>
        <rFont val="Meiryo UI"/>
        <family val="2"/>
      </rPr>
      <t>備考1（タイトル）</t>
    </r>
  </si>
  <si>
    <r>
      <rPr>
        <sz val="11"/>
        <color rgb="FF000000"/>
        <rFont val="Meiryo UI"/>
        <family val="2"/>
      </rPr>
      <t>備考1</t>
    </r>
  </si>
  <si>
    <r>
      <rPr>
        <sz val="11"/>
        <color rgb="FF000000"/>
        <rFont val="Meiryo UI"/>
        <family val="2"/>
      </rPr>
      <t>備考2（値）</t>
    </r>
  </si>
  <si>
    <r>
      <rPr>
        <sz val="11"/>
        <color rgb="FF000000"/>
        <rFont val="Meiryo UI"/>
        <family val="2"/>
      </rPr>
      <t>備考1（値）</t>
    </r>
  </si>
  <si>
    <r>
      <rPr>
        <sz val="11"/>
        <color rgb="FF000000"/>
        <rFont val="Meiryo UI"/>
        <family val="2"/>
      </rPr>
      <t>備考2（タイトル）</t>
    </r>
  </si>
  <si>
    <r>
      <rPr>
        <sz val="11"/>
        <color rgb="FF000000"/>
        <rFont val="Meiryo UI"/>
        <family val="2"/>
      </rPr>
      <t>備考2</t>
    </r>
  </si>
  <si>
    <r>
      <rPr>
        <sz val="11"/>
        <color rgb="FF000000"/>
        <rFont val="Meiryo UI"/>
        <family val="2"/>
      </rPr>
      <t>備考3（タイトル）</t>
    </r>
  </si>
  <si>
    <r>
      <rPr>
        <sz val="11"/>
        <color rgb="FF000000"/>
        <rFont val="Meiryo UI"/>
        <family val="2"/>
      </rPr>
      <t>備考3（値）</t>
    </r>
  </si>
  <si>
    <r>
      <rPr>
        <sz val="11"/>
        <color rgb="FF000000"/>
        <rFont val="Meiryo UI"/>
        <family val="2"/>
      </rPr>
      <t>AP7104</t>
    </r>
  </si>
  <si>
    <r>
      <rPr>
        <sz val="11"/>
        <color rgb="FF000000"/>
        <rFont val="Meiryo UI"/>
        <family val="2"/>
      </rPr>
      <t>code</t>
    </r>
  </si>
  <si>
    <r>
      <rPr>
        <sz val="11"/>
        <color rgb="FF000000"/>
        <rFont val="Meiryo UI"/>
        <family val="2"/>
      </rPr>
      <t>CashRegisterType.name</t>
    </r>
  </si>
  <si>
    <r>
      <rPr>
        <sz val="11"/>
        <color rgb="FF000000"/>
        <rFont val="Meiryo UI"/>
        <family val="2"/>
      </rPr>
      <t>AP7101</t>
    </r>
  </si>
  <si>
    <r>
      <rPr>
        <sz val="11"/>
        <color rgb="FF000000"/>
        <rFont val="Meiryo UI"/>
        <family val="2"/>
      </rPr>
      <t>store_code</t>
    </r>
  </si>
  <si>
    <r>
      <rPr>
        <sz val="11"/>
        <color rgb="FF000000"/>
        <rFont val="Meiryo UI"/>
        <family val="2"/>
      </rPr>
      <t>type_code</t>
    </r>
  </si>
  <si>
    <r>
      <rPr>
        <sz val="11"/>
        <color rgb="FF000000"/>
        <rFont val="Meiryo UI"/>
        <family val="2"/>
      </rPr>
      <t>type_node</t>
    </r>
  </si>
  <si>
    <r>
      <rPr>
        <sz val="11"/>
        <color rgb="FF000000"/>
        <rFont val="Meiryo UI"/>
        <family val="2"/>
      </rPr>
      <t>button_layout_code</t>
    </r>
  </si>
  <si>
    <r>
      <rPr>
        <sz val="11"/>
        <color rgb="FF000000"/>
        <rFont val="Meiryo UI"/>
        <family val="2"/>
      </rPr>
      <t>keyboard_layout_code</t>
    </r>
  </si>
  <si>
    <r>
      <rPr>
        <sz val="11"/>
        <color rgb="FF000000"/>
        <rFont val="Meiryo UI"/>
        <family val="2"/>
      </rPr>
      <t>function_layout_code</t>
    </r>
  </si>
  <si>
    <r>
      <rPr>
        <sz val="11"/>
        <color rgb="FF000000"/>
        <rFont val="Meiryo UI"/>
        <family val="2"/>
      </rPr>
      <t>receipt_message_code</t>
    </r>
  </si>
  <si>
    <r>
      <rPr>
        <sz val="11"/>
        <color rgb="FF000000"/>
        <rFont val="Meiryo UI"/>
        <family val="2"/>
      </rPr>
      <t>ip_address</t>
    </r>
  </si>
  <si>
    <r>
      <rPr>
        <sz val="11"/>
        <color rgb="FF000000"/>
        <rFont val="Meiryo UI"/>
        <family val="2"/>
      </rPr>
      <t>mac_address</t>
    </r>
  </si>
  <si>
    <r>
      <rPr>
        <sz val="11"/>
        <color rgb="FF000000"/>
        <rFont val="Meiryo UI"/>
        <family val="2"/>
      </rPr>
      <t>start_up_time</t>
    </r>
  </si>
  <si>
    <r>
      <rPr>
        <sz val="11"/>
        <color rgb="FF000000"/>
        <rFont val="Meiryo UI"/>
        <family val="2"/>
      </rPr>
      <t>morning_discount_excluded</t>
    </r>
  </si>
  <si>
    <r>
      <rPr>
        <sz val="11"/>
        <color rgb="FF000000"/>
        <rFont val="Meiryo UI"/>
        <family val="2"/>
      </rPr>
      <t>mega_discount_excluded</t>
    </r>
  </si>
  <si>
    <r>
      <rPr>
        <sz val="11"/>
        <color rgb="FF000000"/>
        <rFont val="Meiryo UI"/>
        <family val="2"/>
      </rPr>
      <t>customer_count_excluded</t>
    </r>
  </si>
  <si>
    <r>
      <rPr>
        <sz val="11"/>
        <color rgb="FF000000"/>
        <rFont val="Meiryo UI"/>
        <family val="2"/>
      </rPr>
      <t>客数集計除外（タイトル）</t>
    </r>
  </si>
  <si>
    <r>
      <rPr>
        <sz val="11"/>
        <color rgb="FF000000"/>
        <rFont val="Meiryo UI"/>
        <family val="2"/>
      </rPr>
      <t>客数集計除外（値）</t>
    </r>
  </si>
  <si>
    <r>
      <rPr>
        <sz val="11"/>
        <color rgb="FF000000"/>
        <rFont val="Meiryo UI"/>
        <family val="2"/>
      </rPr>
      <t>朝割除外（タイトル）</t>
    </r>
  </si>
  <si>
    <r>
      <rPr>
        <sz val="11"/>
        <color rgb="FF000000"/>
        <rFont val="Meiryo UI"/>
        <family val="2"/>
      </rPr>
      <t>朝割除外（値）</t>
    </r>
  </si>
  <si>
    <r>
      <rPr>
        <sz val="11"/>
        <color rgb="FF000000"/>
        <rFont val="Meiryo UI"/>
        <family val="2"/>
      </rPr>
      <t>メガ割除外（タイトル）</t>
    </r>
  </si>
  <si>
    <r>
      <rPr>
        <sz val="11"/>
        <color rgb="FF000000"/>
        <rFont val="Meiryo UI"/>
        <family val="2"/>
      </rPr>
      <t>メガ割除外（値）</t>
    </r>
  </si>
  <si>
    <r>
      <rPr>
        <sz val="11"/>
        <color rgb="FF000000"/>
        <rFont val="Meiryo UI"/>
        <family val="2"/>
      </rPr>
      <t>pos_model</t>
    </r>
  </si>
  <si>
    <r>
      <rPr>
        <sz val="11"/>
        <color rgb="FF000000"/>
        <rFont val="Meiryo UI"/>
        <family val="2"/>
      </rPr>
      <t>POS機種（タイトル）</t>
    </r>
  </si>
  <si>
    <r>
      <rPr>
        <sz val="11"/>
        <color rgb="FF000000"/>
        <rFont val="Meiryo UI"/>
        <family val="2"/>
      </rPr>
      <t>POS機種（値）</t>
    </r>
  </si>
  <si>
    <r>
      <rPr>
        <sz val="11"/>
        <color rgb="FF000000"/>
        <rFont val="Meiryo UI"/>
        <family val="2"/>
      </rPr>
      <t>cash_machine_model</t>
    </r>
  </si>
  <si>
    <r>
      <rPr>
        <sz val="11"/>
        <color rgb="FF000000"/>
        <rFont val="Meiryo UI"/>
        <family val="2"/>
      </rPr>
      <t>scanner_model</t>
    </r>
  </si>
  <si>
    <r>
      <rPr>
        <sz val="11"/>
        <color rgb="FF000000"/>
        <rFont val="Meiryo UI"/>
        <family val="2"/>
      </rPr>
      <t>update_date</t>
    </r>
  </si>
  <si>
    <r>
      <rPr>
        <sz val="11"/>
        <color rgb="FF000000"/>
        <rFont val="Meiryo UI"/>
        <family val="2"/>
      </rPr>
      <t>update_employee</t>
    </r>
  </si>
  <si>
    <r>
      <rPr>
        <sz val="11"/>
        <color rgb="FF000000"/>
        <rFont val="Meiryo UI"/>
        <family val="2"/>
      </rPr>
      <t>note_1</t>
    </r>
  </si>
  <si>
    <r>
      <rPr>
        <sz val="11"/>
        <color rgb="FF000000"/>
        <rFont val="Meiryo UI"/>
        <family val="2"/>
      </rPr>
      <t>note_2</t>
    </r>
  </si>
  <si>
    <r>
      <rPr>
        <sz val="11"/>
        <color rgb="FF000000"/>
        <rFont val="Meiryo UI"/>
        <family val="2"/>
      </rPr>
      <t>note_3</t>
    </r>
  </si>
  <si>
    <r>
      <rPr>
        <sz val="11"/>
        <color rgb="FF000000"/>
        <rFont val="Meiryo UI"/>
        <family val="2"/>
      </rPr>
      <t>ノード種別（列名)</t>
    </r>
  </si>
  <si>
    <r>
      <rPr>
        <sz val="11"/>
        <color rgb="FF000000"/>
        <rFont val="Meiryo UI"/>
        <family val="2"/>
      </rPr>
      <t>ノード種別（値)</t>
    </r>
  </si>
  <si>
    <r>
      <rPr>
        <sz val="11"/>
        <color rgb="FF000000"/>
        <rFont val="Meiryo UI"/>
        <family val="2"/>
      </rPr>
      <t>データが変更されていない場合に無効にする。</t>
    </r>
  </si>
  <si>
    <r>
      <rPr>
        <sz val="11"/>
        <color rgb="FF000000"/>
        <rFont val="Meiryo UI"/>
        <family val="2"/>
      </rPr>
      <t>AP7105</t>
    </r>
  </si>
  <si>
    <r>
      <rPr>
        <sz val="11"/>
        <color rgb="FF000000"/>
        <rFont val="Meiryo UI"/>
        <family val="2"/>
      </rPr>
      <t>テナントレジ部門（タイトル）</t>
    </r>
  </si>
  <si>
    <r>
      <rPr>
        <sz val="11"/>
        <color rgb="FF000000"/>
        <rFont val="Meiryo UI"/>
        <family val="2"/>
      </rPr>
      <t>テナントレジ部門（値）</t>
    </r>
  </si>
  <si>
    <r>
      <rPr>
        <sz val="11"/>
        <color rgb="FF000000"/>
        <rFont val="Meiryo UI"/>
        <family val="2"/>
      </rPr>
      <t>tenant_hierarchy_code</t>
    </r>
  </si>
  <si>
    <r>
      <rPr>
        <sz val="11"/>
        <color rgb="FF000000"/>
        <rFont val="Meiryo UI"/>
        <family val="2"/>
      </rPr>
      <t>AP7103レスポンス</t>
    </r>
  </si>
  <si>
    <r>
      <rPr>
        <sz val="11"/>
        <color rgb="FF000000"/>
        <rFont val="Meiryo UI"/>
        <family val="2"/>
      </rPr>
      <t>AP1503レスポンス(MC7101)</t>
    </r>
  </si>
  <si>
    <r>
      <rPr>
        <sz val="11"/>
        <color rgb="FF000000"/>
        <rFont val="Meiryo UI"/>
        <family val="2"/>
      </rPr>
      <t>AP1503レスポンス(MC7102)</t>
    </r>
  </si>
  <si>
    <r>
      <rPr>
        <sz val="11"/>
        <color rgb="FF000000"/>
        <rFont val="Meiryo UI"/>
        <family val="2"/>
      </rPr>
      <t>AP1503レスポンス(MC7103)</t>
    </r>
  </si>
  <si>
    <r>
      <rPr>
        <sz val="11"/>
        <color rgb="FF000000"/>
        <rFont val="Meiryo UI"/>
        <family val="2"/>
      </rPr>
      <t>支払い種別項目を削除する。</t>
    </r>
  </si>
  <si>
    <r>
      <rPr>
        <sz val="11"/>
        <color rgb="FF000000"/>
        <rFont val="Meiryo UI"/>
        <family val="2"/>
      </rPr>
      <t>AP1501マッピング初期一覧のアイテムフォーマット：preset_layout_code：preset_layout_name</t>
    </r>
  </si>
  <si>
    <r>
      <rPr>
        <sz val="11"/>
        <color rgb="FF000000"/>
        <rFont val="Meiryo UI"/>
        <family val="2"/>
      </rPr>
      <t>AP8301マッピング初期一覧のアイテムフォーマット：sub_type_code:sub_type_name</t>
    </r>
  </si>
  <si>
    <r>
      <rPr>
        <sz val="11"/>
        <color rgb="FF000000"/>
        <rFont val="Meiryo UI"/>
        <family val="2"/>
      </rPr>
      <t>AP1503マッピング初期一覧のアイテムフォーマット：setting_data_type：event_group_name</t>
    </r>
  </si>
  <si>
    <r>
      <rPr>
        <sz val="11"/>
        <color rgb="FF000000"/>
        <rFont val="Meiryo UI"/>
        <family val="2"/>
      </rPr>
      <t>items.setting_data_type:items.event_group_name</t>
    </r>
  </si>
  <si>
    <r>
      <rPr>
        <sz val="11"/>
        <color rgb="FF000000"/>
        <rFont val="Meiryo UI"/>
        <family val="2"/>
      </rPr>
      <t>SC7101、MD7101：ドロップダウンリストの各項目のデータマッピングを追加する。</t>
    </r>
  </si>
  <si>
    <t>`</t>
  </si>
  <si>
    <r>
      <rPr>
        <sz val="11"/>
        <color rgb="FF000000"/>
        <rFont val="Meiryo UI"/>
        <family val="2"/>
      </rPr>
      <t>閉じる、戻る、登録、確定ボタンを追加で説明する。</t>
    </r>
  </si>
  <si>
    <r>
      <rPr>
        <sz val="11"/>
        <color rgb="FF000000"/>
        <rFont val="Meiryo UI"/>
        <family val="2"/>
      </rPr>
      <t>取消</t>
    </r>
  </si>
  <si>
    <r>
      <rPr>
        <sz val="11"/>
        <color rgb="FF000000"/>
        <rFont val="Meiryo UI"/>
        <family val="2"/>
      </rPr>
      <t>更新</t>
    </r>
  </si>
  <si>
    <r>
      <rPr>
        <sz val="11"/>
        <color rgb="FF000000"/>
        <rFont val="Meiryo UI"/>
        <family val="2"/>
      </rPr>
      <t>確定（更新）</t>
    </r>
  </si>
  <si>
    <r>
      <rPr>
        <sz val="11"/>
        <color rgb="FF000000"/>
        <rFont val="Meiryo UI"/>
        <family val="2"/>
      </rPr>
      <t>登録（新規）</t>
    </r>
  </si>
  <si>
    <r>
      <rPr>
        <sz val="11"/>
        <color rgb="FF000000"/>
        <rFont val="Meiryo UI"/>
        <family val="2"/>
      </rPr>
      <t>確定（コピー）</t>
    </r>
  </si>
  <si>
    <r>
      <rPr>
        <sz val="11"/>
        <color rgb="FF000000"/>
        <rFont val="Meiryo UI"/>
        <family val="2"/>
      </rPr>
      <t>最大200桁。</t>
    </r>
  </si>
  <si>
    <r>
      <rPr>
        <sz val="11"/>
        <color rgb="FF000000"/>
        <rFont val="Meiryo UI"/>
        <family val="2"/>
      </rPr>
      <t>最大50桁</t>
    </r>
  </si>
  <si>
    <r>
      <rPr>
        <sz val="11"/>
        <color rgb="FF000000"/>
        <rFont val="Meiryo UI"/>
        <family val="2"/>
      </rPr>
      <t>登録</t>
    </r>
  </si>
  <si>
    <r>
      <rPr>
        <sz val="11"/>
        <color rgb="FF000000"/>
        <rFont val="Meiryo UI"/>
        <family val="2"/>
      </rPr>
      <t>SC7102：API「AP7102」のマッピング</t>
    </r>
  </si>
  <si>
    <r>
      <rPr>
        <sz val="11"/>
        <color rgb="FF000000"/>
        <rFont val="Meiryo UI"/>
        <family val="2"/>
      </rPr>
      <t>CashMachine.button_layout_code:CashMachine.button_layout_name</t>
    </r>
  </si>
  <si>
    <r>
      <rPr>
        <sz val="11"/>
        <color rgb="FF000000"/>
        <rFont val="Meiryo UI"/>
        <family val="2"/>
      </rPr>
      <t>更新された場合、新しいtype_node_codeとtype_node_name を表示する。</t>
    </r>
  </si>
  <si>
    <r>
      <rPr>
        <sz val="11"/>
        <color rgb="FF000000"/>
        <rFont val="Meiryo UI"/>
        <family val="2"/>
      </rPr>
      <t>更新された場合、新しいbutton_layout_codeとbutton_layout_nameを表示する。</t>
    </r>
  </si>
  <si>
    <r>
      <rPr>
        <sz val="11"/>
        <color rgb="FF000000"/>
        <rFont val="Meiryo UI"/>
        <family val="2"/>
      </rPr>
      <t>CashMachine.type_name</t>
    </r>
  </si>
  <si>
    <r>
      <rPr>
        <sz val="11"/>
        <color rgb="FF000000"/>
        <rFont val="Meiryo UI"/>
        <family val="2"/>
      </rPr>
      <t>AnhDD</t>
    </r>
  </si>
  <si>
    <r>
      <rPr>
        <sz val="11"/>
        <color rgb="FF000000"/>
        <rFont val="Meiryo UI"/>
        <family val="2"/>
      </rPr>
      <t>AP7103マッピング初期一覧のアイテムフォーマット：code:name</t>
    </r>
  </si>
  <si>
    <r>
      <rPr>
        <sz val="11"/>
        <color rgb="FF000000"/>
        <rFont val="Meiryo UI"/>
        <family val="2"/>
      </rPr>
      <t>イベントID：MD7101-02</t>
    </r>
  </si>
  <si>
    <r>
      <rPr>
        <sz val="11"/>
        <color rgb="FF000000"/>
        <rFont val="Meiryo UI"/>
        <family val="2"/>
      </rPr>
      <t>イベントID：MD7101-03</t>
    </r>
  </si>
  <si>
    <r>
      <rPr>
        <sz val="11"/>
        <color rgb="FF000000"/>
        <rFont val="Meiryo UI"/>
        <family val="2"/>
      </rPr>
      <t>検索条件エリアタイトル</t>
    </r>
  </si>
  <si>
    <r>
      <rPr>
        <sz val="11"/>
        <color rgb="FF000000"/>
        <rFont val="Meiryo UI"/>
        <family val="2"/>
      </rPr>
      <t>F02 :新規</t>
    </r>
  </si>
  <si>
    <r>
      <rPr>
        <sz val="11"/>
        <color rgb="FF000000"/>
        <rFont val="Meiryo UI"/>
        <family val="2"/>
      </rPr>
      <t>F01 :編集</t>
    </r>
  </si>
  <si>
    <r>
      <rPr>
        <sz val="11"/>
        <color rgb="FF000000"/>
        <rFont val="Meiryo UI"/>
        <family val="2"/>
      </rPr>
      <t>F11 :確定</t>
    </r>
  </si>
  <si>
    <r>
      <rPr>
        <sz val="11"/>
        <color rgb="FF000000"/>
        <rFont val="Meiryo UI"/>
        <family val="2"/>
      </rPr>
      <t>DuNT</t>
    </r>
  </si>
  <si>
    <r>
      <rPr>
        <sz val="11"/>
        <color rgb="FF000000"/>
        <rFont val="Meiryo UI"/>
        <family val="2"/>
      </rPr>
      <t>レジ種別</t>
    </r>
  </si>
  <si>
    <r>
      <rPr>
        <sz val="11"/>
        <color rgb="FF000000"/>
        <rFont val="Meiryo UI"/>
        <family val="2"/>
      </rPr>
      <t>チェックボックス</t>
    </r>
  </si>
  <si>
    <t>MD7101</t>
  </si>
  <si>
    <t>MD7101：以下の項目をコピーし、その他の項目は空欄とする。
店舗、レジ種別、ノード種別、プリセットレイアウト、ファンクションレイアウト、キーボードレイアウト、レシートメッセージ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</si>
  <si>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</si>
  <si>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</si>
  <si>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</si>
  <si>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</si>
  <si>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</si>
  <si>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</si>
  <si>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</si>
  <si>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</si>
  <si>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</si>
  <si>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FFFFFF"/>
        <rFont val="Meiryo UI"/>
        <family val="2"/>
      </rPr>
      <t>更新内容</t>
    </r>
  </si>
  <si>
    <r>
      <rPr>
        <sz val="11"/>
        <color rgb="FFFFFFFF"/>
        <rFont val="Meiryo UI"/>
        <family val="2"/>
      </rPr>
      <t>承認日</t>
    </r>
  </si>
  <si>
    <r>
      <rPr>
        <sz val="11"/>
        <color rgb="FFFFFFFF"/>
        <rFont val="Meiryo UI"/>
        <family val="2"/>
      </rPr>
      <t>承認者</t>
    </r>
  </si>
  <si>
    <t>DuNT</t>
  </si>
  <si>
    <r>
      <rPr>
        <sz val="11"/>
        <color rgb="FF000000"/>
        <rFont val="Meiryo UI"/>
        <family val="2"/>
      </rPr>
      <t>SC7101：有効条件更新</t>
    </r>
  </si>
  <si>
    <r>
      <rPr>
        <sz val="11"/>
        <color rgb="FF000000"/>
        <rFont val="Meiryo UI"/>
        <family val="2"/>
      </rPr>
      <t>MD7101：AP7105APIマッピング更新</t>
    </r>
  </si>
  <si>
    <r>
      <rPr>
        <sz val="11"/>
        <color rgb="FF000000"/>
        <rFont val="Meiryo UI"/>
        <family val="2"/>
      </rPr>
      <t>MD7101：テナントレジ部門項目を追加</t>
    </r>
  </si>
  <si>
    <r>
      <rPr>
        <sz val="11"/>
        <color rgb="FF000000"/>
        <rFont val="Meiryo UI"/>
        <family val="2"/>
      </rPr>
      <t xml:space="preserve">MD7101：ドロップダウン表示リストを追加で説明する </t>
    </r>
  </si>
  <si>
    <r>
      <rPr>
        <sz val="11"/>
        <color rgb="FF000000"/>
        <rFont val="Meiryo UI"/>
        <family val="2"/>
      </rPr>
      <t>MD7101：IPアドレスとMACアドレスの形式のバリデーションチェックを追加</t>
    </r>
  </si>
  <si>
    <r>
      <rPr>
        <sz val="11"/>
        <color rgb="FF000000"/>
        <rFont val="Meiryo UI"/>
        <family val="2"/>
      </rPr>
      <t>MD7101：選択中の店舗に基づいてドロップダウンリストのプリセットレイアウト、メッセージの初期値をフィルターする。</t>
    </r>
  </si>
  <si>
    <r>
      <rPr>
        <sz val="11"/>
        <color rgb="FF000000"/>
        <rFont val="Meiryo UI"/>
        <family val="2"/>
      </rPr>
      <t>MD7101：入力可能な各項目の最大桁数の説明</t>
    </r>
  </si>
  <si>
    <r>
      <rPr>
        <sz val="11"/>
        <color rgb="FF000000"/>
        <rFont val="Meiryo UI"/>
        <family val="2"/>
      </rPr>
      <t>MD7101：店舗が選択されていない場合、ドロップダウン「店舗」初期値を追加で説明する</t>
    </r>
  </si>
  <si>
    <r>
      <rPr>
        <sz val="11"/>
        <color rgb="FF000000"/>
        <rFont val="Meiryo UI"/>
        <family val="2"/>
      </rPr>
      <t>SC7101、SC7102、MD7101: CashRegisterMasterのtype_code を非表示にする。</t>
    </r>
  </si>
  <si>
    <t>SC7101：店舗が選択されていない場合、画面上の全ての項目が操作不可（取込ボタンを除く）</t>
  </si>
  <si>
    <t>SC7102：クリアボタンを追加する。コード欄を追加する。</t>
  </si>
  <si>
    <t xml:space="preserve">MD7101: インターフェースを更新する。MACアドレス入力部分の説明を追加、項目11のテキストを修正 </t>
  </si>
  <si>
    <t>SC7101、SC7102、MD7101：CashRegisterMasterのtype_code を非表示にする。</t>
  </si>
  <si>
    <t>MD7101：コピー：店舗選択時、全ての店舗を表示する。</t>
  </si>
  <si>
    <t>MD7101：編集モーダルでは、変更がある場合のみ「確定」ボタンを有効にする。</t>
  </si>
  <si>
    <t>TinNH</t>
  </si>
  <si>
    <t>■SC7101_レジマスタ設定画面のイメージ</t>
  </si>
  <si>
    <t>■画面項目定義</t>
  </si>
  <si>
    <t>画面項目ID</t>
  </si>
  <si>
    <t>項目</t>
  </si>
  <si>
    <t>タイプ</t>
  </si>
  <si>
    <t>多言語</t>
  </si>
  <si>
    <t>出力</t>
  </si>
  <si>
    <t>インプット</t>
  </si>
  <si>
    <t>備考</t>
  </si>
  <si>
    <t>マッピングデータ</t>
  </si>
  <si>
    <t>初期値</t>
  </si>
  <si>
    <t>表示コントロール</t>
  </si>
  <si>
    <t>Control enable</t>
  </si>
  <si>
    <t>必須</t>
  </si>
  <si>
    <t>数字</t>
  </si>
  <si>
    <t>桁</t>
  </si>
  <si>
    <t>API名</t>
  </si>
  <si>
    <t>レジマスタ設定</t>
  </si>
  <si>
    <t>店舗</t>
  </si>
  <si>
    <t>レジ番号</t>
  </si>
  <si>
    <t>CashMachine.code</t>
  </si>
  <si>
    <t>更新された場合、新しいtype_codeとtype_nameを表示する。</t>
  </si>
  <si>
    <r>
      <rPr>
        <sz val="11"/>
        <color rgb="FF000000"/>
        <rFont val="Meiryo UI"/>
        <family val="2"/>
      </rPr>
      <t xml:space="preserve">CashMachine.type_node:CashMachine.type_node_name
</t>
    </r>
  </si>
  <si>
    <t>ー</t>
  </si>
  <si>
    <t>CashMachine.ip_address</t>
  </si>
  <si>
    <t>CashMachine.mac_address</t>
  </si>
  <si>
    <t>View</t>
  </si>
  <si>
    <t>決定</t>
  </si>
  <si>
    <t>検索条件</t>
  </si>
  <si>
    <t>AP7102</t>
  </si>
  <si>
    <t>cash_machine_no</t>
  </si>
  <si>
    <t>AP7103</t>
  </si>
  <si>
    <r>
      <t>CashRegisterType.code:</t>
    </r>
    <r>
      <rPr>
        <strike/>
        <sz val="11"/>
        <color rgb="FF0000FF"/>
        <rFont val="Meiryo UI"/>
        <family val="2"/>
      </rPr>
      <t xml:space="preserve"> </t>
    </r>
    <r>
      <rPr>
        <sz val="11"/>
        <color rgb="FF0000FF"/>
        <rFont val="Meiryo UI"/>
        <family val="2"/>
      </rPr>
      <t>CashRegisterType.name</t>
    </r>
  </si>
  <si>
    <t>node_type</t>
  </si>
  <si>
    <t>preset_layout_id</t>
  </si>
  <si>
    <t>function_layout_id</t>
  </si>
  <si>
    <t>keyboard_layout_id</t>
  </si>
  <si>
    <t>有効</t>
  </si>
  <si>
    <t>店舗が選択されていない場合は無効にする。</t>
  </si>
  <si>
    <t>リスト内のアイテムが選択されていない場合は無効にする。</t>
  </si>
  <si>
    <t>リスト内のアイテムが選択されていない場合は無効にする。アイテムが削除としてマークされた場合は無効にする。</t>
  </si>
  <si>
    <t>CashMachine.keyboard_layout_code:CashMachine.keyboard_layout_name</t>
  </si>
  <si>
    <t>■SC7102_レジ種別追加画面のイメージ</t>
  </si>
  <si>
    <t>レジ種別追加</t>
  </si>
  <si>
    <r>
      <rPr>
        <sz val="11"/>
        <color rgb="FF000000"/>
        <rFont val="Meiryo UI"/>
        <family val="2"/>
      </rPr>
      <t>イベントID：SC7102-01</t>
    </r>
  </si>
  <si>
    <t>No（タイトル）</t>
  </si>
  <si>
    <t>テキスト</t>
  </si>
  <si>
    <t>No</t>
  </si>
  <si>
    <t>No（値）</t>
  </si>
  <si>
    <t>リスト内のアイテムの表示順</t>
  </si>
  <si>
    <t>レジ種別のID列</t>
  </si>
  <si>
    <t>コード</t>
  </si>
  <si>
    <t>レジ種別ID（値）</t>
  </si>
  <si>
    <t>EditText</t>
  </si>
  <si>
    <t>CashRegisterType.code</t>
  </si>
  <si>
    <t>アイテムが新規モードの場合にのみ入力可能</t>
  </si>
  <si>
    <t>AP7104</t>
  </si>
  <si>
    <t>最大数字の2桁。</t>
  </si>
  <si>
    <t>アイテムが新規モード、編集モードの場合にのみ入力可能</t>
  </si>
  <si>
    <r>
      <rPr>
        <sz val="11"/>
        <color rgb="FF000000"/>
        <rFont val="Meiryo UI"/>
        <family val="2"/>
      </rPr>
      <t>50桁。50桁を超えた場合：MSG_VAL_002</t>
    </r>
  </si>
  <si>
    <t xml:space="preserve">レジ種別検索タイトル </t>
  </si>
  <si>
    <t>レジ種別</t>
  </si>
  <si>
    <t>F04:クリア</t>
  </si>
  <si>
    <t>ボタン</t>
  </si>
  <si>
    <t>I</t>
  </si>
  <si>
    <t>イベントID：SC7102-07</t>
  </si>
  <si>
    <t>検索</t>
  </si>
  <si>
    <r>
      <rPr>
        <sz val="11"/>
        <color rgb="FF000000"/>
        <rFont val="Meiryo UI"/>
        <family val="2"/>
      </rPr>
      <t>イベントID：SC7102-02</t>
    </r>
  </si>
  <si>
    <t>F10 :削除</t>
  </si>
  <si>
    <r>
      <rPr>
        <sz val="11"/>
        <color rgb="FF000000"/>
        <rFont val="Meiryo UI"/>
        <family val="2"/>
      </rPr>
      <t>イベントID：SC7102-03</t>
    </r>
  </si>
  <si>
    <r>
      <rPr>
        <sz val="11"/>
        <color rgb="FF000000"/>
        <rFont val="Meiryo UI"/>
        <family val="2"/>
      </rPr>
      <t>イベントID：SC7102-05</t>
    </r>
  </si>
  <si>
    <t>1つのレコードにフォーカスし、そのレコードが削除としてマークされていない場合は有効にする。</t>
  </si>
  <si>
    <r>
      <rPr>
        <sz val="11"/>
        <color rgb="FF000000"/>
        <rFont val="Meiryo UI"/>
        <family val="2"/>
      </rPr>
      <t>イベントID：SC7102-04</t>
    </r>
  </si>
  <si>
    <t>変更があった場合に有効にする（1つのアイテムを新規作成する時にコードと名称を入力しない場合は変更があったと見なさず、確定ボタンを無効にする。）</t>
  </si>
  <si>
    <r>
      <rPr>
        <sz val="11"/>
        <color rgb="FF000000"/>
        <rFont val="Meiryo UI"/>
        <family val="2"/>
      </rPr>
      <t>イベントID：SC7102-06</t>
    </r>
  </si>
  <si>
    <t>■MD7101_レジマスタ設定編集モーダルのイメージ</t>
  </si>
  <si>
    <r>
      <rPr>
        <sz val="11"/>
        <color rgb="FF000000"/>
        <rFont val="Meiryo UI"/>
        <family val="2"/>
      </rPr>
      <t>新規
コピー
編集</t>
    </r>
  </si>
  <si>
    <r>
      <rPr>
        <sz val="11"/>
        <color rgb="FF000000"/>
        <rFont val="Meiryo UI"/>
        <family val="2"/>
      </rPr>
      <t>・新規の場合：新規 
・コピーの場合：コピー
・編集の場合：編集</t>
    </r>
  </si>
  <si>
    <t>追加の場合、選択されている店舗一覧 コピーの場合、ユーザーが操作権限を持つ全て店舗一覧</t>
  </si>
  <si>
    <r>
      <rPr>
        <sz val="11"/>
        <color rgb="FF000000"/>
        <rFont val="Meiryo UI"/>
        <family val="2"/>
      </rPr>
      <t>新規の場合：有効
編集・コピーの場合：無効</t>
    </r>
  </si>
  <si>
    <r>
      <rPr>
        <sz val="11"/>
        <color rgb="FF000000"/>
        <rFont val="Meiryo UI"/>
        <family val="2"/>
      </rPr>
      <t xml:space="preserve">初期店舗一覧のアイテムフォーマット: 「store_code:store_name」
</t>
    </r>
    <r>
      <rPr>
        <sz val="11"/>
        <color rgb="FF0000FF"/>
        <rFont val="Meiryo UI"/>
        <family val="2"/>
      </rPr>
      <t>イベントID：MD7101-01</t>
    </r>
  </si>
  <si>
    <r>
      <rPr>
        <sz val="11"/>
        <color rgb="FF000000"/>
        <rFont val="Meiryo UI"/>
        <family val="2"/>
      </rPr>
      <t>編集の場合: AP7101レスポンスのコード値
コピー・新規の場合: 空き</t>
    </r>
  </si>
  <si>
    <r>
      <rPr>
        <sz val="11"/>
        <color rgb="FF000000"/>
        <rFont val="Meiryo UI"/>
        <family val="2"/>
      </rPr>
      <t>編集の場合：無効
新規・コピーの場合：有効</t>
    </r>
  </si>
  <si>
    <r>
      <rPr>
        <sz val="11"/>
        <color rgb="FF000000"/>
        <rFont val="Meiryo UI"/>
        <family val="2"/>
      </rPr>
      <t>数字のみ入力可能。最大4桁</t>
    </r>
  </si>
  <si>
    <t>ファンクションレイアウト*</t>
  </si>
  <si>
    <t>編集の場合：AP7101レスポンスのip_addressの値
新規・コピーの場合：空き</t>
  </si>
  <si>
    <r>
      <rPr>
        <sz val="11"/>
        <color rgb="FF000000"/>
        <rFont val="Meiryo UI"/>
        <family val="2"/>
      </rPr>
      <t>形式：IPv4: x.x.x.x（xは0から255の範囲）</t>
    </r>
  </si>
  <si>
    <t>編集の場合：AP7101レスポンスのmac_addressの値
新規・コピーの場合：空き</t>
  </si>
  <si>
    <t>形式：XX:XX:XX:XX:XX:XX（X：[0-9]又は[a-f]又は[A-F]）</t>
  </si>
  <si>
    <t>編集の場合：AP7101レスポンスのstart_up_timesの値
新規・コピーの場合：空き</t>
  </si>
  <si>
    <t>28-1</t>
  </si>
  <si>
    <t>構成比除外（タイトル）</t>
  </si>
  <si>
    <t>構成比除外</t>
  </si>
  <si>
    <t>28-2</t>
  </si>
  <si>
    <t>構成比除外（値）</t>
  </si>
  <si>
    <t>チェックボックス</t>
  </si>
  <si>
    <t>I/O</t>
  </si>
  <si>
    <t>AP7101</t>
  </si>
  <si>
    <t>rate_customer_excluded</t>
  </si>
  <si>
    <t>AP7105</t>
  </si>
  <si>
    <t>28-3</t>
  </si>
  <si>
    <t>380アテンダントモニタ除外（タイトル）</t>
  </si>
  <si>
    <t>380アテンダントモニタ除外</t>
  </si>
  <si>
    <t>28-4</t>
  </si>
  <si>
    <t>380アテンダントモニタ除外（値）</t>
  </si>
  <si>
    <t>attendant_monitor_excluded</t>
  </si>
  <si>
    <t>編集の場合：AP7101レスポンスのpos_modelの値
新規・コピーの場合：空き</t>
  </si>
  <si>
    <t>編集の場合：AP7101レスポンスのcash_machine_modelの値
新規・コピーの場合：空き</t>
  </si>
  <si>
    <t>編集の場合：AP7101レスポンスのscanner_modelの値
新規・コピーの場合：空き</t>
  </si>
  <si>
    <t>編集の場合： AP7101レスポンスのtenant_hierarchy_codeの値
追加・コピーの場合又はnode_typeが「05:テナントレジ」以外の場合、空き</t>
  </si>
  <si>
    <r>
      <rPr>
        <sz val="11"/>
        <color rgb="FF000000"/>
        <rFont val="Meiryo UI"/>
        <family val="2"/>
      </rPr>
      <t>有効：ノード種別が「05:テナントレジ」の場合
無効：ノード種別が「05:テナントレジ」以外の場合</t>
    </r>
  </si>
  <si>
    <r>
      <rPr>
        <sz val="11"/>
        <color rgb="FF000000"/>
        <rFont val="Meiryo UI"/>
        <family val="2"/>
      </rPr>
      <t>フォーマット：yyyy/MM/dd 
編集の場合: AP7101レスポンスのupdate_dateの値
新規・コピーの場合：新規・コピーの日付</t>
    </r>
  </si>
  <si>
    <t>編集の場合：AP7101レスポンスのnote_1の値
新規・コピーの場合：空き</t>
  </si>
  <si>
    <t>編集の場合：AP7101レスポンスのnote_2の値
新規・コピーの場合：空き</t>
  </si>
  <si>
    <t>編集の場合：AP7101レスポンスのnote_3の値
新規・コピーの場合：空き</t>
  </si>
  <si>
    <t>ESC : 前画面</t>
  </si>
  <si>
    <t>変更があった場合に有効にする。</t>
  </si>
  <si>
    <t>編集・コピーの場合: AP7101レスポンスでtype_code=type_codeのアイテムを選択する。
新規の場合、アイテムを選択しない。</t>
  </si>
  <si>
    <t>編集・コピーの場合、AP7101レスポンスでstore_code=store_codeのアイテムを選択する。
新規の場合、アイテムを選択しない。</t>
  </si>
  <si>
    <t>編集・コピーの場合:AP7101レスポンスでtype_node=type_nodeのアイテムを選択する。
新規の場合、アイテムを選択しない。</t>
  </si>
  <si>
    <t>AP1501レスポンス（store_code=項目ID2で選択された店舗）</t>
  </si>
  <si>
    <t>編集・コピーの場合：AP7101レスポンスでbutton_layout_code=button_layout_codeのアイテムを選択する。
新規の場合、アイテムを選択しない。</t>
  </si>
  <si>
    <t>編集・コピーの場合：AP7101レスポンスでfunction_layout_code=function_layout_codeのアイテムを選択する。
新規の場合、アイテムを選択しない。</t>
  </si>
  <si>
    <t>編集・コピーの場合：AP7101レスポンスでkeyboard_layout_code=keyboard_layout_codeのアイテムを選択する。
新規の場合、アイテムを選択しない。</t>
  </si>
  <si>
    <t>AP8301レスポンス（store_code=項目ID2で選択された店舗）</t>
  </si>
  <si>
    <t>編集・コピーの場合：AP7101レスポンスでreceipt_message_code=receipt_message_codeのアイテムを選択する。
新規の場合、アイテムを選択しない。</t>
  </si>
  <si>
    <t>node_type (項目8)=5 (テナントレジ)の場合、入力必須。
最大数字の2桁。</t>
  </si>
  <si>
    <t>編集の場合: AP7101レスポンスのupdate_employeeの値
新規・コピーの場合: 新規作成・コピーしているユーザー</t>
  </si>
  <si>
    <t>・構成比除外, 380アテンダントモニタ除外を追加する。</t>
  </si>
  <si>
    <t>ファンクションレイアウト（列名）</t>
  </si>
  <si>
    <t>ファンクションレイアウト</t>
  </si>
  <si>
    <t>ファンクションレイアウト（値）</t>
  </si>
  <si>
    <t>O</t>
  </si>
  <si>
    <t>CashMachine.function_layout_code
:CashMachine.function_layout_name</t>
  </si>
  <si>
    <t>更新された場合、新しいfunction_layout_codeとfunction_layout_nameを表示する。</t>
  </si>
  <si>
    <t>キーボードレイアウト（列名）</t>
  </si>
  <si>
    <t>キーボードレイアウト</t>
  </si>
  <si>
    <t>キーボードレイアウト （値）</t>
  </si>
  <si>
    <t>更新された場合、新しいkeyboard_layout_codeとkeyboard_layout_nameを表示する。</t>
  </si>
  <si>
    <t>レシートメッセージ（列名）</t>
  </si>
  <si>
    <t>レシートメッセージ</t>
  </si>
  <si>
    <t>レシートメッセージ（値）</t>
  </si>
  <si>
    <t xml:space="preserve">CashMachine.receipt_message_code:CashMachine.receipt_message
</t>
  </si>
  <si>
    <t>更新された場合、新しいreceipt_message_codeとreceipt_messageを表示する。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</si>
</sst>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sz val="10"/>
      <color theme="1"/>
      <name val="Meiryo UI"/>
      <family val="2"/>
    </font>
    <font>
      <strike/>
      <sz val="11"/>
      <name val="Meiryo UI"/>
      <family val="2"/>
    </font>
    <font>
      <strike/>
      <sz val="11"/>
      <color rgb="FFFF0000"/>
      <name val="Meiryo UI"/>
      <family val="2"/>
    </font>
    <font>
      <sz val="10"/>
      <name val="Meiryo UI"/>
      <family val="2"/>
    </font>
    <font>
      <strike/>
      <sz val="11"/>
      <color rgb="FF0000FF"/>
      <name val="Meiryo UI"/>
      <family val="2"/>
    </font>
    <font>
      <sz val="10"/>
      <color rgb="FF0000FF"/>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
      <sz val="11"/>
      <color rgb="FF0000FF"/>
      <name val="Meiryo UI"/>
      <family val="2"/>
    </font>
  </fonts>
  <fills count="7">
    <fill>
      <patternFill patternType="none"/>
    </fill>
    <fill>
      <patternFill patternType="gray125"/>
    </fill>
    <fill>
      <patternFill patternType="solid">
        <fgColor rgb="FF333399"/>
        <bgColor indexed="64"/>
      </patternFill>
    </fill>
    <fill>
      <patternFill patternType="solid">
        <fgColor theme="0"/>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s>
  <borders count="4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9" fillId="0" borderId="0">
      <alignment vertical="center"/>
    </xf>
  </cellStyleXfs>
  <cellXfs count="52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16" xfId="6" applyFont="1" applyBorder="1" applyAlignment="1">
      <alignment horizontal="center" vertical="center"/>
    </xf>
    <xf numFmtId="0" fontId="7" fillId="0" borderId="17" xfId="6" applyFont="1" applyBorder="1" applyAlignment="1">
      <alignment vertical="center"/>
    </xf>
    <xf numFmtId="0" fontId="7" fillId="0" borderId="16" xfId="6" applyFont="1" applyBorder="1" applyAlignment="1">
      <alignment vertical="center"/>
    </xf>
    <xf numFmtId="0" fontId="7" fillId="0" borderId="18" xfId="6" applyFont="1" applyBorder="1" applyAlignment="1">
      <alignment horizontal="center" vertical="center"/>
    </xf>
    <xf numFmtId="0" fontId="7" fillId="0" borderId="19" xfId="6" applyFont="1" applyBorder="1" applyAlignment="1">
      <alignment horizontal="center" vertical="center"/>
    </xf>
    <xf numFmtId="0" fontId="7" fillId="0" borderId="17" xfId="6" applyFont="1" applyBorder="1" applyAlignment="1">
      <alignment horizontal="center" vertical="center"/>
    </xf>
    <xf numFmtId="0" fontId="23" fillId="0" borderId="0" xfId="0" applyFont="1"/>
    <xf numFmtId="0" fontId="23" fillId="0" borderId="2" xfId="0" applyFont="1" applyBorder="1"/>
    <xf numFmtId="0" fontId="23" fillId="0" borderId="3" xfId="0" applyFont="1" applyBorder="1"/>
    <xf numFmtId="0" fontId="23" fillId="0" borderId="5" xfId="0" applyFont="1" applyBorder="1"/>
    <xf numFmtId="0" fontId="23" fillId="0" borderId="1" xfId="0" applyFont="1" applyBorder="1"/>
    <xf numFmtId="0" fontId="23" fillId="0" borderId="4" xfId="0" applyFont="1" applyBorder="1"/>
    <xf numFmtId="0" fontId="23" fillId="0" borderId="0" xfId="6" applyFont="1" applyAlignment="1">
      <alignment vertical="center"/>
    </xf>
    <xf numFmtId="0" fontId="23" fillId="0" borderId="18" xfId="6" applyFont="1" applyBorder="1" applyAlignment="1">
      <alignment horizontal="center" vertical="center"/>
    </xf>
    <xf numFmtId="0" fontId="23" fillId="0" borderId="16" xfId="6" applyFont="1" applyBorder="1" applyAlignment="1">
      <alignment horizontal="center" vertical="center"/>
    </xf>
    <xf numFmtId="0" fontId="23" fillId="0" borderId="16" xfId="6" applyFont="1" applyBorder="1" applyAlignment="1">
      <alignment vertical="center"/>
    </xf>
    <xf numFmtId="0" fontId="23" fillId="0" borderId="19" xfId="6" applyFont="1" applyBorder="1" applyAlignment="1">
      <alignment horizontal="center" vertical="center"/>
    </xf>
    <xf numFmtId="0" fontId="23" fillId="0" borderId="19" xfId="6" applyFont="1" applyBorder="1" applyAlignment="1">
      <alignment vertical="center"/>
    </xf>
    <xf numFmtId="0" fontId="24" fillId="0" borderId="16" xfId="6" applyFont="1" applyBorder="1" applyAlignment="1">
      <alignment horizontal="center" vertical="center"/>
    </xf>
    <xf numFmtId="0" fontId="24" fillId="0" borderId="1" xfId="6" applyFont="1" applyBorder="1" applyAlignment="1">
      <alignment vertical="center"/>
    </xf>
    <xf numFmtId="0" fontId="24" fillId="0" borderId="4" xfId="6" applyFont="1" applyBorder="1" applyAlignment="1">
      <alignment vertical="center"/>
    </xf>
    <xf numFmtId="0" fontId="24" fillId="0" borderId="0" xfId="6" applyFont="1" applyAlignment="1">
      <alignment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20" xfId="0" applyFont="1" applyBorder="1" applyAlignment="1">
      <alignment horizontal="center" vertical="center"/>
    </xf>
    <xf numFmtId="0" fontId="10"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8" fillId="0" borderId="23" xfId="0" applyFont="1" applyBorder="1" applyAlignment="1">
      <alignment horizontal="center" vertical="center"/>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0" xfId="0" applyNumberFormat="1" applyBorder="1" applyAlignment="1">
      <alignment horizontal="center" vertical="center"/>
    </xf>
    <xf numFmtId="14" fontId="0" fillId="0" borderId="21" xfId="0" applyNumberFormat="1" applyBorder="1" applyAlignment="1">
      <alignment horizontal="center" vertical="center"/>
    </xf>
    <xf numFmtId="14" fontId="0" fillId="0" borderId="2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25" xfId="0" applyFont="1" applyFill="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23" fillId="0" borderId="22"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14" fontId="23" fillId="0" borderId="20" xfId="0" applyNumberFormat="1" applyFont="1" applyBorder="1" applyAlignment="1">
      <alignment horizontal="center" vertical="center"/>
    </xf>
    <xf numFmtId="14" fontId="23" fillId="0" borderId="21" xfId="0" applyNumberFormat="1" applyFont="1" applyBorder="1" applyAlignment="1">
      <alignment horizontal="center" vertical="center"/>
    </xf>
    <xf numFmtId="14" fontId="23" fillId="0" borderId="22" xfId="0" applyNumberFormat="1"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0" fontId="23" fillId="0" borderId="26" xfId="0" applyFont="1" applyBorder="1"/>
    <xf numFmtId="0" fontId="23" fillId="0" borderId="27" xfId="0" applyFont="1" applyBorder="1"/>
    <xf numFmtId="0" fontId="23" fillId="0" borderId="28" xfId="0" applyFont="1" applyBorder="1"/>
    <xf numFmtId="0" fontId="23" fillId="0" borderId="21" xfId="0" applyFont="1" applyBorder="1"/>
    <xf numFmtId="0" fontId="23" fillId="0" borderId="22" xfId="0" applyFont="1" applyBorder="1"/>
    <xf numFmtId="0" fontId="23" fillId="0" borderId="3" xfId="0" applyFont="1" applyBorder="1"/>
    <xf numFmtId="0" fontId="23" fillId="0" borderId="5" xfId="0" applyFont="1" applyBorder="1"/>
    <xf numFmtId="0" fontId="23" fillId="0" borderId="20" xfId="0" applyFont="1" applyBorder="1"/>
    <xf numFmtId="0" fontId="23" fillId="0" borderId="2" xfId="0" applyFont="1" applyBorder="1"/>
    <xf numFmtId="0" fontId="23" fillId="0" borderId="29" xfId="0" applyFont="1" applyBorder="1"/>
    <xf numFmtId="0" fontId="23" fillId="0" borderId="30" xfId="0" applyFont="1" applyBorder="1"/>
    <xf numFmtId="0" fontId="23" fillId="0" borderId="31" xfId="0" applyFont="1" applyBorder="1"/>
    <xf numFmtId="0" fontId="20" fillId="2" borderId="0" xfId="0" applyFont="1" applyFill="1"/>
    <xf numFmtId="14" fontId="24" fillId="0" borderId="20" xfId="0" applyNumberFormat="1" applyFont="1" applyBorder="1" applyAlignment="1">
      <alignment horizontal="center" vertical="center"/>
    </xf>
    <xf numFmtId="0" fontId="24" fillId="0" borderId="21" xfId="0" applyFont="1" applyBorder="1" applyAlignment="1">
      <alignment horizontal="center" vertical="center"/>
    </xf>
    <xf numFmtId="0" fontId="24" fillId="0" borderId="22" xfId="0" applyFont="1" applyBorder="1" applyAlignment="1">
      <alignment horizontal="center" vertical="center"/>
    </xf>
    <xf numFmtId="14" fontId="24" fillId="0" borderId="1" xfId="0" applyNumberFormat="1" applyFont="1" applyBorder="1" applyAlignment="1">
      <alignment horizontal="center" vertical="center"/>
    </xf>
    <xf numFmtId="0" fontId="24" fillId="0" borderId="0" xfId="0" applyFont="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0" borderId="20" xfId="0" applyFont="1" applyBorder="1" applyAlignment="1">
      <alignment horizontal="center" vertical="center"/>
    </xf>
    <xf numFmtId="0" fontId="24" fillId="0" borderId="1" xfId="0" applyFont="1" applyBorder="1" applyAlignment="1">
      <alignment horizontal="center" vertical="center"/>
    </xf>
    <xf numFmtId="0" fontId="24" fillId="0" borderId="26" xfId="0" applyFont="1" applyBorder="1" applyAlignment="1">
      <alignment wrapText="1"/>
    </xf>
    <xf numFmtId="0" fontId="24" fillId="0" borderId="27" xfId="0" applyFont="1" applyBorder="1" applyAlignment="1">
      <alignment wrapText="1"/>
    </xf>
    <xf numFmtId="0" fontId="24" fillId="0" borderId="28" xfId="0" applyFont="1" applyBorder="1" applyAlignment="1">
      <alignment wrapText="1"/>
    </xf>
    <xf numFmtId="0" fontId="23" fillId="0" borderId="0" xfId="0" applyFont="1"/>
    <xf numFmtId="0" fontId="23" fillId="0" borderId="4" xfId="0" applyFont="1" applyBorder="1"/>
    <xf numFmtId="0" fontId="23" fillId="0" borderId="1" xfId="0" applyFont="1" applyBorder="1"/>
    <xf numFmtId="0" fontId="24" fillId="0" borderId="29" xfId="0" applyFont="1" applyBorder="1" applyAlignment="1">
      <alignment wrapText="1"/>
    </xf>
    <xf numFmtId="0" fontId="24" fillId="0" borderId="30" xfId="0" applyFont="1" applyBorder="1"/>
    <xf numFmtId="0" fontId="24" fillId="0" borderId="31" xfId="0" applyFont="1" applyBorder="1"/>
    <xf numFmtId="0" fontId="24" fillId="0" borderId="29" xfId="0" applyFont="1" applyBorder="1"/>
    <xf numFmtId="0" fontId="24" fillId="0" borderId="32" xfId="0" applyFont="1" applyBorder="1" applyAlignment="1">
      <alignment horizontal="left" wrapText="1"/>
    </xf>
    <xf numFmtId="0" fontId="24" fillId="0" borderId="33" xfId="0" applyFont="1" applyBorder="1" applyAlignment="1">
      <alignment horizontal="left" wrapText="1"/>
    </xf>
    <xf numFmtId="0" fontId="24" fillId="0" borderId="34" xfId="0" applyFont="1" applyBorder="1" applyAlignment="1">
      <alignment horizontal="left" wrapText="1"/>
    </xf>
    <xf numFmtId="0" fontId="24" fillId="0" borderId="26" xfId="0" applyFont="1" applyBorder="1"/>
    <xf numFmtId="0" fontId="24" fillId="0" borderId="27" xfId="0" applyFont="1" applyBorder="1"/>
    <xf numFmtId="0" fontId="24" fillId="0" borderId="28" xfId="0" applyFont="1" applyBorder="1"/>
    <xf numFmtId="0" fontId="24" fillId="0" borderId="30" xfId="0" applyFont="1" applyBorder="1" applyAlignment="1">
      <alignment wrapText="1"/>
    </xf>
    <xf numFmtId="0" fontId="24" fillId="0" borderId="31" xfId="0" applyFont="1" applyBorder="1" applyAlignment="1">
      <alignment wrapText="1"/>
    </xf>
    <xf numFmtId="0" fontId="23" fillId="0" borderId="32" xfId="6" applyFont="1" applyBorder="1" applyAlignment="1">
      <alignment vertical="center"/>
    </xf>
    <xf numFmtId="0" fontId="23" fillId="0" borderId="33" xfId="6" applyFont="1" applyBorder="1" applyAlignment="1">
      <alignment vertical="center"/>
    </xf>
    <xf numFmtId="0" fontId="23" fillId="0" borderId="34" xfId="6" applyFont="1" applyBorder="1" applyAlignment="1">
      <alignment vertical="center"/>
    </xf>
    <xf numFmtId="0" fontId="7" fillId="0" borderId="32" xfId="6" applyFont="1" applyBorder="1" applyAlignment="1">
      <alignment horizontal="center" vertical="center"/>
    </xf>
    <xf numFmtId="0" fontId="7" fillId="0" borderId="33" xfId="6" applyFont="1" applyBorder="1" applyAlignment="1">
      <alignment horizontal="center" vertical="center"/>
    </xf>
    <xf numFmtId="0" fontId="7" fillId="0" borderId="34" xfId="6" applyFont="1" applyBorder="1" applyAlignment="1">
      <alignment horizontal="center" vertical="center"/>
    </xf>
    <xf numFmtId="0" fontId="24" fillId="0" borderId="32" xfId="6" applyFont="1" applyBorder="1" applyAlignment="1">
      <alignment vertical="center" wrapText="1"/>
    </xf>
    <xf numFmtId="0" fontId="24" fillId="0" borderId="33" xfId="6" applyFont="1" applyBorder="1" applyAlignment="1">
      <alignment vertical="center" wrapText="1"/>
    </xf>
    <xf numFmtId="0" fontId="24" fillId="0" borderId="34" xfId="6" applyFont="1" applyBorder="1" applyAlignment="1">
      <alignment vertical="center" wrapText="1"/>
    </xf>
    <xf numFmtId="0" fontId="7" fillId="0" borderId="32" xfId="6" quotePrefix="1" applyFont="1" applyBorder="1" applyAlignment="1">
      <alignment horizontal="left" vertical="center" wrapText="1" indent="1"/>
    </xf>
    <xf numFmtId="0" fontId="7" fillId="0" borderId="33" xfId="6" quotePrefix="1" applyFont="1" applyBorder="1" applyAlignment="1">
      <alignment horizontal="left" vertical="center" wrapText="1" indent="1"/>
    </xf>
    <xf numFmtId="0" fontId="7" fillId="0" borderId="34" xfId="6" quotePrefix="1" applyFont="1" applyBorder="1" applyAlignment="1">
      <alignment horizontal="left" vertical="center" wrapText="1" indent="1"/>
    </xf>
    <xf numFmtId="0" fontId="7" fillId="0" borderId="32" xfId="6" applyFont="1" applyBorder="1" applyAlignment="1">
      <alignment vertical="center"/>
    </xf>
    <xf numFmtId="0" fontId="7" fillId="0" borderId="33" xfId="6" applyFont="1" applyBorder="1" applyAlignment="1">
      <alignment vertical="center"/>
    </xf>
    <xf numFmtId="0" fontId="7" fillId="0" borderId="34" xfId="6" applyFont="1" applyBorder="1" applyAlignment="1">
      <alignment vertical="center"/>
    </xf>
    <xf numFmtId="0" fontId="23" fillId="3" borderId="32" xfId="6" applyFont="1" applyFill="1" applyBorder="1" applyAlignment="1">
      <alignment horizontal="center" vertical="center" wrapText="1"/>
    </xf>
    <xf numFmtId="0" fontId="23" fillId="3" borderId="33" xfId="6" applyFont="1" applyFill="1" applyBorder="1" applyAlignment="1">
      <alignment horizontal="center" vertical="center"/>
    </xf>
    <xf numFmtId="0" fontId="23" fillId="3" borderId="34" xfId="6" applyFont="1" applyFill="1" applyBorder="1" applyAlignment="1">
      <alignment horizontal="center" vertical="center"/>
    </xf>
    <xf numFmtId="0" fontId="23" fillId="3" borderId="32" xfId="6" applyFont="1" applyFill="1" applyBorder="1" applyAlignment="1">
      <alignment horizontal="left" vertical="center" wrapText="1"/>
    </xf>
    <xf numFmtId="0" fontId="23" fillId="3" borderId="33" xfId="6" applyFont="1" applyFill="1" applyBorder="1" applyAlignment="1">
      <alignment horizontal="left" vertical="center"/>
    </xf>
    <xf numFmtId="0" fontId="23" fillId="3" borderId="34" xfId="6" applyFont="1" applyFill="1" applyBorder="1" applyAlignment="1">
      <alignment horizontal="left" vertical="center"/>
    </xf>
    <xf numFmtId="0" fontId="8" fillId="0" borderId="32" xfId="6" quotePrefix="1" applyFont="1" applyBorder="1" applyAlignment="1">
      <alignment horizontal="center"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7" fillId="0" borderId="32" xfId="6" quotePrefix="1" applyFont="1" applyBorder="1" applyAlignment="1">
      <alignment horizontal="center" vertical="center"/>
    </xf>
    <xf numFmtId="0" fontId="23" fillId="0" borderId="40" xfId="6" applyFont="1" applyBorder="1" applyAlignment="1">
      <alignment vertical="center"/>
    </xf>
    <xf numFmtId="0" fontId="23" fillId="0" borderId="41" xfId="6" applyFont="1" applyBorder="1" applyAlignment="1">
      <alignment vertical="center"/>
    </xf>
    <xf numFmtId="0" fontId="23" fillId="0" borderId="42" xfId="6" applyFont="1" applyBorder="1" applyAlignment="1">
      <alignment vertical="center"/>
    </xf>
    <xf numFmtId="0" fontId="7" fillId="0" borderId="32" xfId="6" quotePrefix="1" applyFont="1" applyBorder="1" applyAlignment="1">
      <alignment vertical="center" wrapText="1"/>
    </xf>
    <xf numFmtId="0" fontId="7" fillId="0" borderId="33" xfId="6" quotePrefix="1" applyFont="1" applyBorder="1" applyAlignment="1">
      <alignment vertical="center" wrapText="1"/>
    </xf>
    <xf numFmtId="0" fontId="7" fillId="0" borderId="34" xfId="6" quotePrefix="1" applyFont="1" applyBorder="1" applyAlignment="1">
      <alignment vertical="center" wrapText="1"/>
    </xf>
    <xf numFmtId="0" fontId="7" fillId="3" borderId="32" xfId="6" applyFont="1" applyFill="1" applyBorder="1" applyAlignment="1">
      <alignment horizontal="center" vertical="center"/>
    </xf>
    <xf numFmtId="0" fontId="7" fillId="3" borderId="33" xfId="6" applyFont="1" applyFill="1" applyBorder="1" applyAlignment="1">
      <alignment horizontal="center" vertical="center"/>
    </xf>
    <xf numFmtId="0" fontId="7" fillId="3" borderId="34" xfId="6" applyFont="1" applyFill="1" applyBorder="1" applyAlignment="1">
      <alignment horizontal="center" vertical="center"/>
    </xf>
    <xf numFmtId="0" fontId="23" fillId="0" borderId="40" xfId="6" quotePrefix="1" applyFont="1" applyBorder="1" applyAlignment="1">
      <alignment horizontal="left" vertical="center" indent="1"/>
    </xf>
    <xf numFmtId="0" fontId="23" fillId="0" borderId="41" xfId="6" quotePrefix="1" applyFont="1" applyBorder="1" applyAlignment="1">
      <alignment horizontal="left" vertical="center" indent="1"/>
    </xf>
    <xf numFmtId="0" fontId="23" fillId="0" borderId="42" xfId="6" quotePrefix="1" applyFont="1" applyBorder="1" applyAlignment="1">
      <alignment horizontal="left" vertical="center" indent="1"/>
    </xf>
    <xf numFmtId="0" fontId="23" fillId="3" borderId="32" xfId="6" applyFont="1" applyFill="1" applyBorder="1" applyAlignment="1">
      <alignment horizontal="center" vertical="center"/>
    </xf>
    <xf numFmtId="0" fontId="8" fillId="3" borderId="32" xfId="6" applyFont="1" applyFill="1" applyBorder="1" applyAlignment="1">
      <alignment horizontal="left" vertical="center"/>
    </xf>
    <xf numFmtId="0" fontId="7" fillId="3" borderId="33" xfId="6" applyFont="1" applyFill="1" applyBorder="1" applyAlignment="1">
      <alignment horizontal="left" vertical="center"/>
    </xf>
    <xf numFmtId="0" fontId="7" fillId="3" borderId="34" xfId="6" applyFont="1" applyFill="1" applyBorder="1" applyAlignment="1">
      <alignment horizontal="left" vertical="center"/>
    </xf>
    <xf numFmtId="0" fontId="9" fillId="0" borderId="32" xfId="6" applyFont="1" applyBorder="1" applyAlignment="1">
      <alignment vertical="center" wrapText="1"/>
    </xf>
    <xf numFmtId="0" fontId="8" fillId="0" borderId="32" xfId="6" quotePrefix="1" applyFont="1" applyBorder="1" applyAlignment="1">
      <alignment horizontal="center" vertical="center"/>
    </xf>
    <xf numFmtId="0" fontId="8" fillId="0" borderId="33" xfId="6" applyFont="1" applyBorder="1" applyAlignment="1">
      <alignment horizontal="center" vertical="center"/>
    </xf>
    <xf numFmtId="0" fontId="8" fillId="0" borderId="34" xfId="6" applyFont="1" applyBorder="1" applyAlignment="1">
      <alignment horizontal="center" vertical="center"/>
    </xf>
    <xf numFmtId="0" fontId="8" fillId="3" borderId="32" xfId="6" applyFont="1" applyFill="1" applyBorder="1" applyAlignment="1">
      <alignment horizontal="center" vertical="center"/>
    </xf>
    <xf numFmtId="0" fontId="7" fillId="0" borderId="32" xfId="6" quotePrefix="1" applyFont="1" applyBorder="1" applyAlignment="1">
      <alignment vertical="center"/>
    </xf>
    <xf numFmtId="0" fontId="7" fillId="0" borderId="33" xfId="6" quotePrefix="1" applyFont="1" applyBorder="1" applyAlignment="1">
      <alignment vertical="center"/>
    </xf>
    <xf numFmtId="0" fontId="7" fillId="0" borderId="34" xfId="6" quotePrefix="1" applyFont="1" applyBorder="1" applyAlignment="1">
      <alignment vertical="center"/>
    </xf>
    <xf numFmtId="0" fontId="7" fillId="3" borderId="32" xfId="6" applyFont="1" applyFill="1" applyBorder="1" applyAlignment="1">
      <alignment horizontal="left" vertical="center"/>
    </xf>
    <xf numFmtId="0" fontId="7" fillId="0" borderId="26" xfId="6" applyFont="1" applyBorder="1" applyAlignment="1">
      <alignment horizontal="center" vertical="center"/>
    </xf>
    <xf numFmtId="0" fontId="7" fillId="0" borderId="28" xfId="6" applyFont="1" applyBorder="1" applyAlignment="1">
      <alignment horizontal="center" vertical="center"/>
    </xf>
    <xf numFmtId="0" fontId="7" fillId="0" borderId="26" xfId="6" applyFont="1" applyBorder="1" applyAlignment="1">
      <alignment vertical="center"/>
    </xf>
    <xf numFmtId="0" fontId="7" fillId="0" borderId="27" xfId="6" applyFont="1" applyBorder="1" applyAlignment="1">
      <alignment vertical="center"/>
    </xf>
    <xf numFmtId="0" fontId="7" fillId="0" borderId="28" xfId="6" applyFont="1" applyBorder="1" applyAlignment="1">
      <alignment vertical="center"/>
    </xf>
    <xf numFmtId="0" fontId="8" fillId="0" borderId="26" xfId="6" applyFont="1" applyBorder="1" applyAlignment="1">
      <alignment horizontal="center" vertical="center"/>
    </xf>
    <xf numFmtId="0" fontId="7" fillId="0" borderId="27" xfId="6" applyFont="1" applyBorder="1" applyAlignment="1">
      <alignment horizontal="center" vertical="center"/>
    </xf>
    <xf numFmtId="0" fontId="8" fillId="6" borderId="23" xfId="6" applyFont="1" applyFill="1" applyBorder="1" applyAlignment="1">
      <alignment vertical="center"/>
    </xf>
    <xf numFmtId="0" fontId="7" fillId="6" borderId="24" xfId="6" applyFont="1" applyFill="1" applyBorder="1" applyAlignment="1">
      <alignment vertical="center"/>
    </xf>
    <xf numFmtId="0" fontId="7" fillId="6" borderId="25" xfId="6" applyFont="1" applyFill="1" applyBorder="1" applyAlignment="1">
      <alignment vertical="center"/>
    </xf>
    <xf numFmtId="0" fontId="8" fillId="5" borderId="23" xfId="6" applyFont="1" applyFill="1" applyBorder="1" applyAlignment="1">
      <alignment vertical="center"/>
    </xf>
    <xf numFmtId="0" fontId="7" fillId="5" borderId="24" xfId="6" applyFont="1" applyFill="1" applyBorder="1" applyAlignment="1">
      <alignment vertical="center"/>
    </xf>
    <xf numFmtId="0" fontId="7" fillId="5" borderId="25" xfId="6" applyFont="1" applyFill="1" applyBorder="1" applyAlignment="1">
      <alignment vertical="center"/>
    </xf>
    <xf numFmtId="0" fontId="8" fillId="3" borderId="20" xfId="6" applyFont="1" applyFill="1" applyBorder="1" applyAlignment="1">
      <alignment vertical="center"/>
    </xf>
    <xf numFmtId="0" fontId="7" fillId="3" borderId="21" xfId="6" applyFont="1" applyFill="1" applyBorder="1" applyAlignment="1">
      <alignment vertical="center"/>
    </xf>
    <xf numFmtId="0" fontId="7" fillId="3" borderId="22" xfId="6" applyFont="1" applyFill="1" applyBorder="1" applyAlignment="1">
      <alignment vertical="center"/>
    </xf>
    <xf numFmtId="0" fontId="7" fillId="3" borderId="1" xfId="6" applyFont="1" applyFill="1" applyBorder="1" applyAlignment="1">
      <alignment vertical="center"/>
    </xf>
    <xf numFmtId="0" fontId="7" fillId="3" borderId="0" xfId="6" applyFont="1" applyFill="1" applyAlignment="1">
      <alignment vertical="center"/>
    </xf>
    <xf numFmtId="0" fontId="7" fillId="3" borderId="4" xfId="6" applyFont="1" applyFill="1" applyBorder="1" applyAlignment="1">
      <alignment vertical="center"/>
    </xf>
    <xf numFmtId="0" fontId="7" fillId="3" borderId="2" xfId="6" applyFont="1" applyFill="1" applyBorder="1" applyAlignment="1">
      <alignment vertical="center"/>
    </xf>
    <xf numFmtId="0" fontId="7" fillId="3" borderId="3" xfId="6" applyFont="1" applyFill="1" applyBorder="1" applyAlignment="1">
      <alignment vertical="center"/>
    </xf>
    <xf numFmtId="0" fontId="7" fillId="3" borderId="5" xfId="6" applyFont="1" applyFill="1" applyBorder="1" applyAlignment="1">
      <alignment vertical="center"/>
    </xf>
    <xf numFmtId="0" fontId="8" fillId="6" borderId="23" xfId="6" applyFont="1" applyFill="1" applyBorder="1"/>
    <xf numFmtId="0" fontId="8" fillId="6" borderId="24" xfId="6" applyFont="1" applyFill="1" applyBorder="1"/>
    <xf numFmtId="0" fontId="8" fillId="6" borderId="25" xfId="6" applyFont="1" applyFill="1" applyBorder="1"/>
    <xf numFmtId="0" fontId="8" fillId="6" borderId="20" xfId="6" applyFont="1" applyFill="1" applyBorder="1" applyAlignment="1">
      <alignment vertical="center"/>
    </xf>
    <xf numFmtId="0" fontId="7" fillId="6" borderId="21" xfId="6" applyFont="1" applyFill="1" applyBorder="1" applyAlignment="1">
      <alignment vertical="center"/>
    </xf>
    <xf numFmtId="0" fontId="7" fillId="6" borderId="22" xfId="6" applyFont="1" applyFill="1" applyBorder="1" applyAlignment="1">
      <alignment vertical="center"/>
    </xf>
    <xf numFmtId="0" fontId="7" fillId="6" borderId="2" xfId="6" applyFont="1" applyFill="1" applyBorder="1" applyAlignment="1">
      <alignment vertical="center"/>
    </xf>
    <xf numFmtId="0" fontId="7" fillId="6" borderId="3" xfId="6" applyFont="1" applyFill="1" applyBorder="1" applyAlignment="1">
      <alignment vertical="center"/>
    </xf>
    <xf numFmtId="0" fontId="7" fillId="6" borderId="5" xfId="6" applyFont="1" applyFill="1" applyBorder="1" applyAlignment="1">
      <alignment vertical="center"/>
    </xf>
    <xf numFmtId="0" fontId="8" fillId="5" borderId="20" xfId="6" applyFont="1" applyFill="1" applyBorder="1" applyAlignment="1">
      <alignment vertical="center" wrapText="1"/>
    </xf>
    <xf numFmtId="0" fontId="7" fillId="5" borderId="2" xfId="6" applyFont="1" applyFill="1" applyBorder="1" applyAlignment="1">
      <alignment vertical="center" wrapText="1"/>
    </xf>
    <xf numFmtId="0" fontId="8" fillId="5" borderId="35" xfId="6" applyFont="1" applyFill="1" applyBorder="1" applyAlignment="1">
      <alignment vertical="center" wrapText="1"/>
    </xf>
    <xf numFmtId="0" fontId="8" fillId="5" borderId="37" xfId="6" applyFont="1" applyFill="1" applyBorder="1" applyAlignment="1">
      <alignment vertical="center" wrapText="1"/>
    </xf>
    <xf numFmtId="0" fontId="8" fillId="5" borderId="22" xfId="6" applyFont="1" applyFill="1" applyBorder="1" applyAlignment="1">
      <alignment vertical="center" wrapText="1"/>
    </xf>
    <xf numFmtId="0" fontId="8" fillId="5" borderId="5" xfId="6" applyFont="1" applyFill="1" applyBorder="1" applyAlignment="1">
      <alignment vertical="center" wrapText="1"/>
    </xf>
    <xf numFmtId="0" fontId="8" fillId="0" borderId="26" xfId="6" applyFont="1" applyBorder="1" applyAlignment="1">
      <alignment horizontal="center" vertical="center" wrapText="1"/>
    </xf>
    <xf numFmtId="0" fontId="8" fillId="0" borderId="27" xfId="6" applyFont="1" applyBorder="1" applyAlignment="1">
      <alignment horizontal="center" vertical="center" wrapText="1"/>
    </xf>
    <xf numFmtId="0" fontId="8" fillId="0" borderId="28" xfId="6" applyFont="1" applyBorder="1" applyAlignment="1">
      <alignment horizontal="center" vertical="center" wrapText="1"/>
    </xf>
    <xf numFmtId="0" fontId="23" fillId="0" borderId="26" xfId="6" applyFont="1" applyBorder="1" applyAlignment="1">
      <alignment vertical="center" wrapText="1"/>
    </xf>
    <xf numFmtId="0" fontId="23" fillId="0" borderId="27" xfId="6" applyFont="1" applyBorder="1" applyAlignment="1">
      <alignment vertical="center" wrapText="1"/>
    </xf>
    <xf numFmtId="0" fontId="23" fillId="0" borderId="28" xfId="6" applyFont="1" applyBorder="1" applyAlignment="1">
      <alignment vertical="center" wrapText="1"/>
    </xf>
    <xf numFmtId="0" fontId="20" fillId="2" borderId="23" xfId="6" applyFont="1" applyFill="1" applyBorder="1" applyAlignment="1">
      <alignment horizontal="center" vertical="center"/>
    </xf>
    <xf numFmtId="0" fontId="20" fillId="2" borderId="24" xfId="6" applyFont="1" applyFill="1" applyBorder="1" applyAlignment="1">
      <alignment horizontal="center" vertical="center"/>
    </xf>
    <xf numFmtId="0" fontId="20" fillId="2" borderId="25" xfId="6" applyFont="1" applyFill="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horizontal="center" vertical="center"/>
    </xf>
    <xf numFmtId="0" fontId="7" fillId="0" borderId="25" xfId="6" applyFont="1" applyBorder="1" applyAlignment="1">
      <alignment horizontal="center" vertical="center"/>
    </xf>
    <xf numFmtId="0" fontId="8" fillId="0" borderId="23" xfId="6" applyFont="1" applyBorder="1" applyAlignment="1">
      <alignment horizontal="center" vertical="center"/>
    </xf>
    <xf numFmtId="0" fontId="8" fillId="4" borderId="20" xfId="6" applyFont="1" applyFill="1" applyBorder="1" applyAlignment="1">
      <alignment vertical="center" wrapText="1"/>
    </xf>
    <xf numFmtId="0" fontId="7" fillId="4" borderId="22" xfId="6" applyFont="1" applyFill="1" applyBorder="1" applyAlignment="1">
      <alignment vertical="center"/>
    </xf>
    <xf numFmtId="0" fontId="7" fillId="4" borderId="1" xfId="6" applyFont="1" applyFill="1" applyBorder="1" applyAlignment="1">
      <alignment vertical="center"/>
    </xf>
    <xf numFmtId="0" fontId="7" fillId="4" borderId="4" xfId="6" applyFont="1" applyFill="1" applyBorder="1" applyAlignment="1">
      <alignment vertical="center"/>
    </xf>
    <xf numFmtId="0" fontId="7" fillId="4" borderId="2" xfId="6" applyFont="1" applyFill="1" applyBorder="1" applyAlignment="1">
      <alignment vertical="center"/>
    </xf>
    <xf numFmtId="0" fontId="7" fillId="4" borderId="5" xfId="6" applyFont="1" applyFill="1" applyBorder="1" applyAlignment="1">
      <alignment vertical="center"/>
    </xf>
    <xf numFmtId="0" fontId="8" fillId="4" borderId="20" xfId="6" applyFont="1" applyFill="1" applyBorder="1" applyAlignment="1">
      <alignment vertical="center"/>
    </xf>
    <xf numFmtId="0" fontId="7" fillId="4" borderId="21" xfId="6" applyFont="1" applyFill="1" applyBorder="1" applyAlignment="1">
      <alignment vertical="center"/>
    </xf>
    <xf numFmtId="0" fontId="7" fillId="4" borderId="0" xfId="6" applyFont="1" applyFill="1" applyAlignment="1">
      <alignment vertical="center"/>
    </xf>
    <xf numFmtId="0" fontId="7" fillId="4" borderId="3" xfId="6" applyFont="1" applyFill="1" applyBorder="1" applyAlignment="1">
      <alignment vertical="center"/>
    </xf>
    <xf numFmtId="0" fontId="7" fillId="4" borderId="35" xfId="6" applyFont="1" applyFill="1" applyBorder="1" applyAlignment="1">
      <alignment vertical="center" shrinkToFit="1"/>
    </xf>
    <xf numFmtId="0" fontId="7" fillId="4" borderId="36" xfId="6" applyFont="1" applyFill="1" applyBorder="1" applyAlignment="1">
      <alignment vertical="center" shrinkToFit="1"/>
    </xf>
    <xf numFmtId="0" fontId="7" fillId="4" borderId="37" xfId="6" applyFont="1" applyFill="1" applyBorder="1" applyAlignment="1">
      <alignment vertical="center" shrinkToFit="1"/>
    </xf>
    <xf numFmtId="0" fontId="8" fillId="4" borderId="35" xfId="6" applyFont="1" applyFill="1" applyBorder="1" applyAlignment="1">
      <alignment vertical="center" wrapText="1"/>
    </xf>
    <xf numFmtId="0" fontId="8" fillId="4" borderId="36" xfId="6" applyFont="1" applyFill="1" applyBorder="1" applyAlignment="1">
      <alignment vertical="center" wrapText="1"/>
    </xf>
    <xf numFmtId="0" fontId="8" fillId="4" borderId="37" xfId="6" applyFont="1" applyFill="1" applyBorder="1" applyAlignment="1">
      <alignment vertical="center" wrapText="1"/>
    </xf>
    <xf numFmtId="0" fontId="7" fillId="5" borderId="38" xfId="6" applyFont="1" applyFill="1" applyBorder="1" applyAlignment="1">
      <alignment vertical="center"/>
    </xf>
    <xf numFmtId="0" fontId="8" fillId="5" borderId="39" xfId="6" applyFont="1" applyFill="1" applyBorder="1" applyAlignment="1">
      <alignment vertical="center"/>
    </xf>
    <xf numFmtId="0" fontId="7" fillId="0" borderId="20" xfId="6" applyFont="1" applyBorder="1" applyAlignment="1">
      <alignment horizontal="center" vertical="center"/>
    </xf>
    <xf numFmtId="0" fontId="7" fillId="0" borderId="21" xfId="6" applyFont="1" applyBorder="1" applyAlignment="1">
      <alignment horizontal="center" vertical="center"/>
    </xf>
    <xf numFmtId="0" fontId="7" fillId="0" borderId="22"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2" fillId="0" borderId="20" xfId="6" applyFont="1" applyBorder="1" applyAlignment="1">
      <alignment horizontal="center" vertical="center"/>
    </xf>
    <xf numFmtId="0" fontId="22" fillId="0" borderId="21" xfId="6" applyFont="1" applyBorder="1" applyAlignment="1">
      <alignment horizontal="center" vertical="center"/>
    </xf>
    <xf numFmtId="0" fontId="22" fillId="0" borderId="22" xfId="6" applyFont="1" applyBorder="1" applyAlignment="1">
      <alignment horizontal="center" vertical="center"/>
    </xf>
    <xf numFmtId="0" fontId="22" fillId="0" borderId="1" xfId="6" applyFont="1" applyBorder="1" applyAlignment="1">
      <alignment horizontal="center" vertical="center"/>
    </xf>
    <xf numFmtId="0" fontId="22" fillId="0" borderId="0" xfId="6" applyFont="1" applyAlignment="1">
      <alignment horizontal="center" vertical="center"/>
    </xf>
    <xf numFmtId="0" fontId="22" fillId="0" borderId="4" xfId="6" applyFont="1" applyBorder="1" applyAlignment="1">
      <alignment horizontal="center" vertical="center"/>
    </xf>
    <xf numFmtId="0" fontId="22" fillId="0" borderId="2" xfId="6" applyFont="1" applyBorder="1" applyAlignment="1">
      <alignment horizontal="center" vertical="center"/>
    </xf>
    <xf numFmtId="0" fontId="22" fillId="0" borderId="3" xfId="6" applyFont="1" applyBorder="1" applyAlignment="1">
      <alignment horizontal="center" vertical="center"/>
    </xf>
    <xf numFmtId="0" fontId="22" fillId="0" borderId="5" xfId="6" applyFont="1" applyBorder="1" applyAlignment="1">
      <alignment horizontal="center" vertical="center"/>
    </xf>
    <xf numFmtId="0" fontId="23" fillId="0" borderId="32" xfId="6" applyFont="1" applyBorder="1" applyAlignment="1">
      <alignment vertical="center" wrapText="1"/>
    </xf>
    <xf numFmtId="0" fontId="23" fillId="0" borderId="33" xfId="6" applyFont="1" applyBorder="1" applyAlignment="1">
      <alignment vertical="center" wrapText="1"/>
    </xf>
    <xf numFmtId="0" fontId="23" fillId="0" borderId="34" xfId="6" applyFont="1" applyBorder="1" applyAlignment="1">
      <alignment vertical="center" wrapText="1"/>
    </xf>
    <xf numFmtId="0" fontId="7" fillId="0" borderId="32" xfId="6" quotePrefix="1" applyFont="1" applyBorder="1" applyAlignment="1">
      <alignment horizontal="left" vertical="center"/>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8" fillId="0" borderId="32" xfId="6" applyFont="1" applyBorder="1" applyAlignment="1">
      <alignment horizontal="center" vertical="center"/>
    </xf>
    <xf numFmtId="0" fontId="23" fillId="3" borderId="33" xfId="6" applyFont="1" applyFill="1" applyBorder="1" applyAlignment="1">
      <alignment horizontal="left" vertical="center" wrapText="1"/>
    </xf>
    <xf numFmtId="0" fontId="23" fillId="3" borderId="34" xfId="6" applyFont="1" applyFill="1" applyBorder="1" applyAlignment="1">
      <alignment horizontal="left" vertical="center" wrapText="1"/>
    </xf>
    <xf numFmtId="0" fontId="8" fillId="0" borderId="32" xfId="6" applyFont="1" applyBorder="1" applyAlignment="1">
      <alignment vertical="center"/>
    </xf>
    <xf numFmtId="0" fontId="23" fillId="0" borderId="32" xfId="6" applyFont="1" applyBorder="1" applyAlignment="1">
      <alignment horizontal="center" vertical="center"/>
    </xf>
    <xf numFmtId="0" fontId="23" fillId="0" borderId="33" xfId="6" applyFont="1" applyBorder="1" applyAlignment="1">
      <alignment horizontal="center" vertical="center"/>
    </xf>
    <xf numFmtId="0" fontId="23" fillId="0" borderId="34" xfId="6" applyFont="1" applyBorder="1" applyAlignment="1">
      <alignment horizontal="center" vertical="center"/>
    </xf>
    <xf numFmtId="0" fontId="23" fillId="0" borderId="32" xfId="6" quotePrefix="1" applyFont="1" applyBorder="1" applyAlignment="1">
      <alignment horizontal="center" vertical="center"/>
    </xf>
    <xf numFmtId="0" fontId="24" fillId="3" borderId="32" xfId="6" applyFont="1" applyFill="1" applyBorder="1" applyAlignment="1">
      <alignment vertical="center" wrapText="1"/>
    </xf>
    <xf numFmtId="0" fontId="24" fillId="3" borderId="33" xfId="6" applyFont="1" applyFill="1" applyBorder="1" applyAlignment="1">
      <alignment vertical="center" wrapText="1"/>
    </xf>
    <xf numFmtId="0" fontId="24" fillId="3" borderId="34" xfId="6" applyFont="1" applyFill="1" applyBorder="1" applyAlignment="1">
      <alignment vertical="center" wrapText="1"/>
    </xf>
    <xf numFmtId="0" fontId="23" fillId="0" borderId="32" xfId="6" quotePrefix="1" applyFont="1" applyBorder="1" applyAlignment="1">
      <alignment horizontal="left" vertical="center"/>
    </xf>
    <xf numFmtId="0" fontId="23" fillId="0" borderId="33" xfId="6" quotePrefix="1" applyFont="1" applyBorder="1" applyAlignment="1">
      <alignment horizontal="left" vertical="center"/>
    </xf>
    <xf numFmtId="0" fontId="23" fillId="0" borderId="34" xfId="6" quotePrefix="1" applyFont="1" applyBorder="1" applyAlignment="1">
      <alignment horizontal="left" vertical="center"/>
    </xf>
    <xf numFmtId="0" fontId="23" fillId="3" borderId="32" xfId="6" applyFont="1" applyFill="1" applyBorder="1" applyAlignment="1">
      <alignment horizontal="left" vertical="center"/>
    </xf>
    <xf numFmtId="0" fontId="23" fillId="3" borderId="32" xfId="6" applyFont="1" applyFill="1" applyBorder="1" applyAlignment="1">
      <alignment vertical="center"/>
    </xf>
    <xf numFmtId="0" fontId="23" fillId="3" borderId="33" xfId="6" applyFont="1" applyFill="1" applyBorder="1" applyAlignment="1">
      <alignment vertical="center"/>
    </xf>
    <xf numFmtId="0" fontId="23" fillId="3" borderId="34" xfId="6" applyFont="1" applyFill="1" applyBorder="1" applyAlignment="1">
      <alignment vertical="center"/>
    </xf>
    <xf numFmtId="0" fontId="23" fillId="0" borderId="32" xfId="6" quotePrefix="1" applyFont="1" applyBorder="1" applyAlignment="1">
      <alignment horizontal="center" vertical="center" wrapText="1"/>
    </xf>
    <xf numFmtId="0" fontId="23" fillId="0" borderId="33" xfId="6" applyFont="1" applyBorder="1" applyAlignment="1">
      <alignment horizontal="center" vertical="center" wrapText="1"/>
    </xf>
    <xf numFmtId="0" fontId="23" fillId="0" borderId="34" xfId="6" applyFont="1" applyBorder="1" applyAlignment="1">
      <alignment horizontal="center" vertical="center" wrapText="1"/>
    </xf>
    <xf numFmtId="0" fontId="12" fillId="0" borderId="32" xfId="6" applyFont="1" applyBorder="1" applyAlignment="1">
      <alignment horizontal="center" vertical="center"/>
    </xf>
    <xf numFmtId="0" fontId="12" fillId="0" borderId="34" xfId="6" applyFont="1" applyBorder="1" applyAlignment="1">
      <alignment horizontal="center" vertical="center"/>
    </xf>
    <xf numFmtId="0" fontId="12" fillId="0" borderId="32" xfId="6" quotePrefix="1" applyFont="1" applyBorder="1" applyAlignment="1">
      <alignment vertical="center" wrapText="1"/>
    </xf>
    <xf numFmtId="0" fontId="12" fillId="0" borderId="33" xfId="6" quotePrefix="1" applyFont="1" applyBorder="1" applyAlignment="1">
      <alignment vertical="center" wrapText="1"/>
    </xf>
    <xf numFmtId="0" fontId="12" fillId="0" borderId="34" xfId="6" quotePrefix="1" applyFont="1" applyBorder="1" applyAlignment="1">
      <alignment vertical="center" wrapText="1"/>
    </xf>
    <xf numFmtId="0" fontId="23" fillId="0" borderId="32" xfId="6" quotePrefix="1" applyFont="1" applyBorder="1" applyAlignment="1">
      <alignment vertical="center" wrapText="1"/>
    </xf>
    <xf numFmtId="0" fontId="23" fillId="0" borderId="33" xfId="6" quotePrefix="1" applyFont="1" applyBorder="1" applyAlignment="1">
      <alignment vertical="center" wrapText="1"/>
    </xf>
    <xf numFmtId="0" fontId="23" fillId="0" borderId="34" xfId="6" quotePrefix="1" applyFont="1" applyBorder="1" applyAlignment="1">
      <alignment vertical="center" wrapText="1"/>
    </xf>
    <xf numFmtId="0" fontId="23" fillId="0" borderId="33" xfId="6" quotePrefix="1" applyFont="1" applyBorder="1" applyAlignment="1">
      <alignment horizontal="center" vertical="center"/>
    </xf>
    <xf numFmtId="0" fontId="23" fillId="0" borderId="34" xfId="6" quotePrefix="1" applyFont="1" applyBorder="1" applyAlignment="1">
      <alignment horizontal="center" vertical="center"/>
    </xf>
    <xf numFmtId="0" fontId="7" fillId="0" borderId="33" xfId="6" quotePrefix="1" applyFont="1" applyBorder="1" applyAlignment="1">
      <alignment horizontal="center" vertical="center"/>
    </xf>
    <xf numFmtId="0" fontId="7" fillId="0" borderId="34" xfId="6" quotePrefix="1" applyFont="1" applyBorder="1" applyAlignment="1">
      <alignment horizontal="center" vertical="center"/>
    </xf>
    <xf numFmtId="0" fontId="24" fillId="0" borderId="32" xfId="6" applyFont="1" applyBorder="1" applyAlignment="1">
      <alignment horizontal="left" vertical="center" wrapText="1"/>
    </xf>
    <xf numFmtId="0" fontId="24" fillId="0" borderId="33" xfId="6" applyFont="1" applyBorder="1" applyAlignment="1">
      <alignment horizontal="left" vertical="center" wrapText="1"/>
    </xf>
    <xf numFmtId="0" fontId="24" fillId="0" borderId="34" xfId="6" applyFont="1" applyBorder="1" applyAlignment="1">
      <alignment horizontal="left" vertical="center" wrapText="1"/>
    </xf>
    <xf numFmtId="0" fontId="24" fillId="0" borderId="32" xfId="6" applyFont="1" applyBorder="1" applyAlignment="1">
      <alignment horizontal="left" vertical="center"/>
    </xf>
    <xf numFmtId="0" fontId="24" fillId="0" borderId="33" xfId="6" applyFont="1" applyBorder="1" applyAlignment="1">
      <alignment horizontal="left" vertical="center"/>
    </xf>
    <xf numFmtId="0" fontId="24" fillId="0" borderId="34" xfId="6" applyFont="1" applyBorder="1" applyAlignment="1">
      <alignment horizontal="left" vertical="center"/>
    </xf>
    <xf numFmtId="0" fontId="7" fillId="0" borderId="29" xfId="6" applyFont="1" applyBorder="1" applyAlignment="1">
      <alignment horizontal="center" vertical="center"/>
    </xf>
    <xf numFmtId="0" fontId="7" fillId="0" borderId="31" xfId="6" applyFont="1" applyBorder="1" applyAlignment="1">
      <alignment horizontal="center" vertical="center"/>
    </xf>
    <xf numFmtId="0" fontId="23" fillId="0" borderId="29" xfId="6" quotePrefix="1" applyFont="1" applyBorder="1" applyAlignment="1">
      <alignment vertical="center" wrapText="1"/>
    </xf>
    <xf numFmtId="0" fontId="23" fillId="0" borderId="30" xfId="6" quotePrefix="1" applyFont="1" applyBorder="1" applyAlignment="1">
      <alignment vertical="center" wrapText="1"/>
    </xf>
    <xf numFmtId="0" fontId="23" fillId="0" borderId="31" xfId="6" quotePrefix="1" applyFont="1" applyBorder="1" applyAlignment="1">
      <alignment vertical="center" wrapText="1"/>
    </xf>
    <xf numFmtId="0" fontId="23" fillId="0" borderId="29" xfId="6" applyFont="1" applyBorder="1" applyAlignment="1">
      <alignment vertical="center"/>
    </xf>
    <xf numFmtId="0" fontId="23" fillId="0" borderId="30" xfId="6" applyFont="1" applyBorder="1" applyAlignment="1">
      <alignment vertical="center"/>
    </xf>
    <xf numFmtId="0" fontId="23" fillId="0" borderId="31" xfId="6" applyFont="1" applyBorder="1" applyAlignment="1">
      <alignment vertical="center"/>
    </xf>
    <xf numFmtId="0" fontId="23" fillId="0" borderId="29" xfId="6" applyFont="1" applyBorder="1" applyAlignment="1">
      <alignment horizontal="center" vertical="center"/>
    </xf>
    <xf numFmtId="0" fontId="23" fillId="0" borderId="30" xfId="6" applyFont="1" applyBorder="1" applyAlignment="1">
      <alignment horizontal="center" vertical="center"/>
    </xf>
    <xf numFmtId="0" fontId="23" fillId="0" borderId="31" xfId="6" applyFont="1" applyBorder="1" applyAlignment="1">
      <alignment horizontal="center" vertical="center"/>
    </xf>
    <xf numFmtId="0" fontId="23" fillId="0" borderId="29" xfId="6" quotePrefix="1" applyFont="1" applyBorder="1" applyAlignment="1">
      <alignment horizontal="center" vertical="center"/>
    </xf>
    <xf numFmtId="0" fontId="23" fillId="0" borderId="30" xfId="6" quotePrefix="1" applyFont="1" applyBorder="1" applyAlignment="1">
      <alignment horizontal="center" vertical="center"/>
    </xf>
    <xf numFmtId="0" fontId="23" fillId="0" borderId="31" xfId="6" quotePrefix="1" applyFont="1" applyBorder="1" applyAlignment="1">
      <alignment horizontal="center" vertical="center"/>
    </xf>
    <xf numFmtId="0" fontId="23" fillId="0" borderId="29" xfId="6" applyFont="1" applyBorder="1" applyAlignment="1">
      <alignment horizontal="left" vertical="center" wrapText="1"/>
    </xf>
    <xf numFmtId="0" fontId="23" fillId="0" borderId="30" xfId="6" applyFont="1" applyBorder="1" applyAlignment="1">
      <alignment horizontal="left" vertical="center" wrapText="1"/>
    </xf>
    <xf numFmtId="0" fontId="23" fillId="0" borderId="31" xfId="6" applyFont="1" applyBorder="1" applyAlignment="1">
      <alignment horizontal="left" vertical="center" wrapText="1"/>
    </xf>
    <xf numFmtId="0" fontId="24" fillId="0" borderId="32" xfId="6" applyFont="1" applyBorder="1" applyAlignment="1">
      <alignment horizontal="center" vertical="center"/>
    </xf>
    <xf numFmtId="0" fontId="24" fillId="0" borderId="33" xfId="6" applyFont="1" applyBorder="1" applyAlignment="1">
      <alignment horizontal="center" vertical="center"/>
    </xf>
    <xf numFmtId="0" fontId="24" fillId="0" borderId="34" xfId="6" applyFont="1" applyBorder="1" applyAlignment="1">
      <alignment horizontal="center" vertical="center"/>
    </xf>
    <xf numFmtId="0" fontId="16" fillId="0" borderId="32" xfId="6" applyFont="1" applyBorder="1" applyAlignment="1">
      <alignment vertical="center" wrapText="1"/>
    </xf>
    <xf numFmtId="0" fontId="24" fillId="0" borderId="33" xfId="6" applyFont="1" applyBorder="1" applyAlignment="1">
      <alignment vertical="center"/>
    </xf>
    <xf numFmtId="0" fontId="24" fillId="0" borderId="34" xfId="6" applyFont="1" applyBorder="1" applyAlignment="1">
      <alignment vertical="center"/>
    </xf>
    <xf numFmtId="0" fontId="24" fillId="0" borderId="32" xfId="6" quotePrefix="1" applyFont="1" applyBorder="1" applyAlignment="1">
      <alignment horizontal="left" vertical="center" wrapText="1"/>
    </xf>
    <xf numFmtId="0" fontId="24" fillId="0" borderId="33" xfId="6" quotePrefix="1" applyFont="1" applyBorder="1" applyAlignment="1">
      <alignment horizontal="left" vertical="center" wrapText="1"/>
    </xf>
    <xf numFmtId="0" fontId="24" fillId="0" borderId="34" xfId="6" quotePrefix="1" applyFont="1" applyBorder="1" applyAlignment="1">
      <alignment horizontal="left" vertical="center" wrapText="1"/>
    </xf>
    <xf numFmtId="0" fontId="24" fillId="0" borderId="32" xfId="6" applyFont="1" applyBorder="1" applyAlignment="1">
      <alignment vertical="center"/>
    </xf>
    <xf numFmtId="0" fontId="24" fillId="0" borderId="32" xfId="6" quotePrefix="1" applyFont="1" applyBorder="1" applyAlignment="1">
      <alignment horizontal="center" vertical="center" wrapText="1"/>
    </xf>
    <xf numFmtId="0" fontId="24" fillId="0" borderId="33" xfId="6" applyFont="1" applyBorder="1" applyAlignment="1">
      <alignment horizontal="center" vertical="center" wrapText="1"/>
    </xf>
    <xf numFmtId="0" fontId="24" fillId="0" borderId="34" xfId="6" applyFont="1" applyBorder="1" applyAlignment="1">
      <alignment horizontal="center" vertical="center" wrapText="1"/>
    </xf>
    <xf numFmtId="0" fontId="24" fillId="0" borderId="32" xfId="6" quotePrefix="1" applyFont="1" applyBorder="1" applyAlignment="1">
      <alignment vertical="center"/>
    </xf>
    <xf numFmtId="0" fontId="24" fillId="0" borderId="33" xfId="6" quotePrefix="1" applyFont="1" applyBorder="1" applyAlignment="1">
      <alignment vertical="center"/>
    </xf>
    <xf numFmtId="0" fontId="24" fillId="0" borderId="34" xfId="6" quotePrefix="1" applyFont="1" applyBorder="1" applyAlignment="1">
      <alignment vertical="center"/>
    </xf>
    <xf numFmtId="0" fontId="24" fillId="3" borderId="32" xfId="6" applyFont="1" applyFill="1" applyBorder="1" applyAlignment="1">
      <alignment horizontal="center" vertical="center"/>
    </xf>
    <xf numFmtId="0" fontId="24" fillId="3" borderId="33" xfId="6" applyFont="1" applyFill="1" applyBorder="1" applyAlignment="1">
      <alignment horizontal="center" vertical="center"/>
    </xf>
    <xf numFmtId="0" fontId="24" fillId="3" borderId="34" xfId="6" applyFont="1" applyFill="1" applyBorder="1" applyAlignment="1">
      <alignment horizontal="center" vertical="center"/>
    </xf>
    <xf numFmtId="0" fontId="24" fillId="0" borderId="32" xfId="6" quotePrefix="1" applyFont="1" applyBorder="1" applyAlignment="1">
      <alignment horizontal="center" vertical="center"/>
    </xf>
    <xf numFmtId="0" fontId="16" fillId="0" borderId="33" xfId="6" applyFont="1" applyBorder="1" applyAlignment="1">
      <alignment vertical="center"/>
    </xf>
    <xf numFmtId="0" fontId="16" fillId="0" borderId="34" xfId="6" applyFont="1" applyBorder="1" applyAlignment="1">
      <alignment vertical="center"/>
    </xf>
    <xf numFmtId="0" fontId="7" fillId="0" borderId="32" xfId="6" quotePrefix="1" applyFont="1" applyBorder="1" applyAlignment="1">
      <alignment horizontal="left" vertical="center" wrapText="1"/>
    </xf>
    <xf numFmtId="0" fontId="7" fillId="0" borderId="33" xfId="6" quotePrefix="1" applyFont="1" applyBorder="1" applyAlignment="1">
      <alignment horizontal="left" vertical="center" wrapText="1"/>
    </xf>
    <xf numFmtId="0" fontId="7" fillId="0" borderId="34" xfId="6" quotePrefix="1" applyFont="1" applyBorder="1" applyAlignment="1">
      <alignment horizontal="left" vertical="center" wrapText="1"/>
    </xf>
    <xf numFmtId="0" fontId="23" fillId="0" borderId="40" xfId="6" quotePrefix="1" applyFont="1" applyBorder="1" applyAlignment="1">
      <alignment horizontal="left" vertical="center"/>
    </xf>
    <xf numFmtId="0" fontId="23" fillId="0" borderId="41" xfId="6" quotePrefix="1" applyFont="1" applyBorder="1" applyAlignment="1">
      <alignment horizontal="left" vertical="center"/>
    </xf>
    <xf numFmtId="0" fontId="23" fillId="0" borderId="42" xfId="6" quotePrefix="1" applyFont="1" applyBorder="1" applyAlignment="1">
      <alignment horizontal="left" vertical="center"/>
    </xf>
    <xf numFmtId="0" fontId="7" fillId="0" borderId="29" xfId="6" quotePrefix="1" applyFont="1" applyBorder="1" applyAlignment="1">
      <alignment vertical="center" wrapText="1"/>
    </xf>
    <xf numFmtId="0" fontId="7" fillId="0" borderId="30" xfId="6" quotePrefix="1" applyFont="1" applyBorder="1" applyAlignment="1">
      <alignment vertical="center" wrapText="1"/>
    </xf>
    <xf numFmtId="0" fontId="7" fillId="0" borderId="31" xfId="6" quotePrefix="1" applyFont="1" applyBorder="1" applyAlignment="1">
      <alignment vertical="center" wrapText="1"/>
    </xf>
    <xf numFmtId="0" fontId="7" fillId="0" borderId="29" xfId="6" applyFont="1" applyBorder="1" applyAlignment="1">
      <alignment vertical="center"/>
    </xf>
    <xf numFmtId="0" fontId="7" fillId="0" borderId="30" xfId="6" applyFont="1" applyBorder="1" applyAlignment="1">
      <alignment vertical="center"/>
    </xf>
    <xf numFmtId="0" fontId="7" fillId="0" borderId="31" xfId="6" applyFont="1" applyBorder="1" applyAlignment="1">
      <alignment vertical="center"/>
    </xf>
    <xf numFmtId="0" fontId="7" fillId="0" borderId="30" xfId="6" applyFont="1" applyBorder="1" applyAlignment="1">
      <alignment horizontal="center" vertical="center"/>
    </xf>
    <xf numFmtId="0" fontId="7" fillId="0" borderId="29" xfId="6" quotePrefix="1" applyFont="1" applyBorder="1" applyAlignment="1">
      <alignment horizontal="center" vertical="center"/>
    </xf>
    <xf numFmtId="0" fontId="7" fillId="0" borderId="30" xfId="6" quotePrefix="1" applyFont="1" applyBorder="1" applyAlignment="1">
      <alignment horizontal="center" vertical="center"/>
    </xf>
    <xf numFmtId="0" fontId="7" fillId="0" borderId="31" xfId="6" quotePrefix="1" applyFont="1" applyBorder="1" applyAlignment="1">
      <alignment horizontal="center" vertical="center"/>
    </xf>
    <xf numFmtId="0" fontId="24" fillId="0" borderId="29" xfId="6" applyFont="1" applyBorder="1" applyAlignment="1">
      <alignment horizontal="center" vertical="center" wrapText="1"/>
    </xf>
    <xf numFmtId="0" fontId="24" fillId="0" borderId="30" xfId="6" applyFont="1" applyBorder="1" applyAlignment="1">
      <alignment horizontal="center" vertical="center" wrapText="1"/>
    </xf>
    <xf numFmtId="0" fontId="24" fillId="0" borderId="31" xfId="6" applyFont="1" applyBorder="1" applyAlignment="1">
      <alignment horizontal="center" vertical="center" wrapText="1"/>
    </xf>
    <xf numFmtId="0" fontId="23" fillId="0" borderId="32" xfId="6" quotePrefix="1" applyFont="1" applyBorder="1" applyAlignment="1">
      <alignment vertical="center"/>
    </xf>
    <xf numFmtId="0" fontId="23" fillId="0" borderId="33" xfId="6" quotePrefix="1" applyFont="1" applyBorder="1" applyAlignment="1">
      <alignment vertical="center"/>
    </xf>
    <xf numFmtId="0" fontId="23" fillId="0" borderId="34" xfId="6" quotePrefix="1" applyFont="1" applyBorder="1" applyAlignment="1">
      <alignment vertical="center"/>
    </xf>
    <xf numFmtId="0" fontId="24" fillId="3" borderId="32" xfId="6" applyFont="1" applyFill="1" applyBorder="1" applyAlignment="1">
      <alignment horizontal="left" vertical="center"/>
    </xf>
    <xf numFmtId="0" fontId="24" fillId="3" borderId="33" xfId="6" applyFont="1" applyFill="1" applyBorder="1" applyAlignment="1">
      <alignment horizontal="left" vertical="center"/>
    </xf>
    <xf numFmtId="0" fontId="24" fillId="3" borderId="34" xfId="6" applyFont="1" applyFill="1" applyBorder="1" applyAlignment="1">
      <alignment horizontal="left" vertical="center"/>
    </xf>
    <xf numFmtId="0" fontId="14" fillId="0" borderId="32" xfId="6" applyFont="1" applyBorder="1" applyAlignment="1">
      <alignment vertical="center" wrapText="1"/>
    </xf>
    <xf numFmtId="0" fontId="14" fillId="0" borderId="33" xfId="6" applyFont="1" applyBorder="1" applyAlignment="1">
      <alignment vertical="center"/>
    </xf>
    <xf numFmtId="0" fontId="14" fillId="0" borderId="34" xfId="6" applyFont="1" applyBorder="1" applyAlignment="1">
      <alignment vertical="center"/>
    </xf>
    <xf numFmtId="0" fontId="24" fillId="0" borderId="32" xfId="6" quotePrefix="1" applyFont="1" applyBorder="1" applyAlignment="1">
      <alignment horizontal="left" vertical="center"/>
    </xf>
    <xf numFmtId="0" fontId="24" fillId="3" borderId="32" xfId="6" applyFont="1" applyFill="1" applyBorder="1" applyAlignment="1">
      <alignment horizontal="left" vertical="center" wrapText="1"/>
    </xf>
    <xf numFmtId="0" fontId="24" fillId="3" borderId="33" xfId="6" applyFont="1" applyFill="1" applyBorder="1" applyAlignment="1">
      <alignment horizontal="left" vertical="center" wrapText="1"/>
    </xf>
    <xf numFmtId="0" fontId="24" fillId="3" borderId="34" xfId="6" applyFont="1" applyFill="1" applyBorder="1" applyAlignment="1">
      <alignment horizontal="left" vertical="center" wrapText="1"/>
    </xf>
    <xf numFmtId="0" fontId="23" fillId="4" borderId="20" xfId="6" applyFont="1" applyFill="1" applyBorder="1" applyAlignment="1">
      <alignment vertical="center" wrapText="1"/>
    </xf>
    <xf numFmtId="0" fontId="23" fillId="4" borderId="22" xfId="6" applyFont="1" applyFill="1" applyBorder="1" applyAlignment="1">
      <alignment vertical="center"/>
    </xf>
    <xf numFmtId="0" fontId="23" fillId="4" borderId="1" xfId="6" applyFont="1" applyFill="1" applyBorder="1" applyAlignment="1">
      <alignment vertical="center"/>
    </xf>
    <xf numFmtId="0" fontId="23" fillId="4" borderId="4" xfId="6" applyFont="1" applyFill="1" applyBorder="1" applyAlignment="1">
      <alignment vertical="center"/>
    </xf>
    <xf numFmtId="0" fontId="23" fillId="4" borderId="2" xfId="6" applyFont="1" applyFill="1" applyBorder="1" applyAlignment="1">
      <alignment vertical="center"/>
    </xf>
    <xf numFmtId="0" fontId="23" fillId="4" borderId="5" xfId="6" applyFont="1" applyFill="1" applyBorder="1" applyAlignment="1">
      <alignment vertical="center"/>
    </xf>
    <xf numFmtId="0" fontId="23" fillId="4" borderId="20" xfId="6" applyFont="1" applyFill="1" applyBorder="1" applyAlignment="1">
      <alignment vertical="center"/>
    </xf>
    <xf numFmtId="0" fontId="23" fillId="4" borderId="21" xfId="6" applyFont="1" applyFill="1" applyBorder="1" applyAlignment="1">
      <alignment vertical="center"/>
    </xf>
    <xf numFmtId="0" fontId="23" fillId="4" borderId="0" xfId="6" applyFont="1" applyFill="1" applyAlignment="1">
      <alignment vertical="center"/>
    </xf>
    <xf numFmtId="0" fontId="23" fillId="4" borderId="3" xfId="6" applyFont="1" applyFill="1" applyBorder="1" applyAlignment="1">
      <alignment vertical="center"/>
    </xf>
    <xf numFmtId="0" fontId="23" fillId="4" borderId="35" xfId="6" applyFont="1" applyFill="1" applyBorder="1" applyAlignment="1">
      <alignment vertical="center" shrinkToFit="1"/>
    </xf>
    <xf numFmtId="0" fontId="23" fillId="4" borderId="36" xfId="6" applyFont="1" applyFill="1" applyBorder="1" applyAlignment="1">
      <alignment vertical="center" shrinkToFit="1"/>
    </xf>
    <xf numFmtId="0" fontId="23" fillId="4" borderId="37" xfId="6" applyFont="1" applyFill="1" applyBorder="1" applyAlignment="1">
      <alignment vertical="center" shrinkToFit="1"/>
    </xf>
    <xf numFmtId="0" fontId="23" fillId="4" borderId="35" xfId="6" applyFont="1" applyFill="1" applyBorder="1" applyAlignment="1">
      <alignment vertical="center" wrapText="1"/>
    </xf>
    <xf numFmtId="0" fontId="23" fillId="4" borderId="36" xfId="6" applyFont="1" applyFill="1" applyBorder="1" applyAlignment="1">
      <alignment vertical="center" wrapText="1"/>
    </xf>
    <xf numFmtId="0" fontId="23" fillId="4" borderId="37" xfId="6" applyFont="1" applyFill="1" applyBorder="1" applyAlignment="1">
      <alignment vertical="center" wrapText="1"/>
    </xf>
    <xf numFmtId="0" fontId="23" fillId="5" borderId="23" xfId="6" applyFont="1" applyFill="1" applyBorder="1" applyAlignment="1">
      <alignment vertical="center"/>
    </xf>
    <xf numFmtId="0" fontId="23" fillId="5" borderId="24" xfId="6" applyFont="1" applyFill="1" applyBorder="1" applyAlignment="1">
      <alignment vertical="center"/>
    </xf>
    <xf numFmtId="0" fontId="23" fillId="5" borderId="38" xfId="6" applyFont="1" applyFill="1" applyBorder="1" applyAlignment="1">
      <alignment vertical="center"/>
    </xf>
    <xf numFmtId="0" fontId="23" fillId="5" borderId="39" xfId="6" applyFont="1" applyFill="1" applyBorder="1" applyAlignment="1">
      <alignment vertical="center"/>
    </xf>
    <xf numFmtId="0" fontId="23" fillId="5" borderId="25" xfId="6" applyFont="1" applyFill="1" applyBorder="1" applyAlignment="1">
      <alignment vertical="center"/>
    </xf>
    <xf numFmtId="0" fontId="23" fillId="6" borderId="23" xfId="6" applyFont="1" applyFill="1" applyBorder="1" applyAlignment="1">
      <alignment vertical="center"/>
    </xf>
    <xf numFmtId="0" fontId="23" fillId="6" borderId="24" xfId="6" applyFont="1" applyFill="1" applyBorder="1" applyAlignment="1">
      <alignment vertical="center"/>
    </xf>
    <xf numFmtId="0" fontId="23" fillId="6" borderId="25" xfId="6" applyFont="1" applyFill="1" applyBorder="1" applyAlignment="1">
      <alignment vertical="center"/>
    </xf>
    <xf numFmtId="0" fontId="23" fillId="3" borderId="20" xfId="6" applyFont="1" applyFill="1" applyBorder="1" applyAlignment="1">
      <alignment vertical="center"/>
    </xf>
    <xf numFmtId="0" fontId="23" fillId="3" borderId="21" xfId="6" applyFont="1" applyFill="1" applyBorder="1" applyAlignment="1">
      <alignment vertical="center"/>
    </xf>
    <xf numFmtId="0" fontId="23" fillId="3" borderId="22" xfId="6" applyFont="1" applyFill="1" applyBorder="1" applyAlignment="1">
      <alignment vertical="center"/>
    </xf>
    <xf numFmtId="0" fontId="23" fillId="3" borderId="1" xfId="6" applyFont="1" applyFill="1" applyBorder="1" applyAlignment="1">
      <alignment vertical="center"/>
    </xf>
    <xf numFmtId="0" fontId="23" fillId="3" borderId="0" xfId="6" applyFont="1" applyFill="1" applyAlignment="1">
      <alignment vertical="center"/>
    </xf>
    <xf numFmtId="0" fontId="23" fillId="3" borderId="4" xfId="6" applyFont="1" applyFill="1" applyBorder="1" applyAlignment="1">
      <alignment vertical="center"/>
    </xf>
    <xf numFmtId="0" fontId="23" fillId="3" borderId="2" xfId="6" applyFont="1" applyFill="1" applyBorder="1" applyAlignment="1">
      <alignment vertical="center"/>
    </xf>
    <xf numFmtId="0" fontId="23" fillId="3" borderId="3" xfId="6" applyFont="1" applyFill="1" applyBorder="1" applyAlignment="1">
      <alignment vertical="center"/>
    </xf>
    <xf numFmtId="0" fontId="23" fillId="3" borderId="5" xfId="6" applyFont="1" applyFill="1" applyBorder="1" applyAlignment="1">
      <alignment vertical="center"/>
    </xf>
    <xf numFmtId="0" fontId="23" fillId="6" borderId="23" xfId="6" applyFont="1" applyFill="1" applyBorder="1"/>
    <xf numFmtId="0" fontId="23" fillId="6" borderId="24" xfId="6" applyFont="1" applyFill="1" applyBorder="1"/>
    <xf numFmtId="0" fontId="23" fillId="6" borderId="25" xfId="6" applyFont="1" applyFill="1" applyBorder="1"/>
    <xf numFmtId="0" fontId="23" fillId="6" borderId="20" xfId="6" applyFont="1" applyFill="1" applyBorder="1" applyAlignment="1">
      <alignment vertical="center"/>
    </xf>
    <xf numFmtId="0" fontId="23" fillId="6" borderId="21" xfId="6" applyFont="1" applyFill="1" applyBorder="1" applyAlignment="1">
      <alignment vertical="center"/>
    </xf>
    <xf numFmtId="0" fontId="23" fillId="6" borderId="22" xfId="6" applyFont="1" applyFill="1" applyBorder="1" applyAlignment="1">
      <alignment vertical="center"/>
    </xf>
    <xf numFmtId="0" fontId="23" fillId="6" borderId="2" xfId="6" applyFont="1" applyFill="1" applyBorder="1" applyAlignment="1">
      <alignment vertical="center"/>
    </xf>
    <xf numFmtId="0" fontId="23" fillId="6" borderId="3" xfId="6" applyFont="1" applyFill="1" applyBorder="1" applyAlignment="1">
      <alignment vertical="center"/>
    </xf>
    <xf numFmtId="0" fontId="23" fillId="6" borderId="5" xfId="6" applyFont="1" applyFill="1" applyBorder="1" applyAlignment="1">
      <alignment vertical="center"/>
    </xf>
    <xf numFmtId="0" fontId="23" fillId="5" borderId="20" xfId="6" applyFont="1" applyFill="1" applyBorder="1" applyAlignment="1">
      <alignment vertical="center" wrapText="1"/>
    </xf>
    <xf numFmtId="0" fontId="23" fillId="5" borderId="2" xfId="6" applyFont="1" applyFill="1" applyBorder="1" applyAlignment="1">
      <alignment vertical="center" wrapText="1"/>
    </xf>
    <xf numFmtId="0" fontId="23" fillId="5" borderId="35" xfId="6" applyFont="1" applyFill="1" applyBorder="1" applyAlignment="1">
      <alignment vertical="center" wrapText="1"/>
    </xf>
    <xf numFmtId="0" fontId="23" fillId="5" borderId="37" xfId="6" applyFont="1" applyFill="1" applyBorder="1" applyAlignment="1">
      <alignment vertical="center" wrapText="1"/>
    </xf>
    <xf numFmtId="0" fontId="23" fillId="5" borderId="22" xfId="6" applyFont="1" applyFill="1" applyBorder="1" applyAlignment="1">
      <alignment vertical="center" wrapText="1"/>
    </xf>
    <xf numFmtId="0" fontId="23" fillId="5" borderId="5" xfId="6" applyFont="1" applyFill="1" applyBorder="1" applyAlignment="1">
      <alignment vertical="center" wrapText="1"/>
    </xf>
    <xf numFmtId="0" fontId="23" fillId="0" borderId="33" xfId="6" applyFont="1" applyBorder="1" applyAlignment="1">
      <alignment horizontal="left" vertical="center"/>
    </xf>
    <xf numFmtId="0" fontId="23" fillId="0" borderId="34" xfId="6" applyFont="1" applyBorder="1" applyAlignment="1">
      <alignment horizontal="left" vertical="center"/>
    </xf>
    <xf numFmtId="0" fontId="23" fillId="0" borderId="32" xfId="6" applyFont="1" applyBorder="1" applyAlignment="1">
      <alignment horizontal="left" vertical="center"/>
    </xf>
    <xf numFmtId="0" fontId="13" fillId="0" borderId="32" xfId="6" applyFont="1" applyBorder="1" applyAlignment="1">
      <alignment vertical="center" wrapText="1"/>
    </xf>
    <xf numFmtId="0" fontId="23" fillId="0" borderId="32" xfId="6" quotePrefix="1" applyFont="1" applyBorder="1" applyAlignment="1">
      <alignment horizontal="left" vertical="top" wrapText="1"/>
    </xf>
    <xf numFmtId="0" fontId="23" fillId="0" borderId="33" xfId="6" applyFont="1" applyBorder="1" applyAlignment="1">
      <alignment horizontal="left" vertical="top"/>
    </xf>
    <xf numFmtId="0" fontId="23" fillId="0" borderId="34" xfId="6" applyFont="1" applyBorder="1" applyAlignment="1">
      <alignment horizontal="left" vertical="top"/>
    </xf>
    <xf numFmtId="0" fontId="23" fillId="3" borderId="33" xfId="6" applyFont="1" applyFill="1" applyBorder="1" applyAlignment="1">
      <alignment horizontal="center" vertical="center" wrapText="1"/>
    </xf>
    <xf numFmtId="0" fontId="23" fillId="3" borderId="34" xfId="6" applyFont="1" applyFill="1" applyBorder="1" applyAlignment="1">
      <alignment horizontal="center" vertical="center" wrapText="1"/>
    </xf>
    <xf numFmtId="0" fontId="23" fillId="0" borderId="32" xfId="6" quotePrefix="1" applyFont="1" applyBorder="1" applyAlignment="1">
      <alignment horizontal="left" vertical="center" wrapText="1"/>
    </xf>
    <xf numFmtId="0" fontId="8" fillId="0" borderId="32" xfId="6" applyFont="1" applyBorder="1" applyAlignment="1">
      <alignment vertical="center" wrapText="1"/>
    </xf>
    <xf numFmtId="0" fontId="23" fillId="0" borderId="32" xfId="6" applyFont="1" applyBorder="1" applyAlignment="1">
      <alignment horizontal="left" vertical="center" wrapText="1"/>
    </xf>
    <xf numFmtId="0" fontId="17" fillId="0" borderId="32" xfId="6" quotePrefix="1" applyFont="1" applyBorder="1" applyAlignment="1">
      <alignment horizontal="left" vertical="center" wrapText="1"/>
    </xf>
    <xf numFmtId="0" fontId="17" fillId="0" borderId="33" xfId="6" applyFont="1" applyBorder="1" applyAlignment="1">
      <alignment horizontal="left" vertical="center" wrapText="1"/>
    </xf>
    <xf numFmtId="0" fontId="17" fillId="0" borderId="34" xfId="6" applyFont="1" applyBorder="1" applyAlignment="1">
      <alignment horizontal="left" vertical="center" wrapText="1"/>
    </xf>
    <xf numFmtId="0" fontId="23" fillId="0" borderId="33" xfId="6" applyFont="1" applyBorder="1" applyAlignment="1">
      <alignment horizontal="left" vertical="center" wrapText="1"/>
    </xf>
    <xf numFmtId="0" fontId="23" fillId="0" borderId="34" xfId="6" applyFont="1" applyBorder="1" applyAlignment="1">
      <alignment horizontal="left" vertical="center" wrapText="1"/>
    </xf>
    <xf numFmtId="0" fontId="15" fillId="0" borderId="32" xfId="6" quotePrefix="1" applyFont="1" applyBorder="1" applyAlignment="1">
      <alignment horizontal="left" vertical="center" wrapText="1"/>
    </xf>
    <xf numFmtId="0" fontId="15" fillId="0" borderId="33" xfId="6" applyFont="1" applyBorder="1" applyAlignment="1">
      <alignment horizontal="left" vertical="center" wrapText="1"/>
    </xf>
    <xf numFmtId="0" fontId="15" fillId="0" borderId="34" xfId="6" applyFont="1" applyBorder="1" applyAlignment="1">
      <alignment horizontal="left" vertical="center" wrapText="1"/>
    </xf>
    <xf numFmtId="0" fontId="23" fillId="0" borderId="29" xfId="6" quotePrefix="1" applyFont="1" applyBorder="1" applyAlignment="1">
      <alignment vertical="center"/>
    </xf>
    <xf numFmtId="0" fontId="23" fillId="0" borderId="30" xfId="6" quotePrefix="1" applyFont="1" applyBorder="1" applyAlignment="1">
      <alignment vertical="center"/>
    </xf>
    <xf numFmtId="0" fontId="23" fillId="0" borderId="31" xfId="6" quotePrefix="1" applyFont="1" applyBorder="1" applyAlignment="1">
      <alignment vertical="center"/>
    </xf>
    <xf numFmtId="0" fontId="23" fillId="3" borderId="29" xfId="6" applyFont="1" applyFill="1" applyBorder="1" applyAlignment="1">
      <alignment horizontal="center" vertical="center"/>
    </xf>
    <xf numFmtId="0" fontId="23" fillId="3" borderId="30" xfId="6" applyFont="1" applyFill="1" applyBorder="1" applyAlignment="1">
      <alignment horizontal="center" vertical="center"/>
    </xf>
    <xf numFmtId="0" fontId="23" fillId="3" borderId="31" xfId="6" applyFont="1" applyFill="1" applyBorder="1" applyAlignment="1">
      <alignment horizontal="center" vertical="center"/>
    </xf>
    <xf numFmtId="0" fontId="24" fillId="0" borderId="29" xfId="6" applyFont="1" applyBorder="1" applyAlignment="1">
      <alignment horizontal="left" vertical="center"/>
    </xf>
    <xf numFmtId="0" fontId="24" fillId="0" borderId="30" xfId="6" applyFont="1" applyBorder="1" applyAlignment="1">
      <alignment horizontal="left" vertical="center"/>
    </xf>
    <xf numFmtId="0" fontId="24" fillId="0" borderId="31" xfId="6" applyFont="1" applyBorder="1" applyAlignment="1">
      <alignment horizontal="left" vertical="center"/>
    </xf>
    <xf numFmtId="0" fontId="23" fillId="0" borderId="29" xfId="6" applyFont="1" applyBorder="1" applyAlignment="1">
      <alignment vertical="center" wrapText="1"/>
    </xf>
    <xf numFmtId="0" fontId="23" fillId="0" borderId="30" xfId="6" applyFont="1" applyBorder="1" applyAlignment="1">
      <alignment vertical="center" wrapText="1"/>
    </xf>
    <xf numFmtId="0" fontId="23" fillId="0" borderId="31" xfId="6" applyFont="1" applyBorder="1" applyAlignment="1">
      <alignment vertical="center" wrapText="1"/>
    </xf>
    <xf numFmtId="0" fontId="23" fillId="0" borderId="29" xfId="6" quotePrefix="1" applyFont="1" applyBorder="1" applyAlignment="1">
      <alignment horizontal="left" vertical="center"/>
    </xf>
    <xf numFmtId="0" fontId="23" fillId="0" borderId="30" xfId="6" quotePrefix="1" applyFont="1" applyBorder="1" applyAlignment="1">
      <alignment horizontal="left" vertical="center"/>
    </xf>
    <xf numFmtId="0" fontId="23" fillId="0" borderId="31" xfId="6" quotePrefix="1" applyFont="1" applyBorder="1" applyAlignment="1">
      <alignment horizontal="left" vertical="center"/>
    </xf>
    <xf numFmtId="0" fontId="16" fillId="0" borderId="32" xfId="6" applyFont="1" applyBorder="1" applyAlignment="1">
      <alignment horizontal="center" vertical="center"/>
    </xf>
    <xf numFmtId="0" fontId="16" fillId="0" borderId="34" xfId="6" applyFont="1" applyBorder="1" applyAlignment="1">
      <alignment horizontal="center" vertical="center"/>
    </xf>
    <xf numFmtId="0" fontId="16" fillId="0" borderId="32" xfId="6" quotePrefix="1" applyFont="1" applyBorder="1" applyAlignment="1">
      <alignment vertical="center" wrapText="1"/>
    </xf>
    <xf numFmtId="0" fontId="16" fillId="0" borderId="33" xfId="6" quotePrefix="1" applyFont="1" applyBorder="1" applyAlignment="1">
      <alignment vertical="center" wrapText="1"/>
    </xf>
    <xf numFmtId="0" fontId="16" fillId="0" borderId="34" xfId="6" quotePrefix="1" applyFont="1" applyBorder="1" applyAlignment="1">
      <alignment vertical="center" wrapText="1"/>
    </xf>
    <xf numFmtId="0" fontId="16" fillId="0" borderId="32" xfId="6" applyFont="1" applyBorder="1" applyAlignment="1">
      <alignment vertical="center"/>
    </xf>
    <xf numFmtId="0" fontId="16" fillId="0" borderId="16" xfId="6" applyFont="1" applyBorder="1" applyAlignment="1">
      <alignment horizontal="center" vertical="center"/>
    </xf>
    <xf numFmtId="0" fontId="16" fillId="3" borderId="32" xfId="6" applyFont="1" applyFill="1" applyBorder="1" applyAlignment="1">
      <alignment horizontal="center" vertical="center"/>
    </xf>
    <xf numFmtId="0" fontId="16" fillId="3" borderId="33" xfId="6" applyFont="1" applyFill="1" applyBorder="1" applyAlignment="1">
      <alignment horizontal="center" vertical="center"/>
    </xf>
    <xf numFmtId="0" fontId="16" fillId="3" borderId="34" xfId="6" applyFont="1" applyFill="1" applyBorder="1" applyAlignment="1">
      <alignment horizontal="center" vertical="center"/>
    </xf>
    <xf numFmtId="0" fontId="16" fillId="0" borderId="32" xfId="6" quotePrefix="1" applyFont="1" applyBorder="1" applyAlignment="1">
      <alignment horizontal="left" vertical="center"/>
    </xf>
    <xf numFmtId="0" fontId="16" fillId="0" borderId="33" xfId="6" applyFont="1" applyBorder="1" applyAlignment="1">
      <alignment horizontal="left" vertical="center"/>
    </xf>
    <xf numFmtId="0" fontId="16" fillId="0" borderId="34" xfId="6" applyFont="1" applyBorder="1" applyAlignment="1">
      <alignment horizontal="left" vertical="center"/>
    </xf>
    <xf numFmtId="0" fontId="16" fillId="0" borderId="33" xfId="6" applyFont="1" applyBorder="1" applyAlignment="1">
      <alignment horizontal="center" vertical="center"/>
    </xf>
    <xf numFmtId="0" fontId="16" fillId="0" borderId="16" xfId="6" applyFont="1" applyBorder="1" applyAlignment="1">
      <alignment vertical="center"/>
    </xf>
    <xf numFmtId="0" fontId="16" fillId="0" borderId="32" xfId="6" quotePrefix="1" applyFont="1" applyBorder="1" applyAlignment="1">
      <alignment horizontal="left" vertical="center" wrapText="1" indent="1"/>
    </xf>
    <xf numFmtId="0" fontId="16" fillId="0" borderId="33" xfId="6" quotePrefix="1" applyFont="1" applyBorder="1" applyAlignment="1">
      <alignment horizontal="left" vertical="center" wrapText="1" indent="1"/>
    </xf>
    <xf numFmtId="0" fontId="16" fillId="0" borderId="34" xfId="6" quotePrefix="1" applyFont="1" applyBorder="1" applyAlignment="1">
      <alignment horizontal="left" vertical="center" wrapText="1" indent="1"/>
    </xf>
    <xf numFmtId="0" fontId="16" fillId="3" borderId="32" xfId="6" applyFont="1" applyFill="1" applyBorder="1" applyAlignment="1">
      <alignment horizontal="center" vertical="center" wrapText="1"/>
    </xf>
    <xf numFmtId="0" fontId="16" fillId="3" borderId="32" xfId="6" applyFont="1" applyFill="1" applyBorder="1" applyAlignment="1">
      <alignment horizontal="left" vertical="center" wrapText="1"/>
    </xf>
    <xf numFmtId="0" fontId="16" fillId="3" borderId="33" xfId="6" applyFont="1" applyFill="1" applyBorder="1" applyAlignment="1">
      <alignment horizontal="left" vertical="center"/>
    </xf>
    <xf numFmtId="0" fontId="16" fillId="3" borderId="34" xfId="6" applyFont="1" applyFill="1" applyBorder="1" applyAlignment="1">
      <alignment horizontal="left" vertical="center"/>
    </xf>
    <xf numFmtId="0" fontId="16" fillId="0" borderId="32" xfId="6" quotePrefix="1" applyFont="1" applyBorder="1" applyAlignment="1">
      <alignment horizontal="center" vertical="center" wrapText="1"/>
    </xf>
    <xf numFmtId="0" fontId="16" fillId="0" borderId="33" xfId="6" applyFont="1" applyBorder="1" applyAlignment="1">
      <alignment horizontal="center" vertical="center" wrapText="1"/>
    </xf>
    <xf numFmtId="0" fontId="16" fillId="0" borderId="34" xfId="6" applyFont="1" applyBorder="1" applyAlignment="1">
      <alignment horizontal="center" vertical="center" wrapText="1"/>
    </xf>
    <xf numFmtId="0" fontId="16" fillId="0" borderId="33" xfId="6" applyFont="1" applyBorder="1" applyAlignment="1">
      <alignment vertical="center" wrapText="1"/>
    </xf>
    <xf numFmtId="0" fontId="16" fillId="0" borderId="34" xfId="6" applyFont="1" applyBorder="1" applyAlignment="1">
      <alignment vertical="center" wrapText="1"/>
    </xf>
    <xf numFmtId="0" fontId="16" fillId="3" borderId="33" xfId="6" applyFont="1" applyFill="1" applyBorder="1" applyAlignment="1">
      <alignment horizontal="left" vertical="center" wrapText="1"/>
    </xf>
    <xf numFmtId="0" fontId="16" fillId="3" borderId="34" xfId="6" applyFont="1" applyFill="1" applyBorder="1" applyAlignment="1">
      <alignment horizontal="left"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224118</xdr:colOff>
      <xdr:row>46</xdr:row>
      <xdr:rowOff>67235</xdr:rowOff>
    </xdr:from>
    <xdr:to>
      <xdr:col>12</xdr:col>
      <xdr:colOff>220030</xdr:colOff>
      <xdr:row>59</xdr:row>
      <xdr:rowOff>131484</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020175"/>
          <a:ext cx="3200400" cy="2667000"/>
        </a:xfrm>
        <a:prstGeom prst="rect">
          <a:avLst/>
        </a:prstGeom>
      </xdr:spPr>
    </xdr:pic>
    <xdr:clientData/>
  </xdr:twoCellAnchor>
  <xdr:twoCellAnchor editAs="oneCell">
    <xdr:from>
      <xdr:col>2</xdr:col>
      <xdr:colOff>33617</xdr:colOff>
      <xdr:row>8</xdr:row>
      <xdr:rowOff>1</xdr:rowOff>
    </xdr:from>
    <xdr:to>
      <xdr:col>54</xdr:col>
      <xdr:colOff>71088</xdr:colOff>
      <xdr:row>42</xdr:row>
      <xdr:rowOff>78442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571500" y="1638300"/>
          <a:ext cx="13906500" cy="6591300"/>
        </a:xfrm>
        <a:prstGeom prst="rect">
          <a:avLst/>
        </a:prstGeom>
      </xdr:spPr>
    </xdr:pic>
    <xdr:clientData/>
  </xdr:twoCellAnchor>
  <xdr:twoCellAnchor>
    <xdr:from>
      <xdr:col>9</xdr:col>
      <xdr:colOff>100854</xdr:colOff>
      <xdr:row>8</xdr:row>
      <xdr:rowOff>78434</xdr:rowOff>
    </xdr:from>
    <xdr:to>
      <xdr:col>10</xdr:col>
      <xdr:colOff>123266</xdr:colOff>
      <xdr:row>9</xdr:row>
      <xdr:rowOff>112052</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505075" y="17145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14</xdr:col>
      <xdr:colOff>235323</xdr:colOff>
      <xdr:row>10</xdr:row>
      <xdr:rowOff>145671</xdr:rowOff>
    </xdr:from>
    <xdr:to>
      <xdr:col>15</xdr:col>
      <xdr:colOff>224117</xdr:colOff>
      <xdr:row>11</xdr:row>
      <xdr:rowOff>168083</xdr:rowOff>
    </xdr:to>
    <xdr:sp macro="" textlink="" fLocksText="0">
      <xdr:nvSpPr>
        <xdr:cNvPr id="4" name="Rectangle 3">
          <a:extLst>
            <a:ext uri="{FF2B5EF4-FFF2-40B4-BE49-F238E27FC236}">
              <a16:creationId xmlns:a16="http://schemas.microsoft.com/office/drawing/2014/main" id="{00000000-0008-0000-0200-000004000000}"/>
            </a:ext>
          </a:extLst>
        </xdr:cNvPr>
        <xdr:cNvSpPr/>
      </xdr:nvSpPr>
      <xdr:spPr>
        <a:xfrm>
          <a:off x="3971925" y="2162175"/>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22</xdr:col>
      <xdr:colOff>112057</xdr:colOff>
      <xdr:row>10</xdr:row>
      <xdr:rowOff>145668</xdr:rowOff>
    </xdr:from>
    <xdr:to>
      <xdr:col>23</xdr:col>
      <xdr:colOff>100852</xdr:colOff>
      <xdr:row>11</xdr:row>
      <xdr:rowOff>168080</xdr:rowOff>
    </xdr:to>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5981700" y="2162175"/>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19</xdr:col>
      <xdr:colOff>112057</xdr:colOff>
      <xdr:row>10</xdr:row>
      <xdr:rowOff>134463</xdr:rowOff>
    </xdr:from>
    <xdr:to>
      <xdr:col>20</xdr:col>
      <xdr:colOff>100851</xdr:colOff>
      <xdr:row>11</xdr:row>
      <xdr:rowOff>156875</xdr:rowOff>
    </xdr:to>
    <xdr:sp macro="" textlink="" fLocksText="0">
      <xdr:nvSpPr>
        <xdr:cNvPr id="6" name="Rectangle 5">
          <a:extLst>
            <a:ext uri="{FF2B5EF4-FFF2-40B4-BE49-F238E27FC236}">
              <a16:creationId xmlns:a16="http://schemas.microsoft.com/office/drawing/2014/main" id="{00000000-0008-0000-0200-000006000000}"/>
            </a:ext>
          </a:extLst>
        </xdr:cNvPr>
        <xdr:cNvSpPr/>
      </xdr:nvSpPr>
      <xdr:spPr>
        <a:xfrm>
          <a:off x="5181600" y="2152650"/>
          <a:ext cx="2571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26</xdr:col>
      <xdr:colOff>78441</xdr:colOff>
      <xdr:row>10</xdr:row>
      <xdr:rowOff>145669</xdr:rowOff>
    </xdr:from>
    <xdr:to>
      <xdr:col>27</xdr:col>
      <xdr:colOff>67236</xdr:colOff>
      <xdr:row>11</xdr:row>
      <xdr:rowOff>168081</xdr:rowOff>
    </xdr:to>
    <xdr:sp macro="" textlink="" fLocksText="0">
      <xdr:nvSpPr>
        <xdr:cNvPr id="7" name="Rectangle 6">
          <a:extLst>
            <a:ext uri="{FF2B5EF4-FFF2-40B4-BE49-F238E27FC236}">
              <a16:creationId xmlns:a16="http://schemas.microsoft.com/office/drawing/2014/main" id="{00000000-0008-0000-0200-000007000000}"/>
            </a:ext>
          </a:extLst>
        </xdr:cNvPr>
        <xdr:cNvSpPr/>
      </xdr:nvSpPr>
      <xdr:spPr>
        <a:xfrm>
          <a:off x="7010400" y="2162175"/>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30</xdr:col>
      <xdr:colOff>67236</xdr:colOff>
      <xdr:row>10</xdr:row>
      <xdr:rowOff>156874</xdr:rowOff>
    </xdr:from>
    <xdr:to>
      <xdr:col>31</xdr:col>
      <xdr:colOff>56031</xdr:colOff>
      <xdr:row>11</xdr:row>
      <xdr:rowOff>179286</xdr:rowOff>
    </xdr:to>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8067675" y="2171700"/>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34</xdr:col>
      <xdr:colOff>179294</xdr:colOff>
      <xdr:row>10</xdr:row>
      <xdr:rowOff>100846</xdr:rowOff>
    </xdr:from>
    <xdr:to>
      <xdr:col>35</xdr:col>
      <xdr:colOff>168088</xdr:colOff>
      <xdr:row>11</xdr:row>
      <xdr:rowOff>123258</xdr:rowOff>
    </xdr:to>
    <xdr:sp macro="" textlink="" fLocksText="0">
      <xdr:nvSpPr>
        <xdr:cNvPr id="9" name="Rectangle 8">
          <a:extLst>
            <a:ext uri="{FF2B5EF4-FFF2-40B4-BE49-F238E27FC236}">
              <a16:creationId xmlns:a16="http://schemas.microsoft.com/office/drawing/2014/main" id="{00000000-0008-0000-0200-000009000000}"/>
            </a:ext>
          </a:extLst>
        </xdr:cNvPr>
        <xdr:cNvSpPr/>
      </xdr:nvSpPr>
      <xdr:spPr>
        <a:xfrm>
          <a:off x="9248775" y="2124075"/>
          <a:ext cx="2571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38</xdr:col>
      <xdr:colOff>145676</xdr:colOff>
      <xdr:row>10</xdr:row>
      <xdr:rowOff>168088</xdr:rowOff>
    </xdr:from>
    <xdr:to>
      <xdr:col>39</xdr:col>
      <xdr:colOff>134470</xdr:colOff>
      <xdr:row>12</xdr:row>
      <xdr:rowOff>0</xdr:rowOff>
    </xdr:to>
    <xdr:sp macro="" textlink="" fLocksText="0">
      <xdr:nvSpPr>
        <xdr:cNvPr id="10" name="Rectangle 9">
          <a:extLst>
            <a:ext uri="{FF2B5EF4-FFF2-40B4-BE49-F238E27FC236}">
              <a16:creationId xmlns:a16="http://schemas.microsoft.com/office/drawing/2014/main" id="{00000000-0008-0000-0200-00000A000000}"/>
            </a:ext>
          </a:extLst>
        </xdr:cNvPr>
        <xdr:cNvSpPr/>
      </xdr:nvSpPr>
      <xdr:spPr>
        <a:xfrm>
          <a:off x="10277475" y="2190750"/>
          <a:ext cx="2571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43</xdr:col>
      <xdr:colOff>212911</xdr:colOff>
      <xdr:row>10</xdr:row>
      <xdr:rowOff>156882</xdr:rowOff>
    </xdr:from>
    <xdr:to>
      <xdr:col>44</xdr:col>
      <xdr:colOff>201706</xdr:colOff>
      <xdr:row>11</xdr:row>
      <xdr:rowOff>179294</xdr:rowOff>
    </xdr:to>
    <xdr:sp macro="" textlink="" fLocksText="0">
      <xdr:nvSpPr>
        <xdr:cNvPr id="11" name="Rectangle 10">
          <a:extLst>
            <a:ext uri="{FF2B5EF4-FFF2-40B4-BE49-F238E27FC236}">
              <a16:creationId xmlns:a16="http://schemas.microsoft.com/office/drawing/2014/main" id="{00000000-0008-0000-0200-00000B000000}"/>
            </a:ext>
          </a:extLst>
        </xdr:cNvPr>
        <xdr:cNvSpPr/>
      </xdr:nvSpPr>
      <xdr:spPr>
        <a:xfrm>
          <a:off x="11677650" y="2171700"/>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8</a:t>
          </a:r>
        </a:p>
      </xdr:txBody>
    </xdr:sp>
    <xdr:clientData/>
  </xdr:twoCellAnchor>
  <xdr:twoCellAnchor>
    <xdr:from>
      <xdr:col>47</xdr:col>
      <xdr:colOff>56028</xdr:colOff>
      <xdr:row>10</xdr:row>
      <xdr:rowOff>145676</xdr:rowOff>
    </xdr:from>
    <xdr:to>
      <xdr:col>48</xdr:col>
      <xdr:colOff>44823</xdr:colOff>
      <xdr:row>11</xdr:row>
      <xdr:rowOff>168088</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12592050" y="2162175"/>
          <a:ext cx="2571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9</a:t>
          </a:r>
        </a:p>
      </xdr:txBody>
    </xdr:sp>
    <xdr:clientData/>
  </xdr:twoCellAnchor>
  <xdr:twoCellAnchor>
    <xdr:from>
      <xdr:col>50</xdr:col>
      <xdr:colOff>125506</xdr:colOff>
      <xdr:row>11</xdr:row>
      <xdr:rowOff>22412</xdr:rowOff>
    </xdr:from>
    <xdr:to>
      <xdr:col>52</xdr:col>
      <xdr:colOff>22412</xdr:colOff>
      <xdr:row>12</xdr:row>
      <xdr:rowOff>20173</xdr:rowOff>
    </xdr:to>
    <xdr:sp macro="" textlink="" fLocksText="0">
      <xdr:nvSpPr>
        <xdr:cNvPr id="13" name="Rectangle 12">
          <a:extLst>
            <a:ext uri="{FF2B5EF4-FFF2-40B4-BE49-F238E27FC236}">
              <a16:creationId xmlns:a16="http://schemas.microsoft.com/office/drawing/2014/main" id="{00000000-0008-0000-0200-00000D000000}"/>
            </a:ext>
          </a:extLst>
        </xdr:cNvPr>
        <xdr:cNvSpPr/>
      </xdr:nvSpPr>
      <xdr:spPr>
        <a:xfrm>
          <a:off x="13458825" y="2228850"/>
          <a:ext cx="42862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10</a:t>
          </a:r>
        </a:p>
      </xdr:txBody>
    </xdr:sp>
    <xdr:clientData/>
  </xdr:twoCellAnchor>
  <xdr:twoCellAnchor>
    <xdr:from>
      <xdr:col>15</xdr:col>
      <xdr:colOff>179292</xdr:colOff>
      <xdr:row>13</xdr:row>
      <xdr:rowOff>22404</xdr:rowOff>
    </xdr:from>
    <xdr:to>
      <xdr:col>16</xdr:col>
      <xdr:colOff>201707</xdr:colOff>
      <xdr:row>14</xdr:row>
      <xdr:rowOff>11199</xdr:rowOff>
    </xdr:to>
    <xdr:sp macro="" textlink="" fLocksText="0">
      <xdr:nvSpPr>
        <xdr:cNvPr id="15" name="Rectangle 14">
          <a:extLst>
            <a:ext uri="{FF2B5EF4-FFF2-40B4-BE49-F238E27FC236}">
              <a16:creationId xmlns:a16="http://schemas.microsoft.com/office/drawing/2014/main" id="{00000000-0008-0000-0200-00000F000000}"/>
            </a:ext>
          </a:extLst>
        </xdr:cNvPr>
        <xdr:cNvSpPr/>
      </xdr:nvSpPr>
      <xdr:spPr>
        <a:xfrm>
          <a:off x="4181475" y="260985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19</xdr:col>
      <xdr:colOff>17928</xdr:colOff>
      <xdr:row>13</xdr:row>
      <xdr:rowOff>6717</xdr:rowOff>
    </xdr:from>
    <xdr:to>
      <xdr:col>20</xdr:col>
      <xdr:colOff>40342</xdr:colOff>
      <xdr:row>13</xdr:row>
      <xdr:rowOff>186012</xdr:rowOff>
    </xdr:to>
    <xdr:sp macro="" textlink="" fLocksText="0">
      <xdr:nvSpPr>
        <xdr:cNvPr id="16" name="Rectangle 15">
          <a:extLst>
            <a:ext uri="{FF2B5EF4-FFF2-40B4-BE49-F238E27FC236}">
              <a16:creationId xmlns:a16="http://schemas.microsoft.com/office/drawing/2014/main" id="{00000000-0008-0000-0200-000010000000}"/>
            </a:ext>
          </a:extLst>
        </xdr:cNvPr>
        <xdr:cNvSpPr/>
      </xdr:nvSpPr>
      <xdr:spPr>
        <a:xfrm>
          <a:off x="5086350" y="2600325"/>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2.1</a:t>
          </a:r>
        </a:p>
      </xdr:txBody>
    </xdr:sp>
    <xdr:clientData/>
  </xdr:twoCellAnchor>
  <xdr:twoCellAnchor>
    <xdr:from>
      <xdr:col>22</xdr:col>
      <xdr:colOff>56029</xdr:colOff>
      <xdr:row>13</xdr:row>
      <xdr:rowOff>33611</xdr:rowOff>
    </xdr:from>
    <xdr:to>
      <xdr:col>23</xdr:col>
      <xdr:colOff>78444</xdr:colOff>
      <xdr:row>14</xdr:row>
      <xdr:rowOff>22406</xdr:rowOff>
    </xdr:to>
    <xdr:sp macro="" textlink="" fLocksText="0">
      <xdr:nvSpPr>
        <xdr:cNvPr id="17" name="Rectangle 16">
          <a:extLst>
            <a:ext uri="{FF2B5EF4-FFF2-40B4-BE49-F238E27FC236}">
              <a16:creationId xmlns:a16="http://schemas.microsoft.com/office/drawing/2014/main" id="{00000000-0008-0000-0200-000011000000}"/>
            </a:ext>
          </a:extLst>
        </xdr:cNvPr>
        <xdr:cNvSpPr/>
      </xdr:nvSpPr>
      <xdr:spPr>
        <a:xfrm>
          <a:off x="5924550" y="2628900"/>
          <a:ext cx="285750" cy="1714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3.1</a:t>
          </a:r>
        </a:p>
      </xdr:txBody>
    </xdr:sp>
    <xdr:clientData/>
  </xdr:twoCellAnchor>
  <xdr:twoCellAnchor>
    <xdr:from>
      <xdr:col>26</xdr:col>
      <xdr:colOff>33617</xdr:colOff>
      <xdr:row>13</xdr:row>
      <xdr:rowOff>33611</xdr:rowOff>
    </xdr:from>
    <xdr:to>
      <xdr:col>27</xdr:col>
      <xdr:colOff>56032</xdr:colOff>
      <xdr:row>14</xdr:row>
      <xdr:rowOff>22406</xdr:rowOff>
    </xdr:to>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6972300" y="2628900"/>
          <a:ext cx="285750" cy="1714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4.1</a:t>
          </a:r>
        </a:p>
      </xdr:txBody>
    </xdr:sp>
    <xdr:clientData/>
  </xdr:twoCellAnchor>
  <xdr:twoCellAnchor>
    <xdr:from>
      <xdr:col>30</xdr:col>
      <xdr:colOff>96370</xdr:colOff>
      <xdr:row>13</xdr:row>
      <xdr:rowOff>17922</xdr:rowOff>
    </xdr:from>
    <xdr:to>
      <xdr:col>31</xdr:col>
      <xdr:colOff>118785</xdr:colOff>
      <xdr:row>14</xdr:row>
      <xdr:rowOff>6717</xdr:rowOff>
    </xdr:to>
    <xdr:sp macro="" textlink="" fLocksText="0">
      <xdr:nvSpPr>
        <xdr:cNvPr id="19" name="Rectangle 18">
          <a:extLst>
            <a:ext uri="{FF2B5EF4-FFF2-40B4-BE49-F238E27FC236}">
              <a16:creationId xmlns:a16="http://schemas.microsoft.com/office/drawing/2014/main" id="{00000000-0008-0000-0200-000013000000}"/>
            </a:ext>
          </a:extLst>
        </xdr:cNvPr>
        <xdr:cNvSpPr/>
      </xdr:nvSpPr>
      <xdr:spPr>
        <a:xfrm>
          <a:off x="8096250" y="260985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5.1</a:t>
          </a:r>
        </a:p>
      </xdr:txBody>
    </xdr:sp>
    <xdr:clientData/>
  </xdr:twoCellAnchor>
  <xdr:twoCellAnchor>
    <xdr:from>
      <xdr:col>34</xdr:col>
      <xdr:colOff>58269</xdr:colOff>
      <xdr:row>13</xdr:row>
      <xdr:rowOff>35851</xdr:rowOff>
    </xdr:from>
    <xdr:to>
      <xdr:col>35</xdr:col>
      <xdr:colOff>80683</xdr:colOff>
      <xdr:row>14</xdr:row>
      <xdr:rowOff>24646</xdr:rowOff>
    </xdr:to>
    <xdr:sp macro="" textlink="" fLocksText="0">
      <xdr:nvSpPr>
        <xdr:cNvPr id="20" name="Rectangle 19">
          <a:extLst>
            <a:ext uri="{FF2B5EF4-FFF2-40B4-BE49-F238E27FC236}">
              <a16:creationId xmlns:a16="http://schemas.microsoft.com/office/drawing/2014/main" id="{00000000-0008-0000-0200-000014000000}"/>
            </a:ext>
          </a:extLst>
        </xdr:cNvPr>
        <xdr:cNvSpPr/>
      </xdr:nvSpPr>
      <xdr:spPr>
        <a:xfrm>
          <a:off x="9124950" y="262890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6.1</a:t>
          </a:r>
        </a:p>
      </xdr:txBody>
    </xdr:sp>
    <xdr:clientData/>
  </xdr:twoCellAnchor>
  <xdr:twoCellAnchor>
    <xdr:from>
      <xdr:col>38</xdr:col>
      <xdr:colOff>145674</xdr:colOff>
      <xdr:row>13</xdr:row>
      <xdr:rowOff>67235</xdr:rowOff>
    </xdr:from>
    <xdr:to>
      <xdr:col>39</xdr:col>
      <xdr:colOff>168088</xdr:colOff>
      <xdr:row>14</xdr:row>
      <xdr:rowOff>56030</xdr:rowOff>
    </xdr:to>
    <xdr:sp macro="" textlink="" fLocksText="0">
      <xdr:nvSpPr>
        <xdr:cNvPr id="21" name="Rectangle 20">
          <a:extLst>
            <a:ext uri="{FF2B5EF4-FFF2-40B4-BE49-F238E27FC236}">
              <a16:creationId xmlns:a16="http://schemas.microsoft.com/office/drawing/2014/main" id="{00000000-0008-0000-0200-000015000000}"/>
            </a:ext>
          </a:extLst>
        </xdr:cNvPr>
        <xdr:cNvSpPr/>
      </xdr:nvSpPr>
      <xdr:spPr>
        <a:xfrm>
          <a:off x="10277475" y="2657475"/>
          <a:ext cx="29527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7.1</a:t>
          </a:r>
        </a:p>
      </xdr:txBody>
    </xdr:sp>
    <xdr:clientData/>
  </xdr:twoCellAnchor>
  <xdr:twoCellAnchor>
    <xdr:from>
      <xdr:col>43</xdr:col>
      <xdr:colOff>190497</xdr:colOff>
      <xdr:row>13</xdr:row>
      <xdr:rowOff>11205</xdr:rowOff>
    </xdr:from>
    <xdr:to>
      <xdr:col>44</xdr:col>
      <xdr:colOff>212912</xdr:colOff>
      <xdr:row>14</xdr:row>
      <xdr:rowOff>0</xdr:rowOff>
    </xdr:to>
    <xdr:sp macro="" textlink="" fLocksText="0">
      <xdr:nvSpPr>
        <xdr:cNvPr id="22" name="Rectangle 21">
          <a:extLst>
            <a:ext uri="{FF2B5EF4-FFF2-40B4-BE49-F238E27FC236}">
              <a16:creationId xmlns:a16="http://schemas.microsoft.com/office/drawing/2014/main" id="{00000000-0008-0000-0200-000016000000}"/>
            </a:ext>
          </a:extLst>
        </xdr:cNvPr>
        <xdr:cNvSpPr/>
      </xdr:nvSpPr>
      <xdr:spPr>
        <a:xfrm>
          <a:off x="11658600" y="2600325"/>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8.1</a:t>
          </a:r>
        </a:p>
      </xdr:txBody>
    </xdr:sp>
    <xdr:clientData/>
  </xdr:twoCellAnchor>
  <xdr:twoCellAnchor>
    <xdr:from>
      <xdr:col>47</xdr:col>
      <xdr:colOff>78438</xdr:colOff>
      <xdr:row>13</xdr:row>
      <xdr:rowOff>78440</xdr:rowOff>
    </xdr:from>
    <xdr:to>
      <xdr:col>48</xdr:col>
      <xdr:colOff>100853</xdr:colOff>
      <xdr:row>14</xdr:row>
      <xdr:rowOff>67235</xdr:rowOff>
    </xdr:to>
    <xdr:sp macro="" textlink="" fLocksText="0">
      <xdr:nvSpPr>
        <xdr:cNvPr id="23" name="Rectangle 22">
          <a:extLst>
            <a:ext uri="{FF2B5EF4-FFF2-40B4-BE49-F238E27FC236}">
              <a16:creationId xmlns:a16="http://schemas.microsoft.com/office/drawing/2014/main" id="{00000000-0008-0000-0200-000017000000}"/>
            </a:ext>
          </a:extLst>
        </xdr:cNvPr>
        <xdr:cNvSpPr/>
      </xdr:nvSpPr>
      <xdr:spPr>
        <a:xfrm>
          <a:off x="12611100" y="2667000"/>
          <a:ext cx="29527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9.1</a:t>
          </a:r>
        </a:p>
      </xdr:txBody>
    </xdr:sp>
    <xdr:clientData/>
  </xdr:twoCellAnchor>
  <xdr:twoCellAnchor>
    <xdr:from>
      <xdr:col>50</xdr:col>
      <xdr:colOff>107576</xdr:colOff>
      <xdr:row>13</xdr:row>
      <xdr:rowOff>105336</xdr:rowOff>
    </xdr:from>
    <xdr:to>
      <xdr:col>52</xdr:col>
      <xdr:colOff>0</xdr:colOff>
      <xdr:row>14</xdr:row>
      <xdr:rowOff>121031</xdr:rowOff>
    </xdr:to>
    <xdr:sp macro="" textlink="" fLocksText="0">
      <xdr:nvSpPr>
        <xdr:cNvPr id="24" name="Rectangle 23">
          <a:extLst>
            <a:ext uri="{FF2B5EF4-FFF2-40B4-BE49-F238E27FC236}">
              <a16:creationId xmlns:a16="http://schemas.microsoft.com/office/drawing/2014/main" id="{00000000-0008-0000-0200-000018000000}"/>
            </a:ext>
          </a:extLst>
        </xdr:cNvPr>
        <xdr:cNvSpPr/>
      </xdr:nvSpPr>
      <xdr:spPr>
        <a:xfrm>
          <a:off x="13439775" y="2695575"/>
          <a:ext cx="42862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10.1</a:t>
          </a:r>
        </a:p>
      </xdr:txBody>
    </xdr:sp>
    <xdr:clientData/>
  </xdr:twoCellAnchor>
  <xdr:twoCellAnchor>
    <xdr:from>
      <xdr:col>12</xdr:col>
      <xdr:colOff>201704</xdr:colOff>
      <xdr:row>10</xdr:row>
      <xdr:rowOff>145669</xdr:rowOff>
    </xdr:from>
    <xdr:to>
      <xdr:col>13</xdr:col>
      <xdr:colOff>224118</xdr:colOff>
      <xdr:row>11</xdr:row>
      <xdr:rowOff>134464</xdr:rowOff>
    </xdr:to>
    <xdr:sp macro="" textlink="" fLocksText="0">
      <xdr:nvSpPr>
        <xdr:cNvPr id="25" name="Rectangle 24">
          <a:extLst>
            <a:ext uri="{FF2B5EF4-FFF2-40B4-BE49-F238E27FC236}">
              <a16:creationId xmlns:a16="http://schemas.microsoft.com/office/drawing/2014/main" id="{00000000-0008-0000-0200-000019000000}"/>
            </a:ext>
          </a:extLst>
        </xdr:cNvPr>
        <xdr:cNvSpPr/>
      </xdr:nvSpPr>
      <xdr:spPr>
        <a:xfrm>
          <a:off x="3400425" y="2162175"/>
          <a:ext cx="29527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12</xdr:col>
      <xdr:colOff>145676</xdr:colOff>
      <xdr:row>28</xdr:row>
      <xdr:rowOff>112057</xdr:rowOff>
    </xdr:from>
    <xdr:to>
      <xdr:col>13</xdr:col>
      <xdr:colOff>168090</xdr:colOff>
      <xdr:row>29</xdr:row>
      <xdr:rowOff>100852</xdr:rowOff>
    </xdr:to>
    <xdr:sp macro="" textlink="" fLocksText="0">
      <xdr:nvSpPr>
        <xdr:cNvPr id="26" name="Rectangle 25">
          <a:extLst>
            <a:ext uri="{FF2B5EF4-FFF2-40B4-BE49-F238E27FC236}">
              <a16:creationId xmlns:a16="http://schemas.microsoft.com/office/drawing/2014/main" id="{00000000-0008-0000-0200-00001A000000}"/>
            </a:ext>
          </a:extLst>
        </xdr:cNvPr>
        <xdr:cNvSpPr/>
      </xdr:nvSpPr>
      <xdr:spPr>
        <a:xfrm>
          <a:off x="3343275" y="5562600"/>
          <a:ext cx="29527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a:t>
          </a:r>
        </a:p>
      </xdr:txBody>
    </xdr:sp>
    <xdr:clientData/>
  </xdr:twoCellAnchor>
  <xdr:twoCellAnchor>
    <xdr:from>
      <xdr:col>2</xdr:col>
      <xdr:colOff>78441</xdr:colOff>
      <xdr:row>10</xdr:row>
      <xdr:rowOff>134464</xdr:rowOff>
    </xdr:from>
    <xdr:to>
      <xdr:col>13</xdr:col>
      <xdr:colOff>224118</xdr:colOff>
      <xdr:row>27</xdr:row>
      <xdr:rowOff>179294</xdr:rowOff>
    </xdr:to>
    <xdr:sp macro="" textlink="" fLocksText="0">
      <xdr:nvSpPr>
        <xdr:cNvPr id="27" name="Rectangle 26">
          <a:extLst>
            <a:ext uri="{FF2B5EF4-FFF2-40B4-BE49-F238E27FC236}">
              <a16:creationId xmlns:a16="http://schemas.microsoft.com/office/drawing/2014/main" id="{00000000-0008-0000-0200-00001B000000}"/>
            </a:ext>
          </a:extLst>
        </xdr:cNvPr>
        <xdr:cNvSpPr/>
      </xdr:nvSpPr>
      <xdr:spPr>
        <a:xfrm>
          <a:off x="609600" y="2152650"/>
          <a:ext cx="3086100" cy="3286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clientData/>
  </xdr:twoCellAnchor>
  <xdr:twoCellAnchor>
    <xdr:from>
      <xdr:col>2</xdr:col>
      <xdr:colOff>112059</xdr:colOff>
      <xdr:row>28</xdr:row>
      <xdr:rowOff>100855</xdr:rowOff>
    </xdr:from>
    <xdr:to>
      <xdr:col>13</xdr:col>
      <xdr:colOff>168087</xdr:colOff>
      <xdr:row>41</xdr:row>
      <xdr:rowOff>78444</xdr:rowOff>
    </xdr:to>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647700" y="5553075"/>
          <a:ext cx="2990850" cy="2476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clientData/>
  </xdr:twoCellAnchor>
  <xdr:twoCellAnchor>
    <xdr:from>
      <xdr:col>11</xdr:col>
      <xdr:colOff>190500</xdr:colOff>
      <xdr:row>24</xdr:row>
      <xdr:rowOff>152392</xdr:rowOff>
    </xdr:from>
    <xdr:to>
      <xdr:col>13</xdr:col>
      <xdr:colOff>40341</xdr:colOff>
      <xdr:row>25</xdr:row>
      <xdr:rowOff>156876</xdr:rowOff>
    </xdr:to>
    <xdr:sp macro="" textlink="" fLocksText="0">
      <xdr:nvSpPr>
        <xdr:cNvPr id="29" name="Rectangle 28">
          <a:extLst>
            <a:ext uri="{FF2B5EF4-FFF2-40B4-BE49-F238E27FC236}">
              <a16:creationId xmlns:a16="http://schemas.microsoft.com/office/drawing/2014/main" id="{00000000-0008-0000-0200-00001D000000}"/>
            </a:ext>
          </a:extLst>
        </xdr:cNvPr>
        <xdr:cNvSpPr/>
      </xdr:nvSpPr>
      <xdr:spPr>
        <a:xfrm>
          <a:off x="3124200" y="4838700"/>
          <a:ext cx="3810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11.1</a:t>
          </a:r>
        </a:p>
      </xdr:txBody>
    </xdr:sp>
    <xdr:clientData/>
  </xdr:twoCellAnchor>
  <xdr:twoCellAnchor>
    <xdr:from>
      <xdr:col>10</xdr:col>
      <xdr:colOff>73805</xdr:colOff>
      <xdr:row>30</xdr:row>
      <xdr:rowOff>127515</xdr:rowOff>
    </xdr:from>
    <xdr:to>
      <xdr:col>11</xdr:col>
      <xdr:colOff>210980</xdr:colOff>
      <xdr:row>31</xdr:row>
      <xdr:rowOff>96215</xdr:rowOff>
    </xdr:to>
    <xdr:sp macro="" textlink="" fLocksText="0">
      <xdr:nvSpPr>
        <xdr:cNvPr id="30" name="Rectangle 29">
          <a:extLst>
            <a:ext uri="{FF2B5EF4-FFF2-40B4-BE49-F238E27FC236}">
              <a16:creationId xmlns:a16="http://schemas.microsoft.com/office/drawing/2014/main" id="{00000000-0008-0000-0200-00001E000000}"/>
            </a:ext>
          </a:extLst>
        </xdr:cNvPr>
        <xdr:cNvSpPr/>
      </xdr:nvSpPr>
      <xdr:spPr>
        <a:xfrm>
          <a:off x="2743200" y="5953125"/>
          <a:ext cx="400050" cy="1619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12.2</a:t>
          </a:r>
        </a:p>
      </xdr:txBody>
    </xdr:sp>
    <xdr:clientData/>
  </xdr:twoCellAnchor>
  <xdr:twoCellAnchor>
    <xdr:from>
      <xdr:col>1</xdr:col>
      <xdr:colOff>90807</xdr:colOff>
      <xdr:row>30</xdr:row>
      <xdr:rowOff>120946</xdr:rowOff>
    </xdr:from>
    <xdr:to>
      <xdr:col>3</xdr:col>
      <xdr:colOff>24731</xdr:colOff>
      <xdr:row>31</xdr:row>
      <xdr:rowOff>93125</xdr:rowOff>
    </xdr:to>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361950" y="5953125"/>
          <a:ext cx="466725" cy="1619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12.1</a:t>
          </a:r>
        </a:p>
      </xdr:txBody>
    </xdr:sp>
    <xdr:clientData/>
  </xdr:twoCellAnchor>
  <xdr:twoCellAnchor>
    <xdr:from>
      <xdr:col>1</xdr:col>
      <xdr:colOff>81300</xdr:colOff>
      <xdr:row>32</xdr:row>
      <xdr:rowOff>69553</xdr:rowOff>
    </xdr:from>
    <xdr:to>
      <xdr:col>3</xdr:col>
      <xdr:colOff>20093</xdr:colOff>
      <xdr:row>33</xdr:row>
      <xdr:rowOff>23570</xdr:rowOff>
    </xdr:to>
    <xdr:sp macro="" textlink="" fLocksText="0">
      <xdr:nvSpPr>
        <xdr:cNvPr id="32" name="Rectangle 31">
          <a:extLst>
            <a:ext uri="{FF2B5EF4-FFF2-40B4-BE49-F238E27FC236}">
              <a16:creationId xmlns:a16="http://schemas.microsoft.com/office/drawing/2014/main" id="{00000000-0008-0000-0200-000020000000}"/>
            </a:ext>
          </a:extLst>
        </xdr:cNvPr>
        <xdr:cNvSpPr/>
      </xdr:nvSpPr>
      <xdr:spPr>
        <a:xfrm>
          <a:off x="352425" y="6276975"/>
          <a:ext cx="46672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12.3</a:t>
          </a:r>
        </a:p>
      </xdr:txBody>
    </xdr:sp>
    <xdr:clientData/>
  </xdr:twoCellAnchor>
  <xdr:twoCellAnchor>
    <xdr:from>
      <xdr:col>1</xdr:col>
      <xdr:colOff>86864</xdr:colOff>
      <xdr:row>33</xdr:row>
      <xdr:rowOff>177130</xdr:rowOff>
    </xdr:from>
    <xdr:to>
      <xdr:col>3</xdr:col>
      <xdr:colOff>25657</xdr:colOff>
      <xdr:row>34</xdr:row>
      <xdr:rowOff>131147</xdr:rowOff>
    </xdr:to>
    <xdr:sp macro="" textlink="" fLocksText="0">
      <xdr:nvSpPr>
        <xdr:cNvPr id="34" name="Rectangle 33">
          <a:extLst>
            <a:ext uri="{FF2B5EF4-FFF2-40B4-BE49-F238E27FC236}">
              <a16:creationId xmlns:a16="http://schemas.microsoft.com/office/drawing/2014/main" id="{00000000-0008-0000-0200-000022000000}"/>
            </a:ext>
          </a:extLst>
        </xdr:cNvPr>
        <xdr:cNvSpPr/>
      </xdr:nvSpPr>
      <xdr:spPr>
        <a:xfrm>
          <a:off x="352425" y="6581775"/>
          <a:ext cx="476250"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12.5</a:t>
          </a:r>
        </a:p>
      </xdr:txBody>
    </xdr:sp>
    <xdr:clientData/>
  </xdr:twoCellAnchor>
  <xdr:twoCellAnchor>
    <xdr:from>
      <xdr:col>10</xdr:col>
      <xdr:colOff>48767</xdr:colOff>
      <xdr:row>32</xdr:row>
      <xdr:rowOff>72181</xdr:rowOff>
    </xdr:from>
    <xdr:to>
      <xdr:col>11</xdr:col>
      <xdr:colOff>188569</xdr:colOff>
      <xdr:row>33</xdr:row>
      <xdr:rowOff>23570</xdr:rowOff>
    </xdr:to>
    <xdr:sp macro="" textlink="" fLocksText="0">
      <xdr:nvSpPr>
        <xdr:cNvPr id="35" name="Rectangle 34">
          <a:extLst>
            <a:ext uri="{FF2B5EF4-FFF2-40B4-BE49-F238E27FC236}">
              <a16:creationId xmlns:a16="http://schemas.microsoft.com/office/drawing/2014/main" id="{00000000-0008-0000-0200-000023000000}"/>
            </a:ext>
          </a:extLst>
        </xdr:cNvPr>
        <xdr:cNvSpPr/>
      </xdr:nvSpPr>
      <xdr:spPr>
        <a:xfrm>
          <a:off x="2714625" y="6286500"/>
          <a:ext cx="409575" cy="1333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12.4</a:t>
          </a:r>
        </a:p>
      </xdr:txBody>
    </xdr:sp>
    <xdr:clientData/>
  </xdr:twoCellAnchor>
  <xdr:twoCellAnchor>
    <xdr:from>
      <xdr:col>1</xdr:col>
      <xdr:colOff>47605</xdr:colOff>
      <xdr:row>35</xdr:row>
      <xdr:rowOff>181148</xdr:rowOff>
    </xdr:from>
    <xdr:to>
      <xdr:col>2</xdr:col>
      <xdr:colOff>221722</xdr:colOff>
      <xdr:row>36</xdr:row>
      <xdr:rowOff>135165</xdr:rowOff>
    </xdr:to>
    <xdr:sp macro="" textlink="" fLocksText="0">
      <xdr:nvSpPr>
        <xdr:cNvPr id="36" name="Rectangle 35">
          <a:extLst>
            <a:ext uri="{FF2B5EF4-FFF2-40B4-BE49-F238E27FC236}">
              <a16:creationId xmlns:a16="http://schemas.microsoft.com/office/drawing/2014/main" id="{00000000-0008-0000-0200-000024000000}"/>
            </a:ext>
          </a:extLst>
        </xdr:cNvPr>
        <xdr:cNvSpPr/>
      </xdr:nvSpPr>
      <xdr:spPr>
        <a:xfrm>
          <a:off x="314325" y="6953250"/>
          <a:ext cx="438150"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12.7</a:t>
          </a:r>
        </a:p>
      </xdr:txBody>
    </xdr:sp>
    <xdr:clientData/>
  </xdr:twoCellAnchor>
  <xdr:twoCellAnchor>
    <xdr:from>
      <xdr:col>10</xdr:col>
      <xdr:colOff>77901</xdr:colOff>
      <xdr:row>34</xdr:row>
      <xdr:rowOff>463</xdr:rowOff>
    </xdr:from>
    <xdr:to>
      <xdr:col>11</xdr:col>
      <xdr:colOff>216544</xdr:colOff>
      <xdr:row>34</xdr:row>
      <xdr:rowOff>142352</xdr:rowOff>
    </xdr:to>
    <xdr:sp macro="" textlink="" fLocksText="0">
      <xdr:nvSpPr>
        <xdr:cNvPr id="41" name="Rectangle 40">
          <a:extLst>
            <a:ext uri="{FF2B5EF4-FFF2-40B4-BE49-F238E27FC236}">
              <a16:creationId xmlns:a16="http://schemas.microsoft.com/office/drawing/2014/main" id="{00000000-0008-0000-0200-000029000000}"/>
            </a:ext>
          </a:extLst>
        </xdr:cNvPr>
        <xdr:cNvSpPr/>
      </xdr:nvSpPr>
      <xdr:spPr>
        <a:xfrm>
          <a:off x="2743200" y="6591300"/>
          <a:ext cx="40957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12.6</a:t>
          </a:r>
        </a:p>
      </xdr:txBody>
    </xdr:sp>
    <xdr:clientData/>
  </xdr:twoCellAnchor>
  <xdr:twoCellAnchor>
    <xdr:from>
      <xdr:col>10</xdr:col>
      <xdr:colOff>68009</xdr:colOff>
      <xdr:row>37</xdr:row>
      <xdr:rowOff>105102</xdr:rowOff>
    </xdr:from>
    <xdr:to>
      <xdr:col>11</xdr:col>
      <xdr:colOff>207811</xdr:colOff>
      <xdr:row>38</xdr:row>
      <xdr:rowOff>45285</xdr:rowOff>
    </xdr:to>
    <xdr:sp macro="" textlink="" fLocksText="0">
      <xdr:nvSpPr>
        <xdr:cNvPr id="42" name="Rectangle 41">
          <a:extLst>
            <a:ext uri="{FF2B5EF4-FFF2-40B4-BE49-F238E27FC236}">
              <a16:creationId xmlns:a16="http://schemas.microsoft.com/office/drawing/2014/main" id="{00000000-0008-0000-0200-00002A000000}"/>
            </a:ext>
          </a:extLst>
        </xdr:cNvPr>
        <xdr:cNvSpPr/>
      </xdr:nvSpPr>
      <xdr:spPr>
        <a:xfrm>
          <a:off x="2733675" y="7258050"/>
          <a:ext cx="40957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12.8</a:t>
          </a:r>
        </a:p>
      </xdr:txBody>
    </xdr:sp>
    <xdr:clientData/>
  </xdr:twoCellAnchor>
  <xdr:twoCellAnchor>
    <xdr:from>
      <xdr:col>11</xdr:col>
      <xdr:colOff>93124</xdr:colOff>
      <xdr:row>39</xdr:row>
      <xdr:rowOff>51005</xdr:rowOff>
    </xdr:from>
    <xdr:to>
      <xdr:col>13</xdr:col>
      <xdr:colOff>84856</xdr:colOff>
      <xdr:row>39</xdr:row>
      <xdr:rowOff>195755</xdr:rowOff>
    </xdr:to>
    <xdr:sp macro="" textlink="" fLocksText="0">
      <xdr:nvSpPr>
        <xdr:cNvPr id="47" name="Rectangle 46">
          <a:extLst>
            <a:ext uri="{FF2B5EF4-FFF2-40B4-BE49-F238E27FC236}">
              <a16:creationId xmlns:a16="http://schemas.microsoft.com/office/drawing/2014/main" id="{00000000-0008-0000-0200-00002F000000}"/>
            </a:ext>
          </a:extLst>
        </xdr:cNvPr>
        <xdr:cNvSpPr/>
      </xdr:nvSpPr>
      <xdr:spPr>
        <a:xfrm>
          <a:off x="3028950" y="7600950"/>
          <a:ext cx="523875" cy="1524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12.13</a:t>
          </a:r>
        </a:p>
      </xdr:txBody>
    </xdr:sp>
    <xdr:clientData/>
  </xdr:twoCellAnchor>
  <xdr:twoCellAnchor>
    <xdr:from>
      <xdr:col>32</xdr:col>
      <xdr:colOff>75735</xdr:colOff>
      <xdr:row>39</xdr:row>
      <xdr:rowOff>10426</xdr:rowOff>
    </xdr:from>
    <xdr:to>
      <xdr:col>33</xdr:col>
      <xdr:colOff>98152</xdr:colOff>
      <xdr:row>39</xdr:row>
      <xdr:rowOff>189721</xdr:rowOff>
    </xdr:to>
    <xdr:sp macro="" textlink="" fLocksText="0">
      <xdr:nvSpPr>
        <xdr:cNvPr id="48" name="Rectangle 47">
          <a:extLst>
            <a:ext uri="{FF2B5EF4-FFF2-40B4-BE49-F238E27FC236}">
              <a16:creationId xmlns:a16="http://schemas.microsoft.com/office/drawing/2014/main" id="{00000000-0008-0000-0200-000030000000}"/>
            </a:ext>
          </a:extLst>
        </xdr:cNvPr>
        <xdr:cNvSpPr/>
      </xdr:nvSpPr>
      <xdr:spPr>
        <a:xfrm>
          <a:off x="8610600" y="756285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13</a:t>
          </a:r>
        </a:p>
      </xdr:txBody>
    </xdr:sp>
    <xdr:clientData/>
  </xdr:twoCellAnchor>
  <xdr:twoCellAnchor>
    <xdr:from>
      <xdr:col>36</xdr:col>
      <xdr:colOff>50001</xdr:colOff>
      <xdr:row>38</xdr:row>
      <xdr:rowOff>201466</xdr:rowOff>
    </xdr:from>
    <xdr:to>
      <xdr:col>37</xdr:col>
      <xdr:colOff>72416</xdr:colOff>
      <xdr:row>39</xdr:row>
      <xdr:rowOff>179055</xdr:rowOff>
    </xdr:to>
    <xdr:sp macro="" textlink="" fLocksText="0">
      <xdr:nvSpPr>
        <xdr:cNvPr id="49" name="Rectangle 48">
          <a:extLst>
            <a:ext uri="{FF2B5EF4-FFF2-40B4-BE49-F238E27FC236}">
              <a16:creationId xmlns:a16="http://schemas.microsoft.com/office/drawing/2014/main" id="{00000000-0008-0000-0200-000031000000}"/>
            </a:ext>
          </a:extLst>
        </xdr:cNvPr>
        <xdr:cNvSpPr/>
      </xdr:nvSpPr>
      <xdr:spPr>
        <a:xfrm>
          <a:off x="9648825" y="7553325"/>
          <a:ext cx="29527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twoCellAnchor>
    <xdr:from>
      <xdr:col>39</xdr:col>
      <xdr:colOff>83387</xdr:colOff>
      <xdr:row>39</xdr:row>
      <xdr:rowOff>14985</xdr:rowOff>
    </xdr:from>
    <xdr:to>
      <xdr:col>40</xdr:col>
      <xdr:colOff>105802</xdr:colOff>
      <xdr:row>39</xdr:row>
      <xdr:rowOff>194280</xdr:rowOff>
    </xdr:to>
    <xdr:sp macro="" textlink="" fLocksText="0">
      <xdr:nvSpPr>
        <xdr:cNvPr id="50" name="Rectangle 49">
          <a:extLst>
            <a:ext uri="{FF2B5EF4-FFF2-40B4-BE49-F238E27FC236}">
              <a16:creationId xmlns:a16="http://schemas.microsoft.com/office/drawing/2014/main" id="{00000000-0008-0000-0200-000032000000}"/>
            </a:ext>
          </a:extLst>
        </xdr:cNvPr>
        <xdr:cNvSpPr/>
      </xdr:nvSpPr>
      <xdr:spPr>
        <a:xfrm>
          <a:off x="10487025" y="7572375"/>
          <a:ext cx="285750" cy="1714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42</xdr:col>
      <xdr:colOff>29445</xdr:colOff>
      <xdr:row>39</xdr:row>
      <xdr:rowOff>16299</xdr:rowOff>
    </xdr:from>
    <xdr:to>
      <xdr:col>43</xdr:col>
      <xdr:colOff>51860</xdr:colOff>
      <xdr:row>39</xdr:row>
      <xdr:rowOff>195594</xdr:rowOff>
    </xdr:to>
    <xdr:sp macro="" textlink="" fLocksText="0">
      <xdr:nvSpPr>
        <xdr:cNvPr id="51" name="Rectangle 50">
          <a:extLst>
            <a:ext uri="{FF2B5EF4-FFF2-40B4-BE49-F238E27FC236}">
              <a16:creationId xmlns:a16="http://schemas.microsoft.com/office/drawing/2014/main" id="{00000000-0008-0000-0200-000033000000}"/>
            </a:ext>
          </a:extLst>
        </xdr:cNvPr>
        <xdr:cNvSpPr/>
      </xdr:nvSpPr>
      <xdr:spPr>
        <a:xfrm>
          <a:off x="11229975" y="7572375"/>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twoCellAnchor>
    <xdr:from>
      <xdr:col>44</xdr:col>
      <xdr:colOff>87174</xdr:colOff>
      <xdr:row>38</xdr:row>
      <xdr:rowOff>196907</xdr:rowOff>
    </xdr:from>
    <xdr:to>
      <xdr:col>45</xdr:col>
      <xdr:colOff>109589</xdr:colOff>
      <xdr:row>39</xdr:row>
      <xdr:rowOff>174496</xdr:rowOff>
    </xdr:to>
    <xdr:sp macro="" textlink="" fLocksText="0">
      <xdr:nvSpPr>
        <xdr:cNvPr id="52" name="Rectangle 51">
          <a:extLst>
            <a:ext uri="{FF2B5EF4-FFF2-40B4-BE49-F238E27FC236}">
              <a16:creationId xmlns:a16="http://schemas.microsoft.com/office/drawing/2014/main" id="{00000000-0008-0000-0200-000034000000}"/>
            </a:ext>
          </a:extLst>
        </xdr:cNvPr>
        <xdr:cNvSpPr/>
      </xdr:nvSpPr>
      <xdr:spPr>
        <a:xfrm>
          <a:off x="11820525" y="7553325"/>
          <a:ext cx="295275" cy="1714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17</a:t>
          </a:r>
        </a:p>
      </xdr:txBody>
    </xdr:sp>
    <xdr:clientData/>
  </xdr:twoCellAnchor>
  <xdr:twoCellAnchor>
    <xdr:from>
      <xdr:col>46</xdr:col>
      <xdr:colOff>175816</xdr:colOff>
      <xdr:row>39</xdr:row>
      <xdr:rowOff>5789</xdr:rowOff>
    </xdr:from>
    <xdr:to>
      <xdr:col>47</xdr:col>
      <xdr:colOff>198232</xdr:colOff>
      <xdr:row>39</xdr:row>
      <xdr:rowOff>185084</xdr:rowOff>
    </xdr:to>
    <xdr:sp macro="" textlink="" fLocksText="0">
      <xdr:nvSpPr>
        <xdr:cNvPr id="53" name="Rectangle 52">
          <a:extLst>
            <a:ext uri="{FF2B5EF4-FFF2-40B4-BE49-F238E27FC236}">
              <a16:creationId xmlns:a16="http://schemas.microsoft.com/office/drawing/2014/main" id="{00000000-0008-0000-0200-000035000000}"/>
            </a:ext>
          </a:extLst>
        </xdr:cNvPr>
        <xdr:cNvSpPr/>
      </xdr:nvSpPr>
      <xdr:spPr>
        <a:xfrm>
          <a:off x="12439650" y="7562850"/>
          <a:ext cx="295275" cy="1714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18</a:t>
          </a:r>
        </a:p>
      </xdr:txBody>
    </xdr:sp>
    <xdr:clientData/>
  </xdr:twoCellAnchor>
  <xdr:twoCellAnchor>
    <xdr:from>
      <xdr:col>49</xdr:col>
      <xdr:colOff>18702</xdr:colOff>
      <xdr:row>39</xdr:row>
      <xdr:rowOff>31446</xdr:rowOff>
    </xdr:from>
    <xdr:to>
      <xdr:col>50</xdr:col>
      <xdr:colOff>39959</xdr:colOff>
      <xdr:row>40</xdr:row>
      <xdr:rowOff>9035</xdr:rowOff>
    </xdr:to>
    <xdr:sp macro="" textlink="" fLocksText="0">
      <xdr:nvSpPr>
        <xdr:cNvPr id="54" name="Rectangle 53">
          <a:extLst>
            <a:ext uri="{FF2B5EF4-FFF2-40B4-BE49-F238E27FC236}">
              <a16:creationId xmlns:a16="http://schemas.microsoft.com/office/drawing/2014/main" id="{00000000-0008-0000-0200-000036000000}"/>
            </a:ext>
          </a:extLst>
        </xdr:cNvPr>
        <xdr:cNvSpPr/>
      </xdr:nvSpPr>
      <xdr:spPr>
        <a:xfrm>
          <a:off x="13087350" y="758190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19</a:t>
          </a:r>
        </a:p>
      </xdr:txBody>
    </xdr:sp>
    <xdr:clientData/>
  </xdr:twoCellAnchor>
  <xdr:twoCellAnchor>
    <xdr:from>
      <xdr:col>51</xdr:col>
      <xdr:colOff>160669</xdr:colOff>
      <xdr:row>39</xdr:row>
      <xdr:rowOff>8417</xdr:rowOff>
    </xdr:from>
    <xdr:to>
      <xdr:col>52</xdr:col>
      <xdr:colOff>183083</xdr:colOff>
      <xdr:row>39</xdr:row>
      <xdr:rowOff>187712</xdr:rowOff>
    </xdr:to>
    <xdr:sp macro="" textlink="" fLocksText="0">
      <xdr:nvSpPr>
        <xdr:cNvPr id="55" name="Rectangle 54">
          <a:extLst>
            <a:ext uri="{FF2B5EF4-FFF2-40B4-BE49-F238E27FC236}">
              <a16:creationId xmlns:a16="http://schemas.microsoft.com/office/drawing/2014/main" id="{00000000-0008-0000-0200-000037000000}"/>
            </a:ext>
          </a:extLst>
        </xdr:cNvPr>
        <xdr:cNvSpPr/>
      </xdr:nvSpPr>
      <xdr:spPr>
        <a:xfrm>
          <a:off x="13763625" y="7562850"/>
          <a:ext cx="2857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20</a:t>
          </a:r>
        </a:p>
      </xdr:txBody>
    </xdr:sp>
    <xdr:clientData/>
  </xdr:twoCellAnchor>
  <xdr:twoCellAnchor>
    <xdr:from>
      <xdr:col>6</xdr:col>
      <xdr:colOff>145676</xdr:colOff>
      <xdr:row>53</xdr:row>
      <xdr:rowOff>156881</xdr:rowOff>
    </xdr:from>
    <xdr:to>
      <xdr:col>8</xdr:col>
      <xdr:colOff>84469</xdr:colOff>
      <xdr:row>54</xdr:row>
      <xdr:rowOff>99692</xdr:rowOff>
    </xdr:to>
    <xdr:sp macro="" textlink="" fLocksText="0">
      <xdr:nvSpPr>
        <xdr:cNvPr id="43" name="Rectangle 42">
          <a:extLst>
            <a:ext uri="{FF2B5EF4-FFF2-40B4-BE49-F238E27FC236}">
              <a16:creationId xmlns:a16="http://schemas.microsoft.com/office/drawing/2014/main" id="{00000000-0008-0000-0200-00002B000000}"/>
            </a:ext>
          </a:extLst>
        </xdr:cNvPr>
        <xdr:cNvSpPr/>
      </xdr:nvSpPr>
      <xdr:spPr>
        <a:xfrm>
          <a:off x="1743075" y="10506075"/>
          <a:ext cx="476250"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12.9</a:t>
          </a:r>
        </a:p>
      </xdr:txBody>
    </xdr:sp>
    <xdr:clientData/>
  </xdr:twoCellAnchor>
  <xdr:twoCellAnchor>
    <xdr:from>
      <xdr:col>7</xdr:col>
      <xdr:colOff>100852</xdr:colOff>
      <xdr:row>56</xdr:row>
      <xdr:rowOff>150312</xdr:rowOff>
    </xdr:from>
    <xdr:to>
      <xdr:col>9</xdr:col>
      <xdr:colOff>39645</xdr:colOff>
      <xdr:row>57</xdr:row>
      <xdr:rowOff>93123</xdr:rowOff>
    </xdr:to>
    <xdr:sp macro="" textlink="" fLocksText="0">
      <xdr:nvSpPr>
        <xdr:cNvPr id="46" name="Rectangle 45">
          <a:extLst>
            <a:ext uri="{FF2B5EF4-FFF2-40B4-BE49-F238E27FC236}">
              <a16:creationId xmlns:a16="http://schemas.microsoft.com/office/drawing/2014/main" id="{00000000-0008-0000-0200-00002E000000}"/>
            </a:ext>
          </a:extLst>
        </xdr:cNvPr>
        <xdr:cNvSpPr/>
      </xdr:nvSpPr>
      <xdr:spPr>
        <a:xfrm>
          <a:off x="1971675" y="11106150"/>
          <a:ext cx="46672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12.11</a:t>
          </a:r>
        </a:p>
      </xdr:txBody>
    </xdr:sp>
    <xdr:clientData/>
  </xdr:twoCellAnchor>
  <xdr:twoCellAnchor>
    <xdr:from>
      <xdr:col>6</xdr:col>
      <xdr:colOff>112213</xdr:colOff>
      <xdr:row>54</xdr:row>
      <xdr:rowOff>191812</xdr:rowOff>
    </xdr:from>
    <xdr:to>
      <xdr:col>8</xdr:col>
      <xdr:colOff>103945</xdr:colOff>
      <xdr:row>55</xdr:row>
      <xdr:rowOff>134856</xdr:rowOff>
    </xdr:to>
    <xdr:sp macro="" textlink="" fLocksText="0">
      <xdr:nvSpPr>
        <xdr:cNvPr id="56" name="Rectangle 55">
          <a:extLst>
            <a:ext uri="{FF2B5EF4-FFF2-40B4-BE49-F238E27FC236}">
              <a16:creationId xmlns:a16="http://schemas.microsoft.com/office/drawing/2014/main" id="{00000000-0008-0000-0200-000038000000}"/>
            </a:ext>
          </a:extLst>
        </xdr:cNvPr>
        <xdr:cNvSpPr/>
      </xdr:nvSpPr>
      <xdr:spPr>
        <a:xfrm>
          <a:off x="1714500" y="10744200"/>
          <a:ext cx="52387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12.10</a:t>
          </a:r>
        </a:p>
      </xdr:txBody>
    </xdr:sp>
    <xdr:clientData/>
  </xdr:twoCellAnchor>
  <xdr:twoCellAnchor>
    <xdr:from>
      <xdr:col>6</xdr:col>
      <xdr:colOff>200083</xdr:colOff>
      <xdr:row>58</xdr:row>
      <xdr:rowOff>9969</xdr:rowOff>
    </xdr:from>
    <xdr:to>
      <xdr:col>8</xdr:col>
      <xdr:colOff>191815</xdr:colOff>
      <xdr:row>58</xdr:row>
      <xdr:rowOff>150082</xdr:rowOff>
    </xdr:to>
    <xdr:sp macro="" textlink="" fLocksText="0">
      <xdr:nvSpPr>
        <xdr:cNvPr id="57" name="Rectangle 56">
          <a:extLst>
            <a:ext uri="{FF2B5EF4-FFF2-40B4-BE49-F238E27FC236}">
              <a16:creationId xmlns:a16="http://schemas.microsoft.com/office/drawing/2014/main" id="{00000000-0008-0000-0200-000039000000}"/>
            </a:ext>
          </a:extLst>
        </xdr:cNvPr>
        <xdr:cNvSpPr/>
      </xdr:nvSpPr>
      <xdr:spPr>
        <a:xfrm>
          <a:off x="1800225" y="11363325"/>
          <a:ext cx="523875" cy="1428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12.12</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224117</xdr:colOff>
      <xdr:row>7</xdr:row>
      <xdr:rowOff>156883</xdr:rowOff>
    </xdr:from>
    <xdr:to>
      <xdr:col>60</xdr:col>
      <xdr:colOff>12889</xdr:colOff>
      <xdr:row>44</xdr:row>
      <xdr:rowOff>0</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1600200"/>
          <a:ext cx="15525750" cy="6934200"/>
        </a:xfrm>
        <a:prstGeom prst="rect">
          <a:avLst/>
        </a:prstGeom>
      </xdr:spPr>
    </xdr:pic>
    <xdr:clientData/>
  </xdr:twoCellAnchor>
  <xdr:twoCellAnchor>
    <xdr:from>
      <xdr:col>9</xdr:col>
      <xdr:colOff>112060</xdr:colOff>
      <xdr:row>8</xdr:row>
      <xdr:rowOff>89647</xdr:rowOff>
    </xdr:from>
    <xdr:to>
      <xdr:col>10</xdr:col>
      <xdr:colOff>134472</xdr:colOff>
      <xdr:row>9</xdr:row>
      <xdr:rowOff>123265</xdr:rowOff>
    </xdr:to>
    <xdr:sp macro="" textlink="" fLocksText="0">
      <xdr:nvSpPr>
        <xdr:cNvPr id="3" name="Rectangle 2">
          <a:extLst>
            <a:ext uri="{FF2B5EF4-FFF2-40B4-BE49-F238E27FC236}">
              <a16:creationId xmlns:a16="http://schemas.microsoft.com/office/drawing/2014/main" id="{00000000-0008-0000-0300-000003000000}"/>
            </a:ext>
          </a:extLst>
        </xdr:cNvPr>
        <xdr:cNvSpPr/>
      </xdr:nvSpPr>
      <xdr:spPr>
        <a:xfrm>
          <a:off x="2514600" y="172402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16</xdr:col>
      <xdr:colOff>96372</xdr:colOff>
      <xdr:row>11</xdr:row>
      <xdr:rowOff>118782</xdr:rowOff>
    </xdr:from>
    <xdr:to>
      <xdr:col>17</xdr:col>
      <xdr:colOff>118783</xdr:colOff>
      <xdr:row>12</xdr:row>
      <xdr:rowOff>152400</xdr:rowOff>
    </xdr:to>
    <xdr:sp macro="" textlink="" fLocksText="0">
      <xdr:nvSpPr>
        <xdr:cNvPr id="4" name="Rectangle 3">
          <a:extLst>
            <a:ext uri="{FF2B5EF4-FFF2-40B4-BE49-F238E27FC236}">
              <a16:creationId xmlns:a16="http://schemas.microsoft.com/office/drawing/2014/main" id="{00000000-0008-0000-0300-000004000000}"/>
            </a:ext>
          </a:extLst>
        </xdr:cNvPr>
        <xdr:cNvSpPr/>
      </xdr:nvSpPr>
      <xdr:spPr>
        <a:xfrm>
          <a:off x="4362450" y="23241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23</xdr:col>
      <xdr:colOff>226360</xdr:colOff>
      <xdr:row>11</xdr:row>
      <xdr:rowOff>80683</xdr:rowOff>
    </xdr:from>
    <xdr:to>
      <xdr:col>25</xdr:col>
      <xdr:colOff>13448</xdr:colOff>
      <xdr:row>12</xdr:row>
      <xdr:rowOff>114301</xdr:rowOff>
    </xdr:to>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6362700" y="2286000"/>
          <a:ext cx="31432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16</xdr:col>
      <xdr:colOff>67237</xdr:colOff>
      <xdr:row>13</xdr:row>
      <xdr:rowOff>123264</xdr:rowOff>
    </xdr:from>
    <xdr:to>
      <xdr:col>17</xdr:col>
      <xdr:colOff>89648</xdr:colOff>
      <xdr:row>14</xdr:row>
      <xdr:rowOff>156882</xdr:rowOff>
    </xdr:to>
    <xdr:sp macro="" textlink="" fLocksText="0">
      <xdr:nvSpPr>
        <xdr:cNvPr id="6" name="Rectangle 5">
          <a:extLst>
            <a:ext uri="{FF2B5EF4-FFF2-40B4-BE49-F238E27FC236}">
              <a16:creationId xmlns:a16="http://schemas.microsoft.com/office/drawing/2014/main" id="{00000000-0008-0000-0300-000006000000}"/>
            </a:ext>
          </a:extLst>
        </xdr:cNvPr>
        <xdr:cNvSpPr/>
      </xdr:nvSpPr>
      <xdr:spPr>
        <a:xfrm>
          <a:off x="4333875" y="27146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23</xdr:col>
      <xdr:colOff>210672</xdr:colOff>
      <xdr:row>13</xdr:row>
      <xdr:rowOff>98613</xdr:rowOff>
    </xdr:from>
    <xdr:to>
      <xdr:col>24</xdr:col>
      <xdr:colOff>233083</xdr:colOff>
      <xdr:row>14</xdr:row>
      <xdr:rowOff>132231</xdr:rowOff>
    </xdr:to>
    <xdr:sp macro="" textlink="" fLocksText="0">
      <xdr:nvSpPr>
        <xdr:cNvPr id="7" name="Rectangle 6">
          <a:extLst>
            <a:ext uri="{FF2B5EF4-FFF2-40B4-BE49-F238E27FC236}">
              <a16:creationId xmlns:a16="http://schemas.microsoft.com/office/drawing/2014/main" id="{00000000-0008-0000-0300-000007000000}"/>
            </a:ext>
          </a:extLst>
        </xdr:cNvPr>
        <xdr:cNvSpPr/>
      </xdr:nvSpPr>
      <xdr:spPr>
        <a:xfrm>
          <a:off x="6343650" y="268605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32</xdr:col>
      <xdr:colOff>56030</xdr:colOff>
      <xdr:row>11</xdr:row>
      <xdr:rowOff>100853</xdr:rowOff>
    </xdr:from>
    <xdr:to>
      <xdr:col>33</xdr:col>
      <xdr:colOff>78442</xdr:colOff>
      <xdr:row>12</xdr:row>
      <xdr:rowOff>134471</xdr:rowOff>
    </xdr:to>
    <xdr:sp macro="" textlink="" fLocksText="0">
      <xdr:nvSpPr>
        <xdr:cNvPr id="8" name="Rectangle 7">
          <a:extLst>
            <a:ext uri="{FF2B5EF4-FFF2-40B4-BE49-F238E27FC236}">
              <a16:creationId xmlns:a16="http://schemas.microsoft.com/office/drawing/2014/main" id="{00000000-0008-0000-0300-000008000000}"/>
            </a:ext>
          </a:extLst>
        </xdr:cNvPr>
        <xdr:cNvSpPr/>
      </xdr:nvSpPr>
      <xdr:spPr>
        <a:xfrm>
          <a:off x="8591550" y="23145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33</xdr:col>
      <xdr:colOff>208430</xdr:colOff>
      <xdr:row>13</xdr:row>
      <xdr:rowOff>107578</xdr:rowOff>
    </xdr:from>
    <xdr:to>
      <xdr:col>34</xdr:col>
      <xdr:colOff>230841</xdr:colOff>
      <xdr:row>14</xdr:row>
      <xdr:rowOff>141196</xdr:rowOff>
    </xdr:to>
    <xdr:sp macro="" textlink="" fLocksText="0">
      <xdr:nvSpPr>
        <xdr:cNvPr id="9" name="Rectangle 8">
          <a:extLst>
            <a:ext uri="{FF2B5EF4-FFF2-40B4-BE49-F238E27FC236}">
              <a16:creationId xmlns:a16="http://schemas.microsoft.com/office/drawing/2014/main" id="{00000000-0008-0000-0300-000009000000}"/>
            </a:ext>
          </a:extLst>
        </xdr:cNvPr>
        <xdr:cNvSpPr/>
      </xdr:nvSpPr>
      <xdr:spPr>
        <a:xfrm>
          <a:off x="9010650" y="26955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6</xdr:col>
      <xdr:colOff>114301</xdr:colOff>
      <xdr:row>12</xdr:row>
      <xdr:rowOff>2239</xdr:rowOff>
    </xdr:from>
    <xdr:to>
      <xdr:col>7</xdr:col>
      <xdr:colOff>136712</xdr:colOff>
      <xdr:row>13</xdr:row>
      <xdr:rowOff>35857</xdr:rowOff>
    </xdr:to>
    <xdr:sp macro="" textlink="" fLocksText="0">
      <xdr:nvSpPr>
        <xdr:cNvPr id="10" name="Rectangle 9">
          <a:extLst>
            <a:ext uri="{FF2B5EF4-FFF2-40B4-BE49-F238E27FC236}">
              <a16:creationId xmlns:a16="http://schemas.microsoft.com/office/drawing/2014/main" id="{00000000-0008-0000-0300-00000A000000}"/>
            </a:ext>
          </a:extLst>
        </xdr:cNvPr>
        <xdr:cNvSpPr/>
      </xdr:nvSpPr>
      <xdr:spPr>
        <a:xfrm>
          <a:off x="1714500" y="24003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6</xdr:col>
      <xdr:colOff>134471</xdr:colOff>
      <xdr:row>14</xdr:row>
      <xdr:rowOff>22411</xdr:rowOff>
    </xdr:from>
    <xdr:to>
      <xdr:col>7</xdr:col>
      <xdr:colOff>156882</xdr:colOff>
      <xdr:row>15</xdr:row>
      <xdr:rowOff>56029</xdr:rowOff>
    </xdr:to>
    <xdr:sp macro="" textlink="" fLocksText="0">
      <xdr:nvSpPr>
        <xdr:cNvPr id="11" name="Rectangle 10">
          <a:extLst>
            <a:ext uri="{FF2B5EF4-FFF2-40B4-BE49-F238E27FC236}">
              <a16:creationId xmlns:a16="http://schemas.microsoft.com/office/drawing/2014/main" id="{00000000-0008-0000-0300-00000B000000}"/>
            </a:ext>
          </a:extLst>
        </xdr:cNvPr>
        <xdr:cNvSpPr/>
      </xdr:nvSpPr>
      <xdr:spPr>
        <a:xfrm>
          <a:off x="1733550" y="280035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8</a:t>
          </a:r>
        </a:p>
      </xdr:txBody>
    </xdr:sp>
    <xdr:clientData/>
  </xdr:twoCellAnchor>
  <xdr:twoCellAnchor>
    <xdr:from>
      <xdr:col>4</xdr:col>
      <xdr:colOff>141195</xdr:colOff>
      <xdr:row>15</xdr:row>
      <xdr:rowOff>107577</xdr:rowOff>
    </xdr:from>
    <xdr:to>
      <xdr:col>5</xdr:col>
      <xdr:colOff>163606</xdr:colOff>
      <xdr:row>16</xdr:row>
      <xdr:rowOff>141195</xdr:rowOff>
    </xdr:to>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1209675" y="30765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9</a:t>
          </a:r>
        </a:p>
      </xdr:txBody>
    </xdr:sp>
    <xdr:clientData/>
  </xdr:twoCellAnchor>
  <xdr:twoCellAnchor>
    <xdr:from>
      <xdr:col>2</xdr:col>
      <xdr:colOff>35860</xdr:colOff>
      <xdr:row>18</xdr:row>
      <xdr:rowOff>2239</xdr:rowOff>
    </xdr:from>
    <xdr:to>
      <xdr:col>3</xdr:col>
      <xdr:colOff>179294</xdr:colOff>
      <xdr:row>19</xdr:row>
      <xdr:rowOff>33616</xdr:rowOff>
    </xdr:to>
    <xdr:sp macro="" textlink="" fLocksText="0">
      <xdr:nvSpPr>
        <xdr:cNvPr id="13" name="Rectangle 12">
          <a:extLst>
            <a:ext uri="{FF2B5EF4-FFF2-40B4-BE49-F238E27FC236}">
              <a16:creationId xmlns:a16="http://schemas.microsoft.com/office/drawing/2014/main" id="{00000000-0008-0000-0300-00000D000000}"/>
            </a:ext>
          </a:extLst>
        </xdr:cNvPr>
        <xdr:cNvSpPr/>
      </xdr:nvSpPr>
      <xdr:spPr>
        <a:xfrm>
          <a:off x="571500" y="3543300"/>
          <a:ext cx="40957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10</a:t>
          </a:r>
        </a:p>
      </xdr:txBody>
    </xdr:sp>
    <xdr:clientData/>
  </xdr:twoCellAnchor>
  <xdr:twoCellAnchor>
    <xdr:from>
      <xdr:col>8</xdr:col>
      <xdr:colOff>147918</xdr:colOff>
      <xdr:row>18</xdr:row>
      <xdr:rowOff>13446</xdr:rowOff>
    </xdr:from>
    <xdr:to>
      <xdr:col>10</xdr:col>
      <xdr:colOff>56029</xdr:colOff>
      <xdr:row>19</xdr:row>
      <xdr:rowOff>33617</xdr:rowOff>
    </xdr:to>
    <xdr:sp macro="" textlink="" fLocksText="0">
      <xdr:nvSpPr>
        <xdr:cNvPr id="14" name="Rectangle 13">
          <a:extLst>
            <a:ext uri="{FF2B5EF4-FFF2-40B4-BE49-F238E27FC236}">
              <a16:creationId xmlns:a16="http://schemas.microsoft.com/office/drawing/2014/main" id="{00000000-0008-0000-0300-00000E000000}"/>
            </a:ext>
          </a:extLst>
        </xdr:cNvPr>
        <xdr:cNvSpPr/>
      </xdr:nvSpPr>
      <xdr:spPr>
        <a:xfrm>
          <a:off x="2286000" y="3552825"/>
          <a:ext cx="4381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11</a:t>
          </a:r>
        </a:p>
      </xdr:txBody>
    </xdr:sp>
    <xdr:clientData/>
  </xdr:twoCellAnchor>
  <xdr:twoCellAnchor>
    <xdr:from>
      <xdr:col>34</xdr:col>
      <xdr:colOff>143435</xdr:colOff>
      <xdr:row>41</xdr:row>
      <xdr:rowOff>20169</xdr:rowOff>
    </xdr:from>
    <xdr:to>
      <xdr:col>36</xdr:col>
      <xdr:colOff>51546</xdr:colOff>
      <xdr:row>42</xdr:row>
      <xdr:rowOff>29134</xdr:rowOff>
    </xdr:to>
    <xdr:sp macro="" textlink="" fLocksText="0">
      <xdr:nvSpPr>
        <xdr:cNvPr id="16" name="Rectangle 15">
          <a:extLst>
            <a:ext uri="{FF2B5EF4-FFF2-40B4-BE49-F238E27FC236}">
              <a16:creationId xmlns:a16="http://schemas.microsoft.com/office/drawing/2014/main" id="{00000000-0008-0000-0300-000010000000}"/>
            </a:ext>
          </a:extLst>
        </xdr:cNvPr>
        <xdr:cNvSpPr/>
      </xdr:nvSpPr>
      <xdr:spPr>
        <a:xfrm>
          <a:off x="9210675" y="7953375"/>
          <a:ext cx="43815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12</a:t>
          </a:r>
        </a:p>
      </xdr:txBody>
    </xdr:sp>
    <xdr:clientData/>
  </xdr:twoCellAnchor>
  <xdr:twoCellAnchor>
    <xdr:from>
      <xdr:col>41</xdr:col>
      <xdr:colOff>138952</xdr:colOff>
      <xdr:row>41</xdr:row>
      <xdr:rowOff>15686</xdr:rowOff>
    </xdr:from>
    <xdr:to>
      <xdr:col>43</xdr:col>
      <xdr:colOff>47063</xdr:colOff>
      <xdr:row>42</xdr:row>
      <xdr:rowOff>24651</xdr:rowOff>
    </xdr:to>
    <xdr:sp macro="" textlink="" fLocksText="0">
      <xdr:nvSpPr>
        <xdr:cNvPr id="17" name="Rectangle 16">
          <a:extLst>
            <a:ext uri="{FF2B5EF4-FFF2-40B4-BE49-F238E27FC236}">
              <a16:creationId xmlns:a16="http://schemas.microsoft.com/office/drawing/2014/main" id="{00000000-0008-0000-0300-000011000000}"/>
            </a:ext>
          </a:extLst>
        </xdr:cNvPr>
        <xdr:cNvSpPr/>
      </xdr:nvSpPr>
      <xdr:spPr>
        <a:xfrm>
          <a:off x="11077575" y="7953375"/>
          <a:ext cx="43815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13</a:t>
          </a:r>
        </a:p>
      </xdr:txBody>
    </xdr:sp>
    <xdr:clientData/>
  </xdr:twoCellAnchor>
  <xdr:twoCellAnchor>
    <xdr:from>
      <xdr:col>48</xdr:col>
      <xdr:colOff>44823</xdr:colOff>
      <xdr:row>40</xdr:row>
      <xdr:rowOff>201704</xdr:rowOff>
    </xdr:from>
    <xdr:to>
      <xdr:col>49</xdr:col>
      <xdr:colOff>188257</xdr:colOff>
      <xdr:row>42</xdr:row>
      <xdr:rowOff>8963</xdr:rowOff>
    </xdr:to>
    <xdr:sp macro="" textlink="" fLocksText="0">
      <xdr:nvSpPr>
        <xdr:cNvPr id="18" name="Rectangle 17">
          <a:extLst>
            <a:ext uri="{FF2B5EF4-FFF2-40B4-BE49-F238E27FC236}">
              <a16:creationId xmlns:a16="http://schemas.microsoft.com/office/drawing/2014/main" id="{00000000-0008-0000-0300-000012000000}"/>
            </a:ext>
          </a:extLst>
        </xdr:cNvPr>
        <xdr:cNvSpPr/>
      </xdr:nvSpPr>
      <xdr:spPr>
        <a:xfrm>
          <a:off x="12849225" y="7934325"/>
          <a:ext cx="4095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14</a:t>
          </a:r>
        </a:p>
      </xdr:txBody>
    </xdr:sp>
    <xdr:clientData/>
  </xdr:twoCellAnchor>
  <xdr:twoCellAnchor>
    <xdr:from>
      <xdr:col>54</xdr:col>
      <xdr:colOff>219633</xdr:colOff>
      <xdr:row>40</xdr:row>
      <xdr:rowOff>197221</xdr:rowOff>
    </xdr:from>
    <xdr:to>
      <xdr:col>56</xdr:col>
      <xdr:colOff>127744</xdr:colOff>
      <xdr:row>42</xdr:row>
      <xdr:rowOff>4480</xdr:rowOff>
    </xdr:to>
    <xdr:sp macro="" textlink="" fLocksText="0">
      <xdr:nvSpPr>
        <xdr:cNvPr id="20" name="Rectangle 19">
          <a:extLst>
            <a:ext uri="{FF2B5EF4-FFF2-40B4-BE49-F238E27FC236}">
              <a16:creationId xmlns:a16="http://schemas.microsoft.com/office/drawing/2014/main" id="{00000000-0008-0000-0300-000014000000}"/>
            </a:ext>
          </a:extLst>
        </xdr:cNvPr>
        <xdr:cNvSpPr/>
      </xdr:nvSpPr>
      <xdr:spPr>
        <a:xfrm>
          <a:off x="14620875" y="7934325"/>
          <a:ext cx="43815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15</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26</xdr:col>
      <xdr:colOff>214921</xdr:colOff>
      <xdr:row>77</xdr:row>
      <xdr:rowOff>118073</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
        <a:stretch>
          <a:fillRect/>
        </a:stretch>
      </xdr:blipFill>
      <xdr:spPr>
        <a:xfrm>
          <a:off x="0" y="9267825"/>
          <a:ext cx="7153275" cy="5667375"/>
        </a:xfrm>
        <a:prstGeom prst="rect">
          <a:avLst/>
        </a:prstGeom>
      </xdr:spPr>
    </xdr:pic>
    <xdr:clientData/>
  </xdr:twoCellAnchor>
  <xdr:twoCellAnchor editAs="oneCell">
    <xdr:from>
      <xdr:col>2</xdr:col>
      <xdr:colOff>22412</xdr:colOff>
      <xdr:row>7</xdr:row>
      <xdr:rowOff>67236</xdr:rowOff>
    </xdr:from>
    <xdr:to>
      <xdr:col>53</xdr:col>
      <xdr:colOff>210152</xdr:colOff>
      <xdr:row>39</xdr:row>
      <xdr:rowOff>100853</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552450" y="1514475"/>
          <a:ext cx="13792200" cy="6143625"/>
        </a:xfrm>
        <a:prstGeom prst="rect">
          <a:avLst/>
        </a:prstGeom>
      </xdr:spPr>
    </xdr:pic>
    <xdr:clientData/>
  </xdr:twoCellAnchor>
  <xdr:twoCellAnchor>
    <xdr:from>
      <xdr:col>6</xdr:col>
      <xdr:colOff>1</xdr:colOff>
      <xdr:row>8</xdr:row>
      <xdr:rowOff>168089</xdr:rowOff>
    </xdr:from>
    <xdr:to>
      <xdr:col>7</xdr:col>
      <xdr:colOff>17539</xdr:colOff>
      <xdr:row>10</xdr:row>
      <xdr:rowOff>11207</xdr:rowOff>
    </xdr:to>
    <xdr:sp macro="" textlink="" fLocksText="0">
      <xdr:nvSpPr>
        <xdr:cNvPr id="6" name="Rectangle 5">
          <a:extLst>
            <a:ext uri="{FF2B5EF4-FFF2-40B4-BE49-F238E27FC236}">
              <a16:creationId xmlns:a16="http://schemas.microsoft.com/office/drawing/2014/main" id="{00000000-0008-0000-0400-000006000000}"/>
            </a:ext>
          </a:extLst>
        </xdr:cNvPr>
        <xdr:cNvSpPr/>
      </xdr:nvSpPr>
      <xdr:spPr>
        <a:xfrm>
          <a:off x="1600200" y="180975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5</xdr:col>
      <xdr:colOff>27285</xdr:colOff>
      <xdr:row>11</xdr:row>
      <xdr:rowOff>145679</xdr:rowOff>
    </xdr:from>
    <xdr:to>
      <xdr:col>6</xdr:col>
      <xdr:colOff>44824</xdr:colOff>
      <xdr:row>12</xdr:row>
      <xdr:rowOff>179297</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1362075" y="23526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18</xdr:col>
      <xdr:colOff>78441</xdr:colOff>
      <xdr:row>11</xdr:row>
      <xdr:rowOff>179296</xdr:rowOff>
    </xdr:from>
    <xdr:to>
      <xdr:col>19</xdr:col>
      <xdr:colOff>95980</xdr:colOff>
      <xdr:row>13</xdr:row>
      <xdr:rowOff>22414</xdr:rowOff>
    </xdr:to>
    <xdr:sp macro="" textlink="" fLocksText="0">
      <xdr:nvSpPr>
        <xdr:cNvPr id="8" name="Rectangle 7">
          <a:extLst>
            <a:ext uri="{FF2B5EF4-FFF2-40B4-BE49-F238E27FC236}">
              <a16:creationId xmlns:a16="http://schemas.microsoft.com/office/drawing/2014/main" id="{00000000-0008-0000-0400-000008000000}"/>
            </a:ext>
          </a:extLst>
        </xdr:cNvPr>
        <xdr:cNvSpPr/>
      </xdr:nvSpPr>
      <xdr:spPr>
        <a:xfrm>
          <a:off x="4876800" y="23907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6</xdr:col>
      <xdr:colOff>72110</xdr:colOff>
      <xdr:row>13</xdr:row>
      <xdr:rowOff>123267</xdr:rowOff>
    </xdr:from>
    <xdr:to>
      <xdr:col>7</xdr:col>
      <xdr:colOff>89648</xdr:colOff>
      <xdr:row>14</xdr:row>
      <xdr:rowOff>156885</xdr:rowOff>
    </xdr:to>
    <xdr:sp macro="" textlink="" fLocksText="0">
      <xdr:nvSpPr>
        <xdr:cNvPr id="9" name="Rectangle 8">
          <a:extLst>
            <a:ext uri="{FF2B5EF4-FFF2-40B4-BE49-F238E27FC236}">
              <a16:creationId xmlns:a16="http://schemas.microsoft.com/office/drawing/2014/main" id="{00000000-0008-0000-0400-000009000000}"/>
            </a:ext>
          </a:extLst>
        </xdr:cNvPr>
        <xdr:cNvSpPr/>
      </xdr:nvSpPr>
      <xdr:spPr>
        <a:xfrm>
          <a:off x="1676400" y="2714625"/>
          <a:ext cx="27622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14</xdr:col>
      <xdr:colOff>134862</xdr:colOff>
      <xdr:row>13</xdr:row>
      <xdr:rowOff>174814</xdr:rowOff>
    </xdr:from>
    <xdr:to>
      <xdr:col>15</xdr:col>
      <xdr:colOff>152400</xdr:colOff>
      <xdr:row>15</xdr:row>
      <xdr:rowOff>17932</xdr:rowOff>
    </xdr:to>
    <xdr:sp macro="" textlink="" fLocksText="0">
      <xdr:nvSpPr>
        <xdr:cNvPr id="10" name="Rectangle 9">
          <a:extLst>
            <a:ext uri="{FF2B5EF4-FFF2-40B4-BE49-F238E27FC236}">
              <a16:creationId xmlns:a16="http://schemas.microsoft.com/office/drawing/2014/main" id="{00000000-0008-0000-0400-00000A000000}"/>
            </a:ext>
          </a:extLst>
        </xdr:cNvPr>
        <xdr:cNvSpPr/>
      </xdr:nvSpPr>
      <xdr:spPr>
        <a:xfrm>
          <a:off x="3867150" y="276225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6</xdr:col>
      <xdr:colOff>51938</xdr:colOff>
      <xdr:row>15</xdr:row>
      <xdr:rowOff>103097</xdr:rowOff>
    </xdr:from>
    <xdr:to>
      <xdr:col>7</xdr:col>
      <xdr:colOff>69476</xdr:colOff>
      <xdr:row>16</xdr:row>
      <xdr:rowOff>136715</xdr:rowOff>
    </xdr:to>
    <xdr:sp macro="" textlink="" fLocksText="0">
      <xdr:nvSpPr>
        <xdr:cNvPr id="11" name="Rectangle 10">
          <a:extLst>
            <a:ext uri="{FF2B5EF4-FFF2-40B4-BE49-F238E27FC236}">
              <a16:creationId xmlns:a16="http://schemas.microsoft.com/office/drawing/2014/main" id="{00000000-0008-0000-0400-00000B000000}"/>
            </a:ext>
          </a:extLst>
        </xdr:cNvPr>
        <xdr:cNvSpPr/>
      </xdr:nvSpPr>
      <xdr:spPr>
        <a:xfrm>
          <a:off x="1647825" y="30765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16</xdr:col>
      <xdr:colOff>144216</xdr:colOff>
      <xdr:row>15</xdr:row>
      <xdr:rowOff>138372</xdr:rowOff>
    </xdr:from>
    <xdr:to>
      <xdr:col>17</xdr:col>
      <xdr:colOff>161754</xdr:colOff>
      <xdr:row>16</xdr:row>
      <xdr:rowOff>171990</xdr:rowOff>
    </xdr:to>
    <xdr:sp macro="" textlink="" fLocksText="0">
      <xdr:nvSpPr>
        <xdr:cNvPr id="12" name="Rectangle 11">
          <a:extLst>
            <a:ext uri="{FF2B5EF4-FFF2-40B4-BE49-F238E27FC236}">
              <a16:creationId xmlns:a16="http://schemas.microsoft.com/office/drawing/2014/main" id="{00000000-0008-0000-0400-00000C000000}"/>
            </a:ext>
          </a:extLst>
        </xdr:cNvPr>
        <xdr:cNvSpPr/>
      </xdr:nvSpPr>
      <xdr:spPr>
        <a:xfrm>
          <a:off x="4410075" y="31146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6</xdr:col>
      <xdr:colOff>128527</xdr:colOff>
      <xdr:row>17</xdr:row>
      <xdr:rowOff>77861</xdr:rowOff>
    </xdr:from>
    <xdr:to>
      <xdr:col>7</xdr:col>
      <xdr:colOff>146065</xdr:colOff>
      <xdr:row>18</xdr:row>
      <xdr:rowOff>111479</xdr:rowOff>
    </xdr:to>
    <xdr:sp macro="" textlink="" fLocksText="0">
      <xdr:nvSpPr>
        <xdr:cNvPr id="13" name="Rectangle 12">
          <a:extLst>
            <a:ext uri="{FF2B5EF4-FFF2-40B4-BE49-F238E27FC236}">
              <a16:creationId xmlns:a16="http://schemas.microsoft.com/office/drawing/2014/main" id="{00000000-0008-0000-0400-00000D000000}"/>
            </a:ext>
          </a:extLst>
        </xdr:cNvPr>
        <xdr:cNvSpPr/>
      </xdr:nvSpPr>
      <xdr:spPr>
        <a:xfrm>
          <a:off x="1724025" y="34290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15</xdr:col>
      <xdr:colOff>68014</xdr:colOff>
      <xdr:row>17</xdr:row>
      <xdr:rowOff>84585</xdr:rowOff>
    </xdr:from>
    <xdr:to>
      <xdr:col>16</xdr:col>
      <xdr:colOff>85553</xdr:colOff>
      <xdr:row>18</xdr:row>
      <xdr:rowOff>118203</xdr:rowOff>
    </xdr:to>
    <xdr:sp macro="" textlink="" fLocksText="0">
      <xdr:nvSpPr>
        <xdr:cNvPr id="14" name="Rectangle 13">
          <a:extLst>
            <a:ext uri="{FF2B5EF4-FFF2-40B4-BE49-F238E27FC236}">
              <a16:creationId xmlns:a16="http://schemas.microsoft.com/office/drawing/2014/main" id="{00000000-0008-0000-0400-00000E000000}"/>
            </a:ext>
          </a:extLst>
        </xdr:cNvPr>
        <xdr:cNvSpPr/>
      </xdr:nvSpPr>
      <xdr:spPr>
        <a:xfrm>
          <a:off x="4067175" y="34385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8</a:t>
          </a:r>
        </a:p>
      </xdr:txBody>
    </xdr:sp>
    <xdr:clientData/>
  </xdr:twoCellAnchor>
  <xdr:twoCellAnchor>
    <xdr:from>
      <xdr:col>9</xdr:col>
      <xdr:colOff>141974</xdr:colOff>
      <xdr:row>19</xdr:row>
      <xdr:rowOff>68899</xdr:rowOff>
    </xdr:from>
    <xdr:to>
      <xdr:col>10</xdr:col>
      <xdr:colOff>159513</xdr:colOff>
      <xdr:row>20</xdr:row>
      <xdr:rowOff>102517</xdr:rowOff>
    </xdr:to>
    <xdr:sp macro="" textlink="" fLocksText="0">
      <xdr:nvSpPr>
        <xdr:cNvPr id="15" name="Rectangle 14">
          <a:extLst>
            <a:ext uri="{FF2B5EF4-FFF2-40B4-BE49-F238E27FC236}">
              <a16:creationId xmlns:a16="http://schemas.microsoft.com/office/drawing/2014/main" id="{00000000-0008-0000-0400-00000F000000}"/>
            </a:ext>
          </a:extLst>
        </xdr:cNvPr>
        <xdr:cNvSpPr/>
      </xdr:nvSpPr>
      <xdr:spPr>
        <a:xfrm>
          <a:off x="2543175" y="38004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9</a:t>
          </a:r>
        </a:p>
      </xdr:txBody>
    </xdr:sp>
    <xdr:clientData/>
  </xdr:twoCellAnchor>
  <xdr:twoCellAnchor>
    <xdr:from>
      <xdr:col>19</xdr:col>
      <xdr:colOff>59049</xdr:colOff>
      <xdr:row>19</xdr:row>
      <xdr:rowOff>64417</xdr:rowOff>
    </xdr:from>
    <xdr:to>
      <xdr:col>20</xdr:col>
      <xdr:colOff>89646</xdr:colOff>
      <xdr:row>20</xdr:row>
      <xdr:rowOff>89652</xdr:rowOff>
    </xdr:to>
    <xdr:sp macro="" textlink="" fLocksText="0">
      <xdr:nvSpPr>
        <xdr:cNvPr id="16" name="Rectangle 15">
          <a:extLst>
            <a:ext uri="{FF2B5EF4-FFF2-40B4-BE49-F238E27FC236}">
              <a16:creationId xmlns:a16="http://schemas.microsoft.com/office/drawing/2014/main" id="{00000000-0008-0000-0400-000010000000}"/>
            </a:ext>
          </a:extLst>
        </xdr:cNvPr>
        <xdr:cNvSpPr/>
      </xdr:nvSpPr>
      <xdr:spPr>
        <a:xfrm>
          <a:off x="5124450" y="380047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10</a:t>
          </a:r>
        </a:p>
      </xdr:txBody>
    </xdr:sp>
    <xdr:clientData/>
  </xdr:twoCellAnchor>
  <xdr:twoCellAnchor>
    <xdr:from>
      <xdr:col>10</xdr:col>
      <xdr:colOff>44824</xdr:colOff>
      <xdr:row>21</xdr:row>
      <xdr:rowOff>67243</xdr:rowOff>
    </xdr:from>
    <xdr:to>
      <xdr:col>11</xdr:col>
      <xdr:colOff>75421</xdr:colOff>
      <xdr:row>22</xdr:row>
      <xdr:rowOff>92478</xdr:rowOff>
    </xdr:to>
    <xdr:sp macro="" textlink="" fLocksText="0">
      <xdr:nvSpPr>
        <xdr:cNvPr id="17" name="Rectangle 16">
          <a:extLst>
            <a:ext uri="{FF2B5EF4-FFF2-40B4-BE49-F238E27FC236}">
              <a16:creationId xmlns:a16="http://schemas.microsoft.com/office/drawing/2014/main" id="{00000000-0008-0000-0400-000011000000}"/>
            </a:ext>
          </a:extLst>
        </xdr:cNvPr>
        <xdr:cNvSpPr/>
      </xdr:nvSpPr>
      <xdr:spPr>
        <a:xfrm>
          <a:off x="2714625" y="418147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11</a:t>
          </a:r>
        </a:p>
      </xdr:txBody>
    </xdr:sp>
    <xdr:clientData/>
  </xdr:twoCellAnchor>
  <xdr:twoCellAnchor>
    <xdr:from>
      <xdr:col>17</xdr:col>
      <xdr:colOff>40342</xdr:colOff>
      <xdr:row>21</xdr:row>
      <xdr:rowOff>96379</xdr:rowOff>
    </xdr:from>
    <xdr:to>
      <xdr:col>18</xdr:col>
      <xdr:colOff>70939</xdr:colOff>
      <xdr:row>22</xdr:row>
      <xdr:rowOff>121614</xdr:rowOff>
    </xdr:to>
    <xdr:sp macro="" textlink="" fLocksText="0">
      <xdr:nvSpPr>
        <xdr:cNvPr id="18" name="Rectangle 17">
          <a:extLst>
            <a:ext uri="{FF2B5EF4-FFF2-40B4-BE49-F238E27FC236}">
              <a16:creationId xmlns:a16="http://schemas.microsoft.com/office/drawing/2014/main" id="{00000000-0008-0000-0400-000012000000}"/>
            </a:ext>
          </a:extLst>
        </xdr:cNvPr>
        <xdr:cNvSpPr/>
      </xdr:nvSpPr>
      <xdr:spPr>
        <a:xfrm>
          <a:off x="4572000" y="42100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12</a:t>
          </a:r>
        </a:p>
      </xdr:txBody>
    </xdr:sp>
    <xdr:clientData/>
  </xdr:twoCellAnchor>
  <xdr:twoCellAnchor>
    <xdr:from>
      <xdr:col>9</xdr:col>
      <xdr:colOff>159124</xdr:colOff>
      <xdr:row>23</xdr:row>
      <xdr:rowOff>2250</xdr:rowOff>
    </xdr:from>
    <xdr:to>
      <xdr:col>10</xdr:col>
      <xdr:colOff>189722</xdr:colOff>
      <xdr:row>24</xdr:row>
      <xdr:rowOff>27485</xdr:rowOff>
    </xdr:to>
    <xdr:sp macro="" textlink="" fLocksText="0">
      <xdr:nvSpPr>
        <xdr:cNvPr id="19" name="Rectangle 18">
          <a:extLst>
            <a:ext uri="{FF2B5EF4-FFF2-40B4-BE49-F238E27FC236}">
              <a16:creationId xmlns:a16="http://schemas.microsoft.com/office/drawing/2014/main" id="{00000000-0008-0000-0400-000013000000}"/>
            </a:ext>
          </a:extLst>
        </xdr:cNvPr>
        <xdr:cNvSpPr/>
      </xdr:nvSpPr>
      <xdr:spPr>
        <a:xfrm>
          <a:off x="2562225" y="449580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13</a:t>
          </a:r>
        </a:p>
      </xdr:txBody>
    </xdr:sp>
    <xdr:clientData/>
  </xdr:twoCellAnchor>
  <xdr:twoCellAnchor>
    <xdr:from>
      <xdr:col>17</xdr:col>
      <xdr:colOff>42583</xdr:colOff>
      <xdr:row>23</xdr:row>
      <xdr:rowOff>65004</xdr:rowOff>
    </xdr:from>
    <xdr:to>
      <xdr:col>18</xdr:col>
      <xdr:colOff>73180</xdr:colOff>
      <xdr:row>24</xdr:row>
      <xdr:rowOff>90239</xdr:rowOff>
    </xdr:to>
    <xdr:sp macro="" textlink="" fLocksText="0">
      <xdr:nvSpPr>
        <xdr:cNvPr id="20" name="Rectangle 19">
          <a:extLst>
            <a:ext uri="{FF2B5EF4-FFF2-40B4-BE49-F238E27FC236}">
              <a16:creationId xmlns:a16="http://schemas.microsoft.com/office/drawing/2014/main" id="{00000000-0008-0000-0400-000014000000}"/>
            </a:ext>
          </a:extLst>
        </xdr:cNvPr>
        <xdr:cNvSpPr/>
      </xdr:nvSpPr>
      <xdr:spPr>
        <a:xfrm>
          <a:off x="4572000" y="4562475"/>
          <a:ext cx="30480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14</a:t>
          </a:r>
        </a:p>
      </xdr:txBody>
    </xdr:sp>
    <xdr:clientData/>
  </xdr:twoCellAnchor>
  <xdr:twoCellAnchor>
    <xdr:from>
      <xdr:col>9</xdr:col>
      <xdr:colOff>60512</xdr:colOff>
      <xdr:row>24</xdr:row>
      <xdr:rowOff>183787</xdr:rowOff>
    </xdr:from>
    <xdr:to>
      <xdr:col>10</xdr:col>
      <xdr:colOff>91110</xdr:colOff>
      <xdr:row>26</xdr:row>
      <xdr:rowOff>7316</xdr:rowOff>
    </xdr:to>
    <xdr:sp macro="" textlink="" fLocksText="0">
      <xdr:nvSpPr>
        <xdr:cNvPr id="21" name="Rectangle 20">
          <a:extLst>
            <a:ext uri="{FF2B5EF4-FFF2-40B4-BE49-F238E27FC236}">
              <a16:creationId xmlns:a16="http://schemas.microsoft.com/office/drawing/2014/main" id="{00000000-0008-0000-0400-000015000000}"/>
            </a:ext>
          </a:extLst>
        </xdr:cNvPr>
        <xdr:cNvSpPr/>
      </xdr:nvSpPr>
      <xdr:spPr>
        <a:xfrm>
          <a:off x="2457450" y="4867275"/>
          <a:ext cx="30480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15</a:t>
          </a:r>
        </a:p>
      </xdr:txBody>
    </xdr:sp>
    <xdr:clientData/>
  </xdr:twoCellAnchor>
  <xdr:twoCellAnchor>
    <xdr:from>
      <xdr:col>13</xdr:col>
      <xdr:colOff>224118</xdr:colOff>
      <xdr:row>24</xdr:row>
      <xdr:rowOff>179305</xdr:rowOff>
    </xdr:from>
    <xdr:to>
      <xdr:col>15</xdr:col>
      <xdr:colOff>19392</xdr:colOff>
      <xdr:row>26</xdr:row>
      <xdr:rowOff>2834</xdr:rowOff>
    </xdr:to>
    <xdr:sp macro="" textlink="" fLocksText="0">
      <xdr:nvSpPr>
        <xdr:cNvPr id="22" name="Rectangle 21">
          <a:extLst>
            <a:ext uri="{FF2B5EF4-FFF2-40B4-BE49-F238E27FC236}">
              <a16:creationId xmlns:a16="http://schemas.microsoft.com/office/drawing/2014/main" id="{00000000-0008-0000-0400-000016000000}"/>
            </a:ext>
          </a:extLst>
        </xdr:cNvPr>
        <xdr:cNvSpPr/>
      </xdr:nvSpPr>
      <xdr:spPr>
        <a:xfrm>
          <a:off x="3695700" y="4867275"/>
          <a:ext cx="32385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16</a:t>
          </a:r>
        </a:p>
      </xdr:txBody>
    </xdr:sp>
    <xdr:clientData/>
  </xdr:twoCellAnchor>
  <xdr:twoCellAnchor>
    <xdr:from>
      <xdr:col>7</xdr:col>
      <xdr:colOff>22412</xdr:colOff>
      <xdr:row>26</xdr:row>
      <xdr:rowOff>134481</xdr:rowOff>
    </xdr:from>
    <xdr:to>
      <xdr:col>8</xdr:col>
      <xdr:colOff>53010</xdr:colOff>
      <xdr:row>27</xdr:row>
      <xdr:rowOff>159716</xdr:rowOff>
    </xdr:to>
    <xdr:sp macro="" textlink="" fLocksText="0">
      <xdr:nvSpPr>
        <xdr:cNvPr id="23" name="Rectangle 22">
          <a:extLst>
            <a:ext uri="{FF2B5EF4-FFF2-40B4-BE49-F238E27FC236}">
              <a16:creationId xmlns:a16="http://schemas.microsoft.com/office/drawing/2014/main" id="{00000000-0008-0000-0400-000017000000}"/>
            </a:ext>
          </a:extLst>
        </xdr:cNvPr>
        <xdr:cNvSpPr/>
      </xdr:nvSpPr>
      <xdr:spPr>
        <a:xfrm>
          <a:off x="1885950" y="5210175"/>
          <a:ext cx="30480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17</a:t>
          </a:r>
        </a:p>
      </xdr:txBody>
    </xdr:sp>
    <xdr:clientData/>
  </xdr:twoCellAnchor>
  <xdr:twoCellAnchor>
    <xdr:from>
      <xdr:col>15</xdr:col>
      <xdr:colOff>208430</xdr:colOff>
      <xdr:row>26</xdr:row>
      <xdr:rowOff>174823</xdr:rowOff>
    </xdr:from>
    <xdr:to>
      <xdr:col>17</xdr:col>
      <xdr:colOff>3704</xdr:colOff>
      <xdr:row>28</xdr:row>
      <xdr:rowOff>9558</xdr:rowOff>
    </xdr:to>
    <xdr:sp macro="" textlink="" fLocksText="0">
      <xdr:nvSpPr>
        <xdr:cNvPr id="24" name="Rectangle 23">
          <a:extLst>
            <a:ext uri="{FF2B5EF4-FFF2-40B4-BE49-F238E27FC236}">
              <a16:creationId xmlns:a16="http://schemas.microsoft.com/office/drawing/2014/main" id="{00000000-0008-0000-0400-000018000000}"/>
            </a:ext>
          </a:extLst>
        </xdr:cNvPr>
        <xdr:cNvSpPr/>
      </xdr:nvSpPr>
      <xdr:spPr>
        <a:xfrm>
          <a:off x="4210050" y="5248275"/>
          <a:ext cx="3238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18</a:t>
          </a:r>
        </a:p>
      </xdr:txBody>
    </xdr:sp>
    <xdr:clientData/>
  </xdr:twoCellAnchor>
  <xdr:twoCellAnchor>
    <xdr:from>
      <xdr:col>17</xdr:col>
      <xdr:colOff>170331</xdr:colOff>
      <xdr:row>28</xdr:row>
      <xdr:rowOff>103105</xdr:rowOff>
    </xdr:from>
    <xdr:to>
      <xdr:col>18</xdr:col>
      <xdr:colOff>200928</xdr:colOff>
      <xdr:row>29</xdr:row>
      <xdr:rowOff>128340</xdr:rowOff>
    </xdr:to>
    <xdr:sp macro="" textlink="" fLocksText="0">
      <xdr:nvSpPr>
        <xdr:cNvPr id="25" name="Rectangle 24">
          <a:extLst>
            <a:ext uri="{FF2B5EF4-FFF2-40B4-BE49-F238E27FC236}">
              <a16:creationId xmlns:a16="http://schemas.microsoft.com/office/drawing/2014/main" id="{00000000-0008-0000-0400-000019000000}"/>
            </a:ext>
          </a:extLst>
        </xdr:cNvPr>
        <xdr:cNvSpPr/>
      </xdr:nvSpPr>
      <xdr:spPr>
        <a:xfrm>
          <a:off x="4705350" y="5562600"/>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20</a:t>
          </a:r>
        </a:p>
      </xdr:txBody>
    </xdr:sp>
    <xdr:clientData/>
  </xdr:twoCellAnchor>
  <xdr:twoCellAnchor>
    <xdr:from>
      <xdr:col>7</xdr:col>
      <xdr:colOff>20172</xdr:colOff>
      <xdr:row>28</xdr:row>
      <xdr:rowOff>109830</xdr:rowOff>
    </xdr:from>
    <xdr:to>
      <xdr:col>8</xdr:col>
      <xdr:colOff>50770</xdr:colOff>
      <xdr:row>29</xdr:row>
      <xdr:rowOff>135065</xdr:rowOff>
    </xdr:to>
    <xdr:sp macro="" textlink="" fLocksText="0">
      <xdr:nvSpPr>
        <xdr:cNvPr id="26" name="Rectangle 25">
          <a:extLst>
            <a:ext uri="{FF2B5EF4-FFF2-40B4-BE49-F238E27FC236}">
              <a16:creationId xmlns:a16="http://schemas.microsoft.com/office/drawing/2014/main" id="{00000000-0008-0000-0400-00001A000000}"/>
            </a:ext>
          </a:extLst>
        </xdr:cNvPr>
        <xdr:cNvSpPr/>
      </xdr:nvSpPr>
      <xdr:spPr>
        <a:xfrm>
          <a:off x="1885950" y="557212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19</a:t>
          </a:r>
        </a:p>
      </xdr:txBody>
    </xdr:sp>
    <xdr:clientData/>
  </xdr:twoCellAnchor>
  <xdr:twoCellAnchor>
    <xdr:from>
      <xdr:col>7</xdr:col>
      <xdr:colOff>116544</xdr:colOff>
      <xdr:row>30</xdr:row>
      <xdr:rowOff>71730</xdr:rowOff>
    </xdr:from>
    <xdr:to>
      <xdr:col>8</xdr:col>
      <xdr:colOff>147142</xdr:colOff>
      <xdr:row>31</xdr:row>
      <xdr:rowOff>108171</xdr:rowOff>
    </xdr:to>
    <xdr:sp macro="" textlink="" fLocksText="0">
      <xdr:nvSpPr>
        <xdr:cNvPr id="27" name="Rectangle 26">
          <a:extLst>
            <a:ext uri="{FF2B5EF4-FFF2-40B4-BE49-F238E27FC236}">
              <a16:creationId xmlns:a16="http://schemas.microsoft.com/office/drawing/2014/main" id="{00000000-0008-0000-0400-00001B000000}"/>
            </a:ext>
          </a:extLst>
        </xdr:cNvPr>
        <xdr:cNvSpPr/>
      </xdr:nvSpPr>
      <xdr:spPr>
        <a:xfrm>
          <a:off x="1981200" y="591502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21</a:t>
          </a:r>
        </a:p>
      </xdr:txBody>
    </xdr:sp>
    <xdr:clientData/>
  </xdr:twoCellAnchor>
  <xdr:twoCellAnchor>
    <xdr:from>
      <xdr:col>16</xdr:col>
      <xdr:colOff>212914</xdr:colOff>
      <xdr:row>30</xdr:row>
      <xdr:rowOff>89659</xdr:rowOff>
    </xdr:from>
    <xdr:to>
      <xdr:col>18</xdr:col>
      <xdr:colOff>8187</xdr:colOff>
      <xdr:row>31</xdr:row>
      <xdr:rowOff>126100</xdr:rowOff>
    </xdr:to>
    <xdr:sp macro="" textlink="" fLocksText="0">
      <xdr:nvSpPr>
        <xdr:cNvPr id="28" name="Rectangle 27">
          <a:extLst>
            <a:ext uri="{FF2B5EF4-FFF2-40B4-BE49-F238E27FC236}">
              <a16:creationId xmlns:a16="http://schemas.microsoft.com/office/drawing/2014/main" id="{00000000-0008-0000-0400-00001C000000}"/>
            </a:ext>
          </a:extLst>
        </xdr:cNvPr>
        <xdr:cNvSpPr/>
      </xdr:nvSpPr>
      <xdr:spPr>
        <a:xfrm>
          <a:off x="4476750" y="5924550"/>
          <a:ext cx="33337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22</a:t>
          </a:r>
        </a:p>
      </xdr:txBody>
    </xdr:sp>
    <xdr:clientData/>
  </xdr:twoCellAnchor>
  <xdr:twoCellAnchor>
    <xdr:from>
      <xdr:col>6</xdr:col>
      <xdr:colOff>96372</xdr:colOff>
      <xdr:row>32</xdr:row>
      <xdr:rowOff>51562</xdr:rowOff>
    </xdr:from>
    <xdr:to>
      <xdr:col>7</xdr:col>
      <xdr:colOff>126969</xdr:colOff>
      <xdr:row>33</xdr:row>
      <xdr:rowOff>76797</xdr:rowOff>
    </xdr:to>
    <xdr:sp macro="" textlink="" fLocksText="0">
      <xdr:nvSpPr>
        <xdr:cNvPr id="29" name="Rectangle 28">
          <a:extLst>
            <a:ext uri="{FF2B5EF4-FFF2-40B4-BE49-F238E27FC236}">
              <a16:creationId xmlns:a16="http://schemas.microsoft.com/office/drawing/2014/main" id="{00000000-0008-0000-0400-00001D000000}"/>
            </a:ext>
          </a:extLst>
        </xdr:cNvPr>
        <xdr:cNvSpPr/>
      </xdr:nvSpPr>
      <xdr:spPr>
        <a:xfrm>
          <a:off x="1695450" y="62674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23</a:t>
          </a:r>
        </a:p>
      </xdr:txBody>
    </xdr:sp>
    <xdr:clientData/>
  </xdr:twoCellAnchor>
  <xdr:twoCellAnchor>
    <xdr:from>
      <xdr:col>14</xdr:col>
      <xdr:colOff>170332</xdr:colOff>
      <xdr:row>32</xdr:row>
      <xdr:rowOff>69490</xdr:rowOff>
    </xdr:from>
    <xdr:to>
      <xdr:col>15</xdr:col>
      <xdr:colOff>200929</xdr:colOff>
      <xdr:row>33</xdr:row>
      <xdr:rowOff>94725</xdr:rowOff>
    </xdr:to>
    <xdr:sp macro="" textlink="" fLocksText="0">
      <xdr:nvSpPr>
        <xdr:cNvPr id="30" name="Rectangle 29">
          <a:extLst>
            <a:ext uri="{FF2B5EF4-FFF2-40B4-BE49-F238E27FC236}">
              <a16:creationId xmlns:a16="http://schemas.microsoft.com/office/drawing/2014/main" id="{00000000-0008-0000-0400-00001E000000}"/>
            </a:ext>
          </a:extLst>
        </xdr:cNvPr>
        <xdr:cNvSpPr/>
      </xdr:nvSpPr>
      <xdr:spPr>
        <a:xfrm>
          <a:off x="3905250" y="628650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24</a:t>
          </a:r>
        </a:p>
      </xdr:txBody>
    </xdr:sp>
    <xdr:clientData/>
  </xdr:twoCellAnchor>
  <xdr:twoCellAnchor>
    <xdr:from>
      <xdr:col>6</xdr:col>
      <xdr:colOff>78441</xdr:colOff>
      <xdr:row>34</xdr:row>
      <xdr:rowOff>0</xdr:rowOff>
    </xdr:from>
    <xdr:to>
      <xdr:col>7</xdr:col>
      <xdr:colOff>109038</xdr:colOff>
      <xdr:row>35</xdr:row>
      <xdr:rowOff>25235</xdr:rowOff>
    </xdr:to>
    <xdr:sp macro="" textlink="" fLocksText="0">
      <xdr:nvSpPr>
        <xdr:cNvPr id="31" name="Rectangle 30">
          <a:extLst>
            <a:ext uri="{FF2B5EF4-FFF2-40B4-BE49-F238E27FC236}">
              <a16:creationId xmlns:a16="http://schemas.microsoft.com/office/drawing/2014/main" id="{00000000-0008-0000-0400-00001F000000}"/>
            </a:ext>
          </a:extLst>
        </xdr:cNvPr>
        <xdr:cNvSpPr/>
      </xdr:nvSpPr>
      <xdr:spPr>
        <a:xfrm>
          <a:off x="1676400" y="660082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25</a:t>
          </a:r>
        </a:p>
      </xdr:txBody>
    </xdr:sp>
    <xdr:clientData/>
  </xdr:twoCellAnchor>
  <xdr:twoCellAnchor>
    <xdr:from>
      <xdr:col>13</xdr:col>
      <xdr:colOff>172571</xdr:colOff>
      <xdr:row>34</xdr:row>
      <xdr:rowOff>49320</xdr:rowOff>
    </xdr:from>
    <xdr:to>
      <xdr:col>14</xdr:col>
      <xdr:colOff>203169</xdr:colOff>
      <xdr:row>35</xdr:row>
      <xdr:rowOff>74555</xdr:rowOff>
    </xdr:to>
    <xdr:sp macro="" textlink="" fLocksText="0">
      <xdr:nvSpPr>
        <xdr:cNvPr id="32" name="Rectangle 31">
          <a:extLst>
            <a:ext uri="{FF2B5EF4-FFF2-40B4-BE49-F238E27FC236}">
              <a16:creationId xmlns:a16="http://schemas.microsoft.com/office/drawing/2014/main" id="{00000000-0008-0000-0400-000020000000}"/>
            </a:ext>
          </a:extLst>
        </xdr:cNvPr>
        <xdr:cNvSpPr/>
      </xdr:nvSpPr>
      <xdr:spPr>
        <a:xfrm>
          <a:off x="3638550" y="66484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26</a:t>
          </a:r>
        </a:p>
      </xdr:txBody>
    </xdr:sp>
    <xdr:clientData/>
  </xdr:twoCellAnchor>
  <xdr:twoCellAnchor>
    <xdr:from>
      <xdr:col>48</xdr:col>
      <xdr:colOff>107577</xdr:colOff>
      <xdr:row>45</xdr:row>
      <xdr:rowOff>85165</xdr:rowOff>
    </xdr:from>
    <xdr:to>
      <xdr:col>49</xdr:col>
      <xdr:colOff>138174</xdr:colOff>
      <xdr:row>46</xdr:row>
      <xdr:rowOff>110400</xdr:rowOff>
    </xdr:to>
    <xdr:sp macro="" textlink="" fLocksText="0">
      <xdr:nvSpPr>
        <xdr:cNvPr id="47" name="Rectangle 46">
          <a:extLst>
            <a:ext uri="{FF2B5EF4-FFF2-40B4-BE49-F238E27FC236}">
              <a16:creationId xmlns:a16="http://schemas.microsoft.com/office/drawing/2014/main" id="{00000000-0008-0000-0400-00002F000000}"/>
            </a:ext>
          </a:extLst>
        </xdr:cNvPr>
        <xdr:cNvSpPr/>
      </xdr:nvSpPr>
      <xdr:spPr>
        <a:xfrm>
          <a:off x="12906375" y="8782050"/>
          <a:ext cx="30480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50</a:t>
          </a:r>
        </a:p>
      </xdr:txBody>
    </xdr:sp>
    <xdr:clientData/>
  </xdr:twoCellAnchor>
  <xdr:twoCellAnchor>
    <xdr:from>
      <xdr:col>40</xdr:col>
      <xdr:colOff>152401</xdr:colOff>
      <xdr:row>23</xdr:row>
      <xdr:rowOff>107577</xdr:rowOff>
    </xdr:from>
    <xdr:to>
      <xdr:col>41</xdr:col>
      <xdr:colOff>182998</xdr:colOff>
      <xdr:row>24</xdr:row>
      <xdr:rowOff>132812</xdr:rowOff>
    </xdr:to>
    <xdr:sp macro="" textlink="" fLocksText="0">
      <xdr:nvSpPr>
        <xdr:cNvPr id="51" name="Rectangle 50">
          <a:extLst>
            <a:ext uri="{FF2B5EF4-FFF2-40B4-BE49-F238E27FC236}">
              <a16:creationId xmlns:a16="http://schemas.microsoft.com/office/drawing/2014/main" id="{00000000-0008-0000-0400-000033000000}"/>
            </a:ext>
          </a:extLst>
        </xdr:cNvPr>
        <xdr:cNvSpPr/>
      </xdr:nvSpPr>
      <xdr:spPr>
        <a:xfrm>
          <a:off x="10820400" y="460057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44</a:t>
          </a:r>
        </a:p>
      </xdr:txBody>
    </xdr:sp>
    <xdr:clientData/>
  </xdr:twoCellAnchor>
  <xdr:twoCellAnchor>
    <xdr:from>
      <xdr:col>40</xdr:col>
      <xdr:colOff>123265</xdr:colOff>
      <xdr:row>31</xdr:row>
      <xdr:rowOff>168090</xdr:rowOff>
    </xdr:from>
    <xdr:to>
      <xdr:col>41</xdr:col>
      <xdr:colOff>153862</xdr:colOff>
      <xdr:row>33</xdr:row>
      <xdr:rowOff>2825</xdr:rowOff>
    </xdr:to>
    <xdr:sp macro="" textlink="" fLocksText="0">
      <xdr:nvSpPr>
        <xdr:cNvPr id="53" name="Rectangle 52">
          <a:extLst>
            <a:ext uri="{FF2B5EF4-FFF2-40B4-BE49-F238E27FC236}">
              <a16:creationId xmlns:a16="http://schemas.microsoft.com/office/drawing/2014/main" id="{00000000-0008-0000-0400-000035000000}"/>
            </a:ext>
          </a:extLst>
        </xdr:cNvPr>
        <xdr:cNvSpPr/>
      </xdr:nvSpPr>
      <xdr:spPr>
        <a:xfrm>
          <a:off x="10791825" y="620077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46</a:t>
          </a:r>
        </a:p>
      </xdr:txBody>
    </xdr:sp>
    <xdr:clientData/>
  </xdr:twoCellAnchor>
  <xdr:twoCellAnchor>
    <xdr:from>
      <xdr:col>48</xdr:col>
      <xdr:colOff>179294</xdr:colOff>
      <xdr:row>36</xdr:row>
      <xdr:rowOff>112061</xdr:rowOff>
    </xdr:from>
    <xdr:to>
      <xdr:col>49</xdr:col>
      <xdr:colOff>209891</xdr:colOff>
      <xdr:row>37</xdr:row>
      <xdr:rowOff>137296</xdr:rowOff>
    </xdr:to>
    <xdr:sp macro="" textlink="" fLocksText="0">
      <xdr:nvSpPr>
        <xdr:cNvPr id="55" name="Rectangle 54">
          <a:extLst>
            <a:ext uri="{FF2B5EF4-FFF2-40B4-BE49-F238E27FC236}">
              <a16:creationId xmlns:a16="http://schemas.microsoft.com/office/drawing/2014/main" id="{00000000-0008-0000-0400-000037000000}"/>
            </a:ext>
          </a:extLst>
        </xdr:cNvPr>
        <xdr:cNvSpPr/>
      </xdr:nvSpPr>
      <xdr:spPr>
        <a:xfrm>
          <a:off x="12982575" y="709612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48</a:t>
          </a:r>
        </a:p>
      </xdr:txBody>
    </xdr:sp>
    <xdr:clientData/>
  </xdr:twoCellAnchor>
  <xdr:twoCellAnchor>
    <xdr:from>
      <xdr:col>5</xdr:col>
      <xdr:colOff>219636</xdr:colOff>
      <xdr:row>59</xdr:row>
      <xdr:rowOff>29137</xdr:rowOff>
    </xdr:from>
    <xdr:to>
      <xdr:col>7</xdr:col>
      <xdr:colOff>14910</xdr:colOff>
      <xdr:row>60</xdr:row>
      <xdr:rowOff>54372</xdr:rowOff>
    </xdr:to>
    <xdr:sp macro="" textlink="" fLocksText="0">
      <xdr:nvSpPr>
        <xdr:cNvPr id="60" name="Rectangle 59">
          <a:extLst>
            <a:ext uri="{FF2B5EF4-FFF2-40B4-BE49-F238E27FC236}">
              <a16:creationId xmlns:a16="http://schemas.microsoft.com/office/drawing/2014/main" id="{00000000-0008-0000-0400-00003C000000}"/>
            </a:ext>
          </a:extLst>
        </xdr:cNvPr>
        <xdr:cNvSpPr/>
      </xdr:nvSpPr>
      <xdr:spPr>
        <a:xfrm>
          <a:off x="1552575" y="11391900"/>
          <a:ext cx="3333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27</a:t>
          </a:r>
        </a:p>
      </xdr:txBody>
    </xdr:sp>
    <xdr:clientData/>
  </xdr:twoCellAnchor>
  <xdr:twoCellAnchor>
    <xdr:from>
      <xdr:col>11</xdr:col>
      <xdr:colOff>136713</xdr:colOff>
      <xdr:row>59</xdr:row>
      <xdr:rowOff>35860</xdr:rowOff>
    </xdr:from>
    <xdr:to>
      <xdr:col>12</xdr:col>
      <xdr:colOff>167311</xdr:colOff>
      <xdr:row>60</xdr:row>
      <xdr:rowOff>61095</xdr:rowOff>
    </xdr:to>
    <xdr:sp macro="" textlink="" fLocksText="0">
      <xdr:nvSpPr>
        <xdr:cNvPr id="63" name="Rectangle 62">
          <a:extLst>
            <a:ext uri="{FF2B5EF4-FFF2-40B4-BE49-F238E27FC236}">
              <a16:creationId xmlns:a16="http://schemas.microsoft.com/office/drawing/2014/main" id="{00000000-0008-0000-0400-00003F000000}"/>
            </a:ext>
          </a:extLst>
        </xdr:cNvPr>
        <xdr:cNvSpPr/>
      </xdr:nvSpPr>
      <xdr:spPr>
        <a:xfrm>
          <a:off x="3067050" y="11401425"/>
          <a:ext cx="30480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28</a:t>
          </a:r>
        </a:p>
      </xdr:txBody>
    </xdr:sp>
    <xdr:clientData/>
  </xdr:twoCellAnchor>
  <xdr:twoCellAnchor>
    <xdr:from>
      <xdr:col>5</xdr:col>
      <xdr:colOff>49307</xdr:colOff>
      <xdr:row>65</xdr:row>
      <xdr:rowOff>160784</xdr:rowOff>
    </xdr:from>
    <xdr:to>
      <xdr:col>6</xdr:col>
      <xdr:colOff>79905</xdr:colOff>
      <xdr:row>66</xdr:row>
      <xdr:rowOff>186019</xdr:rowOff>
    </xdr:to>
    <xdr:sp macro="" textlink="" fLocksText="0">
      <xdr:nvSpPr>
        <xdr:cNvPr id="64" name="Rectangle 63">
          <a:extLst>
            <a:ext uri="{FF2B5EF4-FFF2-40B4-BE49-F238E27FC236}">
              <a16:creationId xmlns:a16="http://schemas.microsoft.com/office/drawing/2014/main" id="{00000000-0008-0000-0400-000040000000}"/>
            </a:ext>
          </a:extLst>
        </xdr:cNvPr>
        <xdr:cNvSpPr/>
      </xdr:nvSpPr>
      <xdr:spPr>
        <a:xfrm>
          <a:off x="1381125" y="126682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29</a:t>
          </a:r>
        </a:p>
      </xdr:txBody>
    </xdr:sp>
    <xdr:clientData/>
  </xdr:twoCellAnchor>
  <xdr:twoCellAnchor>
    <xdr:from>
      <xdr:col>11</xdr:col>
      <xdr:colOff>116541</xdr:colOff>
      <xdr:row>65</xdr:row>
      <xdr:rowOff>127167</xdr:rowOff>
    </xdr:from>
    <xdr:to>
      <xdr:col>12</xdr:col>
      <xdr:colOff>147139</xdr:colOff>
      <xdr:row>66</xdr:row>
      <xdr:rowOff>152402</xdr:rowOff>
    </xdr:to>
    <xdr:sp macro="" textlink="" fLocksText="0">
      <xdr:nvSpPr>
        <xdr:cNvPr id="65" name="Rectangle 64">
          <a:extLst>
            <a:ext uri="{FF2B5EF4-FFF2-40B4-BE49-F238E27FC236}">
              <a16:creationId xmlns:a16="http://schemas.microsoft.com/office/drawing/2014/main" id="{00000000-0008-0000-0400-000041000000}"/>
            </a:ext>
          </a:extLst>
        </xdr:cNvPr>
        <xdr:cNvSpPr/>
      </xdr:nvSpPr>
      <xdr:spPr>
        <a:xfrm>
          <a:off x="3048000" y="126301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30</a:t>
          </a:r>
        </a:p>
      </xdr:txBody>
    </xdr:sp>
    <xdr:clientData/>
  </xdr:twoCellAnchor>
  <xdr:twoCellAnchor>
    <xdr:from>
      <xdr:col>5</xdr:col>
      <xdr:colOff>219635</xdr:colOff>
      <xdr:row>67</xdr:row>
      <xdr:rowOff>129991</xdr:rowOff>
    </xdr:from>
    <xdr:to>
      <xdr:col>7</xdr:col>
      <xdr:colOff>14909</xdr:colOff>
      <xdr:row>68</xdr:row>
      <xdr:rowOff>155226</xdr:rowOff>
    </xdr:to>
    <xdr:sp macro="" textlink="" fLocksText="0">
      <xdr:nvSpPr>
        <xdr:cNvPr id="66" name="Rectangle 65">
          <a:extLst>
            <a:ext uri="{FF2B5EF4-FFF2-40B4-BE49-F238E27FC236}">
              <a16:creationId xmlns:a16="http://schemas.microsoft.com/office/drawing/2014/main" id="{00000000-0008-0000-0400-000042000000}"/>
            </a:ext>
          </a:extLst>
        </xdr:cNvPr>
        <xdr:cNvSpPr/>
      </xdr:nvSpPr>
      <xdr:spPr>
        <a:xfrm>
          <a:off x="1552575" y="13020675"/>
          <a:ext cx="3333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31</a:t>
          </a:r>
        </a:p>
      </xdr:txBody>
    </xdr:sp>
    <xdr:clientData/>
  </xdr:twoCellAnchor>
  <xdr:twoCellAnchor>
    <xdr:from>
      <xdr:col>11</xdr:col>
      <xdr:colOff>114301</xdr:colOff>
      <xdr:row>67</xdr:row>
      <xdr:rowOff>103097</xdr:rowOff>
    </xdr:from>
    <xdr:to>
      <xdr:col>12</xdr:col>
      <xdr:colOff>144899</xdr:colOff>
      <xdr:row>68</xdr:row>
      <xdr:rowOff>128332</xdr:rowOff>
    </xdr:to>
    <xdr:sp macro="" textlink="" fLocksText="0">
      <xdr:nvSpPr>
        <xdr:cNvPr id="67" name="Rectangle 66">
          <a:extLst>
            <a:ext uri="{FF2B5EF4-FFF2-40B4-BE49-F238E27FC236}">
              <a16:creationId xmlns:a16="http://schemas.microsoft.com/office/drawing/2014/main" id="{00000000-0008-0000-0400-000043000000}"/>
            </a:ext>
          </a:extLst>
        </xdr:cNvPr>
        <xdr:cNvSpPr/>
      </xdr:nvSpPr>
      <xdr:spPr>
        <a:xfrm>
          <a:off x="3048000" y="12992100"/>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32</a:t>
          </a:r>
        </a:p>
      </xdr:txBody>
    </xdr:sp>
    <xdr:clientData/>
  </xdr:twoCellAnchor>
  <xdr:twoCellAnchor>
    <xdr:from>
      <xdr:col>5</xdr:col>
      <xdr:colOff>165847</xdr:colOff>
      <xdr:row>69</xdr:row>
      <xdr:rowOff>143438</xdr:rowOff>
    </xdr:from>
    <xdr:to>
      <xdr:col>6</xdr:col>
      <xdr:colOff>196445</xdr:colOff>
      <xdr:row>70</xdr:row>
      <xdr:rowOff>168673</xdr:rowOff>
    </xdr:to>
    <xdr:sp macro="" textlink="" fLocksText="0">
      <xdr:nvSpPr>
        <xdr:cNvPr id="68" name="Rectangle 67">
          <a:extLst>
            <a:ext uri="{FF2B5EF4-FFF2-40B4-BE49-F238E27FC236}">
              <a16:creationId xmlns:a16="http://schemas.microsoft.com/office/drawing/2014/main" id="{00000000-0008-0000-0400-000044000000}"/>
            </a:ext>
          </a:extLst>
        </xdr:cNvPr>
        <xdr:cNvSpPr/>
      </xdr:nvSpPr>
      <xdr:spPr>
        <a:xfrm>
          <a:off x="1495425" y="13411200"/>
          <a:ext cx="30480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33</a:t>
          </a:r>
        </a:p>
      </xdr:txBody>
    </xdr:sp>
    <xdr:clientData/>
  </xdr:twoCellAnchor>
  <xdr:twoCellAnchor>
    <xdr:from>
      <xdr:col>11</xdr:col>
      <xdr:colOff>49306</xdr:colOff>
      <xdr:row>69</xdr:row>
      <xdr:rowOff>161367</xdr:rowOff>
    </xdr:from>
    <xdr:to>
      <xdr:col>12</xdr:col>
      <xdr:colOff>79904</xdr:colOff>
      <xdr:row>70</xdr:row>
      <xdr:rowOff>186602</xdr:rowOff>
    </xdr:to>
    <xdr:sp macro="" textlink="" fLocksText="0">
      <xdr:nvSpPr>
        <xdr:cNvPr id="69" name="Rectangle 68">
          <a:extLst>
            <a:ext uri="{FF2B5EF4-FFF2-40B4-BE49-F238E27FC236}">
              <a16:creationId xmlns:a16="http://schemas.microsoft.com/office/drawing/2014/main" id="{00000000-0008-0000-0400-000045000000}"/>
            </a:ext>
          </a:extLst>
        </xdr:cNvPr>
        <xdr:cNvSpPr/>
      </xdr:nvSpPr>
      <xdr:spPr>
        <a:xfrm>
          <a:off x="2981325" y="134302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34</a:t>
          </a:r>
        </a:p>
      </xdr:txBody>
    </xdr:sp>
    <xdr:clientData/>
  </xdr:twoCellAnchor>
  <xdr:twoCellAnchor>
    <xdr:from>
      <xdr:col>6</xdr:col>
      <xdr:colOff>168088</xdr:colOff>
      <xdr:row>71</xdr:row>
      <xdr:rowOff>112062</xdr:rowOff>
    </xdr:from>
    <xdr:to>
      <xdr:col>7</xdr:col>
      <xdr:colOff>198685</xdr:colOff>
      <xdr:row>72</xdr:row>
      <xdr:rowOff>148503</xdr:rowOff>
    </xdr:to>
    <xdr:sp macro="" textlink="" fLocksText="0">
      <xdr:nvSpPr>
        <xdr:cNvPr id="70" name="Rectangle 69">
          <a:extLst>
            <a:ext uri="{FF2B5EF4-FFF2-40B4-BE49-F238E27FC236}">
              <a16:creationId xmlns:a16="http://schemas.microsoft.com/office/drawing/2014/main" id="{00000000-0008-0000-0400-000046000000}"/>
            </a:ext>
          </a:extLst>
        </xdr:cNvPr>
        <xdr:cNvSpPr/>
      </xdr:nvSpPr>
      <xdr:spPr>
        <a:xfrm>
          <a:off x="1771650" y="1376362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35</a:t>
          </a:r>
        </a:p>
      </xdr:txBody>
    </xdr:sp>
    <xdr:clientData/>
  </xdr:twoCellAnchor>
  <xdr:twoCellAnchor>
    <xdr:from>
      <xdr:col>11</xdr:col>
      <xdr:colOff>29134</xdr:colOff>
      <xdr:row>71</xdr:row>
      <xdr:rowOff>129992</xdr:rowOff>
    </xdr:from>
    <xdr:to>
      <xdr:col>12</xdr:col>
      <xdr:colOff>59732</xdr:colOff>
      <xdr:row>72</xdr:row>
      <xdr:rowOff>166433</xdr:rowOff>
    </xdr:to>
    <xdr:sp macro="" textlink="" fLocksText="0">
      <xdr:nvSpPr>
        <xdr:cNvPr id="71" name="Rectangle 70">
          <a:extLst>
            <a:ext uri="{FF2B5EF4-FFF2-40B4-BE49-F238E27FC236}">
              <a16:creationId xmlns:a16="http://schemas.microsoft.com/office/drawing/2014/main" id="{00000000-0008-0000-0400-000047000000}"/>
            </a:ext>
          </a:extLst>
        </xdr:cNvPr>
        <xdr:cNvSpPr/>
      </xdr:nvSpPr>
      <xdr:spPr>
        <a:xfrm>
          <a:off x="2962275" y="1378267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36</a:t>
          </a:r>
        </a:p>
      </xdr:txBody>
    </xdr:sp>
    <xdr:clientData/>
  </xdr:twoCellAnchor>
  <xdr:twoCellAnchor>
    <xdr:from>
      <xdr:col>4</xdr:col>
      <xdr:colOff>226358</xdr:colOff>
      <xdr:row>73</xdr:row>
      <xdr:rowOff>159124</xdr:rowOff>
    </xdr:from>
    <xdr:to>
      <xdr:col>6</xdr:col>
      <xdr:colOff>21632</xdr:colOff>
      <xdr:row>74</xdr:row>
      <xdr:rowOff>173153</xdr:rowOff>
    </xdr:to>
    <xdr:sp macro="" textlink="" fLocksText="0">
      <xdr:nvSpPr>
        <xdr:cNvPr id="72" name="Rectangle 71">
          <a:extLst>
            <a:ext uri="{FF2B5EF4-FFF2-40B4-BE49-F238E27FC236}">
              <a16:creationId xmlns:a16="http://schemas.microsoft.com/office/drawing/2014/main" id="{00000000-0008-0000-0400-000048000000}"/>
            </a:ext>
          </a:extLst>
        </xdr:cNvPr>
        <xdr:cNvSpPr/>
      </xdr:nvSpPr>
      <xdr:spPr>
        <a:xfrm>
          <a:off x="1295400" y="14182725"/>
          <a:ext cx="32385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37</a:t>
          </a:r>
        </a:p>
      </xdr:txBody>
    </xdr:sp>
    <xdr:clientData/>
  </xdr:twoCellAnchor>
  <xdr:twoCellAnchor>
    <xdr:from>
      <xdr:col>10</xdr:col>
      <xdr:colOff>98611</xdr:colOff>
      <xdr:row>73</xdr:row>
      <xdr:rowOff>165848</xdr:rowOff>
    </xdr:from>
    <xdr:to>
      <xdr:col>11</xdr:col>
      <xdr:colOff>129208</xdr:colOff>
      <xdr:row>74</xdr:row>
      <xdr:rowOff>179877</xdr:rowOff>
    </xdr:to>
    <xdr:sp macro="" textlink="" fLocksText="0">
      <xdr:nvSpPr>
        <xdr:cNvPr id="73" name="Rectangle 72">
          <a:extLst>
            <a:ext uri="{FF2B5EF4-FFF2-40B4-BE49-F238E27FC236}">
              <a16:creationId xmlns:a16="http://schemas.microsoft.com/office/drawing/2014/main" id="{00000000-0008-0000-0400-000049000000}"/>
            </a:ext>
          </a:extLst>
        </xdr:cNvPr>
        <xdr:cNvSpPr/>
      </xdr:nvSpPr>
      <xdr:spPr>
        <a:xfrm>
          <a:off x="2762250" y="14182725"/>
          <a:ext cx="30480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38</a:t>
          </a:r>
        </a:p>
      </xdr:txBody>
    </xdr:sp>
    <xdr:clientData/>
  </xdr:twoCellAnchor>
  <xdr:twoCellAnchor>
    <xdr:from>
      <xdr:col>4</xdr:col>
      <xdr:colOff>116542</xdr:colOff>
      <xdr:row>75</xdr:row>
      <xdr:rowOff>183777</xdr:rowOff>
    </xdr:from>
    <xdr:to>
      <xdr:col>5</xdr:col>
      <xdr:colOff>147139</xdr:colOff>
      <xdr:row>76</xdr:row>
      <xdr:rowOff>197807</xdr:rowOff>
    </xdr:to>
    <xdr:sp macro="" textlink="" fLocksText="0">
      <xdr:nvSpPr>
        <xdr:cNvPr id="74" name="Rectangle 73">
          <a:extLst>
            <a:ext uri="{FF2B5EF4-FFF2-40B4-BE49-F238E27FC236}">
              <a16:creationId xmlns:a16="http://schemas.microsoft.com/office/drawing/2014/main" id="{00000000-0008-0000-0400-00004A000000}"/>
            </a:ext>
          </a:extLst>
        </xdr:cNvPr>
        <xdr:cNvSpPr/>
      </xdr:nvSpPr>
      <xdr:spPr>
        <a:xfrm>
          <a:off x="1181100" y="1460182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39</a:t>
          </a:r>
        </a:p>
      </xdr:txBody>
    </xdr:sp>
    <xdr:clientData/>
  </xdr:twoCellAnchor>
  <xdr:twoCellAnchor>
    <xdr:from>
      <xdr:col>10</xdr:col>
      <xdr:colOff>118785</xdr:colOff>
      <xdr:row>75</xdr:row>
      <xdr:rowOff>141194</xdr:rowOff>
    </xdr:from>
    <xdr:to>
      <xdr:col>11</xdr:col>
      <xdr:colOff>149382</xdr:colOff>
      <xdr:row>76</xdr:row>
      <xdr:rowOff>155224</xdr:rowOff>
    </xdr:to>
    <xdr:sp macro="" textlink="" fLocksText="0">
      <xdr:nvSpPr>
        <xdr:cNvPr id="75" name="Rectangle 74">
          <a:extLst>
            <a:ext uri="{FF2B5EF4-FFF2-40B4-BE49-F238E27FC236}">
              <a16:creationId xmlns:a16="http://schemas.microsoft.com/office/drawing/2014/main" id="{00000000-0008-0000-0400-00004B000000}"/>
            </a:ext>
          </a:extLst>
        </xdr:cNvPr>
        <xdr:cNvSpPr/>
      </xdr:nvSpPr>
      <xdr:spPr>
        <a:xfrm>
          <a:off x="2781300" y="14563725"/>
          <a:ext cx="304800"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40</a:t>
          </a:r>
        </a:p>
      </xdr:txBody>
    </xdr:sp>
    <xdr:clientData/>
  </xdr:twoCellAnchor>
  <xdr:twoCellAnchor>
    <xdr:from>
      <xdr:col>34</xdr:col>
      <xdr:colOff>11210</xdr:colOff>
      <xdr:row>21</xdr:row>
      <xdr:rowOff>134475</xdr:rowOff>
    </xdr:from>
    <xdr:to>
      <xdr:col>35</xdr:col>
      <xdr:colOff>41807</xdr:colOff>
      <xdr:row>22</xdr:row>
      <xdr:rowOff>159710</xdr:rowOff>
    </xdr:to>
    <xdr:sp macro="" textlink="" fLocksText="0">
      <xdr:nvSpPr>
        <xdr:cNvPr id="76" name="Rectangle 75">
          <a:extLst>
            <a:ext uri="{FF2B5EF4-FFF2-40B4-BE49-F238E27FC236}">
              <a16:creationId xmlns:a16="http://schemas.microsoft.com/office/drawing/2014/main" id="{00000000-0008-0000-0400-00004C000000}"/>
            </a:ext>
          </a:extLst>
        </xdr:cNvPr>
        <xdr:cNvSpPr/>
      </xdr:nvSpPr>
      <xdr:spPr>
        <a:xfrm>
          <a:off x="9077325" y="42481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43</a:t>
          </a:r>
        </a:p>
      </xdr:txBody>
    </xdr:sp>
    <xdr:clientData/>
  </xdr:twoCellAnchor>
  <xdr:twoCellAnchor>
    <xdr:from>
      <xdr:col>33</xdr:col>
      <xdr:colOff>226362</xdr:colOff>
      <xdr:row>30</xdr:row>
      <xdr:rowOff>47070</xdr:rowOff>
    </xdr:from>
    <xdr:to>
      <xdr:col>35</xdr:col>
      <xdr:colOff>21635</xdr:colOff>
      <xdr:row>31</xdr:row>
      <xdr:rowOff>72305</xdr:rowOff>
    </xdr:to>
    <xdr:sp macro="" textlink="" fLocksText="0">
      <xdr:nvSpPr>
        <xdr:cNvPr id="77" name="Rectangle 76">
          <a:extLst>
            <a:ext uri="{FF2B5EF4-FFF2-40B4-BE49-F238E27FC236}">
              <a16:creationId xmlns:a16="http://schemas.microsoft.com/office/drawing/2014/main" id="{00000000-0008-0000-0400-00004D000000}"/>
            </a:ext>
          </a:extLst>
        </xdr:cNvPr>
        <xdr:cNvSpPr/>
      </xdr:nvSpPr>
      <xdr:spPr>
        <a:xfrm>
          <a:off x="9029700" y="5886450"/>
          <a:ext cx="3238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45</a:t>
          </a:r>
        </a:p>
      </xdr:txBody>
    </xdr:sp>
    <xdr:clientData/>
  </xdr:twoCellAnchor>
  <xdr:twoCellAnchor>
    <xdr:from>
      <xdr:col>6</xdr:col>
      <xdr:colOff>11212</xdr:colOff>
      <xdr:row>36</xdr:row>
      <xdr:rowOff>123270</xdr:rowOff>
    </xdr:from>
    <xdr:to>
      <xdr:col>7</xdr:col>
      <xdr:colOff>41809</xdr:colOff>
      <xdr:row>37</xdr:row>
      <xdr:rowOff>148505</xdr:rowOff>
    </xdr:to>
    <xdr:sp macro="" textlink="" fLocksText="0">
      <xdr:nvSpPr>
        <xdr:cNvPr id="78" name="Rectangle 77">
          <a:extLst>
            <a:ext uri="{FF2B5EF4-FFF2-40B4-BE49-F238E27FC236}">
              <a16:creationId xmlns:a16="http://schemas.microsoft.com/office/drawing/2014/main" id="{00000000-0008-0000-0400-00004E000000}"/>
            </a:ext>
          </a:extLst>
        </xdr:cNvPr>
        <xdr:cNvSpPr/>
      </xdr:nvSpPr>
      <xdr:spPr>
        <a:xfrm>
          <a:off x="1609725" y="7105650"/>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47</a:t>
          </a:r>
        </a:p>
      </xdr:txBody>
    </xdr:sp>
    <xdr:clientData/>
  </xdr:twoCellAnchor>
  <xdr:twoCellAnchor editAs="oneCell">
    <xdr:from>
      <xdr:col>27</xdr:col>
      <xdr:colOff>215587</xdr:colOff>
      <xdr:row>42</xdr:row>
      <xdr:rowOff>165273</xdr:rowOff>
    </xdr:from>
    <xdr:to>
      <xdr:col>59</xdr:col>
      <xdr:colOff>0</xdr:colOff>
      <xdr:row>62</xdr:row>
      <xdr:rowOff>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7419975" y="8286750"/>
          <a:ext cx="8315325" cy="3648075"/>
        </a:xfrm>
        <a:prstGeom prst="rect">
          <a:avLst/>
        </a:prstGeom>
      </xdr:spPr>
    </xdr:pic>
    <xdr:clientData/>
  </xdr:twoCellAnchor>
  <xdr:twoCellAnchor editAs="oneCell">
    <xdr:from>
      <xdr:col>28</xdr:col>
      <xdr:colOff>1</xdr:colOff>
      <xdr:row>64</xdr:row>
      <xdr:rowOff>0</xdr:rowOff>
    </xdr:from>
    <xdr:to>
      <xdr:col>59</xdr:col>
      <xdr:colOff>0</xdr:colOff>
      <xdr:row>82</xdr:row>
      <xdr:rowOff>120424</xdr:rowOff>
    </xdr:to>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4"/>
        <a:stretch>
          <a:fillRect/>
        </a:stretch>
      </xdr:blipFill>
      <xdr:spPr>
        <a:xfrm>
          <a:off x="7467600" y="12315825"/>
          <a:ext cx="8267700" cy="3629025"/>
        </a:xfrm>
        <a:prstGeom prst="rect">
          <a:avLst/>
        </a:prstGeom>
      </xdr:spPr>
    </xdr:pic>
    <xdr:clientData/>
  </xdr:twoCellAnchor>
  <xdr:twoCellAnchor>
    <xdr:from>
      <xdr:col>33</xdr:col>
      <xdr:colOff>235323</xdr:colOff>
      <xdr:row>12</xdr:row>
      <xdr:rowOff>161366</xdr:rowOff>
    </xdr:from>
    <xdr:to>
      <xdr:col>35</xdr:col>
      <xdr:colOff>30596</xdr:colOff>
      <xdr:row>13</xdr:row>
      <xdr:rowOff>186601</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9039225" y="2562225"/>
          <a:ext cx="3238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altLang="ja-JP" sz="1100" b="0" i="0" u="none" baseline="0">
              <a:solidFill>
                <a:srgbClr val="000000"/>
              </a:solidFill>
              <a:latin typeface="Meiryo UI"/>
              <a:ea typeface="Meiryo UI"/>
            </a:rPr>
            <a:t>41</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41</xdr:col>
      <xdr:colOff>29135</xdr:colOff>
      <xdr:row>13</xdr:row>
      <xdr:rowOff>168089</xdr:rowOff>
    </xdr:from>
    <xdr:to>
      <xdr:col>42</xdr:col>
      <xdr:colOff>59733</xdr:colOff>
      <xdr:row>15</xdr:row>
      <xdr:rowOff>2824</xdr:rowOff>
    </xdr:to>
    <xdr:sp macro="" textlink="" fLocksText="0">
      <xdr:nvSpPr>
        <xdr:cNvPr id="3" name="Rectangle 2">
          <a:extLst>
            <a:ext uri="{FF2B5EF4-FFF2-40B4-BE49-F238E27FC236}">
              <a16:creationId xmlns:a16="http://schemas.microsoft.com/office/drawing/2014/main" id="{00000000-0008-0000-0400-000003000000}"/>
            </a:ext>
          </a:extLst>
        </xdr:cNvPr>
        <xdr:cNvSpPr/>
      </xdr:nvSpPr>
      <xdr:spPr>
        <a:xfrm>
          <a:off x="10963275" y="2762250"/>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42</a:t>
          </a:r>
        </a:p>
      </xdr:txBody>
    </xdr:sp>
    <xdr:clientData/>
  </xdr:twoCellAnchor>
  <xdr:twoCellAnchor>
    <xdr:from>
      <xdr:col>55</xdr:col>
      <xdr:colOff>148352</xdr:colOff>
      <xdr:row>81</xdr:row>
      <xdr:rowOff>8391</xdr:rowOff>
    </xdr:from>
    <xdr:to>
      <xdr:col>56</xdr:col>
      <xdr:colOff>178949</xdr:colOff>
      <xdr:row>82</xdr:row>
      <xdr:rowOff>22420</xdr:rowOff>
    </xdr:to>
    <xdr:sp macro="" textlink="" fLocksText="0">
      <xdr:nvSpPr>
        <xdr:cNvPr id="36" name="Rectangle 35">
          <a:extLst>
            <a:ext uri="{FF2B5EF4-FFF2-40B4-BE49-F238E27FC236}">
              <a16:creationId xmlns:a16="http://schemas.microsoft.com/office/drawing/2014/main" id="{00000000-0008-0000-0400-000024000000}"/>
            </a:ext>
          </a:extLst>
        </xdr:cNvPr>
        <xdr:cNvSpPr/>
      </xdr:nvSpPr>
      <xdr:spPr>
        <a:xfrm>
          <a:off x="14820900" y="15630525"/>
          <a:ext cx="295275" cy="20955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50</a:t>
          </a:r>
        </a:p>
      </xdr:txBody>
    </xdr:sp>
    <xdr:clientData/>
  </xdr:twoCellAnchor>
  <xdr:twoCellAnchor>
    <xdr:from>
      <xdr:col>55</xdr:col>
      <xdr:colOff>92322</xdr:colOff>
      <xdr:row>60</xdr:row>
      <xdr:rowOff>19596</xdr:rowOff>
    </xdr:from>
    <xdr:to>
      <xdr:col>56</xdr:col>
      <xdr:colOff>122919</xdr:colOff>
      <xdr:row>61</xdr:row>
      <xdr:rowOff>44831</xdr:rowOff>
    </xdr:to>
    <xdr:sp macro="" textlink="" fLocksText="0">
      <xdr:nvSpPr>
        <xdr:cNvPr id="37" name="Rectangle 36">
          <a:extLst>
            <a:ext uri="{FF2B5EF4-FFF2-40B4-BE49-F238E27FC236}">
              <a16:creationId xmlns:a16="http://schemas.microsoft.com/office/drawing/2014/main" id="{00000000-0008-0000-0400-000025000000}"/>
            </a:ext>
          </a:extLst>
        </xdr:cNvPr>
        <xdr:cNvSpPr/>
      </xdr:nvSpPr>
      <xdr:spPr>
        <a:xfrm>
          <a:off x="14763750" y="11572875"/>
          <a:ext cx="29527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49</a:t>
          </a:r>
        </a:p>
      </xdr:txBody>
    </xdr:sp>
    <xdr:clientData/>
  </xdr:twoCellAnchor>
  <xdr:twoCellAnchor>
    <xdr:from>
      <xdr:col>5</xdr:col>
      <xdr:colOff>221877</xdr:colOff>
      <xdr:row>61</xdr:row>
      <xdr:rowOff>132232</xdr:rowOff>
    </xdr:from>
    <xdr:to>
      <xdr:col>7</xdr:col>
      <xdr:colOff>78440</xdr:colOff>
      <xdr:row>62</xdr:row>
      <xdr:rowOff>123266</xdr:rowOff>
    </xdr:to>
    <xdr:sp macro="" textlink="" fLocksText="0">
      <xdr:nvSpPr>
        <xdr:cNvPr id="35" name="Rectangle 34">
          <a:extLst>
            <a:ext uri="{FF2B5EF4-FFF2-40B4-BE49-F238E27FC236}">
              <a16:creationId xmlns:a16="http://schemas.microsoft.com/office/drawing/2014/main" id="{00000000-0008-0000-0400-000023000000}"/>
            </a:ext>
          </a:extLst>
        </xdr:cNvPr>
        <xdr:cNvSpPr/>
      </xdr:nvSpPr>
      <xdr:spPr>
        <a:xfrm>
          <a:off x="1552575" y="11877675"/>
          <a:ext cx="39052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28-1</a:t>
          </a:r>
        </a:p>
      </xdr:txBody>
    </xdr:sp>
    <xdr:clientData/>
  </xdr:twoCellAnchor>
  <xdr:twoCellAnchor>
    <xdr:from>
      <xdr:col>12</xdr:col>
      <xdr:colOff>172571</xdr:colOff>
      <xdr:row>61</xdr:row>
      <xdr:rowOff>116544</xdr:rowOff>
    </xdr:from>
    <xdr:to>
      <xdr:col>14</xdr:col>
      <xdr:colOff>29134</xdr:colOff>
      <xdr:row>62</xdr:row>
      <xdr:rowOff>107578</xdr:rowOff>
    </xdr:to>
    <xdr:sp macro="" textlink="" fLocksText="0">
      <xdr:nvSpPr>
        <xdr:cNvPr id="38" name="Rectangle 37">
          <a:extLst>
            <a:ext uri="{FF2B5EF4-FFF2-40B4-BE49-F238E27FC236}">
              <a16:creationId xmlns:a16="http://schemas.microsoft.com/office/drawing/2014/main" id="{00000000-0008-0000-0400-000026000000}"/>
            </a:ext>
          </a:extLst>
        </xdr:cNvPr>
        <xdr:cNvSpPr/>
      </xdr:nvSpPr>
      <xdr:spPr>
        <a:xfrm>
          <a:off x="3371850" y="11858625"/>
          <a:ext cx="39052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28-2</a:t>
          </a:r>
        </a:p>
      </xdr:txBody>
    </xdr:sp>
    <xdr:clientData/>
  </xdr:twoCellAnchor>
  <xdr:twoCellAnchor>
    <xdr:from>
      <xdr:col>7</xdr:col>
      <xdr:colOff>179294</xdr:colOff>
      <xdr:row>63</xdr:row>
      <xdr:rowOff>11209</xdr:rowOff>
    </xdr:from>
    <xdr:to>
      <xdr:col>9</xdr:col>
      <xdr:colOff>35857</xdr:colOff>
      <xdr:row>64</xdr:row>
      <xdr:rowOff>2243</xdr:rowOff>
    </xdr:to>
    <xdr:sp macro="" textlink="" fLocksText="0">
      <xdr:nvSpPr>
        <xdr:cNvPr id="39" name="Rectangle 38">
          <a:extLst>
            <a:ext uri="{FF2B5EF4-FFF2-40B4-BE49-F238E27FC236}">
              <a16:creationId xmlns:a16="http://schemas.microsoft.com/office/drawing/2014/main" id="{00000000-0008-0000-0400-000027000000}"/>
            </a:ext>
          </a:extLst>
        </xdr:cNvPr>
        <xdr:cNvSpPr/>
      </xdr:nvSpPr>
      <xdr:spPr>
        <a:xfrm>
          <a:off x="2047875" y="12134850"/>
          <a:ext cx="390525"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28-3</a:t>
          </a:r>
        </a:p>
      </xdr:txBody>
    </xdr:sp>
    <xdr:clientData/>
  </xdr:twoCellAnchor>
  <xdr:twoCellAnchor>
    <xdr:from>
      <xdr:col>12</xdr:col>
      <xdr:colOff>134471</xdr:colOff>
      <xdr:row>63</xdr:row>
      <xdr:rowOff>145676</xdr:rowOff>
    </xdr:from>
    <xdr:to>
      <xdr:col>13</xdr:col>
      <xdr:colOff>226357</xdr:colOff>
      <xdr:row>64</xdr:row>
      <xdr:rowOff>136710</xdr:rowOff>
    </xdr:to>
    <xdr:sp macro="" textlink="" fLocksText="0">
      <xdr:nvSpPr>
        <xdr:cNvPr id="40" name="Rectangle 39">
          <a:extLst>
            <a:ext uri="{FF2B5EF4-FFF2-40B4-BE49-F238E27FC236}">
              <a16:creationId xmlns:a16="http://schemas.microsoft.com/office/drawing/2014/main" id="{00000000-0008-0000-0400-000028000000}"/>
            </a:ext>
          </a:extLst>
        </xdr:cNvPr>
        <xdr:cNvSpPr/>
      </xdr:nvSpPr>
      <xdr:spPr>
        <a:xfrm>
          <a:off x="3333750" y="12268200"/>
          <a:ext cx="361950" cy="1809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45720" rIns="0" bIns="45720" anchor="ctr"/>
        <a:lstStyle/>
        <a:p>
          <a:pPr algn="ctr"/>
          <a:r>
            <a:rPr lang="en-US" sz="1100" b="0" i="0" u="none" baseline="0">
              <a:solidFill>
                <a:srgbClr val="000000"/>
              </a:solidFill>
              <a:latin typeface="Meiryo UI"/>
              <a:ea typeface="Meiryo UI"/>
            </a:rPr>
            <a:t>28-4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45" t="s">
        <v>0</v>
      </c>
      <c r="B1" s="46"/>
      <c r="C1" s="46"/>
      <c r="D1" s="46"/>
      <c r="E1" s="46"/>
      <c r="F1" s="46"/>
      <c r="G1" s="46"/>
      <c r="H1" s="46"/>
      <c r="I1" s="46"/>
      <c r="J1" s="47"/>
      <c r="K1" s="45" t="s">
        <v>2</v>
      </c>
      <c r="L1" s="46"/>
      <c r="M1" s="46"/>
      <c r="N1" s="46"/>
      <c r="O1" s="46"/>
      <c r="P1" s="46"/>
      <c r="Q1" s="46"/>
      <c r="R1" s="46"/>
      <c r="S1" s="46"/>
      <c r="T1" s="46"/>
      <c r="U1" s="46"/>
      <c r="V1" s="47"/>
      <c r="W1" s="55" t="s">
        <v>38</v>
      </c>
      <c r="X1" s="56"/>
      <c r="Y1" s="56"/>
      <c r="Z1" s="56"/>
      <c r="AA1" s="56"/>
      <c r="AB1" s="56"/>
      <c r="AC1" s="56"/>
      <c r="AD1" s="56"/>
      <c r="AE1" s="56"/>
      <c r="AF1" s="56"/>
      <c r="AG1" s="56"/>
      <c r="AH1" s="56"/>
      <c r="AI1" s="56"/>
      <c r="AJ1" s="56"/>
      <c r="AK1" s="56"/>
      <c r="AL1" s="56"/>
      <c r="AM1" s="56"/>
      <c r="AN1" s="56"/>
      <c r="AO1" s="57"/>
      <c r="AP1" s="45" t="s">
        <v>3</v>
      </c>
      <c r="AQ1" s="46"/>
      <c r="AR1" s="46"/>
      <c r="AS1" s="47"/>
      <c r="AT1" s="45" t="s">
        <v>4</v>
      </c>
      <c r="AU1" s="46"/>
      <c r="AV1" s="46"/>
      <c r="AW1" s="46"/>
      <c r="AX1" s="47"/>
      <c r="AY1" s="45" t="s">
        <v>5</v>
      </c>
      <c r="AZ1" s="46"/>
      <c r="BA1" s="46"/>
      <c r="BB1" s="47"/>
      <c r="BC1" s="45" t="s">
        <v>6</v>
      </c>
      <c r="BD1" s="46"/>
      <c r="BE1" s="46"/>
      <c r="BF1" s="46"/>
      <c r="BG1" s="47"/>
      <c r="BH1" s="45" t="s">
        <v>7</v>
      </c>
      <c r="BI1" s="46"/>
      <c r="BJ1" s="46"/>
      <c r="BK1" s="47"/>
    </row>
    <row r="2" spans="1:63" ht="15" customHeight="1" x14ac:dyDescent="0.25">
      <c r="A2" s="54" t="s">
        <v>33</v>
      </c>
      <c r="B2" s="49"/>
      <c r="C2" s="49"/>
      <c r="D2" s="49"/>
      <c r="E2" s="49"/>
      <c r="F2" s="49"/>
      <c r="G2" s="49"/>
      <c r="H2" s="49"/>
      <c r="I2" s="49"/>
      <c r="J2" s="50"/>
      <c r="K2" s="48" t="s">
        <v>12</v>
      </c>
      <c r="L2" s="49"/>
      <c r="M2" s="49"/>
      <c r="N2" s="49"/>
      <c r="O2" s="49"/>
      <c r="P2" s="49"/>
      <c r="Q2" s="49"/>
      <c r="R2" s="49"/>
      <c r="S2" s="49"/>
      <c r="T2" s="49"/>
      <c r="U2" s="49"/>
      <c r="V2" s="50"/>
      <c r="W2" s="58"/>
      <c r="X2" s="59"/>
      <c r="Y2" s="59"/>
      <c r="Z2" s="59"/>
      <c r="AA2" s="59"/>
      <c r="AB2" s="59"/>
      <c r="AC2" s="59"/>
      <c r="AD2" s="59"/>
      <c r="AE2" s="59"/>
      <c r="AF2" s="59"/>
      <c r="AG2" s="59"/>
      <c r="AH2" s="59"/>
      <c r="AI2" s="59"/>
      <c r="AJ2" s="59"/>
      <c r="AK2" s="59"/>
      <c r="AL2" s="59"/>
      <c r="AM2" s="59"/>
      <c r="AN2" s="59"/>
      <c r="AO2" s="60"/>
      <c r="AP2" s="48" t="str">
        <f>改訂履歴!$H$11</f>
        <v>DuNT</v>
      </c>
      <c r="AQ2" s="49"/>
      <c r="AR2" s="49"/>
      <c r="AS2" s="50"/>
      <c r="AT2" s="76">
        <f>改訂履歴!$B$11</f>
        <v>45489</v>
      </c>
      <c r="AU2" s="77"/>
      <c r="AV2" s="77"/>
      <c r="AW2" s="77"/>
      <c r="AX2" s="78"/>
      <c r="AY2" s="48" t="str">
        <f>LOOKUP(2,1/(改訂履歴!H11:H30003&lt;&gt;""),改訂履歴!H11:H30003)</f>
        <v>TinNH</v>
      </c>
      <c r="AZ2" s="49"/>
      <c r="BA2" s="49"/>
      <c r="BB2" s="50"/>
      <c r="BC2" s="76">
        <f>LOOKUP(2,1/(改訂履歴!B11:B30003&lt;&gt;""),改訂履歴!B11:B30003)</f>
        <v>45595</v>
      </c>
      <c r="BD2" s="77"/>
      <c r="BE2" s="77"/>
      <c r="BF2" s="77"/>
      <c r="BG2" s="78"/>
      <c r="BH2" s="70">
        <f>LOOKUP(2,1/(改訂履歴!O11:O30003&lt;&gt;""),改訂履歴!O11:O30003)</f>
        <v>0.7</v>
      </c>
      <c r="BI2" s="71"/>
      <c r="BJ2" s="71"/>
      <c r="BK2" s="72"/>
    </row>
    <row r="3" spans="1:63" ht="15" customHeight="1" x14ac:dyDescent="0.25">
      <c r="A3" s="51"/>
      <c r="B3" s="52"/>
      <c r="C3" s="52"/>
      <c r="D3" s="52"/>
      <c r="E3" s="52"/>
      <c r="F3" s="52"/>
      <c r="G3" s="52"/>
      <c r="H3" s="52"/>
      <c r="I3" s="52"/>
      <c r="J3" s="53"/>
      <c r="K3" s="51"/>
      <c r="L3" s="52"/>
      <c r="M3" s="52"/>
      <c r="N3" s="52"/>
      <c r="O3" s="52"/>
      <c r="P3" s="52"/>
      <c r="Q3" s="52"/>
      <c r="R3" s="52"/>
      <c r="S3" s="52"/>
      <c r="T3" s="52"/>
      <c r="U3" s="52"/>
      <c r="V3" s="53"/>
      <c r="W3" s="61"/>
      <c r="X3" s="62"/>
      <c r="Y3" s="62"/>
      <c r="Z3" s="62"/>
      <c r="AA3" s="62"/>
      <c r="AB3" s="62"/>
      <c r="AC3" s="62"/>
      <c r="AD3" s="62"/>
      <c r="AE3" s="62"/>
      <c r="AF3" s="62"/>
      <c r="AG3" s="62"/>
      <c r="AH3" s="62"/>
      <c r="AI3" s="62"/>
      <c r="AJ3" s="62"/>
      <c r="AK3" s="62"/>
      <c r="AL3" s="62"/>
      <c r="AM3" s="62"/>
      <c r="AN3" s="62"/>
      <c r="AO3" s="63"/>
      <c r="AP3" s="51"/>
      <c r="AQ3" s="52"/>
      <c r="AR3" s="52"/>
      <c r="AS3" s="53"/>
      <c r="AT3" s="79"/>
      <c r="AU3" s="80"/>
      <c r="AV3" s="80"/>
      <c r="AW3" s="80"/>
      <c r="AX3" s="81"/>
      <c r="AY3" s="51"/>
      <c r="AZ3" s="52"/>
      <c r="BA3" s="52"/>
      <c r="BB3" s="53"/>
      <c r="BC3" s="79"/>
      <c r="BD3" s="80"/>
      <c r="BE3" s="80"/>
      <c r="BF3" s="80"/>
      <c r="BG3" s="81"/>
      <c r="BH3" s="73"/>
      <c r="BI3" s="74"/>
      <c r="BJ3" s="74"/>
      <c r="BK3" s="75"/>
    </row>
    <row r="4" spans="1:63" ht="24.95" customHeight="1" x14ac:dyDescent="0.25">
      <c r="A4" s="45" t="s">
        <v>1</v>
      </c>
      <c r="B4" s="46"/>
      <c r="C4" s="46"/>
      <c r="D4" s="46"/>
      <c r="E4" s="46"/>
      <c r="F4" s="46"/>
      <c r="G4" s="47"/>
      <c r="H4" s="66" t="s">
        <v>109</v>
      </c>
      <c r="I4" s="67"/>
      <c r="J4" s="67"/>
      <c r="K4" s="67"/>
      <c r="L4" s="67"/>
      <c r="M4" s="67"/>
      <c r="N4" s="67"/>
      <c r="O4" s="67"/>
      <c r="P4" s="67"/>
      <c r="Q4" s="67"/>
      <c r="R4" s="67"/>
      <c r="S4" s="67"/>
      <c r="T4" s="68"/>
      <c r="U4" s="45" t="s">
        <v>8</v>
      </c>
      <c r="V4" s="46"/>
      <c r="W4" s="46"/>
      <c r="X4" s="46"/>
      <c r="Y4" s="47"/>
      <c r="Z4" s="69" t="s">
        <v>35</v>
      </c>
      <c r="AA4" s="67"/>
      <c r="AB4" s="67"/>
      <c r="AC4" s="67"/>
      <c r="AD4" s="67"/>
      <c r="AE4" s="67"/>
      <c r="AF4" s="67"/>
      <c r="AG4" s="67"/>
      <c r="AH4" s="67"/>
      <c r="AI4" s="67"/>
      <c r="AJ4" s="67"/>
      <c r="AK4" s="67"/>
      <c r="AL4" s="67"/>
      <c r="AM4" s="67"/>
      <c r="AN4" s="67"/>
      <c r="AO4" s="68"/>
      <c r="AP4" s="66" t="str">
        <f t="array" aca="1" ref="AP4" ca="1">RIGHT(CELL("filename",$A$1),LEN(CELL("filename",$A$1))-FIND("]",CELL("filename",$A$1)))</f>
        <v>表紙</v>
      </c>
      <c r="AQ4" s="67"/>
      <c r="AR4" s="67"/>
      <c r="AS4" s="67"/>
      <c r="AT4" s="67"/>
      <c r="AU4" s="67"/>
      <c r="AV4" s="67"/>
      <c r="AW4" s="67"/>
      <c r="AX4" s="67"/>
      <c r="AY4" s="67"/>
      <c r="AZ4" s="67"/>
      <c r="BA4" s="67"/>
      <c r="BB4" s="67"/>
      <c r="BC4" s="67"/>
      <c r="BD4" s="67"/>
      <c r="BE4" s="67"/>
      <c r="BF4" s="67"/>
      <c r="BG4" s="67"/>
      <c r="BH4" s="67"/>
      <c r="BI4" s="67"/>
      <c r="BJ4" s="67"/>
      <c r="BK4" s="68"/>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64" t="s">
        <v>34</v>
      </c>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12"/>
      <c r="BK16" s="4"/>
    </row>
    <row r="17" spans="1:63" ht="15" customHeight="1" x14ac:dyDescent="0.25">
      <c r="A17" s="1"/>
      <c r="K17" s="6"/>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12"/>
      <c r="BK17" s="4"/>
    </row>
    <row r="18" spans="1:63" ht="15" customHeight="1" x14ac:dyDescent="0.25">
      <c r="A18" s="1"/>
      <c r="K18" s="6"/>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12"/>
      <c r="BK18" s="4"/>
    </row>
    <row r="19" spans="1:63" ht="15" customHeight="1" x14ac:dyDescent="0.25">
      <c r="A19" s="1"/>
      <c r="K19" s="6"/>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12"/>
      <c r="BK19" s="4"/>
    </row>
    <row r="20" spans="1:63" ht="15" customHeight="1" x14ac:dyDescent="0.25">
      <c r="A20" s="1"/>
      <c r="K20" s="6"/>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12"/>
      <c r="BK20" s="4"/>
    </row>
    <row r="21" spans="1:63" ht="15" customHeight="1" x14ac:dyDescent="0.25">
      <c r="A21" s="1"/>
      <c r="K21" s="6"/>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65" t="str">
        <f>K2&amp;"/"&amp;H4&amp;"/"&amp;Z4</f>
        <v>POSサーバ/71_レジマスタ設定/画面設計書</v>
      </c>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12"/>
      <c r="BK24" s="4"/>
    </row>
    <row r="25" spans="1:63" ht="15" customHeight="1" x14ac:dyDescent="0.25">
      <c r="A25" s="1"/>
      <c r="K25" s="6"/>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12"/>
      <c r="BK25" s="4"/>
    </row>
    <row r="26" spans="1:63" ht="15" customHeight="1" x14ac:dyDescent="0.25">
      <c r="A26" s="1"/>
      <c r="K26" s="6"/>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12"/>
      <c r="BK26" s="4"/>
    </row>
    <row r="27" spans="1:63" ht="15" customHeight="1" x14ac:dyDescent="0.25">
      <c r="A27" s="1"/>
      <c r="K27" s="6"/>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12"/>
      <c r="BK27" s="4"/>
    </row>
    <row r="28" spans="1:63" ht="15" customHeight="1" x14ac:dyDescent="0.25">
      <c r="A28" s="1"/>
      <c r="K28" s="6"/>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12"/>
      <c r="BK28" s="4"/>
    </row>
    <row r="29" spans="1:63" ht="15" customHeight="1" x14ac:dyDescent="0.25">
      <c r="A29" s="1"/>
      <c r="K29" s="6"/>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12"/>
      <c r="BK29" s="4"/>
    </row>
    <row r="30" spans="1:63" ht="15" customHeight="1" x14ac:dyDescent="0.25">
      <c r="A30" s="1"/>
      <c r="K30" s="6"/>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12"/>
      <c r="BK30" s="4"/>
    </row>
    <row r="31" spans="1:63" ht="15" customHeight="1" x14ac:dyDescent="0.25">
      <c r="A31" s="1"/>
      <c r="K31" s="6"/>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12"/>
      <c r="BK31" s="4"/>
    </row>
    <row r="32" spans="1:63" ht="15" customHeight="1" x14ac:dyDescent="0.25">
      <c r="A32" s="1"/>
      <c r="K32" s="6"/>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12"/>
      <c r="BK32" s="4"/>
    </row>
    <row r="33" spans="1:63" ht="15" customHeight="1" x14ac:dyDescent="0.25">
      <c r="A33" s="1"/>
      <c r="K33" s="6"/>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12"/>
      <c r="BK33" s="4"/>
    </row>
    <row r="34" spans="1:63" ht="15" customHeight="1" x14ac:dyDescent="0.25">
      <c r="A34" s="1"/>
      <c r="K34" s="6"/>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12"/>
      <c r="BK34" s="4"/>
    </row>
    <row r="35" spans="1:63" ht="15" customHeight="1" x14ac:dyDescent="0.25">
      <c r="A35" s="1"/>
      <c r="K35" s="6"/>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12"/>
      <c r="BK35" s="4"/>
    </row>
    <row r="36" spans="1:63" ht="15" customHeight="1" x14ac:dyDescent="0.25">
      <c r="A36" s="1"/>
      <c r="K36" s="6"/>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85" t="s">
        <v>10</v>
      </c>
      <c r="R44" s="86"/>
      <c r="S44" s="86"/>
      <c r="T44" s="86"/>
      <c r="U44" s="86"/>
      <c r="V44" s="86"/>
      <c r="W44" s="86"/>
      <c r="X44" s="86"/>
      <c r="Y44" s="86"/>
      <c r="Z44" s="87"/>
      <c r="AA44" s="85" t="s">
        <v>11</v>
      </c>
      <c r="AB44" s="86"/>
      <c r="AC44" s="86"/>
      <c r="AD44" s="86"/>
      <c r="AE44" s="86"/>
      <c r="AF44" s="86"/>
      <c r="AG44" s="86"/>
      <c r="AH44" s="86"/>
      <c r="AI44" s="86"/>
      <c r="AJ44" s="86"/>
      <c r="AK44" s="86"/>
      <c r="AL44" s="86"/>
      <c r="AM44" s="86"/>
      <c r="AN44" s="86"/>
      <c r="AO44" s="86"/>
      <c r="AP44" s="87"/>
      <c r="AQ44" s="85" t="s">
        <v>7</v>
      </c>
      <c r="AR44" s="86"/>
      <c r="AS44" s="86"/>
      <c r="AT44" s="86"/>
      <c r="AU44" s="87"/>
      <c r="BK44" s="4"/>
    </row>
    <row r="45" spans="1:63" ht="15" customHeight="1" x14ac:dyDescent="0.25">
      <c r="A45" s="1"/>
      <c r="Q45" s="88"/>
      <c r="R45" s="89"/>
      <c r="S45" s="89"/>
      <c r="T45" s="89"/>
      <c r="U45" s="89"/>
      <c r="V45" s="89"/>
      <c r="W45" s="89"/>
      <c r="X45" s="89"/>
      <c r="Y45" s="89"/>
      <c r="Z45" s="90"/>
      <c r="AA45" s="88"/>
      <c r="AB45" s="89"/>
      <c r="AC45" s="89"/>
      <c r="AD45" s="89"/>
      <c r="AE45" s="89"/>
      <c r="AF45" s="89"/>
      <c r="AG45" s="89"/>
      <c r="AH45" s="89"/>
      <c r="AI45" s="89"/>
      <c r="AJ45" s="89"/>
      <c r="AK45" s="89"/>
      <c r="AL45" s="89"/>
      <c r="AM45" s="89"/>
      <c r="AN45" s="89"/>
      <c r="AO45" s="89"/>
      <c r="AP45" s="90"/>
      <c r="AQ45" s="88"/>
      <c r="AR45" s="89"/>
      <c r="AS45" s="89"/>
      <c r="AT45" s="89"/>
      <c r="AU45" s="90"/>
      <c r="BK45" s="4"/>
    </row>
    <row r="46" spans="1:63" ht="15" customHeight="1" x14ac:dyDescent="0.25">
      <c r="A46" s="1"/>
      <c r="Q46" s="48"/>
      <c r="R46" s="49"/>
      <c r="S46" s="49"/>
      <c r="T46" s="49"/>
      <c r="U46" s="49"/>
      <c r="V46" s="49"/>
      <c r="W46" s="49"/>
      <c r="X46" s="49"/>
      <c r="Y46" s="49"/>
      <c r="Z46" s="50"/>
      <c r="AA46" s="48"/>
      <c r="AB46" s="49"/>
      <c r="AC46" s="49"/>
      <c r="AD46" s="49"/>
      <c r="AE46" s="49"/>
      <c r="AF46" s="49"/>
      <c r="AG46" s="49"/>
      <c r="AH46" s="49"/>
      <c r="AI46" s="49"/>
      <c r="AJ46" s="49"/>
      <c r="AK46" s="49"/>
      <c r="AL46" s="49"/>
      <c r="AM46" s="49"/>
      <c r="AN46" s="49"/>
      <c r="AO46" s="49"/>
      <c r="AP46" s="50"/>
      <c r="AQ46" s="48"/>
      <c r="AR46" s="49"/>
      <c r="AS46" s="49"/>
      <c r="AT46" s="49"/>
      <c r="AU46" s="50"/>
      <c r="BK46" s="4"/>
    </row>
    <row r="47" spans="1:63" ht="15" customHeight="1" x14ac:dyDescent="0.25">
      <c r="A47" s="1"/>
      <c r="Q47" s="82"/>
      <c r="R47" s="83"/>
      <c r="S47" s="83"/>
      <c r="T47" s="83"/>
      <c r="U47" s="83"/>
      <c r="V47" s="83"/>
      <c r="W47" s="83"/>
      <c r="X47" s="83"/>
      <c r="Y47" s="83"/>
      <c r="Z47" s="84"/>
      <c r="AA47" s="82"/>
      <c r="AB47" s="83"/>
      <c r="AC47" s="83"/>
      <c r="AD47" s="83"/>
      <c r="AE47" s="83"/>
      <c r="AF47" s="83"/>
      <c r="AG47" s="83"/>
      <c r="AH47" s="83"/>
      <c r="AI47" s="83"/>
      <c r="AJ47" s="83"/>
      <c r="AK47" s="83"/>
      <c r="AL47" s="83"/>
      <c r="AM47" s="83"/>
      <c r="AN47" s="83"/>
      <c r="AO47" s="83"/>
      <c r="AP47" s="84"/>
      <c r="AQ47" s="82"/>
      <c r="AR47" s="83"/>
      <c r="AS47" s="83"/>
      <c r="AT47" s="83"/>
      <c r="AU47" s="84"/>
      <c r="BK47" s="4"/>
    </row>
    <row r="48" spans="1:63" ht="15" customHeight="1" x14ac:dyDescent="0.25">
      <c r="A48" s="1"/>
      <c r="Q48" s="82"/>
      <c r="R48" s="83"/>
      <c r="S48" s="83"/>
      <c r="T48" s="83"/>
      <c r="U48" s="83"/>
      <c r="V48" s="83"/>
      <c r="W48" s="83"/>
      <c r="X48" s="83"/>
      <c r="Y48" s="83"/>
      <c r="Z48" s="84"/>
      <c r="AA48" s="82"/>
      <c r="AB48" s="83"/>
      <c r="AC48" s="83"/>
      <c r="AD48" s="83"/>
      <c r="AE48" s="83"/>
      <c r="AF48" s="83"/>
      <c r="AG48" s="83"/>
      <c r="AH48" s="83"/>
      <c r="AI48" s="83"/>
      <c r="AJ48" s="83"/>
      <c r="AK48" s="83"/>
      <c r="AL48" s="83"/>
      <c r="AM48" s="83"/>
      <c r="AN48" s="83"/>
      <c r="AO48" s="83"/>
      <c r="AP48" s="84"/>
      <c r="AQ48" s="82"/>
      <c r="AR48" s="83"/>
      <c r="AS48" s="83"/>
      <c r="AT48" s="83"/>
      <c r="AU48" s="84"/>
      <c r="BK48" s="4"/>
    </row>
    <row r="49" spans="1:63" ht="15" customHeight="1" x14ac:dyDescent="0.25">
      <c r="A49" s="1"/>
      <c r="Q49" s="51"/>
      <c r="R49" s="52"/>
      <c r="S49" s="52"/>
      <c r="T49" s="52"/>
      <c r="U49" s="52"/>
      <c r="V49" s="52"/>
      <c r="W49" s="52"/>
      <c r="X49" s="52"/>
      <c r="Y49" s="52"/>
      <c r="Z49" s="53"/>
      <c r="AA49" s="51"/>
      <c r="AB49" s="52"/>
      <c r="AC49" s="52"/>
      <c r="AD49" s="52"/>
      <c r="AE49" s="52"/>
      <c r="AF49" s="52"/>
      <c r="AG49" s="52"/>
      <c r="AH49" s="52"/>
      <c r="AI49" s="52"/>
      <c r="AJ49" s="52"/>
      <c r="AK49" s="52"/>
      <c r="AL49" s="52"/>
      <c r="AM49" s="52"/>
      <c r="AN49" s="52"/>
      <c r="AO49" s="52"/>
      <c r="AP49" s="53"/>
      <c r="AQ49" s="51"/>
      <c r="AR49" s="52"/>
      <c r="AS49" s="52"/>
      <c r="AT49" s="52"/>
      <c r="AU49" s="53"/>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8"/>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9" customWidth="1"/>
    <col min="61" max="16384" width="2.77734375" style="29"/>
  </cols>
  <sheetData>
    <row r="1" spans="1:63" ht="24.95" customHeight="1" x14ac:dyDescent="0.25">
      <c r="A1" s="91" t="s">
        <v>239</v>
      </c>
      <c r="B1" s="92"/>
      <c r="C1" s="92"/>
      <c r="D1" s="92"/>
      <c r="E1" s="92"/>
      <c r="F1" s="92"/>
      <c r="G1" s="92"/>
      <c r="H1" s="92"/>
      <c r="I1" s="92"/>
      <c r="J1" s="93"/>
      <c r="K1" s="91" t="s">
        <v>240</v>
      </c>
      <c r="L1" s="92"/>
      <c r="M1" s="92"/>
      <c r="N1" s="92"/>
      <c r="O1" s="92"/>
      <c r="P1" s="92"/>
      <c r="Q1" s="92"/>
      <c r="R1" s="92"/>
      <c r="S1" s="92"/>
      <c r="T1" s="92"/>
      <c r="U1" s="92"/>
      <c r="V1" s="93"/>
      <c r="W1" s="94" t="str">
        <f>IF(表紙!W1="","",表紙!W1)</f>
        <v>詳細設計書</v>
      </c>
      <c r="X1" s="95"/>
      <c r="Y1" s="95"/>
      <c r="Z1" s="95"/>
      <c r="AA1" s="95"/>
      <c r="AB1" s="95"/>
      <c r="AC1" s="95"/>
      <c r="AD1" s="95"/>
      <c r="AE1" s="95"/>
      <c r="AF1" s="95"/>
      <c r="AG1" s="95"/>
      <c r="AH1" s="95"/>
      <c r="AI1" s="95"/>
      <c r="AJ1" s="95"/>
      <c r="AK1" s="95"/>
      <c r="AL1" s="95"/>
      <c r="AM1" s="95"/>
      <c r="AN1" s="95"/>
      <c r="AO1" s="96"/>
      <c r="AP1" s="91" t="s">
        <v>241</v>
      </c>
      <c r="AQ1" s="92"/>
      <c r="AR1" s="92"/>
      <c r="AS1" s="93"/>
      <c r="AT1" s="91" t="s">
        <v>242</v>
      </c>
      <c r="AU1" s="92"/>
      <c r="AV1" s="92"/>
      <c r="AW1" s="92"/>
      <c r="AX1" s="93"/>
      <c r="AY1" s="91" t="s">
        <v>243</v>
      </c>
      <c r="AZ1" s="92"/>
      <c r="BA1" s="92"/>
      <c r="BB1" s="93"/>
      <c r="BC1" s="91" t="s">
        <v>244</v>
      </c>
      <c r="BD1" s="92"/>
      <c r="BE1" s="92"/>
      <c r="BF1" s="92"/>
      <c r="BG1" s="93"/>
      <c r="BH1" s="91" t="s">
        <v>245</v>
      </c>
      <c r="BI1" s="92"/>
      <c r="BJ1" s="92"/>
      <c r="BK1" s="93"/>
    </row>
    <row r="2" spans="1:63" ht="15" customHeight="1" x14ac:dyDescent="0.25">
      <c r="A2" s="106" t="str">
        <f>IF(表紙!A2="","",表紙!A2)</f>
        <v>POSサーバー</v>
      </c>
      <c r="B2" s="107"/>
      <c r="C2" s="107"/>
      <c r="D2" s="107"/>
      <c r="E2" s="107"/>
      <c r="F2" s="107"/>
      <c r="G2" s="107"/>
      <c r="H2" s="107"/>
      <c r="I2" s="107"/>
      <c r="J2" s="108"/>
      <c r="K2" s="106" t="str">
        <f>IF(表紙!K2="","",表紙!K2)</f>
        <v>POSサーバ</v>
      </c>
      <c r="L2" s="107"/>
      <c r="M2" s="107"/>
      <c r="N2" s="107"/>
      <c r="O2" s="107"/>
      <c r="P2" s="107"/>
      <c r="Q2" s="107"/>
      <c r="R2" s="107"/>
      <c r="S2" s="107"/>
      <c r="T2" s="107"/>
      <c r="U2" s="107"/>
      <c r="V2" s="108"/>
      <c r="W2" s="97"/>
      <c r="X2" s="98"/>
      <c r="Y2" s="98"/>
      <c r="Z2" s="98"/>
      <c r="AA2" s="98"/>
      <c r="AB2" s="98"/>
      <c r="AC2" s="98"/>
      <c r="AD2" s="98"/>
      <c r="AE2" s="98"/>
      <c r="AF2" s="98"/>
      <c r="AG2" s="98"/>
      <c r="AH2" s="98"/>
      <c r="AI2" s="98"/>
      <c r="AJ2" s="98"/>
      <c r="AK2" s="98"/>
      <c r="AL2" s="98"/>
      <c r="AM2" s="98"/>
      <c r="AN2" s="98"/>
      <c r="AO2" s="99"/>
      <c r="AP2" s="106" t="str">
        <f>IF(表紙!AP2="","",表紙!AP2)</f>
        <v>DuNT</v>
      </c>
      <c r="AQ2" s="107"/>
      <c r="AR2" s="107"/>
      <c r="AS2" s="108"/>
      <c r="AT2" s="112">
        <f>IF(表紙!AT2="","",表紙!AT2)</f>
        <v>45489</v>
      </c>
      <c r="AU2" s="113"/>
      <c r="AV2" s="113"/>
      <c r="AW2" s="113"/>
      <c r="AX2" s="114"/>
      <c r="AY2" s="106" t="str">
        <f>IF(表紙!AY2="","",表紙!AY2)</f>
        <v>TinNH</v>
      </c>
      <c r="AZ2" s="107"/>
      <c r="BA2" s="107"/>
      <c r="BB2" s="108"/>
      <c r="BC2" s="112">
        <f>IF(表紙!BC2="","",表紙!BC2)</f>
        <v>45595</v>
      </c>
      <c r="BD2" s="113"/>
      <c r="BE2" s="113"/>
      <c r="BF2" s="113"/>
      <c r="BG2" s="114"/>
      <c r="BH2" s="106">
        <f>IF(表紙!BH2="","",表紙!BH2)</f>
        <v>0.7</v>
      </c>
      <c r="BI2" s="107"/>
      <c r="BJ2" s="107"/>
      <c r="BK2" s="108"/>
    </row>
    <row r="3" spans="1:63" ht="15" customHeight="1" x14ac:dyDescent="0.25">
      <c r="A3" s="109"/>
      <c r="B3" s="110"/>
      <c r="C3" s="110"/>
      <c r="D3" s="110"/>
      <c r="E3" s="110"/>
      <c r="F3" s="110"/>
      <c r="G3" s="110"/>
      <c r="H3" s="110"/>
      <c r="I3" s="110"/>
      <c r="J3" s="111"/>
      <c r="K3" s="109"/>
      <c r="L3" s="110"/>
      <c r="M3" s="110"/>
      <c r="N3" s="110"/>
      <c r="O3" s="110"/>
      <c r="P3" s="110"/>
      <c r="Q3" s="110"/>
      <c r="R3" s="110"/>
      <c r="S3" s="110"/>
      <c r="T3" s="110"/>
      <c r="U3" s="110"/>
      <c r="V3" s="111"/>
      <c r="W3" s="100"/>
      <c r="X3" s="101"/>
      <c r="Y3" s="101"/>
      <c r="Z3" s="101"/>
      <c r="AA3" s="101"/>
      <c r="AB3" s="101"/>
      <c r="AC3" s="101"/>
      <c r="AD3" s="101"/>
      <c r="AE3" s="101"/>
      <c r="AF3" s="101"/>
      <c r="AG3" s="101"/>
      <c r="AH3" s="101"/>
      <c r="AI3" s="101"/>
      <c r="AJ3" s="101"/>
      <c r="AK3" s="101"/>
      <c r="AL3" s="101"/>
      <c r="AM3" s="101"/>
      <c r="AN3" s="101"/>
      <c r="AO3" s="102"/>
      <c r="AP3" s="109"/>
      <c r="AQ3" s="110"/>
      <c r="AR3" s="110"/>
      <c r="AS3" s="111"/>
      <c r="AT3" s="115"/>
      <c r="AU3" s="116"/>
      <c r="AV3" s="116"/>
      <c r="AW3" s="116"/>
      <c r="AX3" s="117"/>
      <c r="AY3" s="109"/>
      <c r="AZ3" s="110"/>
      <c r="BA3" s="110"/>
      <c r="BB3" s="111"/>
      <c r="BC3" s="115"/>
      <c r="BD3" s="116"/>
      <c r="BE3" s="116"/>
      <c r="BF3" s="116"/>
      <c r="BG3" s="117"/>
      <c r="BH3" s="109"/>
      <c r="BI3" s="110"/>
      <c r="BJ3" s="110"/>
      <c r="BK3" s="111"/>
    </row>
    <row r="4" spans="1:63" ht="24.95" customHeight="1" x14ac:dyDescent="0.25">
      <c r="A4" s="91" t="s">
        <v>246</v>
      </c>
      <c r="B4" s="92"/>
      <c r="C4" s="92"/>
      <c r="D4" s="92"/>
      <c r="E4" s="92"/>
      <c r="F4" s="92"/>
      <c r="G4" s="93"/>
      <c r="H4" s="103" t="str">
        <f>IF(表紙!H4="","",表紙!H4)</f>
        <v>71_レジマスタ設定</v>
      </c>
      <c r="I4" s="104"/>
      <c r="J4" s="104"/>
      <c r="K4" s="104"/>
      <c r="L4" s="104"/>
      <c r="M4" s="104"/>
      <c r="N4" s="104"/>
      <c r="O4" s="104"/>
      <c r="P4" s="104"/>
      <c r="Q4" s="104"/>
      <c r="R4" s="104"/>
      <c r="S4" s="104"/>
      <c r="T4" s="105"/>
      <c r="U4" s="91" t="s">
        <v>247</v>
      </c>
      <c r="V4" s="92"/>
      <c r="W4" s="92"/>
      <c r="X4" s="92"/>
      <c r="Y4" s="93"/>
      <c r="Z4" s="103" t="str">
        <f>IF(表紙!Z4="","",表紙!Z4)</f>
        <v>画面設計書</v>
      </c>
      <c r="AA4" s="104"/>
      <c r="AB4" s="104"/>
      <c r="AC4" s="104"/>
      <c r="AD4" s="104"/>
      <c r="AE4" s="104"/>
      <c r="AF4" s="104"/>
      <c r="AG4" s="104"/>
      <c r="AH4" s="104"/>
      <c r="AI4" s="104"/>
      <c r="AJ4" s="104"/>
      <c r="AK4" s="104"/>
      <c r="AL4" s="104"/>
      <c r="AM4" s="104"/>
      <c r="AN4" s="104"/>
      <c r="AO4" s="105"/>
      <c r="AP4" s="103" t="str">
        <f t="array" aca="1" ref="AP4" ca="1">RIGHT(CELL("filename",$A$1),LEN(CELL("filename",$A$1))-FIND("]",CELL("filename",$A$1)))</f>
        <v>改訂履歴</v>
      </c>
      <c r="AQ4" s="104"/>
      <c r="AR4" s="104"/>
      <c r="AS4" s="104"/>
      <c r="AT4" s="104"/>
      <c r="AU4" s="104"/>
      <c r="AV4" s="104"/>
      <c r="AW4" s="104"/>
      <c r="AX4" s="104"/>
      <c r="AY4" s="104"/>
      <c r="AZ4" s="104"/>
      <c r="BA4" s="104"/>
      <c r="BB4" s="104"/>
      <c r="BC4" s="104"/>
      <c r="BD4" s="104"/>
      <c r="BE4" s="104"/>
      <c r="BF4" s="104"/>
      <c r="BG4" s="104"/>
      <c r="BH4" s="104"/>
      <c r="BI4" s="104"/>
      <c r="BJ4" s="104"/>
      <c r="BK4" s="105"/>
    </row>
    <row r="5" spans="1:63" ht="5.0999999999999996" customHeight="1" x14ac:dyDescent="0.25">
      <c r="A5" s="30"/>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2"/>
    </row>
    <row r="6" spans="1:63" ht="15" customHeight="1" x14ac:dyDescent="0.25">
      <c r="A6" s="33"/>
      <c r="BK6" s="34"/>
    </row>
    <row r="7" spans="1:63" ht="15" customHeight="1" x14ac:dyDescent="0.25">
      <c r="A7" s="33"/>
      <c r="BK7" s="34"/>
    </row>
    <row r="8" spans="1:63" ht="15" customHeight="1" x14ac:dyDescent="0.25">
      <c r="A8" s="33"/>
      <c r="B8" s="29" t="s">
        <v>9</v>
      </c>
      <c r="BK8" s="34"/>
    </row>
    <row r="9" spans="1:63" ht="15" customHeight="1" x14ac:dyDescent="0.25">
      <c r="A9" s="33"/>
      <c r="BK9" s="34"/>
    </row>
    <row r="10" spans="1:63" ht="15" customHeight="1" x14ac:dyDescent="0.25">
      <c r="A10" s="33"/>
      <c r="B10" s="130" t="s">
        <v>244</v>
      </c>
      <c r="C10" s="130"/>
      <c r="D10" s="130"/>
      <c r="E10" s="130"/>
      <c r="F10" s="130"/>
      <c r="G10" s="130"/>
      <c r="H10" s="130" t="s">
        <v>243</v>
      </c>
      <c r="I10" s="130"/>
      <c r="J10" s="130"/>
      <c r="K10" s="130"/>
      <c r="L10" s="130"/>
      <c r="M10" s="130"/>
      <c r="N10" s="130"/>
      <c r="O10" s="130" t="s">
        <v>245</v>
      </c>
      <c r="P10" s="130"/>
      <c r="Q10" s="130"/>
      <c r="R10" s="130"/>
      <c r="S10" s="130" t="s">
        <v>248</v>
      </c>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t="s">
        <v>249</v>
      </c>
      <c r="AY10" s="130"/>
      <c r="AZ10" s="130"/>
      <c r="BA10" s="130"/>
      <c r="BB10" s="130"/>
      <c r="BC10" s="130"/>
      <c r="BD10" s="130" t="s">
        <v>250</v>
      </c>
      <c r="BE10" s="130"/>
      <c r="BF10" s="130"/>
      <c r="BG10" s="130"/>
      <c r="BH10" s="130"/>
      <c r="BI10" s="130"/>
      <c r="BJ10" s="130"/>
      <c r="BK10" s="34"/>
    </row>
    <row r="11" spans="1:63" ht="15" customHeight="1" x14ac:dyDescent="0.25">
      <c r="A11" s="33"/>
      <c r="B11" s="112">
        <v>45489</v>
      </c>
      <c r="C11" s="107"/>
      <c r="D11" s="107"/>
      <c r="E11" s="107"/>
      <c r="F11" s="107"/>
      <c r="G11" s="108"/>
      <c r="H11" s="54" t="s">
        <v>251</v>
      </c>
      <c r="I11" s="107"/>
      <c r="J11" s="107"/>
      <c r="K11" s="107"/>
      <c r="L11" s="107"/>
      <c r="M11" s="107"/>
      <c r="N11" s="108"/>
      <c r="O11" s="106">
        <v>0.1</v>
      </c>
      <c r="P11" s="107"/>
      <c r="Q11" s="107"/>
      <c r="R11" s="107"/>
      <c r="S11" s="118" t="s">
        <v>13</v>
      </c>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20"/>
      <c r="AX11" s="121"/>
      <c r="AY11" s="121"/>
      <c r="AZ11" s="121"/>
      <c r="BA11" s="121"/>
      <c r="BB11" s="121"/>
      <c r="BC11" s="122"/>
      <c r="BD11" s="125"/>
      <c r="BE11" s="121"/>
      <c r="BF11" s="121"/>
      <c r="BG11" s="121"/>
      <c r="BH11" s="121"/>
      <c r="BI11" s="121"/>
      <c r="BJ11" s="122"/>
      <c r="BK11" s="34"/>
    </row>
    <row r="12" spans="1:63" ht="15" customHeight="1" x14ac:dyDescent="0.25">
      <c r="A12" s="33"/>
      <c r="B12" s="109"/>
      <c r="C12" s="110"/>
      <c r="D12" s="110"/>
      <c r="E12" s="110"/>
      <c r="F12" s="110"/>
      <c r="G12" s="111"/>
      <c r="H12" s="109"/>
      <c r="I12" s="110"/>
      <c r="J12" s="110"/>
      <c r="K12" s="110"/>
      <c r="L12" s="110"/>
      <c r="M12" s="110"/>
      <c r="N12" s="111"/>
      <c r="O12" s="109"/>
      <c r="P12" s="110"/>
      <c r="Q12" s="110"/>
      <c r="R12" s="110"/>
      <c r="S12" s="127"/>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9"/>
      <c r="AX12" s="123"/>
      <c r="AY12" s="123"/>
      <c r="AZ12" s="123"/>
      <c r="BA12" s="123"/>
      <c r="BB12" s="123"/>
      <c r="BC12" s="124"/>
      <c r="BD12" s="126"/>
      <c r="BE12" s="123"/>
      <c r="BF12" s="123"/>
      <c r="BG12" s="123"/>
      <c r="BH12" s="123"/>
      <c r="BI12" s="123"/>
      <c r="BJ12" s="124"/>
      <c r="BK12" s="34"/>
    </row>
    <row r="13" spans="1:63" ht="15" customHeight="1" x14ac:dyDescent="0.25">
      <c r="A13" s="33"/>
      <c r="B13" s="112">
        <v>45512</v>
      </c>
      <c r="C13" s="107"/>
      <c r="D13" s="107"/>
      <c r="E13" s="107"/>
      <c r="F13" s="107"/>
      <c r="G13" s="108"/>
      <c r="H13" s="106" t="s">
        <v>234</v>
      </c>
      <c r="I13" s="107"/>
      <c r="J13" s="107"/>
      <c r="K13" s="107"/>
      <c r="L13" s="107"/>
      <c r="M13" s="107"/>
      <c r="N13" s="108"/>
      <c r="O13" s="106">
        <v>0.2</v>
      </c>
      <c r="P13" s="107"/>
      <c r="Q13" s="107"/>
      <c r="R13" s="107"/>
      <c r="S13" s="118" t="s">
        <v>252</v>
      </c>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20"/>
      <c r="AX13" s="121"/>
      <c r="AY13" s="121"/>
      <c r="AZ13" s="121"/>
      <c r="BA13" s="121"/>
      <c r="BB13" s="121"/>
      <c r="BC13" s="122"/>
      <c r="BD13" s="125"/>
      <c r="BE13" s="121"/>
      <c r="BF13" s="121"/>
      <c r="BG13" s="121"/>
      <c r="BH13" s="121"/>
      <c r="BI13" s="121"/>
      <c r="BJ13" s="122"/>
      <c r="BK13" s="34"/>
    </row>
    <row r="14" spans="1:63" ht="15" customHeight="1" x14ac:dyDescent="0.25">
      <c r="A14" s="33"/>
      <c r="B14" s="109"/>
      <c r="C14" s="110"/>
      <c r="D14" s="110"/>
      <c r="E14" s="110"/>
      <c r="F14" s="110"/>
      <c r="G14" s="111"/>
      <c r="H14" s="109"/>
      <c r="I14" s="110"/>
      <c r="J14" s="110"/>
      <c r="K14" s="110"/>
      <c r="L14" s="110"/>
      <c r="M14" s="110"/>
      <c r="N14" s="111"/>
      <c r="O14" s="109"/>
      <c r="P14" s="110"/>
      <c r="Q14" s="110"/>
      <c r="R14" s="110"/>
      <c r="S14" s="127"/>
      <c r="T14" s="128"/>
      <c r="U14" s="128"/>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9"/>
      <c r="AX14" s="123"/>
      <c r="AY14" s="123"/>
      <c r="AZ14" s="123"/>
      <c r="BA14" s="123"/>
      <c r="BB14" s="123"/>
      <c r="BC14" s="124"/>
      <c r="BD14" s="126"/>
      <c r="BE14" s="123"/>
      <c r="BF14" s="123"/>
      <c r="BG14" s="123"/>
      <c r="BH14" s="123"/>
      <c r="BI14" s="123"/>
      <c r="BJ14" s="124"/>
      <c r="BK14" s="34"/>
    </row>
    <row r="15" spans="1:63" ht="15" customHeight="1" x14ac:dyDescent="0.25">
      <c r="A15" s="33"/>
      <c r="B15" s="112">
        <v>45525</v>
      </c>
      <c r="C15" s="107"/>
      <c r="D15" s="107"/>
      <c r="E15" s="107"/>
      <c r="F15" s="107"/>
      <c r="G15" s="108"/>
      <c r="H15" s="106" t="s">
        <v>234</v>
      </c>
      <c r="I15" s="107"/>
      <c r="J15" s="107"/>
      <c r="K15" s="107"/>
      <c r="L15" s="107"/>
      <c r="M15" s="107"/>
      <c r="N15" s="108"/>
      <c r="O15" s="106">
        <v>0.3</v>
      </c>
      <c r="P15" s="107"/>
      <c r="Q15" s="107"/>
      <c r="R15" s="107"/>
      <c r="S15" s="118" t="s">
        <v>253</v>
      </c>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20"/>
      <c r="AX15" s="121"/>
      <c r="AY15" s="121"/>
      <c r="AZ15" s="121"/>
      <c r="BA15" s="121"/>
      <c r="BB15" s="121"/>
      <c r="BC15" s="122"/>
      <c r="BD15" s="125"/>
      <c r="BE15" s="121"/>
      <c r="BF15" s="121"/>
      <c r="BG15" s="121"/>
      <c r="BH15" s="121"/>
      <c r="BI15" s="121"/>
      <c r="BJ15" s="122"/>
      <c r="BK15" s="34"/>
    </row>
    <row r="16" spans="1:63" ht="15" customHeight="1" x14ac:dyDescent="0.25">
      <c r="A16" s="33"/>
      <c r="B16" s="109"/>
      <c r="C16" s="110"/>
      <c r="D16" s="110"/>
      <c r="E16" s="110"/>
      <c r="F16" s="110"/>
      <c r="G16" s="111"/>
      <c r="H16" s="109"/>
      <c r="I16" s="110"/>
      <c r="J16" s="110"/>
      <c r="K16" s="110"/>
      <c r="L16" s="110"/>
      <c r="M16" s="110"/>
      <c r="N16" s="111"/>
      <c r="O16" s="109"/>
      <c r="P16" s="110"/>
      <c r="Q16" s="110"/>
      <c r="R16" s="110"/>
      <c r="S16" s="127" t="s">
        <v>254</v>
      </c>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9"/>
      <c r="AX16" s="123"/>
      <c r="AY16" s="123"/>
      <c r="AZ16" s="123"/>
      <c r="BA16" s="123"/>
      <c r="BB16" s="123"/>
      <c r="BC16" s="124"/>
      <c r="BD16" s="126"/>
      <c r="BE16" s="123"/>
      <c r="BF16" s="123"/>
      <c r="BG16" s="123"/>
      <c r="BH16" s="123"/>
      <c r="BI16" s="123"/>
      <c r="BJ16" s="124"/>
      <c r="BK16" s="34"/>
    </row>
    <row r="17" spans="1:63" ht="15" customHeight="1" x14ac:dyDescent="0.25">
      <c r="A17" s="33"/>
      <c r="B17" s="112">
        <v>45512</v>
      </c>
      <c r="C17" s="107"/>
      <c r="D17" s="107"/>
      <c r="E17" s="107"/>
      <c r="F17" s="107"/>
      <c r="G17" s="108"/>
      <c r="H17" s="106" t="s">
        <v>234</v>
      </c>
      <c r="I17" s="107"/>
      <c r="J17" s="107"/>
      <c r="K17" s="107"/>
      <c r="L17" s="107"/>
      <c r="M17" s="107"/>
      <c r="N17" s="108"/>
      <c r="O17" s="106">
        <v>0.4</v>
      </c>
      <c r="P17" s="107"/>
      <c r="Q17" s="107"/>
      <c r="R17" s="107"/>
      <c r="S17" s="118" t="s">
        <v>255</v>
      </c>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20"/>
      <c r="AX17" s="121"/>
      <c r="AY17" s="121"/>
      <c r="AZ17" s="121"/>
      <c r="BA17" s="121"/>
      <c r="BB17" s="121"/>
      <c r="BC17" s="122"/>
      <c r="BD17" s="125"/>
      <c r="BE17" s="121"/>
      <c r="BF17" s="121"/>
      <c r="BG17" s="121"/>
      <c r="BH17" s="121"/>
      <c r="BI17" s="121"/>
      <c r="BJ17" s="122"/>
      <c r="BK17" s="34"/>
    </row>
    <row r="18" spans="1:63" ht="15" customHeight="1" x14ac:dyDescent="0.25">
      <c r="A18" s="33"/>
      <c r="B18" s="109"/>
      <c r="C18" s="110"/>
      <c r="D18" s="110"/>
      <c r="E18" s="110"/>
      <c r="F18" s="110"/>
      <c r="G18" s="111"/>
      <c r="H18" s="109"/>
      <c r="I18" s="110"/>
      <c r="J18" s="110"/>
      <c r="K18" s="110"/>
      <c r="L18" s="110"/>
      <c r="M18" s="110"/>
      <c r="N18" s="111"/>
      <c r="O18" s="109"/>
      <c r="P18" s="110"/>
      <c r="Q18" s="110"/>
      <c r="R18" s="110"/>
      <c r="S18" s="127"/>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9"/>
      <c r="AX18" s="123"/>
      <c r="AY18" s="123"/>
      <c r="AZ18" s="123"/>
      <c r="BA18" s="123"/>
      <c r="BB18" s="123"/>
      <c r="BC18" s="124"/>
      <c r="BD18" s="126"/>
      <c r="BE18" s="123"/>
      <c r="BF18" s="123"/>
      <c r="BG18" s="123"/>
      <c r="BH18" s="123"/>
      <c r="BI18" s="123"/>
      <c r="BJ18" s="124"/>
      <c r="BK18" s="34"/>
    </row>
    <row r="19" spans="1:63" ht="15" customHeight="1" x14ac:dyDescent="0.25">
      <c r="A19" s="33"/>
      <c r="B19" s="112">
        <v>45547</v>
      </c>
      <c r="C19" s="107"/>
      <c r="D19" s="107"/>
      <c r="E19" s="107"/>
      <c r="F19" s="107"/>
      <c r="G19" s="108"/>
      <c r="H19" s="106" t="s">
        <v>234</v>
      </c>
      <c r="I19" s="107"/>
      <c r="J19" s="107"/>
      <c r="K19" s="107"/>
      <c r="L19" s="107"/>
      <c r="M19" s="107"/>
      <c r="N19" s="108"/>
      <c r="O19" s="106">
        <v>0.5</v>
      </c>
      <c r="P19" s="107"/>
      <c r="Q19" s="107"/>
      <c r="R19" s="107"/>
      <c r="S19" s="118" t="s">
        <v>205</v>
      </c>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20"/>
      <c r="AX19" s="121"/>
      <c r="AY19" s="121"/>
      <c r="AZ19" s="121"/>
      <c r="BA19" s="121"/>
      <c r="BB19" s="121"/>
      <c r="BC19" s="122"/>
      <c r="BD19" s="125"/>
      <c r="BE19" s="121"/>
      <c r="BF19" s="121"/>
      <c r="BG19" s="121"/>
      <c r="BH19" s="121"/>
      <c r="BI19" s="121"/>
      <c r="BJ19" s="122"/>
      <c r="BK19" s="34"/>
    </row>
    <row r="20" spans="1:63" ht="15" customHeight="1" x14ac:dyDescent="0.25">
      <c r="A20" s="33"/>
      <c r="B20" s="109"/>
      <c r="C20" s="110"/>
      <c r="D20" s="110"/>
      <c r="E20" s="110"/>
      <c r="F20" s="110"/>
      <c r="G20" s="111"/>
      <c r="H20" s="109"/>
      <c r="I20" s="110"/>
      <c r="J20" s="110"/>
      <c r="K20" s="110"/>
      <c r="L20" s="110"/>
      <c r="M20" s="110"/>
      <c r="N20" s="111"/>
      <c r="O20" s="109"/>
      <c r="P20" s="110"/>
      <c r="Q20" s="110"/>
      <c r="R20" s="110"/>
      <c r="S20" s="127"/>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9"/>
      <c r="AX20" s="123"/>
      <c r="AY20" s="123"/>
      <c r="AZ20" s="123"/>
      <c r="BA20" s="123"/>
      <c r="BB20" s="123"/>
      <c r="BC20" s="124"/>
      <c r="BD20" s="126"/>
      <c r="BE20" s="123"/>
      <c r="BF20" s="123"/>
      <c r="BG20" s="123"/>
      <c r="BH20" s="123"/>
      <c r="BI20" s="123"/>
      <c r="BJ20" s="124"/>
      <c r="BK20" s="34"/>
    </row>
    <row r="21" spans="1:63" ht="15" customHeight="1" x14ac:dyDescent="0.25">
      <c r="A21" s="33"/>
      <c r="B21" s="112">
        <v>45548</v>
      </c>
      <c r="C21" s="107"/>
      <c r="D21" s="107"/>
      <c r="E21" s="107"/>
      <c r="F21" s="107"/>
      <c r="G21" s="108"/>
      <c r="H21" s="106" t="s">
        <v>234</v>
      </c>
      <c r="I21" s="107"/>
      <c r="J21" s="107"/>
      <c r="K21" s="107"/>
      <c r="L21" s="107"/>
      <c r="M21" s="107"/>
      <c r="N21" s="108"/>
      <c r="O21" s="106">
        <v>0.6</v>
      </c>
      <c r="P21" s="107"/>
      <c r="Q21" s="107"/>
      <c r="R21" s="107"/>
      <c r="S21" s="118" t="s">
        <v>256</v>
      </c>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20"/>
      <c r="AX21" s="121"/>
      <c r="AY21" s="121"/>
      <c r="AZ21" s="121"/>
      <c r="BA21" s="121"/>
      <c r="BB21" s="121"/>
      <c r="BC21" s="122"/>
      <c r="BD21" s="125"/>
      <c r="BE21" s="121"/>
      <c r="BF21" s="121"/>
      <c r="BG21" s="121"/>
      <c r="BH21" s="121"/>
      <c r="BI21" s="121"/>
      <c r="BJ21" s="122"/>
      <c r="BK21" s="34"/>
    </row>
    <row r="22" spans="1:63" ht="15" customHeight="1" x14ac:dyDescent="0.25">
      <c r="A22" s="33"/>
      <c r="B22" s="109"/>
      <c r="C22" s="110"/>
      <c r="D22" s="110"/>
      <c r="E22" s="110"/>
      <c r="F22" s="110"/>
      <c r="G22" s="111"/>
      <c r="H22" s="109"/>
      <c r="I22" s="110"/>
      <c r="J22" s="110"/>
      <c r="K22" s="110"/>
      <c r="L22" s="110"/>
      <c r="M22" s="110"/>
      <c r="N22" s="111"/>
      <c r="O22" s="109"/>
      <c r="P22" s="110"/>
      <c r="Q22" s="110"/>
      <c r="R22" s="110"/>
      <c r="S22" s="127" t="s">
        <v>257</v>
      </c>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9"/>
      <c r="AX22" s="123"/>
      <c r="AY22" s="123"/>
      <c r="AZ22" s="123"/>
      <c r="BA22" s="123"/>
      <c r="BB22" s="123"/>
      <c r="BC22" s="124"/>
      <c r="BD22" s="126"/>
      <c r="BE22" s="123"/>
      <c r="BF22" s="123"/>
      <c r="BG22" s="123"/>
      <c r="BH22" s="123"/>
      <c r="BI22" s="123"/>
      <c r="BJ22" s="124"/>
      <c r="BK22" s="34"/>
    </row>
    <row r="23" spans="1:63" ht="15" customHeight="1" x14ac:dyDescent="0.25">
      <c r="A23" s="33"/>
      <c r="B23" s="112">
        <v>45555</v>
      </c>
      <c r="C23" s="107"/>
      <c r="D23" s="107"/>
      <c r="E23" s="107"/>
      <c r="F23" s="107"/>
      <c r="G23" s="108"/>
      <c r="H23" s="106" t="s">
        <v>234</v>
      </c>
      <c r="I23" s="107"/>
      <c r="J23" s="107"/>
      <c r="K23" s="107"/>
      <c r="L23" s="107"/>
      <c r="M23" s="107"/>
      <c r="N23" s="108"/>
      <c r="O23" s="106">
        <v>0.61</v>
      </c>
      <c r="P23" s="107"/>
      <c r="Q23" s="107"/>
      <c r="R23" s="107"/>
      <c r="S23" s="118" t="s">
        <v>210</v>
      </c>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20"/>
      <c r="AX23" s="121"/>
      <c r="AY23" s="121"/>
      <c r="AZ23" s="121"/>
      <c r="BA23" s="121"/>
      <c r="BB23" s="121"/>
      <c r="BC23" s="122"/>
      <c r="BD23" s="125"/>
      <c r="BE23" s="121"/>
      <c r="BF23" s="121"/>
      <c r="BG23" s="121"/>
      <c r="BH23" s="121"/>
      <c r="BI23" s="121"/>
      <c r="BJ23" s="122"/>
      <c r="BK23" s="34"/>
    </row>
    <row r="24" spans="1:63" ht="15" customHeight="1" x14ac:dyDescent="0.25">
      <c r="A24" s="33"/>
      <c r="B24" s="109"/>
      <c r="C24" s="110"/>
      <c r="D24" s="110"/>
      <c r="E24" s="110"/>
      <c r="F24" s="110"/>
      <c r="G24" s="111"/>
      <c r="H24" s="109"/>
      <c r="I24" s="110"/>
      <c r="J24" s="110"/>
      <c r="K24" s="110"/>
      <c r="L24" s="110"/>
      <c r="M24" s="110"/>
      <c r="N24" s="111"/>
      <c r="O24" s="109"/>
      <c r="P24" s="110"/>
      <c r="Q24" s="110"/>
      <c r="R24" s="110"/>
      <c r="S24" s="127"/>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9"/>
      <c r="AX24" s="123"/>
      <c r="AY24" s="123"/>
      <c r="AZ24" s="123"/>
      <c r="BA24" s="123"/>
      <c r="BB24" s="123"/>
      <c r="BC24" s="124"/>
      <c r="BD24" s="126"/>
      <c r="BE24" s="123"/>
      <c r="BF24" s="123"/>
      <c r="BG24" s="123"/>
      <c r="BH24" s="123"/>
      <c r="BI24" s="123"/>
      <c r="BJ24" s="124"/>
      <c r="BK24" s="34"/>
    </row>
    <row r="25" spans="1:63" ht="15" customHeight="1" x14ac:dyDescent="0.25">
      <c r="A25" s="33"/>
      <c r="B25" s="112">
        <v>45558</v>
      </c>
      <c r="C25" s="107"/>
      <c r="D25" s="107"/>
      <c r="E25" s="107"/>
      <c r="F25" s="107"/>
      <c r="G25" s="108"/>
      <c r="H25" s="106" t="s">
        <v>234</v>
      </c>
      <c r="I25" s="107"/>
      <c r="J25" s="107"/>
      <c r="K25" s="107"/>
      <c r="L25" s="107"/>
      <c r="M25" s="107"/>
      <c r="N25" s="108"/>
      <c r="O25" s="106">
        <v>0.62</v>
      </c>
      <c r="P25" s="107"/>
      <c r="Q25" s="107"/>
      <c r="R25" s="107"/>
      <c r="S25" s="118" t="s">
        <v>212</v>
      </c>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20"/>
      <c r="AX25" s="121"/>
      <c r="AY25" s="121"/>
      <c r="AZ25" s="121"/>
      <c r="BA25" s="121"/>
      <c r="BB25" s="121"/>
      <c r="BC25" s="122"/>
      <c r="BD25" s="125"/>
      <c r="BE25" s="121"/>
      <c r="BF25" s="121"/>
      <c r="BG25" s="121"/>
      <c r="BH25" s="121"/>
      <c r="BI25" s="121"/>
      <c r="BJ25" s="122"/>
      <c r="BK25" s="34"/>
    </row>
    <row r="26" spans="1:63" ht="15" customHeight="1" x14ac:dyDescent="0.25">
      <c r="A26" s="33"/>
      <c r="B26" s="109"/>
      <c r="C26" s="110"/>
      <c r="D26" s="110"/>
      <c r="E26" s="110"/>
      <c r="F26" s="110"/>
      <c r="G26" s="111"/>
      <c r="H26" s="109"/>
      <c r="I26" s="110"/>
      <c r="J26" s="110"/>
      <c r="K26" s="110"/>
      <c r="L26" s="110"/>
      <c r="M26" s="110"/>
      <c r="N26" s="111"/>
      <c r="O26" s="109"/>
      <c r="P26" s="110"/>
      <c r="Q26" s="110"/>
      <c r="R26" s="110"/>
      <c r="S26" s="127"/>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9"/>
      <c r="AX26" s="123"/>
      <c r="AY26" s="123"/>
      <c r="AZ26" s="123"/>
      <c r="BA26" s="123"/>
      <c r="BB26" s="123"/>
      <c r="BC26" s="124"/>
      <c r="BD26" s="126"/>
      <c r="BE26" s="123"/>
      <c r="BF26" s="123"/>
      <c r="BG26" s="123"/>
      <c r="BH26" s="123"/>
      <c r="BI26" s="123"/>
      <c r="BJ26" s="124"/>
      <c r="BK26" s="34"/>
    </row>
    <row r="27" spans="1:63" ht="15" customHeight="1" x14ac:dyDescent="0.25">
      <c r="A27" s="33"/>
      <c r="B27" s="112">
        <v>45558</v>
      </c>
      <c r="C27" s="107"/>
      <c r="D27" s="107"/>
      <c r="E27" s="107"/>
      <c r="F27" s="107"/>
      <c r="G27" s="108"/>
      <c r="H27" s="106" t="s">
        <v>234</v>
      </c>
      <c r="I27" s="107"/>
      <c r="J27" s="107"/>
      <c r="K27" s="107"/>
      <c r="L27" s="107"/>
      <c r="M27" s="107"/>
      <c r="N27" s="108"/>
      <c r="O27" s="106">
        <v>0.63</v>
      </c>
      <c r="P27" s="107"/>
      <c r="Q27" s="107"/>
      <c r="R27" s="107"/>
      <c r="S27" s="118" t="s">
        <v>258</v>
      </c>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20"/>
      <c r="AX27" s="121"/>
      <c r="AY27" s="121"/>
      <c r="AZ27" s="121"/>
      <c r="BA27" s="121"/>
      <c r="BB27" s="121"/>
      <c r="BC27" s="122"/>
      <c r="BD27" s="125"/>
      <c r="BE27" s="121"/>
      <c r="BF27" s="121"/>
      <c r="BG27" s="121"/>
      <c r="BH27" s="121"/>
      <c r="BI27" s="121"/>
      <c r="BJ27" s="122"/>
      <c r="BK27" s="34"/>
    </row>
    <row r="28" spans="1:63" ht="15" customHeight="1" x14ac:dyDescent="0.25">
      <c r="A28" s="33"/>
      <c r="B28" s="109"/>
      <c r="C28" s="110"/>
      <c r="D28" s="110"/>
      <c r="E28" s="110"/>
      <c r="F28" s="110"/>
      <c r="G28" s="111"/>
      <c r="H28" s="109"/>
      <c r="I28" s="110"/>
      <c r="J28" s="110"/>
      <c r="K28" s="110"/>
      <c r="L28" s="110"/>
      <c r="M28" s="110"/>
      <c r="N28" s="111"/>
      <c r="O28" s="109"/>
      <c r="P28" s="110"/>
      <c r="Q28" s="110"/>
      <c r="R28" s="110"/>
      <c r="S28" s="127"/>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9"/>
      <c r="AX28" s="123"/>
      <c r="AY28" s="123"/>
      <c r="AZ28" s="123"/>
      <c r="BA28" s="123"/>
      <c r="BB28" s="123"/>
      <c r="BC28" s="124"/>
      <c r="BD28" s="126"/>
      <c r="BE28" s="123"/>
      <c r="BF28" s="123"/>
      <c r="BG28" s="123"/>
      <c r="BH28" s="123"/>
      <c r="BI28" s="123"/>
      <c r="BJ28" s="124"/>
      <c r="BK28" s="34"/>
    </row>
    <row r="29" spans="1:63" ht="15" customHeight="1" x14ac:dyDescent="0.25">
      <c r="A29" s="33"/>
      <c r="B29" s="112">
        <v>45559</v>
      </c>
      <c r="C29" s="107"/>
      <c r="D29" s="107"/>
      <c r="E29" s="107"/>
      <c r="F29" s="107"/>
      <c r="G29" s="108"/>
      <c r="H29" s="106" t="s">
        <v>234</v>
      </c>
      <c r="I29" s="107"/>
      <c r="J29" s="107"/>
      <c r="K29" s="107"/>
      <c r="L29" s="107"/>
      <c r="M29" s="107"/>
      <c r="N29" s="108"/>
      <c r="O29" s="106">
        <v>0.64</v>
      </c>
      <c r="P29" s="107"/>
      <c r="Q29" s="107"/>
      <c r="R29" s="107"/>
      <c r="S29" s="118" t="s">
        <v>259</v>
      </c>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20"/>
      <c r="AX29" s="121"/>
      <c r="AY29" s="121"/>
      <c r="AZ29" s="121"/>
      <c r="BA29" s="121"/>
      <c r="BB29" s="121"/>
      <c r="BC29" s="122"/>
      <c r="BD29" s="125"/>
      <c r="BE29" s="121"/>
      <c r="BF29" s="121"/>
      <c r="BG29" s="121"/>
      <c r="BH29" s="121"/>
      <c r="BI29" s="121"/>
      <c r="BJ29" s="122"/>
      <c r="BK29" s="34"/>
    </row>
    <row r="30" spans="1:63" ht="15" customHeight="1" x14ac:dyDescent="0.25">
      <c r="A30" s="33"/>
      <c r="B30" s="109"/>
      <c r="C30" s="110"/>
      <c r="D30" s="110"/>
      <c r="E30" s="110"/>
      <c r="F30" s="110"/>
      <c r="G30" s="111"/>
      <c r="H30" s="109"/>
      <c r="I30" s="110"/>
      <c r="J30" s="110"/>
      <c r="K30" s="110"/>
      <c r="L30" s="110"/>
      <c r="M30" s="110"/>
      <c r="N30" s="111"/>
      <c r="O30" s="109"/>
      <c r="P30" s="110"/>
      <c r="Q30" s="110"/>
      <c r="R30" s="110"/>
      <c r="S30" s="127"/>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9"/>
      <c r="AX30" s="123"/>
      <c r="AY30" s="123"/>
      <c r="AZ30" s="123"/>
      <c r="BA30" s="123"/>
      <c r="BB30" s="123"/>
      <c r="BC30" s="124"/>
      <c r="BD30" s="126"/>
      <c r="BE30" s="123"/>
      <c r="BF30" s="123"/>
      <c r="BG30" s="123"/>
      <c r="BH30" s="123"/>
      <c r="BI30" s="123"/>
      <c r="BJ30" s="124"/>
      <c r="BK30" s="34"/>
    </row>
    <row r="31" spans="1:63" ht="15" customHeight="1" x14ac:dyDescent="0.25">
      <c r="A31" s="33"/>
      <c r="B31" s="112">
        <v>45562</v>
      </c>
      <c r="C31" s="107"/>
      <c r="D31" s="107"/>
      <c r="E31" s="107"/>
      <c r="F31" s="107"/>
      <c r="G31" s="108"/>
      <c r="H31" s="106" t="s">
        <v>234</v>
      </c>
      <c r="I31" s="107"/>
      <c r="J31" s="107"/>
      <c r="K31" s="107"/>
      <c r="L31" s="107"/>
      <c r="M31" s="107"/>
      <c r="N31" s="108"/>
      <c r="O31" s="106">
        <v>0.65</v>
      </c>
      <c r="P31" s="107"/>
      <c r="Q31" s="107"/>
      <c r="R31" s="107"/>
      <c r="S31" s="118" t="s">
        <v>221</v>
      </c>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20"/>
      <c r="AX31" s="121"/>
      <c r="AY31" s="121"/>
      <c r="AZ31" s="121"/>
      <c r="BA31" s="121"/>
      <c r="BB31" s="121"/>
      <c r="BC31" s="122"/>
      <c r="BD31" s="125"/>
      <c r="BE31" s="121"/>
      <c r="BF31" s="121"/>
      <c r="BG31" s="121"/>
      <c r="BH31" s="121"/>
      <c r="BI31" s="121"/>
      <c r="BJ31" s="122"/>
      <c r="BK31" s="34"/>
    </row>
    <row r="32" spans="1:63" ht="15" customHeight="1" x14ac:dyDescent="0.25">
      <c r="A32" s="33"/>
      <c r="B32" s="109"/>
      <c r="C32" s="110"/>
      <c r="D32" s="110"/>
      <c r="E32" s="110"/>
      <c r="F32" s="110"/>
      <c r="G32" s="111"/>
      <c r="H32" s="109"/>
      <c r="I32" s="110"/>
      <c r="J32" s="110"/>
      <c r="K32" s="110"/>
      <c r="L32" s="110"/>
      <c r="M32" s="110"/>
      <c r="N32" s="111"/>
      <c r="O32" s="109"/>
      <c r="P32" s="110"/>
      <c r="Q32" s="110"/>
      <c r="R32" s="110"/>
      <c r="S32" s="127"/>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9"/>
      <c r="AX32" s="123"/>
      <c r="AY32" s="123"/>
      <c r="AZ32" s="123"/>
      <c r="BA32" s="123"/>
      <c r="BB32" s="123"/>
      <c r="BC32" s="124"/>
      <c r="BD32" s="126"/>
      <c r="BE32" s="123"/>
      <c r="BF32" s="123"/>
      <c r="BG32" s="123"/>
      <c r="BH32" s="123"/>
      <c r="BI32" s="123"/>
      <c r="BJ32" s="124"/>
      <c r="BK32" s="34"/>
    </row>
    <row r="33" spans="1:63" ht="15" customHeight="1" x14ac:dyDescent="0.25">
      <c r="A33" s="33"/>
      <c r="B33" s="112">
        <v>45567</v>
      </c>
      <c r="C33" s="107"/>
      <c r="D33" s="107"/>
      <c r="E33" s="107"/>
      <c r="F33" s="107"/>
      <c r="G33" s="108"/>
      <c r="H33" s="106" t="s">
        <v>226</v>
      </c>
      <c r="I33" s="107"/>
      <c r="J33" s="107"/>
      <c r="K33" s="107"/>
      <c r="L33" s="107"/>
      <c r="M33" s="107"/>
      <c r="N33" s="108"/>
      <c r="O33" s="106">
        <v>0.66</v>
      </c>
      <c r="P33" s="107"/>
      <c r="Q33" s="107"/>
      <c r="R33" s="107"/>
      <c r="S33" s="118" t="s">
        <v>260</v>
      </c>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20"/>
      <c r="AX33" s="121"/>
      <c r="AY33" s="121"/>
      <c r="AZ33" s="121"/>
      <c r="BA33" s="121"/>
      <c r="BB33" s="121"/>
      <c r="BC33" s="122"/>
      <c r="BD33" s="125"/>
      <c r="BE33" s="121"/>
      <c r="BF33" s="121"/>
      <c r="BG33" s="121"/>
      <c r="BH33" s="121"/>
      <c r="BI33" s="121"/>
      <c r="BJ33" s="122"/>
      <c r="BK33" s="34"/>
    </row>
    <row r="34" spans="1:63" ht="15" customHeight="1" x14ac:dyDescent="0.25">
      <c r="A34" s="33"/>
      <c r="B34" s="109"/>
      <c r="C34" s="110"/>
      <c r="D34" s="110"/>
      <c r="E34" s="110"/>
      <c r="F34" s="110"/>
      <c r="G34" s="111"/>
      <c r="H34" s="109"/>
      <c r="I34" s="110"/>
      <c r="J34" s="110"/>
      <c r="K34" s="110"/>
      <c r="L34" s="110"/>
      <c r="M34" s="110"/>
      <c r="N34" s="111"/>
      <c r="O34" s="109"/>
      <c r="P34" s="110"/>
      <c r="Q34" s="110"/>
      <c r="R34" s="110"/>
      <c r="S34" s="127"/>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9"/>
      <c r="AX34" s="123"/>
      <c r="AY34" s="123"/>
      <c r="AZ34" s="123"/>
      <c r="BA34" s="123"/>
      <c r="BB34" s="123"/>
      <c r="BC34" s="124"/>
      <c r="BD34" s="126"/>
      <c r="BE34" s="123"/>
      <c r="BF34" s="123"/>
      <c r="BG34" s="123"/>
      <c r="BH34" s="123"/>
      <c r="BI34" s="123"/>
      <c r="BJ34" s="124"/>
      <c r="BK34" s="34"/>
    </row>
    <row r="35" spans="1:63" ht="30" customHeight="1" x14ac:dyDescent="0.25">
      <c r="A35" s="33"/>
      <c r="B35" s="131">
        <v>45569</v>
      </c>
      <c r="C35" s="132"/>
      <c r="D35" s="132"/>
      <c r="E35" s="132"/>
      <c r="F35" s="132"/>
      <c r="G35" s="133"/>
      <c r="H35" s="140" t="s">
        <v>251</v>
      </c>
      <c r="I35" s="132"/>
      <c r="J35" s="132"/>
      <c r="K35" s="132"/>
      <c r="L35" s="132"/>
      <c r="M35" s="132"/>
      <c r="N35" s="133"/>
      <c r="O35" s="140">
        <v>0.67</v>
      </c>
      <c r="P35" s="132"/>
      <c r="Q35" s="132"/>
      <c r="R35" s="132"/>
      <c r="S35" s="142" t="s">
        <v>261</v>
      </c>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4"/>
      <c r="AX35" s="121"/>
      <c r="AY35" s="121"/>
      <c r="AZ35" s="121"/>
      <c r="BA35" s="121"/>
      <c r="BB35" s="121"/>
      <c r="BC35" s="122"/>
      <c r="BD35" s="125"/>
      <c r="BE35" s="121"/>
      <c r="BF35" s="121"/>
      <c r="BG35" s="121"/>
      <c r="BH35" s="121"/>
      <c r="BI35" s="121"/>
      <c r="BJ35" s="122"/>
      <c r="BK35" s="34"/>
    </row>
    <row r="36" spans="1:63" x14ac:dyDescent="0.25">
      <c r="A36" s="33"/>
      <c r="B36" s="134"/>
      <c r="C36" s="135"/>
      <c r="D36" s="135"/>
      <c r="E36" s="135"/>
      <c r="F36" s="135"/>
      <c r="G36" s="136"/>
      <c r="H36" s="141"/>
      <c r="I36" s="135"/>
      <c r="J36" s="135"/>
      <c r="K36" s="135"/>
      <c r="L36" s="135"/>
      <c r="M36" s="135"/>
      <c r="N36" s="136"/>
      <c r="O36" s="141"/>
      <c r="P36" s="135"/>
      <c r="Q36" s="135"/>
      <c r="R36" s="135"/>
      <c r="S36" s="152" t="s">
        <v>262</v>
      </c>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4"/>
      <c r="AX36" s="145"/>
      <c r="AY36" s="145"/>
      <c r="AZ36" s="145"/>
      <c r="BA36" s="145"/>
      <c r="BB36" s="145"/>
      <c r="BC36" s="146"/>
      <c r="BD36" s="147"/>
      <c r="BE36" s="145"/>
      <c r="BF36" s="145"/>
      <c r="BG36" s="145"/>
      <c r="BH36" s="145"/>
      <c r="BI36" s="145"/>
      <c r="BJ36" s="146"/>
      <c r="BK36" s="34"/>
    </row>
    <row r="37" spans="1:63" ht="30.75" customHeight="1" x14ac:dyDescent="0.25">
      <c r="A37" s="33"/>
      <c r="B37" s="134"/>
      <c r="C37" s="135"/>
      <c r="D37" s="135"/>
      <c r="E37" s="135"/>
      <c r="F37" s="135"/>
      <c r="G37" s="136"/>
      <c r="H37" s="141"/>
      <c r="I37" s="135"/>
      <c r="J37" s="135"/>
      <c r="K37" s="135"/>
      <c r="L37" s="135"/>
      <c r="M37" s="135"/>
      <c r="N37" s="136"/>
      <c r="O37" s="141"/>
      <c r="P37" s="135"/>
      <c r="Q37" s="135"/>
      <c r="R37" s="135"/>
      <c r="S37" s="152" t="s">
        <v>263</v>
      </c>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4"/>
      <c r="AX37" s="145"/>
      <c r="AY37" s="145"/>
      <c r="AZ37" s="145"/>
      <c r="BA37" s="145"/>
      <c r="BB37" s="145"/>
      <c r="BC37" s="146"/>
      <c r="BD37" s="147"/>
      <c r="BE37" s="145"/>
      <c r="BF37" s="145"/>
      <c r="BG37" s="145"/>
      <c r="BH37" s="145"/>
      <c r="BI37" s="145"/>
      <c r="BJ37" s="146"/>
      <c r="BK37" s="34"/>
    </row>
    <row r="38" spans="1:63" ht="15" customHeight="1" x14ac:dyDescent="0.25">
      <c r="A38" s="33"/>
      <c r="B38" s="137"/>
      <c r="C38" s="138"/>
      <c r="D38" s="138"/>
      <c r="E38" s="138"/>
      <c r="F38" s="138"/>
      <c r="G38" s="139"/>
      <c r="H38" s="137"/>
      <c r="I38" s="138"/>
      <c r="J38" s="138"/>
      <c r="K38" s="138"/>
      <c r="L38" s="138"/>
      <c r="M38" s="138"/>
      <c r="N38" s="139"/>
      <c r="O38" s="137"/>
      <c r="P38" s="138"/>
      <c r="Q38" s="138"/>
      <c r="R38" s="138"/>
      <c r="S38" s="151" t="s">
        <v>264</v>
      </c>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50"/>
      <c r="AX38" s="123"/>
      <c r="AY38" s="123"/>
      <c r="AZ38" s="123"/>
      <c r="BA38" s="123"/>
      <c r="BB38" s="123"/>
      <c r="BC38" s="124"/>
      <c r="BD38" s="126"/>
      <c r="BE38" s="123"/>
      <c r="BF38" s="123"/>
      <c r="BG38" s="123"/>
      <c r="BH38" s="123"/>
      <c r="BI38" s="123"/>
      <c r="BJ38" s="124"/>
      <c r="BK38" s="34"/>
    </row>
    <row r="39" spans="1:63" x14ac:dyDescent="0.25">
      <c r="A39" s="33"/>
      <c r="B39" s="131">
        <v>45580</v>
      </c>
      <c r="C39" s="132"/>
      <c r="D39" s="132"/>
      <c r="E39" s="132"/>
      <c r="F39" s="132"/>
      <c r="G39" s="133"/>
      <c r="H39" s="140" t="s">
        <v>251</v>
      </c>
      <c r="I39" s="132"/>
      <c r="J39" s="132"/>
      <c r="K39" s="132"/>
      <c r="L39" s="132"/>
      <c r="M39" s="132"/>
      <c r="N39" s="133"/>
      <c r="O39" s="140">
        <v>0.68</v>
      </c>
      <c r="P39" s="132"/>
      <c r="Q39" s="132"/>
      <c r="R39" s="132"/>
      <c r="S39" s="142" t="s">
        <v>265</v>
      </c>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4"/>
      <c r="AX39" s="121"/>
      <c r="AY39" s="121"/>
      <c r="AZ39" s="121"/>
      <c r="BA39" s="121"/>
      <c r="BB39" s="121"/>
      <c r="BC39" s="122"/>
      <c r="BD39" s="125"/>
      <c r="BE39" s="121"/>
      <c r="BF39" s="121"/>
      <c r="BG39" s="121"/>
      <c r="BH39" s="121"/>
      <c r="BI39" s="121"/>
      <c r="BJ39" s="122"/>
      <c r="BK39" s="34"/>
    </row>
    <row r="40" spans="1:63" x14ac:dyDescent="0.25">
      <c r="A40" s="33"/>
      <c r="B40" s="134"/>
      <c r="C40" s="135"/>
      <c r="D40" s="135"/>
      <c r="E40" s="135"/>
      <c r="F40" s="135"/>
      <c r="G40" s="136"/>
      <c r="H40" s="141"/>
      <c r="I40" s="135"/>
      <c r="J40" s="135"/>
      <c r="K40" s="135"/>
      <c r="L40" s="135"/>
      <c r="M40" s="135"/>
      <c r="N40" s="136"/>
      <c r="O40" s="141"/>
      <c r="P40" s="135"/>
      <c r="Q40" s="135"/>
      <c r="R40" s="135"/>
      <c r="S40" s="152" t="s">
        <v>266</v>
      </c>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4"/>
      <c r="AX40" s="145"/>
      <c r="AY40" s="145"/>
      <c r="AZ40" s="145"/>
      <c r="BA40" s="145"/>
      <c r="BB40" s="145"/>
      <c r="BC40" s="146"/>
      <c r="BD40" s="147"/>
      <c r="BE40" s="145"/>
      <c r="BF40" s="145"/>
      <c r="BG40" s="145"/>
      <c r="BH40" s="145"/>
      <c r="BI40" s="145"/>
      <c r="BJ40" s="146"/>
      <c r="BK40" s="34"/>
    </row>
    <row r="41" spans="1:63" ht="29.25" customHeight="1" x14ac:dyDescent="0.25">
      <c r="A41" s="33"/>
      <c r="B41" s="137"/>
      <c r="C41" s="138"/>
      <c r="D41" s="138"/>
      <c r="E41" s="138"/>
      <c r="F41" s="138"/>
      <c r="G41" s="139"/>
      <c r="H41" s="137"/>
      <c r="I41" s="138"/>
      <c r="J41" s="138"/>
      <c r="K41" s="138"/>
      <c r="L41" s="138"/>
      <c r="M41" s="138"/>
      <c r="N41" s="139"/>
      <c r="O41" s="137"/>
      <c r="P41" s="138"/>
      <c r="Q41" s="138"/>
      <c r="R41" s="138"/>
      <c r="S41" s="148" t="s">
        <v>238</v>
      </c>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50"/>
      <c r="AX41" s="123"/>
      <c r="AY41" s="123"/>
      <c r="AZ41" s="123"/>
      <c r="BA41" s="123"/>
      <c r="BB41" s="123"/>
      <c r="BC41" s="124"/>
      <c r="BD41" s="126"/>
      <c r="BE41" s="123"/>
      <c r="BF41" s="123"/>
      <c r="BG41" s="123"/>
      <c r="BH41" s="123"/>
      <c r="BI41" s="123"/>
      <c r="BJ41" s="124"/>
      <c r="BK41" s="34"/>
    </row>
    <row r="42" spans="1:63" ht="15" customHeight="1" x14ac:dyDescent="0.25">
      <c r="A42" s="33"/>
      <c r="B42" s="131">
        <v>45595</v>
      </c>
      <c r="C42" s="132"/>
      <c r="D42" s="132"/>
      <c r="E42" s="132"/>
      <c r="F42" s="132"/>
      <c r="G42" s="133"/>
      <c r="H42" s="140" t="s">
        <v>267</v>
      </c>
      <c r="I42" s="132"/>
      <c r="J42" s="132"/>
      <c r="K42" s="132"/>
      <c r="L42" s="132"/>
      <c r="M42" s="132"/>
      <c r="N42" s="133"/>
      <c r="O42" s="140">
        <v>0.7</v>
      </c>
      <c r="P42" s="132"/>
      <c r="Q42" s="132"/>
      <c r="R42" s="132"/>
      <c r="S42" s="155" t="s">
        <v>237</v>
      </c>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7"/>
      <c r="AX42" s="121"/>
      <c r="AY42" s="121"/>
      <c r="AZ42" s="121"/>
      <c r="BA42" s="121"/>
      <c r="BB42" s="121"/>
      <c r="BC42" s="122"/>
      <c r="BD42" s="125"/>
      <c r="BE42" s="121"/>
      <c r="BF42" s="121"/>
      <c r="BG42" s="121"/>
      <c r="BH42" s="121"/>
      <c r="BI42" s="121"/>
      <c r="BJ42" s="122"/>
      <c r="BK42" s="34"/>
    </row>
    <row r="43" spans="1:63" ht="15" customHeight="1" x14ac:dyDescent="0.25">
      <c r="A43" s="33"/>
      <c r="B43" s="137"/>
      <c r="C43" s="138"/>
      <c r="D43" s="138"/>
      <c r="E43" s="138"/>
      <c r="F43" s="138"/>
      <c r="G43" s="139"/>
      <c r="H43" s="137"/>
      <c r="I43" s="138"/>
      <c r="J43" s="138"/>
      <c r="K43" s="138"/>
      <c r="L43" s="138"/>
      <c r="M43" s="138"/>
      <c r="N43" s="139"/>
      <c r="O43" s="137"/>
      <c r="P43" s="138"/>
      <c r="Q43" s="138"/>
      <c r="R43" s="138"/>
      <c r="S43" s="148" t="s">
        <v>396</v>
      </c>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9"/>
      <c r="AX43" s="123"/>
      <c r="AY43" s="123"/>
      <c r="AZ43" s="123"/>
      <c r="BA43" s="123"/>
      <c r="BB43" s="123"/>
      <c r="BC43" s="124"/>
      <c r="BD43" s="126"/>
      <c r="BE43" s="123"/>
      <c r="BF43" s="123"/>
      <c r="BG43" s="123"/>
      <c r="BH43" s="123"/>
      <c r="BI43" s="123"/>
      <c r="BJ43" s="124"/>
      <c r="BK43" s="34"/>
    </row>
    <row r="44" spans="1:63" ht="15" customHeight="1" x14ac:dyDescent="0.25">
      <c r="A44" s="33"/>
      <c r="B44" s="106"/>
      <c r="C44" s="107"/>
      <c r="D44" s="107"/>
      <c r="E44" s="107"/>
      <c r="F44" s="107"/>
      <c r="G44" s="108"/>
      <c r="H44" s="106"/>
      <c r="I44" s="107"/>
      <c r="J44" s="107"/>
      <c r="K44" s="107"/>
      <c r="L44" s="107"/>
      <c r="M44" s="107"/>
      <c r="N44" s="108"/>
      <c r="O44" s="106"/>
      <c r="P44" s="107"/>
      <c r="Q44" s="107"/>
      <c r="R44" s="107"/>
      <c r="S44" s="118"/>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20"/>
      <c r="AX44" s="121"/>
      <c r="AY44" s="121"/>
      <c r="AZ44" s="121"/>
      <c r="BA44" s="121"/>
      <c r="BB44" s="121"/>
      <c r="BC44" s="122"/>
      <c r="BD44" s="125"/>
      <c r="BE44" s="121"/>
      <c r="BF44" s="121"/>
      <c r="BG44" s="121"/>
      <c r="BH44" s="121"/>
      <c r="BI44" s="121"/>
      <c r="BJ44" s="122"/>
      <c r="BK44" s="34"/>
    </row>
    <row r="45" spans="1:63" ht="15" customHeight="1" x14ac:dyDescent="0.25">
      <c r="A45" s="33"/>
      <c r="B45" s="109"/>
      <c r="C45" s="110"/>
      <c r="D45" s="110"/>
      <c r="E45" s="110"/>
      <c r="F45" s="110"/>
      <c r="G45" s="111"/>
      <c r="H45" s="109"/>
      <c r="I45" s="110"/>
      <c r="J45" s="110"/>
      <c r="K45" s="110"/>
      <c r="L45" s="110"/>
      <c r="M45" s="110"/>
      <c r="N45" s="111"/>
      <c r="O45" s="109"/>
      <c r="P45" s="110"/>
      <c r="Q45" s="110"/>
      <c r="R45" s="110"/>
      <c r="S45" s="127"/>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9"/>
      <c r="AX45" s="123"/>
      <c r="AY45" s="123"/>
      <c r="AZ45" s="123"/>
      <c r="BA45" s="123"/>
      <c r="BB45" s="123"/>
      <c r="BC45" s="124"/>
      <c r="BD45" s="126"/>
      <c r="BE45" s="123"/>
      <c r="BF45" s="123"/>
      <c r="BG45" s="123"/>
      <c r="BH45" s="123"/>
      <c r="BI45" s="123"/>
      <c r="BJ45" s="124"/>
      <c r="BK45" s="34"/>
    </row>
    <row r="46" spans="1:63" ht="15" customHeight="1" x14ac:dyDescent="0.25">
      <c r="A46" s="33"/>
      <c r="B46" s="106"/>
      <c r="C46" s="107"/>
      <c r="D46" s="107"/>
      <c r="E46" s="107"/>
      <c r="F46" s="107"/>
      <c r="G46" s="108"/>
      <c r="H46" s="106"/>
      <c r="I46" s="107"/>
      <c r="J46" s="107"/>
      <c r="K46" s="107"/>
      <c r="L46" s="107"/>
      <c r="M46" s="107"/>
      <c r="N46" s="108"/>
      <c r="O46" s="106"/>
      <c r="P46" s="107"/>
      <c r="Q46" s="107"/>
      <c r="R46" s="107"/>
      <c r="S46" s="118"/>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20"/>
      <c r="AX46" s="121"/>
      <c r="AY46" s="121"/>
      <c r="AZ46" s="121"/>
      <c r="BA46" s="121"/>
      <c r="BB46" s="121"/>
      <c r="BC46" s="122"/>
      <c r="BD46" s="125"/>
      <c r="BE46" s="121"/>
      <c r="BF46" s="121"/>
      <c r="BG46" s="121"/>
      <c r="BH46" s="121"/>
      <c r="BI46" s="121"/>
      <c r="BJ46" s="122"/>
      <c r="BK46" s="34"/>
    </row>
    <row r="47" spans="1:63" ht="15" customHeight="1" x14ac:dyDescent="0.25">
      <c r="A47" s="33"/>
      <c r="B47" s="109"/>
      <c r="C47" s="110"/>
      <c r="D47" s="110"/>
      <c r="E47" s="110"/>
      <c r="F47" s="110"/>
      <c r="G47" s="111"/>
      <c r="H47" s="109"/>
      <c r="I47" s="110"/>
      <c r="J47" s="110"/>
      <c r="K47" s="110"/>
      <c r="L47" s="110"/>
      <c r="M47" s="110"/>
      <c r="N47" s="111"/>
      <c r="O47" s="109"/>
      <c r="P47" s="110"/>
      <c r="Q47" s="110"/>
      <c r="R47" s="110"/>
      <c r="S47" s="127"/>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9"/>
      <c r="AX47" s="123"/>
      <c r="AY47" s="123"/>
      <c r="AZ47" s="123"/>
      <c r="BA47" s="123"/>
      <c r="BB47" s="123"/>
      <c r="BC47" s="124"/>
      <c r="BD47" s="126"/>
      <c r="BE47" s="123"/>
      <c r="BF47" s="123"/>
      <c r="BG47" s="123"/>
      <c r="BH47" s="123"/>
      <c r="BI47" s="123"/>
      <c r="BJ47" s="124"/>
      <c r="BK47" s="34"/>
    </row>
    <row r="48" spans="1:63" ht="15" customHeight="1" x14ac:dyDescent="0.25">
      <c r="A48" s="33"/>
      <c r="B48" s="106"/>
      <c r="C48" s="107"/>
      <c r="D48" s="107"/>
      <c r="E48" s="107"/>
      <c r="F48" s="107"/>
      <c r="G48" s="108"/>
      <c r="H48" s="106"/>
      <c r="I48" s="107"/>
      <c r="J48" s="107"/>
      <c r="K48" s="107"/>
      <c r="L48" s="107"/>
      <c r="M48" s="107"/>
      <c r="N48" s="108"/>
      <c r="O48" s="106"/>
      <c r="P48" s="107"/>
      <c r="Q48" s="107"/>
      <c r="R48" s="107"/>
      <c r="S48" s="118"/>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20"/>
      <c r="AX48" s="121"/>
      <c r="AY48" s="121"/>
      <c r="AZ48" s="121"/>
      <c r="BA48" s="121"/>
      <c r="BB48" s="121"/>
      <c r="BC48" s="122"/>
      <c r="BD48" s="125"/>
      <c r="BE48" s="121"/>
      <c r="BF48" s="121"/>
      <c r="BG48" s="121"/>
      <c r="BH48" s="121"/>
      <c r="BI48" s="121"/>
      <c r="BJ48" s="122"/>
      <c r="BK48" s="34"/>
    </row>
    <row r="49" spans="1:63" ht="15" customHeight="1" x14ac:dyDescent="0.25">
      <c r="A49" s="33"/>
      <c r="B49" s="109"/>
      <c r="C49" s="110"/>
      <c r="D49" s="110"/>
      <c r="E49" s="110"/>
      <c r="F49" s="110"/>
      <c r="G49" s="111"/>
      <c r="H49" s="109"/>
      <c r="I49" s="110"/>
      <c r="J49" s="110"/>
      <c r="K49" s="110"/>
      <c r="L49" s="110"/>
      <c r="M49" s="110"/>
      <c r="N49" s="111"/>
      <c r="O49" s="109"/>
      <c r="P49" s="110"/>
      <c r="Q49" s="110"/>
      <c r="R49" s="110"/>
      <c r="S49" s="127"/>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29"/>
      <c r="AX49" s="123"/>
      <c r="AY49" s="123"/>
      <c r="AZ49" s="123"/>
      <c r="BA49" s="123"/>
      <c r="BB49" s="123"/>
      <c r="BC49" s="124"/>
      <c r="BD49" s="126"/>
      <c r="BE49" s="123"/>
      <c r="BF49" s="123"/>
      <c r="BG49" s="123"/>
      <c r="BH49" s="123"/>
      <c r="BI49" s="123"/>
      <c r="BJ49" s="124"/>
      <c r="BK49" s="34"/>
    </row>
    <row r="50" spans="1:63" ht="15" customHeight="1" x14ac:dyDescent="0.25">
      <c r="A50" s="33"/>
      <c r="B50" s="106"/>
      <c r="C50" s="107"/>
      <c r="D50" s="107"/>
      <c r="E50" s="107"/>
      <c r="F50" s="107"/>
      <c r="G50" s="108"/>
      <c r="H50" s="106"/>
      <c r="I50" s="107"/>
      <c r="J50" s="107"/>
      <c r="K50" s="107"/>
      <c r="L50" s="107"/>
      <c r="M50" s="107"/>
      <c r="N50" s="108"/>
      <c r="O50" s="106"/>
      <c r="P50" s="107"/>
      <c r="Q50" s="107"/>
      <c r="R50" s="107"/>
      <c r="S50" s="118"/>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20"/>
      <c r="AX50" s="121"/>
      <c r="AY50" s="121"/>
      <c r="AZ50" s="121"/>
      <c r="BA50" s="121"/>
      <c r="BB50" s="121"/>
      <c r="BC50" s="122"/>
      <c r="BD50" s="125"/>
      <c r="BE50" s="121"/>
      <c r="BF50" s="121"/>
      <c r="BG50" s="121"/>
      <c r="BH50" s="121"/>
      <c r="BI50" s="121"/>
      <c r="BJ50" s="122"/>
      <c r="BK50" s="34"/>
    </row>
    <row r="51" spans="1:63" ht="15" customHeight="1" x14ac:dyDescent="0.25">
      <c r="A51" s="33"/>
      <c r="B51" s="109"/>
      <c r="C51" s="110"/>
      <c r="D51" s="110"/>
      <c r="E51" s="110"/>
      <c r="F51" s="110"/>
      <c r="G51" s="111"/>
      <c r="H51" s="109"/>
      <c r="I51" s="110"/>
      <c r="J51" s="110"/>
      <c r="K51" s="110"/>
      <c r="L51" s="110"/>
      <c r="M51" s="110"/>
      <c r="N51" s="111"/>
      <c r="O51" s="109"/>
      <c r="P51" s="110"/>
      <c r="Q51" s="110"/>
      <c r="R51" s="110"/>
      <c r="S51" s="127"/>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9"/>
      <c r="AX51" s="123"/>
      <c r="AY51" s="123"/>
      <c r="AZ51" s="123"/>
      <c r="BA51" s="123"/>
      <c r="BB51" s="123"/>
      <c r="BC51" s="124"/>
      <c r="BD51" s="126"/>
      <c r="BE51" s="123"/>
      <c r="BF51" s="123"/>
      <c r="BG51" s="123"/>
      <c r="BH51" s="123"/>
      <c r="BI51" s="123"/>
      <c r="BJ51" s="124"/>
      <c r="BK51" s="34"/>
    </row>
    <row r="52" spans="1:63" ht="15" customHeight="1" x14ac:dyDescent="0.25">
      <c r="A52" s="33"/>
      <c r="B52" s="106"/>
      <c r="C52" s="107"/>
      <c r="D52" s="107"/>
      <c r="E52" s="107"/>
      <c r="F52" s="107"/>
      <c r="G52" s="108"/>
      <c r="H52" s="106"/>
      <c r="I52" s="107"/>
      <c r="J52" s="107"/>
      <c r="K52" s="107"/>
      <c r="L52" s="107"/>
      <c r="M52" s="107"/>
      <c r="N52" s="108"/>
      <c r="O52" s="106"/>
      <c r="P52" s="107"/>
      <c r="Q52" s="107"/>
      <c r="R52" s="107"/>
      <c r="S52" s="118"/>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20"/>
      <c r="AX52" s="121"/>
      <c r="AY52" s="121"/>
      <c r="AZ52" s="121"/>
      <c r="BA52" s="121"/>
      <c r="BB52" s="121"/>
      <c r="BC52" s="122"/>
      <c r="BD52" s="125"/>
      <c r="BE52" s="121"/>
      <c r="BF52" s="121"/>
      <c r="BG52" s="121"/>
      <c r="BH52" s="121"/>
      <c r="BI52" s="121"/>
      <c r="BJ52" s="122"/>
      <c r="BK52" s="34"/>
    </row>
    <row r="53" spans="1:63" ht="15" customHeight="1" x14ac:dyDescent="0.25">
      <c r="A53" s="33"/>
      <c r="B53" s="109"/>
      <c r="C53" s="110"/>
      <c r="D53" s="110"/>
      <c r="E53" s="110"/>
      <c r="F53" s="110"/>
      <c r="G53" s="111"/>
      <c r="H53" s="109"/>
      <c r="I53" s="110"/>
      <c r="J53" s="110"/>
      <c r="K53" s="110"/>
      <c r="L53" s="110"/>
      <c r="M53" s="110"/>
      <c r="N53" s="111"/>
      <c r="O53" s="109"/>
      <c r="P53" s="110"/>
      <c r="Q53" s="110"/>
      <c r="R53" s="110"/>
      <c r="S53" s="127"/>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8"/>
      <c r="AR53" s="128"/>
      <c r="AS53" s="128"/>
      <c r="AT53" s="128"/>
      <c r="AU53" s="128"/>
      <c r="AV53" s="128"/>
      <c r="AW53" s="129"/>
      <c r="AX53" s="123"/>
      <c r="AY53" s="123"/>
      <c r="AZ53" s="123"/>
      <c r="BA53" s="123"/>
      <c r="BB53" s="123"/>
      <c r="BC53" s="124"/>
      <c r="BD53" s="126"/>
      <c r="BE53" s="123"/>
      <c r="BF53" s="123"/>
      <c r="BG53" s="123"/>
      <c r="BH53" s="123"/>
      <c r="BI53" s="123"/>
      <c r="BJ53" s="124"/>
      <c r="BK53" s="34"/>
    </row>
    <row r="54" spans="1:63" ht="15" customHeight="1" x14ac:dyDescent="0.25">
      <c r="A54" s="33"/>
      <c r="B54" s="106"/>
      <c r="C54" s="107"/>
      <c r="D54" s="107"/>
      <c r="E54" s="107"/>
      <c r="F54" s="107"/>
      <c r="G54" s="108"/>
      <c r="H54" s="106"/>
      <c r="I54" s="107"/>
      <c r="J54" s="107"/>
      <c r="K54" s="107"/>
      <c r="L54" s="107"/>
      <c r="M54" s="107"/>
      <c r="N54" s="108"/>
      <c r="O54" s="106"/>
      <c r="P54" s="107"/>
      <c r="Q54" s="107"/>
      <c r="R54" s="107"/>
      <c r="S54" s="118"/>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20"/>
      <c r="AX54" s="121"/>
      <c r="AY54" s="121"/>
      <c r="AZ54" s="121"/>
      <c r="BA54" s="121"/>
      <c r="BB54" s="121"/>
      <c r="BC54" s="122"/>
      <c r="BD54" s="125"/>
      <c r="BE54" s="121"/>
      <c r="BF54" s="121"/>
      <c r="BG54" s="121"/>
      <c r="BH54" s="121"/>
      <c r="BI54" s="121"/>
      <c r="BJ54" s="122"/>
      <c r="BK54" s="34"/>
    </row>
    <row r="55" spans="1:63" ht="15" customHeight="1" x14ac:dyDescent="0.25">
      <c r="A55" s="33"/>
      <c r="B55" s="109"/>
      <c r="C55" s="110"/>
      <c r="D55" s="110"/>
      <c r="E55" s="110"/>
      <c r="F55" s="110"/>
      <c r="G55" s="111"/>
      <c r="H55" s="109"/>
      <c r="I55" s="110"/>
      <c r="J55" s="110"/>
      <c r="K55" s="110"/>
      <c r="L55" s="110"/>
      <c r="M55" s="110"/>
      <c r="N55" s="111"/>
      <c r="O55" s="109"/>
      <c r="P55" s="110"/>
      <c r="Q55" s="110"/>
      <c r="R55" s="110"/>
      <c r="S55" s="127"/>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28"/>
      <c r="AQ55" s="128"/>
      <c r="AR55" s="128"/>
      <c r="AS55" s="128"/>
      <c r="AT55" s="128"/>
      <c r="AU55" s="128"/>
      <c r="AV55" s="128"/>
      <c r="AW55" s="129"/>
      <c r="AX55" s="123"/>
      <c r="AY55" s="123"/>
      <c r="AZ55" s="123"/>
      <c r="BA55" s="123"/>
      <c r="BB55" s="123"/>
      <c r="BC55" s="124"/>
      <c r="BD55" s="126"/>
      <c r="BE55" s="123"/>
      <c r="BF55" s="123"/>
      <c r="BG55" s="123"/>
      <c r="BH55" s="123"/>
      <c r="BI55" s="123"/>
      <c r="BJ55" s="124"/>
      <c r="BK55" s="34"/>
    </row>
    <row r="56" spans="1:63" ht="15" customHeight="1" x14ac:dyDescent="0.25">
      <c r="A56" s="33"/>
      <c r="B56" s="106"/>
      <c r="C56" s="107"/>
      <c r="D56" s="107"/>
      <c r="E56" s="107"/>
      <c r="F56" s="107"/>
      <c r="G56" s="108"/>
      <c r="H56" s="106"/>
      <c r="I56" s="107"/>
      <c r="J56" s="107"/>
      <c r="K56" s="107"/>
      <c r="L56" s="107"/>
      <c r="M56" s="107"/>
      <c r="N56" s="108"/>
      <c r="O56" s="106"/>
      <c r="P56" s="107"/>
      <c r="Q56" s="107"/>
      <c r="R56" s="107"/>
      <c r="S56" s="118"/>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20"/>
      <c r="AX56" s="121"/>
      <c r="AY56" s="121"/>
      <c r="AZ56" s="121"/>
      <c r="BA56" s="121"/>
      <c r="BB56" s="121"/>
      <c r="BC56" s="122"/>
      <c r="BD56" s="125"/>
      <c r="BE56" s="121"/>
      <c r="BF56" s="121"/>
      <c r="BG56" s="121"/>
      <c r="BH56" s="121"/>
      <c r="BI56" s="121"/>
      <c r="BJ56" s="122"/>
      <c r="BK56" s="34"/>
    </row>
    <row r="57" spans="1:63" ht="15" customHeight="1" x14ac:dyDescent="0.25">
      <c r="A57" s="33"/>
      <c r="B57" s="109"/>
      <c r="C57" s="110"/>
      <c r="D57" s="110"/>
      <c r="E57" s="110"/>
      <c r="F57" s="110"/>
      <c r="G57" s="111"/>
      <c r="H57" s="109"/>
      <c r="I57" s="110"/>
      <c r="J57" s="110"/>
      <c r="K57" s="110"/>
      <c r="L57" s="110"/>
      <c r="M57" s="110"/>
      <c r="N57" s="111"/>
      <c r="O57" s="109"/>
      <c r="P57" s="110"/>
      <c r="Q57" s="110"/>
      <c r="R57" s="110"/>
      <c r="S57" s="127"/>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9"/>
      <c r="AX57" s="123"/>
      <c r="AY57" s="123"/>
      <c r="AZ57" s="123"/>
      <c r="BA57" s="123"/>
      <c r="BB57" s="123"/>
      <c r="BC57" s="124"/>
      <c r="BD57" s="126"/>
      <c r="BE57" s="123"/>
      <c r="BF57" s="123"/>
      <c r="BG57" s="123"/>
      <c r="BH57" s="123"/>
      <c r="BI57" s="123"/>
      <c r="BJ57" s="124"/>
      <c r="BK57" s="34"/>
    </row>
    <row r="58" spans="1:63" ht="15" customHeight="1" x14ac:dyDescent="0.25">
      <c r="A58" s="30"/>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2"/>
    </row>
  </sheetData>
  <mergeCells count="183">
    <mergeCell ref="B56:G57"/>
    <mergeCell ref="H56:N57"/>
    <mergeCell ref="O56:R57"/>
    <mergeCell ref="S56:AW56"/>
    <mergeCell ref="AX56:BC57"/>
    <mergeCell ref="BD56:BJ57"/>
    <mergeCell ref="S57:AW57"/>
    <mergeCell ref="B54:G55"/>
    <mergeCell ref="H54:N55"/>
    <mergeCell ref="O54:R55"/>
    <mergeCell ref="S54:AW54"/>
    <mergeCell ref="AX54:BC55"/>
    <mergeCell ref="BD54:BJ55"/>
    <mergeCell ref="S55:AW55"/>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39:G41"/>
    <mergeCell ref="H39:N41"/>
    <mergeCell ref="O39:R41"/>
    <mergeCell ref="S39:AW39"/>
    <mergeCell ref="AX39:BC41"/>
    <mergeCell ref="BD39:BJ41"/>
    <mergeCell ref="S41:AW41"/>
    <mergeCell ref="B35:G38"/>
    <mergeCell ref="H35:N38"/>
    <mergeCell ref="O35:R38"/>
    <mergeCell ref="S35:AW35"/>
    <mergeCell ref="AX35:BC38"/>
    <mergeCell ref="BD35:BJ38"/>
    <mergeCell ref="S38:AW38"/>
    <mergeCell ref="S37:AW37"/>
    <mergeCell ref="S36:AW36"/>
    <mergeCell ref="S40:AW40"/>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3"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tabColor rgb="FF0000FF"/>
    <pageSetUpPr fitToPage="1"/>
  </sheetPr>
  <dimension ref="A1:BK113"/>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6"/>
  </cols>
  <sheetData>
    <row r="1" spans="1:63" ht="24.95" customHeight="1" x14ac:dyDescent="0.25">
      <c r="A1" s="253" t="s">
        <v>239</v>
      </c>
      <c r="B1" s="254"/>
      <c r="C1" s="254"/>
      <c r="D1" s="254"/>
      <c r="E1" s="254"/>
      <c r="F1" s="254"/>
      <c r="G1" s="254"/>
      <c r="H1" s="254"/>
      <c r="I1" s="254"/>
      <c r="J1" s="255"/>
      <c r="K1" s="253" t="s">
        <v>240</v>
      </c>
      <c r="L1" s="254"/>
      <c r="M1" s="254"/>
      <c r="N1" s="254"/>
      <c r="O1" s="254"/>
      <c r="P1" s="254"/>
      <c r="Q1" s="254"/>
      <c r="R1" s="254"/>
      <c r="S1" s="254"/>
      <c r="T1" s="254"/>
      <c r="U1" s="254"/>
      <c r="V1" s="255"/>
      <c r="W1" s="284" t="str">
        <f>IF(表紙!W1="","",表紙!W1)</f>
        <v>詳細設計書</v>
      </c>
      <c r="X1" s="285"/>
      <c r="Y1" s="285"/>
      <c r="Z1" s="285"/>
      <c r="AA1" s="285"/>
      <c r="AB1" s="285"/>
      <c r="AC1" s="285"/>
      <c r="AD1" s="285"/>
      <c r="AE1" s="285"/>
      <c r="AF1" s="285"/>
      <c r="AG1" s="285"/>
      <c r="AH1" s="285"/>
      <c r="AI1" s="285"/>
      <c r="AJ1" s="285"/>
      <c r="AK1" s="285"/>
      <c r="AL1" s="285"/>
      <c r="AM1" s="285"/>
      <c r="AN1" s="285"/>
      <c r="AO1" s="286"/>
      <c r="AP1" s="91" t="s">
        <v>241</v>
      </c>
      <c r="AQ1" s="92"/>
      <c r="AR1" s="92"/>
      <c r="AS1" s="93"/>
      <c r="AT1" s="91" t="s">
        <v>242</v>
      </c>
      <c r="AU1" s="92"/>
      <c r="AV1" s="92"/>
      <c r="AW1" s="92"/>
      <c r="AX1" s="93"/>
      <c r="AY1" s="91" t="s">
        <v>243</v>
      </c>
      <c r="AZ1" s="92"/>
      <c r="BA1" s="92"/>
      <c r="BB1" s="93"/>
      <c r="BC1" s="91" t="s">
        <v>244</v>
      </c>
      <c r="BD1" s="92"/>
      <c r="BE1" s="92"/>
      <c r="BF1" s="92"/>
      <c r="BG1" s="93"/>
      <c r="BH1" s="91" t="s">
        <v>245</v>
      </c>
      <c r="BI1" s="92"/>
      <c r="BJ1" s="92"/>
      <c r="BK1" s="93"/>
    </row>
    <row r="2" spans="1:63" ht="15" customHeight="1" x14ac:dyDescent="0.25">
      <c r="A2" s="278" t="str">
        <f>IF(表紙!A2="","",表紙!A2)</f>
        <v>POSサーバー</v>
      </c>
      <c r="B2" s="279"/>
      <c r="C2" s="279"/>
      <c r="D2" s="279"/>
      <c r="E2" s="279"/>
      <c r="F2" s="279"/>
      <c r="G2" s="279"/>
      <c r="H2" s="279"/>
      <c r="I2" s="279"/>
      <c r="J2" s="280"/>
      <c r="K2" s="278" t="str">
        <f>IF(表紙!K2="","",表紙!K2)</f>
        <v>POSサーバ</v>
      </c>
      <c r="L2" s="279"/>
      <c r="M2" s="279"/>
      <c r="N2" s="279"/>
      <c r="O2" s="279"/>
      <c r="P2" s="279"/>
      <c r="Q2" s="279"/>
      <c r="R2" s="279"/>
      <c r="S2" s="279"/>
      <c r="T2" s="279"/>
      <c r="U2" s="279"/>
      <c r="V2" s="280"/>
      <c r="W2" s="287"/>
      <c r="X2" s="288"/>
      <c r="Y2" s="288"/>
      <c r="Z2" s="288"/>
      <c r="AA2" s="288"/>
      <c r="AB2" s="288"/>
      <c r="AC2" s="288"/>
      <c r="AD2" s="288"/>
      <c r="AE2" s="288"/>
      <c r="AF2" s="288"/>
      <c r="AG2" s="288"/>
      <c r="AH2" s="288"/>
      <c r="AI2" s="288"/>
      <c r="AJ2" s="288"/>
      <c r="AK2" s="288"/>
      <c r="AL2" s="288"/>
      <c r="AM2" s="288"/>
      <c r="AN2" s="288"/>
      <c r="AO2" s="289"/>
      <c r="AP2" s="106" t="str">
        <f>IF(表紙!AP2="","",表紙!AP2)</f>
        <v>DuNT</v>
      </c>
      <c r="AQ2" s="107"/>
      <c r="AR2" s="107"/>
      <c r="AS2" s="108"/>
      <c r="AT2" s="112">
        <f>IF(表紙!AT2="","",表紙!AT2)</f>
        <v>45489</v>
      </c>
      <c r="AU2" s="113"/>
      <c r="AV2" s="113"/>
      <c r="AW2" s="113"/>
      <c r="AX2" s="114"/>
      <c r="AY2" s="106" t="str">
        <f>IF(表紙!AY2="","",表紙!AY2)</f>
        <v>TinNH</v>
      </c>
      <c r="AZ2" s="107"/>
      <c r="BA2" s="107"/>
      <c r="BB2" s="108"/>
      <c r="BC2" s="112">
        <f>IF(表紙!BC2="","",表紙!BC2)</f>
        <v>45595</v>
      </c>
      <c r="BD2" s="113"/>
      <c r="BE2" s="113"/>
      <c r="BF2" s="113"/>
      <c r="BG2" s="114"/>
      <c r="BH2" s="106">
        <f>IF(表紙!BH2="","",表紙!BH2)</f>
        <v>0.7</v>
      </c>
      <c r="BI2" s="107"/>
      <c r="BJ2" s="107"/>
      <c r="BK2" s="108"/>
    </row>
    <row r="3" spans="1:63" ht="15" customHeight="1" x14ac:dyDescent="0.25">
      <c r="A3" s="281"/>
      <c r="B3" s="282"/>
      <c r="C3" s="282"/>
      <c r="D3" s="282"/>
      <c r="E3" s="282"/>
      <c r="F3" s="282"/>
      <c r="G3" s="282"/>
      <c r="H3" s="282"/>
      <c r="I3" s="282"/>
      <c r="J3" s="283"/>
      <c r="K3" s="281"/>
      <c r="L3" s="282"/>
      <c r="M3" s="282"/>
      <c r="N3" s="282"/>
      <c r="O3" s="282"/>
      <c r="P3" s="282"/>
      <c r="Q3" s="282"/>
      <c r="R3" s="282"/>
      <c r="S3" s="282"/>
      <c r="T3" s="282"/>
      <c r="U3" s="282"/>
      <c r="V3" s="283"/>
      <c r="W3" s="290"/>
      <c r="X3" s="291"/>
      <c r="Y3" s="291"/>
      <c r="Z3" s="291"/>
      <c r="AA3" s="291"/>
      <c r="AB3" s="291"/>
      <c r="AC3" s="291"/>
      <c r="AD3" s="291"/>
      <c r="AE3" s="291"/>
      <c r="AF3" s="291"/>
      <c r="AG3" s="291"/>
      <c r="AH3" s="291"/>
      <c r="AI3" s="291"/>
      <c r="AJ3" s="291"/>
      <c r="AK3" s="291"/>
      <c r="AL3" s="291"/>
      <c r="AM3" s="291"/>
      <c r="AN3" s="291"/>
      <c r="AO3" s="292"/>
      <c r="AP3" s="109"/>
      <c r="AQ3" s="110"/>
      <c r="AR3" s="110"/>
      <c r="AS3" s="111"/>
      <c r="AT3" s="115"/>
      <c r="AU3" s="116"/>
      <c r="AV3" s="116"/>
      <c r="AW3" s="116"/>
      <c r="AX3" s="117"/>
      <c r="AY3" s="109"/>
      <c r="AZ3" s="110"/>
      <c r="BA3" s="110"/>
      <c r="BB3" s="111"/>
      <c r="BC3" s="115"/>
      <c r="BD3" s="116"/>
      <c r="BE3" s="116"/>
      <c r="BF3" s="116"/>
      <c r="BG3" s="117"/>
      <c r="BH3" s="109"/>
      <c r="BI3" s="110"/>
      <c r="BJ3" s="110"/>
      <c r="BK3" s="111"/>
    </row>
    <row r="4" spans="1:63" ht="24.95" customHeight="1" x14ac:dyDescent="0.25">
      <c r="A4" s="253" t="s">
        <v>246</v>
      </c>
      <c r="B4" s="254"/>
      <c r="C4" s="254"/>
      <c r="D4" s="254"/>
      <c r="E4" s="254"/>
      <c r="F4" s="254"/>
      <c r="G4" s="255"/>
      <c r="H4" s="256" t="str">
        <f>IF(表紙!H4="","",表紙!H4)</f>
        <v>71_レジマスタ設定</v>
      </c>
      <c r="I4" s="257"/>
      <c r="J4" s="257"/>
      <c r="K4" s="257"/>
      <c r="L4" s="257"/>
      <c r="M4" s="257"/>
      <c r="N4" s="257"/>
      <c r="O4" s="257"/>
      <c r="P4" s="257"/>
      <c r="Q4" s="257"/>
      <c r="R4" s="257"/>
      <c r="S4" s="257"/>
      <c r="T4" s="258"/>
      <c r="U4" s="253" t="s">
        <v>247</v>
      </c>
      <c r="V4" s="254"/>
      <c r="W4" s="254"/>
      <c r="X4" s="254"/>
      <c r="Y4" s="255"/>
      <c r="Z4" s="256" t="str">
        <f>IF(表紙!Z4="","",表紙!Z4)</f>
        <v>画面設計書</v>
      </c>
      <c r="AA4" s="257"/>
      <c r="AB4" s="257"/>
      <c r="AC4" s="257"/>
      <c r="AD4" s="257"/>
      <c r="AE4" s="257"/>
      <c r="AF4" s="257"/>
      <c r="AG4" s="257"/>
      <c r="AH4" s="257"/>
      <c r="AI4" s="257"/>
      <c r="AJ4" s="257"/>
      <c r="AK4" s="257"/>
      <c r="AL4" s="257"/>
      <c r="AM4" s="257"/>
      <c r="AN4" s="257"/>
      <c r="AO4" s="258"/>
      <c r="AP4" s="259" t="str">
        <f ca="1">MID(CELL("filename",A1),FIND("]",CELL("filename",A1))+1,255)</f>
        <v>SC7101</v>
      </c>
      <c r="AQ4" s="257"/>
      <c r="AR4" s="257"/>
      <c r="AS4" s="257"/>
      <c r="AT4" s="257"/>
      <c r="AU4" s="257"/>
      <c r="AV4" s="257"/>
      <c r="AW4" s="257"/>
      <c r="AX4" s="257"/>
      <c r="AY4" s="257"/>
      <c r="AZ4" s="257"/>
      <c r="BA4" s="257"/>
      <c r="BB4" s="257"/>
      <c r="BC4" s="257"/>
      <c r="BD4" s="257"/>
      <c r="BE4" s="257"/>
      <c r="BF4" s="257"/>
      <c r="BG4" s="257"/>
      <c r="BH4" s="257"/>
      <c r="BI4" s="257"/>
      <c r="BJ4" s="257"/>
      <c r="BK4" s="258"/>
    </row>
    <row r="5" spans="1:63" ht="5.0999999999999996" customHeight="1" x14ac:dyDescent="0.2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9"/>
    </row>
    <row r="6" spans="1:63" ht="15" customHeight="1" x14ac:dyDescent="0.25">
      <c r="A6" s="20"/>
      <c r="BK6" s="21"/>
    </row>
    <row r="7" spans="1:63" ht="15" customHeight="1" x14ac:dyDescent="0.25">
      <c r="A7" s="20"/>
      <c r="B7" s="22" t="s">
        <v>268</v>
      </c>
      <c r="C7" s="35"/>
      <c r="D7" s="35"/>
      <c r="E7" s="35"/>
      <c r="F7" s="35"/>
      <c r="G7" s="35"/>
      <c r="H7" s="35"/>
      <c r="I7" s="35"/>
      <c r="J7" s="35"/>
      <c r="AE7" s="22"/>
      <c r="BK7" s="21"/>
    </row>
    <row r="8" spans="1:63" ht="15" customHeight="1" x14ac:dyDescent="0.25">
      <c r="A8" s="20"/>
      <c r="BK8" s="21"/>
    </row>
    <row r="9" spans="1:63" ht="15" customHeight="1" x14ac:dyDescent="0.25">
      <c r="A9" s="20"/>
      <c r="BK9" s="21"/>
    </row>
    <row r="10" spans="1:63" ht="15" customHeight="1" x14ac:dyDescent="0.25">
      <c r="A10" s="20"/>
      <c r="BK10" s="21"/>
    </row>
    <row r="11" spans="1:63" ht="15" customHeight="1" x14ac:dyDescent="0.25">
      <c r="A11" s="20"/>
      <c r="BK11" s="21"/>
    </row>
    <row r="12" spans="1:63" ht="15" customHeight="1" x14ac:dyDescent="0.25">
      <c r="A12" s="20"/>
      <c r="BK12" s="21"/>
    </row>
    <row r="13" spans="1:63" ht="15" customHeight="1" x14ac:dyDescent="0.25">
      <c r="A13" s="20"/>
      <c r="BK13" s="21"/>
    </row>
    <row r="14" spans="1:63" ht="15" customHeight="1" x14ac:dyDescent="0.25">
      <c r="A14" s="20"/>
      <c r="BK14" s="21"/>
    </row>
    <row r="15" spans="1:63" ht="15" customHeight="1" x14ac:dyDescent="0.25">
      <c r="A15" s="20"/>
      <c r="BK15" s="21"/>
    </row>
    <row r="16" spans="1:63" ht="15" customHeight="1" x14ac:dyDescent="0.25">
      <c r="A16" s="20"/>
      <c r="BK16" s="21"/>
    </row>
    <row r="17" spans="1:63" ht="15" customHeight="1" x14ac:dyDescent="0.25">
      <c r="A17" s="20"/>
      <c r="BK17" s="21"/>
    </row>
    <row r="18" spans="1:63" ht="15" customHeight="1" x14ac:dyDescent="0.25">
      <c r="A18" s="20"/>
      <c r="BK18" s="21"/>
    </row>
    <row r="19" spans="1:63" ht="15" customHeight="1" x14ac:dyDescent="0.25">
      <c r="A19" s="20"/>
      <c r="BK19" s="21"/>
    </row>
    <row r="20" spans="1:63" ht="15" customHeight="1" x14ac:dyDescent="0.25">
      <c r="A20" s="20"/>
      <c r="BK20" s="21"/>
    </row>
    <row r="21" spans="1:63" ht="15" customHeight="1" x14ac:dyDescent="0.25">
      <c r="A21" s="20"/>
      <c r="BK21" s="21"/>
    </row>
    <row r="22" spans="1:63" ht="15" customHeight="1" x14ac:dyDescent="0.25">
      <c r="A22" s="20"/>
      <c r="BK22" s="21"/>
    </row>
    <row r="23" spans="1:63" ht="15" customHeight="1" x14ac:dyDescent="0.25">
      <c r="A23" s="20"/>
      <c r="BK23" s="21"/>
    </row>
    <row r="24" spans="1:63" ht="15" customHeight="1" x14ac:dyDescent="0.25">
      <c r="A24" s="20"/>
      <c r="BK24" s="21"/>
    </row>
    <row r="25" spans="1:63" ht="15" customHeight="1" x14ac:dyDescent="0.25">
      <c r="A25" s="20"/>
      <c r="BK25" s="21"/>
    </row>
    <row r="26" spans="1:63" ht="15" customHeight="1" x14ac:dyDescent="0.25">
      <c r="A26" s="20"/>
      <c r="BK26" s="21"/>
    </row>
    <row r="27" spans="1:63" ht="15" customHeight="1" x14ac:dyDescent="0.25">
      <c r="A27" s="20"/>
      <c r="BK27" s="21"/>
    </row>
    <row r="28" spans="1:63" ht="15" customHeight="1" x14ac:dyDescent="0.25">
      <c r="A28" s="20"/>
      <c r="BK28" s="21"/>
    </row>
    <row r="29" spans="1:63" ht="15" customHeight="1" x14ac:dyDescent="0.25">
      <c r="A29" s="20"/>
      <c r="BK29" s="21"/>
    </row>
    <row r="30" spans="1:63" ht="15" customHeight="1" x14ac:dyDescent="0.25">
      <c r="A30" s="20"/>
      <c r="BK30" s="21"/>
    </row>
    <row r="31" spans="1:63" ht="15" customHeight="1" x14ac:dyDescent="0.25">
      <c r="A31" s="20"/>
      <c r="BK31" s="21"/>
    </row>
    <row r="32" spans="1:63" ht="15" customHeight="1" x14ac:dyDescent="0.25">
      <c r="A32" s="20"/>
      <c r="BK32" s="21"/>
    </row>
    <row r="33" spans="1:63" ht="15" customHeight="1" x14ac:dyDescent="0.25">
      <c r="A33" s="20"/>
      <c r="BK33" s="21"/>
    </row>
    <row r="34" spans="1:63" ht="15" customHeight="1" x14ac:dyDescent="0.25">
      <c r="A34" s="20"/>
      <c r="BK34" s="21"/>
    </row>
    <row r="35" spans="1:63" ht="14.25" customHeight="1" x14ac:dyDescent="0.25">
      <c r="A35" s="20"/>
      <c r="BK35" s="21"/>
    </row>
    <row r="36" spans="1:63" ht="15" customHeight="1" x14ac:dyDescent="0.25">
      <c r="A36" s="20"/>
      <c r="BK36" s="21"/>
    </row>
    <row r="37" spans="1:63" ht="15" customHeight="1" x14ac:dyDescent="0.25">
      <c r="A37" s="20"/>
      <c r="BK37" s="21"/>
    </row>
    <row r="38" spans="1:63" x14ac:dyDescent="0.25">
      <c r="A38" s="20"/>
      <c r="BK38" s="21"/>
    </row>
    <row r="39" spans="1:63" x14ac:dyDescent="0.25">
      <c r="A39" s="20"/>
      <c r="BK39" s="21"/>
    </row>
    <row r="40" spans="1:63" x14ac:dyDescent="0.25">
      <c r="A40" s="20"/>
      <c r="BK40" s="21"/>
    </row>
    <row r="41" spans="1:63" x14ac:dyDescent="0.25">
      <c r="A41" s="20"/>
      <c r="BK41" s="21"/>
    </row>
    <row r="42" spans="1:63" x14ac:dyDescent="0.25">
      <c r="A42" s="20"/>
      <c r="BK42" s="21"/>
    </row>
    <row r="43" spans="1:63" x14ac:dyDescent="0.25">
      <c r="A43" s="20"/>
      <c r="BK43" s="21"/>
    </row>
    <row r="44" spans="1:63" x14ac:dyDescent="0.25">
      <c r="A44" s="20"/>
      <c r="BK44" s="21"/>
    </row>
    <row r="45" spans="1:63" x14ac:dyDescent="0.25">
      <c r="A45" s="20"/>
      <c r="BK45" s="21"/>
    </row>
    <row r="46" spans="1:63" x14ac:dyDescent="0.25">
      <c r="A46" s="20"/>
      <c r="BK46" s="21"/>
    </row>
    <row r="47" spans="1:63" x14ac:dyDescent="0.25">
      <c r="A47" s="20"/>
      <c r="BK47" s="21"/>
    </row>
    <row r="48" spans="1:63" x14ac:dyDescent="0.25">
      <c r="A48" s="20"/>
      <c r="BK48" s="21"/>
    </row>
    <row r="49" spans="1:63" x14ac:dyDescent="0.25">
      <c r="A49" s="20"/>
      <c r="BK49" s="21"/>
    </row>
    <row r="50" spans="1:63" x14ac:dyDescent="0.25">
      <c r="A50" s="20"/>
      <c r="BK50" s="21"/>
    </row>
    <row r="51" spans="1:63" x14ac:dyDescent="0.25">
      <c r="A51" s="20"/>
      <c r="BK51" s="21"/>
    </row>
    <row r="52" spans="1:63" x14ac:dyDescent="0.25">
      <c r="A52" s="20"/>
      <c r="BK52" s="21"/>
    </row>
    <row r="53" spans="1:63" x14ac:dyDescent="0.25">
      <c r="A53" s="20"/>
      <c r="BK53" s="21"/>
    </row>
    <row r="54" spans="1:63" x14ac:dyDescent="0.25">
      <c r="A54" s="20"/>
      <c r="BK54" s="21"/>
    </row>
    <row r="55" spans="1:63" x14ac:dyDescent="0.25">
      <c r="A55" s="20"/>
      <c r="BK55" s="21"/>
    </row>
    <row r="56" spans="1:63" x14ac:dyDescent="0.25">
      <c r="A56" s="20"/>
      <c r="BK56" s="21"/>
    </row>
    <row r="57" spans="1:63" x14ac:dyDescent="0.25">
      <c r="A57" s="20"/>
      <c r="BK57" s="21"/>
    </row>
    <row r="58" spans="1:63" x14ac:dyDescent="0.25">
      <c r="A58" s="20"/>
      <c r="BK58" s="21"/>
    </row>
    <row r="59" spans="1:63" x14ac:dyDescent="0.25">
      <c r="A59" s="20"/>
      <c r="BK59" s="21"/>
    </row>
    <row r="60" spans="1:63" x14ac:dyDescent="0.25">
      <c r="A60" s="20"/>
      <c r="BK60" s="21"/>
    </row>
    <row r="61" spans="1:63" x14ac:dyDescent="0.25">
      <c r="A61" s="20"/>
      <c r="BK61" s="21"/>
    </row>
    <row r="62" spans="1:63" x14ac:dyDescent="0.25">
      <c r="A62" s="20"/>
      <c r="BK62" s="21"/>
    </row>
    <row r="63" spans="1:63" x14ac:dyDescent="0.25">
      <c r="A63" s="20"/>
      <c r="BK63" s="21"/>
    </row>
    <row r="64" spans="1:63" ht="15" customHeight="1" x14ac:dyDescent="0.25">
      <c r="A64" s="20"/>
      <c r="B64" s="22" t="s">
        <v>269</v>
      </c>
      <c r="BK64" s="21"/>
    </row>
    <row r="65" spans="1:63" x14ac:dyDescent="0.25">
      <c r="A65" s="20"/>
      <c r="BK65" s="21"/>
    </row>
    <row r="66" spans="1:63" ht="15.75" customHeight="1" x14ac:dyDescent="0.25">
      <c r="A66" s="20"/>
      <c r="B66" s="260" t="s">
        <v>270</v>
      </c>
      <c r="C66" s="261"/>
      <c r="D66" s="266" t="s">
        <v>271</v>
      </c>
      <c r="E66" s="267"/>
      <c r="F66" s="267"/>
      <c r="G66" s="267"/>
      <c r="H66" s="267"/>
      <c r="I66" s="267"/>
      <c r="J66" s="261"/>
      <c r="K66" s="266" t="s">
        <v>272</v>
      </c>
      <c r="L66" s="267"/>
      <c r="M66" s="261"/>
      <c r="N66" s="270" t="s">
        <v>17</v>
      </c>
      <c r="O66" s="273" t="s">
        <v>273</v>
      </c>
      <c r="P66" s="217" t="s">
        <v>274</v>
      </c>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9"/>
      <c r="AR66" s="220" t="s">
        <v>275</v>
      </c>
      <c r="AS66" s="221"/>
      <c r="AT66" s="221"/>
      <c r="AU66" s="221"/>
      <c r="AV66" s="221"/>
      <c r="AW66" s="221"/>
      <c r="AX66" s="221"/>
      <c r="AY66" s="221"/>
      <c r="AZ66" s="221"/>
      <c r="BA66" s="221"/>
      <c r="BB66" s="222"/>
      <c r="BC66" s="223" t="s">
        <v>276</v>
      </c>
      <c r="BD66" s="224"/>
      <c r="BE66" s="224"/>
      <c r="BF66" s="224"/>
      <c r="BG66" s="224"/>
      <c r="BH66" s="224"/>
      <c r="BI66" s="224"/>
      <c r="BJ66" s="225"/>
      <c r="BK66" s="21"/>
    </row>
    <row r="67" spans="1:63" ht="15.75" customHeight="1" x14ac:dyDescent="0.25">
      <c r="A67" s="20"/>
      <c r="B67" s="262"/>
      <c r="C67" s="263"/>
      <c r="D67" s="262"/>
      <c r="E67" s="268"/>
      <c r="F67" s="268"/>
      <c r="G67" s="268"/>
      <c r="H67" s="268"/>
      <c r="I67" s="268"/>
      <c r="J67" s="263"/>
      <c r="K67" s="262"/>
      <c r="L67" s="268"/>
      <c r="M67" s="263"/>
      <c r="N67" s="271"/>
      <c r="O67" s="274"/>
      <c r="P67" s="232" t="s">
        <v>277</v>
      </c>
      <c r="Q67" s="233"/>
      <c r="R67" s="233"/>
      <c r="S67" s="233"/>
      <c r="T67" s="233"/>
      <c r="U67" s="233"/>
      <c r="V67" s="233"/>
      <c r="W67" s="234"/>
      <c r="X67" s="235" t="s">
        <v>278</v>
      </c>
      <c r="Y67" s="236"/>
      <c r="Z67" s="237"/>
      <c r="AA67" s="235" t="s">
        <v>279</v>
      </c>
      <c r="AB67" s="236"/>
      <c r="AC67" s="236"/>
      <c r="AD67" s="236"/>
      <c r="AE67" s="236"/>
      <c r="AF67" s="236"/>
      <c r="AG67" s="236"/>
      <c r="AH67" s="237"/>
      <c r="AI67" s="235" t="s">
        <v>280</v>
      </c>
      <c r="AJ67" s="236"/>
      <c r="AK67" s="236"/>
      <c r="AL67" s="236"/>
      <c r="AM67" s="236"/>
      <c r="AN67" s="236"/>
      <c r="AO67" s="236"/>
      <c r="AP67" s="236"/>
      <c r="AQ67" s="237"/>
      <c r="AR67" s="241" t="s">
        <v>281</v>
      </c>
      <c r="AS67" s="243" t="s">
        <v>282</v>
      </c>
      <c r="AT67" s="245" t="s">
        <v>283</v>
      </c>
      <c r="AU67" s="220" t="s">
        <v>277</v>
      </c>
      <c r="AV67" s="221"/>
      <c r="AW67" s="221"/>
      <c r="AX67" s="221"/>
      <c r="AY67" s="221"/>
      <c r="AZ67" s="221"/>
      <c r="BA67" s="221"/>
      <c r="BB67" s="222"/>
      <c r="BC67" s="226"/>
      <c r="BD67" s="227"/>
      <c r="BE67" s="227"/>
      <c r="BF67" s="227"/>
      <c r="BG67" s="227"/>
      <c r="BH67" s="227"/>
      <c r="BI67" s="227"/>
      <c r="BJ67" s="228"/>
      <c r="BK67" s="21"/>
    </row>
    <row r="68" spans="1:63" x14ac:dyDescent="0.25">
      <c r="A68" s="20"/>
      <c r="B68" s="264"/>
      <c r="C68" s="265"/>
      <c r="D68" s="264"/>
      <c r="E68" s="269"/>
      <c r="F68" s="269"/>
      <c r="G68" s="269"/>
      <c r="H68" s="269"/>
      <c r="I68" s="269"/>
      <c r="J68" s="265"/>
      <c r="K68" s="264"/>
      <c r="L68" s="269"/>
      <c r="M68" s="265"/>
      <c r="N68" s="272"/>
      <c r="O68" s="275"/>
      <c r="P68" s="217" t="s">
        <v>284</v>
      </c>
      <c r="Q68" s="218"/>
      <c r="R68" s="218"/>
      <c r="S68" s="219"/>
      <c r="T68" s="217" t="s">
        <v>271</v>
      </c>
      <c r="U68" s="218"/>
      <c r="V68" s="218"/>
      <c r="W68" s="219"/>
      <c r="X68" s="238"/>
      <c r="Y68" s="239"/>
      <c r="Z68" s="240"/>
      <c r="AA68" s="238"/>
      <c r="AB68" s="239"/>
      <c r="AC68" s="239"/>
      <c r="AD68" s="239"/>
      <c r="AE68" s="239"/>
      <c r="AF68" s="239"/>
      <c r="AG68" s="239"/>
      <c r="AH68" s="240"/>
      <c r="AI68" s="238"/>
      <c r="AJ68" s="239"/>
      <c r="AK68" s="239"/>
      <c r="AL68" s="239"/>
      <c r="AM68" s="239"/>
      <c r="AN68" s="239"/>
      <c r="AO68" s="239"/>
      <c r="AP68" s="239"/>
      <c r="AQ68" s="240"/>
      <c r="AR68" s="242"/>
      <c r="AS68" s="244"/>
      <c r="AT68" s="246"/>
      <c r="AU68" s="220" t="s">
        <v>284</v>
      </c>
      <c r="AV68" s="221"/>
      <c r="AW68" s="221"/>
      <c r="AX68" s="276"/>
      <c r="AY68" s="277" t="s">
        <v>271</v>
      </c>
      <c r="AZ68" s="221"/>
      <c r="BA68" s="221"/>
      <c r="BB68" s="222"/>
      <c r="BC68" s="229"/>
      <c r="BD68" s="230"/>
      <c r="BE68" s="230"/>
      <c r="BF68" s="230"/>
      <c r="BG68" s="230"/>
      <c r="BH68" s="230"/>
      <c r="BI68" s="230"/>
      <c r="BJ68" s="231"/>
      <c r="BK68" s="21"/>
    </row>
    <row r="69" spans="1:63" ht="15.75" customHeight="1" x14ac:dyDescent="0.25">
      <c r="A69" s="20"/>
      <c r="B69" s="210">
        <v>0</v>
      </c>
      <c r="C69" s="211"/>
      <c r="D69" s="212" t="s">
        <v>39</v>
      </c>
      <c r="E69" s="213"/>
      <c r="F69" s="213"/>
      <c r="G69" s="213"/>
      <c r="H69" s="213"/>
      <c r="I69" s="213"/>
      <c r="J69" s="214"/>
      <c r="K69" s="172" t="s">
        <v>26</v>
      </c>
      <c r="L69" s="173"/>
      <c r="M69" s="174"/>
      <c r="N69" s="28" t="s">
        <v>27</v>
      </c>
      <c r="O69" s="23" t="s">
        <v>28</v>
      </c>
      <c r="P69" s="215" t="s">
        <v>27</v>
      </c>
      <c r="Q69" s="216"/>
      <c r="R69" s="216"/>
      <c r="S69" s="211"/>
      <c r="T69" s="215" t="s">
        <v>27</v>
      </c>
      <c r="U69" s="216"/>
      <c r="V69" s="216"/>
      <c r="W69" s="211"/>
      <c r="X69" s="247" t="s">
        <v>285</v>
      </c>
      <c r="Y69" s="248"/>
      <c r="Z69" s="249"/>
      <c r="AA69" s="210" t="s">
        <v>29</v>
      </c>
      <c r="AB69" s="216"/>
      <c r="AC69" s="216"/>
      <c r="AD69" s="216"/>
      <c r="AE69" s="216"/>
      <c r="AF69" s="216"/>
      <c r="AG69" s="216"/>
      <c r="AH69" s="211"/>
      <c r="AI69" s="210" t="s">
        <v>27</v>
      </c>
      <c r="AJ69" s="216"/>
      <c r="AK69" s="216"/>
      <c r="AL69" s="216"/>
      <c r="AM69" s="216"/>
      <c r="AN69" s="216"/>
      <c r="AO69" s="216"/>
      <c r="AP69" s="216"/>
      <c r="AQ69" s="211"/>
      <c r="AR69" s="24" t="s">
        <v>27</v>
      </c>
      <c r="AS69" s="24" t="s">
        <v>29</v>
      </c>
      <c r="AT69" s="24" t="s">
        <v>29</v>
      </c>
      <c r="AU69" s="210" t="s">
        <v>30</v>
      </c>
      <c r="AV69" s="216"/>
      <c r="AW69" s="216"/>
      <c r="AX69" s="211"/>
      <c r="AY69" s="210" t="s">
        <v>29</v>
      </c>
      <c r="AZ69" s="216"/>
      <c r="BA69" s="216"/>
      <c r="BB69" s="211"/>
      <c r="BC69" s="250" t="s">
        <v>87</v>
      </c>
      <c r="BD69" s="251"/>
      <c r="BE69" s="251"/>
      <c r="BF69" s="251"/>
      <c r="BG69" s="251"/>
      <c r="BH69" s="251"/>
      <c r="BI69" s="251"/>
      <c r="BJ69" s="252"/>
      <c r="BK69" s="21"/>
    </row>
    <row r="70" spans="1:63" x14ac:dyDescent="0.25">
      <c r="A70" s="20"/>
      <c r="B70" s="163">
        <v>1</v>
      </c>
      <c r="C70" s="165"/>
      <c r="D70" s="206" t="s">
        <v>40</v>
      </c>
      <c r="E70" s="207"/>
      <c r="F70" s="207"/>
      <c r="G70" s="207"/>
      <c r="H70" s="207"/>
      <c r="I70" s="207"/>
      <c r="J70" s="208"/>
      <c r="K70" s="172" t="s">
        <v>26</v>
      </c>
      <c r="L70" s="173"/>
      <c r="M70" s="174"/>
      <c r="N70" s="23" t="s">
        <v>27</v>
      </c>
      <c r="O70" s="23" t="s">
        <v>28</v>
      </c>
      <c r="P70" s="163" t="s">
        <v>30</v>
      </c>
      <c r="Q70" s="164"/>
      <c r="R70" s="164"/>
      <c r="S70" s="165"/>
      <c r="T70" s="163" t="s">
        <v>30</v>
      </c>
      <c r="U70" s="164"/>
      <c r="V70" s="164"/>
      <c r="W70" s="165"/>
      <c r="X70" s="202" t="s">
        <v>286</v>
      </c>
      <c r="Y70" s="203"/>
      <c r="Z70" s="204"/>
      <c r="AA70" s="163" t="s">
        <v>29</v>
      </c>
      <c r="AB70" s="164"/>
      <c r="AC70" s="164"/>
      <c r="AD70" s="164"/>
      <c r="AE70" s="164"/>
      <c r="AF70" s="164"/>
      <c r="AG70" s="164"/>
      <c r="AH70" s="165"/>
      <c r="AI70" s="163" t="s">
        <v>29</v>
      </c>
      <c r="AJ70" s="164"/>
      <c r="AK70" s="164"/>
      <c r="AL70" s="164"/>
      <c r="AM70" s="164"/>
      <c r="AN70" s="164"/>
      <c r="AO70" s="164"/>
      <c r="AP70" s="164"/>
      <c r="AQ70" s="165"/>
      <c r="AR70" s="25" t="s">
        <v>27</v>
      </c>
      <c r="AS70" s="25" t="s">
        <v>29</v>
      </c>
      <c r="AT70" s="25" t="s">
        <v>29</v>
      </c>
      <c r="AU70" s="163" t="s">
        <v>30</v>
      </c>
      <c r="AV70" s="164"/>
      <c r="AW70" s="164"/>
      <c r="AX70" s="165"/>
      <c r="AY70" s="163" t="s">
        <v>29</v>
      </c>
      <c r="AZ70" s="164"/>
      <c r="BA70" s="164"/>
      <c r="BB70" s="165"/>
      <c r="BC70" s="201"/>
      <c r="BD70" s="161"/>
      <c r="BE70" s="161"/>
      <c r="BF70" s="161"/>
      <c r="BG70" s="161"/>
      <c r="BH70" s="161"/>
      <c r="BI70" s="161"/>
      <c r="BJ70" s="162"/>
      <c r="BK70" s="21"/>
    </row>
    <row r="71" spans="1:63" x14ac:dyDescent="0.25">
      <c r="A71" s="20"/>
      <c r="B71" s="163">
        <v>1.1000000000000001</v>
      </c>
      <c r="C71" s="165"/>
      <c r="D71" s="169" t="s">
        <v>41</v>
      </c>
      <c r="E71" s="170"/>
      <c r="F71" s="170"/>
      <c r="G71" s="170"/>
      <c r="H71" s="170"/>
      <c r="I71" s="170"/>
      <c r="J71" s="171"/>
      <c r="K71" s="172" t="s">
        <v>26</v>
      </c>
      <c r="L71" s="173"/>
      <c r="M71" s="174"/>
      <c r="N71" s="23" t="s">
        <v>31</v>
      </c>
      <c r="O71" s="23" t="s">
        <v>27</v>
      </c>
      <c r="P71" s="191" t="s">
        <v>104</v>
      </c>
      <c r="Q71" s="192"/>
      <c r="R71" s="192"/>
      <c r="S71" s="193"/>
      <c r="T71" s="209" t="s">
        <v>105</v>
      </c>
      <c r="U71" s="199"/>
      <c r="V71" s="199"/>
      <c r="W71" s="200"/>
      <c r="X71" s="181" t="s">
        <v>27</v>
      </c>
      <c r="Y71" s="182"/>
      <c r="Z71" s="183"/>
      <c r="AA71" s="163"/>
      <c r="AB71" s="164"/>
      <c r="AC71" s="164"/>
      <c r="AD71" s="164"/>
      <c r="AE71" s="164"/>
      <c r="AF71" s="164"/>
      <c r="AG71" s="164"/>
      <c r="AH71" s="165"/>
      <c r="AI71" s="163"/>
      <c r="AJ71" s="164"/>
      <c r="AK71" s="164"/>
      <c r="AL71" s="164"/>
      <c r="AM71" s="164"/>
      <c r="AN71" s="164"/>
      <c r="AO71" s="164"/>
      <c r="AP71" s="164"/>
      <c r="AQ71" s="165"/>
      <c r="AR71" s="25"/>
      <c r="AS71" s="25"/>
      <c r="AT71" s="25"/>
      <c r="AU71" s="163"/>
      <c r="AV71" s="164"/>
      <c r="AW71" s="164"/>
      <c r="AX71" s="165"/>
      <c r="AY71" s="163"/>
      <c r="AZ71" s="164"/>
      <c r="BA71" s="164"/>
      <c r="BB71" s="165"/>
      <c r="BC71" s="160"/>
      <c r="BD71" s="161"/>
      <c r="BE71" s="161"/>
      <c r="BF71" s="161"/>
      <c r="BG71" s="161"/>
      <c r="BH71" s="161"/>
      <c r="BI71" s="161"/>
      <c r="BJ71" s="162"/>
      <c r="BK71" s="21"/>
    </row>
    <row r="72" spans="1:63" ht="30.75" customHeight="1" x14ac:dyDescent="0.25">
      <c r="A72" s="20"/>
      <c r="B72" s="163">
        <v>2</v>
      </c>
      <c r="C72" s="165"/>
      <c r="D72" s="188" t="s">
        <v>110</v>
      </c>
      <c r="E72" s="189"/>
      <c r="F72" s="189"/>
      <c r="G72" s="189"/>
      <c r="H72" s="189"/>
      <c r="I72" s="189"/>
      <c r="J72" s="190"/>
      <c r="K72" s="172" t="s">
        <v>26</v>
      </c>
      <c r="L72" s="173"/>
      <c r="M72" s="174"/>
      <c r="N72" s="23" t="s">
        <v>27</v>
      </c>
      <c r="O72" s="23" t="s">
        <v>28</v>
      </c>
      <c r="P72" s="205" t="s">
        <v>27</v>
      </c>
      <c r="Q72" s="192"/>
      <c r="R72" s="192"/>
      <c r="S72" s="193"/>
      <c r="T72" s="191"/>
      <c r="U72" s="192"/>
      <c r="V72" s="192"/>
      <c r="W72" s="193"/>
      <c r="X72" s="181" t="s">
        <v>287</v>
      </c>
      <c r="Y72" s="182"/>
      <c r="Z72" s="183"/>
      <c r="AA72" s="163" t="s">
        <v>29</v>
      </c>
      <c r="AB72" s="164"/>
      <c r="AC72" s="164"/>
      <c r="AD72" s="164"/>
      <c r="AE72" s="164"/>
      <c r="AF72" s="164"/>
      <c r="AG72" s="164"/>
      <c r="AH72" s="165"/>
      <c r="AI72" s="163" t="s">
        <v>29</v>
      </c>
      <c r="AJ72" s="164"/>
      <c r="AK72" s="164"/>
      <c r="AL72" s="164"/>
      <c r="AM72" s="164"/>
      <c r="AN72" s="164"/>
      <c r="AO72" s="164"/>
      <c r="AP72" s="164"/>
      <c r="AQ72" s="165"/>
      <c r="AR72" s="25" t="s">
        <v>27</v>
      </c>
      <c r="AS72" s="25" t="s">
        <v>29</v>
      </c>
      <c r="AT72" s="25" t="s">
        <v>29</v>
      </c>
      <c r="AU72" s="163" t="s">
        <v>30</v>
      </c>
      <c r="AV72" s="164"/>
      <c r="AW72" s="164"/>
      <c r="AX72" s="165"/>
      <c r="AY72" s="163" t="s">
        <v>29</v>
      </c>
      <c r="AZ72" s="164"/>
      <c r="BA72" s="164"/>
      <c r="BB72" s="165"/>
      <c r="BC72" s="160"/>
      <c r="BD72" s="161"/>
      <c r="BE72" s="161"/>
      <c r="BF72" s="161"/>
      <c r="BG72" s="161"/>
      <c r="BH72" s="161"/>
      <c r="BI72" s="161"/>
      <c r="BJ72" s="162"/>
      <c r="BK72" s="21"/>
    </row>
    <row r="73" spans="1:63" ht="30.75" customHeight="1" x14ac:dyDescent="0.25">
      <c r="A73" s="20"/>
      <c r="B73" s="163">
        <v>2.1</v>
      </c>
      <c r="C73" s="165"/>
      <c r="D73" s="194" t="s">
        <v>111</v>
      </c>
      <c r="E73" s="195"/>
      <c r="F73" s="195"/>
      <c r="G73" s="195"/>
      <c r="H73" s="195"/>
      <c r="I73" s="195"/>
      <c r="J73" s="196"/>
      <c r="K73" s="172" t="s">
        <v>26</v>
      </c>
      <c r="L73" s="173"/>
      <c r="M73" s="174"/>
      <c r="N73" s="23" t="s">
        <v>31</v>
      </c>
      <c r="O73" s="23" t="s">
        <v>27</v>
      </c>
      <c r="P73" s="197" t="s">
        <v>104</v>
      </c>
      <c r="Q73" s="176"/>
      <c r="R73" s="176"/>
      <c r="S73" s="177"/>
      <c r="T73" s="198" t="s">
        <v>288</v>
      </c>
      <c r="U73" s="199"/>
      <c r="V73" s="199"/>
      <c r="W73" s="200"/>
      <c r="X73" s="184" t="s">
        <v>32</v>
      </c>
      <c r="Y73" s="164"/>
      <c r="Z73" s="165"/>
      <c r="AA73" s="163" t="s">
        <v>29</v>
      </c>
      <c r="AB73" s="164"/>
      <c r="AC73" s="164"/>
      <c r="AD73" s="164"/>
      <c r="AE73" s="164"/>
      <c r="AF73" s="164"/>
      <c r="AG73" s="164"/>
      <c r="AH73" s="165"/>
      <c r="AI73" s="163" t="s">
        <v>29</v>
      </c>
      <c r="AJ73" s="164"/>
      <c r="AK73" s="164"/>
      <c r="AL73" s="164"/>
      <c r="AM73" s="164"/>
      <c r="AN73" s="164"/>
      <c r="AO73" s="164"/>
      <c r="AP73" s="164"/>
      <c r="AQ73" s="165"/>
      <c r="AR73" s="25" t="s">
        <v>27</v>
      </c>
      <c r="AS73" s="25" t="s">
        <v>29</v>
      </c>
      <c r="AT73" s="25" t="s">
        <v>29</v>
      </c>
      <c r="AU73" s="163" t="s">
        <v>30</v>
      </c>
      <c r="AV73" s="164"/>
      <c r="AW73" s="164"/>
      <c r="AX73" s="165"/>
      <c r="AY73" s="163" t="s">
        <v>29</v>
      </c>
      <c r="AZ73" s="164"/>
      <c r="BA73" s="164"/>
      <c r="BB73" s="165"/>
      <c r="BC73" s="185"/>
      <c r="BD73" s="186"/>
      <c r="BE73" s="186"/>
      <c r="BF73" s="186"/>
      <c r="BG73" s="186"/>
      <c r="BH73" s="186"/>
      <c r="BI73" s="186"/>
      <c r="BJ73" s="187"/>
      <c r="BK73" s="21"/>
    </row>
    <row r="74" spans="1:63" x14ac:dyDescent="0.25">
      <c r="A74" s="20"/>
      <c r="B74" s="163">
        <v>3</v>
      </c>
      <c r="C74" s="165"/>
      <c r="D74" s="188" t="s">
        <v>112</v>
      </c>
      <c r="E74" s="189"/>
      <c r="F74" s="189"/>
      <c r="G74" s="189"/>
      <c r="H74" s="189"/>
      <c r="I74" s="189"/>
      <c r="J74" s="190"/>
      <c r="K74" s="172" t="s">
        <v>26</v>
      </c>
      <c r="L74" s="173"/>
      <c r="M74" s="174"/>
      <c r="N74" s="23" t="s">
        <v>27</v>
      </c>
      <c r="O74" s="23" t="s">
        <v>28</v>
      </c>
      <c r="P74" s="191" t="s">
        <v>30</v>
      </c>
      <c r="Q74" s="192"/>
      <c r="R74" s="192"/>
      <c r="S74" s="193"/>
      <c r="T74" s="191" t="s">
        <v>30</v>
      </c>
      <c r="U74" s="192"/>
      <c r="V74" s="192"/>
      <c r="W74" s="193"/>
      <c r="X74" s="184" t="s">
        <v>235</v>
      </c>
      <c r="Y74" s="164"/>
      <c r="Z74" s="165"/>
      <c r="AA74" s="163" t="s">
        <v>29</v>
      </c>
      <c r="AB74" s="164"/>
      <c r="AC74" s="164"/>
      <c r="AD74" s="164"/>
      <c r="AE74" s="164"/>
      <c r="AF74" s="164"/>
      <c r="AG74" s="164"/>
      <c r="AH74" s="165"/>
      <c r="AI74" s="163" t="s">
        <v>29</v>
      </c>
      <c r="AJ74" s="164"/>
      <c r="AK74" s="164"/>
      <c r="AL74" s="164"/>
      <c r="AM74" s="164"/>
      <c r="AN74" s="164"/>
      <c r="AO74" s="164"/>
      <c r="AP74" s="164"/>
      <c r="AQ74" s="165"/>
      <c r="AR74" s="25" t="s">
        <v>27</v>
      </c>
      <c r="AS74" s="25" t="s">
        <v>29</v>
      </c>
      <c r="AT74" s="25" t="s">
        <v>29</v>
      </c>
      <c r="AU74" s="163" t="s">
        <v>30</v>
      </c>
      <c r="AV74" s="164"/>
      <c r="AW74" s="164"/>
      <c r="AX74" s="165"/>
      <c r="AY74" s="163" t="s">
        <v>29</v>
      </c>
      <c r="AZ74" s="164"/>
      <c r="BA74" s="164"/>
      <c r="BB74" s="165"/>
      <c r="BC74" s="160"/>
      <c r="BD74" s="161"/>
      <c r="BE74" s="161"/>
      <c r="BF74" s="161"/>
      <c r="BG74" s="161"/>
      <c r="BH74" s="161"/>
      <c r="BI74" s="161"/>
      <c r="BJ74" s="162"/>
      <c r="BK74" s="21"/>
    </row>
    <row r="75" spans="1:63" ht="57" customHeight="1" x14ac:dyDescent="0.25">
      <c r="A75" s="20"/>
      <c r="B75" s="163">
        <v>3.1</v>
      </c>
      <c r="C75" s="165"/>
      <c r="D75" s="169" t="s">
        <v>65</v>
      </c>
      <c r="E75" s="170"/>
      <c r="F75" s="170"/>
      <c r="G75" s="170"/>
      <c r="H75" s="170"/>
      <c r="I75" s="170"/>
      <c r="J75" s="171"/>
      <c r="K75" s="172" t="s">
        <v>26</v>
      </c>
      <c r="L75" s="173"/>
      <c r="M75" s="174"/>
      <c r="N75" s="23" t="s">
        <v>31</v>
      </c>
      <c r="O75" s="23" t="s">
        <v>27</v>
      </c>
      <c r="P75" s="175" t="s">
        <v>104</v>
      </c>
      <c r="Q75" s="176"/>
      <c r="R75" s="176"/>
      <c r="S75" s="177"/>
      <c r="T75" s="178" t="s">
        <v>225</v>
      </c>
      <c r="U75" s="179"/>
      <c r="V75" s="179"/>
      <c r="W75" s="180"/>
      <c r="X75" s="181" t="s">
        <v>27</v>
      </c>
      <c r="Y75" s="182"/>
      <c r="Z75" s="183"/>
      <c r="AA75" s="163" t="s">
        <v>29</v>
      </c>
      <c r="AB75" s="164"/>
      <c r="AC75" s="164"/>
      <c r="AD75" s="164"/>
      <c r="AE75" s="164"/>
      <c r="AF75" s="164"/>
      <c r="AG75" s="164"/>
      <c r="AH75" s="165"/>
      <c r="AI75" s="163" t="s">
        <v>29</v>
      </c>
      <c r="AJ75" s="164"/>
      <c r="AK75" s="164"/>
      <c r="AL75" s="164"/>
      <c r="AM75" s="164"/>
      <c r="AN75" s="164"/>
      <c r="AO75" s="164"/>
      <c r="AP75" s="164"/>
      <c r="AQ75" s="165"/>
      <c r="AR75" s="25" t="s">
        <v>27</v>
      </c>
      <c r="AS75" s="25" t="s">
        <v>29</v>
      </c>
      <c r="AT75" s="25" t="s">
        <v>29</v>
      </c>
      <c r="AU75" s="163" t="s">
        <v>30</v>
      </c>
      <c r="AV75" s="164"/>
      <c r="AW75" s="164"/>
      <c r="AX75" s="165"/>
      <c r="AY75" s="163" t="s">
        <v>29</v>
      </c>
      <c r="AZ75" s="164"/>
      <c r="BA75" s="164"/>
      <c r="BB75" s="165"/>
      <c r="BC75" s="166" t="s">
        <v>289</v>
      </c>
      <c r="BD75" s="167"/>
      <c r="BE75" s="167"/>
      <c r="BF75" s="167"/>
      <c r="BG75" s="167"/>
      <c r="BH75" s="167"/>
      <c r="BI75" s="167"/>
      <c r="BJ75" s="168"/>
      <c r="BK75" s="21"/>
    </row>
    <row r="76" spans="1:63" x14ac:dyDescent="0.25">
      <c r="A76" s="20"/>
      <c r="B76" s="163">
        <v>4</v>
      </c>
      <c r="C76" s="165"/>
      <c r="D76" s="188" t="s">
        <v>194</v>
      </c>
      <c r="E76" s="189"/>
      <c r="F76" s="189"/>
      <c r="G76" s="189"/>
      <c r="H76" s="189"/>
      <c r="I76" s="189"/>
      <c r="J76" s="190"/>
      <c r="K76" s="172" t="s">
        <v>26</v>
      </c>
      <c r="L76" s="173"/>
      <c r="M76" s="174"/>
      <c r="N76" s="23" t="s">
        <v>27</v>
      </c>
      <c r="O76" s="23" t="s">
        <v>28</v>
      </c>
      <c r="P76" s="197" t="s">
        <v>27</v>
      </c>
      <c r="Q76" s="176"/>
      <c r="R76" s="176"/>
      <c r="S76" s="177"/>
      <c r="T76" s="197" t="s">
        <v>27</v>
      </c>
      <c r="U76" s="176"/>
      <c r="V76" s="176"/>
      <c r="W76" s="177"/>
      <c r="X76" s="184" t="s">
        <v>52</v>
      </c>
      <c r="Y76" s="164"/>
      <c r="Z76" s="165"/>
      <c r="AA76" s="163" t="s">
        <v>29</v>
      </c>
      <c r="AB76" s="164"/>
      <c r="AC76" s="164"/>
      <c r="AD76" s="164"/>
      <c r="AE76" s="164"/>
      <c r="AF76" s="164"/>
      <c r="AG76" s="164"/>
      <c r="AH76" s="165"/>
      <c r="AI76" s="163" t="s">
        <v>29</v>
      </c>
      <c r="AJ76" s="164"/>
      <c r="AK76" s="164"/>
      <c r="AL76" s="164"/>
      <c r="AM76" s="164"/>
      <c r="AN76" s="164"/>
      <c r="AO76" s="164"/>
      <c r="AP76" s="164"/>
      <c r="AQ76" s="165"/>
      <c r="AR76" s="25" t="s">
        <v>27</v>
      </c>
      <c r="AS76" s="25" t="s">
        <v>29</v>
      </c>
      <c r="AT76" s="25" t="s">
        <v>29</v>
      </c>
      <c r="AU76" s="163" t="s">
        <v>30</v>
      </c>
      <c r="AV76" s="164"/>
      <c r="AW76" s="164"/>
      <c r="AX76" s="165"/>
      <c r="AY76" s="163" t="s">
        <v>29</v>
      </c>
      <c r="AZ76" s="164"/>
      <c r="BA76" s="164"/>
      <c r="BB76" s="165"/>
      <c r="BC76" s="160"/>
      <c r="BD76" s="161"/>
      <c r="BE76" s="161"/>
      <c r="BF76" s="161"/>
      <c r="BG76" s="161"/>
      <c r="BH76" s="161"/>
      <c r="BI76" s="161"/>
      <c r="BJ76" s="162"/>
      <c r="BK76" s="21"/>
    </row>
    <row r="77" spans="1:63" ht="65.25" customHeight="1" x14ac:dyDescent="0.25">
      <c r="A77" s="20"/>
      <c r="B77" s="163">
        <v>4.0999999999999996</v>
      </c>
      <c r="C77" s="165"/>
      <c r="D77" s="169" t="s">
        <v>195</v>
      </c>
      <c r="E77" s="170"/>
      <c r="F77" s="170"/>
      <c r="G77" s="170"/>
      <c r="H77" s="170"/>
      <c r="I77" s="170"/>
      <c r="J77" s="171"/>
      <c r="K77" s="172" t="s">
        <v>26</v>
      </c>
      <c r="L77" s="173"/>
      <c r="M77" s="174"/>
      <c r="N77" s="23" t="s">
        <v>31</v>
      </c>
      <c r="O77" s="23" t="s">
        <v>27</v>
      </c>
      <c r="P77" s="175" t="s">
        <v>104</v>
      </c>
      <c r="Q77" s="176"/>
      <c r="R77" s="176"/>
      <c r="S77" s="177"/>
      <c r="T77" s="178" t="s">
        <v>290</v>
      </c>
      <c r="U77" s="179"/>
      <c r="V77" s="179"/>
      <c r="W77" s="180"/>
      <c r="X77" s="181" t="s">
        <v>27</v>
      </c>
      <c r="Y77" s="182"/>
      <c r="Z77" s="183"/>
      <c r="AA77" s="163" t="s">
        <v>29</v>
      </c>
      <c r="AB77" s="164"/>
      <c r="AC77" s="164"/>
      <c r="AD77" s="164"/>
      <c r="AE77" s="164"/>
      <c r="AF77" s="164"/>
      <c r="AG77" s="164"/>
      <c r="AH77" s="165"/>
      <c r="AI77" s="163" t="s">
        <v>29</v>
      </c>
      <c r="AJ77" s="164"/>
      <c r="AK77" s="164"/>
      <c r="AL77" s="164"/>
      <c r="AM77" s="164"/>
      <c r="AN77" s="164"/>
      <c r="AO77" s="164"/>
      <c r="AP77" s="164"/>
      <c r="AQ77" s="165"/>
      <c r="AR77" s="25" t="s">
        <v>27</v>
      </c>
      <c r="AS77" s="25" t="s">
        <v>29</v>
      </c>
      <c r="AT77" s="25" t="s">
        <v>29</v>
      </c>
      <c r="AU77" s="163" t="s">
        <v>30</v>
      </c>
      <c r="AV77" s="164"/>
      <c r="AW77" s="164"/>
      <c r="AX77" s="165"/>
      <c r="AY77" s="163" t="s">
        <v>29</v>
      </c>
      <c r="AZ77" s="164"/>
      <c r="BA77" s="164"/>
      <c r="BB77" s="165"/>
      <c r="BC77" s="293" t="s">
        <v>223</v>
      </c>
      <c r="BD77" s="294"/>
      <c r="BE77" s="294"/>
      <c r="BF77" s="294"/>
      <c r="BG77" s="294"/>
      <c r="BH77" s="294"/>
      <c r="BI77" s="294"/>
      <c r="BJ77" s="295"/>
      <c r="BK77" s="21"/>
    </row>
    <row r="78" spans="1:63" x14ac:dyDescent="0.25">
      <c r="A78" s="20"/>
      <c r="B78" s="163">
        <v>5</v>
      </c>
      <c r="C78" s="165"/>
      <c r="D78" s="188" t="s">
        <v>42</v>
      </c>
      <c r="E78" s="189"/>
      <c r="F78" s="189"/>
      <c r="G78" s="189"/>
      <c r="H78" s="189"/>
      <c r="I78" s="189"/>
      <c r="J78" s="190"/>
      <c r="K78" s="172" t="s">
        <v>26</v>
      </c>
      <c r="L78" s="173"/>
      <c r="M78" s="174"/>
      <c r="N78" s="23" t="s">
        <v>27</v>
      </c>
      <c r="O78" s="23" t="s">
        <v>28</v>
      </c>
      <c r="P78" s="197" t="s">
        <v>27</v>
      </c>
      <c r="Q78" s="176"/>
      <c r="R78" s="176"/>
      <c r="S78" s="177"/>
      <c r="T78" s="197" t="s">
        <v>27</v>
      </c>
      <c r="U78" s="176"/>
      <c r="V78" s="176"/>
      <c r="W78" s="177"/>
      <c r="X78" s="296" t="s">
        <v>53</v>
      </c>
      <c r="Y78" s="297"/>
      <c r="Z78" s="298"/>
      <c r="AA78" s="163" t="s">
        <v>29</v>
      </c>
      <c r="AB78" s="164"/>
      <c r="AC78" s="164"/>
      <c r="AD78" s="164"/>
      <c r="AE78" s="164"/>
      <c r="AF78" s="164"/>
      <c r="AG78" s="164"/>
      <c r="AH78" s="165"/>
      <c r="AI78" s="163" t="s">
        <v>29</v>
      </c>
      <c r="AJ78" s="164"/>
      <c r="AK78" s="164"/>
      <c r="AL78" s="164"/>
      <c r="AM78" s="164"/>
      <c r="AN78" s="164"/>
      <c r="AO78" s="164"/>
      <c r="AP78" s="164"/>
      <c r="AQ78" s="165"/>
      <c r="AR78" s="25" t="s">
        <v>27</v>
      </c>
      <c r="AS78" s="25" t="s">
        <v>29</v>
      </c>
      <c r="AT78" s="25" t="s">
        <v>29</v>
      </c>
      <c r="AU78" s="163" t="s">
        <v>30</v>
      </c>
      <c r="AV78" s="164"/>
      <c r="AW78" s="164"/>
      <c r="AX78" s="165"/>
      <c r="AY78" s="163" t="s">
        <v>29</v>
      </c>
      <c r="AZ78" s="164"/>
      <c r="BA78" s="164"/>
      <c r="BB78" s="165"/>
      <c r="BC78" s="160"/>
      <c r="BD78" s="161"/>
      <c r="BE78" s="161"/>
      <c r="BF78" s="161"/>
      <c r="BG78" s="161"/>
      <c r="BH78" s="161"/>
      <c r="BI78" s="161"/>
      <c r="BJ78" s="162"/>
      <c r="BK78" s="21"/>
    </row>
    <row r="79" spans="1:63" ht="111" customHeight="1" x14ac:dyDescent="0.25">
      <c r="A79" s="20"/>
      <c r="B79" s="163">
        <v>5.0999999999999996</v>
      </c>
      <c r="C79" s="165"/>
      <c r="D79" s="169" t="s">
        <v>43</v>
      </c>
      <c r="E79" s="170"/>
      <c r="F79" s="170"/>
      <c r="G79" s="170"/>
      <c r="H79" s="170"/>
      <c r="I79" s="170"/>
      <c r="J79" s="171"/>
      <c r="K79" s="172" t="s">
        <v>26</v>
      </c>
      <c r="L79" s="173"/>
      <c r="M79" s="174"/>
      <c r="N79" s="23" t="s">
        <v>31</v>
      </c>
      <c r="O79" s="23" t="s">
        <v>27</v>
      </c>
      <c r="P79" s="175" t="s">
        <v>104</v>
      </c>
      <c r="Q79" s="176"/>
      <c r="R79" s="176"/>
      <c r="S79" s="177"/>
      <c r="T79" s="178" t="s">
        <v>222</v>
      </c>
      <c r="U79" s="179"/>
      <c r="V79" s="179"/>
      <c r="W79" s="180"/>
      <c r="X79" s="181" t="s">
        <v>27</v>
      </c>
      <c r="Y79" s="182"/>
      <c r="Z79" s="183"/>
      <c r="AA79" s="163" t="s">
        <v>29</v>
      </c>
      <c r="AB79" s="164"/>
      <c r="AC79" s="164"/>
      <c r="AD79" s="164"/>
      <c r="AE79" s="164"/>
      <c r="AF79" s="164"/>
      <c r="AG79" s="164"/>
      <c r="AH79" s="165"/>
      <c r="AI79" s="163" t="s">
        <v>29</v>
      </c>
      <c r="AJ79" s="164"/>
      <c r="AK79" s="164"/>
      <c r="AL79" s="164"/>
      <c r="AM79" s="164"/>
      <c r="AN79" s="164"/>
      <c r="AO79" s="164"/>
      <c r="AP79" s="164"/>
      <c r="AQ79" s="165"/>
      <c r="AR79" s="25" t="s">
        <v>27</v>
      </c>
      <c r="AS79" s="25" t="s">
        <v>29</v>
      </c>
      <c r="AT79" s="25" t="s">
        <v>29</v>
      </c>
      <c r="AU79" s="163" t="s">
        <v>30</v>
      </c>
      <c r="AV79" s="164"/>
      <c r="AW79" s="164"/>
      <c r="AX79" s="165"/>
      <c r="AY79" s="163" t="s">
        <v>29</v>
      </c>
      <c r="AZ79" s="164"/>
      <c r="BA79" s="164"/>
      <c r="BB79" s="165"/>
      <c r="BC79" s="293" t="s">
        <v>224</v>
      </c>
      <c r="BD79" s="294"/>
      <c r="BE79" s="294"/>
      <c r="BF79" s="294"/>
      <c r="BG79" s="294"/>
      <c r="BH79" s="294"/>
      <c r="BI79" s="294"/>
      <c r="BJ79" s="295"/>
      <c r="BK79" s="21"/>
    </row>
    <row r="80" spans="1:63" x14ac:dyDescent="0.25">
      <c r="A80" s="20"/>
      <c r="B80" s="492">
        <v>6</v>
      </c>
      <c r="C80" s="493"/>
      <c r="D80" s="494" t="s">
        <v>397</v>
      </c>
      <c r="E80" s="495"/>
      <c r="F80" s="495"/>
      <c r="G80" s="495"/>
      <c r="H80" s="495"/>
      <c r="I80" s="495"/>
      <c r="J80" s="496"/>
      <c r="K80" s="497" t="s">
        <v>314</v>
      </c>
      <c r="L80" s="375"/>
      <c r="M80" s="376"/>
      <c r="N80" s="498" t="s">
        <v>27</v>
      </c>
      <c r="O80" s="498" t="s">
        <v>28</v>
      </c>
      <c r="P80" s="499" t="s">
        <v>27</v>
      </c>
      <c r="Q80" s="500"/>
      <c r="R80" s="500"/>
      <c r="S80" s="501"/>
      <c r="T80" s="499" t="s">
        <v>27</v>
      </c>
      <c r="U80" s="500"/>
      <c r="V80" s="500"/>
      <c r="W80" s="501"/>
      <c r="X80" s="502" t="s">
        <v>398</v>
      </c>
      <c r="Y80" s="503"/>
      <c r="Z80" s="504"/>
      <c r="AA80" s="492" t="s">
        <v>291</v>
      </c>
      <c r="AB80" s="505"/>
      <c r="AC80" s="505"/>
      <c r="AD80" s="505"/>
      <c r="AE80" s="505"/>
      <c r="AF80" s="505"/>
      <c r="AG80" s="505"/>
      <c r="AH80" s="493"/>
      <c r="AI80" s="492" t="s">
        <v>291</v>
      </c>
      <c r="AJ80" s="505"/>
      <c r="AK80" s="505"/>
      <c r="AL80" s="505"/>
      <c r="AM80" s="505"/>
      <c r="AN80" s="505"/>
      <c r="AO80" s="505"/>
      <c r="AP80" s="505"/>
      <c r="AQ80" s="493"/>
      <c r="AR80" s="506" t="s">
        <v>27</v>
      </c>
      <c r="AS80" s="506" t="s">
        <v>291</v>
      </c>
      <c r="AT80" s="506" t="s">
        <v>291</v>
      </c>
      <c r="AU80" s="492" t="s">
        <v>27</v>
      </c>
      <c r="AV80" s="505"/>
      <c r="AW80" s="505"/>
      <c r="AX80" s="493"/>
      <c r="AY80" s="492" t="s">
        <v>291</v>
      </c>
      <c r="AZ80" s="505"/>
      <c r="BA80" s="505"/>
      <c r="BB80" s="493"/>
      <c r="BC80" s="497"/>
      <c r="BD80" s="375"/>
      <c r="BE80" s="375"/>
      <c r="BF80" s="375"/>
      <c r="BG80" s="375"/>
      <c r="BH80" s="375"/>
      <c r="BI80" s="375"/>
      <c r="BJ80" s="376"/>
      <c r="BK80" s="21"/>
    </row>
    <row r="81" spans="1:63" ht="95.25" customHeight="1" x14ac:dyDescent="0.25">
      <c r="A81" s="20"/>
      <c r="B81" s="492">
        <v>6.1</v>
      </c>
      <c r="C81" s="493"/>
      <c r="D81" s="507" t="s">
        <v>399</v>
      </c>
      <c r="E81" s="508"/>
      <c r="F81" s="508"/>
      <c r="G81" s="508"/>
      <c r="H81" s="508"/>
      <c r="I81" s="508"/>
      <c r="J81" s="509"/>
      <c r="K81" s="497" t="s">
        <v>314</v>
      </c>
      <c r="L81" s="375"/>
      <c r="M81" s="376"/>
      <c r="N81" s="498" t="s">
        <v>400</v>
      </c>
      <c r="O81" s="498" t="s">
        <v>27</v>
      </c>
      <c r="P81" s="510" t="s">
        <v>297</v>
      </c>
      <c r="Q81" s="500"/>
      <c r="R81" s="500"/>
      <c r="S81" s="501"/>
      <c r="T81" s="511" t="s">
        <v>401</v>
      </c>
      <c r="U81" s="512"/>
      <c r="V81" s="512"/>
      <c r="W81" s="513"/>
      <c r="X81" s="514" t="s">
        <v>27</v>
      </c>
      <c r="Y81" s="515"/>
      <c r="Z81" s="516"/>
      <c r="AA81" s="492" t="s">
        <v>291</v>
      </c>
      <c r="AB81" s="505"/>
      <c r="AC81" s="505"/>
      <c r="AD81" s="505"/>
      <c r="AE81" s="505"/>
      <c r="AF81" s="505"/>
      <c r="AG81" s="505"/>
      <c r="AH81" s="493"/>
      <c r="AI81" s="492" t="s">
        <v>291</v>
      </c>
      <c r="AJ81" s="505"/>
      <c r="AK81" s="505"/>
      <c r="AL81" s="505"/>
      <c r="AM81" s="505"/>
      <c r="AN81" s="505"/>
      <c r="AO81" s="505"/>
      <c r="AP81" s="505"/>
      <c r="AQ81" s="493"/>
      <c r="AR81" s="506" t="s">
        <v>27</v>
      </c>
      <c r="AS81" s="506" t="s">
        <v>291</v>
      </c>
      <c r="AT81" s="506" t="s">
        <v>291</v>
      </c>
      <c r="AU81" s="492" t="s">
        <v>27</v>
      </c>
      <c r="AV81" s="505"/>
      <c r="AW81" s="505"/>
      <c r="AX81" s="493"/>
      <c r="AY81" s="492" t="s">
        <v>291</v>
      </c>
      <c r="AZ81" s="505"/>
      <c r="BA81" s="505"/>
      <c r="BB81" s="493"/>
      <c r="BC81" s="358" t="s">
        <v>402</v>
      </c>
      <c r="BD81" s="517"/>
      <c r="BE81" s="517"/>
      <c r="BF81" s="517"/>
      <c r="BG81" s="517"/>
      <c r="BH81" s="517"/>
      <c r="BI81" s="517"/>
      <c r="BJ81" s="518"/>
      <c r="BK81" s="21"/>
    </row>
    <row r="82" spans="1:63" x14ac:dyDescent="0.25">
      <c r="A82" s="20"/>
      <c r="B82" s="492">
        <v>7</v>
      </c>
      <c r="C82" s="493"/>
      <c r="D82" s="494" t="s">
        <v>403</v>
      </c>
      <c r="E82" s="495"/>
      <c r="F82" s="495"/>
      <c r="G82" s="495"/>
      <c r="H82" s="495"/>
      <c r="I82" s="495"/>
      <c r="J82" s="496"/>
      <c r="K82" s="497" t="s">
        <v>314</v>
      </c>
      <c r="L82" s="375"/>
      <c r="M82" s="376"/>
      <c r="N82" s="498" t="s">
        <v>27</v>
      </c>
      <c r="O82" s="498" t="s">
        <v>28</v>
      </c>
      <c r="P82" s="499" t="s">
        <v>27</v>
      </c>
      <c r="Q82" s="500"/>
      <c r="R82" s="500"/>
      <c r="S82" s="501"/>
      <c r="T82" s="499" t="s">
        <v>27</v>
      </c>
      <c r="U82" s="500"/>
      <c r="V82" s="500"/>
      <c r="W82" s="501"/>
      <c r="X82" s="502" t="s">
        <v>404</v>
      </c>
      <c r="Y82" s="503"/>
      <c r="Z82" s="504"/>
      <c r="AA82" s="492" t="s">
        <v>291</v>
      </c>
      <c r="AB82" s="505"/>
      <c r="AC82" s="505"/>
      <c r="AD82" s="505"/>
      <c r="AE82" s="505"/>
      <c r="AF82" s="505"/>
      <c r="AG82" s="505"/>
      <c r="AH82" s="493"/>
      <c r="AI82" s="492" t="s">
        <v>291</v>
      </c>
      <c r="AJ82" s="505"/>
      <c r="AK82" s="505"/>
      <c r="AL82" s="505"/>
      <c r="AM82" s="505"/>
      <c r="AN82" s="505"/>
      <c r="AO82" s="505"/>
      <c r="AP82" s="505"/>
      <c r="AQ82" s="493"/>
      <c r="AR82" s="506" t="s">
        <v>27</v>
      </c>
      <c r="AS82" s="506" t="s">
        <v>291</v>
      </c>
      <c r="AT82" s="506" t="s">
        <v>291</v>
      </c>
      <c r="AU82" s="492" t="s">
        <v>27</v>
      </c>
      <c r="AV82" s="505"/>
      <c r="AW82" s="505"/>
      <c r="AX82" s="493"/>
      <c r="AY82" s="492" t="s">
        <v>291</v>
      </c>
      <c r="AZ82" s="505"/>
      <c r="BA82" s="505"/>
      <c r="BB82" s="493"/>
      <c r="BC82" s="497"/>
      <c r="BD82" s="375"/>
      <c r="BE82" s="375"/>
      <c r="BF82" s="375"/>
      <c r="BG82" s="375"/>
      <c r="BH82" s="375"/>
      <c r="BI82" s="375"/>
      <c r="BJ82" s="376"/>
      <c r="BK82" s="21"/>
    </row>
    <row r="83" spans="1:63" ht="95.25" customHeight="1" x14ac:dyDescent="0.25">
      <c r="A83" s="20"/>
      <c r="B83" s="492">
        <v>7.1</v>
      </c>
      <c r="C83" s="493"/>
      <c r="D83" s="507" t="s">
        <v>405</v>
      </c>
      <c r="E83" s="508"/>
      <c r="F83" s="508"/>
      <c r="G83" s="508"/>
      <c r="H83" s="508"/>
      <c r="I83" s="508"/>
      <c r="J83" s="509"/>
      <c r="K83" s="497" t="s">
        <v>314</v>
      </c>
      <c r="L83" s="375"/>
      <c r="M83" s="376"/>
      <c r="N83" s="498" t="s">
        <v>400</v>
      </c>
      <c r="O83" s="498" t="s">
        <v>27</v>
      </c>
      <c r="P83" s="510" t="s">
        <v>297</v>
      </c>
      <c r="Q83" s="500"/>
      <c r="R83" s="500"/>
      <c r="S83" s="501"/>
      <c r="T83" s="511" t="s">
        <v>309</v>
      </c>
      <c r="U83" s="519"/>
      <c r="V83" s="519"/>
      <c r="W83" s="520"/>
      <c r="X83" s="514" t="s">
        <v>27</v>
      </c>
      <c r="Y83" s="515"/>
      <c r="Z83" s="516"/>
      <c r="AA83" s="492" t="s">
        <v>291</v>
      </c>
      <c r="AB83" s="505"/>
      <c r="AC83" s="505"/>
      <c r="AD83" s="505"/>
      <c r="AE83" s="505"/>
      <c r="AF83" s="505"/>
      <c r="AG83" s="505"/>
      <c r="AH83" s="493"/>
      <c r="AI83" s="492" t="s">
        <v>291</v>
      </c>
      <c r="AJ83" s="505"/>
      <c r="AK83" s="505"/>
      <c r="AL83" s="505"/>
      <c r="AM83" s="505"/>
      <c r="AN83" s="505"/>
      <c r="AO83" s="505"/>
      <c r="AP83" s="505"/>
      <c r="AQ83" s="493"/>
      <c r="AR83" s="506" t="s">
        <v>27</v>
      </c>
      <c r="AS83" s="506" t="s">
        <v>291</v>
      </c>
      <c r="AT83" s="506" t="s">
        <v>291</v>
      </c>
      <c r="AU83" s="492" t="s">
        <v>27</v>
      </c>
      <c r="AV83" s="505"/>
      <c r="AW83" s="505"/>
      <c r="AX83" s="493"/>
      <c r="AY83" s="492" t="s">
        <v>291</v>
      </c>
      <c r="AZ83" s="505"/>
      <c r="BA83" s="505"/>
      <c r="BB83" s="493"/>
      <c r="BC83" s="358" t="s">
        <v>406</v>
      </c>
      <c r="BD83" s="517"/>
      <c r="BE83" s="517"/>
      <c r="BF83" s="517"/>
      <c r="BG83" s="517"/>
      <c r="BH83" s="517"/>
      <c r="BI83" s="517"/>
      <c r="BJ83" s="518"/>
      <c r="BK83" s="21"/>
    </row>
    <row r="84" spans="1:63" x14ac:dyDescent="0.25">
      <c r="A84" s="20"/>
      <c r="B84" s="492">
        <v>8</v>
      </c>
      <c r="C84" s="493"/>
      <c r="D84" s="494" t="s">
        <v>407</v>
      </c>
      <c r="E84" s="495"/>
      <c r="F84" s="495"/>
      <c r="G84" s="495"/>
      <c r="H84" s="495"/>
      <c r="I84" s="495"/>
      <c r="J84" s="496"/>
      <c r="K84" s="497" t="s">
        <v>314</v>
      </c>
      <c r="L84" s="375"/>
      <c r="M84" s="376"/>
      <c r="N84" s="498" t="s">
        <v>27</v>
      </c>
      <c r="O84" s="498" t="s">
        <v>28</v>
      </c>
      <c r="P84" s="499" t="s">
        <v>27</v>
      </c>
      <c r="Q84" s="500"/>
      <c r="R84" s="500"/>
      <c r="S84" s="501"/>
      <c r="T84" s="499" t="s">
        <v>27</v>
      </c>
      <c r="U84" s="500"/>
      <c r="V84" s="500"/>
      <c r="W84" s="501"/>
      <c r="X84" s="502" t="s">
        <v>408</v>
      </c>
      <c r="Y84" s="503"/>
      <c r="Z84" s="504"/>
      <c r="AA84" s="492" t="s">
        <v>291</v>
      </c>
      <c r="AB84" s="505"/>
      <c r="AC84" s="505"/>
      <c r="AD84" s="505"/>
      <c r="AE84" s="505"/>
      <c r="AF84" s="505"/>
      <c r="AG84" s="505"/>
      <c r="AH84" s="493"/>
      <c r="AI84" s="492" t="s">
        <v>291</v>
      </c>
      <c r="AJ84" s="505"/>
      <c r="AK84" s="505"/>
      <c r="AL84" s="505"/>
      <c r="AM84" s="505"/>
      <c r="AN84" s="505"/>
      <c r="AO84" s="505"/>
      <c r="AP84" s="505"/>
      <c r="AQ84" s="493"/>
      <c r="AR84" s="506" t="s">
        <v>27</v>
      </c>
      <c r="AS84" s="506" t="s">
        <v>291</v>
      </c>
      <c r="AT84" s="506" t="s">
        <v>291</v>
      </c>
      <c r="AU84" s="492" t="s">
        <v>27</v>
      </c>
      <c r="AV84" s="505"/>
      <c r="AW84" s="505"/>
      <c r="AX84" s="493"/>
      <c r="AY84" s="492" t="s">
        <v>291</v>
      </c>
      <c r="AZ84" s="505"/>
      <c r="BA84" s="505"/>
      <c r="BB84" s="493"/>
      <c r="BC84" s="497"/>
      <c r="BD84" s="375"/>
      <c r="BE84" s="375"/>
      <c r="BF84" s="375"/>
      <c r="BG84" s="375"/>
      <c r="BH84" s="375"/>
      <c r="BI84" s="375"/>
      <c r="BJ84" s="376"/>
      <c r="BK84" s="21"/>
    </row>
    <row r="85" spans="1:63" ht="86.25" customHeight="1" x14ac:dyDescent="0.25">
      <c r="A85" s="20"/>
      <c r="B85" s="492">
        <v>8.1</v>
      </c>
      <c r="C85" s="493"/>
      <c r="D85" s="507" t="s">
        <v>409</v>
      </c>
      <c r="E85" s="508"/>
      <c r="F85" s="508"/>
      <c r="G85" s="508"/>
      <c r="H85" s="508"/>
      <c r="I85" s="508"/>
      <c r="J85" s="509"/>
      <c r="K85" s="497" t="s">
        <v>314</v>
      </c>
      <c r="L85" s="375"/>
      <c r="M85" s="376"/>
      <c r="N85" s="498" t="s">
        <v>400</v>
      </c>
      <c r="O85" s="498" t="s">
        <v>27</v>
      </c>
      <c r="P85" s="510" t="s">
        <v>297</v>
      </c>
      <c r="Q85" s="500"/>
      <c r="R85" s="500"/>
      <c r="S85" s="501"/>
      <c r="T85" s="511" t="s">
        <v>410</v>
      </c>
      <c r="U85" s="512"/>
      <c r="V85" s="512"/>
      <c r="W85" s="513"/>
      <c r="X85" s="514" t="s">
        <v>27</v>
      </c>
      <c r="Y85" s="515"/>
      <c r="Z85" s="516"/>
      <c r="AA85" s="492" t="s">
        <v>291</v>
      </c>
      <c r="AB85" s="505"/>
      <c r="AC85" s="505"/>
      <c r="AD85" s="505"/>
      <c r="AE85" s="505"/>
      <c r="AF85" s="505"/>
      <c r="AG85" s="505"/>
      <c r="AH85" s="493"/>
      <c r="AI85" s="492" t="s">
        <v>291</v>
      </c>
      <c r="AJ85" s="505"/>
      <c r="AK85" s="505"/>
      <c r="AL85" s="505"/>
      <c r="AM85" s="505"/>
      <c r="AN85" s="505"/>
      <c r="AO85" s="505"/>
      <c r="AP85" s="505"/>
      <c r="AQ85" s="493"/>
      <c r="AR85" s="506" t="s">
        <v>27</v>
      </c>
      <c r="AS85" s="506" t="s">
        <v>291</v>
      </c>
      <c r="AT85" s="506" t="s">
        <v>291</v>
      </c>
      <c r="AU85" s="492" t="s">
        <v>27</v>
      </c>
      <c r="AV85" s="505"/>
      <c r="AW85" s="505"/>
      <c r="AX85" s="493"/>
      <c r="AY85" s="492" t="s">
        <v>291</v>
      </c>
      <c r="AZ85" s="505"/>
      <c r="BA85" s="505"/>
      <c r="BB85" s="493"/>
      <c r="BC85" s="358" t="s">
        <v>411</v>
      </c>
      <c r="BD85" s="517"/>
      <c r="BE85" s="517"/>
      <c r="BF85" s="517"/>
      <c r="BG85" s="517"/>
      <c r="BH85" s="517"/>
      <c r="BI85" s="517"/>
      <c r="BJ85" s="518"/>
      <c r="BK85" s="21"/>
    </row>
    <row r="86" spans="1:63" ht="47.25" customHeight="1" x14ac:dyDescent="0.25">
      <c r="A86" s="20"/>
      <c r="B86" s="163">
        <v>9</v>
      </c>
      <c r="C86" s="165"/>
      <c r="D86" s="188" t="s">
        <v>47</v>
      </c>
      <c r="E86" s="189"/>
      <c r="F86" s="189"/>
      <c r="G86" s="189"/>
      <c r="H86" s="189"/>
      <c r="I86" s="189"/>
      <c r="J86" s="190"/>
      <c r="K86" s="172" t="s">
        <v>26</v>
      </c>
      <c r="L86" s="173"/>
      <c r="M86" s="174"/>
      <c r="N86" s="23" t="s">
        <v>27</v>
      </c>
      <c r="O86" s="23" t="s">
        <v>28</v>
      </c>
      <c r="P86" s="191" t="s">
        <v>30</v>
      </c>
      <c r="Q86" s="192"/>
      <c r="R86" s="192"/>
      <c r="S86" s="193"/>
      <c r="T86" s="191" t="s">
        <v>30</v>
      </c>
      <c r="U86" s="192"/>
      <c r="V86" s="192"/>
      <c r="W86" s="193"/>
      <c r="X86" s="184" t="s">
        <v>56</v>
      </c>
      <c r="Y86" s="164"/>
      <c r="Z86" s="165"/>
      <c r="AA86" s="163" t="s">
        <v>29</v>
      </c>
      <c r="AB86" s="164"/>
      <c r="AC86" s="164"/>
      <c r="AD86" s="164"/>
      <c r="AE86" s="164"/>
      <c r="AF86" s="164"/>
      <c r="AG86" s="164"/>
      <c r="AH86" s="165"/>
      <c r="AI86" s="163" t="s">
        <v>29</v>
      </c>
      <c r="AJ86" s="164"/>
      <c r="AK86" s="164"/>
      <c r="AL86" s="164"/>
      <c r="AM86" s="164"/>
      <c r="AN86" s="164"/>
      <c r="AO86" s="164"/>
      <c r="AP86" s="164"/>
      <c r="AQ86" s="165"/>
      <c r="AR86" s="25" t="s">
        <v>27</v>
      </c>
      <c r="AS86" s="25" t="s">
        <v>29</v>
      </c>
      <c r="AT86" s="25" t="s">
        <v>29</v>
      </c>
      <c r="AU86" s="163" t="s">
        <v>30</v>
      </c>
      <c r="AV86" s="164"/>
      <c r="AW86" s="164"/>
      <c r="AX86" s="165"/>
      <c r="AY86" s="163" t="s">
        <v>29</v>
      </c>
      <c r="AZ86" s="164"/>
      <c r="BA86" s="164"/>
      <c r="BB86" s="165"/>
      <c r="BC86" s="293"/>
      <c r="BD86" s="294"/>
      <c r="BE86" s="294"/>
      <c r="BF86" s="294"/>
      <c r="BG86" s="294"/>
      <c r="BH86" s="294"/>
      <c r="BI86" s="294"/>
      <c r="BJ86" s="295"/>
      <c r="BK86" s="21"/>
    </row>
    <row r="87" spans="1:63" x14ac:dyDescent="0.25">
      <c r="A87" s="20"/>
      <c r="B87" s="163">
        <v>9.1</v>
      </c>
      <c r="C87" s="165"/>
      <c r="D87" s="169" t="s">
        <v>48</v>
      </c>
      <c r="E87" s="170"/>
      <c r="F87" s="170"/>
      <c r="G87" s="170"/>
      <c r="H87" s="170"/>
      <c r="I87" s="170"/>
      <c r="J87" s="171"/>
      <c r="K87" s="172" t="s">
        <v>26</v>
      </c>
      <c r="L87" s="173"/>
      <c r="M87" s="174"/>
      <c r="N87" s="23" t="s">
        <v>31</v>
      </c>
      <c r="O87" s="23" t="s">
        <v>27</v>
      </c>
      <c r="P87" s="191" t="s">
        <v>104</v>
      </c>
      <c r="Q87" s="192"/>
      <c r="R87" s="192"/>
      <c r="S87" s="193"/>
      <c r="T87" s="198" t="s">
        <v>292</v>
      </c>
      <c r="U87" s="199"/>
      <c r="V87" s="199"/>
      <c r="W87" s="200"/>
      <c r="X87" s="181" t="s">
        <v>27</v>
      </c>
      <c r="Y87" s="182"/>
      <c r="Z87" s="183"/>
      <c r="AA87" s="163" t="s">
        <v>29</v>
      </c>
      <c r="AB87" s="164"/>
      <c r="AC87" s="164"/>
      <c r="AD87" s="164"/>
      <c r="AE87" s="164"/>
      <c r="AF87" s="164"/>
      <c r="AG87" s="164"/>
      <c r="AH87" s="165"/>
      <c r="AI87" s="163" t="s">
        <v>29</v>
      </c>
      <c r="AJ87" s="164"/>
      <c r="AK87" s="164"/>
      <c r="AL87" s="164"/>
      <c r="AM87" s="164"/>
      <c r="AN87" s="164"/>
      <c r="AO87" s="164"/>
      <c r="AP87" s="164"/>
      <c r="AQ87" s="165"/>
      <c r="AR87" s="25" t="s">
        <v>27</v>
      </c>
      <c r="AS87" s="25" t="s">
        <v>29</v>
      </c>
      <c r="AT87" s="25" t="s">
        <v>29</v>
      </c>
      <c r="AU87" s="163" t="s">
        <v>30</v>
      </c>
      <c r="AV87" s="164"/>
      <c r="AW87" s="164"/>
      <c r="AX87" s="165"/>
      <c r="AY87" s="163" t="s">
        <v>29</v>
      </c>
      <c r="AZ87" s="164"/>
      <c r="BA87" s="164"/>
      <c r="BB87" s="165"/>
      <c r="BC87" s="160"/>
      <c r="BD87" s="161"/>
      <c r="BE87" s="161"/>
      <c r="BF87" s="161"/>
      <c r="BG87" s="161"/>
      <c r="BH87" s="161"/>
      <c r="BI87" s="161"/>
      <c r="BJ87" s="162"/>
      <c r="BK87" s="21"/>
    </row>
    <row r="88" spans="1:63" x14ac:dyDescent="0.25">
      <c r="A88" s="20"/>
      <c r="B88" s="163">
        <v>10</v>
      </c>
      <c r="C88" s="165"/>
      <c r="D88" s="188" t="s">
        <v>49</v>
      </c>
      <c r="E88" s="189"/>
      <c r="F88" s="189"/>
      <c r="G88" s="189"/>
      <c r="H88" s="189"/>
      <c r="I88" s="189"/>
      <c r="J88" s="190"/>
      <c r="K88" s="172" t="s">
        <v>26</v>
      </c>
      <c r="L88" s="173"/>
      <c r="M88" s="174"/>
      <c r="N88" s="23" t="s">
        <v>27</v>
      </c>
      <c r="O88" s="23" t="s">
        <v>28</v>
      </c>
      <c r="P88" s="191" t="s">
        <v>30</v>
      </c>
      <c r="Q88" s="192"/>
      <c r="R88" s="192"/>
      <c r="S88" s="193"/>
      <c r="T88" s="191" t="s">
        <v>30</v>
      </c>
      <c r="U88" s="192"/>
      <c r="V88" s="192"/>
      <c r="W88" s="193"/>
      <c r="X88" s="184" t="s">
        <v>57</v>
      </c>
      <c r="Y88" s="164"/>
      <c r="Z88" s="165"/>
      <c r="AA88" s="163" t="s">
        <v>29</v>
      </c>
      <c r="AB88" s="164"/>
      <c r="AC88" s="164"/>
      <c r="AD88" s="164"/>
      <c r="AE88" s="164"/>
      <c r="AF88" s="164"/>
      <c r="AG88" s="164"/>
      <c r="AH88" s="165"/>
      <c r="AI88" s="163" t="s">
        <v>29</v>
      </c>
      <c r="AJ88" s="164"/>
      <c r="AK88" s="164"/>
      <c r="AL88" s="164"/>
      <c r="AM88" s="164"/>
      <c r="AN88" s="164"/>
      <c r="AO88" s="164"/>
      <c r="AP88" s="164"/>
      <c r="AQ88" s="165"/>
      <c r="AR88" s="25" t="s">
        <v>27</v>
      </c>
      <c r="AS88" s="25" t="s">
        <v>29</v>
      </c>
      <c r="AT88" s="25" t="s">
        <v>29</v>
      </c>
      <c r="AU88" s="163" t="s">
        <v>30</v>
      </c>
      <c r="AV88" s="164"/>
      <c r="AW88" s="164"/>
      <c r="AX88" s="165"/>
      <c r="AY88" s="163" t="s">
        <v>29</v>
      </c>
      <c r="AZ88" s="164"/>
      <c r="BA88" s="164"/>
      <c r="BB88" s="165"/>
      <c r="BC88" s="160"/>
      <c r="BD88" s="161"/>
      <c r="BE88" s="161"/>
      <c r="BF88" s="161"/>
      <c r="BG88" s="161"/>
      <c r="BH88" s="161"/>
      <c r="BI88" s="161"/>
      <c r="BJ88" s="162"/>
      <c r="BK88" s="21"/>
    </row>
    <row r="89" spans="1:63" x14ac:dyDescent="0.25">
      <c r="A89" s="20"/>
      <c r="B89" s="163">
        <v>10.1</v>
      </c>
      <c r="C89" s="165"/>
      <c r="D89" s="169" t="s">
        <v>50</v>
      </c>
      <c r="E89" s="170"/>
      <c r="F89" s="170"/>
      <c r="G89" s="170"/>
      <c r="H89" s="170"/>
      <c r="I89" s="170"/>
      <c r="J89" s="171"/>
      <c r="K89" s="172" t="s">
        <v>26</v>
      </c>
      <c r="L89" s="173"/>
      <c r="M89" s="174"/>
      <c r="N89" s="23" t="s">
        <v>31</v>
      </c>
      <c r="O89" s="23" t="s">
        <v>27</v>
      </c>
      <c r="P89" s="191" t="s">
        <v>104</v>
      </c>
      <c r="Q89" s="192"/>
      <c r="R89" s="192"/>
      <c r="S89" s="193"/>
      <c r="T89" s="198" t="s">
        <v>293</v>
      </c>
      <c r="U89" s="199"/>
      <c r="V89" s="199"/>
      <c r="W89" s="200"/>
      <c r="X89" s="181" t="s">
        <v>27</v>
      </c>
      <c r="Y89" s="182"/>
      <c r="Z89" s="183"/>
      <c r="AA89" s="163" t="s">
        <v>29</v>
      </c>
      <c r="AB89" s="164"/>
      <c r="AC89" s="164"/>
      <c r="AD89" s="164"/>
      <c r="AE89" s="164"/>
      <c r="AF89" s="164"/>
      <c r="AG89" s="164"/>
      <c r="AH89" s="165"/>
      <c r="AI89" s="163" t="s">
        <v>29</v>
      </c>
      <c r="AJ89" s="164"/>
      <c r="AK89" s="164"/>
      <c r="AL89" s="164"/>
      <c r="AM89" s="164"/>
      <c r="AN89" s="164"/>
      <c r="AO89" s="164"/>
      <c r="AP89" s="164"/>
      <c r="AQ89" s="165"/>
      <c r="AR89" s="25" t="s">
        <v>27</v>
      </c>
      <c r="AS89" s="25" t="s">
        <v>29</v>
      </c>
      <c r="AT89" s="25" t="s">
        <v>29</v>
      </c>
      <c r="AU89" s="163" t="s">
        <v>30</v>
      </c>
      <c r="AV89" s="164"/>
      <c r="AW89" s="164"/>
      <c r="AX89" s="165"/>
      <c r="AY89" s="163" t="s">
        <v>29</v>
      </c>
      <c r="AZ89" s="164"/>
      <c r="BA89" s="164"/>
      <c r="BB89" s="165"/>
      <c r="BC89" s="160"/>
      <c r="BD89" s="161"/>
      <c r="BE89" s="161"/>
      <c r="BF89" s="161"/>
      <c r="BG89" s="161"/>
      <c r="BH89" s="161"/>
      <c r="BI89" s="161"/>
      <c r="BJ89" s="162"/>
      <c r="BK89" s="21"/>
    </row>
    <row r="90" spans="1:63" x14ac:dyDescent="0.25">
      <c r="A90" s="20"/>
      <c r="B90" s="163">
        <v>11</v>
      </c>
      <c r="C90" s="165"/>
      <c r="D90" s="188" t="s">
        <v>58</v>
      </c>
      <c r="E90" s="189"/>
      <c r="F90" s="189"/>
      <c r="G90" s="189"/>
      <c r="H90" s="189"/>
      <c r="I90" s="189"/>
      <c r="J90" s="190"/>
      <c r="K90" s="302" t="s">
        <v>294</v>
      </c>
      <c r="L90" s="173"/>
      <c r="M90" s="174"/>
      <c r="N90" s="23" t="s">
        <v>27</v>
      </c>
      <c r="O90" s="23" t="s">
        <v>27</v>
      </c>
      <c r="P90" s="191" t="s">
        <v>30</v>
      </c>
      <c r="Q90" s="192"/>
      <c r="R90" s="192"/>
      <c r="S90" s="193"/>
      <c r="T90" s="191" t="s">
        <v>30</v>
      </c>
      <c r="U90" s="192"/>
      <c r="V90" s="192"/>
      <c r="W90" s="193"/>
      <c r="X90" s="181" t="s">
        <v>27</v>
      </c>
      <c r="Y90" s="182"/>
      <c r="Z90" s="183"/>
      <c r="AA90" s="163" t="s">
        <v>29</v>
      </c>
      <c r="AB90" s="164"/>
      <c r="AC90" s="164"/>
      <c r="AD90" s="164"/>
      <c r="AE90" s="164"/>
      <c r="AF90" s="164"/>
      <c r="AG90" s="164"/>
      <c r="AH90" s="165"/>
      <c r="AI90" s="163" t="s">
        <v>29</v>
      </c>
      <c r="AJ90" s="164"/>
      <c r="AK90" s="164"/>
      <c r="AL90" s="164"/>
      <c r="AM90" s="164"/>
      <c r="AN90" s="164"/>
      <c r="AO90" s="164"/>
      <c r="AP90" s="164"/>
      <c r="AQ90" s="165"/>
      <c r="AR90" s="25" t="s">
        <v>27</v>
      </c>
      <c r="AS90" s="25" t="s">
        <v>29</v>
      </c>
      <c r="AT90" s="25" t="s">
        <v>29</v>
      </c>
      <c r="AU90" s="163" t="s">
        <v>30</v>
      </c>
      <c r="AV90" s="164"/>
      <c r="AW90" s="164"/>
      <c r="AX90" s="165"/>
      <c r="AY90" s="163" t="s">
        <v>29</v>
      </c>
      <c r="AZ90" s="164"/>
      <c r="BA90" s="164"/>
      <c r="BB90" s="165"/>
      <c r="BC90" s="160"/>
      <c r="BD90" s="161"/>
      <c r="BE90" s="161"/>
      <c r="BF90" s="161"/>
      <c r="BG90" s="161"/>
      <c r="BH90" s="161"/>
      <c r="BI90" s="161"/>
      <c r="BJ90" s="162"/>
      <c r="BK90" s="21"/>
    </row>
    <row r="91" spans="1:63" x14ac:dyDescent="0.25">
      <c r="A91" s="20"/>
      <c r="B91" s="163">
        <v>11.1</v>
      </c>
      <c r="C91" s="165"/>
      <c r="D91" s="169" t="s">
        <v>98</v>
      </c>
      <c r="E91" s="170"/>
      <c r="F91" s="170"/>
      <c r="G91" s="170"/>
      <c r="H91" s="170"/>
      <c r="I91" s="170"/>
      <c r="J91" s="171"/>
      <c r="K91" s="172" t="s">
        <v>60</v>
      </c>
      <c r="L91" s="173"/>
      <c r="M91" s="174"/>
      <c r="N91" s="26" t="s">
        <v>61</v>
      </c>
      <c r="O91" s="23" t="s">
        <v>28</v>
      </c>
      <c r="P91" s="191" t="s">
        <v>30</v>
      </c>
      <c r="Q91" s="192"/>
      <c r="R91" s="192"/>
      <c r="S91" s="193"/>
      <c r="T91" s="191" t="s">
        <v>30</v>
      </c>
      <c r="U91" s="192"/>
      <c r="V91" s="192"/>
      <c r="W91" s="193"/>
      <c r="X91" s="181" t="s">
        <v>295</v>
      </c>
      <c r="Y91" s="182"/>
      <c r="Z91" s="183"/>
      <c r="AA91" s="163" t="s">
        <v>29</v>
      </c>
      <c r="AB91" s="164"/>
      <c r="AC91" s="164"/>
      <c r="AD91" s="164"/>
      <c r="AE91" s="164"/>
      <c r="AF91" s="164"/>
      <c r="AG91" s="164"/>
      <c r="AH91" s="165"/>
      <c r="AI91" s="163" t="s">
        <v>29</v>
      </c>
      <c r="AJ91" s="164"/>
      <c r="AK91" s="164"/>
      <c r="AL91" s="164"/>
      <c r="AM91" s="164"/>
      <c r="AN91" s="164"/>
      <c r="AO91" s="164"/>
      <c r="AP91" s="164"/>
      <c r="AQ91" s="165"/>
      <c r="AR91" s="25" t="s">
        <v>27</v>
      </c>
      <c r="AS91" s="25" t="s">
        <v>29</v>
      </c>
      <c r="AT91" s="25" t="s">
        <v>29</v>
      </c>
      <c r="AU91" s="163" t="s">
        <v>30</v>
      </c>
      <c r="AV91" s="164"/>
      <c r="AW91" s="164"/>
      <c r="AX91" s="165"/>
      <c r="AY91" s="163" t="s">
        <v>29</v>
      </c>
      <c r="AZ91" s="164"/>
      <c r="BA91" s="164"/>
      <c r="BB91" s="165"/>
      <c r="BC91" s="160" t="s">
        <v>89</v>
      </c>
      <c r="BD91" s="161"/>
      <c r="BE91" s="161"/>
      <c r="BF91" s="161"/>
      <c r="BG91" s="161"/>
      <c r="BH91" s="161"/>
      <c r="BI91" s="161"/>
      <c r="BJ91" s="162"/>
      <c r="BK91" s="21"/>
    </row>
    <row r="92" spans="1:63" x14ac:dyDescent="0.25">
      <c r="A92" s="20"/>
      <c r="B92" s="163">
        <v>12</v>
      </c>
      <c r="C92" s="165"/>
      <c r="D92" s="188" t="s">
        <v>63</v>
      </c>
      <c r="E92" s="189"/>
      <c r="F92" s="189"/>
      <c r="G92" s="189"/>
      <c r="H92" s="189"/>
      <c r="I92" s="189"/>
      <c r="J92" s="190"/>
      <c r="K92" s="172" t="s">
        <v>62</v>
      </c>
      <c r="L92" s="173"/>
      <c r="M92" s="174"/>
      <c r="N92" s="23" t="s">
        <v>27</v>
      </c>
      <c r="O92" s="23" t="s">
        <v>27</v>
      </c>
      <c r="P92" s="163" t="s">
        <v>30</v>
      </c>
      <c r="Q92" s="164"/>
      <c r="R92" s="164"/>
      <c r="S92" s="165"/>
      <c r="T92" s="163" t="s">
        <v>30</v>
      </c>
      <c r="U92" s="164"/>
      <c r="V92" s="164"/>
      <c r="W92" s="165"/>
      <c r="X92" s="181" t="s">
        <v>296</v>
      </c>
      <c r="Y92" s="182"/>
      <c r="Z92" s="183"/>
      <c r="AA92" s="163" t="s">
        <v>29</v>
      </c>
      <c r="AB92" s="164"/>
      <c r="AC92" s="164"/>
      <c r="AD92" s="164"/>
      <c r="AE92" s="164"/>
      <c r="AF92" s="164"/>
      <c r="AG92" s="164"/>
      <c r="AH92" s="165"/>
      <c r="AI92" s="163" t="s">
        <v>29</v>
      </c>
      <c r="AJ92" s="164"/>
      <c r="AK92" s="164"/>
      <c r="AL92" s="164"/>
      <c r="AM92" s="164"/>
      <c r="AN92" s="164"/>
      <c r="AO92" s="164"/>
      <c r="AP92" s="164"/>
      <c r="AQ92" s="165"/>
      <c r="AR92" s="25" t="s">
        <v>27</v>
      </c>
      <c r="AS92" s="25" t="s">
        <v>29</v>
      </c>
      <c r="AT92" s="25" t="s">
        <v>29</v>
      </c>
      <c r="AU92" s="163" t="s">
        <v>30</v>
      </c>
      <c r="AV92" s="164"/>
      <c r="AW92" s="164"/>
      <c r="AX92" s="165"/>
      <c r="AY92" s="163" t="s">
        <v>29</v>
      </c>
      <c r="AZ92" s="164"/>
      <c r="BA92" s="164"/>
      <c r="BB92" s="165"/>
      <c r="BC92" s="160"/>
      <c r="BD92" s="161"/>
      <c r="BE92" s="161"/>
      <c r="BF92" s="161"/>
      <c r="BG92" s="161"/>
      <c r="BH92" s="161"/>
      <c r="BI92" s="161"/>
      <c r="BJ92" s="162"/>
      <c r="BK92" s="21"/>
    </row>
    <row r="93" spans="1:63" x14ac:dyDescent="0.25">
      <c r="A93" s="20"/>
      <c r="B93" s="163">
        <v>12.1</v>
      </c>
      <c r="C93" s="165"/>
      <c r="D93" s="188" t="s">
        <v>64</v>
      </c>
      <c r="E93" s="189"/>
      <c r="F93" s="189"/>
      <c r="G93" s="189"/>
      <c r="H93" s="189"/>
      <c r="I93" s="189"/>
      <c r="J93" s="190"/>
      <c r="K93" s="172" t="s">
        <v>26</v>
      </c>
      <c r="L93" s="173"/>
      <c r="M93" s="174"/>
      <c r="N93" s="23" t="s">
        <v>27</v>
      </c>
      <c r="O93" s="23" t="s">
        <v>28</v>
      </c>
      <c r="P93" s="163" t="s">
        <v>30</v>
      </c>
      <c r="Q93" s="164"/>
      <c r="R93" s="164"/>
      <c r="S93" s="165"/>
      <c r="T93" s="163" t="s">
        <v>30</v>
      </c>
      <c r="U93" s="164"/>
      <c r="V93" s="164"/>
      <c r="W93" s="165"/>
      <c r="X93" s="184" t="s">
        <v>51</v>
      </c>
      <c r="Y93" s="164"/>
      <c r="Z93" s="165"/>
      <c r="AA93" s="163" t="s">
        <v>29</v>
      </c>
      <c r="AB93" s="164"/>
      <c r="AC93" s="164"/>
      <c r="AD93" s="164"/>
      <c r="AE93" s="164"/>
      <c r="AF93" s="164"/>
      <c r="AG93" s="164"/>
      <c r="AH93" s="165"/>
      <c r="AI93" s="163" t="s">
        <v>29</v>
      </c>
      <c r="AJ93" s="164"/>
      <c r="AK93" s="164"/>
      <c r="AL93" s="164"/>
      <c r="AM93" s="164"/>
      <c r="AN93" s="164"/>
      <c r="AO93" s="164"/>
      <c r="AP93" s="164"/>
      <c r="AQ93" s="165"/>
      <c r="AR93" s="25" t="s">
        <v>27</v>
      </c>
      <c r="AS93" s="25" t="s">
        <v>29</v>
      </c>
      <c r="AT93" s="25" t="s">
        <v>29</v>
      </c>
      <c r="AU93" s="163" t="s">
        <v>30</v>
      </c>
      <c r="AV93" s="164"/>
      <c r="AW93" s="164"/>
      <c r="AX93" s="165"/>
      <c r="AY93" s="163" t="s">
        <v>29</v>
      </c>
      <c r="AZ93" s="164"/>
      <c r="BA93" s="164"/>
      <c r="BB93" s="165"/>
      <c r="BC93" s="160"/>
      <c r="BD93" s="161"/>
      <c r="BE93" s="161"/>
      <c r="BF93" s="161"/>
      <c r="BG93" s="161"/>
      <c r="BH93" s="161"/>
      <c r="BI93" s="161"/>
      <c r="BJ93" s="162"/>
      <c r="BK93" s="21"/>
    </row>
    <row r="94" spans="1:63" x14ac:dyDescent="0.25">
      <c r="A94" s="20"/>
      <c r="B94" s="163">
        <v>12.2</v>
      </c>
      <c r="C94" s="165"/>
      <c r="D94" s="188" t="s">
        <v>73</v>
      </c>
      <c r="E94" s="189"/>
      <c r="F94" s="189"/>
      <c r="G94" s="189"/>
      <c r="H94" s="189"/>
      <c r="I94" s="189"/>
      <c r="J94" s="190"/>
      <c r="K94" s="172" t="s">
        <v>74</v>
      </c>
      <c r="L94" s="173"/>
      <c r="M94" s="174"/>
      <c r="N94" s="26" t="s">
        <v>61</v>
      </c>
      <c r="O94" s="23" t="s">
        <v>27</v>
      </c>
      <c r="P94" s="163" t="s">
        <v>30</v>
      </c>
      <c r="Q94" s="164"/>
      <c r="R94" s="164"/>
      <c r="S94" s="165"/>
      <c r="T94" s="163" t="s">
        <v>30</v>
      </c>
      <c r="U94" s="164"/>
      <c r="V94" s="164"/>
      <c r="W94" s="165"/>
      <c r="X94" s="181" t="s">
        <v>27</v>
      </c>
      <c r="Y94" s="182"/>
      <c r="Z94" s="183"/>
      <c r="AA94" s="163" t="s">
        <v>29</v>
      </c>
      <c r="AB94" s="164"/>
      <c r="AC94" s="164"/>
      <c r="AD94" s="164"/>
      <c r="AE94" s="164"/>
      <c r="AF94" s="164"/>
      <c r="AG94" s="164"/>
      <c r="AH94" s="165"/>
      <c r="AI94" s="163" t="s">
        <v>29</v>
      </c>
      <c r="AJ94" s="164"/>
      <c r="AK94" s="164"/>
      <c r="AL94" s="164"/>
      <c r="AM94" s="164"/>
      <c r="AN94" s="164"/>
      <c r="AO94" s="164"/>
      <c r="AP94" s="164"/>
      <c r="AQ94" s="165"/>
      <c r="AR94" s="25" t="s">
        <v>27</v>
      </c>
      <c r="AS94" s="23" t="s">
        <v>28</v>
      </c>
      <c r="AT94" s="25" t="s">
        <v>29</v>
      </c>
      <c r="AU94" s="205" t="s">
        <v>297</v>
      </c>
      <c r="AV94" s="192"/>
      <c r="AW94" s="192"/>
      <c r="AX94" s="193"/>
      <c r="AY94" s="198" t="s">
        <v>298</v>
      </c>
      <c r="AZ94" s="199"/>
      <c r="BA94" s="199"/>
      <c r="BB94" s="200"/>
      <c r="BC94" s="160" t="s">
        <v>80</v>
      </c>
      <c r="BD94" s="161"/>
      <c r="BE94" s="161"/>
      <c r="BF94" s="161"/>
      <c r="BG94" s="161"/>
      <c r="BH94" s="161"/>
      <c r="BI94" s="161"/>
      <c r="BJ94" s="162"/>
      <c r="BK94" s="21"/>
    </row>
    <row r="95" spans="1:63" x14ac:dyDescent="0.25">
      <c r="A95" s="20"/>
      <c r="B95" s="163">
        <v>12.3</v>
      </c>
      <c r="C95" s="165"/>
      <c r="D95" s="188" t="s">
        <v>67</v>
      </c>
      <c r="E95" s="189"/>
      <c r="F95" s="189"/>
      <c r="G95" s="189"/>
      <c r="H95" s="189"/>
      <c r="I95" s="189"/>
      <c r="J95" s="190"/>
      <c r="K95" s="172" t="s">
        <v>26</v>
      </c>
      <c r="L95" s="173"/>
      <c r="M95" s="174"/>
      <c r="N95" s="23" t="s">
        <v>27</v>
      </c>
      <c r="O95" s="23" t="s">
        <v>28</v>
      </c>
      <c r="P95" s="163" t="s">
        <v>30</v>
      </c>
      <c r="Q95" s="164"/>
      <c r="R95" s="164"/>
      <c r="S95" s="165"/>
      <c r="T95" s="163" t="s">
        <v>30</v>
      </c>
      <c r="U95" s="164"/>
      <c r="V95" s="164"/>
      <c r="W95" s="165"/>
      <c r="X95" s="184" t="s">
        <v>235</v>
      </c>
      <c r="Y95" s="164"/>
      <c r="Z95" s="165"/>
      <c r="AA95" s="163" t="s">
        <v>29</v>
      </c>
      <c r="AB95" s="164"/>
      <c r="AC95" s="164"/>
      <c r="AD95" s="164"/>
      <c r="AE95" s="164"/>
      <c r="AF95" s="164"/>
      <c r="AG95" s="164"/>
      <c r="AH95" s="165"/>
      <c r="AI95" s="163" t="s">
        <v>29</v>
      </c>
      <c r="AJ95" s="164"/>
      <c r="AK95" s="164"/>
      <c r="AL95" s="164"/>
      <c r="AM95" s="164"/>
      <c r="AN95" s="164"/>
      <c r="AO95" s="164"/>
      <c r="AP95" s="164"/>
      <c r="AQ95" s="165"/>
      <c r="AR95" s="25" t="s">
        <v>27</v>
      </c>
      <c r="AS95" s="25" t="s">
        <v>29</v>
      </c>
      <c r="AT95" s="25" t="s">
        <v>29</v>
      </c>
      <c r="AU95" s="191" t="s">
        <v>30</v>
      </c>
      <c r="AV95" s="192"/>
      <c r="AW95" s="192"/>
      <c r="AX95" s="193"/>
      <c r="AY95" s="191" t="s">
        <v>29</v>
      </c>
      <c r="AZ95" s="192"/>
      <c r="BA95" s="192"/>
      <c r="BB95" s="193"/>
      <c r="BC95" s="160"/>
      <c r="BD95" s="161"/>
      <c r="BE95" s="161"/>
      <c r="BF95" s="161"/>
      <c r="BG95" s="161"/>
      <c r="BH95" s="161"/>
      <c r="BI95" s="161"/>
      <c r="BJ95" s="162"/>
      <c r="BK95" s="21"/>
    </row>
    <row r="96" spans="1:63" ht="44.25" customHeight="1" x14ac:dyDescent="0.25">
      <c r="A96" s="20"/>
      <c r="B96" s="163">
        <v>12.4</v>
      </c>
      <c r="C96" s="165"/>
      <c r="D96" s="188" t="s">
        <v>65</v>
      </c>
      <c r="E96" s="189"/>
      <c r="F96" s="189"/>
      <c r="G96" s="189"/>
      <c r="H96" s="189"/>
      <c r="I96" s="189"/>
      <c r="J96" s="190"/>
      <c r="K96" s="172" t="s">
        <v>75</v>
      </c>
      <c r="L96" s="173"/>
      <c r="M96" s="174"/>
      <c r="N96" s="26" t="s">
        <v>61</v>
      </c>
      <c r="O96" s="23" t="s">
        <v>27</v>
      </c>
      <c r="P96" s="205" t="s">
        <v>299</v>
      </c>
      <c r="Q96" s="192"/>
      <c r="R96" s="192"/>
      <c r="S96" s="193"/>
      <c r="T96" s="307" t="s">
        <v>300</v>
      </c>
      <c r="U96" s="308"/>
      <c r="V96" s="308"/>
      <c r="W96" s="309"/>
      <c r="X96" s="181" t="s">
        <v>27</v>
      </c>
      <c r="Y96" s="182"/>
      <c r="Z96" s="183"/>
      <c r="AA96" s="163" t="s">
        <v>29</v>
      </c>
      <c r="AB96" s="164"/>
      <c r="AC96" s="164"/>
      <c r="AD96" s="164"/>
      <c r="AE96" s="164"/>
      <c r="AF96" s="164"/>
      <c r="AG96" s="164"/>
      <c r="AH96" s="165"/>
      <c r="AI96" s="163" t="s">
        <v>29</v>
      </c>
      <c r="AJ96" s="164"/>
      <c r="AK96" s="164"/>
      <c r="AL96" s="164"/>
      <c r="AM96" s="164"/>
      <c r="AN96" s="164"/>
      <c r="AO96" s="164"/>
      <c r="AP96" s="164"/>
      <c r="AQ96" s="165"/>
      <c r="AR96" s="25" t="s">
        <v>27</v>
      </c>
      <c r="AS96" s="25" t="s">
        <v>29</v>
      </c>
      <c r="AT96" s="25" t="s">
        <v>29</v>
      </c>
      <c r="AU96" s="205" t="s">
        <v>297</v>
      </c>
      <c r="AV96" s="192"/>
      <c r="AW96" s="192"/>
      <c r="AX96" s="193"/>
      <c r="AY96" s="198" t="s">
        <v>298</v>
      </c>
      <c r="AZ96" s="199"/>
      <c r="BA96" s="199"/>
      <c r="BB96" s="200"/>
      <c r="BC96" s="160"/>
      <c r="BD96" s="161"/>
      <c r="BE96" s="161"/>
      <c r="BF96" s="161"/>
      <c r="BG96" s="161"/>
      <c r="BH96" s="161"/>
      <c r="BI96" s="161"/>
      <c r="BJ96" s="162"/>
      <c r="BK96" s="21"/>
    </row>
    <row r="97" spans="1:63" x14ac:dyDescent="0.25">
      <c r="A97" s="20"/>
      <c r="B97" s="163">
        <v>12.5</v>
      </c>
      <c r="C97" s="165"/>
      <c r="D97" s="188" t="s">
        <v>68</v>
      </c>
      <c r="E97" s="189"/>
      <c r="F97" s="189"/>
      <c r="G97" s="189"/>
      <c r="H97" s="189"/>
      <c r="I97" s="189"/>
      <c r="J97" s="190"/>
      <c r="K97" s="172" t="s">
        <v>26</v>
      </c>
      <c r="L97" s="173"/>
      <c r="M97" s="174"/>
      <c r="N97" s="23" t="s">
        <v>27</v>
      </c>
      <c r="O97" s="23" t="s">
        <v>28</v>
      </c>
      <c r="P97" s="303" t="s">
        <v>27</v>
      </c>
      <c r="Q97" s="304"/>
      <c r="R97" s="304"/>
      <c r="S97" s="305"/>
      <c r="T97" s="303" t="s">
        <v>27</v>
      </c>
      <c r="U97" s="304"/>
      <c r="V97" s="304"/>
      <c r="W97" s="305"/>
      <c r="X97" s="306" t="s">
        <v>52</v>
      </c>
      <c r="Y97" s="304"/>
      <c r="Z97" s="305"/>
      <c r="AA97" s="163" t="s">
        <v>29</v>
      </c>
      <c r="AB97" s="164"/>
      <c r="AC97" s="164"/>
      <c r="AD97" s="164"/>
      <c r="AE97" s="164"/>
      <c r="AF97" s="164"/>
      <c r="AG97" s="164"/>
      <c r="AH97" s="165"/>
      <c r="AI97" s="163" t="s">
        <v>29</v>
      </c>
      <c r="AJ97" s="164"/>
      <c r="AK97" s="164"/>
      <c r="AL97" s="164"/>
      <c r="AM97" s="164"/>
      <c r="AN97" s="164"/>
      <c r="AO97" s="164"/>
      <c r="AP97" s="164"/>
      <c r="AQ97" s="165"/>
      <c r="AR97" s="25" t="s">
        <v>27</v>
      </c>
      <c r="AS97" s="25" t="s">
        <v>29</v>
      </c>
      <c r="AT97" s="25" t="s">
        <v>29</v>
      </c>
      <c r="AU97" s="191" t="s">
        <v>30</v>
      </c>
      <c r="AV97" s="192"/>
      <c r="AW97" s="192"/>
      <c r="AX97" s="193"/>
      <c r="AY97" s="191" t="s">
        <v>29</v>
      </c>
      <c r="AZ97" s="192"/>
      <c r="BA97" s="192"/>
      <c r="BB97" s="193"/>
      <c r="BC97" s="160"/>
      <c r="BD97" s="161"/>
      <c r="BE97" s="161"/>
      <c r="BF97" s="161"/>
      <c r="BG97" s="161"/>
      <c r="BH97" s="161"/>
      <c r="BI97" s="161"/>
      <c r="BJ97" s="162"/>
      <c r="BK97" s="21"/>
    </row>
    <row r="98" spans="1:63" x14ac:dyDescent="0.25">
      <c r="A98" s="20"/>
      <c r="B98" s="163">
        <v>12.6</v>
      </c>
      <c r="C98" s="165"/>
      <c r="D98" s="188" t="s">
        <v>66</v>
      </c>
      <c r="E98" s="189"/>
      <c r="F98" s="189"/>
      <c r="G98" s="189"/>
      <c r="H98" s="189"/>
      <c r="I98" s="189"/>
      <c r="J98" s="190"/>
      <c r="K98" s="172" t="s">
        <v>75</v>
      </c>
      <c r="L98" s="173"/>
      <c r="M98" s="174"/>
      <c r="N98" s="26" t="s">
        <v>61</v>
      </c>
      <c r="O98" s="23" t="s">
        <v>27</v>
      </c>
      <c r="P98" s="313" t="s">
        <v>103</v>
      </c>
      <c r="Q98" s="179"/>
      <c r="R98" s="179"/>
      <c r="S98" s="180"/>
      <c r="T98" s="314" t="s">
        <v>209</v>
      </c>
      <c r="U98" s="315"/>
      <c r="V98" s="315"/>
      <c r="W98" s="316"/>
      <c r="X98" s="317" t="s">
        <v>27</v>
      </c>
      <c r="Y98" s="318"/>
      <c r="Z98" s="319"/>
      <c r="AA98" s="163" t="s">
        <v>29</v>
      </c>
      <c r="AB98" s="164"/>
      <c r="AC98" s="164"/>
      <c r="AD98" s="164"/>
      <c r="AE98" s="164"/>
      <c r="AF98" s="164"/>
      <c r="AG98" s="164"/>
      <c r="AH98" s="165"/>
      <c r="AI98" s="163" t="s">
        <v>29</v>
      </c>
      <c r="AJ98" s="164"/>
      <c r="AK98" s="164"/>
      <c r="AL98" s="164"/>
      <c r="AM98" s="164"/>
      <c r="AN98" s="164"/>
      <c r="AO98" s="164"/>
      <c r="AP98" s="164"/>
      <c r="AQ98" s="165"/>
      <c r="AR98" s="25" t="s">
        <v>27</v>
      </c>
      <c r="AS98" s="25" t="s">
        <v>29</v>
      </c>
      <c r="AT98" s="25" t="s">
        <v>29</v>
      </c>
      <c r="AU98" s="205" t="s">
        <v>297</v>
      </c>
      <c r="AV98" s="192"/>
      <c r="AW98" s="192"/>
      <c r="AX98" s="193"/>
      <c r="AY98" s="205" t="s">
        <v>301</v>
      </c>
      <c r="AZ98" s="192"/>
      <c r="BA98" s="192"/>
      <c r="BB98" s="193"/>
      <c r="BC98" s="160"/>
      <c r="BD98" s="161"/>
      <c r="BE98" s="161"/>
      <c r="BF98" s="161"/>
      <c r="BG98" s="161"/>
      <c r="BH98" s="161"/>
      <c r="BI98" s="161"/>
      <c r="BJ98" s="162"/>
      <c r="BK98" s="21"/>
    </row>
    <row r="99" spans="1:63" x14ac:dyDescent="0.25">
      <c r="A99" s="20"/>
      <c r="B99" s="163">
        <v>12.7</v>
      </c>
      <c r="C99" s="165"/>
      <c r="D99" s="188" t="s">
        <v>69</v>
      </c>
      <c r="E99" s="189"/>
      <c r="F99" s="189"/>
      <c r="G99" s="189"/>
      <c r="H99" s="189"/>
      <c r="I99" s="189"/>
      <c r="J99" s="190"/>
      <c r="K99" s="172" t="s">
        <v>26</v>
      </c>
      <c r="L99" s="173"/>
      <c r="M99" s="174"/>
      <c r="N99" s="23" t="s">
        <v>27</v>
      </c>
      <c r="O99" s="23" t="s">
        <v>28</v>
      </c>
      <c r="P99" s="197" t="s">
        <v>27</v>
      </c>
      <c r="Q99" s="176"/>
      <c r="R99" s="176"/>
      <c r="S99" s="177"/>
      <c r="T99" s="197" t="s">
        <v>27</v>
      </c>
      <c r="U99" s="176"/>
      <c r="V99" s="176"/>
      <c r="W99" s="177"/>
      <c r="X99" s="310" t="s">
        <v>53</v>
      </c>
      <c r="Y99" s="311"/>
      <c r="Z99" s="312"/>
      <c r="AA99" s="163" t="s">
        <v>29</v>
      </c>
      <c r="AB99" s="164"/>
      <c r="AC99" s="164"/>
      <c r="AD99" s="164"/>
      <c r="AE99" s="164"/>
      <c r="AF99" s="164"/>
      <c r="AG99" s="164"/>
      <c r="AH99" s="165"/>
      <c r="AI99" s="163" t="s">
        <v>29</v>
      </c>
      <c r="AJ99" s="164"/>
      <c r="AK99" s="164"/>
      <c r="AL99" s="164"/>
      <c r="AM99" s="164"/>
      <c r="AN99" s="164"/>
      <c r="AO99" s="164"/>
      <c r="AP99" s="164"/>
      <c r="AQ99" s="165"/>
      <c r="AR99" s="25" t="s">
        <v>27</v>
      </c>
      <c r="AS99" s="25" t="s">
        <v>29</v>
      </c>
      <c r="AT99" s="25" t="s">
        <v>29</v>
      </c>
      <c r="AU99" s="191" t="s">
        <v>30</v>
      </c>
      <c r="AV99" s="192"/>
      <c r="AW99" s="192"/>
      <c r="AX99" s="193"/>
      <c r="AY99" s="191" t="s">
        <v>29</v>
      </c>
      <c r="AZ99" s="192"/>
      <c r="BA99" s="192"/>
      <c r="BB99" s="193"/>
      <c r="BC99" s="160"/>
      <c r="BD99" s="161"/>
      <c r="BE99" s="161"/>
      <c r="BF99" s="161"/>
      <c r="BG99" s="161"/>
      <c r="BH99" s="161"/>
      <c r="BI99" s="161"/>
      <c r="BJ99" s="162"/>
      <c r="BK99" s="21"/>
    </row>
    <row r="100" spans="1:63" x14ac:dyDescent="0.25">
      <c r="A100" s="20"/>
      <c r="B100" s="163">
        <v>12.8</v>
      </c>
      <c r="C100" s="165"/>
      <c r="D100" s="188" t="s">
        <v>43</v>
      </c>
      <c r="E100" s="189"/>
      <c r="F100" s="189"/>
      <c r="G100" s="189"/>
      <c r="H100" s="189"/>
      <c r="I100" s="189"/>
      <c r="J100" s="190"/>
      <c r="K100" s="172" t="s">
        <v>75</v>
      </c>
      <c r="L100" s="173"/>
      <c r="M100" s="174"/>
      <c r="N100" s="26" t="s">
        <v>61</v>
      </c>
      <c r="O100" s="23" t="s">
        <v>27</v>
      </c>
      <c r="P100" s="197" t="s">
        <v>99</v>
      </c>
      <c r="Q100" s="176"/>
      <c r="R100" s="176"/>
      <c r="S100" s="177"/>
      <c r="T100" s="314" t="s">
        <v>100</v>
      </c>
      <c r="U100" s="315"/>
      <c r="V100" s="315"/>
      <c r="W100" s="316"/>
      <c r="X100" s="317" t="s">
        <v>27</v>
      </c>
      <c r="Y100" s="318"/>
      <c r="Z100" s="319"/>
      <c r="AA100" s="163" t="s">
        <v>29</v>
      </c>
      <c r="AB100" s="164"/>
      <c r="AC100" s="164"/>
      <c r="AD100" s="164"/>
      <c r="AE100" s="164"/>
      <c r="AF100" s="164"/>
      <c r="AG100" s="164"/>
      <c r="AH100" s="165"/>
      <c r="AI100" s="163" t="s">
        <v>29</v>
      </c>
      <c r="AJ100" s="164"/>
      <c r="AK100" s="164"/>
      <c r="AL100" s="164"/>
      <c r="AM100" s="164"/>
      <c r="AN100" s="164"/>
      <c r="AO100" s="164"/>
      <c r="AP100" s="164"/>
      <c r="AQ100" s="165"/>
      <c r="AR100" s="25" t="s">
        <v>27</v>
      </c>
      <c r="AS100" s="25" t="s">
        <v>29</v>
      </c>
      <c r="AT100" s="25" t="s">
        <v>29</v>
      </c>
      <c r="AU100" s="205" t="s">
        <v>297</v>
      </c>
      <c r="AV100" s="192"/>
      <c r="AW100" s="192"/>
      <c r="AX100" s="193"/>
      <c r="AY100" s="198" t="s">
        <v>302</v>
      </c>
      <c r="AZ100" s="199"/>
      <c r="BA100" s="199"/>
      <c r="BB100" s="200"/>
      <c r="BC100" s="160"/>
      <c r="BD100" s="161"/>
      <c r="BE100" s="161"/>
      <c r="BF100" s="161"/>
      <c r="BG100" s="161"/>
      <c r="BH100" s="161"/>
      <c r="BI100" s="161"/>
      <c r="BJ100" s="162"/>
      <c r="BK100" s="21"/>
    </row>
    <row r="101" spans="1:63" ht="15.75" customHeight="1" x14ac:dyDescent="0.25">
      <c r="A101" s="20"/>
      <c r="B101" s="163">
        <v>12.9</v>
      </c>
      <c r="C101" s="165"/>
      <c r="D101" s="188" t="s">
        <v>70</v>
      </c>
      <c r="E101" s="189"/>
      <c r="F101" s="189"/>
      <c r="G101" s="189"/>
      <c r="H101" s="189"/>
      <c r="I101" s="189"/>
      <c r="J101" s="190"/>
      <c r="K101" s="172" t="s">
        <v>26</v>
      </c>
      <c r="L101" s="173"/>
      <c r="M101" s="174"/>
      <c r="N101" s="23" t="s">
        <v>27</v>
      </c>
      <c r="O101" s="23" t="s">
        <v>28</v>
      </c>
      <c r="P101" s="197" t="s">
        <v>27</v>
      </c>
      <c r="Q101" s="176"/>
      <c r="R101" s="176"/>
      <c r="S101" s="177"/>
      <c r="T101" s="197" t="s">
        <v>27</v>
      </c>
      <c r="U101" s="176"/>
      <c r="V101" s="176"/>
      <c r="W101" s="177"/>
      <c r="X101" s="310" t="s">
        <v>54</v>
      </c>
      <c r="Y101" s="311"/>
      <c r="Z101" s="312"/>
      <c r="AA101" s="163" t="s">
        <v>29</v>
      </c>
      <c r="AB101" s="164"/>
      <c r="AC101" s="164"/>
      <c r="AD101" s="164"/>
      <c r="AE101" s="164"/>
      <c r="AF101" s="164"/>
      <c r="AG101" s="164"/>
      <c r="AH101" s="165"/>
      <c r="AI101" s="163" t="s">
        <v>29</v>
      </c>
      <c r="AJ101" s="164"/>
      <c r="AK101" s="164"/>
      <c r="AL101" s="164"/>
      <c r="AM101" s="164"/>
      <c r="AN101" s="164"/>
      <c r="AO101" s="164"/>
      <c r="AP101" s="164"/>
      <c r="AQ101" s="165"/>
      <c r="AR101" s="25" t="s">
        <v>27</v>
      </c>
      <c r="AS101" s="25" t="s">
        <v>29</v>
      </c>
      <c r="AT101" s="25" t="s">
        <v>29</v>
      </c>
      <c r="AU101" s="191" t="s">
        <v>30</v>
      </c>
      <c r="AV101" s="192"/>
      <c r="AW101" s="192"/>
      <c r="AX101" s="193"/>
      <c r="AY101" s="191" t="s">
        <v>29</v>
      </c>
      <c r="AZ101" s="192"/>
      <c r="BA101" s="192"/>
      <c r="BB101" s="193"/>
      <c r="BC101" s="160"/>
      <c r="BD101" s="161"/>
      <c r="BE101" s="161"/>
      <c r="BF101" s="161"/>
      <c r="BG101" s="161"/>
      <c r="BH101" s="161"/>
      <c r="BI101" s="161"/>
      <c r="BJ101" s="162"/>
      <c r="BK101" s="21"/>
    </row>
    <row r="102" spans="1:63" x14ac:dyDescent="0.25">
      <c r="A102" s="20"/>
      <c r="B102" s="184" t="s">
        <v>45</v>
      </c>
      <c r="C102" s="165"/>
      <c r="D102" s="188" t="s">
        <v>44</v>
      </c>
      <c r="E102" s="189"/>
      <c r="F102" s="189"/>
      <c r="G102" s="189"/>
      <c r="H102" s="189"/>
      <c r="I102" s="189"/>
      <c r="J102" s="190"/>
      <c r="K102" s="172" t="s">
        <v>75</v>
      </c>
      <c r="L102" s="173"/>
      <c r="M102" s="174"/>
      <c r="N102" s="26" t="s">
        <v>61</v>
      </c>
      <c r="O102" s="23" t="s">
        <v>27</v>
      </c>
      <c r="P102" s="313" t="s">
        <v>101</v>
      </c>
      <c r="Q102" s="179"/>
      <c r="R102" s="179"/>
      <c r="S102" s="180"/>
      <c r="T102" s="314" t="s">
        <v>209</v>
      </c>
      <c r="U102" s="315"/>
      <c r="V102" s="315"/>
      <c r="W102" s="316"/>
      <c r="X102" s="317" t="s">
        <v>27</v>
      </c>
      <c r="Y102" s="318"/>
      <c r="Z102" s="319"/>
      <c r="AA102" s="163" t="s">
        <v>29</v>
      </c>
      <c r="AB102" s="164"/>
      <c r="AC102" s="164"/>
      <c r="AD102" s="164"/>
      <c r="AE102" s="164"/>
      <c r="AF102" s="164"/>
      <c r="AG102" s="164"/>
      <c r="AH102" s="165"/>
      <c r="AI102" s="163" t="s">
        <v>29</v>
      </c>
      <c r="AJ102" s="164"/>
      <c r="AK102" s="164"/>
      <c r="AL102" s="164"/>
      <c r="AM102" s="164"/>
      <c r="AN102" s="164"/>
      <c r="AO102" s="164"/>
      <c r="AP102" s="164"/>
      <c r="AQ102" s="165"/>
      <c r="AR102" s="25" t="s">
        <v>27</v>
      </c>
      <c r="AS102" s="25" t="s">
        <v>29</v>
      </c>
      <c r="AT102" s="25" t="s">
        <v>29</v>
      </c>
      <c r="AU102" s="205" t="s">
        <v>297</v>
      </c>
      <c r="AV102" s="192"/>
      <c r="AW102" s="192"/>
      <c r="AX102" s="193"/>
      <c r="AY102" s="198" t="s">
        <v>303</v>
      </c>
      <c r="AZ102" s="199"/>
      <c r="BA102" s="199"/>
      <c r="BB102" s="200"/>
      <c r="BC102" s="160"/>
      <c r="BD102" s="161"/>
      <c r="BE102" s="161"/>
      <c r="BF102" s="161"/>
      <c r="BG102" s="161"/>
      <c r="BH102" s="161"/>
      <c r="BI102" s="161"/>
      <c r="BJ102" s="162"/>
      <c r="BK102" s="21"/>
    </row>
    <row r="103" spans="1:63" x14ac:dyDescent="0.25">
      <c r="A103" s="20"/>
      <c r="B103" s="320">
        <v>12.11</v>
      </c>
      <c r="C103" s="321"/>
      <c r="D103" s="188" t="s">
        <v>71</v>
      </c>
      <c r="E103" s="189"/>
      <c r="F103" s="189"/>
      <c r="G103" s="189"/>
      <c r="H103" s="189"/>
      <c r="I103" s="189"/>
      <c r="J103" s="190"/>
      <c r="K103" s="172" t="s">
        <v>26</v>
      </c>
      <c r="L103" s="173"/>
      <c r="M103" s="174"/>
      <c r="N103" s="23" t="s">
        <v>27</v>
      </c>
      <c r="O103" s="23" t="s">
        <v>28</v>
      </c>
      <c r="P103" s="197" t="s">
        <v>27</v>
      </c>
      <c r="Q103" s="176"/>
      <c r="R103" s="176"/>
      <c r="S103" s="177"/>
      <c r="T103" s="197" t="s">
        <v>27</v>
      </c>
      <c r="U103" s="176"/>
      <c r="V103" s="176"/>
      <c r="W103" s="177"/>
      <c r="X103" s="317" t="s">
        <v>27</v>
      </c>
      <c r="Y103" s="318"/>
      <c r="Z103" s="319"/>
      <c r="AA103" s="163" t="s">
        <v>29</v>
      </c>
      <c r="AB103" s="164"/>
      <c r="AC103" s="164"/>
      <c r="AD103" s="164"/>
      <c r="AE103" s="164"/>
      <c r="AF103" s="164"/>
      <c r="AG103" s="164"/>
      <c r="AH103" s="165"/>
      <c r="AI103" s="163" t="s">
        <v>29</v>
      </c>
      <c r="AJ103" s="164"/>
      <c r="AK103" s="164"/>
      <c r="AL103" s="164"/>
      <c r="AM103" s="164"/>
      <c r="AN103" s="164"/>
      <c r="AO103" s="164"/>
      <c r="AP103" s="164"/>
      <c r="AQ103" s="165"/>
      <c r="AR103" s="25" t="s">
        <v>27</v>
      </c>
      <c r="AS103" s="25" t="s">
        <v>29</v>
      </c>
      <c r="AT103" s="25" t="s">
        <v>29</v>
      </c>
      <c r="AU103" s="191" t="s">
        <v>30</v>
      </c>
      <c r="AV103" s="192"/>
      <c r="AW103" s="192"/>
      <c r="AX103" s="193"/>
      <c r="AY103" s="191" t="s">
        <v>29</v>
      </c>
      <c r="AZ103" s="192"/>
      <c r="BA103" s="192"/>
      <c r="BB103" s="193"/>
      <c r="BC103" s="160"/>
      <c r="BD103" s="161"/>
      <c r="BE103" s="161"/>
      <c r="BF103" s="161"/>
      <c r="BG103" s="161"/>
      <c r="BH103" s="161"/>
      <c r="BI103" s="161"/>
      <c r="BJ103" s="162"/>
      <c r="BK103" s="21"/>
    </row>
    <row r="104" spans="1:63" x14ac:dyDescent="0.25">
      <c r="A104" s="20"/>
      <c r="B104" s="320">
        <v>12.12</v>
      </c>
      <c r="C104" s="321"/>
      <c r="D104" s="322" t="s">
        <v>72</v>
      </c>
      <c r="E104" s="323"/>
      <c r="F104" s="323"/>
      <c r="G104" s="323"/>
      <c r="H104" s="323"/>
      <c r="I104" s="323"/>
      <c r="J104" s="324"/>
      <c r="K104" s="172" t="s">
        <v>75</v>
      </c>
      <c r="L104" s="173"/>
      <c r="M104" s="174"/>
      <c r="N104" s="26" t="s">
        <v>61</v>
      </c>
      <c r="O104" s="23" t="s">
        <v>27</v>
      </c>
      <c r="P104" s="313" t="s">
        <v>102</v>
      </c>
      <c r="Q104" s="179"/>
      <c r="R104" s="179"/>
      <c r="S104" s="180"/>
      <c r="T104" s="314" t="s">
        <v>209</v>
      </c>
      <c r="U104" s="315"/>
      <c r="V104" s="315"/>
      <c r="W104" s="316"/>
      <c r="X104" s="310" t="s">
        <v>55</v>
      </c>
      <c r="Y104" s="311"/>
      <c r="Z104" s="312"/>
      <c r="AA104" s="163" t="s">
        <v>29</v>
      </c>
      <c r="AB104" s="164"/>
      <c r="AC104" s="164"/>
      <c r="AD104" s="164"/>
      <c r="AE104" s="164"/>
      <c r="AF104" s="164"/>
      <c r="AG104" s="164"/>
      <c r="AH104" s="165"/>
      <c r="AI104" s="163" t="s">
        <v>29</v>
      </c>
      <c r="AJ104" s="164"/>
      <c r="AK104" s="164"/>
      <c r="AL104" s="164"/>
      <c r="AM104" s="164"/>
      <c r="AN104" s="164"/>
      <c r="AO104" s="164"/>
      <c r="AP104" s="164"/>
      <c r="AQ104" s="165"/>
      <c r="AR104" s="25" t="s">
        <v>27</v>
      </c>
      <c r="AS104" s="25" t="s">
        <v>29</v>
      </c>
      <c r="AT104" s="25" t="s">
        <v>29</v>
      </c>
      <c r="AU104" s="205" t="s">
        <v>297</v>
      </c>
      <c r="AV104" s="192"/>
      <c r="AW104" s="192"/>
      <c r="AX104" s="193"/>
      <c r="AY104" s="198" t="s">
        <v>304</v>
      </c>
      <c r="AZ104" s="199"/>
      <c r="BA104" s="199"/>
      <c r="BB104" s="200"/>
      <c r="BC104" s="160"/>
      <c r="BD104" s="161"/>
      <c r="BE104" s="161"/>
      <c r="BF104" s="161"/>
      <c r="BG104" s="161"/>
      <c r="BH104" s="161"/>
      <c r="BI104" s="161"/>
      <c r="BJ104" s="162"/>
      <c r="BK104" s="21"/>
    </row>
    <row r="105" spans="1:63" x14ac:dyDescent="0.25">
      <c r="A105" s="20"/>
      <c r="B105" s="320">
        <v>12.13</v>
      </c>
      <c r="C105" s="321"/>
      <c r="D105" s="188" t="s">
        <v>59</v>
      </c>
      <c r="E105" s="189"/>
      <c r="F105" s="189"/>
      <c r="G105" s="189"/>
      <c r="H105" s="189"/>
      <c r="I105" s="189"/>
      <c r="J105" s="190"/>
      <c r="K105" s="172" t="s">
        <v>60</v>
      </c>
      <c r="L105" s="173"/>
      <c r="M105" s="174"/>
      <c r="N105" s="26" t="s">
        <v>61</v>
      </c>
      <c r="O105" s="23" t="s">
        <v>28</v>
      </c>
      <c r="P105" s="303" t="s">
        <v>27</v>
      </c>
      <c r="Q105" s="304"/>
      <c r="R105" s="304"/>
      <c r="S105" s="305"/>
      <c r="T105" s="303" t="s">
        <v>27</v>
      </c>
      <c r="U105" s="304"/>
      <c r="V105" s="304"/>
      <c r="W105" s="305"/>
      <c r="X105" s="317" t="s">
        <v>59</v>
      </c>
      <c r="Y105" s="318"/>
      <c r="Z105" s="319"/>
      <c r="AA105" s="163" t="s">
        <v>29</v>
      </c>
      <c r="AB105" s="164"/>
      <c r="AC105" s="164"/>
      <c r="AD105" s="164"/>
      <c r="AE105" s="164"/>
      <c r="AF105" s="164"/>
      <c r="AG105" s="164"/>
      <c r="AH105" s="165"/>
      <c r="AI105" s="299" t="s">
        <v>305</v>
      </c>
      <c r="AJ105" s="164"/>
      <c r="AK105" s="164"/>
      <c r="AL105" s="164"/>
      <c r="AM105" s="164"/>
      <c r="AN105" s="164"/>
      <c r="AO105" s="164"/>
      <c r="AP105" s="164"/>
      <c r="AQ105" s="165"/>
      <c r="AR105" s="25" t="s">
        <v>27</v>
      </c>
      <c r="AS105" s="25" t="s">
        <v>29</v>
      </c>
      <c r="AT105" s="25" t="s">
        <v>29</v>
      </c>
      <c r="AU105" s="163" t="s">
        <v>30</v>
      </c>
      <c r="AV105" s="164"/>
      <c r="AW105" s="164"/>
      <c r="AX105" s="165"/>
      <c r="AY105" s="163" t="s">
        <v>29</v>
      </c>
      <c r="AZ105" s="164"/>
      <c r="BA105" s="164"/>
      <c r="BB105" s="165"/>
      <c r="BC105" s="160" t="s">
        <v>88</v>
      </c>
      <c r="BD105" s="161"/>
      <c r="BE105" s="161"/>
      <c r="BF105" s="161"/>
      <c r="BG105" s="161"/>
      <c r="BH105" s="161"/>
      <c r="BI105" s="161"/>
      <c r="BJ105" s="162"/>
      <c r="BK105" s="21"/>
    </row>
    <row r="106" spans="1:63" x14ac:dyDescent="0.25">
      <c r="A106" s="20"/>
      <c r="B106" s="163">
        <v>13</v>
      </c>
      <c r="C106" s="165"/>
      <c r="D106" s="188" t="s">
        <v>81</v>
      </c>
      <c r="E106" s="189"/>
      <c r="F106" s="189"/>
      <c r="G106" s="189"/>
      <c r="H106" s="189"/>
      <c r="I106" s="189"/>
      <c r="J106" s="190"/>
      <c r="K106" s="172" t="s">
        <v>60</v>
      </c>
      <c r="L106" s="173"/>
      <c r="M106" s="174"/>
      <c r="N106" s="26" t="s">
        <v>61</v>
      </c>
      <c r="O106" s="23" t="s">
        <v>28</v>
      </c>
      <c r="P106" s="163" t="s">
        <v>30</v>
      </c>
      <c r="Q106" s="164"/>
      <c r="R106" s="164"/>
      <c r="S106" s="165"/>
      <c r="T106" s="163" t="s">
        <v>30</v>
      </c>
      <c r="U106" s="164"/>
      <c r="V106" s="164"/>
      <c r="W106" s="165"/>
      <c r="X106" s="184" t="s">
        <v>81</v>
      </c>
      <c r="Y106" s="330"/>
      <c r="Z106" s="331"/>
      <c r="AA106" s="163" t="s">
        <v>29</v>
      </c>
      <c r="AB106" s="164"/>
      <c r="AC106" s="164"/>
      <c r="AD106" s="164"/>
      <c r="AE106" s="164"/>
      <c r="AF106" s="164"/>
      <c r="AG106" s="164"/>
      <c r="AH106" s="165"/>
      <c r="AI106" s="299" t="s">
        <v>305</v>
      </c>
      <c r="AJ106" s="164"/>
      <c r="AK106" s="164"/>
      <c r="AL106" s="164"/>
      <c r="AM106" s="164"/>
      <c r="AN106" s="164"/>
      <c r="AO106" s="164"/>
      <c r="AP106" s="164"/>
      <c r="AQ106" s="165"/>
      <c r="AR106" s="25" t="s">
        <v>27</v>
      </c>
      <c r="AS106" s="25" t="s">
        <v>29</v>
      </c>
      <c r="AT106" s="25" t="s">
        <v>29</v>
      </c>
      <c r="AU106" s="163" t="s">
        <v>30</v>
      </c>
      <c r="AV106" s="164"/>
      <c r="AW106" s="164"/>
      <c r="AX106" s="165"/>
      <c r="AY106" s="163" t="s">
        <v>29</v>
      </c>
      <c r="AZ106" s="164"/>
      <c r="BA106" s="164"/>
      <c r="BB106" s="165"/>
      <c r="BC106" s="160" t="s">
        <v>90</v>
      </c>
      <c r="BD106" s="161"/>
      <c r="BE106" s="161"/>
      <c r="BF106" s="161"/>
      <c r="BG106" s="161"/>
      <c r="BH106" s="161"/>
      <c r="BI106" s="161"/>
      <c r="BJ106" s="162"/>
      <c r="BK106" s="21"/>
    </row>
    <row r="107" spans="1:63" x14ac:dyDescent="0.25">
      <c r="A107" s="20"/>
      <c r="B107" s="163">
        <v>14</v>
      </c>
      <c r="C107" s="165"/>
      <c r="D107" s="325" t="s">
        <v>82</v>
      </c>
      <c r="E107" s="326"/>
      <c r="F107" s="326"/>
      <c r="G107" s="326"/>
      <c r="H107" s="326"/>
      <c r="I107" s="326"/>
      <c r="J107" s="327"/>
      <c r="K107" s="160" t="s">
        <v>60</v>
      </c>
      <c r="L107" s="161"/>
      <c r="M107" s="162"/>
      <c r="N107" s="36" t="s">
        <v>61</v>
      </c>
      <c r="O107" s="37" t="s">
        <v>28</v>
      </c>
      <c r="P107" s="303" t="s">
        <v>27</v>
      </c>
      <c r="Q107" s="304"/>
      <c r="R107" s="304"/>
      <c r="S107" s="305"/>
      <c r="T107" s="303" t="s">
        <v>27</v>
      </c>
      <c r="U107" s="304"/>
      <c r="V107" s="304"/>
      <c r="W107" s="305"/>
      <c r="X107" s="306" t="s">
        <v>82</v>
      </c>
      <c r="Y107" s="328"/>
      <c r="Z107" s="329"/>
      <c r="AA107" s="303" t="s">
        <v>29</v>
      </c>
      <c r="AB107" s="304"/>
      <c r="AC107" s="304"/>
      <c r="AD107" s="304"/>
      <c r="AE107" s="304"/>
      <c r="AF107" s="304"/>
      <c r="AG107" s="304"/>
      <c r="AH107" s="305"/>
      <c r="AI107" s="303" t="s">
        <v>76</v>
      </c>
      <c r="AJ107" s="304"/>
      <c r="AK107" s="304"/>
      <c r="AL107" s="304"/>
      <c r="AM107" s="304"/>
      <c r="AN107" s="304"/>
      <c r="AO107" s="304"/>
      <c r="AP107" s="304"/>
      <c r="AQ107" s="305"/>
      <c r="AR107" s="38" t="s">
        <v>27</v>
      </c>
      <c r="AS107" s="38" t="s">
        <v>29</v>
      </c>
      <c r="AT107" s="38" t="s">
        <v>29</v>
      </c>
      <c r="AU107" s="303" t="s">
        <v>27</v>
      </c>
      <c r="AV107" s="304"/>
      <c r="AW107" s="304"/>
      <c r="AX107" s="305"/>
      <c r="AY107" s="303" t="s">
        <v>29</v>
      </c>
      <c r="AZ107" s="304"/>
      <c r="BA107" s="304"/>
      <c r="BB107" s="305"/>
      <c r="BC107" s="160" t="s">
        <v>91</v>
      </c>
      <c r="BD107" s="161"/>
      <c r="BE107" s="161"/>
      <c r="BF107" s="161"/>
      <c r="BG107" s="161"/>
      <c r="BH107" s="161"/>
      <c r="BI107" s="161"/>
      <c r="BJ107" s="162"/>
      <c r="BK107" s="21"/>
    </row>
    <row r="108" spans="1:63" x14ac:dyDescent="0.25">
      <c r="A108" s="20"/>
      <c r="B108" s="163">
        <v>15</v>
      </c>
      <c r="C108" s="165"/>
      <c r="D108" s="325" t="s">
        <v>83</v>
      </c>
      <c r="E108" s="326"/>
      <c r="F108" s="326"/>
      <c r="G108" s="326"/>
      <c r="H108" s="326"/>
      <c r="I108" s="326"/>
      <c r="J108" s="327"/>
      <c r="K108" s="160" t="s">
        <v>60</v>
      </c>
      <c r="L108" s="161"/>
      <c r="M108" s="162"/>
      <c r="N108" s="36" t="s">
        <v>61</v>
      </c>
      <c r="O108" s="37" t="s">
        <v>28</v>
      </c>
      <c r="P108" s="303" t="s">
        <v>27</v>
      </c>
      <c r="Q108" s="304"/>
      <c r="R108" s="304"/>
      <c r="S108" s="305"/>
      <c r="T108" s="303" t="s">
        <v>27</v>
      </c>
      <c r="U108" s="304"/>
      <c r="V108" s="304"/>
      <c r="W108" s="305"/>
      <c r="X108" s="306" t="s">
        <v>83</v>
      </c>
      <c r="Y108" s="328"/>
      <c r="Z108" s="329"/>
      <c r="AA108" s="303" t="s">
        <v>29</v>
      </c>
      <c r="AB108" s="304"/>
      <c r="AC108" s="304"/>
      <c r="AD108" s="304"/>
      <c r="AE108" s="304"/>
      <c r="AF108" s="304"/>
      <c r="AG108" s="304"/>
      <c r="AH108" s="305"/>
      <c r="AI108" s="335" t="s">
        <v>306</v>
      </c>
      <c r="AJ108" s="336"/>
      <c r="AK108" s="336"/>
      <c r="AL108" s="336"/>
      <c r="AM108" s="336"/>
      <c r="AN108" s="336"/>
      <c r="AO108" s="336"/>
      <c r="AP108" s="336"/>
      <c r="AQ108" s="337"/>
      <c r="AR108" s="38" t="s">
        <v>27</v>
      </c>
      <c r="AS108" s="38" t="s">
        <v>29</v>
      </c>
      <c r="AT108" s="38" t="s">
        <v>29</v>
      </c>
      <c r="AU108" s="303" t="s">
        <v>27</v>
      </c>
      <c r="AV108" s="304"/>
      <c r="AW108" s="304"/>
      <c r="AX108" s="305"/>
      <c r="AY108" s="303" t="s">
        <v>29</v>
      </c>
      <c r="AZ108" s="304"/>
      <c r="BA108" s="304"/>
      <c r="BB108" s="305"/>
      <c r="BC108" s="160" t="s">
        <v>92</v>
      </c>
      <c r="BD108" s="161"/>
      <c r="BE108" s="161"/>
      <c r="BF108" s="161"/>
      <c r="BG108" s="161"/>
      <c r="BH108" s="161"/>
      <c r="BI108" s="161"/>
      <c r="BJ108" s="162"/>
      <c r="BK108" s="21"/>
    </row>
    <row r="109" spans="1:63" ht="31.5" customHeight="1" x14ac:dyDescent="0.25">
      <c r="A109" s="20"/>
      <c r="B109" s="163">
        <v>16</v>
      </c>
      <c r="C109" s="165"/>
      <c r="D109" s="325" t="s">
        <v>84</v>
      </c>
      <c r="E109" s="326"/>
      <c r="F109" s="326"/>
      <c r="G109" s="326"/>
      <c r="H109" s="326"/>
      <c r="I109" s="326"/>
      <c r="J109" s="327"/>
      <c r="K109" s="160" t="s">
        <v>60</v>
      </c>
      <c r="L109" s="161"/>
      <c r="M109" s="162"/>
      <c r="N109" s="36" t="s">
        <v>61</v>
      </c>
      <c r="O109" s="37" t="s">
        <v>28</v>
      </c>
      <c r="P109" s="303" t="s">
        <v>27</v>
      </c>
      <c r="Q109" s="304"/>
      <c r="R109" s="304"/>
      <c r="S109" s="305"/>
      <c r="T109" s="303" t="s">
        <v>27</v>
      </c>
      <c r="U109" s="304"/>
      <c r="V109" s="304"/>
      <c r="W109" s="305"/>
      <c r="X109" s="306" t="s">
        <v>84</v>
      </c>
      <c r="Y109" s="328"/>
      <c r="Z109" s="329"/>
      <c r="AA109" s="303" t="s">
        <v>29</v>
      </c>
      <c r="AB109" s="304"/>
      <c r="AC109" s="304"/>
      <c r="AD109" s="304"/>
      <c r="AE109" s="304"/>
      <c r="AF109" s="304"/>
      <c r="AG109" s="304"/>
      <c r="AH109" s="305"/>
      <c r="AI109" s="332" t="s">
        <v>307</v>
      </c>
      <c r="AJ109" s="333"/>
      <c r="AK109" s="333"/>
      <c r="AL109" s="333"/>
      <c r="AM109" s="333"/>
      <c r="AN109" s="333"/>
      <c r="AO109" s="333"/>
      <c r="AP109" s="333"/>
      <c r="AQ109" s="334"/>
      <c r="AR109" s="38" t="s">
        <v>27</v>
      </c>
      <c r="AS109" s="38" t="s">
        <v>29</v>
      </c>
      <c r="AT109" s="38" t="s">
        <v>29</v>
      </c>
      <c r="AU109" s="303" t="s">
        <v>27</v>
      </c>
      <c r="AV109" s="304"/>
      <c r="AW109" s="304"/>
      <c r="AX109" s="305"/>
      <c r="AY109" s="303" t="s">
        <v>29</v>
      </c>
      <c r="AZ109" s="304"/>
      <c r="BA109" s="304"/>
      <c r="BB109" s="305"/>
      <c r="BC109" s="160" t="s">
        <v>93</v>
      </c>
      <c r="BD109" s="161"/>
      <c r="BE109" s="161"/>
      <c r="BF109" s="161"/>
      <c r="BG109" s="161"/>
      <c r="BH109" s="161"/>
      <c r="BI109" s="161"/>
      <c r="BJ109" s="162"/>
      <c r="BK109" s="21"/>
    </row>
    <row r="110" spans="1:63" ht="47.25" customHeight="1" x14ac:dyDescent="0.25">
      <c r="A110" s="20"/>
      <c r="B110" s="163">
        <v>17</v>
      </c>
      <c r="C110" s="165"/>
      <c r="D110" s="325" t="s">
        <v>85</v>
      </c>
      <c r="E110" s="326"/>
      <c r="F110" s="326"/>
      <c r="G110" s="326"/>
      <c r="H110" s="326"/>
      <c r="I110" s="326"/>
      <c r="J110" s="327"/>
      <c r="K110" s="160" t="s">
        <v>60</v>
      </c>
      <c r="L110" s="161"/>
      <c r="M110" s="162"/>
      <c r="N110" s="36" t="s">
        <v>61</v>
      </c>
      <c r="O110" s="37" t="s">
        <v>28</v>
      </c>
      <c r="P110" s="303" t="s">
        <v>27</v>
      </c>
      <c r="Q110" s="304"/>
      <c r="R110" s="304"/>
      <c r="S110" s="305"/>
      <c r="T110" s="303" t="s">
        <v>27</v>
      </c>
      <c r="U110" s="304"/>
      <c r="V110" s="304"/>
      <c r="W110" s="305"/>
      <c r="X110" s="306" t="s">
        <v>85</v>
      </c>
      <c r="Y110" s="328"/>
      <c r="Z110" s="329"/>
      <c r="AA110" s="303" t="s">
        <v>29</v>
      </c>
      <c r="AB110" s="304"/>
      <c r="AC110" s="304"/>
      <c r="AD110" s="304"/>
      <c r="AE110" s="304"/>
      <c r="AF110" s="304"/>
      <c r="AG110" s="304"/>
      <c r="AH110" s="305"/>
      <c r="AI110" s="332" t="s">
        <v>308</v>
      </c>
      <c r="AJ110" s="333"/>
      <c r="AK110" s="333"/>
      <c r="AL110" s="333"/>
      <c r="AM110" s="333"/>
      <c r="AN110" s="333"/>
      <c r="AO110" s="333"/>
      <c r="AP110" s="333"/>
      <c r="AQ110" s="334"/>
      <c r="AR110" s="38" t="s">
        <v>27</v>
      </c>
      <c r="AS110" s="38" t="s">
        <v>29</v>
      </c>
      <c r="AT110" s="38" t="s">
        <v>29</v>
      </c>
      <c r="AU110" s="303" t="s">
        <v>27</v>
      </c>
      <c r="AV110" s="304"/>
      <c r="AW110" s="304"/>
      <c r="AX110" s="305"/>
      <c r="AY110" s="303" t="s">
        <v>29</v>
      </c>
      <c r="AZ110" s="304"/>
      <c r="BA110" s="304"/>
      <c r="BB110" s="305"/>
      <c r="BC110" s="160" t="s">
        <v>94</v>
      </c>
      <c r="BD110" s="161"/>
      <c r="BE110" s="161"/>
      <c r="BF110" s="161"/>
      <c r="BG110" s="161"/>
      <c r="BH110" s="161"/>
      <c r="BI110" s="161"/>
      <c r="BJ110" s="162"/>
      <c r="BK110" s="21"/>
    </row>
    <row r="111" spans="1:63" x14ac:dyDescent="0.25">
      <c r="A111" s="20"/>
      <c r="B111" s="163">
        <v>18</v>
      </c>
      <c r="C111" s="165"/>
      <c r="D111" s="325" t="s">
        <v>13</v>
      </c>
      <c r="E111" s="326"/>
      <c r="F111" s="326"/>
      <c r="G111" s="326"/>
      <c r="H111" s="326"/>
      <c r="I111" s="326"/>
      <c r="J111" s="327"/>
      <c r="K111" s="160" t="s">
        <v>60</v>
      </c>
      <c r="L111" s="161"/>
      <c r="M111" s="162"/>
      <c r="N111" s="36" t="s">
        <v>61</v>
      </c>
      <c r="O111" s="37" t="s">
        <v>28</v>
      </c>
      <c r="P111" s="303" t="s">
        <v>27</v>
      </c>
      <c r="Q111" s="304"/>
      <c r="R111" s="304"/>
      <c r="S111" s="305"/>
      <c r="T111" s="303" t="s">
        <v>27</v>
      </c>
      <c r="U111" s="304"/>
      <c r="V111" s="304"/>
      <c r="W111" s="305"/>
      <c r="X111" s="306" t="s">
        <v>13</v>
      </c>
      <c r="Y111" s="328"/>
      <c r="Z111" s="329"/>
      <c r="AA111" s="303" t="s">
        <v>29</v>
      </c>
      <c r="AB111" s="304"/>
      <c r="AC111" s="304"/>
      <c r="AD111" s="304"/>
      <c r="AE111" s="304"/>
      <c r="AF111" s="304"/>
      <c r="AG111" s="304"/>
      <c r="AH111" s="305"/>
      <c r="AI111" s="335" t="s">
        <v>306</v>
      </c>
      <c r="AJ111" s="336"/>
      <c r="AK111" s="336"/>
      <c r="AL111" s="336"/>
      <c r="AM111" s="336"/>
      <c r="AN111" s="336"/>
      <c r="AO111" s="336"/>
      <c r="AP111" s="336"/>
      <c r="AQ111" s="337"/>
      <c r="AR111" s="38" t="s">
        <v>27</v>
      </c>
      <c r="AS111" s="38" t="s">
        <v>29</v>
      </c>
      <c r="AT111" s="38" t="s">
        <v>29</v>
      </c>
      <c r="AU111" s="303" t="s">
        <v>27</v>
      </c>
      <c r="AV111" s="304"/>
      <c r="AW111" s="304"/>
      <c r="AX111" s="305"/>
      <c r="AY111" s="303" t="s">
        <v>29</v>
      </c>
      <c r="AZ111" s="304"/>
      <c r="BA111" s="304"/>
      <c r="BB111" s="305"/>
      <c r="BC111" s="160" t="s">
        <v>95</v>
      </c>
      <c r="BD111" s="161"/>
      <c r="BE111" s="161"/>
      <c r="BF111" s="161"/>
      <c r="BG111" s="161"/>
      <c r="BH111" s="161"/>
      <c r="BI111" s="161"/>
      <c r="BJ111" s="162"/>
      <c r="BK111" s="21"/>
    </row>
    <row r="112" spans="1:63" ht="31.5" customHeight="1" x14ac:dyDescent="0.25">
      <c r="A112" s="20"/>
      <c r="B112" s="163">
        <v>19</v>
      </c>
      <c r="C112" s="165"/>
      <c r="D112" s="325" t="s">
        <v>86</v>
      </c>
      <c r="E112" s="326"/>
      <c r="F112" s="326"/>
      <c r="G112" s="326"/>
      <c r="H112" s="326"/>
      <c r="I112" s="326"/>
      <c r="J112" s="327"/>
      <c r="K112" s="160" t="s">
        <v>60</v>
      </c>
      <c r="L112" s="161"/>
      <c r="M112" s="162"/>
      <c r="N112" s="36" t="s">
        <v>61</v>
      </c>
      <c r="O112" s="37" t="s">
        <v>28</v>
      </c>
      <c r="P112" s="303" t="s">
        <v>27</v>
      </c>
      <c r="Q112" s="304"/>
      <c r="R112" s="304"/>
      <c r="S112" s="305"/>
      <c r="T112" s="303" t="s">
        <v>27</v>
      </c>
      <c r="U112" s="304"/>
      <c r="V112" s="304"/>
      <c r="W112" s="305"/>
      <c r="X112" s="306" t="s">
        <v>86</v>
      </c>
      <c r="Y112" s="328"/>
      <c r="Z112" s="329"/>
      <c r="AA112" s="303" t="s">
        <v>29</v>
      </c>
      <c r="AB112" s="304"/>
      <c r="AC112" s="304"/>
      <c r="AD112" s="304"/>
      <c r="AE112" s="304"/>
      <c r="AF112" s="304"/>
      <c r="AG112" s="304"/>
      <c r="AH112" s="305"/>
      <c r="AI112" s="332" t="s">
        <v>307</v>
      </c>
      <c r="AJ112" s="333"/>
      <c r="AK112" s="333"/>
      <c r="AL112" s="333"/>
      <c r="AM112" s="333"/>
      <c r="AN112" s="333"/>
      <c r="AO112" s="333"/>
      <c r="AP112" s="333"/>
      <c r="AQ112" s="334"/>
      <c r="AR112" s="38" t="s">
        <v>27</v>
      </c>
      <c r="AS112" s="38" t="s">
        <v>29</v>
      </c>
      <c r="AT112" s="38" t="s">
        <v>29</v>
      </c>
      <c r="AU112" s="303" t="s">
        <v>27</v>
      </c>
      <c r="AV112" s="304"/>
      <c r="AW112" s="304"/>
      <c r="AX112" s="305"/>
      <c r="AY112" s="303" t="s">
        <v>29</v>
      </c>
      <c r="AZ112" s="304"/>
      <c r="BA112" s="304"/>
      <c r="BB112" s="305"/>
      <c r="BC112" s="160" t="s">
        <v>96</v>
      </c>
      <c r="BD112" s="161"/>
      <c r="BE112" s="161"/>
      <c r="BF112" s="161"/>
      <c r="BG112" s="161"/>
      <c r="BH112" s="161"/>
      <c r="BI112" s="161"/>
      <c r="BJ112" s="162"/>
      <c r="BK112" s="21"/>
    </row>
    <row r="113" spans="1:63" ht="32.25" customHeight="1" x14ac:dyDescent="0.25">
      <c r="A113" s="20"/>
      <c r="B113" s="338">
        <v>20</v>
      </c>
      <c r="C113" s="339"/>
      <c r="D113" s="340" t="s">
        <v>77</v>
      </c>
      <c r="E113" s="341"/>
      <c r="F113" s="341"/>
      <c r="G113" s="341"/>
      <c r="H113" s="341"/>
      <c r="I113" s="341"/>
      <c r="J113" s="342"/>
      <c r="K113" s="343" t="s">
        <v>60</v>
      </c>
      <c r="L113" s="344"/>
      <c r="M113" s="345"/>
      <c r="N113" s="39" t="s">
        <v>61</v>
      </c>
      <c r="O113" s="39" t="s">
        <v>28</v>
      </c>
      <c r="P113" s="346" t="s">
        <v>27</v>
      </c>
      <c r="Q113" s="347"/>
      <c r="R113" s="347"/>
      <c r="S113" s="348"/>
      <c r="T113" s="346" t="s">
        <v>27</v>
      </c>
      <c r="U113" s="347"/>
      <c r="V113" s="347"/>
      <c r="W113" s="348"/>
      <c r="X113" s="349" t="s">
        <v>77</v>
      </c>
      <c r="Y113" s="350"/>
      <c r="Z113" s="351"/>
      <c r="AA113" s="346" t="s">
        <v>29</v>
      </c>
      <c r="AB113" s="347"/>
      <c r="AC113" s="347"/>
      <c r="AD113" s="347"/>
      <c r="AE113" s="347"/>
      <c r="AF113" s="347"/>
      <c r="AG113" s="347"/>
      <c r="AH113" s="348"/>
      <c r="AI113" s="352" t="s">
        <v>196</v>
      </c>
      <c r="AJ113" s="353"/>
      <c r="AK113" s="353"/>
      <c r="AL113" s="353"/>
      <c r="AM113" s="353"/>
      <c r="AN113" s="353"/>
      <c r="AO113" s="353"/>
      <c r="AP113" s="353"/>
      <c r="AQ113" s="354"/>
      <c r="AR113" s="40" t="s">
        <v>27</v>
      </c>
      <c r="AS113" s="40" t="s">
        <v>29</v>
      </c>
      <c r="AT113" s="40" t="s">
        <v>29</v>
      </c>
      <c r="AU113" s="346" t="s">
        <v>27</v>
      </c>
      <c r="AV113" s="347"/>
      <c r="AW113" s="347"/>
      <c r="AX113" s="348"/>
      <c r="AY113" s="346" t="s">
        <v>29</v>
      </c>
      <c r="AZ113" s="347"/>
      <c r="BA113" s="347"/>
      <c r="BB113" s="348"/>
      <c r="BC113" s="343" t="s">
        <v>97</v>
      </c>
      <c r="BD113" s="344"/>
      <c r="BE113" s="344"/>
      <c r="BF113" s="344"/>
      <c r="BG113" s="344"/>
      <c r="BH113" s="344"/>
      <c r="BI113" s="344"/>
      <c r="BJ113" s="345"/>
      <c r="BK113" s="21"/>
    </row>
  </sheetData>
  <mergeCells count="535">
    <mergeCell ref="AY112:BB112"/>
    <mergeCell ref="BC112:BJ112"/>
    <mergeCell ref="B113:C113"/>
    <mergeCell ref="D113:J113"/>
    <mergeCell ref="K113:M113"/>
    <mergeCell ref="P113:S113"/>
    <mergeCell ref="T113:W113"/>
    <mergeCell ref="X113:Z113"/>
    <mergeCell ref="AA113:AH113"/>
    <mergeCell ref="AI113:AQ113"/>
    <mergeCell ref="AU113:AX113"/>
    <mergeCell ref="AY113:BB113"/>
    <mergeCell ref="BC113:BJ113"/>
    <mergeCell ref="B112:C112"/>
    <mergeCell ref="D112:J112"/>
    <mergeCell ref="K112:M112"/>
    <mergeCell ref="P112:S112"/>
    <mergeCell ref="T112:W112"/>
    <mergeCell ref="X112:Z112"/>
    <mergeCell ref="AA112:AH112"/>
    <mergeCell ref="AI112:AQ112"/>
    <mergeCell ref="AU112:AX112"/>
    <mergeCell ref="AY110:BB110"/>
    <mergeCell ref="BC110:BJ110"/>
    <mergeCell ref="B111:C111"/>
    <mergeCell ref="D111:J111"/>
    <mergeCell ref="K111:M111"/>
    <mergeCell ref="P111:S111"/>
    <mergeCell ref="T111:W111"/>
    <mergeCell ref="X111:Z111"/>
    <mergeCell ref="AA111:AH111"/>
    <mergeCell ref="AI111:AQ111"/>
    <mergeCell ref="AU111:AX111"/>
    <mergeCell ref="AY111:BB111"/>
    <mergeCell ref="BC111:BJ111"/>
    <mergeCell ref="B110:C110"/>
    <mergeCell ref="D110:J110"/>
    <mergeCell ref="K110:M110"/>
    <mergeCell ref="P110:S110"/>
    <mergeCell ref="T110:W110"/>
    <mergeCell ref="X110:Z110"/>
    <mergeCell ref="AA110:AH110"/>
    <mergeCell ref="AI110:AQ110"/>
    <mergeCell ref="AU110:AX110"/>
    <mergeCell ref="AY108:BB108"/>
    <mergeCell ref="BC108:BJ108"/>
    <mergeCell ref="B109:C109"/>
    <mergeCell ref="D109:J109"/>
    <mergeCell ref="K109:M109"/>
    <mergeCell ref="P109:S109"/>
    <mergeCell ref="T109:W109"/>
    <mergeCell ref="X109:Z109"/>
    <mergeCell ref="AA109:AH109"/>
    <mergeCell ref="AI109:AQ109"/>
    <mergeCell ref="AU109:AX109"/>
    <mergeCell ref="AY109:BB109"/>
    <mergeCell ref="BC109:BJ109"/>
    <mergeCell ref="B108:C108"/>
    <mergeCell ref="D108:J108"/>
    <mergeCell ref="K108:M108"/>
    <mergeCell ref="P108:S108"/>
    <mergeCell ref="T108:W108"/>
    <mergeCell ref="X108:Z108"/>
    <mergeCell ref="AA108:AH108"/>
    <mergeCell ref="AI108:AQ108"/>
    <mergeCell ref="AU108:AX108"/>
    <mergeCell ref="AY106:BB106"/>
    <mergeCell ref="BC106:BJ106"/>
    <mergeCell ref="B107:C107"/>
    <mergeCell ref="D107:J107"/>
    <mergeCell ref="K107:M107"/>
    <mergeCell ref="P107:S107"/>
    <mergeCell ref="T107:W107"/>
    <mergeCell ref="X107:Z107"/>
    <mergeCell ref="AA107:AH107"/>
    <mergeCell ref="AI107:AQ107"/>
    <mergeCell ref="AU107:AX107"/>
    <mergeCell ref="AY107:BB107"/>
    <mergeCell ref="BC107:BJ107"/>
    <mergeCell ref="B106:C106"/>
    <mergeCell ref="D106:J106"/>
    <mergeCell ref="K106:M106"/>
    <mergeCell ref="P106:S106"/>
    <mergeCell ref="T106:W106"/>
    <mergeCell ref="X106:Z106"/>
    <mergeCell ref="AA106:AH106"/>
    <mergeCell ref="AI106:AQ106"/>
    <mergeCell ref="AU106:AX106"/>
    <mergeCell ref="BC105:BJ105"/>
    <mergeCell ref="B104:C104"/>
    <mergeCell ref="D104:J104"/>
    <mergeCell ref="K104:M104"/>
    <mergeCell ref="P104:S104"/>
    <mergeCell ref="T104:W104"/>
    <mergeCell ref="X104:Z104"/>
    <mergeCell ref="AA104:AH104"/>
    <mergeCell ref="AI104:AQ104"/>
    <mergeCell ref="AU104:AX104"/>
    <mergeCell ref="AY104:BB104"/>
    <mergeCell ref="B105:C105"/>
    <mergeCell ref="D105:J105"/>
    <mergeCell ref="K105:M105"/>
    <mergeCell ref="P105:S105"/>
    <mergeCell ref="T105:W105"/>
    <mergeCell ref="X105:Z105"/>
    <mergeCell ref="AA105:AH105"/>
    <mergeCell ref="AI105:AQ105"/>
    <mergeCell ref="AU105:AX105"/>
    <mergeCell ref="AY105:BB105"/>
    <mergeCell ref="AY102:BB102"/>
    <mergeCell ref="B103:C103"/>
    <mergeCell ref="D103:J103"/>
    <mergeCell ref="K103:M103"/>
    <mergeCell ref="P103:S103"/>
    <mergeCell ref="T103:W103"/>
    <mergeCell ref="X103:Z103"/>
    <mergeCell ref="AA103:AH103"/>
    <mergeCell ref="AI103:AQ103"/>
    <mergeCell ref="AU103:AX103"/>
    <mergeCell ref="AY103:BB103"/>
    <mergeCell ref="B102:C102"/>
    <mergeCell ref="D102:J102"/>
    <mergeCell ref="K102:M102"/>
    <mergeCell ref="P102:S102"/>
    <mergeCell ref="T102:W102"/>
    <mergeCell ref="X102:Z102"/>
    <mergeCell ref="AA102:AH102"/>
    <mergeCell ref="AI102:AQ102"/>
    <mergeCell ref="AU102:AX102"/>
    <mergeCell ref="AY100:BB100"/>
    <mergeCell ref="BC100:BJ100"/>
    <mergeCell ref="B101:C101"/>
    <mergeCell ref="D101:J101"/>
    <mergeCell ref="K101:M101"/>
    <mergeCell ref="P101:S101"/>
    <mergeCell ref="T101:W101"/>
    <mergeCell ref="X101:Z101"/>
    <mergeCell ref="AA101:AH101"/>
    <mergeCell ref="AI101:AQ101"/>
    <mergeCell ref="AU101:AX101"/>
    <mergeCell ref="AY101:BB101"/>
    <mergeCell ref="B100:C100"/>
    <mergeCell ref="D100:J100"/>
    <mergeCell ref="K100:M100"/>
    <mergeCell ref="P100:S100"/>
    <mergeCell ref="T100:W100"/>
    <mergeCell ref="X100:Z100"/>
    <mergeCell ref="AA100:AH100"/>
    <mergeCell ref="AI100:AQ100"/>
    <mergeCell ref="AU100:AX100"/>
    <mergeCell ref="BC101:BJ101"/>
    <mergeCell ref="AY98:BB98"/>
    <mergeCell ref="BC98:BJ98"/>
    <mergeCell ref="B99:C99"/>
    <mergeCell ref="D99:J99"/>
    <mergeCell ref="K99:M99"/>
    <mergeCell ref="P99:S99"/>
    <mergeCell ref="T99:W99"/>
    <mergeCell ref="X99:Z99"/>
    <mergeCell ref="AA99:AH99"/>
    <mergeCell ref="AI99:AQ99"/>
    <mergeCell ref="AU99:AX99"/>
    <mergeCell ref="AY99:BB99"/>
    <mergeCell ref="BC99:BJ99"/>
    <mergeCell ref="B98:C98"/>
    <mergeCell ref="D98:J98"/>
    <mergeCell ref="K98:M98"/>
    <mergeCell ref="P98:S98"/>
    <mergeCell ref="T98:W98"/>
    <mergeCell ref="X98:Z98"/>
    <mergeCell ref="AA98:AH98"/>
    <mergeCell ref="AI98:AQ98"/>
    <mergeCell ref="AU98:AX98"/>
    <mergeCell ref="AY96:BB96"/>
    <mergeCell ref="BC96:BJ96"/>
    <mergeCell ref="B97:C97"/>
    <mergeCell ref="D97:J97"/>
    <mergeCell ref="K97:M97"/>
    <mergeCell ref="P97:S97"/>
    <mergeCell ref="T97:W97"/>
    <mergeCell ref="X97:Z97"/>
    <mergeCell ref="AA97:AH97"/>
    <mergeCell ref="AI97:AQ97"/>
    <mergeCell ref="AU97:AX97"/>
    <mergeCell ref="AY97:BB97"/>
    <mergeCell ref="BC97:BJ97"/>
    <mergeCell ref="B96:C96"/>
    <mergeCell ref="D96:J96"/>
    <mergeCell ref="K96:M96"/>
    <mergeCell ref="P96:S96"/>
    <mergeCell ref="T96:W96"/>
    <mergeCell ref="X96:Z96"/>
    <mergeCell ref="AA96:AH96"/>
    <mergeCell ref="AI96:AQ96"/>
    <mergeCell ref="AU96:AX96"/>
    <mergeCell ref="AY94:BB94"/>
    <mergeCell ref="BC94:BJ94"/>
    <mergeCell ref="B95:C95"/>
    <mergeCell ref="D95:J95"/>
    <mergeCell ref="K95:M95"/>
    <mergeCell ref="P95:S95"/>
    <mergeCell ref="T95:W95"/>
    <mergeCell ref="X95:Z95"/>
    <mergeCell ref="AA95:AH95"/>
    <mergeCell ref="AI95:AQ95"/>
    <mergeCell ref="AU95:AX95"/>
    <mergeCell ref="AY95:BB95"/>
    <mergeCell ref="BC95:BJ95"/>
    <mergeCell ref="B94:C94"/>
    <mergeCell ref="D94:J94"/>
    <mergeCell ref="K94:M94"/>
    <mergeCell ref="P94:S94"/>
    <mergeCell ref="T94:W94"/>
    <mergeCell ref="X94:Z94"/>
    <mergeCell ref="AA94:AH94"/>
    <mergeCell ref="AI94:AQ94"/>
    <mergeCell ref="AU94:AX94"/>
    <mergeCell ref="AY92:BB92"/>
    <mergeCell ref="BC92:BJ92"/>
    <mergeCell ref="B93:C93"/>
    <mergeCell ref="D93:J93"/>
    <mergeCell ref="K93:M93"/>
    <mergeCell ref="P93:S93"/>
    <mergeCell ref="T93:W93"/>
    <mergeCell ref="X93:Z93"/>
    <mergeCell ref="AA93:AH93"/>
    <mergeCell ref="AI93:AQ93"/>
    <mergeCell ref="AU93:AX93"/>
    <mergeCell ref="AY93:BB93"/>
    <mergeCell ref="BC93:BJ93"/>
    <mergeCell ref="B92:C92"/>
    <mergeCell ref="D92:J92"/>
    <mergeCell ref="K92:M92"/>
    <mergeCell ref="P92:S92"/>
    <mergeCell ref="T92:W92"/>
    <mergeCell ref="X92:Z92"/>
    <mergeCell ref="AA92:AH92"/>
    <mergeCell ref="AI92:AQ92"/>
    <mergeCell ref="AU92:AX92"/>
    <mergeCell ref="AY90:BB90"/>
    <mergeCell ref="BC90:BJ90"/>
    <mergeCell ref="B91:C91"/>
    <mergeCell ref="D91:J91"/>
    <mergeCell ref="K91:M91"/>
    <mergeCell ref="P91:S91"/>
    <mergeCell ref="T91:W91"/>
    <mergeCell ref="X91:Z91"/>
    <mergeCell ref="AA91:AH91"/>
    <mergeCell ref="AI91:AQ91"/>
    <mergeCell ref="AU91:AX91"/>
    <mergeCell ref="AY91:BB91"/>
    <mergeCell ref="BC91:BJ91"/>
    <mergeCell ref="B90:C90"/>
    <mergeCell ref="D90:J90"/>
    <mergeCell ref="K90:M90"/>
    <mergeCell ref="P90:S90"/>
    <mergeCell ref="T90:W90"/>
    <mergeCell ref="X90:Z90"/>
    <mergeCell ref="AA90:AH90"/>
    <mergeCell ref="AI90:AQ90"/>
    <mergeCell ref="AU90:AX90"/>
    <mergeCell ref="AY88:BB88"/>
    <mergeCell ref="BC88:BJ88"/>
    <mergeCell ref="B89:C89"/>
    <mergeCell ref="D89:J89"/>
    <mergeCell ref="K89:M89"/>
    <mergeCell ref="P89:S89"/>
    <mergeCell ref="T89:W89"/>
    <mergeCell ref="X89:Z89"/>
    <mergeCell ref="AA89:AH89"/>
    <mergeCell ref="AI89:AQ89"/>
    <mergeCell ref="AU89:AX89"/>
    <mergeCell ref="AY89:BB89"/>
    <mergeCell ref="BC89:BJ89"/>
    <mergeCell ref="B88:C88"/>
    <mergeCell ref="D88:J88"/>
    <mergeCell ref="K88:M88"/>
    <mergeCell ref="P88:S88"/>
    <mergeCell ref="T88:W88"/>
    <mergeCell ref="X88:Z88"/>
    <mergeCell ref="AA88:AH88"/>
    <mergeCell ref="AI88:AQ88"/>
    <mergeCell ref="AU88:AX88"/>
    <mergeCell ref="AY86:BB86"/>
    <mergeCell ref="BC86:BJ86"/>
    <mergeCell ref="B87:C87"/>
    <mergeCell ref="D87:J87"/>
    <mergeCell ref="K87:M87"/>
    <mergeCell ref="P87:S87"/>
    <mergeCell ref="T87:W87"/>
    <mergeCell ref="X87:Z87"/>
    <mergeCell ref="AA87:AH87"/>
    <mergeCell ref="AI87:AQ87"/>
    <mergeCell ref="AU87:AX87"/>
    <mergeCell ref="AY87:BB87"/>
    <mergeCell ref="BC87:BJ87"/>
    <mergeCell ref="B86:C86"/>
    <mergeCell ref="D86:J86"/>
    <mergeCell ref="K86:M86"/>
    <mergeCell ref="P86:S86"/>
    <mergeCell ref="T86:W86"/>
    <mergeCell ref="X86:Z86"/>
    <mergeCell ref="AA86:AH86"/>
    <mergeCell ref="AI86:AQ86"/>
    <mergeCell ref="AU86:AX86"/>
    <mergeCell ref="AY84:BB84"/>
    <mergeCell ref="BC84:BJ84"/>
    <mergeCell ref="B85:C85"/>
    <mergeCell ref="D85:J85"/>
    <mergeCell ref="K85:M85"/>
    <mergeCell ref="P85:S85"/>
    <mergeCell ref="T85:W85"/>
    <mergeCell ref="X85:Z85"/>
    <mergeCell ref="AA85:AH85"/>
    <mergeCell ref="AI85:AQ85"/>
    <mergeCell ref="AU85:AX85"/>
    <mergeCell ref="AY85:BB85"/>
    <mergeCell ref="BC85:BJ85"/>
    <mergeCell ref="B84:C84"/>
    <mergeCell ref="D84:J84"/>
    <mergeCell ref="K84:M84"/>
    <mergeCell ref="P84:S84"/>
    <mergeCell ref="T84:W84"/>
    <mergeCell ref="X84:Z84"/>
    <mergeCell ref="AA84:AH84"/>
    <mergeCell ref="AI84:AQ84"/>
    <mergeCell ref="AU84:AX84"/>
    <mergeCell ref="AY82:BB82"/>
    <mergeCell ref="BC82:BJ82"/>
    <mergeCell ref="B83:C83"/>
    <mergeCell ref="D83:J83"/>
    <mergeCell ref="K83:M83"/>
    <mergeCell ref="P83:S83"/>
    <mergeCell ref="T83:W83"/>
    <mergeCell ref="X83:Z83"/>
    <mergeCell ref="AA83:AH83"/>
    <mergeCell ref="AI83:AQ83"/>
    <mergeCell ref="AU83:AX83"/>
    <mergeCell ref="AY83:BB83"/>
    <mergeCell ref="BC83:BJ83"/>
    <mergeCell ref="B82:C82"/>
    <mergeCell ref="D82:J82"/>
    <mergeCell ref="K82:M82"/>
    <mergeCell ref="P82:S82"/>
    <mergeCell ref="T82:W82"/>
    <mergeCell ref="X82:Z82"/>
    <mergeCell ref="AA82:AH82"/>
    <mergeCell ref="AI82:AQ82"/>
    <mergeCell ref="AU82:AX82"/>
    <mergeCell ref="AY80:BB80"/>
    <mergeCell ref="BC80:BJ80"/>
    <mergeCell ref="B81:C81"/>
    <mergeCell ref="D81:J81"/>
    <mergeCell ref="K81:M81"/>
    <mergeCell ref="P81:S81"/>
    <mergeCell ref="T81:W81"/>
    <mergeCell ref="X81:Z81"/>
    <mergeCell ref="AA81:AH81"/>
    <mergeCell ref="AI81:AQ81"/>
    <mergeCell ref="AU81:AX81"/>
    <mergeCell ref="AY81:BB81"/>
    <mergeCell ref="BC81:BJ81"/>
    <mergeCell ref="B80:C80"/>
    <mergeCell ref="D80:J80"/>
    <mergeCell ref="K80:M80"/>
    <mergeCell ref="P80:S80"/>
    <mergeCell ref="T80:W80"/>
    <mergeCell ref="X80:Z80"/>
    <mergeCell ref="AA80:AH80"/>
    <mergeCell ref="AI80:AQ80"/>
    <mergeCell ref="AU80:AX80"/>
    <mergeCell ref="AY78:BB78"/>
    <mergeCell ref="BC78:BJ78"/>
    <mergeCell ref="B79:C79"/>
    <mergeCell ref="D79:J79"/>
    <mergeCell ref="K79:M79"/>
    <mergeCell ref="P79:S79"/>
    <mergeCell ref="T79:W79"/>
    <mergeCell ref="X79:Z79"/>
    <mergeCell ref="AA79:AH79"/>
    <mergeCell ref="AI79:AQ79"/>
    <mergeCell ref="AU79:AX79"/>
    <mergeCell ref="AY79:BB79"/>
    <mergeCell ref="BC79:BJ79"/>
    <mergeCell ref="B78:C78"/>
    <mergeCell ref="D78:J78"/>
    <mergeCell ref="K78:M78"/>
    <mergeCell ref="P78:S78"/>
    <mergeCell ref="T78:W78"/>
    <mergeCell ref="X78:Z78"/>
    <mergeCell ref="AA78:AH78"/>
    <mergeCell ref="AI78:AQ78"/>
    <mergeCell ref="AU78:AX78"/>
    <mergeCell ref="AU77:AX77"/>
    <mergeCell ref="AY77:BB77"/>
    <mergeCell ref="BC77:BJ77"/>
    <mergeCell ref="B76:C76"/>
    <mergeCell ref="D76:J76"/>
    <mergeCell ref="K76:M76"/>
    <mergeCell ref="P76:S76"/>
    <mergeCell ref="T76:W76"/>
    <mergeCell ref="X76:Z76"/>
    <mergeCell ref="AA76:AH76"/>
    <mergeCell ref="AI76:AQ76"/>
    <mergeCell ref="AU76:AX7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66:C68"/>
    <mergeCell ref="D66:J68"/>
    <mergeCell ref="K66:M68"/>
    <mergeCell ref="N66:N68"/>
    <mergeCell ref="O66:O68"/>
    <mergeCell ref="AU68:AX68"/>
    <mergeCell ref="AY68:BB68"/>
    <mergeCell ref="B69:C69"/>
    <mergeCell ref="D69:J69"/>
    <mergeCell ref="K69:M69"/>
    <mergeCell ref="P69:S69"/>
    <mergeCell ref="T69:W69"/>
    <mergeCell ref="P66:AQ66"/>
    <mergeCell ref="AR66:BB66"/>
    <mergeCell ref="BC66:BJ68"/>
    <mergeCell ref="P67:W67"/>
    <mergeCell ref="X67:Z68"/>
    <mergeCell ref="AA67:AH68"/>
    <mergeCell ref="AI67:AQ68"/>
    <mergeCell ref="AR67:AR68"/>
    <mergeCell ref="AS67:AS68"/>
    <mergeCell ref="AT67:AT68"/>
    <mergeCell ref="X69:Z69"/>
    <mergeCell ref="AA69:AH69"/>
    <mergeCell ref="AI69:AQ69"/>
    <mergeCell ref="AU69:AX69"/>
    <mergeCell ref="AY69:BB69"/>
    <mergeCell ref="BC69:BJ69"/>
    <mergeCell ref="AU67:BB67"/>
    <mergeCell ref="P68:S68"/>
    <mergeCell ref="T68:W68"/>
    <mergeCell ref="B72:C72"/>
    <mergeCell ref="D72:J72"/>
    <mergeCell ref="K72:M72"/>
    <mergeCell ref="P72:S72"/>
    <mergeCell ref="T72:W72"/>
    <mergeCell ref="B70:C70"/>
    <mergeCell ref="D70:J70"/>
    <mergeCell ref="K70:M70"/>
    <mergeCell ref="P70:S70"/>
    <mergeCell ref="T70:W70"/>
    <mergeCell ref="B71:C71"/>
    <mergeCell ref="D71:J71"/>
    <mergeCell ref="K71:M71"/>
    <mergeCell ref="P71:S71"/>
    <mergeCell ref="T71:W71"/>
    <mergeCell ref="X72:Z72"/>
    <mergeCell ref="AA72:AH72"/>
    <mergeCell ref="AI72:AQ72"/>
    <mergeCell ref="AU72:AX72"/>
    <mergeCell ref="AY72:BB72"/>
    <mergeCell ref="BC72:BJ72"/>
    <mergeCell ref="AA70:AH70"/>
    <mergeCell ref="AI70:AQ70"/>
    <mergeCell ref="AU70:AX70"/>
    <mergeCell ref="AY70:BB70"/>
    <mergeCell ref="BC70:BJ70"/>
    <mergeCell ref="X70:Z70"/>
    <mergeCell ref="X71:Z71"/>
    <mergeCell ref="AA71:AH71"/>
    <mergeCell ref="AI71:AQ71"/>
    <mergeCell ref="AU71:AX71"/>
    <mergeCell ref="AY71:BB71"/>
    <mergeCell ref="BC71:BJ71"/>
    <mergeCell ref="B74:C74"/>
    <mergeCell ref="D74:J74"/>
    <mergeCell ref="K74:M74"/>
    <mergeCell ref="P74:S74"/>
    <mergeCell ref="T74:W74"/>
    <mergeCell ref="B73:C73"/>
    <mergeCell ref="D73:J73"/>
    <mergeCell ref="K73:M73"/>
    <mergeCell ref="P73:S73"/>
    <mergeCell ref="T73:W73"/>
    <mergeCell ref="X74:Z74"/>
    <mergeCell ref="AA74:AH74"/>
    <mergeCell ref="AI74:AQ74"/>
    <mergeCell ref="AU74:AX74"/>
    <mergeCell ref="AY74:BB74"/>
    <mergeCell ref="BC74:BJ74"/>
    <mergeCell ref="AA73:AH73"/>
    <mergeCell ref="AI73:AQ73"/>
    <mergeCell ref="AU73:AX73"/>
    <mergeCell ref="AY73:BB73"/>
    <mergeCell ref="BC73:BJ73"/>
    <mergeCell ref="X73:Z73"/>
    <mergeCell ref="BC102:BJ102"/>
    <mergeCell ref="BC103:BJ103"/>
    <mergeCell ref="BC104:BJ104"/>
    <mergeCell ref="AA75:AH75"/>
    <mergeCell ref="AI75:AQ75"/>
    <mergeCell ref="AU75:AX75"/>
    <mergeCell ref="AY75:BB75"/>
    <mergeCell ref="BC75:BJ75"/>
    <mergeCell ref="B75:C75"/>
    <mergeCell ref="D75:J75"/>
    <mergeCell ref="K75:M75"/>
    <mergeCell ref="P75:S75"/>
    <mergeCell ref="T75:W75"/>
    <mergeCell ref="X75:Z75"/>
    <mergeCell ref="AY76:BB76"/>
    <mergeCell ref="BC76:BJ76"/>
    <mergeCell ref="B77:C77"/>
    <mergeCell ref="D77:J77"/>
    <mergeCell ref="K77:M77"/>
    <mergeCell ref="P77:S77"/>
    <mergeCell ref="T77:W77"/>
    <mergeCell ref="X77:Z77"/>
    <mergeCell ref="AA77:AH77"/>
    <mergeCell ref="AI77:AQ77"/>
  </mergeCells>
  <dataValidations count="1">
    <dataValidation type="list" allowBlank="1" showInputMessage="1" showErrorMessage="1" sqref="O69:O113 AS94" xr:uid="{00000000-0002-0000-0200-000000000000}">
      <formula1>"－,●"</formula1>
    </dataValidation>
  </dataValidations>
  <pageMargins left="0.7" right="0.7" top="0.75" bottom="0.75" header="0.3" footer="0.3"/>
  <pageSetup scale="2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1EE-9BA3-4886-99D5-93AFA929CE7B}">
  <sheetPr>
    <tabColor rgb="FF0000FF"/>
    <pageSetUpPr fitToPage="1"/>
  </sheetPr>
  <dimension ref="A1:BK67"/>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6"/>
  </cols>
  <sheetData>
    <row r="1" spans="1:63" ht="24.95" customHeight="1" x14ac:dyDescent="0.25">
      <c r="A1" s="253" t="s">
        <v>239</v>
      </c>
      <c r="B1" s="254"/>
      <c r="C1" s="254"/>
      <c r="D1" s="254"/>
      <c r="E1" s="254"/>
      <c r="F1" s="254"/>
      <c r="G1" s="254"/>
      <c r="H1" s="254"/>
      <c r="I1" s="254"/>
      <c r="J1" s="255"/>
      <c r="K1" s="253" t="s">
        <v>240</v>
      </c>
      <c r="L1" s="254"/>
      <c r="M1" s="254"/>
      <c r="N1" s="254"/>
      <c r="O1" s="254"/>
      <c r="P1" s="254"/>
      <c r="Q1" s="254"/>
      <c r="R1" s="254"/>
      <c r="S1" s="254"/>
      <c r="T1" s="254"/>
      <c r="U1" s="254"/>
      <c r="V1" s="255"/>
      <c r="W1" s="284" t="str">
        <f>IF(表紙!W1="","",表紙!W1)</f>
        <v>詳細設計書</v>
      </c>
      <c r="X1" s="285"/>
      <c r="Y1" s="285"/>
      <c r="Z1" s="285"/>
      <c r="AA1" s="285"/>
      <c r="AB1" s="285"/>
      <c r="AC1" s="285"/>
      <c r="AD1" s="285"/>
      <c r="AE1" s="285"/>
      <c r="AF1" s="285"/>
      <c r="AG1" s="285"/>
      <c r="AH1" s="285"/>
      <c r="AI1" s="285"/>
      <c r="AJ1" s="285"/>
      <c r="AK1" s="285"/>
      <c r="AL1" s="285"/>
      <c r="AM1" s="285"/>
      <c r="AN1" s="285"/>
      <c r="AO1" s="286"/>
      <c r="AP1" s="91" t="s">
        <v>241</v>
      </c>
      <c r="AQ1" s="92"/>
      <c r="AR1" s="92"/>
      <c r="AS1" s="93"/>
      <c r="AT1" s="91" t="s">
        <v>242</v>
      </c>
      <c r="AU1" s="92"/>
      <c r="AV1" s="92"/>
      <c r="AW1" s="92"/>
      <c r="AX1" s="93"/>
      <c r="AY1" s="91" t="s">
        <v>243</v>
      </c>
      <c r="AZ1" s="92"/>
      <c r="BA1" s="92"/>
      <c r="BB1" s="93"/>
      <c r="BC1" s="91" t="s">
        <v>244</v>
      </c>
      <c r="BD1" s="92"/>
      <c r="BE1" s="92"/>
      <c r="BF1" s="92"/>
      <c r="BG1" s="93"/>
      <c r="BH1" s="91" t="s">
        <v>245</v>
      </c>
      <c r="BI1" s="92"/>
      <c r="BJ1" s="92"/>
      <c r="BK1" s="93"/>
    </row>
    <row r="2" spans="1:63" ht="15" customHeight="1" x14ac:dyDescent="0.25">
      <c r="A2" s="278" t="str">
        <f>IF(表紙!A2="","",表紙!A2)</f>
        <v>POSサーバー</v>
      </c>
      <c r="B2" s="279"/>
      <c r="C2" s="279"/>
      <c r="D2" s="279"/>
      <c r="E2" s="279"/>
      <c r="F2" s="279"/>
      <c r="G2" s="279"/>
      <c r="H2" s="279"/>
      <c r="I2" s="279"/>
      <c r="J2" s="280"/>
      <c r="K2" s="278" t="str">
        <f>IF(表紙!K2="","",表紙!K2)</f>
        <v>POSサーバ</v>
      </c>
      <c r="L2" s="279"/>
      <c r="M2" s="279"/>
      <c r="N2" s="279"/>
      <c r="O2" s="279"/>
      <c r="P2" s="279"/>
      <c r="Q2" s="279"/>
      <c r="R2" s="279"/>
      <c r="S2" s="279"/>
      <c r="T2" s="279"/>
      <c r="U2" s="279"/>
      <c r="V2" s="280"/>
      <c r="W2" s="287"/>
      <c r="X2" s="288"/>
      <c r="Y2" s="288"/>
      <c r="Z2" s="288"/>
      <c r="AA2" s="288"/>
      <c r="AB2" s="288"/>
      <c r="AC2" s="288"/>
      <c r="AD2" s="288"/>
      <c r="AE2" s="288"/>
      <c r="AF2" s="288"/>
      <c r="AG2" s="288"/>
      <c r="AH2" s="288"/>
      <c r="AI2" s="288"/>
      <c r="AJ2" s="288"/>
      <c r="AK2" s="288"/>
      <c r="AL2" s="288"/>
      <c r="AM2" s="288"/>
      <c r="AN2" s="288"/>
      <c r="AO2" s="289"/>
      <c r="AP2" s="106" t="str">
        <f>IF(表紙!AP2="","",表紙!AP2)</f>
        <v>DuNT</v>
      </c>
      <c r="AQ2" s="107"/>
      <c r="AR2" s="107"/>
      <c r="AS2" s="108"/>
      <c r="AT2" s="112">
        <f>IF(表紙!AT2="","",表紙!AT2)</f>
        <v>45489</v>
      </c>
      <c r="AU2" s="113"/>
      <c r="AV2" s="113"/>
      <c r="AW2" s="113"/>
      <c r="AX2" s="114"/>
      <c r="AY2" s="106" t="str">
        <f>IF(表紙!AY2="","",表紙!AY2)</f>
        <v>TinNH</v>
      </c>
      <c r="AZ2" s="107"/>
      <c r="BA2" s="107"/>
      <c r="BB2" s="108"/>
      <c r="BC2" s="112">
        <f>IF(表紙!BC2="","",表紙!BC2)</f>
        <v>45595</v>
      </c>
      <c r="BD2" s="113"/>
      <c r="BE2" s="113"/>
      <c r="BF2" s="113"/>
      <c r="BG2" s="114"/>
      <c r="BH2" s="106">
        <f>IF(表紙!BH2="","",表紙!BH2)</f>
        <v>0.7</v>
      </c>
      <c r="BI2" s="107"/>
      <c r="BJ2" s="107"/>
      <c r="BK2" s="108"/>
    </row>
    <row r="3" spans="1:63" ht="15" customHeight="1" x14ac:dyDescent="0.25">
      <c r="A3" s="281"/>
      <c r="B3" s="282"/>
      <c r="C3" s="282"/>
      <c r="D3" s="282"/>
      <c r="E3" s="282"/>
      <c r="F3" s="282"/>
      <c r="G3" s="282"/>
      <c r="H3" s="282"/>
      <c r="I3" s="282"/>
      <c r="J3" s="283"/>
      <c r="K3" s="281"/>
      <c r="L3" s="282"/>
      <c r="M3" s="282"/>
      <c r="N3" s="282"/>
      <c r="O3" s="282"/>
      <c r="P3" s="282"/>
      <c r="Q3" s="282"/>
      <c r="R3" s="282"/>
      <c r="S3" s="282"/>
      <c r="T3" s="282"/>
      <c r="U3" s="282"/>
      <c r="V3" s="283"/>
      <c r="W3" s="290"/>
      <c r="X3" s="291"/>
      <c r="Y3" s="291"/>
      <c r="Z3" s="291"/>
      <c r="AA3" s="291"/>
      <c r="AB3" s="291"/>
      <c r="AC3" s="291"/>
      <c r="AD3" s="291"/>
      <c r="AE3" s="291"/>
      <c r="AF3" s="291"/>
      <c r="AG3" s="291"/>
      <c r="AH3" s="291"/>
      <c r="AI3" s="291"/>
      <c r="AJ3" s="291"/>
      <c r="AK3" s="291"/>
      <c r="AL3" s="291"/>
      <c r="AM3" s="291"/>
      <c r="AN3" s="291"/>
      <c r="AO3" s="292"/>
      <c r="AP3" s="109"/>
      <c r="AQ3" s="110"/>
      <c r="AR3" s="110"/>
      <c r="AS3" s="111"/>
      <c r="AT3" s="115"/>
      <c r="AU3" s="116"/>
      <c r="AV3" s="116"/>
      <c r="AW3" s="116"/>
      <c r="AX3" s="117"/>
      <c r="AY3" s="109"/>
      <c r="AZ3" s="110"/>
      <c r="BA3" s="110"/>
      <c r="BB3" s="111"/>
      <c r="BC3" s="115"/>
      <c r="BD3" s="116"/>
      <c r="BE3" s="116"/>
      <c r="BF3" s="116"/>
      <c r="BG3" s="117"/>
      <c r="BH3" s="109"/>
      <c r="BI3" s="110"/>
      <c r="BJ3" s="110"/>
      <c r="BK3" s="111"/>
    </row>
    <row r="4" spans="1:63" ht="24.95" customHeight="1" x14ac:dyDescent="0.25">
      <c r="A4" s="253" t="s">
        <v>246</v>
      </c>
      <c r="B4" s="254"/>
      <c r="C4" s="254"/>
      <c r="D4" s="254"/>
      <c r="E4" s="254"/>
      <c r="F4" s="254"/>
      <c r="G4" s="255"/>
      <c r="H4" s="256" t="str">
        <f>IF(表紙!H4="","",表紙!H4)</f>
        <v>71_レジマスタ設定</v>
      </c>
      <c r="I4" s="257"/>
      <c r="J4" s="257"/>
      <c r="K4" s="257"/>
      <c r="L4" s="257"/>
      <c r="M4" s="257"/>
      <c r="N4" s="257"/>
      <c r="O4" s="257"/>
      <c r="P4" s="257"/>
      <c r="Q4" s="257"/>
      <c r="R4" s="257"/>
      <c r="S4" s="257"/>
      <c r="T4" s="258"/>
      <c r="U4" s="253" t="s">
        <v>247</v>
      </c>
      <c r="V4" s="254"/>
      <c r="W4" s="254"/>
      <c r="X4" s="254"/>
      <c r="Y4" s="255"/>
      <c r="Z4" s="256" t="str">
        <f>IF(表紙!Z4="","",表紙!Z4)</f>
        <v>画面設計書</v>
      </c>
      <c r="AA4" s="257"/>
      <c r="AB4" s="257"/>
      <c r="AC4" s="257"/>
      <c r="AD4" s="257"/>
      <c r="AE4" s="257"/>
      <c r="AF4" s="257"/>
      <c r="AG4" s="257"/>
      <c r="AH4" s="257"/>
      <c r="AI4" s="257"/>
      <c r="AJ4" s="257"/>
      <c r="AK4" s="257"/>
      <c r="AL4" s="257"/>
      <c r="AM4" s="257"/>
      <c r="AN4" s="257"/>
      <c r="AO4" s="258"/>
      <c r="AP4" s="259" t="str">
        <f ca="1">MID(CELL("filename",A1),FIND("]",CELL("filename",A1))+1,255)</f>
        <v>SC7102</v>
      </c>
      <c r="AQ4" s="257"/>
      <c r="AR4" s="257"/>
      <c r="AS4" s="257"/>
      <c r="AT4" s="257"/>
      <c r="AU4" s="257"/>
      <c r="AV4" s="257"/>
      <c r="AW4" s="257"/>
      <c r="AX4" s="257"/>
      <c r="AY4" s="257"/>
      <c r="AZ4" s="257"/>
      <c r="BA4" s="257"/>
      <c r="BB4" s="257"/>
      <c r="BC4" s="257"/>
      <c r="BD4" s="257"/>
      <c r="BE4" s="257"/>
      <c r="BF4" s="257"/>
      <c r="BG4" s="257"/>
      <c r="BH4" s="257"/>
      <c r="BI4" s="257"/>
      <c r="BJ4" s="257"/>
      <c r="BK4" s="258"/>
    </row>
    <row r="5" spans="1:63" ht="5.0999999999999996" customHeight="1" x14ac:dyDescent="0.2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9"/>
    </row>
    <row r="6" spans="1:63" ht="15" customHeight="1" x14ac:dyDescent="0.25">
      <c r="A6" s="20"/>
      <c r="BK6" s="21"/>
    </row>
    <row r="7" spans="1:63" ht="15" customHeight="1" x14ac:dyDescent="0.25">
      <c r="A7" s="20"/>
      <c r="B7" s="22" t="s">
        <v>310</v>
      </c>
      <c r="C7" s="35"/>
      <c r="D7" s="35"/>
      <c r="E7" s="35"/>
      <c r="F7" s="35"/>
      <c r="G7" s="35"/>
      <c r="H7" s="35"/>
      <c r="I7" s="35"/>
      <c r="J7" s="35"/>
      <c r="AE7" s="22"/>
      <c r="BK7" s="21"/>
    </row>
    <row r="8" spans="1:63" ht="15" customHeight="1" x14ac:dyDescent="0.25">
      <c r="A8" s="20"/>
      <c r="BK8" s="21"/>
    </row>
    <row r="9" spans="1:63" ht="15" customHeight="1" x14ac:dyDescent="0.25">
      <c r="A9" s="20"/>
      <c r="BK9" s="21"/>
    </row>
    <row r="10" spans="1:63" ht="15" customHeight="1" x14ac:dyDescent="0.25">
      <c r="A10" s="20"/>
      <c r="BK10" s="21"/>
    </row>
    <row r="11" spans="1:63" ht="15" customHeight="1" x14ac:dyDescent="0.25">
      <c r="A11" s="20"/>
      <c r="BK11" s="21"/>
    </row>
    <row r="12" spans="1:63" ht="15" customHeight="1" x14ac:dyDescent="0.25">
      <c r="A12" s="20"/>
      <c r="BK12" s="21"/>
    </row>
    <row r="13" spans="1:63" ht="15" customHeight="1" x14ac:dyDescent="0.25">
      <c r="A13" s="20"/>
      <c r="BK13" s="21"/>
    </row>
    <row r="14" spans="1:63" ht="15" customHeight="1" x14ac:dyDescent="0.25">
      <c r="A14" s="20"/>
      <c r="BK14" s="21"/>
    </row>
    <row r="15" spans="1:63" ht="15" customHeight="1" x14ac:dyDescent="0.25">
      <c r="A15" s="20"/>
      <c r="BK15" s="21"/>
    </row>
    <row r="16" spans="1:63" ht="15" customHeight="1" x14ac:dyDescent="0.25">
      <c r="A16" s="20"/>
      <c r="BK16" s="21"/>
    </row>
    <row r="17" spans="1:63" ht="15" customHeight="1" x14ac:dyDescent="0.25">
      <c r="A17" s="20"/>
      <c r="BK17" s="21"/>
    </row>
    <row r="18" spans="1:63" ht="15" customHeight="1" x14ac:dyDescent="0.25">
      <c r="A18" s="20"/>
      <c r="BK18" s="21"/>
    </row>
    <row r="19" spans="1:63" ht="15" customHeight="1" x14ac:dyDescent="0.25">
      <c r="A19" s="20"/>
      <c r="BK19" s="21"/>
    </row>
    <row r="20" spans="1:63" ht="15" customHeight="1" x14ac:dyDescent="0.25">
      <c r="A20" s="20"/>
      <c r="BK20" s="21"/>
    </row>
    <row r="21" spans="1:63" ht="15" customHeight="1" x14ac:dyDescent="0.25">
      <c r="A21" s="20"/>
      <c r="BK21" s="21"/>
    </row>
    <row r="22" spans="1:63" ht="15" customHeight="1" x14ac:dyDescent="0.25">
      <c r="A22" s="20"/>
      <c r="BK22" s="21"/>
    </row>
    <row r="23" spans="1:63" ht="15" customHeight="1" x14ac:dyDescent="0.25">
      <c r="A23" s="20"/>
      <c r="BK23" s="21"/>
    </row>
    <row r="24" spans="1:63" ht="15" customHeight="1" x14ac:dyDescent="0.25">
      <c r="A24" s="20"/>
      <c r="BK24" s="21"/>
    </row>
    <row r="25" spans="1:63" ht="15" customHeight="1" x14ac:dyDescent="0.25">
      <c r="A25" s="20"/>
      <c r="BK25" s="21"/>
    </row>
    <row r="26" spans="1:63" ht="15" customHeight="1" x14ac:dyDescent="0.25">
      <c r="A26" s="20"/>
      <c r="BK26" s="21"/>
    </row>
    <row r="27" spans="1:63" ht="15" customHeight="1" x14ac:dyDescent="0.25">
      <c r="A27" s="20"/>
      <c r="BK27" s="21"/>
    </row>
    <row r="28" spans="1:63" ht="15" customHeight="1" x14ac:dyDescent="0.25">
      <c r="A28" s="20"/>
      <c r="BK28" s="21"/>
    </row>
    <row r="29" spans="1:63" ht="15" customHeight="1" x14ac:dyDescent="0.25">
      <c r="A29" s="20"/>
      <c r="BK29" s="21"/>
    </row>
    <row r="30" spans="1:63" ht="15" customHeight="1" x14ac:dyDescent="0.25">
      <c r="A30" s="20"/>
      <c r="BK30" s="21"/>
    </row>
    <row r="31" spans="1:63" ht="15" customHeight="1" x14ac:dyDescent="0.25">
      <c r="A31" s="20"/>
      <c r="BK31" s="21"/>
    </row>
    <row r="32" spans="1:63" ht="15" customHeight="1" x14ac:dyDescent="0.25">
      <c r="A32" s="20"/>
      <c r="BK32" s="21"/>
    </row>
    <row r="33" spans="1:63" ht="15" customHeight="1" x14ac:dyDescent="0.25">
      <c r="A33" s="20"/>
      <c r="BK33" s="21"/>
    </row>
    <row r="34" spans="1:63" ht="15" customHeight="1" x14ac:dyDescent="0.25">
      <c r="A34" s="20"/>
      <c r="BK34" s="21"/>
    </row>
    <row r="35" spans="1:63" ht="15" customHeight="1" x14ac:dyDescent="0.25">
      <c r="A35" s="20"/>
      <c r="BK35" s="21"/>
    </row>
    <row r="36" spans="1:63" ht="15" customHeight="1" x14ac:dyDescent="0.25">
      <c r="A36" s="20"/>
      <c r="BK36" s="21"/>
    </row>
    <row r="37" spans="1:63" ht="14.25" customHeight="1" x14ac:dyDescent="0.25">
      <c r="A37" s="20"/>
      <c r="BK37" s="21"/>
    </row>
    <row r="38" spans="1:63" ht="15" customHeight="1" x14ac:dyDescent="0.25">
      <c r="A38" s="20"/>
      <c r="BK38" s="21"/>
    </row>
    <row r="39" spans="1:63" ht="15" customHeight="1" x14ac:dyDescent="0.25">
      <c r="A39" s="20"/>
      <c r="BK39" s="21"/>
    </row>
    <row r="40" spans="1:63" x14ac:dyDescent="0.25">
      <c r="A40" s="20"/>
      <c r="BK40" s="21"/>
    </row>
    <row r="41" spans="1:63" x14ac:dyDescent="0.25">
      <c r="A41" s="20"/>
      <c r="BK41" s="21"/>
    </row>
    <row r="42" spans="1:63" x14ac:dyDescent="0.25">
      <c r="A42" s="20"/>
      <c r="BK42" s="21"/>
    </row>
    <row r="43" spans="1:63" x14ac:dyDescent="0.25">
      <c r="A43" s="20"/>
      <c r="BK43" s="21"/>
    </row>
    <row r="44" spans="1:63" x14ac:dyDescent="0.25">
      <c r="A44" s="20"/>
      <c r="BK44" s="21"/>
    </row>
    <row r="45" spans="1:63" x14ac:dyDescent="0.25">
      <c r="A45" s="20"/>
      <c r="BK45" s="21"/>
    </row>
    <row r="46" spans="1:63" x14ac:dyDescent="0.25">
      <c r="A46" s="20"/>
      <c r="BK46" s="21"/>
    </row>
    <row r="47" spans="1:63" ht="15" customHeight="1" x14ac:dyDescent="0.25">
      <c r="A47" s="20"/>
      <c r="B47" s="22" t="s">
        <v>269</v>
      </c>
      <c r="BK47" s="21"/>
    </row>
    <row r="48" spans="1:63" x14ac:dyDescent="0.25">
      <c r="A48" s="20"/>
      <c r="BK48" s="21"/>
    </row>
    <row r="49" spans="1:63" ht="15.75" customHeight="1" x14ac:dyDescent="0.25">
      <c r="A49" s="20"/>
      <c r="B49" s="260" t="s">
        <v>270</v>
      </c>
      <c r="C49" s="261"/>
      <c r="D49" s="266" t="s">
        <v>271</v>
      </c>
      <c r="E49" s="267"/>
      <c r="F49" s="267"/>
      <c r="G49" s="267"/>
      <c r="H49" s="267"/>
      <c r="I49" s="267"/>
      <c r="J49" s="261"/>
      <c r="K49" s="266" t="s">
        <v>272</v>
      </c>
      <c r="L49" s="267"/>
      <c r="M49" s="261"/>
      <c r="N49" s="270" t="s">
        <v>17</v>
      </c>
      <c r="O49" s="273" t="s">
        <v>273</v>
      </c>
      <c r="P49" s="217" t="s">
        <v>274</v>
      </c>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9"/>
      <c r="AR49" s="220" t="s">
        <v>275</v>
      </c>
      <c r="AS49" s="221"/>
      <c r="AT49" s="221"/>
      <c r="AU49" s="221"/>
      <c r="AV49" s="221"/>
      <c r="AW49" s="221"/>
      <c r="AX49" s="221"/>
      <c r="AY49" s="221"/>
      <c r="AZ49" s="221"/>
      <c r="BA49" s="221"/>
      <c r="BB49" s="222"/>
      <c r="BC49" s="223" t="s">
        <v>276</v>
      </c>
      <c r="BD49" s="224"/>
      <c r="BE49" s="224"/>
      <c r="BF49" s="224"/>
      <c r="BG49" s="224"/>
      <c r="BH49" s="224"/>
      <c r="BI49" s="224"/>
      <c r="BJ49" s="225"/>
      <c r="BK49" s="21"/>
    </row>
    <row r="50" spans="1:63" ht="15.75" customHeight="1" x14ac:dyDescent="0.25">
      <c r="A50" s="20"/>
      <c r="B50" s="262"/>
      <c r="C50" s="263"/>
      <c r="D50" s="262"/>
      <c r="E50" s="268"/>
      <c r="F50" s="268"/>
      <c r="G50" s="268"/>
      <c r="H50" s="268"/>
      <c r="I50" s="268"/>
      <c r="J50" s="263"/>
      <c r="K50" s="262"/>
      <c r="L50" s="268"/>
      <c r="M50" s="263"/>
      <c r="N50" s="271"/>
      <c r="O50" s="274"/>
      <c r="P50" s="232" t="s">
        <v>277</v>
      </c>
      <c r="Q50" s="233"/>
      <c r="R50" s="233"/>
      <c r="S50" s="233"/>
      <c r="T50" s="233"/>
      <c r="U50" s="233"/>
      <c r="V50" s="233"/>
      <c r="W50" s="234"/>
      <c r="X50" s="235" t="s">
        <v>278</v>
      </c>
      <c r="Y50" s="236"/>
      <c r="Z50" s="237"/>
      <c r="AA50" s="235" t="s">
        <v>279</v>
      </c>
      <c r="AB50" s="236"/>
      <c r="AC50" s="236"/>
      <c r="AD50" s="236"/>
      <c r="AE50" s="236"/>
      <c r="AF50" s="236"/>
      <c r="AG50" s="236"/>
      <c r="AH50" s="237"/>
      <c r="AI50" s="235" t="s">
        <v>280</v>
      </c>
      <c r="AJ50" s="236"/>
      <c r="AK50" s="236"/>
      <c r="AL50" s="236"/>
      <c r="AM50" s="236"/>
      <c r="AN50" s="236"/>
      <c r="AO50" s="236"/>
      <c r="AP50" s="236"/>
      <c r="AQ50" s="237"/>
      <c r="AR50" s="241" t="s">
        <v>281</v>
      </c>
      <c r="AS50" s="243" t="s">
        <v>282</v>
      </c>
      <c r="AT50" s="245" t="s">
        <v>283</v>
      </c>
      <c r="AU50" s="220" t="s">
        <v>277</v>
      </c>
      <c r="AV50" s="221"/>
      <c r="AW50" s="221"/>
      <c r="AX50" s="221"/>
      <c r="AY50" s="221"/>
      <c r="AZ50" s="221"/>
      <c r="BA50" s="221"/>
      <c r="BB50" s="222"/>
      <c r="BC50" s="226"/>
      <c r="BD50" s="227"/>
      <c r="BE50" s="227"/>
      <c r="BF50" s="227"/>
      <c r="BG50" s="227"/>
      <c r="BH50" s="227"/>
      <c r="BI50" s="227"/>
      <c r="BJ50" s="228"/>
      <c r="BK50" s="21"/>
    </row>
    <row r="51" spans="1:63" x14ac:dyDescent="0.25">
      <c r="A51" s="20"/>
      <c r="B51" s="264"/>
      <c r="C51" s="265"/>
      <c r="D51" s="264"/>
      <c r="E51" s="269"/>
      <c r="F51" s="269"/>
      <c r="G51" s="269"/>
      <c r="H51" s="269"/>
      <c r="I51" s="269"/>
      <c r="J51" s="265"/>
      <c r="K51" s="264"/>
      <c r="L51" s="269"/>
      <c r="M51" s="265"/>
      <c r="N51" s="272"/>
      <c r="O51" s="275"/>
      <c r="P51" s="217" t="s">
        <v>284</v>
      </c>
      <c r="Q51" s="218"/>
      <c r="R51" s="218"/>
      <c r="S51" s="219"/>
      <c r="T51" s="217" t="s">
        <v>271</v>
      </c>
      <c r="U51" s="218"/>
      <c r="V51" s="218"/>
      <c r="W51" s="219"/>
      <c r="X51" s="238"/>
      <c r="Y51" s="239"/>
      <c r="Z51" s="240"/>
      <c r="AA51" s="238"/>
      <c r="AB51" s="239"/>
      <c r="AC51" s="239"/>
      <c r="AD51" s="239"/>
      <c r="AE51" s="239"/>
      <c r="AF51" s="239"/>
      <c r="AG51" s="239"/>
      <c r="AH51" s="240"/>
      <c r="AI51" s="238"/>
      <c r="AJ51" s="239"/>
      <c r="AK51" s="239"/>
      <c r="AL51" s="239"/>
      <c r="AM51" s="239"/>
      <c r="AN51" s="239"/>
      <c r="AO51" s="239"/>
      <c r="AP51" s="239"/>
      <c r="AQ51" s="240"/>
      <c r="AR51" s="242"/>
      <c r="AS51" s="244"/>
      <c r="AT51" s="246"/>
      <c r="AU51" s="220" t="s">
        <v>284</v>
      </c>
      <c r="AV51" s="221"/>
      <c r="AW51" s="221"/>
      <c r="AX51" s="276"/>
      <c r="AY51" s="277" t="s">
        <v>271</v>
      </c>
      <c r="AZ51" s="221"/>
      <c r="BA51" s="221"/>
      <c r="BB51" s="222"/>
      <c r="BC51" s="229"/>
      <c r="BD51" s="230"/>
      <c r="BE51" s="230"/>
      <c r="BF51" s="230"/>
      <c r="BG51" s="230"/>
      <c r="BH51" s="230"/>
      <c r="BI51" s="230"/>
      <c r="BJ51" s="231"/>
      <c r="BK51" s="21"/>
    </row>
    <row r="52" spans="1:63" x14ac:dyDescent="0.25">
      <c r="A52" s="20"/>
      <c r="B52" s="163">
        <v>0</v>
      </c>
      <c r="C52" s="165"/>
      <c r="D52" s="206" t="s">
        <v>39</v>
      </c>
      <c r="E52" s="207"/>
      <c r="F52" s="207"/>
      <c r="G52" s="207"/>
      <c r="H52" s="207"/>
      <c r="I52" s="207"/>
      <c r="J52" s="208"/>
      <c r="K52" s="172" t="s">
        <v>26</v>
      </c>
      <c r="L52" s="173"/>
      <c r="M52" s="174"/>
      <c r="N52" s="28" t="s">
        <v>27</v>
      </c>
      <c r="O52" s="23" t="s">
        <v>28</v>
      </c>
      <c r="P52" s="163" t="s">
        <v>27</v>
      </c>
      <c r="Q52" s="164"/>
      <c r="R52" s="164"/>
      <c r="S52" s="165"/>
      <c r="T52" s="163" t="s">
        <v>27</v>
      </c>
      <c r="U52" s="164"/>
      <c r="V52" s="164"/>
      <c r="W52" s="165"/>
      <c r="X52" s="202" t="s">
        <v>311</v>
      </c>
      <c r="Y52" s="203"/>
      <c r="Z52" s="204"/>
      <c r="AA52" s="163" t="s">
        <v>27</v>
      </c>
      <c r="AB52" s="164"/>
      <c r="AC52" s="164"/>
      <c r="AD52" s="164"/>
      <c r="AE52" s="164"/>
      <c r="AF52" s="164"/>
      <c r="AG52" s="164"/>
      <c r="AH52" s="165"/>
      <c r="AI52" s="163" t="s">
        <v>27</v>
      </c>
      <c r="AJ52" s="164"/>
      <c r="AK52" s="164"/>
      <c r="AL52" s="164"/>
      <c r="AM52" s="164"/>
      <c r="AN52" s="164"/>
      <c r="AO52" s="164"/>
      <c r="AP52" s="164"/>
      <c r="AQ52" s="165"/>
      <c r="AR52" s="23" t="s">
        <v>27</v>
      </c>
      <c r="AS52" s="23" t="s">
        <v>27</v>
      </c>
      <c r="AT52" s="23" t="s">
        <v>27</v>
      </c>
      <c r="AU52" s="163" t="s">
        <v>27</v>
      </c>
      <c r="AV52" s="164"/>
      <c r="AW52" s="164"/>
      <c r="AX52" s="165"/>
      <c r="AY52" s="163" t="s">
        <v>27</v>
      </c>
      <c r="AZ52" s="164"/>
      <c r="BA52" s="164"/>
      <c r="BB52" s="165"/>
      <c r="BC52" s="293" t="s">
        <v>312</v>
      </c>
      <c r="BD52" s="161"/>
      <c r="BE52" s="161"/>
      <c r="BF52" s="161"/>
      <c r="BG52" s="161"/>
      <c r="BH52" s="161"/>
      <c r="BI52" s="161"/>
      <c r="BJ52" s="162"/>
      <c r="BK52" s="21"/>
    </row>
    <row r="53" spans="1:63" x14ac:dyDescent="0.25">
      <c r="A53" s="20"/>
      <c r="B53" s="355">
        <v>1</v>
      </c>
      <c r="C53" s="357"/>
      <c r="D53" s="368" t="s">
        <v>313</v>
      </c>
      <c r="E53" s="369"/>
      <c r="F53" s="369"/>
      <c r="G53" s="369"/>
      <c r="H53" s="369"/>
      <c r="I53" s="369"/>
      <c r="J53" s="370"/>
      <c r="K53" s="364" t="s">
        <v>314</v>
      </c>
      <c r="L53" s="359"/>
      <c r="M53" s="360"/>
      <c r="N53" s="41" t="s">
        <v>27</v>
      </c>
      <c r="O53" s="41" t="s">
        <v>27</v>
      </c>
      <c r="P53" s="355" t="s">
        <v>27</v>
      </c>
      <c r="Q53" s="356"/>
      <c r="R53" s="356"/>
      <c r="S53" s="357"/>
      <c r="T53" s="355" t="s">
        <v>27</v>
      </c>
      <c r="U53" s="356"/>
      <c r="V53" s="356"/>
      <c r="W53" s="357"/>
      <c r="X53" s="374" t="s">
        <v>315</v>
      </c>
      <c r="Y53" s="356"/>
      <c r="Z53" s="357"/>
      <c r="AA53" s="355" t="s">
        <v>27</v>
      </c>
      <c r="AB53" s="356"/>
      <c r="AC53" s="356"/>
      <c r="AD53" s="356"/>
      <c r="AE53" s="356"/>
      <c r="AF53" s="356"/>
      <c r="AG53" s="356"/>
      <c r="AH53" s="357"/>
      <c r="AI53" s="355" t="s">
        <v>27</v>
      </c>
      <c r="AJ53" s="356"/>
      <c r="AK53" s="356"/>
      <c r="AL53" s="356"/>
      <c r="AM53" s="356"/>
      <c r="AN53" s="356"/>
      <c r="AO53" s="356"/>
      <c r="AP53" s="356"/>
      <c r="AQ53" s="357"/>
      <c r="AR53" s="41" t="s">
        <v>27</v>
      </c>
      <c r="AS53" s="41" t="s">
        <v>27</v>
      </c>
      <c r="AT53" s="41" t="s">
        <v>27</v>
      </c>
      <c r="AU53" s="355" t="s">
        <v>27</v>
      </c>
      <c r="AV53" s="356"/>
      <c r="AW53" s="356"/>
      <c r="AX53" s="357"/>
      <c r="AY53" s="355" t="s">
        <v>27</v>
      </c>
      <c r="AZ53" s="356"/>
      <c r="BA53" s="356"/>
      <c r="BB53" s="357"/>
      <c r="BC53" s="358"/>
      <c r="BD53" s="359"/>
      <c r="BE53" s="359"/>
      <c r="BF53" s="359"/>
      <c r="BG53" s="359"/>
      <c r="BH53" s="359"/>
      <c r="BI53" s="359"/>
      <c r="BJ53" s="360"/>
      <c r="BK53" s="21"/>
    </row>
    <row r="54" spans="1:63" ht="31.5" customHeight="1" x14ac:dyDescent="0.25">
      <c r="A54" s="20"/>
      <c r="B54" s="355">
        <v>2</v>
      </c>
      <c r="C54" s="357"/>
      <c r="D54" s="368" t="s">
        <v>316</v>
      </c>
      <c r="E54" s="369"/>
      <c r="F54" s="369"/>
      <c r="G54" s="369"/>
      <c r="H54" s="369"/>
      <c r="I54" s="369"/>
      <c r="J54" s="370"/>
      <c r="K54" s="364" t="s">
        <v>314</v>
      </c>
      <c r="L54" s="359"/>
      <c r="M54" s="360"/>
      <c r="N54" s="41" t="s">
        <v>27</v>
      </c>
      <c r="O54" s="41" t="s">
        <v>27</v>
      </c>
      <c r="P54" s="355" t="s">
        <v>27</v>
      </c>
      <c r="Q54" s="356"/>
      <c r="R54" s="356"/>
      <c r="S54" s="357"/>
      <c r="T54" s="355" t="s">
        <v>27</v>
      </c>
      <c r="U54" s="356"/>
      <c r="V54" s="356"/>
      <c r="W54" s="357"/>
      <c r="X54" s="374" t="s">
        <v>27</v>
      </c>
      <c r="Y54" s="356"/>
      <c r="Z54" s="357"/>
      <c r="AA54" s="355" t="s">
        <v>27</v>
      </c>
      <c r="AB54" s="356"/>
      <c r="AC54" s="356"/>
      <c r="AD54" s="356"/>
      <c r="AE54" s="356"/>
      <c r="AF54" s="356"/>
      <c r="AG54" s="356"/>
      <c r="AH54" s="357"/>
      <c r="AI54" s="355" t="s">
        <v>27</v>
      </c>
      <c r="AJ54" s="356"/>
      <c r="AK54" s="356"/>
      <c r="AL54" s="356"/>
      <c r="AM54" s="356"/>
      <c r="AN54" s="356"/>
      <c r="AO54" s="356"/>
      <c r="AP54" s="356"/>
      <c r="AQ54" s="357"/>
      <c r="AR54" s="41" t="s">
        <v>27</v>
      </c>
      <c r="AS54" s="41" t="s">
        <v>27</v>
      </c>
      <c r="AT54" s="41" t="s">
        <v>27</v>
      </c>
      <c r="AU54" s="355" t="s">
        <v>27</v>
      </c>
      <c r="AV54" s="356"/>
      <c r="AW54" s="356"/>
      <c r="AX54" s="357"/>
      <c r="AY54" s="355" t="s">
        <v>27</v>
      </c>
      <c r="AZ54" s="356"/>
      <c r="BA54" s="356"/>
      <c r="BB54" s="357"/>
      <c r="BC54" s="166" t="s">
        <v>317</v>
      </c>
      <c r="BD54" s="375"/>
      <c r="BE54" s="375"/>
      <c r="BF54" s="375"/>
      <c r="BG54" s="375"/>
      <c r="BH54" s="375"/>
      <c r="BI54" s="375"/>
      <c r="BJ54" s="376"/>
      <c r="BK54" s="21"/>
    </row>
    <row r="55" spans="1:63" x14ac:dyDescent="0.25">
      <c r="A55" s="20"/>
      <c r="B55" s="355">
        <v>3</v>
      </c>
      <c r="C55" s="357"/>
      <c r="D55" s="368" t="s">
        <v>318</v>
      </c>
      <c r="E55" s="369"/>
      <c r="F55" s="369"/>
      <c r="G55" s="369"/>
      <c r="H55" s="369"/>
      <c r="I55" s="369"/>
      <c r="J55" s="370"/>
      <c r="K55" s="364" t="s">
        <v>314</v>
      </c>
      <c r="L55" s="359"/>
      <c r="M55" s="360"/>
      <c r="N55" s="41" t="s">
        <v>27</v>
      </c>
      <c r="O55" s="41" t="s">
        <v>28</v>
      </c>
      <c r="P55" s="355" t="s">
        <v>27</v>
      </c>
      <c r="Q55" s="356"/>
      <c r="R55" s="356"/>
      <c r="S55" s="357"/>
      <c r="T55" s="355" t="s">
        <v>27</v>
      </c>
      <c r="U55" s="356"/>
      <c r="V55" s="356"/>
      <c r="W55" s="357"/>
      <c r="X55" s="374" t="s">
        <v>319</v>
      </c>
      <c r="Y55" s="356"/>
      <c r="Z55" s="357"/>
      <c r="AA55" s="355" t="s">
        <v>27</v>
      </c>
      <c r="AB55" s="356"/>
      <c r="AC55" s="356"/>
      <c r="AD55" s="356"/>
      <c r="AE55" s="356"/>
      <c r="AF55" s="356"/>
      <c r="AG55" s="356"/>
      <c r="AH55" s="357"/>
      <c r="AI55" s="355" t="s">
        <v>27</v>
      </c>
      <c r="AJ55" s="356"/>
      <c r="AK55" s="356"/>
      <c r="AL55" s="356"/>
      <c r="AM55" s="356"/>
      <c r="AN55" s="356"/>
      <c r="AO55" s="356"/>
      <c r="AP55" s="356"/>
      <c r="AQ55" s="357"/>
      <c r="AR55" s="41" t="s">
        <v>27</v>
      </c>
      <c r="AS55" s="41" t="s">
        <v>27</v>
      </c>
      <c r="AT55" s="41" t="s">
        <v>27</v>
      </c>
      <c r="AU55" s="355" t="s">
        <v>27</v>
      </c>
      <c r="AV55" s="356"/>
      <c r="AW55" s="356"/>
      <c r="AX55" s="357"/>
      <c r="AY55" s="355" t="s">
        <v>27</v>
      </c>
      <c r="AZ55" s="356"/>
      <c r="BA55" s="356"/>
      <c r="BB55" s="357"/>
      <c r="BC55" s="166"/>
      <c r="BD55" s="359"/>
      <c r="BE55" s="359"/>
      <c r="BF55" s="359"/>
      <c r="BG55" s="359"/>
      <c r="BH55" s="359"/>
      <c r="BI55" s="359"/>
      <c r="BJ55" s="360"/>
      <c r="BK55" s="21"/>
    </row>
    <row r="56" spans="1:63" ht="32.25" customHeight="1" x14ac:dyDescent="0.25">
      <c r="A56" s="20"/>
      <c r="B56" s="355">
        <v>4</v>
      </c>
      <c r="C56" s="357"/>
      <c r="D56" s="368" t="s">
        <v>320</v>
      </c>
      <c r="E56" s="369"/>
      <c r="F56" s="369"/>
      <c r="G56" s="369"/>
      <c r="H56" s="369"/>
      <c r="I56" s="369"/>
      <c r="J56" s="370"/>
      <c r="K56" s="364" t="s">
        <v>321</v>
      </c>
      <c r="L56" s="359"/>
      <c r="M56" s="360"/>
      <c r="N56" s="41" t="s">
        <v>27</v>
      </c>
      <c r="O56" s="41" t="s">
        <v>27</v>
      </c>
      <c r="P56" s="371" t="s">
        <v>299</v>
      </c>
      <c r="Q56" s="372"/>
      <c r="R56" s="372"/>
      <c r="S56" s="373"/>
      <c r="T56" s="399" t="s">
        <v>322</v>
      </c>
      <c r="U56" s="400"/>
      <c r="V56" s="400"/>
      <c r="W56" s="401"/>
      <c r="X56" s="374" t="s">
        <v>27</v>
      </c>
      <c r="Y56" s="356"/>
      <c r="Z56" s="357"/>
      <c r="AA56" s="355" t="s">
        <v>27</v>
      </c>
      <c r="AB56" s="356"/>
      <c r="AC56" s="356"/>
      <c r="AD56" s="356"/>
      <c r="AE56" s="356"/>
      <c r="AF56" s="356"/>
      <c r="AG56" s="356"/>
      <c r="AH56" s="357"/>
      <c r="AI56" s="332" t="s">
        <v>323</v>
      </c>
      <c r="AJ56" s="333"/>
      <c r="AK56" s="333"/>
      <c r="AL56" s="333"/>
      <c r="AM56" s="333"/>
      <c r="AN56" s="333"/>
      <c r="AO56" s="333"/>
      <c r="AP56" s="333"/>
      <c r="AQ56" s="334"/>
      <c r="AR56" s="41" t="s">
        <v>28</v>
      </c>
      <c r="AS56" s="41" t="s">
        <v>28</v>
      </c>
      <c r="AT56" s="41" t="s">
        <v>27</v>
      </c>
      <c r="AU56" s="371" t="s">
        <v>324</v>
      </c>
      <c r="AV56" s="372"/>
      <c r="AW56" s="372"/>
      <c r="AX56" s="373"/>
      <c r="AY56" s="399" t="s">
        <v>322</v>
      </c>
      <c r="AZ56" s="400"/>
      <c r="BA56" s="400"/>
      <c r="BB56" s="401"/>
      <c r="BC56" s="166" t="s">
        <v>325</v>
      </c>
      <c r="BD56" s="375"/>
      <c r="BE56" s="375"/>
      <c r="BF56" s="375"/>
      <c r="BG56" s="375"/>
      <c r="BH56" s="375"/>
      <c r="BI56" s="375"/>
      <c r="BJ56" s="376"/>
      <c r="BK56" s="21"/>
    </row>
    <row r="57" spans="1:63" x14ac:dyDescent="0.25">
      <c r="A57" s="20"/>
      <c r="B57" s="163">
        <v>5</v>
      </c>
      <c r="C57" s="165"/>
      <c r="D57" s="396" t="s">
        <v>113</v>
      </c>
      <c r="E57" s="397"/>
      <c r="F57" s="397"/>
      <c r="G57" s="397"/>
      <c r="H57" s="397"/>
      <c r="I57" s="397"/>
      <c r="J57" s="398"/>
      <c r="K57" s="160" t="s">
        <v>26</v>
      </c>
      <c r="L57" s="161"/>
      <c r="M57" s="162"/>
      <c r="N57" s="37" t="s">
        <v>27</v>
      </c>
      <c r="O57" s="37" t="s">
        <v>28</v>
      </c>
      <c r="P57" s="197" t="s">
        <v>27</v>
      </c>
      <c r="Q57" s="176"/>
      <c r="R57" s="176"/>
      <c r="S57" s="177"/>
      <c r="T57" s="197" t="s">
        <v>27</v>
      </c>
      <c r="U57" s="176"/>
      <c r="V57" s="176"/>
      <c r="W57" s="177"/>
      <c r="X57" s="306" t="s">
        <v>235</v>
      </c>
      <c r="Y57" s="304"/>
      <c r="Z57" s="305"/>
      <c r="AA57" s="303" t="s">
        <v>27</v>
      </c>
      <c r="AB57" s="304"/>
      <c r="AC57" s="304"/>
      <c r="AD57" s="304"/>
      <c r="AE57" s="304"/>
      <c r="AF57" s="304"/>
      <c r="AG57" s="304"/>
      <c r="AH57" s="305"/>
      <c r="AI57" s="303" t="s">
        <v>27</v>
      </c>
      <c r="AJ57" s="304"/>
      <c r="AK57" s="304"/>
      <c r="AL57" s="304"/>
      <c r="AM57" s="304"/>
      <c r="AN57" s="304"/>
      <c r="AO57" s="304"/>
      <c r="AP57" s="304"/>
      <c r="AQ57" s="305"/>
      <c r="AR57" s="37" t="s">
        <v>27</v>
      </c>
      <c r="AS57" s="37" t="s">
        <v>27</v>
      </c>
      <c r="AT57" s="37" t="s">
        <v>27</v>
      </c>
      <c r="AU57" s="197" t="s">
        <v>27</v>
      </c>
      <c r="AV57" s="176"/>
      <c r="AW57" s="176"/>
      <c r="AX57" s="177"/>
      <c r="AY57" s="197" t="s">
        <v>27</v>
      </c>
      <c r="AZ57" s="176"/>
      <c r="BA57" s="176"/>
      <c r="BB57" s="177"/>
      <c r="BC57" s="402"/>
      <c r="BD57" s="403"/>
      <c r="BE57" s="403"/>
      <c r="BF57" s="403"/>
      <c r="BG57" s="403"/>
      <c r="BH57" s="403"/>
      <c r="BI57" s="403"/>
      <c r="BJ57" s="404"/>
      <c r="BK57" s="21"/>
    </row>
    <row r="58" spans="1:63" ht="31.5" customHeight="1" x14ac:dyDescent="0.25">
      <c r="A58" s="20"/>
      <c r="B58" s="163">
        <v>6</v>
      </c>
      <c r="C58" s="165"/>
      <c r="D58" s="206" t="s">
        <v>114</v>
      </c>
      <c r="E58" s="207"/>
      <c r="F58" s="207"/>
      <c r="G58" s="207"/>
      <c r="H58" s="207"/>
      <c r="I58" s="207"/>
      <c r="J58" s="208"/>
      <c r="K58" s="172" t="s">
        <v>107</v>
      </c>
      <c r="L58" s="173"/>
      <c r="M58" s="174"/>
      <c r="N58" s="23" t="s">
        <v>27</v>
      </c>
      <c r="O58" s="23" t="s">
        <v>27</v>
      </c>
      <c r="P58" s="191" t="s">
        <v>115</v>
      </c>
      <c r="Q58" s="192"/>
      <c r="R58" s="192"/>
      <c r="S58" s="193"/>
      <c r="T58" s="209" t="s">
        <v>116</v>
      </c>
      <c r="U58" s="199"/>
      <c r="V58" s="199"/>
      <c r="W58" s="200"/>
      <c r="X58" s="202" t="s">
        <v>27</v>
      </c>
      <c r="Y58" s="203"/>
      <c r="Z58" s="204"/>
      <c r="AA58" s="163" t="s">
        <v>27</v>
      </c>
      <c r="AB58" s="164"/>
      <c r="AC58" s="164"/>
      <c r="AD58" s="164"/>
      <c r="AE58" s="164"/>
      <c r="AF58" s="164"/>
      <c r="AG58" s="164"/>
      <c r="AH58" s="165"/>
      <c r="AI58" s="332" t="s">
        <v>326</v>
      </c>
      <c r="AJ58" s="333"/>
      <c r="AK58" s="333"/>
      <c r="AL58" s="333"/>
      <c r="AM58" s="333"/>
      <c r="AN58" s="333"/>
      <c r="AO58" s="333"/>
      <c r="AP58" s="333"/>
      <c r="AQ58" s="334"/>
      <c r="AR58" s="23" t="s">
        <v>28</v>
      </c>
      <c r="AS58" s="23" t="s">
        <v>27</v>
      </c>
      <c r="AT58" s="23" t="s">
        <v>27</v>
      </c>
      <c r="AU58" s="191" t="s">
        <v>161</v>
      </c>
      <c r="AV58" s="192"/>
      <c r="AW58" s="192"/>
      <c r="AX58" s="193"/>
      <c r="AY58" s="209" t="s">
        <v>163</v>
      </c>
      <c r="AZ58" s="199"/>
      <c r="BA58" s="199"/>
      <c r="BB58" s="200"/>
      <c r="BC58" s="293" t="s">
        <v>327</v>
      </c>
      <c r="BD58" s="161"/>
      <c r="BE58" s="161"/>
      <c r="BF58" s="161"/>
      <c r="BG58" s="161"/>
      <c r="BH58" s="161"/>
      <c r="BI58" s="161"/>
      <c r="BJ58" s="162"/>
      <c r="BK58" s="21"/>
    </row>
    <row r="59" spans="1:63" x14ac:dyDescent="0.25">
      <c r="A59" s="20"/>
      <c r="B59" s="163">
        <v>7</v>
      </c>
      <c r="C59" s="165"/>
      <c r="D59" s="206" t="s">
        <v>230</v>
      </c>
      <c r="E59" s="207"/>
      <c r="F59" s="207"/>
      <c r="G59" s="207"/>
      <c r="H59" s="207"/>
      <c r="I59" s="207"/>
      <c r="J59" s="208"/>
      <c r="K59" s="172" t="s">
        <v>26</v>
      </c>
      <c r="L59" s="173"/>
      <c r="M59" s="174"/>
      <c r="N59" s="23" t="s">
        <v>27</v>
      </c>
      <c r="O59" s="23" t="s">
        <v>28</v>
      </c>
      <c r="P59" s="191" t="s">
        <v>27</v>
      </c>
      <c r="Q59" s="192"/>
      <c r="R59" s="192"/>
      <c r="S59" s="193"/>
      <c r="T59" s="191" t="s">
        <v>27</v>
      </c>
      <c r="U59" s="192"/>
      <c r="V59" s="192"/>
      <c r="W59" s="193"/>
      <c r="X59" s="365" t="s">
        <v>296</v>
      </c>
      <c r="Y59" s="356"/>
      <c r="Z59" s="357"/>
      <c r="AA59" s="163" t="s">
        <v>27</v>
      </c>
      <c r="AB59" s="164"/>
      <c r="AC59" s="164"/>
      <c r="AD59" s="164"/>
      <c r="AE59" s="164"/>
      <c r="AF59" s="164"/>
      <c r="AG59" s="164"/>
      <c r="AH59" s="165"/>
      <c r="AI59" s="163" t="s">
        <v>27</v>
      </c>
      <c r="AJ59" s="164"/>
      <c r="AK59" s="164"/>
      <c r="AL59" s="164"/>
      <c r="AM59" s="164"/>
      <c r="AN59" s="164"/>
      <c r="AO59" s="164"/>
      <c r="AP59" s="164"/>
      <c r="AQ59" s="165"/>
      <c r="AR59" s="23" t="s">
        <v>27</v>
      </c>
      <c r="AS59" s="23" t="s">
        <v>27</v>
      </c>
      <c r="AT59" s="23" t="s">
        <v>27</v>
      </c>
      <c r="AU59" s="163" t="s">
        <v>27</v>
      </c>
      <c r="AV59" s="164"/>
      <c r="AW59" s="164"/>
      <c r="AX59" s="165"/>
      <c r="AY59" s="163" t="s">
        <v>27</v>
      </c>
      <c r="AZ59" s="164"/>
      <c r="BA59" s="164"/>
      <c r="BB59" s="165"/>
      <c r="BC59" s="201"/>
      <c r="BD59" s="161"/>
      <c r="BE59" s="161"/>
      <c r="BF59" s="161"/>
      <c r="BG59" s="161"/>
      <c r="BH59" s="161"/>
      <c r="BI59" s="161"/>
      <c r="BJ59" s="162"/>
      <c r="BK59" s="21"/>
    </row>
    <row r="60" spans="1:63" s="44" customFormat="1" x14ac:dyDescent="0.25">
      <c r="A60" s="42"/>
      <c r="B60" s="355">
        <v>8</v>
      </c>
      <c r="C60" s="357"/>
      <c r="D60" s="368" t="s">
        <v>328</v>
      </c>
      <c r="E60" s="369"/>
      <c r="F60" s="369"/>
      <c r="G60" s="369"/>
      <c r="H60" s="369"/>
      <c r="I60" s="369"/>
      <c r="J60" s="370"/>
      <c r="K60" s="364" t="s">
        <v>314</v>
      </c>
      <c r="L60" s="359"/>
      <c r="M60" s="360"/>
      <c r="N60" s="41" t="s">
        <v>27</v>
      </c>
      <c r="O60" s="41" t="s">
        <v>28</v>
      </c>
      <c r="P60" s="371" t="s">
        <v>27</v>
      </c>
      <c r="Q60" s="372"/>
      <c r="R60" s="372"/>
      <c r="S60" s="373"/>
      <c r="T60" s="371" t="s">
        <v>27</v>
      </c>
      <c r="U60" s="372"/>
      <c r="V60" s="372"/>
      <c r="W60" s="373"/>
      <c r="X60" s="365" t="s">
        <v>329</v>
      </c>
      <c r="Y60" s="356"/>
      <c r="Z60" s="357"/>
      <c r="AA60" s="355" t="s">
        <v>27</v>
      </c>
      <c r="AB60" s="356"/>
      <c r="AC60" s="356"/>
      <c r="AD60" s="356"/>
      <c r="AE60" s="356"/>
      <c r="AF60" s="356"/>
      <c r="AG60" s="356"/>
      <c r="AH60" s="357"/>
      <c r="AI60" s="355" t="s">
        <v>27</v>
      </c>
      <c r="AJ60" s="356"/>
      <c r="AK60" s="356"/>
      <c r="AL60" s="356"/>
      <c r="AM60" s="356"/>
      <c r="AN60" s="356"/>
      <c r="AO60" s="356"/>
      <c r="AP60" s="356"/>
      <c r="AQ60" s="357"/>
      <c r="AR60" s="41" t="s">
        <v>27</v>
      </c>
      <c r="AS60" s="41" t="s">
        <v>27</v>
      </c>
      <c r="AT60" s="41" t="s">
        <v>27</v>
      </c>
      <c r="AU60" s="355" t="s">
        <v>27</v>
      </c>
      <c r="AV60" s="356"/>
      <c r="AW60" s="356"/>
      <c r="AX60" s="357"/>
      <c r="AY60" s="355" t="s">
        <v>27</v>
      </c>
      <c r="AZ60" s="356"/>
      <c r="BA60" s="356"/>
      <c r="BB60" s="357"/>
      <c r="BC60" s="358"/>
      <c r="BD60" s="359"/>
      <c r="BE60" s="359"/>
      <c r="BF60" s="359"/>
      <c r="BG60" s="359"/>
      <c r="BH60" s="359"/>
      <c r="BI60" s="359"/>
      <c r="BJ60" s="360"/>
      <c r="BK60" s="43"/>
    </row>
    <row r="61" spans="1:63" x14ac:dyDescent="0.25">
      <c r="A61" s="20"/>
      <c r="B61" s="163">
        <v>9</v>
      </c>
      <c r="C61" s="165"/>
      <c r="D61" s="206" t="s">
        <v>106</v>
      </c>
      <c r="E61" s="207"/>
      <c r="F61" s="207"/>
      <c r="G61" s="207"/>
      <c r="H61" s="207"/>
      <c r="I61" s="207"/>
      <c r="J61" s="208"/>
      <c r="K61" s="172" t="s">
        <v>107</v>
      </c>
      <c r="L61" s="173"/>
      <c r="M61" s="174"/>
      <c r="N61" s="23" t="s">
        <v>61</v>
      </c>
      <c r="O61" s="23" t="s">
        <v>27</v>
      </c>
      <c r="P61" s="191"/>
      <c r="Q61" s="192"/>
      <c r="R61" s="192"/>
      <c r="S61" s="193"/>
      <c r="T61" s="191"/>
      <c r="U61" s="192"/>
      <c r="V61" s="192"/>
      <c r="W61" s="193"/>
      <c r="X61" s="202" t="s">
        <v>27</v>
      </c>
      <c r="Y61" s="203"/>
      <c r="Z61" s="204"/>
      <c r="AA61" s="163" t="s">
        <v>27</v>
      </c>
      <c r="AB61" s="164"/>
      <c r="AC61" s="164"/>
      <c r="AD61" s="164"/>
      <c r="AE61" s="164"/>
      <c r="AF61" s="164"/>
      <c r="AG61" s="164"/>
      <c r="AH61" s="165"/>
      <c r="AI61" s="163" t="s">
        <v>27</v>
      </c>
      <c r="AJ61" s="164"/>
      <c r="AK61" s="164"/>
      <c r="AL61" s="164"/>
      <c r="AM61" s="164"/>
      <c r="AN61" s="164"/>
      <c r="AO61" s="164"/>
      <c r="AP61" s="164"/>
      <c r="AQ61" s="165"/>
      <c r="AR61" s="23" t="s">
        <v>27</v>
      </c>
      <c r="AS61" s="23" t="s">
        <v>27</v>
      </c>
      <c r="AT61" s="23" t="s">
        <v>28</v>
      </c>
      <c r="AU61" s="191" t="s">
        <v>115</v>
      </c>
      <c r="AV61" s="192"/>
      <c r="AW61" s="192"/>
      <c r="AX61" s="193"/>
      <c r="AY61" s="191" t="s">
        <v>117</v>
      </c>
      <c r="AZ61" s="192"/>
      <c r="BA61" s="192"/>
      <c r="BB61" s="193"/>
      <c r="BC61" s="201"/>
      <c r="BD61" s="161"/>
      <c r="BE61" s="161"/>
      <c r="BF61" s="161"/>
      <c r="BG61" s="161"/>
      <c r="BH61" s="161"/>
      <c r="BI61" s="161"/>
      <c r="BJ61" s="162"/>
      <c r="BK61" s="21"/>
    </row>
    <row r="62" spans="1:63" s="44" customFormat="1" x14ac:dyDescent="0.25">
      <c r="A62" s="42"/>
      <c r="B62" s="355">
        <v>10</v>
      </c>
      <c r="C62" s="357"/>
      <c r="D62" s="361" t="s">
        <v>330</v>
      </c>
      <c r="E62" s="362"/>
      <c r="F62" s="362"/>
      <c r="G62" s="362"/>
      <c r="H62" s="362"/>
      <c r="I62" s="362"/>
      <c r="J62" s="363"/>
      <c r="K62" s="364" t="s">
        <v>331</v>
      </c>
      <c r="L62" s="359"/>
      <c r="M62" s="360"/>
      <c r="N62" s="41" t="s">
        <v>332</v>
      </c>
      <c r="O62" s="41" t="s">
        <v>28</v>
      </c>
      <c r="P62" s="355" t="s">
        <v>27</v>
      </c>
      <c r="Q62" s="356"/>
      <c r="R62" s="356"/>
      <c r="S62" s="357"/>
      <c r="T62" s="355" t="s">
        <v>27</v>
      </c>
      <c r="U62" s="356"/>
      <c r="V62" s="356"/>
      <c r="W62" s="357"/>
      <c r="X62" s="365" t="s">
        <v>330</v>
      </c>
      <c r="Y62" s="366"/>
      <c r="Z62" s="367"/>
      <c r="AA62" s="355" t="s">
        <v>27</v>
      </c>
      <c r="AB62" s="356"/>
      <c r="AC62" s="356"/>
      <c r="AD62" s="356"/>
      <c r="AE62" s="356"/>
      <c r="AF62" s="356"/>
      <c r="AG62" s="356"/>
      <c r="AH62" s="357"/>
      <c r="AI62" s="355" t="s">
        <v>305</v>
      </c>
      <c r="AJ62" s="356"/>
      <c r="AK62" s="356"/>
      <c r="AL62" s="356"/>
      <c r="AM62" s="356"/>
      <c r="AN62" s="356"/>
      <c r="AO62" s="356"/>
      <c r="AP62" s="356"/>
      <c r="AQ62" s="357"/>
      <c r="AR62" s="41" t="s">
        <v>27</v>
      </c>
      <c r="AS62" s="41" t="s">
        <v>27</v>
      </c>
      <c r="AT62" s="41" t="s">
        <v>27</v>
      </c>
      <c r="AU62" s="355" t="s">
        <v>27</v>
      </c>
      <c r="AV62" s="356"/>
      <c r="AW62" s="356"/>
      <c r="AX62" s="357"/>
      <c r="AY62" s="355" t="s">
        <v>27</v>
      </c>
      <c r="AZ62" s="356"/>
      <c r="BA62" s="356"/>
      <c r="BB62" s="357"/>
      <c r="BC62" s="166" t="s">
        <v>333</v>
      </c>
      <c r="BD62" s="359"/>
      <c r="BE62" s="359"/>
      <c r="BF62" s="359"/>
      <c r="BG62" s="359"/>
      <c r="BH62" s="359"/>
      <c r="BI62" s="359"/>
      <c r="BJ62" s="360"/>
      <c r="BK62" s="43"/>
    </row>
    <row r="63" spans="1:63" x14ac:dyDescent="0.25">
      <c r="A63" s="20"/>
      <c r="B63" s="163">
        <v>11</v>
      </c>
      <c r="C63" s="165"/>
      <c r="D63" s="377" t="s">
        <v>59</v>
      </c>
      <c r="E63" s="378"/>
      <c r="F63" s="378"/>
      <c r="G63" s="378"/>
      <c r="H63" s="378"/>
      <c r="I63" s="378"/>
      <c r="J63" s="379"/>
      <c r="K63" s="172" t="s">
        <v>60</v>
      </c>
      <c r="L63" s="173"/>
      <c r="M63" s="174"/>
      <c r="N63" s="23" t="s">
        <v>61</v>
      </c>
      <c r="O63" s="23" t="s">
        <v>28</v>
      </c>
      <c r="P63" s="163" t="s">
        <v>27</v>
      </c>
      <c r="Q63" s="164"/>
      <c r="R63" s="164"/>
      <c r="S63" s="165"/>
      <c r="T63" s="163" t="s">
        <v>27</v>
      </c>
      <c r="U63" s="164"/>
      <c r="V63" s="164"/>
      <c r="W63" s="165"/>
      <c r="X63" s="181" t="s">
        <v>334</v>
      </c>
      <c r="Y63" s="182"/>
      <c r="Z63" s="183"/>
      <c r="AA63" s="163" t="s">
        <v>27</v>
      </c>
      <c r="AB63" s="164"/>
      <c r="AC63" s="164"/>
      <c r="AD63" s="164"/>
      <c r="AE63" s="164"/>
      <c r="AF63" s="164"/>
      <c r="AG63" s="164"/>
      <c r="AH63" s="165"/>
      <c r="AI63" s="163" t="s">
        <v>76</v>
      </c>
      <c r="AJ63" s="164"/>
      <c r="AK63" s="164"/>
      <c r="AL63" s="164"/>
      <c r="AM63" s="164"/>
      <c r="AN63" s="164"/>
      <c r="AO63" s="164"/>
      <c r="AP63" s="164"/>
      <c r="AQ63" s="165"/>
      <c r="AR63" s="23" t="s">
        <v>27</v>
      </c>
      <c r="AS63" s="23" t="s">
        <v>27</v>
      </c>
      <c r="AT63" s="23" t="s">
        <v>27</v>
      </c>
      <c r="AU63" s="163" t="s">
        <v>27</v>
      </c>
      <c r="AV63" s="164"/>
      <c r="AW63" s="164"/>
      <c r="AX63" s="165"/>
      <c r="AY63" s="163" t="s">
        <v>27</v>
      </c>
      <c r="AZ63" s="164"/>
      <c r="BA63" s="164"/>
      <c r="BB63" s="165"/>
      <c r="BC63" s="293" t="s">
        <v>335</v>
      </c>
      <c r="BD63" s="161"/>
      <c r="BE63" s="161"/>
      <c r="BF63" s="161"/>
      <c r="BG63" s="161"/>
      <c r="BH63" s="161"/>
      <c r="BI63" s="161"/>
      <c r="BJ63" s="162"/>
      <c r="BK63" s="21"/>
    </row>
    <row r="64" spans="1:63" ht="15.75" customHeight="1" x14ac:dyDescent="0.25">
      <c r="A64" s="20"/>
      <c r="B64" s="163">
        <v>12</v>
      </c>
      <c r="C64" s="165"/>
      <c r="D64" s="188" t="s">
        <v>84</v>
      </c>
      <c r="E64" s="189"/>
      <c r="F64" s="189"/>
      <c r="G64" s="189"/>
      <c r="H64" s="189"/>
      <c r="I64" s="189"/>
      <c r="J64" s="190"/>
      <c r="K64" s="172" t="s">
        <v>60</v>
      </c>
      <c r="L64" s="173"/>
      <c r="M64" s="174"/>
      <c r="N64" s="23" t="s">
        <v>61</v>
      </c>
      <c r="O64" s="23" t="s">
        <v>28</v>
      </c>
      <c r="P64" s="163" t="s">
        <v>27</v>
      </c>
      <c r="Q64" s="164"/>
      <c r="R64" s="164"/>
      <c r="S64" s="165"/>
      <c r="T64" s="163" t="s">
        <v>27</v>
      </c>
      <c r="U64" s="164"/>
      <c r="V64" s="164"/>
      <c r="W64" s="165"/>
      <c r="X64" s="181" t="s">
        <v>336</v>
      </c>
      <c r="Y64" s="182"/>
      <c r="Z64" s="183"/>
      <c r="AA64" s="163" t="s">
        <v>27</v>
      </c>
      <c r="AB64" s="164"/>
      <c r="AC64" s="164"/>
      <c r="AD64" s="164"/>
      <c r="AE64" s="164"/>
      <c r="AF64" s="164"/>
      <c r="AG64" s="164"/>
      <c r="AH64" s="165"/>
      <c r="AI64" s="163" t="s">
        <v>108</v>
      </c>
      <c r="AJ64" s="164"/>
      <c r="AK64" s="164"/>
      <c r="AL64" s="164"/>
      <c r="AM64" s="164"/>
      <c r="AN64" s="164"/>
      <c r="AO64" s="164"/>
      <c r="AP64" s="164"/>
      <c r="AQ64" s="165"/>
      <c r="AR64" s="23" t="s">
        <v>27</v>
      </c>
      <c r="AS64" s="23" t="s">
        <v>27</v>
      </c>
      <c r="AT64" s="23" t="s">
        <v>27</v>
      </c>
      <c r="AU64" s="163" t="s">
        <v>27</v>
      </c>
      <c r="AV64" s="164"/>
      <c r="AW64" s="164"/>
      <c r="AX64" s="165"/>
      <c r="AY64" s="163" t="s">
        <v>27</v>
      </c>
      <c r="AZ64" s="164"/>
      <c r="BA64" s="164"/>
      <c r="BB64" s="165"/>
      <c r="BC64" s="160" t="s">
        <v>337</v>
      </c>
      <c r="BD64" s="161"/>
      <c r="BE64" s="161"/>
      <c r="BF64" s="161"/>
      <c r="BG64" s="161"/>
      <c r="BH64" s="161"/>
      <c r="BI64" s="161"/>
      <c r="BJ64" s="162"/>
      <c r="BK64" s="21"/>
    </row>
    <row r="65" spans="1:63" ht="15.75" customHeight="1" x14ac:dyDescent="0.25">
      <c r="A65" s="20"/>
      <c r="B65" s="163">
        <v>13</v>
      </c>
      <c r="C65" s="165"/>
      <c r="D65" s="188" t="s">
        <v>13</v>
      </c>
      <c r="E65" s="189"/>
      <c r="F65" s="189"/>
      <c r="G65" s="189"/>
      <c r="H65" s="189"/>
      <c r="I65" s="189"/>
      <c r="J65" s="190"/>
      <c r="K65" s="172" t="s">
        <v>60</v>
      </c>
      <c r="L65" s="173"/>
      <c r="M65" s="174"/>
      <c r="N65" s="23" t="s">
        <v>61</v>
      </c>
      <c r="O65" s="23" t="s">
        <v>28</v>
      </c>
      <c r="P65" s="163" t="s">
        <v>27</v>
      </c>
      <c r="Q65" s="164"/>
      <c r="R65" s="164"/>
      <c r="S65" s="165"/>
      <c r="T65" s="163" t="s">
        <v>27</v>
      </c>
      <c r="U65" s="164"/>
      <c r="V65" s="164"/>
      <c r="W65" s="165"/>
      <c r="X65" s="184" t="s">
        <v>231</v>
      </c>
      <c r="Y65" s="164"/>
      <c r="Z65" s="165"/>
      <c r="AA65" s="163" t="s">
        <v>27</v>
      </c>
      <c r="AB65" s="164"/>
      <c r="AC65" s="164"/>
      <c r="AD65" s="164"/>
      <c r="AE65" s="164"/>
      <c r="AF65" s="164"/>
      <c r="AG65" s="164"/>
      <c r="AH65" s="165"/>
      <c r="AI65" s="163" t="s">
        <v>76</v>
      </c>
      <c r="AJ65" s="164"/>
      <c r="AK65" s="164"/>
      <c r="AL65" s="164"/>
      <c r="AM65" s="164"/>
      <c r="AN65" s="164"/>
      <c r="AO65" s="164"/>
      <c r="AP65" s="164"/>
      <c r="AQ65" s="165"/>
      <c r="AR65" s="23" t="s">
        <v>27</v>
      </c>
      <c r="AS65" s="23" t="s">
        <v>27</v>
      </c>
      <c r="AT65" s="23" t="s">
        <v>27</v>
      </c>
      <c r="AU65" s="163" t="s">
        <v>27</v>
      </c>
      <c r="AV65" s="164"/>
      <c r="AW65" s="164"/>
      <c r="AX65" s="165"/>
      <c r="AY65" s="163" t="s">
        <v>27</v>
      </c>
      <c r="AZ65" s="164"/>
      <c r="BA65" s="164"/>
      <c r="BB65" s="165"/>
      <c r="BC65" s="160" t="s">
        <v>338</v>
      </c>
      <c r="BD65" s="161"/>
      <c r="BE65" s="161"/>
      <c r="BF65" s="161"/>
      <c r="BG65" s="161"/>
      <c r="BH65" s="161"/>
      <c r="BI65" s="161"/>
      <c r="BJ65" s="162"/>
      <c r="BK65" s="21"/>
    </row>
    <row r="66" spans="1:63" ht="45.75" customHeight="1" x14ac:dyDescent="0.25">
      <c r="A66" s="20"/>
      <c r="B66" s="163">
        <v>14</v>
      </c>
      <c r="C66" s="165"/>
      <c r="D66" s="380" t="s">
        <v>85</v>
      </c>
      <c r="E66" s="381"/>
      <c r="F66" s="381"/>
      <c r="G66" s="381"/>
      <c r="H66" s="381"/>
      <c r="I66" s="381"/>
      <c r="J66" s="382"/>
      <c r="K66" s="172" t="s">
        <v>60</v>
      </c>
      <c r="L66" s="173"/>
      <c r="M66" s="174"/>
      <c r="N66" s="23" t="s">
        <v>61</v>
      </c>
      <c r="O66" s="23" t="s">
        <v>28</v>
      </c>
      <c r="P66" s="163" t="s">
        <v>27</v>
      </c>
      <c r="Q66" s="164"/>
      <c r="R66" s="164"/>
      <c r="S66" s="165"/>
      <c r="T66" s="163" t="s">
        <v>27</v>
      </c>
      <c r="U66" s="164"/>
      <c r="V66" s="164"/>
      <c r="W66" s="165"/>
      <c r="X66" s="184" t="s">
        <v>232</v>
      </c>
      <c r="Y66" s="164"/>
      <c r="Z66" s="165"/>
      <c r="AA66" s="163" t="s">
        <v>27</v>
      </c>
      <c r="AB66" s="164"/>
      <c r="AC66" s="164"/>
      <c r="AD66" s="164"/>
      <c r="AE66" s="164"/>
      <c r="AF66" s="164"/>
      <c r="AG66" s="164"/>
      <c r="AH66" s="165"/>
      <c r="AI66" s="332" t="s">
        <v>339</v>
      </c>
      <c r="AJ66" s="333"/>
      <c r="AK66" s="333"/>
      <c r="AL66" s="333"/>
      <c r="AM66" s="333"/>
      <c r="AN66" s="333"/>
      <c r="AO66" s="333"/>
      <c r="AP66" s="333"/>
      <c r="AQ66" s="334"/>
      <c r="AR66" s="23" t="s">
        <v>27</v>
      </c>
      <c r="AS66" s="23" t="s">
        <v>27</v>
      </c>
      <c r="AT66" s="23" t="s">
        <v>27</v>
      </c>
      <c r="AU66" s="163" t="s">
        <v>27</v>
      </c>
      <c r="AV66" s="164"/>
      <c r="AW66" s="164"/>
      <c r="AX66" s="165"/>
      <c r="AY66" s="163" t="s">
        <v>27</v>
      </c>
      <c r="AZ66" s="164"/>
      <c r="BA66" s="164"/>
      <c r="BB66" s="165"/>
      <c r="BC66" s="160" t="s">
        <v>340</v>
      </c>
      <c r="BD66" s="161"/>
      <c r="BE66" s="161"/>
      <c r="BF66" s="161"/>
      <c r="BG66" s="161"/>
      <c r="BH66" s="161"/>
      <c r="BI66" s="161"/>
      <c r="BJ66" s="162"/>
      <c r="BK66" s="21"/>
    </row>
    <row r="67" spans="1:63" ht="78" customHeight="1" x14ac:dyDescent="0.25">
      <c r="A67" s="20"/>
      <c r="B67" s="338">
        <v>15</v>
      </c>
      <c r="C67" s="339"/>
      <c r="D67" s="383" t="s">
        <v>98</v>
      </c>
      <c r="E67" s="384"/>
      <c r="F67" s="384"/>
      <c r="G67" s="384"/>
      <c r="H67" s="384"/>
      <c r="I67" s="384"/>
      <c r="J67" s="385"/>
      <c r="K67" s="386" t="s">
        <v>60</v>
      </c>
      <c r="L67" s="387"/>
      <c r="M67" s="388"/>
      <c r="N67" s="27" t="s">
        <v>61</v>
      </c>
      <c r="O67" s="27" t="s">
        <v>28</v>
      </c>
      <c r="P67" s="338" t="s">
        <v>27</v>
      </c>
      <c r="Q67" s="389"/>
      <c r="R67" s="389"/>
      <c r="S67" s="339"/>
      <c r="T67" s="338" t="s">
        <v>27</v>
      </c>
      <c r="U67" s="389"/>
      <c r="V67" s="389"/>
      <c r="W67" s="339"/>
      <c r="X67" s="390" t="s">
        <v>233</v>
      </c>
      <c r="Y67" s="391"/>
      <c r="Z67" s="392"/>
      <c r="AA67" s="338" t="s">
        <v>27</v>
      </c>
      <c r="AB67" s="389"/>
      <c r="AC67" s="389"/>
      <c r="AD67" s="389"/>
      <c r="AE67" s="389"/>
      <c r="AF67" s="389"/>
      <c r="AG67" s="389"/>
      <c r="AH67" s="339"/>
      <c r="AI67" s="393" t="s">
        <v>341</v>
      </c>
      <c r="AJ67" s="394"/>
      <c r="AK67" s="394"/>
      <c r="AL67" s="394"/>
      <c r="AM67" s="394"/>
      <c r="AN67" s="394"/>
      <c r="AO67" s="394"/>
      <c r="AP67" s="394"/>
      <c r="AQ67" s="395"/>
      <c r="AR67" s="27" t="s">
        <v>27</v>
      </c>
      <c r="AS67" s="27" t="s">
        <v>27</v>
      </c>
      <c r="AT67" s="27" t="s">
        <v>27</v>
      </c>
      <c r="AU67" s="338" t="s">
        <v>27</v>
      </c>
      <c r="AV67" s="389"/>
      <c r="AW67" s="389"/>
      <c r="AX67" s="339"/>
      <c r="AY67" s="338" t="s">
        <v>27</v>
      </c>
      <c r="AZ67" s="389"/>
      <c r="BA67" s="389"/>
      <c r="BB67" s="339"/>
      <c r="BC67" s="343" t="s">
        <v>342</v>
      </c>
      <c r="BD67" s="344"/>
      <c r="BE67" s="344"/>
      <c r="BF67" s="344"/>
      <c r="BG67" s="344"/>
      <c r="BH67" s="344"/>
      <c r="BI67" s="344"/>
      <c r="BJ67" s="345"/>
      <c r="BK67" s="21"/>
    </row>
  </sheetData>
  <mergeCells count="216">
    <mergeCell ref="AA55:AH55"/>
    <mergeCell ref="AI55:AQ55"/>
    <mergeCell ref="AU55:AX55"/>
    <mergeCell ref="AY55:BB55"/>
    <mergeCell ref="BC55:BJ55"/>
    <mergeCell ref="B55:C55"/>
    <mergeCell ref="D55:J55"/>
    <mergeCell ref="K55:M55"/>
    <mergeCell ref="P55:S55"/>
    <mergeCell ref="T55:W55"/>
    <mergeCell ref="X55:Z55"/>
    <mergeCell ref="X59:Z59"/>
    <mergeCell ref="AA59:AH59"/>
    <mergeCell ref="AI59:AQ59"/>
    <mergeCell ref="AU59:AX59"/>
    <mergeCell ref="AY59:BB59"/>
    <mergeCell ref="BC59:BJ59"/>
    <mergeCell ref="AA58:AH58"/>
    <mergeCell ref="AI58:AQ58"/>
    <mergeCell ref="AU58:AX58"/>
    <mergeCell ref="AY58:BB58"/>
    <mergeCell ref="BC58:BJ58"/>
    <mergeCell ref="X58:Z58"/>
    <mergeCell ref="B59:C59"/>
    <mergeCell ref="D59:J59"/>
    <mergeCell ref="K59:M59"/>
    <mergeCell ref="P59:S59"/>
    <mergeCell ref="T59:W59"/>
    <mergeCell ref="B58:C58"/>
    <mergeCell ref="D58:J58"/>
    <mergeCell ref="K58:M58"/>
    <mergeCell ref="P58:S58"/>
    <mergeCell ref="T58:W58"/>
    <mergeCell ref="X57:Z57"/>
    <mergeCell ref="AA57:AH57"/>
    <mergeCell ref="AI57:AQ57"/>
    <mergeCell ref="AU57:AX57"/>
    <mergeCell ref="AY57:BB57"/>
    <mergeCell ref="BC57:BJ57"/>
    <mergeCell ref="AA56:AH56"/>
    <mergeCell ref="AI56:AQ56"/>
    <mergeCell ref="AU56:AX56"/>
    <mergeCell ref="AY56:BB56"/>
    <mergeCell ref="BC56:BJ56"/>
    <mergeCell ref="X56:Z56"/>
    <mergeCell ref="B57:C57"/>
    <mergeCell ref="D57:J57"/>
    <mergeCell ref="K57:M57"/>
    <mergeCell ref="P57:S57"/>
    <mergeCell ref="T57:W57"/>
    <mergeCell ref="B56:C56"/>
    <mergeCell ref="D56:J56"/>
    <mergeCell ref="K56:M56"/>
    <mergeCell ref="P56:S56"/>
    <mergeCell ref="T56:W56"/>
    <mergeCell ref="X67:Z67"/>
    <mergeCell ref="AA67:AH67"/>
    <mergeCell ref="AI67:AQ67"/>
    <mergeCell ref="AU67:AX67"/>
    <mergeCell ref="AY67:BB67"/>
    <mergeCell ref="BC67:BJ67"/>
    <mergeCell ref="AA65:AH65"/>
    <mergeCell ref="AI65:AQ65"/>
    <mergeCell ref="AU65:AX65"/>
    <mergeCell ref="AY65:BB65"/>
    <mergeCell ref="BC65:BJ65"/>
    <mergeCell ref="X65:Z65"/>
    <mergeCell ref="X66:Z66"/>
    <mergeCell ref="AA66:AH66"/>
    <mergeCell ref="AI66:AQ66"/>
    <mergeCell ref="AU66:AX66"/>
    <mergeCell ref="AY66:BB66"/>
    <mergeCell ref="BC66:BJ66"/>
    <mergeCell ref="B67:C67"/>
    <mergeCell ref="D67:J67"/>
    <mergeCell ref="K67:M67"/>
    <mergeCell ref="P67:S67"/>
    <mergeCell ref="T67:W67"/>
    <mergeCell ref="B65:C65"/>
    <mergeCell ref="D65:J65"/>
    <mergeCell ref="K65:M65"/>
    <mergeCell ref="P65:S65"/>
    <mergeCell ref="T65:W65"/>
    <mergeCell ref="AA64:AH64"/>
    <mergeCell ref="AI64:AQ64"/>
    <mergeCell ref="AU64:AX64"/>
    <mergeCell ref="AY64:BB64"/>
    <mergeCell ref="BC64:BJ64"/>
    <mergeCell ref="X64:Z64"/>
    <mergeCell ref="B66:C66"/>
    <mergeCell ref="D66:J66"/>
    <mergeCell ref="K66:M66"/>
    <mergeCell ref="P66:S66"/>
    <mergeCell ref="T66:W66"/>
    <mergeCell ref="B64:C64"/>
    <mergeCell ref="D64:J64"/>
    <mergeCell ref="K64:M64"/>
    <mergeCell ref="P64:S64"/>
    <mergeCell ref="T64:W64"/>
    <mergeCell ref="X63:Z63"/>
    <mergeCell ref="AA63:AH63"/>
    <mergeCell ref="AI63:AQ63"/>
    <mergeCell ref="AU63:AX63"/>
    <mergeCell ref="AY63:BB63"/>
    <mergeCell ref="BC63:BJ63"/>
    <mergeCell ref="AA61:AH61"/>
    <mergeCell ref="AI61:AQ61"/>
    <mergeCell ref="AU61:AX61"/>
    <mergeCell ref="AY61:BB61"/>
    <mergeCell ref="BC61:BJ61"/>
    <mergeCell ref="X61:Z61"/>
    <mergeCell ref="B63:C63"/>
    <mergeCell ref="D63:J63"/>
    <mergeCell ref="K63:M63"/>
    <mergeCell ref="P63:S63"/>
    <mergeCell ref="T63:W63"/>
    <mergeCell ref="B61:C61"/>
    <mergeCell ref="D61:J61"/>
    <mergeCell ref="K61:M61"/>
    <mergeCell ref="P61:S61"/>
    <mergeCell ref="T61:W61"/>
    <mergeCell ref="B52:C52"/>
    <mergeCell ref="D52:J52"/>
    <mergeCell ref="K52:M52"/>
    <mergeCell ref="P52:S52"/>
    <mergeCell ref="T52:W52"/>
    <mergeCell ref="P49:AQ49"/>
    <mergeCell ref="AR49:BB49"/>
    <mergeCell ref="BC49:BJ51"/>
    <mergeCell ref="P50:W50"/>
    <mergeCell ref="X50:Z51"/>
    <mergeCell ref="AA50:AH51"/>
    <mergeCell ref="AI50:AQ51"/>
    <mergeCell ref="AR50:AR51"/>
    <mergeCell ref="AS50:AS51"/>
    <mergeCell ref="AT50:AT51"/>
    <mergeCell ref="X52:Z52"/>
    <mergeCell ref="AA52:AH52"/>
    <mergeCell ref="AI52:AQ52"/>
    <mergeCell ref="AU52:AX52"/>
    <mergeCell ref="AY52:BB52"/>
    <mergeCell ref="BC52:BJ52"/>
    <mergeCell ref="AU50:BB50"/>
    <mergeCell ref="P51:S51"/>
    <mergeCell ref="T51:W51"/>
    <mergeCell ref="A4:G4"/>
    <mergeCell ref="H4:T4"/>
    <mergeCell ref="U4:Y4"/>
    <mergeCell ref="Z4:AO4"/>
    <mergeCell ref="AP4:BK4"/>
    <mergeCell ref="B49:C51"/>
    <mergeCell ref="D49:J51"/>
    <mergeCell ref="K49:M51"/>
    <mergeCell ref="N49:N51"/>
    <mergeCell ref="O49:O51"/>
    <mergeCell ref="AU51:AX51"/>
    <mergeCell ref="AY51:BB51"/>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Y53:BB53"/>
    <mergeCell ref="BC53:BJ53"/>
    <mergeCell ref="B54:C54"/>
    <mergeCell ref="D54:J54"/>
    <mergeCell ref="K54:M54"/>
    <mergeCell ref="P54:S54"/>
    <mergeCell ref="T54:W54"/>
    <mergeCell ref="X54:Z54"/>
    <mergeCell ref="AA54:AH54"/>
    <mergeCell ref="AI54:AQ54"/>
    <mergeCell ref="AU54:AX54"/>
    <mergeCell ref="AY54:BB54"/>
    <mergeCell ref="BC54:BJ54"/>
    <mergeCell ref="B53:C53"/>
    <mergeCell ref="D53:J53"/>
    <mergeCell ref="K53:M53"/>
    <mergeCell ref="P53:S53"/>
    <mergeCell ref="T53:W53"/>
    <mergeCell ref="X53:Z53"/>
    <mergeCell ref="AA53:AH53"/>
    <mergeCell ref="AI53:AQ53"/>
    <mergeCell ref="AU53:AX53"/>
    <mergeCell ref="AY60:BB60"/>
    <mergeCell ref="BC60:BJ60"/>
    <mergeCell ref="B62:C62"/>
    <mergeCell ref="D62:J62"/>
    <mergeCell ref="K62:M62"/>
    <mergeCell ref="P62:S62"/>
    <mergeCell ref="T62:W62"/>
    <mergeCell ref="X62:Z62"/>
    <mergeCell ref="AA62:AH62"/>
    <mergeCell ref="AI62:AQ62"/>
    <mergeCell ref="AU62:AX62"/>
    <mergeCell ref="AY62:BB62"/>
    <mergeCell ref="BC62:BJ62"/>
    <mergeCell ref="B60:C60"/>
    <mergeCell ref="D60:J60"/>
    <mergeCell ref="K60:M60"/>
    <mergeCell ref="P60:S60"/>
    <mergeCell ref="T60:W60"/>
    <mergeCell ref="X60:Z60"/>
    <mergeCell ref="AA60:AH60"/>
    <mergeCell ref="AI60:AQ60"/>
    <mergeCell ref="AU60:AX60"/>
  </mergeCells>
  <dataValidations count="1">
    <dataValidation type="list" allowBlank="1" showInputMessage="1" showErrorMessage="1" sqref="O52:O67 AR52:AT67" xr:uid="{00000000-0002-0000-0300-000000000000}">
      <formula1>"－,●"</formula1>
    </dataValidation>
  </dataValidation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84A6-3804-45B9-9569-E1ABB194AD0E}">
  <sheetPr>
    <tabColor rgb="FF0000FF"/>
    <pageSetUpPr fitToPage="1"/>
  </sheetPr>
  <dimension ref="A1:BK156"/>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6"/>
  </cols>
  <sheetData>
    <row r="1" spans="1:63" ht="24.95" customHeight="1" x14ac:dyDescent="0.25">
      <c r="A1" s="253" t="s">
        <v>239</v>
      </c>
      <c r="B1" s="254"/>
      <c r="C1" s="254"/>
      <c r="D1" s="254"/>
      <c r="E1" s="254"/>
      <c r="F1" s="254"/>
      <c r="G1" s="254"/>
      <c r="H1" s="254"/>
      <c r="I1" s="254"/>
      <c r="J1" s="255"/>
      <c r="K1" s="253" t="s">
        <v>240</v>
      </c>
      <c r="L1" s="254"/>
      <c r="M1" s="254"/>
      <c r="N1" s="254"/>
      <c r="O1" s="254"/>
      <c r="P1" s="254"/>
      <c r="Q1" s="254"/>
      <c r="R1" s="254"/>
      <c r="S1" s="254"/>
      <c r="T1" s="254"/>
      <c r="U1" s="254"/>
      <c r="V1" s="255"/>
      <c r="W1" s="284" t="str">
        <f>IF(表紙!W1="","",表紙!W1)</f>
        <v>詳細設計書</v>
      </c>
      <c r="X1" s="285"/>
      <c r="Y1" s="285"/>
      <c r="Z1" s="285"/>
      <c r="AA1" s="285"/>
      <c r="AB1" s="285"/>
      <c r="AC1" s="285"/>
      <c r="AD1" s="285"/>
      <c r="AE1" s="285"/>
      <c r="AF1" s="285"/>
      <c r="AG1" s="285"/>
      <c r="AH1" s="285"/>
      <c r="AI1" s="285"/>
      <c r="AJ1" s="285"/>
      <c r="AK1" s="285"/>
      <c r="AL1" s="285"/>
      <c r="AM1" s="285"/>
      <c r="AN1" s="285"/>
      <c r="AO1" s="286"/>
      <c r="AP1" s="91" t="s">
        <v>241</v>
      </c>
      <c r="AQ1" s="92"/>
      <c r="AR1" s="92"/>
      <c r="AS1" s="93"/>
      <c r="AT1" s="91" t="s">
        <v>242</v>
      </c>
      <c r="AU1" s="92"/>
      <c r="AV1" s="92"/>
      <c r="AW1" s="92"/>
      <c r="AX1" s="93"/>
      <c r="AY1" s="91" t="s">
        <v>243</v>
      </c>
      <c r="AZ1" s="92"/>
      <c r="BA1" s="92"/>
      <c r="BB1" s="93"/>
      <c r="BC1" s="91" t="s">
        <v>244</v>
      </c>
      <c r="BD1" s="92"/>
      <c r="BE1" s="92"/>
      <c r="BF1" s="92"/>
      <c r="BG1" s="93"/>
      <c r="BH1" s="91" t="s">
        <v>245</v>
      </c>
      <c r="BI1" s="92"/>
      <c r="BJ1" s="92"/>
      <c r="BK1" s="93"/>
    </row>
    <row r="2" spans="1:63" ht="15" customHeight="1" x14ac:dyDescent="0.25">
      <c r="A2" s="278" t="str">
        <f>IF(表紙!A2="","",表紙!A2)</f>
        <v>POSサーバー</v>
      </c>
      <c r="B2" s="279"/>
      <c r="C2" s="279"/>
      <c r="D2" s="279"/>
      <c r="E2" s="279"/>
      <c r="F2" s="279"/>
      <c r="G2" s="279"/>
      <c r="H2" s="279"/>
      <c r="I2" s="279"/>
      <c r="J2" s="280"/>
      <c r="K2" s="278" t="str">
        <f>IF(表紙!K2="","",表紙!K2)</f>
        <v>POSサーバ</v>
      </c>
      <c r="L2" s="279"/>
      <c r="M2" s="279"/>
      <c r="N2" s="279"/>
      <c r="O2" s="279"/>
      <c r="P2" s="279"/>
      <c r="Q2" s="279"/>
      <c r="R2" s="279"/>
      <c r="S2" s="279"/>
      <c r="T2" s="279"/>
      <c r="U2" s="279"/>
      <c r="V2" s="280"/>
      <c r="W2" s="287"/>
      <c r="X2" s="288"/>
      <c r="Y2" s="288"/>
      <c r="Z2" s="288"/>
      <c r="AA2" s="288"/>
      <c r="AB2" s="288"/>
      <c r="AC2" s="288"/>
      <c r="AD2" s="288"/>
      <c r="AE2" s="288"/>
      <c r="AF2" s="288"/>
      <c r="AG2" s="288"/>
      <c r="AH2" s="288"/>
      <c r="AI2" s="288"/>
      <c r="AJ2" s="288"/>
      <c r="AK2" s="288"/>
      <c r="AL2" s="288"/>
      <c r="AM2" s="288"/>
      <c r="AN2" s="288"/>
      <c r="AO2" s="289"/>
      <c r="AP2" s="106" t="str">
        <f>IF(表紙!AP2="","",表紙!AP2)</f>
        <v>DuNT</v>
      </c>
      <c r="AQ2" s="107"/>
      <c r="AR2" s="107"/>
      <c r="AS2" s="108"/>
      <c r="AT2" s="112">
        <f>IF(表紙!AT2="","",表紙!AT2)</f>
        <v>45489</v>
      </c>
      <c r="AU2" s="113"/>
      <c r="AV2" s="113"/>
      <c r="AW2" s="113"/>
      <c r="AX2" s="114"/>
      <c r="AY2" s="106" t="str">
        <f>IF(表紙!AY2="","",表紙!AY2)</f>
        <v>TinNH</v>
      </c>
      <c r="AZ2" s="107"/>
      <c r="BA2" s="107"/>
      <c r="BB2" s="108"/>
      <c r="BC2" s="112">
        <f>IF(表紙!BC2="","",表紙!BC2)</f>
        <v>45595</v>
      </c>
      <c r="BD2" s="113"/>
      <c r="BE2" s="113"/>
      <c r="BF2" s="113"/>
      <c r="BG2" s="114"/>
      <c r="BH2" s="106">
        <f>IF(表紙!BH2="","",表紙!BH2)</f>
        <v>0.7</v>
      </c>
      <c r="BI2" s="107"/>
      <c r="BJ2" s="107"/>
      <c r="BK2" s="108"/>
    </row>
    <row r="3" spans="1:63" ht="15" customHeight="1" x14ac:dyDescent="0.25">
      <c r="A3" s="281"/>
      <c r="B3" s="282"/>
      <c r="C3" s="282"/>
      <c r="D3" s="282"/>
      <c r="E3" s="282"/>
      <c r="F3" s="282"/>
      <c r="G3" s="282"/>
      <c r="H3" s="282"/>
      <c r="I3" s="282"/>
      <c r="J3" s="283"/>
      <c r="K3" s="281"/>
      <c r="L3" s="282"/>
      <c r="M3" s="282"/>
      <c r="N3" s="282"/>
      <c r="O3" s="282"/>
      <c r="P3" s="282"/>
      <c r="Q3" s="282"/>
      <c r="R3" s="282"/>
      <c r="S3" s="282"/>
      <c r="T3" s="282"/>
      <c r="U3" s="282"/>
      <c r="V3" s="283"/>
      <c r="W3" s="290"/>
      <c r="X3" s="291"/>
      <c r="Y3" s="291"/>
      <c r="Z3" s="291"/>
      <c r="AA3" s="291"/>
      <c r="AB3" s="291"/>
      <c r="AC3" s="291"/>
      <c r="AD3" s="291"/>
      <c r="AE3" s="291"/>
      <c r="AF3" s="291"/>
      <c r="AG3" s="291"/>
      <c r="AH3" s="291"/>
      <c r="AI3" s="291"/>
      <c r="AJ3" s="291"/>
      <c r="AK3" s="291"/>
      <c r="AL3" s="291"/>
      <c r="AM3" s="291"/>
      <c r="AN3" s="291"/>
      <c r="AO3" s="292"/>
      <c r="AP3" s="109"/>
      <c r="AQ3" s="110"/>
      <c r="AR3" s="110"/>
      <c r="AS3" s="111"/>
      <c r="AT3" s="115"/>
      <c r="AU3" s="116"/>
      <c r="AV3" s="116"/>
      <c r="AW3" s="116"/>
      <c r="AX3" s="117"/>
      <c r="AY3" s="109"/>
      <c r="AZ3" s="110"/>
      <c r="BA3" s="110"/>
      <c r="BB3" s="111"/>
      <c r="BC3" s="115"/>
      <c r="BD3" s="116"/>
      <c r="BE3" s="116"/>
      <c r="BF3" s="116"/>
      <c r="BG3" s="117"/>
      <c r="BH3" s="109"/>
      <c r="BI3" s="110"/>
      <c r="BJ3" s="110"/>
      <c r="BK3" s="111"/>
    </row>
    <row r="4" spans="1:63" ht="24.95" customHeight="1" x14ac:dyDescent="0.25">
      <c r="A4" s="253" t="s">
        <v>246</v>
      </c>
      <c r="B4" s="254"/>
      <c r="C4" s="254"/>
      <c r="D4" s="254"/>
      <c r="E4" s="254"/>
      <c r="F4" s="254"/>
      <c r="G4" s="255"/>
      <c r="H4" s="256" t="str">
        <f>IF(表紙!H4="","",表紙!H4)</f>
        <v>71_レジマスタ設定</v>
      </c>
      <c r="I4" s="257"/>
      <c r="J4" s="257"/>
      <c r="K4" s="257"/>
      <c r="L4" s="257"/>
      <c r="M4" s="257"/>
      <c r="N4" s="257"/>
      <c r="O4" s="257"/>
      <c r="P4" s="257"/>
      <c r="Q4" s="257"/>
      <c r="R4" s="257"/>
      <c r="S4" s="257"/>
      <c r="T4" s="258"/>
      <c r="U4" s="253" t="s">
        <v>247</v>
      </c>
      <c r="V4" s="254"/>
      <c r="W4" s="254"/>
      <c r="X4" s="254"/>
      <c r="Y4" s="255"/>
      <c r="Z4" s="256" t="str">
        <f>IF(表紙!Z4="","",表紙!Z4)</f>
        <v>画面設計書</v>
      </c>
      <c r="AA4" s="257"/>
      <c r="AB4" s="257"/>
      <c r="AC4" s="257"/>
      <c r="AD4" s="257"/>
      <c r="AE4" s="257"/>
      <c r="AF4" s="257"/>
      <c r="AG4" s="257"/>
      <c r="AH4" s="257"/>
      <c r="AI4" s="257"/>
      <c r="AJ4" s="257"/>
      <c r="AK4" s="257"/>
      <c r="AL4" s="257"/>
      <c r="AM4" s="257"/>
      <c r="AN4" s="257"/>
      <c r="AO4" s="258"/>
      <c r="AP4" s="259" t="str">
        <f ca="1">MID(CELL("filename",A1),FIND("]",CELL("filename",A1))+1,255)</f>
        <v>MD7101</v>
      </c>
      <c r="AQ4" s="257"/>
      <c r="AR4" s="257"/>
      <c r="AS4" s="257"/>
      <c r="AT4" s="257"/>
      <c r="AU4" s="257"/>
      <c r="AV4" s="257"/>
      <c r="AW4" s="257"/>
      <c r="AX4" s="257"/>
      <c r="AY4" s="257"/>
      <c r="AZ4" s="257"/>
      <c r="BA4" s="257"/>
      <c r="BB4" s="257"/>
      <c r="BC4" s="257"/>
      <c r="BD4" s="257"/>
      <c r="BE4" s="257"/>
      <c r="BF4" s="257"/>
      <c r="BG4" s="257"/>
      <c r="BH4" s="257"/>
      <c r="BI4" s="257"/>
      <c r="BJ4" s="257"/>
      <c r="BK4" s="258"/>
    </row>
    <row r="5" spans="1:63" ht="5.0999999999999996" customHeight="1" x14ac:dyDescent="0.2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9"/>
    </row>
    <row r="6" spans="1:63" ht="15" customHeight="1" x14ac:dyDescent="0.25">
      <c r="A6" s="20"/>
      <c r="BK6" s="21"/>
    </row>
    <row r="7" spans="1:63" ht="15" customHeight="1" x14ac:dyDescent="0.25">
      <c r="A7" s="20"/>
      <c r="B7" s="22" t="s">
        <v>343</v>
      </c>
      <c r="C7" s="35"/>
      <c r="D7" s="35"/>
      <c r="E7" s="35"/>
      <c r="F7" s="35"/>
      <c r="G7" s="35"/>
      <c r="H7" s="35"/>
      <c r="I7" s="35"/>
      <c r="J7" s="35"/>
      <c r="AE7" s="22"/>
      <c r="BK7" s="21"/>
    </row>
    <row r="8" spans="1:63" ht="15" customHeight="1" x14ac:dyDescent="0.25">
      <c r="A8" s="20"/>
      <c r="BK8" s="21"/>
    </row>
    <row r="9" spans="1:63" ht="15" customHeight="1" x14ac:dyDescent="0.25">
      <c r="A9" s="20"/>
      <c r="BK9" s="21"/>
    </row>
    <row r="10" spans="1:63" ht="15" customHeight="1" x14ac:dyDescent="0.25">
      <c r="A10" s="20"/>
      <c r="BK10" s="21"/>
    </row>
    <row r="11" spans="1:63" ht="15" customHeight="1" x14ac:dyDescent="0.25">
      <c r="A11" s="20"/>
      <c r="BK11" s="21"/>
    </row>
    <row r="12" spans="1:63" ht="15" customHeight="1" x14ac:dyDescent="0.25">
      <c r="A12" s="20"/>
      <c r="BK12" s="21"/>
    </row>
    <row r="13" spans="1:63" ht="15" customHeight="1" x14ac:dyDescent="0.25">
      <c r="A13" s="20"/>
      <c r="BK13" s="21"/>
    </row>
    <row r="14" spans="1:63" ht="15" customHeight="1" x14ac:dyDescent="0.25">
      <c r="A14" s="20"/>
      <c r="BK14" s="21"/>
    </row>
    <row r="15" spans="1:63" ht="15" customHeight="1" x14ac:dyDescent="0.25">
      <c r="A15" s="20"/>
      <c r="BK15" s="21"/>
    </row>
    <row r="16" spans="1:63" ht="15" customHeight="1" x14ac:dyDescent="0.25">
      <c r="A16" s="20"/>
      <c r="BK16" s="21"/>
    </row>
    <row r="17" spans="1:63" ht="15" customHeight="1" x14ac:dyDescent="0.25">
      <c r="A17" s="20"/>
      <c r="BK17" s="21"/>
    </row>
    <row r="18" spans="1:63" ht="15" customHeight="1" x14ac:dyDescent="0.25">
      <c r="A18" s="20"/>
      <c r="BK18" s="21"/>
    </row>
    <row r="19" spans="1:63" ht="15" customHeight="1" x14ac:dyDescent="0.25">
      <c r="A19" s="20"/>
      <c r="BK19" s="21"/>
    </row>
    <row r="20" spans="1:63" ht="15" customHeight="1" x14ac:dyDescent="0.25">
      <c r="A20" s="20"/>
      <c r="BK20" s="21"/>
    </row>
    <row r="21" spans="1:63" ht="15" customHeight="1" x14ac:dyDescent="0.25">
      <c r="A21" s="20"/>
      <c r="BK21" s="21"/>
    </row>
    <row r="22" spans="1:63" ht="15" customHeight="1" x14ac:dyDescent="0.25">
      <c r="A22" s="20"/>
      <c r="BK22" s="21"/>
    </row>
    <row r="23" spans="1:63" ht="15" customHeight="1" x14ac:dyDescent="0.25">
      <c r="A23" s="20"/>
      <c r="BK23" s="21"/>
    </row>
    <row r="24" spans="1:63" ht="15" customHeight="1" x14ac:dyDescent="0.25">
      <c r="A24" s="20"/>
      <c r="BK24" s="21"/>
    </row>
    <row r="25" spans="1:63" ht="15" customHeight="1" x14ac:dyDescent="0.25">
      <c r="A25" s="20"/>
      <c r="BK25" s="21"/>
    </row>
    <row r="26" spans="1:63" ht="15.75" customHeight="1" x14ac:dyDescent="0.25">
      <c r="A26" s="20"/>
      <c r="BK26" s="21"/>
    </row>
    <row r="27" spans="1:63" ht="15" customHeight="1" x14ac:dyDescent="0.25">
      <c r="A27" s="20"/>
      <c r="BK27" s="21"/>
    </row>
    <row r="28" spans="1:63" ht="15" customHeight="1" x14ac:dyDescent="0.25">
      <c r="A28" s="20"/>
      <c r="BK28" s="21"/>
    </row>
    <row r="29" spans="1:63" ht="15" customHeight="1" x14ac:dyDescent="0.25">
      <c r="A29" s="20"/>
      <c r="BK29" s="21"/>
    </row>
    <row r="30" spans="1:63" ht="15" customHeight="1" x14ac:dyDescent="0.25">
      <c r="A30" s="20"/>
      <c r="BK30" s="21"/>
    </row>
    <row r="31" spans="1:63" ht="15" customHeight="1" x14ac:dyDescent="0.25">
      <c r="A31" s="20"/>
      <c r="BK31" s="21"/>
    </row>
    <row r="32" spans="1:63" ht="15" customHeight="1" x14ac:dyDescent="0.25">
      <c r="A32" s="20"/>
      <c r="BK32" s="21"/>
    </row>
    <row r="33" spans="1:63" ht="15" customHeight="1" x14ac:dyDescent="0.25">
      <c r="A33" s="20"/>
      <c r="BK33" s="21"/>
    </row>
    <row r="34" spans="1:63" ht="15" customHeight="1" x14ac:dyDescent="0.25">
      <c r="A34" s="20"/>
      <c r="BK34" s="21"/>
    </row>
    <row r="35" spans="1:63" ht="15" customHeight="1" x14ac:dyDescent="0.25">
      <c r="A35" s="20"/>
      <c r="BK35" s="21"/>
    </row>
    <row r="36" spans="1:63" ht="15" customHeight="1" x14ac:dyDescent="0.25">
      <c r="A36" s="20"/>
      <c r="BK36" s="21"/>
    </row>
    <row r="37" spans="1:63" ht="15" customHeight="1" x14ac:dyDescent="0.25">
      <c r="A37" s="20"/>
      <c r="BK37" s="21"/>
    </row>
    <row r="38" spans="1:63" ht="15" customHeight="1" x14ac:dyDescent="0.25">
      <c r="A38" s="20"/>
      <c r="BK38" s="21"/>
    </row>
    <row r="39" spans="1:63" ht="15" customHeight="1" x14ac:dyDescent="0.25">
      <c r="A39" s="20"/>
      <c r="BK39" s="21"/>
    </row>
    <row r="40" spans="1:63" ht="15" customHeight="1" x14ac:dyDescent="0.25">
      <c r="A40" s="20"/>
      <c r="BK40" s="21"/>
    </row>
    <row r="41" spans="1:63" ht="15" customHeight="1" x14ac:dyDescent="0.25">
      <c r="A41" s="20"/>
      <c r="BK41" s="21"/>
    </row>
    <row r="42" spans="1:63" ht="15" customHeight="1" x14ac:dyDescent="0.25">
      <c r="A42" s="20"/>
      <c r="BK42" s="21"/>
    </row>
    <row r="43" spans="1:63" ht="15" customHeight="1" x14ac:dyDescent="0.25">
      <c r="A43" s="20"/>
      <c r="BK43" s="21"/>
    </row>
    <row r="44" spans="1:63" ht="15" customHeight="1" x14ac:dyDescent="0.25">
      <c r="A44" s="20"/>
      <c r="BK44" s="21"/>
    </row>
    <row r="45" spans="1:63" ht="15" customHeight="1" x14ac:dyDescent="0.25">
      <c r="A45" s="20"/>
      <c r="BK45" s="21"/>
    </row>
    <row r="46" spans="1:63" ht="15" customHeight="1" x14ac:dyDescent="0.25">
      <c r="A46" s="20"/>
      <c r="BK46" s="21"/>
    </row>
    <row r="47" spans="1:63" ht="15" customHeight="1" x14ac:dyDescent="0.25">
      <c r="A47" s="20"/>
      <c r="BK47" s="21"/>
    </row>
    <row r="48" spans="1:63" ht="15" customHeight="1" x14ac:dyDescent="0.25">
      <c r="A48" s="20"/>
      <c r="BK48" s="21"/>
    </row>
    <row r="49" spans="1:63" ht="15" customHeight="1" x14ac:dyDescent="0.25">
      <c r="A49" s="20"/>
      <c r="BK49" s="21"/>
    </row>
    <row r="50" spans="1:63" ht="15" customHeight="1" x14ac:dyDescent="0.25">
      <c r="A50" s="20"/>
      <c r="BK50" s="21"/>
    </row>
    <row r="51" spans="1:63" ht="15" customHeight="1" x14ac:dyDescent="0.25">
      <c r="A51" s="20"/>
      <c r="BK51" s="21"/>
    </row>
    <row r="52" spans="1:63" ht="15" customHeight="1" x14ac:dyDescent="0.25">
      <c r="A52" s="20"/>
      <c r="BK52" s="21"/>
    </row>
    <row r="53" spans="1:63" ht="15" customHeight="1" x14ac:dyDescent="0.25">
      <c r="A53" s="20"/>
      <c r="BK53" s="21"/>
    </row>
    <row r="54" spans="1:63" ht="15" customHeight="1" x14ac:dyDescent="0.25">
      <c r="A54" s="20"/>
      <c r="BK54" s="21"/>
    </row>
    <row r="55" spans="1:63" ht="15" customHeight="1" x14ac:dyDescent="0.25">
      <c r="A55" s="20"/>
      <c r="BK55" s="21"/>
    </row>
    <row r="56" spans="1:63" ht="15" customHeight="1" x14ac:dyDescent="0.25">
      <c r="A56" s="20"/>
      <c r="BK56" s="21"/>
    </row>
    <row r="57" spans="1:63" ht="15" customHeight="1" x14ac:dyDescent="0.25">
      <c r="A57" s="20"/>
      <c r="BK57" s="21"/>
    </row>
    <row r="58" spans="1:63" ht="15" customHeight="1" x14ac:dyDescent="0.25">
      <c r="A58" s="20"/>
      <c r="BK58" s="21"/>
    </row>
    <row r="59" spans="1:63" ht="15" customHeight="1" x14ac:dyDescent="0.25">
      <c r="A59" s="20"/>
      <c r="BK59" s="21"/>
    </row>
    <row r="60" spans="1:63" ht="15" customHeight="1" x14ac:dyDescent="0.25">
      <c r="A60" s="20"/>
      <c r="BK60" s="21"/>
    </row>
    <row r="61" spans="1:63" ht="15" customHeight="1" x14ac:dyDescent="0.25">
      <c r="A61" s="20"/>
      <c r="BK61" s="21"/>
    </row>
    <row r="62" spans="1:63" ht="15" customHeight="1" x14ac:dyDescent="0.25">
      <c r="A62" s="20"/>
      <c r="BK62" s="21"/>
    </row>
    <row r="63" spans="1:63" ht="15" customHeight="1" x14ac:dyDescent="0.25">
      <c r="A63" s="20"/>
      <c r="BK63" s="21"/>
    </row>
    <row r="64" spans="1:63" ht="15" customHeight="1" x14ac:dyDescent="0.25">
      <c r="A64" s="20"/>
      <c r="BK64" s="21"/>
    </row>
    <row r="65" spans="1:63" ht="15" customHeight="1" x14ac:dyDescent="0.25">
      <c r="A65" s="20"/>
      <c r="BK65" s="21"/>
    </row>
    <row r="66" spans="1:63" ht="15" customHeight="1" x14ac:dyDescent="0.25">
      <c r="A66" s="20"/>
      <c r="BK66" s="21"/>
    </row>
    <row r="67" spans="1:63" ht="15" customHeight="1" x14ac:dyDescent="0.25">
      <c r="A67" s="20"/>
      <c r="BK67" s="21"/>
    </row>
    <row r="68" spans="1:63" ht="15" customHeight="1" x14ac:dyDescent="0.25">
      <c r="A68" s="20"/>
      <c r="BK68" s="21"/>
    </row>
    <row r="69" spans="1:63" ht="15" customHeight="1" x14ac:dyDescent="0.25">
      <c r="A69" s="20"/>
      <c r="BK69" s="21"/>
    </row>
    <row r="70" spans="1:63" ht="15" customHeight="1" x14ac:dyDescent="0.25">
      <c r="A70" s="20"/>
      <c r="BK70" s="21"/>
    </row>
    <row r="71" spans="1:63" ht="15" customHeight="1" x14ac:dyDescent="0.25">
      <c r="A71" s="20"/>
      <c r="BK71" s="21"/>
    </row>
    <row r="72" spans="1:63" ht="14.25" customHeight="1" x14ac:dyDescent="0.25">
      <c r="A72" s="20"/>
      <c r="BK72" s="21"/>
    </row>
    <row r="73" spans="1:63" ht="15" customHeight="1" x14ac:dyDescent="0.25">
      <c r="A73" s="20"/>
      <c r="BK73" s="21"/>
    </row>
    <row r="74" spans="1:63" x14ac:dyDescent="0.25">
      <c r="A74" s="20"/>
      <c r="BK74" s="21"/>
    </row>
    <row r="75" spans="1:63" x14ac:dyDescent="0.25">
      <c r="A75" s="20"/>
      <c r="BK75" s="21"/>
    </row>
    <row r="76" spans="1:63" x14ac:dyDescent="0.25">
      <c r="A76" s="20"/>
      <c r="BK76" s="21"/>
    </row>
    <row r="77" spans="1:63" x14ac:dyDescent="0.25">
      <c r="A77" s="20"/>
      <c r="BK77" s="21"/>
    </row>
    <row r="78" spans="1:63" x14ac:dyDescent="0.25">
      <c r="A78" s="20"/>
      <c r="BK78" s="21"/>
    </row>
    <row r="79" spans="1:63" x14ac:dyDescent="0.25">
      <c r="A79" s="20"/>
      <c r="BK79" s="21"/>
    </row>
    <row r="80" spans="1:63" x14ac:dyDescent="0.25">
      <c r="A80" s="20"/>
      <c r="BK80" s="21"/>
    </row>
    <row r="81" spans="1:63" x14ac:dyDescent="0.25">
      <c r="A81" s="20"/>
      <c r="BK81" s="21"/>
    </row>
    <row r="82" spans="1:63" x14ac:dyDescent="0.25">
      <c r="A82" s="20"/>
      <c r="BK82" s="21"/>
    </row>
    <row r="83" spans="1:63" x14ac:dyDescent="0.25">
      <c r="A83" s="20"/>
      <c r="BK83" s="21"/>
    </row>
    <row r="84" spans="1:63" x14ac:dyDescent="0.25">
      <c r="A84" s="20"/>
      <c r="BK84" s="21"/>
    </row>
    <row r="85" spans="1:63" x14ac:dyDescent="0.25">
      <c r="A85" s="20"/>
      <c r="BK85" s="21"/>
    </row>
    <row r="86" spans="1:63" x14ac:dyDescent="0.25">
      <c r="A86" s="20"/>
      <c r="BK86" s="21"/>
    </row>
    <row r="87" spans="1:63" x14ac:dyDescent="0.25">
      <c r="A87" s="20"/>
      <c r="BK87" s="21"/>
    </row>
    <row r="88" spans="1:63" x14ac:dyDescent="0.25">
      <c r="A88" s="20"/>
      <c r="BK88" s="21"/>
    </row>
    <row r="89" spans="1:63" x14ac:dyDescent="0.25">
      <c r="A89" s="20"/>
      <c r="BK89" s="21"/>
    </row>
    <row r="90" spans="1:63" x14ac:dyDescent="0.25">
      <c r="A90" s="20"/>
      <c r="BK90" s="21"/>
    </row>
    <row r="91" spans="1:63" x14ac:dyDescent="0.25">
      <c r="A91" s="20"/>
      <c r="BK91" s="21"/>
    </row>
    <row r="92" spans="1:63" x14ac:dyDescent="0.25">
      <c r="A92" s="20"/>
      <c r="BK92" s="21"/>
    </row>
    <row r="93" spans="1:63" x14ac:dyDescent="0.25">
      <c r="A93" s="20"/>
      <c r="BK93" s="21"/>
    </row>
    <row r="94" spans="1:63" ht="15" customHeight="1" x14ac:dyDescent="0.25">
      <c r="A94" s="20"/>
      <c r="B94" s="22" t="s">
        <v>269</v>
      </c>
      <c r="BK94" s="21"/>
    </row>
    <row r="95" spans="1:63" x14ac:dyDescent="0.25">
      <c r="A95" s="20"/>
      <c r="BK95" s="21"/>
    </row>
    <row r="96" spans="1:63" ht="15.75" customHeight="1" x14ac:dyDescent="0.25">
      <c r="A96" s="20"/>
      <c r="B96" s="409" t="s">
        <v>14</v>
      </c>
      <c r="C96" s="410"/>
      <c r="D96" s="415" t="s">
        <v>15</v>
      </c>
      <c r="E96" s="416"/>
      <c r="F96" s="416"/>
      <c r="G96" s="416"/>
      <c r="H96" s="416"/>
      <c r="I96" s="416"/>
      <c r="J96" s="410"/>
      <c r="K96" s="415" t="s">
        <v>16</v>
      </c>
      <c r="L96" s="416"/>
      <c r="M96" s="410"/>
      <c r="N96" s="419" t="s">
        <v>17</v>
      </c>
      <c r="O96" s="422" t="s">
        <v>37</v>
      </c>
      <c r="P96" s="430" t="s">
        <v>18</v>
      </c>
      <c r="Q96" s="431"/>
      <c r="R96" s="431"/>
      <c r="S96" s="431"/>
      <c r="T96" s="431"/>
      <c r="U96" s="431"/>
      <c r="V96" s="431"/>
      <c r="W96" s="431"/>
      <c r="X96" s="431"/>
      <c r="Y96" s="431"/>
      <c r="Z96" s="431"/>
      <c r="AA96" s="431"/>
      <c r="AB96" s="431"/>
      <c r="AC96" s="431"/>
      <c r="AD96" s="431"/>
      <c r="AE96" s="431"/>
      <c r="AF96" s="431"/>
      <c r="AG96" s="431"/>
      <c r="AH96" s="431"/>
      <c r="AI96" s="431"/>
      <c r="AJ96" s="431"/>
      <c r="AK96" s="431"/>
      <c r="AL96" s="431"/>
      <c r="AM96" s="431"/>
      <c r="AN96" s="431"/>
      <c r="AO96" s="431"/>
      <c r="AP96" s="431"/>
      <c r="AQ96" s="432"/>
      <c r="AR96" s="425" t="s">
        <v>19</v>
      </c>
      <c r="AS96" s="426"/>
      <c r="AT96" s="426"/>
      <c r="AU96" s="426"/>
      <c r="AV96" s="426"/>
      <c r="AW96" s="426"/>
      <c r="AX96" s="426"/>
      <c r="AY96" s="426"/>
      <c r="AZ96" s="426"/>
      <c r="BA96" s="426"/>
      <c r="BB96" s="429"/>
      <c r="BC96" s="433" t="s">
        <v>20</v>
      </c>
      <c r="BD96" s="434"/>
      <c r="BE96" s="434"/>
      <c r="BF96" s="434"/>
      <c r="BG96" s="434"/>
      <c r="BH96" s="434"/>
      <c r="BI96" s="434"/>
      <c r="BJ96" s="435"/>
      <c r="BK96" s="21"/>
    </row>
    <row r="97" spans="1:63" ht="15.75" customHeight="1" x14ac:dyDescent="0.25">
      <c r="A97" s="20"/>
      <c r="B97" s="411"/>
      <c r="C97" s="412"/>
      <c r="D97" s="411"/>
      <c r="E97" s="417"/>
      <c r="F97" s="417"/>
      <c r="G97" s="417"/>
      <c r="H97" s="417"/>
      <c r="I97" s="417"/>
      <c r="J97" s="412"/>
      <c r="K97" s="411"/>
      <c r="L97" s="417"/>
      <c r="M97" s="412"/>
      <c r="N97" s="420"/>
      <c r="O97" s="423"/>
      <c r="P97" s="442" t="s">
        <v>21</v>
      </c>
      <c r="Q97" s="443"/>
      <c r="R97" s="443"/>
      <c r="S97" s="443"/>
      <c r="T97" s="443"/>
      <c r="U97" s="443"/>
      <c r="V97" s="443"/>
      <c r="W97" s="444"/>
      <c r="X97" s="445" t="s">
        <v>22</v>
      </c>
      <c r="Y97" s="446"/>
      <c r="Z97" s="447"/>
      <c r="AA97" s="445" t="s">
        <v>23</v>
      </c>
      <c r="AB97" s="446"/>
      <c r="AC97" s="446"/>
      <c r="AD97" s="446"/>
      <c r="AE97" s="446"/>
      <c r="AF97" s="446"/>
      <c r="AG97" s="446"/>
      <c r="AH97" s="447"/>
      <c r="AI97" s="445" t="s">
        <v>24</v>
      </c>
      <c r="AJ97" s="446"/>
      <c r="AK97" s="446"/>
      <c r="AL97" s="446"/>
      <c r="AM97" s="446"/>
      <c r="AN97" s="446"/>
      <c r="AO97" s="446"/>
      <c r="AP97" s="446"/>
      <c r="AQ97" s="447"/>
      <c r="AR97" s="451" t="s">
        <v>78</v>
      </c>
      <c r="AS97" s="453" t="s">
        <v>79</v>
      </c>
      <c r="AT97" s="455" t="s">
        <v>25</v>
      </c>
      <c r="AU97" s="425" t="s">
        <v>21</v>
      </c>
      <c r="AV97" s="426"/>
      <c r="AW97" s="426"/>
      <c r="AX97" s="426"/>
      <c r="AY97" s="426"/>
      <c r="AZ97" s="426"/>
      <c r="BA97" s="426"/>
      <c r="BB97" s="429"/>
      <c r="BC97" s="436"/>
      <c r="BD97" s="437"/>
      <c r="BE97" s="437"/>
      <c r="BF97" s="437"/>
      <c r="BG97" s="437"/>
      <c r="BH97" s="437"/>
      <c r="BI97" s="437"/>
      <c r="BJ97" s="438"/>
      <c r="BK97" s="21"/>
    </row>
    <row r="98" spans="1:63" x14ac:dyDescent="0.25">
      <c r="A98" s="20"/>
      <c r="B98" s="413"/>
      <c r="C98" s="414"/>
      <c r="D98" s="413"/>
      <c r="E98" s="418"/>
      <c r="F98" s="418"/>
      <c r="G98" s="418"/>
      <c r="H98" s="418"/>
      <c r="I98" s="418"/>
      <c r="J98" s="414"/>
      <c r="K98" s="413"/>
      <c r="L98" s="418"/>
      <c r="M98" s="414"/>
      <c r="N98" s="421"/>
      <c r="O98" s="424"/>
      <c r="P98" s="430" t="s">
        <v>36</v>
      </c>
      <c r="Q98" s="431"/>
      <c r="R98" s="431"/>
      <c r="S98" s="432"/>
      <c r="T98" s="430" t="s">
        <v>15</v>
      </c>
      <c r="U98" s="431"/>
      <c r="V98" s="431"/>
      <c r="W98" s="432"/>
      <c r="X98" s="448"/>
      <c r="Y98" s="449"/>
      <c r="Z98" s="450"/>
      <c r="AA98" s="448"/>
      <c r="AB98" s="449"/>
      <c r="AC98" s="449"/>
      <c r="AD98" s="449"/>
      <c r="AE98" s="449"/>
      <c r="AF98" s="449"/>
      <c r="AG98" s="449"/>
      <c r="AH98" s="450"/>
      <c r="AI98" s="448"/>
      <c r="AJ98" s="449"/>
      <c r="AK98" s="449"/>
      <c r="AL98" s="449"/>
      <c r="AM98" s="449"/>
      <c r="AN98" s="449"/>
      <c r="AO98" s="449"/>
      <c r="AP98" s="449"/>
      <c r="AQ98" s="450"/>
      <c r="AR98" s="452"/>
      <c r="AS98" s="454"/>
      <c r="AT98" s="456"/>
      <c r="AU98" s="425" t="s">
        <v>36</v>
      </c>
      <c r="AV98" s="426"/>
      <c r="AW98" s="426"/>
      <c r="AX98" s="427"/>
      <c r="AY98" s="428" t="s">
        <v>15</v>
      </c>
      <c r="AZ98" s="426"/>
      <c r="BA98" s="426"/>
      <c r="BB98" s="429"/>
      <c r="BC98" s="439"/>
      <c r="BD98" s="440"/>
      <c r="BE98" s="440"/>
      <c r="BF98" s="440"/>
      <c r="BG98" s="440"/>
      <c r="BH98" s="440"/>
      <c r="BI98" s="440"/>
      <c r="BJ98" s="441"/>
      <c r="BK98" s="21"/>
    </row>
    <row r="99" spans="1:63" ht="48.75" customHeight="1" x14ac:dyDescent="0.25">
      <c r="A99" s="20"/>
      <c r="B99" s="303">
        <v>0</v>
      </c>
      <c r="C99" s="305"/>
      <c r="D99" s="396" t="s">
        <v>119</v>
      </c>
      <c r="E99" s="397"/>
      <c r="F99" s="397"/>
      <c r="G99" s="397"/>
      <c r="H99" s="397"/>
      <c r="I99" s="397"/>
      <c r="J99" s="398"/>
      <c r="K99" s="160" t="s">
        <v>26</v>
      </c>
      <c r="L99" s="161"/>
      <c r="M99" s="162"/>
      <c r="N99" s="37" t="s">
        <v>29</v>
      </c>
      <c r="O99" s="37" t="s">
        <v>28</v>
      </c>
      <c r="P99" s="197" t="s">
        <v>29</v>
      </c>
      <c r="Q99" s="176"/>
      <c r="R99" s="176"/>
      <c r="S99" s="177"/>
      <c r="T99" s="197" t="s">
        <v>29</v>
      </c>
      <c r="U99" s="176"/>
      <c r="V99" s="176"/>
      <c r="W99" s="177"/>
      <c r="X99" s="461" t="s">
        <v>344</v>
      </c>
      <c r="Y99" s="462"/>
      <c r="Z99" s="463"/>
      <c r="AA99" s="325" t="s">
        <v>345</v>
      </c>
      <c r="AB99" s="161"/>
      <c r="AC99" s="161"/>
      <c r="AD99" s="161"/>
      <c r="AE99" s="161"/>
      <c r="AF99" s="161"/>
      <c r="AG99" s="161"/>
      <c r="AH99" s="162"/>
      <c r="AI99" s="459" t="s">
        <v>29</v>
      </c>
      <c r="AJ99" s="457"/>
      <c r="AK99" s="457"/>
      <c r="AL99" s="457"/>
      <c r="AM99" s="457"/>
      <c r="AN99" s="457"/>
      <c r="AO99" s="457"/>
      <c r="AP99" s="457"/>
      <c r="AQ99" s="458"/>
      <c r="AR99" s="37" t="s">
        <v>27</v>
      </c>
      <c r="AS99" s="37" t="s">
        <v>27</v>
      </c>
      <c r="AT99" s="37" t="s">
        <v>27</v>
      </c>
      <c r="AU99" s="303" t="s">
        <v>29</v>
      </c>
      <c r="AV99" s="304"/>
      <c r="AW99" s="304"/>
      <c r="AX99" s="305"/>
      <c r="AY99" s="303" t="s">
        <v>29</v>
      </c>
      <c r="AZ99" s="304"/>
      <c r="BA99" s="304"/>
      <c r="BB99" s="305"/>
      <c r="BC99" s="293" t="s">
        <v>120</v>
      </c>
      <c r="BD99" s="161"/>
      <c r="BE99" s="161"/>
      <c r="BF99" s="161"/>
      <c r="BG99" s="161"/>
      <c r="BH99" s="161"/>
      <c r="BI99" s="161"/>
      <c r="BJ99" s="162"/>
      <c r="BK99" s="21"/>
    </row>
    <row r="100" spans="1:63" x14ac:dyDescent="0.25">
      <c r="A100" s="20"/>
      <c r="B100" s="303">
        <v>1</v>
      </c>
      <c r="C100" s="305"/>
      <c r="D100" s="396" t="s">
        <v>118</v>
      </c>
      <c r="E100" s="397"/>
      <c r="F100" s="397"/>
      <c r="G100" s="397"/>
      <c r="H100" s="397"/>
      <c r="I100" s="397"/>
      <c r="J100" s="398"/>
      <c r="K100" s="160" t="s">
        <v>26</v>
      </c>
      <c r="L100" s="161"/>
      <c r="M100" s="162"/>
      <c r="N100" s="37" t="s">
        <v>29</v>
      </c>
      <c r="O100" s="37" t="s">
        <v>28</v>
      </c>
      <c r="P100" s="197" t="s">
        <v>29</v>
      </c>
      <c r="Q100" s="176"/>
      <c r="R100" s="176"/>
      <c r="S100" s="177"/>
      <c r="T100" s="197" t="s">
        <v>29</v>
      </c>
      <c r="U100" s="176"/>
      <c r="V100" s="176"/>
      <c r="W100" s="177"/>
      <c r="X100" s="310" t="s">
        <v>121</v>
      </c>
      <c r="Y100" s="457"/>
      <c r="Z100" s="458"/>
      <c r="AA100" s="160" t="s">
        <v>29</v>
      </c>
      <c r="AB100" s="161"/>
      <c r="AC100" s="161"/>
      <c r="AD100" s="161"/>
      <c r="AE100" s="161"/>
      <c r="AF100" s="161"/>
      <c r="AG100" s="161"/>
      <c r="AH100" s="162"/>
      <c r="AI100" s="459" t="s">
        <v>29</v>
      </c>
      <c r="AJ100" s="457"/>
      <c r="AK100" s="457"/>
      <c r="AL100" s="457"/>
      <c r="AM100" s="457"/>
      <c r="AN100" s="457"/>
      <c r="AO100" s="457"/>
      <c r="AP100" s="457"/>
      <c r="AQ100" s="458"/>
      <c r="AR100" s="37" t="s">
        <v>27</v>
      </c>
      <c r="AS100" s="37" t="s">
        <v>27</v>
      </c>
      <c r="AT100" s="37" t="s">
        <v>27</v>
      </c>
      <c r="AU100" s="303" t="s">
        <v>29</v>
      </c>
      <c r="AV100" s="304"/>
      <c r="AW100" s="304"/>
      <c r="AX100" s="305"/>
      <c r="AY100" s="303" t="s">
        <v>29</v>
      </c>
      <c r="AZ100" s="304"/>
      <c r="BA100" s="304"/>
      <c r="BB100" s="305"/>
      <c r="BC100" s="460"/>
      <c r="BD100" s="161"/>
      <c r="BE100" s="161"/>
      <c r="BF100" s="161"/>
      <c r="BG100" s="161"/>
      <c r="BH100" s="161"/>
      <c r="BI100" s="161"/>
      <c r="BJ100" s="162"/>
      <c r="BK100" s="21"/>
    </row>
    <row r="101" spans="1:63" ht="165" customHeight="1" x14ac:dyDescent="0.25">
      <c r="A101" s="20"/>
      <c r="B101" s="303">
        <v>2</v>
      </c>
      <c r="C101" s="305"/>
      <c r="D101" s="396" t="s">
        <v>41</v>
      </c>
      <c r="E101" s="397"/>
      <c r="F101" s="397"/>
      <c r="G101" s="397"/>
      <c r="H101" s="397"/>
      <c r="I101" s="397"/>
      <c r="J101" s="398"/>
      <c r="K101" s="160" t="s">
        <v>75</v>
      </c>
      <c r="L101" s="161"/>
      <c r="M101" s="162"/>
      <c r="N101" s="37" t="s">
        <v>17</v>
      </c>
      <c r="O101" s="37" t="s">
        <v>27</v>
      </c>
      <c r="P101" s="197" t="s">
        <v>164</v>
      </c>
      <c r="Q101" s="176"/>
      <c r="R101" s="176"/>
      <c r="S101" s="177"/>
      <c r="T101" s="175" t="s">
        <v>165</v>
      </c>
      <c r="U101" s="464"/>
      <c r="V101" s="464"/>
      <c r="W101" s="465"/>
      <c r="X101" s="469" t="s">
        <v>346</v>
      </c>
      <c r="Y101" s="470"/>
      <c r="Z101" s="471"/>
      <c r="AA101" s="467" t="s">
        <v>386</v>
      </c>
      <c r="AB101" s="161"/>
      <c r="AC101" s="161"/>
      <c r="AD101" s="161"/>
      <c r="AE101" s="161"/>
      <c r="AF101" s="161"/>
      <c r="AG101" s="161"/>
      <c r="AH101" s="162"/>
      <c r="AI101" s="468" t="s">
        <v>347</v>
      </c>
      <c r="AJ101" s="457"/>
      <c r="AK101" s="457"/>
      <c r="AL101" s="457"/>
      <c r="AM101" s="457"/>
      <c r="AN101" s="457"/>
      <c r="AO101" s="457"/>
      <c r="AP101" s="457"/>
      <c r="AQ101" s="458"/>
      <c r="AR101" s="37" t="s">
        <v>28</v>
      </c>
      <c r="AS101" s="37" t="s">
        <v>28</v>
      </c>
      <c r="AT101" s="37" t="s">
        <v>27</v>
      </c>
      <c r="AU101" s="303" t="s">
        <v>197</v>
      </c>
      <c r="AV101" s="304"/>
      <c r="AW101" s="304"/>
      <c r="AX101" s="305"/>
      <c r="AY101" s="303" t="s">
        <v>165</v>
      </c>
      <c r="AZ101" s="304"/>
      <c r="BA101" s="304"/>
      <c r="BB101" s="305"/>
      <c r="BC101" s="293" t="s">
        <v>348</v>
      </c>
      <c r="BD101" s="161"/>
      <c r="BE101" s="161"/>
      <c r="BF101" s="161"/>
      <c r="BG101" s="161"/>
      <c r="BH101" s="161"/>
      <c r="BI101" s="161"/>
      <c r="BJ101" s="162"/>
      <c r="BK101" s="21"/>
    </row>
    <row r="102" spans="1:63" x14ac:dyDescent="0.25">
      <c r="A102" s="20"/>
      <c r="B102" s="303">
        <v>3</v>
      </c>
      <c r="C102" s="305"/>
      <c r="D102" s="396" t="s">
        <v>122</v>
      </c>
      <c r="E102" s="397"/>
      <c r="F102" s="397"/>
      <c r="G102" s="397"/>
      <c r="H102" s="397"/>
      <c r="I102" s="397"/>
      <c r="J102" s="398"/>
      <c r="K102" s="160" t="s">
        <v>26</v>
      </c>
      <c r="L102" s="161"/>
      <c r="M102" s="162"/>
      <c r="N102" s="37" t="s">
        <v>29</v>
      </c>
      <c r="O102" s="37" t="s">
        <v>28</v>
      </c>
      <c r="P102" s="197" t="s">
        <v>29</v>
      </c>
      <c r="Q102" s="176"/>
      <c r="R102" s="176"/>
      <c r="S102" s="177"/>
      <c r="T102" s="197" t="s">
        <v>29</v>
      </c>
      <c r="U102" s="176"/>
      <c r="V102" s="176"/>
      <c r="W102" s="177"/>
      <c r="X102" s="310" t="s">
        <v>123</v>
      </c>
      <c r="Y102" s="457"/>
      <c r="Z102" s="458"/>
      <c r="AA102" s="396" t="s">
        <v>29</v>
      </c>
      <c r="AB102" s="161"/>
      <c r="AC102" s="161"/>
      <c r="AD102" s="161"/>
      <c r="AE102" s="161"/>
      <c r="AF102" s="161"/>
      <c r="AG102" s="161"/>
      <c r="AH102" s="162"/>
      <c r="AI102" s="466" t="s">
        <v>29</v>
      </c>
      <c r="AJ102" s="457"/>
      <c r="AK102" s="457"/>
      <c r="AL102" s="457"/>
      <c r="AM102" s="457"/>
      <c r="AN102" s="457"/>
      <c r="AO102" s="457"/>
      <c r="AP102" s="457"/>
      <c r="AQ102" s="458"/>
      <c r="AR102" s="37" t="s">
        <v>27</v>
      </c>
      <c r="AS102" s="37" t="s">
        <v>27</v>
      </c>
      <c r="AT102" s="37" t="s">
        <v>27</v>
      </c>
      <c r="AU102" s="303" t="s">
        <v>29</v>
      </c>
      <c r="AV102" s="304"/>
      <c r="AW102" s="304"/>
      <c r="AX102" s="305"/>
      <c r="AY102" s="303" t="s">
        <v>29</v>
      </c>
      <c r="AZ102" s="304"/>
      <c r="BA102" s="304"/>
      <c r="BB102" s="305"/>
      <c r="BC102" s="460"/>
      <c r="BD102" s="161"/>
      <c r="BE102" s="161"/>
      <c r="BF102" s="161"/>
      <c r="BG102" s="161"/>
      <c r="BH102" s="161"/>
      <c r="BI102" s="161"/>
      <c r="BJ102" s="162"/>
      <c r="BK102" s="21"/>
    </row>
    <row r="103" spans="1:63" ht="30.75" customHeight="1" x14ac:dyDescent="0.25">
      <c r="A103" s="20"/>
      <c r="B103" s="303">
        <v>4</v>
      </c>
      <c r="C103" s="305"/>
      <c r="D103" s="396" t="s">
        <v>111</v>
      </c>
      <c r="E103" s="397"/>
      <c r="F103" s="397"/>
      <c r="G103" s="397"/>
      <c r="H103" s="397"/>
      <c r="I103" s="397"/>
      <c r="J103" s="398"/>
      <c r="K103" s="160" t="s">
        <v>107</v>
      </c>
      <c r="L103" s="161"/>
      <c r="M103" s="162"/>
      <c r="N103" s="37" t="s">
        <v>17</v>
      </c>
      <c r="O103" s="37" t="s">
        <v>27</v>
      </c>
      <c r="P103" s="197" t="s">
        <v>164</v>
      </c>
      <c r="Q103" s="176"/>
      <c r="R103" s="176"/>
      <c r="S103" s="177"/>
      <c r="T103" s="197" t="s">
        <v>162</v>
      </c>
      <c r="U103" s="176"/>
      <c r="V103" s="176"/>
      <c r="W103" s="177"/>
      <c r="X103" s="310" t="s">
        <v>29</v>
      </c>
      <c r="Y103" s="457"/>
      <c r="Z103" s="458"/>
      <c r="AA103" s="325" t="s">
        <v>349</v>
      </c>
      <c r="AB103" s="397"/>
      <c r="AC103" s="397"/>
      <c r="AD103" s="397"/>
      <c r="AE103" s="397"/>
      <c r="AF103" s="397"/>
      <c r="AG103" s="397"/>
      <c r="AH103" s="398"/>
      <c r="AI103" s="468" t="s">
        <v>350</v>
      </c>
      <c r="AJ103" s="457"/>
      <c r="AK103" s="457"/>
      <c r="AL103" s="457"/>
      <c r="AM103" s="457"/>
      <c r="AN103" s="457"/>
      <c r="AO103" s="457"/>
      <c r="AP103" s="457"/>
      <c r="AQ103" s="458"/>
      <c r="AR103" s="37" t="s">
        <v>28</v>
      </c>
      <c r="AS103" s="37" t="s">
        <v>28</v>
      </c>
      <c r="AT103" s="37" t="s">
        <v>27</v>
      </c>
      <c r="AU103" s="303" t="s">
        <v>197</v>
      </c>
      <c r="AV103" s="304"/>
      <c r="AW103" s="304"/>
      <c r="AX103" s="305"/>
      <c r="AY103" s="303" t="s">
        <v>162</v>
      </c>
      <c r="AZ103" s="304"/>
      <c r="BA103" s="304"/>
      <c r="BB103" s="305"/>
      <c r="BC103" s="293" t="s">
        <v>351</v>
      </c>
      <c r="BD103" s="161"/>
      <c r="BE103" s="161"/>
      <c r="BF103" s="161"/>
      <c r="BG103" s="161"/>
      <c r="BH103" s="161"/>
      <c r="BI103" s="161"/>
      <c r="BJ103" s="162"/>
      <c r="BK103" s="21"/>
    </row>
    <row r="104" spans="1:63" x14ac:dyDescent="0.25">
      <c r="A104" s="20"/>
      <c r="B104" s="303">
        <v>5</v>
      </c>
      <c r="C104" s="305"/>
      <c r="D104" s="396" t="s">
        <v>67</v>
      </c>
      <c r="E104" s="397"/>
      <c r="F104" s="397"/>
      <c r="G104" s="397"/>
      <c r="H104" s="397"/>
      <c r="I104" s="397"/>
      <c r="J104" s="398"/>
      <c r="K104" s="160" t="s">
        <v>26</v>
      </c>
      <c r="L104" s="161"/>
      <c r="M104" s="162"/>
      <c r="N104" s="37" t="s">
        <v>29</v>
      </c>
      <c r="O104" s="37" t="s">
        <v>28</v>
      </c>
      <c r="P104" s="197" t="s">
        <v>29</v>
      </c>
      <c r="Q104" s="176"/>
      <c r="R104" s="176"/>
      <c r="S104" s="177"/>
      <c r="T104" s="197" t="s">
        <v>29</v>
      </c>
      <c r="U104" s="176"/>
      <c r="V104" s="176"/>
      <c r="W104" s="177"/>
      <c r="X104" s="310" t="s">
        <v>124</v>
      </c>
      <c r="Y104" s="457"/>
      <c r="Z104" s="458"/>
      <c r="AA104" s="396" t="s">
        <v>29</v>
      </c>
      <c r="AB104" s="397"/>
      <c r="AC104" s="397"/>
      <c r="AD104" s="397"/>
      <c r="AE104" s="397"/>
      <c r="AF104" s="397"/>
      <c r="AG104" s="397"/>
      <c r="AH104" s="398"/>
      <c r="AI104" s="459" t="s">
        <v>29</v>
      </c>
      <c r="AJ104" s="457"/>
      <c r="AK104" s="457"/>
      <c r="AL104" s="457"/>
      <c r="AM104" s="457"/>
      <c r="AN104" s="457"/>
      <c r="AO104" s="457"/>
      <c r="AP104" s="457"/>
      <c r="AQ104" s="458"/>
      <c r="AR104" s="37" t="s">
        <v>27</v>
      </c>
      <c r="AS104" s="37" t="s">
        <v>27</v>
      </c>
      <c r="AT104" s="37" t="s">
        <v>27</v>
      </c>
      <c r="AU104" s="303" t="s">
        <v>29</v>
      </c>
      <c r="AV104" s="304"/>
      <c r="AW104" s="304"/>
      <c r="AX104" s="305"/>
      <c r="AY104" s="303" t="s">
        <v>29</v>
      </c>
      <c r="AZ104" s="304"/>
      <c r="BA104" s="304"/>
      <c r="BB104" s="305"/>
      <c r="BC104" s="460"/>
      <c r="BD104" s="161"/>
      <c r="BE104" s="161"/>
      <c r="BF104" s="161"/>
      <c r="BG104" s="161"/>
      <c r="BH104" s="161"/>
      <c r="BI104" s="161"/>
      <c r="BJ104" s="162"/>
      <c r="BK104" s="21"/>
    </row>
    <row r="105" spans="1:63" ht="101.25" customHeight="1" x14ac:dyDescent="0.25">
      <c r="A105" s="20"/>
      <c r="B105" s="303">
        <v>6</v>
      </c>
      <c r="C105" s="305"/>
      <c r="D105" s="396" t="s">
        <v>65</v>
      </c>
      <c r="E105" s="397"/>
      <c r="F105" s="397"/>
      <c r="G105" s="397"/>
      <c r="H105" s="397"/>
      <c r="I105" s="397"/>
      <c r="J105" s="398"/>
      <c r="K105" s="160" t="s">
        <v>75</v>
      </c>
      <c r="L105" s="161"/>
      <c r="M105" s="162"/>
      <c r="N105" s="37" t="s">
        <v>17</v>
      </c>
      <c r="O105" s="37" t="s">
        <v>27</v>
      </c>
      <c r="P105" s="197" t="s">
        <v>164</v>
      </c>
      <c r="Q105" s="176"/>
      <c r="R105" s="176"/>
      <c r="S105" s="177"/>
      <c r="T105" s="175" t="s">
        <v>166</v>
      </c>
      <c r="U105" s="464"/>
      <c r="V105" s="464"/>
      <c r="W105" s="465"/>
      <c r="X105" s="466" t="s">
        <v>201</v>
      </c>
      <c r="Y105" s="472"/>
      <c r="Z105" s="473"/>
      <c r="AA105" s="467" t="s">
        <v>385</v>
      </c>
      <c r="AB105" s="161"/>
      <c r="AC105" s="161"/>
      <c r="AD105" s="161"/>
      <c r="AE105" s="161"/>
      <c r="AF105" s="161"/>
      <c r="AG105" s="161"/>
      <c r="AH105" s="162"/>
      <c r="AI105" s="459" t="s">
        <v>76</v>
      </c>
      <c r="AJ105" s="457"/>
      <c r="AK105" s="457"/>
      <c r="AL105" s="457"/>
      <c r="AM105" s="457"/>
      <c r="AN105" s="457"/>
      <c r="AO105" s="457"/>
      <c r="AP105" s="457"/>
      <c r="AQ105" s="458"/>
      <c r="AR105" s="37" t="s">
        <v>28</v>
      </c>
      <c r="AS105" s="37" t="s">
        <v>28</v>
      </c>
      <c r="AT105" s="37" t="s">
        <v>27</v>
      </c>
      <c r="AU105" s="303" t="s">
        <v>197</v>
      </c>
      <c r="AV105" s="304"/>
      <c r="AW105" s="304"/>
      <c r="AX105" s="305"/>
      <c r="AY105" s="303" t="s">
        <v>166</v>
      </c>
      <c r="AZ105" s="304"/>
      <c r="BA105" s="304"/>
      <c r="BB105" s="305"/>
      <c r="BC105" s="293" t="s">
        <v>227</v>
      </c>
      <c r="BD105" s="161"/>
      <c r="BE105" s="161"/>
      <c r="BF105" s="161"/>
      <c r="BG105" s="161"/>
      <c r="BH105" s="161"/>
      <c r="BI105" s="161"/>
      <c r="BJ105" s="162"/>
      <c r="BK105" s="21"/>
    </row>
    <row r="106" spans="1:63" x14ac:dyDescent="0.25">
      <c r="A106" s="20"/>
      <c r="B106" s="303">
        <v>7</v>
      </c>
      <c r="C106" s="305"/>
      <c r="D106" s="396" t="s">
        <v>68</v>
      </c>
      <c r="E106" s="397"/>
      <c r="F106" s="397"/>
      <c r="G106" s="397"/>
      <c r="H106" s="397"/>
      <c r="I106" s="397"/>
      <c r="J106" s="398"/>
      <c r="K106" s="160" t="s">
        <v>26</v>
      </c>
      <c r="L106" s="161"/>
      <c r="M106" s="162"/>
      <c r="N106" s="37" t="s">
        <v>29</v>
      </c>
      <c r="O106" s="37" t="s">
        <v>28</v>
      </c>
      <c r="P106" s="197" t="s">
        <v>29</v>
      </c>
      <c r="Q106" s="176"/>
      <c r="R106" s="176"/>
      <c r="S106" s="177"/>
      <c r="T106" s="197" t="s">
        <v>29</v>
      </c>
      <c r="U106" s="176"/>
      <c r="V106" s="176"/>
      <c r="W106" s="177"/>
      <c r="X106" s="310" t="s">
        <v>126</v>
      </c>
      <c r="Y106" s="457"/>
      <c r="Z106" s="458"/>
      <c r="AA106" s="396" t="s">
        <v>29</v>
      </c>
      <c r="AB106" s="397"/>
      <c r="AC106" s="397"/>
      <c r="AD106" s="397"/>
      <c r="AE106" s="397"/>
      <c r="AF106" s="397"/>
      <c r="AG106" s="397"/>
      <c r="AH106" s="398"/>
      <c r="AI106" s="459" t="s">
        <v>29</v>
      </c>
      <c r="AJ106" s="457"/>
      <c r="AK106" s="457"/>
      <c r="AL106" s="457"/>
      <c r="AM106" s="457"/>
      <c r="AN106" s="457"/>
      <c r="AO106" s="457"/>
      <c r="AP106" s="457"/>
      <c r="AQ106" s="458"/>
      <c r="AR106" s="37" t="s">
        <v>27</v>
      </c>
      <c r="AS106" s="37" t="s">
        <v>27</v>
      </c>
      <c r="AT106" s="37" t="s">
        <v>27</v>
      </c>
      <c r="AU106" s="303" t="s">
        <v>29</v>
      </c>
      <c r="AV106" s="304"/>
      <c r="AW106" s="304"/>
      <c r="AX106" s="305"/>
      <c r="AY106" s="303" t="s">
        <v>29</v>
      </c>
      <c r="AZ106" s="304"/>
      <c r="BA106" s="304"/>
      <c r="BB106" s="305"/>
      <c r="BC106" s="460"/>
      <c r="BD106" s="161"/>
      <c r="BE106" s="161"/>
      <c r="BF106" s="161"/>
      <c r="BG106" s="161"/>
      <c r="BH106" s="161"/>
      <c r="BI106" s="161"/>
      <c r="BJ106" s="162"/>
      <c r="BK106" s="21"/>
    </row>
    <row r="107" spans="1:63" ht="89.25" customHeight="1" x14ac:dyDescent="0.25">
      <c r="A107" s="20"/>
      <c r="B107" s="303">
        <v>8</v>
      </c>
      <c r="C107" s="305"/>
      <c r="D107" s="396" t="s">
        <v>66</v>
      </c>
      <c r="E107" s="397"/>
      <c r="F107" s="397"/>
      <c r="G107" s="397"/>
      <c r="H107" s="397"/>
      <c r="I107" s="397"/>
      <c r="J107" s="398"/>
      <c r="K107" s="160" t="s">
        <v>75</v>
      </c>
      <c r="L107" s="161"/>
      <c r="M107" s="162"/>
      <c r="N107" s="37" t="s">
        <v>17</v>
      </c>
      <c r="O107" s="37" t="s">
        <v>27</v>
      </c>
      <c r="P107" s="197" t="s">
        <v>164</v>
      </c>
      <c r="Q107" s="176"/>
      <c r="R107" s="176"/>
      <c r="S107" s="177"/>
      <c r="T107" s="197" t="s">
        <v>167</v>
      </c>
      <c r="U107" s="176"/>
      <c r="V107" s="176"/>
      <c r="W107" s="177"/>
      <c r="X107" s="466" t="s">
        <v>202</v>
      </c>
      <c r="Y107" s="472"/>
      <c r="Z107" s="473"/>
      <c r="AA107" s="467" t="s">
        <v>387</v>
      </c>
      <c r="AB107" s="161"/>
      <c r="AC107" s="161"/>
      <c r="AD107" s="161"/>
      <c r="AE107" s="161"/>
      <c r="AF107" s="161"/>
      <c r="AG107" s="161"/>
      <c r="AH107" s="162"/>
      <c r="AI107" s="459" t="s">
        <v>76</v>
      </c>
      <c r="AJ107" s="457"/>
      <c r="AK107" s="457"/>
      <c r="AL107" s="457"/>
      <c r="AM107" s="457"/>
      <c r="AN107" s="457"/>
      <c r="AO107" s="457"/>
      <c r="AP107" s="457"/>
      <c r="AQ107" s="458"/>
      <c r="AR107" s="37" t="s">
        <v>28</v>
      </c>
      <c r="AS107" s="37" t="s">
        <v>28</v>
      </c>
      <c r="AT107" s="37" t="s">
        <v>27</v>
      </c>
      <c r="AU107" s="303" t="s">
        <v>197</v>
      </c>
      <c r="AV107" s="304"/>
      <c r="AW107" s="304"/>
      <c r="AX107" s="305"/>
      <c r="AY107" s="303" t="s">
        <v>167</v>
      </c>
      <c r="AZ107" s="304"/>
      <c r="BA107" s="304"/>
      <c r="BB107" s="305"/>
      <c r="BC107" s="293" t="s">
        <v>208</v>
      </c>
      <c r="BD107" s="161"/>
      <c r="BE107" s="161"/>
      <c r="BF107" s="161"/>
      <c r="BG107" s="161"/>
      <c r="BH107" s="161"/>
      <c r="BI107" s="161"/>
      <c r="BJ107" s="162"/>
      <c r="BK107" s="21"/>
    </row>
    <row r="108" spans="1:63" x14ac:dyDescent="0.25">
      <c r="A108" s="20"/>
      <c r="B108" s="303">
        <v>9</v>
      </c>
      <c r="C108" s="305"/>
      <c r="D108" s="396" t="s">
        <v>69</v>
      </c>
      <c r="E108" s="397"/>
      <c r="F108" s="397"/>
      <c r="G108" s="397"/>
      <c r="H108" s="397"/>
      <c r="I108" s="397"/>
      <c r="J108" s="398"/>
      <c r="K108" s="160" t="s">
        <v>26</v>
      </c>
      <c r="L108" s="161"/>
      <c r="M108" s="162"/>
      <c r="N108" s="37" t="s">
        <v>29</v>
      </c>
      <c r="O108" s="37" t="s">
        <v>28</v>
      </c>
      <c r="P108" s="197" t="s">
        <v>29</v>
      </c>
      <c r="Q108" s="176"/>
      <c r="R108" s="176"/>
      <c r="S108" s="177"/>
      <c r="T108" s="197" t="s">
        <v>29</v>
      </c>
      <c r="U108" s="176"/>
      <c r="V108" s="176"/>
      <c r="W108" s="177"/>
      <c r="X108" s="310" t="s">
        <v>125</v>
      </c>
      <c r="Y108" s="457"/>
      <c r="Z108" s="458"/>
      <c r="AA108" s="396" t="s">
        <v>29</v>
      </c>
      <c r="AB108" s="397"/>
      <c r="AC108" s="397"/>
      <c r="AD108" s="397"/>
      <c r="AE108" s="397"/>
      <c r="AF108" s="397"/>
      <c r="AG108" s="397"/>
      <c r="AH108" s="398"/>
      <c r="AI108" s="459" t="s">
        <v>29</v>
      </c>
      <c r="AJ108" s="457"/>
      <c r="AK108" s="457"/>
      <c r="AL108" s="457"/>
      <c r="AM108" s="457"/>
      <c r="AN108" s="457"/>
      <c r="AO108" s="457"/>
      <c r="AP108" s="457"/>
      <c r="AQ108" s="458"/>
      <c r="AR108" s="37" t="s">
        <v>27</v>
      </c>
      <c r="AS108" s="37" t="s">
        <v>27</v>
      </c>
      <c r="AT108" s="37" t="s">
        <v>27</v>
      </c>
      <c r="AU108" s="303" t="s">
        <v>29</v>
      </c>
      <c r="AV108" s="304"/>
      <c r="AW108" s="304"/>
      <c r="AX108" s="305"/>
      <c r="AY108" s="303" t="s">
        <v>29</v>
      </c>
      <c r="AZ108" s="304"/>
      <c r="BA108" s="304"/>
      <c r="BB108" s="305"/>
      <c r="BC108" s="460"/>
      <c r="BD108" s="161"/>
      <c r="BE108" s="161"/>
      <c r="BF108" s="161"/>
      <c r="BG108" s="161"/>
      <c r="BH108" s="161"/>
      <c r="BI108" s="161"/>
      <c r="BJ108" s="162"/>
      <c r="BK108" s="21"/>
    </row>
    <row r="109" spans="1:63" ht="148.5" customHeight="1" x14ac:dyDescent="0.25">
      <c r="A109" s="20"/>
      <c r="B109" s="303">
        <v>10</v>
      </c>
      <c r="C109" s="305"/>
      <c r="D109" s="396" t="s">
        <v>43</v>
      </c>
      <c r="E109" s="397"/>
      <c r="F109" s="397"/>
      <c r="G109" s="397"/>
      <c r="H109" s="397"/>
      <c r="I109" s="397"/>
      <c r="J109" s="398"/>
      <c r="K109" s="160" t="s">
        <v>75</v>
      </c>
      <c r="L109" s="161"/>
      <c r="M109" s="162"/>
      <c r="N109" s="37" t="s">
        <v>17</v>
      </c>
      <c r="O109" s="37" t="s">
        <v>27</v>
      </c>
      <c r="P109" s="197" t="s">
        <v>164</v>
      </c>
      <c r="Q109" s="176"/>
      <c r="R109" s="176"/>
      <c r="S109" s="177"/>
      <c r="T109" s="178" t="s">
        <v>168</v>
      </c>
      <c r="U109" s="300"/>
      <c r="V109" s="300"/>
      <c r="W109" s="301"/>
      <c r="X109" s="474" t="s">
        <v>388</v>
      </c>
      <c r="Y109" s="475"/>
      <c r="Z109" s="476"/>
      <c r="AA109" s="293" t="s">
        <v>389</v>
      </c>
      <c r="AB109" s="161"/>
      <c r="AC109" s="161"/>
      <c r="AD109" s="161"/>
      <c r="AE109" s="161"/>
      <c r="AF109" s="161"/>
      <c r="AG109" s="161"/>
      <c r="AH109" s="162"/>
      <c r="AI109" s="459" t="s">
        <v>76</v>
      </c>
      <c r="AJ109" s="457"/>
      <c r="AK109" s="457"/>
      <c r="AL109" s="457"/>
      <c r="AM109" s="457"/>
      <c r="AN109" s="457"/>
      <c r="AO109" s="457"/>
      <c r="AP109" s="457"/>
      <c r="AQ109" s="458"/>
      <c r="AR109" s="37" t="s">
        <v>28</v>
      </c>
      <c r="AS109" s="37" t="s">
        <v>28</v>
      </c>
      <c r="AT109" s="37" t="s">
        <v>27</v>
      </c>
      <c r="AU109" s="303" t="s">
        <v>197</v>
      </c>
      <c r="AV109" s="304"/>
      <c r="AW109" s="304"/>
      <c r="AX109" s="305"/>
      <c r="AY109" s="459" t="s">
        <v>168</v>
      </c>
      <c r="AZ109" s="457"/>
      <c r="BA109" s="457"/>
      <c r="BB109" s="458"/>
      <c r="BC109" s="293" t="s">
        <v>206</v>
      </c>
      <c r="BD109" s="161"/>
      <c r="BE109" s="161"/>
      <c r="BF109" s="161"/>
      <c r="BG109" s="161"/>
      <c r="BH109" s="161"/>
      <c r="BI109" s="161"/>
      <c r="BJ109" s="162"/>
      <c r="BK109" s="21"/>
    </row>
    <row r="110" spans="1:63" x14ac:dyDescent="0.25">
      <c r="A110" s="20"/>
      <c r="B110" s="303">
        <v>11</v>
      </c>
      <c r="C110" s="305"/>
      <c r="D110" s="396" t="s">
        <v>70</v>
      </c>
      <c r="E110" s="397"/>
      <c r="F110" s="397"/>
      <c r="G110" s="397"/>
      <c r="H110" s="397"/>
      <c r="I110" s="397"/>
      <c r="J110" s="398"/>
      <c r="K110" s="160" t="s">
        <v>26</v>
      </c>
      <c r="L110" s="161"/>
      <c r="M110" s="162"/>
      <c r="N110" s="37" t="s">
        <v>29</v>
      </c>
      <c r="O110" s="37" t="s">
        <v>28</v>
      </c>
      <c r="P110" s="197" t="s">
        <v>29</v>
      </c>
      <c r="Q110" s="176"/>
      <c r="R110" s="176"/>
      <c r="S110" s="177"/>
      <c r="T110" s="197" t="s">
        <v>29</v>
      </c>
      <c r="U110" s="176"/>
      <c r="V110" s="176"/>
      <c r="W110" s="177"/>
      <c r="X110" s="405" t="s">
        <v>352</v>
      </c>
      <c r="Y110" s="336"/>
      <c r="Z110" s="337"/>
      <c r="AA110" s="396" t="s">
        <v>29</v>
      </c>
      <c r="AB110" s="397"/>
      <c r="AC110" s="397"/>
      <c r="AD110" s="397"/>
      <c r="AE110" s="397"/>
      <c r="AF110" s="397"/>
      <c r="AG110" s="397"/>
      <c r="AH110" s="398"/>
      <c r="AI110" s="459" t="s">
        <v>29</v>
      </c>
      <c r="AJ110" s="457"/>
      <c r="AK110" s="457"/>
      <c r="AL110" s="457"/>
      <c r="AM110" s="457"/>
      <c r="AN110" s="457"/>
      <c r="AO110" s="457"/>
      <c r="AP110" s="457"/>
      <c r="AQ110" s="458"/>
      <c r="AR110" s="37" t="s">
        <v>27</v>
      </c>
      <c r="AS110" s="37" t="s">
        <v>27</v>
      </c>
      <c r="AT110" s="37" t="s">
        <v>27</v>
      </c>
      <c r="AU110" s="303" t="s">
        <v>29</v>
      </c>
      <c r="AV110" s="304"/>
      <c r="AW110" s="304"/>
      <c r="AX110" s="305"/>
      <c r="AY110" s="303" t="s">
        <v>29</v>
      </c>
      <c r="AZ110" s="304"/>
      <c r="BA110" s="304"/>
      <c r="BB110" s="305"/>
      <c r="BC110" s="460"/>
      <c r="BD110" s="161"/>
      <c r="BE110" s="161"/>
      <c r="BF110" s="161"/>
      <c r="BG110" s="161"/>
      <c r="BH110" s="161"/>
      <c r="BI110" s="161"/>
      <c r="BJ110" s="162"/>
      <c r="BK110" s="21"/>
    </row>
    <row r="111" spans="1:63" ht="63.75" customHeight="1" x14ac:dyDescent="0.25">
      <c r="A111" s="20"/>
      <c r="B111" s="303">
        <v>12</v>
      </c>
      <c r="C111" s="305"/>
      <c r="D111" s="396" t="s">
        <v>44</v>
      </c>
      <c r="E111" s="397"/>
      <c r="F111" s="397"/>
      <c r="G111" s="397"/>
      <c r="H111" s="397"/>
      <c r="I111" s="397"/>
      <c r="J111" s="398"/>
      <c r="K111" s="160" t="s">
        <v>75</v>
      </c>
      <c r="L111" s="161"/>
      <c r="M111" s="162"/>
      <c r="N111" s="37" t="s">
        <v>17</v>
      </c>
      <c r="O111" s="37" t="s">
        <v>27</v>
      </c>
      <c r="P111" s="197" t="s">
        <v>164</v>
      </c>
      <c r="Q111" s="176"/>
      <c r="R111" s="176"/>
      <c r="S111" s="177"/>
      <c r="T111" s="178" t="s">
        <v>170</v>
      </c>
      <c r="U111" s="300"/>
      <c r="V111" s="300"/>
      <c r="W111" s="301"/>
      <c r="X111" s="466" t="s">
        <v>203</v>
      </c>
      <c r="Y111" s="472"/>
      <c r="Z111" s="473"/>
      <c r="AA111" s="293" t="s">
        <v>390</v>
      </c>
      <c r="AB111" s="161"/>
      <c r="AC111" s="161"/>
      <c r="AD111" s="161"/>
      <c r="AE111" s="161"/>
      <c r="AF111" s="161"/>
      <c r="AG111" s="161"/>
      <c r="AH111" s="162"/>
      <c r="AI111" s="459" t="s">
        <v>76</v>
      </c>
      <c r="AJ111" s="457"/>
      <c r="AK111" s="457"/>
      <c r="AL111" s="457"/>
      <c r="AM111" s="457"/>
      <c r="AN111" s="457"/>
      <c r="AO111" s="457"/>
      <c r="AP111" s="457"/>
      <c r="AQ111" s="458"/>
      <c r="AR111" s="37" t="s">
        <v>28</v>
      </c>
      <c r="AS111" s="37" t="s">
        <v>28</v>
      </c>
      <c r="AT111" s="37" t="s">
        <v>27</v>
      </c>
      <c r="AU111" s="303" t="s">
        <v>197</v>
      </c>
      <c r="AV111" s="304"/>
      <c r="AW111" s="304"/>
      <c r="AX111" s="305"/>
      <c r="AY111" s="459" t="s">
        <v>170</v>
      </c>
      <c r="AZ111" s="457"/>
      <c r="BA111" s="457"/>
      <c r="BB111" s="458"/>
      <c r="BC111" s="293" t="s">
        <v>208</v>
      </c>
      <c r="BD111" s="161"/>
      <c r="BE111" s="161"/>
      <c r="BF111" s="161"/>
      <c r="BG111" s="161"/>
      <c r="BH111" s="161"/>
      <c r="BI111" s="161"/>
      <c r="BJ111" s="162"/>
      <c r="BK111" s="21"/>
    </row>
    <row r="112" spans="1:63" x14ac:dyDescent="0.25">
      <c r="A112" s="20"/>
      <c r="B112" s="303">
        <v>13</v>
      </c>
      <c r="C112" s="305"/>
      <c r="D112" s="396" t="s">
        <v>71</v>
      </c>
      <c r="E112" s="397"/>
      <c r="F112" s="397"/>
      <c r="G112" s="397"/>
      <c r="H112" s="397"/>
      <c r="I112" s="397"/>
      <c r="J112" s="398"/>
      <c r="K112" s="160" t="s">
        <v>26</v>
      </c>
      <c r="L112" s="161"/>
      <c r="M112" s="162"/>
      <c r="N112" s="37" t="s">
        <v>29</v>
      </c>
      <c r="O112" s="37" t="s">
        <v>28</v>
      </c>
      <c r="P112" s="197" t="s">
        <v>29</v>
      </c>
      <c r="Q112" s="176"/>
      <c r="R112" s="176"/>
      <c r="S112" s="177"/>
      <c r="T112" s="197" t="s">
        <v>29</v>
      </c>
      <c r="U112" s="176"/>
      <c r="V112" s="176"/>
      <c r="W112" s="177"/>
      <c r="X112" s="310" t="s">
        <v>128</v>
      </c>
      <c r="Y112" s="457"/>
      <c r="Z112" s="458"/>
      <c r="AA112" s="396" t="s">
        <v>29</v>
      </c>
      <c r="AB112" s="397"/>
      <c r="AC112" s="397"/>
      <c r="AD112" s="397"/>
      <c r="AE112" s="397"/>
      <c r="AF112" s="397"/>
      <c r="AG112" s="397"/>
      <c r="AH112" s="398"/>
      <c r="AI112" s="459" t="s">
        <v>29</v>
      </c>
      <c r="AJ112" s="457"/>
      <c r="AK112" s="457"/>
      <c r="AL112" s="457"/>
      <c r="AM112" s="457"/>
      <c r="AN112" s="457"/>
      <c r="AO112" s="457"/>
      <c r="AP112" s="457"/>
      <c r="AQ112" s="458"/>
      <c r="AR112" s="37" t="s">
        <v>27</v>
      </c>
      <c r="AS112" s="37" t="s">
        <v>27</v>
      </c>
      <c r="AT112" s="37" t="s">
        <v>27</v>
      </c>
      <c r="AU112" s="303" t="s">
        <v>29</v>
      </c>
      <c r="AV112" s="304"/>
      <c r="AW112" s="304"/>
      <c r="AX112" s="305"/>
      <c r="AY112" s="303" t="s">
        <v>29</v>
      </c>
      <c r="AZ112" s="304"/>
      <c r="BA112" s="304"/>
      <c r="BB112" s="305"/>
      <c r="BC112" s="460"/>
      <c r="BD112" s="161"/>
      <c r="BE112" s="161"/>
      <c r="BF112" s="161"/>
      <c r="BG112" s="161"/>
      <c r="BH112" s="161"/>
      <c r="BI112" s="161"/>
      <c r="BJ112" s="162"/>
      <c r="BK112" s="21"/>
    </row>
    <row r="113" spans="1:63" ht="63" customHeight="1" x14ac:dyDescent="0.25">
      <c r="A113" s="20"/>
      <c r="B113" s="303">
        <v>14</v>
      </c>
      <c r="C113" s="305"/>
      <c r="D113" s="396" t="s">
        <v>127</v>
      </c>
      <c r="E113" s="397"/>
      <c r="F113" s="397"/>
      <c r="G113" s="397"/>
      <c r="H113" s="397"/>
      <c r="I113" s="397"/>
      <c r="J113" s="398"/>
      <c r="K113" s="160" t="s">
        <v>75</v>
      </c>
      <c r="L113" s="161"/>
      <c r="M113" s="162"/>
      <c r="N113" s="37" t="s">
        <v>17</v>
      </c>
      <c r="O113" s="37" t="s">
        <v>27</v>
      </c>
      <c r="P113" s="197" t="s">
        <v>164</v>
      </c>
      <c r="Q113" s="176"/>
      <c r="R113" s="176"/>
      <c r="S113" s="177"/>
      <c r="T113" s="178" t="s">
        <v>169</v>
      </c>
      <c r="U113" s="300"/>
      <c r="V113" s="300"/>
      <c r="W113" s="301"/>
      <c r="X113" s="466" t="s">
        <v>204</v>
      </c>
      <c r="Y113" s="472"/>
      <c r="Z113" s="473"/>
      <c r="AA113" s="293" t="s">
        <v>391</v>
      </c>
      <c r="AB113" s="161"/>
      <c r="AC113" s="161"/>
      <c r="AD113" s="161"/>
      <c r="AE113" s="161"/>
      <c r="AF113" s="161"/>
      <c r="AG113" s="161"/>
      <c r="AH113" s="162"/>
      <c r="AI113" s="459" t="s">
        <v>76</v>
      </c>
      <c r="AJ113" s="457"/>
      <c r="AK113" s="457"/>
      <c r="AL113" s="457"/>
      <c r="AM113" s="457"/>
      <c r="AN113" s="457"/>
      <c r="AO113" s="457"/>
      <c r="AP113" s="457"/>
      <c r="AQ113" s="458"/>
      <c r="AR113" s="37" t="s">
        <v>28</v>
      </c>
      <c r="AS113" s="37" t="s">
        <v>28</v>
      </c>
      <c r="AT113" s="37" t="s">
        <v>27</v>
      </c>
      <c r="AU113" s="303" t="s">
        <v>197</v>
      </c>
      <c r="AV113" s="304"/>
      <c r="AW113" s="304"/>
      <c r="AX113" s="305"/>
      <c r="AY113" s="459" t="s">
        <v>169</v>
      </c>
      <c r="AZ113" s="457"/>
      <c r="BA113" s="457"/>
      <c r="BB113" s="458"/>
      <c r="BC113" s="293" t="s">
        <v>208</v>
      </c>
      <c r="BD113" s="161"/>
      <c r="BE113" s="161"/>
      <c r="BF113" s="161"/>
      <c r="BG113" s="161"/>
      <c r="BH113" s="161"/>
      <c r="BI113" s="161"/>
      <c r="BJ113" s="162"/>
      <c r="BK113" s="21"/>
    </row>
    <row r="114" spans="1:63" x14ac:dyDescent="0.25">
      <c r="A114" s="20"/>
      <c r="B114" s="303">
        <v>15</v>
      </c>
      <c r="C114" s="305"/>
      <c r="D114" s="396" t="s">
        <v>130</v>
      </c>
      <c r="E114" s="397"/>
      <c r="F114" s="397"/>
      <c r="G114" s="397"/>
      <c r="H114" s="397"/>
      <c r="I114" s="397"/>
      <c r="J114" s="398"/>
      <c r="K114" s="160" t="s">
        <v>26</v>
      </c>
      <c r="L114" s="161"/>
      <c r="M114" s="162"/>
      <c r="N114" s="37" t="s">
        <v>29</v>
      </c>
      <c r="O114" s="37" t="s">
        <v>28</v>
      </c>
      <c r="P114" s="197" t="s">
        <v>29</v>
      </c>
      <c r="Q114" s="176"/>
      <c r="R114" s="176"/>
      <c r="S114" s="177"/>
      <c r="T114" s="197" t="s">
        <v>29</v>
      </c>
      <c r="U114" s="176"/>
      <c r="V114" s="176"/>
      <c r="W114" s="177"/>
      <c r="X114" s="310" t="s">
        <v>129</v>
      </c>
      <c r="Y114" s="457"/>
      <c r="Z114" s="458"/>
      <c r="AA114" s="396" t="s">
        <v>29</v>
      </c>
      <c r="AB114" s="397"/>
      <c r="AC114" s="397"/>
      <c r="AD114" s="397"/>
      <c r="AE114" s="397"/>
      <c r="AF114" s="397"/>
      <c r="AG114" s="397"/>
      <c r="AH114" s="398"/>
      <c r="AI114" s="459" t="s">
        <v>29</v>
      </c>
      <c r="AJ114" s="457"/>
      <c r="AK114" s="457"/>
      <c r="AL114" s="457"/>
      <c r="AM114" s="457"/>
      <c r="AN114" s="457"/>
      <c r="AO114" s="457"/>
      <c r="AP114" s="457"/>
      <c r="AQ114" s="458"/>
      <c r="AR114" s="37" t="s">
        <v>27</v>
      </c>
      <c r="AS114" s="37" t="s">
        <v>27</v>
      </c>
      <c r="AT114" s="37" t="s">
        <v>27</v>
      </c>
      <c r="AU114" s="303" t="s">
        <v>29</v>
      </c>
      <c r="AV114" s="304"/>
      <c r="AW114" s="304"/>
      <c r="AX114" s="305"/>
      <c r="AY114" s="303" t="s">
        <v>29</v>
      </c>
      <c r="AZ114" s="304"/>
      <c r="BA114" s="304"/>
      <c r="BB114" s="305"/>
      <c r="BC114" s="460"/>
      <c r="BD114" s="161"/>
      <c r="BE114" s="161"/>
      <c r="BF114" s="161"/>
      <c r="BG114" s="161"/>
      <c r="BH114" s="161"/>
      <c r="BI114" s="161"/>
      <c r="BJ114" s="162"/>
      <c r="BK114" s="21"/>
    </row>
    <row r="115" spans="1:63" ht="157.5" customHeight="1" x14ac:dyDescent="0.25">
      <c r="A115" s="20"/>
      <c r="B115" s="303">
        <v>16</v>
      </c>
      <c r="C115" s="305"/>
      <c r="D115" s="396" t="s">
        <v>46</v>
      </c>
      <c r="E115" s="397"/>
      <c r="F115" s="397"/>
      <c r="G115" s="397"/>
      <c r="H115" s="397"/>
      <c r="I115" s="397"/>
      <c r="J115" s="398"/>
      <c r="K115" s="160" t="s">
        <v>75</v>
      </c>
      <c r="L115" s="161"/>
      <c r="M115" s="162"/>
      <c r="N115" s="37" t="s">
        <v>17</v>
      </c>
      <c r="O115" s="37" t="s">
        <v>27</v>
      </c>
      <c r="P115" s="197" t="s">
        <v>164</v>
      </c>
      <c r="Q115" s="176"/>
      <c r="R115" s="176"/>
      <c r="S115" s="177"/>
      <c r="T115" s="178" t="s">
        <v>171</v>
      </c>
      <c r="U115" s="300"/>
      <c r="V115" s="300"/>
      <c r="W115" s="301"/>
      <c r="X115" s="466" t="s">
        <v>392</v>
      </c>
      <c r="Y115" s="472"/>
      <c r="Z115" s="473"/>
      <c r="AA115" s="293" t="s">
        <v>393</v>
      </c>
      <c r="AB115" s="161"/>
      <c r="AC115" s="161"/>
      <c r="AD115" s="161"/>
      <c r="AE115" s="161"/>
      <c r="AF115" s="161"/>
      <c r="AG115" s="161"/>
      <c r="AH115" s="162"/>
      <c r="AI115" s="459" t="s">
        <v>76</v>
      </c>
      <c r="AJ115" s="457"/>
      <c r="AK115" s="457"/>
      <c r="AL115" s="457"/>
      <c r="AM115" s="457"/>
      <c r="AN115" s="457"/>
      <c r="AO115" s="457"/>
      <c r="AP115" s="457"/>
      <c r="AQ115" s="458"/>
      <c r="AR115" s="37" t="s">
        <v>28</v>
      </c>
      <c r="AS115" s="37" t="s">
        <v>28</v>
      </c>
      <c r="AT115" s="37" t="s">
        <v>27</v>
      </c>
      <c r="AU115" s="303" t="s">
        <v>197</v>
      </c>
      <c r="AV115" s="304"/>
      <c r="AW115" s="304"/>
      <c r="AX115" s="305"/>
      <c r="AY115" s="459" t="s">
        <v>171</v>
      </c>
      <c r="AZ115" s="457"/>
      <c r="BA115" s="457"/>
      <c r="BB115" s="458"/>
      <c r="BC115" s="293" t="s">
        <v>207</v>
      </c>
      <c r="BD115" s="161"/>
      <c r="BE115" s="161"/>
      <c r="BF115" s="161"/>
      <c r="BG115" s="161"/>
      <c r="BH115" s="161"/>
      <c r="BI115" s="161"/>
      <c r="BJ115" s="162"/>
      <c r="BK115" s="21"/>
    </row>
    <row r="116" spans="1:63" x14ac:dyDescent="0.25">
      <c r="A116" s="20"/>
      <c r="B116" s="303">
        <v>17</v>
      </c>
      <c r="C116" s="305"/>
      <c r="D116" s="396" t="s">
        <v>131</v>
      </c>
      <c r="E116" s="397"/>
      <c r="F116" s="397"/>
      <c r="G116" s="397"/>
      <c r="H116" s="397"/>
      <c r="I116" s="397"/>
      <c r="J116" s="398"/>
      <c r="K116" s="160" t="s">
        <v>26</v>
      </c>
      <c r="L116" s="161"/>
      <c r="M116" s="162"/>
      <c r="N116" s="37" t="s">
        <v>29</v>
      </c>
      <c r="O116" s="37" t="s">
        <v>28</v>
      </c>
      <c r="P116" s="197" t="s">
        <v>29</v>
      </c>
      <c r="Q116" s="176"/>
      <c r="R116" s="176"/>
      <c r="S116" s="177"/>
      <c r="T116" s="197" t="s">
        <v>29</v>
      </c>
      <c r="U116" s="176"/>
      <c r="V116" s="176"/>
      <c r="W116" s="177"/>
      <c r="X116" s="310" t="s">
        <v>56</v>
      </c>
      <c r="Y116" s="457"/>
      <c r="Z116" s="458"/>
      <c r="AA116" s="396" t="s">
        <v>29</v>
      </c>
      <c r="AB116" s="161"/>
      <c r="AC116" s="161"/>
      <c r="AD116" s="161"/>
      <c r="AE116" s="161"/>
      <c r="AF116" s="161"/>
      <c r="AG116" s="161"/>
      <c r="AH116" s="162"/>
      <c r="AI116" s="466" t="s">
        <v>29</v>
      </c>
      <c r="AJ116" s="457"/>
      <c r="AK116" s="457"/>
      <c r="AL116" s="457"/>
      <c r="AM116" s="457"/>
      <c r="AN116" s="457"/>
      <c r="AO116" s="457"/>
      <c r="AP116" s="457"/>
      <c r="AQ116" s="458"/>
      <c r="AR116" s="37" t="s">
        <v>27</v>
      </c>
      <c r="AS116" s="37" t="s">
        <v>27</v>
      </c>
      <c r="AT116" s="37" t="s">
        <v>27</v>
      </c>
      <c r="AU116" s="303" t="s">
        <v>29</v>
      </c>
      <c r="AV116" s="304"/>
      <c r="AW116" s="304"/>
      <c r="AX116" s="305"/>
      <c r="AY116" s="303" t="s">
        <v>29</v>
      </c>
      <c r="AZ116" s="304"/>
      <c r="BA116" s="304"/>
      <c r="BB116" s="305"/>
      <c r="BC116" s="460"/>
      <c r="BD116" s="161"/>
      <c r="BE116" s="161"/>
      <c r="BF116" s="161"/>
      <c r="BG116" s="161"/>
      <c r="BH116" s="161"/>
      <c r="BI116" s="161"/>
      <c r="BJ116" s="162"/>
      <c r="BK116" s="21"/>
    </row>
    <row r="117" spans="1:63" ht="63.75" customHeight="1" x14ac:dyDescent="0.25">
      <c r="A117" s="20"/>
      <c r="B117" s="303">
        <v>18</v>
      </c>
      <c r="C117" s="305"/>
      <c r="D117" s="396" t="s">
        <v>48</v>
      </c>
      <c r="E117" s="397"/>
      <c r="F117" s="397"/>
      <c r="G117" s="397"/>
      <c r="H117" s="397"/>
      <c r="I117" s="397"/>
      <c r="J117" s="398"/>
      <c r="K117" s="160" t="s">
        <v>107</v>
      </c>
      <c r="L117" s="161"/>
      <c r="M117" s="162"/>
      <c r="N117" s="37" t="s">
        <v>17</v>
      </c>
      <c r="O117" s="37" t="s">
        <v>27</v>
      </c>
      <c r="P117" s="197" t="s">
        <v>164</v>
      </c>
      <c r="Q117" s="176"/>
      <c r="R117" s="176"/>
      <c r="S117" s="177"/>
      <c r="T117" s="197" t="s">
        <v>172</v>
      </c>
      <c r="U117" s="176"/>
      <c r="V117" s="176"/>
      <c r="W117" s="177"/>
      <c r="X117" s="310" t="s">
        <v>29</v>
      </c>
      <c r="Y117" s="457"/>
      <c r="Z117" s="458"/>
      <c r="AA117" s="166" t="s">
        <v>353</v>
      </c>
      <c r="AB117" s="167"/>
      <c r="AC117" s="167"/>
      <c r="AD117" s="167"/>
      <c r="AE117" s="167"/>
      <c r="AF117" s="167"/>
      <c r="AG117" s="167"/>
      <c r="AH117" s="168"/>
      <c r="AI117" s="468" t="s">
        <v>76</v>
      </c>
      <c r="AJ117" s="457"/>
      <c r="AK117" s="457"/>
      <c r="AL117" s="457"/>
      <c r="AM117" s="457"/>
      <c r="AN117" s="457"/>
      <c r="AO117" s="457"/>
      <c r="AP117" s="457"/>
      <c r="AQ117" s="458"/>
      <c r="AR117" s="37" t="s">
        <v>27</v>
      </c>
      <c r="AS117" s="37" t="s">
        <v>28</v>
      </c>
      <c r="AT117" s="37" t="s">
        <v>28</v>
      </c>
      <c r="AU117" s="303" t="s">
        <v>197</v>
      </c>
      <c r="AV117" s="304"/>
      <c r="AW117" s="304"/>
      <c r="AX117" s="305"/>
      <c r="AY117" s="303" t="s">
        <v>172</v>
      </c>
      <c r="AZ117" s="304"/>
      <c r="BA117" s="304"/>
      <c r="BB117" s="305"/>
      <c r="BC117" s="293" t="s">
        <v>354</v>
      </c>
      <c r="BD117" s="161"/>
      <c r="BE117" s="161"/>
      <c r="BF117" s="161"/>
      <c r="BG117" s="161"/>
      <c r="BH117" s="161"/>
      <c r="BI117" s="161"/>
      <c r="BJ117" s="162"/>
      <c r="BK117" s="21"/>
    </row>
    <row r="118" spans="1:63" x14ac:dyDescent="0.25">
      <c r="A118" s="20"/>
      <c r="B118" s="303">
        <v>19</v>
      </c>
      <c r="C118" s="305"/>
      <c r="D118" s="396" t="s">
        <v>132</v>
      </c>
      <c r="E118" s="397"/>
      <c r="F118" s="397"/>
      <c r="G118" s="397"/>
      <c r="H118" s="397"/>
      <c r="I118" s="397"/>
      <c r="J118" s="398"/>
      <c r="K118" s="160" t="s">
        <v>26</v>
      </c>
      <c r="L118" s="161"/>
      <c r="M118" s="162"/>
      <c r="N118" s="37" t="s">
        <v>29</v>
      </c>
      <c r="O118" s="37" t="s">
        <v>28</v>
      </c>
      <c r="P118" s="197" t="s">
        <v>29</v>
      </c>
      <c r="Q118" s="176"/>
      <c r="R118" s="176"/>
      <c r="S118" s="177"/>
      <c r="T118" s="197" t="s">
        <v>29</v>
      </c>
      <c r="U118" s="176"/>
      <c r="V118" s="176"/>
      <c r="W118" s="177"/>
      <c r="X118" s="310" t="s">
        <v>57</v>
      </c>
      <c r="Y118" s="457"/>
      <c r="Z118" s="458"/>
      <c r="AA118" s="396" t="s">
        <v>29</v>
      </c>
      <c r="AB118" s="161"/>
      <c r="AC118" s="161"/>
      <c r="AD118" s="161"/>
      <c r="AE118" s="161"/>
      <c r="AF118" s="161"/>
      <c r="AG118" s="161"/>
      <c r="AH118" s="162"/>
      <c r="AI118" s="466" t="s">
        <v>29</v>
      </c>
      <c r="AJ118" s="457"/>
      <c r="AK118" s="457"/>
      <c r="AL118" s="457"/>
      <c r="AM118" s="457"/>
      <c r="AN118" s="457"/>
      <c r="AO118" s="457"/>
      <c r="AP118" s="457"/>
      <c r="AQ118" s="458"/>
      <c r="AR118" s="37" t="s">
        <v>27</v>
      </c>
      <c r="AS118" s="37" t="s">
        <v>27</v>
      </c>
      <c r="AT118" s="37" t="s">
        <v>27</v>
      </c>
      <c r="AU118" s="303" t="s">
        <v>29</v>
      </c>
      <c r="AV118" s="304"/>
      <c r="AW118" s="304"/>
      <c r="AX118" s="305"/>
      <c r="AY118" s="303" t="s">
        <v>29</v>
      </c>
      <c r="AZ118" s="304"/>
      <c r="BA118" s="304"/>
      <c r="BB118" s="305"/>
      <c r="BC118" s="460"/>
      <c r="BD118" s="161"/>
      <c r="BE118" s="161"/>
      <c r="BF118" s="161"/>
      <c r="BG118" s="161"/>
      <c r="BH118" s="161"/>
      <c r="BI118" s="161"/>
      <c r="BJ118" s="162"/>
      <c r="BK118" s="21"/>
    </row>
    <row r="119" spans="1:63" ht="63" customHeight="1" x14ac:dyDescent="0.25">
      <c r="A119" s="20"/>
      <c r="B119" s="303">
        <v>20</v>
      </c>
      <c r="C119" s="305"/>
      <c r="D119" s="396" t="s">
        <v>50</v>
      </c>
      <c r="E119" s="397"/>
      <c r="F119" s="397"/>
      <c r="G119" s="397"/>
      <c r="H119" s="397"/>
      <c r="I119" s="397"/>
      <c r="J119" s="398"/>
      <c r="K119" s="160" t="s">
        <v>107</v>
      </c>
      <c r="L119" s="161"/>
      <c r="M119" s="162"/>
      <c r="N119" s="37" t="s">
        <v>17</v>
      </c>
      <c r="O119" s="37" t="s">
        <v>27</v>
      </c>
      <c r="P119" s="197" t="s">
        <v>164</v>
      </c>
      <c r="Q119" s="176"/>
      <c r="R119" s="176"/>
      <c r="S119" s="177"/>
      <c r="T119" s="197" t="s">
        <v>173</v>
      </c>
      <c r="U119" s="176"/>
      <c r="V119" s="176"/>
      <c r="W119" s="177"/>
      <c r="X119" s="310" t="s">
        <v>29</v>
      </c>
      <c r="Y119" s="457"/>
      <c r="Z119" s="458"/>
      <c r="AA119" s="166" t="s">
        <v>355</v>
      </c>
      <c r="AB119" s="167"/>
      <c r="AC119" s="167"/>
      <c r="AD119" s="167"/>
      <c r="AE119" s="167"/>
      <c r="AF119" s="167"/>
      <c r="AG119" s="167"/>
      <c r="AH119" s="168"/>
      <c r="AI119" s="468" t="s">
        <v>76</v>
      </c>
      <c r="AJ119" s="457"/>
      <c r="AK119" s="457"/>
      <c r="AL119" s="457"/>
      <c r="AM119" s="457"/>
      <c r="AN119" s="457"/>
      <c r="AO119" s="457"/>
      <c r="AP119" s="457"/>
      <c r="AQ119" s="458"/>
      <c r="AR119" s="37" t="s">
        <v>27</v>
      </c>
      <c r="AS119" s="37" t="s">
        <v>28</v>
      </c>
      <c r="AT119" s="37" t="s">
        <v>28</v>
      </c>
      <c r="AU119" s="303" t="s">
        <v>197</v>
      </c>
      <c r="AV119" s="304"/>
      <c r="AW119" s="304"/>
      <c r="AX119" s="305"/>
      <c r="AY119" s="303" t="s">
        <v>173</v>
      </c>
      <c r="AZ119" s="304"/>
      <c r="BA119" s="304"/>
      <c r="BB119" s="305"/>
      <c r="BC119" s="166" t="s">
        <v>356</v>
      </c>
      <c r="BD119" s="359"/>
      <c r="BE119" s="359"/>
      <c r="BF119" s="359"/>
      <c r="BG119" s="359"/>
      <c r="BH119" s="359"/>
      <c r="BI119" s="359"/>
      <c r="BJ119" s="360"/>
      <c r="BK119" s="21"/>
    </row>
    <row r="120" spans="1:63" x14ac:dyDescent="0.25">
      <c r="A120" s="20"/>
      <c r="B120" s="303">
        <v>21</v>
      </c>
      <c r="C120" s="305"/>
      <c r="D120" s="396" t="s">
        <v>140</v>
      </c>
      <c r="E120" s="397"/>
      <c r="F120" s="397"/>
      <c r="G120" s="397"/>
      <c r="H120" s="397"/>
      <c r="I120" s="397"/>
      <c r="J120" s="398"/>
      <c r="K120" s="160" t="s">
        <v>26</v>
      </c>
      <c r="L120" s="161"/>
      <c r="M120" s="162"/>
      <c r="N120" s="37" t="s">
        <v>29</v>
      </c>
      <c r="O120" s="37" t="s">
        <v>28</v>
      </c>
      <c r="P120" s="197" t="s">
        <v>29</v>
      </c>
      <c r="Q120" s="176"/>
      <c r="R120" s="176"/>
      <c r="S120" s="177"/>
      <c r="T120" s="197" t="s">
        <v>29</v>
      </c>
      <c r="U120" s="176"/>
      <c r="V120" s="176"/>
      <c r="W120" s="177"/>
      <c r="X120" s="310" t="s">
        <v>139</v>
      </c>
      <c r="Y120" s="457"/>
      <c r="Z120" s="458"/>
      <c r="AA120" s="396" t="s">
        <v>29</v>
      </c>
      <c r="AB120" s="397"/>
      <c r="AC120" s="397"/>
      <c r="AD120" s="397"/>
      <c r="AE120" s="397"/>
      <c r="AF120" s="397"/>
      <c r="AG120" s="397"/>
      <c r="AH120" s="398"/>
      <c r="AI120" s="466" t="s">
        <v>29</v>
      </c>
      <c r="AJ120" s="457"/>
      <c r="AK120" s="457"/>
      <c r="AL120" s="457"/>
      <c r="AM120" s="457"/>
      <c r="AN120" s="457"/>
      <c r="AO120" s="457"/>
      <c r="AP120" s="457"/>
      <c r="AQ120" s="458"/>
      <c r="AR120" s="37" t="s">
        <v>27</v>
      </c>
      <c r="AS120" s="37" t="s">
        <v>27</v>
      </c>
      <c r="AT120" s="37" t="s">
        <v>27</v>
      </c>
      <c r="AU120" s="303" t="s">
        <v>29</v>
      </c>
      <c r="AV120" s="304"/>
      <c r="AW120" s="304"/>
      <c r="AX120" s="305"/>
      <c r="AY120" s="303" t="s">
        <v>29</v>
      </c>
      <c r="AZ120" s="304"/>
      <c r="BA120" s="304"/>
      <c r="BB120" s="305"/>
      <c r="BC120" s="460"/>
      <c r="BD120" s="161"/>
      <c r="BE120" s="161"/>
      <c r="BF120" s="161"/>
      <c r="BG120" s="161"/>
      <c r="BH120" s="161"/>
      <c r="BI120" s="161"/>
      <c r="BJ120" s="162"/>
      <c r="BK120" s="21"/>
    </row>
    <row r="121" spans="1:63" ht="79.5" customHeight="1" x14ac:dyDescent="0.25">
      <c r="A121" s="20"/>
      <c r="B121" s="303">
        <v>22</v>
      </c>
      <c r="C121" s="305"/>
      <c r="D121" s="396" t="s">
        <v>141</v>
      </c>
      <c r="E121" s="397"/>
      <c r="F121" s="397"/>
      <c r="G121" s="397"/>
      <c r="H121" s="397"/>
      <c r="I121" s="397"/>
      <c r="J121" s="398"/>
      <c r="K121" s="160" t="s">
        <v>142</v>
      </c>
      <c r="L121" s="161"/>
      <c r="M121" s="162"/>
      <c r="N121" s="37" t="s">
        <v>17</v>
      </c>
      <c r="O121" s="37" t="s">
        <v>27</v>
      </c>
      <c r="P121" s="197" t="s">
        <v>164</v>
      </c>
      <c r="Q121" s="176"/>
      <c r="R121" s="176"/>
      <c r="S121" s="177"/>
      <c r="T121" s="175" t="s">
        <v>174</v>
      </c>
      <c r="U121" s="464"/>
      <c r="V121" s="464"/>
      <c r="W121" s="465"/>
      <c r="X121" s="310" t="s">
        <v>29</v>
      </c>
      <c r="Y121" s="457"/>
      <c r="Z121" s="458"/>
      <c r="AA121" s="166" t="s">
        <v>357</v>
      </c>
      <c r="AB121" s="167"/>
      <c r="AC121" s="167"/>
      <c r="AD121" s="167"/>
      <c r="AE121" s="167"/>
      <c r="AF121" s="167"/>
      <c r="AG121" s="167"/>
      <c r="AH121" s="168"/>
      <c r="AI121" s="468" t="s">
        <v>76</v>
      </c>
      <c r="AJ121" s="457"/>
      <c r="AK121" s="457"/>
      <c r="AL121" s="457"/>
      <c r="AM121" s="457"/>
      <c r="AN121" s="457"/>
      <c r="AO121" s="457"/>
      <c r="AP121" s="457"/>
      <c r="AQ121" s="458"/>
      <c r="AR121" s="37" t="s">
        <v>27</v>
      </c>
      <c r="AS121" s="37" t="s">
        <v>28</v>
      </c>
      <c r="AT121" s="37" t="s">
        <v>28</v>
      </c>
      <c r="AU121" s="303" t="s">
        <v>197</v>
      </c>
      <c r="AV121" s="304"/>
      <c r="AW121" s="304"/>
      <c r="AX121" s="305"/>
      <c r="AY121" s="303" t="s">
        <v>174</v>
      </c>
      <c r="AZ121" s="304"/>
      <c r="BA121" s="304"/>
      <c r="BB121" s="305"/>
      <c r="BC121" s="460"/>
      <c r="BD121" s="161"/>
      <c r="BE121" s="161"/>
      <c r="BF121" s="161"/>
      <c r="BG121" s="161"/>
      <c r="BH121" s="161"/>
      <c r="BI121" s="161"/>
      <c r="BJ121" s="162"/>
      <c r="BK121" s="21"/>
    </row>
    <row r="122" spans="1:63" x14ac:dyDescent="0.25">
      <c r="A122" s="20"/>
      <c r="B122" s="303">
        <v>23</v>
      </c>
      <c r="C122" s="305"/>
      <c r="D122" s="396" t="s">
        <v>178</v>
      </c>
      <c r="E122" s="397"/>
      <c r="F122" s="397"/>
      <c r="G122" s="397"/>
      <c r="H122" s="397"/>
      <c r="I122" s="397"/>
      <c r="J122" s="398"/>
      <c r="K122" s="160" t="s">
        <v>26</v>
      </c>
      <c r="L122" s="161"/>
      <c r="M122" s="162"/>
      <c r="N122" s="37" t="s">
        <v>29</v>
      </c>
      <c r="O122" s="37" t="s">
        <v>28</v>
      </c>
      <c r="P122" s="197" t="s">
        <v>29</v>
      </c>
      <c r="Q122" s="176"/>
      <c r="R122" s="176"/>
      <c r="S122" s="177"/>
      <c r="T122" s="197" t="s">
        <v>29</v>
      </c>
      <c r="U122" s="176"/>
      <c r="V122" s="176"/>
      <c r="W122" s="177"/>
      <c r="X122" s="310" t="s">
        <v>138</v>
      </c>
      <c r="Y122" s="457"/>
      <c r="Z122" s="458"/>
      <c r="AA122" s="396" t="s">
        <v>29</v>
      </c>
      <c r="AB122" s="397"/>
      <c r="AC122" s="397"/>
      <c r="AD122" s="397"/>
      <c r="AE122" s="397"/>
      <c r="AF122" s="397"/>
      <c r="AG122" s="397"/>
      <c r="AH122" s="398"/>
      <c r="AI122" s="459" t="s">
        <v>29</v>
      </c>
      <c r="AJ122" s="457"/>
      <c r="AK122" s="457"/>
      <c r="AL122" s="457"/>
      <c r="AM122" s="457"/>
      <c r="AN122" s="457"/>
      <c r="AO122" s="457"/>
      <c r="AP122" s="457"/>
      <c r="AQ122" s="458"/>
      <c r="AR122" s="37" t="s">
        <v>27</v>
      </c>
      <c r="AS122" s="37" t="s">
        <v>27</v>
      </c>
      <c r="AT122" s="37" t="s">
        <v>27</v>
      </c>
      <c r="AU122" s="303" t="s">
        <v>29</v>
      </c>
      <c r="AV122" s="304"/>
      <c r="AW122" s="304"/>
      <c r="AX122" s="305"/>
      <c r="AY122" s="303" t="s">
        <v>29</v>
      </c>
      <c r="AZ122" s="304"/>
      <c r="BA122" s="304"/>
      <c r="BB122" s="305"/>
      <c r="BC122" s="460"/>
      <c r="BD122" s="161"/>
      <c r="BE122" s="161"/>
      <c r="BF122" s="161"/>
      <c r="BG122" s="161"/>
      <c r="BH122" s="161"/>
      <c r="BI122" s="161"/>
      <c r="BJ122" s="162"/>
      <c r="BK122" s="21"/>
    </row>
    <row r="123" spans="1:63" ht="37.5" customHeight="1" x14ac:dyDescent="0.25">
      <c r="A123" s="20"/>
      <c r="B123" s="303">
        <v>24</v>
      </c>
      <c r="C123" s="305"/>
      <c r="D123" s="396" t="s">
        <v>179</v>
      </c>
      <c r="E123" s="397"/>
      <c r="F123" s="397"/>
      <c r="G123" s="397"/>
      <c r="H123" s="397"/>
      <c r="I123" s="397"/>
      <c r="J123" s="398"/>
      <c r="K123" s="160" t="s">
        <v>236</v>
      </c>
      <c r="L123" s="161"/>
      <c r="M123" s="162"/>
      <c r="N123" s="37" t="s">
        <v>17</v>
      </c>
      <c r="O123" s="37" t="s">
        <v>27</v>
      </c>
      <c r="P123" s="197" t="s">
        <v>164</v>
      </c>
      <c r="Q123" s="176"/>
      <c r="R123" s="176"/>
      <c r="S123" s="177"/>
      <c r="T123" s="178" t="s">
        <v>177</v>
      </c>
      <c r="U123" s="300"/>
      <c r="V123" s="300"/>
      <c r="W123" s="301"/>
      <c r="X123" s="310" t="b">
        <v>0</v>
      </c>
      <c r="Y123" s="457"/>
      <c r="Z123" s="458"/>
      <c r="AA123" s="396" t="s">
        <v>29</v>
      </c>
      <c r="AB123" s="397"/>
      <c r="AC123" s="397"/>
      <c r="AD123" s="397"/>
      <c r="AE123" s="397"/>
      <c r="AF123" s="397"/>
      <c r="AG123" s="397"/>
      <c r="AH123" s="398"/>
      <c r="AI123" s="459" t="s">
        <v>76</v>
      </c>
      <c r="AJ123" s="457"/>
      <c r="AK123" s="457"/>
      <c r="AL123" s="457"/>
      <c r="AM123" s="457"/>
      <c r="AN123" s="457"/>
      <c r="AO123" s="457"/>
      <c r="AP123" s="457"/>
      <c r="AQ123" s="458"/>
      <c r="AR123" s="37" t="s">
        <v>27</v>
      </c>
      <c r="AS123" s="37" t="s">
        <v>27</v>
      </c>
      <c r="AT123" s="37" t="s">
        <v>27</v>
      </c>
      <c r="AU123" s="303" t="s">
        <v>197</v>
      </c>
      <c r="AV123" s="304"/>
      <c r="AW123" s="304"/>
      <c r="AX123" s="305"/>
      <c r="AY123" s="459" t="s">
        <v>177</v>
      </c>
      <c r="AZ123" s="457"/>
      <c r="BA123" s="457"/>
      <c r="BB123" s="458"/>
      <c r="BC123" s="460"/>
      <c r="BD123" s="161"/>
      <c r="BE123" s="161"/>
      <c r="BF123" s="161"/>
      <c r="BG123" s="161"/>
      <c r="BH123" s="161"/>
      <c r="BI123" s="161"/>
      <c r="BJ123" s="162"/>
      <c r="BK123" s="21"/>
    </row>
    <row r="124" spans="1:63" x14ac:dyDescent="0.25">
      <c r="A124" s="20"/>
      <c r="B124" s="303">
        <v>25</v>
      </c>
      <c r="C124" s="305"/>
      <c r="D124" s="396" t="s">
        <v>180</v>
      </c>
      <c r="E124" s="397"/>
      <c r="F124" s="397"/>
      <c r="G124" s="397"/>
      <c r="H124" s="397"/>
      <c r="I124" s="397"/>
      <c r="J124" s="398"/>
      <c r="K124" s="160" t="s">
        <v>26</v>
      </c>
      <c r="L124" s="161"/>
      <c r="M124" s="162"/>
      <c r="N124" s="37" t="s">
        <v>29</v>
      </c>
      <c r="O124" s="37" t="s">
        <v>28</v>
      </c>
      <c r="P124" s="197" t="s">
        <v>29</v>
      </c>
      <c r="Q124" s="176"/>
      <c r="R124" s="176"/>
      <c r="S124" s="177"/>
      <c r="T124" s="197" t="s">
        <v>29</v>
      </c>
      <c r="U124" s="176"/>
      <c r="V124" s="176"/>
      <c r="W124" s="177"/>
      <c r="X124" s="310" t="s">
        <v>136</v>
      </c>
      <c r="Y124" s="457"/>
      <c r="Z124" s="458"/>
      <c r="AA124" s="396" t="s">
        <v>29</v>
      </c>
      <c r="AB124" s="397"/>
      <c r="AC124" s="397"/>
      <c r="AD124" s="397"/>
      <c r="AE124" s="397"/>
      <c r="AF124" s="397"/>
      <c r="AG124" s="397"/>
      <c r="AH124" s="398"/>
      <c r="AI124" s="459" t="s">
        <v>29</v>
      </c>
      <c r="AJ124" s="457"/>
      <c r="AK124" s="457"/>
      <c r="AL124" s="457"/>
      <c r="AM124" s="457"/>
      <c r="AN124" s="457"/>
      <c r="AO124" s="457"/>
      <c r="AP124" s="457"/>
      <c r="AQ124" s="458"/>
      <c r="AR124" s="37" t="s">
        <v>27</v>
      </c>
      <c r="AS124" s="37" t="s">
        <v>27</v>
      </c>
      <c r="AT124" s="37" t="s">
        <v>27</v>
      </c>
      <c r="AU124" s="303" t="s">
        <v>29</v>
      </c>
      <c r="AV124" s="304"/>
      <c r="AW124" s="304"/>
      <c r="AX124" s="305"/>
      <c r="AY124" s="303" t="s">
        <v>29</v>
      </c>
      <c r="AZ124" s="304"/>
      <c r="BA124" s="304"/>
      <c r="BB124" s="305"/>
      <c r="BC124" s="460"/>
      <c r="BD124" s="161"/>
      <c r="BE124" s="161"/>
      <c r="BF124" s="161"/>
      <c r="BG124" s="161"/>
      <c r="BH124" s="161"/>
      <c r="BI124" s="161"/>
      <c r="BJ124" s="162"/>
      <c r="BK124" s="21"/>
    </row>
    <row r="125" spans="1:63" ht="30.75" customHeight="1" x14ac:dyDescent="0.25">
      <c r="A125" s="20"/>
      <c r="B125" s="303">
        <v>26</v>
      </c>
      <c r="C125" s="305"/>
      <c r="D125" s="396" t="s">
        <v>181</v>
      </c>
      <c r="E125" s="397"/>
      <c r="F125" s="397"/>
      <c r="G125" s="397"/>
      <c r="H125" s="397"/>
      <c r="I125" s="397"/>
      <c r="J125" s="398"/>
      <c r="K125" s="160" t="s">
        <v>236</v>
      </c>
      <c r="L125" s="161"/>
      <c r="M125" s="162"/>
      <c r="N125" s="37" t="s">
        <v>17</v>
      </c>
      <c r="O125" s="37" t="s">
        <v>27</v>
      </c>
      <c r="P125" s="197" t="s">
        <v>164</v>
      </c>
      <c r="Q125" s="176"/>
      <c r="R125" s="176"/>
      <c r="S125" s="177"/>
      <c r="T125" s="178" t="s">
        <v>175</v>
      </c>
      <c r="U125" s="300"/>
      <c r="V125" s="300"/>
      <c r="W125" s="301"/>
      <c r="X125" s="310" t="b">
        <v>0</v>
      </c>
      <c r="Y125" s="457"/>
      <c r="Z125" s="458"/>
      <c r="AA125" s="396"/>
      <c r="AB125" s="397"/>
      <c r="AC125" s="397"/>
      <c r="AD125" s="397"/>
      <c r="AE125" s="397"/>
      <c r="AF125" s="397"/>
      <c r="AG125" s="397"/>
      <c r="AH125" s="398"/>
      <c r="AI125" s="459" t="s">
        <v>76</v>
      </c>
      <c r="AJ125" s="457"/>
      <c r="AK125" s="457"/>
      <c r="AL125" s="457"/>
      <c r="AM125" s="457"/>
      <c r="AN125" s="457"/>
      <c r="AO125" s="457"/>
      <c r="AP125" s="457"/>
      <c r="AQ125" s="458"/>
      <c r="AR125" s="37" t="s">
        <v>27</v>
      </c>
      <c r="AS125" s="37" t="s">
        <v>27</v>
      </c>
      <c r="AT125" s="37" t="s">
        <v>27</v>
      </c>
      <c r="AU125" s="303" t="s">
        <v>197</v>
      </c>
      <c r="AV125" s="304"/>
      <c r="AW125" s="304"/>
      <c r="AX125" s="305"/>
      <c r="AY125" s="459" t="s">
        <v>175</v>
      </c>
      <c r="AZ125" s="457"/>
      <c r="BA125" s="457"/>
      <c r="BB125" s="458"/>
      <c r="BC125" s="460"/>
      <c r="BD125" s="161"/>
      <c r="BE125" s="161"/>
      <c r="BF125" s="161"/>
      <c r="BG125" s="161"/>
      <c r="BH125" s="161"/>
      <c r="BI125" s="161"/>
      <c r="BJ125" s="162"/>
      <c r="BK125" s="21"/>
    </row>
    <row r="126" spans="1:63" x14ac:dyDescent="0.25">
      <c r="A126" s="20"/>
      <c r="B126" s="303">
        <v>27</v>
      </c>
      <c r="C126" s="305"/>
      <c r="D126" s="396" t="s">
        <v>182</v>
      </c>
      <c r="E126" s="397"/>
      <c r="F126" s="397"/>
      <c r="G126" s="397"/>
      <c r="H126" s="397"/>
      <c r="I126" s="397"/>
      <c r="J126" s="398"/>
      <c r="K126" s="160" t="s">
        <v>26</v>
      </c>
      <c r="L126" s="161"/>
      <c r="M126" s="162"/>
      <c r="N126" s="37" t="s">
        <v>29</v>
      </c>
      <c r="O126" s="37" t="s">
        <v>28</v>
      </c>
      <c r="P126" s="197" t="s">
        <v>29</v>
      </c>
      <c r="Q126" s="176"/>
      <c r="R126" s="176"/>
      <c r="S126" s="177"/>
      <c r="T126" s="197" t="s">
        <v>29</v>
      </c>
      <c r="U126" s="176"/>
      <c r="V126" s="176"/>
      <c r="W126" s="177"/>
      <c r="X126" s="310" t="s">
        <v>137</v>
      </c>
      <c r="Y126" s="457"/>
      <c r="Z126" s="458"/>
      <c r="AA126" s="396" t="s">
        <v>29</v>
      </c>
      <c r="AB126" s="397"/>
      <c r="AC126" s="397"/>
      <c r="AD126" s="397"/>
      <c r="AE126" s="397"/>
      <c r="AF126" s="397"/>
      <c r="AG126" s="397"/>
      <c r="AH126" s="398"/>
      <c r="AI126" s="459" t="s">
        <v>29</v>
      </c>
      <c r="AJ126" s="457"/>
      <c r="AK126" s="457"/>
      <c r="AL126" s="457"/>
      <c r="AM126" s="457"/>
      <c r="AN126" s="457"/>
      <c r="AO126" s="457"/>
      <c r="AP126" s="457"/>
      <c r="AQ126" s="458"/>
      <c r="AR126" s="37" t="s">
        <v>27</v>
      </c>
      <c r="AS126" s="37" t="s">
        <v>27</v>
      </c>
      <c r="AT126" s="37" t="s">
        <v>27</v>
      </c>
      <c r="AU126" s="303" t="s">
        <v>29</v>
      </c>
      <c r="AV126" s="304"/>
      <c r="AW126" s="304"/>
      <c r="AX126" s="305"/>
      <c r="AY126" s="303" t="s">
        <v>29</v>
      </c>
      <c r="AZ126" s="304"/>
      <c r="BA126" s="304"/>
      <c r="BB126" s="305"/>
      <c r="BC126" s="460"/>
      <c r="BD126" s="161"/>
      <c r="BE126" s="161"/>
      <c r="BF126" s="161"/>
      <c r="BG126" s="161"/>
      <c r="BH126" s="161"/>
      <c r="BI126" s="161"/>
      <c r="BJ126" s="162"/>
      <c r="BK126" s="21"/>
    </row>
    <row r="127" spans="1:63" ht="39.75" customHeight="1" x14ac:dyDescent="0.25">
      <c r="A127" s="20"/>
      <c r="B127" s="303">
        <v>28</v>
      </c>
      <c r="C127" s="305"/>
      <c r="D127" s="396" t="s">
        <v>183</v>
      </c>
      <c r="E127" s="397"/>
      <c r="F127" s="397"/>
      <c r="G127" s="397"/>
      <c r="H127" s="397"/>
      <c r="I127" s="397"/>
      <c r="J127" s="398"/>
      <c r="K127" s="160" t="s">
        <v>236</v>
      </c>
      <c r="L127" s="161"/>
      <c r="M127" s="162"/>
      <c r="N127" s="37" t="s">
        <v>17</v>
      </c>
      <c r="O127" s="37" t="s">
        <v>27</v>
      </c>
      <c r="P127" s="197" t="s">
        <v>164</v>
      </c>
      <c r="Q127" s="176"/>
      <c r="R127" s="176"/>
      <c r="S127" s="177"/>
      <c r="T127" s="178" t="s">
        <v>176</v>
      </c>
      <c r="U127" s="300"/>
      <c r="V127" s="300"/>
      <c r="W127" s="301"/>
      <c r="X127" s="310" t="b">
        <v>0</v>
      </c>
      <c r="Y127" s="457"/>
      <c r="Z127" s="458"/>
      <c r="AA127" s="396" t="s">
        <v>29</v>
      </c>
      <c r="AB127" s="397"/>
      <c r="AC127" s="397"/>
      <c r="AD127" s="397"/>
      <c r="AE127" s="397"/>
      <c r="AF127" s="397"/>
      <c r="AG127" s="397"/>
      <c r="AH127" s="398"/>
      <c r="AI127" s="459" t="s">
        <v>76</v>
      </c>
      <c r="AJ127" s="457"/>
      <c r="AK127" s="457"/>
      <c r="AL127" s="457"/>
      <c r="AM127" s="457"/>
      <c r="AN127" s="457"/>
      <c r="AO127" s="457"/>
      <c r="AP127" s="457"/>
      <c r="AQ127" s="458"/>
      <c r="AR127" s="37" t="s">
        <v>27</v>
      </c>
      <c r="AS127" s="37" t="s">
        <v>27</v>
      </c>
      <c r="AT127" s="37" t="s">
        <v>27</v>
      </c>
      <c r="AU127" s="303" t="s">
        <v>197</v>
      </c>
      <c r="AV127" s="304"/>
      <c r="AW127" s="304"/>
      <c r="AX127" s="305"/>
      <c r="AY127" s="459" t="s">
        <v>176</v>
      </c>
      <c r="AZ127" s="457"/>
      <c r="BA127" s="457"/>
      <c r="BB127" s="458"/>
      <c r="BC127" s="460"/>
      <c r="BD127" s="161"/>
      <c r="BE127" s="161"/>
      <c r="BF127" s="161"/>
      <c r="BG127" s="161"/>
      <c r="BH127" s="161"/>
      <c r="BI127" s="161"/>
      <c r="BJ127" s="162"/>
      <c r="BK127" s="21"/>
    </row>
    <row r="128" spans="1:63" s="44" customFormat="1" ht="39.75" customHeight="1" x14ac:dyDescent="0.25">
      <c r="A128" s="42"/>
      <c r="B128" s="355" t="s">
        <v>358</v>
      </c>
      <c r="C128" s="357"/>
      <c r="D128" s="368" t="s">
        <v>359</v>
      </c>
      <c r="E128" s="369"/>
      <c r="F128" s="369"/>
      <c r="G128" s="369"/>
      <c r="H128" s="369"/>
      <c r="I128" s="369"/>
      <c r="J128" s="370"/>
      <c r="K128" s="364" t="s">
        <v>314</v>
      </c>
      <c r="L128" s="359"/>
      <c r="M128" s="360"/>
      <c r="N128" s="41" t="s">
        <v>291</v>
      </c>
      <c r="O128" s="41" t="s">
        <v>28</v>
      </c>
      <c r="P128" s="371" t="s">
        <v>291</v>
      </c>
      <c r="Q128" s="372"/>
      <c r="R128" s="372"/>
      <c r="S128" s="373"/>
      <c r="T128" s="371" t="s">
        <v>291</v>
      </c>
      <c r="U128" s="372"/>
      <c r="V128" s="372"/>
      <c r="W128" s="373"/>
      <c r="X128" s="405" t="s">
        <v>360</v>
      </c>
      <c r="Y128" s="336"/>
      <c r="Z128" s="337"/>
      <c r="AA128" s="368" t="s">
        <v>291</v>
      </c>
      <c r="AB128" s="369"/>
      <c r="AC128" s="369"/>
      <c r="AD128" s="369"/>
      <c r="AE128" s="369"/>
      <c r="AF128" s="369"/>
      <c r="AG128" s="369"/>
      <c r="AH128" s="370"/>
      <c r="AI128" s="335" t="s">
        <v>291</v>
      </c>
      <c r="AJ128" s="336"/>
      <c r="AK128" s="336"/>
      <c r="AL128" s="336"/>
      <c r="AM128" s="336"/>
      <c r="AN128" s="336"/>
      <c r="AO128" s="336"/>
      <c r="AP128" s="336"/>
      <c r="AQ128" s="337"/>
      <c r="AR128" s="41" t="s">
        <v>27</v>
      </c>
      <c r="AS128" s="41" t="s">
        <v>27</v>
      </c>
      <c r="AT128" s="41" t="s">
        <v>27</v>
      </c>
      <c r="AU128" s="355" t="s">
        <v>291</v>
      </c>
      <c r="AV128" s="356"/>
      <c r="AW128" s="356"/>
      <c r="AX128" s="357"/>
      <c r="AY128" s="355" t="s">
        <v>291</v>
      </c>
      <c r="AZ128" s="356"/>
      <c r="BA128" s="356"/>
      <c r="BB128" s="357"/>
      <c r="BC128" s="358"/>
      <c r="BD128" s="359"/>
      <c r="BE128" s="359"/>
      <c r="BF128" s="359"/>
      <c r="BG128" s="359"/>
      <c r="BH128" s="359"/>
      <c r="BI128" s="359"/>
      <c r="BJ128" s="360"/>
      <c r="BK128" s="43"/>
    </row>
    <row r="129" spans="1:63" s="44" customFormat="1" ht="39.75" customHeight="1" x14ac:dyDescent="0.25">
      <c r="A129" s="42"/>
      <c r="B129" s="355" t="s">
        <v>361</v>
      </c>
      <c r="C129" s="357"/>
      <c r="D129" s="368" t="s">
        <v>362</v>
      </c>
      <c r="E129" s="369"/>
      <c r="F129" s="369"/>
      <c r="G129" s="369"/>
      <c r="H129" s="369"/>
      <c r="I129" s="369"/>
      <c r="J129" s="370"/>
      <c r="K129" s="364" t="s">
        <v>363</v>
      </c>
      <c r="L129" s="359"/>
      <c r="M129" s="360"/>
      <c r="N129" s="41" t="s">
        <v>364</v>
      </c>
      <c r="O129" s="41" t="s">
        <v>27</v>
      </c>
      <c r="P129" s="371" t="s">
        <v>365</v>
      </c>
      <c r="Q129" s="372"/>
      <c r="R129" s="372"/>
      <c r="S129" s="373"/>
      <c r="T129" s="406" t="s">
        <v>366</v>
      </c>
      <c r="U129" s="407"/>
      <c r="V129" s="407"/>
      <c r="W129" s="408"/>
      <c r="X129" s="405" t="b">
        <v>0</v>
      </c>
      <c r="Y129" s="336"/>
      <c r="Z129" s="337"/>
      <c r="AA129" s="368" t="s">
        <v>291</v>
      </c>
      <c r="AB129" s="369"/>
      <c r="AC129" s="369"/>
      <c r="AD129" s="369"/>
      <c r="AE129" s="369"/>
      <c r="AF129" s="369"/>
      <c r="AG129" s="369"/>
      <c r="AH129" s="370"/>
      <c r="AI129" s="335" t="s">
        <v>305</v>
      </c>
      <c r="AJ129" s="336"/>
      <c r="AK129" s="336"/>
      <c r="AL129" s="336"/>
      <c r="AM129" s="336"/>
      <c r="AN129" s="336"/>
      <c r="AO129" s="336"/>
      <c r="AP129" s="336"/>
      <c r="AQ129" s="337"/>
      <c r="AR129" s="41" t="s">
        <v>27</v>
      </c>
      <c r="AS129" s="41" t="s">
        <v>27</v>
      </c>
      <c r="AT129" s="41" t="s">
        <v>27</v>
      </c>
      <c r="AU129" s="355" t="s">
        <v>367</v>
      </c>
      <c r="AV129" s="356"/>
      <c r="AW129" s="356"/>
      <c r="AX129" s="357"/>
      <c r="AY129" s="406" t="s">
        <v>366</v>
      </c>
      <c r="AZ129" s="407"/>
      <c r="BA129" s="407"/>
      <c r="BB129" s="408"/>
      <c r="BC129" s="358"/>
      <c r="BD129" s="359"/>
      <c r="BE129" s="359"/>
      <c r="BF129" s="359"/>
      <c r="BG129" s="359"/>
      <c r="BH129" s="359"/>
      <c r="BI129" s="359"/>
      <c r="BJ129" s="360"/>
      <c r="BK129" s="43"/>
    </row>
    <row r="130" spans="1:63" s="44" customFormat="1" ht="39.75" customHeight="1" x14ac:dyDescent="0.25">
      <c r="A130" s="42"/>
      <c r="B130" s="355" t="s">
        <v>368</v>
      </c>
      <c r="C130" s="357"/>
      <c r="D130" s="368" t="s">
        <v>369</v>
      </c>
      <c r="E130" s="369"/>
      <c r="F130" s="369"/>
      <c r="G130" s="369"/>
      <c r="H130" s="369"/>
      <c r="I130" s="369"/>
      <c r="J130" s="370"/>
      <c r="K130" s="364" t="s">
        <v>314</v>
      </c>
      <c r="L130" s="359"/>
      <c r="M130" s="360"/>
      <c r="N130" s="41" t="s">
        <v>291</v>
      </c>
      <c r="O130" s="41" t="s">
        <v>28</v>
      </c>
      <c r="P130" s="371" t="s">
        <v>291</v>
      </c>
      <c r="Q130" s="372"/>
      <c r="R130" s="372"/>
      <c r="S130" s="373"/>
      <c r="T130" s="371" t="s">
        <v>291</v>
      </c>
      <c r="U130" s="372"/>
      <c r="V130" s="372"/>
      <c r="W130" s="373"/>
      <c r="X130" s="405" t="s">
        <v>370</v>
      </c>
      <c r="Y130" s="336"/>
      <c r="Z130" s="337"/>
      <c r="AA130" s="368" t="s">
        <v>291</v>
      </c>
      <c r="AB130" s="369"/>
      <c r="AC130" s="369"/>
      <c r="AD130" s="369"/>
      <c r="AE130" s="369"/>
      <c r="AF130" s="369"/>
      <c r="AG130" s="369"/>
      <c r="AH130" s="370"/>
      <c r="AI130" s="335" t="s">
        <v>291</v>
      </c>
      <c r="AJ130" s="336"/>
      <c r="AK130" s="336"/>
      <c r="AL130" s="336"/>
      <c r="AM130" s="336"/>
      <c r="AN130" s="336"/>
      <c r="AO130" s="336"/>
      <c r="AP130" s="336"/>
      <c r="AQ130" s="337"/>
      <c r="AR130" s="41" t="s">
        <v>27</v>
      </c>
      <c r="AS130" s="41" t="s">
        <v>27</v>
      </c>
      <c r="AT130" s="41" t="s">
        <v>27</v>
      </c>
      <c r="AU130" s="355" t="s">
        <v>291</v>
      </c>
      <c r="AV130" s="356"/>
      <c r="AW130" s="356"/>
      <c r="AX130" s="357"/>
      <c r="AY130" s="355" t="s">
        <v>291</v>
      </c>
      <c r="AZ130" s="356"/>
      <c r="BA130" s="356"/>
      <c r="BB130" s="357"/>
      <c r="BC130" s="358"/>
      <c r="BD130" s="359"/>
      <c r="BE130" s="359"/>
      <c r="BF130" s="359"/>
      <c r="BG130" s="359"/>
      <c r="BH130" s="359"/>
      <c r="BI130" s="359"/>
      <c r="BJ130" s="360"/>
      <c r="BK130" s="43"/>
    </row>
    <row r="131" spans="1:63" s="44" customFormat="1" ht="39.75" customHeight="1" x14ac:dyDescent="0.25">
      <c r="A131" s="42"/>
      <c r="B131" s="355" t="s">
        <v>371</v>
      </c>
      <c r="C131" s="357"/>
      <c r="D131" s="368" t="s">
        <v>372</v>
      </c>
      <c r="E131" s="369"/>
      <c r="F131" s="369"/>
      <c r="G131" s="369"/>
      <c r="H131" s="369"/>
      <c r="I131" s="369"/>
      <c r="J131" s="370"/>
      <c r="K131" s="364" t="s">
        <v>363</v>
      </c>
      <c r="L131" s="359"/>
      <c r="M131" s="360"/>
      <c r="N131" s="41" t="s">
        <v>364</v>
      </c>
      <c r="O131" s="41" t="s">
        <v>27</v>
      </c>
      <c r="P131" s="371" t="s">
        <v>365</v>
      </c>
      <c r="Q131" s="372"/>
      <c r="R131" s="372"/>
      <c r="S131" s="373"/>
      <c r="T131" s="406" t="s">
        <v>373</v>
      </c>
      <c r="U131" s="407"/>
      <c r="V131" s="407"/>
      <c r="W131" s="408"/>
      <c r="X131" s="405" t="b">
        <v>0</v>
      </c>
      <c r="Y131" s="336"/>
      <c r="Z131" s="337"/>
      <c r="AA131" s="368" t="s">
        <v>291</v>
      </c>
      <c r="AB131" s="369"/>
      <c r="AC131" s="369"/>
      <c r="AD131" s="369"/>
      <c r="AE131" s="369"/>
      <c r="AF131" s="369"/>
      <c r="AG131" s="369"/>
      <c r="AH131" s="370"/>
      <c r="AI131" s="335" t="s">
        <v>305</v>
      </c>
      <c r="AJ131" s="336"/>
      <c r="AK131" s="336"/>
      <c r="AL131" s="336"/>
      <c r="AM131" s="336"/>
      <c r="AN131" s="336"/>
      <c r="AO131" s="336"/>
      <c r="AP131" s="336"/>
      <c r="AQ131" s="337"/>
      <c r="AR131" s="41" t="s">
        <v>27</v>
      </c>
      <c r="AS131" s="41" t="s">
        <v>27</v>
      </c>
      <c r="AT131" s="41" t="s">
        <v>27</v>
      </c>
      <c r="AU131" s="355" t="s">
        <v>367</v>
      </c>
      <c r="AV131" s="356"/>
      <c r="AW131" s="356"/>
      <c r="AX131" s="357"/>
      <c r="AY131" s="406" t="s">
        <v>373</v>
      </c>
      <c r="AZ131" s="407"/>
      <c r="BA131" s="407"/>
      <c r="BB131" s="408"/>
      <c r="BC131" s="358"/>
      <c r="BD131" s="359"/>
      <c r="BE131" s="359"/>
      <c r="BF131" s="359"/>
      <c r="BG131" s="359"/>
      <c r="BH131" s="359"/>
      <c r="BI131" s="359"/>
      <c r="BJ131" s="360"/>
      <c r="BK131" s="43"/>
    </row>
    <row r="132" spans="1:63" x14ac:dyDescent="0.25">
      <c r="A132" s="20"/>
      <c r="B132" s="303">
        <v>29</v>
      </c>
      <c r="C132" s="305"/>
      <c r="D132" s="396" t="s">
        <v>185</v>
      </c>
      <c r="E132" s="397"/>
      <c r="F132" s="397"/>
      <c r="G132" s="397"/>
      <c r="H132" s="397"/>
      <c r="I132" s="397"/>
      <c r="J132" s="398"/>
      <c r="K132" s="160" t="s">
        <v>26</v>
      </c>
      <c r="L132" s="161"/>
      <c r="M132" s="162"/>
      <c r="N132" s="37" t="s">
        <v>29</v>
      </c>
      <c r="O132" s="37" t="s">
        <v>28</v>
      </c>
      <c r="P132" s="197" t="s">
        <v>29</v>
      </c>
      <c r="Q132" s="176"/>
      <c r="R132" s="176"/>
      <c r="S132" s="177"/>
      <c r="T132" s="197" t="s">
        <v>29</v>
      </c>
      <c r="U132" s="176"/>
      <c r="V132" s="176"/>
      <c r="W132" s="177"/>
      <c r="X132" s="310" t="s">
        <v>133</v>
      </c>
      <c r="Y132" s="457"/>
      <c r="Z132" s="458"/>
      <c r="AA132" s="396" t="s">
        <v>29</v>
      </c>
      <c r="AB132" s="397"/>
      <c r="AC132" s="397"/>
      <c r="AD132" s="397"/>
      <c r="AE132" s="397"/>
      <c r="AF132" s="397"/>
      <c r="AG132" s="397"/>
      <c r="AH132" s="398"/>
      <c r="AI132" s="459" t="s">
        <v>29</v>
      </c>
      <c r="AJ132" s="457"/>
      <c r="AK132" s="457"/>
      <c r="AL132" s="457"/>
      <c r="AM132" s="457"/>
      <c r="AN132" s="457"/>
      <c r="AO132" s="457"/>
      <c r="AP132" s="457"/>
      <c r="AQ132" s="458"/>
      <c r="AR132" s="37" t="s">
        <v>27</v>
      </c>
      <c r="AS132" s="37" t="s">
        <v>27</v>
      </c>
      <c r="AT132" s="37" t="s">
        <v>27</v>
      </c>
      <c r="AU132" s="303" t="s">
        <v>29</v>
      </c>
      <c r="AV132" s="304"/>
      <c r="AW132" s="304"/>
      <c r="AX132" s="305"/>
      <c r="AY132" s="303" t="s">
        <v>29</v>
      </c>
      <c r="AZ132" s="304"/>
      <c r="BA132" s="304"/>
      <c r="BB132" s="305"/>
      <c r="BC132" s="460"/>
      <c r="BD132" s="161"/>
      <c r="BE132" s="161"/>
      <c r="BF132" s="161"/>
      <c r="BG132" s="161"/>
      <c r="BH132" s="161"/>
      <c r="BI132" s="161"/>
      <c r="BJ132" s="162"/>
      <c r="BK132" s="21"/>
    </row>
    <row r="133" spans="1:63" ht="63.75" customHeight="1" x14ac:dyDescent="0.25">
      <c r="A133" s="20"/>
      <c r="B133" s="303">
        <v>30</v>
      </c>
      <c r="C133" s="305"/>
      <c r="D133" s="396" t="s">
        <v>186</v>
      </c>
      <c r="E133" s="397"/>
      <c r="F133" s="397"/>
      <c r="G133" s="397"/>
      <c r="H133" s="397"/>
      <c r="I133" s="397"/>
      <c r="J133" s="398"/>
      <c r="K133" s="160" t="s">
        <v>107</v>
      </c>
      <c r="L133" s="161"/>
      <c r="M133" s="162"/>
      <c r="N133" s="37" t="s">
        <v>17</v>
      </c>
      <c r="O133" s="37" t="s">
        <v>27</v>
      </c>
      <c r="P133" s="197" t="s">
        <v>164</v>
      </c>
      <c r="Q133" s="176"/>
      <c r="R133" s="176"/>
      <c r="S133" s="177"/>
      <c r="T133" s="197" t="s">
        <v>184</v>
      </c>
      <c r="U133" s="176"/>
      <c r="V133" s="176"/>
      <c r="W133" s="177"/>
      <c r="X133" s="310" t="s">
        <v>29</v>
      </c>
      <c r="Y133" s="457"/>
      <c r="Z133" s="458"/>
      <c r="AA133" s="166" t="s">
        <v>374</v>
      </c>
      <c r="AB133" s="167"/>
      <c r="AC133" s="167"/>
      <c r="AD133" s="167"/>
      <c r="AE133" s="167"/>
      <c r="AF133" s="167"/>
      <c r="AG133" s="167"/>
      <c r="AH133" s="168"/>
      <c r="AI133" s="459" t="s">
        <v>76</v>
      </c>
      <c r="AJ133" s="457"/>
      <c r="AK133" s="457"/>
      <c r="AL133" s="457"/>
      <c r="AM133" s="457"/>
      <c r="AN133" s="457"/>
      <c r="AO133" s="457"/>
      <c r="AP133" s="457"/>
      <c r="AQ133" s="458"/>
      <c r="AR133" s="37" t="s">
        <v>27</v>
      </c>
      <c r="AS133" s="37" t="s">
        <v>28</v>
      </c>
      <c r="AT133" s="37" t="s">
        <v>28</v>
      </c>
      <c r="AU133" s="303" t="s">
        <v>197</v>
      </c>
      <c r="AV133" s="304"/>
      <c r="AW133" s="304"/>
      <c r="AX133" s="305"/>
      <c r="AY133" s="303" t="s">
        <v>184</v>
      </c>
      <c r="AZ133" s="304"/>
      <c r="BA133" s="304"/>
      <c r="BB133" s="305"/>
      <c r="BC133" s="293" t="s">
        <v>219</v>
      </c>
      <c r="BD133" s="161"/>
      <c r="BE133" s="161"/>
      <c r="BF133" s="161"/>
      <c r="BG133" s="161"/>
      <c r="BH133" s="161"/>
      <c r="BI133" s="161"/>
      <c r="BJ133" s="162"/>
      <c r="BK133" s="21"/>
    </row>
    <row r="134" spans="1:63" x14ac:dyDescent="0.25">
      <c r="A134" s="20"/>
      <c r="B134" s="303">
        <v>31</v>
      </c>
      <c r="C134" s="305"/>
      <c r="D134" s="396" t="s">
        <v>134</v>
      </c>
      <c r="E134" s="397"/>
      <c r="F134" s="397"/>
      <c r="G134" s="397"/>
      <c r="H134" s="397"/>
      <c r="I134" s="397"/>
      <c r="J134" s="398"/>
      <c r="K134" s="160" t="s">
        <v>26</v>
      </c>
      <c r="L134" s="161"/>
      <c r="M134" s="162"/>
      <c r="N134" s="37" t="s">
        <v>29</v>
      </c>
      <c r="O134" s="37" t="s">
        <v>28</v>
      </c>
      <c r="P134" s="197" t="s">
        <v>29</v>
      </c>
      <c r="Q134" s="176"/>
      <c r="R134" s="176"/>
      <c r="S134" s="177"/>
      <c r="T134" s="197" t="s">
        <v>29</v>
      </c>
      <c r="U134" s="176"/>
      <c r="V134" s="176"/>
      <c r="W134" s="177"/>
      <c r="X134" s="310" t="s">
        <v>143</v>
      </c>
      <c r="Y134" s="457"/>
      <c r="Z134" s="458"/>
      <c r="AA134" s="368" t="s">
        <v>291</v>
      </c>
      <c r="AB134" s="369"/>
      <c r="AC134" s="369"/>
      <c r="AD134" s="369"/>
      <c r="AE134" s="369"/>
      <c r="AF134" s="369"/>
      <c r="AG134" s="369"/>
      <c r="AH134" s="370"/>
      <c r="AI134" s="459" t="s">
        <v>29</v>
      </c>
      <c r="AJ134" s="457"/>
      <c r="AK134" s="457"/>
      <c r="AL134" s="457"/>
      <c r="AM134" s="457"/>
      <c r="AN134" s="457"/>
      <c r="AO134" s="457"/>
      <c r="AP134" s="457"/>
      <c r="AQ134" s="458"/>
      <c r="AR134" s="37" t="s">
        <v>27</v>
      </c>
      <c r="AS134" s="37" t="s">
        <v>27</v>
      </c>
      <c r="AT134" s="37" t="s">
        <v>27</v>
      </c>
      <c r="AU134" s="303" t="s">
        <v>29</v>
      </c>
      <c r="AV134" s="304"/>
      <c r="AW134" s="304"/>
      <c r="AX134" s="305"/>
      <c r="AY134" s="303" t="s">
        <v>29</v>
      </c>
      <c r="AZ134" s="304"/>
      <c r="BA134" s="304"/>
      <c r="BB134" s="305"/>
      <c r="BC134" s="293"/>
      <c r="BD134" s="161"/>
      <c r="BE134" s="161"/>
      <c r="BF134" s="161"/>
      <c r="BG134" s="161"/>
      <c r="BH134" s="161"/>
      <c r="BI134" s="161"/>
      <c r="BJ134" s="162"/>
      <c r="BK134" s="21"/>
    </row>
    <row r="135" spans="1:63" ht="63.75" customHeight="1" x14ac:dyDescent="0.25">
      <c r="A135" s="20"/>
      <c r="B135" s="303">
        <v>32</v>
      </c>
      <c r="C135" s="305"/>
      <c r="D135" s="396" t="s">
        <v>135</v>
      </c>
      <c r="E135" s="397"/>
      <c r="F135" s="397"/>
      <c r="G135" s="397"/>
      <c r="H135" s="397"/>
      <c r="I135" s="397"/>
      <c r="J135" s="398"/>
      <c r="K135" s="160" t="s">
        <v>107</v>
      </c>
      <c r="L135" s="161"/>
      <c r="M135" s="162"/>
      <c r="N135" s="37" t="s">
        <v>17</v>
      </c>
      <c r="O135" s="37" t="s">
        <v>27</v>
      </c>
      <c r="P135" s="197" t="s">
        <v>164</v>
      </c>
      <c r="Q135" s="176"/>
      <c r="R135" s="176"/>
      <c r="S135" s="177"/>
      <c r="T135" s="313" t="s">
        <v>187</v>
      </c>
      <c r="U135" s="179"/>
      <c r="V135" s="179"/>
      <c r="W135" s="180"/>
      <c r="X135" s="310" t="s">
        <v>29</v>
      </c>
      <c r="Y135" s="457"/>
      <c r="Z135" s="458"/>
      <c r="AA135" s="166" t="s">
        <v>375</v>
      </c>
      <c r="AB135" s="167"/>
      <c r="AC135" s="167"/>
      <c r="AD135" s="167"/>
      <c r="AE135" s="167"/>
      <c r="AF135" s="167"/>
      <c r="AG135" s="167"/>
      <c r="AH135" s="168"/>
      <c r="AI135" s="459" t="s">
        <v>76</v>
      </c>
      <c r="AJ135" s="457"/>
      <c r="AK135" s="457"/>
      <c r="AL135" s="457"/>
      <c r="AM135" s="457"/>
      <c r="AN135" s="457"/>
      <c r="AO135" s="457"/>
      <c r="AP135" s="457"/>
      <c r="AQ135" s="458"/>
      <c r="AR135" s="37" t="s">
        <v>27</v>
      </c>
      <c r="AS135" s="37" t="s">
        <v>28</v>
      </c>
      <c r="AT135" s="37" t="s">
        <v>28</v>
      </c>
      <c r="AU135" s="303" t="s">
        <v>197</v>
      </c>
      <c r="AV135" s="304"/>
      <c r="AW135" s="304"/>
      <c r="AX135" s="305"/>
      <c r="AY135" s="459" t="s">
        <v>187</v>
      </c>
      <c r="AZ135" s="457"/>
      <c r="BA135" s="457"/>
      <c r="BB135" s="458"/>
      <c r="BC135" s="293" t="s">
        <v>219</v>
      </c>
      <c r="BD135" s="161"/>
      <c r="BE135" s="161"/>
      <c r="BF135" s="161"/>
      <c r="BG135" s="161"/>
      <c r="BH135" s="161"/>
      <c r="BI135" s="161"/>
      <c r="BJ135" s="162"/>
      <c r="BK135" s="21"/>
    </row>
    <row r="136" spans="1:63" x14ac:dyDescent="0.25">
      <c r="A136" s="20"/>
      <c r="B136" s="303">
        <v>33</v>
      </c>
      <c r="C136" s="305"/>
      <c r="D136" s="396" t="s">
        <v>144</v>
      </c>
      <c r="E136" s="397"/>
      <c r="F136" s="397"/>
      <c r="G136" s="397"/>
      <c r="H136" s="397"/>
      <c r="I136" s="397"/>
      <c r="J136" s="398"/>
      <c r="K136" s="160" t="s">
        <v>26</v>
      </c>
      <c r="L136" s="161"/>
      <c r="M136" s="162"/>
      <c r="N136" s="37" t="s">
        <v>29</v>
      </c>
      <c r="O136" s="37" t="s">
        <v>28</v>
      </c>
      <c r="P136" s="197" t="s">
        <v>29</v>
      </c>
      <c r="Q136" s="176"/>
      <c r="R136" s="176"/>
      <c r="S136" s="177"/>
      <c r="T136" s="197" t="s">
        <v>29</v>
      </c>
      <c r="U136" s="176"/>
      <c r="V136" s="176"/>
      <c r="W136" s="177"/>
      <c r="X136" s="310" t="s">
        <v>146</v>
      </c>
      <c r="Y136" s="457"/>
      <c r="Z136" s="458"/>
      <c r="AA136" s="368" t="s">
        <v>291</v>
      </c>
      <c r="AB136" s="369"/>
      <c r="AC136" s="369"/>
      <c r="AD136" s="369"/>
      <c r="AE136" s="369"/>
      <c r="AF136" s="369"/>
      <c r="AG136" s="369"/>
      <c r="AH136" s="370"/>
      <c r="AI136" s="459" t="s">
        <v>29</v>
      </c>
      <c r="AJ136" s="457"/>
      <c r="AK136" s="457"/>
      <c r="AL136" s="457"/>
      <c r="AM136" s="457"/>
      <c r="AN136" s="457"/>
      <c r="AO136" s="457"/>
      <c r="AP136" s="457"/>
      <c r="AQ136" s="458"/>
      <c r="AR136" s="37" t="s">
        <v>27</v>
      </c>
      <c r="AS136" s="37" t="s">
        <v>27</v>
      </c>
      <c r="AT136" s="37" t="s">
        <v>27</v>
      </c>
      <c r="AU136" s="303" t="s">
        <v>29</v>
      </c>
      <c r="AV136" s="304"/>
      <c r="AW136" s="304"/>
      <c r="AX136" s="305"/>
      <c r="AY136" s="303" t="s">
        <v>29</v>
      </c>
      <c r="AZ136" s="304"/>
      <c r="BA136" s="304"/>
      <c r="BB136" s="305"/>
      <c r="BC136" s="293"/>
      <c r="BD136" s="161"/>
      <c r="BE136" s="161"/>
      <c r="BF136" s="161"/>
      <c r="BG136" s="161"/>
      <c r="BH136" s="161"/>
      <c r="BI136" s="161"/>
      <c r="BJ136" s="162"/>
      <c r="BK136" s="21"/>
    </row>
    <row r="137" spans="1:63" ht="63" customHeight="1" x14ac:dyDescent="0.25">
      <c r="A137" s="20"/>
      <c r="B137" s="303">
        <v>34</v>
      </c>
      <c r="C137" s="305"/>
      <c r="D137" s="396" t="s">
        <v>145</v>
      </c>
      <c r="E137" s="397"/>
      <c r="F137" s="397"/>
      <c r="G137" s="397"/>
      <c r="H137" s="397"/>
      <c r="I137" s="397"/>
      <c r="J137" s="398"/>
      <c r="K137" s="160" t="s">
        <v>107</v>
      </c>
      <c r="L137" s="161"/>
      <c r="M137" s="162"/>
      <c r="N137" s="37" t="s">
        <v>17</v>
      </c>
      <c r="O137" s="37" t="s">
        <v>27</v>
      </c>
      <c r="P137" s="197" t="s">
        <v>164</v>
      </c>
      <c r="Q137" s="176"/>
      <c r="R137" s="176"/>
      <c r="S137" s="177"/>
      <c r="T137" s="313" t="s">
        <v>188</v>
      </c>
      <c r="U137" s="179"/>
      <c r="V137" s="179"/>
      <c r="W137" s="180"/>
      <c r="X137" s="310" t="s">
        <v>29</v>
      </c>
      <c r="Y137" s="457"/>
      <c r="Z137" s="458"/>
      <c r="AA137" s="166" t="s">
        <v>376</v>
      </c>
      <c r="AB137" s="167"/>
      <c r="AC137" s="167"/>
      <c r="AD137" s="167"/>
      <c r="AE137" s="167"/>
      <c r="AF137" s="167"/>
      <c r="AG137" s="167"/>
      <c r="AH137" s="168"/>
      <c r="AI137" s="459" t="s">
        <v>76</v>
      </c>
      <c r="AJ137" s="457"/>
      <c r="AK137" s="457"/>
      <c r="AL137" s="457"/>
      <c r="AM137" s="457"/>
      <c r="AN137" s="457"/>
      <c r="AO137" s="457"/>
      <c r="AP137" s="457"/>
      <c r="AQ137" s="458"/>
      <c r="AR137" s="37" t="s">
        <v>27</v>
      </c>
      <c r="AS137" s="37" t="s">
        <v>28</v>
      </c>
      <c r="AT137" s="37" t="s">
        <v>28</v>
      </c>
      <c r="AU137" s="303" t="s">
        <v>197</v>
      </c>
      <c r="AV137" s="304"/>
      <c r="AW137" s="304"/>
      <c r="AX137" s="305"/>
      <c r="AY137" s="459" t="s">
        <v>188</v>
      </c>
      <c r="AZ137" s="457"/>
      <c r="BA137" s="457"/>
      <c r="BB137" s="458"/>
      <c r="BC137" s="293" t="s">
        <v>219</v>
      </c>
      <c r="BD137" s="161"/>
      <c r="BE137" s="161"/>
      <c r="BF137" s="161"/>
      <c r="BG137" s="161"/>
      <c r="BH137" s="161"/>
      <c r="BI137" s="161"/>
      <c r="BJ137" s="162"/>
      <c r="BK137" s="21"/>
    </row>
    <row r="138" spans="1:63" x14ac:dyDescent="0.25">
      <c r="A138" s="20"/>
      <c r="B138" s="303">
        <v>35</v>
      </c>
      <c r="C138" s="305"/>
      <c r="D138" s="396" t="s">
        <v>198</v>
      </c>
      <c r="E138" s="397"/>
      <c r="F138" s="397"/>
      <c r="G138" s="397"/>
      <c r="H138" s="397"/>
      <c r="I138" s="397"/>
      <c r="J138" s="398"/>
      <c r="K138" s="160" t="s">
        <v>26</v>
      </c>
      <c r="L138" s="161"/>
      <c r="M138" s="162"/>
      <c r="N138" s="37" t="s">
        <v>29</v>
      </c>
      <c r="O138" s="37" t="s">
        <v>28</v>
      </c>
      <c r="P138" s="197" t="s">
        <v>29</v>
      </c>
      <c r="Q138" s="176"/>
      <c r="R138" s="176"/>
      <c r="S138" s="177"/>
      <c r="T138" s="197" t="s">
        <v>29</v>
      </c>
      <c r="U138" s="176"/>
      <c r="V138" s="176"/>
      <c r="W138" s="177"/>
      <c r="X138" s="310" t="s">
        <v>146</v>
      </c>
      <c r="Y138" s="457"/>
      <c r="Z138" s="458"/>
      <c r="AA138" s="368" t="s">
        <v>291</v>
      </c>
      <c r="AB138" s="369"/>
      <c r="AC138" s="369"/>
      <c r="AD138" s="369"/>
      <c r="AE138" s="369"/>
      <c r="AF138" s="369"/>
      <c r="AG138" s="369"/>
      <c r="AH138" s="370"/>
      <c r="AI138" s="459" t="s">
        <v>29</v>
      </c>
      <c r="AJ138" s="457"/>
      <c r="AK138" s="457"/>
      <c r="AL138" s="457"/>
      <c r="AM138" s="457"/>
      <c r="AN138" s="457"/>
      <c r="AO138" s="457"/>
      <c r="AP138" s="457"/>
      <c r="AQ138" s="458"/>
      <c r="AR138" s="37" t="s">
        <v>27</v>
      </c>
      <c r="AS138" s="37" t="s">
        <v>27</v>
      </c>
      <c r="AT138" s="37" t="s">
        <v>27</v>
      </c>
      <c r="AU138" s="303" t="s">
        <v>29</v>
      </c>
      <c r="AV138" s="304"/>
      <c r="AW138" s="304"/>
      <c r="AX138" s="305"/>
      <c r="AY138" s="303" t="s">
        <v>29</v>
      </c>
      <c r="AZ138" s="304"/>
      <c r="BA138" s="304"/>
      <c r="BB138" s="305"/>
      <c r="BC138" s="460"/>
      <c r="BD138" s="161"/>
      <c r="BE138" s="161"/>
      <c r="BF138" s="161"/>
      <c r="BG138" s="161"/>
      <c r="BH138" s="161"/>
      <c r="BI138" s="161"/>
      <c r="BJ138" s="162"/>
      <c r="BK138" s="21"/>
    </row>
    <row r="139" spans="1:63" ht="113.25" customHeight="1" x14ac:dyDescent="0.25">
      <c r="A139" s="20"/>
      <c r="B139" s="303">
        <v>36</v>
      </c>
      <c r="C139" s="305"/>
      <c r="D139" s="396" t="s">
        <v>199</v>
      </c>
      <c r="E139" s="397"/>
      <c r="F139" s="397"/>
      <c r="G139" s="397"/>
      <c r="H139" s="397"/>
      <c r="I139" s="397"/>
      <c r="J139" s="398"/>
      <c r="K139" s="160" t="s">
        <v>107</v>
      </c>
      <c r="L139" s="161"/>
      <c r="M139" s="162"/>
      <c r="N139" s="37" t="s">
        <v>17</v>
      </c>
      <c r="O139" s="37" t="s">
        <v>27</v>
      </c>
      <c r="P139" s="197" t="s">
        <v>164</v>
      </c>
      <c r="Q139" s="176"/>
      <c r="R139" s="176"/>
      <c r="S139" s="177"/>
      <c r="T139" s="313" t="s">
        <v>200</v>
      </c>
      <c r="U139" s="179"/>
      <c r="V139" s="179"/>
      <c r="W139" s="180"/>
      <c r="X139" s="310" t="s">
        <v>29</v>
      </c>
      <c r="Y139" s="457"/>
      <c r="Z139" s="458"/>
      <c r="AA139" s="166" t="s">
        <v>377</v>
      </c>
      <c r="AB139" s="359"/>
      <c r="AC139" s="359"/>
      <c r="AD139" s="359"/>
      <c r="AE139" s="359"/>
      <c r="AF139" s="359"/>
      <c r="AG139" s="359"/>
      <c r="AH139" s="360"/>
      <c r="AI139" s="468" t="s">
        <v>378</v>
      </c>
      <c r="AJ139" s="472"/>
      <c r="AK139" s="472"/>
      <c r="AL139" s="472"/>
      <c r="AM139" s="472"/>
      <c r="AN139" s="472"/>
      <c r="AO139" s="472"/>
      <c r="AP139" s="472"/>
      <c r="AQ139" s="473"/>
      <c r="AR139" s="37" t="s">
        <v>27</v>
      </c>
      <c r="AS139" s="37" t="s">
        <v>28</v>
      </c>
      <c r="AT139" s="37" t="s">
        <v>27</v>
      </c>
      <c r="AU139" s="303" t="s">
        <v>197</v>
      </c>
      <c r="AV139" s="304"/>
      <c r="AW139" s="304"/>
      <c r="AX139" s="305"/>
      <c r="AY139" s="459" t="s">
        <v>200</v>
      </c>
      <c r="AZ139" s="457"/>
      <c r="BA139" s="457"/>
      <c r="BB139" s="458"/>
      <c r="BC139" s="293" t="s">
        <v>394</v>
      </c>
      <c r="BD139" s="161"/>
      <c r="BE139" s="161"/>
      <c r="BF139" s="161"/>
      <c r="BG139" s="161"/>
      <c r="BH139" s="161"/>
      <c r="BI139" s="161"/>
      <c r="BJ139" s="162"/>
      <c r="BK139" s="21"/>
    </row>
    <row r="140" spans="1:63" x14ac:dyDescent="0.25">
      <c r="A140" s="20"/>
      <c r="B140" s="303">
        <v>37</v>
      </c>
      <c r="C140" s="305"/>
      <c r="D140" s="396" t="s">
        <v>147</v>
      </c>
      <c r="E140" s="397"/>
      <c r="F140" s="397"/>
      <c r="G140" s="397"/>
      <c r="H140" s="397"/>
      <c r="I140" s="397"/>
      <c r="J140" s="398"/>
      <c r="K140" s="160" t="s">
        <v>26</v>
      </c>
      <c r="L140" s="161"/>
      <c r="M140" s="162"/>
      <c r="N140" s="37" t="s">
        <v>29</v>
      </c>
      <c r="O140" s="37" t="s">
        <v>28</v>
      </c>
      <c r="P140" s="197" t="s">
        <v>29</v>
      </c>
      <c r="Q140" s="176"/>
      <c r="R140" s="176"/>
      <c r="S140" s="177"/>
      <c r="T140" s="197" t="s">
        <v>29</v>
      </c>
      <c r="U140" s="176"/>
      <c r="V140" s="176"/>
      <c r="W140" s="177"/>
      <c r="X140" s="310" t="s">
        <v>149</v>
      </c>
      <c r="Y140" s="457"/>
      <c r="Z140" s="458"/>
      <c r="AA140" s="396" t="s">
        <v>29</v>
      </c>
      <c r="AB140" s="397"/>
      <c r="AC140" s="397"/>
      <c r="AD140" s="397"/>
      <c r="AE140" s="397"/>
      <c r="AF140" s="397"/>
      <c r="AG140" s="397"/>
      <c r="AH140" s="398"/>
      <c r="AI140" s="459" t="s">
        <v>29</v>
      </c>
      <c r="AJ140" s="457"/>
      <c r="AK140" s="457"/>
      <c r="AL140" s="457"/>
      <c r="AM140" s="457"/>
      <c r="AN140" s="457"/>
      <c r="AO140" s="457"/>
      <c r="AP140" s="457"/>
      <c r="AQ140" s="458"/>
      <c r="AR140" s="37" t="s">
        <v>27</v>
      </c>
      <c r="AS140" s="37" t="s">
        <v>27</v>
      </c>
      <c r="AT140" s="37" t="s">
        <v>27</v>
      </c>
      <c r="AU140" s="303" t="s">
        <v>29</v>
      </c>
      <c r="AV140" s="304"/>
      <c r="AW140" s="304"/>
      <c r="AX140" s="305"/>
      <c r="AY140" s="303" t="s">
        <v>29</v>
      </c>
      <c r="AZ140" s="304"/>
      <c r="BA140" s="304"/>
      <c r="BB140" s="305"/>
      <c r="BC140" s="460"/>
      <c r="BD140" s="161"/>
      <c r="BE140" s="161"/>
      <c r="BF140" s="161"/>
      <c r="BG140" s="161"/>
      <c r="BH140" s="161"/>
      <c r="BI140" s="161"/>
      <c r="BJ140" s="162"/>
      <c r="BK140" s="21"/>
    </row>
    <row r="141" spans="1:63" ht="95.25" customHeight="1" x14ac:dyDescent="0.25">
      <c r="A141" s="20"/>
      <c r="B141" s="303">
        <v>38</v>
      </c>
      <c r="C141" s="305"/>
      <c r="D141" s="396" t="s">
        <v>148</v>
      </c>
      <c r="E141" s="397"/>
      <c r="F141" s="397"/>
      <c r="G141" s="397"/>
      <c r="H141" s="397"/>
      <c r="I141" s="397"/>
      <c r="J141" s="398"/>
      <c r="K141" s="160" t="s">
        <v>26</v>
      </c>
      <c r="L141" s="161"/>
      <c r="M141" s="162"/>
      <c r="N141" s="37" t="s">
        <v>31</v>
      </c>
      <c r="O141" s="37" t="s">
        <v>27</v>
      </c>
      <c r="P141" s="197" t="s">
        <v>164</v>
      </c>
      <c r="Q141" s="176"/>
      <c r="R141" s="176"/>
      <c r="S141" s="177"/>
      <c r="T141" s="197" t="s">
        <v>189</v>
      </c>
      <c r="U141" s="176"/>
      <c r="V141" s="176"/>
      <c r="W141" s="177"/>
      <c r="X141" s="310" t="s">
        <v>29</v>
      </c>
      <c r="Y141" s="457"/>
      <c r="Z141" s="458"/>
      <c r="AA141" s="293" t="s">
        <v>379</v>
      </c>
      <c r="AB141" s="161"/>
      <c r="AC141" s="161"/>
      <c r="AD141" s="161"/>
      <c r="AE141" s="161"/>
      <c r="AF141" s="161"/>
      <c r="AG141" s="161"/>
      <c r="AH141" s="162"/>
      <c r="AI141" s="459" t="s">
        <v>29</v>
      </c>
      <c r="AJ141" s="457"/>
      <c r="AK141" s="457"/>
      <c r="AL141" s="457"/>
      <c r="AM141" s="457"/>
      <c r="AN141" s="457"/>
      <c r="AO141" s="457"/>
      <c r="AP141" s="457"/>
      <c r="AQ141" s="458"/>
      <c r="AR141" s="37" t="s">
        <v>27</v>
      </c>
      <c r="AS141" s="37" t="s">
        <v>27</v>
      </c>
      <c r="AT141" s="37" t="s">
        <v>27</v>
      </c>
      <c r="AU141" s="303" t="s">
        <v>197</v>
      </c>
      <c r="AV141" s="304"/>
      <c r="AW141" s="304"/>
      <c r="AX141" s="305"/>
      <c r="AY141" s="303" t="s">
        <v>189</v>
      </c>
      <c r="AZ141" s="304"/>
      <c r="BA141" s="304"/>
      <c r="BB141" s="305"/>
      <c r="BC141" s="460"/>
      <c r="BD141" s="161"/>
      <c r="BE141" s="161"/>
      <c r="BF141" s="161"/>
      <c r="BG141" s="161"/>
      <c r="BH141" s="161"/>
      <c r="BI141" s="161"/>
      <c r="BJ141" s="162"/>
      <c r="BK141" s="21"/>
    </row>
    <row r="142" spans="1:63" x14ac:dyDescent="0.25">
      <c r="A142" s="20"/>
      <c r="B142" s="303">
        <v>39</v>
      </c>
      <c r="C142" s="305"/>
      <c r="D142" s="396" t="s">
        <v>150</v>
      </c>
      <c r="E142" s="397"/>
      <c r="F142" s="397"/>
      <c r="G142" s="397"/>
      <c r="H142" s="397"/>
      <c r="I142" s="397"/>
      <c r="J142" s="398"/>
      <c r="K142" s="160" t="s">
        <v>26</v>
      </c>
      <c r="L142" s="161"/>
      <c r="M142" s="162"/>
      <c r="N142" s="37" t="s">
        <v>29</v>
      </c>
      <c r="O142" s="37" t="s">
        <v>28</v>
      </c>
      <c r="P142" s="197" t="s">
        <v>29</v>
      </c>
      <c r="Q142" s="176"/>
      <c r="R142" s="176"/>
      <c r="S142" s="177"/>
      <c r="T142" s="197" t="s">
        <v>29</v>
      </c>
      <c r="U142" s="176"/>
      <c r="V142" s="176"/>
      <c r="W142" s="177"/>
      <c r="X142" s="310" t="s">
        <v>152</v>
      </c>
      <c r="Y142" s="457"/>
      <c r="Z142" s="458"/>
      <c r="AA142" s="396" t="s">
        <v>29</v>
      </c>
      <c r="AB142" s="397"/>
      <c r="AC142" s="397"/>
      <c r="AD142" s="397"/>
      <c r="AE142" s="397"/>
      <c r="AF142" s="397"/>
      <c r="AG142" s="397"/>
      <c r="AH142" s="398"/>
      <c r="AI142" s="459" t="s">
        <v>29</v>
      </c>
      <c r="AJ142" s="457"/>
      <c r="AK142" s="457"/>
      <c r="AL142" s="457"/>
      <c r="AM142" s="457"/>
      <c r="AN142" s="457"/>
      <c r="AO142" s="457"/>
      <c r="AP142" s="457"/>
      <c r="AQ142" s="458"/>
      <c r="AR142" s="37" t="s">
        <v>27</v>
      </c>
      <c r="AS142" s="37" t="s">
        <v>27</v>
      </c>
      <c r="AT142" s="37" t="s">
        <v>27</v>
      </c>
      <c r="AU142" s="303" t="s">
        <v>29</v>
      </c>
      <c r="AV142" s="304"/>
      <c r="AW142" s="304"/>
      <c r="AX142" s="305"/>
      <c r="AY142" s="303" t="s">
        <v>29</v>
      </c>
      <c r="AZ142" s="304"/>
      <c r="BA142" s="304"/>
      <c r="BB142" s="305"/>
      <c r="BC142" s="460"/>
      <c r="BD142" s="161"/>
      <c r="BE142" s="161"/>
      <c r="BF142" s="161"/>
      <c r="BG142" s="161"/>
      <c r="BH142" s="161"/>
      <c r="BI142" s="161"/>
      <c r="BJ142" s="162"/>
      <c r="BK142" s="21"/>
    </row>
    <row r="143" spans="1:63" ht="79.5" customHeight="1" x14ac:dyDescent="0.25">
      <c r="A143" s="20"/>
      <c r="B143" s="303">
        <v>40</v>
      </c>
      <c r="C143" s="305"/>
      <c r="D143" s="396" t="s">
        <v>151</v>
      </c>
      <c r="E143" s="397"/>
      <c r="F143" s="397"/>
      <c r="G143" s="397"/>
      <c r="H143" s="397"/>
      <c r="I143" s="397"/>
      <c r="J143" s="398"/>
      <c r="K143" s="160" t="s">
        <v>26</v>
      </c>
      <c r="L143" s="161"/>
      <c r="M143" s="162"/>
      <c r="N143" s="37" t="s">
        <v>31</v>
      </c>
      <c r="O143" s="37" t="s">
        <v>27</v>
      </c>
      <c r="P143" s="197" t="s">
        <v>164</v>
      </c>
      <c r="Q143" s="176"/>
      <c r="R143" s="176"/>
      <c r="S143" s="177"/>
      <c r="T143" s="313" t="s">
        <v>190</v>
      </c>
      <c r="U143" s="179"/>
      <c r="V143" s="179"/>
      <c r="W143" s="180"/>
      <c r="X143" s="310" t="s">
        <v>29</v>
      </c>
      <c r="Y143" s="457"/>
      <c r="Z143" s="458"/>
      <c r="AA143" s="467" t="s">
        <v>395</v>
      </c>
      <c r="AB143" s="161"/>
      <c r="AC143" s="161"/>
      <c r="AD143" s="161"/>
      <c r="AE143" s="161"/>
      <c r="AF143" s="161"/>
      <c r="AG143" s="161"/>
      <c r="AH143" s="162"/>
      <c r="AI143" s="459" t="s">
        <v>29</v>
      </c>
      <c r="AJ143" s="457"/>
      <c r="AK143" s="457"/>
      <c r="AL143" s="457"/>
      <c r="AM143" s="457"/>
      <c r="AN143" s="457"/>
      <c r="AO143" s="457"/>
      <c r="AP143" s="457"/>
      <c r="AQ143" s="458"/>
      <c r="AR143" s="37" t="s">
        <v>27</v>
      </c>
      <c r="AS143" s="37" t="s">
        <v>27</v>
      </c>
      <c r="AT143" s="37" t="s">
        <v>27</v>
      </c>
      <c r="AU143" s="303" t="s">
        <v>197</v>
      </c>
      <c r="AV143" s="304"/>
      <c r="AW143" s="304"/>
      <c r="AX143" s="305"/>
      <c r="AY143" s="459" t="s">
        <v>190</v>
      </c>
      <c r="AZ143" s="457"/>
      <c r="BA143" s="457"/>
      <c r="BB143" s="458"/>
      <c r="BC143" s="460"/>
      <c r="BD143" s="161"/>
      <c r="BE143" s="161"/>
      <c r="BF143" s="161"/>
      <c r="BG143" s="161"/>
      <c r="BH143" s="161"/>
      <c r="BI143" s="161"/>
      <c r="BJ143" s="162"/>
      <c r="BK143" s="21"/>
    </row>
    <row r="144" spans="1:63" x14ac:dyDescent="0.25">
      <c r="A144" s="20"/>
      <c r="B144" s="303">
        <v>41</v>
      </c>
      <c r="C144" s="305"/>
      <c r="D144" s="396" t="s">
        <v>153</v>
      </c>
      <c r="E144" s="397"/>
      <c r="F144" s="397"/>
      <c r="G144" s="397"/>
      <c r="H144" s="397"/>
      <c r="I144" s="397"/>
      <c r="J144" s="398"/>
      <c r="K144" s="160" t="s">
        <v>26</v>
      </c>
      <c r="L144" s="161"/>
      <c r="M144" s="162"/>
      <c r="N144" s="37" t="s">
        <v>29</v>
      </c>
      <c r="O144" s="37" t="s">
        <v>28</v>
      </c>
      <c r="P144" s="197" t="s">
        <v>29</v>
      </c>
      <c r="Q144" s="176"/>
      <c r="R144" s="176"/>
      <c r="S144" s="177"/>
      <c r="T144" s="197" t="s">
        <v>29</v>
      </c>
      <c r="U144" s="176"/>
      <c r="V144" s="176"/>
      <c r="W144" s="177"/>
      <c r="X144" s="310" t="s">
        <v>154</v>
      </c>
      <c r="Y144" s="457"/>
      <c r="Z144" s="458"/>
      <c r="AA144" s="396" t="s">
        <v>29</v>
      </c>
      <c r="AB144" s="397"/>
      <c r="AC144" s="397"/>
      <c r="AD144" s="397"/>
      <c r="AE144" s="397"/>
      <c r="AF144" s="397"/>
      <c r="AG144" s="397"/>
      <c r="AH144" s="398"/>
      <c r="AI144" s="459" t="s">
        <v>29</v>
      </c>
      <c r="AJ144" s="457"/>
      <c r="AK144" s="457"/>
      <c r="AL144" s="457"/>
      <c r="AM144" s="457"/>
      <c r="AN144" s="457"/>
      <c r="AO144" s="457"/>
      <c r="AP144" s="457"/>
      <c r="AQ144" s="458"/>
      <c r="AR144" s="37" t="s">
        <v>27</v>
      </c>
      <c r="AS144" s="37" t="s">
        <v>27</v>
      </c>
      <c r="AT144" s="37" t="s">
        <v>27</v>
      </c>
      <c r="AU144" s="303" t="s">
        <v>29</v>
      </c>
      <c r="AV144" s="304"/>
      <c r="AW144" s="304"/>
      <c r="AX144" s="305"/>
      <c r="AY144" s="303" t="s">
        <v>29</v>
      </c>
      <c r="AZ144" s="304"/>
      <c r="BA144" s="304"/>
      <c r="BB144" s="305"/>
      <c r="BC144" s="460"/>
      <c r="BD144" s="161"/>
      <c r="BE144" s="161"/>
      <c r="BF144" s="161"/>
      <c r="BG144" s="161"/>
      <c r="BH144" s="161"/>
      <c r="BI144" s="161"/>
      <c r="BJ144" s="162"/>
      <c r="BK144" s="21"/>
    </row>
    <row r="145" spans="1:63" ht="63.75" customHeight="1" x14ac:dyDescent="0.25">
      <c r="A145" s="20"/>
      <c r="B145" s="303">
        <v>42</v>
      </c>
      <c r="C145" s="305"/>
      <c r="D145" s="396" t="s">
        <v>156</v>
      </c>
      <c r="E145" s="397"/>
      <c r="F145" s="397"/>
      <c r="G145" s="397"/>
      <c r="H145" s="397"/>
      <c r="I145" s="397"/>
      <c r="J145" s="398"/>
      <c r="K145" s="160" t="s">
        <v>107</v>
      </c>
      <c r="L145" s="161"/>
      <c r="M145" s="162"/>
      <c r="N145" s="37" t="s">
        <v>17</v>
      </c>
      <c r="O145" s="37" t="s">
        <v>27</v>
      </c>
      <c r="P145" s="197" t="s">
        <v>164</v>
      </c>
      <c r="Q145" s="176"/>
      <c r="R145" s="176"/>
      <c r="S145" s="177"/>
      <c r="T145" s="197" t="s">
        <v>191</v>
      </c>
      <c r="U145" s="176"/>
      <c r="V145" s="176"/>
      <c r="W145" s="177"/>
      <c r="X145" s="310" t="s">
        <v>29</v>
      </c>
      <c r="Y145" s="457"/>
      <c r="Z145" s="458"/>
      <c r="AA145" s="166" t="s">
        <v>380</v>
      </c>
      <c r="AB145" s="359"/>
      <c r="AC145" s="359"/>
      <c r="AD145" s="359"/>
      <c r="AE145" s="359"/>
      <c r="AF145" s="359"/>
      <c r="AG145" s="359"/>
      <c r="AH145" s="360"/>
      <c r="AI145" s="459" t="s">
        <v>76</v>
      </c>
      <c r="AJ145" s="457"/>
      <c r="AK145" s="457"/>
      <c r="AL145" s="457"/>
      <c r="AM145" s="457"/>
      <c r="AN145" s="457"/>
      <c r="AO145" s="457"/>
      <c r="AP145" s="457"/>
      <c r="AQ145" s="458"/>
      <c r="AR145" s="37" t="s">
        <v>27</v>
      </c>
      <c r="AS145" s="37" t="s">
        <v>28</v>
      </c>
      <c r="AT145" s="37" t="s">
        <v>28</v>
      </c>
      <c r="AU145" s="303" t="s">
        <v>197</v>
      </c>
      <c r="AV145" s="304"/>
      <c r="AW145" s="304"/>
      <c r="AX145" s="305"/>
      <c r="AY145" s="303" t="s">
        <v>191</v>
      </c>
      <c r="AZ145" s="304"/>
      <c r="BA145" s="304"/>
      <c r="BB145" s="305"/>
      <c r="BC145" s="293" t="s">
        <v>218</v>
      </c>
      <c r="BD145" s="161"/>
      <c r="BE145" s="161"/>
      <c r="BF145" s="161"/>
      <c r="BG145" s="161"/>
      <c r="BH145" s="161"/>
      <c r="BI145" s="161"/>
      <c r="BJ145" s="162"/>
      <c r="BK145" s="21"/>
    </row>
    <row r="146" spans="1:63" x14ac:dyDescent="0.25">
      <c r="A146" s="20"/>
      <c r="B146" s="303">
        <v>43</v>
      </c>
      <c r="C146" s="305"/>
      <c r="D146" s="396" t="s">
        <v>157</v>
      </c>
      <c r="E146" s="397"/>
      <c r="F146" s="397"/>
      <c r="G146" s="397"/>
      <c r="H146" s="397"/>
      <c r="I146" s="397"/>
      <c r="J146" s="398"/>
      <c r="K146" s="160" t="s">
        <v>26</v>
      </c>
      <c r="L146" s="161"/>
      <c r="M146" s="162"/>
      <c r="N146" s="37" t="s">
        <v>29</v>
      </c>
      <c r="O146" s="37" t="s">
        <v>28</v>
      </c>
      <c r="P146" s="197" t="s">
        <v>29</v>
      </c>
      <c r="Q146" s="176"/>
      <c r="R146" s="176"/>
      <c r="S146" s="177"/>
      <c r="T146" s="197" t="s">
        <v>29</v>
      </c>
      <c r="U146" s="176"/>
      <c r="V146" s="176"/>
      <c r="W146" s="177"/>
      <c r="X146" s="310" t="s">
        <v>158</v>
      </c>
      <c r="Y146" s="457"/>
      <c r="Z146" s="458"/>
      <c r="AA146" s="368" t="s">
        <v>291</v>
      </c>
      <c r="AB146" s="369"/>
      <c r="AC146" s="369"/>
      <c r="AD146" s="369"/>
      <c r="AE146" s="369"/>
      <c r="AF146" s="369"/>
      <c r="AG146" s="369"/>
      <c r="AH146" s="370"/>
      <c r="AI146" s="459" t="s">
        <v>29</v>
      </c>
      <c r="AJ146" s="457"/>
      <c r="AK146" s="457"/>
      <c r="AL146" s="457"/>
      <c r="AM146" s="457"/>
      <c r="AN146" s="457"/>
      <c r="AO146" s="457"/>
      <c r="AP146" s="457"/>
      <c r="AQ146" s="458"/>
      <c r="AR146" s="37" t="s">
        <v>27</v>
      </c>
      <c r="AS146" s="37" t="s">
        <v>27</v>
      </c>
      <c r="AT146" s="37" t="s">
        <v>27</v>
      </c>
      <c r="AU146" s="303" t="s">
        <v>29</v>
      </c>
      <c r="AV146" s="304"/>
      <c r="AW146" s="304"/>
      <c r="AX146" s="305"/>
      <c r="AY146" s="303" t="s">
        <v>29</v>
      </c>
      <c r="AZ146" s="304"/>
      <c r="BA146" s="304"/>
      <c r="BB146" s="305"/>
      <c r="BC146" s="460"/>
      <c r="BD146" s="161"/>
      <c r="BE146" s="161"/>
      <c r="BF146" s="161"/>
      <c r="BG146" s="161"/>
      <c r="BH146" s="161"/>
      <c r="BI146" s="161"/>
      <c r="BJ146" s="162"/>
      <c r="BK146" s="21"/>
    </row>
    <row r="147" spans="1:63" ht="66.75" customHeight="1" x14ac:dyDescent="0.25">
      <c r="A147" s="20"/>
      <c r="B147" s="303">
        <v>44</v>
      </c>
      <c r="C147" s="305"/>
      <c r="D147" s="396" t="s">
        <v>155</v>
      </c>
      <c r="E147" s="397"/>
      <c r="F147" s="397"/>
      <c r="G147" s="397"/>
      <c r="H147" s="397"/>
      <c r="I147" s="397"/>
      <c r="J147" s="398"/>
      <c r="K147" s="160" t="s">
        <v>107</v>
      </c>
      <c r="L147" s="161"/>
      <c r="M147" s="162"/>
      <c r="N147" s="37" t="s">
        <v>17</v>
      </c>
      <c r="O147" s="37" t="s">
        <v>27</v>
      </c>
      <c r="P147" s="197" t="s">
        <v>164</v>
      </c>
      <c r="Q147" s="176"/>
      <c r="R147" s="176"/>
      <c r="S147" s="177"/>
      <c r="T147" s="197" t="s">
        <v>192</v>
      </c>
      <c r="U147" s="176"/>
      <c r="V147" s="176"/>
      <c r="W147" s="177"/>
      <c r="X147" s="310" t="s">
        <v>29</v>
      </c>
      <c r="Y147" s="457"/>
      <c r="Z147" s="458"/>
      <c r="AA147" s="166" t="s">
        <v>381</v>
      </c>
      <c r="AB147" s="359"/>
      <c r="AC147" s="359"/>
      <c r="AD147" s="359"/>
      <c r="AE147" s="359"/>
      <c r="AF147" s="359"/>
      <c r="AG147" s="359"/>
      <c r="AH147" s="360"/>
      <c r="AI147" s="459" t="s">
        <v>76</v>
      </c>
      <c r="AJ147" s="457"/>
      <c r="AK147" s="457"/>
      <c r="AL147" s="457"/>
      <c r="AM147" s="457"/>
      <c r="AN147" s="457"/>
      <c r="AO147" s="457"/>
      <c r="AP147" s="457"/>
      <c r="AQ147" s="458"/>
      <c r="AR147" s="37" t="s">
        <v>27</v>
      </c>
      <c r="AS147" s="37" t="s">
        <v>28</v>
      </c>
      <c r="AT147" s="37" t="s">
        <v>28</v>
      </c>
      <c r="AU147" s="303" t="s">
        <v>197</v>
      </c>
      <c r="AV147" s="304"/>
      <c r="AW147" s="304"/>
      <c r="AX147" s="305"/>
      <c r="AY147" s="303" t="s">
        <v>192</v>
      </c>
      <c r="AZ147" s="304"/>
      <c r="BA147" s="304"/>
      <c r="BB147" s="305"/>
      <c r="BC147" s="293" t="s">
        <v>218</v>
      </c>
      <c r="BD147" s="161"/>
      <c r="BE147" s="161"/>
      <c r="BF147" s="161"/>
      <c r="BG147" s="161"/>
      <c r="BH147" s="161"/>
      <c r="BI147" s="161"/>
      <c r="BJ147" s="162"/>
      <c r="BK147" s="21"/>
    </row>
    <row r="148" spans="1:63" x14ac:dyDescent="0.25">
      <c r="A148" s="20"/>
      <c r="B148" s="303">
        <v>45</v>
      </c>
      <c r="C148" s="305"/>
      <c r="D148" s="396" t="s">
        <v>159</v>
      </c>
      <c r="E148" s="397"/>
      <c r="F148" s="397"/>
      <c r="G148" s="397"/>
      <c r="H148" s="397"/>
      <c r="I148" s="397"/>
      <c r="J148" s="398"/>
      <c r="K148" s="160" t="s">
        <v>26</v>
      </c>
      <c r="L148" s="161"/>
      <c r="M148" s="162"/>
      <c r="N148" s="37" t="s">
        <v>29</v>
      </c>
      <c r="O148" s="37" t="s">
        <v>28</v>
      </c>
      <c r="P148" s="197" t="s">
        <v>29</v>
      </c>
      <c r="Q148" s="176"/>
      <c r="R148" s="176"/>
      <c r="S148" s="177"/>
      <c r="T148" s="197" t="s">
        <v>29</v>
      </c>
      <c r="U148" s="176"/>
      <c r="V148" s="176"/>
      <c r="W148" s="177"/>
      <c r="X148" s="310" t="s">
        <v>158</v>
      </c>
      <c r="Y148" s="457"/>
      <c r="Z148" s="458"/>
      <c r="AA148" s="368" t="s">
        <v>291</v>
      </c>
      <c r="AB148" s="369"/>
      <c r="AC148" s="369"/>
      <c r="AD148" s="369"/>
      <c r="AE148" s="369"/>
      <c r="AF148" s="369"/>
      <c r="AG148" s="369"/>
      <c r="AH148" s="370"/>
      <c r="AI148" s="459" t="s">
        <v>29</v>
      </c>
      <c r="AJ148" s="457"/>
      <c r="AK148" s="457"/>
      <c r="AL148" s="457"/>
      <c r="AM148" s="457"/>
      <c r="AN148" s="457"/>
      <c r="AO148" s="457"/>
      <c r="AP148" s="457"/>
      <c r="AQ148" s="458"/>
      <c r="AR148" s="37" t="s">
        <v>27</v>
      </c>
      <c r="AS148" s="37" t="s">
        <v>27</v>
      </c>
      <c r="AT148" s="37" t="s">
        <v>27</v>
      </c>
      <c r="AU148" s="303" t="s">
        <v>29</v>
      </c>
      <c r="AV148" s="304"/>
      <c r="AW148" s="304"/>
      <c r="AX148" s="305"/>
      <c r="AY148" s="303" t="s">
        <v>29</v>
      </c>
      <c r="AZ148" s="304"/>
      <c r="BA148" s="304"/>
      <c r="BB148" s="305"/>
      <c r="BC148" s="293"/>
      <c r="BD148" s="161"/>
      <c r="BE148" s="161"/>
      <c r="BF148" s="161"/>
      <c r="BG148" s="161"/>
      <c r="BH148" s="161"/>
      <c r="BI148" s="161"/>
      <c r="BJ148" s="162"/>
      <c r="BK148" s="21"/>
    </row>
    <row r="149" spans="1:63" ht="62.25" customHeight="1" x14ac:dyDescent="0.25">
      <c r="A149" s="20"/>
      <c r="B149" s="303">
        <v>46</v>
      </c>
      <c r="C149" s="305"/>
      <c r="D149" s="396" t="s">
        <v>160</v>
      </c>
      <c r="E149" s="397"/>
      <c r="F149" s="397"/>
      <c r="G149" s="397"/>
      <c r="H149" s="397"/>
      <c r="I149" s="397"/>
      <c r="J149" s="398"/>
      <c r="K149" s="160" t="s">
        <v>107</v>
      </c>
      <c r="L149" s="161"/>
      <c r="M149" s="162"/>
      <c r="N149" s="37" t="s">
        <v>17</v>
      </c>
      <c r="O149" s="37" t="s">
        <v>27</v>
      </c>
      <c r="P149" s="197" t="s">
        <v>164</v>
      </c>
      <c r="Q149" s="176"/>
      <c r="R149" s="176"/>
      <c r="S149" s="177"/>
      <c r="T149" s="197" t="s">
        <v>193</v>
      </c>
      <c r="U149" s="176"/>
      <c r="V149" s="176"/>
      <c r="W149" s="177"/>
      <c r="X149" s="310" t="s">
        <v>29</v>
      </c>
      <c r="Y149" s="457"/>
      <c r="Z149" s="458"/>
      <c r="AA149" s="166" t="s">
        <v>382</v>
      </c>
      <c r="AB149" s="359"/>
      <c r="AC149" s="359"/>
      <c r="AD149" s="359"/>
      <c r="AE149" s="359"/>
      <c r="AF149" s="359"/>
      <c r="AG149" s="359"/>
      <c r="AH149" s="360"/>
      <c r="AI149" s="459" t="s">
        <v>76</v>
      </c>
      <c r="AJ149" s="457"/>
      <c r="AK149" s="457"/>
      <c r="AL149" s="457"/>
      <c r="AM149" s="457"/>
      <c r="AN149" s="457"/>
      <c r="AO149" s="457"/>
      <c r="AP149" s="457"/>
      <c r="AQ149" s="458"/>
      <c r="AR149" s="37" t="s">
        <v>27</v>
      </c>
      <c r="AS149" s="37" t="s">
        <v>28</v>
      </c>
      <c r="AT149" s="37" t="s">
        <v>28</v>
      </c>
      <c r="AU149" s="303" t="s">
        <v>197</v>
      </c>
      <c r="AV149" s="304"/>
      <c r="AW149" s="304"/>
      <c r="AX149" s="305"/>
      <c r="AY149" s="303" t="s">
        <v>193</v>
      </c>
      <c r="AZ149" s="304"/>
      <c r="BA149" s="304"/>
      <c r="BB149" s="305"/>
      <c r="BC149" s="293" t="s">
        <v>218</v>
      </c>
      <c r="BD149" s="161"/>
      <c r="BE149" s="161"/>
      <c r="BF149" s="161"/>
      <c r="BG149" s="161"/>
      <c r="BH149" s="161"/>
      <c r="BI149" s="161"/>
      <c r="BJ149" s="162"/>
      <c r="BK149" s="21"/>
    </row>
    <row r="150" spans="1:63" x14ac:dyDescent="0.25">
      <c r="A150" s="20"/>
      <c r="B150" s="303">
        <v>47</v>
      </c>
      <c r="C150" s="305"/>
      <c r="D150" s="396" t="s">
        <v>213</v>
      </c>
      <c r="E150" s="397"/>
      <c r="F150" s="397"/>
      <c r="G150" s="397"/>
      <c r="H150" s="397"/>
      <c r="I150" s="397"/>
      <c r="J150" s="398"/>
      <c r="K150" s="160" t="s">
        <v>60</v>
      </c>
      <c r="L150" s="161"/>
      <c r="M150" s="162"/>
      <c r="N150" s="37" t="s">
        <v>61</v>
      </c>
      <c r="O150" s="37" t="s">
        <v>28</v>
      </c>
      <c r="P150" s="197" t="s">
        <v>29</v>
      </c>
      <c r="Q150" s="176"/>
      <c r="R150" s="176"/>
      <c r="S150" s="177"/>
      <c r="T150" s="197" t="s">
        <v>29</v>
      </c>
      <c r="U150" s="176"/>
      <c r="V150" s="176"/>
      <c r="W150" s="177"/>
      <c r="X150" s="405" t="s">
        <v>383</v>
      </c>
      <c r="Y150" s="336"/>
      <c r="Z150" s="337"/>
      <c r="AA150" s="396" t="s">
        <v>29</v>
      </c>
      <c r="AB150" s="397"/>
      <c r="AC150" s="397"/>
      <c r="AD150" s="397"/>
      <c r="AE150" s="397"/>
      <c r="AF150" s="397"/>
      <c r="AG150" s="397"/>
      <c r="AH150" s="398"/>
      <c r="AI150" s="459" t="s">
        <v>76</v>
      </c>
      <c r="AJ150" s="457"/>
      <c r="AK150" s="457"/>
      <c r="AL150" s="457"/>
      <c r="AM150" s="457"/>
      <c r="AN150" s="457"/>
      <c r="AO150" s="457"/>
      <c r="AP150" s="457"/>
      <c r="AQ150" s="458"/>
      <c r="AR150" s="37" t="s">
        <v>27</v>
      </c>
      <c r="AS150" s="37" t="s">
        <v>27</v>
      </c>
      <c r="AT150" s="37" t="s">
        <v>27</v>
      </c>
      <c r="AU150" s="303" t="s">
        <v>29</v>
      </c>
      <c r="AV150" s="304"/>
      <c r="AW150" s="304"/>
      <c r="AX150" s="305"/>
      <c r="AY150" s="303" t="s">
        <v>29</v>
      </c>
      <c r="AZ150" s="304"/>
      <c r="BA150" s="304"/>
      <c r="BB150" s="305"/>
      <c r="BC150" s="293" t="s">
        <v>228</v>
      </c>
      <c r="BD150" s="161"/>
      <c r="BE150" s="161"/>
      <c r="BF150" s="161"/>
      <c r="BG150" s="161"/>
      <c r="BH150" s="161"/>
      <c r="BI150" s="161"/>
      <c r="BJ150" s="162"/>
      <c r="BK150" s="21"/>
    </row>
    <row r="151" spans="1:63" x14ac:dyDescent="0.25">
      <c r="A151" s="20"/>
      <c r="B151" s="303">
        <v>48</v>
      </c>
      <c r="C151" s="305"/>
      <c r="D151" s="396" t="s">
        <v>216</v>
      </c>
      <c r="E151" s="397"/>
      <c r="F151" s="397"/>
      <c r="G151" s="397"/>
      <c r="H151" s="397"/>
      <c r="I151" s="397"/>
      <c r="J151" s="398"/>
      <c r="K151" s="160" t="s">
        <v>60</v>
      </c>
      <c r="L151" s="161"/>
      <c r="M151" s="162"/>
      <c r="N151" s="37" t="s">
        <v>61</v>
      </c>
      <c r="O151" s="37" t="s">
        <v>28</v>
      </c>
      <c r="P151" s="197" t="s">
        <v>29</v>
      </c>
      <c r="Q151" s="176"/>
      <c r="R151" s="176"/>
      <c r="S151" s="177"/>
      <c r="T151" s="197" t="s">
        <v>29</v>
      </c>
      <c r="U151" s="176"/>
      <c r="V151" s="176"/>
      <c r="W151" s="177"/>
      <c r="X151" s="310" t="s">
        <v>220</v>
      </c>
      <c r="Y151" s="457"/>
      <c r="Z151" s="458"/>
      <c r="AA151" s="396" t="s">
        <v>29</v>
      </c>
      <c r="AB151" s="397"/>
      <c r="AC151" s="397"/>
      <c r="AD151" s="397"/>
      <c r="AE151" s="397"/>
      <c r="AF151" s="397"/>
      <c r="AG151" s="397"/>
      <c r="AH151" s="398"/>
      <c r="AI151" s="459" t="s">
        <v>76</v>
      </c>
      <c r="AJ151" s="457"/>
      <c r="AK151" s="457"/>
      <c r="AL151" s="457"/>
      <c r="AM151" s="457"/>
      <c r="AN151" s="457"/>
      <c r="AO151" s="457"/>
      <c r="AP151" s="457"/>
      <c r="AQ151" s="458"/>
      <c r="AR151" s="37"/>
      <c r="AS151" s="37"/>
      <c r="AT151" s="37"/>
      <c r="AU151" s="303"/>
      <c r="AV151" s="304"/>
      <c r="AW151" s="304"/>
      <c r="AX151" s="305"/>
      <c r="AY151" s="303"/>
      <c r="AZ151" s="304"/>
      <c r="BA151" s="304"/>
      <c r="BB151" s="305"/>
      <c r="BC151" s="293" t="s">
        <v>229</v>
      </c>
      <c r="BD151" s="161"/>
      <c r="BE151" s="161"/>
      <c r="BF151" s="161"/>
      <c r="BG151" s="161"/>
      <c r="BH151" s="161"/>
      <c r="BI151" s="161"/>
      <c r="BJ151" s="162"/>
      <c r="BK151" s="21"/>
    </row>
    <row r="152" spans="1:63" ht="15.75" customHeight="1" x14ac:dyDescent="0.25">
      <c r="A152" s="20"/>
      <c r="B152" s="303">
        <v>49</v>
      </c>
      <c r="C152" s="305"/>
      <c r="D152" s="396" t="s">
        <v>217</v>
      </c>
      <c r="E152" s="397"/>
      <c r="F152" s="397"/>
      <c r="G152" s="397"/>
      <c r="H152" s="397"/>
      <c r="I152" s="397"/>
      <c r="J152" s="398"/>
      <c r="K152" s="160" t="s">
        <v>60</v>
      </c>
      <c r="L152" s="161"/>
      <c r="M152" s="162"/>
      <c r="N152" s="37" t="s">
        <v>61</v>
      </c>
      <c r="O152" s="37" t="s">
        <v>28</v>
      </c>
      <c r="P152" s="197" t="s">
        <v>29</v>
      </c>
      <c r="Q152" s="176"/>
      <c r="R152" s="176"/>
      <c r="S152" s="177"/>
      <c r="T152" s="197" t="s">
        <v>29</v>
      </c>
      <c r="U152" s="176"/>
      <c r="V152" s="176"/>
      <c r="W152" s="177"/>
      <c r="X152" s="310" t="s">
        <v>77</v>
      </c>
      <c r="Y152" s="457"/>
      <c r="Z152" s="458"/>
      <c r="AA152" s="396" t="s">
        <v>29</v>
      </c>
      <c r="AB152" s="397"/>
      <c r="AC152" s="397"/>
      <c r="AD152" s="397"/>
      <c r="AE152" s="397"/>
      <c r="AF152" s="397"/>
      <c r="AG152" s="397"/>
      <c r="AH152" s="398"/>
      <c r="AI152" s="459" t="s">
        <v>76</v>
      </c>
      <c r="AJ152" s="457"/>
      <c r="AK152" s="457"/>
      <c r="AL152" s="457"/>
      <c r="AM152" s="457"/>
      <c r="AN152" s="457"/>
      <c r="AO152" s="457"/>
      <c r="AP152" s="457"/>
      <c r="AQ152" s="458"/>
      <c r="AR152" s="37" t="s">
        <v>27</v>
      </c>
      <c r="AS152" s="37" t="s">
        <v>27</v>
      </c>
      <c r="AT152" s="37" t="s">
        <v>27</v>
      </c>
      <c r="AU152" s="303" t="s">
        <v>29</v>
      </c>
      <c r="AV152" s="304"/>
      <c r="AW152" s="304"/>
      <c r="AX152" s="305"/>
      <c r="AY152" s="303" t="s">
        <v>29</v>
      </c>
      <c r="AZ152" s="304"/>
      <c r="BA152" s="304"/>
      <c r="BB152" s="305"/>
      <c r="BC152" s="293" t="s">
        <v>229</v>
      </c>
      <c r="BD152" s="161"/>
      <c r="BE152" s="161"/>
      <c r="BF152" s="161"/>
      <c r="BG152" s="161"/>
      <c r="BH152" s="161"/>
      <c r="BI152" s="161"/>
      <c r="BJ152" s="162"/>
      <c r="BK152" s="21"/>
    </row>
    <row r="153" spans="1:63" ht="15.75" customHeight="1" x14ac:dyDescent="0.25">
      <c r="A153" s="20"/>
      <c r="B153" s="346">
        <v>50</v>
      </c>
      <c r="C153" s="348"/>
      <c r="D153" s="477" t="s">
        <v>215</v>
      </c>
      <c r="E153" s="478"/>
      <c r="F153" s="478"/>
      <c r="G153" s="478"/>
      <c r="H153" s="478"/>
      <c r="I153" s="478"/>
      <c r="J153" s="479"/>
      <c r="K153" s="343" t="s">
        <v>60</v>
      </c>
      <c r="L153" s="344"/>
      <c r="M153" s="345"/>
      <c r="N153" s="39" t="s">
        <v>61</v>
      </c>
      <c r="O153" s="39" t="s">
        <v>28</v>
      </c>
      <c r="P153" s="480" t="s">
        <v>29</v>
      </c>
      <c r="Q153" s="481"/>
      <c r="R153" s="481"/>
      <c r="S153" s="482"/>
      <c r="T153" s="480" t="s">
        <v>29</v>
      </c>
      <c r="U153" s="481"/>
      <c r="V153" s="481"/>
      <c r="W153" s="482"/>
      <c r="X153" s="489" t="s">
        <v>214</v>
      </c>
      <c r="Y153" s="490"/>
      <c r="Z153" s="491"/>
      <c r="AA153" s="477" t="s">
        <v>29</v>
      </c>
      <c r="AB153" s="478"/>
      <c r="AC153" s="478"/>
      <c r="AD153" s="478"/>
      <c r="AE153" s="478"/>
      <c r="AF153" s="478"/>
      <c r="AG153" s="478"/>
      <c r="AH153" s="479"/>
      <c r="AI153" s="483" t="s">
        <v>384</v>
      </c>
      <c r="AJ153" s="484"/>
      <c r="AK153" s="484"/>
      <c r="AL153" s="484"/>
      <c r="AM153" s="484"/>
      <c r="AN153" s="484"/>
      <c r="AO153" s="484"/>
      <c r="AP153" s="484"/>
      <c r="AQ153" s="485"/>
      <c r="AR153" s="39" t="s">
        <v>27</v>
      </c>
      <c r="AS153" s="39" t="s">
        <v>27</v>
      </c>
      <c r="AT153" s="39" t="s">
        <v>27</v>
      </c>
      <c r="AU153" s="346" t="s">
        <v>29</v>
      </c>
      <c r="AV153" s="347"/>
      <c r="AW153" s="347"/>
      <c r="AX153" s="348"/>
      <c r="AY153" s="346" t="s">
        <v>29</v>
      </c>
      <c r="AZ153" s="347"/>
      <c r="BA153" s="347"/>
      <c r="BB153" s="348"/>
      <c r="BC153" s="486" t="s">
        <v>229</v>
      </c>
      <c r="BD153" s="487"/>
      <c r="BE153" s="487"/>
      <c r="BF153" s="487"/>
      <c r="BG153" s="487"/>
      <c r="BH153" s="487"/>
      <c r="BI153" s="487"/>
      <c r="BJ153" s="488"/>
      <c r="BK153" s="21"/>
    </row>
    <row r="154" spans="1:63" x14ac:dyDescent="0.25">
      <c r="BK154" s="21"/>
    </row>
    <row r="155" spans="1:63" x14ac:dyDescent="0.25">
      <c r="BK155" s="21"/>
    </row>
    <row r="156" spans="1:63" x14ac:dyDescent="0.25">
      <c r="A156" s="18"/>
      <c r="B156" s="18"/>
      <c r="C156" s="18"/>
      <c r="D156" s="18"/>
      <c r="E156" s="18"/>
      <c r="F156" s="18"/>
      <c r="G156" s="18"/>
      <c r="H156" s="18"/>
      <c r="I156" s="18"/>
      <c r="J156" s="18"/>
      <c r="K156" s="18"/>
      <c r="L156" s="18"/>
      <c r="M156" s="18"/>
      <c r="N156" s="18"/>
      <c r="O156" s="18"/>
      <c r="P156" s="18"/>
      <c r="Q156" s="18"/>
      <c r="R156" s="18"/>
      <c r="S156" s="18"/>
      <c r="T156" s="18" t="s">
        <v>211</v>
      </c>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9"/>
    </row>
  </sheetData>
  <mergeCells count="645">
    <mergeCell ref="X151:Z151"/>
    <mergeCell ref="AA151:AH151"/>
    <mergeCell ref="AI151:AQ151"/>
    <mergeCell ref="AU151:AX151"/>
    <mergeCell ref="AY151:BB151"/>
    <mergeCell ref="BC151:BJ151"/>
    <mergeCell ref="B152:C152"/>
    <mergeCell ref="D152:J152"/>
    <mergeCell ref="K152:M152"/>
    <mergeCell ref="P152:S152"/>
    <mergeCell ref="T152:W152"/>
    <mergeCell ref="X152:Z152"/>
    <mergeCell ref="AA152:AH152"/>
    <mergeCell ref="AI152:AQ152"/>
    <mergeCell ref="AU152:AX152"/>
    <mergeCell ref="AY152:BB152"/>
    <mergeCell ref="BC152:BJ152"/>
    <mergeCell ref="BC99:BJ99"/>
    <mergeCell ref="AA153:AH153"/>
    <mergeCell ref="AI153:AQ153"/>
    <mergeCell ref="AU153:AX153"/>
    <mergeCell ref="AY153:BB153"/>
    <mergeCell ref="BC153:BJ153"/>
    <mergeCell ref="X153:Z153"/>
    <mergeCell ref="X150:Z150"/>
    <mergeCell ref="AA150:AH150"/>
    <mergeCell ref="AI150:AQ150"/>
    <mergeCell ref="AU150:AX150"/>
    <mergeCell ref="AY150:BB150"/>
    <mergeCell ref="BC150:BJ150"/>
    <mergeCell ref="AA149:AH149"/>
    <mergeCell ref="AI149:AQ149"/>
    <mergeCell ref="AU149:AX149"/>
    <mergeCell ref="AY149:BB149"/>
    <mergeCell ref="BC149:BJ149"/>
    <mergeCell ref="X149:Z149"/>
    <mergeCell ref="AI148:AQ148"/>
    <mergeCell ref="AU148:AX148"/>
    <mergeCell ref="AY148:BB148"/>
    <mergeCell ref="BC148:BJ148"/>
    <mergeCell ref="AA147:AH147"/>
    <mergeCell ref="D153:J153"/>
    <mergeCell ref="K153:M153"/>
    <mergeCell ref="P153:S153"/>
    <mergeCell ref="T153:W153"/>
    <mergeCell ref="D150:J150"/>
    <mergeCell ref="K150:M150"/>
    <mergeCell ref="P150:S150"/>
    <mergeCell ref="T150:W150"/>
    <mergeCell ref="B149:C149"/>
    <mergeCell ref="D149:J149"/>
    <mergeCell ref="K149:M149"/>
    <mergeCell ref="P149:S149"/>
    <mergeCell ref="T149:W149"/>
    <mergeCell ref="B153:C153"/>
    <mergeCell ref="B150:C150"/>
    <mergeCell ref="B151:C151"/>
    <mergeCell ref="D151:J151"/>
    <mergeCell ref="K151:M151"/>
    <mergeCell ref="P151:S151"/>
    <mergeCell ref="T151:W151"/>
    <mergeCell ref="AI147:AQ147"/>
    <mergeCell ref="AU147:AX147"/>
    <mergeCell ref="AY147:BB147"/>
    <mergeCell ref="BC147:BJ147"/>
    <mergeCell ref="T148:W148"/>
    <mergeCell ref="B147:C147"/>
    <mergeCell ref="D147:J147"/>
    <mergeCell ref="K147:M147"/>
    <mergeCell ref="P147:S147"/>
    <mergeCell ref="T147:W147"/>
    <mergeCell ref="X147:Z147"/>
    <mergeCell ref="X146:Z146"/>
    <mergeCell ref="AA146:AH146"/>
    <mergeCell ref="B146:C146"/>
    <mergeCell ref="D146:J146"/>
    <mergeCell ref="K146:M146"/>
    <mergeCell ref="P146:S146"/>
    <mergeCell ref="T146:W146"/>
    <mergeCell ref="X148:Z148"/>
    <mergeCell ref="AA148:AH148"/>
    <mergeCell ref="B148:C148"/>
    <mergeCell ref="D148:J148"/>
    <mergeCell ref="K148:M148"/>
    <mergeCell ref="P148:S148"/>
    <mergeCell ref="AI146:AQ146"/>
    <mergeCell ref="AU146:AX146"/>
    <mergeCell ref="AY146:BB146"/>
    <mergeCell ref="BC146:BJ146"/>
    <mergeCell ref="AA145:AH145"/>
    <mergeCell ref="AI145:AQ145"/>
    <mergeCell ref="AU145:AX145"/>
    <mergeCell ref="AY145:BB145"/>
    <mergeCell ref="BC145:BJ145"/>
    <mergeCell ref="B145:C145"/>
    <mergeCell ref="D145:J145"/>
    <mergeCell ref="K145:M145"/>
    <mergeCell ref="P145:S145"/>
    <mergeCell ref="T145:W145"/>
    <mergeCell ref="X145:Z145"/>
    <mergeCell ref="X144:Z144"/>
    <mergeCell ref="AA144:AH144"/>
    <mergeCell ref="AI144:AQ144"/>
    <mergeCell ref="AU144:AX144"/>
    <mergeCell ref="AY144:BB144"/>
    <mergeCell ref="BC144:BJ144"/>
    <mergeCell ref="AA143:AH143"/>
    <mergeCell ref="AI143:AQ143"/>
    <mergeCell ref="AU143:AX143"/>
    <mergeCell ref="AY143:BB143"/>
    <mergeCell ref="BC143:BJ143"/>
    <mergeCell ref="B144:C144"/>
    <mergeCell ref="D144:J144"/>
    <mergeCell ref="K144:M144"/>
    <mergeCell ref="P144:S144"/>
    <mergeCell ref="T144:W144"/>
    <mergeCell ref="B143:C143"/>
    <mergeCell ref="D143:J143"/>
    <mergeCell ref="K143:M143"/>
    <mergeCell ref="P143:S143"/>
    <mergeCell ref="T143:W143"/>
    <mergeCell ref="X143:Z143"/>
    <mergeCell ref="X142:Z142"/>
    <mergeCell ref="AA142:AH142"/>
    <mergeCell ref="AI142:AQ142"/>
    <mergeCell ref="AU142:AX142"/>
    <mergeCell ref="AY142:BB142"/>
    <mergeCell ref="BC142:BJ142"/>
    <mergeCell ref="AA141:AH141"/>
    <mergeCell ref="AI141:AQ141"/>
    <mergeCell ref="AU141:AX141"/>
    <mergeCell ref="AY141:BB141"/>
    <mergeCell ref="BC141:BJ141"/>
    <mergeCell ref="X141:Z141"/>
    <mergeCell ref="B142:C142"/>
    <mergeCell ref="D142:J142"/>
    <mergeCell ref="K142:M142"/>
    <mergeCell ref="P142:S142"/>
    <mergeCell ref="T142:W142"/>
    <mergeCell ref="B141:C141"/>
    <mergeCell ref="D141:J141"/>
    <mergeCell ref="K141:M141"/>
    <mergeCell ref="P141:S141"/>
    <mergeCell ref="T141:W141"/>
    <mergeCell ref="X140:Z140"/>
    <mergeCell ref="AA140:AH140"/>
    <mergeCell ref="AI140:AQ140"/>
    <mergeCell ref="AU140:AX140"/>
    <mergeCell ref="AY140:BB140"/>
    <mergeCell ref="BC140:BJ140"/>
    <mergeCell ref="AA139:AH139"/>
    <mergeCell ref="AI139:AQ139"/>
    <mergeCell ref="AU139:AX139"/>
    <mergeCell ref="AY139:BB139"/>
    <mergeCell ref="BC139:BJ139"/>
    <mergeCell ref="X139:Z139"/>
    <mergeCell ref="B140:C140"/>
    <mergeCell ref="D140:J140"/>
    <mergeCell ref="K140:M140"/>
    <mergeCell ref="P140:S140"/>
    <mergeCell ref="T140:W140"/>
    <mergeCell ref="B139:C139"/>
    <mergeCell ref="D139:J139"/>
    <mergeCell ref="K139:M139"/>
    <mergeCell ref="P139:S139"/>
    <mergeCell ref="T139:W139"/>
    <mergeCell ref="X138:Z138"/>
    <mergeCell ref="AA138:AH138"/>
    <mergeCell ref="AI138:AQ138"/>
    <mergeCell ref="AU138:AX138"/>
    <mergeCell ref="AY138:BB138"/>
    <mergeCell ref="BC138:BJ138"/>
    <mergeCell ref="AA135:AH135"/>
    <mergeCell ref="AI135:AQ135"/>
    <mergeCell ref="AU135:AX135"/>
    <mergeCell ref="AY135:BB135"/>
    <mergeCell ref="BC135:BJ135"/>
    <mergeCell ref="X135:Z135"/>
    <mergeCell ref="X136:Z136"/>
    <mergeCell ref="AA136:AH136"/>
    <mergeCell ref="AI136:AQ136"/>
    <mergeCell ref="AU136:AX136"/>
    <mergeCell ref="AY136:BB136"/>
    <mergeCell ref="BC136:BJ136"/>
    <mergeCell ref="X137:Z137"/>
    <mergeCell ref="AA137:AH137"/>
    <mergeCell ref="AI137:AQ137"/>
    <mergeCell ref="AU137:AX137"/>
    <mergeCell ref="AY137:BB137"/>
    <mergeCell ref="BC137:BJ137"/>
    <mergeCell ref="B138:C138"/>
    <mergeCell ref="D138:J138"/>
    <mergeCell ref="K138:M138"/>
    <mergeCell ref="P138:S138"/>
    <mergeCell ref="T138:W138"/>
    <mergeCell ref="B135:C135"/>
    <mergeCell ref="D135:J135"/>
    <mergeCell ref="K135:M135"/>
    <mergeCell ref="P135:S135"/>
    <mergeCell ref="T135:W135"/>
    <mergeCell ref="B136:C136"/>
    <mergeCell ref="D136:J136"/>
    <mergeCell ref="K136:M136"/>
    <mergeCell ref="P136:S136"/>
    <mergeCell ref="T136:W136"/>
    <mergeCell ref="B137:C137"/>
    <mergeCell ref="D137:J137"/>
    <mergeCell ref="K137:M137"/>
    <mergeCell ref="P137:S137"/>
    <mergeCell ref="T137:W137"/>
    <mergeCell ref="AI134:AQ134"/>
    <mergeCell ref="AU134:AX134"/>
    <mergeCell ref="AY134:BB134"/>
    <mergeCell ref="BC134:BJ134"/>
    <mergeCell ref="AA133:AH133"/>
    <mergeCell ref="AI133:AQ133"/>
    <mergeCell ref="AU133:AX133"/>
    <mergeCell ref="AY133:BB133"/>
    <mergeCell ref="BC133:BJ133"/>
    <mergeCell ref="X134:Z134"/>
    <mergeCell ref="X133:Z133"/>
    <mergeCell ref="B132:C132"/>
    <mergeCell ref="D132:J132"/>
    <mergeCell ref="K132:M132"/>
    <mergeCell ref="P132:S132"/>
    <mergeCell ref="T132:W132"/>
    <mergeCell ref="X132:Z132"/>
    <mergeCell ref="AA134:AH134"/>
    <mergeCell ref="AA132:AH132"/>
    <mergeCell ref="T122:W122"/>
    <mergeCell ref="B134:C134"/>
    <mergeCell ref="D134:J134"/>
    <mergeCell ref="K134:M134"/>
    <mergeCell ref="P134:S134"/>
    <mergeCell ref="T134:W134"/>
    <mergeCell ref="B133:C133"/>
    <mergeCell ref="D133:J133"/>
    <mergeCell ref="K133:M133"/>
    <mergeCell ref="P133:S133"/>
    <mergeCell ref="T133:W133"/>
    <mergeCell ref="B130:C130"/>
    <mergeCell ref="D130:J130"/>
    <mergeCell ref="K130:M130"/>
    <mergeCell ref="P130:S130"/>
    <mergeCell ref="T130:W130"/>
    <mergeCell ref="AU132:AX132"/>
    <mergeCell ref="AY132:BB132"/>
    <mergeCell ref="BC132:BJ132"/>
    <mergeCell ref="AA123:AH123"/>
    <mergeCell ref="AI123:AQ123"/>
    <mergeCell ref="AU123:AX123"/>
    <mergeCell ref="AY123:BB123"/>
    <mergeCell ref="BC123:BJ123"/>
    <mergeCell ref="X123:Z123"/>
    <mergeCell ref="AA126:AH126"/>
    <mergeCell ref="AI126:AQ126"/>
    <mergeCell ref="AU126:AX126"/>
    <mergeCell ref="AY126:BB126"/>
    <mergeCell ref="BC126:BJ126"/>
    <mergeCell ref="AA125:AH125"/>
    <mergeCell ref="AI125:AQ125"/>
    <mergeCell ref="AU125:AX125"/>
    <mergeCell ref="AY125:BB125"/>
    <mergeCell ref="BC125:BJ125"/>
    <mergeCell ref="X127:Z127"/>
    <mergeCell ref="AU124:AX124"/>
    <mergeCell ref="AY124:BB124"/>
    <mergeCell ref="AU127:AX127"/>
    <mergeCell ref="AY127:BB127"/>
    <mergeCell ref="AI132:AQ132"/>
    <mergeCell ref="AA124:AH124"/>
    <mergeCell ref="AI124:AQ124"/>
    <mergeCell ref="AA127:AH127"/>
    <mergeCell ref="AI127:AQ127"/>
    <mergeCell ref="T126:W126"/>
    <mergeCell ref="B125:C125"/>
    <mergeCell ref="D125:J125"/>
    <mergeCell ref="K125:M125"/>
    <mergeCell ref="P125:S125"/>
    <mergeCell ref="T125:W125"/>
    <mergeCell ref="B124:C124"/>
    <mergeCell ref="D124:J124"/>
    <mergeCell ref="K124:M124"/>
    <mergeCell ref="P124:S124"/>
    <mergeCell ref="T124:W124"/>
    <mergeCell ref="X126:Z126"/>
    <mergeCell ref="X125:Z125"/>
    <mergeCell ref="B128:C128"/>
    <mergeCell ref="D128:J128"/>
    <mergeCell ref="K128:M128"/>
    <mergeCell ref="P128:S128"/>
    <mergeCell ref="T128:W128"/>
    <mergeCell ref="X128:Z128"/>
    <mergeCell ref="BC127:BJ127"/>
    <mergeCell ref="D120:J120"/>
    <mergeCell ref="K120:M120"/>
    <mergeCell ref="P120:S120"/>
    <mergeCell ref="T120:W120"/>
    <mergeCell ref="B127:C127"/>
    <mergeCell ref="D127:J127"/>
    <mergeCell ref="K127:M127"/>
    <mergeCell ref="P127:S127"/>
    <mergeCell ref="T127:W127"/>
    <mergeCell ref="B126:C126"/>
    <mergeCell ref="D126:J126"/>
    <mergeCell ref="K126:M126"/>
    <mergeCell ref="P126:S126"/>
    <mergeCell ref="B123:C123"/>
    <mergeCell ref="D123:J123"/>
    <mergeCell ref="K123:M123"/>
    <mergeCell ref="P123:S123"/>
    <mergeCell ref="T123:W123"/>
    <mergeCell ref="B122:C122"/>
    <mergeCell ref="D122:J122"/>
    <mergeCell ref="K122:M122"/>
    <mergeCell ref="P122:S122"/>
    <mergeCell ref="X122:Z122"/>
    <mergeCell ref="B121:C121"/>
    <mergeCell ref="BC124:BJ124"/>
    <mergeCell ref="X120:Z120"/>
    <mergeCell ref="AA120:AH120"/>
    <mergeCell ref="AI120:AQ120"/>
    <mergeCell ref="AU120:AX120"/>
    <mergeCell ref="AY120:BB120"/>
    <mergeCell ref="BC120:BJ120"/>
    <mergeCell ref="AA121:AH121"/>
    <mergeCell ref="AI121:AQ121"/>
    <mergeCell ref="AU121:AX121"/>
    <mergeCell ref="AY121:BB121"/>
    <mergeCell ref="BC121:BJ121"/>
    <mergeCell ref="X121:Z121"/>
    <mergeCell ref="AA122:AH122"/>
    <mergeCell ref="AI122:AQ122"/>
    <mergeCell ref="AU122:AX122"/>
    <mergeCell ref="AY122:BB122"/>
    <mergeCell ref="BC122:BJ122"/>
    <mergeCell ref="X124:Z124"/>
    <mergeCell ref="D121:J121"/>
    <mergeCell ref="K121:M121"/>
    <mergeCell ref="P121:S121"/>
    <mergeCell ref="T121:W121"/>
    <mergeCell ref="AA119:AH119"/>
    <mergeCell ref="AI119:AQ119"/>
    <mergeCell ref="AU119:AX119"/>
    <mergeCell ref="AY119:BB119"/>
    <mergeCell ref="BC119:BJ119"/>
    <mergeCell ref="B120:C120"/>
    <mergeCell ref="B119:C119"/>
    <mergeCell ref="D119:J119"/>
    <mergeCell ref="K119:M119"/>
    <mergeCell ref="P119:S119"/>
    <mergeCell ref="T119:W119"/>
    <mergeCell ref="X119:Z119"/>
    <mergeCell ref="X118:Z118"/>
    <mergeCell ref="AA118:AH118"/>
    <mergeCell ref="AI118:AQ118"/>
    <mergeCell ref="AU118:AX118"/>
    <mergeCell ref="AY118:BB118"/>
    <mergeCell ref="BC118:BJ118"/>
    <mergeCell ref="AA117:AH117"/>
    <mergeCell ref="AI117:AQ117"/>
    <mergeCell ref="AU117:AX117"/>
    <mergeCell ref="AY117:BB117"/>
    <mergeCell ref="BC117:BJ117"/>
    <mergeCell ref="X117:Z117"/>
    <mergeCell ref="B118:C118"/>
    <mergeCell ref="D118:J118"/>
    <mergeCell ref="K118:M118"/>
    <mergeCell ref="P118:S118"/>
    <mergeCell ref="T118:W118"/>
    <mergeCell ref="B117:C117"/>
    <mergeCell ref="D117:J117"/>
    <mergeCell ref="K117:M117"/>
    <mergeCell ref="P117:S117"/>
    <mergeCell ref="T117:W117"/>
    <mergeCell ref="X116:Z116"/>
    <mergeCell ref="AA116:AH116"/>
    <mergeCell ref="AI116:AQ116"/>
    <mergeCell ref="AU116:AX116"/>
    <mergeCell ref="AY116:BB116"/>
    <mergeCell ref="BC116:BJ116"/>
    <mergeCell ref="AA115:AH115"/>
    <mergeCell ref="AI115:AQ115"/>
    <mergeCell ref="AU115:AX115"/>
    <mergeCell ref="AY115:BB115"/>
    <mergeCell ref="BC115:BJ115"/>
    <mergeCell ref="X115:Z115"/>
    <mergeCell ref="B116:C116"/>
    <mergeCell ref="D116:J116"/>
    <mergeCell ref="K116:M116"/>
    <mergeCell ref="P116:S116"/>
    <mergeCell ref="T116:W116"/>
    <mergeCell ref="B115:C115"/>
    <mergeCell ref="D115:J115"/>
    <mergeCell ref="K115:M115"/>
    <mergeCell ref="P115:S115"/>
    <mergeCell ref="T115:W115"/>
    <mergeCell ref="X114:Z114"/>
    <mergeCell ref="AA114:AH114"/>
    <mergeCell ref="AI114:AQ114"/>
    <mergeCell ref="AU114:AX114"/>
    <mergeCell ref="AY114:BB114"/>
    <mergeCell ref="BC114:BJ114"/>
    <mergeCell ref="AA113:AH113"/>
    <mergeCell ref="AI113:AQ113"/>
    <mergeCell ref="AU113:AX113"/>
    <mergeCell ref="AY113:BB113"/>
    <mergeCell ref="BC113:BJ113"/>
    <mergeCell ref="X113:Z113"/>
    <mergeCell ref="B114:C114"/>
    <mergeCell ref="D114:J114"/>
    <mergeCell ref="K114:M114"/>
    <mergeCell ref="P114:S114"/>
    <mergeCell ref="T114:W114"/>
    <mergeCell ref="B113:C113"/>
    <mergeCell ref="D113:J113"/>
    <mergeCell ref="K113:M113"/>
    <mergeCell ref="P113:S113"/>
    <mergeCell ref="T113:W113"/>
    <mergeCell ref="X112:Z112"/>
    <mergeCell ref="AA112:AH112"/>
    <mergeCell ref="AI112:AQ112"/>
    <mergeCell ref="AU112:AX112"/>
    <mergeCell ref="AY112:BB112"/>
    <mergeCell ref="BC112:BJ112"/>
    <mergeCell ref="AA111:AH111"/>
    <mergeCell ref="AI111:AQ111"/>
    <mergeCell ref="AU111:AX111"/>
    <mergeCell ref="AY111:BB111"/>
    <mergeCell ref="BC111:BJ111"/>
    <mergeCell ref="X111:Z111"/>
    <mergeCell ref="B112:C112"/>
    <mergeCell ref="D112:J112"/>
    <mergeCell ref="K112:M112"/>
    <mergeCell ref="P112:S112"/>
    <mergeCell ref="T112:W112"/>
    <mergeCell ref="B111:C111"/>
    <mergeCell ref="D111:J111"/>
    <mergeCell ref="K111:M111"/>
    <mergeCell ref="P111:S111"/>
    <mergeCell ref="T111:W111"/>
    <mergeCell ref="X110:Z110"/>
    <mergeCell ref="AA110:AH110"/>
    <mergeCell ref="AI110:AQ110"/>
    <mergeCell ref="AU110:AX110"/>
    <mergeCell ref="AY110:BB110"/>
    <mergeCell ref="BC110:BJ110"/>
    <mergeCell ref="AA109:AH109"/>
    <mergeCell ref="AI109:AQ109"/>
    <mergeCell ref="AU109:AX109"/>
    <mergeCell ref="AY109:BB109"/>
    <mergeCell ref="BC109:BJ109"/>
    <mergeCell ref="X109:Z109"/>
    <mergeCell ref="B110:C110"/>
    <mergeCell ref="D110:J110"/>
    <mergeCell ref="K110:M110"/>
    <mergeCell ref="P110:S110"/>
    <mergeCell ref="T110:W110"/>
    <mergeCell ref="B109:C109"/>
    <mergeCell ref="D109:J109"/>
    <mergeCell ref="K109:M109"/>
    <mergeCell ref="P109:S109"/>
    <mergeCell ref="T109:W109"/>
    <mergeCell ref="X108:Z108"/>
    <mergeCell ref="AA108:AH108"/>
    <mergeCell ref="AI108:AQ108"/>
    <mergeCell ref="AU108:AX108"/>
    <mergeCell ref="AY108:BB108"/>
    <mergeCell ref="BC108:BJ108"/>
    <mergeCell ref="AA107:AH107"/>
    <mergeCell ref="AI107:AQ107"/>
    <mergeCell ref="AU107:AX107"/>
    <mergeCell ref="AY107:BB107"/>
    <mergeCell ref="BC107:BJ107"/>
    <mergeCell ref="X107:Z107"/>
    <mergeCell ref="B108:C108"/>
    <mergeCell ref="D108:J108"/>
    <mergeCell ref="K108:M108"/>
    <mergeCell ref="P108:S108"/>
    <mergeCell ref="T108:W108"/>
    <mergeCell ref="B107:C107"/>
    <mergeCell ref="D107:J107"/>
    <mergeCell ref="K107:M107"/>
    <mergeCell ref="P107:S107"/>
    <mergeCell ref="T107:W107"/>
    <mergeCell ref="X106:Z106"/>
    <mergeCell ref="AA106:AH106"/>
    <mergeCell ref="AI106:AQ106"/>
    <mergeCell ref="AU106:AX106"/>
    <mergeCell ref="AY106:BB106"/>
    <mergeCell ref="BC106:BJ106"/>
    <mergeCell ref="AA105:AH105"/>
    <mergeCell ref="AI105:AQ105"/>
    <mergeCell ref="AU105:AX105"/>
    <mergeCell ref="AY105:BB105"/>
    <mergeCell ref="BC105:BJ105"/>
    <mergeCell ref="X105:Z105"/>
    <mergeCell ref="B106:C106"/>
    <mergeCell ref="D106:J106"/>
    <mergeCell ref="K106:M106"/>
    <mergeCell ref="P106:S106"/>
    <mergeCell ref="T106:W106"/>
    <mergeCell ref="B105:C105"/>
    <mergeCell ref="D105:J105"/>
    <mergeCell ref="K105:M105"/>
    <mergeCell ref="P105:S105"/>
    <mergeCell ref="T105:W105"/>
    <mergeCell ref="X104:Z104"/>
    <mergeCell ref="AA104:AH104"/>
    <mergeCell ref="AI104:AQ104"/>
    <mergeCell ref="AU104:AX104"/>
    <mergeCell ref="AY104:BB104"/>
    <mergeCell ref="BC104:BJ104"/>
    <mergeCell ref="AA103:AH103"/>
    <mergeCell ref="AI103:AQ103"/>
    <mergeCell ref="AU103:AX103"/>
    <mergeCell ref="AY103:BB103"/>
    <mergeCell ref="BC103:BJ103"/>
    <mergeCell ref="X103:Z103"/>
    <mergeCell ref="B104:C104"/>
    <mergeCell ref="D104:J104"/>
    <mergeCell ref="K104:M104"/>
    <mergeCell ref="P104:S104"/>
    <mergeCell ref="T104:W104"/>
    <mergeCell ref="B103:C103"/>
    <mergeCell ref="D103:J103"/>
    <mergeCell ref="K103:M103"/>
    <mergeCell ref="P103:S103"/>
    <mergeCell ref="T103:W103"/>
    <mergeCell ref="X102:Z102"/>
    <mergeCell ref="AA102:AH102"/>
    <mergeCell ref="AI102:AQ102"/>
    <mergeCell ref="AU102:AX102"/>
    <mergeCell ref="AY102:BB102"/>
    <mergeCell ref="BC102:BJ102"/>
    <mergeCell ref="AA101:AH101"/>
    <mergeCell ref="AI101:AQ101"/>
    <mergeCell ref="AU101:AX101"/>
    <mergeCell ref="AY101:BB101"/>
    <mergeCell ref="BC101:BJ101"/>
    <mergeCell ref="X101:Z101"/>
    <mergeCell ref="B102:C102"/>
    <mergeCell ref="D102:J102"/>
    <mergeCell ref="K102:M102"/>
    <mergeCell ref="P102:S102"/>
    <mergeCell ref="T102:W102"/>
    <mergeCell ref="B101:C101"/>
    <mergeCell ref="D101:J101"/>
    <mergeCell ref="K101:M101"/>
    <mergeCell ref="P101:S101"/>
    <mergeCell ref="T101:W101"/>
    <mergeCell ref="BC96:BJ98"/>
    <mergeCell ref="P97:W97"/>
    <mergeCell ref="X97:Z98"/>
    <mergeCell ref="AA97:AH98"/>
    <mergeCell ref="AI97:AQ98"/>
    <mergeCell ref="AR97:AR98"/>
    <mergeCell ref="AS97:AS98"/>
    <mergeCell ref="AT97:AT98"/>
    <mergeCell ref="X100:Z100"/>
    <mergeCell ref="AA100:AH100"/>
    <mergeCell ref="AI100:AQ100"/>
    <mergeCell ref="AU100:AX100"/>
    <mergeCell ref="AY100:BB100"/>
    <mergeCell ref="BC100:BJ100"/>
    <mergeCell ref="AU97:BB97"/>
    <mergeCell ref="P98:S98"/>
    <mergeCell ref="T98:W98"/>
    <mergeCell ref="P99:S99"/>
    <mergeCell ref="T99:W99"/>
    <mergeCell ref="X99:Z99"/>
    <mergeCell ref="AA99:AH99"/>
    <mergeCell ref="AI99:AQ99"/>
    <mergeCell ref="AU99:AX99"/>
    <mergeCell ref="AY99:BB99"/>
    <mergeCell ref="O96:O98"/>
    <mergeCell ref="AU98:AX98"/>
    <mergeCell ref="AY98:BB98"/>
    <mergeCell ref="B100:C100"/>
    <mergeCell ref="D100:J100"/>
    <mergeCell ref="K100:M100"/>
    <mergeCell ref="P100:S100"/>
    <mergeCell ref="T100:W100"/>
    <mergeCell ref="P96:AQ96"/>
    <mergeCell ref="AR96:BB96"/>
    <mergeCell ref="B99:C99"/>
    <mergeCell ref="D99:J99"/>
    <mergeCell ref="K99:M99"/>
    <mergeCell ref="A4:G4"/>
    <mergeCell ref="H4:T4"/>
    <mergeCell ref="U4:Y4"/>
    <mergeCell ref="Z4:AO4"/>
    <mergeCell ref="AP4:BK4"/>
    <mergeCell ref="B96:C98"/>
    <mergeCell ref="D96:J9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K96:M98"/>
    <mergeCell ref="N96:N98"/>
    <mergeCell ref="AA128:AH128"/>
    <mergeCell ref="AI128:AQ128"/>
    <mergeCell ref="AU128:AX128"/>
    <mergeCell ref="AY128:BB128"/>
    <mergeCell ref="BC128:BJ128"/>
    <mergeCell ref="B129:C129"/>
    <mergeCell ref="D129:J129"/>
    <mergeCell ref="K129:M129"/>
    <mergeCell ref="P129:S129"/>
    <mergeCell ref="T129:W129"/>
    <mergeCell ref="X129:Z129"/>
    <mergeCell ref="AA129:AH129"/>
    <mergeCell ref="AI129:AQ129"/>
    <mergeCell ref="AU129:AX129"/>
    <mergeCell ref="AY129:BB129"/>
    <mergeCell ref="BC129:BJ129"/>
    <mergeCell ref="X130:Z130"/>
    <mergeCell ref="AA130:AH130"/>
    <mergeCell ref="AI130:AQ130"/>
    <mergeCell ref="AU130:AX130"/>
    <mergeCell ref="AY130:BB130"/>
    <mergeCell ref="BC130:BJ130"/>
    <mergeCell ref="B131:C131"/>
    <mergeCell ref="D131:J131"/>
    <mergeCell ref="K131:M131"/>
    <mergeCell ref="P131:S131"/>
    <mergeCell ref="T131:W131"/>
    <mergeCell ref="X131:Z131"/>
    <mergeCell ref="AA131:AH131"/>
    <mergeCell ref="AI131:AQ131"/>
    <mergeCell ref="AU131:AX131"/>
    <mergeCell ref="AY131:BB131"/>
    <mergeCell ref="BC131:BJ131"/>
  </mergeCells>
  <dataValidations count="1">
    <dataValidation type="list" allowBlank="1" showInputMessage="1" showErrorMessage="1" sqref="AR99:AT153 O99:O153" xr:uid="{00000000-0002-0000-0400-000000000000}">
      <formula1>"－,●"</formula1>
    </dataValidation>
  </dataValidations>
  <pageMargins left="0.7" right="0.7" top="0.75" bottom="0.75" header="0.3" footer="0.3"/>
  <pageSetup scale="17"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表紙</vt:lpstr>
      <vt:lpstr>改訂履歴</vt:lpstr>
      <vt:lpstr>SC7101</vt:lpstr>
      <vt:lpstr>SC7102</vt:lpstr>
      <vt:lpstr>MD7101</vt:lpstr>
      <vt:lpstr>'MD7101'!Print_Area</vt:lpstr>
      <vt:lpstr>'SC7101'!Print_Area</vt:lpstr>
      <vt:lpstr>'SC7102'!Print_Area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2024-11-06T07:21:08Z</dcterms:modified>
  <cp:category/>
  <cp:contentStatus/>
</cp:coreProperties>
</file>