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83B997C1-21EB-4527-A859-7429BF200D5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8201" sheetId="8" r:id="rId3"/>
    <sheet name="MD8201" sheetId="9" r:id="rId4"/>
    <sheet name="SCxxxx" sheetId="7" r:id="rId5"/>
  </sheets>
  <definedNames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K2" i="8"/>
  <c r="A2" i="8"/>
  <c r="W1" i="8"/>
  <c r="AP4" i="3" a="1"/>
  <c r="AP4" i="3" s="1"/>
  <c r="Z4" i="3"/>
  <c r="H4" i="3"/>
  <c r="K2" i="3"/>
  <c r="A2" i="3"/>
  <c r="W1" i="3"/>
  <c r="L24" i="4"/>
  <c r="AP4" i="4" a="1"/>
  <c r="AP4" i="4" s="1"/>
  <c r="BH2" i="4"/>
  <c r="BH2" i="8" s="1"/>
  <c r="BC2" i="4"/>
  <c r="BC2" i="7" s="1"/>
  <c r="AY2" i="4"/>
  <c r="AY2" i="9" s="1"/>
  <c r="AT2" i="4"/>
  <c r="AT2" i="8" s="1"/>
  <c r="AP2" i="4"/>
  <c r="AP2" i="8" s="1"/>
  <c r="AY2" i="3" l="1"/>
  <c r="AY2" i="8"/>
  <c r="BC2" i="9"/>
  <c r="AP2" i="7"/>
  <c r="BH2" i="7"/>
  <c r="BC2" i="3"/>
  <c r="BC2" i="8"/>
  <c r="AP2" i="9"/>
  <c r="BH2" i="9"/>
  <c r="AT2" i="7"/>
  <c r="AP2" i="3"/>
  <c r="BH2" i="3"/>
  <c r="AT2" i="9"/>
  <c r="AY2" i="7"/>
  <c r="AT2" i="3"/>
</calcChain>
</file>

<file path=xl/sharedStrings.xml><?xml version="1.0" encoding="utf-8"?>
<sst xmlns="http://schemas.openxmlformats.org/spreadsheetml/2006/main" count="1080" uniqueCount="191">
  <si>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</si>
  <si>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</si>
  <si>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</si>
  <si>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</si>
  <si>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</si>
  <si>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</si>
  <si>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</si>
  <si>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</si>
  <si>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</si>
  <si>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</si>
  <si>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</si>
  <si>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</si>
  <si>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Password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</si>
  <si>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</si>
  <si>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</si>
  <si>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有効</t>
    </r>
  </si>
  <si>
    <r>
      <rPr>
        <sz val="11"/>
        <color rgb="FF000000"/>
        <rFont val="Meiryo UI"/>
        <family val="2"/>
      </rPr>
      <t>Login-01/EmployeeMaster</t>
    </r>
  </si>
  <si>
    <r>
      <rPr>
        <sz val="11"/>
        <color rgb="FF000000"/>
        <rFont val="Meiryo UI"/>
        <family val="2"/>
      </rPr>
      <t>82_店舗マスタ設定</t>
    </r>
  </si>
  <si>
    <r>
      <rPr>
        <sz val="11"/>
        <color rgb="FF000000"/>
        <rFont val="Meiryo UI"/>
        <family val="2"/>
      </rPr>
      <t>画面タイトル</t>
    </r>
  </si>
  <si>
    <r>
      <rPr>
        <sz val="11"/>
        <color rgb="FF000000"/>
        <rFont val="Meiryo UI"/>
        <family val="2"/>
      </rPr>
      <t>イベントID：SC8201-01</t>
    </r>
  </si>
  <si>
    <r>
      <rPr>
        <sz val="11"/>
        <color rgb="FF000000"/>
        <rFont val="Meiryo UI"/>
        <family val="2"/>
      </rPr>
      <t>店舗コード（タイトル）</t>
    </r>
  </si>
  <si>
    <r>
      <rPr>
        <sz val="11"/>
        <color rgb="FF000000"/>
        <rFont val="Meiryo UI"/>
        <family val="2"/>
      </rPr>
      <t>店舗コード（値）</t>
    </r>
  </si>
  <si>
    <r>
      <rPr>
        <sz val="11"/>
        <color rgb="FF000000"/>
        <rFont val="Meiryo UI"/>
        <family val="2"/>
      </rPr>
      <t>ドロップダウン</t>
    </r>
  </si>
  <si>
    <r>
      <rPr>
        <sz val="11"/>
        <color rgb="FF000000"/>
        <rFont val="Meiryo UI"/>
        <family val="2"/>
      </rPr>
      <t>店舗名称（タイトル）</t>
    </r>
  </si>
  <si>
    <r>
      <rPr>
        <sz val="11"/>
        <color rgb="FF000000"/>
        <rFont val="Meiryo UI"/>
        <family val="2"/>
      </rPr>
      <t>店舗名称（値）</t>
    </r>
  </si>
  <si>
    <r>
      <rPr>
        <sz val="11"/>
        <color rgb="FF000000"/>
        <rFont val="Meiryo UI"/>
        <family val="2"/>
      </rPr>
      <t>店舗コード検索タイプ</t>
    </r>
  </si>
  <si>
    <r>
      <rPr>
        <sz val="11"/>
        <color rgb="FF000000"/>
        <rFont val="Meiryo UI"/>
        <family val="2"/>
      </rPr>
      <t>店舗名称検索タイプ</t>
    </r>
  </si>
  <si>
    <r>
      <rPr>
        <sz val="11"/>
        <color rgb="FF000000"/>
        <rFont val="Meiryo UI"/>
        <family val="2"/>
      </rPr>
      <t>AP8201</t>
    </r>
  </si>
  <si>
    <r>
      <rPr>
        <sz val="11"/>
        <color rgb="FF000000"/>
        <rFont val="Meiryo UI"/>
        <family val="2"/>
      </rPr>
      <t>店舗マスタ設定</t>
    </r>
  </si>
  <si>
    <r>
      <rPr>
        <sz val="11"/>
        <color rgb="FF000000"/>
        <rFont val="Meiryo UI"/>
        <family val="2"/>
      </rPr>
      <t>店舗が選択された場合のみ有効になる。</t>
    </r>
  </si>
  <si>
    <r>
      <rPr>
        <sz val="11"/>
        <color rgb="FF000000"/>
        <rFont val="Meiryo UI"/>
        <family val="2"/>
      </rPr>
      <t>検索</t>
    </r>
  </si>
  <si>
    <r>
      <rPr>
        <sz val="11"/>
        <color rgb="FF000000"/>
        <rFont val="Meiryo UI"/>
        <family val="2"/>
      </rPr>
      <t>F12：検索</t>
    </r>
  </si>
  <si>
    <r>
      <rPr>
        <sz val="11"/>
        <color rgb="FF000000"/>
        <rFont val="Meiryo UI"/>
        <family val="2"/>
      </rPr>
      <t>を含む/から始まる/で終わる</t>
    </r>
  </si>
  <si>
    <r>
      <rPr>
        <sz val="11"/>
        <color rgb="FF000000"/>
        <rFont val="Meiryo UI"/>
        <family val="2"/>
      </rPr>
      <t>イベントID：SC8201-02</t>
    </r>
  </si>
  <si>
    <r>
      <rPr>
        <sz val="11"/>
        <color rgb="FF000000"/>
        <rFont val="Meiryo UI"/>
        <family val="2"/>
      </rPr>
      <t>イベントID：SC8201-03</t>
    </r>
  </si>
  <si>
    <r>
      <rPr>
        <sz val="11"/>
        <color rgb="FF000000"/>
        <rFont val="Meiryo UI"/>
        <family val="2"/>
      </rPr>
      <t>イベントID：SC8201-04</t>
    </r>
  </si>
  <si>
    <r>
      <rPr>
        <sz val="11"/>
        <color rgb="FF000000"/>
        <rFont val="Meiryo UI"/>
        <family val="2"/>
      </rPr>
      <t>イベントID：SC8201-05</t>
    </r>
  </si>
  <si>
    <r>
      <rPr>
        <sz val="11"/>
        <color rgb="FF000000"/>
        <rFont val="Meiryo UI"/>
        <family val="2"/>
      </rPr>
      <t>イベントID：SC8201-06</t>
    </r>
  </si>
  <si>
    <r>
      <rPr>
        <sz val="11"/>
        <color rgb="FF000000"/>
        <rFont val="Meiryo UI"/>
        <family val="2"/>
      </rPr>
      <t>イベントID：SC8201-07</t>
    </r>
  </si>
  <si>
    <r>
      <rPr>
        <sz val="11"/>
        <color rgb="FF000000"/>
        <rFont val="Meiryo UI"/>
        <family val="2"/>
      </rPr>
      <t>店舗略称（タイトル）</t>
    </r>
  </si>
  <si>
    <r>
      <rPr>
        <sz val="11"/>
        <color rgb="FF000000"/>
        <rFont val="Meiryo UI"/>
        <family val="2"/>
      </rPr>
      <t>店舗略称（値）</t>
    </r>
  </si>
  <si>
    <r>
      <rPr>
        <sz val="11"/>
        <color rgb="FF000000"/>
        <rFont val="Meiryo UI"/>
        <family val="2"/>
      </rPr>
      <t>郵便番号（タイトル）</t>
    </r>
  </si>
  <si>
    <r>
      <rPr>
        <sz val="11"/>
        <color rgb="FF000000"/>
        <rFont val="Meiryo UI"/>
        <family val="2"/>
      </rPr>
      <t>郵便番号（値）</t>
    </r>
  </si>
  <si>
    <r>
      <rPr>
        <sz val="11"/>
        <color rgb="FF000000"/>
        <rFont val="Meiryo UI"/>
        <family val="2"/>
      </rPr>
      <t>住所（タイトル）</t>
    </r>
  </si>
  <si>
    <r>
      <rPr>
        <sz val="11"/>
        <color rgb="FF000000"/>
        <rFont val="Meiryo UI"/>
        <family val="2"/>
      </rPr>
      <t>住所（値）</t>
    </r>
  </si>
  <si>
    <r>
      <rPr>
        <sz val="11"/>
        <color rgb="FF000000"/>
        <rFont val="Meiryo UI"/>
        <family val="2"/>
      </rPr>
      <t>電話番号（タイトル）</t>
    </r>
  </si>
  <si>
    <r>
      <rPr>
        <sz val="11"/>
        <color rgb="FF000000"/>
        <rFont val="Meiryo UI"/>
        <family val="2"/>
      </rPr>
      <t>電話番号（値）</t>
    </r>
  </si>
  <si>
    <r>
      <rPr>
        <sz val="11"/>
        <color rgb="FF000000"/>
        <rFont val="Meiryo UI"/>
        <family val="2"/>
      </rPr>
      <t>基本ポイント（タイトル）</t>
    </r>
  </si>
  <si>
    <r>
      <rPr>
        <sz val="11"/>
        <color rgb="FF000000"/>
        <rFont val="Meiryo UI"/>
        <family val="2"/>
      </rPr>
      <t>基本ポイント（値）</t>
    </r>
  </si>
  <si>
    <r>
      <rPr>
        <sz val="11"/>
        <color rgb="FF000000"/>
        <rFont val="Meiryo UI"/>
        <family val="2"/>
      </rPr>
      <t>削除</t>
    </r>
  </si>
  <si>
    <r>
      <rPr>
        <sz val="11"/>
        <color rgb="FF000000"/>
        <rFont val="Meiryo UI"/>
        <family val="2"/>
      </rPr>
      <t>編集</t>
    </r>
  </si>
  <si>
    <r>
      <rPr>
        <sz val="11"/>
        <color rgb="FF000000"/>
        <rFont val="Meiryo UI"/>
        <family val="2"/>
      </rPr>
      <t>コピー</t>
    </r>
  </si>
  <si>
    <r>
      <rPr>
        <sz val="11"/>
        <color rgb="FF000000"/>
        <rFont val="Meiryo UI"/>
        <family val="2"/>
      </rPr>
      <t>確定</t>
    </r>
  </si>
  <si>
    <r>
      <rPr>
        <sz val="11"/>
        <color rgb="FF000000"/>
        <rFont val="Meiryo UI"/>
        <family val="2"/>
      </rPr>
      <t>1件が選択された場合に有効になる。</t>
    </r>
  </si>
  <si>
    <r>
      <rPr>
        <sz val="11"/>
        <color rgb="FF000000"/>
        <rFont val="Meiryo UI"/>
        <family val="2"/>
      </rPr>
      <t>データが変更された場合に有効になる。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</si>
  <si>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</si>
  <si>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phone_number</t>
    </r>
  </si>
  <si>
    <r>
      <rPr>
        <sz val="11"/>
        <color rgb="FF000000"/>
        <rFont val="Meiryo UI"/>
        <family val="2"/>
      </rPr>
      <t>ワーニング</t>
    </r>
  </si>
  <si>
    <r>
      <rPr>
        <sz val="11"/>
        <color rgb="FF000000"/>
        <rFont val="Meiryo UI"/>
        <family val="2"/>
      </rPr>
      <t>total_count</t>
    </r>
  </si>
  <si>
    <r>
      <rPr>
        <sz val="11"/>
        <color rgb="FF000000"/>
        <rFont val="Meiryo UI"/>
        <family val="2"/>
      </rPr>
      <t>total_count &gt; 1000の場合に表示される。</t>
    </r>
  </si>
  <si>
    <r>
      <rPr>
        <sz val="11"/>
        <color rgb="FF000000"/>
        <rFont val="Meiryo UI"/>
        <family val="2"/>
      </rPr>
      <t>取消</t>
    </r>
  </si>
  <si>
    <r>
      <rPr>
        <sz val="11"/>
        <color rgb="FF000000"/>
        <rFont val="Meiryo UI"/>
        <family val="2"/>
      </rPr>
      <t>登録（新規）</t>
    </r>
  </si>
  <si>
    <r>
      <rPr>
        <sz val="11"/>
        <color rgb="FF000000"/>
        <rFont val="Meiryo UI"/>
        <family val="2"/>
      </rPr>
      <t>登録</t>
    </r>
  </si>
  <si>
    <r>
      <rPr>
        <sz val="11"/>
        <color rgb="FF000000"/>
        <rFont val="Meiryo UI"/>
        <family val="2"/>
      </rPr>
      <t>確定（コピー）</t>
    </r>
  </si>
  <si>
    <r>
      <rPr>
        <sz val="11"/>
        <color rgb="FF000000"/>
        <rFont val="Meiryo UI"/>
        <family val="2"/>
      </rPr>
      <t>確定（更新）</t>
    </r>
  </si>
  <si>
    <r>
      <rPr>
        <sz val="11"/>
        <color rgb="FF000000"/>
        <rFont val="Meiryo UI"/>
        <family val="2"/>
      </rPr>
      <t>更新</t>
    </r>
  </si>
  <si>
    <r>
      <rPr>
        <sz val="11"/>
        <color rgb="FF000000"/>
        <rFont val="Meiryo UI"/>
        <family val="2"/>
      </rPr>
      <t>変更があった場合に有効にする。</t>
    </r>
  </si>
  <si>
    <t>`</t>
  </si>
  <si>
    <r>
      <rPr>
        <sz val="11"/>
        <color rgb="FF000000"/>
        <rFont val="Meiryo UI"/>
        <family val="2"/>
      </rPr>
      <t>業態（タイトル）</t>
    </r>
  </si>
  <si>
    <r>
      <rPr>
        <sz val="11"/>
        <color rgb="FF000000"/>
        <rFont val="Meiryo UI"/>
        <family val="2"/>
      </rPr>
      <t>業態（値）</t>
    </r>
  </si>
  <si>
    <r>
      <rPr>
        <sz val="11"/>
        <color rgb="FF000000"/>
        <rFont val="Meiryo UI"/>
        <family val="2"/>
      </rPr>
      <t>コピー元店舗（タイトル）</t>
    </r>
  </si>
  <si>
    <r>
      <rPr>
        <sz val="11"/>
        <color rgb="FF000000"/>
        <rFont val="Meiryo UI"/>
        <family val="2"/>
      </rPr>
      <t>コピー元店舗（値）</t>
    </r>
  </si>
  <si>
    <r>
      <rPr>
        <sz val="11"/>
        <color rgb="FF000000"/>
        <rFont val="Meiryo UI"/>
        <family val="2"/>
      </rPr>
      <t>business_type_code</t>
    </r>
  </si>
  <si>
    <r>
      <rPr>
        <sz val="11"/>
        <color rgb="FF000000"/>
        <rFont val="Meiryo UI"/>
        <family val="2"/>
      </rPr>
      <t>業態</t>
    </r>
  </si>
  <si>
    <r>
      <rPr>
        <sz val="11"/>
        <color rgb="FF000000"/>
        <rFont val="Meiryo UI"/>
        <family val="2"/>
      </rPr>
      <t>最大半角50文字、全角25文字</t>
    </r>
  </si>
  <si>
    <r>
      <rPr>
        <sz val="11"/>
        <color rgb="FF000000"/>
        <rFont val="Meiryo UI"/>
        <family val="2"/>
      </rPr>
      <t>最大半角30文字、全角15文字</t>
    </r>
  </si>
  <si>
    <r>
      <rPr>
        <sz val="11"/>
        <color rgb="FF000000"/>
        <rFont val="Meiryo UI"/>
        <family val="2"/>
      </rPr>
      <t>最大半角100文字、全角50文字</t>
    </r>
  </si>
  <si>
    <r>
      <rPr>
        <sz val="11"/>
        <color rgb="FF000000"/>
        <rFont val="Meiryo UI"/>
        <family val="2"/>
      </rPr>
      <t>コピーの場合に表示し、新規作成・編集の場合に表示しない。</t>
    </r>
  </si>
  <si>
    <r>
      <rPr>
        <sz val="11"/>
        <color rgb="FF000000"/>
        <rFont val="Meiryo UI"/>
        <family val="2"/>
      </rPr>
      <t>無効</t>
    </r>
  </si>
  <si>
    <r>
      <rPr>
        <sz val="11"/>
        <color rgb="FF000000"/>
        <rFont val="Meiryo UI"/>
        <family val="2"/>
      </rPr>
      <t>前画面</t>
    </r>
  </si>
  <si>
    <r>
      <rPr>
        <b/>
        <sz val="11"/>
        <color rgb="FF000000"/>
        <rFont val="Meiryo UI"/>
        <family val="2"/>
      </rPr>
      <t>イベントID:MD8201-01</t>
    </r>
  </si>
  <si>
    <r>
      <rPr>
        <b/>
        <sz val="11"/>
        <color rgb="FF000000"/>
        <rFont val="Meiryo UI"/>
        <family val="2"/>
      </rPr>
      <t>イベントID：MD8201-02</t>
    </r>
  </si>
  <si>
    <r>
      <rPr>
        <b/>
        <sz val="11"/>
        <color rgb="FF000000"/>
        <rFont val="Meiryo UI"/>
        <family val="2"/>
      </rPr>
      <t>イベントID：MD8201-03</t>
    </r>
  </si>
  <si>
    <r>
      <rPr>
        <sz val="11"/>
        <color rgb="FF000000"/>
        <rFont val="Meiryo UI"/>
        <family val="2"/>
      </rPr>
      <t>形式：選択されたコピー対象の「コード: 名称」</t>
    </r>
  </si>
  <si>
    <r>
      <rPr>
        <sz val="11"/>
        <color rgb="FF000000"/>
        <rFont val="Meiryo UI"/>
        <family val="2"/>
      </rPr>
      <t>最大数字の6桁。</t>
    </r>
  </si>
  <si>
    <r>
      <rPr>
        <sz val="11"/>
        <color rgb="FF000000"/>
        <rFont val="Meiryo UI"/>
        <family val="2"/>
      </rPr>
      <t>形式:xxx-xxxx</t>
    </r>
  </si>
  <si>
    <r>
      <rPr>
        <sz val="11"/>
        <color rgb="FF000000"/>
        <rFont val="Meiryo UI"/>
        <family val="2"/>
      </rPr>
      <t>CSV出力</t>
    </r>
  </si>
  <si>
    <r>
      <rPr>
        <sz val="11"/>
        <color rgb="FF000000"/>
        <rFont val="Meiryo UI"/>
        <family val="2"/>
      </rPr>
      <t>店舗が選択された場合は有効になる。</t>
    </r>
  </si>
  <si>
    <r>
      <rPr>
        <sz val="11"/>
        <color rgb="FF000000"/>
        <rFont val="Meiryo UI"/>
        <family val="2"/>
      </rPr>
      <t>イベントID：SC8201-08</t>
    </r>
  </si>
  <si>
    <r>
      <rPr>
        <sz val="11"/>
        <color rgb="FF000000"/>
        <rFont val="Meiryo UI"/>
        <family val="2"/>
      </rPr>
      <t>最大5桁</t>
    </r>
  </si>
  <si>
    <r>
      <rPr>
        <sz val="11"/>
        <color rgb="FF000000"/>
        <rFont val="Meiryo UI"/>
        <family val="2"/>
      </rPr>
      <t>store_type</t>
    </r>
  </si>
  <si>
    <r>
      <rPr>
        <sz val="11"/>
        <color rgb="FF000000"/>
        <rFont val="Meiryo UI"/>
        <family val="2"/>
      </rPr>
      <t>合計POS台数（タイトル）</t>
    </r>
  </si>
  <si>
    <r>
      <rPr>
        <sz val="11"/>
        <color rgb="FF000000"/>
        <rFont val="Meiryo UI"/>
        <family val="2"/>
      </rPr>
      <t>合計POS台数（値）</t>
    </r>
  </si>
  <si>
    <r>
      <rPr>
        <sz val="11"/>
        <color rgb="FF000000"/>
        <rFont val="Meiryo UI"/>
        <family val="2"/>
      </rPr>
      <t>total_pos</t>
    </r>
  </si>
  <si>
    <r>
      <rPr>
        <sz val="11"/>
        <color rgb="FF000000"/>
        <rFont val="Meiryo UI"/>
        <family val="2"/>
      </rPr>
      <t>合計POS台数</t>
    </r>
  </si>
  <si>
    <r>
      <rPr>
        <sz val="11"/>
        <color rgb="FF000000"/>
        <rFont val="Meiryo UI"/>
        <family val="2"/>
      </rPr>
      <t>営業開始時間（タイトル）</t>
    </r>
  </si>
  <si>
    <r>
      <rPr>
        <sz val="11"/>
        <color rgb="FF000000"/>
        <rFont val="Meiryo UI"/>
        <family val="2"/>
      </rPr>
      <t>営業終了時間（値）</t>
    </r>
  </si>
  <si>
    <r>
      <rPr>
        <sz val="11"/>
        <color rgb="FF000000"/>
        <rFont val="Meiryo UI"/>
        <family val="2"/>
      </rPr>
      <t>TimePicker</t>
    </r>
  </si>
  <si>
    <r>
      <rPr>
        <sz val="11"/>
        <color rgb="FF000000"/>
        <rFont val="Meiryo UI"/>
        <family val="2"/>
      </rPr>
      <t>営業開始時間</t>
    </r>
  </si>
  <si>
    <r>
      <rPr>
        <sz val="11"/>
        <color rgb="FF000000"/>
        <rFont val="Meiryo UI"/>
        <family val="2"/>
      </rPr>
      <t>営業終了時間（タイトル）</t>
    </r>
  </si>
  <si>
    <r>
      <rPr>
        <sz val="11"/>
        <color rgb="FF000000"/>
        <rFont val="Meiryo UI"/>
        <family val="2"/>
      </rPr>
      <t>営業開始時間（値）</t>
    </r>
  </si>
  <si>
    <r>
      <rPr>
        <sz val="11"/>
        <color rgb="FF000000"/>
        <rFont val="Meiryo UI"/>
        <family val="2"/>
      </rPr>
      <t>営業終了時間</t>
    </r>
  </si>
  <si>
    <r>
      <rPr>
        <sz val="11"/>
        <color rgb="FF000000"/>
        <rFont val="Meiryo UI"/>
        <family val="2"/>
      </rPr>
      <t>形式: hh:mm</t>
    </r>
  </si>
  <si>
    <r>
      <rPr>
        <sz val="11"/>
        <color rgb="FF000000"/>
        <rFont val="Meiryo UI"/>
        <family val="2"/>
      </rPr>
      <t>start_hours</t>
    </r>
  </si>
  <si>
    <r>
      <rPr>
        <sz val="11"/>
        <color rgb="FF000000"/>
        <rFont val="Meiryo UI"/>
        <family val="2"/>
      </rPr>
      <t>end_hours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</si>
  <si>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</si>
  <si>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</si>
  <si>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</si>
  <si>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</si>
  <si>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</si>
  <si>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</si>
  <si>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</si>
  <si>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</si>
  <si>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</si>
  <si>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</si>
  <si>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</si>
  <si>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画面設計書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</si>
  <si>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</si>
  <si>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</si>
  <si>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</si>
  <si>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</si>
  <si>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</si>
  <si>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 xml:space="preserve">■初期化のイメージ </t>
  </si>
  <si>
    <t>■画面項目定義</t>
  </si>
  <si>
    <t>画面項目ID</t>
  </si>
  <si>
    <t>項目</t>
  </si>
  <si>
    <t>タイプ</t>
  </si>
  <si>
    <t>多言語</t>
  </si>
  <si>
    <t>出力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</si>
  <si>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</si>
  <si>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</si>
  <si>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</si>
  <si>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</si>
  <si>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</si>
  <si>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</si>
  <si>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</si>
  <si>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桁</t>
  </si>
  <si>
    <t>API名</t>
  </si>
  <si>
    <t>店舗コード</t>
  </si>
  <si>
    <t>EditText</t>
  </si>
  <si>
    <t>I</t>
  </si>
  <si>
    <t>店舗が選択された場合のみ有効になる。</t>
  </si>
  <si>
    <t>AP8201</t>
  </si>
  <si>
    <t>code</t>
  </si>
  <si>
    <t>ドロップダウン</t>
  </si>
  <si>
    <t>code_filter_type</t>
  </si>
  <si>
    <t>店舗名称</t>
  </si>
  <si>
    <t>name</t>
  </si>
  <si>
    <t>name_filter_type</t>
  </si>
  <si>
    <r>
      <rPr>
        <sz val="11"/>
        <color rgb="FF000000"/>
        <rFont val="Meiryo UI"/>
        <family val="2"/>
      </rPr>
      <t>1: FO
2: FS
3: FM
4: BL</t>
    </r>
  </si>
  <si>
    <t>ボタン</t>
  </si>
  <si>
    <r>
      <rPr>
        <sz val="11"/>
        <color rgb="FF000000"/>
        <rFont val="Meiryo UI"/>
        <family val="2"/>
      </rPr>
      <t>business_type_code = 1:FO
business_type_code = 2:FS
business_type_code = 3:FM
business_type_code = 4:BL</t>
    </r>
  </si>
  <si>
    <t>テキスト</t>
  </si>
  <si>
    <t>O</t>
  </si>
  <si>
    <t>店舖名称</t>
  </si>
  <si>
    <t>郵便番号</t>
  </si>
  <si>
    <t>post_code</t>
  </si>
  <si>
    <t>住所</t>
  </si>
  <si>
    <t>address</t>
  </si>
  <si>
    <t>電話番号</t>
  </si>
  <si>
    <r>
      <rPr>
        <sz val="11"/>
        <color rgb="FF000000"/>
        <rFont val="Meiryo UI"/>
        <family val="2"/>
      </rPr>
      <t>最大数字の13桁。11桁の形式：xxx-xxxx-xxxx
10桁の形式：xx-xxxx-xxxx
13桁の形式: xxx-xx-xxxx-xxxx</t>
    </r>
  </si>
  <si>
    <t>基本ポイント</t>
  </si>
  <si>
    <t>default_point</t>
  </si>
  <si>
    <t>F10：削除</t>
  </si>
  <si>
    <r>
      <rPr>
        <sz val="11"/>
        <color rgb="FF000000"/>
        <rFont val="Meiryo UI"/>
        <family val="2"/>
      </rPr>
      <t>1件が選択された場合に有効になる。ログイン中のユーザーが直属の店舗にのみ権限を持つ場合は、常に無効になる。</t>
    </r>
  </si>
  <si>
    <t>F1：編集</t>
  </si>
  <si>
    <t>F2：新規</t>
  </si>
  <si>
    <t>有効</t>
  </si>
  <si>
    <t>F3：コピー</t>
  </si>
  <si>
    <t>F11：確定</t>
  </si>
  <si>
    <t>検索結果が1000件を超えたため、最初の1000件を表示しています。</t>
  </si>
  <si>
    <t xml:space="preserve">■イメージ </t>
  </si>
  <si>
    <t>新規の場合：新規
編集の場合：編集
コピーの場合：コピー</t>
  </si>
  <si>
    <t>店舗コード*</t>
  </si>
  <si>
    <t>新規・コピーの場合：有効
編集の場合：無効</t>
  </si>
  <si>
    <t>AP8204
AP8205</t>
  </si>
  <si>
    <t>店舖名称*</t>
  </si>
  <si>
    <t>店舗略称*</t>
  </si>
  <si>
    <t>short_name</t>
  </si>
  <si>
    <r>
      <rPr>
        <sz val="11"/>
        <color rgb="FF000000"/>
        <rFont val="Meiryo UI"/>
        <family val="2"/>
      </rPr>
      <t>7桁の数字のみ入力可能とする。
形式：xxx-xxxx</t>
    </r>
  </si>
  <si>
    <t>業態</t>
  </si>
  <si>
    <t>business_type_code</t>
  </si>
  <si>
    <t>1: FO
2: FS
3: FM
4: BL</t>
  </si>
  <si>
    <r>
      <rPr>
        <sz val="11"/>
        <color rgb="FF000000"/>
        <rFont val="Meiryo UI"/>
        <family val="2"/>
      </rPr>
      <t>AP8204
AP8205</t>
    </r>
  </si>
  <si>
    <t>コピー元店舗</t>
  </si>
  <si>
    <t>AP8205</t>
  </si>
  <si>
    <t>copy_source</t>
  </si>
  <si>
    <t>コピーの場合に表示し、新規作成・編集の場合に表示しない。</t>
  </si>
  <si>
    <t>Android POS Control</t>
  </si>
  <si>
    <t xml:space="preserve">ユーザーID </t>
  </si>
  <si>
    <t>ログイン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</si>
</sst>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8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trike/>
      <sz val="11"/>
      <color theme="1"/>
      <name val="Meiryo UI"/>
      <family val="2"/>
    </font>
    <font>
      <b/>
      <sz val="11"/>
      <name val="Meiryo UI"/>
      <family val="2"/>
    </font>
    <font>
      <sz val="11"/>
      <color rgb="FF00B050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0" fillId="0" borderId="0">
      <alignment vertical="center"/>
    </xf>
  </cellStyleXfs>
  <cellXfs count="338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1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4" fillId="0" borderId="0" xfId="6" applyFont="1" applyAlignment="1">
      <alignment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9" xfId="6" applyFont="1" applyBorder="1" applyAlignment="1">
      <alignment horizontal="center" vertical="center"/>
    </xf>
    <xf numFmtId="0" fontId="3" fillId="0" borderId="20" xfId="6" applyFont="1" applyBorder="1" applyAlignment="1">
      <alignment horizontal="center" vertical="center"/>
    </xf>
    <xf numFmtId="0" fontId="3" fillId="0" borderId="20" xfId="6" applyFont="1" applyBorder="1" applyAlignment="1">
      <alignment vertical="center"/>
    </xf>
    <xf numFmtId="0" fontId="3" fillId="0" borderId="18" xfId="6" applyFont="1" applyBorder="1" applyAlignment="1">
      <alignment horizontal="center" vertical="center"/>
    </xf>
    <xf numFmtId="0" fontId="4" fillId="0" borderId="17" xfId="6" applyFont="1" applyBorder="1" applyAlignment="1">
      <alignment horizontal="center" vertical="center"/>
    </xf>
    <xf numFmtId="0" fontId="4" fillId="0" borderId="19" xfId="6" applyFont="1" applyBorder="1" applyAlignment="1">
      <alignment horizontal="center" vertical="center"/>
    </xf>
    <xf numFmtId="0" fontId="4" fillId="0" borderId="20" xfId="6" applyFont="1" applyBorder="1" applyAlignment="1">
      <alignment horizontal="center" vertical="center"/>
    </xf>
    <xf numFmtId="0" fontId="8" fillId="0" borderId="1" xfId="6" applyFont="1" applyBorder="1" applyAlignment="1">
      <alignment vertical="center"/>
    </xf>
    <xf numFmtId="0" fontId="8" fillId="0" borderId="4" xfId="6" applyFont="1" applyBorder="1" applyAlignment="1">
      <alignment vertical="center"/>
    </xf>
    <xf numFmtId="0" fontId="8" fillId="0" borderId="0" xfId="6" applyFont="1" applyAlignment="1">
      <alignment vertical="center"/>
    </xf>
    <xf numFmtId="0" fontId="4" fillId="0" borderId="2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9" xfId="6" quotePrefix="1" applyFont="1" applyBorder="1" applyAlignment="1">
      <alignment horizontal="center" vertical="center" wrapText="1"/>
    </xf>
    <xf numFmtId="0" fontId="4" fillId="0" borderId="30" xfId="6" applyFont="1" applyBorder="1" applyAlignment="1">
      <alignment horizontal="center" vertical="center" wrapText="1"/>
    </xf>
    <xf numFmtId="0" fontId="4" fillId="0" borderId="31" xfId="6" applyFont="1" applyBorder="1" applyAlignment="1">
      <alignment horizontal="center" vertical="center" wrapText="1"/>
    </xf>
    <xf numFmtId="0" fontId="3" fillId="0" borderId="29" xfId="6" applyFont="1" applyBorder="1" applyAlignment="1">
      <alignment horizontal="left" vertical="center"/>
    </xf>
    <xf numFmtId="0" fontId="3" fillId="0" borderId="30" xfId="6" applyFont="1" applyBorder="1" applyAlignment="1">
      <alignment horizontal="left" vertical="center"/>
    </xf>
    <xf numFmtId="0" fontId="3" fillId="0" borderId="31" xfId="6" applyFont="1" applyBorder="1" applyAlignment="1">
      <alignment horizontal="left" vertical="center"/>
    </xf>
    <xf numFmtId="0" fontId="3" fillId="0" borderId="29" xfId="6" applyFont="1" applyBorder="1" applyAlignment="1">
      <alignment horizontal="center" vertical="center"/>
    </xf>
    <xf numFmtId="0" fontId="3" fillId="0" borderId="30" xfId="6" applyFont="1" applyBorder="1" applyAlignment="1">
      <alignment horizontal="center" vertical="center"/>
    </xf>
    <xf numFmtId="0" fontId="3" fillId="0" borderId="31" xfId="6" applyFont="1" applyBorder="1" applyAlignment="1">
      <alignment horizontal="center" vertical="center"/>
    </xf>
    <xf numFmtId="0" fontId="3" fillId="0" borderId="32" xfId="6" applyFont="1" applyBorder="1" applyAlignment="1">
      <alignment horizontal="center" vertical="center"/>
    </xf>
    <xf numFmtId="0" fontId="3" fillId="0" borderId="33" xfId="6" applyFont="1" applyBorder="1" applyAlignment="1">
      <alignment horizontal="center" vertical="center"/>
    </xf>
    <xf numFmtId="0" fontId="3" fillId="0" borderId="34" xfId="6" applyFont="1" applyBorder="1" applyAlignment="1">
      <alignment horizontal="center" vertical="center"/>
    </xf>
    <xf numFmtId="0" fontId="3" fillId="0" borderId="32" xfId="6" applyFont="1" applyBorder="1" applyAlignment="1">
      <alignment horizontal="left" vertical="center"/>
    </xf>
    <xf numFmtId="0" fontId="3" fillId="0" borderId="33" xfId="6" applyFont="1" applyBorder="1" applyAlignment="1">
      <alignment horizontal="left" vertical="center"/>
    </xf>
    <xf numFmtId="0" fontId="3" fillId="0" borderId="34" xfId="6" applyFont="1" applyBorder="1" applyAlignment="1">
      <alignment horizontal="left" vertical="center"/>
    </xf>
    <xf numFmtId="0" fontId="4" fillId="0" borderId="32" xfId="6" quotePrefix="1" applyFont="1" applyBorder="1" applyAlignment="1">
      <alignment horizontal="left" vertical="center" wrapText="1"/>
    </xf>
    <xf numFmtId="0" fontId="4" fillId="0" borderId="33" xfId="6" applyFont="1" applyBorder="1" applyAlignment="1">
      <alignment horizontal="left" vertical="center" wrapText="1"/>
    </xf>
    <xf numFmtId="0" fontId="4" fillId="0" borderId="34" xfId="6" applyFont="1" applyBorder="1" applyAlignment="1">
      <alignment horizontal="left" vertical="center" wrapText="1"/>
    </xf>
    <xf numFmtId="0" fontId="3" fillId="0" borderId="32" xfId="6" quotePrefix="1" applyFont="1" applyBorder="1" applyAlignment="1">
      <alignment horizontal="center" vertical="center" wrapText="1"/>
    </xf>
    <xf numFmtId="0" fontId="3" fillId="0" borderId="33" xfId="6" applyFont="1" applyBorder="1" applyAlignment="1">
      <alignment horizontal="center" vertical="center" wrapText="1"/>
    </xf>
    <xf numFmtId="0" fontId="3" fillId="0" borderId="34" xfId="6" applyFont="1" applyBorder="1" applyAlignment="1">
      <alignment horizontal="center" vertical="center" wrapText="1"/>
    </xf>
    <xf numFmtId="0" fontId="3" fillId="0" borderId="32" xfId="6" applyFont="1" applyBorder="1" applyAlignment="1">
      <alignment vertical="center"/>
    </xf>
    <xf numFmtId="0" fontId="3" fillId="0" borderId="33" xfId="6" applyFont="1" applyBorder="1" applyAlignment="1">
      <alignment vertical="center"/>
    </xf>
    <xf numFmtId="0" fontId="3" fillId="0" borderId="34" xfId="6" applyFont="1" applyBorder="1" applyAlignment="1">
      <alignment vertical="center"/>
    </xf>
    <xf numFmtId="0" fontId="3" fillId="0" borderId="29" xfId="6" quotePrefix="1" applyFont="1" applyBorder="1" applyAlignment="1">
      <alignment vertical="center" wrapText="1"/>
    </xf>
    <xf numFmtId="0" fontId="3" fillId="0" borderId="30" xfId="6" quotePrefix="1" applyFont="1" applyBorder="1" applyAlignment="1">
      <alignment vertical="center" wrapText="1"/>
    </xf>
    <xf numFmtId="0" fontId="3" fillId="0" borderId="31" xfId="6" quotePrefix="1" applyFont="1" applyBorder="1" applyAlignment="1">
      <alignment vertical="center" wrapText="1"/>
    </xf>
    <xf numFmtId="0" fontId="4" fillId="0" borderId="29" xfId="6" applyFont="1" applyBorder="1" applyAlignment="1">
      <alignment vertical="center"/>
    </xf>
    <xf numFmtId="0" fontId="3" fillId="0" borderId="30" xfId="6" applyFont="1" applyBorder="1" applyAlignment="1">
      <alignment vertical="center"/>
    </xf>
    <xf numFmtId="0" fontId="3" fillId="0" borderId="31" xfId="6" applyFont="1" applyBorder="1" applyAlignment="1">
      <alignment vertical="center"/>
    </xf>
    <xf numFmtId="0" fontId="3" fillId="0" borderId="32" xfId="6" quotePrefix="1" applyFont="1" applyBorder="1" applyAlignment="1">
      <alignment vertical="center" wrapText="1"/>
    </xf>
    <xf numFmtId="0" fontId="3" fillId="0" borderId="33" xfId="6" quotePrefix="1" applyFont="1" applyBorder="1" applyAlignment="1">
      <alignment vertical="center" wrapText="1"/>
    </xf>
    <xf numFmtId="0" fontId="3" fillId="0" borderId="34" xfId="6" quotePrefix="1" applyFont="1" applyBorder="1" applyAlignment="1">
      <alignment vertical="center" wrapText="1"/>
    </xf>
    <xf numFmtId="0" fontId="4" fillId="0" borderId="32" xfId="6" applyFont="1" applyBorder="1" applyAlignment="1">
      <alignment vertical="center"/>
    </xf>
    <xf numFmtId="0" fontId="4" fillId="0" borderId="32" xfId="6" applyFont="1" applyBorder="1" applyAlignment="1">
      <alignment horizontal="left" vertical="center"/>
    </xf>
    <xf numFmtId="0" fontId="4" fillId="0" borderId="33" xfId="6" applyFont="1" applyBorder="1" applyAlignment="1">
      <alignment horizontal="left" vertical="center"/>
    </xf>
    <xf numFmtId="0" fontId="4" fillId="0" borderId="34" xfId="6" applyFont="1" applyBorder="1" applyAlignment="1">
      <alignment horizontal="left" vertical="center"/>
    </xf>
    <xf numFmtId="0" fontId="3" fillId="0" borderId="32" xfId="6" applyFont="1" applyBorder="1" applyAlignment="1">
      <alignment horizontal="left" vertical="center" wrapText="1"/>
    </xf>
    <xf numFmtId="0" fontId="3" fillId="0" borderId="33" xfId="6" applyFont="1" applyBorder="1" applyAlignment="1">
      <alignment horizontal="left" vertical="center" wrapText="1"/>
    </xf>
    <xf numFmtId="0" fontId="3" fillId="0" borderId="34" xfId="6" applyFont="1" applyBorder="1" applyAlignment="1">
      <alignment horizontal="left" vertical="center" wrapText="1"/>
    </xf>
    <xf numFmtId="0" fontId="4" fillId="0" borderId="32" xfId="6" quotePrefix="1" applyFont="1" applyBorder="1" applyAlignment="1">
      <alignment horizontal="center" vertical="center" wrapText="1"/>
    </xf>
    <xf numFmtId="0" fontId="4" fillId="0" borderId="33" xfId="6" applyFont="1" applyBorder="1" applyAlignment="1">
      <alignment horizontal="center" vertical="center" wrapText="1"/>
    </xf>
    <xf numFmtId="0" fontId="4" fillId="0" borderId="34" xfId="6" applyFont="1" applyBorder="1" applyAlignment="1">
      <alignment horizontal="center" vertical="center" wrapText="1"/>
    </xf>
    <xf numFmtId="0" fontId="4" fillId="0" borderId="32" xfId="6" applyFont="1" applyBorder="1" applyAlignment="1">
      <alignment horizontal="center" vertical="center"/>
    </xf>
    <xf numFmtId="0" fontId="4" fillId="3" borderId="24" xfId="6" applyFont="1" applyFill="1" applyBorder="1" applyAlignment="1">
      <alignment vertical="center" wrapText="1"/>
    </xf>
    <xf numFmtId="0" fontId="3" fillId="3" borderId="26" xfId="6" applyFont="1" applyFill="1" applyBorder="1" applyAlignment="1">
      <alignment vertical="center"/>
    </xf>
    <xf numFmtId="0" fontId="3" fillId="3" borderId="1" xfId="6" applyFont="1" applyFill="1" applyBorder="1" applyAlignment="1">
      <alignment vertical="center"/>
    </xf>
    <xf numFmtId="0" fontId="3" fillId="3" borderId="4" xfId="6" applyFont="1" applyFill="1" applyBorder="1" applyAlignment="1">
      <alignment vertical="center"/>
    </xf>
    <xf numFmtId="0" fontId="3" fillId="3" borderId="2" xfId="6" applyFont="1" applyFill="1" applyBorder="1" applyAlignment="1">
      <alignment vertical="center"/>
    </xf>
    <xf numFmtId="0" fontId="3" fillId="3" borderId="5" xfId="6" applyFont="1" applyFill="1" applyBorder="1" applyAlignment="1">
      <alignment vertical="center"/>
    </xf>
    <xf numFmtId="0" fontId="4" fillId="3" borderId="24" xfId="6" applyFont="1" applyFill="1" applyBorder="1" applyAlignment="1">
      <alignment vertical="center"/>
    </xf>
    <xf numFmtId="0" fontId="3" fillId="3" borderId="25" xfId="6" applyFont="1" applyFill="1" applyBorder="1" applyAlignment="1">
      <alignment vertical="center"/>
    </xf>
    <xf numFmtId="0" fontId="3" fillId="3" borderId="0" xfId="6" applyFont="1" applyFill="1" applyAlignment="1">
      <alignment vertical="center"/>
    </xf>
    <xf numFmtId="0" fontId="3" fillId="3" borderId="3" xfId="6" applyFont="1" applyFill="1" applyBorder="1" applyAlignment="1">
      <alignment vertical="center"/>
    </xf>
    <xf numFmtId="0" fontId="3" fillId="3" borderId="35" xfId="6" applyFont="1" applyFill="1" applyBorder="1" applyAlignment="1">
      <alignment vertical="center" shrinkToFit="1"/>
    </xf>
    <xf numFmtId="0" fontId="3" fillId="3" borderId="36" xfId="6" applyFont="1" applyFill="1" applyBorder="1" applyAlignment="1">
      <alignment vertical="center" shrinkToFit="1"/>
    </xf>
    <xf numFmtId="0" fontId="3" fillId="3" borderId="37" xfId="6" applyFont="1" applyFill="1" applyBorder="1" applyAlignment="1">
      <alignment vertical="center" shrinkToFit="1"/>
    </xf>
    <xf numFmtId="0" fontId="4" fillId="3" borderId="35" xfId="6" applyFont="1" applyFill="1" applyBorder="1" applyAlignment="1">
      <alignment vertical="center" wrapText="1"/>
    </xf>
    <xf numFmtId="0" fontId="4" fillId="3" borderId="36" xfId="6" applyFont="1" applyFill="1" applyBorder="1" applyAlignment="1">
      <alignment vertical="center" wrapText="1"/>
    </xf>
    <xf numFmtId="0" fontId="4" fillId="3" borderId="37" xfId="6" applyFont="1" applyFill="1" applyBorder="1" applyAlignment="1">
      <alignment vertical="center" wrapText="1"/>
    </xf>
    <xf numFmtId="0" fontId="3" fillId="0" borderId="29" xfId="6" quotePrefix="1" applyFont="1" applyBorder="1" applyAlignment="1">
      <alignment horizontal="center" vertical="center"/>
    </xf>
    <xf numFmtId="0" fontId="4" fillId="5" borderId="21" xfId="6" applyFont="1" applyFill="1" applyBorder="1" applyAlignment="1">
      <alignment vertical="center"/>
    </xf>
    <xf numFmtId="0" fontId="3" fillId="5" borderId="22" xfId="6" applyFont="1" applyFill="1" applyBorder="1" applyAlignment="1">
      <alignment vertical="center"/>
    </xf>
    <xf numFmtId="0" fontId="3" fillId="5" borderId="23" xfId="6" applyFont="1" applyFill="1" applyBorder="1" applyAlignment="1">
      <alignment vertical="center"/>
    </xf>
    <xf numFmtId="0" fontId="4" fillId="6" borderId="24" xfId="6" applyFont="1" applyFill="1" applyBorder="1" applyAlignment="1">
      <alignment vertical="center"/>
    </xf>
    <xf numFmtId="0" fontId="3" fillId="6" borderId="25" xfId="6" applyFont="1" applyFill="1" applyBorder="1" applyAlignment="1">
      <alignment vertical="center"/>
    </xf>
    <xf numFmtId="0" fontId="3" fillId="6" borderId="26" xfId="6" applyFont="1" applyFill="1" applyBorder="1" applyAlignment="1">
      <alignment vertical="center"/>
    </xf>
    <xf numFmtId="0" fontId="3" fillId="6" borderId="1" xfId="6" applyFont="1" applyFill="1" applyBorder="1" applyAlignment="1">
      <alignment vertical="center"/>
    </xf>
    <xf numFmtId="0" fontId="3" fillId="6" borderId="0" xfId="6" applyFont="1" applyFill="1" applyAlignment="1">
      <alignment vertical="center"/>
    </xf>
    <xf numFmtId="0" fontId="3" fillId="6" borderId="4" xfId="6" applyFont="1" applyFill="1" applyBorder="1" applyAlignment="1">
      <alignment vertical="center"/>
    </xf>
    <xf numFmtId="0" fontId="3" fillId="6" borderId="2" xfId="6" applyFont="1" applyFill="1" applyBorder="1" applyAlignment="1">
      <alignment vertical="center"/>
    </xf>
    <xf numFmtId="0" fontId="3" fillId="6" borderId="3" xfId="6" applyFont="1" applyFill="1" applyBorder="1" applyAlignment="1">
      <alignment vertical="center"/>
    </xf>
    <xf numFmtId="0" fontId="3" fillId="6" borderId="5" xfId="6" applyFont="1" applyFill="1" applyBorder="1" applyAlignment="1">
      <alignment vertical="center"/>
    </xf>
    <xf numFmtId="0" fontId="4" fillId="4" borderId="21" xfId="6" applyFont="1" applyFill="1" applyBorder="1"/>
    <xf numFmtId="0" fontId="4" fillId="4" borderId="22" xfId="6" applyFont="1" applyFill="1" applyBorder="1"/>
    <xf numFmtId="0" fontId="4" fillId="4" borderId="23" xfId="6" applyFont="1" applyFill="1" applyBorder="1"/>
    <xf numFmtId="0" fontId="4" fillId="4" borderId="24" xfId="6" applyFont="1" applyFill="1" applyBorder="1" applyAlignment="1">
      <alignment vertical="center"/>
    </xf>
    <xf numFmtId="0" fontId="3" fillId="4" borderId="25" xfId="6" applyFont="1" applyFill="1" applyBorder="1" applyAlignment="1">
      <alignment vertical="center"/>
    </xf>
    <xf numFmtId="0" fontId="3" fillId="4" borderId="26" xfId="6" applyFont="1" applyFill="1" applyBorder="1" applyAlignment="1">
      <alignment vertical="center"/>
    </xf>
    <xf numFmtId="0" fontId="3" fillId="4" borderId="2" xfId="6" applyFont="1" applyFill="1" applyBorder="1" applyAlignment="1">
      <alignment vertical="center"/>
    </xf>
    <xf numFmtId="0" fontId="3" fillId="4" borderId="3" xfId="6" applyFont="1" applyFill="1" applyBorder="1" applyAlignment="1">
      <alignment vertical="center"/>
    </xf>
    <xf numFmtId="0" fontId="3" fillId="4" borderId="5" xfId="6" applyFont="1" applyFill="1" applyBorder="1" applyAlignment="1">
      <alignment vertical="center"/>
    </xf>
    <xf numFmtId="0" fontId="3" fillId="5" borderId="24" xfId="6" applyFont="1" applyFill="1" applyBorder="1" applyAlignment="1">
      <alignment vertical="center" wrapText="1"/>
    </xf>
    <xf numFmtId="0" fontId="3" fillId="5" borderId="2" xfId="6" applyFont="1" applyFill="1" applyBorder="1" applyAlignment="1">
      <alignment vertical="center" wrapText="1"/>
    </xf>
    <xf numFmtId="0" fontId="4" fillId="5" borderId="35" xfId="6" applyFont="1" applyFill="1" applyBorder="1" applyAlignment="1">
      <alignment vertical="center" wrapText="1"/>
    </xf>
    <xf numFmtId="0" fontId="4" fillId="5" borderId="37" xfId="6" applyFont="1" applyFill="1" applyBorder="1" applyAlignment="1">
      <alignment vertical="center" wrapText="1"/>
    </xf>
    <xf numFmtId="0" fontId="4" fillId="5" borderId="26" xfId="6" applyFont="1" applyFill="1" applyBorder="1" applyAlignment="1">
      <alignment vertical="center" wrapText="1"/>
    </xf>
    <xf numFmtId="0" fontId="4" fillId="5" borderId="5" xfId="6" applyFont="1" applyFill="1" applyBorder="1" applyAlignment="1">
      <alignment vertical="center" wrapText="1"/>
    </xf>
    <xf numFmtId="0" fontId="4" fillId="4" borderId="21" xfId="6" applyFont="1" applyFill="1" applyBorder="1" applyAlignment="1">
      <alignment vertical="center"/>
    </xf>
    <xf numFmtId="0" fontId="3" fillId="4" borderId="22" xfId="6" applyFont="1" applyFill="1" applyBorder="1" applyAlignment="1">
      <alignment vertical="center"/>
    </xf>
    <xf numFmtId="0" fontId="3" fillId="4" borderId="23" xfId="6" applyFont="1" applyFill="1" applyBorder="1" applyAlignment="1">
      <alignment vertical="center"/>
    </xf>
    <xf numFmtId="0" fontId="3" fillId="5" borderId="38" xfId="6" applyFont="1" applyFill="1" applyBorder="1" applyAlignment="1">
      <alignment vertical="center"/>
    </xf>
    <xf numFmtId="0" fontId="4" fillId="5" borderId="39" xfId="6" applyFont="1" applyFill="1" applyBorder="1" applyAlignment="1">
      <alignment vertical="center"/>
    </xf>
    <xf numFmtId="0" fontId="6" fillId="0" borderId="32" xfId="6" applyFont="1" applyBorder="1" applyAlignment="1">
      <alignment vertical="center" wrapText="1"/>
    </xf>
    <xf numFmtId="0" fontId="6" fillId="0" borderId="33" xfId="6" applyFont="1" applyBorder="1" applyAlignment="1">
      <alignment vertical="center"/>
    </xf>
    <xf numFmtId="0" fontId="6" fillId="0" borderId="34" xfId="6" applyFont="1" applyBorder="1" applyAlignment="1">
      <alignment vertical="center"/>
    </xf>
    <xf numFmtId="0" fontId="4" fillId="0" borderId="32" xfId="6" quotePrefix="1" applyFont="1" applyBorder="1" applyAlignment="1">
      <alignment vertical="center" wrapText="1"/>
    </xf>
    <xf numFmtId="0" fontId="4" fillId="0" borderId="33" xfId="6" applyFont="1" applyBorder="1" applyAlignment="1">
      <alignment vertical="center" wrapText="1"/>
    </xf>
    <xf numFmtId="0" fontId="4" fillId="0" borderId="34" xfId="6" applyFont="1" applyBorder="1" applyAlignment="1">
      <alignment vertical="center" wrapText="1"/>
    </xf>
    <xf numFmtId="0" fontId="4" fillId="0" borderId="29" xfId="6" applyFont="1" applyBorder="1" applyAlignment="1">
      <alignment horizontal="left" vertical="center"/>
    </xf>
    <xf numFmtId="0" fontId="4" fillId="0" borderId="30" xfId="6" applyFont="1" applyBorder="1" applyAlignment="1">
      <alignment horizontal="left" vertical="center"/>
    </xf>
    <xf numFmtId="0" fontId="4" fillId="0" borderId="31" xfId="6" applyFont="1" applyBorder="1" applyAlignment="1">
      <alignment horizontal="left" vertical="center"/>
    </xf>
    <xf numFmtId="0" fontId="3" fillId="0" borderId="32" xfId="6" quotePrefix="1" applyFont="1" applyBorder="1" applyAlignment="1">
      <alignment vertical="center"/>
    </xf>
    <xf numFmtId="0" fontId="3" fillId="0" borderId="27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27" xfId="6" applyFont="1" applyBorder="1" applyAlignment="1">
      <alignment vertical="center"/>
    </xf>
    <xf numFmtId="0" fontId="3" fillId="0" borderId="28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4" fillId="0" borderId="27" xfId="6" applyFont="1" applyBorder="1" applyAlignment="1">
      <alignment horizontal="center" vertical="center"/>
    </xf>
    <xf numFmtId="0" fontId="3" fillId="0" borderId="28" xfId="6" applyFont="1" applyBorder="1" applyAlignment="1">
      <alignment horizontal="center" vertical="center"/>
    </xf>
    <xf numFmtId="0" fontId="3" fillId="0" borderId="32" xfId="6" applyFont="1" applyBorder="1" applyAlignment="1">
      <alignment vertical="center" wrapText="1"/>
    </xf>
    <xf numFmtId="0" fontId="3" fillId="0" borderId="33" xfId="6" quotePrefix="1" applyFont="1" applyBorder="1" applyAlignment="1">
      <alignment vertical="center"/>
    </xf>
    <xf numFmtId="0" fontId="3" fillId="0" borderId="34" xfId="6" quotePrefix="1" applyFont="1" applyBorder="1" applyAlignment="1">
      <alignment vertical="center"/>
    </xf>
    <xf numFmtId="0" fontId="4" fillId="0" borderId="32" xfId="6" quotePrefix="1" applyFont="1" applyBorder="1" applyAlignment="1">
      <alignment horizontal="left" vertical="center"/>
    </xf>
    <xf numFmtId="0" fontId="3" fillId="0" borderId="21" xfId="6" applyFont="1" applyBorder="1" applyAlignment="1">
      <alignment horizontal="center" vertical="center"/>
    </xf>
    <xf numFmtId="0" fontId="3" fillId="0" borderId="22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4" fillId="0" borderId="21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3" fillId="0" borderId="26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32" xfId="6" quotePrefix="1" applyFont="1" applyBorder="1" applyAlignment="1">
      <alignment horizontal="left" vertical="center" wrapText="1"/>
    </xf>
    <xf numFmtId="0" fontId="3" fillId="0" borderId="40" xfId="6" applyFont="1" applyBorder="1" applyAlignment="1">
      <alignment vertical="center"/>
    </xf>
    <xf numFmtId="0" fontId="3" fillId="0" borderId="41" xfId="6" applyFont="1" applyBorder="1" applyAlignment="1">
      <alignment vertical="center"/>
    </xf>
    <xf numFmtId="0" fontId="3" fillId="0" borderId="42" xfId="6" applyFont="1" applyBorder="1" applyAlignment="1">
      <alignment vertical="center"/>
    </xf>
    <xf numFmtId="0" fontId="3" fillId="0" borderId="40" xfId="6" quotePrefix="1" applyFont="1" applyBorder="1" applyAlignment="1">
      <alignment vertical="center"/>
    </xf>
    <xf numFmtId="0" fontId="3" fillId="0" borderId="41" xfId="6" quotePrefix="1" applyFont="1" applyBorder="1" applyAlignment="1">
      <alignment vertical="center"/>
    </xf>
    <xf numFmtId="0" fontId="3" fillId="0" borderId="42" xfId="6" quotePrefix="1" applyFont="1" applyBorder="1" applyAlignment="1">
      <alignment vertical="center"/>
    </xf>
    <xf numFmtId="0" fontId="3" fillId="6" borderId="32" xfId="6" quotePrefix="1" applyFont="1" applyFill="1" applyBorder="1" applyAlignment="1">
      <alignment horizontal="center" vertical="center" wrapText="1"/>
    </xf>
    <xf numFmtId="0" fontId="3" fillId="6" borderId="33" xfId="6" applyFont="1" applyFill="1" applyBorder="1" applyAlignment="1">
      <alignment horizontal="center" vertical="center" wrapText="1"/>
    </xf>
    <xf numFmtId="0" fontId="3" fillId="6" borderId="34" xfId="6" applyFont="1" applyFill="1" applyBorder="1" applyAlignment="1">
      <alignment horizontal="center" vertical="center" wrapText="1"/>
    </xf>
    <xf numFmtId="0" fontId="4" fillId="6" borderId="32" xfId="6" quotePrefix="1" applyFont="1" applyFill="1" applyBorder="1" applyAlignment="1">
      <alignment horizontal="center" vertical="center" wrapText="1"/>
    </xf>
    <xf numFmtId="0" fontId="4" fillId="6" borderId="33" xfId="6" applyFont="1" applyFill="1" applyBorder="1" applyAlignment="1">
      <alignment horizontal="center" vertical="center" wrapText="1"/>
    </xf>
    <xf numFmtId="0" fontId="4" fillId="6" borderId="34" xfId="6" applyFont="1" applyFill="1" applyBorder="1" applyAlignment="1">
      <alignment horizontal="center" vertical="center" wrapText="1"/>
    </xf>
    <xf numFmtId="0" fontId="4" fillId="0" borderId="32" xfId="6" applyFont="1" applyBorder="1" applyAlignment="1">
      <alignment horizontal="left" vertical="center" wrapText="1"/>
    </xf>
    <xf numFmtId="0" fontId="7" fillId="0" borderId="32" xfId="6" applyFont="1" applyBorder="1" applyAlignment="1">
      <alignment vertical="center" wrapText="1"/>
    </xf>
    <xf numFmtId="0" fontId="7" fillId="0" borderId="33" xfId="6" applyFont="1" applyBorder="1" applyAlignment="1">
      <alignment vertical="center" wrapText="1"/>
    </xf>
    <xf numFmtId="0" fontId="7" fillId="0" borderId="34" xfId="6" applyFont="1" applyBorder="1" applyAlignment="1">
      <alignment vertical="center" wrapText="1"/>
    </xf>
    <xf numFmtId="0" fontId="7" fillId="0" borderId="33" xfId="6" applyFont="1" applyBorder="1" applyAlignment="1">
      <alignment vertical="center"/>
    </xf>
    <xf numFmtId="0" fontId="7" fillId="0" borderId="34" xfId="6" applyFont="1" applyBorder="1" applyAlignment="1">
      <alignment vertical="center"/>
    </xf>
    <xf numFmtId="0" fontId="7" fillId="0" borderId="29" xfId="6" applyFont="1" applyBorder="1" applyAlignment="1">
      <alignment vertical="center" wrapText="1"/>
    </xf>
    <xf numFmtId="0" fontId="7" fillId="0" borderId="30" xfId="6" applyFont="1" applyBorder="1" applyAlignment="1">
      <alignment vertical="center" wrapText="1"/>
    </xf>
    <xf numFmtId="0" fontId="7" fillId="0" borderId="31" xfId="6" applyFont="1" applyBorder="1" applyAlignment="1">
      <alignment vertical="center" wrapText="1"/>
    </xf>
    <xf numFmtId="0" fontId="3" fillId="0" borderId="32" xfId="6" applyFont="1" applyBorder="1" applyAlignment="1">
      <alignment horizontal="center" vertical="center" wrapText="1"/>
    </xf>
    <xf numFmtId="0" fontId="4" fillId="0" borderId="27" xfId="6" applyFont="1" applyBorder="1" applyAlignment="1">
      <alignment horizontal="left" vertical="center" wrapText="1"/>
    </xf>
    <xf numFmtId="0" fontId="3" fillId="0" borderId="28" xfId="6" applyFont="1" applyBorder="1" applyAlignment="1">
      <alignment horizontal="left" vertical="center"/>
    </xf>
    <xf numFmtId="0" fontId="3" fillId="0" borderId="16" xfId="6" applyFont="1" applyBorder="1" applyAlignment="1">
      <alignment horizontal="left" vertical="center"/>
    </xf>
    <xf numFmtId="0" fontId="7" fillId="0" borderId="27" xfId="6" applyFont="1" applyBorder="1" applyAlignment="1">
      <alignment vertical="center" wrapText="1"/>
    </xf>
    <xf numFmtId="0" fontId="7" fillId="0" borderId="28" xfId="6" applyFont="1" applyBorder="1" applyAlignment="1">
      <alignment vertical="center" wrapText="1"/>
    </xf>
    <xf numFmtId="0" fontId="7" fillId="0" borderId="16" xfId="6" applyFont="1" applyBorder="1" applyAlignment="1">
      <alignment vertical="center" wrapText="1"/>
    </xf>
    <xf numFmtId="0" fontId="3" fillId="6" borderId="32" xfId="6" applyFont="1" applyFill="1" applyBorder="1" applyAlignment="1">
      <alignment horizontal="center" vertical="center"/>
    </xf>
    <xf numFmtId="0" fontId="3" fillId="6" borderId="33" xfId="6" applyFont="1" applyFill="1" applyBorder="1" applyAlignment="1">
      <alignment horizontal="center" vertical="center"/>
    </xf>
    <xf numFmtId="0" fontId="3" fillId="6" borderId="34" xfId="6" applyFont="1" applyFill="1" applyBorder="1" applyAlignment="1">
      <alignment horizontal="center" vertical="center"/>
    </xf>
    <xf numFmtId="0" fontId="3" fillId="0" borderId="32" xfId="6" quotePrefix="1" applyFont="1" applyBorder="1" applyAlignment="1">
      <alignment horizontal="left" vertical="center"/>
    </xf>
    <xf numFmtId="0" fontId="4" fillId="0" borderId="27" xfId="6" applyFont="1" applyBorder="1" applyAlignment="1">
      <alignment horizontal="center" vertical="center" wrapText="1"/>
    </xf>
    <xf numFmtId="0" fontId="4" fillId="0" borderId="28" xfId="6" applyFont="1" applyBorder="1" applyAlignment="1">
      <alignment horizontal="center" vertical="center" wrapText="1"/>
    </xf>
    <xf numFmtId="0" fontId="4" fillId="0" borderId="16" xfId="6" applyFont="1" applyBorder="1" applyAlignment="1">
      <alignment horizontal="center" vertical="center" wrapText="1"/>
    </xf>
    <xf numFmtId="0" fontId="3" fillId="0" borderId="27" xfId="6" applyFont="1" applyBorder="1" applyAlignment="1">
      <alignment horizontal="left" vertical="center"/>
    </xf>
    <xf numFmtId="0" fontId="5" fillId="0" borderId="32" xfId="6" applyFont="1" applyBorder="1" applyAlignment="1">
      <alignment vertical="center" wrapText="1"/>
    </xf>
    <xf numFmtId="0" fontId="4" fillId="0" borderId="32" xfId="6" quotePrefix="1" applyFont="1" applyBorder="1" applyAlignment="1">
      <alignment horizontal="center" vertical="center"/>
    </xf>
    <xf numFmtId="0" fontId="4" fillId="0" borderId="33" xfId="6" applyFont="1" applyBorder="1" applyAlignment="1">
      <alignment horizontal="center" vertical="center"/>
    </xf>
    <xf numFmtId="0" fontId="4" fillId="0" borderId="34" xfId="6" applyFont="1" applyBorder="1" applyAlignment="1">
      <alignment horizontal="center" vertical="center"/>
    </xf>
    <xf numFmtId="0" fontId="3" fillId="0" borderId="32" xfId="6" quotePrefix="1" applyFont="1" applyBorder="1" applyAlignment="1">
      <alignment horizontal="center" vertical="center"/>
    </xf>
    <xf numFmtId="0" fontId="3" fillId="0" borderId="29" xfId="6" quotePrefix="1" applyFont="1" applyBorder="1" applyAlignment="1">
      <alignment vertical="center"/>
    </xf>
    <xf numFmtId="0" fontId="3" fillId="0" borderId="30" xfId="6" quotePrefix="1" applyFont="1" applyBorder="1" applyAlignment="1">
      <alignment vertical="center"/>
    </xf>
    <xf numFmtId="0" fontId="3" fillId="0" borderId="31" xfId="6" quotePrefix="1" applyFont="1" applyBorder="1" applyAlignment="1">
      <alignment vertical="center"/>
    </xf>
    <xf numFmtId="0" fontId="3" fillId="0" borderId="29" xfId="6" applyFont="1" applyBorder="1" applyAlignment="1">
      <alignment vertical="center"/>
    </xf>
    <xf numFmtId="0" fontId="4" fillId="0" borderId="29" xfId="6" quotePrefix="1" applyFont="1" applyBorder="1" applyAlignment="1">
      <alignment horizontal="center" vertical="center"/>
    </xf>
    <xf numFmtId="0" fontId="4" fillId="0" borderId="30" xfId="6" applyFont="1" applyBorder="1" applyAlignment="1">
      <alignment horizontal="center" vertical="center"/>
    </xf>
    <xf numFmtId="0" fontId="4" fillId="0" borderId="31" xfId="6" applyFont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5" fillId="0" borderId="0" xfId="0" applyFont="1"/>
    <xf numFmtId="0" fontId="15" fillId="0" borderId="25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14" fontId="15" fillId="0" borderId="24" xfId="0" applyNumberFormat="1" applyFont="1" applyBorder="1" applyAlignment="1">
      <alignment horizontal="center" vertical="center"/>
    </xf>
    <xf numFmtId="14" fontId="15" fillId="0" borderId="25" xfId="0" applyNumberFormat="1" applyFont="1" applyBorder="1" applyAlignment="1">
      <alignment horizontal="center" vertical="center"/>
    </xf>
    <xf numFmtId="14" fontId="15" fillId="0" borderId="26" xfId="0" applyNumberFormat="1" applyFont="1" applyBorder="1" applyAlignment="1">
      <alignment horizontal="center" vertical="center"/>
    </xf>
    <xf numFmtId="2" fontId="15" fillId="0" borderId="24" xfId="0" applyNumberFormat="1" applyFont="1" applyBorder="1" applyAlignment="1">
      <alignment horizontal="center" vertical="center"/>
    </xf>
    <xf numFmtId="2" fontId="15" fillId="0" borderId="25" xfId="0" applyNumberFormat="1" applyFont="1" applyBorder="1" applyAlignment="1">
      <alignment horizontal="center" vertical="center"/>
    </xf>
    <xf numFmtId="2" fontId="15" fillId="0" borderId="26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4" fontId="15" fillId="0" borderId="2" xfId="0" applyNumberFormat="1" applyFont="1" applyBorder="1" applyAlignment="1">
      <alignment horizontal="center" vertical="center"/>
    </xf>
    <xf numFmtId="14" fontId="15" fillId="0" borderId="3" xfId="0" applyNumberFormat="1" applyFont="1" applyBorder="1" applyAlignment="1">
      <alignment horizontal="center" vertical="center"/>
    </xf>
    <xf numFmtId="14" fontId="15" fillId="0" borderId="5" xfId="0" applyNumberFormat="1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2" fontId="15" fillId="0" borderId="5" xfId="0" applyNumberFormat="1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" xfId="0" applyFont="1" applyBorder="1"/>
    <xf numFmtId="0" fontId="15" fillId="0" borderId="3" xfId="0" applyFont="1" applyBorder="1"/>
    <xf numFmtId="0" fontId="15" fillId="0" borderId="5" xfId="0" applyFont="1" applyBorder="1"/>
    <xf numFmtId="0" fontId="15" fillId="0" borderId="1" xfId="0" applyFont="1" applyBorder="1"/>
    <xf numFmtId="0" fontId="15" fillId="0" borderId="4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11" xfId="0" applyFont="1" applyBorder="1"/>
    <xf numFmtId="0" fontId="15" fillId="0" borderId="6" xfId="0" applyFont="1" applyBorder="1"/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12" xfId="0" applyFont="1" applyBorder="1"/>
    <xf numFmtId="0" fontId="15" fillId="0" borderId="14" xfId="0" applyFont="1" applyBorder="1"/>
    <xf numFmtId="0" fontId="15" fillId="0" borderId="15" xfId="0" applyFont="1" applyBorder="1"/>
    <xf numFmtId="0" fontId="15" fillId="0" borderId="9" xfId="0" applyFont="1" applyBorder="1"/>
    <xf numFmtId="0" fontId="15" fillId="0" borderId="10" xfId="0" applyFont="1" applyBorder="1"/>
    <xf numFmtId="0" fontId="15" fillId="0" borderId="13" xfId="0" applyFont="1" applyBorder="1"/>
    <xf numFmtId="0" fontId="11" fillId="2" borderId="24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11" fillId="2" borderId="26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1" fillId="2" borderId="0" xfId="0" applyFont="1" applyFill="1"/>
    <xf numFmtId="0" fontId="15" fillId="0" borderId="27" xfId="0" applyFont="1" applyBorder="1"/>
    <xf numFmtId="0" fontId="15" fillId="0" borderId="28" xfId="0" applyFont="1" applyBorder="1"/>
    <xf numFmtId="0" fontId="15" fillId="0" borderId="16" xfId="0" applyFont="1" applyBorder="1"/>
    <xf numFmtId="0" fontId="15" fillId="0" borderId="25" xfId="0" applyFont="1" applyBorder="1"/>
    <xf numFmtId="0" fontId="15" fillId="0" borderId="26" xfId="0" applyFont="1" applyBorder="1"/>
    <xf numFmtId="0" fontId="15" fillId="0" borderId="24" xfId="0" applyFont="1" applyBorder="1"/>
    <xf numFmtId="0" fontId="15" fillId="0" borderId="29" xfId="0" applyFont="1" applyBorder="1"/>
    <xf numFmtId="0" fontId="15" fillId="0" borderId="30" xfId="0" applyFont="1" applyBorder="1"/>
    <xf numFmtId="0" fontId="15" fillId="0" borderId="31" xfId="0" applyFont="1" applyBorder="1"/>
    <xf numFmtId="0" fontId="15" fillId="0" borderId="3" xfId="0" applyFont="1" applyBorder="1"/>
    <xf numFmtId="0" fontId="15" fillId="0" borderId="5" xfId="0" applyFont="1" applyBorder="1"/>
    <xf numFmtId="0" fontId="15" fillId="0" borderId="2" xfId="0" applyFont="1" applyBorder="1"/>
    <xf numFmtId="0" fontId="11" fillId="2" borderId="21" xfId="6" applyFont="1" applyFill="1" applyBorder="1" applyAlignment="1">
      <alignment horizontal="center" vertical="center"/>
    </xf>
    <xf numFmtId="0" fontId="11" fillId="2" borderId="22" xfId="6" applyFont="1" applyFill="1" applyBorder="1" applyAlignment="1">
      <alignment horizontal="center" vertical="center"/>
    </xf>
    <xf numFmtId="0" fontId="11" fillId="2" borderId="23" xfId="6" applyFont="1" applyFill="1" applyBorder="1" applyAlignment="1">
      <alignment horizontal="center" vertical="center"/>
    </xf>
    <xf numFmtId="0" fontId="14" fillId="0" borderId="24" xfId="6" applyFont="1" applyBorder="1" applyAlignment="1">
      <alignment horizontal="center" vertical="center"/>
    </xf>
    <xf numFmtId="0" fontId="14" fillId="0" borderId="25" xfId="6" applyFont="1" applyBorder="1" applyAlignment="1">
      <alignment horizontal="center" vertical="center"/>
    </xf>
    <xf numFmtId="0" fontId="14" fillId="0" borderId="26" xfId="6" applyFont="1" applyBorder="1" applyAlignment="1">
      <alignment horizontal="center" vertical="center"/>
    </xf>
    <xf numFmtId="0" fontId="14" fillId="0" borderId="1" xfId="6" applyFont="1" applyBorder="1" applyAlignment="1">
      <alignment horizontal="center" vertical="center"/>
    </xf>
    <xf numFmtId="0" fontId="14" fillId="0" borderId="0" xfId="6" applyFont="1" applyAlignment="1">
      <alignment horizontal="center" vertical="center"/>
    </xf>
    <xf numFmtId="0" fontId="14" fillId="0" borderId="4" xfId="6" applyFont="1" applyBorder="1" applyAlignment="1">
      <alignment horizontal="center" vertical="center"/>
    </xf>
    <xf numFmtId="0" fontId="14" fillId="0" borderId="2" xfId="6" applyFont="1" applyBorder="1" applyAlignment="1">
      <alignment horizontal="center" vertical="center"/>
    </xf>
    <xf numFmtId="0" fontId="14" fillId="0" borderId="3" xfId="6" applyFont="1" applyBorder="1" applyAlignment="1">
      <alignment horizontal="center" vertical="center"/>
    </xf>
    <xf numFmtId="0" fontId="14" fillId="0" borderId="5" xfId="6" applyFont="1" applyBorder="1" applyAlignment="1">
      <alignment horizontal="center" vertical="center"/>
    </xf>
    <xf numFmtId="0" fontId="15" fillId="0" borderId="0" xfId="6" applyFont="1" applyAlignment="1">
      <alignment vertical="center"/>
    </xf>
    <xf numFmtId="0" fontId="15" fillId="0" borderId="27" xfId="6" applyFont="1" applyBorder="1" applyAlignment="1">
      <alignment horizontal="left" vertical="center" wrapText="1"/>
    </xf>
    <xf numFmtId="0" fontId="15" fillId="0" borderId="28" xfId="6" applyFont="1" applyBorder="1" applyAlignment="1">
      <alignment horizontal="left" vertical="center" wrapText="1"/>
    </xf>
    <xf numFmtId="0" fontId="15" fillId="0" borderId="16" xfId="6" applyFont="1" applyBorder="1" applyAlignment="1">
      <alignment horizontal="left" vertical="center" wrapText="1"/>
    </xf>
    <xf numFmtId="0" fontId="15" fillId="0" borderId="27" xfId="6" applyFont="1" applyBorder="1" applyAlignment="1">
      <alignment vertical="center" wrapText="1"/>
    </xf>
    <xf numFmtId="0" fontId="15" fillId="0" borderId="28" xfId="6" applyFont="1" applyBorder="1" applyAlignment="1">
      <alignment vertical="center" wrapText="1"/>
    </xf>
    <xf numFmtId="0" fontId="15" fillId="0" borderId="16" xfId="6" applyFont="1" applyBorder="1" applyAlignment="1">
      <alignment vertical="center" wrapText="1"/>
    </xf>
    <xf numFmtId="0" fontId="15" fillId="0" borderId="40" xfId="6" quotePrefix="1" applyFont="1" applyBorder="1" applyAlignment="1">
      <alignment vertical="center"/>
    </xf>
    <xf numFmtId="0" fontId="15" fillId="0" borderId="41" xfId="6" quotePrefix="1" applyFont="1" applyBorder="1" applyAlignment="1">
      <alignment vertical="center"/>
    </xf>
    <xf numFmtId="0" fontId="15" fillId="0" borderId="42" xfId="6" quotePrefix="1" applyFont="1" applyBorder="1" applyAlignment="1">
      <alignment vertical="center"/>
    </xf>
    <xf numFmtId="0" fontId="15" fillId="0" borderId="29" xfId="6" applyFont="1" applyBorder="1" applyAlignment="1">
      <alignment vertical="center"/>
    </xf>
    <xf numFmtId="0" fontId="15" fillId="0" borderId="30" xfId="6" applyFont="1" applyBorder="1" applyAlignment="1">
      <alignment vertical="center"/>
    </xf>
    <xf numFmtId="0" fontId="15" fillId="0" borderId="31" xfId="6" applyFont="1" applyBorder="1" applyAlignment="1">
      <alignment vertical="center"/>
    </xf>
    <xf numFmtId="0" fontId="15" fillId="0" borderId="40" xfId="6" applyFont="1" applyBorder="1" applyAlignment="1">
      <alignment vertical="center"/>
    </xf>
    <xf numFmtId="0" fontId="15" fillId="0" borderId="41" xfId="6" applyFont="1" applyBorder="1" applyAlignment="1">
      <alignment vertical="center"/>
    </xf>
    <xf numFmtId="0" fontId="15" fillId="0" borderId="42" xfId="6" applyFont="1" applyBorder="1" applyAlignment="1">
      <alignment vertical="center"/>
    </xf>
    <xf numFmtId="0" fontId="15" fillId="0" borderId="32" xfId="6" applyFont="1" applyBorder="1" applyAlignment="1">
      <alignment vertical="center"/>
    </xf>
    <xf numFmtId="0" fontId="15" fillId="0" borderId="33" xfId="6" applyFont="1" applyBorder="1" applyAlignment="1">
      <alignment vertical="center"/>
    </xf>
    <xf numFmtId="0" fontId="15" fillId="0" borderId="34" xfId="6" applyFont="1" applyBorder="1" applyAlignment="1">
      <alignment vertical="center"/>
    </xf>
    <xf numFmtId="0" fontId="15" fillId="0" borderId="32" xfId="6" applyFont="1" applyBorder="1" applyAlignment="1">
      <alignment vertical="center" wrapText="1"/>
    </xf>
    <xf numFmtId="0" fontId="15" fillId="0" borderId="33" xfId="6" applyFont="1" applyBorder="1" applyAlignment="1">
      <alignment vertical="center" wrapText="1"/>
    </xf>
    <xf numFmtId="0" fontId="15" fillId="0" borderId="34" xfId="6" applyFont="1" applyBorder="1" applyAlignment="1">
      <alignment vertical="center" wrapText="1"/>
    </xf>
    <xf numFmtId="0" fontId="15" fillId="0" borderId="27" xfId="6" applyFont="1" applyBorder="1" applyAlignment="1">
      <alignment horizontal="center" vertical="center" wrapText="1"/>
    </xf>
    <xf numFmtId="0" fontId="15" fillId="0" borderId="28" xfId="6" applyFont="1" applyBorder="1" applyAlignment="1">
      <alignment horizontal="center" vertical="center" wrapText="1"/>
    </xf>
    <xf numFmtId="0" fontId="15" fillId="0" borderId="16" xfId="6" applyFont="1" applyBorder="1" applyAlignment="1">
      <alignment horizontal="center" vertical="center" wrapText="1"/>
    </xf>
    <xf numFmtId="0" fontId="15" fillId="0" borderId="32" xfId="6" applyFont="1" applyBorder="1" applyAlignment="1">
      <alignment horizontal="center" vertical="center"/>
    </xf>
    <xf numFmtId="0" fontId="15" fillId="0" borderId="34" xfId="6" applyFont="1" applyBorder="1" applyAlignment="1">
      <alignment horizontal="center" vertical="center"/>
    </xf>
    <xf numFmtId="0" fontId="15" fillId="0" borderId="32" xfId="6" quotePrefix="1" applyFont="1" applyBorder="1" applyAlignment="1">
      <alignment vertical="center"/>
    </xf>
    <xf numFmtId="0" fontId="15" fillId="0" borderId="33" xfId="6" quotePrefix="1" applyFont="1" applyBorder="1" applyAlignment="1">
      <alignment vertical="center"/>
    </xf>
    <xf numFmtId="0" fontId="15" fillId="0" borderId="34" xfId="6" quotePrefix="1" applyFont="1" applyBorder="1" applyAlignment="1">
      <alignment vertical="center"/>
    </xf>
    <xf numFmtId="0" fontId="15" fillId="0" borderId="17" xfId="6" applyFont="1" applyBorder="1" applyAlignment="1">
      <alignment horizontal="center" vertical="center"/>
    </xf>
    <xf numFmtId="0" fontId="15" fillId="6" borderId="32" xfId="6" applyFont="1" applyFill="1" applyBorder="1" applyAlignment="1">
      <alignment horizontal="center" vertical="center"/>
    </xf>
    <xf numFmtId="0" fontId="15" fillId="6" borderId="33" xfId="6" applyFont="1" applyFill="1" applyBorder="1" applyAlignment="1">
      <alignment horizontal="center" vertical="center"/>
    </xf>
    <xf numFmtId="0" fontId="15" fillId="6" borderId="34" xfId="6" applyFont="1" applyFill="1" applyBorder="1" applyAlignment="1">
      <alignment horizontal="center" vertical="center"/>
    </xf>
    <xf numFmtId="0" fontId="15" fillId="0" borderId="32" xfId="6" quotePrefix="1" applyFont="1" applyBorder="1" applyAlignment="1">
      <alignment horizontal="left" vertical="center"/>
    </xf>
    <xf numFmtId="0" fontId="15" fillId="0" borderId="33" xfId="6" applyFont="1" applyBorder="1" applyAlignment="1">
      <alignment horizontal="left" vertical="center"/>
    </xf>
    <xf numFmtId="0" fontId="15" fillId="0" borderId="34" xfId="6" applyFont="1" applyBorder="1" applyAlignment="1">
      <alignment horizontal="left" vertical="center"/>
    </xf>
    <xf numFmtId="0" fontId="15" fillId="0" borderId="32" xfId="6" applyFont="1" applyBorder="1" applyAlignment="1">
      <alignment horizontal="left" vertical="center"/>
    </xf>
    <xf numFmtId="0" fontId="15" fillId="0" borderId="33" xfId="6" applyFont="1" applyBorder="1" applyAlignment="1">
      <alignment horizontal="center" vertical="center"/>
    </xf>
    <xf numFmtId="0" fontId="15" fillId="0" borderId="29" xfId="6" applyFont="1" applyBorder="1" applyAlignment="1">
      <alignment horizontal="center" vertical="center"/>
    </xf>
    <xf numFmtId="0" fontId="15" fillId="0" borderId="31" xfId="6" applyFont="1" applyBorder="1" applyAlignment="1">
      <alignment horizontal="center" vertical="center"/>
    </xf>
    <xf numFmtId="0" fontId="15" fillId="0" borderId="29" xfId="6" quotePrefix="1" applyFont="1" applyBorder="1" applyAlignment="1">
      <alignment vertical="center"/>
    </xf>
    <xf numFmtId="0" fontId="15" fillId="0" borderId="30" xfId="6" quotePrefix="1" applyFont="1" applyBorder="1" applyAlignment="1">
      <alignment vertical="center"/>
    </xf>
    <xf numFmtId="0" fontId="15" fillId="0" borderId="31" xfId="6" quotePrefix="1" applyFont="1" applyBorder="1" applyAlignment="1">
      <alignment vertical="center"/>
    </xf>
    <xf numFmtId="0" fontId="15" fillId="0" borderId="20" xfId="6" applyFont="1" applyBorder="1" applyAlignment="1">
      <alignment horizontal="center" vertical="center"/>
    </xf>
    <xf numFmtId="0" fontId="15" fillId="6" borderId="29" xfId="6" applyFont="1" applyFill="1" applyBorder="1" applyAlignment="1">
      <alignment horizontal="center" vertical="center"/>
    </xf>
    <xf numFmtId="0" fontId="15" fillId="6" borderId="30" xfId="6" applyFont="1" applyFill="1" applyBorder="1" applyAlignment="1">
      <alignment horizontal="center" vertical="center"/>
    </xf>
    <xf numFmtId="0" fontId="15" fillId="6" borderId="31" xfId="6" applyFont="1" applyFill="1" applyBorder="1" applyAlignment="1">
      <alignment horizontal="center" vertical="center"/>
    </xf>
    <xf numFmtId="0" fontId="15" fillId="0" borderId="29" xfId="6" quotePrefix="1" applyFont="1" applyBorder="1" applyAlignment="1">
      <alignment horizontal="left" vertical="center"/>
    </xf>
    <xf numFmtId="0" fontId="15" fillId="0" borderId="30" xfId="6" quotePrefix="1" applyFont="1" applyBorder="1" applyAlignment="1">
      <alignment horizontal="left" vertical="center"/>
    </xf>
    <xf numFmtId="0" fontId="15" fillId="0" borderId="31" xfId="6" quotePrefix="1" applyFont="1" applyBorder="1" applyAlignment="1">
      <alignment horizontal="left" vertical="center"/>
    </xf>
    <xf numFmtId="0" fontId="15" fillId="0" borderId="29" xfId="6" applyFont="1" applyBorder="1" applyAlignment="1">
      <alignment horizontal="left" vertical="center"/>
    </xf>
    <xf numFmtId="0" fontId="15" fillId="0" borderId="30" xfId="6" applyFont="1" applyBorder="1" applyAlignment="1">
      <alignment horizontal="left" vertical="center"/>
    </xf>
    <xf numFmtId="0" fontId="15" fillId="0" borderId="31" xfId="6" applyFont="1" applyBorder="1" applyAlignment="1">
      <alignment horizontal="left" vertical="center"/>
    </xf>
    <xf numFmtId="0" fontId="15" fillId="0" borderId="30" xfId="6" applyFont="1" applyBorder="1" applyAlignment="1">
      <alignment horizontal="center" vertical="center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11205</xdr:colOff>
      <xdr:row>7</xdr:row>
      <xdr:rowOff>190499</xdr:rowOff>
    </xdr:from>
    <xdr:to>
      <xdr:col>53</xdr:col>
      <xdr:colOff>162076</xdr:colOff>
      <xdr:row>36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5" y="1638300"/>
          <a:ext cx="13487400" cy="5600700"/>
        </a:xfrm>
        <a:prstGeom prst="rect">
          <a:avLst/>
        </a:prstGeom>
      </xdr:spPr>
    </xdr:pic>
    <xdr:clientData/>
  </xdr:twoCellAnchor>
  <xdr:twoCellAnchor>
    <xdr:from>
      <xdr:col>9</xdr:col>
      <xdr:colOff>123264</xdr:colOff>
      <xdr:row>8</xdr:row>
      <xdr:rowOff>44824</xdr:rowOff>
    </xdr:from>
    <xdr:to>
      <xdr:col>10</xdr:col>
      <xdr:colOff>145676</xdr:colOff>
      <xdr:row>9</xdr:row>
      <xdr:rowOff>78442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524125" y="1685925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6</xdr:col>
      <xdr:colOff>179291</xdr:colOff>
      <xdr:row>10</xdr:row>
      <xdr:rowOff>168091</xdr:rowOff>
    </xdr:from>
    <xdr:to>
      <xdr:col>7</xdr:col>
      <xdr:colOff>168085</xdr:colOff>
      <xdr:row>12</xdr:row>
      <xdr:rowOff>3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781175" y="2190750"/>
          <a:ext cx="257175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21</xdr:col>
      <xdr:colOff>134468</xdr:colOff>
      <xdr:row>10</xdr:row>
      <xdr:rowOff>156881</xdr:rowOff>
    </xdr:from>
    <xdr:to>
      <xdr:col>22</xdr:col>
      <xdr:colOff>123262</xdr:colOff>
      <xdr:row>11</xdr:row>
      <xdr:rowOff>179293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734050" y="2171700"/>
          <a:ext cx="25717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13</xdr:col>
      <xdr:colOff>78437</xdr:colOff>
      <xdr:row>10</xdr:row>
      <xdr:rowOff>168089</xdr:rowOff>
    </xdr:from>
    <xdr:to>
      <xdr:col>14</xdr:col>
      <xdr:colOff>67232</xdr:colOff>
      <xdr:row>12</xdr:row>
      <xdr:rowOff>1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3543300" y="2190750"/>
          <a:ext cx="257175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28</xdr:col>
      <xdr:colOff>201704</xdr:colOff>
      <xdr:row>10</xdr:row>
      <xdr:rowOff>179295</xdr:rowOff>
    </xdr:from>
    <xdr:to>
      <xdr:col>29</xdr:col>
      <xdr:colOff>190499</xdr:colOff>
      <xdr:row>12</xdr:row>
      <xdr:rowOff>11207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667625" y="2200275"/>
          <a:ext cx="257175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34</xdr:col>
      <xdr:colOff>123264</xdr:colOff>
      <xdr:row>10</xdr:row>
      <xdr:rowOff>156882</xdr:rowOff>
    </xdr:from>
    <xdr:to>
      <xdr:col>35</xdr:col>
      <xdr:colOff>112058</xdr:colOff>
      <xdr:row>11</xdr:row>
      <xdr:rowOff>179294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9191625" y="2171700"/>
          <a:ext cx="25717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44</xdr:col>
      <xdr:colOff>89646</xdr:colOff>
      <xdr:row>10</xdr:row>
      <xdr:rowOff>168090</xdr:rowOff>
    </xdr:from>
    <xdr:to>
      <xdr:col>45</xdr:col>
      <xdr:colOff>78440</xdr:colOff>
      <xdr:row>12</xdr:row>
      <xdr:rowOff>2</xdr:rowOff>
    </xdr:to>
    <xdr:sp macro="" textlink="" fLocksText="0">
      <xdr:nvSpPr>
        <xdr:cNvPr id="9" name="Rectangl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1820525" y="2190750"/>
          <a:ext cx="257175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51</xdr:col>
      <xdr:colOff>78439</xdr:colOff>
      <xdr:row>10</xdr:row>
      <xdr:rowOff>156890</xdr:rowOff>
    </xdr:from>
    <xdr:to>
      <xdr:col>52</xdr:col>
      <xdr:colOff>67233</xdr:colOff>
      <xdr:row>11</xdr:row>
      <xdr:rowOff>179302</xdr:rowOff>
    </xdr:to>
    <xdr:sp macro="" textlink="" fLocksText="0">
      <xdr:nvSpPr>
        <xdr:cNvPr id="10" name="Rectangl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3677900" y="2171700"/>
          <a:ext cx="25717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 editAs="oneCell">
    <xdr:from>
      <xdr:col>2</xdr:col>
      <xdr:colOff>224118</xdr:colOff>
      <xdr:row>55</xdr:row>
      <xdr:rowOff>11206</xdr:rowOff>
    </xdr:from>
    <xdr:to>
      <xdr:col>61</xdr:col>
      <xdr:colOff>0</xdr:colOff>
      <xdr:row>86</xdr:row>
      <xdr:rowOff>176795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11439525"/>
          <a:ext cx="15506700" cy="6362700"/>
        </a:xfrm>
        <a:prstGeom prst="rect">
          <a:avLst/>
        </a:prstGeom>
      </xdr:spPr>
    </xdr:pic>
    <xdr:clientData/>
  </xdr:twoCellAnchor>
  <xdr:twoCellAnchor>
    <xdr:from>
      <xdr:col>5</xdr:col>
      <xdr:colOff>112059</xdr:colOff>
      <xdr:row>62</xdr:row>
      <xdr:rowOff>67236</xdr:rowOff>
    </xdr:from>
    <xdr:to>
      <xdr:col>6</xdr:col>
      <xdr:colOff>100854</xdr:colOff>
      <xdr:row>63</xdr:row>
      <xdr:rowOff>78442</xdr:rowOff>
    </xdr:to>
    <xdr:sp macro="" textlink="" fLocksText="0">
      <xdr:nvSpPr>
        <xdr:cNvPr id="15" name="Rectangl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447800" y="12896850"/>
          <a:ext cx="257175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5</xdr:col>
      <xdr:colOff>145677</xdr:colOff>
      <xdr:row>65</xdr:row>
      <xdr:rowOff>22412</xdr:rowOff>
    </xdr:from>
    <xdr:to>
      <xdr:col>6</xdr:col>
      <xdr:colOff>134472</xdr:colOff>
      <xdr:row>66</xdr:row>
      <xdr:rowOff>33618</xdr:rowOff>
    </xdr:to>
    <xdr:sp macro="" textlink="" fLocksText="0">
      <xdr:nvSpPr>
        <xdr:cNvPr id="16" name="Rectangl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476375" y="13449300"/>
          <a:ext cx="25717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13</xdr:col>
      <xdr:colOff>145675</xdr:colOff>
      <xdr:row>62</xdr:row>
      <xdr:rowOff>56029</xdr:rowOff>
    </xdr:from>
    <xdr:to>
      <xdr:col>14</xdr:col>
      <xdr:colOff>145677</xdr:colOff>
      <xdr:row>63</xdr:row>
      <xdr:rowOff>78441</xdr:rowOff>
    </xdr:to>
    <xdr:sp macro="" textlink="" fLocksText="0">
      <xdr:nvSpPr>
        <xdr:cNvPr id="17" name="Rectangl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3609975" y="12887325"/>
          <a:ext cx="26670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13</xdr:col>
      <xdr:colOff>152398</xdr:colOff>
      <xdr:row>65</xdr:row>
      <xdr:rowOff>17929</xdr:rowOff>
    </xdr:from>
    <xdr:to>
      <xdr:col>14</xdr:col>
      <xdr:colOff>152400</xdr:colOff>
      <xdr:row>66</xdr:row>
      <xdr:rowOff>40341</xdr:rowOff>
    </xdr:to>
    <xdr:sp macro="" textlink="" fLocksText="0">
      <xdr:nvSpPr>
        <xdr:cNvPr id="18" name="Rectangl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3619500" y="13449300"/>
          <a:ext cx="26670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  <xdr:twoCellAnchor>
    <xdr:from>
      <xdr:col>21</xdr:col>
      <xdr:colOff>125504</xdr:colOff>
      <xdr:row>62</xdr:row>
      <xdr:rowOff>58271</xdr:rowOff>
    </xdr:from>
    <xdr:to>
      <xdr:col>22</xdr:col>
      <xdr:colOff>125505</xdr:colOff>
      <xdr:row>63</xdr:row>
      <xdr:rowOff>80683</xdr:rowOff>
    </xdr:to>
    <xdr:sp macro="" textlink="" fLocksText="0">
      <xdr:nvSpPr>
        <xdr:cNvPr id="19" name="Rectangl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5724525" y="12887325"/>
          <a:ext cx="26670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</a:p>
      </xdr:txBody>
    </xdr:sp>
    <xdr:clientData/>
  </xdr:twoCellAnchor>
  <xdr:twoCellAnchor>
    <xdr:from>
      <xdr:col>21</xdr:col>
      <xdr:colOff>132227</xdr:colOff>
      <xdr:row>65</xdr:row>
      <xdr:rowOff>8965</xdr:rowOff>
    </xdr:from>
    <xdr:to>
      <xdr:col>22</xdr:col>
      <xdr:colOff>132228</xdr:colOff>
      <xdr:row>66</xdr:row>
      <xdr:rowOff>31377</xdr:rowOff>
    </xdr:to>
    <xdr:sp macro="" textlink="" fLocksText="0">
      <xdr:nvSpPr>
        <xdr:cNvPr id="20" name="Rectangl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5734050" y="13439775"/>
          <a:ext cx="26670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13</a:t>
          </a:r>
        </a:p>
      </xdr:txBody>
    </xdr:sp>
    <xdr:clientData/>
  </xdr:twoCellAnchor>
  <xdr:twoCellAnchor>
    <xdr:from>
      <xdr:col>29</xdr:col>
      <xdr:colOff>105333</xdr:colOff>
      <xdr:row>62</xdr:row>
      <xdr:rowOff>60512</xdr:rowOff>
    </xdr:from>
    <xdr:to>
      <xdr:col>30</xdr:col>
      <xdr:colOff>105334</xdr:colOff>
      <xdr:row>63</xdr:row>
      <xdr:rowOff>82924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7839075" y="12887325"/>
          <a:ext cx="26670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14</a:t>
          </a:r>
        </a:p>
      </xdr:txBody>
    </xdr:sp>
    <xdr:clientData/>
  </xdr:twoCellAnchor>
  <xdr:twoCellAnchor>
    <xdr:from>
      <xdr:col>29</xdr:col>
      <xdr:colOff>112057</xdr:colOff>
      <xdr:row>65</xdr:row>
      <xdr:rowOff>22411</xdr:rowOff>
    </xdr:from>
    <xdr:to>
      <xdr:col>30</xdr:col>
      <xdr:colOff>112058</xdr:colOff>
      <xdr:row>66</xdr:row>
      <xdr:rowOff>44823</xdr:rowOff>
    </xdr:to>
    <xdr:sp macro="" textlink="" fLocksText="0">
      <xdr:nvSpPr>
        <xdr:cNvPr id="22" name="Rectangl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7848600" y="13449300"/>
          <a:ext cx="26670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15</a:t>
          </a:r>
        </a:p>
      </xdr:txBody>
    </xdr:sp>
    <xdr:clientData/>
  </xdr:twoCellAnchor>
  <xdr:twoCellAnchor>
    <xdr:from>
      <xdr:col>37</xdr:col>
      <xdr:colOff>186015</xdr:colOff>
      <xdr:row>62</xdr:row>
      <xdr:rowOff>73959</xdr:rowOff>
    </xdr:from>
    <xdr:to>
      <xdr:col>38</xdr:col>
      <xdr:colOff>186017</xdr:colOff>
      <xdr:row>63</xdr:row>
      <xdr:rowOff>96371</xdr:rowOff>
    </xdr:to>
    <xdr:sp macro="" textlink="" fLocksText="0">
      <xdr:nvSpPr>
        <xdr:cNvPr id="23" name="Rectangl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058400" y="12906375"/>
          <a:ext cx="26670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16</a:t>
          </a:r>
        </a:p>
      </xdr:txBody>
    </xdr:sp>
    <xdr:clientData/>
  </xdr:twoCellAnchor>
  <xdr:twoCellAnchor>
    <xdr:from>
      <xdr:col>37</xdr:col>
      <xdr:colOff>215151</xdr:colOff>
      <xdr:row>65</xdr:row>
      <xdr:rowOff>35859</xdr:rowOff>
    </xdr:from>
    <xdr:to>
      <xdr:col>38</xdr:col>
      <xdr:colOff>215153</xdr:colOff>
      <xdr:row>66</xdr:row>
      <xdr:rowOff>58271</xdr:rowOff>
    </xdr:to>
    <xdr:sp macro="" textlink="" fLocksText="0">
      <xdr:nvSpPr>
        <xdr:cNvPr id="24" name="Rectangl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10086975" y="13468350"/>
          <a:ext cx="26670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17</a:t>
          </a:r>
        </a:p>
      </xdr:txBody>
    </xdr:sp>
    <xdr:clientData/>
  </xdr:twoCellAnchor>
  <xdr:twoCellAnchor>
    <xdr:from>
      <xdr:col>45</xdr:col>
      <xdr:colOff>64992</xdr:colOff>
      <xdr:row>62</xdr:row>
      <xdr:rowOff>76201</xdr:rowOff>
    </xdr:from>
    <xdr:to>
      <xdr:col>46</xdr:col>
      <xdr:colOff>64994</xdr:colOff>
      <xdr:row>63</xdr:row>
      <xdr:rowOff>98613</xdr:rowOff>
    </xdr:to>
    <xdr:sp macro="" textlink="" fLocksText="0">
      <xdr:nvSpPr>
        <xdr:cNvPr id="25" name="Rectangl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2068175" y="12906375"/>
          <a:ext cx="26670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18</a:t>
          </a:r>
        </a:p>
      </xdr:txBody>
    </xdr:sp>
    <xdr:clientData/>
  </xdr:twoCellAnchor>
  <xdr:twoCellAnchor>
    <xdr:from>
      <xdr:col>45</xdr:col>
      <xdr:colOff>71715</xdr:colOff>
      <xdr:row>65</xdr:row>
      <xdr:rowOff>26895</xdr:rowOff>
    </xdr:from>
    <xdr:to>
      <xdr:col>46</xdr:col>
      <xdr:colOff>71717</xdr:colOff>
      <xdr:row>66</xdr:row>
      <xdr:rowOff>49307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12077700" y="13458825"/>
          <a:ext cx="26670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19</a:t>
          </a:r>
        </a:p>
      </xdr:txBody>
    </xdr:sp>
    <xdr:clientData/>
  </xdr:twoCellAnchor>
  <xdr:twoCellAnchor>
    <xdr:from>
      <xdr:col>51</xdr:col>
      <xdr:colOff>123262</xdr:colOff>
      <xdr:row>62</xdr:row>
      <xdr:rowOff>44825</xdr:rowOff>
    </xdr:from>
    <xdr:to>
      <xdr:col>52</xdr:col>
      <xdr:colOff>123263</xdr:colOff>
      <xdr:row>63</xdr:row>
      <xdr:rowOff>67237</xdr:rowOff>
    </xdr:to>
    <xdr:sp macro="" textlink="" fLocksText="0">
      <xdr:nvSpPr>
        <xdr:cNvPr id="27" name="Rectangl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3725525" y="12877800"/>
          <a:ext cx="26670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20</a:t>
          </a:r>
        </a:p>
      </xdr:txBody>
    </xdr:sp>
    <xdr:clientData/>
  </xdr:twoCellAnchor>
  <xdr:twoCellAnchor>
    <xdr:from>
      <xdr:col>51</xdr:col>
      <xdr:colOff>129985</xdr:colOff>
      <xdr:row>65</xdr:row>
      <xdr:rowOff>40343</xdr:rowOff>
    </xdr:from>
    <xdr:to>
      <xdr:col>52</xdr:col>
      <xdr:colOff>129986</xdr:colOff>
      <xdr:row>66</xdr:row>
      <xdr:rowOff>62755</xdr:rowOff>
    </xdr:to>
    <xdr:sp macro="" textlink="" fLocksText="0">
      <xdr:nvSpPr>
        <xdr:cNvPr id="28" name="Rectangl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3735050" y="13468350"/>
          <a:ext cx="26670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21</a:t>
          </a:r>
        </a:p>
      </xdr:txBody>
    </xdr:sp>
    <xdr:clientData/>
  </xdr:twoCellAnchor>
  <xdr:twoCellAnchor>
    <xdr:from>
      <xdr:col>56</xdr:col>
      <xdr:colOff>201706</xdr:colOff>
      <xdr:row>62</xdr:row>
      <xdr:rowOff>44823</xdr:rowOff>
    </xdr:from>
    <xdr:to>
      <xdr:col>57</xdr:col>
      <xdr:colOff>201708</xdr:colOff>
      <xdr:row>63</xdr:row>
      <xdr:rowOff>67236</xdr:rowOff>
    </xdr:to>
    <xdr:sp macro="" textlink="" fLocksText="0">
      <xdr:nvSpPr>
        <xdr:cNvPr id="29" name="Rectangl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15135225" y="12877800"/>
          <a:ext cx="26670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22</a:t>
          </a:r>
        </a:p>
      </xdr:txBody>
    </xdr:sp>
    <xdr:clientData/>
  </xdr:twoCellAnchor>
  <xdr:twoCellAnchor>
    <xdr:from>
      <xdr:col>56</xdr:col>
      <xdr:colOff>208428</xdr:colOff>
      <xdr:row>65</xdr:row>
      <xdr:rowOff>29135</xdr:rowOff>
    </xdr:from>
    <xdr:to>
      <xdr:col>57</xdr:col>
      <xdr:colOff>208430</xdr:colOff>
      <xdr:row>66</xdr:row>
      <xdr:rowOff>51548</xdr:rowOff>
    </xdr:to>
    <xdr:sp macro="" textlink="" fLocksText="0">
      <xdr:nvSpPr>
        <xdr:cNvPr id="30" name="Rectangl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5144750" y="13458825"/>
          <a:ext cx="26670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23</a:t>
          </a:r>
        </a:p>
      </xdr:txBody>
    </xdr:sp>
    <xdr:clientData/>
  </xdr:twoCellAnchor>
  <xdr:twoCellAnchor>
    <xdr:from>
      <xdr:col>46</xdr:col>
      <xdr:colOff>35859</xdr:colOff>
      <xdr:row>84</xdr:row>
      <xdr:rowOff>125505</xdr:rowOff>
    </xdr:from>
    <xdr:to>
      <xdr:col>47</xdr:col>
      <xdr:colOff>35860</xdr:colOff>
      <xdr:row>85</xdr:row>
      <xdr:rowOff>147918</xdr:rowOff>
    </xdr:to>
    <xdr:sp macro="" textlink="" fLocksText="0">
      <xdr:nvSpPr>
        <xdr:cNvPr id="31" name="Rectangl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2306300" y="17354550"/>
          <a:ext cx="26670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24</a:t>
          </a:r>
        </a:p>
      </xdr:txBody>
    </xdr:sp>
    <xdr:clientData/>
  </xdr:twoCellAnchor>
  <xdr:twoCellAnchor>
    <xdr:from>
      <xdr:col>49</xdr:col>
      <xdr:colOff>154639</xdr:colOff>
      <xdr:row>84</xdr:row>
      <xdr:rowOff>109816</xdr:rowOff>
    </xdr:from>
    <xdr:to>
      <xdr:col>50</xdr:col>
      <xdr:colOff>154641</xdr:colOff>
      <xdr:row>85</xdr:row>
      <xdr:rowOff>132229</xdr:rowOff>
    </xdr:to>
    <xdr:sp macro="" textlink="" fLocksText="0">
      <xdr:nvSpPr>
        <xdr:cNvPr id="32" name="Rectangle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3220700" y="17345025"/>
          <a:ext cx="26670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25</a:t>
          </a:r>
        </a:p>
      </xdr:txBody>
    </xdr:sp>
    <xdr:clientData/>
  </xdr:twoCellAnchor>
  <xdr:twoCellAnchor>
    <xdr:from>
      <xdr:col>52</xdr:col>
      <xdr:colOff>105334</xdr:colOff>
      <xdr:row>84</xdr:row>
      <xdr:rowOff>105334</xdr:rowOff>
    </xdr:from>
    <xdr:to>
      <xdr:col>53</xdr:col>
      <xdr:colOff>105336</xdr:colOff>
      <xdr:row>85</xdr:row>
      <xdr:rowOff>127747</xdr:rowOff>
    </xdr:to>
    <xdr:sp macro="" textlink="" fLocksText="0">
      <xdr:nvSpPr>
        <xdr:cNvPr id="33" name="Rectangle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13973175" y="17335500"/>
          <a:ext cx="26670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26</a:t>
          </a:r>
        </a:p>
      </xdr:txBody>
    </xdr:sp>
    <xdr:clientData/>
  </xdr:twoCellAnchor>
  <xdr:twoCellAnchor>
    <xdr:from>
      <xdr:col>39</xdr:col>
      <xdr:colOff>134470</xdr:colOff>
      <xdr:row>60</xdr:row>
      <xdr:rowOff>123265</xdr:rowOff>
    </xdr:from>
    <xdr:to>
      <xdr:col>59</xdr:col>
      <xdr:colOff>123265</xdr:colOff>
      <xdr:row>61</xdr:row>
      <xdr:rowOff>190500</xdr:rowOff>
    </xdr:to>
    <xdr:sp macro="" textlink="" fLocksText="0">
      <xdr:nvSpPr>
        <xdr:cNvPr id="34" name="Rectangle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10534650" y="12553950"/>
          <a:ext cx="5324475" cy="266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58</xdr:col>
      <xdr:colOff>78441</xdr:colOff>
      <xdr:row>60</xdr:row>
      <xdr:rowOff>145677</xdr:rowOff>
    </xdr:from>
    <xdr:to>
      <xdr:col>59</xdr:col>
      <xdr:colOff>78443</xdr:colOff>
      <xdr:row>61</xdr:row>
      <xdr:rowOff>168089</xdr:rowOff>
    </xdr:to>
    <xdr:sp macro="" textlink="" fLocksText="0">
      <xdr:nvSpPr>
        <xdr:cNvPr id="35" name="Rectangl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15544800" y="12573000"/>
          <a:ext cx="26670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27</a:t>
          </a:r>
        </a:p>
      </xdr:txBody>
    </xdr:sp>
    <xdr:clientData/>
  </xdr:twoCellAnchor>
  <xdr:twoCellAnchor>
    <xdr:from>
      <xdr:col>6</xdr:col>
      <xdr:colOff>179295</xdr:colOff>
      <xdr:row>12</xdr:row>
      <xdr:rowOff>89648</xdr:rowOff>
    </xdr:from>
    <xdr:to>
      <xdr:col>7</xdr:col>
      <xdr:colOff>168089</xdr:colOff>
      <xdr:row>13</xdr:row>
      <xdr:rowOff>112060</xdr:rowOff>
    </xdr:to>
    <xdr:sp macro="" textlink="" fLocksText="0">
      <xdr:nvSpPr>
        <xdr:cNvPr id="11" name="Rectangl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781175" y="2486025"/>
          <a:ext cx="25717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13</xdr:col>
      <xdr:colOff>73960</xdr:colOff>
      <xdr:row>12</xdr:row>
      <xdr:rowOff>85166</xdr:rowOff>
    </xdr:from>
    <xdr:to>
      <xdr:col>14</xdr:col>
      <xdr:colOff>62755</xdr:colOff>
      <xdr:row>13</xdr:row>
      <xdr:rowOff>107578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3543300" y="2486025"/>
          <a:ext cx="257175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55</xdr:col>
      <xdr:colOff>67234</xdr:colOff>
      <xdr:row>84</xdr:row>
      <xdr:rowOff>112058</xdr:rowOff>
    </xdr:from>
    <xdr:to>
      <xdr:col>56</xdr:col>
      <xdr:colOff>67235</xdr:colOff>
      <xdr:row>85</xdr:row>
      <xdr:rowOff>134471</xdr:rowOff>
    </xdr:to>
    <xdr:sp macro="" textlink="" fLocksText="0">
      <xdr:nvSpPr>
        <xdr:cNvPr id="13" name="Rectangl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4735175" y="17345025"/>
          <a:ext cx="26670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27</a:t>
          </a:r>
        </a:p>
      </xdr:txBody>
    </xdr:sp>
    <xdr:clientData/>
  </xdr:twoCellAnchor>
  <xdr:twoCellAnchor>
    <xdr:from>
      <xdr:col>58</xdr:col>
      <xdr:colOff>6722</xdr:colOff>
      <xdr:row>84</xdr:row>
      <xdr:rowOff>107576</xdr:rowOff>
    </xdr:from>
    <xdr:to>
      <xdr:col>59</xdr:col>
      <xdr:colOff>6724</xdr:colOff>
      <xdr:row>85</xdr:row>
      <xdr:rowOff>129989</xdr:rowOff>
    </xdr:to>
    <xdr:sp macro="" textlink="" fLocksText="0">
      <xdr:nvSpPr>
        <xdr:cNvPr id="36" name="Rectangle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15478125" y="17335500"/>
          <a:ext cx="26670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28</a:t>
          </a:r>
        </a:p>
      </xdr:txBody>
    </xdr:sp>
    <xdr:clientData/>
  </xdr:twoCellAnchor>
  <xdr:twoCellAnchor>
    <xdr:from>
      <xdr:col>49</xdr:col>
      <xdr:colOff>114299</xdr:colOff>
      <xdr:row>55</xdr:row>
      <xdr:rowOff>103093</xdr:rowOff>
    </xdr:from>
    <xdr:to>
      <xdr:col>50</xdr:col>
      <xdr:colOff>114301</xdr:colOff>
      <xdr:row>56</xdr:row>
      <xdr:rowOff>125507</xdr:rowOff>
    </xdr:to>
    <xdr:sp macro="" textlink="" fLocksText="0">
      <xdr:nvSpPr>
        <xdr:cNvPr id="37" name="Rectangl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13182600" y="11534775"/>
          <a:ext cx="26670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29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190499</xdr:rowOff>
    </xdr:from>
    <xdr:to>
      <xdr:col>45</xdr:col>
      <xdr:colOff>120415</xdr:colOff>
      <xdr:row>34</xdr:row>
      <xdr:rowOff>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" y="1638300"/>
          <a:ext cx="11325225" cy="5010150"/>
        </a:xfrm>
        <a:prstGeom prst="rect">
          <a:avLst/>
        </a:prstGeom>
      </xdr:spPr>
    </xdr:pic>
    <xdr:clientData/>
  </xdr:twoCellAnchor>
  <xdr:twoCellAnchor>
    <xdr:from>
      <xdr:col>6</xdr:col>
      <xdr:colOff>78441</xdr:colOff>
      <xdr:row>9</xdr:row>
      <xdr:rowOff>22412</xdr:rowOff>
    </xdr:from>
    <xdr:to>
      <xdr:col>7</xdr:col>
      <xdr:colOff>100852</xdr:colOff>
      <xdr:row>10</xdr:row>
      <xdr:rowOff>56030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676400" y="1847850"/>
          <a:ext cx="29527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9</xdr:col>
      <xdr:colOff>33614</xdr:colOff>
      <xdr:row>13</xdr:row>
      <xdr:rowOff>123267</xdr:rowOff>
    </xdr:from>
    <xdr:to>
      <xdr:col>10</xdr:col>
      <xdr:colOff>22409</xdr:colOff>
      <xdr:row>14</xdr:row>
      <xdr:rowOff>145679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2438400" y="2714625"/>
          <a:ext cx="247650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8</xdr:col>
      <xdr:colOff>78439</xdr:colOff>
      <xdr:row>15</xdr:row>
      <xdr:rowOff>168087</xdr:rowOff>
    </xdr:from>
    <xdr:to>
      <xdr:col>9</xdr:col>
      <xdr:colOff>67233</xdr:colOff>
      <xdr:row>16</xdr:row>
      <xdr:rowOff>190499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2209800" y="3143250"/>
          <a:ext cx="257175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17</xdr:col>
      <xdr:colOff>78437</xdr:colOff>
      <xdr:row>13</xdr:row>
      <xdr:rowOff>123266</xdr:rowOff>
    </xdr:from>
    <xdr:to>
      <xdr:col>18</xdr:col>
      <xdr:colOff>67231</xdr:colOff>
      <xdr:row>14</xdr:row>
      <xdr:rowOff>145678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4610100" y="2714625"/>
          <a:ext cx="257175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16</xdr:col>
      <xdr:colOff>134469</xdr:colOff>
      <xdr:row>15</xdr:row>
      <xdr:rowOff>145678</xdr:rowOff>
    </xdr:from>
    <xdr:to>
      <xdr:col>17</xdr:col>
      <xdr:colOff>123263</xdr:colOff>
      <xdr:row>16</xdr:row>
      <xdr:rowOff>168090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4400550" y="3114675"/>
          <a:ext cx="25717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8</xdr:col>
      <xdr:colOff>56029</xdr:colOff>
      <xdr:row>17</xdr:row>
      <xdr:rowOff>168088</xdr:rowOff>
    </xdr:from>
    <xdr:to>
      <xdr:col>9</xdr:col>
      <xdr:colOff>44823</xdr:colOff>
      <xdr:row>19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2190750" y="3524250"/>
          <a:ext cx="257175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16</xdr:col>
      <xdr:colOff>112058</xdr:colOff>
      <xdr:row>17</xdr:row>
      <xdr:rowOff>168090</xdr:rowOff>
    </xdr:from>
    <xdr:to>
      <xdr:col>17</xdr:col>
      <xdr:colOff>100852</xdr:colOff>
      <xdr:row>19</xdr:row>
      <xdr:rowOff>2</xdr:rowOff>
    </xdr:to>
    <xdr:sp macro="" textlink="" fLocksText="0">
      <xdr:nvSpPr>
        <xdr:cNvPr id="9" name="Rectangl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4381500" y="3524250"/>
          <a:ext cx="257175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7</xdr:col>
      <xdr:colOff>201703</xdr:colOff>
      <xdr:row>19</xdr:row>
      <xdr:rowOff>179302</xdr:rowOff>
    </xdr:from>
    <xdr:to>
      <xdr:col>8</xdr:col>
      <xdr:colOff>190498</xdr:colOff>
      <xdr:row>21</xdr:row>
      <xdr:rowOff>11214</xdr:rowOff>
    </xdr:to>
    <xdr:sp macro="" textlink="" fLocksText="0">
      <xdr:nvSpPr>
        <xdr:cNvPr id="10" name="Rectangl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2066925" y="3914775"/>
          <a:ext cx="257175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16</xdr:col>
      <xdr:colOff>89650</xdr:colOff>
      <xdr:row>19</xdr:row>
      <xdr:rowOff>134471</xdr:rowOff>
    </xdr:from>
    <xdr:to>
      <xdr:col>17</xdr:col>
      <xdr:colOff>78444</xdr:colOff>
      <xdr:row>20</xdr:row>
      <xdr:rowOff>156883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4352925" y="3867150"/>
          <a:ext cx="257175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6</xdr:col>
      <xdr:colOff>168091</xdr:colOff>
      <xdr:row>21</xdr:row>
      <xdr:rowOff>156882</xdr:rowOff>
    </xdr:from>
    <xdr:to>
      <xdr:col>7</xdr:col>
      <xdr:colOff>156885</xdr:colOff>
      <xdr:row>22</xdr:row>
      <xdr:rowOff>179294</xdr:rowOff>
    </xdr:to>
    <xdr:sp macro="" textlink="" fLocksText="0">
      <xdr:nvSpPr>
        <xdr:cNvPr id="13" name="Rectangl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1771650" y="4267200"/>
          <a:ext cx="2476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16</xdr:col>
      <xdr:colOff>44824</xdr:colOff>
      <xdr:row>21</xdr:row>
      <xdr:rowOff>179293</xdr:rowOff>
    </xdr:from>
    <xdr:to>
      <xdr:col>17</xdr:col>
      <xdr:colOff>44825</xdr:colOff>
      <xdr:row>23</xdr:row>
      <xdr:rowOff>22411</xdr:rowOff>
    </xdr:to>
    <xdr:sp macro="" textlink="" fLocksText="0">
      <xdr:nvSpPr>
        <xdr:cNvPr id="14" name="Rectangl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4314825" y="4295775"/>
          <a:ext cx="26670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7</xdr:col>
      <xdr:colOff>186017</xdr:colOff>
      <xdr:row>24</xdr:row>
      <xdr:rowOff>6723</xdr:rowOff>
    </xdr:from>
    <xdr:to>
      <xdr:col>8</xdr:col>
      <xdr:colOff>186019</xdr:colOff>
      <xdr:row>25</xdr:row>
      <xdr:rowOff>51547</xdr:rowOff>
    </xdr:to>
    <xdr:sp macro="" textlink="" fLocksText="0">
      <xdr:nvSpPr>
        <xdr:cNvPr id="15" name="Rectangl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2057400" y="4695825"/>
          <a:ext cx="26670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  <xdr:twoCellAnchor>
    <xdr:from>
      <xdr:col>16</xdr:col>
      <xdr:colOff>47065</xdr:colOff>
      <xdr:row>24</xdr:row>
      <xdr:rowOff>13447</xdr:rowOff>
    </xdr:from>
    <xdr:to>
      <xdr:col>17</xdr:col>
      <xdr:colOff>47066</xdr:colOff>
      <xdr:row>25</xdr:row>
      <xdr:rowOff>58271</xdr:rowOff>
    </xdr:to>
    <xdr:sp macro="" textlink="" fLocksText="0">
      <xdr:nvSpPr>
        <xdr:cNvPr id="16" name="Rectangle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4314825" y="4695825"/>
          <a:ext cx="26670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</a:p>
      </xdr:txBody>
    </xdr:sp>
    <xdr:clientData/>
  </xdr:twoCellAnchor>
  <xdr:twoCellAnchor>
    <xdr:from>
      <xdr:col>7</xdr:col>
      <xdr:colOff>188257</xdr:colOff>
      <xdr:row>26</xdr:row>
      <xdr:rowOff>31376</xdr:rowOff>
    </xdr:from>
    <xdr:to>
      <xdr:col>8</xdr:col>
      <xdr:colOff>188259</xdr:colOff>
      <xdr:row>27</xdr:row>
      <xdr:rowOff>64994</xdr:rowOff>
    </xdr:to>
    <xdr:sp macro="" textlink="" fLocksText="0">
      <xdr:nvSpPr>
        <xdr:cNvPr id="17" name="Rectangle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2057400" y="5086350"/>
          <a:ext cx="26670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13</a:t>
          </a:r>
        </a:p>
      </xdr:txBody>
    </xdr:sp>
    <xdr:clientData/>
  </xdr:twoCellAnchor>
  <xdr:twoCellAnchor>
    <xdr:from>
      <xdr:col>17</xdr:col>
      <xdr:colOff>150158</xdr:colOff>
      <xdr:row>26</xdr:row>
      <xdr:rowOff>60512</xdr:rowOff>
    </xdr:from>
    <xdr:to>
      <xdr:col>18</xdr:col>
      <xdr:colOff>150159</xdr:colOff>
      <xdr:row>27</xdr:row>
      <xdr:rowOff>94130</xdr:rowOff>
    </xdr:to>
    <xdr:sp macro="" textlink="" fLocksText="0">
      <xdr:nvSpPr>
        <xdr:cNvPr id="18" name="Rectangle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4686300" y="5114925"/>
          <a:ext cx="26670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14</a:t>
          </a:r>
        </a:p>
      </xdr:txBody>
    </xdr:sp>
    <xdr:clientData/>
  </xdr:twoCellAnchor>
  <xdr:twoCellAnchor>
    <xdr:from>
      <xdr:col>7</xdr:col>
      <xdr:colOff>179293</xdr:colOff>
      <xdr:row>27</xdr:row>
      <xdr:rowOff>190499</xdr:rowOff>
    </xdr:from>
    <xdr:to>
      <xdr:col>8</xdr:col>
      <xdr:colOff>179295</xdr:colOff>
      <xdr:row>29</xdr:row>
      <xdr:rowOff>11205</xdr:rowOff>
    </xdr:to>
    <xdr:sp macro="" textlink="" fLocksText="0">
      <xdr:nvSpPr>
        <xdr:cNvPr id="19" name="Rectangl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2047875" y="5438775"/>
          <a:ext cx="26670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15</a:t>
          </a:r>
        </a:p>
      </xdr:txBody>
    </xdr:sp>
    <xdr:clientData/>
  </xdr:twoCellAnchor>
  <xdr:twoCellAnchor>
    <xdr:from>
      <xdr:col>16</xdr:col>
      <xdr:colOff>197223</xdr:colOff>
      <xdr:row>27</xdr:row>
      <xdr:rowOff>197223</xdr:rowOff>
    </xdr:from>
    <xdr:to>
      <xdr:col>17</xdr:col>
      <xdr:colOff>197224</xdr:colOff>
      <xdr:row>29</xdr:row>
      <xdr:rowOff>17929</xdr:rowOff>
    </xdr:to>
    <xdr:sp macro="" textlink="" fLocksText="0">
      <xdr:nvSpPr>
        <xdr:cNvPr id="20" name="Rectangl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4467225" y="5448300"/>
          <a:ext cx="26670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16</a:t>
          </a:r>
        </a:p>
      </xdr:txBody>
    </xdr:sp>
    <xdr:clientData/>
  </xdr:twoCellAnchor>
  <xdr:twoCellAnchor editAs="oneCell">
    <xdr:from>
      <xdr:col>3</xdr:col>
      <xdr:colOff>0</xdr:colOff>
      <xdr:row>35</xdr:row>
      <xdr:rowOff>11205</xdr:rowOff>
    </xdr:from>
    <xdr:to>
      <xdr:col>32</xdr:col>
      <xdr:colOff>104306</xdr:colOff>
      <xdr:row>51</xdr:row>
      <xdr:rowOff>89646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0100" y="6858000"/>
          <a:ext cx="7839075" cy="327660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35</xdr:row>
      <xdr:rowOff>11205</xdr:rowOff>
    </xdr:from>
    <xdr:to>
      <xdr:col>61</xdr:col>
      <xdr:colOff>37088</xdr:colOff>
      <xdr:row>51</xdr:row>
      <xdr:rowOff>134470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34500" y="6858000"/>
          <a:ext cx="6972300" cy="3324225"/>
        </a:xfrm>
        <a:prstGeom prst="rect">
          <a:avLst/>
        </a:prstGeom>
      </xdr:spPr>
    </xdr:pic>
    <xdr:clientData/>
  </xdr:twoCellAnchor>
  <xdr:twoCellAnchor>
    <xdr:from>
      <xdr:col>38</xdr:col>
      <xdr:colOff>159122</xdr:colOff>
      <xdr:row>46</xdr:row>
      <xdr:rowOff>159123</xdr:rowOff>
    </xdr:from>
    <xdr:to>
      <xdr:col>39</xdr:col>
      <xdr:colOff>159123</xdr:colOff>
      <xdr:row>47</xdr:row>
      <xdr:rowOff>181535</xdr:rowOff>
    </xdr:to>
    <xdr:sp macro="" textlink="" fLocksText="0">
      <xdr:nvSpPr>
        <xdr:cNvPr id="36" name="Rectangle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/>
      </xdr:nvSpPr>
      <xdr:spPr>
        <a:xfrm>
          <a:off x="10296525" y="9210675"/>
          <a:ext cx="26670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17</a:t>
          </a:r>
        </a:p>
      </xdr:txBody>
    </xdr:sp>
    <xdr:clientData/>
  </xdr:twoCellAnchor>
  <xdr:twoCellAnchor>
    <xdr:from>
      <xdr:col>45</xdr:col>
      <xdr:colOff>190500</xdr:colOff>
      <xdr:row>46</xdr:row>
      <xdr:rowOff>145675</xdr:rowOff>
    </xdr:from>
    <xdr:to>
      <xdr:col>46</xdr:col>
      <xdr:colOff>190502</xdr:colOff>
      <xdr:row>47</xdr:row>
      <xdr:rowOff>168087</xdr:rowOff>
    </xdr:to>
    <xdr:sp macro="" textlink="" fLocksText="0">
      <xdr:nvSpPr>
        <xdr:cNvPr id="37" name="Rectangle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/>
      </xdr:nvSpPr>
      <xdr:spPr>
        <a:xfrm>
          <a:off x="12192000" y="9191625"/>
          <a:ext cx="26670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18</a:t>
          </a:r>
        </a:p>
      </xdr:txBody>
    </xdr:sp>
    <xdr:clientData/>
  </xdr:twoCellAnchor>
  <xdr:twoCellAnchor>
    <xdr:from>
      <xdr:col>57</xdr:col>
      <xdr:colOff>67235</xdr:colOff>
      <xdr:row>35</xdr:row>
      <xdr:rowOff>134470</xdr:rowOff>
    </xdr:from>
    <xdr:to>
      <xdr:col>58</xdr:col>
      <xdr:colOff>67236</xdr:colOff>
      <xdr:row>36</xdr:row>
      <xdr:rowOff>156882</xdr:rowOff>
    </xdr:to>
    <xdr:sp macro="" textlink="" fLocksText="0">
      <xdr:nvSpPr>
        <xdr:cNvPr id="38" name="Rectangle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/>
      </xdr:nvSpPr>
      <xdr:spPr>
        <a:xfrm>
          <a:off x="15268575" y="6981825"/>
          <a:ext cx="26670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21</a:t>
          </a:r>
        </a:p>
      </xdr:txBody>
    </xdr:sp>
    <xdr:clientData/>
  </xdr:twoCellAnchor>
  <xdr:twoCellAnchor>
    <xdr:from>
      <xdr:col>40</xdr:col>
      <xdr:colOff>73957</xdr:colOff>
      <xdr:row>30</xdr:row>
      <xdr:rowOff>186016</xdr:rowOff>
    </xdr:from>
    <xdr:to>
      <xdr:col>41</xdr:col>
      <xdr:colOff>73958</xdr:colOff>
      <xdr:row>32</xdr:row>
      <xdr:rowOff>6723</xdr:rowOff>
    </xdr:to>
    <xdr:sp macro="" textlink="" fLocksText="0">
      <xdr:nvSpPr>
        <xdr:cNvPr id="39" name="Rectangle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/>
      </xdr:nvSpPr>
      <xdr:spPr>
        <a:xfrm>
          <a:off x="10744200" y="6038850"/>
          <a:ext cx="26670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24</a:t>
          </a:r>
        </a:p>
      </xdr:txBody>
    </xdr:sp>
    <xdr:clientData/>
  </xdr:twoCellAnchor>
  <xdr:twoCellAnchor>
    <xdr:from>
      <xdr:col>57</xdr:col>
      <xdr:colOff>136711</xdr:colOff>
      <xdr:row>49</xdr:row>
      <xdr:rowOff>170330</xdr:rowOff>
    </xdr:from>
    <xdr:to>
      <xdr:col>58</xdr:col>
      <xdr:colOff>136712</xdr:colOff>
      <xdr:row>50</xdr:row>
      <xdr:rowOff>192742</xdr:rowOff>
    </xdr:to>
    <xdr:sp macro="" textlink="" fLocksText="0">
      <xdr:nvSpPr>
        <xdr:cNvPr id="40" name="Rectangle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/>
      </xdr:nvSpPr>
      <xdr:spPr>
        <a:xfrm>
          <a:off x="15335250" y="9820275"/>
          <a:ext cx="26670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23</a:t>
          </a:r>
        </a:p>
      </xdr:txBody>
    </xdr:sp>
    <xdr:clientData/>
  </xdr:twoCellAnchor>
  <xdr:twoCellAnchor>
    <xdr:from>
      <xdr:col>28</xdr:col>
      <xdr:colOff>132228</xdr:colOff>
      <xdr:row>49</xdr:row>
      <xdr:rowOff>87406</xdr:rowOff>
    </xdr:from>
    <xdr:to>
      <xdr:col>29</xdr:col>
      <xdr:colOff>132230</xdr:colOff>
      <xdr:row>50</xdr:row>
      <xdr:rowOff>109818</xdr:rowOff>
    </xdr:to>
    <xdr:sp macro="" textlink="" fLocksText="0">
      <xdr:nvSpPr>
        <xdr:cNvPr id="41" name="Rectangle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/>
      </xdr:nvSpPr>
      <xdr:spPr>
        <a:xfrm>
          <a:off x="7600950" y="9734550"/>
          <a:ext cx="26670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22</a:t>
          </a:r>
        </a:p>
      </xdr:txBody>
    </xdr:sp>
    <xdr:clientData/>
  </xdr:twoCellAnchor>
  <xdr:twoCellAnchor>
    <xdr:from>
      <xdr:col>7</xdr:col>
      <xdr:colOff>186016</xdr:colOff>
      <xdr:row>29</xdr:row>
      <xdr:rowOff>152399</xdr:rowOff>
    </xdr:from>
    <xdr:to>
      <xdr:col>8</xdr:col>
      <xdr:colOff>186018</xdr:colOff>
      <xdr:row>30</xdr:row>
      <xdr:rowOff>174811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057400" y="5800725"/>
          <a:ext cx="26670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17</a:t>
          </a:r>
        </a:p>
      </xdr:txBody>
    </xdr:sp>
    <xdr:clientData/>
  </xdr:twoCellAnchor>
  <xdr:twoCellAnchor>
    <xdr:from>
      <xdr:col>16</xdr:col>
      <xdr:colOff>170329</xdr:colOff>
      <xdr:row>29</xdr:row>
      <xdr:rowOff>147917</xdr:rowOff>
    </xdr:from>
    <xdr:to>
      <xdr:col>17</xdr:col>
      <xdr:colOff>170330</xdr:colOff>
      <xdr:row>30</xdr:row>
      <xdr:rowOff>170329</xdr:rowOff>
    </xdr:to>
    <xdr:sp macro="" textlink="" fLocksText="0">
      <xdr:nvSpPr>
        <xdr:cNvPr id="11" name="Rectangl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4438650" y="5800725"/>
          <a:ext cx="26670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18</a:t>
          </a:r>
        </a:p>
      </xdr:txBody>
    </xdr:sp>
    <xdr:clientData/>
  </xdr:twoCellAnchor>
  <xdr:twoCellAnchor>
    <xdr:from>
      <xdr:col>7</xdr:col>
      <xdr:colOff>188257</xdr:colOff>
      <xdr:row>31</xdr:row>
      <xdr:rowOff>188258</xdr:rowOff>
    </xdr:from>
    <xdr:to>
      <xdr:col>8</xdr:col>
      <xdr:colOff>188259</xdr:colOff>
      <xdr:row>33</xdr:row>
      <xdr:rowOff>8964</xdr:rowOff>
    </xdr:to>
    <xdr:sp macro="" textlink="" fLocksText="0">
      <xdr:nvSpPr>
        <xdr:cNvPr id="22" name="Rectangl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2057400" y="6238875"/>
          <a:ext cx="26670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19</a:t>
          </a:r>
        </a:p>
      </xdr:txBody>
    </xdr:sp>
    <xdr:clientData/>
  </xdr:twoCellAnchor>
  <xdr:twoCellAnchor>
    <xdr:from>
      <xdr:col>16</xdr:col>
      <xdr:colOff>194981</xdr:colOff>
      <xdr:row>31</xdr:row>
      <xdr:rowOff>127746</xdr:rowOff>
    </xdr:from>
    <xdr:to>
      <xdr:col>17</xdr:col>
      <xdr:colOff>194982</xdr:colOff>
      <xdr:row>32</xdr:row>
      <xdr:rowOff>150158</xdr:rowOff>
    </xdr:to>
    <xdr:sp macro="" textlink="" fLocksText="0">
      <xdr:nvSpPr>
        <xdr:cNvPr id="23" name="Rectangle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4457700" y="6172200"/>
          <a:ext cx="26670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03" customWidth="1"/>
    <col min="61" max="16384" width="2.77734375" style="203"/>
  </cols>
  <sheetData>
    <row r="1" spans="1:63" ht="24.95" customHeight="1" x14ac:dyDescent="0.25">
      <c r="A1" s="197" t="s">
        <v>105</v>
      </c>
      <c r="B1" s="198"/>
      <c r="C1" s="198"/>
      <c r="D1" s="198"/>
      <c r="E1" s="198"/>
      <c r="F1" s="198"/>
      <c r="G1" s="198"/>
      <c r="H1" s="198"/>
      <c r="I1" s="198"/>
      <c r="J1" s="199"/>
      <c r="K1" s="197" t="s">
        <v>106</v>
      </c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9"/>
      <c r="W1" s="200" t="s">
        <v>107</v>
      </c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  <c r="AN1" s="201"/>
      <c r="AO1" s="202"/>
      <c r="AP1" s="197" t="s">
        <v>108</v>
      </c>
      <c r="AQ1" s="198"/>
      <c r="AR1" s="198"/>
      <c r="AS1" s="199"/>
      <c r="AT1" s="197" t="s">
        <v>109</v>
      </c>
      <c r="AU1" s="198"/>
      <c r="AV1" s="198"/>
      <c r="AW1" s="198"/>
      <c r="AX1" s="199"/>
      <c r="AY1" s="197" t="s">
        <v>110</v>
      </c>
      <c r="AZ1" s="198"/>
      <c r="BA1" s="198"/>
      <c r="BB1" s="199"/>
      <c r="BC1" s="197" t="s">
        <v>111</v>
      </c>
      <c r="BD1" s="198"/>
      <c r="BE1" s="198"/>
      <c r="BF1" s="198"/>
      <c r="BG1" s="199"/>
      <c r="BH1" s="197" t="s">
        <v>112</v>
      </c>
      <c r="BI1" s="198"/>
      <c r="BJ1" s="198"/>
      <c r="BK1" s="199"/>
    </row>
    <row r="2" spans="1:63" ht="15" customHeight="1" x14ac:dyDescent="0.25">
      <c r="A2" s="23" t="s">
        <v>113</v>
      </c>
      <c r="B2" s="204"/>
      <c r="C2" s="204"/>
      <c r="D2" s="204"/>
      <c r="E2" s="204"/>
      <c r="F2" s="204"/>
      <c r="G2" s="204"/>
      <c r="H2" s="204"/>
      <c r="I2" s="204"/>
      <c r="J2" s="205"/>
      <c r="K2" s="206" t="s">
        <v>1</v>
      </c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5"/>
      <c r="W2" s="207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9"/>
      <c r="AP2" s="206" t="str">
        <f>改訂履歴!$H$11</f>
        <v>DuNT</v>
      </c>
      <c r="AQ2" s="204"/>
      <c r="AR2" s="204"/>
      <c r="AS2" s="205"/>
      <c r="AT2" s="210">
        <f>改訂履歴!$B$11</f>
        <v>45611</v>
      </c>
      <c r="AU2" s="211"/>
      <c r="AV2" s="211"/>
      <c r="AW2" s="211"/>
      <c r="AX2" s="212"/>
      <c r="AY2" s="206" t="str">
        <f>LOOKUP(2,1/(改訂履歴!H11:H30000&lt;&gt;""),改訂履歴!H11:H30000)</f>
        <v>DuNT</v>
      </c>
      <c r="AZ2" s="204"/>
      <c r="BA2" s="204"/>
      <c r="BB2" s="205"/>
      <c r="BC2" s="210">
        <f>LOOKUP(2,1/(改訂履歴!B11:B30000&lt;&gt;""),改訂履歴!B11:B30000)</f>
        <v>45611</v>
      </c>
      <c r="BD2" s="211"/>
      <c r="BE2" s="211"/>
      <c r="BF2" s="211"/>
      <c r="BG2" s="212"/>
      <c r="BH2" s="213">
        <f>LOOKUP(2,1/(改訂履歴!O11:O30000&lt;&gt;""),改訂履歴!O11:O30000)</f>
        <v>0.1</v>
      </c>
      <c r="BI2" s="214"/>
      <c r="BJ2" s="214"/>
      <c r="BK2" s="215"/>
    </row>
    <row r="3" spans="1:63" ht="15" customHeight="1" x14ac:dyDescent="0.25">
      <c r="A3" s="216"/>
      <c r="B3" s="217"/>
      <c r="C3" s="217"/>
      <c r="D3" s="217"/>
      <c r="E3" s="217"/>
      <c r="F3" s="217"/>
      <c r="G3" s="217"/>
      <c r="H3" s="217"/>
      <c r="I3" s="217"/>
      <c r="J3" s="218"/>
      <c r="K3" s="216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8"/>
      <c r="W3" s="219"/>
      <c r="X3" s="220"/>
      <c r="Y3" s="220"/>
      <c r="Z3" s="220"/>
      <c r="AA3" s="220"/>
      <c r="AB3" s="220"/>
      <c r="AC3" s="220"/>
      <c r="AD3" s="220"/>
      <c r="AE3" s="220"/>
      <c r="AF3" s="220"/>
      <c r="AG3" s="220"/>
      <c r="AH3" s="220"/>
      <c r="AI3" s="220"/>
      <c r="AJ3" s="220"/>
      <c r="AK3" s="220"/>
      <c r="AL3" s="220"/>
      <c r="AM3" s="220"/>
      <c r="AN3" s="220"/>
      <c r="AO3" s="221"/>
      <c r="AP3" s="216"/>
      <c r="AQ3" s="217"/>
      <c r="AR3" s="217"/>
      <c r="AS3" s="218"/>
      <c r="AT3" s="222"/>
      <c r="AU3" s="223"/>
      <c r="AV3" s="223"/>
      <c r="AW3" s="223"/>
      <c r="AX3" s="224"/>
      <c r="AY3" s="216"/>
      <c r="AZ3" s="217"/>
      <c r="BA3" s="217"/>
      <c r="BB3" s="218"/>
      <c r="BC3" s="222"/>
      <c r="BD3" s="223"/>
      <c r="BE3" s="223"/>
      <c r="BF3" s="223"/>
      <c r="BG3" s="224"/>
      <c r="BH3" s="225"/>
      <c r="BI3" s="226"/>
      <c r="BJ3" s="226"/>
      <c r="BK3" s="227"/>
    </row>
    <row r="4" spans="1:63" ht="24.95" customHeight="1" x14ac:dyDescent="0.25">
      <c r="A4" s="197" t="s">
        <v>114</v>
      </c>
      <c r="B4" s="198"/>
      <c r="C4" s="198"/>
      <c r="D4" s="198"/>
      <c r="E4" s="198"/>
      <c r="F4" s="198"/>
      <c r="G4" s="199"/>
      <c r="H4" s="228" t="s">
        <v>17</v>
      </c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30"/>
      <c r="U4" s="197" t="s">
        <v>115</v>
      </c>
      <c r="V4" s="198"/>
      <c r="W4" s="198"/>
      <c r="X4" s="198"/>
      <c r="Y4" s="199"/>
      <c r="Z4" s="22" t="s">
        <v>116</v>
      </c>
      <c r="AA4" s="229"/>
      <c r="AB4" s="229"/>
      <c r="AC4" s="229"/>
      <c r="AD4" s="229"/>
      <c r="AE4" s="229"/>
      <c r="AF4" s="229"/>
      <c r="AG4" s="229"/>
      <c r="AH4" s="229"/>
      <c r="AI4" s="229"/>
      <c r="AJ4" s="229"/>
      <c r="AK4" s="229"/>
      <c r="AL4" s="229"/>
      <c r="AM4" s="229"/>
      <c r="AN4" s="229"/>
      <c r="AO4" s="230"/>
      <c r="AP4" s="228" t="str">
        <f t="array" aca="1" ref="AP4" ca="1">RIGHT(CELL("filename",$A$1),LEN(CELL("filename",$A$1))-FIND("]",CELL("filename",$A$1)))</f>
        <v>表紙</v>
      </c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  <c r="BD4" s="229"/>
      <c r="BE4" s="229"/>
      <c r="BF4" s="229"/>
      <c r="BG4" s="229"/>
      <c r="BH4" s="229"/>
      <c r="BI4" s="229"/>
      <c r="BJ4" s="229"/>
      <c r="BK4" s="230"/>
    </row>
    <row r="5" spans="1:63" ht="5.0999999999999996" customHeight="1" x14ac:dyDescent="0.25">
      <c r="A5" s="231"/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2"/>
      <c r="X5" s="232"/>
      <c r="Y5" s="232"/>
      <c r="Z5" s="232"/>
      <c r="AA5" s="232"/>
      <c r="AB5" s="232"/>
      <c r="AC5" s="232"/>
      <c r="AD5" s="232"/>
      <c r="AE5" s="232"/>
      <c r="AF5" s="232"/>
      <c r="AG5" s="232"/>
      <c r="AH5" s="232"/>
      <c r="AI5" s="232"/>
      <c r="AJ5" s="232"/>
      <c r="AK5" s="232"/>
      <c r="AL5" s="232"/>
      <c r="AM5" s="232"/>
      <c r="AN5" s="232"/>
      <c r="AO5" s="232"/>
      <c r="AP5" s="232"/>
      <c r="AQ5" s="232"/>
      <c r="AR5" s="232"/>
      <c r="AS5" s="232"/>
      <c r="AT5" s="232"/>
      <c r="AU5" s="232"/>
      <c r="AV5" s="232"/>
      <c r="AW5" s="232"/>
      <c r="AX5" s="232"/>
      <c r="AY5" s="232"/>
      <c r="AZ5" s="232"/>
      <c r="BA5" s="232"/>
      <c r="BB5" s="232"/>
      <c r="BC5" s="232"/>
      <c r="BD5" s="232"/>
      <c r="BE5" s="232"/>
      <c r="BF5" s="232"/>
      <c r="BG5" s="232"/>
      <c r="BH5" s="232"/>
      <c r="BI5" s="232"/>
      <c r="BJ5" s="232"/>
      <c r="BK5" s="233"/>
    </row>
    <row r="6" spans="1:63" ht="15" customHeight="1" x14ac:dyDescent="0.25">
      <c r="A6" s="234"/>
      <c r="BK6" s="235"/>
    </row>
    <row r="7" spans="1:63" ht="15" customHeight="1" x14ac:dyDescent="0.25">
      <c r="A7" s="234"/>
      <c r="BK7" s="235"/>
    </row>
    <row r="8" spans="1:63" ht="15" customHeight="1" x14ac:dyDescent="0.25">
      <c r="A8" s="234"/>
      <c r="BK8" s="235"/>
    </row>
    <row r="9" spans="1:63" ht="15" customHeight="1" x14ac:dyDescent="0.25">
      <c r="A9" s="234"/>
      <c r="BK9" s="235"/>
    </row>
    <row r="10" spans="1:63" ht="15" customHeight="1" x14ac:dyDescent="0.25">
      <c r="A10" s="234"/>
      <c r="BK10" s="235"/>
    </row>
    <row r="11" spans="1:63" ht="15" customHeight="1" x14ac:dyDescent="0.25">
      <c r="A11" s="234"/>
      <c r="BK11" s="235"/>
    </row>
    <row r="12" spans="1:63" ht="15" customHeight="1" x14ac:dyDescent="0.25">
      <c r="A12" s="234"/>
      <c r="BK12" s="235"/>
    </row>
    <row r="13" spans="1:63" ht="15" customHeight="1" x14ac:dyDescent="0.25">
      <c r="A13" s="234"/>
      <c r="BK13" s="235"/>
    </row>
    <row r="14" spans="1:63" ht="15" customHeight="1" thickBot="1" x14ac:dyDescent="0.3">
      <c r="A14" s="234"/>
      <c r="BK14" s="235"/>
    </row>
    <row r="15" spans="1:63" ht="15" customHeight="1" thickTop="1" x14ac:dyDescent="0.25">
      <c r="A15" s="234"/>
      <c r="K15" s="236"/>
      <c r="L15" s="237"/>
      <c r="M15" s="237"/>
      <c r="N15" s="237"/>
      <c r="O15" s="237"/>
      <c r="P15" s="237"/>
      <c r="Q15" s="237"/>
      <c r="R15" s="237"/>
      <c r="S15" s="237"/>
      <c r="T15" s="237"/>
      <c r="U15" s="237"/>
      <c r="V15" s="237"/>
      <c r="W15" s="237"/>
      <c r="X15" s="237"/>
      <c r="Y15" s="237"/>
      <c r="Z15" s="237"/>
      <c r="AA15" s="237"/>
      <c r="AB15" s="237"/>
      <c r="AC15" s="237"/>
      <c r="AD15" s="237"/>
      <c r="AE15" s="237"/>
      <c r="AF15" s="237"/>
      <c r="AG15" s="237"/>
      <c r="AH15" s="237"/>
      <c r="AI15" s="237"/>
      <c r="AJ15" s="237"/>
      <c r="AK15" s="237"/>
      <c r="AL15" s="237"/>
      <c r="AM15" s="237"/>
      <c r="AN15" s="237"/>
      <c r="AO15" s="237"/>
      <c r="AP15" s="237"/>
      <c r="AQ15" s="237"/>
      <c r="AR15" s="237"/>
      <c r="AS15" s="237"/>
      <c r="AT15" s="237"/>
      <c r="AU15" s="237"/>
      <c r="AV15" s="237"/>
      <c r="AW15" s="237"/>
      <c r="AX15" s="237"/>
      <c r="AY15" s="237"/>
      <c r="AZ15" s="237"/>
      <c r="BA15" s="238"/>
      <c r="BK15" s="235"/>
    </row>
    <row r="16" spans="1:63" ht="15" customHeight="1" x14ac:dyDescent="0.25">
      <c r="A16" s="234"/>
      <c r="K16" s="239"/>
      <c r="L16" s="240" t="s">
        <v>117</v>
      </c>
      <c r="M16" s="241"/>
      <c r="N16" s="241"/>
      <c r="O16" s="241"/>
      <c r="P16" s="241"/>
      <c r="Q16" s="241"/>
      <c r="R16" s="241"/>
      <c r="S16" s="241"/>
      <c r="T16" s="241"/>
      <c r="U16" s="241"/>
      <c r="V16" s="241"/>
      <c r="W16" s="241"/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  <c r="AJ16" s="241"/>
      <c r="AK16" s="241"/>
      <c r="AL16" s="241"/>
      <c r="AM16" s="241"/>
      <c r="AN16" s="241"/>
      <c r="AO16" s="241"/>
      <c r="AP16" s="241"/>
      <c r="AQ16" s="241"/>
      <c r="AR16" s="241"/>
      <c r="AS16" s="241"/>
      <c r="AT16" s="241"/>
      <c r="AU16" s="241"/>
      <c r="AV16" s="241"/>
      <c r="AW16" s="241"/>
      <c r="AX16" s="241"/>
      <c r="AY16" s="241"/>
      <c r="AZ16" s="241"/>
      <c r="BA16" s="242"/>
      <c r="BK16" s="235"/>
    </row>
    <row r="17" spans="1:63" ht="15" customHeight="1" x14ac:dyDescent="0.25">
      <c r="A17" s="234"/>
      <c r="K17" s="239"/>
      <c r="L17" s="241"/>
      <c r="M17" s="241"/>
      <c r="N17" s="241"/>
      <c r="O17" s="241"/>
      <c r="P17" s="241"/>
      <c r="Q17" s="241"/>
      <c r="R17" s="241"/>
      <c r="S17" s="241"/>
      <c r="T17" s="241"/>
      <c r="U17" s="241"/>
      <c r="V17" s="241"/>
      <c r="W17" s="241"/>
      <c r="X17" s="241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41"/>
      <c r="AJ17" s="241"/>
      <c r="AK17" s="241"/>
      <c r="AL17" s="241"/>
      <c r="AM17" s="241"/>
      <c r="AN17" s="241"/>
      <c r="AO17" s="241"/>
      <c r="AP17" s="241"/>
      <c r="AQ17" s="241"/>
      <c r="AR17" s="241"/>
      <c r="AS17" s="241"/>
      <c r="AT17" s="241"/>
      <c r="AU17" s="241"/>
      <c r="AV17" s="241"/>
      <c r="AW17" s="241"/>
      <c r="AX17" s="241"/>
      <c r="AY17" s="241"/>
      <c r="AZ17" s="241"/>
      <c r="BA17" s="242"/>
      <c r="BK17" s="235"/>
    </row>
    <row r="18" spans="1:63" ht="15" customHeight="1" x14ac:dyDescent="0.25">
      <c r="A18" s="234"/>
      <c r="K18" s="239"/>
      <c r="L18" s="241"/>
      <c r="M18" s="241"/>
      <c r="N18" s="241"/>
      <c r="O18" s="241"/>
      <c r="P18" s="241"/>
      <c r="Q18" s="241"/>
      <c r="R18" s="241"/>
      <c r="S18" s="241"/>
      <c r="T18" s="241"/>
      <c r="U18" s="241"/>
      <c r="V18" s="241"/>
      <c r="W18" s="241"/>
      <c r="X18" s="241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  <c r="AI18" s="241"/>
      <c r="AJ18" s="241"/>
      <c r="AK18" s="241"/>
      <c r="AL18" s="241"/>
      <c r="AM18" s="241"/>
      <c r="AN18" s="241"/>
      <c r="AO18" s="241"/>
      <c r="AP18" s="241"/>
      <c r="AQ18" s="241"/>
      <c r="AR18" s="241"/>
      <c r="AS18" s="241"/>
      <c r="AT18" s="241"/>
      <c r="AU18" s="241"/>
      <c r="AV18" s="241"/>
      <c r="AW18" s="241"/>
      <c r="AX18" s="241"/>
      <c r="AY18" s="241"/>
      <c r="AZ18" s="241"/>
      <c r="BA18" s="242"/>
      <c r="BK18" s="235"/>
    </row>
    <row r="19" spans="1:63" ht="15" customHeight="1" x14ac:dyDescent="0.25">
      <c r="A19" s="234"/>
      <c r="K19" s="239"/>
      <c r="L19" s="241"/>
      <c r="M19" s="241"/>
      <c r="N19" s="241"/>
      <c r="O19" s="241"/>
      <c r="P19" s="241"/>
      <c r="Q19" s="241"/>
      <c r="R19" s="241"/>
      <c r="S19" s="241"/>
      <c r="T19" s="241"/>
      <c r="U19" s="241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  <c r="AI19" s="241"/>
      <c r="AJ19" s="241"/>
      <c r="AK19" s="241"/>
      <c r="AL19" s="241"/>
      <c r="AM19" s="241"/>
      <c r="AN19" s="241"/>
      <c r="AO19" s="241"/>
      <c r="AP19" s="241"/>
      <c r="AQ19" s="241"/>
      <c r="AR19" s="241"/>
      <c r="AS19" s="241"/>
      <c r="AT19" s="241"/>
      <c r="AU19" s="241"/>
      <c r="AV19" s="241"/>
      <c r="AW19" s="241"/>
      <c r="AX19" s="241"/>
      <c r="AY19" s="241"/>
      <c r="AZ19" s="241"/>
      <c r="BA19" s="242"/>
      <c r="BK19" s="235"/>
    </row>
    <row r="20" spans="1:63" ht="15" customHeight="1" x14ac:dyDescent="0.25">
      <c r="A20" s="234"/>
      <c r="K20" s="239"/>
      <c r="L20" s="241"/>
      <c r="M20" s="241"/>
      <c r="N20" s="241"/>
      <c r="O20" s="241"/>
      <c r="P20" s="241"/>
      <c r="Q20" s="241"/>
      <c r="R20" s="241"/>
      <c r="S20" s="241"/>
      <c r="T20" s="241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  <c r="AI20" s="241"/>
      <c r="AJ20" s="241"/>
      <c r="AK20" s="241"/>
      <c r="AL20" s="241"/>
      <c r="AM20" s="241"/>
      <c r="AN20" s="241"/>
      <c r="AO20" s="241"/>
      <c r="AP20" s="241"/>
      <c r="AQ20" s="241"/>
      <c r="AR20" s="241"/>
      <c r="AS20" s="241"/>
      <c r="AT20" s="241"/>
      <c r="AU20" s="241"/>
      <c r="AV20" s="241"/>
      <c r="AW20" s="241"/>
      <c r="AX20" s="241"/>
      <c r="AY20" s="241"/>
      <c r="AZ20" s="241"/>
      <c r="BA20" s="242"/>
      <c r="BK20" s="235"/>
    </row>
    <row r="21" spans="1:63" ht="15" customHeight="1" x14ac:dyDescent="0.25">
      <c r="A21" s="234"/>
      <c r="K21" s="239"/>
      <c r="L21" s="241"/>
      <c r="M21" s="241"/>
      <c r="N21" s="241"/>
      <c r="O21" s="241"/>
      <c r="P21" s="241"/>
      <c r="Q21" s="241"/>
      <c r="R21" s="241"/>
      <c r="S21" s="241"/>
      <c r="T21" s="241"/>
      <c r="U21" s="241"/>
      <c r="V21" s="241"/>
      <c r="W21" s="241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  <c r="AI21" s="241"/>
      <c r="AJ21" s="241"/>
      <c r="AK21" s="241"/>
      <c r="AL21" s="241"/>
      <c r="AM21" s="241"/>
      <c r="AN21" s="241"/>
      <c r="AO21" s="241"/>
      <c r="AP21" s="241"/>
      <c r="AQ21" s="241"/>
      <c r="AR21" s="241"/>
      <c r="AS21" s="241"/>
      <c r="AT21" s="241"/>
      <c r="AU21" s="241"/>
      <c r="AV21" s="241"/>
      <c r="AW21" s="241"/>
      <c r="AX21" s="241"/>
      <c r="AY21" s="241"/>
      <c r="AZ21" s="241"/>
      <c r="BA21" s="242"/>
      <c r="BK21" s="235"/>
    </row>
    <row r="22" spans="1:63" ht="15" customHeight="1" thickBot="1" x14ac:dyDescent="0.3">
      <c r="A22" s="234"/>
      <c r="K22" s="239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3"/>
      <c r="W22" s="243"/>
      <c r="X22" s="243"/>
      <c r="Y22" s="243"/>
      <c r="Z22" s="243"/>
      <c r="AA22" s="243"/>
      <c r="AB22" s="243"/>
      <c r="AC22" s="243"/>
      <c r="AD22" s="243"/>
      <c r="AE22" s="243"/>
      <c r="AF22" s="243"/>
      <c r="AG22" s="243"/>
      <c r="AH22" s="243"/>
      <c r="AI22" s="243"/>
      <c r="AJ22" s="243"/>
      <c r="AK22" s="243"/>
      <c r="AL22" s="243"/>
      <c r="AM22" s="243"/>
      <c r="AN22" s="243"/>
      <c r="AO22" s="243"/>
      <c r="AP22" s="243"/>
      <c r="AQ22" s="243"/>
      <c r="AR22" s="243"/>
      <c r="AS22" s="243"/>
      <c r="AT22" s="243"/>
      <c r="AU22" s="243"/>
      <c r="AV22" s="243"/>
      <c r="AW22" s="243"/>
      <c r="AX22" s="243"/>
      <c r="AY22" s="243"/>
      <c r="AZ22" s="243"/>
      <c r="BA22" s="242"/>
      <c r="BK22" s="235"/>
    </row>
    <row r="23" spans="1:63" ht="15" customHeight="1" x14ac:dyDescent="0.25">
      <c r="A23" s="234"/>
      <c r="K23" s="239"/>
      <c r="L23" s="244"/>
      <c r="M23" s="244"/>
      <c r="N23" s="244"/>
      <c r="O23" s="244"/>
      <c r="P23" s="244"/>
      <c r="Q23" s="244"/>
      <c r="R23" s="244"/>
      <c r="S23" s="244"/>
      <c r="T23" s="244"/>
      <c r="U23" s="244"/>
      <c r="V23" s="244"/>
      <c r="W23" s="244"/>
      <c r="X23" s="244"/>
      <c r="Y23" s="244"/>
      <c r="Z23" s="244"/>
      <c r="AA23" s="244"/>
      <c r="AB23" s="244"/>
      <c r="AC23" s="244"/>
      <c r="AD23" s="244"/>
      <c r="AE23" s="244"/>
      <c r="AF23" s="244"/>
      <c r="AG23" s="244"/>
      <c r="AH23" s="244"/>
      <c r="AI23" s="244"/>
      <c r="AJ23" s="244"/>
      <c r="AK23" s="244"/>
      <c r="AL23" s="244"/>
      <c r="AM23" s="244"/>
      <c r="AN23" s="244"/>
      <c r="AO23" s="244"/>
      <c r="AP23" s="244"/>
      <c r="AQ23" s="244"/>
      <c r="AR23" s="244"/>
      <c r="AS23" s="244"/>
      <c r="AT23" s="244"/>
      <c r="AU23" s="244"/>
      <c r="AV23" s="244"/>
      <c r="AW23" s="244"/>
      <c r="AX23" s="244"/>
      <c r="AY23" s="244"/>
      <c r="AZ23" s="244"/>
      <c r="BA23" s="242"/>
      <c r="BK23" s="235"/>
    </row>
    <row r="24" spans="1:63" ht="15" customHeight="1" x14ac:dyDescent="0.25">
      <c r="A24" s="234"/>
      <c r="K24" s="239"/>
      <c r="L24" s="241" t="str">
        <f>K2&amp;"/"&amp;H4&amp;"/"&amp;Z4</f>
        <v>POSサーバ/82_店舗マスタ設定/画面設計書</v>
      </c>
      <c r="M24" s="241"/>
      <c r="N24" s="241"/>
      <c r="O24" s="241"/>
      <c r="P24" s="241"/>
      <c r="Q24" s="241"/>
      <c r="R24" s="241"/>
      <c r="S24" s="241"/>
      <c r="T24" s="241"/>
      <c r="U24" s="241"/>
      <c r="V24" s="241"/>
      <c r="W24" s="241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1"/>
      <c r="AI24" s="241"/>
      <c r="AJ24" s="241"/>
      <c r="AK24" s="241"/>
      <c r="AL24" s="241"/>
      <c r="AM24" s="241"/>
      <c r="AN24" s="241"/>
      <c r="AO24" s="241"/>
      <c r="AP24" s="241"/>
      <c r="AQ24" s="241"/>
      <c r="AR24" s="241"/>
      <c r="AS24" s="241"/>
      <c r="AT24" s="241"/>
      <c r="AU24" s="241"/>
      <c r="AV24" s="241"/>
      <c r="AW24" s="241"/>
      <c r="AX24" s="241"/>
      <c r="AY24" s="241"/>
      <c r="AZ24" s="241"/>
      <c r="BA24" s="242"/>
      <c r="BK24" s="235"/>
    </row>
    <row r="25" spans="1:63" ht="15" customHeight="1" x14ac:dyDescent="0.25">
      <c r="A25" s="234"/>
      <c r="K25" s="239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1"/>
      <c r="AI25" s="241"/>
      <c r="AJ25" s="241"/>
      <c r="AK25" s="241"/>
      <c r="AL25" s="241"/>
      <c r="AM25" s="241"/>
      <c r="AN25" s="241"/>
      <c r="AO25" s="241"/>
      <c r="AP25" s="241"/>
      <c r="AQ25" s="241"/>
      <c r="AR25" s="241"/>
      <c r="AS25" s="241"/>
      <c r="AT25" s="241"/>
      <c r="AU25" s="241"/>
      <c r="AV25" s="241"/>
      <c r="AW25" s="241"/>
      <c r="AX25" s="241"/>
      <c r="AY25" s="241"/>
      <c r="AZ25" s="241"/>
      <c r="BA25" s="242"/>
      <c r="BK25" s="235"/>
    </row>
    <row r="26" spans="1:63" ht="15" customHeight="1" x14ac:dyDescent="0.25">
      <c r="A26" s="234"/>
      <c r="K26" s="239"/>
      <c r="L26" s="241"/>
      <c r="M26" s="241"/>
      <c r="N26" s="241"/>
      <c r="O26" s="241"/>
      <c r="P26" s="241"/>
      <c r="Q26" s="241"/>
      <c r="R26" s="241"/>
      <c r="S26" s="241"/>
      <c r="T26" s="241"/>
      <c r="U26" s="241"/>
      <c r="V26" s="241"/>
      <c r="W26" s="241"/>
      <c r="X26" s="241"/>
      <c r="Y26" s="241"/>
      <c r="Z26" s="241"/>
      <c r="AA26" s="241"/>
      <c r="AB26" s="241"/>
      <c r="AC26" s="241"/>
      <c r="AD26" s="241"/>
      <c r="AE26" s="241"/>
      <c r="AF26" s="241"/>
      <c r="AG26" s="241"/>
      <c r="AH26" s="241"/>
      <c r="AI26" s="241"/>
      <c r="AJ26" s="241"/>
      <c r="AK26" s="241"/>
      <c r="AL26" s="241"/>
      <c r="AM26" s="241"/>
      <c r="AN26" s="241"/>
      <c r="AO26" s="241"/>
      <c r="AP26" s="241"/>
      <c r="AQ26" s="241"/>
      <c r="AR26" s="241"/>
      <c r="AS26" s="241"/>
      <c r="AT26" s="241"/>
      <c r="AU26" s="241"/>
      <c r="AV26" s="241"/>
      <c r="AW26" s="241"/>
      <c r="AX26" s="241"/>
      <c r="AY26" s="241"/>
      <c r="AZ26" s="241"/>
      <c r="BA26" s="242"/>
      <c r="BK26" s="235"/>
    </row>
    <row r="27" spans="1:63" ht="15" customHeight="1" x14ac:dyDescent="0.25">
      <c r="A27" s="234"/>
      <c r="K27" s="239"/>
      <c r="L27" s="241"/>
      <c r="M27" s="241"/>
      <c r="N27" s="241"/>
      <c r="O27" s="241"/>
      <c r="P27" s="241"/>
      <c r="Q27" s="241"/>
      <c r="R27" s="241"/>
      <c r="S27" s="241"/>
      <c r="T27" s="241"/>
      <c r="U27" s="241"/>
      <c r="V27" s="241"/>
      <c r="W27" s="241"/>
      <c r="X27" s="241"/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  <c r="AI27" s="241"/>
      <c r="AJ27" s="241"/>
      <c r="AK27" s="241"/>
      <c r="AL27" s="241"/>
      <c r="AM27" s="241"/>
      <c r="AN27" s="241"/>
      <c r="AO27" s="241"/>
      <c r="AP27" s="241"/>
      <c r="AQ27" s="241"/>
      <c r="AR27" s="241"/>
      <c r="AS27" s="241"/>
      <c r="AT27" s="241"/>
      <c r="AU27" s="241"/>
      <c r="AV27" s="241"/>
      <c r="AW27" s="241"/>
      <c r="AX27" s="241"/>
      <c r="AY27" s="241"/>
      <c r="AZ27" s="241"/>
      <c r="BA27" s="242"/>
      <c r="BK27" s="235"/>
    </row>
    <row r="28" spans="1:63" ht="15" customHeight="1" x14ac:dyDescent="0.25">
      <c r="A28" s="234"/>
      <c r="K28" s="239"/>
      <c r="L28" s="241"/>
      <c r="M28" s="241"/>
      <c r="N28" s="241"/>
      <c r="O28" s="241"/>
      <c r="P28" s="241"/>
      <c r="Q28" s="241"/>
      <c r="R28" s="241"/>
      <c r="S28" s="241"/>
      <c r="T28" s="241"/>
      <c r="U28" s="241"/>
      <c r="V28" s="241"/>
      <c r="W28" s="241"/>
      <c r="X28" s="241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  <c r="AI28" s="241"/>
      <c r="AJ28" s="241"/>
      <c r="AK28" s="241"/>
      <c r="AL28" s="241"/>
      <c r="AM28" s="241"/>
      <c r="AN28" s="241"/>
      <c r="AO28" s="241"/>
      <c r="AP28" s="241"/>
      <c r="AQ28" s="241"/>
      <c r="AR28" s="241"/>
      <c r="AS28" s="241"/>
      <c r="AT28" s="241"/>
      <c r="AU28" s="241"/>
      <c r="AV28" s="241"/>
      <c r="AW28" s="241"/>
      <c r="AX28" s="241"/>
      <c r="AY28" s="241"/>
      <c r="AZ28" s="241"/>
      <c r="BA28" s="242"/>
      <c r="BK28" s="235"/>
    </row>
    <row r="29" spans="1:63" ht="15" customHeight="1" x14ac:dyDescent="0.25">
      <c r="A29" s="234"/>
      <c r="K29" s="239"/>
      <c r="L29" s="241"/>
      <c r="M29" s="241"/>
      <c r="N29" s="241"/>
      <c r="O29" s="241"/>
      <c r="P29" s="241"/>
      <c r="Q29" s="241"/>
      <c r="R29" s="241"/>
      <c r="S29" s="241"/>
      <c r="T29" s="241"/>
      <c r="U29" s="241"/>
      <c r="V29" s="241"/>
      <c r="W29" s="241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1"/>
      <c r="AI29" s="241"/>
      <c r="AJ29" s="241"/>
      <c r="AK29" s="241"/>
      <c r="AL29" s="241"/>
      <c r="AM29" s="241"/>
      <c r="AN29" s="241"/>
      <c r="AO29" s="241"/>
      <c r="AP29" s="241"/>
      <c r="AQ29" s="241"/>
      <c r="AR29" s="241"/>
      <c r="AS29" s="241"/>
      <c r="AT29" s="241"/>
      <c r="AU29" s="241"/>
      <c r="AV29" s="241"/>
      <c r="AW29" s="241"/>
      <c r="AX29" s="241"/>
      <c r="AY29" s="241"/>
      <c r="AZ29" s="241"/>
      <c r="BA29" s="242"/>
      <c r="BK29" s="235"/>
    </row>
    <row r="30" spans="1:63" ht="15" customHeight="1" x14ac:dyDescent="0.25">
      <c r="A30" s="234"/>
      <c r="K30" s="239"/>
      <c r="L30" s="241"/>
      <c r="M30" s="241"/>
      <c r="N30" s="241"/>
      <c r="O30" s="241"/>
      <c r="P30" s="241"/>
      <c r="Q30" s="241"/>
      <c r="R30" s="241"/>
      <c r="S30" s="241"/>
      <c r="T30" s="241"/>
      <c r="U30" s="241"/>
      <c r="V30" s="241"/>
      <c r="W30" s="241"/>
      <c r="X30" s="241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  <c r="AI30" s="241"/>
      <c r="AJ30" s="241"/>
      <c r="AK30" s="241"/>
      <c r="AL30" s="241"/>
      <c r="AM30" s="241"/>
      <c r="AN30" s="241"/>
      <c r="AO30" s="241"/>
      <c r="AP30" s="241"/>
      <c r="AQ30" s="241"/>
      <c r="AR30" s="241"/>
      <c r="AS30" s="241"/>
      <c r="AT30" s="241"/>
      <c r="AU30" s="241"/>
      <c r="AV30" s="241"/>
      <c r="AW30" s="241"/>
      <c r="AX30" s="241"/>
      <c r="AY30" s="241"/>
      <c r="AZ30" s="241"/>
      <c r="BA30" s="242"/>
      <c r="BK30" s="235"/>
    </row>
    <row r="31" spans="1:63" ht="15" customHeight="1" x14ac:dyDescent="0.25">
      <c r="A31" s="234"/>
      <c r="K31" s="239"/>
      <c r="L31" s="241"/>
      <c r="M31" s="241"/>
      <c r="N31" s="241"/>
      <c r="O31" s="241"/>
      <c r="P31" s="241"/>
      <c r="Q31" s="241"/>
      <c r="R31" s="241"/>
      <c r="S31" s="241"/>
      <c r="T31" s="241"/>
      <c r="U31" s="241"/>
      <c r="V31" s="241"/>
      <c r="W31" s="241"/>
      <c r="X31" s="241"/>
      <c r="Y31" s="241"/>
      <c r="Z31" s="241"/>
      <c r="AA31" s="241"/>
      <c r="AB31" s="241"/>
      <c r="AC31" s="241"/>
      <c r="AD31" s="241"/>
      <c r="AE31" s="241"/>
      <c r="AF31" s="241"/>
      <c r="AG31" s="241"/>
      <c r="AH31" s="241"/>
      <c r="AI31" s="241"/>
      <c r="AJ31" s="241"/>
      <c r="AK31" s="241"/>
      <c r="AL31" s="241"/>
      <c r="AM31" s="241"/>
      <c r="AN31" s="241"/>
      <c r="AO31" s="241"/>
      <c r="AP31" s="241"/>
      <c r="AQ31" s="241"/>
      <c r="AR31" s="241"/>
      <c r="AS31" s="241"/>
      <c r="AT31" s="241"/>
      <c r="AU31" s="241"/>
      <c r="AV31" s="241"/>
      <c r="AW31" s="241"/>
      <c r="AX31" s="241"/>
      <c r="AY31" s="241"/>
      <c r="AZ31" s="241"/>
      <c r="BA31" s="242"/>
      <c r="BK31" s="235"/>
    </row>
    <row r="32" spans="1:63" ht="15" customHeight="1" x14ac:dyDescent="0.25">
      <c r="A32" s="234"/>
      <c r="K32" s="239"/>
      <c r="L32" s="241"/>
      <c r="M32" s="241"/>
      <c r="N32" s="241"/>
      <c r="O32" s="241"/>
      <c r="P32" s="241"/>
      <c r="Q32" s="241"/>
      <c r="R32" s="241"/>
      <c r="S32" s="241"/>
      <c r="T32" s="241"/>
      <c r="U32" s="241"/>
      <c r="V32" s="241"/>
      <c r="W32" s="241"/>
      <c r="X32" s="241"/>
      <c r="Y32" s="241"/>
      <c r="Z32" s="241"/>
      <c r="AA32" s="241"/>
      <c r="AB32" s="241"/>
      <c r="AC32" s="241"/>
      <c r="AD32" s="241"/>
      <c r="AE32" s="241"/>
      <c r="AF32" s="241"/>
      <c r="AG32" s="241"/>
      <c r="AH32" s="241"/>
      <c r="AI32" s="241"/>
      <c r="AJ32" s="241"/>
      <c r="AK32" s="241"/>
      <c r="AL32" s="241"/>
      <c r="AM32" s="241"/>
      <c r="AN32" s="241"/>
      <c r="AO32" s="241"/>
      <c r="AP32" s="241"/>
      <c r="AQ32" s="241"/>
      <c r="AR32" s="241"/>
      <c r="AS32" s="241"/>
      <c r="AT32" s="241"/>
      <c r="AU32" s="241"/>
      <c r="AV32" s="241"/>
      <c r="AW32" s="241"/>
      <c r="AX32" s="241"/>
      <c r="AY32" s="241"/>
      <c r="AZ32" s="241"/>
      <c r="BA32" s="242"/>
      <c r="BK32" s="235"/>
    </row>
    <row r="33" spans="1:63" ht="15" customHeight="1" x14ac:dyDescent="0.25">
      <c r="A33" s="234"/>
      <c r="K33" s="239"/>
      <c r="L33" s="241"/>
      <c r="M33" s="241"/>
      <c r="N33" s="241"/>
      <c r="O33" s="241"/>
      <c r="P33" s="241"/>
      <c r="Q33" s="241"/>
      <c r="R33" s="241"/>
      <c r="S33" s="241"/>
      <c r="T33" s="241"/>
      <c r="U33" s="241"/>
      <c r="V33" s="241"/>
      <c r="W33" s="241"/>
      <c r="X33" s="241"/>
      <c r="Y33" s="241"/>
      <c r="Z33" s="241"/>
      <c r="AA33" s="241"/>
      <c r="AB33" s="241"/>
      <c r="AC33" s="241"/>
      <c r="AD33" s="241"/>
      <c r="AE33" s="241"/>
      <c r="AF33" s="241"/>
      <c r="AG33" s="241"/>
      <c r="AH33" s="241"/>
      <c r="AI33" s="241"/>
      <c r="AJ33" s="241"/>
      <c r="AK33" s="241"/>
      <c r="AL33" s="241"/>
      <c r="AM33" s="241"/>
      <c r="AN33" s="241"/>
      <c r="AO33" s="241"/>
      <c r="AP33" s="241"/>
      <c r="AQ33" s="241"/>
      <c r="AR33" s="241"/>
      <c r="AS33" s="241"/>
      <c r="AT33" s="241"/>
      <c r="AU33" s="241"/>
      <c r="AV33" s="241"/>
      <c r="AW33" s="241"/>
      <c r="AX33" s="241"/>
      <c r="AY33" s="241"/>
      <c r="AZ33" s="241"/>
      <c r="BA33" s="242"/>
      <c r="BK33" s="235"/>
    </row>
    <row r="34" spans="1:63" ht="15" customHeight="1" x14ac:dyDescent="0.25">
      <c r="A34" s="234"/>
      <c r="K34" s="239"/>
      <c r="L34" s="241"/>
      <c r="M34" s="241"/>
      <c r="N34" s="241"/>
      <c r="O34" s="241"/>
      <c r="P34" s="241"/>
      <c r="Q34" s="241"/>
      <c r="R34" s="241"/>
      <c r="S34" s="241"/>
      <c r="T34" s="241"/>
      <c r="U34" s="241"/>
      <c r="V34" s="241"/>
      <c r="W34" s="241"/>
      <c r="X34" s="241"/>
      <c r="Y34" s="241"/>
      <c r="Z34" s="241"/>
      <c r="AA34" s="241"/>
      <c r="AB34" s="241"/>
      <c r="AC34" s="241"/>
      <c r="AD34" s="241"/>
      <c r="AE34" s="241"/>
      <c r="AF34" s="241"/>
      <c r="AG34" s="241"/>
      <c r="AH34" s="241"/>
      <c r="AI34" s="241"/>
      <c r="AJ34" s="241"/>
      <c r="AK34" s="241"/>
      <c r="AL34" s="241"/>
      <c r="AM34" s="241"/>
      <c r="AN34" s="241"/>
      <c r="AO34" s="241"/>
      <c r="AP34" s="241"/>
      <c r="AQ34" s="241"/>
      <c r="AR34" s="241"/>
      <c r="AS34" s="241"/>
      <c r="AT34" s="241"/>
      <c r="AU34" s="241"/>
      <c r="AV34" s="241"/>
      <c r="AW34" s="241"/>
      <c r="AX34" s="241"/>
      <c r="AY34" s="241"/>
      <c r="AZ34" s="241"/>
      <c r="BA34" s="242"/>
      <c r="BK34" s="235"/>
    </row>
    <row r="35" spans="1:63" ht="15" customHeight="1" x14ac:dyDescent="0.25">
      <c r="A35" s="234"/>
      <c r="K35" s="239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Y35" s="241"/>
      <c r="Z35" s="241"/>
      <c r="AA35" s="241"/>
      <c r="AB35" s="241"/>
      <c r="AC35" s="241"/>
      <c r="AD35" s="241"/>
      <c r="AE35" s="241"/>
      <c r="AF35" s="241"/>
      <c r="AG35" s="241"/>
      <c r="AH35" s="241"/>
      <c r="AI35" s="241"/>
      <c r="AJ35" s="241"/>
      <c r="AK35" s="241"/>
      <c r="AL35" s="241"/>
      <c r="AM35" s="241"/>
      <c r="AN35" s="241"/>
      <c r="AO35" s="241"/>
      <c r="AP35" s="241"/>
      <c r="AQ35" s="241"/>
      <c r="AR35" s="241"/>
      <c r="AS35" s="241"/>
      <c r="AT35" s="241"/>
      <c r="AU35" s="241"/>
      <c r="AV35" s="241"/>
      <c r="AW35" s="241"/>
      <c r="AX35" s="241"/>
      <c r="AY35" s="241"/>
      <c r="AZ35" s="241"/>
      <c r="BA35" s="242"/>
      <c r="BK35" s="235"/>
    </row>
    <row r="36" spans="1:63" ht="15" customHeight="1" x14ac:dyDescent="0.25">
      <c r="A36" s="234"/>
      <c r="K36" s="239"/>
      <c r="L36" s="241"/>
      <c r="M36" s="241"/>
      <c r="N36" s="241"/>
      <c r="O36" s="241"/>
      <c r="P36" s="241"/>
      <c r="Q36" s="241"/>
      <c r="R36" s="241"/>
      <c r="S36" s="241"/>
      <c r="T36" s="241"/>
      <c r="U36" s="241"/>
      <c r="V36" s="241"/>
      <c r="W36" s="241"/>
      <c r="X36" s="241"/>
      <c r="Y36" s="241"/>
      <c r="Z36" s="241"/>
      <c r="AA36" s="241"/>
      <c r="AB36" s="241"/>
      <c r="AC36" s="241"/>
      <c r="AD36" s="241"/>
      <c r="AE36" s="241"/>
      <c r="AF36" s="241"/>
      <c r="AG36" s="241"/>
      <c r="AH36" s="241"/>
      <c r="AI36" s="241"/>
      <c r="AJ36" s="241"/>
      <c r="AK36" s="241"/>
      <c r="AL36" s="241"/>
      <c r="AM36" s="241"/>
      <c r="AN36" s="241"/>
      <c r="AO36" s="241"/>
      <c r="AP36" s="241"/>
      <c r="AQ36" s="241"/>
      <c r="AR36" s="241"/>
      <c r="AS36" s="241"/>
      <c r="AT36" s="241"/>
      <c r="AU36" s="241"/>
      <c r="AV36" s="241"/>
      <c r="AW36" s="241"/>
      <c r="AX36" s="241"/>
      <c r="AY36" s="241"/>
      <c r="AZ36" s="241"/>
      <c r="BA36" s="242"/>
      <c r="BK36" s="235"/>
    </row>
    <row r="37" spans="1:63" ht="15" customHeight="1" thickBot="1" x14ac:dyDescent="0.3">
      <c r="A37" s="234"/>
      <c r="K37" s="245"/>
      <c r="L37" s="246"/>
      <c r="M37" s="246"/>
      <c r="N37" s="246"/>
      <c r="O37" s="246"/>
      <c r="P37" s="246"/>
      <c r="Q37" s="246"/>
      <c r="R37" s="246"/>
      <c r="S37" s="246"/>
      <c r="T37" s="246"/>
      <c r="U37" s="246"/>
      <c r="V37" s="246"/>
      <c r="W37" s="246"/>
      <c r="X37" s="246"/>
      <c r="Y37" s="246"/>
      <c r="Z37" s="246"/>
      <c r="AA37" s="246"/>
      <c r="AB37" s="246"/>
      <c r="AC37" s="246"/>
      <c r="AD37" s="246"/>
      <c r="AE37" s="246"/>
      <c r="AF37" s="246"/>
      <c r="AG37" s="246"/>
      <c r="AH37" s="246"/>
      <c r="AI37" s="246"/>
      <c r="AJ37" s="246"/>
      <c r="AK37" s="246"/>
      <c r="AL37" s="246"/>
      <c r="AM37" s="246"/>
      <c r="AN37" s="246"/>
      <c r="AO37" s="246"/>
      <c r="AP37" s="246"/>
      <c r="AQ37" s="246"/>
      <c r="AR37" s="246"/>
      <c r="AS37" s="246"/>
      <c r="AT37" s="246"/>
      <c r="AU37" s="246"/>
      <c r="AV37" s="246"/>
      <c r="AW37" s="246"/>
      <c r="AX37" s="246"/>
      <c r="AY37" s="246"/>
      <c r="AZ37" s="246"/>
      <c r="BA37" s="247"/>
      <c r="BK37" s="235"/>
    </row>
    <row r="38" spans="1:63" ht="15" customHeight="1" thickTop="1" x14ac:dyDescent="0.25">
      <c r="A38" s="234"/>
      <c r="BK38" s="235"/>
    </row>
    <row r="39" spans="1:63" ht="15" customHeight="1" x14ac:dyDescent="0.25">
      <c r="A39" s="234"/>
      <c r="BK39" s="235"/>
    </row>
    <row r="40" spans="1:63" ht="15" customHeight="1" x14ac:dyDescent="0.25">
      <c r="A40" s="234"/>
      <c r="BK40" s="235"/>
    </row>
    <row r="41" spans="1:63" ht="15" customHeight="1" x14ac:dyDescent="0.25">
      <c r="A41" s="234"/>
      <c r="BK41" s="235"/>
    </row>
    <row r="42" spans="1:63" ht="15" customHeight="1" x14ac:dyDescent="0.25">
      <c r="A42" s="234"/>
      <c r="BK42" s="235"/>
    </row>
    <row r="43" spans="1:63" ht="15" customHeight="1" x14ac:dyDescent="0.25">
      <c r="A43" s="234"/>
      <c r="BK43" s="235"/>
    </row>
    <row r="44" spans="1:63" ht="15" customHeight="1" x14ac:dyDescent="0.25">
      <c r="A44" s="234"/>
      <c r="Q44" s="248" t="s">
        <v>118</v>
      </c>
      <c r="R44" s="249"/>
      <c r="S44" s="249"/>
      <c r="T44" s="249"/>
      <c r="U44" s="249"/>
      <c r="V44" s="249"/>
      <c r="W44" s="249"/>
      <c r="X44" s="249"/>
      <c r="Y44" s="249"/>
      <c r="Z44" s="250"/>
      <c r="AA44" s="248" t="s">
        <v>119</v>
      </c>
      <c r="AB44" s="249"/>
      <c r="AC44" s="249"/>
      <c r="AD44" s="249"/>
      <c r="AE44" s="249"/>
      <c r="AF44" s="249"/>
      <c r="AG44" s="249"/>
      <c r="AH44" s="249"/>
      <c r="AI44" s="249"/>
      <c r="AJ44" s="249"/>
      <c r="AK44" s="249"/>
      <c r="AL44" s="249"/>
      <c r="AM44" s="249"/>
      <c r="AN44" s="249"/>
      <c r="AO44" s="249"/>
      <c r="AP44" s="250"/>
      <c r="AQ44" s="248" t="s">
        <v>112</v>
      </c>
      <c r="AR44" s="249"/>
      <c r="AS44" s="249"/>
      <c r="AT44" s="249"/>
      <c r="AU44" s="250"/>
      <c r="BK44" s="235"/>
    </row>
    <row r="45" spans="1:63" ht="15" customHeight="1" x14ac:dyDescent="0.25">
      <c r="A45" s="234"/>
      <c r="Q45" s="251"/>
      <c r="R45" s="252"/>
      <c r="S45" s="252"/>
      <c r="T45" s="252"/>
      <c r="U45" s="252"/>
      <c r="V45" s="252"/>
      <c r="W45" s="252"/>
      <c r="X45" s="252"/>
      <c r="Y45" s="252"/>
      <c r="Z45" s="253"/>
      <c r="AA45" s="251"/>
      <c r="AB45" s="252"/>
      <c r="AC45" s="252"/>
      <c r="AD45" s="252"/>
      <c r="AE45" s="252"/>
      <c r="AF45" s="252"/>
      <c r="AG45" s="252"/>
      <c r="AH45" s="252"/>
      <c r="AI45" s="252"/>
      <c r="AJ45" s="252"/>
      <c r="AK45" s="252"/>
      <c r="AL45" s="252"/>
      <c r="AM45" s="252"/>
      <c r="AN45" s="252"/>
      <c r="AO45" s="252"/>
      <c r="AP45" s="253"/>
      <c r="AQ45" s="251"/>
      <c r="AR45" s="252"/>
      <c r="AS45" s="252"/>
      <c r="AT45" s="252"/>
      <c r="AU45" s="253"/>
      <c r="BK45" s="235"/>
    </row>
    <row r="46" spans="1:63" ht="15" customHeight="1" x14ac:dyDescent="0.25">
      <c r="A46" s="234"/>
      <c r="Q46" s="206"/>
      <c r="R46" s="204"/>
      <c r="S46" s="204"/>
      <c r="T46" s="204"/>
      <c r="U46" s="204"/>
      <c r="V46" s="204"/>
      <c r="W46" s="204"/>
      <c r="X46" s="204"/>
      <c r="Y46" s="204"/>
      <c r="Z46" s="205"/>
      <c r="AA46" s="206"/>
      <c r="AB46" s="204"/>
      <c r="AC46" s="204"/>
      <c r="AD46" s="204"/>
      <c r="AE46" s="204"/>
      <c r="AF46" s="204"/>
      <c r="AG46" s="204"/>
      <c r="AH46" s="204"/>
      <c r="AI46" s="204"/>
      <c r="AJ46" s="204"/>
      <c r="AK46" s="204"/>
      <c r="AL46" s="204"/>
      <c r="AM46" s="204"/>
      <c r="AN46" s="204"/>
      <c r="AO46" s="204"/>
      <c r="AP46" s="205"/>
      <c r="AQ46" s="206"/>
      <c r="AR46" s="204"/>
      <c r="AS46" s="204"/>
      <c r="AT46" s="204"/>
      <c r="AU46" s="205"/>
      <c r="BK46" s="235"/>
    </row>
    <row r="47" spans="1:63" ht="15" customHeight="1" x14ac:dyDescent="0.25">
      <c r="A47" s="234"/>
      <c r="Q47" s="254"/>
      <c r="R47" s="255"/>
      <c r="S47" s="255"/>
      <c r="T47" s="255"/>
      <c r="U47" s="255"/>
      <c r="V47" s="255"/>
      <c r="W47" s="255"/>
      <c r="X47" s="255"/>
      <c r="Y47" s="255"/>
      <c r="Z47" s="256"/>
      <c r="AA47" s="254"/>
      <c r="AB47" s="255"/>
      <c r="AC47" s="255"/>
      <c r="AD47" s="255"/>
      <c r="AE47" s="255"/>
      <c r="AF47" s="255"/>
      <c r="AG47" s="255"/>
      <c r="AH47" s="255"/>
      <c r="AI47" s="255"/>
      <c r="AJ47" s="255"/>
      <c r="AK47" s="255"/>
      <c r="AL47" s="255"/>
      <c r="AM47" s="255"/>
      <c r="AN47" s="255"/>
      <c r="AO47" s="255"/>
      <c r="AP47" s="256"/>
      <c r="AQ47" s="254"/>
      <c r="AR47" s="255"/>
      <c r="AS47" s="255"/>
      <c r="AT47" s="255"/>
      <c r="AU47" s="256"/>
      <c r="BK47" s="235"/>
    </row>
    <row r="48" spans="1:63" ht="15" customHeight="1" x14ac:dyDescent="0.25">
      <c r="A48" s="234"/>
      <c r="Q48" s="254"/>
      <c r="R48" s="255"/>
      <c r="S48" s="255"/>
      <c r="T48" s="255"/>
      <c r="U48" s="255"/>
      <c r="V48" s="255"/>
      <c r="W48" s="255"/>
      <c r="X48" s="255"/>
      <c r="Y48" s="255"/>
      <c r="Z48" s="256"/>
      <c r="AA48" s="254"/>
      <c r="AB48" s="255"/>
      <c r="AC48" s="255"/>
      <c r="AD48" s="255"/>
      <c r="AE48" s="255"/>
      <c r="AF48" s="255"/>
      <c r="AG48" s="255"/>
      <c r="AH48" s="255"/>
      <c r="AI48" s="255"/>
      <c r="AJ48" s="255"/>
      <c r="AK48" s="255"/>
      <c r="AL48" s="255"/>
      <c r="AM48" s="255"/>
      <c r="AN48" s="255"/>
      <c r="AO48" s="255"/>
      <c r="AP48" s="256"/>
      <c r="AQ48" s="254"/>
      <c r="AR48" s="255"/>
      <c r="AS48" s="255"/>
      <c r="AT48" s="255"/>
      <c r="AU48" s="256"/>
      <c r="BK48" s="235"/>
    </row>
    <row r="49" spans="1:63" ht="15" customHeight="1" x14ac:dyDescent="0.25">
      <c r="A49" s="234"/>
      <c r="Q49" s="216"/>
      <c r="R49" s="217"/>
      <c r="S49" s="217"/>
      <c r="T49" s="217"/>
      <c r="U49" s="217"/>
      <c r="V49" s="217"/>
      <c r="W49" s="217"/>
      <c r="X49" s="217"/>
      <c r="Y49" s="217"/>
      <c r="Z49" s="218"/>
      <c r="AA49" s="216"/>
      <c r="AB49" s="217"/>
      <c r="AC49" s="217"/>
      <c r="AD49" s="217"/>
      <c r="AE49" s="217"/>
      <c r="AF49" s="217"/>
      <c r="AG49" s="217"/>
      <c r="AH49" s="217"/>
      <c r="AI49" s="217"/>
      <c r="AJ49" s="217"/>
      <c r="AK49" s="217"/>
      <c r="AL49" s="217"/>
      <c r="AM49" s="217"/>
      <c r="AN49" s="217"/>
      <c r="AO49" s="217"/>
      <c r="AP49" s="218"/>
      <c r="AQ49" s="216"/>
      <c r="AR49" s="217"/>
      <c r="AS49" s="217"/>
      <c r="AT49" s="217"/>
      <c r="AU49" s="218"/>
      <c r="BK49" s="235"/>
    </row>
    <row r="50" spans="1:63" ht="15" customHeight="1" x14ac:dyDescent="0.25">
      <c r="A50" s="234"/>
      <c r="BK50" s="235"/>
    </row>
    <row r="51" spans="1:63" ht="15" customHeight="1" x14ac:dyDescent="0.25">
      <c r="A51" s="234"/>
      <c r="BK51" s="235"/>
    </row>
    <row r="52" spans="1:63" ht="15" customHeight="1" x14ac:dyDescent="0.25">
      <c r="A52" s="234"/>
      <c r="BK52" s="235"/>
    </row>
    <row r="53" spans="1:63" ht="15" customHeight="1" x14ac:dyDescent="0.25">
      <c r="A53" s="234"/>
      <c r="BK53" s="235"/>
    </row>
    <row r="54" spans="1:63" ht="15" customHeight="1" x14ac:dyDescent="0.25">
      <c r="A54" s="234"/>
      <c r="BK54" s="235"/>
    </row>
    <row r="55" spans="1:63" ht="15" customHeight="1" x14ac:dyDescent="0.25">
      <c r="A55" s="231"/>
      <c r="B55" s="232"/>
      <c r="C55" s="232"/>
      <c r="D55" s="232"/>
      <c r="E55" s="232"/>
      <c r="F55" s="232"/>
      <c r="G55" s="232"/>
      <c r="H55" s="232"/>
      <c r="I55" s="232"/>
      <c r="J55" s="232"/>
      <c r="K55" s="232"/>
      <c r="L55" s="232"/>
      <c r="M55" s="232"/>
      <c r="N55" s="232"/>
      <c r="O55" s="232"/>
      <c r="P55" s="232"/>
      <c r="Q55" s="232"/>
      <c r="R55" s="232"/>
      <c r="S55" s="232"/>
      <c r="T55" s="232"/>
      <c r="U55" s="232"/>
      <c r="V55" s="232"/>
      <c r="W55" s="232"/>
      <c r="X55" s="232"/>
      <c r="Y55" s="232"/>
      <c r="Z55" s="232"/>
      <c r="AA55" s="232"/>
      <c r="AB55" s="232"/>
      <c r="AC55" s="232"/>
      <c r="AD55" s="232"/>
      <c r="AE55" s="232"/>
      <c r="AF55" s="232"/>
      <c r="AG55" s="232"/>
      <c r="AH55" s="232"/>
      <c r="AI55" s="232"/>
      <c r="AJ55" s="232"/>
      <c r="AK55" s="232"/>
      <c r="AL55" s="232"/>
      <c r="AM55" s="232"/>
      <c r="AN55" s="232"/>
      <c r="AO55" s="232"/>
      <c r="AP55" s="232"/>
      <c r="AQ55" s="232"/>
      <c r="AR55" s="232"/>
      <c r="AS55" s="232"/>
      <c r="AT55" s="232"/>
      <c r="AU55" s="232"/>
      <c r="AV55" s="232"/>
      <c r="AW55" s="232"/>
      <c r="AX55" s="232"/>
      <c r="AY55" s="232"/>
      <c r="AZ55" s="232"/>
      <c r="BA55" s="232"/>
      <c r="BB55" s="232"/>
      <c r="BC55" s="232"/>
      <c r="BD55" s="232"/>
      <c r="BE55" s="232"/>
      <c r="BF55" s="232"/>
      <c r="BG55" s="232"/>
      <c r="BH55" s="232"/>
      <c r="BI55" s="232"/>
      <c r="BJ55" s="232"/>
      <c r="BK55" s="233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203" customWidth="1"/>
    <col min="61" max="16384" width="2.77734375" style="203"/>
  </cols>
  <sheetData>
    <row r="1" spans="1:63" ht="24.95" customHeight="1" x14ac:dyDescent="0.25">
      <c r="A1" s="197" t="s">
        <v>105</v>
      </c>
      <c r="B1" s="198"/>
      <c r="C1" s="198"/>
      <c r="D1" s="198"/>
      <c r="E1" s="198"/>
      <c r="F1" s="198"/>
      <c r="G1" s="198"/>
      <c r="H1" s="198"/>
      <c r="I1" s="198"/>
      <c r="J1" s="199"/>
      <c r="K1" s="197" t="s">
        <v>106</v>
      </c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9"/>
      <c r="W1" s="257" t="str">
        <f>IF(表紙!W1="","",表紙!W1)</f>
        <v>詳細設計書</v>
      </c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  <c r="AN1" s="201"/>
      <c r="AO1" s="202"/>
      <c r="AP1" s="197" t="s">
        <v>108</v>
      </c>
      <c r="AQ1" s="198"/>
      <c r="AR1" s="198"/>
      <c r="AS1" s="199"/>
      <c r="AT1" s="197" t="s">
        <v>109</v>
      </c>
      <c r="AU1" s="198"/>
      <c r="AV1" s="198"/>
      <c r="AW1" s="198"/>
      <c r="AX1" s="199"/>
      <c r="AY1" s="197" t="s">
        <v>110</v>
      </c>
      <c r="AZ1" s="198"/>
      <c r="BA1" s="198"/>
      <c r="BB1" s="199"/>
      <c r="BC1" s="197" t="s">
        <v>111</v>
      </c>
      <c r="BD1" s="198"/>
      <c r="BE1" s="198"/>
      <c r="BF1" s="198"/>
      <c r="BG1" s="199"/>
      <c r="BH1" s="197" t="s">
        <v>112</v>
      </c>
      <c r="BI1" s="198"/>
      <c r="BJ1" s="198"/>
      <c r="BK1" s="199"/>
    </row>
    <row r="2" spans="1:63" ht="15" customHeight="1" x14ac:dyDescent="0.25">
      <c r="A2" s="206" t="str">
        <f>IF(表紙!A2="","",表紙!A2)</f>
        <v>POSサーバー</v>
      </c>
      <c r="B2" s="204"/>
      <c r="C2" s="204"/>
      <c r="D2" s="204"/>
      <c r="E2" s="204"/>
      <c r="F2" s="204"/>
      <c r="G2" s="204"/>
      <c r="H2" s="204"/>
      <c r="I2" s="204"/>
      <c r="J2" s="205"/>
      <c r="K2" s="206" t="str">
        <f>IF(表紙!K2="","",表紙!K2)</f>
        <v>POSサーバ</v>
      </c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5"/>
      <c r="W2" s="207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9"/>
      <c r="AP2" s="206" t="str">
        <f>IF(表紙!AP2="","",表紙!AP2)</f>
        <v>DuNT</v>
      </c>
      <c r="AQ2" s="204"/>
      <c r="AR2" s="204"/>
      <c r="AS2" s="205"/>
      <c r="AT2" s="210">
        <f>IF(表紙!AT2="","",表紙!AT2)</f>
        <v>45611</v>
      </c>
      <c r="AU2" s="211"/>
      <c r="AV2" s="211"/>
      <c r="AW2" s="211"/>
      <c r="AX2" s="212"/>
      <c r="AY2" s="206" t="str">
        <f>IF(表紙!AY2="","",表紙!AY2)</f>
        <v>DuNT</v>
      </c>
      <c r="AZ2" s="204"/>
      <c r="BA2" s="204"/>
      <c r="BB2" s="205"/>
      <c r="BC2" s="210">
        <f>IF(表紙!BC2="","",表紙!BC2)</f>
        <v>45611</v>
      </c>
      <c r="BD2" s="211"/>
      <c r="BE2" s="211"/>
      <c r="BF2" s="211"/>
      <c r="BG2" s="212"/>
      <c r="BH2" s="206">
        <f>IF(表紙!BH2="","",表紙!BH2)</f>
        <v>0.1</v>
      </c>
      <c r="BI2" s="204"/>
      <c r="BJ2" s="204"/>
      <c r="BK2" s="205"/>
    </row>
    <row r="3" spans="1:63" ht="15" customHeight="1" x14ac:dyDescent="0.25">
      <c r="A3" s="216"/>
      <c r="B3" s="217"/>
      <c r="C3" s="217"/>
      <c r="D3" s="217"/>
      <c r="E3" s="217"/>
      <c r="F3" s="217"/>
      <c r="G3" s="217"/>
      <c r="H3" s="217"/>
      <c r="I3" s="217"/>
      <c r="J3" s="218"/>
      <c r="K3" s="216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8"/>
      <c r="W3" s="219"/>
      <c r="X3" s="220"/>
      <c r="Y3" s="220"/>
      <c r="Z3" s="220"/>
      <c r="AA3" s="220"/>
      <c r="AB3" s="220"/>
      <c r="AC3" s="220"/>
      <c r="AD3" s="220"/>
      <c r="AE3" s="220"/>
      <c r="AF3" s="220"/>
      <c r="AG3" s="220"/>
      <c r="AH3" s="220"/>
      <c r="AI3" s="220"/>
      <c r="AJ3" s="220"/>
      <c r="AK3" s="220"/>
      <c r="AL3" s="220"/>
      <c r="AM3" s="220"/>
      <c r="AN3" s="220"/>
      <c r="AO3" s="221"/>
      <c r="AP3" s="216"/>
      <c r="AQ3" s="217"/>
      <c r="AR3" s="217"/>
      <c r="AS3" s="218"/>
      <c r="AT3" s="222"/>
      <c r="AU3" s="223"/>
      <c r="AV3" s="223"/>
      <c r="AW3" s="223"/>
      <c r="AX3" s="224"/>
      <c r="AY3" s="216"/>
      <c r="AZ3" s="217"/>
      <c r="BA3" s="217"/>
      <c r="BB3" s="218"/>
      <c r="BC3" s="222"/>
      <c r="BD3" s="223"/>
      <c r="BE3" s="223"/>
      <c r="BF3" s="223"/>
      <c r="BG3" s="224"/>
      <c r="BH3" s="216"/>
      <c r="BI3" s="217"/>
      <c r="BJ3" s="217"/>
      <c r="BK3" s="218"/>
    </row>
    <row r="4" spans="1:63" ht="24.95" customHeight="1" x14ac:dyDescent="0.25">
      <c r="A4" s="197" t="s">
        <v>114</v>
      </c>
      <c r="B4" s="198"/>
      <c r="C4" s="198"/>
      <c r="D4" s="198"/>
      <c r="E4" s="198"/>
      <c r="F4" s="198"/>
      <c r="G4" s="199"/>
      <c r="H4" s="228" t="str">
        <f>IF(表紙!H4="","",表紙!H4)</f>
        <v>82_店舗マスタ設定</v>
      </c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30"/>
      <c r="U4" s="197" t="s">
        <v>115</v>
      </c>
      <c r="V4" s="198"/>
      <c r="W4" s="198"/>
      <c r="X4" s="198"/>
      <c r="Y4" s="199"/>
      <c r="Z4" s="228" t="str">
        <f>IF(表紙!Z4="","",表紙!Z4)</f>
        <v>画面設計書</v>
      </c>
      <c r="AA4" s="229"/>
      <c r="AB4" s="229"/>
      <c r="AC4" s="229"/>
      <c r="AD4" s="229"/>
      <c r="AE4" s="229"/>
      <c r="AF4" s="229"/>
      <c r="AG4" s="229"/>
      <c r="AH4" s="229"/>
      <c r="AI4" s="229"/>
      <c r="AJ4" s="229"/>
      <c r="AK4" s="229"/>
      <c r="AL4" s="229"/>
      <c r="AM4" s="229"/>
      <c r="AN4" s="229"/>
      <c r="AO4" s="230"/>
      <c r="AP4" s="228" t="str">
        <f t="array" aca="1" ref="AP4" ca="1">RIGHT(CELL("filename",$A$1),LEN(CELL("filename",$A$1))-FIND("]",CELL("filename",$A$1)))</f>
        <v>改訂履歴</v>
      </c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  <c r="BD4" s="229"/>
      <c r="BE4" s="229"/>
      <c r="BF4" s="229"/>
      <c r="BG4" s="229"/>
      <c r="BH4" s="229"/>
      <c r="BI4" s="229"/>
      <c r="BJ4" s="229"/>
      <c r="BK4" s="230"/>
    </row>
    <row r="5" spans="1:63" ht="5.0999999999999996" customHeight="1" x14ac:dyDescent="0.25">
      <c r="A5" s="231"/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2"/>
      <c r="X5" s="232"/>
      <c r="Y5" s="232"/>
      <c r="Z5" s="232"/>
      <c r="AA5" s="232"/>
      <c r="AB5" s="232"/>
      <c r="AC5" s="232"/>
      <c r="AD5" s="232"/>
      <c r="AE5" s="232"/>
      <c r="AF5" s="232"/>
      <c r="AG5" s="232"/>
      <c r="AH5" s="232"/>
      <c r="AI5" s="232"/>
      <c r="AJ5" s="232"/>
      <c r="AK5" s="232"/>
      <c r="AL5" s="232"/>
      <c r="AM5" s="232"/>
      <c r="AN5" s="232"/>
      <c r="AO5" s="232"/>
      <c r="AP5" s="232"/>
      <c r="AQ5" s="232"/>
      <c r="AR5" s="232"/>
      <c r="AS5" s="232"/>
      <c r="AT5" s="232"/>
      <c r="AU5" s="232"/>
      <c r="AV5" s="232"/>
      <c r="AW5" s="232"/>
      <c r="AX5" s="232"/>
      <c r="AY5" s="232"/>
      <c r="AZ5" s="232"/>
      <c r="BA5" s="232"/>
      <c r="BB5" s="232"/>
      <c r="BC5" s="232"/>
      <c r="BD5" s="232"/>
      <c r="BE5" s="232"/>
      <c r="BF5" s="232"/>
      <c r="BG5" s="232"/>
      <c r="BH5" s="232"/>
      <c r="BI5" s="232"/>
      <c r="BJ5" s="232"/>
      <c r="BK5" s="233"/>
    </row>
    <row r="6" spans="1:63" ht="15" customHeight="1" x14ac:dyDescent="0.25">
      <c r="A6" s="234"/>
      <c r="BK6" s="235"/>
    </row>
    <row r="7" spans="1:63" ht="15" customHeight="1" x14ac:dyDescent="0.25">
      <c r="A7" s="234"/>
      <c r="BK7" s="235"/>
    </row>
    <row r="8" spans="1:63" ht="15" customHeight="1" x14ac:dyDescent="0.25">
      <c r="A8" s="234"/>
      <c r="B8" s="203" t="s">
        <v>0</v>
      </c>
      <c r="BK8" s="235"/>
    </row>
    <row r="9" spans="1:63" ht="15" customHeight="1" x14ac:dyDescent="0.25">
      <c r="A9" s="234"/>
      <c r="BK9" s="235"/>
    </row>
    <row r="10" spans="1:63" ht="15" customHeight="1" x14ac:dyDescent="0.25">
      <c r="A10" s="234"/>
      <c r="B10" s="258" t="s">
        <v>111</v>
      </c>
      <c r="C10" s="258"/>
      <c r="D10" s="258"/>
      <c r="E10" s="258"/>
      <c r="F10" s="258"/>
      <c r="G10" s="258"/>
      <c r="H10" s="258" t="s">
        <v>110</v>
      </c>
      <c r="I10" s="258"/>
      <c r="J10" s="258"/>
      <c r="K10" s="258"/>
      <c r="L10" s="258"/>
      <c r="M10" s="258"/>
      <c r="N10" s="258"/>
      <c r="O10" s="258" t="s">
        <v>112</v>
      </c>
      <c r="P10" s="258"/>
      <c r="Q10" s="258"/>
      <c r="R10" s="258"/>
      <c r="S10" s="258" t="s">
        <v>120</v>
      </c>
      <c r="T10" s="258"/>
      <c r="U10" s="258"/>
      <c r="V10" s="258"/>
      <c r="W10" s="258"/>
      <c r="X10" s="258"/>
      <c r="Y10" s="258"/>
      <c r="Z10" s="258"/>
      <c r="AA10" s="258"/>
      <c r="AB10" s="258"/>
      <c r="AC10" s="258"/>
      <c r="AD10" s="258"/>
      <c r="AE10" s="258"/>
      <c r="AF10" s="258"/>
      <c r="AG10" s="258"/>
      <c r="AH10" s="258"/>
      <c r="AI10" s="258"/>
      <c r="AJ10" s="258"/>
      <c r="AK10" s="258"/>
      <c r="AL10" s="258"/>
      <c r="AM10" s="258"/>
      <c r="AN10" s="258"/>
      <c r="AO10" s="258"/>
      <c r="AP10" s="258"/>
      <c r="AQ10" s="258"/>
      <c r="AR10" s="258"/>
      <c r="AS10" s="258"/>
      <c r="AT10" s="258"/>
      <c r="AU10" s="258"/>
      <c r="AV10" s="258"/>
      <c r="AW10" s="258"/>
      <c r="AX10" s="258" t="s">
        <v>118</v>
      </c>
      <c r="AY10" s="258"/>
      <c r="AZ10" s="258"/>
      <c r="BA10" s="258"/>
      <c r="BB10" s="258"/>
      <c r="BC10" s="258"/>
      <c r="BD10" s="258" t="s">
        <v>119</v>
      </c>
      <c r="BE10" s="258"/>
      <c r="BF10" s="258"/>
      <c r="BG10" s="258"/>
      <c r="BH10" s="258"/>
      <c r="BI10" s="258"/>
      <c r="BJ10" s="258"/>
      <c r="BK10" s="235"/>
    </row>
    <row r="11" spans="1:63" ht="15" customHeight="1" x14ac:dyDescent="0.25">
      <c r="A11" s="234"/>
      <c r="B11" s="210">
        <v>45611</v>
      </c>
      <c r="C11" s="204"/>
      <c r="D11" s="204"/>
      <c r="E11" s="204"/>
      <c r="F11" s="204"/>
      <c r="G11" s="205"/>
      <c r="H11" s="23" t="s">
        <v>121</v>
      </c>
      <c r="I11" s="204"/>
      <c r="J11" s="204"/>
      <c r="K11" s="204"/>
      <c r="L11" s="204"/>
      <c r="M11" s="204"/>
      <c r="N11" s="205"/>
      <c r="O11" s="206">
        <v>0.1</v>
      </c>
      <c r="P11" s="204"/>
      <c r="Q11" s="204"/>
      <c r="R11" s="204"/>
      <c r="S11" s="259" t="s">
        <v>2</v>
      </c>
      <c r="T11" s="260"/>
      <c r="U11" s="260"/>
      <c r="V11" s="260"/>
      <c r="W11" s="260"/>
      <c r="X11" s="260"/>
      <c r="Y11" s="260"/>
      <c r="Z11" s="260"/>
      <c r="AA11" s="260"/>
      <c r="AB11" s="260"/>
      <c r="AC11" s="260"/>
      <c r="AD11" s="260"/>
      <c r="AE11" s="260"/>
      <c r="AF11" s="260"/>
      <c r="AG11" s="260"/>
      <c r="AH11" s="260"/>
      <c r="AI11" s="260"/>
      <c r="AJ11" s="260"/>
      <c r="AK11" s="260"/>
      <c r="AL11" s="260"/>
      <c r="AM11" s="260"/>
      <c r="AN11" s="260"/>
      <c r="AO11" s="260"/>
      <c r="AP11" s="260"/>
      <c r="AQ11" s="260"/>
      <c r="AR11" s="260"/>
      <c r="AS11" s="260"/>
      <c r="AT11" s="260"/>
      <c r="AU11" s="260"/>
      <c r="AV11" s="260"/>
      <c r="AW11" s="261"/>
      <c r="AX11" s="262"/>
      <c r="AY11" s="262"/>
      <c r="AZ11" s="262"/>
      <c r="BA11" s="262"/>
      <c r="BB11" s="262"/>
      <c r="BC11" s="263"/>
      <c r="BD11" s="264"/>
      <c r="BE11" s="262"/>
      <c r="BF11" s="262"/>
      <c r="BG11" s="262"/>
      <c r="BH11" s="262"/>
      <c r="BI11" s="262"/>
      <c r="BJ11" s="263"/>
      <c r="BK11" s="235"/>
    </row>
    <row r="12" spans="1:63" ht="15" customHeight="1" x14ac:dyDescent="0.25">
      <c r="A12" s="234"/>
      <c r="B12" s="216"/>
      <c r="C12" s="217"/>
      <c r="D12" s="217"/>
      <c r="E12" s="217"/>
      <c r="F12" s="217"/>
      <c r="G12" s="218"/>
      <c r="H12" s="216"/>
      <c r="I12" s="217"/>
      <c r="J12" s="217"/>
      <c r="K12" s="217"/>
      <c r="L12" s="217"/>
      <c r="M12" s="217"/>
      <c r="N12" s="218"/>
      <c r="O12" s="216"/>
      <c r="P12" s="217"/>
      <c r="Q12" s="217"/>
      <c r="R12" s="217"/>
      <c r="S12" s="265"/>
      <c r="T12" s="266"/>
      <c r="U12" s="266"/>
      <c r="V12" s="266"/>
      <c r="W12" s="266"/>
      <c r="X12" s="266"/>
      <c r="Y12" s="266"/>
      <c r="Z12" s="266"/>
      <c r="AA12" s="266"/>
      <c r="AB12" s="266"/>
      <c r="AC12" s="266"/>
      <c r="AD12" s="266"/>
      <c r="AE12" s="266"/>
      <c r="AF12" s="266"/>
      <c r="AG12" s="266"/>
      <c r="AH12" s="266"/>
      <c r="AI12" s="266"/>
      <c r="AJ12" s="266"/>
      <c r="AK12" s="266"/>
      <c r="AL12" s="266"/>
      <c r="AM12" s="266"/>
      <c r="AN12" s="266"/>
      <c r="AO12" s="266"/>
      <c r="AP12" s="266"/>
      <c r="AQ12" s="266"/>
      <c r="AR12" s="266"/>
      <c r="AS12" s="266"/>
      <c r="AT12" s="266"/>
      <c r="AU12" s="266"/>
      <c r="AV12" s="266"/>
      <c r="AW12" s="267"/>
      <c r="AX12" s="268"/>
      <c r="AY12" s="268"/>
      <c r="AZ12" s="268"/>
      <c r="BA12" s="268"/>
      <c r="BB12" s="268"/>
      <c r="BC12" s="269"/>
      <c r="BD12" s="270"/>
      <c r="BE12" s="268"/>
      <c r="BF12" s="268"/>
      <c r="BG12" s="268"/>
      <c r="BH12" s="268"/>
      <c r="BI12" s="268"/>
      <c r="BJ12" s="269"/>
      <c r="BK12" s="235"/>
    </row>
    <row r="13" spans="1:63" ht="15" customHeight="1" x14ac:dyDescent="0.25">
      <c r="A13" s="234"/>
      <c r="B13" s="210"/>
      <c r="C13" s="204"/>
      <c r="D13" s="204"/>
      <c r="E13" s="204"/>
      <c r="F13" s="204"/>
      <c r="G13" s="205"/>
      <c r="H13" s="206"/>
      <c r="I13" s="204"/>
      <c r="J13" s="204"/>
      <c r="K13" s="204"/>
      <c r="L13" s="204"/>
      <c r="M13" s="204"/>
      <c r="N13" s="205"/>
      <c r="O13" s="206"/>
      <c r="P13" s="204"/>
      <c r="Q13" s="204"/>
      <c r="R13" s="204"/>
      <c r="S13" s="259"/>
      <c r="T13" s="260"/>
      <c r="U13" s="260"/>
      <c r="V13" s="260"/>
      <c r="W13" s="260"/>
      <c r="X13" s="260"/>
      <c r="Y13" s="260"/>
      <c r="Z13" s="260"/>
      <c r="AA13" s="260"/>
      <c r="AB13" s="260"/>
      <c r="AC13" s="260"/>
      <c r="AD13" s="260"/>
      <c r="AE13" s="260"/>
      <c r="AF13" s="260"/>
      <c r="AG13" s="260"/>
      <c r="AH13" s="260"/>
      <c r="AI13" s="260"/>
      <c r="AJ13" s="260"/>
      <c r="AK13" s="260"/>
      <c r="AL13" s="260"/>
      <c r="AM13" s="260"/>
      <c r="AN13" s="260"/>
      <c r="AO13" s="260"/>
      <c r="AP13" s="260"/>
      <c r="AQ13" s="260"/>
      <c r="AR13" s="260"/>
      <c r="AS13" s="260"/>
      <c r="AT13" s="260"/>
      <c r="AU13" s="260"/>
      <c r="AV13" s="260"/>
      <c r="AW13" s="261"/>
      <c r="AX13" s="262"/>
      <c r="AY13" s="262"/>
      <c r="AZ13" s="262"/>
      <c r="BA13" s="262"/>
      <c r="BB13" s="262"/>
      <c r="BC13" s="263"/>
      <c r="BD13" s="264"/>
      <c r="BE13" s="262"/>
      <c r="BF13" s="262"/>
      <c r="BG13" s="262"/>
      <c r="BH13" s="262"/>
      <c r="BI13" s="262"/>
      <c r="BJ13" s="263"/>
      <c r="BK13" s="235"/>
    </row>
    <row r="14" spans="1:63" ht="15" customHeight="1" x14ac:dyDescent="0.25">
      <c r="A14" s="234"/>
      <c r="B14" s="216"/>
      <c r="C14" s="217"/>
      <c r="D14" s="217"/>
      <c r="E14" s="217"/>
      <c r="F14" s="217"/>
      <c r="G14" s="218"/>
      <c r="H14" s="216"/>
      <c r="I14" s="217"/>
      <c r="J14" s="217"/>
      <c r="K14" s="217"/>
      <c r="L14" s="217"/>
      <c r="M14" s="217"/>
      <c r="N14" s="218"/>
      <c r="O14" s="216"/>
      <c r="P14" s="217"/>
      <c r="Q14" s="217"/>
      <c r="R14" s="217"/>
      <c r="S14" s="265"/>
      <c r="T14" s="266"/>
      <c r="U14" s="266"/>
      <c r="V14" s="266"/>
      <c r="W14" s="266"/>
      <c r="X14" s="266"/>
      <c r="Y14" s="266"/>
      <c r="Z14" s="266"/>
      <c r="AA14" s="266"/>
      <c r="AB14" s="266"/>
      <c r="AC14" s="266"/>
      <c r="AD14" s="266"/>
      <c r="AE14" s="266"/>
      <c r="AF14" s="266"/>
      <c r="AG14" s="266"/>
      <c r="AH14" s="266"/>
      <c r="AI14" s="266"/>
      <c r="AJ14" s="266"/>
      <c r="AK14" s="266"/>
      <c r="AL14" s="266"/>
      <c r="AM14" s="266"/>
      <c r="AN14" s="266"/>
      <c r="AO14" s="266"/>
      <c r="AP14" s="266"/>
      <c r="AQ14" s="266"/>
      <c r="AR14" s="266"/>
      <c r="AS14" s="266"/>
      <c r="AT14" s="266"/>
      <c r="AU14" s="266"/>
      <c r="AV14" s="266"/>
      <c r="AW14" s="267"/>
      <c r="AX14" s="268"/>
      <c r="AY14" s="268"/>
      <c r="AZ14" s="268"/>
      <c r="BA14" s="268"/>
      <c r="BB14" s="268"/>
      <c r="BC14" s="269"/>
      <c r="BD14" s="270"/>
      <c r="BE14" s="268"/>
      <c r="BF14" s="268"/>
      <c r="BG14" s="268"/>
      <c r="BH14" s="268"/>
      <c r="BI14" s="268"/>
      <c r="BJ14" s="269"/>
      <c r="BK14" s="235"/>
    </row>
    <row r="15" spans="1:63" ht="15" customHeight="1" x14ac:dyDescent="0.25">
      <c r="A15" s="234"/>
      <c r="B15" s="206"/>
      <c r="C15" s="204"/>
      <c r="D15" s="204"/>
      <c r="E15" s="204"/>
      <c r="F15" s="204"/>
      <c r="G15" s="205"/>
      <c r="H15" s="206"/>
      <c r="I15" s="204"/>
      <c r="J15" s="204"/>
      <c r="K15" s="204"/>
      <c r="L15" s="204"/>
      <c r="M15" s="204"/>
      <c r="N15" s="205"/>
      <c r="O15" s="206"/>
      <c r="P15" s="204"/>
      <c r="Q15" s="204"/>
      <c r="R15" s="204"/>
      <c r="S15" s="259"/>
      <c r="T15" s="260"/>
      <c r="U15" s="260"/>
      <c r="V15" s="260"/>
      <c r="W15" s="260"/>
      <c r="X15" s="260"/>
      <c r="Y15" s="260"/>
      <c r="Z15" s="260"/>
      <c r="AA15" s="260"/>
      <c r="AB15" s="260"/>
      <c r="AC15" s="260"/>
      <c r="AD15" s="260"/>
      <c r="AE15" s="260"/>
      <c r="AF15" s="260"/>
      <c r="AG15" s="260"/>
      <c r="AH15" s="260"/>
      <c r="AI15" s="260"/>
      <c r="AJ15" s="260"/>
      <c r="AK15" s="260"/>
      <c r="AL15" s="260"/>
      <c r="AM15" s="260"/>
      <c r="AN15" s="260"/>
      <c r="AO15" s="260"/>
      <c r="AP15" s="260"/>
      <c r="AQ15" s="260"/>
      <c r="AR15" s="260"/>
      <c r="AS15" s="260"/>
      <c r="AT15" s="260"/>
      <c r="AU15" s="260"/>
      <c r="AV15" s="260"/>
      <c r="AW15" s="261"/>
      <c r="AX15" s="262"/>
      <c r="AY15" s="262"/>
      <c r="AZ15" s="262"/>
      <c r="BA15" s="262"/>
      <c r="BB15" s="262"/>
      <c r="BC15" s="263"/>
      <c r="BD15" s="264"/>
      <c r="BE15" s="262"/>
      <c r="BF15" s="262"/>
      <c r="BG15" s="262"/>
      <c r="BH15" s="262"/>
      <c r="BI15" s="262"/>
      <c r="BJ15" s="263"/>
      <c r="BK15" s="235"/>
    </row>
    <row r="16" spans="1:63" ht="15" customHeight="1" x14ac:dyDescent="0.25">
      <c r="A16" s="234"/>
      <c r="B16" s="216"/>
      <c r="C16" s="217"/>
      <c r="D16" s="217"/>
      <c r="E16" s="217"/>
      <c r="F16" s="217"/>
      <c r="G16" s="218"/>
      <c r="H16" s="216"/>
      <c r="I16" s="217"/>
      <c r="J16" s="217"/>
      <c r="K16" s="217"/>
      <c r="L16" s="217"/>
      <c r="M16" s="217"/>
      <c r="N16" s="218"/>
      <c r="O16" s="216"/>
      <c r="P16" s="217"/>
      <c r="Q16" s="217"/>
      <c r="R16" s="217"/>
      <c r="S16" s="265"/>
      <c r="T16" s="266"/>
      <c r="U16" s="266"/>
      <c r="V16" s="266"/>
      <c r="W16" s="266"/>
      <c r="X16" s="266"/>
      <c r="Y16" s="266"/>
      <c r="Z16" s="266"/>
      <c r="AA16" s="266"/>
      <c r="AB16" s="266"/>
      <c r="AC16" s="266"/>
      <c r="AD16" s="266"/>
      <c r="AE16" s="266"/>
      <c r="AF16" s="266"/>
      <c r="AG16" s="266"/>
      <c r="AH16" s="266"/>
      <c r="AI16" s="266"/>
      <c r="AJ16" s="266"/>
      <c r="AK16" s="266"/>
      <c r="AL16" s="266"/>
      <c r="AM16" s="266"/>
      <c r="AN16" s="266"/>
      <c r="AO16" s="266"/>
      <c r="AP16" s="266"/>
      <c r="AQ16" s="266"/>
      <c r="AR16" s="266"/>
      <c r="AS16" s="266"/>
      <c r="AT16" s="266"/>
      <c r="AU16" s="266"/>
      <c r="AV16" s="266"/>
      <c r="AW16" s="267"/>
      <c r="AX16" s="268"/>
      <c r="AY16" s="268"/>
      <c r="AZ16" s="268"/>
      <c r="BA16" s="268"/>
      <c r="BB16" s="268"/>
      <c r="BC16" s="269"/>
      <c r="BD16" s="270"/>
      <c r="BE16" s="268"/>
      <c r="BF16" s="268"/>
      <c r="BG16" s="268"/>
      <c r="BH16" s="268"/>
      <c r="BI16" s="268"/>
      <c r="BJ16" s="269"/>
      <c r="BK16" s="235"/>
    </row>
    <row r="17" spans="1:63" ht="15" customHeight="1" x14ac:dyDescent="0.25">
      <c r="A17" s="234"/>
      <c r="B17" s="206"/>
      <c r="C17" s="204"/>
      <c r="D17" s="204"/>
      <c r="E17" s="204"/>
      <c r="F17" s="204"/>
      <c r="G17" s="205"/>
      <c r="H17" s="206"/>
      <c r="I17" s="204"/>
      <c r="J17" s="204"/>
      <c r="K17" s="204"/>
      <c r="L17" s="204"/>
      <c r="M17" s="204"/>
      <c r="N17" s="205"/>
      <c r="O17" s="206"/>
      <c r="P17" s="204"/>
      <c r="Q17" s="204"/>
      <c r="R17" s="204"/>
      <c r="S17" s="259"/>
      <c r="T17" s="260"/>
      <c r="U17" s="260"/>
      <c r="V17" s="260"/>
      <c r="W17" s="260"/>
      <c r="X17" s="260"/>
      <c r="Y17" s="260"/>
      <c r="Z17" s="260"/>
      <c r="AA17" s="260"/>
      <c r="AB17" s="260"/>
      <c r="AC17" s="260"/>
      <c r="AD17" s="260"/>
      <c r="AE17" s="260"/>
      <c r="AF17" s="260"/>
      <c r="AG17" s="260"/>
      <c r="AH17" s="260"/>
      <c r="AI17" s="260"/>
      <c r="AJ17" s="260"/>
      <c r="AK17" s="260"/>
      <c r="AL17" s="260"/>
      <c r="AM17" s="260"/>
      <c r="AN17" s="260"/>
      <c r="AO17" s="260"/>
      <c r="AP17" s="260"/>
      <c r="AQ17" s="260"/>
      <c r="AR17" s="260"/>
      <c r="AS17" s="260"/>
      <c r="AT17" s="260"/>
      <c r="AU17" s="260"/>
      <c r="AV17" s="260"/>
      <c r="AW17" s="261"/>
      <c r="AX17" s="262"/>
      <c r="AY17" s="262"/>
      <c r="AZ17" s="262"/>
      <c r="BA17" s="262"/>
      <c r="BB17" s="262"/>
      <c r="BC17" s="263"/>
      <c r="BD17" s="264"/>
      <c r="BE17" s="262"/>
      <c r="BF17" s="262"/>
      <c r="BG17" s="262"/>
      <c r="BH17" s="262"/>
      <c r="BI17" s="262"/>
      <c r="BJ17" s="263"/>
      <c r="BK17" s="235"/>
    </row>
    <row r="18" spans="1:63" ht="15" customHeight="1" x14ac:dyDescent="0.25">
      <c r="A18" s="234"/>
      <c r="B18" s="216"/>
      <c r="C18" s="217"/>
      <c r="D18" s="217"/>
      <c r="E18" s="217"/>
      <c r="F18" s="217"/>
      <c r="G18" s="218"/>
      <c r="H18" s="216"/>
      <c r="I18" s="217"/>
      <c r="J18" s="217"/>
      <c r="K18" s="217"/>
      <c r="L18" s="217"/>
      <c r="M18" s="217"/>
      <c r="N18" s="218"/>
      <c r="O18" s="216"/>
      <c r="P18" s="217"/>
      <c r="Q18" s="217"/>
      <c r="R18" s="217"/>
      <c r="S18" s="265"/>
      <c r="T18" s="266"/>
      <c r="U18" s="266"/>
      <c r="V18" s="266"/>
      <c r="W18" s="266"/>
      <c r="X18" s="266"/>
      <c r="Y18" s="266"/>
      <c r="Z18" s="266"/>
      <c r="AA18" s="266"/>
      <c r="AB18" s="266"/>
      <c r="AC18" s="266"/>
      <c r="AD18" s="266"/>
      <c r="AE18" s="266"/>
      <c r="AF18" s="266"/>
      <c r="AG18" s="266"/>
      <c r="AH18" s="266"/>
      <c r="AI18" s="266"/>
      <c r="AJ18" s="266"/>
      <c r="AK18" s="266"/>
      <c r="AL18" s="266"/>
      <c r="AM18" s="266"/>
      <c r="AN18" s="266"/>
      <c r="AO18" s="266"/>
      <c r="AP18" s="266"/>
      <c r="AQ18" s="266"/>
      <c r="AR18" s="266"/>
      <c r="AS18" s="266"/>
      <c r="AT18" s="266"/>
      <c r="AU18" s="266"/>
      <c r="AV18" s="266"/>
      <c r="AW18" s="267"/>
      <c r="AX18" s="268"/>
      <c r="AY18" s="268"/>
      <c r="AZ18" s="268"/>
      <c r="BA18" s="268"/>
      <c r="BB18" s="268"/>
      <c r="BC18" s="269"/>
      <c r="BD18" s="270"/>
      <c r="BE18" s="268"/>
      <c r="BF18" s="268"/>
      <c r="BG18" s="268"/>
      <c r="BH18" s="268"/>
      <c r="BI18" s="268"/>
      <c r="BJ18" s="269"/>
      <c r="BK18" s="235"/>
    </row>
    <row r="19" spans="1:63" ht="15" customHeight="1" x14ac:dyDescent="0.25">
      <c r="A19" s="234"/>
      <c r="B19" s="206"/>
      <c r="C19" s="204"/>
      <c r="D19" s="204"/>
      <c r="E19" s="204"/>
      <c r="F19" s="204"/>
      <c r="G19" s="205"/>
      <c r="H19" s="206"/>
      <c r="I19" s="204"/>
      <c r="J19" s="204"/>
      <c r="K19" s="204"/>
      <c r="L19" s="204"/>
      <c r="M19" s="204"/>
      <c r="N19" s="205"/>
      <c r="O19" s="206"/>
      <c r="P19" s="204"/>
      <c r="Q19" s="204"/>
      <c r="R19" s="204"/>
      <c r="S19" s="259"/>
      <c r="T19" s="260"/>
      <c r="U19" s="260"/>
      <c r="V19" s="260"/>
      <c r="W19" s="260"/>
      <c r="X19" s="260"/>
      <c r="Y19" s="260"/>
      <c r="Z19" s="260"/>
      <c r="AA19" s="260"/>
      <c r="AB19" s="260"/>
      <c r="AC19" s="260"/>
      <c r="AD19" s="260"/>
      <c r="AE19" s="260"/>
      <c r="AF19" s="260"/>
      <c r="AG19" s="260"/>
      <c r="AH19" s="260"/>
      <c r="AI19" s="260"/>
      <c r="AJ19" s="260"/>
      <c r="AK19" s="260"/>
      <c r="AL19" s="260"/>
      <c r="AM19" s="260"/>
      <c r="AN19" s="260"/>
      <c r="AO19" s="260"/>
      <c r="AP19" s="260"/>
      <c r="AQ19" s="260"/>
      <c r="AR19" s="260"/>
      <c r="AS19" s="260"/>
      <c r="AT19" s="260"/>
      <c r="AU19" s="260"/>
      <c r="AV19" s="260"/>
      <c r="AW19" s="261"/>
      <c r="AX19" s="262"/>
      <c r="AY19" s="262"/>
      <c r="AZ19" s="262"/>
      <c r="BA19" s="262"/>
      <c r="BB19" s="262"/>
      <c r="BC19" s="263"/>
      <c r="BD19" s="264"/>
      <c r="BE19" s="262"/>
      <c r="BF19" s="262"/>
      <c r="BG19" s="262"/>
      <c r="BH19" s="262"/>
      <c r="BI19" s="262"/>
      <c r="BJ19" s="263"/>
      <c r="BK19" s="235"/>
    </row>
    <row r="20" spans="1:63" ht="15" customHeight="1" x14ac:dyDescent="0.25">
      <c r="A20" s="234"/>
      <c r="B20" s="216"/>
      <c r="C20" s="217"/>
      <c r="D20" s="217"/>
      <c r="E20" s="217"/>
      <c r="F20" s="217"/>
      <c r="G20" s="218"/>
      <c r="H20" s="216"/>
      <c r="I20" s="217"/>
      <c r="J20" s="217"/>
      <c r="K20" s="217"/>
      <c r="L20" s="217"/>
      <c r="M20" s="217"/>
      <c r="N20" s="218"/>
      <c r="O20" s="216"/>
      <c r="P20" s="217"/>
      <c r="Q20" s="217"/>
      <c r="R20" s="217"/>
      <c r="S20" s="265"/>
      <c r="T20" s="266"/>
      <c r="U20" s="266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6"/>
      <c r="AO20" s="266"/>
      <c r="AP20" s="266"/>
      <c r="AQ20" s="266"/>
      <c r="AR20" s="266"/>
      <c r="AS20" s="266"/>
      <c r="AT20" s="266"/>
      <c r="AU20" s="266"/>
      <c r="AV20" s="266"/>
      <c r="AW20" s="267"/>
      <c r="AX20" s="268"/>
      <c r="AY20" s="268"/>
      <c r="AZ20" s="268"/>
      <c r="BA20" s="268"/>
      <c r="BB20" s="268"/>
      <c r="BC20" s="269"/>
      <c r="BD20" s="270"/>
      <c r="BE20" s="268"/>
      <c r="BF20" s="268"/>
      <c r="BG20" s="268"/>
      <c r="BH20" s="268"/>
      <c r="BI20" s="268"/>
      <c r="BJ20" s="269"/>
      <c r="BK20" s="235"/>
    </row>
    <row r="21" spans="1:63" ht="15" customHeight="1" x14ac:dyDescent="0.25">
      <c r="A21" s="234"/>
      <c r="B21" s="206"/>
      <c r="C21" s="204"/>
      <c r="D21" s="204"/>
      <c r="E21" s="204"/>
      <c r="F21" s="204"/>
      <c r="G21" s="205"/>
      <c r="H21" s="206"/>
      <c r="I21" s="204"/>
      <c r="J21" s="204"/>
      <c r="K21" s="204"/>
      <c r="L21" s="204"/>
      <c r="M21" s="204"/>
      <c r="N21" s="205"/>
      <c r="O21" s="206"/>
      <c r="P21" s="204"/>
      <c r="Q21" s="204"/>
      <c r="R21" s="204"/>
      <c r="S21" s="259"/>
      <c r="T21" s="260"/>
      <c r="U21" s="260"/>
      <c r="V21" s="260"/>
      <c r="W21" s="260"/>
      <c r="X21" s="260"/>
      <c r="Y21" s="260"/>
      <c r="Z21" s="260"/>
      <c r="AA21" s="260"/>
      <c r="AB21" s="260"/>
      <c r="AC21" s="260"/>
      <c r="AD21" s="260"/>
      <c r="AE21" s="260"/>
      <c r="AF21" s="260"/>
      <c r="AG21" s="260"/>
      <c r="AH21" s="260"/>
      <c r="AI21" s="260"/>
      <c r="AJ21" s="260"/>
      <c r="AK21" s="260"/>
      <c r="AL21" s="260"/>
      <c r="AM21" s="260"/>
      <c r="AN21" s="260"/>
      <c r="AO21" s="260"/>
      <c r="AP21" s="260"/>
      <c r="AQ21" s="260"/>
      <c r="AR21" s="260"/>
      <c r="AS21" s="260"/>
      <c r="AT21" s="260"/>
      <c r="AU21" s="260"/>
      <c r="AV21" s="260"/>
      <c r="AW21" s="261"/>
      <c r="AX21" s="262"/>
      <c r="AY21" s="262"/>
      <c r="AZ21" s="262"/>
      <c r="BA21" s="262"/>
      <c r="BB21" s="262"/>
      <c r="BC21" s="263"/>
      <c r="BD21" s="264"/>
      <c r="BE21" s="262"/>
      <c r="BF21" s="262"/>
      <c r="BG21" s="262"/>
      <c r="BH21" s="262"/>
      <c r="BI21" s="262"/>
      <c r="BJ21" s="263"/>
      <c r="BK21" s="235"/>
    </row>
    <row r="22" spans="1:63" ht="15" customHeight="1" x14ac:dyDescent="0.25">
      <c r="A22" s="234"/>
      <c r="B22" s="216"/>
      <c r="C22" s="217"/>
      <c r="D22" s="217"/>
      <c r="E22" s="217"/>
      <c r="F22" s="217"/>
      <c r="G22" s="218"/>
      <c r="H22" s="216"/>
      <c r="I22" s="217"/>
      <c r="J22" s="217"/>
      <c r="K22" s="217"/>
      <c r="L22" s="217"/>
      <c r="M22" s="217"/>
      <c r="N22" s="218"/>
      <c r="O22" s="216"/>
      <c r="P22" s="217"/>
      <c r="Q22" s="217"/>
      <c r="R22" s="217"/>
      <c r="S22" s="265"/>
      <c r="T22" s="266"/>
      <c r="U22" s="266"/>
      <c r="V22" s="266"/>
      <c r="W22" s="266"/>
      <c r="X22" s="266"/>
      <c r="Y22" s="266"/>
      <c r="Z22" s="266"/>
      <c r="AA22" s="266"/>
      <c r="AB22" s="266"/>
      <c r="AC22" s="266"/>
      <c r="AD22" s="266"/>
      <c r="AE22" s="266"/>
      <c r="AF22" s="266"/>
      <c r="AG22" s="266"/>
      <c r="AH22" s="266"/>
      <c r="AI22" s="266"/>
      <c r="AJ22" s="266"/>
      <c r="AK22" s="266"/>
      <c r="AL22" s="266"/>
      <c r="AM22" s="266"/>
      <c r="AN22" s="266"/>
      <c r="AO22" s="266"/>
      <c r="AP22" s="266"/>
      <c r="AQ22" s="266"/>
      <c r="AR22" s="266"/>
      <c r="AS22" s="266"/>
      <c r="AT22" s="266"/>
      <c r="AU22" s="266"/>
      <c r="AV22" s="266"/>
      <c r="AW22" s="267"/>
      <c r="AX22" s="268"/>
      <c r="AY22" s="268"/>
      <c r="AZ22" s="268"/>
      <c r="BA22" s="268"/>
      <c r="BB22" s="268"/>
      <c r="BC22" s="269"/>
      <c r="BD22" s="270"/>
      <c r="BE22" s="268"/>
      <c r="BF22" s="268"/>
      <c r="BG22" s="268"/>
      <c r="BH22" s="268"/>
      <c r="BI22" s="268"/>
      <c r="BJ22" s="269"/>
      <c r="BK22" s="235"/>
    </row>
    <row r="23" spans="1:63" ht="15" customHeight="1" x14ac:dyDescent="0.25">
      <c r="A23" s="234"/>
      <c r="B23" s="206"/>
      <c r="C23" s="204"/>
      <c r="D23" s="204"/>
      <c r="E23" s="204"/>
      <c r="F23" s="204"/>
      <c r="G23" s="205"/>
      <c r="H23" s="206"/>
      <c r="I23" s="204"/>
      <c r="J23" s="204"/>
      <c r="K23" s="204"/>
      <c r="L23" s="204"/>
      <c r="M23" s="204"/>
      <c r="N23" s="205"/>
      <c r="O23" s="206"/>
      <c r="P23" s="204"/>
      <c r="Q23" s="204"/>
      <c r="R23" s="204"/>
      <c r="S23" s="259"/>
      <c r="T23" s="260"/>
      <c r="U23" s="260"/>
      <c r="V23" s="260"/>
      <c r="W23" s="260"/>
      <c r="X23" s="260"/>
      <c r="Y23" s="260"/>
      <c r="Z23" s="260"/>
      <c r="AA23" s="260"/>
      <c r="AB23" s="260"/>
      <c r="AC23" s="260"/>
      <c r="AD23" s="260"/>
      <c r="AE23" s="260"/>
      <c r="AF23" s="260"/>
      <c r="AG23" s="260"/>
      <c r="AH23" s="260"/>
      <c r="AI23" s="260"/>
      <c r="AJ23" s="260"/>
      <c r="AK23" s="260"/>
      <c r="AL23" s="260"/>
      <c r="AM23" s="260"/>
      <c r="AN23" s="260"/>
      <c r="AO23" s="260"/>
      <c r="AP23" s="260"/>
      <c r="AQ23" s="260"/>
      <c r="AR23" s="260"/>
      <c r="AS23" s="260"/>
      <c r="AT23" s="260"/>
      <c r="AU23" s="260"/>
      <c r="AV23" s="260"/>
      <c r="AW23" s="261"/>
      <c r="AX23" s="262"/>
      <c r="AY23" s="262"/>
      <c r="AZ23" s="262"/>
      <c r="BA23" s="262"/>
      <c r="BB23" s="262"/>
      <c r="BC23" s="263"/>
      <c r="BD23" s="264"/>
      <c r="BE23" s="262"/>
      <c r="BF23" s="262"/>
      <c r="BG23" s="262"/>
      <c r="BH23" s="262"/>
      <c r="BI23" s="262"/>
      <c r="BJ23" s="263"/>
      <c r="BK23" s="235"/>
    </row>
    <row r="24" spans="1:63" ht="15" customHeight="1" x14ac:dyDescent="0.25">
      <c r="A24" s="234"/>
      <c r="B24" s="216"/>
      <c r="C24" s="217"/>
      <c r="D24" s="217"/>
      <c r="E24" s="217"/>
      <c r="F24" s="217"/>
      <c r="G24" s="218"/>
      <c r="H24" s="216"/>
      <c r="I24" s="217"/>
      <c r="J24" s="217"/>
      <c r="K24" s="217"/>
      <c r="L24" s="217"/>
      <c r="M24" s="217"/>
      <c r="N24" s="218"/>
      <c r="O24" s="216"/>
      <c r="P24" s="217"/>
      <c r="Q24" s="217"/>
      <c r="R24" s="217"/>
      <c r="S24" s="265"/>
      <c r="T24" s="266"/>
      <c r="U24" s="266"/>
      <c r="V24" s="266"/>
      <c r="W24" s="266"/>
      <c r="X24" s="266"/>
      <c r="Y24" s="266"/>
      <c r="Z24" s="266"/>
      <c r="AA24" s="266"/>
      <c r="AB24" s="266"/>
      <c r="AC24" s="266"/>
      <c r="AD24" s="266"/>
      <c r="AE24" s="266"/>
      <c r="AF24" s="266"/>
      <c r="AG24" s="266"/>
      <c r="AH24" s="266"/>
      <c r="AI24" s="266"/>
      <c r="AJ24" s="266"/>
      <c r="AK24" s="266"/>
      <c r="AL24" s="266"/>
      <c r="AM24" s="266"/>
      <c r="AN24" s="266"/>
      <c r="AO24" s="266"/>
      <c r="AP24" s="266"/>
      <c r="AQ24" s="266"/>
      <c r="AR24" s="266"/>
      <c r="AS24" s="266"/>
      <c r="AT24" s="266"/>
      <c r="AU24" s="266"/>
      <c r="AV24" s="266"/>
      <c r="AW24" s="267"/>
      <c r="AX24" s="268"/>
      <c r="AY24" s="268"/>
      <c r="AZ24" s="268"/>
      <c r="BA24" s="268"/>
      <c r="BB24" s="268"/>
      <c r="BC24" s="269"/>
      <c r="BD24" s="270"/>
      <c r="BE24" s="268"/>
      <c r="BF24" s="268"/>
      <c r="BG24" s="268"/>
      <c r="BH24" s="268"/>
      <c r="BI24" s="268"/>
      <c r="BJ24" s="269"/>
      <c r="BK24" s="235"/>
    </row>
    <row r="25" spans="1:63" ht="15" customHeight="1" x14ac:dyDescent="0.25">
      <c r="A25" s="234"/>
      <c r="B25" s="206"/>
      <c r="C25" s="204"/>
      <c r="D25" s="204"/>
      <c r="E25" s="204"/>
      <c r="F25" s="204"/>
      <c r="G25" s="205"/>
      <c r="H25" s="206"/>
      <c r="I25" s="204"/>
      <c r="J25" s="204"/>
      <c r="K25" s="204"/>
      <c r="L25" s="204"/>
      <c r="M25" s="204"/>
      <c r="N25" s="205"/>
      <c r="O25" s="206"/>
      <c r="P25" s="204"/>
      <c r="Q25" s="204"/>
      <c r="R25" s="204"/>
      <c r="S25" s="259"/>
      <c r="T25" s="260"/>
      <c r="U25" s="260"/>
      <c r="V25" s="260"/>
      <c r="W25" s="260"/>
      <c r="X25" s="260"/>
      <c r="Y25" s="260"/>
      <c r="Z25" s="260"/>
      <c r="AA25" s="260"/>
      <c r="AB25" s="260"/>
      <c r="AC25" s="260"/>
      <c r="AD25" s="260"/>
      <c r="AE25" s="260"/>
      <c r="AF25" s="260"/>
      <c r="AG25" s="260"/>
      <c r="AH25" s="260"/>
      <c r="AI25" s="260"/>
      <c r="AJ25" s="260"/>
      <c r="AK25" s="260"/>
      <c r="AL25" s="260"/>
      <c r="AM25" s="260"/>
      <c r="AN25" s="260"/>
      <c r="AO25" s="260"/>
      <c r="AP25" s="260"/>
      <c r="AQ25" s="260"/>
      <c r="AR25" s="260"/>
      <c r="AS25" s="260"/>
      <c r="AT25" s="260"/>
      <c r="AU25" s="260"/>
      <c r="AV25" s="260"/>
      <c r="AW25" s="261"/>
      <c r="AX25" s="262"/>
      <c r="AY25" s="262"/>
      <c r="AZ25" s="262"/>
      <c r="BA25" s="262"/>
      <c r="BB25" s="262"/>
      <c r="BC25" s="263"/>
      <c r="BD25" s="264"/>
      <c r="BE25" s="262"/>
      <c r="BF25" s="262"/>
      <c r="BG25" s="262"/>
      <c r="BH25" s="262"/>
      <c r="BI25" s="262"/>
      <c r="BJ25" s="263"/>
      <c r="BK25" s="235"/>
    </row>
    <row r="26" spans="1:63" ht="15" customHeight="1" x14ac:dyDescent="0.25">
      <c r="A26" s="234"/>
      <c r="B26" s="216"/>
      <c r="C26" s="217"/>
      <c r="D26" s="217"/>
      <c r="E26" s="217"/>
      <c r="F26" s="217"/>
      <c r="G26" s="218"/>
      <c r="H26" s="216"/>
      <c r="I26" s="217"/>
      <c r="J26" s="217"/>
      <c r="K26" s="217"/>
      <c r="L26" s="217"/>
      <c r="M26" s="217"/>
      <c r="N26" s="218"/>
      <c r="O26" s="216"/>
      <c r="P26" s="217"/>
      <c r="Q26" s="217"/>
      <c r="R26" s="217"/>
      <c r="S26" s="265"/>
      <c r="T26" s="266"/>
      <c r="U26" s="266"/>
      <c r="V26" s="266"/>
      <c r="W26" s="266"/>
      <c r="X26" s="266"/>
      <c r="Y26" s="266"/>
      <c r="Z26" s="266"/>
      <c r="AA26" s="266"/>
      <c r="AB26" s="266"/>
      <c r="AC26" s="266"/>
      <c r="AD26" s="266"/>
      <c r="AE26" s="266"/>
      <c r="AF26" s="266"/>
      <c r="AG26" s="266"/>
      <c r="AH26" s="266"/>
      <c r="AI26" s="266"/>
      <c r="AJ26" s="266"/>
      <c r="AK26" s="266"/>
      <c r="AL26" s="266"/>
      <c r="AM26" s="266"/>
      <c r="AN26" s="266"/>
      <c r="AO26" s="266"/>
      <c r="AP26" s="266"/>
      <c r="AQ26" s="266"/>
      <c r="AR26" s="266"/>
      <c r="AS26" s="266"/>
      <c r="AT26" s="266"/>
      <c r="AU26" s="266"/>
      <c r="AV26" s="266"/>
      <c r="AW26" s="267"/>
      <c r="AX26" s="268"/>
      <c r="AY26" s="268"/>
      <c r="AZ26" s="268"/>
      <c r="BA26" s="268"/>
      <c r="BB26" s="268"/>
      <c r="BC26" s="269"/>
      <c r="BD26" s="270"/>
      <c r="BE26" s="268"/>
      <c r="BF26" s="268"/>
      <c r="BG26" s="268"/>
      <c r="BH26" s="268"/>
      <c r="BI26" s="268"/>
      <c r="BJ26" s="269"/>
      <c r="BK26" s="235"/>
    </row>
    <row r="27" spans="1:63" ht="15" customHeight="1" x14ac:dyDescent="0.25">
      <c r="A27" s="234"/>
      <c r="B27" s="206"/>
      <c r="C27" s="204"/>
      <c r="D27" s="204"/>
      <c r="E27" s="204"/>
      <c r="F27" s="204"/>
      <c r="G27" s="205"/>
      <c r="H27" s="206"/>
      <c r="I27" s="204"/>
      <c r="J27" s="204"/>
      <c r="K27" s="204"/>
      <c r="L27" s="204"/>
      <c r="M27" s="204"/>
      <c r="N27" s="205"/>
      <c r="O27" s="206"/>
      <c r="P27" s="204"/>
      <c r="Q27" s="204"/>
      <c r="R27" s="204"/>
      <c r="S27" s="259"/>
      <c r="T27" s="260"/>
      <c r="U27" s="260"/>
      <c r="V27" s="260"/>
      <c r="W27" s="260"/>
      <c r="X27" s="260"/>
      <c r="Y27" s="260"/>
      <c r="Z27" s="260"/>
      <c r="AA27" s="260"/>
      <c r="AB27" s="260"/>
      <c r="AC27" s="260"/>
      <c r="AD27" s="260"/>
      <c r="AE27" s="260"/>
      <c r="AF27" s="260"/>
      <c r="AG27" s="260"/>
      <c r="AH27" s="260"/>
      <c r="AI27" s="260"/>
      <c r="AJ27" s="260"/>
      <c r="AK27" s="260"/>
      <c r="AL27" s="260"/>
      <c r="AM27" s="260"/>
      <c r="AN27" s="260"/>
      <c r="AO27" s="260"/>
      <c r="AP27" s="260"/>
      <c r="AQ27" s="260"/>
      <c r="AR27" s="260"/>
      <c r="AS27" s="260"/>
      <c r="AT27" s="260"/>
      <c r="AU27" s="260"/>
      <c r="AV27" s="260"/>
      <c r="AW27" s="261"/>
      <c r="AX27" s="262"/>
      <c r="AY27" s="262"/>
      <c r="AZ27" s="262"/>
      <c r="BA27" s="262"/>
      <c r="BB27" s="262"/>
      <c r="BC27" s="263"/>
      <c r="BD27" s="264"/>
      <c r="BE27" s="262"/>
      <c r="BF27" s="262"/>
      <c r="BG27" s="262"/>
      <c r="BH27" s="262"/>
      <c r="BI27" s="262"/>
      <c r="BJ27" s="263"/>
      <c r="BK27" s="235"/>
    </row>
    <row r="28" spans="1:63" ht="15" customHeight="1" x14ac:dyDescent="0.25">
      <c r="A28" s="234"/>
      <c r="B28" s="216"/>
      <c r="C28" s="217"/>
      <c r="D28" s="217"/>
      <c r="E28" s="217"/>
      <c r="F28" s="217"/>
      <c r="G28" s="218"/>
      <c r="H28" s="216"/>
      <c r="I28" s="217"/>
      <c r="J28" s="217"/>
      <c r="K28" s="217"/>
      <c r="L28" s="217"/>
      <c r="M28" s="217"/>
      <c r="N28" s="218"/>
      <c r="O28" s="216"/>
      <c r="P28" s="217"/>
      <c r="Q28" s="217"/>
      <c r="R28" s="217"/>
      <c r="S28" s="265"/>
      <c r="T28" s="266"/>
      <c r="U28" s="266"/>
      <c r="V28" s="266"/>
      <c r="W28" s="266"/>
      <c r="X28" s="266"/>
      <c r="Y28" s="266"/>
      <c r="Z28" s="266"/>
      <c r="AA28" s="266"/>
      <c r="AB28" s="266"/>
      <c r="AC28" s="266"/>
      <c r="AD28" s="266"/>
      <c r="AE28" s="266"/>
      <c r="AF28" s="266"/>
      <c r="AG28" s="266"/>
      <c r="AH28" s="266"/>
      <c r="AI28" s="266"/>
      <c r="AJ28" s="266"/>
      <c r="AK28" s="266"/>
      <c r="AL28" s="266"/>
      <c r="AM28" s="266"/>
      <c r="AN28" s="266"/>
      <c r="AO28" s="266"/>
      <c r="AP28" s="266"/>
      <c r="AQ28" s="266"/>
      <c r="AR28" s="266"/>
      <c r="AS28" s="266"/>
      <c r="AT28" s="266"/>
      <c r="AU28" s="266"/>
      <c r="AV28" s="266"/>
      <c r="AW28" s="267"/>
      <c r="AX28" s="268"/>
      <c r="AY28" s="268"/>
      <c r="AZ28" s="268"/>
      <c r="BA28" s="268"/>
      <c r="BB28" s="268"/>
      <c r="BC28" s="269"/>
      <c r="BD28" s="270"/>
      <c r="BE28" s="268"/>
      <c r="BF28" s="268"/>
      <c r="BG28" s="268"/>
      <c r="BH28" s="268"/>
      <c r="BI28" s="268"/>
      <c r="BJ28" s="269"/>
      <c r="BK28" s="235"/>
    </row>
    <row r="29" spans="1:63" ht="15" customHeight="1" x14ac:dyDescent="0.25">
      <c r="A29" s="234"/>
      <c r="B29" s="206"/>
      <c r="C29" s="204"/>
      <c r="D29" s="204"/>
      <c r="E29" s="204"/>
      <c r="F29" s="204"/>
      <c r="G29" s="205"/>
      <c r="H29" s="206"/>
      <c r="I29" s="204"/>
      <c r="J29" s="204"/>
      <c r="K29" s="204"/>
      <c r="L29" s="204"/>
      <c r="M29" s="204"/>
      <c r="N29" s="205"/>
      <c r="O29" s="206"/>
      <c r="P29" s="204"/>
      <c r="Q29" s="204"/>
      <c r="R29" s="204"/>
      <c r="S29" s="259"/>
      <c r="T29" s="260"/>
      <c r="U29" s="260"/>
      <c r="V29" s="260"/>
      <c r="W29" s="260"/>
      <c r="X29" s="260"/>
      <c r="Y29" s="260"/>
      <c r="Z29" s="260"/>
      <c r="AA29" s="260"/>
      <c r="AB29" s="260"/>
      <c r="AC29" s="260"/>
      <c r="AD29" s="260"/>
      <c r="AE29" s="260"/>
      <c r="AF29" s="260"/>
      <c r="AG29" s="260"/>
      <c r="AH29" s="260"/>
      <c r="AI29" s="260"/>
      <c r="AJ29" s="260"/>
      <c r="AK29" s="260"/>
      <c r="AL29" s="260"/>
      <c r="AM29" s="260"/>
      <c r="AN29" s="260"/>
      <c r="AO29" s="260"/>
      <c r="AP29" s="260"/>
      <c r="AQ29" s="260"/>
      <c r="AR29" s="260"/>
      <c r="AS29" s="260"/>
      <c r="AT29" s="260"/>
      <c r="AU29" s="260"/>
      <c r="AV29" s="260"/>
      <c r="AW29" s="261"/>
      <c r="AX29" s="262"/>
      <c r="AY29" s="262"/>
      <c r="AZ29" s="262"/>
      <c r="BA29" s="262"/>
      <c r="BB29" s="262"/>
      <c r="BC29" s="263"/>
      <c r="BD29" s="264"/>
      <c r="BE29" s="262"/>
      <c r="BF29" s="262"/>
      <c r="BG29" s="262"/>
      <c r="BH29" s="262"/>
      <c r="BI29" s="262"/>
      <c r="BJ29" s="263"/>
      <c r="BK29" s="235"/>
    </row>
    <row r="30" spans="1:63" ht="15" customHeight="1" x14ac:dyDescent="0.25">
      <c r="A30" s="234"/>
      <c r="B30" s="216"/>
      <c r="C30" s="217"/>
      <c r="D30" s="217"/>
      <c r="E30" s="217"/>
      <c r="F30" s="217"/>
      <c r="G30" s="218"/>
      <c r="H30" s="216"/>
      <c r="I30" s="217"/>
      <c r="J30" s="217"/>
      <c r="K30" s="217"/>
      <c r="L30" s="217"/>
      <c r="M30" s="217"/>
      <c r="N30" s="218"/>
      <c r="O30" s="216"/>
      <c r="P30" s="217"/>
      <c r="Q30" s="217"/>
      <c r="R30" s="217"/>
      <c r="S30" s="265"/>
      <c r="T30" s="266"/>
      <c r="U30" s="266"/>
      <c r="V30" s="266"/>
      <c r="W30" s="266"/>
      <c r="X30" s="266"/>
      <c r="Y30" s="266"/>
      <c r="Z30" s="266"/>
      <c r="AA30" s="266"/>
      <c r="AB30" s="266"/>
      <c r="AC30" s="266"/>
      <c r="AD30" s="266"/>
      <c r="AE30" s="266"/>
      <c r="AF30" s="266"/>
      <c r="AG30" s="266"/>
      <c r="AH30" s="266"/>
      <c r="AI30" s="266"/>
      <c r="AJ30" s="266"/>
      <c r="AK30" s="266"/>
      <c r="AL30" s="266"/>
      <c r="AM30" s="266"/>
      <c r="AN30" s="266"/>
      <c r="AO30" s="266"/>
      <c r="AP30" s="266"/>
      <c r="AQ30" s="266"/>
      <c r="AR30" s="266"/>
      <c r="AS30" s="266"/>
      <c r="AT30" s="266"/>
      <c r="AU30" s="266"/>
      <c r="AV30" s="266"/>
      <c r="AW30" s="267"/>
      <c r="AX30" s="268"/>
      <c r="AY30" s="268"/>
      <c r="AZ30" s="268"/>
      <c r="BA30" s="268"/>
      <c r="BB30" s="268"/>
      <c r="BC30" s="269"/>
      <c r="BD30" s="270"/>
      <c r="BE30" s="268"/>
      <c r="BF30" s="268"/>
      <c r="BG30" s="268"/>
      <c r="BH30" s="268"/>
      <c r="BI30" s="268"/>
      <c r="BJ30" s="269"/>
      <c r="BK30" s="235"/>
    </row>
    <row r="31" spans="1:63" ht="15" customHeight="1" x14ac:dyDescent="0.25">
      <c r="A31" s="234"/>
      <c r="B31" s="206"/>
      <c r="C31" s="204"/>
      <c r="D31" s="204"/>
      <c r="E31" s="204"/>
      <c r="F31" s="204"/>
      <c r="G31" s="205"/>
      <c r="H31" s="206"/>
      <c r="I31" s="204"/>
      <c r="J31" s="204"/>
      <c r="K31" s="204"/>
      <c r="L31" s="204"/>
      <c r="M31" s="204"/>
      <c r="N31" s="205"/>
      <c r="O31" s="206"/>
      <c r="P31" s="204"/>
      <c r="Q31" s="204"/>
      <c r="R31" s="204"/>
      <c r="S31" s="259"/>
      <c r="T31" s="260"/>
      <c r="U31" s="260"/>
      <c r="V31" s="260"/>
      <c r="W31" s="260"/>
      <c r="X31" s="260"/>
      <c r="Y31" s="260"/>
      <c r="Z31" s="260"/>
      <c r="AA31" s="260"/>
      <c r="AB31" s="260"/>
      <c r="AC31" s="260"/>
      <c r="AD31" s="260"/>
      <c r="AE31" s="260"/>
      <c r="AF31" s="260"/>
      <c r="AG31" s="260"/>
      <c r="AH31" s="260"/>
      <c r="AI31" s="260"/>
      <c r="AJ31" s="260"/>
      <c r="AK31" s="260"/>
      <c r="AL31" s="260"/>
      <c r="AM31" s="260"/>
      <c r="AN31" s="260"/>
      <c r="AO31" s="260"/>
      <c r="AP31" s="260"/>
      <c r="AQ31" s="260"/>
      <c r="AR31" s="260"/>
      <c r="AS31" s="260"/>
      <c r="AT31" s="260"/>
      <c r="AU31" s="260"/>
      <c r="AV31" s="260"/>
      <c r="AW31" s="261"/>
      <c r="AX31" s="262"/>
      <c r="AY31" s="262"/>
      <c r="AZ31" s="262"/>
      <c r="BA31" s="262"/>
      <c r="BB31" s="262"/>
      <c r="BC31" s="263"/>
      <c r="BD31" s="264"/>
      <c r="BE31" s="262"/>
      <c r="BF31" s="262"/>
      <c r="BG31" s="262"/>
      <c r="BH31" s="262"/>
      <c r="BI31" s="262"/>
      <c r="BJ31" s="263"/>
      <c r="BK31" s="235"/>
    </row>
    <row r="32" spans="1:63" ht="15" customHeight="1" x14ac:dyDescent="0.25">
      <c r="A32" s="234"/>
      <c r="B32" s="216"/>
      <c r="C32" s="217"/>
      <c r="D32" s="217"/>
      <c r="E32" s="217"/>
      <c r="F32" s="217"/>
      <c r="G32" s="218"/>
      <c r="H32" s="216"/>
      <c r="I32" s="217"/>
      <c r="J32" s="217"/>
      <c r="K32" s="217"/>
      <c r="L32" s="217"/>
      <c r="M32" s="217"/>
      <c r="N32" s="218"/>
      <c r="O32" s="216"/>
      <c r="P32" s="217"/>
      <c r="Q32" s="217"/>
      <c r="R32" s="217"/>
      <c r="S32" s="265"/>
      <c r="T32" s="266"/>
      <c r="U32" s="266"/>
      <c r="V32" s="266"/>
      <c r="W32" s="266"/>
      <c r="X32" s="266"/>
      <c r="Y32" s="266"/>
      <c r="Z32" s="266"/>
      <c r="AA32" s="266"/>
      <c r="AB32" s="266"/>
      <c r="AC32" s="266"/>
      <c r="AD32" s="266"/>
      <c r="AE32" s="266"/>
      <c r="AF32" s="266"/>
      <c r="AG32" s="266"/>
      <c r="AH32" s="266"/>
      <c r="AI32" s="266"/>
      <c r="AJ32" s="266"/>
      <c r="AK32" s="266"/>
      <c r="AL32" s="266"/>
      <c r="AM32" s="266"/>
      <c r="AN32" s="266"/>
      <c r="AO32" s="266"/>
      <c r="AP32" s="266"/>
      <c r="AQ32" s="266"/>
      <c r="AR32" s="266"/>
      <c r="AS32" s="266"/>
      <c r="AT32" s="266"/>
      <c r="AU32" s="266"/>
      <c r="AV32" s="266"/>
      <c r="AW32" s="267"/>
      <c r="AX32" s="268"/>
      <c r="AY32" s="268"/>
      <c r="AZ32" s="268"/>
      <c r="BA32" s="268"/>
      <c r="BB32" s="268"/>
      <c r="BC32" s="269"/>
      <c r="BD32" s="270"/>
      <c r="BE32" s="268"/>
      <c r="BF32" s="268"/>
      <c r="BG32" s="268"/>
      <c r="BH32" s="268"/>
      <c r="BI32" s="268"/>
      <c r="BJ32" s="269"/>
      <c r="BK32" s="235"/>
    </row>
    <row r="33" spans="1:63" ht="15" customHeight="1" x14ac:dyDescent="0.25">
      <c r="A33" s="234"/>
      <c r="B33" s="206"/>
      <c r="C33" s="204"/>
      <c r="D33" s="204"/>
      <c r="E33" s="204"/>
      <c r="F33" s="204"/>
      <c r="G33" s="205"/>
      <c r="H33" s="206"/>
      <c r="I33" s="204"/>
      <c r="J33" s="204"/>
      <c r="K33" s="204"/>
      <c r="L33" s="204"/>
      <c r="M33" s="204"/>
      <c r="N33" s="205"/>
      <c r="O33" s="206"/>
      <c r="P33" s="204"/>
      <c r="Q33" s="204"/>
      <c r="R33" s="204"/>
      <c r="S33" s="259"/>
      <c r="T33" s="260"/>
      <c r="U33" s="260"/>
      <c r="V33" s="260"/>
      <c r="W33" s="260"/>
      <c r="X33" s="260"/>
      <c r="Y33" s="260"/>
      <c r="Z33" s="260"/>
      <c r="AA33" s="260"/>
      <c r="AB33" s="260"/>
      <c r="AC33" s="260"/>
      <c r="AD33" s="260"/>
      <c r="AE33" s="260"/>
      <c r="AF33" s="260"/>
      <c r="AG33" s="260"/>
      <c r="AH33" s="260"/>
      <c r="AI33" s="260"/>
      <c r="AJ33" s="260"/>
      <c r="AK33" s="260"/>
      <c r="AL33" s="260"/>
      <c r="AM33" s="260"/>
      <c r="AN33" s="260"/>
      <c r="AO33" s="260"/>
      <c r="AP33" s="260"/>
      <c r="AQ33" s="260"/>
      <c r="AR33" s="260"/>
      <c r="AS33" s="260"/>
      <c r="AT33" s="260"/>
      <c r="AU33" s="260"/>
      <c r="AV33" s="260"/>
      <c r="AW33" s="261"/>
      <c r="AX33" s="262"/>
      <c r="AY33" s="262"/>
      <c r="AZ33" s="262"/>
      <c r="BA33" s="262"/>
      <c r="BB33" s="262"/>
      <c r="BC33" s="263"/>
      <c r="BD33" s="264"/>
      <c r="BE33" s="262"/>
      <c r="BF33" s="262"/>
      <c r="BG33" s="262"/>
      <c r="BH33" s="262"/>
      <c r="BI33" s="262"/>
      <c r="BJ33" s="263"/>
      <c r="BK33" s="235"/>
    </row>
    <row r="34" spans="1:63" ht="15" customHeight="1" x14ac:dyDescent="0.25">
      <c r="A34" s="234"/>
      <c r="B34" s="216"/>
      <c r="C34" s="217"/>
      <c r="D34" s="217"/>
      <c r="E34" s="217"/>
      <c r="F34" s="217"/>
      <c r="G34" s="218"/>
      <c r="H34" s="216"/>
      <c r="I34" s="217"/>
      <c r="J34" s="217"/>
      <c r="K34" s="217"/>
      <c r="L34" s="217"/>
      <c r="M34" s="217"/>
      <c r="N34" s="218"/>
      <c r="O34" s="216"/>
      <c r="P34" s="217"/>
      <c r="Q34" s="217"/>
      <c r="R34" s="217"/>
      <c r="S34" s="265"/>
      <c r="T34" s="266"/>
      <c r="U34" s="266"/>
      <c r="V34" s="266"/>
      <c r="W34" s="266"/>
      <c r="X34" s="266"/>
      <c r="Y34" s="266"/>
      <c r="Z34" s="266"/>
      <c r="AA34" s="266"/>
      <c r="AB34" s="266"/>
      <c r="AC34" s="266"/>
      <c r="AD34" s="266"/>
      <c r="AE34" s="266"/>
      <c r="AF34" s="266"/>
      <c r="AG34" s="266"/>
      <c r="AH34" s="266"/>
      <c r="AI34" s="266"/>
      <c r="AJ34" s="266"/>
      <c r="AK34" s="266"/>
      <c r="AL34" s="266"/>
      <c r="AM34" s="266"/>
      <c r="AN34" s="266"/>
      <c r="AO34" s="266"/>
      <c r="AP34" s="266"/>
      <c r="AQ34" s="266"/>
      <c r="AR34" s="266"/>
      <c r="AS34" s="266"/>
      <c r="AT34" s="266"/>
      <c r="AU34" s="266"/>
      <c r="AV34" s="266"/>
      <c r="AW34" s="267"/>
      <c r="AX34" s="268"/>
      <c r="AY34" s="268"/>
      <c r="AZ34" s="268"/>
      <c r="BA34" s="268"/>
      <c r="BB34" s="268"/>
      <c r="BC34" s="269"/>
      <c r="BD34" s="270"/>
      <c r="BE34" s="268"/>
      <c r="BF34" s="268"/>
      <c r="BG34" s="268"/>
      <c r="BH34" s="268"/>
      <c r="BI34" s="268"/>
      <c r="BJ34" s="269"/>
      <c r="BK34" s="235"/>
    </row>
    <row r="35" spans="1:63" ht="15" customHeight="1" x14ac:dyDescent="0.25">
      <c r="A35" s="234"/>
      <c r="B35" s="206"/>
      <c r="C35" s="204"/>
      <c r="D35" s="204"/>
      <c r="E35" s="204"/>
      <c r="F35" s="204"/>
      <c r="G35" s="205"/>
      <c r="H35" s="206"/>
      <c r="I35" s="204"/>
      <c r="J35" s="204"/>
      <c r="K35" s="204"/>
      <c r="L35" s="204"/>
      <c r="M35" s="204"/>
      <c r="N35" s="205"/>
      <c r="O35" s="206"/>
      <c r="P35" s="204"/>
      <c r="Q35" s="204"/>
      <c r="R35" s="204"/>
      <c r="S35" s="259"/>
      <c r="T35" s="260"/>
      <c r="U35" s="260"/>
      <c r="V35" s="260"/>
      <c r="W35" s="260"/>
      <c r="X35" s="260"/>
      <c r="Y35" s="260"/>
      <c r="Z35" s="260"/>
      <c r="AA35" s="260"/>
      <c r="AB35" s="260"/>
      <c r="AC35" s="260"/>
      <c r="AD35" s="260"/>
      <c r="AE35" s="260"/>
      <c r="AF35" s="260"/>
      <c r="AG35" s="260"/>
      <c r="AH35" s="260"/>
      <c r="AI35" s="260"/>
      <c r="AJ35" s="260"/>
      <c r="AK35" s="260"/>
      <c r="AL35" s="260"/>
      <c r="AM35" s="260"/>
      <c r="AN35" s="260"/>
      <c r="AO35" s="260"/>
      <c r="AP35" s="260"/>
      <c r="AQ35" s="260"/>
      <c r="AR35" s="260"/>
      <c r="AS35" s="260"/>
      <c r="AT35" s="260"/>
      <c r="AU35" s="260"/>
      <c r="AV35" s="260"/>
      <c r="AW35" s="261"/>
      <c r="AX35" s="262"/>
      <c r="AY35" s="262"/>
      <c r="AZ35" s="262"/>
      <c r="BA35" s="262"/>
      <c r="BB35" s="262"/>
      <c r="BC35" s="263"/>
      <c r="BD35" s="264"/>
      <c r="BE35" s="262"/>
      <c r="BF35" s="262"/>
      <c r="BG35" s="262"/>
      <c r="BH35" s="262"/>
      <c r="BI35" s="262"/>
      <c r="BJ35" s="263"/>
      <c r="BK35" s="235"/>
    </row>
    <row r="36" spans="1:63" ht="15" customHeight="1" x14ac:dyDescent="0.25">
      <c r="A36" s="234"/>
      <c r="B36" s="216"/>
      <c r="C36" s="217"/>
      <c r="D36" s="217"/>
      <c r="E36" s="217"/>
      <c r="F36" s="217"/>
      <c r="G36" s="218"/>
      <c r="H36" s="216"/>
      <c r="I36" s="217"/>
      <c r="J36" s="217"/>
      <c r="K36" s="217"/>
      <c r="L36" s="217"/>
      <c r="M36" s="217"/>
      <c r="N36" s="218"/>
      <c r="O36" s="216"/>
      <c r="P36" s="217"/>
      <c r="Q36" s="217"/>
      <c r="R36" s="217"/>
      <c r="S36" s="265"/>
      <c r="T36" s="266"/>
      <c r="U36" s="266"/>
      <c r="V36" s="266"/>
      <c r="W36" s="266"/>
      <c r="X36" s="266"/>
      <c r="Y36" s="266"/>
      <c r="Z36" s="266"/>
      <c r="AA36" s="266"/>
      <c r="AB36" s="266"/>
      <c r="AC36" s="266"/>
      <c r="AD36" s="266"/>
      <c r="AE36" s="266"/>
      <c r="AF36" s="266"/>
      <c r="AG36" s="266"/>
      <c r="AH36" s="266"/>
      <c r="AI36" s="266"/>
      <c r="AJ36" s="266"/>
      <c r="AK36" s="266"/>
      <c r="AL36" s="266"/>
      <c r="AM36" s="266"/>
      <c r="AN36" s="266"/>
      <c r="AO36" s="266"/>
      <c r="AP36" s="266"/>
      <c r="AQ36" s="266"/>
      <c r="AR36" s="266"/>
      <c r="AS36" s="266"/>
      <c r="AT36" s="266"/>
      <c r="AU36" s="266"/>
      <c r="AV36" s="266"/>
      <c r="AW36" s="267"/>
      <c r="AX36" s="268"/>
      <c r="AY36" s="268"/>
      <c r="AZ36" s="268"/>
      <c r="BA36" s="268"/>
      <c r="BB36" s="268"/>
      <c r="BC36" s="269"/>
      <c r="BD36" s="270"/>
      <c r="BE36" s="268"/>
      <c r="BF36" s="268"/>
      <c r="BG36" s="268"/>
      <c r="BH36" s="268"/>
      <c r="BI36" s="268"/>
      <c r="BJ36" s="269"/>
      <c r="BK36" s="235"/>
    </row>
    <row r="37" spans="1:63" ht="15" customHeight="1" x14ac:dyDescent="0.25">
      <c r="A37" s="234"/>
      <c r="B37" s="206"/>
      <c r="C37" s="204"/>
      <c r="D37" s="204"/>
      <c r="E37" s="204"/>
      <c r="F37" s="204"/>
      <c r="G37" s="205"/>
      <c r="H37" s="206"/>
      <c r="I37" s="204"/>
      <c r="J37" s="204"/>
      <c r="K37" s="204"/>
      <c r="L37" s="204"/>
      <c r="M37" s="204"/>
      <c r="N37" s="205"/>
      <c r="O37" s="206"/>
      <c r="P37" s="204"/>
      <c r="Q37" s="204"/>
      <c r="R37" s="204"/>
      <c r="S37" s="259"/>
      <c r="T37" s="260"/>
      <c r="U37" s="260"/>
      <c r="V37" s="260"/>
      <c r="W37" s="260"/>
      <c r="X37" s="260"/>
      <c r="Y37" s="260"/>
      <c r="Z37" s="260"/>
      <c r="AA37" s="260"/>
      <c r="AB37" s="260"/>
      <c r="AC37" s="260"/>
      <c r="AD37" s="260"/>
      <c r="AE37" s="260"/>
      <c r="AF37" s="260"/>
      <c r="AG37" s="260"/>
      <c r="AH37" s="260"/>
      <c r="AI37" s="260"/>
      <c r="AJ37" s="260"/>
      <c r="AK37" s="260"/>
      <c r="AL37" s="260"/>
      <c r="AM37" s="260"/>
      <c r="AN37" s="260"/>
      <c r="AO37" s="260"/>
      <c r="AP37" s="260"/>
      <c r="AQ37" s="260"/>
      <c r="AR37" s="260"/>
      <c r="AS37" s="260"/>
      <c r="AT37" s="260"/>
      <c r="AU37" s="260"/>
      <c r="AV37" s="260"/>
      <c r="AW37" s="261"/>
      <c r="AX37" s="262"/>
      <c r="AY37" s="262"/>
      <c r="AZ37" s="262"/>
      <c r="BA37" s="262"/>
      <c r="BB37" s="262"/>
      <c r="BC37" s="263"/>
      <c r="BD37" s="264"/>
      <c r="BE37" s="262"/>
      <c r="BF37" s="262"/>
      <c r="BG37" s="262"/>
      <c r="BH37" s="262"/>
      <c r="BI37" s="262"/>
      <c r="BJ37" s="263"/>
      <c r="BK37" s="235"/>
    </row>
    <row r="38" spans="1:63" ht="15" customHeight="1" x14ac:dyDescent="0.25">
      <c r="A38" s="234"/>
      <c r="B38" s="216"/>
      <c r="C38" s="217"/>
      <c r="D38" s="217"/>
      <c r="E38" s="217"/>
      <c r="F38" s="217"/>
      <c r="G38" s="218"/>
      <c r="H38" s="216"/>
      <c r="I38" s="217"/>
      <c r="J38" s="217"/>
      <c r="K38" s="217"/>
      <c r="L38" s="217"/>
      <c r="M38" s="217"/>
      <c r="N38" s="218"/>
      <c r="O38" s="216"/>
      <c r="P38" s="217"/>
      <c r="Q38" s="217"/>
      <c r="R38" s="217"/>
      <c r="S38" s="265"/>
      <c r="T38" s="266"/>
      <c r="U38" s="266"/>
      <c r="V38" s="266"/>
      <c r="W38" s="266"/>
      <c r="X38" s="266"/>
      <c r="Y38" s="266"/>
      <c r="Z38" s="266"/>
      <c r="AA38" s="266"/>
      <c r="AB38" s="266"/>
      <c r="AC38" s="266"/>
      <c r="AD38" s="266"/>
      <c r="AE38" s="266"/>
      <c r="AF38" s="266"/>
      <c r="AG38" s="266"/>
      <c r="AH38" s="266"/>
      <c r="AI38" s="266"/>
      <c r="AJ38" s="266"/>
      <c r="AK38" s="266"/>
      <c r="AL38" s="266"/>
      <c r="AM38" s="266"/>
      <c r="AN38" s="266"/>
      <c r="AO38" s="266"/>
      <c r="AP38" s="266"/>
      <c r="AQ38" s="266"/>
      <c r="AR38" s="266"/>
      <c r="AS38" s="266"/>
      <c r="AT38" s="266"/>
      <c r="AU38" s="266"/>
      <c r="AV38" s="266"/>
      <c r="AW38" s="267"/>
      <c r="AX38" s="268"/>
      <c r="AY38" s="268"/>
      <c r="AZ38" s="268"/>
      <c r="BA38" s="268"/>
      <c r="BB38" s="268"/>
      <c r="BC38" s="269"/>
      <c r="BD38" s="270"/>
      <c r="BE38" s="268"/>
      <c r="BF38" s="268"/>
      <c r="BG38" s="268"/>
      <c r="BH38" s="268"/>
      <c r="BI38" s="268"/>
      <c r="BJ38" s="269"/>
      <c r="BK38" s="235"/>
    </row>
    <row r="39" spans="1:63" ht="15" customHeight="1" x14ac:dyDescent="0.25">
      <c r="A39" s="234"/>
      <c r="B39" s="206"/>
      <c r="C39" s="204"/>
      <c r="D39" s="204"/>
      <c r="E39" s="204"/>
      <c r="F39" s="204"/>
      <c r="G39" s="205"/>
      <c r="H39" s="206"/>
      <c r="I39" s="204"/>
      <c r="J39" s="204"/>
      <c r="K39" s="204"/>
      <c r="L39" s="204"/>
      <c r="M39" s="204"/>
      <c r="N39" s="205"/>
      <c r="O39" s="206"/>
      <c r="P39" s="204"/>
      <c r="Q39" s="204"/>
      <c r="R39" s="204"/>
      <c r="S39" s="259"/>
      <c r="T39" s="260"/>
      <c r="U39" s="260"/>
      <c r="V39" s="260"/>
      <c r="W39" s="260"/>
      <c r="X39" s="260"/>
      <c r="Y39" s="260"/>
      <c r="Z39" s="260"/>
      <c r="AA39" s="260"/>
      <c r="AB39" s="260"/>
      <c r="AC39" s="260"/>
      <c r="AD39" s="260"/>
      <c r="AE39" s="260"/>
      <c r="AF39" s="260"/>
      <c r="AG39" s="260"/>
      <c r="AH39" s="260"/>
      <c r="AI39" s="260"/>
      <c r="AJ39" s="260"/>
      <c r="AK39" s="260"/>
      <c r="AL39" s="260"/>
      <c r="AM39" s="260"/>
      <c r="AN39" s="260"/>
      <c r="AO39" s="260"/>
      <c r="AP39" s="260"/>
      <c r="AQ39" s="260"/>
      <c r="AR39" s="260"/>
      <c r="AS39" s="260"/>
      <c r="AT39" s="260"/>
      <c r="AU39" s="260"/>
      <c r="AV39" s="260"/>
      <c r="AW39" s="261"/>
      <c r="AX39" s="262"/>
      <c r="AY39" s="262"/>
      <c r="AZ39" s="262"/>
      <c r="BA39" s="262"/>
      <c r="BB39" s="262"/>
      <c r="BC39" s="263"/>
      <c r="BD39" s="264"/>
      <c r="BE39" s="262"/>
      <c r="BF39" s="262"/>
      <c r="BG39" s="262"/>
      <c r="BH39" s="262"/>
      <c r="BI39" s="262"/>
      <c r="BJ39" s="263"/>
      <c r="BK39" s="235"/>
    </row>
    <row r="40" spans="1:63" ht="15" customHeight="1" x14ac:dyDescent="0.25">
      <c r="A40" s="234"/>
      <c r="B40" s="216"/>
      <c r="C40" s="217"/>
      <c r="D40" s="217"/>
      <c r="E40" s="217"/>
      <c r="F40" s="217"/>
      <c r="G40" s="218"/>
      <c r="H40" s="216"/>
      <c r="I40" s="217"/>
      <c r="J40" s="217"/>
      <c r="K40" s="217"/>
      <c r="L40" s="217"/>
      <c r="M40" s="217"/>
      <c r="N40" s="218"/>
      <c r="O40" s="216"/>
      <c r="P40" s="217"/>
      <c r="Q40" s="217"/>
      <c r="R40" s="217"/>
      <c r="S40" s="265"/>
      <c r="T40" s="266"/>
      <c r="U40" s="266"/>
      <c r="V40" s="266"/>
      <c r="W40" s="266"/>
      <c r="X40" s="266"/>
      <c r="Y40" s="266"/>
      <c r="Z40" s="266"/>
      <c r="AA40" s="266"/>
      <c r="AB40" s="266"/>
      <c r="AC40" s="266"/>
      <c r="AD40" s="266"/>
      <c r="AE40" s="266"/>
      <c r="AF40" s="266"/>
      <c r="AG40" s="266"/>
      <c r="AH40" s="266"/>
      <c r="AI40" s="266"/>
      <c r="AJ40" s="266"/>
      <c r="AK40" s="266"/>
      <c r="AL40" s="266"/>
      <c r="AM40" s="266"/>
      <c r="AN40" s="266"/>
      <c r="AO40" s="266"/>
      <c r="AP40" s="266"/>
      <c r="AQ40" s="266"/>
      <c r="AR40" s="266"/>
      <c r="AS40" s="266"/>
      <c r="AT40" s="266"/>
      <c r="AU40" s="266"/>
      <c r="AV40" s="266"/>
      <c r="AW40" s="267"/>
      <c r="AX40" s="268"/>
      <c r="AY40" s="268"/>
      <c r="AZ40" s="268"/>
      <c r="BA40" s="268"/>
      <c r="BB40" s="268"/>
      <c r="BC40" s="269"/>
      <c r="BD40" s="270"/>
      <c r="BE40" s="268"/>
      <c r="BF40" s="268"/>
      <c r="BG40" s="268"/>
      <c r="BH40" s="268"/>
      <c r="BI40" s="268"/>
      <c r="BJ40" s="269"/>
      <c r="BK40" s="235"/>
    </row>
    <row r="41" spans="1:63" ht="15" customHeight="1" x14ac:dyDescent="0.25">
      <c r="A41" s="234"/>
      <c r="B41" s="206"/>
      <c r="C41" s="204"/>
      <c r="D41" s="204"/>
      <c r="E41" s="204"/>
      <c r="F41" s="204"/>
      <c r="G41" s="205"/>
      <c r="H41" s="206"/>
      <c r="I41" s="204"/>
      <c r="J41" s="204"/>
      <c r="K41" s="204"/>
      <c r="L41" s="204"/>
      <c r="M41" s="204"/>
      <c r="N41" s="205"/>
      <c r="O41" s="206"/>
      <c r="P41" s="204"/>
      <c r="Q41" s="204"/>
      <c r="R41" s="204"/>
      <c r="S41" s="259"/>
      <c r="T41" s="260"/>
      <c r="U41" s="260"/>
      <c r="V41" s="260"/>
      <c r="W41" s="260"/>
      <c r="X41" s="260"/>
      <c r="Y41" s="260"/>
      <c r="Z41" s="260"/>
      <c r="AA41" s="260"/>
      <c r="AB41" s="260"/>
      <c r="AC41" s="260"/>
      <c r="AD41" s="260"/>
      <c r="AE41" s="260"/>
      <c r="AF41" s="260"/>
      <c r="AG41" s="260"/>
      <c r="AH41" s="260"/>
      <c r="AI41" s="260"/>
      <c r="AJ41" s="260"/>
      <c r="AK41" s="260"/>
      <c r="AL41" s="260"/>
      <c r="AM41" s="260"/>
      <c r="AN41" s="260"/>
      <c r="AO41" s="260"/>
      <c r="AP41" s="260"/>
      <c r="AQ41" s="260"/>
      <c r="AR41" s="260"/>
      <c r="AS41" s="260"/>
      <c r="AT41" s="260"/>
      <c r="AU41" s="260"/>
      <c r="AV41" s="260"/>
      <c r="AW41" s="261"/>
      <c r="AX41" s="262"/>
      <c r="AY41" s="262"/>
      <c r="AZ41" s="262"/>
      <c r="BA41" s="262"/>
      <c r="BB41" s="262"/>
      <c r="BC41" s="263"/>
      <c r="BD41" s="264"/>
      <c r="BE41" s="262"/>
      <c r="BF41" s="262"/>
      <c r="BG41" s="262"/>
      <c r="BH41" s="262"/>
      <c r="BI41" s="262"/>
      <c r="BJ41" s="263"/>
      <c r="BK41" s="235"/>
    </row>
    <row r="42" spans="1:63" ht="15" customHeight="1" x14ac:dyDescent="0.25">
      <c r="A42" s="234"/>
      <c r="B42" s="216"/>
      <c r="C42" s="217"/>
      <c r="D42" s="217"/>
      <c r="E42" s="217"/>
      <c r="F42" s="217"/>
      <c r="G42" s="218"/>
      <c r="H42" s="216"/>
      <c r="I42" s="217"/>
      <c r="J42" s="217"/>
      <c r="K42" s="217"/>
      <c r="L42" s="217"/>
      <c r="M42" s="217"/>
      <c r="N42" s="218"/>
      <c r="O42" s="216"/>
      <c r="P42" s="217"/>
      <c r="Q42" s="217"/>
      <c r="R42" s="217"/>
      <c r="S42" s="265"/>
      <c r="T42" s="266"/>
      <c r="U42" s="266"/>
      <c r="V42" s="266"/>
      <c r="W42" s="266"/>
      <c r="X42" s="266"/>
      <c r="Y42" s="266"/>
      <c r="Z42" s="266"/>
      <c r="AA42" s="266"/>
      <c r="AB42" s="266"/>
      <c r="AC42" s="266"/>
      <c r="AD42" s="266"/>
      <c r="AE42" s="266"/>
      <c r="AF42" s="266"/>
      <c r="AG42" s="266"/>
      <c r="AH42" s="266"/>
      <c r="AI42" s="266"/>
      <c r="AJ42" s="266"/>
      <c r="AK42" s="266"/>
      <c r="AL42" s="266"/>
      <c r="AM42" s="266"/>
      <c r="AN42" s="266"/>
      <c r="AO42" s="266"/>
      <c r="AP42" s="266"/>
      <c r="AQ42" s="266"/>
      <c r="AR42" s="266"/>
      <c r="AS42" s="266"/>
      <c r="AT42" s="266"/>
      <c r="AU42" s="266"/>
      <c r="AV42" s="266"/>
      <c r="AW42" s="267"/>
      <c r="AX42" s="268"/>
      <c r="AY42" s="268"/>
      <c r="AZ42" s="268"/>
      <c r="BA42" s="268"/>
      <c r="BB42" s="268"/>
      <c r="BC42" s="269"/>
      <c r="BD42" s="270"/>
      <c r="BE42" s="268"/>
      <c r="BF42" s="268"/>
      <c r="BG42" s="268"/>
      <c r="BH42" s="268"/>
      <c r="BI42" s="268"/>
      <c r="BJ42" s="269"/>
      <c r="BK42" s="235"/>
    </row>
    <row r="43" spans="1:63" ht="15" customHeight="1" x14ac:dyDescent="0.25">
      <c r="A43" s="234"/>
      <c r="B43" s="206"/>
      <c r="C43" s="204"/>
      <c r="D43" s="204"/>
      <c r="E43" s="204"/>
      <c r="F43" s="204"/>
      <c r="G43" s="205"/>
      <c r="H43" s="206"/>
      <c r="I43" s="204"/>
      <c r="J43" s="204"/>
      <c r="K43" s="204"/>
      <c r="L43" s="204"/>
      <c r="M43" s="204"/>
      <c r="N43" s="205"/>
      <c r="O43" s="206"/>
      <c r="P43" s="204"/>
      <c r="Q43" s="204"/>
      <c r="R43" s="204"/>
      <c r="S43" s="259"/>
      <c r="T43" s="260"/>
      <c r="U43" s="260"/>
      <c r="V43" s="260"/>
      <c r="W43" s="260"/>
      <c r="X43" s="260"/>
      <c r="Y43" s="260"/>
      <c r="Z43" s="260"/>
      <c r="AA43" s="260"/>
      <c r="AB43" s="260"/>
      <c r="AC43" s="260"/>
      <c r="AD43" s="260"/>
      <c r="AE43" s="260"/>
      <c r="AF43" s="260"/>
      <c r="AG43" s="260"/>
      <c r="AH43" s="260"/>
      <c r="AI43" s="260"/>
      <c r="AJ43" s="260"/>
      <c r="AK43" s="260"/>
      <c r="AL43" s="260"/>
      <c r="AM43" s="260"/>
      <c r="AN43" s="260"/>
      <c r="AO43" s="260"/>
      <c r="AP43" s="260"/>
      <c r="AQ43" s="260"/>
      <c r="AR43" s="260"/>
      <c r="AS43" s="260"/>
      <c r="AT43" s="260"/>
      <c r="AU43" s="260"/>
      <c r="AV43" s="260"/>
      <c r="AW43" s="261"/>
      <c r="AX43" s="262"/>
      <c r="AY43" s="262"/>
      <c r="AZ43" s="262"/>
      <c r="BA43" s="262"/>
      <c r="BB43" s="262"/>
      <c r="BC43" s="263"/>
      <c r="BD43" s="264"/>
      <c r="BE43" s="262"/>
      <c r="BF43" s="262"/>
      <c r="BG43" s="262"/>
      <c r="BH43" s="262"/>
      <c r="BI43" s="262"/>
      <c r="BJ43" s="263"/>
      <c r="BK43" s="235"/>
    </row>
    <row r="44" spans="1:63" ht="15" customHeight="1" x14ac:dyDescent="0.25">
      <c r="A44" s="234"/>
      <c r="B44" s="216"/>
      <c r="C44" s="217"/>
      <c r="D44" s="217"/>
      <c r="E44" s="217"/>
      <c r="F44" s="217"/>
      <c r="G44" s="218"/>
      <c r="H44" s="216"/>
      <c r="I44" s="217"/>
      <c r="J44" s="217"/>
      <c r="K44" s="217"/>
      <c r="L44" s="217"/>
      <c r="M44" s="217"/>
      <c r="N44" s="218"/>
      <c r="O44" s="216"/>
      <c r="P44" s="217"/>
      <c r="Q44" s="217"/>
      <c r="R44" s="217"/>
      <c r="S44" s="265"/>
      <c r="T44" s="266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6"/>
      <c r="AI44" s="266"/>
      <c r="AJ44" s="266"/>
      <c r="AK44" s="266"/>
      <c r="AL44" s="266"/>
      <c r="AM44" s="266"/>
      <c r="AN44" s="266"/>
      <c r="AO44" s="266"/>
      <c r="AP44" s="266"/>
      <c r="AQ44" s="266"/>
      <c r="AR44" s="266"/>
      <c r="AS44" s="266"/>
      <c r="AT44" s="266"/>
      <c r="AU44" s="266"/>
      <c r="AV44" s="266"/>
      <c r="AW44" s="267"/>
      <c r="AX44" s="268"/>
      <c r="AY44" s="268"/>
      <c r="AZ44" s="268"/>
      <c r="BA44" s="268"/>
      <c r="BB44" s="268"/>
      <c r="BC44" s="269"/>
      <c r="BD44" s="270"/>
      <c r="BE44" s="268"/>
      <c r="BF44" s="268"/>
      <c r="BG44" s="268"/>
      <c r="BH44" s="268"/>
      <c r="BI44" s="268"/>
      <c r="BJ44" s="269"/>
      <c r="BK44" s="235"/>
    </row>
    <row r="45" spans="1:63" ht="15" customHeight="1" x14ac:dyDescent="0.25">
      <c r="A45" s="234"/>
      <c r="B45" s="206"/>
      <c r="C45" s="204"/>
      <c r="D45" s="204"/>
      <c r="E45" s="204"/>
      <c r="F45" s="204"/>
      <c r="G45" s="205"/>
      <c r="H45" s="206"/>
      <c r="I45" s="204"/>
      <c r="J45" s="204"/>
      <c r="K45" s="204"/>
      <c r="L45" s="204"/>
      <c r="M45" s="204"/>
      <c r="N45" s="205"/>
      <c r="O45" s="206"/>
      <c r="P45" s="204"/>
      <c r="Q45" s="204"/>
      <c r="R45" s="204"/>
      <c r="S45" s="259"/>
      <c r="T45" s="260"/>
      <c r="U45" s="260"/>
      <c r="V45" s="260"/>
      <c r="W45" s="260"/>
      <c r="X45" s="260"/>
      <c r="Y45" s="260"/>
      <c r="Z45" s="260"/>
      <c r="AA45" s="260"/>
      <c r="AB45" s="260"/>
      <c r="AC45" s="260"/>
      <c r="AD45" s="260"/>
      <c r="AE45" s="260"/>
      <c r="AF45" s="260"/>
      <c r="AG45" s="260"/>
      <c r="AH45" s="260"/>
      <c r="AI45" s="260"/>
      <c r="AJ45" s="260"/>
      <c r="AK45" s="260"/>
      <c r="AL45" s="260"/>
      <c r="AM45" s="260"/>
      <c r="AN45" s="260"/>
      <c r="AO45" s="260"/>
      <c r="AP45" s="260"/>
      <c r="AQ45" s="260"/>
      <c r="AR45" s="260"/>
      <c r="AS45" s="260"/>
      <c r="AT45" s="260"/>
      <c r="AU45" s="260"/>
      <c r="AV45" s="260"/>
      <c r="AW45" s="261"/>
      <c r="AX45" s="262"/>
      <c r="AY45" s="262"/>
      <c r="AZ45" s="262"/>
      <c r="BA45" s="262"/>
      <c r="BB45" s="262"/>
      <c r="BC45" s="263"/>
      <c r="BD45" s="264"/>
      <c r="BE45" s="262"/>
      <c r="BF45" s="262"/>
      <c r="BG45" s="262"/>
      <c r="BH45" s="262"/>
      <c r="BI45" s="262"/>
      <c r="BJ45" s="263"/>
      <c r="BK45" s="235"/>
    </row>
    <row r="46" spans="1:63" ht="15" customHeight="1" x14ac:dyDescent="0.25">
      <c r="A46" s="234"/>
      <c r="B46" s="216"/>
      <c r="C46" s="217"/>
      <c r="D46" s="217"/>
      <c r="E46" s="217"/>
      <c r="F46" s="217"/>
      <c r="G46" s="218"/>
      <c r="H46" s="216"/>
      <c r="I46" s="217"/>
      <c r="J46" s="217"/>
      <c r="K46" s="217"/>
      <c r="L46" s="217"/>
      <c r="M46" s="217"/>
      <c r="N46" s="218"/>
      <c r="O46" s="216"/>
      <c r="P46" s="217"/>
      <c r="Q46" s="217"/>
      <c r="R46" s="217"/>
      <c r="S46" s="265"/>
      <c r="T46" s="266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6"/>
      <c r="AI46" s="266"/>
      <c r="AJ46" s="266"/>
      <c r="AK46" s="266"/>
      <c r="AL46" s="266"/>
      <c r="AM46" s="266"/>
      <c r="AN46" s="266"/>
      <c r="AO46" s="266"/>
      <c r="AP46" s="266"/>
      <c r="AQ46" s="266"/>
      <c r="AR46" s="266"/>
      <c r="AS46" s="266"/>
      <c r="AT46" s="266"/>
      <c r="AU46" s="266"/>
      <c r="AV46" s="266"/>
      <c r="AW46" s="267"/>
      <c r="AX46" s="268"/>
      <c r="AY46" s="268"/>
      <c r="AZ46" s="268"/>
      <c r="BA46" s="268"/>
      <c r="BB46" s="268"/>
      <c r="BC46" s="269"/>
      <c r="BD46" s="270"/>
      <c r="BE46" s="268"/>
      <c r="BF46" s="268"/>
      <c r="BG46" s="268"/>
      <c r="BH46" s="268"/>
      <c r="BI46" s="268"/>
      <c r="BJ46" s="269"/>
      <c r="BK46" s="235"/>
    </row>
    <row r="47" spans="1:63" ht="15" customHeight="1" x14ac:dyDescent="0.25">
      <c r="A47" s="234"/>
      <c r="B47" s="206"/>
      <c r="C47" s="204"/>
      <c r="D47" s="204"/>
      <c r="E47" s="204"/>
      <c r="F47" s="204"/>
      <c r="G47" s="205"/>
      <c r="H47" s="206"/>
      <c r="I47" s="204"/>
      <c r="J47" s="204"/>
      <c r="K47" s="204"/>
      <c r="L47" s="204"/>
      <c r="M47" s="204"/>
      <c r="N47" s="205"/>
      <c r="O47" s="206"/>
      <c r="P47" s="204"/>
      <c r="Q47" s="204"/>
      <c r="R47" s="204"/>
      <c r="S47" s="259"/>
      <c r="T47" s="260"/>
      <c r="U47" s="260"/>
      <c r="V47" s="260"/>
      <c r="W47" s="260"/>
      <c r="X47" s="260"/>
      <c r="Y47" s="260"/>
      <c r="Z47" s="260"/>
      <c r="AA47" s="260"/>
      <c r="AB47" s="260"/>
      <c r="AC47" s="260"/>
      <c r="AD47" s="260"/>
      <c r="AE47" s="260"/>
      <c r="AF47" s="260"/>
      <c r="AG47" s="260"/>
      <c r="AH47" s="260"/>
      <c r="AI47" s="260"/>
      <c r="AJ47" s="260"/>
      <c r="AK47" s="260"/>
      <c r="AL47" s="260"/>
      <c r="AM47" s="260"/>
      <c r="AN47" s="260"/>
      <c r="AO47" s="260"/>
      <c r="AP47" s="260"/>
      <c r="AQ47" s="260"/>
      <c r="AR47" s="260"/>
      <c r="AS47" s="260"/>
      <c r="AT47" s="260"/>
      <c r="AU47" s="260"/>
      <c r="AV47" s="260"/>
      <c r="AW47" s="261"/>
      <c r="AX47" s="262"/>
      <c r="AY47" s="262"/>
      <c r="AZ47" s="262"/>
      <c r="BA47" s="262"/>
      <c r="BB47" s="262"/>
      <c r="BC47" s="263"/>
      <c r="BD47" s="264"/>
      <c r="BE47" s="262"/>
      <c r="BF47" s="262"/>
      <c r="BG47" s="262"/>
      <c r="BH47" s="262"/>
      <c r="BI47" s="262"/>
      <c r="BJ47" s="263"/>
      <c r="BK47" s="235"/>
    </row>
    <row r="48" spans="1:63" ht="15" customHeight="1" x14ac:dyDescent="0.25">
      <c r="A48" s="234"/>
      <c r="B48" s="216"/>
      <c r="C48" s="217"/>
      <c r="D48" s="217"/>
      <c r="E48" s="217"/>
      <c r="F48" s="217"/>
      <c r="G48" s="218"/>
      <c r="H48" s="216"/>
      <c r="I48" s="217"/>
      <c r="J48" s="217"/>
      <c r="K48" s="217"/>
      <c r="L48" s="217"/>
      <c r="M48" s="217"/>
      <c r="N48" s="218"/>
      <c r="O48" s="216"/>
      <c r="P48" s="217"/>
      <c r="Q48" s="217"/>
      <c r="R48" s="217"/>
      <c r="S48" s="265"/>
      <c r="T48" s="266"/>
      <c r="U48" s="266"/>
      <c r="V48" s="266"/>
      <c r="W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6"/>
      <c r="AI48" s="266"/>
      <c r="AJ48" s="266"/>
      <c r="AK48" s="266"/>
      <c r="AL48" s="266"/>
      <c r="AM48" s="266"/>
      <c r="AN48" s="266"/>
      <c r="AO48" s="266"/>
      <c r="AP48" s="266"/>
      <c r="AQ48" s="266"/>
      <c r="AR48" s="266"/>
      <c r="AS48" s="266"/>
      <c r="AT48" s="266"/>
      <c r="AU48" s="266"/>
      <c r="AV48" s="266"/>
      <c r="AW48" s="267"/>
      <c r="AX48" s="268"/>
      <c r="AY48" s="268"/>
      <c r="AZ48" s="268"/>
      <c r="BA48" s="268"/>
      <c r="BB48" s="268"/>
      <c r="BC48" s="269"/>
      <c r="BD48" s="270"/>
      <c r="BE48" s="268"/>
      <c r="BF48" s="268"/>
      <c r="BG48" s="268"/>
      <c r="BH48" s="268"/>
      <c r="BI48" s="268"/>
      <c r="BJ48" s="269"/>
      <c r="BK48" s="235"/>
    </row>
    <row r="49" spans="1:63" ht="15" customHeight="1" x14ac:dyDescent="0.25">
      <c r="A49" s="234"/>
      <c r="B49" s="206"/>
      <c r="C49" s="204"/>
      <c r="D49" s="204"/>
      <c r="E49" s="204"/>
      <c r="F49" s="204"/>
      <c r="G49" s="205"/>
      <c r="H49" s="206"/>
      <c r="I49" s="204"/>
      <c r="J49" s="204"/>
      <c r="K49" s="204"/>
      <c r="L49" s="204"/>
      <c r="M49" s="204"/>
      <c r="N49" s="205"/>
      <c r="O49" s="206"/>
      <c r="P49" s="204"/>
      <c r="Q49" s="204"/>
      <c r="R49" s="204"/>
      <c r="S49" s="259"/>
      <c r="T49" s="260"/>
      <c r="U49" s="260"/>
      <c r="V49" s="260"/>
      <c r="W49" s="260"/>
      <c r="X49" s="260"/>
      <c r="Y49" s="260"/>
      <c r="Z49" s="260"/>
      <c r="AA49" s="260"/>
      <c r="AB49" s="260"/>
      <c r="AC49" s="260"/>
      <c r="AD49" s="260"/>
      <c r="AE49" s="260"/>
      <c r="AF49" s="260"/>
      <c r="AG49" s="260"/>
      <c r="AH49" s="260"/>
      <c r="AI49" s="260"/>
      <c r="AJ49" s="260"/>
      <c r="AK49" s="260"/>
      <c r="AL49" s="260"/>
      <c r="AM49" s="260"/>
      <c r="AN49" s="260"/>
      <c r="AO49" s="260"/>
      <c r="AP49" s="260"/>
      <c r="AQ49" s="260"/>
      <c r="AR49" s="260"/>
      <c r="AS49" s="260"/>
      <c r="AT49" s="260"/>
      <c r="AU49" s="260"/>
      <c r="AV49" s="260"/>
      <c r="AW49" s="261"/>
      <c r="AX49" s="262"/>
      <c r="AY49" s="262"/>
      <c r="AZ49" s="262"/>
      <c r="BA49" s="262"/>
      <c r="BB49" s="262"/>
      <c r="BC49" s="263"/>
      <c r="BD49" s="264"/>
      <c r="BE49" s="262"/>
      <c r="BF49" s="262"/>
      <c r="BG49" s="262"/>
      <c r="BH49" s="262"/>
      <c r="BI49" s="262"/>
      <c r="BJ49" s="263"/>
      <c r="BK49" s="235"/>
    </row>
    <row r="50" spans="1:63" ht="15" customHeight="1" x14ac:dyDescent="0.25">
      <c r="A50" s="234"/>
      <c r="B50" s="216"/>
      <c r="C50" s="217"/>
      <c r="D50" s="217"/>
      <c r="E50" s="217"/>
      <c r="F50" s="217"/>
      <c r="G50" s="218"/>
      <c r="H50" s="216"/>
      <c r="I50" s="217"/>
      <c r="J50" s="217"/>
      <c r="K50" s="217"/>
      <c r="L50" s="217"/>
      <c r="M50" s="217"/>
      <c r="N50" s="218"/>
      <c r="O50" s="216"/>
      <c r="P50" s="217"/>
      <c r="Q50" s="217"/>
      <c r="R50" s="217"/>
      <c r="S50" s="265"/>
      <c r="T50" s="266"/>
      <c r="U50" s="266"/>
      <c r="V50" s="266"/>
      <c r="W50" s="266"/>
      <c r="X50" s="266"/>
      <c r="Y50" s="266"/>
      <c r="Z50" s="266"/>
      <c r="AA50" s="266"/>
      <c r="AB50" s="266"/>
      <c r="AC50" s="266"/>
      <c r="AD50" s="266"/>
      <c r="AE50" s="266"/>
      <c r="AF50" s="266"/>
      <c r="AG50" s="266"/>
      <c r="AH50" s="266"/>
      <c r="AI50" s="266"/>
      <c r="AJ50" s="266"/>
      <c r="AK50" s="266"/>
      <c r="AL50" s="266"/>
      <c r="AM50" s="266"/>
      <c r="AN50" s="266"/>
      <c r="AO50" s="266"/>
      <c r="AP50" s="266"/>
      <c r="AQ50" s="266"/>
      <c r="AR50" s="266"/>
      <c r="AS50" s="266"/>
      <c r="AT50" s="266"/>
      <c r="AU50" s="266"/>
      <c r="AV50" s="266"/>
      <c r="AW50" s="267"/>
      <c r="AX50" s="268"/>
      <c r="AY50" s="268"/>
      <c r="AZ50" s="268"/>
      <c r="BA50" s="268"/>
      <c r="BB50" s="268"/>
      <c r="BC50" s="269"/>
      <c r="BD50" s="270"/>
      <c r="BE50" s="268"/>
      <c r="BF50" s="268"/>
      <c r="BG50" s="268"/>
      <c r="BH50" s="268"/>
      <c r="BI50" s="268"/>
      <c r="BJ50" s="269"/>
      <c r="BK50" s="235"/>
    </row>
    <row r="51" spans="1:63" ht="15" customHeight="1" x14ac:dyDescent="0.25">
      <c r="A51" s="234"/>
      <c r="B51" s="206"/>
      <c r="C51" s="204"/>
      <c r="D51" s="204"/>
      <c r="E51" s="204"/>
      <c r="F51" s="204"/>
      <c r="G51" s="205"/>
      <c r="H51" s="206"/>
      <c r="I51" s="204"/>
      <c r="J51" s="204"/>
      <c r="K51" s="204"/>
      <c r="L51" s="204"/>
      <c r="M51" s="204"/>
      <c r="N51" s="205"/>
      <c r="O51" s="206"/>
      <c r="P51" s="204"/>
      <c r="Q51" s="204"/>
      <c r="R51" s="204"/>
      <c r="S51" s="259"/>
      <c r="T51" s="260"/>
      <c r="U51" s="260"/>
      <c r="V51" s="260"/>
      <c r="W51" s="260"/>
      <c r="X51" s="260"/>
      <c r="Y51" s="260"/>
      <c r="Z51" s="260"/>
      <c r="AA51" s="260"/>
      <c r="AB51" s="260"/>
      <c r="AC51" s="260"/>
      <c r="AD51" s="260"/>
      <c r="AE51" s="260"/>
      <c r="AF51" s="260"/>
      <c r="AG51" s="260"/>
      <c r="AH51" s="260"/>
      <c r="AI51" s="260"/>
      <c r="AJ51" s="260"/>
      <c r="AK51" s="260"/>
      <c r="AL51" s="260"/>
      <c r="AM51" s="260"/>
      <c r="AN51" s="260"/>
      <c r="AO51" s="260"/>
      <c r="AP51" s="260"/>
      <c r="AQ51" s="260"/>
      <c r="AR51" s="260"/>
      <c r="AS51" s="260"/>
      <c r="AT51" s="260"/>
      <c r="AU51" s="260"/>
      <c r="AV51" s="260"/>
      <c r="AW51" s="261"/>
      <c r="AX51" s="262"/>
      <c r="AY51" s="262"/>
      <c r="AZ51" s="262"/>
      <c r="BA51" s="262"/>
      <c r="BB51" s="262"/>
      <c r="BC51" s="263"/>
      <c r="BD51" s="264"/>
      <c r="BE51" s="262"/>
      <c r="BF51" s="262"/>
      <c r="BG51" s="262"/>
      <c r="BH51" s="262"/>
      <c r="BI51" s="262"/>
      <c r="BJ51" s="263"/>
      <c r="BK51" s="235"/>
    </row>
    <row r="52" spans="1:63" ht="15" customHeight="1" x14ac:dyDescent="0.25">
      <c r="A52" s="234"/>
      <c r="B52" s="216"/>
      <c r="C52" s="217"/>
      <c r="D52" s="217"/>
      <c r="E52" s="217"/>
      <c r="F52" s="217"/>
      <c r="G52" s="218"/>
      <c r="H52" s="216"/>
      <c r="I52" s="217"/>
      <c r="J52" s="217"/>
      <c r="K52" s="217"/>
      <c r="L52" s="217"/>
      <c r="M52" s="217"/>
      <c r="N52" s="218"/>
      <c r="O52" s="216"/>
      <c r="P52" s="217"/>
      <c r="Q52" s="217"/>
      <c r="R52" s="217"/>
      <c r="S52" s="265"/>
      <c r="T52" s="266"/>
      <c r="U52" s="266"/>
      <c r="V52" s="266"/>
      <c r="W52" s="266"/>
      <c r="X52" s="266"/>
      <c r="Y52" s="266"/>
      <c r="Z52" s="266"/>
      <c r="AA52" s="266"/>
      <c r="AB52" s="266"/>
      <c r="AC52" s="266"/>
      <c r="AD52" s="266"/>
      <c r="AE52" s="266"/>
      <c r="AF52" s="266"/>
      <c r="AG52" s="266"/>
      <c r="AH52" s="266"/>
      <c r="AI52" s="266"/>
      <c r="AJ52" s="266"/>
      <c r="AK52" s="266"/>
      <c r="AL52" s="266"/>
      <c r="AM52" s="266"/>
      <c r="AN52" s="266"/>
      <c r="AO52" s="266"/>
      <c r="AP52" s="266"/>
      <c r="AQ52" s="266"/>
      <c r="AR52" s="266"/>
      <c r="AS52" s="266"/>
      <c r="AT52" s="266"/>
      <c r="AU52" s="266"/>
      <c r="AV52" s="266"/>
      <c r="AW52" s="267"/>
      <c r="AX52" s="268"/>
      <c r="AY52" s="268"/>
      <c r="AZ52" s="268"/>
      <c r="BA52" s="268"/>
      <c r="BB52" s="268"/>
      <c r="BC52" s="269"/>
      <c r="BD52" s="270"/>
      <c r="BE52" s="268"/>
      <c r="BF52" s="268"/>
      <c r="BG52" s="268"/>
      <c r="BH52" s="268"/>
      <c r="BI52" s="268"/>
      <c r="BJ52" s="269"/>
      <c r="BK52" s="235"/>
    </row>
    <row r="53" spans="1:63" ht="15" customHeight="1" x14ac:dyDescent="0.25">
      <c r="A53" s="234"/>
      <c r="B53" s="206"/>
      <c r="C53" s="204"/>
      <c r="D53" s="204"/>
      <c r="E53" s="204"/>
      <c r="F53" s="204"/>
      <c r="G53" s="205"/>
      <c r="H53" s="206"/>
      <c r="I53" s="204"/>
      <c r="J53" s="204"/>
      <c r="K53" s="204"/>
      <c r="L53" s="204"/>
      <c r="M53" s="204"/>
      <c r="N53" s="205"/>
      <c r="O53" s="206"/>
      <c r="P53" s="204"/>
      <c r="Q53" s="204"/>
      <c r="R53" s="204"/>
      <c r="S53" s="259"/>
      <c r="T53" s="260"/>
      <c r="U53" s="260"/>
      <c r="V53" s="260"/>
      <c r="W53" s="260"/>
      <c r="X53" s="260"/>
      <c r="Y53" s="260"/>
      <c r="Z53" s="260"/>
      <c r="AA53" s="260"/>
      <c r="AB53" s="260"/>
      <c r="AC53" s="260"/>
      <c r="AD53" s="260"/>
      <c r="AE53" s="260"/>
      <c r="AF53" s="260"/>
      <c r="AG53" s="260"/>
      <c r="AH53" s="260"/>
      <c r="AI53" s="260"/>
      <c r="AJ53" s="260"/>
      <c r="AK53" s="260"/>
      <c r="AL53" s="260"/>
      <c r="AM53" s="260"/>
      <c r="AN53" s="260"/>
      <c r="AO53" s="260"/>
      <c r="AP53" s="260"/>
      <c r="AQ53" s="260"/>
      <c r="AR53" s="260"/>
      <c r="AS53" s="260"/>
      <c r="AT53" s="260"/>
      <c r="AU53" s="260"/>
      <c r="AV53" s="260"/>
      <c r="AW53" s="261"/>
      <c r="AX53" s="262"/>
      <c r="AY53" s="262"/>
      <c r="AZ53" s="262"/>
      <c r="BA53" s="262"/>
      <c r="BB53" s="262"/>
      <c r="BC53" s="263"/>
      <c r="BD53" s="264"/>
      <c r="BE53" s="262"/>
      <c r="BF53" s="262"/>
      <c r="BG53" s="262"/>
      <c r="BH53" s="262"/>
      <c r="BI53" s="262"/>
      <c r="BJ53" s="263"/>
      <c r="BK53" s="235"/>
    </row>
    <row r="54" spans="1:63" ht="15" customHeight="1" x14ac:dyDescent="0.25">
      <c r="A54" s="234"/>
      <c r="B54" s="216"/>
      <c r="C54" s="217"/>
      <c r="D54" s="217"/>
      <c r="E54" s="217"/>
      <c r="F54" s="217"/>
      <c r="G54" s="218"/>
      <c r="H54" s="216"/>
      <c r="I54" s="217"/>
      <c r="J54" s="217"/>
      <c r="K54" s="217"/>
      <c r="L54" s="217"/>
      <c r="M54" s="217"/>
      <c r="N54" s="218"/>
      <c r="O54" s="216"/>
      <c r="P54" s="217"/>
      <c r="Q54" s="217"/>
      <c r="R54" s="217"/>
      <c r="S54" s="265"/>
      <c r="T54" s="266"/>
      <c r="U54" s="266"/>
      <c r="V54" s="266"/>
      <c r="W54" s="266"/>
      <c r="X54" s="266"/>
      <c r="Y54" s="266"/>
      <c r="Z54" s="266"/>
      <c r="AA54" s="266"/>
      <c r="AB54" s="266"/>
      <c r="AC54" s="266"/>
      <c r="AD54" s="266"/>
      <c r="AE54" s="266"/>
      <c r="AF54" s="266"/>
      <c r="AG54" s="266"/>
      <c r="AH54" s="266"/>
      <c r="AI54" s="266"/>
      <c r="AJ54" s="266"/>
      <c r="AK54" s="266"/>
      <c r="AL54" s="266"/>
      <c r="AM54" s="266"/>
      <c r="AN54" s="266"/>
      <c r="AO54" s="266"/>
      <c r="AP54" s="266"/>
      <c r="AQ54" s="266"/>
      <c r="AR54" s="266"/>
      <c r="AS54" s="266"/>
      <c r="AT54" s="266"/>
      <c r="AU54" s="266"/>
      <c r="AV54" s="266"/>
      <c r="AW54" s="267"/>
      <c r="AX54" s="268"/>
      <c r="AY54" s="268"/>
      <c r="AZ54" s="268"/>
      <c r="BA54" s="268"/>
      <c r="BB54" s="268"/>
      <c r="BC54" s="269"/>
      <c r="BD54" s="270"/>
      <c r="BE54" s="268"/>
      <c r="BF54" s="268"/>
      <c r="BG54" s="268"/>
      <c r="BH54" s="268"/>
      <c r="BI54" s="268"/>
      <c r="BJ54" s="269"/>
      <c r="BK54" s="235"/>
    </row>
    <row r="55" spans="1:63" ht="15" customHeight="1" x14ac:dyDescent="0.25">
      <c r="A55" s="231"/>
      <c r="B55" s="232"/>
      <c r="C55" s="232"/>
      <c r="D55" s="232"/>
      <c r="E55" s="232"/>
      <c r="F55" s="232"/>
      <c r="G55" s="232"/>
      <c r="H55" s="232"/>
      <c r="I55" s="232"/>
      <c r="J55" s="232"/>
      <c r="K55" s="232"/>
      <c r="L55" s="232"/>
      <c r="M55" s="232"/>
      <c r="N55" s="232"/>
      <c r="O55" s="232"/>
      <c r="P55" s="232"/>
      <c r="Q55" s="232"/>
      <c r="R55" s="232"/>
      <c r="S55" s="232"/>
      <c r="T55" s="232"/>
      <c r="U55" s="232"/>
      <c r="V55" s="232"/>
      <c r="W55" s="232"/>
      <c r="X55" s="232"/>
      <c r="Y55" s="232"/>
      <c r="Z55" s="232"/>
      <c r="AA55" s="232"/>
      <c r="AB55" s="232"/>
      <c r="AC55" s="232"/>
      <c r="AD55" s="232"/>
      <c r="AE55" s="232"/>
      <c r="AF55" s="232"/>
      <c r="AG55" s="232"/>
      <c r="AH55" s="232"/>
      <c r="AI55" s="232"/>
      <c r="AJ55" s="232"/>
      <c r="AK55" s="232"/>
      <c r="AL55" s="232"/>
      <c r="AM55" s="232"/>
      <c r="AN55" s="232"/>
      <c r="AO55" s="232"/>
      <c r="AP55" s="232"/>
      <c r="AQ55" s="232"/>
      <c r="AR55" s="232"/>
      <c r="AS55" s="232"/>
      <c r="AT55" s="232"/>
      <c r="AU55" s="232"/>
      <c r="AV55" s="232"/>
      <c r="AW55" s="232"/>
      <c r="AX55" s="232"/>
      <c r="AY55" s="232"/>
      <c r="AZ55" s="232"/>
      <c r="BA55" s="232"/>
      <c r="BB55" s="232"/>
      <c r="BC55" s="232"/>
      <c r="BD55" s="232"/>
      <c r="BE55" s="232"/>
      <c r="BF55" s="232"/>
      <c r="BG55" s="232"/>
      <c r="BH55" s="232"/>
      <c r="BI55" s="232"/>
      <c r="BJ55" s="232"/>
      <c r="BK55" s="233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25D8-01AE-40AE-9336-0EC872D35B3D}">
  <sheetPr>
    <pageSetUpPr fitToPage="1"/>
  </sheetPr>
  <dimension ref="A1:BK123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1"/>
  </cols>
  <sheetData>
    <row r="1" spans="1:63" ht="24.95" customHeight="1" x14ac:dyDescent="0.25">
      <c r="A1" s="271" t="s">
        <v>105</v>
      </c>
      <c r="B1" s="272"/>
      <c r="C1" s="272"/>
      <c r="D1" s="272"/>
      <c r="E1" s="272"/>
      <c r="F1" s="272"/>
      <c r="G1" s="272"/>
      <c r="H1" s="272"/>
      <c r="I1" s="272"/>
      <c r="J1" s="273"/>
      <c r="K1" s="271" t="s">
        <v>106</v>
      </c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3"/>
      <c r="W1" s="274" t="str">
        <f>IF(表紙!W1="","",表紙!W1)</f>
        <v>詳細設計書</v>
      </c>
      <c r="X1" s="275"/>
      <c r="Y1" s="275"/>
      <c r="Z1" s="275"/>
      <c r="AA1" s="275"/>
      <c r="AB1" s="275"/>
      <c r="AC1" s="275"/>
      <c r="AD1" s="275"/>
      <c r="AE1" s="275"/>
      <c r="AF1" s="275"/>
      <c r="AG1" s="275"/>
      <c r="AH1" s="275"/>
      <c r="AI1" s="275"/>
      <c r="AJ1" s="275"/>
      <c r="AK1" s="275"/>
      <c r="AL1" s="275"/>
      <c r="AM1" s="275"/>
      <c r="AN1" s="275"/>
      <c r="AO1" s="276"/>
      <c r="AP1" s="197" t="s">
        <v>108</v>
      </c>
      <c r="AQ1" s="198"/>
      <c r="AR1" s="198"/>
      <c r="AS1" s="199"/>
      <c r="AT1" s="197" t="s">
        <v>109</v>
      </c>
      <c r="AU1" s="198"/>
      <c r="AV1" s="198"/>
      <c r="AW1" s="198"/>
      <c r="AX1" s="199"/>
      <c r="AY1" s="197" t="s">
        <v>110</v>
      </c>
      <c r="AZ1" s="198"/>
      <c r="BA1" s="198"/>
      <c r="BB1" s="199"/>
      <c r="BC1" s="197" t="s">
        <v>111</v>
      </c>
      <c r="BD1" s="198"/>
      <c r="BE1" s="198"/>
      <c r="BF1" s="198"/>
      <c r="BG1" s="199"/>
      <c r="BH1" s="197" t="s">
        <v>112</v>
      </c>
      <c r="BI1" s="198"/>
      <c r="BJ1" s="198"/>
      <c r="BK1" s="199"/>
    </row>
    <row r="2" spans="1:63" ht="15" customHeight="1" x14ac:dyDescent="0.25">
      <c r="A2" s="142" t="str">
        <f>IF(表紙!A2="","",表紙!A2)</f>
        <v>POSサーバー</v>
      </c>
      <c r="B2" s="143"/>
      <c r="C2" s="143"/>
      <c r="D2" s="143"/>
      <c r="E2" s="143"/>
      <c r="F2" s="143"/>
      <c r="G2" s="143"/>
      <c r="H2" s="143"/>
      <c r="I2" s="143"/>
      <c r="J2" s="144"/>
      <c r="K2" s="142" t="str">
        <f>IF(表紙!K2="","",表紙!K2)</f>
        <v>POSサーバ</v>
      </c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277"/>
      <c r="X2" s="278"/>
      <c r="Y2" s="278"/>
      <c r="Z2" s="278"/>
      <c r="AA2" s="278"/>
      <c r="AB2" s="278"/>
      <c r="AC2" s="278"/>
      <c r="AD2" s="278"/>
      <c r="AE2" s="278"/>
      <c r="AF2" s="278"/>
      <c r="AG2" s="278"/>
      <c r="AH2" s="278"/>
      <c r="AI2" s="278"/>
      <c r="AJ2" s="278"/>
      <c r="AK2" s="278"/>
      <c r="AL2" s="278"/>
      <c r="AM2" s="278"/>
      <c r="AN2" s="278"/>
      <c r="AO2" s="279"/>
      <c r="AP2" s="206" t="str">
        <f>IF(表紙!AP2="","",表紙!AP2)</f>
        <v>DuNT</v>
      </c>
      <c r="AQ2" s="204"/>
      <c r="AR2" s="204"/>
      <c r="AS2" s="205"/>
      <c r="AT2" s="210">
        <f>IF(表紙!AT2="","",表紙!AT2)</f>
        <v>45611</v>
      </c>
      <c r="AU2" s="211"/>
      <c r="AV2" s="211"/>
      <c r="AW2" s="211"/>
      <c r="AX2" s="212"/>
      <c r="AY2" s="206" t="str">
        <f>IF(表紙!AY2="","",表紙!AY2)</f>
        <v>DuNT</v>
      </c>
      <c r="AZ2" s="204"/>
      <c r="BA2" s="204"/>
      <c r="BB2" s="205"/>
      <c r="BC2" s="210">
        <f>IF(表紙!BC2="","",表紙!BC2)</f>
        <v>45611</v>
      </c>
      <c r="BD2" s="211"/>
      <c r="BE2" s="211"/>
      <c r="BF2" s="211"/>
      <c r="BG2" s="212"/>
      <c r="BH2" s="206">
        <f>IF(表紙!BH2="","",表紙!BH2)</f>
        <v>0.1</v>
      </c>
      <c r="BI2" s="204"/>
      <c r="BJ2" s="204"/>
      <c r="BK2" s="205"/>
    </row>
    <row r="3" spans="1:63" ht="15" customHeight="1" x14ac:dyDescent="0.25">
      <c r="A3" s="145"/>
      <c r="B3" s="146"/>
      <c r="C3" s="146"/>
      <c r="D3" s="146"/>
      <c r="E3" s="146"/>
      <c r="F3" s="146"/>
      <c r="G3" s="146"/>
      <c r="H3" s="146"/>
      <c r="I3" s="146"/>
      <c r="J3" s="147"/>
      <c r="K3" s="145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7"/>
      <c r="W3" s="280"/>
      <c r="X3" s="281"/>
      <c r="Y3" s="281"/>
      <c r="Z3" s="281"/>
      <c r="AA3" s="281"/>
      <c r="AB3" s="281"/>
      <c r="AC3" s="281"/>
      <c r="AD3" s="281"/>
      <c r="AE3" s="281"/>
      <c r="AF3" s="281"/>
      <c r="AG3" s="281"/>
      <c r="AH3" s="281"/>
      <c r="AI3" s="281"/>
      <c r="AJ3" s="281"/>
      <c r="AK3" s="281"/>
      <c r="AL3" s="281"/>
      <c r="AM3" s="281"/>
      <c r="AN3" s="281"/>
      <c r="AO3" s="282"/>
      <c r="AP3" s="216"/>
      <c r="AQ3" s="217"/>
      <c r="AR3" s="217"/>
      <c r="AS3" s="218"/>
      <c r="AT3" s="222"/>
      <c r="AU3" s="223"/>
      <c r="AV3" s="223"/>
      <c r="AW3" s="223"/>
      <c r="AX3" s="224"/>
      <c r="AY3" s="216"/>
      <c r="AZ3" s="217"/>
      <c r="BA3" s="217"/>
      <c r="BB3" s="218"/>
      <c r="BC3" s="222"/>
      <c r="BD3" s="223"/>
      <c r="BE3" s="223"/>
      <c r="BF3" s="223"/>
      <c r="BG3" s="224"/>
      <c r="BH3" s="216"/>
      <c r="BI3" s="217"/>
      <c r="BJ3" s="217"/>
      <c r="BK3" s="218"/>
    </row>
    <row r="4" spans="1:63" ht="24.95" customHeight="1" x14ac:dyDescent="0.25">
      <c r="A4" s="271" t="s">
        <v>114</v>
      </c>
      <c r="B4" s="272"/>
      <c r="C4" s="272"/>
      <c r="D4" s="272"/>
      <c r="E4" s="272"/>
      <c r="F4" s="272"/>
      <c r="G4" s="273"/>
      <c r="H4" s="138" t="str">
        <f>IF(表紙!H4="","",表紙!H4)</f>
        <v>82_店舗マスタ設定</v>
      </c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40"/>
      <c r="U4" s="271" t="s">
        <v>115</v>
      </c>
      <c r="V4" s="272"/>
      <c r="W4" s="272"/>
      <c r="X4" s="272"/>
      <c r="Y4" s="273"/>
      <c r="Z4" s="138" t="str">
        <f>IF(表紙!Z4="","",表紙!Z4)</f>
        <v>画面設計書</v>
      </c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40"/>
      <c r="AP4" s="141" t="str">
        <f ca="1">MID(CELL("filename",A1),FIND("]",CELL("filename",A1))+1,255)</f>
        <v>SC8201</v>
      </c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4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5"/>
      <c r="BK6" s="6"/>
    </row>
    <row r="7" spans="1:63" ht="15" customHeight="1" x14ac:dyDescent="0.25">
      <c r="A7" s="5"/>
      <c r="B7" s="7" t="s">
        <v>122</v>
      </c>
      <c r="C7" s="283"/>
      <c r="D7" s="283"/>
      <c r="E7" s="283"/>
      <c r="F7" s="283"/>
      <c r="G7" s="283"/>
      <c r="H7" s="283"/>
      <c r="I7" s="283"/>
      <c r="J7" s="283"/>
      <c r="AE7" s="7"/>
      <c r="BK7" s="6"/>
    </row>
    <row r="8" spans="1:63" ht="15" customHeight="1" x14ac:dyDescent="0.25">
      <c r="A8" s="5"/>
      <c r="BK8" s="6"/>
    </row>
    <row r="9" spans="1:63" ht="15" customHeight="1" x14ac:dyDescent="0.25">
      <c r="A9" s="5"/>
      <c r="BK9" s="6"/>
    </row>
    <row r="10" spans="1:63" ht="15" customHeight="1" x14ac:dyDescent="0.25">
      <c r="A10" s="5"/>
      <c r="BK10" s="6"/>
    </row>
    <row r="11" spans="1:63" ht="15" customHeight="1" x14ac:dyDescent="0.25">
      <c r="A11" s="5"/>
      <c r="BK11" s="6"/>
    </row>
    <row r="12" spans="1:63" ht="15" customHeight="1" x14ac:dyDescent="0.25">
      <c r="A12" s="5"/>
      <c r="BK12" s="6"/>
    </row>
    <row r="13" spans="1:63" ht="15" customHeight="1" x14ac:dyDescent="0.25">
      <c r="A13" s="5"/>
      <c r="BK13" s="6"/>
    </row>
    <row r="14" spans="1:63" ht="15" customHeight="1" x14ac:dyDescent="0.25">
      <c r="A14" s="5"/>
      <c r="BK14" s="6"/>
    </row>
    <row r="15" spans="1:63" ht="15" customHeight="1" x14ac:dyDescent="0.25">
      <c r="A15" s="5"/>
      <c r="BK15" s="6"/>
    </row>
    <row r="16" spans="1:63" ht="15" customHeight="1" x14ac:dyDescent="0.25">
      <c r="A16" s="5"/>
      <c r="BK16" s="6"/>
    </row>
    <row r="17" spans="1:63" ht="15" customHeight="1" x14ac:dyDescent="0.25">
      <c r="A17" s="5"/>
      <c r="BK17" s="6"/>
    </row>
    <row r="18" spans="1:63" ht="15" customHeight="1" x14ac:dyDescent="0.25">
      <c r="A18" s="5"/>
      <c r="BK18" s="6"/>
    </row>
    <row r="19" spans="1:63" ht="15" customHeight="1" x14ac:dyDescent="0.25">
      <c r="A19" s="5"/>
      <c r="BK19" s="6"/>
    </row>
    <row r="20" spans="1:63" ht="15" customHeight="1" x14ac:dyDescent="0.25">
      <c r="A20" s="5"/>
      <c r="BK20" s="6"/>
    </row>
    <row r="21" spans="1:63" ht="15" customHeight="1" x14ac:dyDescent="0.25">
      <c r="A21" s="5"/>
      <c r="BK21" s="6"/>
    </row>
    <row r="22" spans="1:63" ht="15" customHeight="1" x14ac:dyDescent="0.25">
      <c r="A22" s="5"/>
      <c r="BK22" s="6"/>
    </row>
    <row r="23" spans="1:63" ht="15" customHeight="1" x14ac:dyDescent="0.25">
      <c r="A23" s="5"/>
      <c r="BK23" s="6"/>
    </row>
    <row r="24" spans="1:63" ht="15" customHeight="1" x14ac:dyDescent="0.25">
      <c r="A24" s="5"/>
      <c r="BK24" s="6"/>
    </row>
    <row r="25" spans="1:63" ht="14.25" customHeight="1" x14ac:dyDescent="0.25">
      <c r="A25" s="5"/>
      <c r="BK25" s="6"/>
    </row>
    <row r="26" spans="1:63" ht="15" customHeight="1" x14ac:dyDescent="0.25">
      <c r="A26" s="5"/>
      <c r="BK26" s="6"/>
    </row>
    <row r="27" spans="1:63" ht="15" customHeight="1" x14ac:dyDescent="0.25">
      <c r="A27" s="5"/>
      <c r="BK27" s="6"/>
    </row>
    <row r="28" spans="1:63" x14ac:dyDescent="0.25">
      <c r="A28" s="5"/>
      <c r="BK28" s="6"/>
    </row>
    <row r="29" spans="1:63" x14ac:dyDescent="0.25">
      <c r="A29" s="5"/>
      <c r="BK29" s="6"/>
    </row>
    <row r="30" spans="1:63" x14ac:dyDescent="0.25">
      <c r="A30" s="5"/>
      <c r="BK30" s="6"/>
    </row>
    <row r="31" spans="1:63" x14ac:dyDescent="0.25">
      <c r="A31" s="5"/>
      <c r="BK31" s="6"/>
    </row>
    <row r="32" spans="1:63" x14ac:dyDescent="0.25">
      <c r="A32" s="5"/>
      <c r="BK32" s="6"/>
    </row>
    <row r="33" spans="1:63" x14ac:dyDescent="0.25">
      <c r="A33" s="5"/>
      <c r="BK33" s="6"/>
    </row>
    <row r="34" spans="1:63" x14ac:dyDescent="0.25">
      <c r="A34" s="5"/>
      <c r="BK34" s="6"/>
    </row>
    <row r="35" spans="1:63" x14ac:dyDescent="0.25">
      <c r="A35" s="5"/>
      <c r="BK35" s="6"/>
    </row>
    <row r="36" spans="1:63" x14ac:dyDescent="0.25">
      <c r="A36" s="5"/>
      <c r="BK36" s="6"/>
    </row>
    <row r="37" spans="1:63" x14ac:dyDescent="0.25">
      <c r="A37" s="5"/>
      <c r="BK37" s="6"/>
    </row>
    <row r="38" spans="1:63" x14ac:dyDescent="0.25">
      <c r="A38" s="5"/>
      <c r="BK38" s="6"/>
    </row>
    <row r="39" spans="1:63" ht="15" customHeight="1" x14ac:dyDescent="0.25">
      <c r="A39" s="5"/>
      <c r="B39" s="7" t="s">
        <v>123</v>
      </c>
      <c r="BK39" s="6"/>
    </row>
    <row r="40" spans="1:63" x14ac:dyDescent="0.25">
      <c r="A40" s="5"/>
      <c r="BK40" s="6"/>
    </row>
    <row r="41" spans="1:63" ht="15.75" customHeight="1" x14ac:dyDescent="0.25">
      <c r="A41" s="5"/>
      <c r="B41" s="68" t="s">
        <v>124</v>
      </c>
      <c r="C41" s="69"/>
      <c r="D41" s="74" t="s">
        <v>125</v>
      </c>
      <c r="E41" s="75"/>
      <c r="F41" s="75"/>
      <c r="G41" s="75"/>
      <c r="H41" s="75"/>
      <c r="I41" s="75"/>
      <c r="J41" s="69"/>
      <c r="K41" s="74" t="s">
        <v>126</v>
      </c>
      <c r="L41" s="75"/>
      <c r="M41" s="69"/>
      <c r="N41" s="78" t="s">
        <v>3</v>
      </c>
      <c r="O41" s="81" t="s">
        <v>127</v>
      </c>
      <c r="P41" s="112" t="s">
        <v>128</v>
      </c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4"/>
      <c r="AR41" s="85" t="s">
        <v>129</v>
      </c>
      <c r="AS41" s="86"/>
      <c r="AT41" s="86"/>
      <c r="AU41" s="86"/>
      <c r="AV41" s="86"/>
      <c r="AW41" s="86"/>
      <c r="AX41" s="86"/>
      <c r="AY41" s="86"/>
      <c r="AZ41" s="86"/>
      <c r="BA41" s="86"/>
      <c r="BB41" s="87"/>
      <c r="BC41" s="88" t="s">
        <v>130</v>
      </c>
      <c r="BD41" s="89"/>
      <c r="BE41" s="89"/>
      <c r="BF41" s="89"/>
      <c r="BG41" s="89"/>
      <c r="BH41" s="89"/>
      <c r="BI41" s="89"/>
      <c r="BJ41" s="90"/>
      <c r="BK41" s="6"/>
    </row>
    <row r="42" spans="1:63" ht="15.75" customHeight="1" x14ac:dyDescent="0.25">
      <c r="A42" s="5"/>
      <c r="B42" s="70"/>
      <c r="C42" s="71"/>
      <c r="D42" s="70"/>
      <c r="E42" s="76"/>
      <c r="F42" s="76"/>
      <c r="G42" s="76"/>
      <c r="H42" s="76"/>
      <c r="I42" s="76"/>
      <c r="J42" s="71"/>
      <c r="K42" s="70"/>
      <c r="L42" s="76"/>
      <c r="M42" s="71"/>
      <c r="N42" s="79"/>
      <c r="O42" s="82"/>
      <c r="P42" s="97" t="s">
        <v>131</v>
      </c>
      <c r="Q42" s="98"/>
      <c r="R42" s="98"/>
      <c r="S42" s="98"/>
      <c r="T42" s="98"/>
      <c r="U42" s="98"/>
      <c r="V42" s="98"/>
      <c r="W42" s="99"/>
      <c r="X42" s="100" t="s">
        <v>132</v>
      </c>
      <c r="Y42" s="101"/>
      <c r="Z42" s="102"/>
      <c r="AA42" s="100" t="s">
        <v>133</v>
      </c>
      <c r="AB42" s="101"/>
      <c r="AC42" s="101"/>
      <c r="AD42" s="101"/>
      <c r="AE42" s="101"/>
      <c r="AF42" s="101"/>
      <c r="AG42" s="101"/>
      <c r="AH42" s="102"/>
      <c r="AI42" s="100" t="s">
        <v>134</v>
      </c>
      <c r="AJ42" s="101"/>
      <c r="AK42" s="101"/>
      <c r="AL42" s="101"/>
      <c r="AM42" s="101"/>
      <c r="AN42" s="101"/>
      <c r="AO42" s="101"/>
      <c r="AP42" s="101"/>
      <c r="AQ42" s="102"/>
      <c r="AR42" s="106" t="s">
        <v>4</v>
      </c>
      <c r="AS42" s="108" t="s">
        <v>135</v>
      </c>
      <c r="AT42" s="110" t="s">
        <v>136</v>
      </c>
      <c r="AU42" s="85" t="s">
        <v>131</v>
      </c>
      <c r="AV42" s="86"/>
      <c r="AW42" s="86"/>
      <c r="AX42" s="86"/>
      <c r="AY42" s="86"/>
      <c r="AZ42" s="86"/>
      <c r="BA42" s="86"/>
      <c r="BB42" s="87"/>
      <c r="BC42" s="91"/>
      <c r="BD42" s="92"/>
      <c r="BE42" s="92"/>
      <c r="BF42" s="92"/>
      <c r="BG42" s="92"/>
      <c r="BH42" s="92"/>
      <c r="BI42" s="92"/>
      <c r="BJ42" s="93"/>
      <c r="BK42" s="6"/>
    </row>
    <row r="43" spans="1:63" x14ac:dyDescent="0.25">
      <c r="A43" s="5"/>
      <c r="B43" s="72"/>
      <c r="C43" s="73"/>
      <c r="D43" s="72"/>
      <c r="E43" s="77"/>
      <c r="F43" s="77"/>
      <c r="G43" s="77"/>
      <c r="H43" s="77"/>
      <c r="I43" s="77"/>
      <c r="J43" s="73"/>
      <c r="K43" s="72"/>
      <c r="L43" s="77"/>
      <c r="M43" s="73"/>
      <c r="N43" s="80"/>
      <c r="O43" s="83"/>
      <c r="P43" s="112" t="s">
        <v>137</v>
      </c>
      <c r="Q43" s="113"/>
      <c r="R43" s="113"/>
      <c r="S43" s="114"/>
      <c r="T43" s="112" t="s">
        <v>125</v>
      </c>
      <c r="U43" s="113"/>
      <c r="V43" s="113"/>
      <c r="W43" s="114"/>
      <c r="X43" s="103"/>
      <c r="Y43" s="104"/>
      <c r="Z43" s="105"/>
      <c r="AA43" s="103"/>
      <c r="AB43" s="104"/>
      <c r="AC43" s="104"/>
      <c r="AD43" s="104"/>
      <c r="AE43" s="104"/>
      <c r="AF43" s="104"/>
      <c r="AG43" s="104"/>
      <c r="AH43" s="105"/>
      <c r="AI43" s="103"/>
      <c r="AJ43" s="104"/>
      <c r="AK43" s="104"/>
      <c r="AL43" s="104"/>
      <c r="AM43" s="104"/>
      <c r="AN43" s="104"/>
      <c r="AO43" s="104"/>
      <c r="AP43" s="104"/>
      <c r="AQ43" s="105"/>
      <c r="AR43" s="107"/>
      <c r="AS43" s="109"/>
      <c r="AT43" s="111"/>
      <c r="AU43" s="85" t="s">
        <v>137</v>
      </c>
      <c r="AV43" s="86"/>
      <c r="AW43" s="86"/>
      <c r="AX43" s="115"/>
      <c r="AY43" s="116" t="s">
        <v>125</v>
      </c>
      <c r="AZ43" s="86"/>
      <c r="BA43" s="86"/>
      <c r="BB43" s="87"/>
      <c r="BC43" s="94"/>
      <c r="BD43" s="95"/>
      <c r="BE43" s="95"/>
      <c r="BF43" s="95"/>
      <c r="BG43" s="95"/>
      <c r="BH43" s="95"/>
      <c r="BI43" s="95"/>
      <c r="BJ43" s="96"/>
      <c r="BK43" s="6"/>
    </row>
    <row r="44" spans="1:63" ht="15.75" customHeight="1" x14ac:dyDescent="0.25">
      <c r="A44" s="5"/>
      <c r="B44" s="127">
        <v>0</v>
      </c>
      <c r="C44" s="128"/>
      <c r="D44" s="129" t="s">
        <v>18</v>
      </c>
      <c r="E44" s="130"/>
      <c r="F44" s="130"/>
      <c r="G44" s="130"/>
      <c r="H44" s="130"/>
      <c r="I44" s="130"/>
      <c r="J44" s="131"/>
      <c r="K44" s="45" t="s">
        <v>5</v>
      </c>
      <c r="L44" s="46"/>
      <c r="M44" s="47"/>
      <c r="N44" s="15" t="s">
        <v>6</v>
      </c>
      <c r="O44" s="9" t="s">
        <v>7</v>
      </c>
      <c r="P44" s="132" t="s">
        <v>6</v>
      </c>
      <c r="Q44" s="133"/>
      <c r="R44" s="133"/>
      <c r="S44" s="128"/>
      <c r="T44" s="132" t="s">
        <v>6</v>
      </c>
      <c r="U44" s="133"/>
      <c r="V44" s="133"/>
      <c r="W44" s="128"/>
      <c r="X44" s="284" t="s">
        <v>28</v>
      </c>
      <c r="Y44" s="285"/>
      <c r="Z44" s="286"/>
      <c r="AA44" s="127" t="s">
        <v>8</v>
      </c>
      <c r="AB44" s="133"/>
      <c r="AC44" s="133"/>
      <c r="AD44" s="133"/>
      <c r="AE44" s="133"/>
      <c r="AF44" s="133"/>
      <c r="AG44" s="133"/>
      <c r="AH44" s="128"/>
      <c r="AI44" s="127" t="s">
        <v>6</v>
      </c>
      <c r="AJ44" s="133"/>
      <c r="AK44" s="133"/>
      <c r="AL44" s="133"/>
      <c r="AM44" s="133"/>
      <c r="AN44" s="133"/>
      <c r="AO44" s="133"/>
      <c r="AP44" s="133"/>
      <c r="AQ44" s="128"/>
      <c r="AR44" s="10" t="s">
        <v>6</v>
      </c>
      <c r="AS44" s="10" t="s">
        <v>8</v>
      </c>
      <c r="AT44" s="10" t="s">
        <v>8</v>
      </c>
      <c r="AU44" s="127" t="s">
        <v>9</v>
      </c>
      <c r="AV44" s="133"/>
      <c r="AW44" s="133"/>
      <c r="AX44" s="128"/>
      <c r="AY44" s="127" t="s">
        <v>8</v>
      </c>
      <c r="AZ44" s="133"/>
      <c r="BA44" s="133"/>
      <c r="BB44" s="128"/>
      <c r="BC44" s="287" t="s">
        <v>19</v>
      </c>
      <c r="BD44" s="288"/>
      <c r="BE44" s="288"/>
      <c r="BF44" s="288"/>
      <c r="BG44" s="288"/>
      <c r="BH44" s="288"/>
      <c r="BI44" s="288"/>
      <c r="BJ44" s="289"/>
      <c r="BK44" s="6"/>
    </row>
    <row r="45" spans="1:63" x14ac:dyDescent="0.25">
      <c r="A45" s="5"/>
      <c r="B45" s="33">
        <v>1</v>
      </c>
      <c r="C45" s="35"/>
      <c r="D45" s="126" t="s">
        <v>20</v>
      </c>
      <c r="E45" s="135"/>
      <c r="F45" s="135"/>
      <c r="G45" s="135"/>
      <c r="H45" s="135"/>
      <c r="I45" s="135"/>
      <c r="J45" s="136"/>
      <c r="K45" s="45" t="s">
        <v>5</v>
      </c>
      <c r="L45" s="46"/>
      <c r="M45" s="47"/>
      <c r="N45" s="9" t="s">
        <v>6</v>
      </c>
      <c r="O45" s="9" t="s">
        <v>7</v>
      </c>
      <c r="P45" s="33" t="s">
        <v>6</v>
      </c>
      <c r="Q45" s="34"/>
      <c r="R45" s="34"/>
      <c r="S45" s="35"/>
      <c r="T45" s="33" t="s">
        <v>6</v>
      </c>
      <c r="U45" s="34"/>
      <c r="V45" s="34"/>
      <c r="W45" s="35"/>
      <c r="X45" s="137" t="s">
        <v>138</v>
      </c>
      <c r="Y45" s="59"/>
      <c r="Z45" s="60"/>
      <c r="AA45" s="33" t="s">
        <v>8</v>
      </c>
      <c r="AB45" s="34"/>
      <c r="AC45" s="34"/>
      <c r="AD45" s="34"/>
      <c r="AE45" s="34"/>
      <c r="AF45" s="34"/>
      <c r="AG45" s="34"/>
      <c r="AH45" s="35"/>
      <c r="AI45" s="36" t="s">
        <v>6</v>
      </c>
      <c r="AJ45" s="37"/>
      <c r="AK45" s="37"/>
      <c r="AL45" s="37"/>
      <c r="AM45" s="37"/>
      <c r="AN45" s="37"/>
      <c r="AO45" s="37"/>
      <c r="AP45" s="37"/>
      <c r="AQ45" s="38"/>
      <c r="AR45" s="11" t="s">
        <v>6</v>
      </c>
      <c r="AS45" s="11" t="s">
        <v>8</v>
      </c>
      <c r="AT45" s="11" t="s">
        <v>8</v>
      </c>
      <c r="AU45" s="33" t="s">
        <v>9</v>
      </c>
      <c r="AV45" s="34"/>
      <c r="AW45" s="34"/>
      <c r="AX45" s="35"/>
      <c r="AY45" s="33" t="s">
        <v>8</v>
      </c>
      <c r="AZ45" s="34"/>
      <c r="BA45" s="34"/>
      <c r="BB45" s="35"/>
      <c r="BC45" s="117"/>
      <c r="BD45" s="118"/>
      <c r="BE45" s="118"/>
      <c r="BF45" s="118"/>
      <c r="BG45" s="118"/>
      <c r="BH45" s="118"/>
      <c r="BI45" s="118"/>
      <c r="BJ45" s="119"/>
      <c r="BK45" s="6"/>
    </row>
    <row r="46" spans="1:63" ht="15.75" customHeight="1" x14ac:dyDescent="0.25">
      <c r="A46" s="5"/>
      <c r="B46" s="33">
        <v>2</v>
      </c>
      <c r="C46" s="35"/>
      <c r="D46" s="126" t="s">
        <v>21</v>
      </c>
      <c r="E46" s="135"/>
      <c r="F46" s="135"/>
      <c r="G46" s="135"/>
      <c r="H46" s="135"/>
      <c r="I46" s="135"/>
      <c r="J46" s="136"/>
      <c r="K46" s="57" t="s">
        <v>139</v>
      </c>
      <c r="L46" s="46"/>
      <c r="M46" s="47"/>
      <c r="N46" s="16" t="s">
        <v>140</v>
      </c>
      <c r="O46" s="9" t="s">
        <v>6</v>
      </c>
      <c r="P46" s="33" t="s">
        <v>9</v>
      </c>
      <c r="Q46" s="34"/>
      <c r="R46" s="34"/>
      <c r="S46" s="35"/>
      <c r="T46" s="33" t="s">
        <v>9</v>
      </c>
      <c r="U46" s="34"/>
      <c r="V46" s="34"/>
      <c r="W46" s="35"/>
      <c r="X46" s="64" t="s">
        <v>6</v>
      </c>
      <c r="Y46" s="65"/>
      <c r="Z46" s="66"/>
      <c r="AA46" s="33" t="s">
        <v>8</v>
      </c>
      <c r="AB46" s="34"/>
      <c r="AC46" s="34"/>
      <c r="AD46" s="34"/>
      <c r="AE46" s="34"/>
      <c r="AF46" s="34"/>
      <c r="AG46" s="34"/>
      <c r="AH46" s="35"/>
      <c r="AI46" s="58" t="s">
        <v>141</v>
      </c>
      <c r="AJ46" s="37"/>
      <c r="AK46" s="37"/>
      <c r="AL46" s="37"/>
      <c r="AM46" s="37"/>
      <c r="AN46" s="37"/>
      <c r="AO46" s="37"/>
      <c r="AP46" s="37"/>
      <c r="AQ46" s="38"/>
      <c r="AR46" s="11" t="s">
        <v>6</v>
      </c>
      <c r="AS46" s="9" t="s">
        <v>7</v>
      </c>
      <c r="AT46" s="11" t="s">
        <v>8</v>
      </c>
      <c r="AU46" s="67" t="s">
        <v>142</v>
      </c>
      <c r="AV46" s="34"/>
      <c r="AW46" s="34"/>
      <c r="AX46" s="35"/>
      <c r="AY46" s="67" t="s">
        <v>143</v>
      </c>
      <c r="AZ46" s="34"/>
      <c r="BA46" s="34"/>
      <c r="BB46" s="35"/>
      <c r="BC46" s="134" t="s">
        <v>89</v>
      </c>
      <c r="BD46" s="46"/>
      <c r="BE46" s="46"/>
      <c r="BF46" s="46"/>
      <c r="BG46" s="46"/>
      <c r="BH46" s="46"/>
      <c r="BI46" s="46"/>
      <c r="BJ46" s="47"/>
      <c r="BK46" s="6"/>
    </row>
    <row r="47" spans="1:63" x14ac:dyDescent="0.25">
      <c r="A47" s="5"/>
      <c r="B47" s="33">
        <v>3</v>
      </c>
      <c r="C47" s="35"/>
      <c r="D47" s="54" t="s">
        <v>25</v>
      </c>
      <c r="E47" s="55"/>
      <c r="F47" s="55"/>
      <c r="G47" s="55"/>
      <c r="H47" s="55"/>
      <c r="I47" s="55"/>
      <c r="J47" s="56"/>
      <c r="K47" s="57" t="s">
        <v>144</v>
      </c>
      <c r="L47" s="46"/>
      <c r="M47" s="47"/>
      <c r="N47" s="9" t="s">
        <v>11</v>
      </c>
      <c r="O47" s="9" t="s">
        <v>6</v>
      </c>
      <c r="P47" s="67" t="s">
        <v>6</v>
      </c>
      <c r="Q47" s="34"/>
      <c r="R47" s="34"/>
      <c r="S47" s="35"/>
      <c r="T47" s="33"/>
      <c r="U47" s="34"/>
      <c r="V47" s="34"/>
      <c r="W47" s="35"/>
      <c r="X47" s="126" t="s">
        <v>32</v>
      </c>
      <c r="Y47" s="46"/>
      <c r="Z47" s="47"/>
      <c r="AA47" s="33" t="s">
        <v>8</v>
      </c>
      <c r="AB47" s="34"/>
      <c r="AC47" s="34"/>
      <c r="AD47" s="34"/>
      <c r="AE47" s="34"/>
      <c r="AF47" s="34"/>
      <c r="AG47" s="34"/>
      <c r="AH47" s="35"/>
      <c r="AI47" s="58" t="s">
        <v>141</v>
      </c>
      <c r="AJ47" s="59"/>
      <c r="AK47" s="59"/>
      <c r="AL47" s="59"/>
      <c r="AM47" s="59"/>
      <c r="AN47" s="59"/>
      <c r="AO47" s="59"/>
      <c r="AP47" s="59"/>
      <c r="AQ47" s="60"/>
      <c r="AR47" s="11" t="s">
        <v>6</v>
      </c>
      <c r="AS47" s="11" t="s">
        <v>8</v>
      </c>
      <c r="AT47" s="11" t="s">
        <v>8</v>
      </c>
      <c r="AU47" s="67" t="s">
        <v>142</v>
      </c>
      <c r="AV47" s="34"/>
      <c r="AW47" s="34"/>
      <c r="AX47" s="35"/>
      <c r="AY47" s="58" t="s">
        <v>145</v>
      </c>
      <c r="AZ47" s="37"/>
      <c r="BA47" s="37"/>
      <c r="BB47" s="38"/>
      <c r="BC47" s="117"/>
      <c r="BD47" s="118"/>
      <c r="BE47" s="118"/>
      <c r="BF47" s="118"/>
      <c r="BG47" s="118"/>
      <c r="BH47" s="118"/>
      <c r="BI47" s="118"/>
      <c r="BJ47" s="119"/>
      <c r="BK47" s="6"/>
    </row>
    <row r="48" spans="1:63" x14ac:dyDescent="0.25">
      <c r="A48" s="5"/>
      <c r="B48" s="33">
        <v>4</v>
      </c>
      <c r="C48" s="35"/>
      <c r="D48" s="290" t="s">
        <v>23</v>
      </c>
      <c r="E48" s="291"/>
      <c r="F48" s="291"/>
      <c r="G48" s="291"/>
      <c r="H48" s="291"/>
      <c r="I48" s="291"/>
      <c r="J48" s="292"/>
      <c r="K48" s="45" t="s">
        <v>5</v>
      </c>
      <c r="L48" s="46"/>
      <c r="M48" s="47"/>
      <c r="N48" s="9" t="s">
        <v>6</v>
      </c>
      <c r="O48" s="9" t="s">
        <v>7</v>
      </c>
      <c r="P48" s="33" t="s">
        <v>9</v>
      </c>
      <c r="Q48" s="34"/>
      <c r="R48" s="34"/>
      <c r="S48" s="35"/>
      <c r="T48" s="33" t="s">
        <v>9</v>
      </c>
      <c r="U48" s="34"/>
      <c r="V48" s="34"/>
      <c r="W48" s="35"/>
      <c r="X48" s="120" t="s">
        <v>146</v>
      </c>
      <c r="Y48" s="121"/>
      <c r="Z48" s="122"/>
      <c r="AA48" s="33" t="s">
        <v>8</v>
      </c>
      <c r="AB48" s="34"/>
      <c r="AC48" s="34"/>
      <c r="AD48" s="34"/>
      <c r="AE48" s="34"/>
      <c r="AF48" s="34"/>
      <c r="AG48" s="34"/>
      <c r="AH48" s="35"/>
      <c r="AI48" s="36" t="s">
        <v>8</v>
      </c>
      <c r="AJ48" s="37"/>
      <c r="AK48" s="37"/>
      <c r="AL48" s="37"/>
      <c r="AM48" s="37"/>
      <c r="AN48" s="37"/>
      <c r="AO48" s="37"/>
      <c r="AP48" s="37"/>
      <c r="AQ48" s="38"/>
      <c r="AR48" s="11" t="s">
        <v>6</v>
      </c>
      <c r="AS48" s="11" t="s">
        <v>8</v>
      </c>
      <c r="AT48" s="11" t="s">
        <v>8</v>
      </c>
      <c r="AU48" s="33" t="s">
        <v>9</v>
      </c>
      <c r="AV48" s="34"/>
      <c r="AW48" s="34"/>
      <c r="AX48" s="35"/>
      <c r="AY48" s="33" t="s">
        <v>8</v>
      </c>
      <c r="AZ48" s="34"/>
      <c r="BA48" s="34"/>
      <c r="BB48" s="35"/>
      <c r="BC48" s="117"/>
      <c r="BD48" s="118"/>
      <c r="BE48" s="118"/>
      <c r="BF48" s="118"/>
      <c r="BG48" s="118"/>
      <c r="BH48" s="118"/>
      <c r="BI48" s="118"/>
      <c r="BJ48" s="119"/>
      <c r="BK48" s="6"/>
    </row>
    <row r="49" spans="1:63" x14ac:dyDescent="0.25">
      <c r="A49" s="5"/>
      <c r="B49" s="33">
        <v>5</v>
      </c>
      <c r="C49" s="35"/>
      <c r="D49" s="54" t="s">
        <v>24</v>
      </c>
      <c r="E49" s="55"/>
      <c r="F49" s="55"/>
      <c r="G49" s="55"/>
      <c r="H49" s="55"/>
      <c r="I49" s="55"/>
      <c r="J49" s="56"/>
      <c r="K49" s="45" t="s">
        <v>13</v>
      </c>
      <c r="L49" s="46"/>
      <c r="M49" s="47"/>
      <c r="N49" s="12" t="s">
        <v>11</v>
      </c>
      <c r="O49" s="9" t="s">
        <v>6</v>
      </c>
      <c r="P49" s="33" t="s">
        <v>9</v>
      </c>
      <c r="Q49" s="34"/>
      <c r="R49" s="34"/>
      <c r="S49" s="35"/>
      <c r="T49" s="33" t="s">
        <v>9</v>
      </c>
      <c r="U49" s="34"/>
      <c r="V49" s="34"/>
      <c r="W49" s="35"/>
      <c r="X49" s="64" t="s">
        <v>6</v>
      </c>
      <c r="Y49" s="65"/>
      <c r="Z49" s="66"/>
      <c r="AA49" s="33" t="s">
        <v>8</v>
      </c>
      <c r="AB49" s="34"/>
      <c r="AC49" s="34"/>
      <c r="AD49" s="34"/>
      <c r="AE49" s="34"/>
      <c r="AF49" s="34"/>
      <c r="AG49" s="34"/>
      <c r="AH49" s="35"/>
      <c r="AI49" s="58" t="s">
        <v>141</v>
      </c>
      <c r="AJ49" s="59"/>
      <c r="AK49" s="59"/>
      <c r="AL49" s="59"/>
      <c r="AM49" s="59"/>
      <c r="AN49" s="59"/>
      <c r="AO49" s="59"/>
      <c r="AP49" s="59"/>
      <c r="AQ49" s="60"/>
      <c r="AR49" s="11" t="s">
        <v>6</v>
      </c>
      <c r="AS49" s="11" t="s">
        <v>8</v>
      </c>
      <c r="AT49" s="11" t="s">
        <v>8</v>
      </c>
      <c r="AU49" s="33" t="s">
        <v>9</v>
      </c>
      <c r="AV49" s="34"/>
      <c r="AW49" s="34"/>
      <c r="AX49" s="35"/>
      <c r="AY49" s="67" t="s">
        <v>147</v>
      </c>
      <c r="AZ49" s="34"/>
      <c r="BA49" s="34"/>
      <c r="BB49" s="35"/>
      <c r="BC49" s="117"/>
      <c r="BD49" s="118"/>
      <c r="BE49" s="118"/>
      <c r="BF49" s="118"/>
      <c r="BG49" s="118"/>
      <c r="BH49" s="118"/>
      <c r="BI49" s="118"/>
      <c r="BJ49" s="119"/>
      <c r="BK49" s="6"/>
    </row>
    <row r="50" spans="1:63" x14ac:dyDescent="0.25">
      <c r="A50" s="5"/>
      <c r="B50" s="33">
        <v>6</v>
      </c>
      <c r="C50" s="35"/>
      <c r="D50" s="54" t="s">
        <v>26</v>
      </c>
      <c r="E50" s="55"/>
      <c r="F50" s="55"/>
      <c r="G50" s="55"/>
      <c r="H50" s="55"/>
      <c r="I50" s="55"/>
      <c r="J50" s="56"/>
      <c r="K50" s="45" t="s">
        <v>22</v>
      </c>
      <c r="L50" s="46"/>
      <c r="M50" s="47"/>
      <c r="N50" s="12" t="s">
        <v>11</v>
      </c>
      <c r="O50" s="9" t="s">
        <v>6</v>
      </c>
      <c r="P50" s="33" t="s">
        <v>9</v>
      </c>
      <c r="Q50" s="34"/>
      <c r="R50" s="34"/>
      <c r="S50" s="35"/>
      <c r="T50" s="33" t="s">
        <v>9</v>
      </c>
      <c r="U50" s="34"/>
      <c r="V50" s="34"/>
      <c r="W50" s="35"/>
      <c r="X50" s="126" t="s">
        <v>32</v>
      </c>
      <c r="Y50" s="46"/>
      <c r="Z50" s="47"/>
      <c r="AA50" s="33" t="s">
        <v>8</v>
      </c>
      <c r="AB50" s="34"/>
      <c r="AC50" s="34"/>
      <c r="AD50" s="34"/>
      <c r="AE50" s="34"/>
      <c r="AF50" s="34"/>
      <c r="AG50" s="34"/>
      <c r="AH50" s="35"/>
      <c r="AI50" s="58" t="s">
        <v>141</v>
      </c>
      <c r="AJ50" s="59"/>
      <c r="AK50" s="59"/>
      <c r="AL50" s="59"/>
      <c r="AM50" s="59"/>
      <c r="AN50" s="59"/>
      <c r="AO50" s="59"/>
      <c r="AP50" s="59"/>
      <c r="AQ50" s="60"/>
      <c r="AR50" s="11" t="s">
        <v>6</v>
      </c>
      <c r="AS50" s="11" t="s">
        <v>8</v>
      </c>
      <c r="AT50" s="11" t="s">
        <v>8</v>
      </c>
      <c r="AU50" s="33" t="s">
        <v>27</v>
      </c>
      <c r="AV50" s="34"/>
      <c r="AW50" s="34"/>
      <c r="AX50" s="35"/>
      <c r="AY50" s="58" t="s">
        <v>148</v>
      </c>
      <c r="AZ50" s="37"/>
      <c r="BA50" s="37"/>
      <c r="BB50" s="38"/>
      <c r="BC50" s="117"/>
      <c r="BD50" s="118"/>
      <c r="BE50" s="118"/>
      <c r="BF50" s="118"/>
      <c r="BG50" s="118"/>
      <c r="BH50" s="118"/>
      <c r="BI50" s="118"/>
      <c r="BJ50" s="119"/>
      <c r="BK50" s="6"/>
    </row>
    <row r="51" spans="1:63" s="21" customFormat="1" x14ac:dyDescent="0.25">
      <c r="A51" s="19"/>
      <c r="B51" s="33">
        <v>7</v>
      </c>
      <c r="C51" s="35"/>
      <c r="D51" s="54" t="s">
        <v>68</v>
      </c>
      <c r="E51" s="55"/>
      <c r="F51" s="55"/>
      <c r="G51" s="55"/>
      <c r="H51" s="55"/>
      <c r="I51" s="55"/>
      <c r="J51" s="56"/>
      <c r="K51" s="45" t="s">
        <v>5</v>
      </c>
      <c r="L51" s="46"/>
      <c r="M51" s="47"/>
      <c r="N51" s="12" t="s">
        <v>11</v>
      </c>
      <c r="O51" s="9" t="s">
        <v>6</v>
      </c>
      <c r="P51" s="33" t="s">
        <v>6</v>
      </c>
      <c r="Q51" s="34"/>
      <c r="R51" s="34"/>
      <c r="S51" s="35"/>
      <c r="T51" s="33" t="s">
        <v>6</v>
      </c>
      <c r="U51" s="34"/>
      <c r="V51" s="34"/>
      <c r="W51" s="35"/>
      <c r="X51" s="126" t="s">
        <v>73</v>
      </c>
      <c r="Y51" s="46"/>
      <c r="Z51" s="47"/>
      <c r="AA51" s="33" t="s">
        <v>8</v>
      </c>
      <c r="AB51" s="34"/>
      <c r="AC51" s="34"/>
      <c r="AD51" s="34"/>
      <c r="AE51" s="34"/>
      <c r="AF51" s="34"/>
      <c r="AG51" s="34"/>
      <c r="AH51" s="35"/>
      <c r="AI51" s="36" t="s">
        <v>29</v>
      </c>
      <c r="AJ51" s="37"/>
      <c r="AK51" s="37"/>
      <c r="AL51" s="37"/>
      <c r="AM51" s="37"/>
      <c r="AN51" s="37"/>
      <c r="AO51" s="37"/>
      <c r="AP51" s="37"/>
      <c r="AQ51" s="38"/>
      <c r="AR51" s="11" t="s">
        <v>6</v>
      </c>
      <c r="AS51" s="11" t="s">
        <v>8</v>
      </c>
      <c r="AT51" s="11" t="s">
        <v>8</v>
      </c>
      <c r="AU51" s="33" t="s">
        <v>6</v>
      </c>
      <c r="AV51" s="34"/>
      <c r="AW51" s="34"/>
      <c r="AX51" s="35"/>
      <c r="AY51" s="33" t="s">
        <v>6</v>
      </c>
      <c r="AZ51" s="34"/>
      <c r="BA51" s="34"/>
      <c r="BB51" s="35"/>
      <c r="BC51" s="117"/>
      <c r="BD51" s="118"/>
      <c r="BE51" s="118"/>
      <c r="BF51" s="118"/>
      <c r="BG51" s="118"/>
      <c r="BH51" s="118"/>
      <c r="BI51" s="118"/>
      <c r="BJ51" s="119"/>
      <c r="BK51" s="20"/>
    </row>
    <row r="52" spans="1:63" s="21" customFormat="1" ht="62.25" customHeight="1" x14ac:dyDescent="0.25">
      <c r="A52" s="19"/>
      <c r="B52" s="33">
        <v>8</v>
      </c>
      <c r="C52" s="35"/>
      <c r="D52" s="54" t="s">
        <v>69</v>
      </c>
      <c r="E52" s="55"/>
      <c r="F52" s="55"/>
      <c r="G52" s="55"/>
      <c r="H52" s="55"/>
      <c r="I52" s="55"/>
      <c r="J52" s="56"/>
      <c r="K52" s="45" t="s">
        <v>22</v>
      </c>
      <c r="L52" s="46"/>
      <c r="M52" s="47"/>
      <c r="N52" s="12" t="s">
        <v>11</v>
      </c>
      <c r="O52" s="9" t="s">
        <v>6</v>
      </c>
      <c r="P52" s="33" t="s">
        <v>6</v>
      </c>
      <c r="Q52" s="34"/>
      <c r="R52" s="34"/>
      <c r="S52" s="35"/>
      <c r="T52" s="33" t="s">
        <v>6</v>
      </c>
      <c r="U52" s="34"/>
      <c r="V52" s="34"/>
      <c r="W52" s="35"/>
      <c r="X52" s="148" t="s">
        <v>149</v>
      </c>
      <c r="Y52" s="62"/>
      <c r="Z52" s="63"/>
      <c r="AA52" s="33" t="s">
        <v>8</v>
      </c>
      <c r="AB52" s="34"/>
      <c r="AC52" s="34"/>
      <c r="AD52" s="34"/>
      <c r="AE52" s="34"/>
      <c r="AF52" s="34"/>
      <c r="AG52" s="34"/>
      <c r="AH52" s="35"/>
      <c r="AI52" s="61" t="s">
        <v>29</v>
      </c>
      <c r="AJ52" s="62"/>
      <c r="AK52" s="62"/>
      <c r="AL52" s="62"/>
      <c r="AM52" s="62"/>
      <c r="AN52" s="62"/>
      <c r="AO52" s="62"/>
      <c r="AP52" s="62"/>
      <c r="AQ52" s="63"/>
      <c r="AR52" s="11" t="s">
        <v>6</v>
      </c>
      <c r="AS52" s="11" t="s">
        <v>8</v>
      </c>
      <c r="AT52" s="11" t="s">
        <v>8</v>
      </c>
      <c r="AU52" s="33" t="s">
        <v>27</v>
      </c>
      <c r="AV52" s="34"/>
      <c r="AW52" s="34"/>
      <c r="AX52" s="35"/>
      <c r="AY52" s="36" t="s">
        <v>90</v>
      </c>
      <c r="AZ52" s="37"/>
      <c r="BA52" s="37"/>
      <c r="BB52" s="38"/>
      <c r="BC52" s="117"/>
      <c r="BD52" s="118"/>
      <c r="BE52" s="118"/>
      <c r="BF52" s="118"/>
      <c r="BG52" s="118"/>
      <c r="BH52" s="118"/>
      <c r="BI52" s="118"/>
      <c r="BJ52" s="119"/>
      <c r="BK52" s="20"/>
    </row>
    <row r="53" spans="1:63" x14ac:dyDescent="0.25">
      <c r="A53" s="5"/>
      <c r="B53" s="30">
        <v>9</v>
      </c>
      <c r="C53" s="32"/>
      <c r="D53" s="48" t="s">
        <v>30</v>
      </c>
      <c r="E53" s="49"/>
      <c r="F53" s="49"/>
      <c r="G53" s="49"/>
      <c r="H53" s="49"/>
      <c r="I53" s="49"/>
      <c r="J53" s="50"/>
      <c r="K53" s="51" t="s">
        <v>150</v>
      </c>
      <c r="L53" s="52"/>
      <c r="M53" s="53"/>
      <c r="N53" s="13" t="s">
        <v>11</v>
      </c>
      <c r="O53" s="13" t="s">
        <v>6</v>
      </c>
      <c r="P53" s="30" t="s">
        <v>9</v>
      </c>
      <c r="Q53" s="31"/>
      <c r="R53" s="31"/>
      <c r="S53" s="32"/>
      <c r="T53" s="30" t="s">
        <v>9</v>
      </c>
      <c r="U53" s="31"/>
      <c r="V53" s="31"/>
      <c r="W53" s="32"/>
      <c r="X53" s="84" t="s">
        <v>31</v>
      </c>
      <c r="Y53" s="31"/>
      <c r="Z53" s="32"/>
      <c r="AA53" s="30" t="s">
        <v>8</v>
      </c>
      <c r="AB53" s="31"/>
      <c r="AC53" s="31"/>
      <c r="AD53" s="31"/>
      <c r="AE53" s="31"/>
      <c r="AF53" s="31"/>
      <c r="AG53" s="31"/>
      <c r="AH53" s="32"/>
      <c r="AI53" s="123" t="s">
        <v>141</v>
      </c>
      <c r="AJ53" s="124"/>
      <c r="AK53" s="124"/>
      <c r="AL53" s="124"/>
      <c r="AM53" s="124"/>
      <c r="AN53" s="124"/>
      <c r="AO53" s="124"/>
      <c r="AP53" s="124"/>
      <c r="AQ53" s="125"/>
      <c r="AR53" s="14" t="s">
        <v>6</v>
      </c>
      <c r="AS53" s="14" t="s">
        <v>8</v>
      </c>
      <c r="AT53" s="14" t="s">
        <v>8</v>
      </c>
      <c r="AU53" s="30" t="s">
        <v>9</v>
      </c>
      <c r="AV53" s="31"/>
      <c r="AW53" s="31"/>
      <c r="AX53" s="32"/>
      <c r="AY53" s="30" t="s">
        <v>8</v>
      </c>
      <c r="AZ53" s="31"/>
      <c r="BA53" s="31"/>
      <c r="BB53" s="32"/>
      <c r="BC53" s="293" t="s">
        <v>33</v>
      </c>
      <c r="BD53" s="294"/>
      <c r="BE53" s="294"/>
      <c r="BF53" s="294"/>
      <c r="BG53" s="294"/>
      <c r="BH53" s="294"/>
      <c r="BI53" s="294"/>
      <c r="BJ53" s="295"/>
      <c r="BK53" s="6"/>
    </row>
    <row r="54" spans="1:63" x14ac:dyDescent="0.25">
      <c r="A54" s="5"/>
      <c r="BK54" s="6"/>
    </row>
    <row r="55" spans="1:63" x14ac:dyDescent="0.25">
      <c r="A55" s="5"/>
      <c r="BK55" s="6"/>
    </row>
    <row r="56" spans="1:63" x14ac:dyDescent="0.25">
      <c r="A56" s="5"/>
      <c r="BK56" s="6"/>
    </row>
    <row r="57" spans="1:63" x14ac:dyDescent="0.25">
      <c r="A57" s="5"/>
      <c r="BK57" s="6"/>
    </row>
    <row r="58" spans="1:63" x14ac:dyDescent="0.25">
      <c r="A58" s="5"/>
      <c r="BK58" s="6"/>
    </row>
    <row r="59" spans="1:63" x14ac:dyDescent="0.25">
      <c r="A59" s="5"/>
      <c r="BK59" s="6"/>
    </row>
    <row r="60" spans="1:63" x14ac:dyDescent="0.25">
      <c r="A60" s="5"/>
      <c r="BK60" s="6"/>
    </row>
    <row r="61" spans="1:63" x14ac:dyDescent="0.25">
      <c r="A61" s="5"/>
      <c r="BK61" s="6"/>
    </row>
    <row r="62" spans="1:63" x14ac:dyDescent="0.25">
      <c r="A62" s="5"/>
      <c r="BK62" s="6"/>
    </row>
    <row r="63" spans="1:63" x14ac:dyDescent="0.25">
      <c r="A63" s="5"/>
      <c r="BK63" s="6"/>
    </row>
    <row r="64" spans="1:63" x14ac:dyDescent="0.25">
      <c r="A64" s="5"/>
      <c r="BK64" s="6"/>
    </row>
    <row r="65" spans="1:63" x14ac:dyDescent="0.25">
      <c r="A65" s="5"/>
      <c r="BK65" s="6"/>
    </row>
    <row r="66" spans="1:63" x14ac:dyDescent="0.25">
      <c r="A66" s="5"/>
      <c r="BK66" s="6"/>
    </row>
    <row r="67" spans="1:63" x14ac:dyDescent="0.25">
      <c r="A67" s="5"/>
      <c r="BK67" s="6"/>
    </row>
    <row r="68" spans="1:63" x14ac:dyDescent="0.25">
      <c r="A68" s="5"/>
      <c r="BK68" s="6"/>
    </row>
    <row r="69" spans="1:63" x14ac:dyDescent="0.25">
      <c r="A69" s="5"/>
      <c r="BK69" s="6"/>
    </row>
    <row r="70" spans="1:63" x14ac:dyDescent="0.25">
      <c r="A70" s="5"/>
      <c r="BK70" s="6"/>
    </row>
    <row r="71" spans="1:63" x14ac:dyDescent="0.25">
      <c r="A71" s="5"/>
      <c r="BK71" s="6"/>
    </row>
    <row r="72" spans="1:63" x14ac:dyDescent="0.25">
      <c r="A72" s="5"/>
      <c r="BK72" s="6"/>
    </row>
    <row r="73" spans="1:63" x14ac:dyDescent="0.25">
      <c r="A73" s="5"/>
      <c r="BK73" s="6"/>
    </row>
    <row r="74" spans="1:63" x14ac:dyDescent="0.25">
      <c r="A74" s="5"/>
      <c r="BK74" s="6"/>
    </row>
    <row r="75" spans="1:63" x14ac:dyDescent="0.25">
      <c r="A75" s="5"/>
      <c r="BK75" s="6"/>
    </row>
    <row r="76" spans="1:63" x14ac:dyDescent="0.25">
      <c r="A76" s="5"/>
      <c r="BK76" s="6"/>
    </row>
    <row r="77" spans="1:63" x14ac:dyDescent="0.25">
      <c r="A77" s="5"/>
      <c r="BK77" s="6"/>
    </row>
    <row r="78" spans="1:63" x14ac:dyDescent="0.25">
      <c r="A78" s="5"/>
      <c r="BK78" s="6"/>
    </row>
    <row r="79" spans="1:63" x14ac:dyDescent="0.25">
      <c r="A79" s="5"/>
      <c r="BK79" s="6"/>
    </row>
    <row r="80" spans="1:63" x14ac:dyDescent="0.25">
      <c r="A80" s="5"/>
      <c r="BK80" s="6"/>
    </row>
    <row r="81" spans="1:63" x14ac:dyDescent="0.25">
      <c r="A81" s="5"/>
      <c r="BK81" s="6"/>
    </row>
    <row r="82" spans="1:63" x14ac:dyDescent="0.25">
      <c r="A82" s="5"/>
      <c r="BK82" s="6"/>
    </row>
    <row r="83" spans="1:63" x14ac:dyDescent="0.25">
      <c r="A83" s="5"/>
      <c r="BK83" s="6"/>
    </row>
    <row r="84" spans="1:63" x14ac:dyDescent="0.25">
      <c r="A84" s="5"/>
      <c r="BK84" s="6"/>
    </row>
    <row r="85" spans="1:63" x14ac:dyDescent="0.25">
      <c r="A85" s="5"/>
      <c r="BK85" s="6"/>
    </row>
    <row r="86" spans="1:63" x14ac:dyDescent="0.25">
      <c r="A86" s="5"/>
      <c r="BK86" s="6"/>
    </row>
    <row r="87" spans="1:63" x14ac:dyDescent="0.25">
      <c r="A87" s="5"/>
      <c r="BK87" s="6"/>
    </row>
    <row r="88" spans="1:63" x14ac:dyDescent="0.25">
      <c r="A88" s="5"/>
      <c r="BK88" s="6"/>
    </row>
    <row r="89" spans="1:63" x14ac:dyDescent="0.25">
      <c r="A89" s="5"/>
      <c r="BK89" s="6"/>
    </row>
    <row r="90" spans="1:63" ht="15" customHeight="1" x14ac:dyDescent="0.25">
      <c r="A90" s="5"/>
      <c r="B90" s="7" t="s">
        <v>123</v>
      </c>
      <c r="BK90" s="6"/>
    </row>
    <row r="91" spans="1:63" x14ac:dyDescent="0.25">
      <c r="A91" s="5"/>
      <c r="BK91" s="6"/>
    </row>
    <row r="92" spans="1:63" ht="15.75" customHeight="1" x14ac:dyDescent="0.25">
      <c r="A92" s="5"/>
      <c r="B92" s="68" t="s">
        <v>124</v>
      </c>
      <c r="C92" s="69"/>
      <c r="D92" s="74" t="s">
        <v>125</v>
      </c>
      <c r="E92" s="75"/>
      <c r="F92" s="75"/>
      <c r="G92" s="75"/>
      <c r="H92" s="75"/>
      <c r="I92" s="75"/>
      <c r="J92" s="69"/>
      <c r="K92" s="74" t="s">
        <v>126</v>
      </c>
      <c r="L92" s="75"/>
      <c r="M92" s="69"/>
      <c r="N92" s="78" t="s">
        <v>3</v>
      </c>
      <c r="O92" s="81" t="s">
        <v>127</v>
      </c>
      <c r="P92" s="112" t="s">
        <v>128</v>
      </c>
      <c r="Q92" s="113"/>
      <c r="R92" s="113"/>
      <c r="S92" s="113"/>
      <c r="T92" s="113"/>
      <c r="U92" s="113"/>
      <c r="V92" s="113"/>
      <c r="W92" s="113"/>
      <c r="X92" s="113"/>
      <c r="Y92" s="113"/>
      <c r="Z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  <c r="AM92" s="113"/>
      <c r="AN92" s="113"/>
      <c r="AO92" s="113"/>
      <c r="AP92" s="113"/>
      <c r="AQ92" s="114"/>
      <c r="AR92" s="85" t="s">
        <v>129</v>
      </c>
      <c r="AS92" s="86"/>
      <c r="AT92" s="86"/>
      <c r="AU92" s="86"/>
      <c r="AV92" s="86"/>
      <c r="AW92" s="86"/>
      <c r="AX92" s="86"/>
      <c r="AY92" s="86"/>
      <c r="AZ92" s="86"/>
      <c r="BA92" s="86"/>
      <c r="BB92" s="87"/>
      <c r="BC92" s="88" t="s">
        <v>130</v>
      </c>
      <c r="BD92" s="89"/>
      <c r="BE92" s="89"/>
      <c r="BF92" s="89"/>
      <c r="BG92" s="89"/>
      <c r="BH92" s="89"/>
      <c r="BI92" s="89"/>
      <c r="BJ92" s="90"/>
      <c r="BK92" s="6"/>
    </row>
    <row r="93" spans="1:63" ht="15.75" customHeight="1" x14ac:dyDescent="0.25">
      <c r="A93" s="5"/>
      <c r="B93" s="70"/>
      <c r="C93" s="71"/>
      <c r="D93" s="70"/>
      <c r="E93" s="76"/>
      <c r="F93" s="76"/>
      <c r="G93" s="76"/>
      <c r="H93" s="76"/>
      <c r="I93" s="76"/>
      <c r="J93" s="71"/>
      <c r="K93" s="70"/>
      <c r="L93" s="76"/>
      <c r="M93" s="71"/>
      <c r="N93" s="79"/>
      <c r="O93" s="82"/>
      <c r="P93" s="97" t="s">
        <v>131</v>
      </c>
      <c r="Q93" s="98"/>
      <c r="R93" s="98"/>
      <c r="S93" s="98"/>
      <c r="T93" s="98"/>
      <c r="U93" s="98"/>
      <c r="V93" s="98"/>
      <c r="W93" s="99"/>
      <c r="X93" s="100" t="s">
        <v>132</v>
      </c>
      <c r="Y93" s="101"/>
      <c r="Z93" s="102"/>
      <c r="AA93" s="100" t="s">
        <v>133</v>
      </c>
      <c r="AB93" s="101"/>
      <c r="AC93" s="101"/>
      <c r="AD93" s="101"/>
      <c r="AE93" s="101"/>
      <c r="AF93" s="101"/>
      <c r="AG93" s="101"/>
      <c r="AH93" s="102"/>
      <c r="AI93" s="100" t="s">
        <v>134</v>
      </c>
      <c r="AJ93" s="101"/>
      <c r="AK93" s="101"/>
      <c r="AL93" s="101"/>
      <c r="AM93" s="101"/>
      <c r="AN93" s="101"/>
      <c r="AO93" s="101"/>
      <c r="AP93" s="101"/>
      <c r="AQ93" s="102"/>
      <c r="AR93" s="106" t="s">
        <v>4</v>
      </c>
      <c r="AS93" s="108" t="s">
        <v>135</v>
      </c>
      <c r="AT93" s="110" t="s">
        <v>136</v>
      </c>
      <c r="AU93" s="85" t="s">
        <v>131</v>
      </c>
      <c r="AV93" s="86"/>
      <c r="AW93" s="86"/>
      <c r="AX93" s="86"/>
      <c r="AY93" s="86"/>
      <c r="AZ93" s="86"/>
      <c r="BA93" s="86"/>
      <c r="BB93" s="87"/>
      <c r="BC93" s="91"/>
      <c r="BD93" s="92"/>
      <c r="BE93" s="92"/>
      <c r="BF93" s="92"/>
      <c r="BG93" s="92"/>
      <c r="BH93" s="92"/>
      <c r="BI93" s="92"/>
      <c r="BJ93" s="93"/>
      <c r="BK93" s="6"/>
    </row>
    <row r="94" spans="1:63" x14ac:dyDescent="0.25">
      <c r="A94" s="5"/>
      <c r="B94" s="72"/>
      <c r="C94" s="73"/>
      <c r="D94" s="72"/>
      <c r="E94" s="77"/>
      <c r="F94" s="77"/>
      <c r="G94" s="77"/>
      <c r="H94" s="77"/>
      <c r="I94" s="77"/>
      <c r="J94" s="73"/>
      <c r="K94" s="72"/>
      <c r="L94" s="77"/>
      <c r="M94" s="73"/>
      <c r="N94" s="80"/>
      <c r="O94" s="83"/>
      <c r="P94" s="112" t="s">
        <v>137</v>
      </c>
      <c r="Q94" s="113"/>
      <c r="R94" s="113"/>
      <c r="S94" s="114"/>
      <c r="T94" s="112" t="s">
        <v>125</v>
      </c>
      <c r="U94" s="113"/>
      <c r="V94" s="113"/>
      <c r="W94" s="114"/>
      <c r="X94" s="103"/>
      <c r="Y94" s="104"/>
      <c r="Z94" s="105"/>
      <c r="AA94" s="103"/>
      <c r="AB94" s="104"/>
      <c r="AC94" s="104"/>
      <c r="AD94" s="104"/>
      <c r="AE94" s="104"/>
      <c r="AF94" s="104"/>
      <c r="AG94" s="104"/>
      <c r="AH94" s="105"/>
      <c r="AI94" s="103"/>
      <c r="AJ94" s="104"/>
      <c r="AK94" s="104"/>
      <c r="AL94" s="104"/>
      <c r="AM94" s="104"/>
      <c r="AN94" s="104"/>
      <c r="AO94" s="104"/>
      <c r="AP94" s="104"/>
      <c r="AQ94" s="105"/>
      <c r="AR94" s="107"/>
      <c r="AS94" s="109"/>
      <c r="AT94" s="111"/>
      <c r="AU94" s="85" t="s">
        <v>137</v>
      </c>
      <c r="AV94" s="86"/>
      <c r="AW94" s="86"/>
      <c r="AX94" s="115"/>
      <c r="AY94" s="116" t="s">
        <v>125</v>
      </c>
      <c r="AZ94" s="86"/>
      <c r="BA94" s="86"/>
      <c r="BB94" s="87"/>
      <c r="BC94" s="94"/>
      <c r="BD94" s="95"/>
      <c r="BE94" s="95"/>
      <c r="BF94" s="95"/>
      <c r="BG94" s="95"/>
      <c r="BH94" s="95"/>
      <c r="BI94" s="95"/>
      <c r="BJ94" s="96"/>
      <c r="BK94" s="6"/>
    </row>
    <row r="95" spans="1:63" s="21" customFormat="1" x14ac:dyDescent="0.25">
      <c r="A95" s="19"/>
      <c r="B95" s="33">
        <v>8</v>
      </c>
      <c r="C95" s="35"/>
      <c r="D95" s="152" t="s">
        <v>68</v>
      </c>
      <c r="E95" s="153"/>
      <c r="F95" s="153"/>
      <c r="G95" s="153"/>
      <c r="H95" s="153"/>
      <c r="I95" s="153"/>
      <c r="J95" s="154"/>
      <c r="K95" s="45" t="s">
        <v>5</v>
      </c>
      <c r="L95" s="46"/>
      <c r="M95" s="47"/>
      <c r="N95" s="9" t="s">
        <v>6</v>
      </c>
      <c r="O95" s="9" t="s">
        <v>7</v>
      </c>
      <c r="P95" s="33" t="s">
        <v>6</v>
      </c>
      <c r="Q95" s="34"/>
      <c r="R95" s="34"/>
      <c r="S95" s="35"/>
      <c r="T95" s="33" t="s">
        <v>6</v>
      </c>
      <c r="U95" s="34"/>
      <c r="V95" s="34"/>
      <c r="W95" s="35"/>
      <c r="X95" s="155" t="s">
        <v>73</v>
      </c>
      <c r="Y95" s="156"/>
      <c r="Z95" s="157"/>
      <c r="AA95" s="33" t="s">
        <v>8</v>
      </c>
      <c r="AB95" s="34"/>
      <c r="AC95" s="34"/>
      <c r="AD95" s="34"/>
      <c r="AE95" s="34"/>
      <c r="AF95" s="34"/>
      <c r="AG95" s="34"/>
      <c r="AH95" s="35"/>
      <c r="AI95" s="36" t="s">
        <v>8</v>
      </c>
      <c r="AJ95" s="37"/>
      <c r="AK95" s="37"/>
      <c r="AL95" s="37"/>
      <c r="AM95" s="37"/>
      <c r="AN95" s="37"/>
      <c r="AO95" s="37"/>
      <c r="AP95" s="37"/>
      <c r="AQ95" s="38"/>
      <c r="AR95" s="9" t="s">
        <v>6</v>
      </c>
      <c r="AS95" s="11" t="s">
        <v>8</v>
      </c>
      <c r="AT95" s="11" t="s">
        <v>8</v>
      </c>
      <c r="AU95" s="33" t="s">
        <v>6</v>
      </c>
      <c r="AV95" s="34"/>
      <c r="AW95" s="34"/>
      <c r="AX95" s="35"/>
      <c r="AY95" s="33" t="s">
        <v>6</v>
      </c>
      <c r="AZ95" s="34"/>
      <c r="BA95" s="34"/>
      <c r="BB95" s="35"/>
      <c r="BC95" s="149"/>
      <c r="BD95" s="150"/>
      <c r="BE95" s="150"/>
      <c r="BF95" s="150"/>
      <c r="BG95" s="150"/>
      <c r="BH95" s="150"/>
      <c r="BI95" s="150"/>
      <c r="BJ95" s="151"/>
      <c r="BK95" s="20"/>
    </row>
    <row r="96" spans="1:63" s="21" customFormat="1" ht="85.5" customHeight="1" x14ac:dyDescent="0.25">
      <c r="A96" s="19"/>
      <c r="B96" s="33">
        <v>9</v>
      </c>
      <c r="C96" s="35"/>
      <c r="D96" s="54" t="s">
        <v>69</v>
      </c>
      <c r="E96" s="55"/>
      <c r="F96" s="55"/>
      <c r="G96" s="55"/>
      <c r="H96" s="55"/>
      <c r="I96" s="55"/>
      <c r="J96" s="56"/>
      <c r="K96" s="45" t="s">
        <v>5</v>
      </c>
      <c r="L96" s="46"/>
      <c r="M96" s="47"/>
      <c r="N96" s="9" t="s">
        <v>6</v>
      </c>
      <c r="O96" s="9" t="s">
        <v>6</v>
      </c>
      <c r="P96" s="33" t="s">
        <v>27</v>
      </c>
      <c r="Q96" s="34"/>
      <c r="R96" s="34"/>
      <c r="S96" s="35"/>
      <c r="T96" s="61" t="s">
        <v>72</v>
      </c>
      <c r="U96" s="62"/>
      <c r="V96" s="62"/>
      <c r="W96" s="63"/>
      <c r="X96" s="148"/>
      <c r="Y96" s="62"/>
      <c r="Z96" s="63"/>
      <c r="AA96" s="33" t="s">
        <v>8</v>
      </c>
      <c r="AB96" s="34"/>
      <c r="AC96" s="34"/>
      <c r="AD96" s="34"/>
      <c r="AE96" s="34"/>
      <c r="AF96" s="34"/>
      <c r="AG96" s="34"/>
      <c r="AH96" s="35"/>
      <c r="AI96" s="36" t="s">
        <v>8</v>
      </c>
      <c r="AJ96" s="37"/>
      <c r="AK96" s="37"/>
      <c r="AL96" s="37"/>
      <c r="AM96" s="37"/>
      <c r="AN96" s="37"/>
      <c r="AO96" s="37"/>
      <c r="AP96" s="37"/>
      <c r="AQ96" s="38"/>
      <c r="AR96" s="9" t="s">
        <v>6</v>
      </c>
      <c r="AS96" s="11" t="s">
        <v>8</v>
      </c>
      <c r="AT96" s="11" t="s">
        <v>8</v>
      </c>
      <c r="AU96" s="33" t="s">
        <v>6</v>
      </c>
      <c r="AV96" s="34"/>
      <c r="AW96" s="34"/>
      <c r="AX96" s="35"/>
      <c r="AY96" s="33" t="s">
        <v>6</v>
      </c>
      <c r="AZ96" s="34"/>
      <c r="BA96" s="34"/>
      <c r="BB96" s="35"/>
      <c r="BC96" s="54" t="s">
        <v>151</v>
      </c>
      <c r="BD96" s="46"/>
      <c r="BE96" s="46"/>
      <c r="BF96" s="46"/>
      <c r="BG96" s="46"/>
      <c r="BH96" s="46"/>
      <c r="BI96" s="46"/>
      <c r="BJ96" s="47"/>
      <c r="BK96" s="20"/>
    </row>
    <row r="97" spans="1:63" x14ac:dyDescent="0.25">
      <c r="A97" s="5"/>
      <c r="B97" s="33">
        <v>10</v>
      </c>
      <c r="C97" s="35"/>
      <c r="D97" s="290" t="s">
        <v>20</v>
      </c>
      <c r="E97" s="291"/>
      <c r="F97" s="291"/>
      <c r="G97" s="291"/>
      <c r="H97" s="291"/>
      <c r="I97" s="291"/>
      <c r="J97" s="292"/>
      <c r="K97" s="45" t="s">
        <v>5</v>
      </c>
      <c r="L97" s="46"/>
      <c r="M97" s="47"/>
      <c r="N97" s="9" t="s">
        <v>6</v>
      </c>
      <c r="O97" s="9" t="s">
        <v>7</v>
      </c>
      <c r="P97" s="33" t="s">
        <v>9</v>
      </c>
      <c r="Q97" s="34"/>
      <c r="R97" s="34"/>
      <c r="S97" s="35"/>
      <c r="T97" s="33" t="s">
        <v>9</v>
      </c>
      <c r="U97" s="34"/>
      <c r="V97" s="34"/>
      <c r="W97" s="35"/>
      <c r="X97" s="64" t="s">
        <v>138</v>
      </c>
      <c r="Y97" s="65"/>
      <c r="Z97" s="66"/>
      <c r="AA97" s="33" t="s">
        <v>8</v>
      </c>
      <c r="AB97" s="34"/>
      <c r="AC97" s="34"/>
      <c r="AD97" s="34"/>
      <c r="AE97" s="34"/>
      <c r="AF97" s="34"/>
      <c r="AG97" s="34"/>
      <c r="AH97" s="35"/>
      <c r="AI97" s="36" t="s">
        <v>8</v>
      </c>
      <c r="AJ97" s="37"/>
      <c r="AK97" s="37"/>
      <c r="AL97" s="37"/>
      <c r="AM97" s="37"/>
      <c r="AN97" s="37"/>
      <c r="AO97" s="37"/>
      <c r="AP97" s="37"/>
      <c r="AQ97" s="38"/>
      <c r="AR97" s="11" t="s">
        <v>6</v>
      </c>
      <c r="AS97" s="11" t="s">
        <v>8</v>
      </c>
      <c r="AT97" s="11" t="s">
        <v>8</v>
      </c>
      <c r="AU97" s="33" t="s">
        <v>9</v>
      </c>
      <c r="AV97" s="34"/>
      <c r="AW97" s="34"/>
      <c r="AX97" s="35"/>
      <c r="AY97" s="33" t="s">
        <v>8</v>
      </c>
      <c r="AZ97" s="34"/>
      <c r="BA97" s="34"/>
      <c r="BB97" s="35"/>
      <c r="BC97" s="296"/>
      <c r="BD97" s="297"/>
      <c r="BE97" s="297"/>
      <c r="BF97" s="297"/>
      <c r="BG97" s="297"/>
      <c r="BH97" s="297"/>
      <c r="BI97" s="297"/>
      <c r="BJ97" s="298"/>
      <c r="BK97" s="6"/>
    </row>
    <row r="98" spans="1:63" x14ac:dyDescent="0.25">
      <c r="A98" s="5"/>
      <c r="B98" s="33">
        <v>11</v>
      </c>
      <c r="C98" s="35"/>
      <c r="D98" s="54" t="s">
        <v>21</v>
      </c>
      <c r="E98" s="55"/>
      <c r="F98" s="55"/>
      <c r="G98" s="55"/>
      <c r="H98" s="55"/>
      <c r="I98" s="55"/>
      <c r="J98" s="56"/>
      <c r="K98" s="57" t="s">
        <v>152</v>
      </c>
      <c r="L98" s="46"/>
      <c r="M98" s="47"/>
      <c r="N98" s="17" t="s">
        <v>153</v>
      </c>
      <c r="O98" s="9" t="s">
        <v>6</v>
      </c>
      <c r="P98" s="67" t="s">
        <v>142</v>
      </c>
      <c r="Q98" s="34"/>
      <c r="R98" s="34"/>
      <c r="S98" s="35"/>
      <c r="T98" s="67" t="s">
        <v>143</v>
      </c>
      <c r="U98" s="34"/>
      <c r="V98" s="34"/>
      <c r="W98" s="35"/>
      <c r="X98" s="64" t="s">
        <v>6</v>
      </c>
      <c r="Y98" s="65"/>
      <c r="Z98" s="66"/>
      <c r="AA98" s="33" t="s">
        <v>8</v>
      </c>
      <c r="AB98" s="34"/>
      <c r="AC98" s="34"/>
      <c r="AD98" s="34"/>
      <c r="AE98" s="34"/>
      <c r="AF98" s="34"/>
      <c r="AG98" s="34"/>
      <c r="AH98" s="35"/>
      <c r="AI98" s="36" t="s">
        <v>6</v>
      </c>
      <c r="AJ98" s="37"/>
      <c r="AK98" s="37"/>
      <c r="AL98" s="37"/>
      <c r="AM98" s="37"/>
      <c r="AN98" s="37"/>
      <c r="AO98" s="37"/>
      <c r="AP98" s="37"/>
      <c r="AQ98" s="38"/>
      <c r="AR98" s="11" t="s">
        <v>6</v>
      </c>
      <c r="AS98" s="11" t="s">
        <v>8</v>
      </c>
      <c r="AT98" s="11" t="s">
        <v>8</v>
      </c>
      <c r="AU98" s="33" t="s">
        <v>9</v>
      </c>
      <c r="AV98" s="34"/>
      <c r="AW98" s="34"/>
      <c r="AX98" s="35"/>
      <c r="AY98" s="33" t="s">
        <v>8</v>
      </c>
      <c r="AZ98" s="34"/>
      <c r="BA98" s="34"/>
      <c r="BB98" s="35"/>
      <c r="BC98" s="299"/>
      <c r="BD98" s="300"/>
      <c r="BE98" s="300"/>
      <c r="BF98" s="300"/>
      <c r="BG98" s="300"/>
      <c r="BH98" s="300"/>
      <c r="BI98" s="300"/>
      <c r="BJ98" s="301"/>
      <c r="BK98" s="6"/>
    </row>
    <row r="99" spans="1:63" x14ac:dyDescent="0.25">
      <c r="A99" s="5"/>
      <c r="B99" s="33">
        <v>12</v>
      </c>
      <c r="C99" s="35"/>
      <c r="D99" s="290" t="s">
        <v>23</v>
      </c>
      <c r="E99" s="291"/>
      <c r="F99" s="291"/>
      <c r="G99" s="291"/>
      <c r="H99" s="291"/>
      <c r="I99" s="291"/>
      <c r="J99" s="292"/>
      <c r="K99" s="45" t="s">
        <v>5</v>
      </c>
      <c r="L99" s="46"/>
      <c r="M99" s="47"/>
      <c r="N99" s="9" t="s">
        <v>6</v>
      </c>
      <c r="O99" s="9" t="s">
        <v>7</v>
      </c>
      <c r="P99" s="33" t="s">
        <v>9</v>
      </c>
      <c r="Q99" s="34"/>
      <c r="R99" s="34"/>
      <c r="S99" s="35"/>
      <c r="T99" s="67" t="s">
        <v>6</v>
      </c>
      <c r="U99" s="34"/>
      <c r="V99" s="34"/>
      <c r="W99" s="35"/>
      <c r="X99" s="64" t="s">
        <v>154</v>
      </c>
      <c r="Y99" s="65"/>
      <c r="Z99" s="66"/>
      <c r="AA99" s="33" t="s">
        <v>8</v>
      </c>
      <c r="AB99" s="34"/>
      <c r="AC99" s="34"/>
      <c r="AD99" s="34"/>
      <c r="AE99" s="34"/>
      <c r="AF99" s="34"/>
      <c r="AG99" s="34"/>
      <c r="AH99" s="35"/>
      <c r="AI99" s="36" t="s">
        <v>8</v>
      </c>
      <c r="AJ99" s="37"/>
      <c r="AK99" s="37"/>
      <c r="AL99" s="37"/>
      <c r="AM99" s="37"/>
      <c r="AN99" s="37"/>
      <c r="AO99" s="37"/>
      <c r="AP99" s="37"/>
      <c r="AQ99" s="38"/>
      <c r="AR99" s="11" t="s">
        <v>6</v>
      </c>
      <c r="AS99" s="11" t="s">
        <v>8</v>
      </c>
      <c r="AT99" s="11" t="s">
        <v>8</v>
      </c>
      <c r="AU99" s="33" t="s">
        <v>9</v>
      </c>
      <c r="AV99" s="34"/>
      <c r="AW99" s="34"/>
      <c r="AX99" s="35"/>
      <c r="AY99" s="33" t="s">
        <v>8</v>
      </c>
      <c r="AZ99" s="34"/>
      <c r="BA99" s="34"/>
      <c r="BB99" s="35"/>
      <c r="BC99" s="296"/>
      <c r="BD99" s="297"/>
      <c r="BE99" s="297"/>
      <c r="BF99" s="297"/>
      <c r="BG99" s="297"/>
      <c r="BH99" s="297"/>
      <c r="BI99" s="297"/>
      <c r="BJ99" s="298"/>
      <c r="BK99" s="6"/>
    </row>
    <row r="100" spans="1:63" x14ac:dyDescent="0.25">
      <c r="A100" s="5"/>
      <c r="B100" s="33">
        <v>13</v>
      </c>
      <c r="C100" s="35"/>
      <c r="D100" s="54" t="s">
        <v>24</v>
      </c>
      <c r="E100" s="55"/>
      <c r="F100" s="55"/>
      <c r="G100" s="55"/>
      <c r="H100" s="55"/>
      <c r="I100" s="55"/>
      <c r="J100" s="56"/>
      <c r="K100" s="57" t="s">
        <v>152</v>
      </c>
      <c r="L100" s="46"/>
      <c r="M100" s="47"/>
      <c r="N100" s="17" t="s">
        <v>153</v>
      </c>
      <c r="O100" s="9" t="s">
        <v>6</v>
      </c>
      <c r="P100" s="67" t="s">
        <v>142</v>
      </c>
      <c r="Q100" s="34"/>
      <c r="R100" s="34"/>
      <c r="S100" s="35"/>
      <c r="T100" s="33" t="s">
        <v>55</v>
      </c>
      <c r="U100" s="34"/>
      <c r="V100" s="34"/>
      <c r="W100" s="35"/>
      <c r="X100" s="64" t="s">
        <v>6</v>
      </c>
      <c r="Y100" s="65"/>
      <c r="Z100" s="66"/>
      <c r="AA100" s="33" t="s">
        <v>8</v>
      </c>
      <c r="AB100" s="34"/>
      <c r="AC100" s="34"/>
      <c r="AD100" s="34"/>
      <c r="AE100" s="34"/>
      <c r="AF100" s="34"/>
      <c r="AG100" s="34"/>
      <c r="AH100" s="35"/>
      <c r="AI100" s="36" t="s">
        <v>6</v>
      </c>
      <c r="AJ100" s="37"/>
      <c r="AK100" s="37"/>
      <c r="AL100" s="37"/>
      <c r="AM100" s="37"/>
      <c r="AN100" s="37"/>
      <c r="AO100" s="37"/>
      <c r="AP100" s="37"/>
      <c r="AQ100" s="38"/>
      <c r="AR100" s="11" t="s">
        <v>6</v>
      </c>
      <c r="AS100" s="11" t="s">
        <v>8</v>
      </c>
      <c r="AT100" s="11" t="s">
        <v>8</v>
      </c>
      <c r="AU100" s="33" t="s">
        <v>9</v>
      </c>
      <c r="AV100" s="34"/>
      <c r="AW100" s="34"/>
      <c r="AX100" s="35"/>
      <c r="AY100" s="33" t="s">
        <v>8</v>
      </c>
      <c r="AZ100" s="34"/>
      <c r="BA100" s="34"/>
      <c r="BB100" s="35"/>
      <c r="BC100" s="299"/>
      <c r="BD100" s="300"/>
      <c r="BE100" s="300"/>
      <c r="BF100" s="300"/>
      <c r="BG100" s="300"/>
      <c r="BH100" s="300"/>
      <c r="BI100" s="300"/>
      <c r="BJ100" s="301"/>
      <c r="BK100" s="6"/>
    </row>
    <row r="101" spans="1:63" x14ac:dyDescent="0.25">
      <c r="A101" s="5"/>
      <c r="B101" s="33">
        <v>14</v>
      </c>
      <c r="C101" s="35"/>
      <c r="D101" s="290" t="s">
        <v>41</v>
      </c>
      <c r="E101" s="291"/>
      <c r="F101" s="291"/>
      <c r="G101" s="291"/>
      <c r="H101" s="291"/>
      <c r="I101" s="291"/>
      <c r="J101" s="292"/>
      <c r="K101" s="45" t="s">
        <v>5</v>
      </c>
      <c r="L101" s="46"/>
      <c r="M101" s="47"/>
      <c r="N101" s="9" t="s">
        <v>6</v>
      </c>
      <c r="O101" s="9" t="s">
        <v>7</v>
      </c>
      <c r="P101" s="33" t="s">
        <v>9</v>
      </c>
      <c r="Q101" s="34"/>
      <c r="R101" s="34"/>
      <c r="S101" s="35"/>
      <c r="T101" s="33" t="s">
        <v>9</v>
      </c>
      <c r="U101" s="34"/>
      <c r="V101" s="34"/>
      <c r="W101" s="35"/>
      <c r="X101" s="64" t="s">
        <v>155</v>
      </c>
      <c r="Y101" s="65"/>
      <c r="Z101" s="66"/>
      <c r="AA101" s="33" t="s">
        <v>8</v>
      </c>
      <c r="AB101" s="34"/>
      <c r="AC101" s="34"/>
      <c r="AD101" s="34"/>
      <c r="AE101" s="34"/>
      <c r="AF101" s="34"/>
      <c r="AG101" s="34"/>
      <c r="AH101" s="35"/>
      <c r="AI101" s="36" t="s">
        <v>8</v>
      </c>
      <c r="AJ101" s="37"/>
      <c r="AK101" s="37"/>
      <c r="AL101" s="37"/>
      <c r="AM101" s="37"/>
      <c r="AN101" s="37"/>
      <c r="AO101" s="37"/>
      <c r="AP101" s="37"/>
      <c r="AQ101" s="38"/>
      <c r="AR101" s="11" t="s">
        <v>6</v>
      </c>
      <c r="AS101" s="11" t="s">
        <v>8</v>
      </c>
      <c r="AT101" s="11" t="s">
        <v>8</v>
      </c>
      <c r="AU101" s="33" t="s">
        <v>9</v>
      </c>
      <c r="AV101" s="34"/>
      <c r="AW101" s="34"/>
      <c r="AX101" s="35"/>
      <c r="AY101" s="33" t="s">
        <v>8</v>
      </c>
      <c r="AZ101" s="34"/>
      <c r="BA101" s="34"/>
      <c r="BB101" s="35"/>
      <c r="BC101" s="296"/>
      <c r="BD101" s="297"/>
      <c r="BE101" s="297"/>
      <c r="BF101" s="297"/>
      <c r="BG101" s="297"/>
      <c r="BH101" s="297"/>
      <c r="BI101" s="297"/>
      <c r="BJ101" s="298"/>
      <c r="BK101" s="6"/>
    </row>
    <row r="102" spans="1:63" x14ac:dyDescent="0.25">
      <c r="A102" s="5"/>
      <c r="B102" s="33">
        <v>15</v>
      </c>
      <c r="C102" s="35"/>
      <c r="D102" s="54" t="s">
        <v>42</v>
      </c>
      <c r="E102" s="55"/>
      <c r="F102" s="55"/>
      <c r="G102" s="55"/>
      <c r="H102" s="55"/>
      <c r="I102" s="55"/>
      <c r="J102" s="56"/>
      <c r="K102" s="57" t="s">
        <v>152</v>
      </c>
      <c r="L102" s="46"/>
      <c r="M102" s="47"/>
      <c r="N102" s="17" t="s">
        <v>153</v>
      </c>
      <c r="O102" s="9" t="s">
        <v>6</v>
      </c>
      <c r="P102" s="67" t="s">
        <v>142</v>
      </c>
      <c r="Q102" s="34"/>
      <c r="R102" s="34"/>
      <c r="S102" s="35"/>
      <c r="T102" s="67" t="s">
        <v>156</v>
      </c>
      <c r="U102" s="34"/>
      <c r="V102" s="34"/>
      <c r="W102" s="35"/>
      <c r="X102" s="64" t="s">
        <v>6</v>
      </c>
      <c r="Y102" s="65"/>
      <c r="Z102" s="66"/>
      <c r="AA102" s="33" t="s">
        <v>8</v>
      </c>
      <c r="AB102" s="34"/>
      <c r="AC102" s="34"/>
      <c r="AD102" s="34"/>
      <c r="AE102" s="34"/>
      <c r="AF102" s="34"/>
      <c r="AG102" s="34"/>
      <c r="AH102" s="35"/>
      <c r="AI102" s="36" t="s">
        <v>6</v>
      </c>
      <c r="AJ102" s="37"/>
      <c r="AK102" s="37"/>
      <c r="AL102" s="37"/>
      <c r="AM102" s="37"/>
      <c r="AN102" s="37"/>
      <c r="AO102" s="37"/>
      <c r="AP102" s="37"/>
      <c r="AQ102" s="38"/>
      <c r="AR102" s="11" t="s">
        <v>6</v>
      </c>
      <c r="AS102" s="11" t="s">
        <v>8</v>
      </c>
      <c r="AT102" s="11" t="s">
        <v>8</v>
      </c>
      <c r="AU102" s="33" t="s">
        <v>9</v>
      </c>
      <c r="AV102" s="34"/>
      <c r="AW102" s="34"/>
      <c r="AX102" s="35"/>
      <c r="AY102" s="33" t="s">
        <v>8</v>
      </c>
      <c r="AZ102" s="34"/>
      <c r="BA102" s="34"/>
      <c r="BB102" s="35"/>
      <c r="BC102" s="299" t="s">
        <v>85</v>
      </c>
      <c r="BD102" s="300"/>
      <c r="BE102" s="300"/>
      <c r="BF102" s="300"/>
      <c r="BG102" s="300"/>
      <c r="BH102" s="300"/>
      <c r="BI102" s="300"/>
      <c r="BJ102" s="301"/>
      <c r="BK102" s="6"/>
    </row>
    <row r="103" spans="1:63" x14ac:dyDescent="0.25">
      <c r="A103" s="5"/>
      <c r="B103" s="33">
        <v>16</v>
      </c>
      <c r="C103" s="35"/>
      <c r="D103" s="290" t="s">
        <v>43</v>
      </c>
      <c r="E103" s="291"/>
      <c r="F103" s="291"/>
      <c r="G103" s="291"/>
      <c r="H103" s="291"/>
      <c r="I103" s="291"/>
      <c r="J103" s="292"/>
      <c r="K103" s="45" t="s">
        <v>5</v>
      </c>
      <c r="L103" s="46"/>
      <c r="M103" s="47"/>
      <c r="N103" s="9" t="s">
        <v>6</v>
      </c>
      <c r="O103" s="9" t="s">
        <v>7</v>
      </c>
      <c r="P103" s="33" t="s">
        <v>9</v>
      </c>
      <c r="Q103" s="34"/>
      <c r="R103" s="34"/>
      <c r="S103" s="35"/>
      <c r="T103" s="33" t="s">
        <v>9</v>
      </c>
      <c r="U103" s="34"/>
      <c r="V103" s="34"/>
      <c r="W103" s="35"/>
      <c r="X103" s="64" t="s">
        <v>157</v>
      </c>
      <c r="Y103" s="65"/>
      <c r="Z103" s="66"/>
      <c r="AA103" s="33" t="s">
        <v>8</v>
      </c>
      <c r="AB103" s="34"/>
      <c r="AC103" s="34"/>
      <c r="AD103" s="34"/>
      <c r="AE103" s="34"/>
      <c r="AF103" s="34"/>
      <c r="AG103" s="34"/>
      <c r="AH103" s="35"/>
      <c r="AI103" s="36" t="s">
        <v>8</v>
      </c>
      <c r="AJ103" s="37"/>
      <c r="AK103" s="37"/>
      <c r="AL103" s="37"/>
      <c r="AM103" s="37"/>
      <c r="AN103" s="37"/>
      <c r="AO103" s="37"/>
      <c r="AP103" s="37"/>
      <c r="AQ103" s="38"/>
      <c r="AR103" s="11" t="s">
        <v>6</v>
      </c>
      <c r="AS103" s="11" t="s">
        <v>8</v>
      </c>
      <c r="AT103" s="11" t="s">
        <v>8</v>
      </c>
      <c r="AU103" s="33" t="s">
        <v>9</v>
      </c>
      <c r="AV103" s="34"/>
      <c r="AW103" s="34"/>
      <c r="AX103" s="35"/>
      <c r="AY103" s="33" t="s">
        <v>8</v>
      </c>
      <c r="AZ103" s="34"/>
      <c r="BA103" s="34"/>
      <c r="BB103" s="35"/>
      <c r="BC103" s="296"/>
      <c r="BD103" s="297"/>
      <c r="BE103" s="297"/>
      <c r="BF103" s="297"/>
      <c r="BG103" s="297"/>
      <c r="BH103" s="297"/>
      <c r="BI103" s="297"/>
      <c r="BJ103" s="298"/>
      <c r="BK103" s="6"/>
    </row>
    <row r="104" spans="1:63" x14ac:dyDescent="0.25">
      <c r="A104" s="5"/>
      <c r="B104" s="33">
        <v>17</v>
      </c>
      <c r="C104" s="35"/>
      <c r="D104" s="54" t="s">
        <v>44</v>
      </c>
      <c r="E104" s="55"/>
      <c r="F104" s="55"/>
      <c r="G104" s="55"/>
      <c r="H104" s="55"/>
      <c r="I104" s="55"/>
      <c r="J104" s="56"/>
      <c r="K104" s="57" t="s">
        <v>152</v>
      </c>
      <c r="L104" s="46"/>
      <c r="M104" s="47"/>
      <c r="N104" s="17" t="s">
        <v>153</v>
      </c>
      <c r="O104" s="9" t="s">
        <v>6</v>
      </c>
      <c r="P104" s="67" t="s">
        <v>142</v>
      </c>
      <c r="Q104" s="34"/>
      <c r="R104" s="34"/>
      <c r="S104" s="35"/>
      <c r="T104" s="67" t="s">
        <v>158</v>
      </c>
      <c r="U104" s="34"/>
      <c r="V104" s="34"/>
      <c r="W104" s="35"/>
      <c r="X104" s="64" t="s">
        <v>6</v>
      </c>
      <c r="Y104" s="65"/>
      <c r="Z104" s="66"/>
      <c r="AA104" s="33" t="s">
        <v>8</v>
      </c>
      <c r="AB104" s="34"/>
      <c r="AC104" s="34"/>
      <c r="AD104" s="34"/>
      <c r="AE104" s="34"/>
      <c r="AF104" s="34"/>
      <c r="AG104" s="34"/>
      <c r="AH104" s="35"/>
      <c r="AI104" s="36" t="s">
        <v>6</v>
      </c>
      <c r="AJ104" s="37"/>
      <c r="AK104" s="37"/>
      <c r="AL104" s="37"/>
      <c r="AM104" s="37"/>
      <c r="AN104" s="37"/>
      <c r="AO104" s="37"/>
      <c r="AP104" s="37"/>
      <c r="AQ104" s="38"/>
      <c r="AR104" s="11" t="s">
        <v>6</v>
      </c>
      <c r="AS104" s="11" t="s">
        <v>8</v>
      </c>
      <c r="AT104" s="11" t="s">
        <v>8</v>
      </c>
      <c r="AU104" s="33" t="s">
        <v>9</v>
      </c>
      <c r="AV104" s="34"/>
      <c r="AW104" s="34"/>
      <c r="AX104" s="35"/>
      <c r="AY104" s="33" t="s">
        <v>8</v>
      </c>
      <c r="AZ104" s="34"/>
      <c r="BA104" s="34"/>
      <c r="BB104" s="35"/>
      <c r="BC104" s="299"/>
      <c r="BD104" s="300"/>
      <c r="BE104" s="300"/>
      <c r="BF104" s="300"/>
      <c r="BG104" s="300"/>
      <c r="BH104" s="300"/>
      <c r="BI104" s="300"/>
      <c r="BJ104" s="301"/>
      <c r="BK104" s="6"/>
    </row>
    <row r="105" spans="1:63" x14ac:dyDescent="0.25">
      <c r="A105" s="5"/>
      <c r="B105" s="33">
        <v>18</v>
      </c>
      <c r="C105" s="35"/>
      <c r="D105" s="290" t="s">
        <v>45</v>
      </c>
      <c r="E105" s="291"/>
      <c r="F105" s="291"/>
      <c r="G105" s="291"/>
      <c r="H105" s="291"/>
      <c r="I105" s="291"/>
      <c r="J105" s="292"/>
      <c r="K105" s="45" t="s">
        <v>5</v>
      </c>
      <c r="L105" s="46"/>
      <c r="M105" s="47"/>
      <c r="N105" s="9" t="s">
        <v>6</v>
      </c>
      <c r="O105" s="9" t="s">
        <v>7</v>
      </c>
      <c r="P105" s="33" t="s">
        <v>9</v>
      </c>
      <c r="Q105" s="34"/>
      <c r="R105" s="34"/>
      <c r="S105" s="35"/>
      <c r="T105" s="33" t="s">
        <v>9</v>
      </c>
      <c r="U105" s="34"/>
      <c r="V105" s="34"/>
      <c r="W105" s="35"/>
      <c r="X105" s="64" t="s">
        <v>159</v>
      </c>
      <c r="Y105" s="65"/>
      <c r="Z105" s="66"/>
      <c r="AA105" s="33" t="s">
        <v>8</v>
      </c>
      <c r="AB105" s="34"/>
      <c r="AC105" s="34"/>
      <c r="AD105" s="34"/>
      <c r="AE105" s="34"/>
      <c r="AF105" s="34"/>
      <c r="AG105" s="34"/>
      <c r="AH105" s="35"/>
      <c r="AI105" s="36" t="s">
        <v>8</v>
      </c>
      <c r="AJ105" s="37"/>
      <c r="AK105" s="37"/>
      <c r="AL105" s="37"/>
      <c r="AM105" s="37"/>
      <c r="AN105" s="37"/>
      <c r="AO105" s="37"/>
      <c r="AP105" s="37"/>
      <c r="AQ105" s="38"/>
      <c r="AR105" s="11" t="s">
        <v>6</v>
      </c>
      <c r="AS105" s="11" t="s">
        <v>8</v>
      </c>
      <c r="AT105" s="11" t="s">
        <v>8</v>
      </c>
      <c r="AU105" s="33" t="s">
        <v>9</v>
      </c>
      <c r="AV105" s="34"/>
      <c r="AW105" s="34"/>
      <c r="AX105" s="35"/>
      <c r="AY105" s="33" t="s">
        <v>8</v>
      </c>
      <c r="AZ105" s="34"/>
      <c r="BA105" s="34"/>
      <c r="BB105" s="35"/>
      <c r="BC105" s="296"/>
      <c r="BD105" s="297"/>
      <c r="BE105" s="297"/>
      <c r="BF105" s="297"/>
      <c r="BG105" s="297"/>
      <c r="BH105" s="297"/>
      <c r="BI105" s="297"/>
      <c r="BJ105" s="298"/>
      <c r="BK105" s="6"/>
    </row>
    <row r="106" spans="1:63" ht="94.5" customHeight="1" x14ac:dyDescent="0.25">
      <c r="A106" s="5"/>
      <c r="B106" s="33">
        <v>19</v>
      </c>
      <c r="C106" s="35"/>
      <c r="D106" s="54" t="s">
        <v>46</v>
      </c>
      <c r="E106" s="55"/>
      <c r="F106" s="55"/>
      <c r="G106" s="55"/>
      <c r="H106" s="55"/>
      <c r="I106" s="55"/>
      <c r="J106" s="56"/>
      <c r="K106" s="57" t="s">
        <v>152</v>
      </c>
      <c r="L106" s="46"/>
      <c r="M106" s="47"/>
      <c r="N106" s="17" t="s">
        <v>153</v>
      </c>
      <c r="O106" s="9" t="s">
        <v>6</v>
      </c>
      <c r="P106" s="67" t="s">
        <v>142</v>
      </c>
      <c r="Q106" s="34"/>
      <c r="R106" s="34"/>
      <c r="S106" s="35"/>
      <c r="T106" s="33" t="s">
        <v>56</v>
      </c>
      <c r="U106" s="34"/>
      <c r="V106" s="34"/>
      <c r="W106" s="35"/>
      <c r="X106" s="64" t="s">
        <v>6</v>
      </c>
      <c r="Y106" s="65"/>
      <c r="Z106" s="66"/>
      <c r="AA106" s="33" t="s">
        <v>8</v>
      </c>
      <c r="AB106" s="34"/>
      <c r="AC106" s="34"/>
      <c r="AD106" s="34"/>
      <c r="AE106" s="34"/>
      <c r="AF106" s="34"/>
      <c r="AG106" s="34"/>
      <c r="AH106" s="35"/>
      <c r="AI106" s="36" t="s">
        <v>6</v>
      </c>
      <c r="AJ106" s="37"/>
      <c r="AK106" s="37"/>
      <c r="AL106" s="37"/>
      <c r="AM106" s="37"/>
      <c r="AN106" s="37"/>
      <c r="AO106" s="37"/>
      <c r="AP106" s="37"/>
      <c r="AQ106" s="38"/>
      <c r="AR106" s="11" t="s">
        <v>6</v>
      </c>
      <c r="AS106" s="11" t="s">
        <v>8</v>
      </c>
      <c r="AT106" s="11" t="s">
        <v>8</v>
      </c>
      <c r="AU106" s="33" t="s">
        <v>9</v>
      </c>
      <c r="AV106" s="34"/>
      <c r="AW106" s="34"/>
      <c r="AX106" s="35"/>
      <c r="AY106" s="33" t="s">
        <v>8</v>
      </c>
      <c r="AZ106" s="34"/>
      <c r="BA106" s="34"/>
      <c r="BB106" s="35"/>
      <c r="BC106" s="302" t="s">
        <v>160</v>
      </c>
      <c r="BD106" s="303"/>
      <c r="BE106" s="303"/>
      <c r="BF106" s="303"/>
      <c r="BG106" s="303"/>
      <c r="BH106" s="303"/>
      <c r="BI106" s="303"/>
      <c r="BJ106" s="304"/>
      <c r="BK106" s="6"/>
    </row>
    <row r="107" spans="1:63" x14ac:dyDescent="0.25">
      <c r="A107" s="5"/>
      <c r="B107" s="33">
        <v>20</v>
      </c>
      <c r="C107" s="35"/>
      <c r="D107" s="152" t="s">
        <v>91</v>
      </c>
      <c r="E107" s="153"/>
      <c r="F107" s="153"/>
      <c r="G107" s="153"/>
      <c r="H107" s="153"/>
      <c r="I107" s="153"/>
      <c r="J107" s="154"/>
      <c r="K107" s="45" t="s">
        <v>5</v>
      </c>
      <c r="L107" s="46"/>
      <c r="M107" s="47"/>
      <c r="N107" s="9" t="s">
        <v>6</v>
      </c>
      <c r="O107" s="9" t="s">
        <v>7</v>
      </c>
      <c r="P107" s="33" t="s">
        <v>6</v>
      </c>
      <c r="Q107" s="34"/>
      <c r="R107" s="34"/>
      <c r="S107" s="35"/>
      <c r="T107" s="33" t="s">
        <v>6</v>
      </c>
      <c r="U107" s="34"/>
      <c r="V107" s="34"/>
      <c r="W107" s="35"/>
      <c r="X107" s="42" t="s">
        <v>94</v>
      </c>
      <c r="Y107" s="43"/>
      <c r="Z107" s="44"/>
      <c r="AA107" s="33" t="s">
        <v>8</v>
      </c>
      <c r="AB107" s="34"/>
      <c r="AC107" s="34"/>
      <c r="AD107" s="34"/>
      <c r="AE107" s="34"/>
      <c r="AF107" s="34"/>
      <c r="AG107" s="34"/>
      <c r="AH107" s="35"/>
      <c r="AI107" s="36" t="s">
        <v>8</v>
      </c>
      <c r="AJ107" s="37"/>
      <c r="AK107" s="37"/>
      <c r="AL107" s="37"/>
      <c r="AM107" s="37"/>
      <c r="AN107" s="37"/>
      <c r="AO107" s="37"/>
      <c r="AP107" s="37"/>
      <c r="AQ107" s="38"/>
      <c r="AR107" s="11" t="s">
        <v>6</v>
      </c>
      <c r="AS107" s="11" t="s">
        <v>8</v>
      </c>
      <c r="AT107" s="11" t="s">
        <v>8</v>
      </c>
      <c r="AU107" s="33" t="s">
        <v>6</v>
      </c>
      <c r="AV107" s="34"/>
      <c r="AW107" s="34"/>
      <c r="AX107" s="35"/>
      <c r="AY107" s="33" t="s">
        <v>8</v>
      </c>
      <c r="AZ107" s="34"/>
      <c r="BA107" s="34"/>
      <c r="BB107" s="35"/>
      <c r="BC107" s="149"/>
      <c r="BD107" s="150"/>
      <c r="BE107" s="150"/>
      <c r="BF107" s="150"/>
      <c r="BG107" s="150"/>
      <c r="BH107" s="150"/>
      <c r="BI107" s="150"/>
      <c r="BJ107" s="151"/>
      <c r="BK107" s="6"/>
    </row>
    <row r="108" spans="1:63" x14ac:dyDescent="0.25">
      <c r="A108" s="5"/>
      <c r="B108" s="33">
        <v>21</v>
      </c>
      <c r="C108" s="35"/>
      <c r="D108" s="54" t="s">
        <v>92</v>
      </c>
      <c r="E108" s="55"/>
      <c r="F108" s="55"/>
      <c r="G108" s="55"/>
      <c r="H108" s="55"/>
      <c r="I108" s="55"/>
      <c r="J108" s="56"/>
      <c r="K108" s="45" t="s">
        <v>5</v>
      </c>
      <c r="L108" s="46"/>
      <c r="M108" s="47"/>
      <c r="N108" s="12" t="s">
        <v>10</v>
      </c>
      <c r="O108" s="9" t="s">
        <v>6</v>
      </c>
      <c r="P108" s="33" t="s">
        <v>27</v>
      </c>
      <c r="Q108" s="34"/>
      <c r="R108" s="34"/>
      <c r="S108" s="35"/>
      <c r="T108" s="33" t="s">
        <v>93</v>
      </c>
      <c r="U108" s="34"/>
      <c r="V108" s="34"/>
      <c r="W108" s="35"/>
      <c r="X108" s="42" t="s">
        <v>6</v>
      </c>
      <c r="Y108" s="43"/>
      <c r="Z108" s="44"/>
      <c r="AA108" s="33" t="s">
        <v>8</v>
      </c>
      <c r="AB108" s="34"/>
      <c r="AC108" s="34"/>
      <c r="AD108" s="34"/>
      <c r="AE108" s="34"/>
      <c r="AF108" s="34"/>
      <c r="AG108" s="34"/>
      <c r="AH108" s="35"/>
      <c r="AI108" s="36" t="s">
        <v>6</v>
      </c>
      <c r="AJ108" s="37"/>
      <c r="AK108" s="37"/>
      <c r="AL108" s="37"/>
      <c r="AM108" s="37"/>
      <c r="AN108" s="37"/>
      <c r="AO108" s="37"/>
      <c r="AP108" s="37"/>
      <c r="AQ108" s="38"/>
      <c r="AR108" s="11" t="s">
        <v>6</v>
      </c>
      <c r="AS108" s="11" t="s">
        <v>8</v>
      </c>
      <c r="AT108" s="11" t="s">
        <v>8</v>
      </c>
      <c r="AU108" s="33" t="s">
        <v>6</v>
      </c>
      <c r="AV108" s="34"/>
      <c r="AW108" s="34"/>
      <c r="AX108" s="35"/>
      <c r="AY108" s="33" t="s">
        <v>8</v>
      </c>
      <c r="AZ108" s="34"/>
      <c r="BA108" s="34"/>
      <c r="BB108" s="35"/>
      <c r="BC108" s="45"/>
      <c r="BD108" s="46"/>
      <c r="BE108" s="46"/>
      <c r="BF108" s="46"/>
      <c r="BG108" s="46"/>
      <c r="BH108" s="46"/>
      <c r="BI108" s="46"/>
      <c r="BJ108" s="47"/>
      <c r="BK108" s="6"/>
    </row>
    <row r="109" spans="1:63" x14ac:dyDescent="0.25">
      <c r="A109" s="5"/>
      <c r="B109" s="33">
        <v>22</v>
      </c>
      <c r="C109" s="35"/>
      <c r="D109" s="290" t="s">
        <v>47</v>
      </c>
      <c r="E109" s="291"/>
      <c r="F109" s="291"/>
      <c r="G109" s="291"/>
      <c r="H109" s="291"/>
      <c r="I109" s="291"/>
      <c r="J109" s="292"/>
      <c r="K109" s="45" t="s">
        <v>5</v>
      </c>
      <c r="L109" s="46"/>
      <c r="M109" s="47"/>
      <c r="N109" s="9" t="s">
        <v>6</v>
      </c>
      <c r="O109" s="9" t="s">
        <v>7</v>
      </c>
      <c r="P109" s="33" t="s">
        <v>9</v>
      </c>
      <c r="Q109" s="34"/>
      <c r="R109" s="34"/>
      <c r="S109" s="35"/>
      <c r="T109" s="33" t="s">
        <v>9</v>
      </c>
      <c r="U109" s="34"/>
      <c r="V109" s="34"/>
      <c r="W109" s="35"/>
      <c r="X109" s="64" t="s">
        <v>161</v>
      </c>
      <c r="Y109" s="65"/>
      <c r="Z109" s="66"/>
      <c r="AA109" s="33" t="s">
        <v>8</v>
      </c>
      <c r="AB109" s="34"/>
      <c r="AC109" s="34"/>
      <c r="AD109" s="34"/>
      <c r="AE109" s="34"/>
      <c r="AF109" s="34"/>
      <c r="AG109" s="34"/>
      <c r="AH109" s="35"/>
      <c r="AI109" s="36" t="s">
        <v>8</v>
      </c>
      <c r="AJ109" s="37"/>
      <c r="AK109" s="37"/>
      <c r="AL109" s="37"/>
      <c r="AM109" s="37"/>
      <c r="AN109" s="37"/>
      <c r="AO109" s="37"/>
      <c r="AP109" s="37"/>
      <c r="AQ109" s="38"/>
      <c r="AR109" s="11" t="s">
        <v>6</v>
      </c>
      <c r="AS109" s="11" t="s">
        <v>8</v>
      </c>
      <c r="AT109" s="11" t="s">
        <v>8</v>
      </c>
      <c r="AU109" s="33" t="s">
        <v>9</v>
      </c>
      <c r="AV109" s="34"/>
      <c r="AW109" s="34"/>
      <c r="AX109" s="35"/>
      <c r="AY109" s="33" t="s">
        <v>8</v>
      </c>
      <c r="AZ109" s="34"/>
      <c r="BA109" s="34"/>
      <c r="BB109" s="35"/>
      <c r="BC109" s="296"/>
      <c r="BD109" s="297"/>
      <c r="BE109" s="297"/>
      <c r="BF109" s="297"/>
      <c r="BG109" s="297"/>
      <c r="BH109" s="297"/>
      <c r="BI109" s="297"/>
      <c r="BJ109" s="298"/>
      <c r="BK109" s="6"/>
    </row>
    <row r="110" spans="1:63" x14ac:dyDescent="0.25">
      <c r="A110" s="5"/>
      <c r="B110" s="33">
        <v>23</v>
      </c>
      <c r="C110" s="35"/>
      <c r="D110" s="54" t="s">
        <v>48</v>
      </c>
      <c r="E110" s="55"/>
      <c r="F110" s="55"/>
      <c r="G110" s="55"/>
      <c r="H110" s="55"/>
      <c r="I110" s="55"/>
      <c r="J110" s="56"/>
      <c r="K110" s="57" t="s">
        <v>152</v>
      </c>
      <c r="L110" s="46"/>
      <c r="M110" s="47"/>
      <c r="N110" s="17" t="s">
        <v>153</v>
      </c>
      <c r="O110" s="9" t="s">
        <v>6</v>
      </c>
      <c r="P110" s="67" t="s">
        <v>142</v>
      </c>
      <c r="Q110" s="34"/>
      <c r="R110" s="34"/>
      <c r="S110" s="35"/>
      <c r="T110" s="67" t="s">
        <v>162</v>
      </c>
      <c r="U110" s="34"/>
      <c r="V110" s="34"/>
      <c r="W110" s="35"/>
      <c r="X110" s="64" t="s">
        <v>6</v>
      </c>
      <c r="Y110" s="65"/>
      <c r="Z110" s="66"/>
      <c r="AA110" s="33" t="s">
        <v>8</v>
      </c>
      <c r="AB110" s="34"/>
      <c r="AC110" s="34"/>
      <c r="AD110" s="34"/>
      <c r="AE110" s="34"/>
      <c r="AF110" s="34"/>
      <c r="AG110" s="34"/>
      <c r="AH110" s="35"/>
      <c r="AI110" s="36" t="s">
        <v>6</v>
      </c>
      <c r="AJ110" s="37"/>
      <c r="AK110" s="37"/>
      <c r="AL110" s="37"/>
      <c r="AM110" s="37"/>
      <c r="AN110" s="37"/>
      <c r="AO110" s="37"/>
      <c r="AP110" s="37"/>
      <c r="AQ110" s="38"/>
      <c r="AR110" s="11" t="s">
        <v>6</v>
      </c>
      <c r="AS110" s="11" t="s">
        <v>8</v>
      </c>
      <c r="AT110" s="11" t="s">
        <v>8</v>
      </c>
      <c r="AU110" s="33" t="s">
        <v>9</v>
      </c>
      <c r="AV110" s="34"/>
      <c r="AW110" s="34"/>
      <c r="AX110" s="35"/>
      <c r="AY110" s="33" t="s">
        <v>8</v>
      </c>
      <c r="AZ110" s="34"/>
      <c r="BA110" s="34"/>
      <c r="BB110" s="35"/>
      <c r="BC110" s="299"/>
      <c r="BD110" s="300"/>
      <c r="BE110" s="300"/>
      <c r="BF110" s="300"/>
      <c r="BG110" s="300"/>
      <c r="BH110" s="300"/>
      <c r="BI110" s="300"/>
      <c r="BJ110" s="301"/>
      <c r="BK110" s="6"/>
    </row>
    <row r="111" spans="1:63" ht="78.75" customHeight="1" x14ac:dyDescent="0.25">
      <c r="A111" s="5"/>
      <c r="B111" s="33">
        <v>24</v>
      </c>
      <c r="C111" s="35"/>
      <c r="D111" s="54" t="s">
        <v>49</v>
      </c>
      <c r="E111" s="55"/>
      <c r="F111" s="55"/>
      <c r="G111" s="55"/>
      <c r="H111" s="55"/>
      <c r="I111" s="55"/>
      <c r="J111" s="56"/>
      <c r="K111" s="57" t="s">
        <v>150</v>
      </c>
      <c r="L111" s="46"/>
      <c r="M111" s="47"/>
      <c r="N111" s="17" t="s">
        <v>140</v>
      </c>
      <c r="O111" s="9" t="s">
        <v>7</v>
      </c>
      <c r="P111" s="33" t="s">
        <v>9</v>
      </c>
      <c r="Q111" s="34"/>
      <c r="R111" s="34"/>
      <c r="S111" s="35"/>
      <c r="T111" s="33" t="s">
        <v>9</v>
      </c>
      <c r="U111" s="34"/>
      <c r="V111" s="34"/>
      <c r="W111" s="35"/>
      <c r="X111" s="39" t="s">
        <v>163</v>
      </c>
      <c r="Y111" s="40"/>
      <c r="Z111" s="41"/>
      <c r="AA111" s="33" t="s">
        <v>8</v>
      </c>
      <c r="AB111" s="34"/>
      <c r="AC111" s="34"/>
      <c r="AD111" s="34"/>
      <c r="AE111" s="34"/>
      <c r="AF111" s="34"/>
      <c r="AG111" s="34"/>
      <c r="AH111" s="35"/>
      <c r="AI111" s="61" t="s">
        <v>164</v>
      </c>
      <c r="AJ111" s="62"/>
      <c r="AK111" s="62"/>
      <c r="AL111" s="62"/>
      <c r="AM111" s="62"/>
      <c r="AN111" s="62"/>
      <c r="AO111" s="62"/>
      <c r="AP111" s="62"/>
      <c r="AQ111" s="63"/>
      <c r="AR111" s="11" t="s">
        <v>6</v>
      </c>
      <c r="AS111" s="11" t="s">
        <v>8</v>
      </c>
      <c r="AT111" s="11" t="s">
        <v>8</v>
      </c>
      <c r="AU111" s="33" t="s">
        <v>9</v>
      </c>
      <c r="AV111" s="34"/>
      <c r="AW111" s="34"/>
      <c r="AX111" s="35"/>
      <c r="AY111" s="33" t="s">
        <v>8</v>
      </c>
      <c r="AZ111" s="34"/>
      <c r="BA111" s="34"/>
      <c r="BB111" s="35"/>
      <c r="BC111" s="299" t="s">
        <v>34</v>
      </c>
      <c r="BD111" s="300"/>
      <c r="BE111" s="300"/>
      <c r="BF111" s="300"/>
      <c r="BG111" s="300"/>
      <c r="BH111" s="300"/>
      <c r="BI111" s="300"/>
      <c r="BJ111" s="301"/>
      <c r="BK111" s="6"/>
    </row>
    <row r="112" spans="1:63" x14ac:dyDescent="0.25">
      <c r="A112" s="5"/>
      <c r="B112" s="33">
        <v>25</v>
      </c>
      <c r="C112" s="35"/>
      <c r="D112" s="54" t="s">
        <v>50</v>
      </c>
      <c r="E112" s="55"/>
      <c r="F112" s="55"/>
      <c r="G112" s="55"/>
      <c r="H112" s="55"/>
      <c r="I112" s="55"/>
      <c r="J112" s="56"/>
      <c r="K112" s="57" t="s">
        <v>150</v>
      </c>
      <c r="L112" s="46"/>
      <c r="M112" s="47"/>
      <c r="N112" s="17" t="s">
        <v>140</v>
      </c>
      <c r="O112" s="9" t="s">
        <v>7</v>
      </c>
      <c r="P112" s="33" t="s">
        <v>9</v>
      </c>
      <c r="Q112" s="34"/>
      <c r="R112" s="34"/>
      <c r="S112" s="35"/>
      <c r="T112" s="33" t="s">
        <v>9</v>
      </c>
      <c r="U112" s="34"/>
      <c r="V112" s="34"/>
      <c r="W112" s="35"/>
      <c r="X112" s="39" t="s">
        <v>165</v>
      </c>
      <c r="Y112" s="40"/>
      <c r="Z112" s="41"/>
      <c r="AA112" s="33" t="s">
        <v>8</v>
      </c>
      <c r="AB112" s="34"/>
      <c r="AC112" s="34"/>
      <c r="AD112" s="34"/>
      <c r="AE112" s="34"/>
      <c r="AF112" s="34"/>
      <c r="AG112" s="34"/>
      <c r="AH112" s="35"/>
      <c r="AI112" s="36" t="s">
        <v>53</v>
      </c>
      <c r="AJ112" s="37"/>
      <c r="AK112" s="37"/>
      <c r="AL112" s="37"/>
      <c r="AM112" s="37"/>
      <c r="AN112" s="37"/>
      <c r="AO112" s="37"/>
      <c r="AP112" s="37"/>
      <c r="AQ112" s="38"/>
      <c r="AR112" s="11" t="s">
        <v>6</v>
      </c>
      <c r="AS112" s="11" t="s">
        <v>8</v>
      </c>
      <c r="AT112" s="11" t="s">
        <v>8</v>
      </c>
      <c r="AU112" s="33" t="s">
        <v>9</v>
      </c>
      <c r="AV112" s="34"/>
      <c r="AW112" s="34"/>
      <c r="AX112" s="35"/>
      <c r="AY112" s="33" t="s">
        <v>8</v>
      </c>
      <c r="AZ112" s="34"/>
      <c r="BA112" s="34"/>
      <c r="BB112" s="35"/>
      <c r="BC112" s="299" t="s">
        <v>35</v>
      </c>
      <c r="BD112" s="300"/>
      <c r="BE112" s="300"/>
      <c r="BF112" s="300"/>
      <c r="BG112" s="300"/>
      <c r="BH112" s="300"/>
      <c r="BI112" s="300"/>
      <c r="BJ112" s="301"/>
      <c r="BK112" s="6"/>
    </row>
    <row r="113" spans="1:63" x14ac:dyDescent="0.25">
      <c r="A113" s="5"/>
      <c r="B113" s="33">
        <v>26</v>
      </c>
      <c r="C113" s="35"/>
      <c r="D113" s="54" t="s">
        <v>2</v>
      </c>
      <c r="E113" s="55"/>
      <c r="F113" s="55"/>
      <c r="G113" s="55"/>
      <c r="H113" s="55"/>
      <c r="I113" s="55"/>
      <c r="J113" s="56"/>
      <c r="K113" s="57" t="s">
        <v>150</v>
      </c>
      <c r="L113" s="46"/>
      <c r="M113" s="47"/>
      <c r="N113" s="17" t="s">
        <v>140</v>
      </c>
      <c r="O113" s="9" t="s">
        <v>7</v>
      </c>
      <c r="P113" s="33" t="s">
        <v>9</v>
      </c>
      <c r="Q113" s="34"/>
      <c r="R113" s="34"/>
      <c r="S113" s="35"/>
      <c r="T113" s="33" t="s">
        <v>9</v>
      </c>
      <c r="U113" s="34"/>
      <c r="V113" s="34"/>
      <c r="W113" s="35"/>
      <c r="X113" s="39" t="s">
        <v>166</v>
      </c>
      <c r="Y113" s="40"/>
      <c r="Z113" s="41"/>
      <c r="AA113" s="33" t="s">
        <v>8</v>
      </c>
      <c r="AB113" s="34"/>
      <c r="AC113" s="34"/>
      <c r="AD113" s="34"/>
      <c r="AE113" s="34"/>
      <c r="AF113" s="34"/>
      <c r="AG113" s="34"/>
      <c r="AH113" s="35"/>
      <c r="AI113" s="58" t="s">
        <v>167</v>
      </c>
      <c r="AJ113" s="59"/>
      <c r="AK113" s="59"/>
      <c r="AL113" s="59"/>
      <c r="AM113" s="59"/>
      <c r="AN113" s="59"/>
      <c r="AO113" s="59"/>
      <c r="AP113" s="59"/>
      <c r="AQ113" s="60"/>
      <c r="AR113" s="11" t="s">
        <v>6</v>
      </c>
      <c r="AS113" s="11" t="s">
        <v>8</v>
      </c>
      <c r="AT113" s="11" t="s">
        <v>8</v>
      </c>
      <c r="AU113" s="33" t="s">
        <v>9</v>
      </c>
      <c r="AV113" s="34"/>
      <c r="AW113" s="34"/>
      <c r="AX113" s="35"/>
      <c r="AY113" s="33" t="s">
        <v>8</v>
      </c>
      <c r="AZ113" s="34"/>
      <c r="BA113" s="34"/>
      <c r="BB113" s="35"/>
      <c r="BC113" s="299" t="s">
        <v>36</v>
      </c>
      <c r="BD113" s="300"/>
      <c r="BE113" s="300"/>
      <c r="BF113" s="300"/>
      <c r="BG113" s="300"/>
      <c r="BH113" s="300"/>
      <c r="BI113" s="300"/>
      <c r="BJ113" s="301"/>
      <c r="BK113" s="6"/>
    </row>
    <row r="114" spans="1:63" x14ac:dyDescent="0.25">
      <c r="A114" s="5"/>
      <c r="B114" s="33">
        <v>27</v>
      </c>
      <c r="C114" s="35"/>
      <c r="D114" s="54" t="s">
        <v>51</v>
      </c>
      <c r="E114" s="55"/>
      <c r="F114" s="55"/>
      <c r="G114" s="55"/>
      <c r="H114" s="55"/>
      <c r="I114" s="55"/>
      <c r="J114" s="56"/>
      <c r="K114" s="57" t="s">
        <v>150</v>
      </c>
      <c r="L114" s="46"/>
      <c r="M114" s="47"/>
      <c r="N114" s="17" t="s">
        <v>140</v>
      </c>
      <c r="O114" s="9" t="s">
        <v>7</v>
      </c>
      <c r="P114" s="33" t="s">
        <v>9</v>
      </c>
      <c r="Q114" s="34"/>
      <c r="R114" s="34"/>
      <c r="S114" s="35"/>
      <c r="T114" s="33" t="s">
        <v>9</v>
      </c>
      <c r="U114" s="34"/>
      <c r="V114" s="34"/>
      <c r="W114" s="35"/>
      <c r="X114" s="39" t="s">
        <v>168</v>
      </c>
      <c r="Y114" s="40"/>
      <c r="Z114" s="41"/>
      <c r="AA114" s="33" t="s">
        <v>8</v>
      </c>
      <c r="AB114" s="34"/>
      <c r="AC114" s="34"/>
      <c r="AD114" s="34"/>
      <c r="AE114" s="34"/>
      <c r="AF114" s="34"/>
      <c r="AG114" s="34"/>
      <c r="AH114" s="35"/>
      <c r="AI114" s="36" t="s">
        <v>53</v>
      </c>
      <c r="AJ114" s="37"/>
      <c r="AK114" s="37"/>
      <c r="AL114" s="37"/>
      <c r="AM114" s="37"/>
      <c r="AN114" s="37"/>
      <c r="AO114" s="37"/>
      <c r="AP114" s="37"/>
      <c r="AQ114" s="38"/>
      <c r="AR114" s="11" t="s">
        <v>6</v>
      </c>
      <c r="AS114" s="11" t="s">
        <v>8</v>
      </c>
      <c r="AT114" s="11" t="s">
        <v>8</v>
      </c>
      <c r="AU114" s="33" t="s">
        <v>9</v>
      </c>
      <c r="AV114" s="34"/>
      <c r="AW114" s="34"/>
      <c r="AX114" s="35"/>
      <c r="AY114" s="33" t="s">
        <v>8</v>
      </c>
      <c r="AZ114" s="34"/>
      <c r="BA114" s="34"/>
      <c r="BB114" s="35"/>
      <c r="BC114" s="299" t="s">
        <v>37</v>
      </c>
      <c r="BD114" s="300"/>
      <c r="BE114" s="300"/>
      <c r="BF114" s="300"/>
      <c r="BG114" s="300"/>
      <c r="BH114" s="300"/>
      <c r="BI114" s="300"/>
      <c r="BJ114" s="301"/>
      <c r="BK114" s="6"/>
    </row>
    <row r="115" spans="1:63" x14ac:dyDescent="0.25">
      <c r="A115" s="5"/>
      <c r="B115" s="33">
        <v>28</v>
      </c>
      <c r="C115" s="35"/>
      <c r="D115" s="54" t="s">
        <v>52</v>
      </c>
      <c r="E115" s="55"/>
      <c r="F115" s="55"/>
      <c r="G115" s="55"/>
      <c r="H115" s="55"/>
      <c r="I115" s="55"/>
      <c r="J115" s="56"/>
      <c r="K115" s="57" t="s">
        <v>150</v>
      </c>
      <c r="L115" s="46"/>
      <c r="M115" s="47"/>
      <c r="N115" s="17" t="s">
        <v>140</v>
      </c>
      <c r="O115" s="9" t="s">
        <v>7</v>
      </c>
      <c r="P115" s="33" t="s">
        <v>6</v>
      </c>
      <c r="Q115" s="34"/>
      <c r="R115" s="34"/>
      <c r="S115" s="35"/>
      <c r="T115" s="33" t="s">
        <v>6</v>
      </c>
      <c r="U115" s="34"/>
      <c r="V115" s="34"/>
      <c r="W115" s="35"/>
      <c r="X115" s="39" t="s">
        <v>169</v>
      </c>
      <c r="Y115" s="40"/>
      <c r="Z115" s="41"/>
      <c r="AA115" s="33" t="s">
        <v>8</v>
      </c>
      <c r="AB115" s="34"/>
      <c r="AC115" s="34"/>
      <c r="AD115" s="34"/>
      <c r="AE115" s="34"/>
      <c r="AF115" s="34"/>
      <c r="AG115" s="34"/>
      <c r="AH115" s="35"/>
      <c r="AI115" s="36" t="s">
        <v>54</v>
      </c>
      <c r="AJ115" s="37"/>
      <c r="AK115" s="37"/>
      <c r="AL115" s="37"/>
      <c r="AM115" s="37"/>
      <c r="AN115" s="37"/>
      <c r="AO115" s="37"/>
      <c r="AP115" s="37"/>
      <c r="AQ115" s="38"/>
      <c r="AR115" s="11" t="s">
        <v>6</v>
      </c>
      <c r="AS115" s="11" t="s">
        <v>8</v>
      </c>
      <c r="AT115" s="11" t="s">
        <v>8</v>
      </c>
      <c r="AU115" s="33" t="s">
        <v>6</v>
      </c>
      <c r="AV115" s="34"/>
      <c r="AW115" s="34"/>
      <c r="AX115" s="35"/>
      <c r="AY115" s="33" t="s">
        <v>8</v>
      </c>
      <c r="AZ115" s="34"/>
      <c r="BA115" s="34"/>
      <c r="BB115" s="35"/>
      <c r="BC115" s="299" t="s">
        <v>38</v>
      </c>
      <c r="BD115" s="300"/>
      <c r="BE115" s="300"/>
      <c r="BF115" s="300"/>
      <c r="BG115" s="300"/>
      <c r="BH115" s="300"/>
      <c r="BI115" s="300"/>
      <c r="BJ115" s="301"/>
      <c r="BK115" s="6"/>
    </row>
    <row r="116" spans="1:63" x14ac:dyDescent="0.25">
      <c r="A116" s="5"/>
      <c r="B116" s="33">
        <v>29</v>
      </c>
      <c r="C116" s="35"/>
      <c r="D116" s="54" t="s">
        <v>86</v>
      </c>
      <c r="E116" s="55"/>
      <c r="F116" s="55"/>
      <c r="G116" s="55"/>
      <c r="H116" s="55"/>
      <c r="I116" s="55"/>
      <c r="J116" s="56"/>
      <c r="K116" s="45" t="s">
        <v>14</v>
      </c>
      <c r="L116" s="46"/>
      <c r="M116" s="47"/>
      <c r="N116" s="12" t="s">
        <v>11</v>
      </c>
      <c r="O116" s="9" t="s">
        <v>7</v>
      </c>
      <c r="P116" s="33" t="s">
        <v>6</v>
      </c>
      <c r="Q116" s="34"/>
      <c r="R116" s="34"/>
      <c r="S116" s="35"/>
      <c r="T116" s="33" t="s">
        <v>6</v>
      </c>
      <c r="U116" s="34"/>
      <c r="V116" s="34"/>
      <c r="W116" s="35"/>
      <c r="X116" s="42" t="s">
        <v>6</v>
      </c>
      <c r="Y116" s="43"/>
      <c r="Z116" s="44"/>
      <c r="AA116" s="33" t="s">
        <v>8</v>
      </c>
      <c r="AB116" s="34"/>
      <c r="AC116" s="34"/>
      <c r="AD116" s="34"/>
      <c r="AE116" s="34"/>
      <c r="AF116" s="34"/>
      <c r="AG116" s="34"/>
      <c r="AH116" s="35"/>
      <c r="AI116" s="36" t="s">
        <v>87</v>
      </c>
      <c r="AJ116" s="37"/>
      <c r="AK116" s="37"/>
      <c r="AL116" s="37"/>
      <c r="AM116" s="37"/>
      <c r="AN116" s="37"/>
      <c r="AO116" s="37"/>
      <c r="AP116" s="37"/>
      <c r="AQ116" s="38"/>
      <c r="AR116" s="11" t="s">
        <v>6</v>
      </c>
      <c r="AS116" s="11" t="s">
        <v>8</v>
      </c>
      <c r="AT116" s="11" t="s">
        <v>8</v>
      </c>
      <c r="AU116" s="33" t="s">
        <v>6</v>
      </c>
      <c r="AV116" s="34"/>
      <c r="AW116" s="34"/>
      <c r="AX116" s="35"/>
      <c r="AY116" s="33" t="s">
        <v>8</v>
      </c>
      <c r="AZ116" s="34"/>
      <c r="BA116" s="34"/>
      <c r="BB116" s="35"/>
      <c r="BC116" s="45" t="s">
        <v>88</v>
      </c>
      <c r="BD116" s="46"/>
      <c r="BE116" s="46"/>
      <c r="BF116" s="46"/>
      <c r="BG116" s="46"/>
      <c r="BH116" s="46"/>
      <c r="BI116" s="46"/>
      <c r="BJ116" s="47"/>
      <c r="BK116" s="6"/>
    </row>
    <row r="117" spans="1:63" x14ac:dyDescent="0.25">
      <c r="A117" s="5"/>
      <c r="B117" s="30">
        <v>30</v>
      </c>
      <c r="C117" s="32"/>
      <c r="D117" s="48" t="s">
        <v>57</v>
      </c>
      <c r="E117" s="49"/>
      <c r="F117" s="49"/>
      <c r="G117" s="49"/>
      <c r="H117" s="49"/>
      <c r="I117" s="49"/>
      <c r="J117" s="50"/>
      <c r="K117" s="51" t="s">
        <v>152</v>
      </c>
      <c r="L117" s="52"/>
      <c r="M117" s="53"/>
      <c r="N117" s="18" t="s">
        <v>153</v>
      </c>
      <c r="O117" s="13" t="s">
        <v>6</v>
      </c>
      <c r="P117" s="30" t="s">
        <v>27</v>
      </c>
      <c r="Q117" s="31"/>
      <c r="R117" s="31"/>
      <c r="S117" s="32"/>
      <c r="T117" s="30" t="s">
        <v>58</v>
      </c>
      <c r="U117" s="31"/>
      <c r="V117" s="31"/>
      <c r="W117" s="32"/>
      <c r="X117" s="24" t="s">
        <v>170</v>
      </c>
      <c r="Y117" s="25"/>
      <c r="Z117" s="26"/>
      <c r="AA117" s="27" t="s">
        <v>59</v>
      </c>
      <c r="AB117" s="28"/>
      <c r="AC117" s="28"/>
      <c r="AD117" s="28"/>
      <c r="AE117" s="28"/>
      <c r="AF117" s="28"/>
      <c r="AG117" s="28"/>
      <c r="AH117" s="29"/>
      <c r="AI117" s="27"/>
      <c r="AJ117" s="28"/>
      <c r="AK117" s="28"/>
      <c r="AL117" s="28"/>
      <c r="AM117" s="28"/>
      <c r="AN117" s="28"/>
      <c r="AO117" s="28"/>
      <c r="AP117" s="28"/>
      <c r="AQ117" s="29"/>
      <c r="AR117" s="14"/>
      <c r="AS117" s="14"/>
      <c r="AT117" s="14"/>
      <c r="AU117" s="30"/>
      <c r="AV117" s="31"/>
      <c r="AW117" s="31"/>
      <c r="AX117" s="32"/>
      <c r="AY117" s="30"/>
      <c r="AZ117" s="31"/>
      <c r="BA117" s="31"/>
      <c r="BB117" s="32"/>
      <c r="BC117" s="293"/>
      <c r="BD117" s="294"/>
      <c r="BE117" s="294"/>
      <c r="BF117" s="294"/>
      <c r="BG117" s="294"/>
      <c r="BH117" s="294"/>
      <c r="BI117" s="294"/>
      <c r="BJ117" s="295"/>
      <c r="BK117" s="6"/>
    </row>
    <row r="118" spans="1:63" x14ac:dyDescent="0.25">
      <c r="BK118" s="6"/>
    </row>
    <row r="119" spans="1:63" x14ac:dyDescent="0.25">
      <c r="BK119" s="6"/>
    </row>
    <row r="120" spans="1:63" x14ac:dyDescent="0.25">
      <c r="BK120" s="6"/>
    </row>
    <row r="121" spans="1:63" x14ac:dyDescent="0.25">
      <c r="BK121" s="6"/>
    </row>
    <row r="122" spans="1:63" x14ac:dyDescent="0.25">
      <c r="BK122" s="6"/>
    </row>
    <row r="123" spans="1:63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4"/>
    </row>
  </sheetData>
  <mergeCells count="423">
    <mergeCell ref="B108:C108"/>
    <mergeCell ref="B107:C107"/>
    <mergeCell ref="AY107:BB107"/>
    <mergeCell ref="BC107:BJ107"/>
    <mergeCell ref="D108:J108"/>
    <mergeCell ref="K108:M108"/>
    <mergeCell ref="P108:S108"/>
    <mergeCell ref="T108:W108"/>
    <mergeCell ref="X108:Z108"/>
    <mergeCell ref="AA108:AH108"/>
    <mergeCell ref="AI108:AQ108"/>
    <mergeCell ref="AU108:AX108"/>
    <mergeCell ref="AY108:BB108"/>
    <mergeCell ref="BC108:BJ108"/>
    <mergeCell ref="D107:J107"/>
    <mergeCell ref="K107:M107"/>
    <mergeCell ref="P107:S107"/>
    <mergeCell ref="T107:W107"/>
    <mergeCell ref="X107:Z107"/>
    <mergeCell ref="AA107:AH107"/>
    <mergeCell ref="AI107:AQ107"/>
    <mergeCell ref="AU107:AX107"/>
    <mergeCell ref="AY95:BB95"/>
    <mergeCell ref="BC95:BJ95"/>
    <mergeCell ref="B96:C96"/>
    <mergeCell ref="D96:J96"/>
    <mergeCell ref="K96:M96"/>
    <mergeCell ref="P96:S96"/>
    <mergeCell ref="T96:W96"/>
    <mergeCell ref="X96:Z96"/>
    <mergeCell ref="AA96:AH96"/>
    <mergeCell ref="AI96:AQ96"/>
    <mergeCell ref="AU96:AX96"/>
    <mergeCell ref="AY96:BB96"/>
    <mergeCell ref="BC96:BJ96"/>
    <mergeCell ref="B95:C95"/>
    <mergeCell ref="D95:J95"/>
    <mergeCell ref="K95:M95"/>
    <mergeCell ref="P95:S95"/>
    <mergeCell ref="T95:W95"/>
    <mergeCell ref="X95:Z95"/>
    <mergeCell ref="AA95:AH95"/>
    <mergeCell ref="AI95:AQ95"/>
    <mergeCell ref="AU95:AX95"/>
    <mergeCell ref="BC51:BJ51"/>
    <mergeCell ref="B52:C52"/>
    <mergeCell ref="D52:J52"/>
    <mergeCell ref="K52:M52"/>
    <mergeCell ref="P52:S52"/>
    <mergeCell ref="T52:W52"/>
    <mergeCell ref="X52:Z52"/>
    <mergeCell ref="AA52:AH52"/>
    <mergeCell ref="AI52:AQ52"/>
    <mergeCell ref="AU52:AX52"/>
    <mergeCell ref="AY52:BB52"/>
    <mergeCell ref="BC52:BJ52"/>
    <mergeCell ref="B51:C51"/>
    <mergeCell ref="D51:J51"/>
    <mergeCell ref="K51:M51"/>
    <mergeCell ref="P51:S51"/>
    <mergeCell ref="T51:W51"/>
    <mergeCell ref="X51:Z51"/>
    <mergeCell ref="AA51:AH51"/>
    <mergeCell ref="AI51:AQ51"/>
    <mergeCell ref="AU51:AX51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41:C43"/>
    <mergeCell ref="D41:J43"/>
    <mergeCell ref="K41:M43"/>
    <mergeCell ref="N41:N43"/>
    <mergeCell ref="O41:O43"/>
    <mergeCell ref="P41:AQ41"/>
    <mergeCell ref="AR41:BB41"/>
    <mergeCell ref="BC41:BJ43"/>
    <mergeCell ref="P42:W42"/>
    <mergeCell ref="X42:Z43"/>
    <mergeCell ref="AA42:AH43"/>
    <mergeCell ref="AI42:AQ43"/>
    <mergeCell ref="AR42:AR43"/>
    <mergeCell ref="AS42:AS43"/>
    <mergeCell ref="AT42:AT43"/>
    <mergeCell ref="AI45:AQ45"/>
    <mergeCell ref="AU45:AX45"/>
    <mergeCell ref="AY45:BB45"/>
    <mergeCell ref="BC45:BJ45"/>
    <mergeCell ref="AU42:BB42"/>
    <mergeCell ref="P43:S43"/>
    <mergeCell ref="T43:W43"/>
    <mergeCell ref="AU43:AX43"/>
    <mergeCell ref="AY43:BB43"/>
    <mergeCell ref="P45:S45"/>
    <mergeCell ref="T45:W45"/>
    <mergeCell ref="X44:Z44"/>
    <mergeCell ref="AA44:AH44"/>
    <mergeCell ref="AI44:AQ44"/>
    <mergeCell ref="AU44:AX44"/>
    <mergeCell ref="AY44:BB44"/>
    <mergeCell ref="BC44:BJ44"/>
    <mergeCell ref="T47:W47"/>
    <mergeCell ref="B46:C46"/>
    <mergeCell ref="D46:J46"/>
    <mergeCell ref="K46:M46"/>
    <mergeCell ref="P46:S46"/>
    <mergeCell ref="T46:W46"/>
    <mergeCell ref="X46:Z46"/>
    <mergeCell ref="X45:Z45"/>
    <mergeCell ref="AA45:AH45"/>
    <mergeCell ref="B45:C45"/>
    <mergeCell ref="D45:J45"/>
    <mergeCell ref="K45:M45"/>
    <mergeCell ref="X47:Z47"/>
    <mergeCell ref="AA47:AH47"/>
    <mergeCell ref="AI47:AQ47"/>
    <mergeCell ref="AU47:AX47"/>
    <mergeCell ref="AY47:BB47"/>
    <mergeCell ref="BC47:BJ47"/>
    <mergeCell ref="AA46:AH46"/>
    <mergeCell ref="AI46:AQ46"/>
    <mergeCell ref="AU46:AX46"/>
    <mergeCell ref="AY46:BB46"/>
    <mergeCell ref="BC46:BJ46"/>
    <mergeCell ref="B44:C44"/>
    <mergeCell ref="D44:J44"/>
    <mergeCell ref="K44:M44"/>
    <mergeCell ref="P44:S44"/>
    <mergeCell ref="T44:W44"/>
    <mergeCell ref="B50:C50"/>
    <mergeCell ref="D50:J50"/>
    <mergeCell ref="K50:M50"/>
    <mergeCell ref="P50:S50"/>
    <mergeCell ref="T50:W50"/>
    <mergeCell ref="B49:C49"/>
    <mergeCell ref="D49:J49"/>
    <mergeCell ref="K49:M49"/>
    <mergeCell ref="P49:S49"/>
    <mergeCell ref="T49:W49"/>
    <mergeCell ref="B48:C48"/>
    <mergeCell ref="D48:J48"/>
    <mergeCell ref="K48:M48"/>
    <mergeCell ref="P48:S48"/>
    <mergeCell ref="T48:W48"/>
    <mergeCell ref="B47:C47"/>
    <mergeCell ref="D47:J47"/>
    <mergeCell ref="K47:M47"/>
    <mergeCell ref="P47:S47"/>
    <mergeCell ref="AA48:AH48"/>
    <mergeCell ref="AI48:AQ48"/>
    <mergeCell ref="AU48:AX48"/>
    <mergeCell ref="AY48:BB48"/>
    <mergeCell ref="BC48:BJ48"/>
    <mergeCell ref="X48:Z48"/>
    <mergeCell ref="AA53:AH53"/>
    <mergeCell ref="AI53:AQ53"/>
    <mergeCell ref="AU53:AX53"/>
    <mergeCell ref="AY53:BB53"/>
    <mergeCell ref="BC53:BJ53"/>
    <mergeCell ref="AA50:AH50"/>
    <mergeCell ref="AI50:AQ50"/>
    <mergeCell ref="AU50:AX50"/>
    <mergeCell ref="AY50:BB50"/>
    <mergeCell ref="BC50:BJ50"/>
    <mergeCell ref="X50:Z50"/>
    <mergeCell ref="X49:Z49"/>
    <mergeCell ref="AA49:AH49"/>
    <mergeCell ref="AI49:AQ49"/>
    <mergeCell ref="AU49:AX49"/>
    <mergeCell ref="AY49:BB49"/>
    <mergeCell ref="BC49:BJ49"/>
    <mergeCell ref="AY51:BB51"/>
    <mergeCell ref="T53:W53"/>
    <mergeCell ref="X53:Z53"/>
    <mergeCell ref="AR92:BB92"/>
    <mergeCell ref="BC92:BJ94"/>
    <mergeCell ref="P93:W93"/>
    <mergeCell ref="X93:Z94"/>
    <mergeCell ref="AA93:AH94"/>
    <mergeCell ref="AI93:AQ94"/>
    <mergeCell ref="AR93:AR94"/>
    <mergeCell ref="AS93:AS94"/>
    <mergeCell ref="AT93:AT94"/>
    <mergeCell ref="AU93:BB93"/>
    <mergeCell ref="P92:AQ92"/>
    <mergeCell ref="P94:S94"/>
    <mergeCell ref="T94:W94"/>
    <mergeCell ref="AU94:AX94"/>
    <mergeCell ref="AY94:BB94"/>
    <mergeCell ref="B92:C94"/>
    <mergeCell ref="D92:J94"/>
    <mergeCell ref="K92:M94"/>
    <mergeCell ref="N92:N94"/>
    <mergeCell ref="O92:O94"/>
    <mergeCell ref="B53:C53"/>
    <mergeCell ref="D53:J53"/>
    <mergeCell ref="K53:M53"/>
    <mergeCell ref="P53:S53"/>
    <mergeCell ref="AI99:AQ99"/>
    <mergeCell ref="AU99:AX99"/>
    <mergeCell ref="AU97:AX97"/>
    <mergeCell ref="AY97:BB97"/>
    <mergeCell ref="BC97:BJ97"/>
    <mergeCell ref="B98:C98"/>
    <mergeCell ref="D98:J98"/>
    <mergeCell ref="K98:M98"/>
    <mergeCell ref="P98:S98"/>
    <mergeCell ref="T98:W98"/>
    <mergeCell ref="X98:Z98"/>
    <mergeCell ref="AA98:AH98"/>
    <mergeCell ref="B97:C97"/>
    <mergeCell ref="D97:J97"/>
    <mergeCell ref="K97:M97"/>
    <mergeCell ref="P97:S97"/>
    <mergeCell ref="T97:W97"/>
    <mergeCell ref="X97:Z97"/>
    <mergeCell ref="AA97:AH97"/>
    <mergeCell ref="AI97:AQ97"/>
    <mergeCell ref="AY99:BB99"/>
    <mergeCell ref="BC99:BJ99"/>
    <mergeCell ref="B100:C100"/>
    <mergeCell ref="D100:J100"/>
    <mergeCell ref="K100:M100"/>
    <mergeCell ref="P100:S100"/>
    <mergeCell ref="T100:W100"/>
    <mergeCell ref="AI98:AQ98"/>
    <mergeCell ref="AU98:AX98"/>
    <mergeCell ref="AY98:BB98"/>
    <mergeCell ref="BC98:BJ98"/>
    <mergeCell ref="B99:C99"/>
    <mergeCell ref="D99:J99"/>
    <mergeCell ref="K99:M99"/>
    <mergeCell ref="P99:S99"/>
    <mergeCell ref="T99:W99"/>
    <mergeCell ref="X99:Z99"/>
    <mergeCell ref="X100:Z100"/>
    <mergeCell ref="AA100:AH100"/>
    <mergeCell ref="AI100:AQ100"/>
    <mergeCell ref="AU100:AX100"/>
    <mergeCell ref="AY100:BB100"/>
    <mergeCell ref="BC100:BJ100"/>
    <mergeCell ref="AA99:AH99"/>
    <mergeCell ref="B102:C102"/>
    <mergeCell ref="D102:J102"/>
    <mergeCell ref="K102:M102"/>
    <mergeCell ref="P102:S102"/>
    <mergeCell ref="T102:W102"/>
    <mergeCell ref="B101:C101"/>
    <mergeCell ref="D101:J101"/>
    <mergeCell ref="K101:M101"/>
    <mergeCell ref="P101:S101"/>
    <mergeCell ref="T101:W101"/>
    <mergeCell ref="X102:Z102"/>
    <mergeCell ref="AA102:AH102"/>
    <mergeCell ref="AI102:AQ102"/>
    <mergeCell ref="AU102:AX102"/>
    <mergeCell ref="AY102:BB102"/>
    <mergeCell ref="BC102:BJ102"/>
    <mergeCell ref="AA101:AH101"/>
    <mergeCell ref="AI101:AQ101"/>
    <mergeCell ref="AU101:AX101"/>
    <mergeCell ref="AY101:BB101"/>
    <mergeCell ref="BC101:BJ101"/>
    <mergeCell ref="X101:Z101"/>
    <mergeCell ref="B104:C104"/>
    <mergeCell ref="D104:J104"/>
    <mergeCell ref="K104:M104"/>
    <mergeCell ref="P104:S104"/>
    <mergeCell ref="T104:W104"/>
    <mergeCell ref="B103:C103"/>
    <mergeCell ref="D103:J103"/>
    <mergeCell ref="K103:M103"/>
    <mergeCell ref="P103:S103"/>
    <mergeCell ref="T103:W103"/>
    <mergeCell ref="X104:Z104"/>
    <mergeCell ref="AA104:AH104"/>
    <mergeCell ref="AI104:AQ104"/>
    <mergeCell ref="AU104:AX104"/>
    <mergeCell ref="AY104:BB104"/>
    <mergeCell ref="BC104:BJ104"/>
    <mergeCell ref="AA103:AH103"/>
    <mergeCell ref="AI103:AQ103"/>
    <mergeCell ref="AU103:AX103"/>
    <mergeCell ref="AY103:BB103"/>
    <mergeCell ref="BC103:BJ103"/>
    <mergeCell ref="X103:Z103"/>
    <mergeCell ref="B106:C106"/>
    <mergeCell ref="D106:J106"/>
    <mergeCell ref="K106:M106"/>
    <mergeCell ref="P106:S106"/>
    <mergeCell ref="T106:W106"/>
    <mergeCell ref="B105:C105"/>
    <mergeCell ref="D105:J105"/>
    <mergeCell ref="K105:M105"/>
    <mergeCell ref="P105:S105"/>
    <mergeCell ref="T105:W105"/>
    <mergeCell ref="X106:Z106"/>
    <mergeCell ref="AA106:AH106"/>
    <mergeCell ref="AI106:AQ106"/>
    <mergeCell ref="AU106:AX106"/>
    <mergeCell ref="AY106:BB106"/>
    <mergeCell ref="BC106:BJ106"/>
    <mergeCell ref="AA105:AH105"/>
    <mergeCell ref="AI105:AQ105"/>
    <mergeCell ref="AU105:AX105"/>
    <mergeCell ref="AY105:BB105"/>
    <mergeCell ref="BC105:BJ105"/>
    <mergeCell ref="X105:Z105"/>
    <mergeCell ref="B110:C110"/>
    <mergeCell ref="D110:J110"/>
    <mergeCell ref="K110:M110"/>
    <mergeCell ref="P110:S110"/>
    <mergeCell ref="T110:W110"/>
    <mergeCell ref="B109:C109"/>
    <mergeCell ref="D109:J109"/>
    <mergeCell ref="K109:M109"/>
    <mergeCell ref="P109:S109"/>
    <mergeCell ref="T109:W109"/>
    <mergeCell ref="X110:Z110"/>
    <mergeCell ref="AA110:AH110"/>
    <mergeCell ref="AI110:AQ110"/>
    <mergeCell ref="AU110:AX110"/>
    <mergeCell ref="AY110:BB110"/>
    <mergeCell ref="BC110:BJ110"/>
    <mergeCell ref="AA109:AH109"/>
    <mergeCell ref="AI109:AQ109"/>
    <mergeCell ref="AU109:AX109"/>
    <mergeCell ref="AY109:BB109"/>
    <mergeCell ref="BC109:BJ109"/>
    <mergeCell ref="X109:Z109"/>
    <mergeCell ref="B112:C112"/>
    <mergeCell ref="D112:J112"/>
    <mergeCell ref="K112:M112"/>
    <mergeCell ref="P112:S112"/>
    <mergeCell ref="T112:W112"/>
    <mergeCell ref="B111:C111"/>
    <mergeCell ref="D111:J111"/>
    <mergeCell ref="K111:M111"/>
    <mergeCell ref="P111:S111"/>
    <mergeCell ref="T111:W111"/>
    <mergeCell ref="X112:Z112"/>
    <mergeCell ref="AA112:AH112"/>
    <mergeCell ref="AI112:AQ112"/>
    <mergeCell ref="AU112:AX112"/>
    <mergeCell ref="AY112:BB112"/>
    <mergeCell ref="BC112:BJ112"/>
    <mergeCell ref="AA111:AH111"/>
    <mergeCell ref="AI111:AQ111"/>
    <mergeCell ref="AU111:AX111"/>
    <mergeCell ref="AY111:BB111"/>
    <mergeCell ref="BC111:BJ111"/>
    <mergeCell ref="X111:Z111"/>
    <mergeCell ref="B114:C114"/>
    <mergeCell ref="D114:J114"/>
    <mergeCell ref="K114:M114"/>
    <mergeCell ref="P114:S114"/>
    <mergeCell ref="T114:W114"/>
    <mergeCell ref="B113:C113"/>
    <mergeCell ref="D113:J113"/>
    <mergeCell ref="K113:M113"/>
    <mergeCell ref="P113:S113"/>
    <mergeCell ref="T113:W113"/>
    <mergeCell ref="X114:Z114"/>
    <mergeCell ref="AA114:AH114"/>
    <mergeCell ref="AI114:AQ114"/>
    <mergeCell ref="AU114:AX114"/>
    <mergeCell ref="AY114:BB114"/>
    <mergeCell ref="BC114:BJ114"/>
    <mergeCell ref="AA113:AH113"/>
    <mergeCell ref="AI113:AQ113"/>
    <mergeCell ref="AU113:AX113"/>
    <mergeCell ref="AY113:BB113"/>
    <mergeCell ref="BC113:BJ113"/>
    <mergeCell ref="X113:Z113"/>
    <mergeCell ref="B117:C117"/>
    <mergeCell ref="D117:J117"/>
    <mergeCell ref="K117:M117"/>
    <mergeCell ref="P117:S117"/>
    <mergeCell ref="T117:W117"/>
    <mergeCell ref="B115:C115"/>
    <mergeCell ref="D115:J115"/>
    <mergeCell ref="K115:M115"/>
    <mergeCell ref="P115:S115"/>
    <mergeCell ref="T115:W115"/>
    <mergeCell ref="B116:C116"/>
    <mergeCell ref="D116:J116"/>
    <mergeCell ref="K116:M116"/>
    <mergeCell ref="P116:S116"/>
    <mergeCell ref="T116:W116"/>
    <mergeCell ref="X117:Z117"/>
    <mergeCell ref="AA117:AH117"/>
    <mergeCell ref="AI117:AQ117"/>
    <mergeCell ref="AU117:AX117"/>
    <mergeCell ref="AY117:BB117"/>
    <mergeCell ref="BC117:BJ117"/>
    <mergeCell ref="AA115:AH115"/>
    <mergeCell ref="AI115:AQ115"/>
    <mergeCell ref="AU115:AX115"/>
    <mergeCell ref="AY115:BB115"/>
    <mergeCell ref="BC115:BJ115"/>
    <mergeCell ref="X115:Z115"/>
    <mergeCell ref="X116:Z116"/>
    <mergeCell ref="AA116:AH116"/>
    <mergeCell ref="AI116:AQ116"/>
    <mergeCell ref="AU116:AX116"/>
    <mergeCell ref="AY116:BB116"/>
    <mergeCell ref="BC116:BJ116"/>
  </mergeCells>
  <dataValidations count="1">
    <dataValidation type="list" allowBlank="1" showInputMessage="1" showErrorMessage="1" sqref="AR95:AR96 AS46 O44:O53 O95:O117" xr:uid="{00000000-0002-0000-0200-000000000000}">
      <formula1>"－,●"</formula1>
    </dataValidation>
  </dataValidations>
  <pageMargins left="0.7" right="0.7" top="0.75" bottom="0.75" header="0.3" footer="0.3"/>
  <pageSetup scale="3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44B8F-DC01-4916-9F41-1D29F7AC118D}">
  <sheetPr>
    <pageSetUpPr fitToPage="1"/>
  </sheetPr>
  <dimension ref="A1:BK98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1"/>
  </cols>
  <sheetData>
    <row r="1" spans="1:63" ht="24.95" customHeight="1" x14ac:dyDescent="0.25">
      <c r="A1" s="271" t="s">
        <v>105</v>
      </c>
      <c r="B1" s="272"/>
      <c r="C1" s="272"/>
      <c r="D1" s="272"/>
      <c r="E1" s="272"/>
      <c r="F1" s="272"/>
      <c r="G1" s="272"/>
      <c r="H1" s="272"/>
      <c r="I1" s="272"/>
      <c r="J1" s="273"/>
      <c r="K1" s="271" t="s">
        <v>106</v>
      </c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3"/>
      <c r="W1" s="274" t="str">
        <f>IF(表紙!W1="","",表紙!W1)</f>
        <v>詳細設計書</v>
      </c>
      <c r="X1" s="275"/>
      <c r="Y1" s="275"/>
      <c r="Z1" s="275"/>
      <c r="AA1" s="275"/>
      <c r="AB1" s="275"/>
      <c r="AC1" s="275"/>
      <c r="AD1" s="275"/>
      <c r="AE1" s="275"/>
      <c r="AF1" s="275"/>
      <c r="AG1" s="275"/>
      <c r="AH1" s="275"/>
      <c r="AI1" s="275"/>
      <c r="AJ1" s="275"/>
      <c r="AK1" s="275"/>
      <c r="AL1" s="275"/>
      <c r="AM1" s="275"/>
      <c r="AN1" s="275"/>
      <c r="AO1" s="276"/>
      <c r="AP1" s="197" t="s">
        <v>108</v>
      </c>
      <c r="AQ1" s="198"/>
      <c r="AR1" s="198"/>
      <c r="AS1" s="199"/>
      <c r="AT1" s="197" t="s">
        <v>109</v>
      </c>
      <c r="AU1" s="198"/>
      <c r="AV1" s="198"/>
      <c r="AW1" s="198"/>
      <c r="AX1" s="199"/>
      <c r="AY1" s="197" t="s">
        <v>110</v>
      </c>
      <c r="AZ1" s="198"/>
      <c r="BA1" s="198"/>
      <c r="BB1" s="199"/>
      <c r="BC1" s="197" t="s">
        <v>111</v>
      </c>
      <c r="BD1" s="198"/>
      <c r="BE1" s="198"/>
      <c r="BF1" s="198"/>
      <c r="BG1" s="199"/>
      <c r="BH1" s="197" t="s">
        <v>112</v>
      </c>
      <c r="BI1" s="198"/>
      <c r="BJ1" s="198"/>
      <c r="BK1" s="199"/>
    </row>
    <row r="2" spans="1:63" ht="15" customHeight="1" x14ac:dyDescent="0.25">
      <c r="A2" s="142" t="str">
        <f>IF(表紙!A2="","",表紙!A2)</f>
        <v>POSサーバー</v>
      </c>
      <c r="B2" s="143"/>
      <c r="C2" s="143"/>
      <c r="D2" s="143"/>
      <c r="E2" s="143"/>
      <c r="F2" s="143"/>
      <c r="G2" s="143"/>
      <c r="H2" s="143"/>
      <c r="I2" s="143"/>
      <c r="J2" s="144"/>
      <c r="K2" s="142" t="str">
        <f>IF(表紙!K2="","",表紙!K2)</f>
        <v>POSサーバ</v>
      </c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277"/>
      <c r="X2" s="278"/>
      <c r="Y2" s="278"/>
      <c r="Z2" s="278"/>
      <c r="AA2" s="278"/>
      <c r="AB2" s="278"/>
      <c r="AC2" s="278"/>
      <c r="AD2" s="278"/>
      <c r="AE2" s="278"/>
      <c r="AF2" s="278"/>
      <c r="AG2" s="278"/>
      <c r="AH2" s="278"/>
      <c r="AI2" s="278"/>
      <c r="AJ2" s="278"/>
      <c r="AK2" s="278"/>
      <c r="AL2" s="278"/>
      <c r="AM2" s="278"/>
      <c r="AN2" s="278"/>
      <c r="AO2" s="279"/>
      <c r="AP2" s="206" t="str">
        <f>IF(表紙!AP2="","",表紙!AP2)</f>
        <v>DuNT</v>
      </c>
      <c r="AQ2" s="204"/>
      <c r="AR2" s="204"/>
      <c r="AS2" s="205"/>
      <c r="AT2" s="210">
        <f>IF(表紙!AT2="","",表紙!AT2)</f>
        <v>45611</v>
      </c>
      <c r="AU2" s="211"/>
      <c r="AV2" s="211"/>
      <c r="AW2" s="211"/>
      <c r="AX2" s="212"/>
      <c r="AY2" s="206" t="str">
        <f>IF(表紙!AY2="","",表紙!AY2)</f>
        <v>DuNT</v>
      </c>
      <c r="AZ2" s="204"/>
      <c r="BA2" s="204"/>
      <c r="BB2" s="205"/>
      <c r="BC2" s="210">
        <f>IF(表紙!BC2="","",表紙!BC2)</f>
        <v>45611</v>
      </c>
      <c r="BD2" s="211"/>
      <c r="BE2" s="211"/>
      <c r="BF2" s="211"/>
      <c r="BG2" s="212"/>
      <c r="BH2" s="206">
        <f>IF(表紙!BH2="","",表紙!BH2)</f>
        <v>0.1</v>
      </c>
      <c r="BI2" s="204"/>
      <c r="BJ2" s="204"/>
      <c r="BK2" s="205"/>
    </row>
    <row r="3" spans="1:63" ht="15" customHeight="1" x14ac:dyDescent="0.25">
      <c r="A3" s="145"/>
      <c r="B3" s="146"/>
      <c r="C3" s="146"/>
      <c r="D3" s="146"/>
      <c r="E3" s="146"/>
      <c r="F3" s="146"/>
      <c r="G3" s="146"/>
      <c r="H3" s="146"/>
      <c r="I3" s="146"/>
      <c r="J3" s="147"/>
      <c r="K3" s="145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7"/>
      <c r="W3" s="280"/>
      <c r="X3" s="281"/>
      <c r="Y3" s="281"/>
      <c r="Z3" s="281"/>
      <c r="AA3" s="281"/>
      <c r="AB3" s="281"/>
      <c r="AC3" s="281"/>
      <c r="AD3" s="281"/>
      <c r="AE3" s="281"/>
      <c r="AF3" s="281"/>
      <c r="AG3" s="281"/>
      <c r="AH3" s="281"/>
      <c r="AI3" s="281"/>
      <c r="AJ3" s="281"/>
      <c r="AK3" s="281"/>
      <c r="AL3" s="281"/>
      <c r="AM3" s="281"/>
      <c r="AN3" s="281"/>
      <c r="AO3" s="282"/>
      <c r="AP3" s="216"/>
      <c r="AQ3" s="217"/>
      <c r="AR3" s="217"/>
      <c r="AS3" s="218"/>
      <c r="AT3" s="222"/>
      <c r="AU3" s="223"/>
      <c r="AV3" s="223"/>
      <c r="AW3" s="223"/>
      <c r="AX3" s="224"/>
      <c r="AY3" s="216"/>
      <c r="AZ3" s="217"/>
      <c r="BA3" s="217"/>
      <c r="BB3" s="218"/>
      <c r="BC3" s="222"/>
      <c r="BD3" s="223"/>
      <c r="BE3" s="223"/>
      <c r="BF3" s="223"/>
      <c r="BG3" s="224"/>
      <c r="BH3" s="216"/>
      <c r="BI3" s="217"/>
      <c r="BJ3" s="217"/>
      <c r="BK3" s="218"/>
    </row>
    <row r="4" spans="1:63" ht="24.95" customHeight="1" x14ac:dyDescent="0.25">
      <c r="A4" s="271" t="s">
        <v>114</v>
      </c>
      <c r="B4" s="272"/>
      <c r="C4" s="272"/>
      <c r="D4" s="272"/>
      <c r="E4" s="272"/>
      <c r="F4" s="272"/>
      <c r="G4" s="273"/>
      <c r="H4" s="138" t="str">
        <f>IF(表紙!H4="","",表紙!H4)</f>
        <v>82_店舗マスタ設定</v>
      </c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40"/>
      <c r="U4" s="271" t="s">
        <v>115</v>
      </c>
      <c r="V4" s="272"/>
      <c r="W4" s="272"/>
      <c r="X4" s="272"/>
      <c r="Y4" s="273"/>
      <c r="Z4" s="138" t="str">
        <f>IF(表紙!Z4="","",表紙!Z4)</f>
        <v>画面設計書</v>
      </c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40"/>
      <c r="AP4" s="141" t="str">
        <f ca="1">MID(CELL("filename",A1),FIND("]",CELL("filename",A1))+1,255)</f>
        <v>MD8201</v>
      </c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4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5"/>
      <c r="BK6" s="6"/>
    </row>
    <row r="7" spans="1:63" ht="15" customHeight="1" x14ac:dyDescent="0.25">
      <c r="A7" s="5"/>
      <c r="B7" s="7" t="s">
        <v>171</v>
      </c>
      <c r="C7" s="283"/>
      <c r="D7" s="283"/>
      <c r="E7" s="283"/>
      <c r="F7" s="283"/>
      <c r="G7" s="283"/>
      <c r="H7" s="283"/>
      <c r="I7" s="283"/>
      <c r="J7" s="283"/>
      <c r="AE7" s="7"/>
      <c r="BK7" s="6"/>
    </row>
    <row r="8" spans="1:63" ht="15" customHeight="1" x14ac:dyDescent="0.25">
      <c r="A8" s="5"/>
      <c r="BK8" s="6"/>
    </row>
    <row r="9" spans="1:63" ht="15" customHeight="1" x14ac:dyDescent="0.25">
      <c r="A9" s="5"/>
      <c r="BK9" s="6"/>
    </row>
    <row r="10" spans="1:63" ht="15" customHeight="1" x14ac:dyDescent="0.25">
      <c r="A10" s="5"/>
      <c r="BK10" s="6"/>
    </row>
    <row r="11" spans="1:63" ht="15" customHeight="1" x14ac:dyDescent="0.25">
      <c r="A11" s="5"/>
      <c r="BK11" s="6"/>
    </row>
    <row r="12" spans="1:63" ht="15" customHeight="1" x14ac:dyDescent="0.25">
      <c r="A12" s="5"/>
      <c r="BK12" s="6"/>
    </row>
    <row r="13" spans="1:63" ht="15" customHeight="1" x14ac:dyDescent="0.25">
      <c r="A13" s="5"/>
      <c r="BK13" s="6"/>
    </row>
    <row r="14" spans="1:63" ht="15" customHeight="1" x14ac:dyDescent="0.25">
      <c r="A14" s="5"/>
      <c r="BK14" s="6"/>
    </row>
    <row r="15" spans="1:63" ht="15" customHeight="1" x14ac:dyDescent="0.25">
      <c r="A15" s="5"/>
      <c r="BK15" s="6"/>
    </row>
    <row r="16" spans="1:63" ht="15" customHeight="1" x14ac:dyDescent="0.25">
      <c r="A16" s="5"/>
      <c r="BK16" s="6"/>
    </row>
    <row r="17" spans="1:63" ht="15" customHeight="1" x14ac:dyDescent="0.25">
      <c r="A17" s="5"/>
      <c r="BK17" s="6"/>
    </row>
    <row r="18" spans="1:63" ht="15" customHeight="1" x14ac:dyDescent="0.25">
      <c r="A18" s="5"/>
      <c r="BK18" s="6"/>
    </row>
    <row r="19" spans="1:63" ht="15" customHeight="1" x14ac:dyDescent="0.25">
      <c r="A19" s="5"/>
      <c r="BK19" s="6"/>
    </row>
    <row r="20" spans="1:63" ht="15" customHeight="1" x14ac:dyDescent="0.25">
      <c r="A20" s="5"/>
      <c r="BK20" s="6"/>
    </row>
    <row r="21" spans="1:63" ht="15" customHeight="1" x14ac:dyDescent="0.25">
      <c r="A21" s="5"/>
      <c r="BK21" s="6"/>
    </row>
    <row r="22" spans="1:63" ht="15" customHeight="1" x14ac:dyDescent="0.25">
      <c r="A22" s="5"/>
      <c r="BK22" s="6"/>
    </row>
    <row r="23" spans="1:63" ht="15" customHeight="1" x14ac:dyDescent="0.25">
      <c r="A23" s="5"/>
      <c r="BK23" s="6"/>
    </row>
    <row r="24" spans="1:63" ht="15" customHeight="1" x14ac:dyDescent="0.25">
      <c r="A24" s="5"/>
      <c r="BK24" s="6"/>
    </row>
    <row r="25" spans="1:63" ht="14.25" customHeight="1" x14ac:dyDescent="0.25">
      <c r="A25" s="5"/>
      <c r="BK25" s="6"/>
    </row>
    <row r="26" spans="1:63" ht="15" customHeight="1" x14ac:dyDescent="0.25">
      <c r="A26" s="5"/>
      <c r="BK26" s="6"/>
    </row>
    <row r="27" spans="1:63" ht="15" customHeight="1" x14ac:dyDescent="0.25">
      <c r="A27" s="5"/>
      <c r="BK27" s="6"/>
    </row>
    <row r="28" spans="1:63" x14ac:dyDescent="0.25">
      <c r="A28" s="5"/>
      <c r="BK28" s="6"/>
    </row>
    <row r="29" spans="1:63" x14ac:dyDescent="0.25">
      <c r="A29" s="5"/>
      <c r="BK29" s="6"/>
    </row>
    <row r="30" spans="1:63" x14ac:dyDescent="0.25">
      <c r="A30" s="5"/>
      <c r="BK30" s="6"/>
    </row>
    <row r="31" spans="1:63" x14ac:dyDescent="0.25">
      <c r="A31" s="5"/>
      <c r="BK31" s="6"/>
    </row>
    <row r="32" spans="1:63" x14ac:dyDescent="0.25">
      <c r="A32" s="5"/>
      <c r="BK32" s="6"/>
    </row>
    <row r="33" spans="1:63" x14ac:dyDescent="0.25">
      <c r="A33" s="5"/>
      <c r="BK33" s="6"/>
    </row>
    <row r="34" spans="1:63" x14ac:dyDescent="0.25">
      <c r="A34" s="5"/>
      <c r="BK34" s="6"/>
    </row>
    <row r="35" spans="1:63" x14ac:dyDescent="0.25">
      <c r="A35" s="5"/>
      <c r="BK35" s="6"/>
    </row>
    <row r="36" spans="1:63" x14ac:dyDescent="0.25">
      <c r="A36" s="5"/>
      <c r="BK36" s="6"/>
    </row>
    <row r="37" spans="1:63" x14ac:dyDescent="0.25">
      <c r="A37" s="5"/>
      <c r="BK37" s="6"/>
    </row>
    <row r="38" spans="1:63" x14ac:dyDescent="0.25">
      <c r="A38" s="5"/>
      <c r="BK38" s="6"/>
    </row>
    <row r="39" spans="1:63" x14ac:dyDescent="0.25">
      <c r="A39" s="5"/>
      <c r="BK39" s="6"/>
    </row>
    <row r="40" spans="1:63" x14ac:dyDescent="0.25">
      <c r="A40" s="5"/>
      <c r="BK40" s="6"/>
    </row>
    <row r="41" spans="1:63" x14ac:dyDescent="0.25">
      <c r="A41" s="5"/>
      <c r="BK41" s="6"/>
    </row>
    <row r="42" spans="1:63" x14ac:dyDescent="0.25">
      <c r="A42" s="5"/>
      <c r="BK42" s="6"/>
    </row>
    <row r="43" spans="1:63" x14ac:dyDescent="0.25">
      <c r="A43" s="5"/>
      <c r="BK43" s="6"/>
    </row>
    <row r="44" spans="1:63" x14ac:dyDescent="0.25">
      <c r="A44" s="5"/>
      <c r="BK44" s="6"/>
    </row>
    <row r="45" spans="1:63" x14ac:dyDescent="0.25">
      <c r="A45" s="5"/>
      <c r="BK45" s="6"/>
    </row>
    <row r="46" spans="1:63" x14ac:dyDescent="0.25">
      <c r="A46" s="5"/>
      <c r="BK46" s="6"/>
    </row>
    <row r="47" spans="1:63" x14ac:dyDescent="0.25">
      <c r="A47" s="5"/>
      <c r="BK47" s="6"/>
    </row>
    <row r="48" spans="1:63" x14ac:dyDescent="0.25">
      <c r="A48" s="5"/>
      <c r="BK48" s="6"/>
    </row>
    <row r="49" spans="1:63" x14ac:dyDescent="0.25">
      <c r="A49" s="5"/>
      <c r="BK49" s="6"/>
    </row>
    <row r="50" spans="1:63" x14ac:dyDescent="0.25">
      <c r="A50" s="5"/>
      <c r="BK50" s="6"/>
    </row>
    <row r="51" spans="1:63" x14ac:dyDescent="0.25">
      <c r="A51" s="5"/>
      <c r="BK51" s="6"/>
    </row>
    <row r="52" spans="1:63" x14ac:dyDescent="0.25">
      <c r="A52" s="5"/>
      <c r="BK52" s="6"/>
    </row>
    <row r="53" spans="1:63" x14ac:dyDescent="0.25">
      <c r="A53" s="5"/>
      <c r="BK53" s="6"/>
    </row>
    <row r="54" spans="1:63" x14ac:dyDescent="0.25">
      <c r="A54" s="5"/>
      <c r="BK54" s="6"/>
    </row>
    <row r="55" spans="1:63" x14ac:dyDescent="0.25">
      <c r="A55" s="5"/>
      <c r="BK55" s="6"/>
    </row>
    <row r="56" spans="1:63" x14ac:dyDescent="0.25">
      <c r="A56" s="5"/>
      <c r="BK56" s="6"/>
    </row>
    <row r="57" spans="1:63" x14ac:dyDescent="0.25">
      <c r="A57" s="5"/>
      <c r="BK57" s="6"/>
    </row>
    <row r="58" spans="1:63" x14ac:dyDescent="0.25">
      <c r="A58" s="5"/>
      <c r="BK58" s="6"/>
    </row>
    <row r="59" spans="1:63" x14ac:dyDescent="0.25">
      <c r="A59" s="5"/>
      <c r="BK59" s="6"/>
    </row>
    <row r="60" spans="1:63" x14ac:dyDescent="0.25">
      <c r="A60" s="5"/>
      <c r="BK60" s="6"/>
    </row>
    <row r="61" spans="1:63" ht="15" customHeight="1" x14ac:dyDescent="0.25">
      <c r="A61" s="5"/>
      <c r="B61" s="7" t="s">
        <v>123</v>
      </c>
      <c r="BK61" s="6"/>
    </row>
    <row r="62" spans="1:63" x14ac:dyDescent="0.25">
      <c r="A62" s="5"/>
      <c r="BK62" s="6"/>
    </row>
    <row r="63" spans="1:63" ht="15.75" customHeight="1" x14ac:dyDescent="0.25">
      <c r="A63" s="5"/>
      <c r="B63" s="68" t="s">
        <v>124</v>
      </c>
      <c r="C63" s="69"/>
      <c r="D63" s="74" t="s">
        <v>125</v>
      </c>
      <c r="E63" s="75"/>
      <c r="F63" s="75"/>
      <c r="G63" s="75"/>
      <c r="H63" s="75"/>
      <c r="I63" s="75"/>
      <c r="J63" s="69"/>
      <c r="K63" s="74" t="s">
        <v>126</v>
      </c>
      <c r="L63" s="75"/>
      <c r="M63" s="69"/>
      <c r="N63" s="78" t="s">
        <v>3</v>
      </c>
      <c r="O63" s="81" t="s">
        <v>127</v>
      </c>
      <c r="P63" s="112" t="s">
        <v>128</v>
      </c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  <c r="AM63" s="113"/>
      <c r="AN63" s="113"/>
      <c r="AO63" s="113"/>
      <c r="AP63" s="113"/>
      <c r="AQ63" s="114"/>
      <c r="AR63" s="85" t="s">
        <v>129</v>
      </c>
      <c r="AS63" s="86"/>
      <c r="AT63" s="86"/>
      <c r="AU63" s="86"/>
      <c r="AV63" s="86"/>
      <c r="AW63" s="86"/>
      <c r="AX63" s="86"/>
      <c r="AY63" s="86"/>
      <c r="AZ63" s="86"/>
      <c r="BA63" s="86"/>
      <c r="BB63" s="87"/>
      <c r="BC63" s="88" t="s">
        <v>130</v>
      </c>
      <c r="BD63" s="89"/>
      <c r="BE63" s="89"/>
      <c r="BF63" s="89"/>
      <c r="BG63" s="89"/>
      <c r="BH63" s="89"/>
      <c r="BI63" s="89"/>
      <c r="BJ63" s="90"/>
      <c r="BK63" s="6"/>
    </row>
    <row r="64" spans="1:63" ht="15.75" customHeight="1" x14ac:dyDescent="0.25">
      <c r="A64" s="5"/>
      <c r="B64" s="70"/>
      <c r="C64" s="71"/>
      <c r="D64" s="70"/>
      <c r="E64" s="76"/>
      <c r="F64" s="76"/>
      <c r="G64" s="76"/>
      <c r="H64" s="76"/>
      <c r="I64" s="76"/>
      <c r="J64" s="71"/>
      <c r="K64" s="70"/>
      <c r="L64" s="76"/>
      <c r="M64" s="71"/>
      <c r="N64" s="79"/>
      <c r="O64" s="82"/>
      <c r="P64" s="97" t="s">
        <v>131</v>
      </c>
      <c r="Q64" s="98"/>
      <c r="R64" s="98"/>
      <c r="S64" s="98"/>
      <c r="T64" s="98"/>
      <c r="U64" s="98"/>
      <c r="V64" s="98"/>
      <c r="W64" s="99"/>
      <c r="X64" s="100" t="s">
        <v>132</v>
      </c>
      <c r="Y64" s="101"/>
      <c r="Z64" s="102"/>
      <c r="AA64" s="100" t="s">
        <v>133</v>
      </c>
      <c r="AB64" s="101"/>
      <c r="AC64" s="101"/>
      <c r="AD64" s="101"/>
      <c r="AE64" s="101"/>
      <c r="AF64" s="101"/>
      <c r="AG64" s="101"/>
      <c r="AH64" s="102"/>
      <c r="AI64" s="100" t="s">
        <v>134</v>
      </c>
      <c r="AJ64" s="101"/>
      <c r="AK64" s="101"/>
      <c r="AL64" s="101"/>
      <c r="AM64" s="101"/>
      <c r="AN64" s="101"/>
      <c r="AO64" s="101"/>
      <c r="AP64" s="101"/>
      <c r="AQ64" s="102"/>
      <c r="AR64" s="106" t="s">
        <v>4</v>
      </c>
      <c r="AS64" s="108" t="s">
        <v>135</v>
      </c>
      <c r="AT64" s="110" t="s">
        <v>136</v>
      </c>
      <c r="AU64" s="85" t="s">
        <v>131</v>
      </c>
      <c r="AV64" s="86"/>
      <c r="AW64" s="86"/>
      <c r="AX64" s="86"/>
      <c r="AY64" s="86"/>
      <c r="AZ64" s="86"/>
      <c r="BA64" s="86"/>
      <c r="BB64" s="87"/>
      <c r="BC64" s="91"/>
      <c r="BD64" s="92"/>
      <c r="BE64" s="92"/>
      <c r="BF64" s="92"/>
      <c r="BG64" s="92"/>
      <c r="BH64" s="92"/>
      <c r="BI64" s="92"/>
      <c r="BJ64" s="93"/>
      <c r="BK64" s="6"/>
    </row>
    <row r="65" spans="1:63" x14ac:dyDescent="0.25">
      <c r="A65" s="5"/>
      <c r="B65" s="72"/>
      <c r="C65" s="73"/>
      <c r="D65" s="72"/>
      <c r="E65" s="77"/>
      <c r="F65" s="77"/>
      <c r="G65" s="77"/>
      <c r="H65" s="77"/>
      <c r="I65" s="77"/>
      <c r="J65" s="73"/>
      <c r="K65" s="72"/>
      <c r="L65" s="77"/>
      <c r="M65" s="73"/>
      <c r="N65" s="80"/>
      <c r="O65" s="83"/>
      <c r="P65" s="112" t="s">
        <v>137</v>
      </c>
      <c r="Q65" s="113"/>
      <c r="R65" s="113"/>
      <c r="S65" s="114"/>
      <c r="T65" s="112" t="s">
        <v>125</v>
      </c>
      <c r="U65" s="113"/>
      <c r="V65" s="113"/>
      <c r="W65" s="114"/>
      <c r="X65" s="103"/>
      <c r="Y65" s="104"/>
      <c r="Z65" s="105"/>
      <c r="AA65" s="103"/>
      <c r="AB65" s="104"/>
      <c r="AC65" s="104"/>
      <c r="AD65" s="104"/>
      <c r="AE65" s="104"/>
      <c r="AF65" s="104"/>
      <c r="AG65" s="104"/>
      <c r="AH65" s="105"/>
      <c r="AI65" s="103"/>
      <c r="AJ65" s="104"/>
      <c r="AK65" s="104"/>
      <c r="AL65" s="104"/>
      <c r="AM65" s="104"/>
      <c r="AN65" s="104"/>
      <c r="AO65" s="104"/>
      <c r="AP65" s="104"/>
      <c r="AQ65" s="105"/>
      <c r="AR65" s="107"/>
      <c r="AS65" s="109"/>
      <c r="AT65" s="111"/>
      <c r="AU65" s="85" t="s">
        <v>137</v>
      </c>
      <c r="AV65" s="86"/>
      <c r="AW65" s="86"/>
      <c r="AX65" s="115"/>
      <c r="AY65" s="116" t="s">
        <v>125</v>
      </c>
      <c r="AZ65" s="86"/>
      <c r="BA65" s="86"/>
      <c r="BB65" s="87"/>
      <c r="BC65" s="94"/>
      <c r="BD65" s="95"/>
      <c r="BE65" s="95"/>
      <c r="BF65" s="95"/>
      <c r="BG65" s="95"/>
      <c r="BH65" s="95"/>
      <c r="BI65" s="95"/>
      <c r="BJ65" s="96"/>
      <c r="BK65" s="6"/>
    </row>
    <row r="66" spans="1:63" ht="47.25" customHeight="1" x14ac:dyDescent="0.25">
      <c r="A66" s="5"/>
      <c r="B66" s="127">
        <v>0</v>
      </c>
      <c r="C66" s="128"/>
      <c r="D66" s="129" t="s">
        <v>18</v>
      </c>
      <c r="E66" s="130"/>
      <c r="F66" s="130"/>
      <c r="G66" s="130"/>
      <c r="H66" s="130"/>
      <c r="I66" s="130"/>
      <c r="J66" s="131"/>
      <c r="K66" s="45" t="s">
        <v>5</v>
      </c>
      <c r="L66" s="46"/>
      <c r="M66" s="47"/>
      <c r="N66" s="15" t="s">
        <v>6</v>
      </c>
      <c r="O66" s="9" t="s">
        <v>7</v>
      </c>
      <c r="P66" s="132" t="s">
        <v>6</v>
      </c>
      <c r="Q66" s="133"/>
      <c r="R66" s="133"/>
      <c r="S66" s="128"/>
      <c r="T66" s="132" t="s">
        <v>6</v>
      </c>
      <c r="U66" s="133"/>
      <c r="V66" s="133"/>
      <c r="W66" s="128"/>
      <c r="X66" s="305" t="s">
        <v>6</v>
      </c>
      <c r="Y66" s="306"/>
      <c r="Z66" s="307"/>
      <c r="AA66" s="171" t="s">
        <v>172</v>
      </c>
      <c r="AB66" s="172"/>
      <c r="AC66" s="172"/>
      <c r="AD66" s="172"/>
      <c r="AE66" s="172"/>
      <c r="AF66" s="172"/>
      <c r="AG66" s="172"/>
      <c r="AH66" s="173"/>
      <c r="AI66" s="127" t="s">
        <v>6</v>
      </c>
      <c r="AJ66" s="133"/>
      <c r="AK66" s="133"/>
      <c r="AL66" s="133"/>
      <c r="AM66" s="133"/>
      <c r="AN66" s="133"/>
      <c r="AO66" s="133"/>
      <c r="AP66" s="133"/>
      <c r="AQ66" s="128"/>
      <c r="AR66" s="9" t="s">
        <v>6</v>
      </c>
      <c r="AS66" s="10" t="s">
        <v>8</v>
      </c>
      <c r="AT66" s="10" t="s">
        <v>8</v>
      </c>
      <c r="AU66" s="127" t="s">
        <v>9</v>
      </c>
      <c r="AV66" s="133"/>
      <c r="AW66" s="133"/>
      <c r="AX66" s="128"/>
      <c r="AY66" s="127" t="s">
        <v>8</v>
      </c>
      <c r="AZ66" s="133"/>
      <c r="BA66" s="133"/>
      <c r="BB66" s="128"/>
      <c r="BC66" s="174" t="s">
        <v>80</v>
      </c>
      <c r="BD66" s="175"/>
      <c r="BE66" s="175"/>
      <c r="BF66" s="175"/>
      <c r="BG66" s="175"/>
      <c r="BH66" s="175"/>
      <c r="BI66" s="175"/>
      <c r="BJ66" s="176"/>
      <c r="BK66" s="6"/>
    </row>
    <row r="67" spans="1:63" ht="31.5" customHeight="1" x14ac:dyDescent="0.25">
      <c r="A67" s="5"/>
      <c r="B67" s="33">
        <v>1</v>
      </c>
      <c r="C67" s="35"/>
      <c r="D67" s="290" t="s">
        <v>20</v>
      </c>
      <c r="E67" s="291"/>
      <c r="F67" s="291"/>
      <c r="G67" s="291"/>
      <c r="H67" s="291"/>
      <c r="I67" s="291"/>
      <c r="J67" s="292"/>
      <c r="K67" s="45" t="s">
        <v>5</v>
      </c>
      <c r="L67" s="46"/>
      <c r="M67" s="47"/>
      <c r="N67" s="9" t="s">
        <v>6</v>
      </c>
      <c r="O67" s="9" t="s">
        <v>7</v>
      </c>
      <c r="P67" s="33" t="s">
        <v>9</v>
      </c>
      <c r="Q67" s="34"/>
      <c r="R67" s="34"/>
      <c r="S67" s="35"/>
      <c r="T67" s="33" t="s">
        <v>9</v>
      </c>
      <c r="U67" s="34"/>
      <c r="V67" s="34"/>
      <c r="W67" s="35"/>
      <c r="X67" s="64" t="s">
        <v>173</v>
      </c>
      <c r="Y67" s="65"/>
      <c r="Z67" s="66"/>
      <c r="AA67" s="33" t="s">
        <v>8</v>
      </c>
      <c r="AB67" s="34"/>
      <c r="AC67" s="34"/>
      <c r="AD67" s="34"/>
      <c r="AE67" s="34"/>
      <c r="AF67" s="34"/>
      <c r="AG67" s="34"/>
      <c r="AH67" s="35"/>
      <c r="AI67" s="161" t="s">
        <v>174</v>
      </c>
      <c r="AJ67" s="37"/>
      <c r="AK67" s="37"/>
      <c r="AL67" s="37"/>
      <c r="AM67" s="37"/>
      <c r="AN67" s="37"/>
      <c r="AO67" s="37"/>
      <c r="AP67" s="37"/>
      <c r="AQ67" s="38"/>
      <c r="AR67" s="9" t="s">
        <v>6</v>
      </c>
      <c r="AS67" s="11" t="s">
        <v>8</v>
      </c>
      <c r="AT67" s="11" t="s">
        <v>8</v>
      </c>
      <c r="AU67" s="33" t="s">
        <v>9</v>
      </c>
      <c r="AV67" s="34"/>
      <c r="AW67" s="34"/>
      <c r="AX67" s="35"/>
      <c r="AY67" s="33" t="s">
        <v>8</v>
      </c>
      <c r="AZ67" s="34"/>
      <c r="BA67" s="34"/>
      <c r="BB67" s="35"/>
      <c r="BC67" s="296"/>
      <c r="BD67" s="297"/>
      <c r="BE67" s="297"/>
      <c r="BF67" s="297"/>
      <c r="BG67" s="297"/>
      <c r="BH67" s="297"/>
      <c r="BI67" s="297"/>
      <c r="BJ67" s="298"/>
      <c r="BK67" s="6"/>
    </row>
    <row r="68" spans="1:63" ht="31.5" customHeight="1" x14ac:dyDescent="0.25">
      <c r="A68" s="5"/>
      <c r="B68" s="33">
        <v>2</v>
      </c>
      <c r="C68" s="35"/>
      <c r="D68" s="54" t="s">
        <v>21</v>
      </c>
      <c r="E68" s="55"/>
      <c r="F68" s="55"/>
      <c r="G68" s="55"/>
      <c r="H68" s="55"/>
      <c r="I68" s="55"/>
      <c r="J68" s="56"/>
      <c r="K68" s="57" t="s">
        <v>139</v>
      </c>
      <c r="L68" s="46"/>
      <c r="M68" s="47"/>
      <c r="N68" s="17" t="s">
        <v>153</v>
      </c>
      <c r="O68" s="9" t="s">
        <v>6</v>
      </c>
      <c r="P68" s="67" t="s">
        <v>142</v>
      </c>
      <c r="Q68" s="34"/>
      <c r="R68" s="34"/>
      <c r="S68" s="35"/>
      <c r="T68" s="67" t="s">
        <v>143</v>
      </c>
      <c r="U68" s="34"/>
      <c r="V68" s="34"/>
      <c r="W68" s="35"/>
      <c r="X68" s="64" t="s">
        <v>6</v>
      </c>
      <c r="Y68" s="65"/>
      <c r="Z68" s="66"/>
      <c r="AA68" s="33" t="s">
        <v>8</v>
      </c>
      <c r="AB68" s="34"/>
      <c r="AC68" s="34"/>
      <c r="AD68" s="34"/>
      <c r="AE68" s="34"/>
      <c r="AF68" s="34"/>
      <c r="AG68" s="34"/>
      <c r="AH68" s="35"/>
      <c r="AI68" s="36" t="s">
        <v>6</v>
      </c>
      <c r="AJ68" s="37"/>
      <c r="AK68" s="37"/>
      <c r="AL68" s="37"/>
      <c r="AM68" s="37"/>
      <c r="AN68" s="37"/>
      <c r="AO68" s="37"/>
      <c r="AP68" s="37"/>
      <c r="AQ68" s="38"/>
      <c r="AR68" s="9" t="s">
        <v>7</v>
      </c>
      <c r="AS68" s="9" t="s">
        <v>7</v>
      </c>
      <c r="AT68" s="11" t="s">
        <v>8</v>
      </c>
      <c r="AU68" s="161" t="s">
        <v>175</v>
      </c>
      <c r="AV68" s="62"/>
      <c r="AW68" s="62"/>
      <c r="AX68" s="63"/>
      <c r="AY68" s="67" t="s">
        <v>143</v>
      </c>
      <c r="AZ68" s="34"/>
      <c r="BA68" s="34"/>
      <c r="BB68" s="35"/>
      <c r="BC68" s="299"/>
      <c r="BD68" s="300"/>
      <c r="BE68" s="300"/>
      <c r="BF68" s="300"/>
      <c r="BG68" s="300"/>
      <c r="BH68" s="300"/>
      <c r="BI68" s="300"/>
      <c r="BJ68" s="301"/>
      <c r="BK68" s="6"/>
    </row>
    <row r="69" spans="1:63" x14ac:dyDescent="0.25">
      <c r="A69" s="5"/>
      <c r="B69" s="33">
        <v>3</v>
      </c>
      <c r="C69" s="35"/>
      <c r="D69" s="290" t="s">
        <v>23</v>
      </c>
      <c r="E69" s="291"/>
      <c r="F69" s="291"/>
      <c r="G69" s="291"/>
      <c r="H69" s="291"/>
      <c r="I69" s="291"/>
      <c r="J69" s="292"/>
      <c r="K69" s="45" t="s">
        <v>5</v>
      </c>
      <c r="L69" s="46"/>
      <c r="M69" s="47"/>
      <c r="N69" s="9" t="s">
        <v>6</v>
      </c>
      <c r="O69" s="9" t="s">
        <v>7</v>
      </c>
      <c r="P69" s="33" t="s">
        <v>9</v>
      </c>
      <c r="Q69" s="34"/>
      <c r="R69" s="34"/>
      <c r="S69" s="35"/>
      <c r="T69" s="67" t="s">
        <v>6</v>
      </c>
      <c r="U69" s="34"/>
      <c r="V69" s="34"/>
      <c r="W69" s="35"/>
      <c r="X69" s="64" t="s">
        <v>176</v>
      </c>
      <c r="Y69" s="65"/>
      <c r="Z69" s="66"/>
      <c r="AA69" s="33" t="s">
        <v>8</v>
      </c>
      <c r="AB69" s="34"/>
      <c r="AC69" s="34"/>
      <c r="AD69" s="34"/>
      <c r="AE69" s="34"/>
      <c r="AF69" s="34"/>
      <c r="AG69" s="34"/>
      <c r="AH69" s="35"/>
      <c r="AI69" s="36" t="s">
        <v>6</v>
      </c>
      <c r="AJ69" s="37"/>
      <c r="AK69" s="37"/>
      <c r="AL69" s="37"/>
      <c r="AM69" s="37"/>
      <c r="AN69" s="37"/>
      <c r="AO69" s="37"/>
      <c r="AP69" s="37"/>
      <c r="AQ69" s="38"/>
      <c r="AR69" s="9" t="s">
        <v>6</v>
      </c>
      <c r="AS69" s="11" t="s">
        <v>8</v>
      </c>
      <c r="AT69" s="11" t="s">
        <v>8</v>
      </c>
      <c r="AU69" s="33" t="s">
        <v>9</v>
      </c>
      <c r="AV69" s="34"/>
      <c r="AW69" s="34"/>
      <c r="AX69" s="35"/>
      <c r="AY69" s="67" t="s">
        <v>6</v>
      </c>
      <c r="AZ69" s="34"/>
      <c r="BA69" s="34"/>
      <c r="BB69" s="35"/>
      <c r="BC69" s="296"/>
      <c r="BD69" s="297"/>
      <c r="BE69" s="297"/>
      <c r="BF69" s="297"/>
      <c r="BG69" s="297"/>
      <c r="BH69" s="297"/>
      <c r="BI69" s="297"/>
      <c r="BJ69" s="298"/>
      <c r="BK69" s="6"/>
    </row>
    <row r="70" spans="1:63" ht="31.5" customHeight="1" x14ac:dyDescent="0.25">
      <c r="A70" s="5"/>
      <c r="B70" s="33">
        <v>4</v>
      </c>
      <c r="C70" s="35"/>
      <c r="D70" s="54" t="s">
        <v>24</v>
      </c>
      <c r="E70" s="55"/>
      <c r="F70" s="55"/>
      <c r="G70" s="55"/>
      <c r="H70" s="55"/>
      <c r="I70" s="55"/>
      <c r="J70" s="56"/>
      <c r="K70" s="57" t="s">
        <v>139</v>
      </c>
      <c r="L70" s="46"/>
      <c r="M70" s="47"/>
      <c r="N70" s="17" t="s">
        <v>153</v>
      </c>
      <c r="O70" s="9" t="s">
        <v>6</v>
      </c>
      <c r="P70" s="67" t="s">
        <v>142</v>
      </c>
      <c r="Q70" s="34"/>
      <c r="R70" s="34"/>
      <c r="S70" s="35"/>
      <c r="T70" s="33" t="s">
        <v>55</v>
      </c>
      <c r="U70" s="34"/>
      <c r="V70" s="34"/>
      <c r="W70" s="35"/>
      <c r="X70" s="64" t="s">
        <v>6</v>
      </c>
      <c r="Y70" s="65"/>
      <c r="Z70" s="66"/>
      <c r="AA70" s="33" t="s">
        <v>8</v>
      </c>
      <c r="AB70" s="34"/>
      <c r="AC70" s="34"/>
      <c r="AD70" s="34"/>
      <c r="AE70" s="34"/>
      <c r="AF70" s="34"/>
      <c r="AG70" s="34"/>
      <c r="AH70" s="35"/>
      <c r="AI70" s="36" t="s">
        <v>15</v>
      </c>
      <c r="AJ70" s="37"/>
      <c r="AK70" s="37"/>
      <c r="AL70" s="37"/>
      <c r="AM70" s="37"/>
      <c r="AN70" s="37"/>
      <c r="AO70" s="37"/>
      <c r="AP70" s="37"/>
      <c r="AQ70" s="38"/>
      <c r="AR70" s="9" t="s">
        <v>7</v>
      </c>
      <c r="AS70" s="11" t="s">
        <v>8</v>
      </c>
      <c r="AT70" s="11" t="s">
        <v>8</v>
      </c>
      <c r="AU70" s="161" t="s">
        <v>175</v>
      </c>
      <c r="AV70" s="62"/>
      <c r="AW70" s="62"/>
      <c r="AX70" s="63"/>
      <c r="AY70" s="33" t="s">
        <v>55</v>
      </c>
      <c r="AZ70" s="34"/>
      <c r="BA70" s="34"/>
      <c r="BB70" s="35"/>
      <c r="BC70" s="299" t="s">
        <v>74</v>
      </c>
      <c r="BD70" s="300"/>
      <c r="BE70" s="300"/>
      <c r="BF70" s="300"/>
      <c r="BG70" s="300"/>
      <c r="BH70" s="300"/>
      <c r="BI70" s="300"/>
      <c r="BJ70" s="301"/>
      <c r="BK70" s="6"/>
    </row>
    <row r="71" spans="1:63" x14ac:dyDescent="0.25">
      <c r="A71" s="5"/>
      <c r="B71" s="33">
        <v>5</v>
      </c>
      <c r="C71" s="35"/>
      <c r="D71" s="290" t="s">
        <v>39</v>
      </c>
      <c r="E71" s="291"/>
      <c r="F71" s="291"/>
      <c r="G71" s="291"/>
      <c r="H71" s="291"/>
      <c r="I71" s="291"/>
      <c r="J71" s="292"/>
      <c r="K71" s="45" t="s">
        <v>5</v>
      </c>
      <c r="L71" s="46"/>
      <c r="M71" s="47"/>
      <c r="N71" s="9" t="s">
        <v>6</v>
      </c>
      <c r="O71" s="9" t="s">
        <v>7</v>
      </c>
      <c r="P71" s="33" t="s">
        <v>9</v>
      </c>
      <c r="Q71" s="34"/>
      <c r="R71" s="34"/>
      <c r="S71" s="35"/>
      <c r="T71" s="33" t="s">
        <v>9</v>
      </c>
      <c r="U71" s="34"/>
      <c r="V71" s="34"/>
      <c r="W71" s="35"/>
      <c r="X71" s="64" t="s">
        <v>177</v>
      </c>
      <c r="Y71" s="65"/>
      <c r="Z71" s="66"/>
      <c r="AA71" s="33" t="s">
        <v>8</v>
      </c>
      <c r="AB71" s="34"/>
      <c r="AC71" s="34"/>
      <c r="AD71" s="34"/>
      <c r="AE71" s="34"/>
      <c r="AF71" s="34"/>
      <c r="AG71" s="34"/>
      <c r="AH71" s="35"/>
      <c r="AI71" s="36" t="s">
        <v>8</v>
      </c>
      <c r="AJ71" s="37"/>
      <c r="AK71" s="37"/>
      <c r="AL71" s="37"/>
      <c r="AM71" s="37"/>
      <c r="AN71" s="37"/>
      <c r="AO71" s="37"/>
      <c r="AP71" s="37"/>
      <c r="AQ71" s="38"/>
      <c r="AR71" s="9" t="s">
        <v>6</v>
      </c>
      <c r="AS71" s="11" t="s">
        <v>8</v>
      </c>
      <c r="AT71" s="11" t="s">
        <v>8</v>
      </c>
      <c r="AU71" s="33" t="s">
        <v>9</v>
      </c>
      <c r="AV71" s="34"/>
      <c r="AW71" s="34"/>
      <c r="AX71" s="35"/>
      <c r="AY71" s="33" t="s">
        <v>9</v>
      </c>
      <c r="AZ71" s="34"/>
      <c r="BA71" s="34"/>
      <c r="BB71" s="35"/>
      <c r="BC71" s="296"/>
      <c r="BD71" s="297"/>
      <c r="BE71" s="297"/>
      <c r="BF71" s="297"/>
      <c r="BG71" s="297"/>
      <c r="BH71" s="297"/>
      <c r="BI71" s="297"/>
      <c r="BJ71" s="298"/>
      <c r="BK71" s="6"/>
    </row>
    <row r="72" spans="1:63" ht="31.5" customHeight="1" x14ac:dyDescent="0.25">
      <c r="A72" s="5"/>
      <c r="B72" s="33">
        <v>6</v>
      </c>
      <c r="C72" s="35"/>
      <c r="D72" s="54" t="s">
        <v>40</v>
      </c>
      <c r="E72" s="55"/>
      <c r="F72" s="55"/>
      <c r="G72" s="55"/>
      <c r="H72" s="55"/>
      <c r="I72" s="55"/>
      <c r="J72" s="56"/>
      <c r="K72" s="57" t="s">
        <v>139</v>
      </c>
      <c r="L72" s="46"/>
      <c r="M72" s="47"/>
      <c r="N72" s="17" t="s">
        <v>153</v>
      </c>
      <c r="O72" s="9" t="s">
        <v>6</v>
      </c>
      <c r="P72" s="67" t="s">
        <v>142</v>
      </c>
      <c r="Q72" s="34"/>
      <c r="R72" s="34"/>
      <c r="S72" s="35"/>
      <c r="T72" s="67" t="s">
        <v>178</v>
      </c>
      <c r="U72" s="34"/>
      <c r="V72" s="34"/>
      <c r="W72" s="35"/>
      <c r="X72" s="64" t="s">
        <v>6</v>
      </c>
      <c r="Y72" s="65"/>
      <c r="Z72" s="66"/>
      <c r="AA72" s="33" t="s">
        <v>8</v>
      </c>
      <c r="AB72" s="34"/>
      <c r="AC72" s="34"/>
      <c r="AD72" s="34"/>
      <c r="AE72" s="34"/>
      <c r="AF72" s="34"/>
      <c r="AG72" s="34"/>
      <c r="AH72" s="35"/>
      <c r="AI72" s="36" t="s">
        <v>15</v>
      </c>
      <c r="AJ72" s="37"/>
      <c r="AK72" s="37"/>
      <c r="AL72" s="37"/>
      <c r="AM72" s="37"/>
      <c r="AN72" s="37"/>
      <c r="AO72" s="37"/>
      <c r="AP72" s="37"/>
      <c r="AQ72" s="38"/>
      <c r="AR72" s="9" t="s">
        <v>7</v>
      </c>
      <c r="AS72" s="11" t="s">
        <v>8</v>
      </c>
      <c r="AT72" s="11" t="s">
        <v>8</v>
      </c>
      <c r="AU72" s="161" t="s">
        <v>175</v>
      </c>
      <c r="AV72" s="62"/>
      <c r="AW72" s="62"/>
      <c r="AX72" s="63"/>
      <c r="AY72" s="67" t="s">
        <v>178</v>
      </c>
      <c r="AZ72" s="34"/>
      <c r="BA72" s="34"/>
      <c r="BB72" s="35"/>
      <c r="BC72" s="299" t="s">
        <v>75</v>
      </c>
      <c r="BD72" s="300"/>
      <c r="BE72" s="300"/>
      <c r="BF72" s="300"/>
      <c r="BG72" s="300"/>
      <c r="BH72" s="300"/>
      <c r="BI72" s="300"/>
      <c r="BJ72" s="301"/>
      <c r="BK72" s="6"/>
    </row>
    <row r="73" spans="1:63" x14ac:dyDescent="0.25">
      <c r="A73" s="5"/>
      <c r="B73" s="33">
        <v>7</v>
      </c>
      <c r="C73" s="35"/>
      <c r="D73" s="290" t="s">
        <v>41</v>
      </c>
      <c r="E73" s="291"/>
      <c r="F73" s="291"/>
      <c r="G73" s="291"/>
      <c r="H73" s="291"/>
      <c r="I73" s="291"/>
      <c r="J73" s="292"/>
      <c r="K73" s="45" t="s">
        <v>5</v>
      </c>
      <c r="L73" s="46"/>
      <c r="M73" s="47"/>
      <c r="N73" s="9" t="s">
        <v>6</v>
      </c>
      <c r="O73" s="9" t="s">
        <v>7</v>
      </c>
      <c r="P73" s="33" t="s">
        <v>9</v>
      </c>
      <c r="Q73" s="34"/>
      <c r="R73" s="34"/>
      <c r="S73" s="35"/>
      <c r="T73" s="33" t="s">
        <v>9</v>
      </c>
      <c r="U73" s="34"/>
      <c r="V73" s="34"/>
      <c r="W73" s="35"/>
      <c r="X73" s="64" t="s">
        <v>155</v>
      </c>
      <c r="Y73" s="65"/>
      <c r="Z73" s="66"/>
      <c r="AA73" s="33" t="s">
        <v>8</v>
      </c>
      <c r="AB73" s="34"/>
      <c r="AC73" s="34"/>
      <c r="AD73" s="34"/>
      <c r="AE73" s="34"/>
      <c r="AF73" s="34"/>
      <c r="AG73" s="34"/>
      <c r="AH73" s="35"/>
      <c r="AI73" s="36" t="s">
        <v>8</v>
      </c>
      <c r="AJ73" s="37"/>
      <c r="AK73" s="37"/>
      <c r="AL73" s="37"/>
      <c r="AM73" s="37"/>
      <c r="AN73" s="37"/>
      <c r="AO73" s="37"/>
      <c r="AP73" s="37"/>
      <c r="AQ73" s="38"/>
      <c r="AR73" s="9" t="s">
        <v>6</v>
      </c>
      <c r="AS73" s="11" t="s">
        <v>8</v>
      </c>
      <c r="AT73" s="11" t="s">
        <v>8</v>
      </c>
      <c r="AU73" s="33" t="s">
        <v>9</v>
      </c>
      <c r="AV73" s="34"/>
      <c r="AW73" s="34"/>
      <c r="AX73" s="35"/>
      <c r="AY73" s="33" t="s">
        <v>9</v>
      </c>
      <c r="AZ73" s="34"/>
      <c r="BA73" s="34"/>
      <c r="BB73" s="35"/>
      <c r="BC73" s="296"/>
      <c r="BD73" s="297"/>
      <c r="BE73" s="297"/>
      <c r="BF73" s="297"/>
      <c r="BG73" s="297"/>
      <c r="BH73" s="297"/>
      <c r="BI73" s="297"/>
      <c r="BJ73" s="298"/>
      <c r="BK73" s="6"/>
    </row>
    <row r="74" spans="1:63" ht="48" customHeight="1" x14ac:dyDescent="0.25">
      <c r="A74" s="5"/>
      <c r="B74" s="33">
        <v>8</v>
      </c>
      <c r="C74" s="35"/>
      <c r="D74" s="54" t="s">
        <v>42</v>
      </c>
      <c r="E74" s="55"/>
      <c r="F74" s="55"/>
      <c r="G74" s="55"/>
      <c r="H74" s="55"/>
      <c r="I74" s="55"/>
      <c r="J74" s="56"/>
      <c r="K74" s="57" t="s">
        <v>139</v>
      </c>
      <c r="L74" s="46"/>
      <c r="M74" s="47"/>
      <c r="N74" s="17" t="s">
        <v>153</v>
      </c>
      <c r="O74" s="9" t="s">
        <v>6</v>
      </c>
      <c r="P74" s="67" t="s">
        <v>142</v>
      </c>
      <c r="Q74" s="34"/>
      <c r="R74" s="34"/>
      <c r="S74" s="35"/>
      <c r="T74" s="67" t="s">
        <v>156</v>
      </c>
      <c r="U74" s="34"/>
      <c r="V74" s="34"/>
      <c r="W74" s="35"/>
      <c r="X74" s="64" t="s">
        <v>6</v>
      </c>
      <c r="Y74" s="65"/>
      <c r="Z74" s="66"/>
      <c r="AA74" s="33" t="s">
        <v>8</v>
      </c>
      <c r="AB74" s="34"/>
      <c r="AC74" s="34"/>
      <c r="AD74" s="34"/>
      <c r="AE74" s="34"/>
      <c r="AF74" s="34"/>
      <c r="AG74" s="34"/>
      <c r="AH74" s="35"/>
      <c r="AI74" s="36" t="s">
        <v>15</v>
      </c>
      <c r="AJ74" s="37"/>
      <c r="AK74" s="37"/>
      <c r="AL74" s="37"/>
      <c r="AM74" s="37"/>
      <c r="AN74" s="37"/>
      <c r="AO74" s="37"/>
      <c r="AP74" s="37"/>
      <c r="AQ74" s="38"/>
      <c r="AR74" s="9" t="s">
        <v>6</v>
      </c>
      <c r="AS74" s="11" t="s">
        <v>8</v>
      </c>
      <c r="AT74" s="11" t="s">
        <v>8</v>
      </c>
      <c r="AU74" s="161" t="s">
        <v>175</v>
      </c>
      <c r="AV74" s="62"/>
      <c r="AW74" s="62"/>
      <c r="AX74" s="63"/>
      <c r="AY74" s="67" t="s">
        <v>156</v>
      </c>
      <c r="AZ74" s="34"/>
      <c r="BA74" s="34"/>
      <c r="BB74" s="35"/>
      <c r="BC74" s="302" t="s">
        <v>179</v>
      </c>
      <c r="BD74" s="300"/>
      <c r="BE74" s="300"/>
      <c r="BF74" s="300"/>
      <c r="BG74" s="300"/>
      <c r="BH74" s="300"/>
      <c r="BI74" s="300"/>
      <c r="BJ74" s="301"/>
      <c r="BK74" s="6"/>
    </row>
    <row r="75" spans="1:63" x14ac:dyDescent="0.25">
      <c r="A75" s="5"/>
      <c r="B75" s="33">
        <v>9</v>
      </c>
      <c r="C75" s="35"/>
      <c r="D75" s="290" t="s">
        <v>43</v>
      </c>
      <c r="E75" s="291"/>
      <c r="F75" s="291"/>
      <c r="G75" s="291"/>
      <c r="H75" s="291"/>
      <c r="I75" s="291"/>
      <c r="J75" s="292"/>
      <c r="K75" s="45" t="s">
        <v>5</v>
      </c>
      <c r="L75" s="46"/>
      <c r="M75" s="47"/>
      <c r="N75" s="9" t="s">
        <v>6</v>
      </c>
      <c r="O75" s="9" t="s">
        <v>7</v>
      </c>
      <c r="P75" s="33" t="s">
        <v>9</v>
      </c>
      <c r="Q75" s="34"/>
      <c r="R75" s="34"/>
      <c r="S75" s="35"/>
      <c r="T75" s="33" t="s">
        <v>9</v>
      </c>
      <c r="U75" s="34"/>
      <c r="V75" s="34"/>
      <c r="W75" s="35"/>
      <c r="X75" s="64" t="s">
        <v>157</v>
      </c>
      <c r="Y75" s="65"/>
      <c r="Z75" s="66"/>
      <c r="AA75" s="33" t="s">
        <v>8</v>
      </c>
      <c r="AB75" s="34"/>
      <c r="AC75" s="34"/>
      <c r="AD75" s="34"/>
      <c r="AE75" s="34"/>
      <c r="AF75" s="34"/>
      <c r="AG75" s="34"/>
      <c r="AH75" s="35"/>
      <c r="AI75" s="36" t="s">
        <v>8</v>
      </c>
      <c r="AJ75" s="37"/>
      <c r="AK75" s="37"/>
      <c r="AL75" s="37"/>
      <c r="AM75" s="37"/>
      <c r="AN75" s="37"/>
      <c r="AO75" s="37"/>
      <c r="AP75" s="37"/>
      <c r="AQ75" s="38"/>
      <c r="AR75" s="9" t="s">
        <v>6</v>
      </c>
      <c r="AS75" s="11" t="s">
        <v>8</v>
      </c>
      <c r="AT75" s="11" t="s">
        <v>8</v>
      </c>
      <c r="AU75" s="33" t="s">
        <v>9</v>
      </c>
      <c r="AV75" s="34"/>
      <c r="AW75" s="34"/>
      <c r="AX75" s="35"/>
      <c r="AY75" s="33" t="s">
        <v>9</v>
      </c>
      <c r="AZ75" s="34"/>
      <c r="BA75" s="34"/>
      <c r="BB75" s="35"/>
      <c r="BC75" s="296"/>
      <c r="BD75" s="297"/>
      <c r="BE75" s="297"/>
      <c r="BF75" s="297"/>
      <c r="BG75" s="297"/>
      <c r="BH75" s="297"/>
      <c r="BI75" s="297"/>
      <c r="BJ75" s="298"/>
      <c r="BK75" s="6"/>
    </row>
    <row r="76" spans="1:63" ht="31.5" customHeight="1" x14ac:dyDescent="0.25">
      <c r="A76" s="5"/>
      <c r="B76" s="33">
        <v>10</v>
      </c>
      <c r="C76" s="35"/>
      <c r="D76" s="54" t="s">
        <v>44</v>
      </c>
      <c r="E76" s="55"/>
      <c r="F76" s="55"/>
      <c r="G76" s="55"/>
      <c r="H76" s="55"/>
      <c r="I76" s="55"/>
      <c r="J76" s="56"/>
      <c r="K76" s="57" t="s">
        <v>139</v>
      </c>
      <c r="L76" s="46"/>
      <c r="M76" s="47"/>
      <c r="N76" s="17" t="s">
        <v>153</v>
      </c>
      <c r="O76" s="9" t="s">
        <v>6</v>
      </c>
      <c r="P76" s="67" t="s">
        <v>142</v>
      </c>
      <c r="Q76" s="34"/>
      <c r="R76" s="34"/>
      <c r="S76" s="35"/>
      <c r="T76" s="67" t="s">
        <v>158</v>
      </c>
      <c r="U76" s="34"/>
      <c r="V76" s="34"/>
      <c r="W76" s="35"/>
      <c r="X76" s="64" t="s">
        <v>6</v>
      </c>
      <c r="Y76" s="65"/>
      <c r="Z76" s="66"/>
      <c r="AA76" s="33" t="s">
        <v>8</v>
      </c>
      <c r="AB76" s="34"/>
      <c r="AC76" s="34"/>
      <c r="AD76" s="34"/>
      <c r="AE76" s="34"/>
      <c r="AF76" s="34"/>
      <c r="AG76" s="34"/>
      <c r="AH76" s="35"/>
      <c r="AI76" s="36" t="s">
        <v>15</v>
      </c>
      <c r="AJ76" s="37"/>
      <c r="AK76" s="37"/>
      <c r="AL76" s="37"/>
      <c r="AM76" s="37"/>
      <c r="AN76" s="37"/>
      <c r="AO76" s="37"/>
      <c r="AP76" s="37"/>
      <c r="AQ76" s="38"/>
      <c r="AR76" s="9" t="s">
        <v>6</v>
      </c>
      <c r="AS76" s="11" t="s">
        <v>8</v>
      </c>
      <c r="AT76" s="11" t="s">
        <v>8</v>
      </c>
      <c r="AU76" s="161" t="s">
        <v>175</v>
      </c>
      <c r="AV76" s="62"/>
      <c r="AW76" s="62"/>
      <c r="AX76" s="63"/>
      <c r="AY76" s="67" t="s">
        <v>158</v>
      </c>
      <c r="AZ76" s="34"/>
      <c r="BA76" s="34"/>
      <c r="BB76" s="35"/>
      <c r="BC76" s="299" t="s">
        <v>76</v>
      </c>
      <c r="BD76" s="300"/>
      <c r="BE76" s="300"/>
      <c r="BF76" s="300"/>
      <c r="BG76" s="300"/>
      <c r="BH76" s="300"/>
      <c r="BI76" s="300"/>
      <c r="BJ76" s="301"/>
      <c r="BK76" s="6"/>
    </row>
    <row r="77" spans="1:63" x14ac:dyDescent="0.25">
      <c r="A77" s="5"/>
      <c r="B77" s="33">
        <v>11</v>
      </c>
      <c r="C77" s="35"/>
      <c r="D77" s="290" t="s">
        <v>45</v>
      </c>
      <c r="E77" s="291"/>
      <c r="F77" s="291"/>
      <c r="G77" s="291"/>
      <c r="H77" s="291"/>
      <c r="I77" s="291"/>
      <c r="J77" s="292"/>
      <c r="K77" s="45" t="s">
        <v>5</v>
      </c>
      <c r="L77" s="46"/>
      <c r="M77" s="47"/>
      <c r="N77" s="9" t="s">
        <v>6</v>
      </c>
      <c r="O77" s="9" t="s">
        <v>7</v>
      </c>
      <c r="P77" s="33" t="s">
        <v>9</v>
      </c>
      <c r="Q77" s="34"/>
      <c r="R77" s="34"/>
      <c r="S77" s="35"/>
      <c r="T77" s="33" t="s">
        <v>9</v>
      </c>
      <c r="U77" s="34"/>
      <c r="V77" s="34"/>
      <c r="W77" s="35"/>
      <c r="X77" s="64" t="s">
        <v>159</v>
      </c>
      <c r="Y77" s="65"/>
      <c r="Z77" s="66"/>
      <c r="AA77" s="33" t="s">
        <v>8</v>
      </c>
      <c r="AB77" s="34"/>
      <c r="AC77" s="34"/>
      <c r="AD77" s="34"/>
      <c r="AE77" s="34"/>
      <c r="AF77" s="34"/>
      <c r="AG77" s="34"/>
      <c r="AH77" s="35"/>
      <c r="AI77" s="36" t="s">
        <v>8</v>
      </c>
      <c r="AJ77" s="37"/>
      <c r="AK77" s="37"/>
      <c r="AL77" s="37"/>
      <c r="AM77" s="37"/>
      <c r="AN77" s="37"/>
      <c r="AO77" s="37"/>
      <c r="AP77" s="37"/>
      <c r="AQ77" s="38"/>
      <c r="AR77" s="9" t="s">
        <v>6</v>
      </c>
      <c r="AS77" s="11" t="s">
        <v>8</v>
      </c>
      <c r="AT77" s="11" t="s">
        <v>8</v>
      </c>
      <c r="AU77" s="33" t="s">
        <v>9</v>
      </c>
      <c r="AV77" s="34"/>
      <c r="AW77" s="34"/>
      <c r="AX77" s="35"/>
      <c r="AY77" s="33" t="s">
        <v>9</v>
      </c>
      <c r="AZ77" s="34"/>
      <c r="BA77" s="34"/>
      <c r="BB77" s="35"/>
      <c r="BC77" s="296"/>
      <c r="BD77" s="297"/>
      <c r="BE77" s="297"/>
      <c r="BF77" s="297"/>
      <c r="BG77" s="297"/>
      <c r="BH77" s="297"/>
      <c r="BI77" s="297"/>
      <c r="BJ77" s="298"/>
      <c r="BK77" s="6"/>
    </row>
    <row r="78" spans="1:63" ht="102.75" customHeight="1" x14ac:dyDescent="0.25">
      <c r="A78" s="5"/>
      <c r="B78" s="33">
        <v>12</v>
      </c>
      <c r="C78" s="35"/>
      <c r="D78" s="54" t="s">
        <v>46</v>
      </c>
      <c r="E78" s="55"/>
      <c r="F78" s="55"/>
      <c r="G78" s="55"/>
      <c r="H78" s="55"/>
      <c r="I78" s="55"/>
      <c r="J78" s="56"/>
      <c r="K78" s="57" t="s">
        <v>139</v>
      </c>
      <c r="L78" s="46"/>
      <c r="M78" s="47"/>
      <c r="N78" s="17" t="s">
        <v>153</v>
      </c>
      <c r="O78" s="9" t="s">
        <v>6</v>
      </c>
      <c r="P78" s="67" t="s">
        <v>142</v>
      </c>
      <c r="Q78" s="34"/>
      <c r="R78" s="34"/>
      <c r="S78" s="35"/>
      <c r="T78" s="36" t="s">
        <v>56</v>
      </c>
      <c r="U78" s="37"/>
      <c r="V78" s="37"/>
      <c r="W78" s="38"/>
      <c r="X78" s="64" t="s">
        <v>6</v>
      </c>
      <c r="Y78" s="65"/>
      <c r="Z78" s="66"/>
      <c r="AA78" s="33" t="s">
        <v>8</v>
      </c>
      <c r="AB78" s="34"/>
      <c r="AC78" s="34"/>
      <c r="AD78" s="34"/>
      <c r="AE78" s="34"/>
      <c r="AF78" s="34"/>
      <c r="AG78" s="34"/>
      <c r="AH78" s="35"/>
      <c r="AI78" s="36" t="s">
        <v>15</v>
      </c>
      <c r="AJ78" s="37"/>
      <c r="AK78" s="37"/>
      <c r="AL78" s="37"/>
      <c r="AM78" s="37"/>
      <c r="AN78" s="37"/>
      <c r="AO78" s="37"/>
      <c r="AP78" s="37"/>
      <c r="AQ78" s="38"/>
      <c r="AR78" s="9" t="s">
        <v>6</v>
      </c>
      <c r="AS78" s="11" t="s">
        <v>8</v>
      </c>
      <c r="AT78" s="11" t="s">
        <v>8</v>
      </c>
      <c r="AU78" s="161" t="s">
        <v>175</v>
      </c>
      <c r="AV78" s="62"/>
      <c r="AW78" s="62"/>
      <c r="AX78" s="63"/>
      <c r="AY78" s="170" t="s">
        <v>56</v>
      </c>
      <c r="AZ78" s="43"/>
      <c r="BA78" s="43"/>
      <c r="BB78" s="44"/>
      <c r="BC78" s="302" t="s">
        <v>160</v>
      </c>
      <c r="BD78" s="303"/>
      <c r="BE78" s="303"/>
      <c r="BF78" s="303"/>
      <c r="BG78" s="303"/>
      <c r="BH78" s="303"/>
      <c r="BI78" s="303"/>
      <c r="BJ78" s="304"/>
      <c r="BK78" s="6"/>
    </row>
    <row r="79" spans="1:63" x14ac:dyDescent="0.25">
      <c r="A79" s="5"/>
      <c r="B79" s="33">
        <v>15</v>
      </c>
      <c r="C79" s="35"/>
      <c r="D79" s="290" t="s">
        <v>68</v>
      </c>
      <c r="E79" s="291"/>
      <c r="F79" s="291"/>
      <c r="G79" s="291"/>
      <c r="H79" s="291"/>
      <c r="I79" s="291"/>
      <c r="J79" s="292"/>
      <c r="K79" s="45" t="s">
        <v>5</v>
      </c>
      <c r="L79" s="46"/>
      <c r="M79" s="47"/>
      <c r="N79" s="9" t="s">
        <v>6</v>
      </c>
      <c r="O79" s="9" t="s">
        <v>7</v>
      </c>
      <c r="P79" s="33" t="s">
        <v>9</v>
      </c>
      <c r="Q79" s="34"/>
      <c r="R79" s="34"/>
      <c r="S79" s="35"/>
      <c r="T79" s="33" t="s">
        <v>9</v>
      </c>
      <c r="U79" s="34"/>
      <c r="V79" s="34"/>
      <c r="W79" s="35"/>
      <c r="X79" s="158" t="s">
        <v>180</v>
      </c>
      <c r="Y79" s="159"/>
      <c r="Z79" s="160"/>
      <c r="AA79" s="33" t="s">
        <v>8</v>
      </c>
      <c r="AB79" s="34"/>
      <c r="AC79" s="34"/>
      <c r="AD79" s="34"/>
      <c r="AE79" s="34"/>
      <c r="AF79" s="34"/>
      <c r="AG79" s="34"/>
      <c r="AH79" s="35"/>
      <c r="AI79" s="36" t="s">
        <v>8</v>
      </c>
      <c r="AJ79" s="37"/>
      <c r="AK79" s="37"/>
      <c r="AL79" s="37"/>
      <c r="AM79" s="37"/>
      <c r="AN79" s="37"/>
      <c r="AO79" s="37"/>
      <c r="AP79" s="37"/>
      <c r="AQ79" s="38"/>
      <c r="AR79" s="9" t="s">
        <v>6</v>
      </c>
      <c r="AS79" s="11" t="s">
        <v>8</v>
      </c>
      <c r="AT79" s="11" t="s">
        <v>8</v>
      </c>
      <c r="AU79" s="33" t="s">
        <v>9</v>
      </c>
      <c r="AV79" s="34"/>
      <c r="AW79" s="34"/>
      <c r="AX79" s="35"/>
      <c r="AY79" s="33" t="s">
        <v>9</v>
      </c>
      <c r="AZ79" s="34"/>
      <c r="BA79" s="34"/>
      <c r="BB79" s="35"/>
      <c r="BC79" s="296"/>
      <c r="BD79" s="297"/>
      <c r="BE79" s="297"/>
      <c r="BF79" s="297"/>
      <c r="BG79" s="297"/>
      <c r="BH79" s="297"/>
      <c r="BI79" s="297"/>
      <c r="BJ79" s="298"/>
      <c r="BK79" s="6"/>
    </row>
    <row r="80" spans="1:63" ht="85.5" customHeight="1" x14ac:dyDescent="0.25">
      <c r="A80" s="5"/>
      <c r="B80" s="33">
        <v>16</v>
      </c>
      <c r="C80" s="35"/>
      <c r="D80" s="54" t="s">
        <v>69</v>
      </c>
      <c r="E80" s="55"/>
      <c r="F80" s="55"/>
      <c r="G80" s="55"/>
      <c r="H80" s="55"/>
      <c r="I80" s="55"/>
      <c r="J80" s="56"/>
      <c r="K80" s="57" t="s">
        <v>144</v>
      </c>
      <c r="L80" s="46"/>
      <c r="M80" s="47"/>
      <c r="N80" s="17" t="s">
        <v>153</v>
      </c>
      <c r="O80" s="9" t="s">
        <v>6</v>
      </c>
      <c r="P80" s="67" t="s">
        <v>142</v>
      </c>
      <c r="Q80" s="34"/>
      <c r="R80" s="34"/>
      <c r="S80" s="35"/>
      <c r="T80" s="161" t="s">
        <v>181</v>
      </c>
      <c r="U80" s="62"/>
      <c r="V80" s="62"/>
      <c r="W80" s="63"/>
      <c r="X80" s="39" t="s">
        <v>182</v>
      </c>
      <c r="Y80" s="40"/>
      <c r="Z80" s="41"/>
      <c r="AA80" s="33" t="s">
        <v>8</v>
      </c>
      <c r="AB80" s="34"/>
      <c r="AC80" s="34"/>
      <c r="AD80" s="34"/>
      <c r="AE80" s="34"/>
      <c r="AF80" s="34"/>
      <c r="AG80" s="34"/>
      <c r="AH80" s="35"/>
      <c r="AI80" s="36" t="s">
        <v>15</v>
      </c>
      <c r="AJ80" s="37"/>
      <c r="AK80" s="37"/>
      <c r="AL80" s="37"/>
      <c r="AM80" s="37"/>
      <c r="AN80" s="37"/>
      <c r="AO80" s="37"/>
      <c r="AP80" s="37"/>
      <c r="AQ80" s="38"/>
      <c r="AR80" s="9" t="s">
        <v>6</v>
      </c>
      <c r="AS80" s="11" t="s">
        <v>8</v>
      </c>
      <c r="AT80" s="11" t="s">
        <v>8</v>
      </c>
      <c r="AU80" s="161" t="s">
        <v>175</v>
      </c>
      <c r="AV80" s="62"/>
      <c r="AW80" s="62"/>
      <c r="AX80" s="63"/>
      <c r="AY80" s="161" t="s">
        <v>181</v>
      </c>
      <c r="AZ80" s="62"/>
      <c r="BA80" s="62"/>
      <c r="BB80" s="63"/>
      <c r="BC80" s="299"/>
      <c r="BD80" s="300"/>
      <c r="BE80" s="300"/>
      <c r="BF80" s="300"/>
      <c r="BG80" s="300"/>
      <c r="BH80" s="300"/>
      <c r="BI80" s="300"/>
      <c r="BJ80" s="301"/>
      <c r="BK80" s="6"/>
    </row>
    <row r="81" spans="1:63" x14ac:dyDescent="0.25">
      <c r="A81" s="5"/>
      <c r="B81" s="33">
        <v>13</v>
      </c>
      <c r="C81" s="35"/>
      <c r="D81" s="290" t="s">
        <v>47</v>
      </c>
      <c r="E81" s="291"/>
      <c r="F81" s="291"/>
      <c r="G81" s="291"/>
      <c r="H81" s="291"/>
      <c r="I81" s="291"/>
      <c r="J81" s="292"/>
      <c r="K81" s="45" t="s">
        <v>5</v>
      </c>
      <c r="L81" s="46"/>
      <c r="M81" s="47"/>
      <c r="N81" s="9" t="s">
        <v>6</v>
      </c>
      <c r="O81" s="9" t="s">
        <v>7</v>
      </c>
      <c r="P81" s="33" t="s">
        <v>9</v>
      </c>
      <c r="Q81" s="34"/>
      <c r="R81" s="34"/>
      <c r="S81" s="35"/>
      <c r="T81" s="33" t="s">
        <v>9</v>
      </c>
      <c r="U81" s="34"/>
      <c r="V81" s="34"/>
      <c r="W81" s="35"/>
      <c r="X81" s="64" t="s">
        <v>161</v>
      </c>
      <c r="Y81" s="65"/>
      <c r="Z81" s="66"/>
      <c r="AA81" s="33" t="s">
        <v>8</v>
      </c>
      <c r="AB81" s="34"/>
      <c r="AC81" s="34"/>
      <c r="AD81" s="34"/>
      <c r="AE81" s="34"/>
      <c r="AF81" s="34"/>
      <c r="AG81" s="34"/>
      <c r="AH81" s="35"/>
      <c r="AI81" s="36" t="s">
        <v>8</v>
      </c>
      <c r="AJ81" s="37"/>
      <c r="AK81" s="37"/>
      <c r="AL81" s="37"/>
      <c r="AM81" s="37"/>
      <c r="AN81" s="37"/>
      <c r="AO81" s="37"/>
      <c r="AP81" s="37"/>
      <c r="AQ81" s="38"/>
      <c r="AR81" s="9" t="s">
        <v>6</v>
      </c>
      <c r="AS81" s="11" t="s">
        <v>8</v>
      </c>
      <c r="AT81" s="11" t="s">
        <v>8</v>
      </c>
      <c r="AU81" s="67" t="s">
        <v>6</v>
      </c>
      <c r="AV81" s="34"/>
      <c r="AW81" s="34"/>
      <c r="AX81" s="35"/>
      <c r="AY81" s="33" t="s">
        <v>9</v>
      </c>
      <c r="AZ81" s="34"/>
      <c r="BA81" s="34"/>
      <c r="BB81" s="35"/>
      <c r="BC81" s="296"/>
      <c r="BD81" s="297"/>
      <c r="BE81" s="297"/>
      <c r="BF81" s="297"/>
      <c r="BG81" s="297"/>
      <c r="BH81" s="297"/>
      <c r="BI81" s="297"/>
      <c r="BJ81" s="298"/>
      <c r="BK81" s="6"/>
    </row>
    <row r="82" spans="1:63" ht="34.5" customHeight="1" x14ac:dyDescent="0.25">
      <c r="A82" s="5"/>
      <c r="B82" s="33">
        <v>14</v>
      </c>
      <c r="C82" s="35"/>
      <c r="D82" s="54" t="s">
        <v>48</v>
      </c>
      <c r="E82" s="55"/>
      <c r="F82" s="55"/>
      <c r="G82" s="55"/>
      <c r="H82" s="55"/>
      <c r="I82" s="55"/>
      <c r="J82" s="56"/>
      <c r="K82" s="57" t="s">
        <v>139</v>
      </c>
      <c r="L82" s="46"/>
      <c r="M82" s="47"/>
      <c r="N82" s="17" t="s">
        <v>153</v>
      </c>
      <c r="O82" s="9" t="s">
        <v>6</v>
      </c>
      <c r="P82" s="67" t="s">
        <v>142</v>
      </c>
      <c r="Q82" s="34"/>
      <c r="R82" s="34"/>
      <c r="S82" s="35"/>
      <c r="T82" s="67" t="s">
        <v>162</v>
      </c>
      <c r="U82" s="34"/>
      <c r="V82" s="34"/>
      <c r="W82" s="35"/>
      <c r="X82" s="64" t="s">
        <v>6</v>
      </c>
      <c r="Y82" s="65"/>
      <c r="Z82" s="66"/>
      <c r="AA82" s="33" t="s">
        <v>8</v>
      </c>
      <c r="AB82" s="34"/>
      <c r="AC82" s="34"/>
      <c r="AD82" s="34"/>
      <c r="AE82" s="34"/>
      <c r="AF82" s="34"/>
      <c r="AG82" s="34"/>
      <c r="AH82" s="35"/>
      <c r="AI82" s="36" t="s">
        <v>15</v>
      </c>
      <c r="AJ82" s="37"/>
      <c r="AK82" s="37"/>
      <c r="AL82" s="37"/>
      <c r="AM82" s="37"/>
      <c r="AN82" s="37"/>
      <c r="AO82" s="37"/>
      <c r="AP82" s="37"/>
      <c r="AQ82" s="38"/>
      <c r="AR82" s="9" t="s">
        <v>6</v>
      </c>
      <c r="AS82" s="11" t="s">
        <v>8</v>
      </c>
      <c r="AT82" s="11" t="s">
        <v>8</v>
      </c>
      <c r="AU82" s="161" t="s">
        <v>175</v>
      </c>
      <c r="AV82" s="62"/>
      <c r="AW82" s="62"/>
      <c r="AX82" s="63"/>
      <c r="AY82" s="67" t="s">
        <v>162</v>
      </c>
      <c r="AZ82" s="34"/>
      <c r="BA82" s="34"/>
      <c r="BB82" s="35"/>
      <c r="BC82" s="299" t="s">
        <v>84</v>
      </c>
      <c r="BD82" s="300"/>
      <c r="BE82" s="300"/>
      <c r="BF82" s="300"/>
      <c r="BG82" s="300"/>
      <c r="BH82" s="300"/>
      <c r="BI82" s="300"/>
      <c r="BJ82" s="301"/>
      <c r="BK82" s="6"/>
    </row>
    <row r="83" spans="1:63" x14ac:dyDescent="0.25">
      <c r="A83" s="5"/>
      <c r="B83" s="33">
        <v>15</v>
      </c>
      <c r="C83" s="35"/>
      <c r="D83" s="126" t="s">
        <v>95</v>
      </c>
      <c r="E83" s="135"/>
      <c r="F83" s="135"/>
      <c r="G83" s="135"/>
      <c r="H83" s="135"/>
      <c r="I83" s="135"/>
      <c r="J83" s="136"/>
      <c r="K83" s="45" t="s">
        <v>5</v>
      </c>
      <c r="L83" s="46"/>
      <c r="M83" s="47"/>
      <c r="N83" s="9" t="s">
        <v>8</v>
      </c>
      <c r="O83" s="9" t="s">
        <v>7</v>
      </c>
      <c r="P83" s="177" t="s">
        <v>8</v>
      </c>
      <c r="Q83" s="178"/>
      <c r="R83" s="178"/>
      <c r="S83" s="179"/>
      <c r="T83" s="177" t="s">
        <v>8</v>
      </c>
      <c r="U83" s="178"/>
      <c r="V83" s="178"/>
      <c r="W83" s="179"/>
      <c r="X83" s="180" t="s">
        <v>98</v>
      </c>
      <c r="Y83" s="37"/>
      <c r="Z83" s="38"/>
      <c r="AA83" s="126" t="s">
        <v>8</v>
      </c>
      <c r="AB83" s="135"/>
      <c r="AC83" s="135"/>
      <c r="AD83" s="135"/>
      <c r="AE83" s="135"/>
      <c r="AF83" s="135"/>
      <c r="AG83" s="135"/>
      <c r="AH83" s="136"/>
      <c r="AI83" s="36" t="s">
        <v>8</v>
      </c>
      <c r="AJ83" s="37"/>
      <c r="AK83" s="37"/>
      <c r="AL83" s="37"/>
      <c r="AM83" s="37"/>
      <c r="AN83" s="37"/>
      <c r="AO83" s="37"/>
      <c r="AP83" s="37"/>
      <c r="AQ83" s="38"/>
      <c r="AR83" s="9" t="s">
        <v>6</v>
      </c>
      <c r="AS83" s="9" t="s">
        <v>6</v>
      </c>
      <c r="AT83" s="9" t="s">
        <v>6</v>
      </c>
      <c r="AU83" s="33" t="s">
        <v>8</v>
      </c>
      <c r="AV83" s="34"/>
      <c r="AW83" s="34"/>
      <c r="AX83" s="35"/>
      <c r="AY83" s="33" t="s">
        <v>8</v>
      </c>
      <c r="AZ83" s="34"/>
      <c r="BA83" s="34"/>
      <c r="BB83" s="35"/>
      <c r="BC83" s="117"/>
      <c r="BD83" s="46"/>
      <c r="BE83" s="46"/>
      <c r="BF83" s="46"/>
      <c r="BG83" s="46"/>
      <c r="BH83" s="46"/>
      <c r="BI83" s="46"/>
      <c r="BJ83" s="47"/>
      <c r="BK83" s="6"/>
    </row>
    <row r="84" spans="1:63" ht="95.25" customHeight="1" x14ac:dyDescent="0.25">
      <c r="A84" s="5"/>
      <c r="B84" s="33">
        <v>16</v>
      </c>
      <c r="C84" s="35"/>
      <c r="D84" s="126" t="s">
        <v>100</v>
      </c>
      <c r="E84" s="135"/>
      <c r="F84" s="135"/>
      <c r="G84" s="135"/>
      <c r="H84" s="135"/>
      <c r="I84" s="135"/>
      <c r="J84" s="136"/>
      <c r="K84" s="45" t="s">
        <v>97</v>
      </c>
      <c r="L84" s="46"/>
      <c r="M84" s="47"/>
      <c r="N84" s="9" t="s">
        <v>11</v>
      </c>
      <c r="O84" s="9" t="s">
        <v>6</v>
      </c>
      <c r="P84" s="177" t="s">
        <v>27</v>
      </c>
      <c r="Q84" s="178"/>
      <c r="R84" s="178"/>
      <c r="S84" s="179"/>
      <c r="T84" s="177" t="s">
        <v>103</v>
      </c>
      <c r="U84" s="178"/>
      <c r="V84" s="178"/>
      <c r="W84" s="179"/>
      <c r="X84" s="180" t="s">
        <v>8</v>
      </c>
      <c r="Y84" s="37"/>
      <c r="Z84" s="38"/>
      <c r="AA84" s="134"/>
      <c r="AB84" s="46"/>
      <c r="AC84" s="46"/>
      <c r="AD84" s="46"/>
      <c r="AE84" s="46"/>
      <c r="AF84" s="46"/>
      <c r="AG84" s="46"/>
      <c r="AH84" s="47"/>
      <c r="AI84" s="36" t="s">
        <v>8</v>
      </c>
      <c r="AJ84" s="37"/>
      <c r="AK84" s="37"/>
      <c r="AL84" s="37"/>
      <c r="AM84" s="37"/>
      <c r="AN84" s="37"/>
      <c r="AO84" s="37"/>
      <c r="AP84" s="37"/>
      <c r="AQ84" s="38"/>
      <c r="AR84" s="9" t="s">
        <v>6</v>
      </c>
      <c r="AS84" s="9" t="s">
        <v>6</v>
      </c>
      <c r="AT84" s="9" t="s">
        <v>6</v>
      </c>
      <c r="AU84" s="61" t="s">
        <v>183</v>
      </c>
      <c r="AV84" s="62"/>
      <c r="AW84" s="62"/>
      <c r="AX84" s="63"/>
      <c r="AY84" s="33" t="s">
        <v>103</v>
      </c>
      <c r="AZ84" s="34"/>
      <c r="BA84" s="34"/>
      <c r="BB84" s="35"/>
      <c r="BC84" s="134" t="s">
        <v>102</v>
      </c>
      <c r="BD84" s="46"/>
      <c r="BE84" s="46"/>
      <c r="BF84" s="46"/>
      <c r="BG84" s="46"/>
      <c r="BH84" s="46"/>
      <c r="BI84" s="46"/>
      <c r="BJ84" s="47"/>
      <c r="BK84" s="6"/>
    </row>
    <row r="85" spans="1:63" x14ac:dyDescent="0.25">
      <c r="A85" s="5"/>
      <c r="B85" s="33">
        <v>17</v>
      </c>
      <c r="C85" s="35"/>
      <c r="D85" s="126" t="s">
        <v>99</v>
      </c>
      <c r="E85" s="135"/>
      <c r="F85" s="135"/>
      <c r="G85" s="135"/>
      <c r="H85" s="135"/>
      <c r="I85" s="135"/>
      <c r="J85" s="136"/>
      <c r="K85" s="45" t="s">
        <v>5</v>
      </c>
      <c r="L85" s="46"/>
      <c r="M85" s="47"/>
      <c r="N85" s="9" t="s">
        <v>8</v>
      </c>
      <c r="O85" s="9" t="s">
        <v>7</v>
      </c>
      <c r="P85" s="177" t="s">
        <v>8</v>
      </c>
      <c r="Q85" s="178"/>
      <c r="R85" s="178"/>
      <c r="S85" s="179"/>
      <c r="T85" s="177" t="s">
        <v>8</v>
      </c>
      <c r="U85" s="178"/>
      <c r="V85" s="178"/>
      <c r="W85" s="179"/>
      <c r="X85" s="180" t="s">
        <v>101</v>
      </c>
      <c r="Y85" s="37"/>
      <c r="Z85" s="38"/>
      <c r="AA85" s="126" t="s">
        <v>8</v>
      </c>
      <c r="AB85" s="135"/>
      <c r="AC85" s="135"/>
      <c r="AD85" s="135"/>
      <c r="AE85" s="135"/>
      <c r="AF85" s="135"/>
      <c r="AG85" s="135"/>
      <c r="AH85" s="136"/>
      <c r="AI85" s="36" t="s">
        <v>8</v>
      </c>
      <c r="AJ85" s="37"/>
      <c r="AK85" s="37"/>
      <c r="AL85" s="37"/>
      <c r="AM85" s="37"/>
      <c r="AN85" s="37"/>
      <c r="AO85" s="37"/>
      <c r="AP85" s="37"/>
      <c r="AQ85" s="38"/>
      <c r="AR85" s="9" t="s">
        <v>6</v>
      </c>
      <c r="AS85" s="9" t="s">
        <v>6</v>
      </c>
      <c r="AT85" s="9" t="s">
        <v>6</v>
      </c>
      <c r="AU85" s="33" t="s">
        <v>8</v>
      </c>
      <c r="AV85" s="34"/>
      <c r="AW85" s="34"/>
      <c r="AX85" s="35"/>
      <c r="AY85" s="33" t="s">
        <v>8</v>
      </c>
      <c r="AZ85" s="34"/>
      <c r="BA85" s="34"/>
      <c r="BB85" s="35"/>
      <c r="BC85" s="117"/>
      <c r="BD85" s="46"/>
      <c r="BE85" s="46"/>
      <c r="BF85" s="46"/>
      <c r="BG85" s="46"/>
      <c r="BH85" s="46"/>
      <c r="BI85" s="46"/>
      <c r="BJ85" s="47"/>
      <c r="BK85" s="6"/>
    </row>
    <row r="86" spans="1:63" ht="95.25" customHeight="1" x14ac:dyDescent="0.25">
      <c r="A86" s="5"/>
      <c r="B86" s="33">
        <v>18</v>
      </c>
      <c r="C86" s="35"/>
      <c r="D86" s="126" t="s">
        <v>96</v>
      </c>
      <c r="E86" s="135"/>
      <c r="F86" s="135"/>
      <c r="G86" s="135"/>
      <c r="H86" s="135"/>
      <c r="I86" s="135"/>
      <c r="J86" s="136"/>
      <c r="K86" s="45" t="s">
        <v>97</v>
      </c>
      <c r="L86" s="46"/>
      <c r="M86" s="47"/>
      <c r="N86" s="9" t="s">
        <v>11</v>
      </c>
      <c r="O86" s="9" t="s">
        <v>6</v>
      </c>
      <c r="P86" s="177" t="s">
        <v>27</v>
      </c>
      <c r="Q86" s="178"/>
      <c r="R86" s="178"/>
      <c r="S86" s="179"/>
      <c r="T86" s="177" t="s">
        <v>104</v>
      </c>
      <c r="U86" s="178"/>
      <c r="V86" s="178"/>
      <c r="W86" s="179"/>
      <c r="X86" s="180" t="s">
        <v>8</v>
      </c>
      <c r="Y86" s="37"/>
      <c r="Z86" s="38"/>
      <c r="AA86" s="134"/>
      <c r="AB86" s="46"/>
      <c r="AC86" s="46"/>
      <c r="AD86" s="46"/>
      <c r="AE86" s="46"/>
      <c r="AF86" s="46"/>
      <c r="AG86" s="46"/>
      <c r="AH86" s="47"/>
      <c r="AI86" s="36" t="s">
        <v>8</v>
      </c>
      <c r="AJ86" s="37"/>
      <c r="AK86" s="37"/>
      <c r="AL86" s="37"/>
      <c r="AM86" s="37"/>
      <c r="AN86" s="37"/>
      <c r="AO86" s="37"/>
      <c r="AP86" s="37"/>
      <c r="AQ86" s="38"/>
      <c r="AR86" s="9" t="s">
        <v>6</v>
      </c>
      <c r="AS86" s="9" t="s">
        <v>6</v>
      </c>
      <c r="AT86" s="9" t="s">
        <v>6</v>
      </c>
      <c r="AU86" s="61" t="s">
        <v>183</v>
      </c>
      <c r="AV86" s="62"/>
      <c r="AW86" s="62"/>
      <c r="AX86" s="63"/>
      <c r="AY86" s="33" t="s">
        <v>104</v>
      </c>
      <c r="AZ86" s="34"/>
      <c r="BA86" s="34"/>
      <c r="BB86" s="35"/>
      <c r="BC86" s="134" t="s">
        <v>102</v>
      </c>
      <c r="BD86" s="46"/>
      <c r="BE86" s="46"/>
      <c r="BF86" s="46"/>
      <c r="BG86" s="46"/>
      <c r="BH86" s="46"/>
      <c r="BI86" s="46"/>
      <c r="BJ86" s="47"/>
      <c r="BK86" s="6"/>
    </row>
    <row r="87" spans="1:63" ht="36.75" customHeight="1" x14ac:dyDescent="0.25">
      <c r="A87" s="5"/>
      <c r="B87" s="33">
        <v>19</v>
      </c>
      <c r="C87" s="35"/>
      <c r="D87" s="290" t="s">
        <v>70</v>
      </c>
      <c r="E87" s="291"/>
      <c r="F87" s="291"/>
      <c r="G87" s="291"/>
      <c r="H87" s="291"/>
      <c r="I87" s="291"/>
      <c r="J87" s="292"/>
      <c r="K87" s="45" t="s">
        <v>5</v>
      </c>
      <c r="L87" s="46"/>
      <c r="M87" s="47"/>
      <c r="N87" s="9" t="s">
        <v>6</v>
      </c>
      <c r="O87" s="9" t="s">
        <v>7</v>
      </c>
      <c r="P87" s="33" t="s">
        <v>9</v>
      </c>
      <c r="Q87" s="34"/>
      <c r="R87" s="34"/>
      <c r="S87" s="35"/>
      <c r="T87" s="33" t="s">
        <v>9</v>
      </c>
      <c r="U87" s="34"/>
      <c r="V87" s="34"/>
      <c r="W87" s="35"/>
      <c r="X87" s="158" t="s">
        <v>184</v>
      </c>
      <c r="Y87" s="159"/>
      <c r="Z87" s="160"/>
      <c r="AA87" s="161" t="s">
        <v>187</v>
      </c>
      <c r="AB87" s="62"/>
      <c r="AC87" s="62"/>
      <c r="AD87" s="62"/>
      <c r="AE87" s="62"/>
      <c r="AF87" s="62"/>
      <c r="AG87" s="62"/>
      <c r="AH87" s="63"/>
      <c r="AI87" s="36" t="s">
        <v>8</v>
      </c>
      <c r="AJ87" s="37"/>
      <c r="AK87" s="37"/>
      <c r="AL87" s="37"/>
      <c r="AM87" s="37"/>
      <c r="AN87" s="37"/>
      <c r="AO87" s="37"/>
      <c r="AP87" s="37"/>
      <c r="AQ87" s="38"/>
      <c r="AR87" s="9" t="s">
        <v>6</v>
      </c>
      <c r="AS87" s="11" t="s">
        <v>8</v>
      </c>
      <c r="AT87" s="11" t="s">
        <v>8</v>
      </c>
      <c r="AU87" s="33" t="s">
        <v>9</v>
      </c>
      <c r="AV87" s="34"/>
      <c r="AW87" s="34"/>
      <c r="AX87" s="35"/>
      <c r="AY87" s="33" t="s">
        <v>9</v>
      </c>
      <c r="AZ87" s="34"/>
      <c r="BA87" s="34"/>
      <c r="BB87" s="35"/>
      <c r="BC87" s="296"/>
      <c r="BD87" s="297"/>
      <c r="BE87" s="297"/>
      <c r="BF87" s="297"/>
      <c r="BG87" s="297"/>
      <c r="BH87" s="297"/>
      <c r="BI87" s="297"/>
      <c r="BJ87" s="298"/>
      <c r="BK87" s="6"/>
    </row>
    <row r="88" spans="1:63" ht="31.5" customHeight="1" x14ac:dyDescent="0.25">
      <c r="A88" s="5"/>
      <c r="B88" s="33">
        <v>20</v>
      </c>
      <c r="C88" s="35"/>
      <c r="D88" s="54" t="s">
        <v>71</v>
      </c>
      <c r="E88" s="55"/>
      <c r="F88" s="55"/>
      <c r="G88" s="55"/>
      <c r="H88" s="55"/>
      <c r="I88" s="55"/>
      <c r="J88" s="56"/>
      <c r="K88" s="57" t="s">
        <v>152</v>
      </c>
      <c r="L88" s="46"/>
      <c r="M88" s="47"/>
      <c r="N88" s="17" t="s">
        <v>153</v>
      </c>
      <c r="O88" s="9" t="s">
        <v>6</v>
      </c>
      <c r="P88" s="33" t="s">
        <v>9</v>
      </c>
      <c r="Q88" s="34"/>
      <c r="R88" s="34"/>
      <c r="S88" s="35"/>
      <c r="T88" s="33" t="s">
        <v>9</v>
      </c>
      <c r="U88" s="34"/>
      <c r="V88" s="34"/>
      <c r="W88" s="35"/>
      <c r="X88" s="64" t="s">
        <v>6</v>
      </c>
      <c r="Y88" s="65"/>
      <c r="Z88" s="66"/>
      <c r="AA88" s="61" t="s">
        <v>77</v>
      </c>
      <c r="AB88" s="62"/>
      <c r="AC88" s="62"/>
      <c r="AD88" s="62"/>
      <c r="AE88" s="62"/>
      <c r="AF88" s="62"/>
      <c r="AG88" s="62"/>
      <c r="AH88" s="63"/>
      <c r="AI88" s="36" t="s">
        <v>78</v>
      </c>
      <c r="AJ88" s="37"/>
      <c r="AK88" s="37"/>
      <c r="AL88" s="37"/>
      <c r="AM88" s="37"/>
      <c r="AN88" s="37"/>
      <c r="AO88" s="37"/>
      <c r="AP88" s="37"/>
      <c r="AQ88" s="38"/>
      <c r="AR88" s="9" t="s">
        <v>7</v>
      </c>
      <c r="AS88" s="11" t="s">
        <v>8</v>
      </c>
      <c r="AT88" s="11" t="s">
        <v>8</v>
      </c>
      <c r="AU88" s="161" t="s">
        <v>185</v>
      </c>
      <c r="AV88" s="62"/>
      <c r="AW88" s="62"/>
      <c r="AX88" s="63"/>
      <c r="AY88" s="67" t="s">
        <v>186</v>
      </c>
      <c r="AZ88" s="34"/>
      <c r="BA88" s="34"/>
      <c r="BB88" s="35"/>
      <c r="BC88" s="302" t="s">
        <v>83</v>
      </c>
      <c r="BD88" s="303"/>
      <c r="BE88" s="303"/>
      <c r="BF88" s="303"/>
      <c r="BG88" s="303"/>
      <c r="BH88" s="303"/>
      <c r="BI88" s="303"/>
      <c r="BJ88" s="304"/>
      <c r="BK88" s="6"/>
    </row>
    <row r="89" spans="1:63" x14ac:dyDescent="0.25">
      <c r="A89" s="5"/>
      <c r="B89" s="308">
        <v>21</v>
      </c>
      <c r="C89" s="309"/>
      <c r="D89" s="310" t="s">
        <v>60</v>
      </c>
      <c r="E89" s="311"/>
      <c r="F89" s="311"/>
      <c r="G89" s="311"/>
      <c r="H89" s="311"/>
      <c r="I89" s="311"/>
      <c r="J89" s="312"/>
      <c r="K89" s="299" t="s">
        <v>14</v>
      </c>
      <c r="L89" s="300"/>
      <c r="M89" s="301"/>
      <c r="N89" s="313" t="s">
        <v>11</v>
      </c>
      <c r="O89" s="313" t="s">
        <v>7</v>
      </c>
      <c r="P89" s="314" t="s">
        <v>8</v>
      </c>
      <c r="Q89" s="315"/>
      <c r="R89" s="315"/>
      <c r="S89" s="316"/>
      <c r="T89" s="314" t="s">
        <v>8</v>
      </c>
      <c r="U89" s="315"/>
      <c r="V89" s="315"/>
      <c r="W89" s="316"/>
      <c r="X89" s="317" t="s">
        <v>79</v>
      </c>
      <c r="Y89" s="318"/>
      <c r="Z89" s="319"/>
      <c r="AA89" s="310" t="s">
        <v>8</v>
      </c>
      <c r="AB89" s="311"/>
      <c r="AC89" s="311"/>
      <c r="AD89" s="311"/>
      <c r="AE89" s="311"/>
      <c r="AF89" s="311"/>
      <c r="AG89" s="311"/>
      <c r="AH89" s="312"/>
      <c r="AI89" s="320" t="s">
        <v>15</v>
      </c>
      <c r="AJ89" s="318"/>
      <c r="AK89" s="318"/>
      <c r="AL89" s="318"/>
      <c r="AM89" s="318"/>
      <c r="AN89" s="318"/>
      <c r="AO89" s="318"/>
      <c r="AP89" s="318"/>
      <c r="AQ89" s="319"/>
      <c r="AR89" s="9" t="s">
        <v>6</v>
      </c>
      <c r="AS89" s="313" t="s">
        <v>6</v>
      </c>
      <c r="AT89" s="313" t="s">
        <v>6</v>
      </c>
      <c r="AU89" s="308" t="s">
        <v>8</v>
      </c>
      <c r="AV89" s="321"/>
      <c r="AW89" s="321"/>
      <c r="AX89" s="309"/>
      <c r="AY89" s="308" t="s">
        <v>8</v>
      </c>
      <c r="AZ89" s="321"/>
      <c r="BA89" s="321"/>
      <c r="BB89" s="309"/>
      <c r="BC89" s="162" t="s">
        <v>81</v>
      </c>
      <c r="BD89" s="165"/>
      <c r="BE89" s="165"/>
      <c r="BF89" s="165"/>
      <c r="BG89" s="165"/>
      <c r="BH89" s="165"/>
      <c r="BI89" s="165"/>
      <c r="BJ89" s="166"/>
      <c r="BK89" s="6"/>
    </row>
    <row r="90" spans="1:63" ht="15.75" customHeight="1" x14ac:dyDescent="0.25">
      <c r="A90" s="5"/>
      <c r="B90" s="308">
        <v>22</v>
      </c>
      <c r="C90" s="309"/>
      <c r="D90" s="310" t="s">
        <v>61</v>
      </c>
      <c r="E90" s="311"/>
      <c r="F90" s="311"/>
      <c r="G90" s="311"/>
      <c r="H90" s="311"/>
      <c r="I90" s="311"/>
      <c r="J90" s="312"/>
      <c r="K90" s="299" t="s">
        <v>14</v>
      </c>
      <c r="L90" s="300"/>
      <c r="M90" s="301"/>
      <c r="N90" s="313" t="s">
        <v>11</v>
      </c>
      <c r="O90" s="313" t="s">
        <v>7</v>
      </c>
      <c r="P90" s="314" t="s">
        <v>8</v>
      </c>
      <c r="Q90" s="315"/>
      <c r="R90" s="315"/>
      <c r="S90" s="316"/>
      <c r="T90" s="314" t="s">
        <v>8</v>
      </c>
      <c r="U90" s="315"/>
      <c r="V90" s="315"/>
      <c r="W90" s="316"/>
      <c r="X90" s="317" t="s">
        <v>62</v>
      </c>
      <c r="Y90" s="318"/>
      <c r="Z90" s="319"/>
      <c r="AA90" s="310" t="s">
        <v>67</v>
      </c>
      <c r="AB90" s="311"/>
      <c r="AC90" s="311"/>
      <c r="AD90" s="311"/>
      <c r="AE90" s="311"/>
      <c r="AF90" s="311"/>
      <c r="AG90" s="311"/>
      <c r="AH90" s="312"/>
      <c r="AI90" s="320" t="s">
        <v>15</v>
      </c>
      <c r="AJ90" s="318"/>
      <c r="AK90" s="318"/>
      <c r="AL90" s="318"/>
      <c r="AM90" s="318"/>
      <c r="AN90" s="318"/>
      <c r="AO90" s="318"/>
      <c r="AP90" s="318"/>
      <c r="AQ90" s="319"/>
      <c r="AR90" s="9" t="s">
        <v>6</v>
      </c>
      <c r="AS90" s="313"/>
      <c r="AT90" s="313"/>
      <c r="AU90" s="308"/>
      <c r="AV90" s="321"/>
      <c r="AW90" s="321"/>
      <c r="AX90" s="309"/>
      <c r="AY90" s="308"/>
      <c r="AZ90" s="321"/>
      <c r="BA90" s="321"/>
      <c r="BB90" s="309"/>
      <c r="BC90" s="162" t="s">
        <v>82</v>
      </c>
      <c r="BD90" s="163"/>
      <c r="BE90" s="163"/>
      <c r="BF90" s="163"/>
      <c r="BG90" s="163"/>
      <c r="BH90" s="163"/>
      <c r="BI90" s="163"/>
      <c r="BJ90" s="164"/>
      <c r="BK90" s="6"/>
    </row>
    <row r="91" spans="1:63" ht="15.75" customHeight="1" x14ac:dyDescent="0.25">
      <c r="A91" s="5"/>
      <c r="B91" s="308">
        <v>23</v>
      </c>
      <c r="C91" s="309"/>
      <c r="D91" s="310" t="s">
        <v>63</v>
      </c>
      <c r="E91" s="311"/>
      <c r="F91" s="311"/>
      <c r="G91" s="311"/>
      <c r="H91" s="311"/>
      <c r="I91" s="311"/>
      <c r="J91" s="312"/>
      <c r="K91" s="299" t="s">
        <v>14</v>
      </c>
      <c r="L91" s="300"/>
      <c r="M91" s="301"/>
      <c r="N91" s="313" t="s">
        <v>11</v>
      </c>
      <c r="O91" s="313" t="s">
        <v>7</v>
      </c>
      <c r="P91" s="314" t="s">
        <v>8</v>
      </c>
      <c r="Q91" s="315"/>
      <c r="R91" s="315"/>
      <c r="S91" s="316"/>
      <c r="T91" s="314" t="s">
        <v>8</v>
      </c>
      <c r="U91" s="315"/>
      <c r="V91" s="315"/>
      <c r="W91" s="316"/>
      <c r="X91" s="317" t="s">
        <v>52</v>
      </c>
      <c r="Y91" s="318"/>
      <c r="Z91" s="319"/>
      <c r="AA91" s="310" t="s">
        <v>8</v>
      </c>
      <c r="AB91" s="311"/>
      <c r="AC91" s="311"/>
      <c r="AD91" s="311"/>
      <c r="AE91" s="311"/>
      <c r="AF91" s="311"/>
      <c r="AG91" s="311"/>
      <c r="AH91" s="312"/>
      <c r="AI91" s="320" t="s">
        <v>15</v>
      </c>
      <c r="AJ91" s="318"/>
      <c r="AK91" s="318"/>
      <c r="AL91" s="318"/>
      <c r="AM91" s="318"/>
      <c r="AN91" s="318"/>
      <c r="AO91" s="318"/>
      <c r="AP91" s="318"/>
      <c r="AQ91" s="319"/>
      <c r="AR91" s="9" t="s">
        <v>6</v>
      </c>
      <c r="AS91" s="313" t="s">
        <v>6</v>
      </c>
      <c r="AT91" s="313" t="s">
        <v>6</v>
      </c>
      <c r="AU91" s="308" t="s">
        <v>8</v>
      </c>
      <c r="AV91" s="321"/>
      <c r="AW91" s="321"/>
      <c r="AX91" s="309"/>
      <c r="AY91" s="308" t="s">
        <v>8</v>
      </c>
      <c r="AZ91" s="321"/>
      <c r="BA91" s="321"/>
      <c r="BB91" s="309"/>
      <c r="BC91" s="162" t="s">
        <v>82</v>
      </c>
      <c r="BD91" s="163"/>
      <c r="BE91" s="163"/>
      <c r="BF91" s="163"/>
      <c r="BG91" s="163"/>
      <c r="BH91" s="163"/>
      <c r="BI91" s="163"/>
      <c r="BJ91" s="164"/>
      <c r="BK91" s="6"/>
    </row>
    <row r="92" spans="1:63" ht="15.75" customHeight="1" x14ac:dyDescent="0.25">
      <c r="A92" s="5"/>
      <c r="B92" s="322">
        <v>24</v>
      </c>
      <c r="C92" s="323"/>
      <c r="D92" s="324" t="s">
        <v>64</v>
      </c>
      <c r="E92" s="325"/>
      <c r="F92" s="325"/>
      <c r="G92" s="325"/>
      <c r="H92" s="325"/>
      <c r="I92" s="325"/>
      <c r="J92" s="326"/>
      <c r="K92" s="293" t="s">
        <v>14</v>
      </c>
      <c r="L92" s="294"/>
      <c r="M92" s="295"/>
      <c r="N92" s="327" t="s">
        <v>11</v>
      </c>
      <c r="O92" s="327" t="s">
        <v>7</v>
      </c>
      <c r="P92" s="328" t="s">
        <v>8</v>
      </c>
      <c r="Q92" s="329"/>
      <c r="R92" s="329"/>
      <c r="S92" s="330"/>
      <c r="T92" s="328" t="s">
        <v>8</v>
      </c>
      <c r="U92" s="329"/>
      <c r="V92" s="329"/>
      <c r="W92" s="330"/>
      <c r="X92" s="331" t="s">
        <v>65</v>
      </c>
      <c r="Y92" s="332"/>
      <c r="Z92" s="333"/>
      <c r="AA92" s="324" t="s">
        <v>8</v>
      </c>
      <c r="AB92" s="325"/>
      <c r="AC92" s="325"/>
      <c r="AD92" s="325"/>
      <c r="AE92" s="325"/>
      <c r="AF92" s="325"/>
      <c r="AG92" s="325"/>
      <c r="AH92" s="326"/>
      <c r="AI92" s="334" t="s">
        <v>66</v>
      </c>
      <c r="AJ92" s="335"/>
      <c r="AK92" s="335"/>
      <c r="AL92" s="335"/>
      <c r="AM92" s="335"/>
      <c r="AN92" s="335"/>
      <c r="AO92" s="335"/>
      <c r="AP92" s="335"/>
      <c r="AQ92" s="336"/>
      <c r="AR92" s="13" t="s">
        <v>6</v>
      </c>
      <c r="AS92" s="327" t="s">
        <v>6</v>
      </c>
      <c r="AT92" s="327" t="s">
        <v>6</v>
      </c>
      <c r="AU92" s="322" t="s">
        <v>8</v>
      </c>
      <c r="AV92" s="337"/>
      <c r="AW92" s="337"/>
      <c r="AX92" s="323"/>
      <c r="AY92" s="322" t="s">
        <v>8</v>
      </c>
      <c r="AZ92" s="337"/>
      <c r="BA92" s="337"/>
      <c r="BB92" s="323"/>
      <c r="BC92" s="167" t="s">
        <v>82</v>
      </c>
      <c r="BD92" s="168"/>
      <c r="BE92" s="168"/>
      <c r="BF92" s="168"/>
      <c r="BG92" s="168"/>
      <c r="BH92" s="168"/>
      <c r="BI92" s="168"/>
      <c r="BJ92" s="169"/>
      <c r="BK92" s="6"/>
    </row>
    <row r="93" spans="1:63" x14ac:dyDescent="0.25">
      <c r="BK93" s="6"/>
    </row>
    <row r="94" spans="1:63" x14ac:dyDescent="0.25">
      <c r="BK94" s="6"/>
    </row>
    <row r="95" spans="1:63" x14ac:dyDescent="0.25">
      <c r="BK95" s="6"/>
    </row>
    <row r="96" spans="1:63" x14ac:dyDescent="0.25">
      <c r="BK96" s="6"/>
    </row>
    <row r="97" spans="1:63" x14ac:dyDescent="0.25">
      <c r="BK97" s="6"/>
    </row>
    <row r="98" spans="1:63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4"/>
    </row>
  </sheetData>
  <mergeCells count="337">
    <mergeCell ref="AY85:BB85"/>
    <mergeCell ref="BC85:BJ85"/>
    <mergeCell ref="B86:C86"/>
    <mergeCell ref="D86:J86"/>
    <mergeCell ref="K86:M86"/>
    <mergeCell ref="P86:S86"/>
    <mergeCell ref="T86:W86"/>
    <mergeCell ref="X86:Z86"/>
    <mergeCell ref="AA86:AH86"/>
    <mergeCell ref="AI86:AQ86"/>
    <mergeCell ref="AU86:AX86"/>
    <mergeCell ref="AY86:BB86"/>
    <mergeCell ref="BC86:BJ86"/>
    <mergeCell ref="B85:C85"/>
    <mergeCell ref="D85:J85"/>
    <mergeCell ref="K85:M85"/>
    <mergeCell ref="P85:S85"/>
    <mergeCell ref="T85:W85"/>
    <mergeCell ref="X85:Z85"/>
    <mergeCell ref="AA85:AH85"/>
    <mergeCell ref="AI85:AQ85"/>
    <mergeCell ref="AU85:AX85"/>
    <mergeCell ref="AY83:BB83"/>
    <mergeCell ref="BC83:BJ83"/>
    <mergeCell ref="B84:C84"/>
    <mergeCell ref="D84:J84"/>
    <mergeCell ref="K84:M84"/>
    <mergeCell ref="P84:S84"/>
    <mergeCell ref="T84:W84"/>
    <mergeCell ref="X84:Z84"/>
    <mergeCell ref="AA84:AH84"/>
    <mergeCell ref="AI84:AQ84"/>
    <mergeCell ref="AU84:AX84"/>
    <mergeCell ref="AY84:BB84"/>
    <mergeCell ref="BC84:BJ84"/>
    <mergeCell ref="B83:C83"/>
    <mergeCell ref="D83:J83"/>
    <mergeCell ref="K83:M83"/>
    <mergeCell ref="P83:S83"/>
    <mergeCell ref="T83:W83"/>
    <mergeCell ref="X83:Z83"/>
    <mergeCell ref="AA83:AH83"/>
    <mergeCell ref="AI83:AQ83"/>
    <mergeCell ref="AU83:AX83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63:C65"/>
    <mergeCell ref="D63:J65"/>
    <mergeCell ref="K63:M65"/>
    <mergeCell ref="N63:N65"/>
    <mergeCell ref="O63:O65"/>
    <mergeCell ref="AU65:AX65"/>
    <mergeCell ref="AY65:BB65"/>
    <mergeCell ref="B66:C66"/>
    <mergeCell ref="D66:J66"/>
    <mergeCell ref="K66:M66"/>
    <mergeCell ref="P66:S66"/>
    <mergeCell ref="T66:W66"/>
    <mergeCell ref="P63:AQ63"/>
    <mergeCell ref="AR63:BB63"/>
    <mergeCell ref="BC63:BJ65"/>
    <mergeCell ref="P64:W64"/>
    <mergeCell ref="X64:Z65"/>
    <mergeCell ref="AA64:AH65"/>
    <mergeCell ref="AI64:AQ65"/>
    <mergeCell ref="AR64:AR65"/>
    <mergeCell ref="AS64:AS65"/>
    <mergeCell ref="AT64:AT65"/>
    <mergeCell ref="X66:Z66"/>
    <mergeCell ref="AA66:AH66"/>
    <mergeCell ref="AI66:AQ66"/>
    <mergeCell ref="AU66:AX66"/>
    <mergeCell ref="AY66:BB66"/>
    <mergeCell ref="BC66:BJ66"/>
    <mergeCell ref="AU64:BB64"/>
    <mergeCell ref="P65:S65"/>
    <mergeCell ref="T65:W65"/>
    <mergeCell ref="X67:Z67"/>
    <mergeCell ref="AA67:AH67"/>
    <mergeCell ref="AI67:AQ67"/>
    <mergeCell ref="AU67:AX67"/>
    <mergeCell ref="AY67:BB67"/>
    <mergeCell ref="BC67:BJ67"/>
    <mergeCell ref="B67:C67"/>
    <mergeCell ref="D67:J67"/>
    <mergeCell ref="K67:M67"/>
    <mergeCell ref="P67:S67"/>
    <mergeCell ref="T67:W67"/>
    <mergeCell ref="B69:C69"/>
    <mergeCell ref="D69:J69"/>
    <mergeCell ref="K69:M69"/>
    <mergeCell ref="P69:S69"/>
    <mergeCell ref="T69:W69"/>
    <mergeCell ref="B68:C68"/>
    <mergeCell ref="D68:J68"/>
    <mergeCell ref="K68:M68"/>
    <mergeCell ref="P68:S68"/>
    <mergeCell ref="T68:W68"/>
    <mergeCell ref="X69:Z69"/>
    <mergeCell ref="AA69:AH69"/>
    <mergeCell ref="AI69:AQ69"/>
    <mergeCell ref="AU69:AX69"/>
    <mergeCell ref="AY69:BB69"/>
    <mergeCell ref="BC69:BJ69"/>
    <mergeCell ref="AA68:AH68"/>
    <mergeCell ref="AI68:AQ68"/>
    <mergeCell ref="BC68:BJ68"/>
    <mergeCell ref="X68:Z68"/>
    <mergeCell ref="AU68:AX68"/>
    <mergeCell ref="AY68:BB68"/>
    <mergeCell ref="B71:C71"/>
    <mergeCell ref="D71:J71"/>
    <mergeCell ref="K71:M71"/>
    <mergeCell ref="P71:S71"/>
    <mergeCell ref="T71:W71"/>
    <mergeCell ref="B70:C70"/>
    <mergeCell ref="D70:J70"/>
    <mergeCell ref="K70:M70"/>
    <mergeCell ref="P70:S70"/>
    <mergeCell ref="T70:W70"/>
    <mergeCell ref="X71:Z71"/>
    <mergeCell ref="AA71:AH71"/>
    <mergeCell ref="AI71:AQ71"/>
    <mergeCell ref="AU71:AX71"/>
    <mergeCell ref="AY71:BB71"/>
    <mergeCell ref="BC71:BJ71"/>
    <mergeCell ref="AA70:AH70"/>
    <mergeCell ref="AI70:AQ70"/>
    <mergeCell ref="AU70:AX70"/>
    <mergeCell ref="AY70:BB70"/>
    <mergeCell ref="BC70:BJ70"/>
    <mergeCell ref="X70:Z70"/>
    <mergeCell ref="B73:C73"/>
    <mergeCell ref="D73:J73"/>
    <mergeCell ref="K73:M73"/>
    <mergeCell ref="P73:S73"/>
    <mergeCell ref="T73:W73"/>
    <mergeCell ref="B72:C72"/>
    <mergeCell ref="D72:J72"/>
    <mergeCell ref="K72:M72"/>
    <mergeCell ref="P72:S72"/>
    <mergeCell ref="T72:W72"/>
    <mergeCell ref="X73:Z73"/>
    <mergeCell ref="AA73:AH73"/>
    <mergeCell ref="AI73:AQ73"/>
    <mergeCell ref="AU73:AX73"/>
    <mergeCell ref="AY73:BB73"/>
    <mergeCell ref="BC73:BJ73"/>
    <mergeCell ref="AA72:AH72"/>
    <mergeCell ref="AI72:AQ72"/>
    <mergeCell ref="AU72:AX72"/>
    <mergeCell ref="AY72:BB72"/>
    <mergeCell ref="BC72:BJ72"/>
    <mergeCell ref="X72:Z72"/>
    <mergeCell ref="B75:C75"/>
    <mergeCell ref="D75:J75"/>
    <mergeCell ref="K75:M75"/>
    <mergeCell ref="P75:S75"/>
    <mergeCell ref="T75:W75"/>
    <mergeCell ref="B74:C74"/>
    <mergeCell ref="D74:J74"/>
    <mergeCell ref="K74:M74"/>
    <mergeCell ref="P74:S74"/>
    <mergeCell ref="T74:W74"/>
    <mergeCell ref="X75:Z75"/>
    <mergeCell ref="AA75:AH75"/>
    <mergeCell ref="AI75:AQ75"/>
    <mergeCell ref="AU75:AX75"/>
    <mergeCell ref="AY75:BB75"/>
    <mergeCell ref="BC75:BJ75"/>
    <mergeCell ref="AA74:AH74"/>
    <mergeCell ref="AI74:AQ74"/>
    <mergeCell ref="AU74:AX74"/>
    <mergeCell ref="AY74:BB74"/>
    <mergeCell ref="BC74:BJ74"/>
    <mergeCell ref="X74:Z74"/>
    <mergeCell ref="B77:C77"/>
    <mergeCell ref="D77:J77"/>
    <mergeCell ref="K77:M77"/>
    <mergeCell ref="P77:S77"/>
    <mergeCell ref="T77:W77"/>
    <mergeCell ref="B76:C76"/>
    <mergeCell ref="D76:J76"/>
    <mergeCell ref="K76:M76"/>
    <mergeCell ref="P76:S76"/>
    <mergeCell ref="T76:W76"/>
    <mergeCell ref="X77:Z77"/>
    <mergeCell ref="AA77:AH77"/>
    <mergeCell ref="AI77:AQ77"/>
    <mergeCell ref="AU77:AX77"/>
    <mergeCell ref="AY77:BB77"/>
    <mergeCell ref="BC77:BJ77"/>
    <mergeCell ref="AA76:AH76"/>
    <mergeCell ref="AI76:AQ76"/>
    <mergeCell ref="AU76:AX76"/>
    <mergeCell ref="AY76:BB76"/>
    <mergeCell ref="BC76:BJ76"/>
    <mergeCell ref="X76:Z76"/>
    <mergeCell ref="AY78:BB78"/>
    <mergeCell ref="BC78:BJ78"/>
    <mergeCell ref="B81:C81"/>
    <mergeCell ref="D81:J81"/>
    <mergeCell ref="K81:M81"/>
    <mergeCell ref="P81:S81"/>
    <mergeCell ref="T81:W81"/>
    <mergeCell ref="B78:C78"/>
    <mergeCell ref="D78:J78"/>
    <mergeCell ref="K78:M78"/>
    <mergeCell ref="P78:S78"/>
    <mergeCell ref="T78:W78"/>
    <mergeCell ref="X78:Z78"/>
    <mergeCell ref="AA78:AH78"/>
    <mergeCell ref="AI78:AQ78"/>
    <mergeCell ref="AU78:AX78"/>
    <mergeCell ref="B79:C79"/>
    <mergeCell ref="K79:M79"/>
    <mergeCell ref="P79:S79"/>
    <mergeCell ref="T79:W79"/>
    <mergeCell ref="X79:Z79"/>
    <mergeCell ref="AA80:AH80"/>
    <mergeCell ref="AI80:AQ80"/>
    <mergeCell ref="AU80:AX80"/>
    <mergeCell ref="D92:J92"/>
    <mergeCell ref="K92:M92"/>
    <mergeCell ref="P92:S92"/>
    <mergeCell ref="T92:W92"/>
    <mergeCell ref="AA79:AH79"/>
    <mergeCell ref="AA82:AH82"/>
    <mergeCell ref="AI82:AQ82"/>
    <mergeCell ref="AU82:AX82"/>
    <mergeCell ref="AY82:BB82"/>
    <mergeCell ref="D82:J82"/>
    <mergeCell ref="K82:M82"/>
    <mergeCell ref="P82:S82"/>
    <mergeCell ref="T82:W82"/>
    <mergeCell ref="X82:Z82"/>
    <mergeCell ref="X81:Z81"/>
    <mergeCell ref="AA81:AH81"/>
    <mergeCell ref="AI81:AQ81"/>
    <mergeCell ref="AU81:AX81"/>
    <mergeCell ref="AY81:BB81"/>
    <mergeCell ref="D89:J89"/>
    <mergeCell ref="K89:M89"/>
    <mergeCell ref="P89:S89"/>
    <mergeCell ref="T89:W89"/>
    <mergeCell ref="D79:J79"/>
    <mergeCell ref="P88:S88"/>
    <mergeCell ref="B92:C92"/>
    <mergeCell ref="B89:C89"/>
    <mergeCell ref="B90:C90"/>
    <mergeCell ref="D90:J90"/>
    <mergeCell ref="K90:M90"/>
    <mergeCell ref="P90:S90"/>
    <mergeCell ref="AY89:BB89"/>
    <mergeCell ref="BC89:BJ89"/>
    <mergeCell ref="T90:W90"/>
    <mergeCell ref="AA92:AH92"/>
    <mergeCell ref="AI92:AQ92"/>
    <mergeCell ref="AU92:AX92"/>
    <mergeCell ref="AY92:BB92"/>
    <mergeCell ref="BC92:BJ92"/>
    <mergeCell ref="X92:Z92"/>
    <mergeCell ref="X90:Z90"/>
    <mergeCell ref="AA90:AH90"/>
    <mergeCell ref="AI90:AQ90"/>
    <mergeCell ref="AI91:AQ91"/>
    <mergeCell ref="AU91:AX91"/>
    <mergeCell ref="AY91:BB91"/>
    <mergeCell ref="BC91:BJ91"/>
    <mergeCell ref="AU90:AX90"/>
    <mergeCell ref="BC90:BJ90"/>
    <mergeCell ref="B91:C91"/>
    <mergeCell ref="D91:J91"/>
    <mergeCell ref="K91:M91"/>
    <mergeCell ref="P91:S91"/>
    <mergeCell ref="T91:W91"/>
    <mergeCell ref="X91:Z91"/>
    <mergeCell ref="AA91:AH91"/>
    <mergeCell ref="X89:Z89"/>
    <mergeCell ref="AA89:AH89"/>
    <mergeCell ref="AI89:AQ89"/>
    <mergeCell ref="AU89:AX89"/>
    <mergeCell ref="AY90:BB90"/>
    <mergeCell ref="AI79:AQ79"/>
    <mergeCell ref="AU79:AX79"/>
    <mergeCell ref="AY79:BB79"/>
    <mergeCell ref="BC79:BJ79"/>
    <mergeCell ref="B80:C80"/>
    <mergeCell ref="D80:J80"/>
    <mergeCell ref="K80:M80"/>
    <mergeCell ref="P80:S80"/>
    <mergeCell ref="T80:W80"/>
    <mergeCell ref="X80:Z80"/>
    <mergeCell ref="AY80:BB80"/>
    <mergeCell ref="BC80:BJ80"/>
    <mergeCell ref="BC81:BJ81"/>
    <mergeCell ref="X87:Z87"/>
    <mergeCell ref="AA87:AH87"/>
    <mergeCell ref="AI87:AQ87"/>
    <mergeCell ref="T88:W88"/>
    <mergeCell ref="X88:Z88"/>
    <mergeCell ref="B87:C87"/>
    <mergeCell ref="D87:J87"/>
    <mergeCell ref="K87:M87"/>
    <mergeCell ref="P87:S87"/>
    <mergeCell ref="T87:W87"/>
    <mergeCell ref="BC82:BJ82"/>
    <mergeCell ref="B82:C82"/>
    <mergeCell ref="AU87:AX87"/>
    <mergeCell ref="AY87:BB87"/>
    <mergeCell ref="BC87:BJ87"/>
    <mergeCell ref="AA88:AH88"/>
    <mergeCell ref="AI88:AQ88"/>
    <mergeCell ref="AU88:AX88"/>
    <mergeCell ref="AY88:BB88"/>
    <mergeCell ref="BC88:BJ88"/>
    <mergeCell ref="B88:C88"/>
    <mergeCell ref="D88:J88"/>
    <mergeCell ref="K88:M88"/>
  </mergeCells>
  <dataValidations count="1">
    <dataValidation type="list" allowBlank="1" showInputMessage="1" showErrorMessage="1" sqref="AS68 AS89:AT92 AR83:AT86 AR66:AR82 AR87:AR92 O66:O92" xr:uid="{00000000-0002-0000-0300-000000000000}">
      <formula1>"－,●"</formula1>
    </dataValidation>
  </dataValidations>
  <pageMargins left="0.7" right="0.7" top="0.75" bottom="0.75" header="0.3" footer="0.3"/>
  <pageSetup scale="3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1"/>
  </cols>
  <sheetData>
    <row r="1" spans="1:63" ht="24.95" customHeight="1" x14ac:dyDescent="0.25">
      <c r="A1" s="271" t="s">
        <v>105</v>
      </c>
      <c r="B1" s="272"/>
      <c r="C1" s="272"/>
      <c r="D1" s="272"/>
      <c r="E1" s="272"/>
      <c r="F1" s="272"/>
      <c r="G1" s="272"/>
      <c r="H1" s="272"/>
      <c r="I1" s="272"/>
      <c r="J1" s="273"/>
      <c r="K1" s="271" t="s">
        <v>106</v>
      </c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3"/>
      <c r="W1" s="274" t="str">
        <f>IF(表紙!W1="","",表紙!W1)</f>
        <v>詳細設計書</v>
      </c>
      <c r="X1" s="275"/>
      <c r="Y1" s="275"/>
      <c r="Z1" s="275"/>
      <c r="AA1" s="275"/>
      <c r="AB1" s="275"/>
      <c r="AC1" s="275"/>
      <c r="AD1" s="275"/>
      <c r="AE1" s="275"/>
      <c r="AF1" s="275"/>
      <c r="AG1" s="275"/>
      <c r="AH1" s="275"/>
      <c r="AI1" s="275"/>
      <c r="AJ1" s="275"/>
      <c r="AK1" s="275"/>
      <c r="AL1" s="275"/>
      <c r="AM1" s="275"/>
      <c r="AN1" s="275"/>
      <c r="AO1" s="276"/>
      <c r="AP1" s="197" t="s">
        <v>108</v>
      </c>
      <c r="AQ1" s="198"/>
      <c r="AR1" s="198"/>
      <c r="AS1" s="199"/>
      <c r="AT1" s="197" t="s">
        <v>109</v>
      </c>
      <c r="AU1" s="198"/>
      <c r="AV1" s="198"/>
      <c r="AW1" s="198"/>
      <c r="AX1" s="199"/>
      <c r="AY1" s="197" t="s">
        <v>110</v>
      </c>
      <c r="AZ1" s="198"/>
      <c r="BA1" s="198"/>
      <c r="BB1" s="199"/>
      <c r="BC1" s="197" t="s">
        <v>111</v>
      </c>
      <c r="BD1" s="198"/>
      <c r="BE1" s="198"/>
      <c r="BF1" s="198"/>
      <c r="BG1" s="199"/>
      <c r="BH1" s="197" t="s">
        <v>112</v>
      </c>
      <c r="BI1" s="198"/>
      <c r="BJ1" s="198"/>
      <c r="BK1" s="199"/>
    </row>
    <row r="2" spans="1:63" ht="15" customHeight="1" x14ac:dyDescent="0.25">
      <c r="A2" s="142" t="str">
        <f>IF(表紙!A2="","",表紙!A2)</f>
        <v>POSサーバー</v>
      </c>
      <c r="B2" s="143"/>
      <c r="C2" s="143"/>
      <c r="D2" s="143"/>
      <c r="E2" s="143"/>
      <c r="F2" s="143"/>
      <c r="G2" s="143"/>
      <c r="H2" s="143"/>
      <c r="I2" s="143"/>
      <c r="J2" s="144"/>
      <c r="K2" s="142" t="str">
        <f>IF(表紙!K2="","",表紙!K2)</f>
        <v>POSサーバ</v>
      </c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277"/>
      <c r="X2" s="278"/>
      <c r="Y2" s="278"/>
      <c r="Z2" s="278"/>
      <c r="AA2" s="278"/>
      <c r="AB2" s="278"/>
      <c r="AC2" s="278"/>
      <c r="AD2" s="278"/>
      <c r="AE2" s="278"/>
      <c r="AF2" s="278"/>
      <c r="AG2" s="278"/>
      <c r="AH2" s="278"/>
      <c r="AI2" s="278"/>
      <c r="AJ2" s="278"/>
      <c r="AK2" s="278"/>
      <c r="AL2" s="278"/>
      <c r="AM2" s="278"/>
      <c r="AN2" s="278"/>
      <c r="AO2" s="279"/>
      <c r="AP2" s="206" t="str">
        <f>IF(表紙!AP2="","",表紙!AP2)</f>
        <v>DuNT</v>
      </c>
      <c r="AQ2" s="204"/>
      <c r="AR2" s="204"/>
      <c r="AS2" s="205"/>
      <c r="AT2" s="210">
        <f>IF(表紙!AT2="","",表紙!AT2)</f>
        <v>45611</v>
      </c>
      <c r="AU2" s="211"/>
      <c r="AV2" s="211"/>
      <c r="AW2" s="211"/>
      <c r="AX2" s="212"/>
      <c r="AY2" s="206" t="str">
        <f>IF(表紙!AY2="","",表紙!AY2)</f>
        <v>DuNT</v>
      </c>
      <c r="AZ2" s="204"/>
      <c r="BA2" s="204"/>
      <c r="BB2" s="205"/>
      <c r="BC2" s="210">
        <f>IF(表紙!BC2="","",表紙!BC2)</f>
        <v>45611</v>
      </c>
      <c r="BD2" s="211"/>
      <c r="BE2" s="211"/>
      <c r="BF2" s="211"/>
      <c r="BG2" s="212"/>
      <c r="BH2" s="206">
        <f>IF(表紙!BH2="","",表紙!BH2)</f>
        <v>0.1</v>
      </c>
      <c r="BI2" s="204"/>
      <c r="BJ2" s="204"/>
      <c r="BK2" s="205"/>
    </row>
    <row r="3" spans="1:63" ht="15" customHeight="1" x14ac:dyDescent="0.25">
      <c r="A3" s="145"/>
      <c r="B3" s="146"/>
      <c r="C3" s="146"/>
      <c r="D3" s="146"/>
      <c r="E3" s="146"/>
      <c r="F3" s="146"/>
      <c r="G3" s="146"/>
      <c r="H3" s="146"/>
      <c r="I3" s="146"/>
      <c r="J3" s="147"/>
      <c r="K3" s="145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7"/>
      <c r="W3" s="280"/>
      <c r="X3" s="281"/>
      <c r="Y3" s="281"/>
      <c r="Z3" s="281"/>
      <c r="AA3" s="281"/>
      <c r="AB3" s="281"/>
      <c r="AC3" s="281"/>
      <c r="AD3" s="281"/>
      <c r="AE3" s="281"/>
      <c r="AF3" s="281"/>
      <c r="AG3" s="281"/>
      <c r="AH3" s="281"/>
      <c r="AI3" s="281"/>
      <c r="AJ3" s="281"/>
      <c r="AK3" s="281"/>
      <c r="AL3" s="281"/>
      <c r="AM3" s="281"/>
      <c r="AN3" s="281"/>
      <c r="AO3" s="282"/>
      <c r="AP3" s="216"/>
      <c r="AQ3" s="217"/>
      <c r="AR3" s="217"/>
      <c r="AS3" s="218"/>
      <c r="AT3" s="222"/>
      <c r="AU3" s="223"/>
      <c r="AV3" s="223"/>
      <c r="AW3" s="223"/>
      <c r="AX3" s="224"/>
      <c r="AY3" s="216"/>
      <c r="AZ3" s="217"/>
      <c r="BA3" s="217"/>
      <c r="BB3" s="218"/>
      <c r="BC3" s="222"/>
      <c r="BD3" s="223"/>
      <c r="BE3" s="223"/>
      <c r="BF3" s="223"/>
      <c r="BG3" s="224"/>
      <c r="BH3" s="216"/>
      <c r="BI3" s="217"/>
      <c r="BJ3" s="217"/>
      <c r="BK3" s="218"/>
    </row>
    <row r="4" spans="1:63" ht="24.95" customHeight="1" x14ac:dyDescent="0.25">
      <c r="A4" s="271" t="s">
        <v>114</v>
      </c>
      <c r="B4" s="272"/>
      <c r="C4" s="272"/>
      <c r="D4" s="272"/>
      <c r="E4" s="272"/>
      <c r="F4" s="272"/>
      <c r="G4" s="273"/>
      <c r="H4" s="138" t="str">
        <f>IF(表紙!H4="","",表紙!H4)</f>
        <v>82_店舗マスタ設定</v>
      </c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40"/>
      <c r="U4" s="271" t="s">
        <v>115</v>
      </c>
      <c r="V4" s="272"/>
      <c r="W4" s="272"/>
      <c r="X4" s="272"/>
      <c r="Y4" s="273"/>
      <c r="Z4" s="138" t="str">
        <f>IF(表紙!Z4="","",表紙!Z4)</f>
        <v>画面設計書</v>
      </c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40"/>
      <c r="AP4" s="141" t="str">
        <f ca="1">MID(CELL("filename",A1),FIND("]",CELL("filename",A1))+1,255)</f>
        <v>SCxxxx</v>
      </c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4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5"/>
      <c r="BK6" s="6"/>
    </row>
    <row r="7" spans="1:63" ht="15" customHeight="1" x14ac:dyDescent="0.25">
      <c r="A7" s="5"/>
      <c r="B7" s="7" t="s">
        <v>171</v>
      </c>
      <c r="C7" s="283"/>
      <c r="D7" s="283"/>
      <c r="E7" s="283"/>
      <c r="F7" s="283"/>
      <c r="G7" s="283"/>
      <c r="H7" s="283"/>
      <c r="I7" s="283"/>
      <c r="J7" s="283"/>
      <c r="AE7" s="7"/>
      <c r="BK7" s="6"/>
    </row>
    <row r="8" spans="1:63" ht="15" customHeight="1" x14ac:dyDescent="0.25">
      <c r="A8" s="5"/>
      <c r="BK8" s="6"/>
    </row>
    <row r="9" spans="1:63" ht="15" customHeight="1" x14ac:dyDescent="0.25">
      <c r="A9" s="5"/>
      <c r="BK9" s="6"/>
    </row>
    <row r="10" spans="1:63" ht="15" customHeight="1" x14ac:dyDescent="0.25">
      <c r="A10" s="5"/>
      <c r="BK10" s="6"/>
    </row>
    <row r="11" spans="1:63" ht="15" customHeight="1" x14ac:dyDescent="0.25">
      <c r="A11" s="5"/>
      <c r="BK11" s="6"/>
    </row>
    <row r="12" spans="1:63" ht="15" customHeight="1" x14ac:dyDescent="0.25">
      <c r="A12" s="5"/>
      <c r="BK12" s="6"/>
    </row>
    <row r="13" spans="1:63" ht="15" customHeight="1" x14ac:dyDescent="0.25">
      <c r="A13" s="5"/>
      <c r="BK13" s="6"/>
    </row>
    <row r="14" spans="1:63" ht="15" customHeight="1" x14ac:dyDescent="0.25">
      <c r="A14" s="5"/>
      <c r="BK14" s="6"/>
    </row>
    <row r="15" spans="1:63" ht="15" customHeight="1" x14ac:dyDescent="0.25">
      <c r="A15" s="5"/>
      <c r="BK15" s="6"/>
    </row>
    <row r="16" spans="1:63" ht="15" customHeight="1" x14ac:dyDescent="0.25">
      <c r="A16" s="5"/>
      <c r="BK16" s="6"/>
    </row>
    <row r="17" spans="1:63" ht="15" customHeight="1" x14ac:dyDescent="0.25">
      <c r="A17" s="5"/>
      <c r="BK17" s="6"/>
    </row>
    <row r="18" spans="1:63" ht="15" customHeight="1" x14ac:dyDescent="0.25">
      <c r="A18" s="5"/>
      <c r="BK18" s="6"/>
    </row>
    <row r="19" spans="1:63" ht="15" customHeight="1" x14ac:dyDescent="0.25">
      <c r="A19" s="5"/>
      <c r="BK19" s="6"/>
    </row>
    <row r="20" spans="1:63" ht="15" customHeight="1" x14ac:dyDescent="0.25">
      <c r="A20" s="5"/>
      <c r="BK20" s="6"/>
    </row>
    <row r="21" spans="1:63" ht="15" customHeight="1" x14ac:dyDescent="0.25">
      <c r="A21" s="5"/>
      <c r="BK21" s="6"/>
    </row>
    <row r="22" spans="1:63" ht="15" customHeight="1" x14ac:dyDescent="0.25">
      <c r="A22" s="5"/>
      <c r="BK22" s="6"/>
    </row>
    <row r="23" spans="1:63" ht="15" customHeight="1" x14ac:dyDescent="0.25">
      <c r="A23" s="5"/>
      <c r="BK23" s="6"/>
    </row>
    <row r="24" spans="1:63" ht="15" customHeight="1" x14ac:dyDescent="0.25">
      <c r="A24" s="5"/>
      <c r="BK24" s="6"/>
    </row>
    <row r="25" spans="1:63" ht="14.25" customHeight="1" x14ac:dyDescent="0.25">
      <c r="A25" s="5"/>
      <c r="BK25" s="6"/>
    </row>
    <row r="26" spans="1:63" ht="15" customHeight="1" x14ac:dyDescent="0.25">
      <c r="A26" s="5"/>
      <c r="BK26" s="6"/>
    </row>
    <row r="27" spans="1:63" ht="15" customHeight="1" x14ac:dyDescent="0.25">
      <c r="A27" s="5"/>
      <c r="BK27" s="6"/>
    </row>
    <row r="28" spans="1:63" x14ac:dyDescent="0.25">
      <c r="A28" s="5"/>
      <c r="BK28" s="6"/>
    </row>
    <row r="29" spans="1:63" x14ac:dyDescent="0.25">
      <c r="A29" s="5"/>
      <c r="BK29" s="6"/>
    </row>
    <row r="30" spans="1:63" x14ac:dyDescent="0.25">
      <c r="A30" s="5"/>
      <c r="BK30" s="6"/>
    </row>
    <row r="31" spans="1:63" x14ac:dyDescent="0.25">
      <c r="A31" s="5"/>
      <c r="BK31" s="6"/>
    </row>
    <row r="32" spans="1:63" x14ac:dyDescent="0.25">
      <c r="A32" s="5"/>
      <c r="BK32" s="6"/>
    </row>
    <row r="33" spans="1:63" x14ac:dyDescent="0.25">
      <c r="A33" s="5"/>
      <c r="BK33" s="6"/>
    </row>
    <row r="34" spans="1:63" x14ac:dyDescent="0.25">
      <c r="A34" s="5"/>
      <c r="BK34" s="6"/>
    </row>
    <row r="35" spans="1:63" ht="15" customHeight="1" x14ac:dyDescent="0.25">
      <c r="A35" s="5"/>
      <c r="B35" s="7" t="s">
        <v>123</v>
      </c>
      <c r="BK35" s="6"/>
    </row>
    <row r="36" spans="1:63" x14ac:dyDescent="0.25">
      <c r="A36" s="5"/>
      <c r="BK36" s="6"/>
    </row>
    <row r="37" spans="1:63" ht="15.75" customHeight="1" x14ac:dyDescent="0.25">
      <c r="A37" s="5"/>
      <c r="B37" s="68" t="s">
        <v>124</v>
      </c>
      <c r="C37" s="69"/>
      <c r="D37" s="74" t="s">
        <v>125</v>
      </c>
      <c r="E37" s="75"/>
      <c r="F37" s="75"/>
      <c r="G37" s="75"/>
      <c r="H37" s="75"/>
      <c r="I37" s="75"/>
      <c r="J37" s="69"/>
      <c r="K37" s="74" t="s">
        <v>126</v>
      </c>
      <c r="L37" s="75"/>
      <c r="M37" s="69"/>
      <c r="N37" s="78" t="s">
        <v>3</v>
      </c>
      <c r="O37" s="81" t="s">
        <v>127</v>
      </c>
      <c r="P37" s="112" t="s">
        <v>128</v>
      </c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  <c r="AM37" s="113"/>
      <c r="AN37" s="113"/>
      <c r="AO37" s="113"/>
      <c r="AP37" s="113"/>
      <c r="AQ37" s="114"/>
      <c r="AR37" s="85" t="s">
        <v>129</v>
      </c>
      <c r="AS37" s="86"/>
      <c r="AT37" s="86"/>
      <c r="AU37" s="86"/>
      <c r="AV37" s="86"/>
      <c r="AW37" s="86"/>
      <c r="AX37" s="86"/>
      <c r="AY37" s="86"/>
      <c r="AZ37" s="86"/>
      <c r="BA37" s="86"/>
      <c r="BB37" s="87"/>
      <c r="BC37" s="88" t="s">
        <v>130</v>
      </c>
      <c r="BD37" s="89"/>
      <c r="BE37" s="89"/>
      <c r="BF37" s="89"/>
      <c r="BG37" s="89"/>
      <c r="BH37" s="89"/>
      <c r="BI37" s="89"/>
      <c r="BJ37" s="90"/>
      <c r="BK37" s="6"/>
    </row>
    <row r="38" spans="1:63" ht="15.75" customHeight="1" x14ac:dyDescent="0.25">
      <c r="A38" s="5"/>
      <c r="B38" s="70"/>
      <c r="C38" s="71"/>
      <c r="D38" s="70"/>
      <c r="E38" s="76"/>
      <c r="F38" s="76"/>
      <c r="G38" s="76"/>
      <c r="H38" s="76"/>
      <c r="I38" s="76"/>
      <c r="J38" s="71"/>
      <c r="K38" s="70"/>
      <c r="L38" s="76"/>
      <c r="M38" s="71"/>
      <c r="N38" s="79"/>
      <c r="O38" s="82"/>
      <c r="P38" s="97" t="s">
        <v>131</v>
      </c>
      <c r="Q38" s="98"/>
      <c r="R38" s="98"/>
      <c r="S38" s="98"/>
      <c r="T38" s="98"/>
      <c r="U38" s="98"/>
      <c r="V38" s="98"/>
      <c r="W38" s="99"/>
      <c r="X38" s="100" t="s">
        <v>132</v>
      </c>
      <c r="Y38" s="101"/>
      <c r="Z38" s="102"/>
      <c r="AA38" s="100" t="s">
        <v>133</v>
      </c>
      <c r="AB38" s="101"/>
      <c r="AC38" s="101"/>
      <c r="AD38" s="101"/>
      <c r="AE38" s="101"/>
      <c r="AF38" s="101"/>
      <c r="AG38" s="101"/>
      <c r="AH38" s="102"/>
      <c r="AI38" s="100" t="s">
        <v>134</v>
      </c>
      <c r="AJ38" s="101"/>
      <c r="AK38" s="101"/>
      <c r="AL38" s="101"/>
      <c r="AM38" s="101"/>
      <c r="AN38" s="101"/>
      <c r="AO38" s="101"/>
      <c r="AP38" s="101"/>
      <c r="AQ38" s="102"/>
      <c r="AR38" s="106" t="s">
        <v>4</v>
      </c>
      <c r="AS38" s="108" t="s">
        <v>135</v>
      </c>
      <c r="AT38" s="110" t="s">
        <v>136</v>
      </c>
      <c r="AU38" s="85" t="s">
        <v>131</v>
      </c>
      <c r="AV38" s="86"/>
      <c r="AW38" s="86"/>
      <c r="AX38" s="86"/>
      <c r="AY38" s="86"/>
      <c r="AZ38" s="86"/>
      <c r="BA38" s="86"/>
      <c r="BB38" s="87"/>
      <c r="BC38" s="91"/>
      <c r="BD38" s="92"/>
      <c r="BE38" s="92"/>
      <c r="BF38" s="92"/>
      <c r="BG38" s="92"/>
      <c r="BH38" s="92"/>
      <c r="BI38" s="92"/>
      <c r="BJ38" s="93"/>
      <c r="BK38" s="6"/>
    </row>
    <row r="39" spans="1:63" x14ac:dyDescent="0.25">
      <c r="A39" s="5"/>
      <c r="B39" s="72"/>
      <c r="C39" s="73"/>
      <c r="D39" s="72"/>
      <c r="E39" s="77"/>
      <c r="F39" s="77"/>
      <c r="G39" s="77"/>
      <c r="H39" s="77"/>
      <c r="I39" s="77"/>
      <c r="J39" s="73"/>
      <c r="K39" s="72"/>
      <c r="L39" s="77"/>
      <c r="M39" s="73"/>
      <c r="N39" s="80"/>
      <c r="O39" s="83"/>
      <c r="P39" s="112" t="s">
        <v>137</v>
      </c>
      <c r="Q39" s="113"/>
      <c r="R39" s="113"/>
      <c r="S39" s="114"/>
      <c r="T39" s="112" t="s">
        <v>125</v>
      </c>
      <c r="U39" s="113"/>
      <c r="V39" s="113"/>
      <c r="W39" s="114"/>
      <c r="X39" s="103"/>
      <c r="Y39" s="104"/>
      <c r="Z39" s="105"/>
      <c r="AA39" s="103"/>
      <c r="AB39" s="104"/>
      <c r="AC39" s="104"/>
      <c r="AD39" s="104"/>
      <c r="AE39" s="104"/>
      <c r="AF39" s="104"/>
      <c r="AG39" s="104"/>
      <c r="AH39" s="105"/>
      <c r="AI39" s="103"/>
      <c r="AJ39" s="104"/>
      <c r="AK39" s="104"/>
      <c r="AL39" s="104"/>
      <c r="AM39" s="104"/>
      <c r="AN39" s="104"/>
      <c r="AO39" s="104"/>
      <c r="AP39" s="104"/>
      <c r="AQ39" s="105"/>
      <c r="AR39" s="107"/>
      <c r="AS39" s="109"/>
      <c r="AT39" s="111"/>
      <c r="AU39" s="85" t="s">
        <v>137</v>
      </c>
      <c r="AV39" s="86"/>
      <c r="AW39" s="86"/>
      <c r="AX39" s="115"/>
      <c r="AY39" s="116" t="s">
        <v>125</v>
      </c>
      <c r="AZ39" s="86"/>
      <c r="BA39" s="86"/>
      <c r="BB39" s="87"/>
      <c r="BC39" s="94"/>
      <c r="BD39" s="95"/>
      <c r="BE39" s="95"/>
      <c r="BF39" s="95"/>
      <c r="BG39" s="95"/>
      <c r="BH39" s="95"/>
      <c r="BI39" s="95"/>
      <c r="BJ39" s="96"/>
      <c r="BK39" s="6"/>
    </row>
    <row r="40" spans="1:63" x14ac:dyDescent="0.25">
      <c r="A40" s="5"/>
      <c r="B40" s="127">
        <v>1</v>
      </c>
      <c r="C40" s="128"/>
      <c r="D40" s="129"/>
      <c r="E40" s="130"/>
      <c r="F40" s="130"/>
      <c r="G40" s="130"/>
      <c r="H40" s="130"/>
      <c r="I40" s="130"/>
      <c r="J40" s="131"/>
      <c r="K40" s="45" t="s">
        <v>5</v>
      </c>
      <c r="L40" s="46"/>
      <c r="M40" s="47"/>
      <c r="N40" s="8" t="s">
        <v>6</v>
      </c>
      <c r="O40" s="9" t="s">
        <v>7</v>
      </c>
      <c r="P40" s="132" t="s">
        <v>6</v>
      </c>
      <c r="Q40" s="133"/>
      <c r="R40" s="133"/>
      <c r="S40" s="128"/>
      <c r="T40" s="132" t="s">
        <v>6</v>
      </c>
      <c r="U40" s="133"/>
      <c r="V40" s="133"/>
      <c r="W40" s="128"/>
      <c r="X40" s="181" t="s">
        <v>188</v>
      </c>
      <c r="Y40" s="182"/>
      <c r="Z40" s="183"/>
      <c r="AA40" s="127" t="s">
        <v>8</v>
      </c>
      <c r="AB40" s="133"/>
      <c r="AC40" s="133"/>
      <c r="AD40" s="133"/>
      <c r="AE40" s="133"/>
      <c r="AF40" s="133"/>
      <c r="AG40" s="133"/>
      <c r="AH40" s="128"/>
      <c r="AI40" s="184" t="s">
        <v>6</v>
      </c>
      <c r="AJ40" s="172"/>
      <c r="AK40" s="172"/>
      <c r="AL40" s="172"/>
      <c r="AM40" s="172"/>
      <c r="AN40" s="172"/>
      <c r="AO40" s="172"/>
      <c r="AP40" s="172"/>
      <c r="AQ40" s="173"/>
      <c r="AR40" s="10" t="s">
        <v>6</v>
      </c>
      <c r="AS40" s="10" t="s">
        <v>8</v>
      </c>
      <c r="AT40" s="10" t="s">
        <v>8</v>
      </c>
      <c r="AU40" s="127" t="s">
        <v>9</v>
      </c>
      <c r="AV40" s="133"/>
      <c r="AW40" s="133"/>
      <c r="AX40" s="128"/>
      <c r="AY40" s="127" t="s">
        <v>8</v>
      </c>
      <c r="AZ40" s="133"/>
      <c r="BA40" s="133"/>
      <c r="BB40" s="128"/>
      <c r="BC40" s="287"/>
      <c r="BD40" s="288"/>
      <c r="BE40" s="288"/>
      <c r="BF40" s="288"/>
      <c r="BG40" s="288"/>
      <c r="BH40" s="288"/>
      <c r="BI40" s="288"/>
      <c r="BJ40" s="289"/>
      <c r="BK40" s="6"/>
    </row>
    <row r="41" spans="1:63" x14ac:dyDescent="0.25">
      <c r="A41" s="5"/>
      <c r="B41" s="33">
        <v>2</v>
      </c>
      <c r="C41" s="35"/>
      <c r="D41" s="126"/>
      <c r="E41" s="135"/>
      <c r="F41" s="135"/>
      <c r="G41" s="135"/>
      <c r="H41" s="135"/>
      <c r="I41" s="135"/>
      <c r="J41" s="136"/>
      <c r="K41" s="45" t="s">
        <v>5</v>
      </c>
      <c r="L41" s="46"/>
      <c r="M41" s="47"/>
      <c r="N41" s="9" t="s">
        <v>10</v>
      </c>
      <c r="O41" s="9" t="s">
        <v>7</v>
      </c>
      <c r="P41" s="33" t="s">
        <v>9</v>
      </c>
      <c r="Q41" s="34"/>
      <c r="R41" s="34"/>
      <c r="S41" s="35"/>
      <c r="T41" s="33" t="s">
        <v>9</v>
      </c>
      <c r="U41" s="34"/>
      <c r="V41" s="34"/>
      <c r="W41" s="35"/>
      <c r="X41" s="186" t="s">
        <v>189</v>
      </c>
      <c r="Y41" s="187"/>
      <c r="Z41" s="188"/>
      <c r="AA41" s="33" t="s">
        <v>8</v>
      </c>
      <c r="AB41" s="34"/>
      <c r="AC41" s="34"/>
      <c r="AD41" s="34"/>
      <c r="AE41" s="34"/>
      <c r="AF41" s="34"/>
      <c r="AG41" s="34"/>
      <c r="AH41" s="35"/>
      <c r="AI41" s="36" t="s">
        <v>8</v>
      </c>
      <c r="AJ41" s="37"/>
      <c r="AK41" s="37"/>
      <c r="AL41" s="37"/>
      <c r="AM41" s="37"/>
      <c r="AN41" s="37"/>
      <c r="AO41" s="37"/>
      <c r="AP41" s="37"/>
      <c r="AQ41" s="38"/>
      <c r="AR41" s="11" t="s">
        <v>6</v>
      </c>
      <c r="AS41" s="11" t="s">
        <v>8</v>
      </c>
      <c r="AT41" s="11" t="s">
        <v>8</v>
      </c>
      <c r="AU41" s="33" t="s">
        <v>9</v>
      </c>
      <c r="AV41" s="34"/>
      <c r="AW41" s="34"/>
      <c r="AX41" s="35"/>
      <c r="AY41" s="33" t="s">
        <v>8</v>
      </c>
      <c r="AZ41" s="34"/>
      <c r="BA41" s="34"/>
      <c r="BB41" s="35"/>
      <c r="BC41" s="185"/>
      <c r="BD41" s="300"/>
      <c r="BE41" s="300"/>
      <c r="BF41" s="300"/>
      <c r="BG41" s="300"/>
      <c r="BH41" s="300"/>
      <c r="BI41" s="300"/>
      <c r="BJ41" s="301"/>
      <c r="BK41" s="6"/>
    </row>
    <row r="42" spans="1:63" x14ac:dyDescent="0.25">
      <c r="A42" s="5"/>
      <c r="B42" s="33">
        <v>3</v>
      </c>
      <c r="C42" s="35"/>
      <c r="D42" s="54"/>
      <c r="E42" s="55"/>
      <c r="F42" s="55"/>
      <c r="G42" s="55"/>
      <c r="H42" s="55"/>
      <c r="I42" s="55"/>
      <c r="J42" s="56"/>
      <c r="K42" s="45" t="s">
        <v>5</v>
      </c>
      <c r="L42" s="46"/>
      <c r="M42" s="47"/>
      <c r="N42" s="9" t="s">
        <v>11</v>
      </c>
      <c r="O42" s="9" t="s">
        <v>6</v>
      </c>
      <c r="P42" s="67" t="s">
        <v>6</v>
      </c>
      <c r="Q42" s="34"/>
      <c r="R42" s="34"/>
      <c r="S42" s="35"/>
      <c r="T42" s="33"/>
      <c r="U42" s="34"/>
      <c r="V42" s="34"/>
      <c r="W42" s="35"/>
      <c r="X42" s="64" t="s">
        <v>6</v>
      </c>
      <c r="Y42" s="65"/>
      <c r="Z42" s="66"/>
      <c r="AA42" s="33" t="s">
        <v>8</v>
      </c>
      <c r="AB42" s="34"/>
      <c r="AC42" s="34"/>
      <c r="AD42" s="34"/>
      <c r="AE42" s="34"/>
      <c r="AF42" s="34"/>
      <c r="AG42" s="34"/>
      <c r="AH42" s="35"/>
      <c r="AI42" s="36" t="s">
        <v>8</v>
      </c>
      <c r="AJ42" s="37"/>
      <c r="AK42" s="37"/>
      <c r="AL42" s="37"/>
      <c r="AM42" s="37"/>
      <c r="AN42" s="37"/>
      <c r="AO42" s="37"/>
      <c r="AP42" s="37"/>
      <c r="AQ42" s="38"/>
      <c r="AR42" s="11" t="s">
        <v>6</v>
      </c>
      <c r="AS42" s="11" t="s">
        <v>8</v>
      </c>
      <c r="AT42" s="11" t="s">
        <v>8</v>
      </c>
      <c r="AU42" s="33" t="s">
        <v>9</v>
      </c>
      <c r="AV42" s="34"/>
      <c r="AW42" s="34"/>
      <c r="AX42" s="35"/>
      <c r="AY42" s="33" t="s">
        <v>8</v>
      </c>
      <c r="AZ42" s="34"/>
      <c r="BA42" s="34"/>
      <c r="BB42" s="35"/>
      <c r="BC42" s="299"/>
      <c r="BD42" s="300"/>
      <c r="BE42" s="300"/>
      <c r="BF42" s="300"/>
      <c r="BG42" s="300"/>
      <c r="BH42" s="300"/>
      <c r="BI42" s="300"/>
      <c r="BJ42" s="301"/>
      <c r="BK42" s="6"/>
    </row>
    <row r="43" spans="1:63" x14ac:dyDescent="0.25">
      <c r="A43" s="5"/>
      <c r="B43" s="33">
        <v>4</v>
      </c>
      <c r="C43" s="35"/>
      <c r="D43" s="290"/>
      <c r="E43" s="291"/>
      <c r="F43" s="291"/>
      <c r="G43" s="291"/>
      <c r="H43" s="291"/>
      <c r="I43" s="291"/>
      <c r="J43" s="292"/>
      <c r="K43" s="45" t="s">
        <v>5</v>
      </c>
      <c r="L43" s="46"/>
      <c r="M43" s="47"/>
      <c r="N43" s="12" t="s">
        <v>10</v>
      </c>
      <c r="O43" s="9" t="s">
        <v>7</v>
      </c>
      <c r="P43" s="33" t="s">
        <v>9</v>
      </c>
      <c r="Q43" s="34"/>
      <c r="R43" s="34"/>
      <c r="S43" s="35"/>
      <c r="T43" s="33" t="s">
        <v>9</v>
      </c>
      <c r="U43" s="34"/>
      <c r="V43" s="34"/>
      <c r="W43" s="35"/>
      <c r="X43" s="189" t="s">
        <v>12</v>
      </c>
      <c r="Y43" s="34"/>
      <c r="Z43" s="35"/>
      <c r="AA43" s="33" t="s">
        <v>8</v>
      </c>
      <c r="AB43" s="34"/>
      <c r="AC43" s="34"/>
      <c r="AD43" s="34"/>
      <c r="AE43" s="34"/>
      <c r="AF43" s="34"/>
      <c r="AG43" s="34"/>
      <c r="AH43" s="35"/>
      <c r="AI43" s="36" t="s">
        <v>8</v>
      </c>
      <c r="AJ43" s="37"/>
      <c r="AK43" s="37"/>
      <c r="AL43" s="37"/>
      <c r="AM43" s="37"/>
      <c r="AN43" s="37"/>
      <c r="AO43" s="37"/>
      <c r="AP43" s="37"/>
      <c r="AQ43" s="38"/>
      <c r="AR43" s="11" t="s">
        <v>6</v>
      </c>
      <c r="AS43" s="11" t="s">
        <v>8</v>
      </c>
      <c r="AT43" s="11" t="s">
        <v>8</v>
      </c>
      <c r="AU43" s="33" t="s">
        <v>9</v>
      </c>
      <c r="AV43" s="34"/>
      <c r="AW43" s="34"/>
      <c r="AX43" s="35"/>
      <c r="AY43" s="33" t="s">
        <v>8</v>
      </c>
      <c r="AZ43" s="34"/>
      <c r="BA43" s="34"/>
      <c r="BB43" s="35"/>
      <c r="BC43" s="296"/>
      <c r="BD43" s="297"/>
      <c r="BE43" s="297"/>
      <c r="BF43" s="297"/>
      <c r="BG43" s="297"/>
      <c r="BH43" s="297"/>
      <c r="BI43" s="297"/>
      <c r="BJ43" s="298"/>
      <c r="BK43" s="6"/>
    </row>
    <row r="44" spans="1:63" x14ac:dyDescent="0.25">
      <c r="A44" s="5"/>
      <c r="B44" s="33">
        <v>5</v>
      </c>
      <c r="C44" s="35"/>
      <c r="D44" s="54"/>
      <c r="E44" s="55"/>
      <c r="F44" s="55"/>
      <c r="G44" s="55"/>
      <c r="H44" s="55"/>
      <c r="I44" s="55"/>
      <c r="J44" s="56"/>
      <c r="K44" s="45" t="s">
        <v>13</v>
      </c>
      <c r="L44" s="46"/>
      <c r="M44" s="47"/>
      <c r="N44" s="12" t="s">
        <v>11</v>
      </c>
      <c r="O44" s="9" t="s">
        <v>6</v>
      </c>
      <c r="P44" s="33" t="s">
        <v>9</v>
      </c>
      <c r="Q44" s="34"/>
      <c r="R44" s="34"/>
      <c r="S44" s="35"/>
      <c r="T44" s="33" t="s">
        <v>9</v>
      </c>
      <c r="U44" s="34"/>
      <c r="V44" s="34"/>
      <c r="W44" s="35"/>
      <c r="X44" s="189" t="s">
        <v>6</v>
      </c>
      <c r="Y44" s="34"/>
      <c r="Z44" s="35"/>
      <c r="AA44" s="33" t="s">
        <v>8</v>
      </c>
      <c r="AB44" s="34"/>
      <c r="AC44" s="34"/>
      <c r="AD44" s="34"/>
      <c r="AE44" s="34"/>
      <c r="AF44" s="34"/>
      <c r="AG44" s="34"/>
      <c r="AH44" s="35"/>
      <c r="AI44" s="36" t="s">
        <v>8</v>
      </c>
      <c r="AJ44" s="37"/>
      <c r="AK44" s="37"/>
      <c r="AL44" s="37"/>
      <c r="AM44" s="37"/>
      <c r="AN44" s="37"/>
      <c r="AO44" s="37"/>
      <c r="AP44" s="37"/>
      <c r="AQ44" s="38"/>
      <c r="AR44" s="11" t="s">
        <v>6</v>
      </c>
      <c r="AS44" s="11" t="s">
        <v>8</v>
      </c>
      <c r="AT44" s="11" t="s">
        <v>8</v>
      </c>
      <c r="AU44" s="33" t="s">
        <v>9</v>
      </c>
      <c r="AV44" s="34"/>
      <c r="AW44" s="34"/>
      <c r="AX44" s="35"/>
      <c r="AY44" s="33" t="s">
        <v>8</v>
      </c>
      <c r="AZ44" s="34"/>
      <c r="BA44" s="34"/>
      <c r="BB44" s="35"/>
      <c r="BC44" s="299"/>
      <c r="BD44" s="300"/>
      <c r="BE44" s="300"/>
      <c r="BF44" s="300"/>
      <c r="BG44" s="300"/>
      <c r="BH44" s="300"/>
      <c r="BI44" s="300"/>
      <c r="BJ44" s="301"/>
      <c r="BK44" s="6"/>
    </row>
    <row r="45" spans="1:63" x14ac:dyDescent="0.25">
      <c r="A45" s="5"/>
      <c r="B45" s="30">
        <v>6</v>
      </c>
      <c r="C45" s="32"/>
      <c r="D45" s="190"/>
      <c r="E45" s="191"/>
      <c r="F45" s="191"/>
      <c r="G45" s="191"/>
      <c r="H45" s="191"/>
      <c r="I45" s="191"/>
      <c r="J45" s="192"/>
      <c r="K45" s="193" t="s">
        <v>14</v>
      </c>
      <c r="L45" s="52"/>
      <c r="M45" s="53"/>
      <c r="N45" s="13" t="s">
        <v>11</v>
      </c>
      <c r="O45" s="13" t="s">
        <v>7</v>
      </c>
      <c r="P45" s="30" t="s">
        <v>9</v>
      </c>
      <c r="Q45" s="31"/>
      <c r="R45" s="31"/>
      <c r="S45" s="32"/>
      <c r="T45" s="30" t="s">
        <v>9</v>
      </c>
      <c r="U45" s="31"/>
      <c r="V45" s="31"/>
      <c r="W45" s="32"/>
      <c r="X45" s="194" t="s">
        <v>190</v>
      </c>
      <c r="Y45" s="195"/>
      <c r="Z45" s="196"/>
      <c r="AA45" s="30" t="s">
        <v>8</v>
      </c>
      <c r="AB45" s="31"/>
      <c r="AC45" s="31"/>
      <c r="AD45" s="31"/>
      <c r="AE45" s="31"/>
      <c r="AF45" s="31"/>
      <c r="AG45" s="31"/>
      <c r="AH45" s="32"/>
      <c r="AI45" s="27" t="s">
        <v>15</v>
      </c>
      <c r="AJ45" s="28"/>
      <c r="AK45" s="28"/>
      <c r="AL45" s="28"/>
      <c r="AM45" s="28"/>
      <c r="AN45" s="28"/>
      <c r="AO45" s="28"/>
      <c r="AP45" s="28"/>
      <c r="AQ45" s="29"/>
      <c r="AR45" s="14" t="s">
        <v>6</v>
      </c>
      <c r="AS45" s="14" t="s">
        <v>8</v>
      </c>
      <c r="AT45" s="14" t="s">
        <v>8</v>
      </c>
      <c r="AU45" s="30" t="s">
        <v>9</v>
      </c>
      <c r="AV45" s="31"/>
      <c r="AW45" s="31"/>
      <c r="AX45" s="32"/>
      <c r="AY45" s="30" t="s">
        <v>8</v>
      </c>
      <c r="AZ45" s="31"/>
      <c r="BA45" s="31"/>
      <c r="BB45" s="32"/>
      <c r="BC45" s="293" t="s">
        <v>16</v>
      </c>
      <c r="BD45" s="294"/>
      <c r="BE45" s="294"/>
      <c r="BF45" s="294"/>
      <c r="BG45" s="294"/>
      <c r="BH45" s="294"/>
      <c r="BI45" s="294"/>
      <c r="BJ45" s="295"/>
      <c r="BK45" s="6"/>
    </row>
    <row r="46" spans="1:63" x14ac:dyDescent="0.25">
      <c r="A46" s="5"/>
      <c r="BK46" s="6"/>
    </row>
    <row r="47" spans="1:63" x14ac:dyDescent="0.25">
      <c r="A47" s="5"/>
      <c r="BK47" s="6"/>
    </row>
    <row r="48" spans="1:63" x14ac:dyDescent="0.25">
      <c r="A48" s="5"/>
      <c r="BK48" s="6"/>
    </row>
    <row r="49" spans="1:63" x14ac:dyDescent="0.25">
      <c r="A49" s="5"/>
      <c r="BK49" s="6"/>
    </row>
    <row r="50" spans="1:63" x14ac:dyDescent="0.25">
      <c r="A50" s="5"/>
      <c r="BK50" s="6"/>
    </row>
    <row r="51" spans="1:63" x14ac:dyDescent="0.25">
      <c r="A51" s="5"/>
      <c r="BK51" s="6"/>
    </row>
    <row r="52" spans="1:63" x14ac:dyDescent="0.25">
      <c r="A52" s="5"/>
      <c r="BK52" s="6"/>
    </row>
    <row r="53" spans="1:63" x14ac:dyDescent="0.25">
      <c r="A53" s="5"/>
      <c r="BK53" s="6"/>
    </row>
    <row r="54" spans="1:63" x14ac:dyDescent="0.25">
      <c r="A54" s="5"/>
      <c r="BK54" s="6"/>
    </row>
    <row r="55" spans="1:63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4"/>
    </row>
  </sheetData>
  <mergeCells count="106"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1">
    <dataValidation type="list" allowBlank="1" showInputMessage="1" showErrorMessage="1" sqref="O40:O45" xr:uid="{00000000-0002-0000-0400-000000000000}">
      <formula1>"－,●"</formula1>
    </dataValidation>
  </dataValidation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C49794-9125-441C-B6DA-8637954C0BA4}"/>
</file>

<file path=customXml/itemProps2.xml><?xml version="1.0" encoding="utf-8"?>
<ds:datastoreItem xmlns:ds="http://schemas.openxmlformats.org/officeDocument/2006/customXml" ds:itemID="{8C5850C4-B75D-44CE-93F6-61050974E4FC}"/>
</file>

<file path=customXml/itemProps3.xml><?xml version="1.0" encoding="utf-8"?>
<ds:datastoreItem xmlns:ds="http://schemas.openxmlformats.org/officeDocument/2006/customXml" ds:itemID="{53603594-4D34-461F-8901-156FF1396001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表紙</vt:lpstr>
      <vt:lpstr>改訂履歴</vt:lpstr>
      <vt:lpstr>SC8201</vt:lpstr>
      <vt:lpstr>MD8201</vt:lpstr>
      <vt:lpstr>SCxxxx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2024-11-22T04:13:39Z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