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83A03B7-82EA-4BF4-812F-B5F39150E63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X001" sheetId="7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AP2" i="7"/>
  <c r="K2" i="7"/>
  <c r="A2" i="7"/>
  <c r="W1" i="7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7" s="1"/>
  <c r="BC2" i="4"/>
  <c r="BC2" i="7" s="1"/>
  <c r="AY2" i="4"/>
  <c r="AY2" i="7" s="1"/>
  <c r="AT2" i="4"/>
  <c r="AP2" i="4"/>
  <c r="BH2" i="3" l="1"/>
  <c r="AY2" i="3"/>
  <c r="BC2" i="3"/>
</calcChain>
</file>

<file path=xl/sharedStrings.xml><?xml version="1.0" encoding="utf-8"?>
<sst xmlns="http://schemas.openxmlformats.org/spreadsheetml/2006/main" count="218" uniqueCount="96">
  <si>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</si>
  <si>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</si>
  <si>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</si>
  <si>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</si>
  <si>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</si>
  <si>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</si>
  <si>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</si>
  <si>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</si>
  <si>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</si>
  <si>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</si>
  <si>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</si>
  <si>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</si>
  <si>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</si>
  <si>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</si>
  <si>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</si>
  <si>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</si>
  <si>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</si>
  <si>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</si>
  <si>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</si>
  <si>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</si>
  <si>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</si>
  <si>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</si>
  <si>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■イメージ</t>
    </r>
  </si>
  <si>
    <r>
      <rPr>
        <sz val="11"/>
        <color rgb="FF000000"/>
        <rFont val="Meiryo UI"/>
        <family val="2"/>
      </rPr>
      <t>企業コード（タイトル）</t>
    </r>
  </si>
  <si>
    <r>
      <rPr>
        <sz val="11"/>
        <color rgb="FF000000"/>
        <rFont val="Meiryo UI"/>
        <family val="2"/>
      </rPr>
      <t>企業コード（値）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</si>
  <si>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</si>
  <si>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</si>
  <si>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</si>
  <si>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APX001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</si>
  <si>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</si>
  <si>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ユーザーID</t>
    </r>
  </si>
  <si>
    <r>
      <rPr>
        <sz val="11"/>
        <color rgb="FF000000"/>
        <rFont val="Meiryo UI"/>
        <family val="2"/>
      </rPr>
      <t>ユーザID（タイトル）</t>
    </r>
  </si>
  <si>
    <r>
      <rPr>
        <sz val="11"/>
        <color rgb="FF000000"/>
        <rFont val="Meiryo UI"/>
        <family val="2"/>
      </rPr>
      <t>ユーザID（値）</t>
    </r>
  </si>
  <si>
    <r>
      <rPr>
        <sz val="11"/>
        <color rgb="FF000000"/>
        <rFont val="Meiryo UI"/>
        <family val="2"/>
      </rPr>
      <t>user_name</t>
    </r>
  </si>
  <si>
    <r>
      <rPr>
        <sz val="11"/>
        <color rgb="FF000000"/>
        <rFont val="Meiryo UI"/>
        <family val="2"/>
      </rPr>
      <t>パスワード（タイトル）</t>
    </r>
  </si>
  <si>
    <r>
      <rPr>
        <sz val="11"/>
        <color rgb="FF000000"/>
        <rFont val="Meiryo UI"/>
        <family val="2"/>
      </rPr>
      <t>パスワード（値）</t>
    </r>
  </si>
  <si>
    <r>
      <rPr>
        <sz val="11"/>
        <color rgb="FF000000"/>
        <rFont val="Meiryo UI"/>
        <family val="2"/>
      </rPr>
      <t>Secure EditText</t>
    </r>
  </si>
  <si>
    <r>
      <rPr>
        <sz val="11"/>
        <color rgb="FF000000"/>
        <rFont val="Meiryo UI"/>
        <family val="2"/>
      </rPr>
      <t>パスワード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</si>
  <si>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</si>
  <si>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</si>
  <si>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X0_ログイン機能</t>
    </r>
  </si>
  <si>
    <r>
      <rPr>
        <sz val="11"/>
        <color rgb="FF000000"/>
        <rFont val="Meiryo UI"/>
        <family val="2"/>
      </rPr>
      <t>LoiLV</t>
    </r>
  </si>
  <si>
    <r>
      <rPr>
        <sz val="11"/>
        <color rgb="FF000000"/>
        <rFont val="Meiryo UI"/>
        <family val="2"/>
      </rPr>
      <t>バリデーションチェックメッセージ</t>
    </r>
  </si>
  <si>
    <r>
      <rPr>
        <sz val="11"/>
        <color rgb="FF000000"/>
        <rFont val="Meiryo UI"/>
        <family val="2"/>
      </rPr>
      <t>エラーメッセージ表示エリア</t>
    </r>
  </si>
  <si>
    <r>
      <rPr>
        <sz val="11"/>
        <color rgb="FF000000"/>
        <rFont val="Meiryo UI"/>
        <family val="2"/>
      </rPr>
      <t>I</t>
    </r>
  </si>
  <si>
    <r>
      <rPr>
        <b/>
        <sz val="11"/>
        <color rgb="FF000000"/>
        <rFont val="Meiryo UI"/>
        <family val="2"/>
      </rPr>
      <t>2.いなげや（800）のログイン画面</t>
    </r>
  </si>
  <si>
    <r>
      <rPr>
        <sz val="11"/>
        <color rgb="FF000000"/>
        <rFont val="Meiryo UI"/>
        <family val="2"/>
      </rPr>
      <t>AnhDD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</si>
  <si>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</si>
  <si>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</si>
  <si>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</si>
  <si>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</si>
  <si>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</si>
  <si>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</si>
  <si>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</si>
  <si>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</si>
  <si>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</si>
  <si>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</si>
  <si>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</si>
  <si>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</si>
  <si>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</si>
  <si>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</si>
  <si>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</si>
  <si>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ログイン画面の新しいインターフェースを変更する。</t>
  </si>
  <si>
    <t>SCX001</t>
  </si>
  <si>
    <t>2024年07月09日の議事録の内容による更新</t>
  </si>
  <si>
    <t>AnhDD</t>
  </si>
  <si>
    <r>
      <rPr>
        <b/>
        <sz val="11"/>
        <color rgb="FF000000"/>
        <rFont val="Meiryo UI"/>
        <family val="2"/>
      </rPr>
      <t>1. カスミ（100）のログイン画面</t>
    </r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</si>
  <si>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</si>
  <si>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</si>
  <si>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</si>
  <si>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</si>
  <si>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</si>
  <si>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</si>
  <si>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</si>
  <si>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</si>
  <si>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</si>
  <si>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</si>
  <si>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</si>
  <si>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</si>
  <si>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</si>
  <si>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</si>
  <si>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</si>
  <si>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ブランク</t>
  </si>
  <si>
    <t>ー</t>
  </si>
  <si>
    <r>
      <rPr>
        <sz val="11"/>
        <color rgb="FF000000"/>
        <rFont val="Meiryo UI"/>
        <family val="2"/>
      </rPr>
      <t>イベントID：SCX001-02</t>
    </r>
  </si>
  <si>
    <t>企業コード</t>
  </si>
  <si>
    <t>ドロップダウン</t>
  </si>
  <si>
    <t>100 : カスミ</t>
  </si>
  <si>
    <t xml:space="preserve">選択可能な値：
・100 : カスミ
・800 : いなげや
</t>
  </si>
  <si>
    <t>ログインする</t>
  </si>
  <si>
    <r>
      <rPr>
        <sz val="11"/>
        <color rgb="FF000000"/>
        <rFont val="Meiryo UI"/>
        <family val="2"/>
      </rPr>
      <t>ログイン</t>
    </r>
    <r>
      <rPr>
        <sz val="11"/>
        <rFont val="Meiryo UI"/>
        <family val="2"/>
      </rPr>
      <t>する</t>
    </r>
  </si>
  <si>
    <t>ログイン情報が不正な場合に表示される</t>
  </si>
  <si>
    <r>
      <t>ログインをタッチし、</t>
    </r>
    <r>
      <rPr>
        <sz val="11"/>
        <color rgb="FF0000FF"/>
        <rFont val="Meiryo UI"/>
        <family val="2"/>
      </rPr>
      <t>No.4</t>
    </r>
    <r>
      <rPr>
        <sz val="11"/>
        <color rgb="FF000000"/>
        <rFont val="Meiryo UI"/>
        <family val="2"/>
      </rPr>
      <t>に入力値がない場合</t>
    </r>
  </si>
  <si>
    <r>
      <rPr>
        <sz val="11"/>
        <color rgb="FF000000"/>
        <rFont val="Meiryo UI"/>
        <family val="2"/>
      </rPr>
      <t>ログインをタッチし、</t>
    </r>
    <r>
      <rPr>
        <sz val="11"/>
        <color rgb="FF0000FF"/>
        <rFont val="Meiryo UI"/>
        <family val="2"/>
      </rPr>
      <t>No.6</t>
    </r>
    <r>
      <rPr>
        <sz val="11"/>
        <color rgb="FF000000"/>
        <rFont val="Meiryo UI"/>
        <family val="2"/>
      </rPr>
      <t>に入力値がない場合</t>
    </r>
  </si>
  <si>
    <r>
      <rPr>
        <sz val="11"/>
        <color rgb="FF000000"/>
        <rFont val="Meiryo UI"/>
        <family val="2"/>
      </rPr>
      <t xml:space="preserve">最大長がない
</t>
    </r>
    <r>
      <rPr>
        <sz val="11"/>
        <color rgb="FF0000FF"/>
        <rFont val="Meiryo UI"/>
        <family val="2"/>
      </rPr>
      <t>プレースホルダ―：IDを入力</t>
    </r>
  </si>
  <si>
    <r>
      <rPr>
        <sz val="11"/>
        <color rgb="FF000000"/>
        <rFont val="Meiryo UI"/>
        <family val="2"/>
      </rPr>
      <t xml:space="preserve">最大長がない
</t>
    </r>
    <r>
      <rPr>
        <sz val="11"/>
        <color rgb="FF0000FF"/>
        <rFont val="Meiryo UI"/>
        <family val="2"/>
      </rPr>
      <t>プレースホルダ―: パスワードを入力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</si>
</sst>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color rgb="FFFF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2" fillId="0" borderId="0">
      <alignment vertical="center"/>
    </xf>
  </cellStyleXfs>
  <cellXfs count="24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10" fillId="0" borderId="0" xfId="6" applyFont="1" applyAlignment="1">
      <alignment vertical="center"/>
    </xf>
    <xf numFmtId="0" fontId="11" fillId="0" borderId="0" xfId="6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/>
    <xf numFmtId="0" fontId="0" fillId="0" borderId="21" xfId="0" applyBorder="1"/>
    <xf numFmtId="0" fontId="0" fillId="0" borderId="3" xfId="0" applyBorder="1"/>
    <xf numFmtId="0" fontId="0" fillId="0" borderId="5" xfId="0" applyBorder="1"/>
    <xf numFmtId="0" fontId="0" fillId="0" borderId="19" xfId="0" applyBorder="1"/>
    <xf numFmtId="0" fontId="0" fillId="0" borderId="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2" borderId="0" xfId="0" applyFont="1" applyFill="1"/>
    <xf numFmtId="0" fontId="9" fillId="0" borderId="16" xfId="6" applyFont="1" applyBorder="1" applyAlignment="1">
      <alignment vertical="center" wrapText="1"/>
    </xf>
    <xf numFmtId="0" fontId="6" fillId="0" borderId="16" xfId="6" applyFont="1" applyBorder="1" applyAlignment="1">
      <alignment horizontal="center" vertical="center"/>
    </xf>
    <xf numFmtId="0" fontId="6" fillId="0" borderId="16" xfId="6" applyFont="1" applyBorder="1" applyAlignment="1">
      <alignment horizontal="left" vertical="center"/>
    </xf>
    <xf numFmtId="0" fontId="8" fillId="0" borderId="16" xfId="6" applyFont="1" applyBorder="1" applyAlignment="1">
      <alignment vertical="center" wrapText="1"/>
    </xf>
    <xf numFmtId="0" fontId="7" fillId="0" borderId="16" xfId="6" quotePrefix="1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6" fillId="0" borderId="16" xfId="6" quotePrefix="1" applyFont="1" applyBorder="1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7" fillId="0" borderId="17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7" fillId="5" borderId="22" xfId="6" applyFont="1" applyFill="1" applyBorder="1" applyAlignment="1">
      <alignment vertical="center"/>
    </xf>
    <xf numFmtId="0" fontId="6" fillId="5" borderId="23" xfId="6" applyFont="1" applyFill="1" applyBorder="1" applyAlignment="1">
      <alignment vertical="center"/>
    </xf>
    <xf numFmtId="0" fontId="6" fillId="5" borderId="24" xfId="6" applyFont="1" applyFill="1" applyBorder="1" applyAlignment="1">
      <alignment vertical="center"/>
    </xf>
    <xf numFmtId="0" fontId="7" fillId="4" borderId="22" xfId="6" applyFont="1" applyFill="1" applyBorder="1" applyAlignment="1">
      <alignment vertical="center"/>
    </xf>
    <xf numFmtId="0" fontId="6" fillId="4" borderId="23" xfId="6" applyFont="1" applyFill="1" applyBorder="1" applyAlignment="1">
      <alignment vertical="center"/>
    </xf>
    <xf numFmtId="0" fontId="6" fillId="4" borderId="24" xfId="6" applyFont="1" applyFill="1" applyBorder="1" applyAlignment="1">
      <alignment vertical="center"/>
    </xf>
    <xf numFmtId="0" fontId="7" fillId="6" borderId="19" xfId="6" applyFont="1" applyFill="1" applyBorder="1" applyAlignment="1">
      <alignment vertical="center"/>
    </xf>
    <xf numFmtId="0" fontId="6" fillId="6" borderId="20" xfId="6" applyFont="1" applyFill="1" applyBorder="1" applyAlignment="1">
      <alignment vertical="center"/>
    </xf>
    <xf numFmtId="0" fontId="6" fillId="6" borderId="21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22" xfId="6" applyFont="1" applyFill="1" applyBorder="1"/>
    <xf numFmtId="0" fontId="7" fillId="5" borderId="23" xfId="6" applyFont="1" applyFill="1" applyBorder="1"/>
    <xf numFmtId="0" fontId="7" fillId="5" borderId="24" xfId="6" applyFont="1" applyFill="1" applyBorder="1"/>
    <xf numFmtId="0" fontId="7" fillId="5" borderId="19" xfId="6" applyFont="1" applyFill="1" applyBorder="1" applyAlignment="1">
      <alignment vertical="center"/>
    </xf>
    <xf numFmtId="0" fontId="6" fillId="5" borderId="20" xfId="6" applyFont="1" applyFill="1" applyBorder="1" applyAlignment="1">
      <alignment vertical="center"/>
    </xf>
    <xf numFmtId="0" fontId="6" fillId="5" borderId="21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19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1" xfId="6" applyFont="1" applyFill="1" applyBorder="1" applyAlignment="1">
      <alignment vertical="center" wrapText="1"/>
    </xf>
    <xf numFmtId="0" fontId="7" fillId="4" borderId="33" xfId="6" applyFont="1" applyFill="1" applyBorder="1" applyAlignment="1">
      <alignment vertical="center" wrapText="1"/>
    </xf>
    <xf numFmtId="0" fontId="7" fillId="4" borderId="21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17" xfId="6" applyFont="1" applyBorder="1" applyAlignment="1">
      <alignment horizontal="center" vertical="center" wrapText="1"/>
    </xf>
    <xf numFmtId="0" fontId="6" fillId="0" borderId="17" xfId="6" applyFont="1" applyBorder="1" applyAlignment="1">
      <alignment horizontal="left"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3" borderId="19" xfId="6" applyFont="1" applyFill="1" applyBorder="1" applyAlignment="1">
      <alignment vertical="center" wrapText="1"/>
    </xf>
    <xf numFmtId="0" fontId="6" fillId="3" borderId="21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19" xfId="6" applyFont="1" applyFill="1" applyBorder="1" applyAlignment="1">
      <alignment vertical="center"/>
    </xf>
    <xf numFmtId="0" fontId="6" fillId="3" borderId="20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1" xfId="6" applyFont="1" applyFill="1" applyBorder="1" applyAlignment="1">
      <alignment vertical="center" shrinkToFit="1"/>
    </xf>
    <xf numFmtId="0" fontId="6" fillId="3" borderId="32" xfId="6" applyFont="1" applyFill="1" applyBorder="1" applyAlignment="1">
      <alignment vertical="center" shrinkToFit="1"/>
    </xf>
    <xf numFmtId="0" fontId="6" fillId="3" borderId="33" xfId="6" applyFont="1" applyFill="1" applyBorder="1" applyAlignment="1">
      <alignment vertical="center" shrinkToFit="1"/>
    </xf>
    <xf numFmtId="0" fontId="7" fillId="3" borderId="31" xfId="6" applyFont="1" applyFill="1" applyBorder="1" applyAlignment="1">
      <alignment vertical="center" wrapText="1"/>
    </xf>
    <xf numFmtId="0" fontId="7" fillId="3" borderId="32" xfId="6" applyFont="1" applyFill="1" applyBorder="1" applyAlignment="1">
      <alignment vertical="center" wrapText="1"/>
    </xf>
    <xf numFmtId="0" fontId="7" fillId="3" borderId="33" xfId="6" applyFont="1" applyFill="1" applyBorder="1" applyAlignment="1">
      <alignment vertical="center" wrapText="1"/>
    </xf>
    <xf numFmtId="0" fontId="6" fillId="4" borderId="34" xfId="6" applyFont="1" applyFill="1" applyBorder="1" applyAlignment="1">
      <alignment vertical="center"/>
    </xf>
    <xf numFmtId="0" fontId="7" fillId="4" borderId="35" xfId="6" applyFont="1" applyFill="1" applyBorder="1" applyAlignment="1">
      <alignment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7" fillId="0" borderId="0" xfId="0" applyFont="1"/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9" xfId="0" applyNumberFormat="1" applyFont="1" applyBorder="1" applyAlignment="1">
      <alignment horizontal="center" vertical="center"/>
    </xf>
    <xf numFmtId="14" fontId="17" fillId="0" borderId="20" xfId="0" applyNumberFormat="1" applyFont="1" applyBorder="1" applyAlignment="1">
      <alignment horizontal="center" vertical="center"/>
    </xf>
    <xf numFmtId="14" fontId="17" fillId="0" borderId="21" xfId="0" applyNumberFormat="1" applyFont="1" applyBorder="1" applyAlignment="1">
      <alignment horizontal="center" vertical="center"/>
    </xf>
    <xf numFmtId="2" fontId="17" fillId="0" borderId="19" xfId="0" applyNumberFormat="1" applyFont="1" applyBorder="1" applyAlignment="1">
      <alignment horizontal="center" vertical="center"/>
    </xf>
    <xf numFmtId="2" fontId="17" fillId="0" borderId="20" xfId="0" applyNumberFormat="1" applyFont="1" applyBorder="1" applyAlignment="1">
      <alignment horizontal="center" vertical="center"/>
    </xf>
    <xf numFmtId="2" fontId="17" fillId="0" borderId="21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7" fillId="0" borderId="25" xfId="0" applyFont="1" applyBorder="1"/>
    <xf numFmtId="14" fontId="20" fillId="0" borderId="19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5" xfId="0" applyFont="1" applyBorder="1"/>
    <xf numFmtId="0" fontId="20" fillId="0" borderId="26" xfId="0" applyFont="1" applyBorder="1"/>
    <xf numFmtId="0" fontId="20" fillId="0" borderId="27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8" xfId="0" applyFont="1" applyBorder="1"/>
    <xf numFmtId="0" fontId="20" fillId="0" borderId="29" xfId="0" applyFont="1" applyBorder="1"/>
    <xf numFmtId="0" fontId="20" fillId="0" borderId="30" xfId="0" applyFont="1" applyBorder="1"/>
    <xf numFmtId="0" fontId="13" fillId="2" borderId="22" xfId="6" applyFont="1" applyFill="1" applyBorder="1" applyAlignment="1">
      <alignment horizontal="center" vertical="center"/>
    </xf>
    <xf numFmtId="0" fontId="13" fillId="2" borderId="23" xfId="6" applyFont="1" applyFill="1" applyBorder="1" applyAlignment="1">
      <alignment horizontal="center" vertical="center"/>
    </xf>
    <xf numFmtId="0" fontId="13" fillId="2" borderId="24" xfId="6" applyFont="1" applyFill="1" applyBorder="1" applyAlignment="1">
      <alignment horizontal="center" vertical="center"/>
    </xf>
    <xf numFmtId="0" fontId="16" fillId="0" borderId="19" xfId="6" applyFont="1" applyBorder="1" applyAlignment="1">
      <alignment horizontal="center" vertical="center"/>
    </xf>
    <xf numFmtId="0" fontId="16" fillId="0" borderId="20" xfId="6" applyFont="1" applyBorder="1" applyAlignment="1">
      <alignment horizontal="center" vertical="center"/>
    </xf>
    <xf numFmtId="0" fontId="16" fillId="0" borderId="21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7" fillId="0" borderId="18" xfId="6" applyFont="1" applyBorder="1" applyAlignment="1">
      <alignment vertical="center"/>
    </xf>
    <xf numFmtId="0" fontId="17" fillId="0" borderId="16" xfId="6" applyFont="1" applyBorder="1" applyAlignment="1">
      <alignment vertical="center"/>
    </xf>
    <xf numFmtId="0" fontId="17" fillId="0" borderId="16" xfId="6" quotePrefix="1" applyFont="1" applyBorder="1" applyAlignment="1">
      <alignment vertical="center" wrapText="1"/>
    </xf>
    <xf numFmtId="0" fontId="17" fillId="0" borderId="16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6" xfId="6" applyFont="1" applyBorder="1" applyAlignment="1">
      <alignment horizontal="left" vertical="center"/>
    </xf>
    <xf numFmtId="0" fontId="17" fillId="0" borderId="16" xfId="6" applyFont="1" applyBorder="1" applyAlignment="1">
      <alignment horizontal="center" vertical="center" wrapText="1"/>
    </xf>
    <xf numFmtId="0" fontId="17" fillId="0" borderId="16" xfId="6" quotePrefix="1" applyFont="1" applyBorder="1" applyAlignment="1">
      <alignment vertical="center"/>
    </xf>
    <xf numFmtId="0" fontId="17" fillId="0" borderId="16" xfId="6" quotePrefix="1" applyFont="1" applyBorder="1" applyAlignment="1">
      <alignment horizontal="center" vertical="center"/>
    </xf>
    <xf numFmtId="0" fontId="17" fillId="0" borderId="16" xfId="6" applyFont="1" applyBorder="1" applyAlignment="1">
      <alignment vertical="center" wrapText="1"/>
    </xf>
    <xf numFmtId="0" fontId="17" fillId="0" borderId="16" xfId="6" quotePrefix="1" applyFont="1" applyBorder="1" applyAlignment="1">
      <alignment horizontal="center" vertical="center" wrapText="1"/>
    </xf>
    <xf numFmtId="0" fontId="17" fillId="0" borderId="16" xfId="6" applyFont="1" applyBorder="1" applyAlignment="1">
      <alignment horizontal="left" vertical="center" wrapText="1"/>
    </xf>
    <xf numFmtId="0" fontId="17" fillId="0" borderId="18" xfId="6" quotePrefix="1" applyFont="1" applyBorder="1" applyAlignment="1">
      <alignment vertical="center"/>
    </xf>
    <xf numFmtId="0" fontId="17" fillId="0" borderId="18" xfId="6" applyFont="1" applyBorder="1" applyAlignment="1">
      <alignment vertical="center" wrapText="1"/>
    </xf>
    <xf numFmtId="0" fontId="17" fillId="0" borderId="18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8" xfId="6" applyFont="1" applyBorder="1" applyAlignment="1">
      <alignment horizontal="left" vertical="center"/>
    </xf>
    <xf numFmtId="0" fontId="17" fillId="0" borderId="18" xfId="6" applyFont="1" applyBorder="1" applyAlignment="1">
      <alignment vertical="center"/>
    </xf>
    <xf numFmtId="0" fontId="20" fillId="0" borderId="17" xfId="6" applyFont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6" xfId="6" applyFont="1" applyBorder="1" applyAlignment="1">
      <alignment vertical="center"/>
    </xf>
    <xf numFmtId="0" fontId="20" fillId="0" borderId="16" xfId="6" quotePrefix="1" applyFont="1" applyBorder="1" applyAlignment="1">
      <alignment horizontal="center" vertical="center" wrapText="1"/>
    </xf>
    <xf numFmtId="0" fontId="20" fillId="0" borderId="16" xfId="6" applyFont="1" applyBorder="1" applyAlignment="1">
      <alignment horizontal="center" vertical="center" wrapText="1"/>
    </xf>
    <xf numFmtId="0" fontId="7" fillId="0" borderId="16" xfId="6" applyFont="1" applyBorder="1" applyAlignment="1">
      <alignment horizontal="left" vertical="center" wrapText="1"/>
    </xf>
    <xf numFmtId="0" fontId="20" fillId="0" borderId="18" xfId="6" quotePrefix="1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7" xfId="6" applyFont="1" applyBorder="1" applyAlignment="1">
      <alignment horizontal="left" vertical="center" wrapText="1"/>
    </xf>
    <xf numFmtId="0" fontId="20" fillId="0" borderId="16" xfId="6" quotePrefix="1" applyFont="1" applyBorder="1" applyAlignment="1">
      <alignment vertical="center" wrapText="1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180531</xdr:rowOff>
    </xdr:from>
    <xdr:to>
      <xdr:col>39</xdr:col>
      <xdr:colOff>165803</xdr:colOff>
      <xdr:row>34</xdr:row>
      <xdr:rowOff>40821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>
          <a:grpSpLocks/>
        </xdr:cNvGrpSpPr>
      </xdr:nvGrpSpPr>
      <xdr:grpSpPr>
        <a:xfrm>
          <a:off x="470647" y="1816590"/>
          <a:ext cx="8872774" cy="4813290"/>
          <a:chOff x="489857" y="1632857"/>
          <a:chExt cx="9228160" cy="4813290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89857" y="1632857"/>
            <a:ext cx="9228160" cy="4813290"/>
          </a:xfrm>
          <a:prstGeom prst="rect">
            <a:avLst/>
          </a:prstGeom>
        </xdr:spPr>
      </xdr:pic>
      <xdr:sp macro="" textlink="" fLocksText="0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5826041" y="2966138"/>
            <a:ext cx="378355" cy="336930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0</a:t>
            </a:r>
          </a:p>
        </xdr:txBody>
      </xdr:sp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3456710" y="3374065"/>
            <a:ext cx="350670" cy="28037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1</a:t>
            </a:r>
          </a:p>
        </xdr:txBody>
      </xdr:sp>
      <xdr:sp macro="" textlink="" fLocksText="0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5832962" y="3374065"/>
            <a:ext cx="325293" cy="258714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2</a:t>
            </a:r>
          </a:p>
        </xdr:txBody>
      </xdr:sp>
      <xdr:sp macro="" textlink="" fLocksText="0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3429026" y="3739875"/>
            <a:ext cx="336828" cy="24668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3</a:t>
            </a:r>
          </a:p>
        </xdr:txBody>
      </xdr:sp>
      <xdr:sp macro="" textlink="" fLocksText="0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5846804" y="3727841"/>
            <a:ext cx="336828" cy="24668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4</a:t>
            </a:r>
          </a:p>
        </xdr:txBody>
      </xdr:sp>
      <xdr:sp macro="" textlink="" fLocksText="0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70553" y="4109295"/>
            <a:ext cx="336828" cy="24668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5</a:t>
            </a:r>
          </a:p>
        </xdr:txBody>
      </xdr:sp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5867567" y="4109295"/>
            <a:ext cx="336828" cy="24668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6</a:t>
            </a:r>
          </a:p>
        </xdr:txBody>
      </xdr:sp>
    </xdr:grpSp>
    <xdr:clientData/>
  </xdr:twoCellAnchor>
  <xdr:twoCellAnchor>
    <xdr:from>
      <xdr:col>1</xdr:col>
      <xdr:colOff>240812</xdr:colOff>
      <xdr:row>35</xdr:row>
      <xdr:rowOff>188603</xdr:rowOff>
    </xdr:from>
    <xdr:to>
      <xdr:col>39</xdr:col>
      <xdr:colOff>217714</xdr:colOff>
      <xdr:row>61</xdr:row>
      <xdr:rowOff>13607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>
          <a:grpSpLocks/>
        </xdr:cNvGrpSpPr>
      </xdr:nvGrpSpPr>
      <xdr:grpSpPr>
        <a:xfrm>
          <a:off x="476136" y="6968162"/>
          <a:ext cx="8919196" cy="4834033"/>
          <a:chOff x="2717313" y="6937746"/>
          <a:chExt cx="9284187" cy="484604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717313" y="6937746"/>
            <a:ext cx="9284187" cy="4846040"/>
          </a:xfrm>
          <a:prstGeom prst="rect">
            <a:avLst/>
          </a:prstGeom>
        </xdr:spPr>
      </xdr:pic>
      <xdr:sp macro="" textlink="" fLocksText="0">
        <xdr:nvSpPr>
          <xdr:cNvPr id="11" name="Callout: Line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8085894" y="10189439"/>
            <a:ext cx="373689" cy="347703"/>
          </a:xfrm>
          <a:prstGeom prst="borderCallout1">
            <a:avLst>
              <a:gd name="adj1" fmla="val 46750"/>
              <a:gd name="adj2" fmla="val 2012"/>
              <a:gd name="adj3" fmla="val 48499"/>
              <a:gd name="adj4" fmla="val -68505"/>
            </a:avLst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9</a:t>
            </a:r>
          </a:p>
        </xdr:txBody>
      </xdr:sp>
      <xdr:sp macro="" textlink="" fLocksText="0">
        <xdr:nvSpPr>
          <xdr:cNvPr id="16" name="Rectangle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>
          <a:xfrm>
            <a:off x="8691687" y="9189943"/>
            <a:ext cx="338873" cy="24714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7</a:t>
            </a:r>
          </a:p>
        </xdr:txBody>
      </xdr:sp>
      <xdr:sp macro="" textlink="" fLocksText="0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8680082" y="9628510"/>
            <a:ext cx="338873" cy="247148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4">
              <a:shade val="15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bg1"/>
          </a:fontRef>
        </xdr:style>
        <xdr:txBody>
          <a:bodyPr vertOverflow="clip" horzOverflow="clip" anchor="ctr"/>
          <a:lstStyle/>
          <a:p>
            <a:pPr algn="ctr"/>
            <a:r>
              <a:rPr lang="en-US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8</a:t>
            </a:r>
          </a:p>
        </xdr:txBody>
      </xdr:sp>
    </xdr:grpSp>
    <xdr:clientData/>
  </xdr:twoCellAnchor>
  <xdr:twoCellAnchor editAs="oneCell">
    <xdr:from>
      <xdr:col>2</xdr:col>
      <xdr:colOff>0</xdr:colOff>
      <xdr:row>79</xdr:row>
      <xdr:rowOff>0</xdr:rowOff>
    </xdr:from>
    <xdr:to>
      <xdr:col>38</xdr:col>
      <xdr:colOff>100484</xdr:colOff>
      <xdr:row>102</xdr:row>
      <xdr:rowOff>136072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18011775"/>
          <a:ext cx="9705975" cy="473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6" customWidth="1"/>
    <col min="61" max="16384" width="2.77734375" style="136"/>
  </cols>
  <sheetData>
    <row r="1" spans="1:63" ht="24.95" customHeight="1" x14ac:dyDescent="0.25">
      <c r="A1" s="130" t="s">
        <v>47</v>
      </c>
      <c r="B1" s="131"/>
      <c r="C1" s="131"/>
      <c r="D1" s="131"/>
      <c r="E1" s="131"/>
      <c r="F1" s="131"/>
      <c r="G1" s="131"/>
      <c r="H1" s="131"/>
      <c r="I1" s="131"/>
      <c r="J1" s="132"/>
      <c r="K1" s="130" t="s">
        <v>48</v>
      </c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2"/>
      <c r="W1" s="133" t="s">
        <v>49</v>
      </c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5"/>
      <c r="AP1" s="130" t="s">
        <v>50</v>
      </c>
      <c r="AQ1" s="131"/>
      <c r="AR1" s="131"/>
      <c r="AS1" s="132"/>
      <c r="AT1" s="130" t="s">
        <v>51</v>
      </c>
      <c r="AU1" s="131"/>
      <c r="AV1" s="131"/>
      <c r="AW1" s="131"/>
      <c r="AX1" s="132"/>
      <c r="AY1" s="130" t="s">
        <v>52</v>
      </c>
      <c r="AZ1" s="131"/>
      <c r="BA1" s="131"/>
      <c r="BB1" s="132"/>
      <c r="BC1" s="130" t="s">
        <v>53</v>
      </c>
      <c r="BD1" s="131"/>
      <c r="BE1" s="131"/>
      <c r="BF1" s="131"/>
      <c r="BG1" s="132"/>
      <c r="BH1" s="130" t="s">
        <v>54</v>
      </c>
      <c r="BI1" s="131"/>
      <c r="BJ1" s="131"/>
      <c r="BK1" s="132"/>
    </row>
    <row r="2" spans="1:63" ht="15" customHeight="1" x14ac:dyDescent="0.25">
      <c r="A2" s="4" t="s">
        <v>55</v>
      </c>
      <c r="B2" s="137"/>
      <c r="C2" s="137"/>
      <c r="D2" s="137"/>
      <c r="E2" s="137"/>
      <c r="F2" s="137"/>
      <c r="G2" s="137"/>
      <c r="H2" s="137"/>
      <c r="I2" s="137"/>
      <c r="J2" s="138"/>
      <c r="K2" s="139" t="s">
        <v>13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140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  <c r="AJ2" s="141"/>
      <c r="AK2" s="141"/>
      <c r="AL2" s="141"/>
      <c r="AM2" s="141"/>
      <c r="AN2" s="141"/>
      <c r="AO2" s="142"/>
      <c r="AP2" s="139" t="str">
        <f>改訂履歴!$H$11</f>
        <v>LoiLV</v>
      </c>
      <c r="AQ2" s="137"/>
      <c r="AR2" s="137"/>
      <c r="AS2" s="138"/>
      <c r="AT2" s="143">
        <f>改訂履歴!$B$11</f>
        <v>45468</v>
      </c>
      <c r="AU2" s="144"/>
      <c r="AV2" s="144"/>
      <c r="AW2" s="144"/>
      <c r="AX2" s="145"/>
      <c r="AY2" s="139" t="str">
        <f>LOOKUP(2,1/(改訂履歴!H11:H30000&lt;&gt;""),改訂履歴!H11:H30000)</f>
        <v>AnhDD</v>
      </c>
      <c r="AZ2" s="137"/>
      <c r="BA2" s="137"/>
      <c r="BB2" s="138"/>
      <c r="BC2" s="143">
        <f>LOOKUP(2,1/(改訂履歴!B11:B30000&lt;&gt;""),改訂履歴!B11:B30000)</f>
        <v>45568</v>
      </c>
      <c r="BD2" s="144"/>
      <c r="BE2" s="144"/>
      <c r="BF2" s="144"/>
      <c r="BG2" s="145"/>
      <c r="BH2" s="146">
        <f>LOOKUP(2,1/(改訂履歴!O11:O30000&lt;&gt;""),改訂履歴!O11:O30000)</f>
        <v>0.2</v>
      </c>
      <c r="BI2" s="147"/>
      <c r="BJ2" s="147"/>
      <c r="BK2" s="148"/>
    </row>
    <row r="3" spans="1:63" ht="15" customHeight="1" x14ac:dyDescent="0.25">
      <c r="A3" s="149"/>
      <c r="B3" s="150"/>
      <c r="C3" s="150"/>
      <c r="D3" s="150"/>
      <c r="E3" s="150"/>
      <c r="F3" s="150"/>
      <c r="G3" s="150"/>
      <c r="H3" s="150"/>
      <c r="I3" s="150"/>
      <c r="J3" s="151"/>
      <c r="K3" s="149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1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149"/>
      <c r="AQ3" s="150"/>
      <c r="AR3" s="150"/>
      <c r="AS3" s="151"/>
      <c r="AT3" s="155"/>
      <c r="AU3" s="156"/>
      <c r="AV3" s="156"/>
      <c r="AW3" s="156"/>
      <c r="AX3" s="157"/>
      <c r="AY3" s="149"/>
      <c r="AZ3" s="150"/>
      <c r="BA3" s="150"/>
      <c r="BB3" s="151"/>
      <c r="BC3" s="155"/>
      <c r="BD3" s="156"/>
      <c r="BE3" s="156"/>
      <c r="BF3" s="156"/>
      <c r="BG3" s="157"/>
      <c r="BH3" s="158"/>
      <c r="BI3" s="159"/>
      <c r="BJ3" s="159"/>
      <c r="BK3" s="160"/>
    </row>
    <row r="4" spans="1:63" ht="24.95" customHeight="1" x14ac:dyDescent="0.25">
      <c r="A4" s="130" t="s">
        <v>56</v>
      </c>
      <c r="B4" s="131"/>
      <c r="C4" s="131"/>
      <c r="D4" s="131"/>
      <c r="E4" s="131"/>
      <c r="F4" s="131"/>
      <c r="G4" s="132"/>
      <c r="H4" s="161" t="s">
        <v>40</v>
      </c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3"/>
      <c r="U4" s="130" t="s">
        <v>57</v>
      </c>
      <c r="V4" s="131"/>
      <c r="W4" s="131"/>
      <c r="X4" s="131"/>
      <c r="Y4" s="132"/>
      <c r="Z4" s="38" t="s">
        <v>58</v>
      </c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3"/>
      <c r="AP4" s="161" t="str">
        <f t="array" aca="1" ref="AP4" ca="1">RIGHT(CELL("filename",$A$1),LEN(CELL("filename",$A$1))-FIND("]",CELL("filename",$A$1)))</f>
        <v>表紙</v>
      </c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2"/>
      <c r="BF4" s="162"/>
      <c r="BG4" s="162"/>
      <c r="BH4" s="162"/>
      <c r="BI4" s="162"/>
      <c r="BJ4" s="162"/>
      <c r="BK4" s="163"/>
    </row>
    <row r="5" spans="1:63" ht="5.0999999999999996" customHeight="1" x14ac:dyDescent="0.25">
      <c r="A5" s="164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5"/>
      <c r="BG5" s="165"/>
      <c r="BH5" s="165"/>
      <c r="BI5" s="165"/>
      <c r="BJ5" s="165"/>
      <c r="BK5" s="166"/>
    </row>
    <row r="6" spans="1:63" ht="15" customHeight="1" x14ac:dyDescent="0.25">
      <c r="A6" s="167"/>
      <c r="BK6" s="168"/>
    </row>
    <row r="7" spans="1:63" ht="15" customHeight="1" x14ac:dyDescent="0.25">
      <c r="A7" s="167"/>
      <c r="BK7" s="168"/>
    </row>
    <row r="8" spans="1:63" ht="15" customHeight="1" x14ac:dyDescent="0.25">
      <c r="A8" s="167"/>
      <c r="BK8" s="168"/>
    </row>
    <row r="9" spans="1:63" ht="15" customHeight="1" x14ac:dyDescent="0.25">
      <c r="A9" s="167"/>
      <c r="BK9" s="168"/>
    </row>
    <row r="10" spans="1:63" ht="15" customHeight="1" x14ac:dyDescent="0.25">
      <c r="A10" s="167"/>
      <c r="BK10" s="168"/>
    </row>
    <row r="11" spans="1:63" ht="15" customHeight="1" x14ac:dyDescent="0.25">
      <c r="A11" s="167"/>
      <c r="BK11" s="168"/>
    </row>
    <row r="12" spans="1:63" ht="15" customHeight="1" x14ac:dyDescent="0.25">
      <c r="A12" s="167"/>
      <c r="BK12" s="168"/>
    </row>
    <row r="13" spans="1:63" ht="15" customHeight="1" x14ac:dyDescent="0.25">
      <c r="A13" s="167"/>
      <c r="BK13" s="168"/>
    </row>
    <row r="14" spans="1:63" ht="15" customHeight="1" thickBot="1" x14ac:dyDescent="0.3">
      <c r="A14" s="167"/>
      <c r="BK14" s="168"/>
    </row>
    <row r="15" spans="1:63" ht="15" customHeight="1" thickTop="1" x14ac:dyDescent="0.25">
      <c r="A15" s="167"/>
      <c r="K15" s="169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1"/>
      <c r="BK15" s="168"/>
    </row>
    <row r="16" spans="1:63" ht="15" customHeight="1" x14ac:dyDescent="0.25">
      <c r="A16" s="167"/>
      <c r="K16" s="172"/>
      <c r="L16" s="173" t="s">
        <v>59</v>
      </c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75"/>
      <c r="BK16" s="168"/>
    </row>
    <row r="17" spans="1:63" ht="15" customHeight="1" x14ac:dyDescent="0.25">
      <c r="A17" s="167"/>
      <c r="K17" s="172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5"/>
      <c r="BK17" s="168"/>
    </row>
    <row r="18" spans="1:63" ht="15" customHeight="1" x14ac:dyDescent="0.25">
      <c r="A18" s="167"/>
      <c r="K18" s="172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5"/>
      <c r="BK18" s="168"/>
    </row>
    <row r="19" spans="1:63" ht="15" customHeight="1" x14ac:dyDescent="0.25">
      <c r="A19" s="167"/>
      <c r="K19" s="172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5"/>
      <c r="BK19" s="168"/>
    </row>
    <row r="20" spans="1:63" ht="15" customHeight="1" x14ac:dyDescent="0.25">
      <c r="A20" s="167"/>
      <c r="K20" s="172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5"/>
      <c r="BK20" s="168"/>
    </row>
    <row r="21" spans="1:63" ht="15" customHeight="1" x14ac:dyDescent="0.25">
      <c r="A21" s="167"/>
      <c r="K21" s="172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5"/>
      <c r="BK21" s="168"/>
    </row>
    <row r="22" spans="1:63" ht="15" customHeight="1" thickBot="1" x14ac:dyDescent="0.3">
      <c r="A22" s="167"/>
      <c r="K22" s="172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5"/>
      <c r="BK22" s="168"/>
    </row>
    <row r="23" spans="1:63" ht="15" customHeight="1" x14ac:dyDescent="0.25">
      <c r="A23" s="167"/>
      <c r="K23" s="172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5"/>
      <c r="BK23" s="168"/>
    </row>
    <row r="24" spans="1:63" ht="15" customHeight="1" x14ac:dyDescent="0.25">
      <c r="A24" s="167"/>
      <c r="K24" s="172"/>
      <c r="L24" s="174" t="str">
        <f>K2&amp;"/"&amp;H4&amp;"/"&amp;Z4</f>
        <v>POSサーバ/X0_ログイン機能/画面設計書</v>
      </c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75"/>
      <c r="BK24" s="168"/>
    </row>
    <row r="25" spans="1:63" ht="15" customHeight="1" x14ac:dyDescent="0.25">
      <c r="A25" s="167"/>
      <c r="K25" s="172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75"/>
      <c r="BK25" s="168"/>
    </row>
    <row r="26" spans="1:63" ht="15" customHeight="1" x14ac:dyDescent="0.25">
      <c r="A26" s="167"/>
      <c r="K26" s="172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75"/>
      <c r="BK26" s="168"/>
    </row>
    <row r="27" spans="1:63" ht="15" customHeight="1" x14ac:dyDescent="0.25">
      <c r="A27" s="167"/>
      <c r="K27" s="172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75"/>
      <c r="BK27" s="168"/>
    </row>
    <row r="28" spans="1:63" ht="15" customHeight="1" x14ac:dyDescent="0.25">
      <c r="A28" s="167"/>
      <c r="K28" s="172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75"/>
      <c r="BK28" s="168"/>
    </row>
    <row r="29" spans="1:63" ht="15" customHeight="1" x14ac:dyDescent="0.25">
      <c r="A29" s="167"/>
      <c r="K29" s="172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75"/>
      <c r="BK29" s="168"/>
    </row>
    <row r="30" spans="1:63" ht="15" customHeight="1" x14ac:dyDescent="0.25">
      <c r="A30" s="167"/>
      <c r="K30" s="172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5"/>
      <c r="BK30" s="168"/>
    </row>
    <row r="31" spans="1:63" ht="15" customHeight="1" x14ac:dyDescent="0.25">
      <c r="A31" s="167"/>
      <c r="K31" s="172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75"/>
      <c r="BK31" s="168"/>
    </row>
    <row r="32" spans="1:63" ht="15" customHeight="1" x14ac:dyDescent="0.25">
      <c r="A32" s="167"/>
      <c r="K32" s="172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75"/>
      <c r="BK32" s="168"/>
    </row>
    <row r="33" spans="1:63" ht="15" customHeight="1" x14ac:dyDescent="0.25">
      <c r="A33" s="167"/>
      <c r="K33" s="172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5"/>
      <c r="BK33" s="168"/>
    </row>
    <row r="34" spans="1:63" ht="15" customHeight="1" x14ac:dyDescent="0.25">
      <c r="A34" s="167"/>
      <c r="K34" s="172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5"/>
      <c r="BK34" s="168"/>
    </row>
    <row r="35" spans="1:63" ht="15" customHeight="1" x14ac:dyDescent="0.25">
      <c r="A35" s="167"/>
      <c r="K35" s="172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5"/>
      <c r="BK35" s="168"/>
    </row>
    <row r="36" spans="1:63" ht="15" customHeight="1" x14ac:dyDescent="0.25">
      <c r="A36" s="167"/>
      <c r="K36" s="172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75"/>
      <c r="BK36" s="168"/>
    </row>
    <row r="37" spans="1:63" ht="15" customHeight="1" thickBot="1" x14ac:dyDescent="0.3">
      <c r="A37" s="167"/>
      <c r="K37" s="17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  <c r="AZ37" s="179"/>
      <c r="BA37" s="180"/>
      <c r="BK37" s="168"/>
    </row>
    <row r="38" spans="1:63" ht="15" customHeight="1" thickTop="1" x14ac:dyDescent="0.25">
      <c r="A38" s="167"/>
      <c r="BK38" s="168"/>
    </row>
    <row r="39" spans="1:63" ht="15" customHeight="1" x14ac:dyDescent="0.25">
      <c r="A39" s="167"/>
      <c r="BK39" s="168"/>
    </row>
    <row r="40" spans="1:63" ht="15" customHeight="1" x14ac:dyDescent="0.25">
      <c r="A40" s="167"/>
      <c r="BK40" s="168"/>
    </row>
    <row r="41" spans="1:63" ht="15" customHeight="1" x14ac:dyDescent="0.25">
      <c r="A41" s="167"/>
      <c r="BK41" s="168"/>
    </row>
    <row r="42" spans="1:63" ht="15" customHeight="1" x14ac:dyDescent="0.25">
      <c r="A42" s="167"/>
      <c r="BK42" s="168"/>
    </row>
    <row r="43" spans="1:63" ht="15" customHeight="1" x14ac:dyDescent="0.25">
      <c r="A43" s="167"/>
      <c r="BK43" s="168"/>
    </row>
    <row r="44" spans="1:63" ht="15" customHeight="1" x14ac:dyDescent="0.25">
      <c r="A44" s="167"/>
      <c r="Q44" s="181" t="s">
        <v>60</v>
      </c>
      <c r="R44" s="182"/>
      <c r="S44" s="182"/>
      <c r="T44" s="182"/>
      <c r="U44" s="182"/>
      <c r="V44" s="182"/>
      <c r="W44" s="182"/>
      <c r="X44" s="182"/>
      <c r="Y44" s="182"/>
      <c r="Z44" s="183"/>
      <c r="AA44" s="181" t="s">
        <v>61</v>
      </c>
      <c r="AB44" s="182"/>
      <c r="AC44" s="182"/>
      <c r="AD44" s="182"/>
      <c r="AE44" s="182"/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3"/>
      <c r="AQ44" s="181" t="s">
        <v>54</v>
      </c>
      <c r="AR44" s="182"/>
      <c r="AS44" s="182"/>
      <c r="AT44" s="182"/>
      <c r="AU44" s="183"/>
      <c r="BK44" s="168"/>
    </row>
    <row r="45" spans="1:63" ht="15" customHeight="1" x14ac:dyDescent="0.25">
      <c r="A45" s="167"/>
      <c r="Q45" s="184"/>
      <c r="R45" s="185"/>
      <c r="S45" s="185"/>
      <c r="T45" s="185"/>
      <c r="U45" s="185"/>
      <c r="V45" s="185"/>
      <c r="W45" s="185"/>
      <c r="X45" s="185"/>
      <c r="Y45" s="185"/>
      <c r="Z45" s="186"/>
      <c r="AA45" s="184"/>
      <c r="AB45" s="185"/>
      <c r="AC45" s="185"/>
      <c r="AD45" s="185"/>
      <c r="AE45" s="185"/>
      <c r="AF45" s="185"/>
      <c r="AG45" s="185"/>
      <c r="AH45" s="185"/>
      <c r="AI45" s="185"/>
      <c r="AJ45" s="185"/>
      <c r="AK45" s="185"/>
      <c r="AL45" s="185"/>
      <c r="AM45" s="185"/>
      <c r="AN45" s="185"/>
      <c r="AO45" s="185"/>
      <c r="AP45" s="186"/>
      <c r="AQ45" s="184"/>
      <c r="AR45" s="185"/>
      <c r="AS45" s="185"/>
      <c r="AT45" s="185"/>
      <c r="AU45" s="186"/>
      <c r="BK45" s="168"/>
    </row>
    <row r="46" spans="1:63" ht="15" customHeight="1" x14ac:dyDescent="0.25">
      <c r="A46" s="167"/>
      <c r="Q46" s="139"/>
      <c r="R46" s="137"/>
      <c r="S46" s="137"/>
      <c r="T46" s="137"/>
      <c r="U46" s="137"/>
      <c r="V46" s="137"/>
      <c r="W46" s="137"/>
      <c r="X46" s="137"/>
      <c r="Y46" s="137"/>
      <c r="Z46" s="138"/>
      <c r="AA46" s="139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8"/>
      <c r="AQ46" s="139"/>
      <c r="AR46" s="137"/>
      <c r="AS46" s="137"/>
      <c r="AT46" s="137"/>
      <c r="AU46" s="138"/>
      <c r="BK46" s="168"/>
    </row>
    <row r="47" spans="1:63" ht="15" customHeight="1" x14ac:dyDescent="0.25">
      <c r="A47" s="167"/>
      <c r="Q47" s="187"/>
      <c r="R47" s="188"/>
      <c r="S47" s="188"/>
      <c r="T47" s="188"/>
      <c r="U47" s="188"/>
      <c r="V47" s="188"/>
      <c r="W47" s="188"/>
      <c r="X47" s="188"/>
      <c r="Y47" s="188"/>
      <c r="Z47" s="189"/>
      <c r="AA47" s="187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9"/>
      <c r="AQ47" s="187"/>
      <c r="AR47" s="188"/>
      <c r="AS47" s="188"/>
      <c r="AT47" s="188"/>
      <c r="AU47" s="189"/>
      <c r="BK47" s="168"/>
    </row>
    <row r="48" spans="1:63" ht="15" customHeight="1" x14ac:dyDescent="0.25">
      <c r="A48" s="167"/>
      <c r="Q48" s="187"/>
      <c r="R48" s="188"/>
      <c r="S48" s="188"/>
      <c r="T48" s="188"/>
      <c r="U48" s="188"/>
      <c r="V48" s="188"/>
      <c r="W48" s="188"/>
      <c r="X48" s="188"/>
      <c r="Y48" s="188"/>
      <c r="Z48" s="189"/>
      <c r="AA48" s="187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9"/>
      <c r="AQ48" s="187"/>
      <c r="AR48" s="188"/>
      <c r="AS48" s="188"/>
      <c r="AT48" s="188"/>
      <c r="AU48" s="189"/>
      <c r="BK48" s="168"/>
    </row>
    <row r="49" spans="1:63" ht="15" customHeight="1" x14ac:dyDescent="0.25">
      <c r="A49" s="167"/>
      <c r="Q49" s="149"/>
      <c r="R49" s="150"/>
      <c r="S49" s="150"/>
      <c r="T49" s="150"/>
      <c r="U49" s="150"/>
      <c r="V49" s="150"/>
      <c r="W49" s="150"/>
      <c r="X49" s="150"/>
      <c r="Y49" s="150"/>
      <c r="Z49" s="151"/>
      <c r="AA49" s="149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1"/>
      <c r="AQ49" s="149"/>
      <c r="AR49" s="150"/>
      <c r="AS49" s="150"/>
      <c r="AT49" s="150"/>
      <c r="AU49" s="151"/>
      <c r="BK49" s="168"/>
    </row>
    <row r="50" spans="1:63" ht="15" customHeight="1" x14ac:dyDescent="0.25">
      <c r="A50" s="167"/>
      <c r="BK50" s="168"/>
    </row>
    <row r="51" spans="1:63" ht="15" customHeight="1" x14ac:dyDescent="0.25">
      <c r="A51" s="167"/>
      <c r="BK51" s="168"/>
    </row>
    <row r="52" spans="1:63" ht="15" customHeight="1" x14ac:dyDescent="0.25">
      <c r="A52" s="167"/>
      <c r="BK52" s="168"/>
    </row>
    <row r="53" spans="1:63" ht="15" customHeight="1" x14ac:dyDescent="0.25">
      <c r="A53" s="167"/>
      <c r="BK53" s="168"/>
    </row>
    <row r="54" spans="1:63" ht="15" customHeight="1" x14ac:dyDescent="0.25">
      <c r="A54" s="167"/>
      <c r="BK54" s="168"/>
    </row>
    <row r="55" spans="1:63" ht="15" customHeight="1" x14ac:dyDescent="0.25">
      <c r="A55" s="164"/>
      <c r="B55" s="165"/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165"/>
      <c r="AY55" s="165"/>
      <c r="AZ55" s="165"/>
      <c r="BA55" s="165"/>
      <c r="BB55" s="165"/>
      <c r="BC55" s="165"/>
      <c r="BD55" s="165"/>
      <c r="BE55" s="165"/>
      <c r="BF55" s="165"/>
      <c r="BG55" s="165"/>
      <c r="BH55" s="165"/>
      <c r="BI55" s="165"/>
      <c r="BJ55" s="165"/>
      <c r="BK55" s="166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1"/>
      <c r="K1" s="13" t="s">
        <v>2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1"/>
      <c r="W1" s="45" t="str">
        <f>IF(表紙!W1="","",表紙!W1)</f>
        <v>詳細設計書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3" t="s">
        <v>3</v>
      </c>
      <c r="AQ1" s="12"/>
      <c r="AR1" s="12"/>
      <c r="AS1" s="11"/>
      <c r="AT1" s="13" t="s">
        <v>4</v>
      </c>
      <c r="AU1" s="12"/>
      <c r="AV1" s="12"/>
      <c r="AW1" s="12"/>
      <c r="AX1" s="11"/>
      <c r="AY1" s="13" t="s">
        <v>5</v>
      </c>
      <c r="AZ1" s="12"/>
      <c r="BA1" s="12"/>
      <c r="BB1" s="11"/>
      <c r="BC1" s="13" t="s">
        <v>6</v>
      </c>
      <c r="BD1" s="12"/>
      <c r="BE1" s="12"/>
      <c r="BF1" s="12"/>
      <c r="BG1" s="11"/>
      <c r="BH1" s="13" t="s">
        <v>7</v>
      </c>
      <c r="BI1" s="12"/>
      <c r="BJ1" s="12"/>
      <c r="BK1" s="11"/>
    </row>
    <row r="2" spans="1:63" ht="15" customHeight="1" x14ac:dyDescent="0.25">
      <c r="A2" s="10" t="str">
        <f>IF(表紙!A2="","",表紙!A2)</f>
        <v>POSサーバー</v>
      </c>
      <c r="B2" s="9"/>
      <c r="C2" s="9"/>
      <c r="D2" s="9"/>
      <c r="E2" s="9"/>
      <c r="F2" s="9"/>
      <c r="G2" s="9"/>
      <c r="H2" s="9"/>
      <c r="I2" s="9"/>
      <c r="J2" s="8"/>
      <c r="K2" s="10" t="str">
        <f>IF(表紙!K2="","",表紙!K2)</f>
        <v>POSサーバ</v>
      </c>
      <c r="L2" s="9"/>
      <c r="M2" s="9"/>
      <c r="N2" s="9"/>
      <c r="O2" s="9"/>
      <c r="P2" s="9"/>
      <c r="Q2" s="9"/>
      <c r="R2" s="9"/>
      <c r="S2" s="9"/>
      <c r="T2" s="9"/>
      <c r="U2" s="9"/>
      <c r="V2" s="8"/>
      <c r="W2" s="1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  <c r="AP2" s="10" t="str">
        <f>IF(表紙!AP2="","",表紙!AP2)</f>
        <v>LoiLV</v>
      </c>
      <c r="AQ2" s="9"/>
      <c r="AR2" s="9"/>
      <c r="AS2" s="8"/>
      <c r="AT2" s="39">
        <f>IF(表紙!AT2="","",表紙!AT2)</f>
        <v>45468</v>
      </c>
      <c r="AU2" s="40"/>
      <c r="AV2" s="40"/>
      <c r="AW2" s="40"/>
      <c r="AX2" s="41"/>
      <c r="AY2" s="10" t="str">
        <f>IF(表紙!AY2="","",表紙!AY2)</f>
        <v>AnhDD</v>
      </c>
      <c r="AZ2" s="9"/>
      <c r="BA2" s="9"/>
      <c r="BB2" s="8"/>
      <c r="BC2" s="39">
        <f>IF(表紙!BC2="","",表紙!BC2)</f>
        <v>45568</v>
      </c>
      <c r="BD2" s="40"/>
      <c r="BE2" s="40"/>
      <c r="BF2" s="40"/>
      <c r="BG2" s="41"/>
      <c r="BH2" s="10">
        <f>IF(表紙!BH2="","",表紙!BH2)</f>
        <v>0.2</v>
      </c>
      <c r="BI2" s="9"/>
      <c r="BJ2" s="9"/>
      <c r="BK2" s="8"/>
    </row>
    <row r="3" spans="1:63" ht="15" customHeight="1" x14ac:dyDescent="0.25">
      <c r="A3" s="7"/>
      <c r="B3" s="6"/>
      <c r="C3" s="6"/>
      <c r="D3" s="6"/>
      <c r="E3" s="6"/>
      <c r="F3" s="6"/>
      <c r="G3" s="6"/>
      <c r="H3" s="6"/>
      <c r="I3" s="6"/>
      <c r="J3" s="5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5"/>
      <c r="W3" s="32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4"/>
      <c r="AP3" s="7"/>
      <c r="AQ3" s="6"/>
      <c r="AR3" s="6"/>
      <c r="AS3" s="5"/>
      <c r="AT3" s="42"/>
      <c r="AU3" s="43"/>
      <c r="AV3" s="43"/>
      <c r="AW3" s="43"/>
      <c r="AX3" s="44"/>
      <c r="AY3" s="7"/>
      <c r="AZ3" s="6"/>
      <c r="BA3" s="6"/>
      <c r="BB3" s="5"/>
      <c r="BC3" s="42"/>
      <c r="BD3" s="43"/>
      <c r="BE3" s="43"/>
      <c r="BF3" s="43"/>
      <c r="BG3" s="44"/>
      <c r="BH3" s="7"/>
      <c r="BI3" s="6"/>
      <c r="BJ3" s="6"/>
      <c r="BK3" s="5"/>
    </row>
    <row r="4" spans="1:63" ht="24.95" customHeight="1" x14ac:dyDescent="0.25">
      <c r="A4" s="13" t="s">
        <v>1</v>
      </c>
      <c r="B4" s="12"/>
      <c r="C4" s="12"/>
      <c r="D4" s="12"/>
      <c r="E4" s="12"/>
      <c r="F4" s="12"/>
      <c r="G4" s="11"/>
      <c r="H4" s="35" t="str">
        <f>IF(表紙!H4="","",表紙!H4)</f>
        <v>X0_ログイン機能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7"/>
      <c r="U4" s="13" t="s">
        <v>8</v>
      </c>
      <c r="V4" s="12"/>
      <c r="W4" s="12"/>
      <c r="X4" s="12"/>
      <c r="Y4" s="11"/>
      <c r="Z4" s="35" t="str">
        <f>IF(表紙!Z4="","",表紙!Z4)</f>
        <v>画面設計書</v>
      </c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7"/>
      <c r="AP4" s="35" t="str">
        <f t="array" aca="1" ref="AP4" ca="1">RIGHT(CELL("filename",$A$1),LEN(CELL("filename",$A$1))-FIND("]",CELL("filename",$A$1)))</f>
        <v>改訂履歴</v>
      </c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7"/>
    </row>
    <row r="5" spans="1:63" ht="5.0999999999999996" customHeight="1" x14ac:dyDescent="0.2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8"/>
    </row>
    <row r="6" spans="1:63" ht="15" customHeight="1" x14ac:dyDescent="0.25">
      <c r="A6" s="14"/>
      <c r="BK6" s="17"/>
    </row>
    <row r="7" spans="1:63" ht="15" customHeight="1" x14ac:dyDescent="0.25">
      <c r="A7" s="14"/>
      <c r="BK7" s="17"/>
    </row>
    <row r="8" spans="1:63" ht="15" customHeight="1" x14ac:dyDescent="0.25">
      <c r="A8" s="14"/>
      <c r="B8" t="s">
        <v>9</v>
      </c>
      <c r="BK8" s="17"/>
    </row>
    <row r="9" spans="1:63" ht="15" customHeight="1" x14ac:dyDescent="0.25">
      <c r="A9" s="14"/>
      <c r="BK9" s="17"/>
    </row>
    <row r="10" spans="1:63" ht="15" customHeight="1" x14ac:dyDescent="0.25">
      <c r="A10" s="14"/>
      <c r="B10" s="58" t="s">
        <v>6</v>
      </c>
      <c r="C10" s="58"/>
      <c r="D10" s="58"/>
      <c r="E10" s="58"/>
      <c r="F10" s="58"/>
      <c r="G10" s="58"/>
      <c r="H10" s="58" t="s">
        <v>5</v>
      </c>
      <c r="I10" s="58"/>
      <c r="J10" s="58"/>
      <c r="K10" s="58"/>
      <c r="L10" s="58"/>
      <c r="M10" s="58"/>
      <c r="N10" s="58"/>
      <c r="O10" s="58" t="s">
        <v>7</v>
      </c>
      <c r="P10" s="58"/>
      <c r="Q10" s="58"/>
      <c r="R10" s="58"/>
      <c r="S10" s="58" t="s">
        <v>10</v>
      </c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 t="s">
        <v>11</v>
      </c>
      <c r="AY10" s="58"/>
      <c r="AZ10" s="58"/>
      <c r="BA10" s="58"/>
      <c r="BB10" s="58"/>
      <c r="BC10" s="58"/>
      <c r="BD10" s="58" t="s">
        <v>12</v>
      </c>
      <c r="BE10" s="58"/>
      <c r="BF10" s="58"/>
      <c r="BG10" s="58"/>
      <c r="BH10" s="58"/>
      <c r="BI10" s="58"/>
      <c r="BJ10" s="58"/>
      <c r="BK10" s="17"/>
    </row>
    <row r="11" spans="1:63" ht="15" customHeight="1" x14ac:dyDescent="0.25">
      <c r="A11" s="14"/>
      <c r="B11" s="39">
        <v>45468</v>
      </c>
      <c r="C11" s="9"/>
      <c r="D11" s="9"/>
      <c r="E11" s="9"/>
      <c r="F11" s="9"/>
      <c r="G11" s="8"/>
      <c r="H11" s="4" t="s">
        <v>41</v>
      </c>
      <c r="I11" s="9"/>
      <c r="J11" s="9"/>
      <c r="K11" s="9"/>
      <c r="L11" s="9"/>
      <c r="M11" s="9"/>
      <c r="N11" s="8"/>
      <c r="O11" s="10">
        <v>0.1</v>
      </c>
      <c r="P11" s="9"/>
      <c r="Q11" s="9"/>
      <c r="R11" s="9"/>
      <c r="S11" s="46" t="s">
        <v>14</v>
      </c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8"/>
      <c r="AX11" s="49"/>
      <c r="AY11" s="49"/>
      <c r="AZ11" s="49"/>
      <c r="BA11" s="49"/>
      <c r="BB11" s="49"/>
      <c r="BC11" s="50"/>
      <c r="BD11" s="53"/>
      <c r="BE11" s="49"/>
      <c r="BF11" s="49"/>
      <c r="BG11" s="49"/>
      <c r="BH11" s="49"/>
      <c r="BI11" s="49"/>
      <c r="BJ11" s="50"/>
      <c r="BK11" s="17"/>
    </row>
    <row r="12" spans="1:63" ht="15" customHeight="1" x14ac:dyDescent="0.25">
      <c r="A12" s="14"/>
      <c r="B12" s="7"/>
      <c r="C12" s="6"/>
      <c r="D12" s="6"/>
      <c r="E12" s="6"/>
      <c r="F12" s="6"/>
      <c r="G12" s="5"/>
      <c r="H12" s="7"/>
      <c r="I12" s="6"/>
      <c r="J12" s="6"/>
      <c r="K12" s="6"/>
      <c r="L12" s="6"/>
      <c r="M12" s="6"/>
      <c r="N12" s="5"/>
      <c r="O12" s="7"/>
      <c r="P12" s="6"/>
      <c r="Q12" s="6"/>
      <c r="R12" s="6"/>
      <c r="S12" s="55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7"/>
      <c r="AX12" s="51"/>
      <c r="AY12" s="51"/>
      <c r="AZ12" s="51"/>
      <c r="BA12" s="51"/>
      <c r="BB12" s="51"/>
      <c r="BC12" s="52"/>
      <c r="BD12" s="54"/>
      <c r="BE12" s="51"/>
      <c r="BF12" s="51"/>
      <c r="BG12" s="51"/>
      <c r="BH12" s="51"/>
      <c r="BI12" s="51"/>
      <c r="BJ12" s="52"/>
      <c r="BK12" s="17"/>
    </row>
    <row r="13" spans="1:63" ht="15" customHeight="1" x14ac:dyDescent="0.25">
      <c r="A13" s="14"/>
      <c r="B13" s="39">
        <v>45483</v>
      </c>
      <c r="C13" s="9"/>
      <c r="D13" s="9"/>
      <c r="E13" s="9"/>
      <c r="F13" s="9"/>
      <c r="G13" s="8"/>
      <c r="H13" s="10" t="s">
        <v>46</v>
      </c>
      <c r="I13" s="9"/>
      <c r="J13" s="9"/>
      <c r="K13" s="9"/>
      <c r="L13" s="9"/>
      <c r="M13" s="9"/>
      <c r="N13" s="8"/>
      <c r="O13" s="10">
        <v>0.12</v>
      </c>
      <c r="P13" s="9"/>
      <c r="Q13" s="9"/>
      <c r="R13" s="9"/>
      <c r="S13" s="190" t="s">
        <v>63</v>
      </c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8"/>
      <c r="AX13" s="49"/>
      <c r="AY13" s="49"/>
      <c r="AZ13" s="49"/>
      <c r="BA13" s="49"/>
      <c r="BB13" s="49"/>
      <c r="BC13" s="50"/>
      <c r="BD13" s="53"/>
      <c r="BE13" s="49"/>
      <c r="BF13" s="49"/>
      <c r="BG13" s="49"/>
      <c r="BH13" s="49"/>
      <c r="BI13" s="49"/>
      <c r="BJ13" s="50"/>
      <c r="BK13" s="17"/>
    </row>
    <row r="14" spans="1:63" ht="15" customHeight="1" x14ac:dyDescent="0.25">
      <c r="A14" s="14"/>
      <c r="B14" s="7"/>
      <c r="C14" s="6"/>
      <c r="D14" s="6"/>
      <c r="E14" s="6"/>
      <c r="F14" s="6"/>
      <c r="G14" s="5"/>
      <c r="H14" s="7"/>
      <c r="I14" s="6"/>
      <c r="J14" s="6"/>
      <c r="K14" s="6"/>
      <c r="L14" s="6"/>
      <c r="M14" s="6"/>
      <c r="N14" s="5"/>
      <c r="O14" s="7"/>
      <c r="P14" s="6"/>
      <c r="Q14" s="6"/>
      <c r="R14" s="6"/>
      <c r="S14" s="55" t="s">
        <v>64</v>
      </c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7"/>
      <c r="AX14" s="51"/>
      <c r="AY14" s="51"/>
      <c r="AZ14" s="51"/>
      <c r="BA14" s="51"/>
      <c r="BB14" s="51"/>
      <c r="BC14" s="52"/>
      <c r="BD14" s="54"/>
      <c r="BE14" s="51"/>
      <c r="BF14" s="51"/>
      <c r="BG14" s="51"/>
      <c r="BH14" s="51"/>
      <c r="BI14" s="51"/>
      <c r="BJ14" s="52"/>
      <c r="BK14" s="17"/>
    </row>
    <row r="15" spans="1:63" ht="15" customHeight="1" x14ac:dyDescent="0.25">
      <c r="A15" s="14"/>
      <c r="B15" s="191">
        <v>45568</v>
      </c>
      <c r="C15" s="192"/>
      <c r="D15" s="192"/>
      <c r="E15" s="192"/>
      <c r="F15" s="192"/>
      <c r="G15" s="193"/>
      <c r="H15" s="194" t="s">
        <v>65</v>
      </c>
      <c r="I15" s="192"/>
      <c r="J15" s="192"/>
      <c r="K15" s="192"/>
      <c r="L15" s="192"/>
      <c r="M15" s="192"/>
      <c r="N15" s="193"/>
      <c r="O15" s="194">
        <v>0.2</v>
      </c>
      <c r="P15" s="192"/>
      <c r="Q15" s="192"/>
      <c r="R15" s="192"/>
      <c r="S15" s="195" t="s">
        <v>63</v>
      </c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6"/>
      <c r="AG15" s="196"/>
      <c r="AH15" s="196"/>
      <c r="AI15" s="196"/>
      <c r="AJ15" s="196"/>
      <c r="AK15" s="196"/>
      <c r="AL15" s="196"/>
      <c r="AM15" s="196"/>
      <c r="AN15" s="196"/>
      <c r="AO15" s="196"/>
      <c r="AP15" s="196"/>
      <c r="AQ15" s="196"/>
      <c r="AR15" s="196"/>
      <c r="AS15" s="196"/>
      <c r="AT15" s="196"/>
      <c r="AU15" s="196"/>
      <c r="AV15" s="196"/>
      <c r="AW15" s="197"/>
      <c r="AX15" s="49"/>
      <c r="AY15" s="49"/>
      <c r="AZ15" s="49"/>
      <c r="BA15" s="49"/>
      <c r="BB15" s="49"/>
      <c r="BC15" s="50"/>
      <c r="BD15" s="53"/>
      <c r="BE15" s="49"/>
      <c r="BF15" s="49"/>
      <c r="BG15" s="49"/>
      <c r="BH15" s="49"/>
      <c r="BI15" s="49"/>
      <c r="BJ15" s="50"/>
      <c r="BK15" s="17"/>
    </row>
    <row r="16" spans="1:63" ht="15" customHeight="1" x14ac:dyDescent="0.25">
      <c r="A16" s="14"/>
      <c r="B16" s="198"/>
      <c r="C16" s="199"/>
      <c r="D16" s="199"/>
      <c r="E16" s="199"/>
      <c r="F16" s="199"/>
      <c r="G16" s="200"/>
      <c r="H16" s="198"/>
      <c r="I16" s="199"/>
      <c r="J16" s="199"/>
      <c r="K16" s="199"/>
      <c r="L16" s="199"/>
      <c r="M16" s="199"/>
      <c r="N16" s="200"/>
      <c r="O16" s="198"/>
      <c r="P16" s="199"/>
      <c r="Q16" s="199"/>
      <c r="R16" s="199"/>
      <c r="S16" s="201" t="s">
        <v>62</v>
      </c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3"/>
      <c r="AX16" s="51"/>
      <c r="AY16" s="51"/>
      <c r="AZ16" s="51"/>
      <c r="BA16" s="51"/>
      <c r="BB16" s="51"/>
      <c r="BC16" s="52"/>
      <c r="BD16" s="54"/>
      <c r="BE16" s="51"/>
      <c r="BF16" s="51"/>
      <c r="BG16" s="51"/>
      <c r="BH16" s="51"/>
      <c r="BI16" s="51"/>
      <c r="BJ16" s="52"/>
      <c r="BK16" s="17"/>
    </row>
    <row r="17" spans="1:63" ht="15" customHeight="1" x14ac:dyDescent="0.25">
      <c r="A17" s="14"/>
      <c r="B17" s="10"/>
      <c r="C17" s="9"/>
      <c r="D17" s="9"/>
      <c r="E17" s="9"/>
      <c r="F17" s="9"/>
      <c r="G17" s="8"/>
      <c r="H17" s="10"/>
      <c r="I17" s="9"/>
      <c r="J17" s="9"/>
      <c r="K17" s="9"/>
      <c r="L17" s="9"/>
      <c r="M17" s="9"/>
      <c r="N17" s="8"/>
      <c r="O17" s="10"/>
      <c r="P17" s="9"/>
      <c r="Q17" s="9"/>
      <c r="R17" s="9"/>
      <c r="S17" s="46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8"/>
      <c r="AX17" s="49"/>
      <c r="AY17" s="49"/>
      <c r="AZ17" s="49"/>
      <c r="BA17" s="49"/>
      <c r="BB17" s="49"/>
      <c r="BC17" s="50"/>
      <c r="BD17" s="53"/>
      <c r="BE17" s="49"/>
      <c r="BF17" s="49"/>
      <c r="BG17" s="49"/>
      <c r="BH17" s="49"/>
      <c r="BI17" s="49"/>
      <c r="BJ17" s="50"/>
      <c r="BK17" s="17"/>
    </row>
    <row r="18" spans="1:63" ht="15" customHeight="1" x14ac:dyDescent="0.25">
      <c r="A18" s="14"/>
      <c r="B18" s="7"/>
      <c r="C18" s="6"/>
      <c r="D18" s="6"/>
      <c r="E18" s="6"/>
      <c r="F18" s="6"/>
      <c r="G18" s="5"/>
      <c r="H18" s="7"/>
      <c r="I18" s="6"/>
      <c r="J18" s="6"/>
      <c r="K18" s="6"/>
      <c r="L18" s="6"/>
      <c r="M18" s="6"/>
      <c r="N18" s="5"/>
      <c r="O18" s="7"/>
      <c r="P18" s="6"/>
      <c r="Q18" s="6"/>
      <c r="R18" s="6"/>
      <c r="S18" s="55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7"/>
      <c r="AX18" s="51"/>
      <c r="AY18" s="51"/>
      <c r="AZ18" s="51"/>
      <c r="BA18" s="51"/>
      <c r="BB18" s="51"/>
      <c r="BC18" s="52"/>
      <c r="BD18" s="54"/>
      <c r="BE18" s="51"/>
      <c r="BF18" s="51"/>
      <c r="BG18" s="51"/>
      <c r="BH18" s="51"/>
      <c r="BI18" s="51"/>
      <c r="BJ18" s="52"/>
      <c r="BK18" s="17"/>
    </row>
    <row r="19" spans="1:63" ht="15" customHeight="1" x14ac:dyDescent="0.25">
      <c r="A19" s="14"/>
      <c r="B19" s="10"/>
      <c r="C19" s="9"/>
      <c r="D19" s="9"/>
      <c r="E19" s="9"/>
      <c r="F19" s="9"/>
      <c r="G19" s="8"/>
      <c r="H19" s="10"/>
      <c r="I19" s="9"/>
      <c r="J19" s="9"/>
      <c r="K19" s="9"/>
      <c r="L19" s="9"/>
      <c r="M19" s="9"/>
      <c r="N19" s="8"/>
      <c r="O19" s="10"/>
      <c r="P19" s="9"/>
      <c r="Q19" s="9"/>
      <c r="R19" s="9"/>
      <c r="S19" s="46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8"/>
      <c r="AX19" s="49"/>
      <c r="AY19" s="49"/>
      <c r="AZ19" s="49"/>
      <c r="BA19" s="49"/>
      <c r="BB19" s="49"/>
      <c r="BC19" s="50"/>
      <c r="BD19" s="53"/>
      <c r="BE19" s="49"/>
      <c r="BF19" s="49"/>
      <c r="BG19" s="49"/>
      <c r="BH19" s="49"/>
      <c r="BI19" s="49"/>
      <c r="BJ19" s="50"/>
      <c r="BK19" s="17"/>
    </row>
    <row r="20" spans="1:63" ht="15" customHeight="1" x14ac:dyDescent="0.25">
      <c r="A20" s="14"/>
      <c r="B20" s="7"/>
      <c r="C20" s="6"/>
      <c r="D20" s="6"/>
      <c r="E20" s="6"/>
      <c r="F20" s="6"/>
      <c r="G20" s="5"/>
      <c r="H20" s="7"/>
      <c r="I20" s="6"/>
      <c r="J20" s="6"/>
      <c r="K20" s="6"/>
      <c r="L20" s="6"/>
      <c r="M20" s="6"/>
      <c r="N20" s="5"/>
      <c r="O20" s="7"/>
      <c r="P20" s="6"/>
      <c r="Q20" s="6"/>
      <c r="R20" s="6"/>
      <c r="S20" s="55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7"/>
      <c r="AX20" s="51"/>
      <c r="AY20" s="51"/>
      <c r="AZ20" s="51"/>
      <c r="BA20" s="51"/>
      <c r="BB20" s="51"/>
      <c r="BC20" s="52"/>
      <c r="BD20" s="54"/>
      <c r="BE20" s="51"/>
      <c r="BF20" s="51"/>
      <c r="BG20" s="51"/>
      <c r="BH20" s="51"/>
      <c r="BI20" s="51"/>
      <c r="BJ20" s="52"/>
      <c r="BK20" s="17"/>
    </row>
    <row r="21" spans="1:63" ht="15" customHeight="1" x14ac:dyDescent="0.25">
      <c r="A21" s="14"/>
      <c r="B21" s="10"/>
      <c r="C21" s="9"/>
      <c r="D21" s="9"/>
      <c r="E21" s="9"/>
      <c r="F21" s="9"/>
      <c r="G21" s="8"/>
      <c r="H21" s="10"/>
      <c r="I21" s="9"/>
      <c r="J21" s="9"/>
      <c r="K21" s="9"/>
      <c r="L21" s="9"/>
      <c r="M21" s="9"/>
      <c r="N21" s="8"/>
      <c r="O21" s="10"/>
      <c r="P21" s="9"/>
      <c r="Q21" s="9"/>
      <c r="R21" s="9"/>
      <c r="S21" s="46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8"/>
      <c r="AX21" s="49"/>
      <c r="AY21" s="49"/>
      <c r="AZ21" s="49"/>
      <c r="BA21" s="49"/>
      <c r="BB21" s="49"/>
      <c r="BC21" s="50"/>
      <c r="BD21" s="53"/>
      <c r="BE21" s="49"/>
      <c r="BF21" s="49"/>
      <c r="BG21" s="49"/>
      <c r="BH21" s="49"/>
      <c r="BI21" s="49"/>
      <c r="BJ21" s="50"/>
      <c r="BK21" s="17"/>
    </row>
    <row r="22" spans="1:63" ht="15" customHeight="1" x14ac:dyDescent="0.25">
      <c r="A22" s="14"/>
      <c r="B22" s="7"/>
      <c r="C22" s="6"/>
      <c r="D22" s="6"/>
      <c r="E22" s="6"/>
      <c r="F22" s="6"/>
      <c r="G22" s="5"/>
      <c r="H22" s="7"/>
      <c r="I22" s="6"/>
      <c r="J22" s="6"/>
      <c r="K22" s="6"/>
      <c r="L22" s="6"/>
      <c r="M22" s="6"/>
      <c r="N22" s="5"/>
      <c r="O22" s="7"/>
      <c r="P22" s="6"/>
      <c r="Q22" s="6"/>
      <c r="R22" s="6"/>
      <c r="S22" s="55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7"/>
      <c r="AX22" s="51"/>
      <c r="AY22" s="51"/>
      <c r="AZ22" s="51"/>
      <c r="BA22" s="51"/>
      <c r="BB22" s="51"/>
      <c r="BC22" s="52"/>
      <c r="BD22" s="54"/>
      <c r="BE22" s="51"/>
      <c r="BF22" s="51"/>
      <c r="BG22" s="51"/>
      <c r="BH22" s="51"/>
      <c r="BI22" s="51"/>
      <c r="BJ22" s="52"/>
      <c r="BK22" s="17"/>
    </row>
    <row r="23" spans="1:63" ht="15" customHeight="1" x14ac:dyDescent="0.25">
      <c r="A23" s="14"/>
      <c r="B23" s="10"/>
      <c r="C23" s="9"/>
      <c r="D23" s="9"/>
      <c r="E23" s="9"/>
      <c r="F23" s="9"/>
      <c r="G23" s="8"/>
      <c r="H23" s="10"/>
      <c r="I23" s="9"/>
      <c r="J23" s="9"/>
      <c r="K23" s="9"/>
      <c r="L23" s="9"/>
      <c r="M23" s="9"/>
      <c r="N23" s="8"/>
      <c r="O23" s="10"/>
      <c r="P23" s="9"/>
      <c r="Q23" s="9"/>
      <c r="R23" s="9"/>
      <c r="S23" s="46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8"/>
      <c r="AX23" s="49"/>
      <c r="AY23" s="49"/>
      <c r="AZ23" s="49"/>
      <c r="BA23" s="49"/>
      <c r="BB23" s="49"/>
      <c r="BC23" s="50"/>
      <c r="BD23" s="53"/>
      <c r="BE23" s="49"/>
      <c r="BF23" s="49"/>
      <c r="BG23" s="49"/>
      <c r="BH23" s="49"/>
      <c r="BI23" s="49"/>
      <c r="BJ23" s="50"/>
      <c r="BK23" s="17"/>
    </row>
    <row r="24" spans="1:63" ht="15" customHeight="1" x14ac:dyDescent="0.25">
      <c r="A24" s="14"/>
      <c r="B24" s="7"/>
      <c r="C24" s="6"/>
      <c r="D24" s="6"/>
      <c r="E24" s="6"/>
      <c r="F24" s="6"/>
      <c r="G24" s="5"/>
      <c r="H24" s="7"/>
      <c r="I24" s="6"/>
      <c r="J24" s="6"/>
      <c r="K24" s="6"/>
      <c r="L24" s="6"/>
      <c r="M24" s="6"/>
      <c r="N24" s="5"/>
      <c r="O24" s="7"/>
      <c r="P24" s="6"/>
      <c r="Q24" s="6"/>
      <c r="R24" s="6"/>
      <c r="S24" s="55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7"/>
      <c r="AX24" s="51"/>
      <c r="AY24" s="51"/>
      <c r="AZ24" s="51"/>
      <c r="BA24" s="51"/>
      <c r="BB24" s="51"/>
      <c r="BC24" s="52"/>
      <c r="BD24" s="54"/>
      <c r="BE24" s="51"/>
      <c r="BF24" s="51"/>
      <c r="BG24" s="51"/>
      <c r="BH24" s="51"/>
      <c r="BI24" s="51"/>
      <c r="BJ24" s="52"/>
      <c r="BK24" s="17"/>
    </row>
    <row r="25" spans="1:63" ht="15" customHeight="1" x14ac:dyDescent="0.25">
      <c r="A25" s="14"/>
      <c r="B25" s="10"/>
      <c r="C25" s="9"/>
      <c r="D25" s="9"/>
      <c r="E25" s="9"/>
      <c r="F25" s="9"/>
      <c r="G25" s="8"/>
      <c r="H25" s="10"/>
      <c r="I25" s="9"/>
      <c r="J25" s="9"/>
      <c r="K25" s="9"/>
      <c r="L25" s="9"/>
      <c r="M25" s="9"/>
      <c r="N25" s="8"/>
      <c r="O25" s="10"/>
      <c r="P25" s="9"/>
      <c r="Q25" s="9"/>
      <c r="R25" s="9"/>
      <c r="S25" s="46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8"/>
      <c r="AX25" s="49"/>
      <c r="AY25" s="49"/>
      <c r="AZ25" s="49"/>
      <c r="BA25" s="49"/>
      <c r="BB25" s="49"/>
      <c r="BC25" s="50"/>
      <c r="BD25" s="53"/>
      <c r="BE25" s="49"/>
      <c r="BF25" s="49"/>
      <c r="BG25" s="49"/>
      <c r="BH25" s="49"/>
      <c r="BI25" s="49"/>
      <c r="BJ25" s="50"/>
      <c r="BK25" s="17"/>
    </row>
    <row r="26" spans="1:63" ht="15" customHeight="1" x14ac:dyDescent="0.25">
      <c r="A26" s="14"/>
      <c r="B26" s="7"/>
      <c r="C26" s="6"/>
      <c r="D26" s="6"/>
      <c r="E26" s="6"/>
      <c r="F26" s="6"/>
      <c r="G26" s="5"/>
      <c r="H26" s="7"/>
      <c r="I26" s="6"/>
      <c r="J26" s="6"/>
      <c r="K26" s="6"/>
      <c r="L26" s="6"/>
      <c r="M26" s="6"/>
      <c r="N26" s="5"/>
      <c r="O26" s="7"/>
      <c r="P26" s="6"/>
      <c r="Q26" s="6"/>
      <c r="R26" s="6"/>
      <c r="S26" s="55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7"/>
      <c r="AX26" s="51"/>
      <c r="AY26" s="51"/>
      <c r="AZ26" s="51"/>
      <c r="BA26" s="51"/>
      <c r="BB26" s="51"/>
      <c r="BC26" s="52"/>
      <c r="BD26" s="54"/>
      <c r="BE26" s="51"/>
      <c r="BF26" s="51"/>
      <c r="BG26" s="51"/>
      <c r="BH26" s="51"/>
      <c r="BI26" s="51"/>
      <c r="BJ26" s="52"/>
      <c r="BK26" s="17"/>
    </row>
    <row r="27" spans="1:63" ht="15" customHeight="1" x14ac:dyDescent="0.25">
      <c r="A27" s="14"/>
      <c r="B27" s="10"/>
      <c r="C27" s="9"/>
      <c r="D27" s="9"/>
      <c r="E27" s="9"/>
      <c r="F27" s="9"/>
      <c r="G27" s="8"/>
      <c r="H27" s="10"/>
      <c r="I27" s="9"/>
      <c r="J27" s="9"/>
      <c r="K27" s="9"/>
      <c r="L27" s="9"/>
      <c r="M27" s="9"/>
      <c r="N27" s="8"/>
      <c r="O27" s="10"/>
      <c r="P27" s="9"/>
      <c r="Q27" s="9"/>
      <c r="R27" s="9"/>
      <c r="S27" s="46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8"/>
      <c r="AX27" s="49"/>
      <c r="AY27" s="49"/>
      <c r="AZ27" s="49"/>
      <c r="BA27" s="49"/>
      <c r="BB27" s="49"/>
      <c r="BC27" s="50"/>
      <c r="BD27" s="53"/>
      <c r="BE27" s="49"/>
      <c r="BF27" s="49"/>
      <c r="BG27" s="49"/>
      <c r="BH27" s="49"/>
      <c r="BI27" s="49"/>
      <c r="BJ27" s="50"/>
      <c r="BK27" s="17"/>
    </row>
    <row r="28" spans="1:63" ht="15" customHeight="1" x14ac:dyDescent="0.25">
      <c r="A28" s="14"/>
      <c r="B28" s="7"/>
      <c r="C28" s="6"/>
      <c r="D28" s="6"/>
      <c r="E28" s="6"/>
      <c r="F28" s="6"/>
      <c r="G28" s="5"/>
      <c r="H28" s="7"/>
      <c r="I28" s="6"/>
      <c r="J28" s="6"/>
      <c r="K28" s="6"/>
      <c r="L28" s="6"/>
      <c r="M28" s="6"/>
      <c r="N28" s="5"/>
      <c r="O28" s="7"/>
      <c r="P28" s="6"/>
      <c r="Q28" s="6"/>
      <c r="R28" s="6"/>
      <c r="S28" s="55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7"/>
      <c r="AX28" s="51"/>
      <c r="AY28" s="51"/>
      <c r="AZ28" s="51"/>
      <c r="BA28" s="51"/>
      <c r="BB28" s="51"/>
      <c r="BC28" s="52"/>
      <c r="BD28" s="54"/>
      <c r="BE28" s="51"/>
      <c r="BF28" s="51"/>
      <c r="BG28" s="51"/>
      <c r="BH28" s="51"/>
      <c r="BI28" s="51"/>
      <c r="BJ28" s="52"/>
      <c r="BK28" s="17"/>
    </row>
    <row r="29" spans="1:63" ht="15" customHeight="1" x14ac:dyDescent="0.25">
      <c r="A29" s="14"/>
      <c r="B29" s="10"/>
      <c r="C29" s="9"/>
      <c r="D29" s="9"/>
      <c r="E29" s="9"/>
      <c r="F29" s="9"/>
      <c r="G29" s="8"/>
      <c r="H29" s="10"/>
      <c r="I29" s="9"/>
      <c r="J29" s="9"/>
      <c r="K29" s="9"/>
      <c r="L29" s="9"/>
      <c r="M29" s="9"/>
      <c r="N29" s="8"/>
      <c r="O29" s="10"/>
      <c r="P29" s="9"/>
      <c r="Q29" s="9"/>
      <c r="R29" s="9"/>
      <c r="S29" s="46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8"/>
      <c r="AX29" s="49"/>
      <c r="AY29" s="49"/>
      <c r="AZ29" s="49"/>
      <c r="BA29" s="49"/>
      <c r="BB29" s="49"/>
      <c r="BC29" s="50"/>
      <c r="BD29" s="53"/>
      <c r="BE29" s="49"/>
      <c r="BF29" s="49"/>
      <c r="BG29" s="49"/>
      <c r="BH29" s="49"/>
      <c r="BI29" s="49"/>
      <c r="BJ29" s="50"/>
      <c r="BK29" s="17"/>
    </row>
    <row r="30" spans="1:63" ht="15" customHeight="1" x14ac:dyDescent="0.25">
      <c r="A30" s="14"/>
      <c r="B30" s="7"/>
      <c r="C30" s="6"/>
      <c r="D30" s="6"/>
      <c r="E30" s="6"/>
      <c r="F30" s="6"/>
      <c r="G30" s="5"/>
      <c r="H30" s="7"/>
      <c r="I30" s="6"/>
      <c r="J30" s="6"/>
      <c r="K30" s="6"/>
      <c r="L30" s="6"/>
      <c r="M30" s="6"/>
      <c r="N30" s="5"/>
      <c r="O30" s="7"/>
      <c r="P30" s="6"/>
      <c r="Q30" s="6"/>
      <c r="R30" s="6"/>
      <c r="S30" s="55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7"/>
      <c r="AX30" s="51"/>
      <c r="AY30" s="51"/>
      <c r="AZ30" s="51"/>
      <c r="BA30" s="51"/>
      <c r="BB30" s="51"/>
      <c r="BC30" s="52"/>
      <c r="BD30" s="54"/>
      <c r="BE30" s="51"/>
      <c r="BF30" s="51"/>
      <c r="BG30" s="51"/>
      <c r="BH30" s="51"/>
      <c r="BI30" s="51"/>
      <c r="BJ30" s="52"/>
      <c r="BK30" s="17"/>
    </row>
    <row r="31" spans="1:63" ht="15" customHeight="1" x14ac:dyDescent="0.25">
      <c r="A31" s="14"/>
      <c r="B31" s="10"/>
      <c r="C31" s="9"/>
      <c r="D31" s="9"/>
      <c r="E31" s="9"/>
      <c r="F31" s="9"/>
      <c r="G31" s="8"/>
      <c r="H31" s="10"/>
      <c r="I31" s="9"/>
      <c r="J31" s="9"/>
      <c r="K31" s="9"/>
      <c r="L31" s="9"/>
      <c r="M31" s="9"/>
      <c r="N31" s="8"/>
      <c r="O31" s="10"/>
      <c r="P31" s="9"/>
      <c r="Q31" s="9"/>
      <c r="R31" s="9"/>
      <c r="S31" s="46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8"/>
      <c r="AX31" s="49"/>
      <c r="AY31" s="49"/>
      <c r="AZ31" s="49"/>
      <c r="BA31" s="49"/>
      <c r="BB31" s="49"/>
      <c r="BC31" s="50"/>
      <c r="BD31" s="53"/>
      <c r="BE31" s="49"/>
      <c r="BF31" s="49"/>
      <c r="BG31" s="49"/>
      <c r="BH31" s="49"/>
      <c r="BI31" s="49"/>
      <c r="BJ31" s="50"/>
      <c r="BK31" s="17"/>
    </row>
    <row r="32" spans="1:63" ht="15" customHeight="1" x14ac:dyDescent="0.25">
      <c r="A32" s="14"/>
      <c r="B32" s="7"/>
      <c r="C32" s="6"/>
      <c r="D32" s="6"/>
      <c r="E32" s="6"/>
      <c r="F32" s="6"/>
      <c r="G32" s="5"/>
      <c r="H32" s="7"/>
      <c r="I32" s="6"/>
      <c r="J32" s="6"/>
      <c r="K32" s="6"/>
      <c r="L32" s="6"/>
      <c r="M32" s="6"/>
      <c r="N32" s="5"/>
      <c r="O32" s="7"/>
      <c r="P32" s="6"/>
      <c r="Q32" s="6"/>
      <c r="R32" s="6"/>
      <c r="S32" s="55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7"/>
      <c r="AX32" s="51"/>
      <c r="AY32" s="51"/>
      <c r="AZ32" s="51"/>
      <c r="BA32" s="51"/>
      <c r="BB32" s="51"/>
      <c r="BC32" s="52"/>
      <c r="BD32" s="54"/>
      <c r="BE32" s="51"/>
      <c r="BF32" s="51"/>
      <c r="BG32" s="51"/>
      <c r="BH32" s="51"/>
      <c r="BI32" s="51"/>
      <c r="BJ32" s="52"/>
      <c r="BK32" s="17"/>
    </row>
    <row r="33" spans="1:63" ht="15" customHeight="1" x14ac:dyDescent="0.25">
      <c r="A33" s="14"/>
      <c r="B33" s="10"/>
      <c r="C33" s="9"/>
      <c r="D33" s="9"/>
      <c r="E33" s="9"/>
      <c r="F33" s="9"/>
      <c r="G33" s="8"/>
      <c r="H33" s="10"/>
      <c r="I33" s="9"/>
      <c r="J33" s="9"/>
      <c r="K33" s="9"/>
      <c r="L33" s="9"/>
      <c r="M33" s="9"/>
      <c r="N33" s="8"/>
      <c r="O33" s="10"/>
      <c r="P33" s="9"/>
      <c r="Q33" s="9"/>
      <c r="R33" s="9"/>
      <c r="S33" s="46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8"/>
      <c r="AX33" s="49"/>
      <c r="AY33" s="49"/>
      <c r="AZ33" s="49"/>
      <c r="BA33" s="49"/>
      <c r="BB33" s="49"/>
      <c r="BC33" s="50"/>
      <c r="BD33" s="53"/>
      <c r="BE33" s="49"/>
      <c r="BF33" s="49"/>
      <c r="BG33" s="49"/>
      <c r="BH33" s="49"/>
      <c r="BI33" s="49"/>
      <c r="BJ33" s="50"/>
      <c r="BK33" s="17"/>
    </row>
    <row r="34" spans="1:63" ht="15" customHeight="1" x14ac:dyDescent="0.25">
      <c r="A34" s="14"/>
      <c r="B34" s="7"/>
      <c r="C34" s="6"/>
      <c r="D34" s="6"/>
      <c r="E34" s="6"/>
      <c r="F34" s="6"/>
      <c r="G34" s="5"/>
      <c r="H34" s="7"/>
      <c r="I34" s="6"/>
      <c r="J34" s="6"/>
      <c r="K34" s="6"/>
      <c r="L34" s="6"/>
      <c r="M34" s="6"/>
      <c r="N34" s="5"/>
      <c r="O34" s="7"/>
      <c r="P34" s="6"/>
      <c r="Q34" s="6"/>
      <c r="R34" s="6"/>
      <c r="S34" s="55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7"/>
      <c r="AX34" s="51"/>
      <c r="AY34" s="51"/>
      <c r="AZ34" s="51"/>
      <c r="BA34" s="51"/>
      <c r="BB34" s="51"/>
      <c r="BC34" s="52"/>
      <c r="BD34" s="54"/>
      <c r="BE34" s="51"/>
      <c r="BF34" s="51"/>
      <c r="BG34" s="51"/>
      <c r="BH34" s="51"/>
      <c r="BI34" s="51"/>
      <c r="BJ34" s="52"/>
      <c r="BK34" s="17"/>
    </row>
    <row r="35" spans="1:63" ht="15" customHeight="1" x14ac:dyDescent="0.25">
      <c r="A35" s="14"/>
      <c r="B35" s="10"/>
      <c r="C35" s="9"/>
      <c r="D35" s="9"/>
      <c r="E35" s="9"/>
      <c r="F35" s="9"/>
      <c r="G35" s="8"/>
      <c r="H35" s="10"/>
      <c r="I35" s="9"/>
      <c r="J35" s="9"/>
      <c r="K35" s="9"/>
      <c r="L35" s="9"/>
      <c r="M35" s="9"/>
      <c r="N35" s="8"/>
      <c r="O35" s="10"/>
      <c r="P35" s="9"/>
      <c r="Q35" s="9"/>
      <c r="R35" s="9"/>
      <c r="S35" s="46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8"/>
      <c r="AX35" s="49"/>
      <c r="AY35" s="49"/>
      <c r="AZ35" s="49"/>
      <c r="BA35" s="49"/>
      <c r="BB35" s="49"/>
      <c r="BC35" s="50"/>
      <c r="BD35" s="53"/>
      <c r="BE35" s="49"/>
      <c r="BF35" s="49"/>
      <c r="BG35" s="49"/>
      <c r="BH35" s="49"/>
      <c r="BI35" s="49"/>
      <c r="BJ35" s="50"/>
      <c r="BK35" s="17"/>
    </row>
    <row r="36" spans="1:63" ht="15" customHeight="1" x14ac:dyDescent="0.25">
      <c r="A36" s="14"/>
      <c r="B36" s="7"/>
      <c r="C36" s="6"/>
      <c r="D36" s="6"/>
      <c r="E36" s="6"/>
      <c r="F36" s="6"/>
      <c r="G36" s="5"/>
      <c r="H36" s="7"/>
      <c r="I36" s="6"/>
      <c r="J36" s="6"/>
      <c r="K36" s="6"/>
      <c r="L36" s="6"/>
      <c r="M36" s="6"/>
      <c r="N36" s="5"/>
      <c r="O36" s="7"/>
      <c r="P36" s="6"/>
      <c r="Q36" s="6"/>
      <c r="R36" s="6"/>
      <c r="S36" s="55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7"/>
      <c r="AX36" s="51"/>
      <c r="AY36" s="51"/>
      <c r="AZ36" s="51"/>
      <c r="BA36" s="51"/>
      <c r="BB36" s="51"/>
      <c r="BC36" s="52"/>
      <c r="BD36" s="54"/>
      <c r="BE36" s="51"/>
      <c r="BF36" s="51"/>
      <c r="BG36" s="51"/>
      <c r="BH36" s="51"/>
      <c r="BI36" s="51"/>
      <c r="BJ36" s="52"/>
      <c r="BK36" s="17"/>
    </row>
    <row r="37" spans="1:63" ht="15" customHeight="1" x14ac:dyDescent="0.25">
      <c r="A37" s="14"/>
      <c r="B37" s="10"/>
      <c r="C37" s="9"/>
      <c r="D37" s="9"/>
      <c r="E37" s="9"/>
      <c r="F37" s="9"/>
      <c r="G37" s="8"/>
      <c r="H37" s="10"/>
      <c r="I37" s="9"/>
      <c r="J37" s="9"/>
      <c r="K37" s="9"/>
      <c r="L37" s="9"/>
      <c r="M37" s="9"/>
      <c r="N37" s="8"/>
      <c r="O37" s="10"/>
      <c r="P37" s="9"/>
      <c r="Q37" s="9"/>
      <c r="R37" s="9"/>
      <c r="S37" s="46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8"/>
      <c r="AX37" s="49"/>
      <c r="AY37" s="49"/>
      <c r="AZ37" s="49"/>
      <c r="BA37" s="49"/>
      <c r="BB37" s="49"/>
      <c r="BC37" s="50"/>
      <c r="BD37" s="53"/>
      <c r="BE37" s="49"/>
      <c r="BF37" s="49"/>
      <c r="BG37" s="49"/>
      <c r="BH37" s="49"/>
      <c r="BI37" s="49"/>
      <c r="BJ37" s="50"/>
      <c r="BK37" s="17"/>
    </row>
    <row r="38" spans="1:63" ht="15" customHeight="1" x14ac:dyDescent="0.25">
      <c r="A38" s="14"/>
      <c r="B38" s="7"/>
      <c r="C38" s="6"/>
      <c r="D38" s="6"/>
      <c r="E38" s="6"/>
      <c r="F38" s="6"/>
      <c r="G38" s="5"/>
      <c r="H38" s="7"/>
      <c r="I38" s="6"/>
      <c r="J38" s="6"/>
      <c r="K38" s="6"/>
      <c r="L38" s="6"/>
      <c r="M38" s="6"/>
      <c r="N38" s="5"/>
      <c r="O38" s="7"/>
      <c r="P38" s="6"/>
      <c r="Q38" s="6"/>
      <c r="R38" s="6"/>
      <c r="S38" s="55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7"/>
      <c r="AX38" s="51"/>
      <c r="AY38" s="51"/>
      <c r="AZ38" s="51"/>
      <c r="BA38" s="51"/>
      <c r="BB38" s="51"/>
      <c r="BC38" s="52"/>
      <c r="BD38" s="54"/>
      <c r="BE38" s="51"/>
      <c r="BF38" s="51"/>
      <c r="BG38" s="51"/>
      <c r="BH38" s="51"/>
      <c r="BI38" s="51"/>
      <c r="BJ38" s="52"/>
      <c r="BK38" s="17"/>
    </row>
    <row r="39" spans="1:63" ht="15" customHeight="1" x14ac:dyDescent="0.25">
      <c r="A39" s="14"/>
      <c r="B39" s="10"/>
      <c r="C39" s="9"/>
      <c r="D39" s="9"/>
      <c r="E39" s="9"/>
      <c r="F39" s="9"/>
      <c r="G39" s="8"/>
      <c r="H39" s="10"/>
      <c r="I39" s="9"/>
      <c r="J39" s="9"/>
      <c r="K39" s="9"/>
      <c r="L39" s="9"/>
      <c r="M39" s="9"/>
      <c r="N39" s="8"/>
      <c r="O39" s="10"/>
      <c r="P39" s="9"/>
      <c r="Q39" s="9"/>
      <c r="R39" s="9"/>
      <c r="S39" s="46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8"/>
      <c r="AX39" s="49"/>
      <c r="AY39" s="49"/>
      <c r="AZ39" s="49"/>
      <c r="BA39" s="49"/>
      <c r="BB39" s="49"/>
      <c r="BC39" s="50"/>
      <c r="BD39" s="53"/>
      <c r="BE39" s="49"/>
      <c r="BF39" s="49"/>
      <c r="BG39" s="49"/>
      <c r="BH39" s="49"/>
      <c r="BI39" s="49"/>
      <c r="BJ39" s="50"/>
      <c r="BK39" s="17"/>
    </row>
    <row r="40" spans="1:63" ht="15" customHeight="1" x14ac:dyDescent="0.25">
      <c r="A40" s="14"/>
      <c r="B40" s="7"/>
      <c r="C40" s="6"/>
      <c r="D40" s="6"/>
      <c r="E40" s="6"/>
      <c r="F40" s="6"/>
      <c r="G40" s="5"/>
      <c r="H40" s="7"/>
      <c r="I40" s="6"/>
      <c r="J40" s="6"/>
      <c r="K40" s="6"/>
      <c r="L40" s="6"/>
      <c r="M40" s="6"/>
      <c r="N40" s="5"/>
      <c r="O40" s="7"/>
      <c r="P40" s="6"/>
      <c r="Q40" s="6"/>
      <c r="R40" s="6"/>
      <c r="S40" s="55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7"/>
      <c r="AX40" s="51"/>
      <c r="AY40" s="51"/>
      <c r="AZ40" s="51"/>
      <c r="BA40" s="51"/>
      <c r="BB40" s="51"/>
      <c r="BC40" s="52"/>
      <c r="BD40" s="54"/>
      <c r="BE40" s="51"/>
      <c r="BF40" s="51"/>
      <c r="BG40" s="51"/>
      <c r="BH40" s="51"/>
      <c r="BI40" s="51"/>
      <c r="BJ40" s="52"/>
      <c r="BK40" s="17"/>
    </row>
    <row r="41" spans="1:63" ht="15" customHeight="1" x14ac:dyDescent="0.25">
      <c r="A41" s="14"/>
      <c r="B41" s="10"/>
      <c r="C41" s="9"/>
      <c r="D41" s="9"/>
      <c r="E41" s="9"/>
      <c r="F41" s="9"/>
      <c r="G41" s="8"/>
      <c r="H41" s="10"/>
      <c r="I41" s="9"/>
      <c r="J41" s="9"/>
      <c r="K41" s="9"/>
      <c r="L41" s="9"/>
      <c r="M41" s="9"/>
      <c r="N41" s="8"/>
      <c r="O41" s="10"/>
      <c r="P41" s="9"/>
      <c r="Q41" s="9"/>
      <c r="R41" s="9"/>
      <c r="S41" s="46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8"/>
      <c r="AX41" s="49"/>
      <c r="AY41" s="49"/>
      <c r="AZ41" s="49"/>
      <c r="BA41" s="49"/>
      <c r="BB41" s="49"/>
      <c r="BC41" s="50"/>
      <c r="BD41" s="53"/>
      <c r="BE41" s="49"/>
      <c r="BF41" s="49"/>
      <c r="BG41" s="49"/>
      <c r="BH41" s="49"/>
      <c r="BI41" s="49"/>
      <c r="BJ41" s="50"/>
      <c r="BK41" s="17"/>
    </row>
    <row r="42" spans="1:63" ht="15" customHeight="1" x14ac:dyDescent="0.25">
      <c r="A42" s="14"/>
      <c r="B42" s="7"/>
      <c r="C42" s="6"/>
      <c r="D42" s="6"/>
      <c r="E42" s="6"/>
      <c r="F42" s="6"/>
      <c r="G42" s="5"/>
      <c r="H42" s="7"/>
      <c r="I42" s="6"/>
      <c r="J42" s="6"/>
      <c r="K42" s="6"/>
      <c r="L42" s="6"/>
      <c r="M42" s="6"/>
      <c r="N42" s="5"/>
      <c r="O42" s="7"/>
      <c r="P42" s="6"/>
      <c r="Q42" s="6"/>
      <c r="R42" s="6"/>
      <c r="S42" s="55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7"/>
      <c r="AX42" s="51"/>
      <c r="AY42" s="51"/>
      <c r="AZ42" s="51"/>
      <c r="BA42" s="51"/>
      <c r="BB42" s="51"/>
      <c r="BC42" s="52"/>
      <c r="BD42" s="54"/>
      <c r="BE42" s="51"/>
      <c r="BF42" s="51"/>
      <c r="BG42" s="51"/>
      <c r="BH42" s="51"/>
      <c r="BI42" s="51"/>
      <c r="BJ42" s="52"/>
      <c r="BK42" s="17"/>
    </row>
    <row r="43" spans="1:63" ht="15" customHeight="1" x14ac:dyDescent="0.25">
      <c r="A43" s="14"/>
      <c r="B43" s="10"/>
      <c r="C43" s="9"/>
      <c r="D43" s="9"/>
      <c r="E43" s="9"/>
      <c r="F43" s="9"/>
      <c r="G43" s="8"/>
      <c r="H43" s="10"/>
      <c r="I43" s="9"/>
      <c r="J43" s="9"/>
      <c r="K43" s="9"/>
      <c r="L43" s="9"/>
      <c r="M43" s="9"/>
      <c r="N43" s="8"/>
      <c r="O43" s="10"/>
      <c r="P43" s="9"/>
      <c r="Q43" s="9"/>
      <c r="R43" s="9"/>
      <c r="S43" s="46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8"/>
      <c r="AX43" s="49"/>
      <c r="AY43" s="49"/>
      <c r="AZ43" s="49"/>
      <c r="BA43" s="49"/>
      <c r="BB43" s="49"/>
      <c r="BC43" s="50"/>
      <c r="BD43" s="53"/>
      <c r="BE43" s="49"/>
      <c r="BF43" s="49"/>
      <c r="BG43" s="49"/>
      <c r="BH43" s="49"/>
      <c r="BI43" s="49"/>
      <c r="BJ43" s="50"/>
      <c r="BK43" s="17"/>
    </row>
    <row r="44" spans="1:63" ht="15" customHeight="1" x14ac:dyDescent="0.25">
      <c r="A44" s="14"/>
      <c r="B44" s="7"/>
      <c r="C44" s="6"/>
      <c r="D44" s="6"/>
      <c r="E44" s="6"/>
      <c r="F44" s="6"/>
      <c r="G44" s="5"/>
      <c r="H44" s="7"/>
      <c r="I44" s="6"/>
      <c r="J44" s="6"/>
      <c r="K44" s="6"/>
      <c r="L44" s="6"/>
      <c r="M44" s="6"/>
      <c r="N44" s="5"/>
      <c r="O44" s="7"/>
      <c r="P44" s="6"/>
      <c r="Q44" s="6"/>
      <c r="R44" s="6"/>
      <c r="S44" s="55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7"/>
      <c r="AX44" s="51"/>
      <c r="AY44" s="51"/>
      <c r="AZ44" s="51"/>
      <c r="BA44" s="51"/>
      <c r="BB44" s="51"/>
      <c r="BC44" s="52"/>
      <c r="BD44" s="54"/>
      <c r="BE44" s="51"/>
      <c r="BF44" s="51"/>
      <c r="BG44" s="51"/>
      <c r="BH44" s="51"/>
      <c r="BI44" s="51"/>
      <c r="BJ44" s="52"/>
      <c r="BK44" s="17"/>
    </row>
    <row r="45" spans="1:63" ht="15" customHeight="1" x14ac:dyDescent="0.25">
      <c r="A45" s="14"/>
      <c r="B45" s="10"/>
      <c r="C45" s="9"/>
      <c r="D45" s="9"/>
      <c r="E45" s="9"/>
      <c r="F45" s="9"/>
      <c r="G45" s="8"/>
      <c r="H45" s="10"/>
      <c r="I45" s="9"/>
      <c r="J45" s="9"/>
      <c r="K45" s="9"/>
      <c r="L45" s="9"/>
      <c r="M45" s="9"/>
      <c r="N45" s="8"/>
      <c r="O45" s="10"/>
      <c r="P45" s="9"/>
      <c r="Q45" s="9"/>
      <c r="R45" s="9"/>
      <c r="S45" s="46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8"/>
      <c r="AX45" s="49"/>
      <c r="AY45" s="49"/>
      <c r="AZ45" s="49"/>
      <c r="BA45" s="49"/>
      <c r="BB45" s="49"/>
      <c r="BC45" s="50"/>
      <c r="BD45" s="53"/>
      <c r="BE45" s="49"/>
      <c r="BF45" s="49"/>
      <c r="BG45" s="49"/>
      <c r="BH45" s="49"/>
      <c r="BI45" s="49"/>
      <c r="BJ45" s="50"/>
      <c r="BK45" s="17"/>
    </row>
    <row r="46" spans="1:63" ht="15" customHeight="1" x14ac:dyDescent="0.25">
      <c r="A46" s="14"/>
      <c r="B46" s="7"/>
      <c r="C46" s="6"/>
      <c r="D46" s="6"/>
      <c r="E46" s="6"/>
      <c r="F46" s="6"/>
      <c r="G46" s="5"/>
      <c r="H46" s="7"/>
      <c r="I46" s="6"/>
      <c r="J46" s="6"/>
      <c r="K46" s="6"/>
      <c r="L46" s="6"/>
      <c r="M46" s="6"/>
      <c r="N46" s="5"/>
      <c r="O46" s="7"/>
      <c r="P46" s="6"/>
      <c r="Q46" s="6"/>
      <c r="R46" s="6"/>
      <c r="S46" s="55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7"/>
      <c r="AX46" s="51"/>
      <c r="AY46" s="51"/>
      <c r="AZ46" s="51"/>
      <c r="BA46" s="51"/>
      <c r="BB46" s="51"/>
      <c r="BC46" s="52"/>
      <c r="BD46" s="54"/>
      <c r="BE46" s="51"/>
      <c r="BF46" s="51"/>
      <c r="BG46" s="51"/>
      <c r="BH46" s="51"/>
      <c r="BI46" s="51"/>
      <c r="BJ46" s="52"/>
      <c r="BK46" s="17"/>
    </row>
    <row r="47" spans="1:63" ht="15" customHeight="1" x14ac:dyDescent="0.25">
      <c r="A47" s="14"/>
      <c r="B47" s="10"/>
      <c r="C47" s="9"/>
      <c r="D47" s="9"/>
      <c r="E47" s="9"/>
      <c r="F47" s="9"/>
      <c r="G47" s="8"/>
      <c r="H47" s="10"/>
      <c r="I47" s="9"/>
      <c r="J47" s="9"/>
      <c r="K47" s="9"/>
      <c r="L47" s="9"/>
      <c r="M47" s="9"/>
      <c r="N47" s="8"/>
      <c r="O47" s="10"/>
      <c r="P47" s="9"/>
      <c r="Q47" s="9"/>
      <c r="R47" s="9"/>
      <c r="S47" s="46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8"/>
      <c r="AX47" s="49"/>
      <c r="AY47" s="49"/>
      <c r="AZ47" s="49"/>
      <c r="BA47" s="49"/>
      <c r="BB47" s="49"/>
      <c r="BC47" s="50"/>
      <c r="BD47" s="53"/>
      <c r="BE47" s="49"/>
      <c r="BF47" s="49"/>
      <c r="BG47" s="49"/>
      <c r="BH47" s="49"/>
      <c r="BI47" s="49"/>
      <c r="BJ47" s="50"/>
      <c r="BK47" s="17"/>
    </row>
    <row r="48" spans="1:63" ht="15" customHeight="1" x14ac:dyDescent="0.25">
      <c r="A48" s="14"/>
      <c r="B48" s="7"/>
      <c r="C48" s="6"/>
      <c r="D48" s="6"/>
      <c r="E48" s="6"/>
      <c r="F48" s="6"/>
      <c r="G48" s="5"/>
      <c r="H48" s="7"/>
      <c r="I48" s="6"/>
      <c r="J48" s="6"/>
      <c r="K48" s="6"/>
      <c r="L48" s="6"/>
      <c r="M48" s="6"/>
      <c r="N48" s="5"/>
      <c r="O48" s="7"/>
      <c r="P48" s="6"/>
      <c r="Q48" s="6"/>
      <c r="R48" s="6"/>
      <c r="S48" s="55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7"/>
      <c r="AX48" s="51"/>
      <c r="AY48" s="51"/>
      <c r="AZ48" s="51"/>
      <c r="BA48" s="51"/>
      <c r="BB48" s="51"/>
      <c r="BC48" s="52"/>
      <c r="BD48" s="54"/>
      <c r="BE48" s="51"/>
      <c r="BF48" s="51"/>
      <c r="BG48" s="51"/>
      <c r="BH48" s="51"/>
      <c r="BI48" s="51"/>
      <c r="BJ48" s="52"/>
      <c r="BK48" s="17"/>
    </row>
    <row r="49" spans="1:63" ht="15" customHeight="1" x14ac:dyDescent="0.25">
      <c r="A49" s="14"/>
      <c r="B49" s="10"/>
      <c r="C49" s="9"/>
      <c r="D49" s="9"/>
      <c r="E49" s="9"/>
      <c r="F49" s="9"/>
      <c r="G49" s="8"/>
      <c r="H49" s="10"/>
      <c r="I49" s="9"/>
      <c r="J49" s="9"/>
      <c r="K49" s="9"/>
      <c r="L49" s="9"/>
      <c r="M49" s="9"/>
      <c r="N49" s="8"/>
      <c r="O49" s="10"/>
      <c r="P49" s="9"/>
      <c r="Q49" s="9"/>
      <c r="R49" s="9"/>
      <c r="S49" s="46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8"/>
      <c r="AX49" s="49"/>
      <c r="AY49" s="49"/>
      <c r="AZ49" s="49"/>
      <c r="BA49" s="49"/>
      <c r="BB49" s="49"/>
      <c r="BC49" s="50"/>
      <c r="BD49" s="53"/>
      <c r="BE49" s="49"/>
      <c r="BF49" s="49"/>
      <c r="BG49" s="49"/>
      <c r="BH49" s="49"/>
      <c r="BI49" s="49"/>
      <c r="BJ49" s="50"/>
      <c r="BK49" s="17"/>
    </row>
    <row r="50" spans="1:63" ht="15" customHeight="1" x14ac:dyDescent="0.25">
      <c r="A50" s="14"/>
      <c r="B50" s="7"/>
      <c r="C50" s="6"/>
      <c r="D50" s="6"/>
      <c r="E50" s="6"/>
      <c r="F50" s="6"/>
      <c r="G50" s="5"/>
      <c r="H50" s="7"/>
      <c r="I50" s="6"/>
      <c r="J50" s="6"/>
      <c r="K50" s="6"/>
      <c r="L50" s="6"/>
      <c r="M50" s="6"/>
      <c r="N50" s="5"/>
      <c r="O50" s="7"/>
      <c r="P50" s="6"/>
      <c r="Q50" s="6"/>
      <c r="R50" s="6"/>
      <c r="S50" s="55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7"/>
      <c r="AX50" s="51"/>
      <c r="AY50" s="51"/>
      <c r="AZ50" s="51"/>
      <c r="BA50" s="51"/>
      <c r="BB50" s="51"/>
      <c r="BC50" s="52"/>
      <c r="BD50" s="54"/>
      <c r="BE50" s="51"/>
      <c r="BF50" s="51"/>
      <c r="BG50" s="51"/>
      <c r="BH50" s="51"/>
      <c r="BI50" s="51"/>
      <c r="BJ50" s="52"/>
      <c r="BK50" s="17"/>
    </row>
    <row r="51" spans="1:63" ht="15" customHeight="1" x14ac:dyDescent="0.25">
      <c r="A51" s="14"/>
      <c r="B51" s="10"/>
      <c r="C51" s="9"/>
      <c r="D51" s="9"/>
      <c r="E51" s="9"/>
      <c r="F51" s="9"/>
      <c r="G51" s="8"/>
      <c r="H51" s="10"/>
      <c r="I51" s="9"/>
      <c r="J51" s="9"/>
      <c r="K51" s="9"/>
      <c r="L51" s="9"/>
      <c r="M51" s="9"/>
      <c r="N51" s="8"/>
      <c r="O51" s="10"/>
      <c r="P51" s="9"/>
      <c r="Q51" s="9"/>
      <c r="R51" s="9"/>
      <c r="S51" s="46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8"/>
      <c r="AX51" s="49"/>
      <c r="AY51" s="49"/>
      <c r="AZ51" s="49"/>
      <c r="BA51" s="49"/>
      <c r="BB51" s="49"/>
      <c r="BC51" s="50"/>
      <c r="BD51" s="53"/>
      <c r="BE51" s="49"/>
      <c r="BF51" s="49"/>
      <c r="BG51" s="49"/>
      <c r="BH51" s="49"/>
      <c r="BI51" s="49"/>
      <c r="BJ51" s="50"/>
      <c r="BK51" s="17"/>
    </row>
    <row r="52" spans="1:63" ht="15" customHeight="1" x14ac:dyDescent="0.25">
      <c r="A52" s="14"/>
      <c r="B52" s="7"/>
      <c r="C52" s="6"/>
      <c r="D52" s="6"/>
      <c r="E52" s="6"/>
      <c r="F52" s="6"/>
      <c r="G52" s="5"/>
      <c r="H52" s="7"/>
      <c r="I52" s="6"/>
      <c r="J52" s="6"/>
      <c r="K52" s="6"/>
      <c r="L52" s="6"/>
      <c r="M52" s="6"/>
      <c r="N52" s="5"/>
      <c r="O52" s="7"/>
      <c r="P52" s="6"/>
      <c r="Q52" s="6"/>
      <c r="R52" s="6"/>
      <c r="S52" s="55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7"/>
      <c r="AX52" s="51"/>
      <c r="AY52" s="51"/>
      <c r="AZ52" s="51"/>
      <c r="BA52" s="51"/>
      <c r="BB52" s="51"/>
      <c r="BC52" s="52"/>
      <c r="BD52" s="54"/>
      <c r="BE52" s="51"/>
      <c r="BF52" s="51"/>
      <c r="BG52" s="51"/>
      <c r="BH52" s="51"/>
      <c r="BI52" s="51"/>
      <c r="BJ52" s="52"/>
      <c r="BK52" s="17"/>
    </row>
    <row r="53" spans="1:63" ht="15" customHeight="1" x14ac:dyDescent="0.25">
      <c r="A53" s="14"/>
      <c r="B53" s="10"/>
      <c r="C53" s="9"/>
      <c r="D53" s="9"/>
      <c r="E53" s="9"/>
      <c r="F53" s="9"/>
      <c r="G53" s="8"/>
      <c r="H53" s="10"/>
      <c r="I53" s="9"/>
      <c r="J53" s="9"/>
      <c r="K53" s="9"/>
      <c r="L53" s="9"/>
      <c r="M53" s="9"/>
      <c r="N53" s="8"/>
      <c r="O53" s="10"/>
      <c r="P53" s="9"/>
      <c r="Q53" s="9"/>
      <c r="R53" s="9"/>
      <c r="S53" s="46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8"/>
      <c r="AX53" s="49"/>
      <c r="AY53" s="49"/>
      <c r="AZ53" s="49"/>
      <c r="BA53" s="49"/>
      <c r="BB53" s="49"/>
      <c r="BC53" s="50"/>
      <c r="BD53" s="53"/>
      <c r="BE53" s="49"/>
      <c r="BF53" s="49"/>
      <c r="BG53" s="49"/>
      <c r="BH53" s="49"/>
      <c r="BI53" s="49"/>
      <c r="BJ53" s="50"/>
      <c r="BK53" s="17"/>
    </row>
    <row r="54" spans="1:63" ht="15" customHeight="1" x14ac:dyDescent="0.25">
      <c r="A54" s="14"/>
      <c r="B54" s="7"/>
      <c r="C54" s="6"/>
      <c r="D54" s="6"/>
      <c r="E54" s="6"/>
      <c r="F54" s="6"/>
      <c r="G54" s="5"/>
      <c r="H54" s="7"/>
      <c r="I54" s="6"/>
      <c r="J54" s="6"/>
      <c r="K54" s="6"/>
      <c r="L54" s="6"/>
      <c r="M54" s="6"/>
      <c r="N54" s="5"/>
      <c r="O54" s="7"/>
      <c r="P54" s="6"/>
      <c r="Q54" s="6"/>
      <c r="R54" s="6"/>
      <c r="S54" s="55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7"/>
      <c r="AX54" s="51"/>
      <c r="AY54" s="51"/>
      <c r="AZ54" s="51"/>
      <c r="BA54" s="51"/>
      <c r="BB54" s="51"/>
      <c r="BC54" s="52"/>
      <c r="BD54" s="54"/>
      <c r="BE54" s="51"/>
      <c r="BF54" s="51"/>
      <c r="BG54" s="51"/>
      <c r="BH54" s="51"/>
      <c r="BI54" s="51"/>
      <c r="BJ54" s="52"/>
      <c r="BK54" s="17"/>
    </row>
    <row r="55" spans="1:63" ht="15" customHeight="1" x14ac:dyDescent="0.25">
      <c r="A55" s="15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00FF"/>
    <pageSetUpPr fitToPage="1"/>
  </sheetPr>
  <dimension ref="A1:BK105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9"/>
  </cols>
  <sheetData>
    <row r="1" spans="1:63" ht="24.95" customHeight="1" x14ac:dyDescent="0.25">
      <c r="A1" s="204" t="s">
        <v>47</v>
      </c>
      <c r="B1" s="205"/>
      <c r="C1" s="205"/>
      <c r="D1" s="205"/>
      <c r="E1" s="205"/>
      <c r="F1" s="205"/>
      <c r="G1" s="205"/>
      <c r="H1" s="205"/>
      <c r="I1" s="205"/>
      <c r="J1" s="206"/>
      <c r="K1" s="204" t="s">
        <v>48</v>
      </c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6"/>
      <c r="W1" s="207" t="str">
        <f>IF(表紙!W1="","",表紙!W1)</f>
        <v>詳細設計書</v>
      </c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9"/>
      <c r="AP1" s="130" t="s">
        <v>50</v>
      </c>
      <c r="AQ1" s="131"/>
      <c r="AR1" s="131"/>
      <c r="AS1" s="132"/>
      <c r="AT1" s="130" t="s">
        <v>51</v>
      </c>
      <c r="AU1" s="131"/>
      <c r="AV1" s="131"/>
      <c r="AW1" s="131"/>
      <c r="AX1" s="132"/>
      <c r="AY1" s="130" t="s">
        <v>52</v>
      </c>
      <c r="AZ1" s="131"/>
      <c r="BA1" s="131"/>
      <c r="BB1" s="132"/>
      <c r="BC1" s="130" t="s">
        <v>53</v>
      </c>
      <c r="BD1" s="131"/>
      <c r="BE1" s="131"/>
      <c r="BF1" s="131"/>
      <c r="BG1" s="132"/>
      <c r="BH1" s="130" t="s">
        <v>54</v>
      </c>
      <c r="BI1" s="131"/>
      <c r="BJ1" s="131"/>
      <c r="BK1" s="132"/>
    </row>
    <row r="2" spans="1:63" ht="15" customHeight="1" x14ac:dyDescent="0.25">
      <c r="A2" s="124" t="str">
        <f>IF(表紙!A2="","",表紙!A2)</f>
        <v>POSサーバー</v>
      </c>
      <c r="B2" s="125"/>
      <c r="C2" s="125"/>
      <c r="D2" s="125"/>
      <c r="E2" s="125"/>
      <c r="F2" s="125"/>
      <c r="G2" s="125"/>
      <c r="H2" s="125"/>
      <c r="I2" s="125"/>
      <c r="J2" s="126"/>
      <c r="K2" s="124" t="str">
        <f>IF(表紙!K2="","",表紙!K2)</f>
        <v>POSサーバ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6"/>
      <c r="W2" s="210"/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2"/>
      <c r="AP2" s="139" t="str">
        <f>IF(表紙!AP2="","",表紙!AP2)</f>
        <v>LoiLV</v>
      </c>
      <c r="AQ2" s="137"/>
      <c r="AR2" s="137"/>
      <c r="AS2" s="138"/>
      <c r="AT2" s="143">
        <f>IF(表紙!AT2="","",表紙!AT2)</f>
        <v>45468</v>
      </c>
      <c r="AU2" s="144"/>
      <c r="AV2" s="144"/>
      <c r="AW2" s="144"/>
      <c r="AX2" s="145"/>
      <c r="AY2" s="139" t="str">
        <f>IF(表紙!AY2="","",表紙!AY2)</f>
        <v>AnhDD</v>
      </c>
      <c r="AZ2" s="137"/>
      <c r="BA2" s="137"/>
      <c r="BB2" s="138"/>
      <c r="BC2" s="143">
        <f>IF(表紙!BC2="","",表紙!BC2)</f>
        <v>45568</v>
      </c>
      <c r="BD2" s="144"/>
      <c r="BE2" s="144"/>
      <c r="BF2" s="144"/>
      <c r="BG2" s="145"/>
      <c r="BH2" s="139">
        <f>IF(表紙!BH2="","",表紙!BH2)</f>
        <v>0.2</v>
      </c>
      <c r="BI2" s="137"/>
      <c r="BJ2" s="137"/>
      <c r="BK2" s="138"/>
    </row>
    <row r="3" spans="1:63" ht="15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9"/>
      <c r="K3" s="127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9"/>
      <c r="W3" s="213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5"/>
      <c r="AP3" s="149"/>
      <c r="AQ3" s="150"/>
      <c r="AR3" s="150"/>
      <c r="AS3" s="151"/>
      <c r="AT3" s="155"/>
      <c r="AU3" s="156"/>
      <c r="AV3" s="156"/>
      <c r="AW3" s="156"/>
      <c r="AX3" s="157"/>
      <c r="AY3" s="149"/>
      <c r="AZ3" s="150"/>
      <c r="BA3" s="150"/>
      <c r="BB3" s="151"/>
      <c r="BC3" s="155"/>
      <c r="BD3" s="156"/>
      <c r="BE3" s="156"/>
      <c r="BF3" s="156"/>
      <c r="BG3" s="157"/>
      <c r="BH3" s="149"/>
      <c r="BI3" s="150"/>
      <c r="BJ3" s="150"/>
      <c r="BK3" s="151"/>
    </row>
    <row r="4" spans="1:63" ht="24.95" customHeight="1" x14ac:dyDescent="0.25">
      <c r="A4" s="204" t="s">
        <v>56</v>
      </c>
      <c r="B4" s="205"/>
      <c r="C4" s="205"/>
      <c r="D4" s="205"/>
      <c r="E4" s="205"/>
      <c r="F4" s="205"/>
      <c r="G4" s="206"/>
      <c r="H4" s="102" t="str">
        <f>IF(表紙!H4="","",表紙!H4)</f>
        <v>X0_ログイン機能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204" t="s">
        <v>57</v>
      </c>
      <c r="V4" s="205"/>
      <c r="W4" s="205"/>
      <c r="X4" s="205"/>
      <c r="Y4" s="206"/>
      <c r="Z4" s="102" t="str">
        <f>IF(表紙!Z4="","",表紙!Z4)</f>
        <v>画面設計書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5" t="str">
        <f ca="1">MID(CELL("filename",A1),FIND("]",CELL("filename",A1))+1,255)</f>
        <v>SCX001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7" s="29" t="s">
        <v>22</v>
      </c>
      <c r="C7" s="216"/>
      <c r="D7" s="216"/>
      <c r="E7" s="216"/>
      <c r="F7" s="216"/>
      <c r="G7" s="216"/>
      <c r="H7" s="216"/>
      <c r="I7" s="216"/>
      <c r="J7" s="216"/>
      <c r="AE7" s="25"/>
      <c r="BK7" s="24"/>
    </row>
    <row r="8" spans="1:63" ht="15" customHeight="1" x14ac:dyDescent="0.25">
      <c r="A8" s="23"/>
      <c r="C8" s="28" t="s">
        <v>66</v>
      </c>
      <c r="BK8" s="24"/>
    </row>
    <row r="9" spans="1:63" ht="15" customHeight="1" x14ac:dyDescent="0.25">
      <c r="A9" s="23"/>
      <c r="BK9" s="24"/>
    </row>
    <row r="10" spans="1:63" ht="15" customHeight="1" x14ac:dyDescent="0.25">
      <c r="A10" s="23"/>
      <c r="BK10" s="24"/>
    </row>
    <row r="11" spans="1:63" ht="15" customHeight="1" x14ac:dyDescent="0.25">
      <c r="A11" s="23"/>
      <c r="BK11" s="24"/>
    </row>
    <row r="12" spans="1:63" ht="15" customHeight="1" x14ac:dyDescent="0.25">
      <c r="A12" s="23"/>
      <c r="BK12" s="24"/>
    </row>
    <row r="13" spans="1:63" ht="15" customHeight="1" x14ac:dyDescent="0.25">
      <c r="A13" s="23"/>
      <c r="BK13" s="24"/>
    </row>
    <row r="14" spans="1:63" ht="15" customHeight="1" x14ac:dyDescent="0.25">
      <c r="A14" s="23"/>
      <c r="BK14" s="24"/>
    </row>
    <row r="15" spans="1:63" ht="15" customHeight="1" x14ac:dyDescent="0.25">
      <c r="A15" s="23"/>
      <c r="BK15" s="24"/>
    </row>
    <row r="16" spans="1:63" ht="15" customHeight="1" x14ac:dyDescent="0.25">
      <c r="A16" s="23"/>
      <c r="BK16" s="24"/>
    </row>
    <row r="17" spans="1:63" ht="15" customHeight="1" x14ac:dyDescent="0.25">
      <c r="A17" s="23"/>
      <c r="BK17" s="24"/>
    </row>
    <row r="18" spans="1:63" ht="15" customHeight="1" x14ac:dyDescent="0.25">
      <c r="A18" s="23"/>
      <c r="BK18" s="24"/>
    </row>
    <row r="19" spans="1:63" ht="15" customHeight="1" x14ac:dyDescent="0.25">
      <c r="A19" s="23"/>
      <c r="BK19" s="24"/>
    </row>
    <row r="20" spans="1:63" ht="15" customHeight="1" x14ac:dyDescent="0.25">
      <c r="A20" s="23"/>
      <c r="BK20" s="24"/>
    </row>
    <row r="21" spans="1:63" ht="15" customHeight="1" x14ac:dyDescent="0.25">
      <c r="A21" s="23"/>
      <c r="BK21" s="24"/>
    </row>
    <row r="22" spans="1:63" ht="15" customHeight="1" x14ac:dyDescent="0.25">
      <c r="A22" s="23"/>
      <c r="BK22" s="24"/>
    </row>
    <row r="23" spans="1:63" ht="15" customHeight="1" x14ac:dyDescent="0.25">
      <c r="A23" s="23"/>
      <c r="BK23" s="24"/>
    </row>
    <row r="24" spans="1:63" ht="15" customHeight="1" x14ac:dyDescent="0.25">
      <c r="A24" s="23"/>
      <c r="BK24" s="24"/>
    </row>
    <row r="25" spans="1:63" ht="15" customHeight="1" x14ac:dyDescent="0.25">
      <c r="A25" s="23"/>
      <c r="BK25" s="24"/>
    </row>
    <row r="26" spans="1:63" ht="15" customHeight="1" x14ac:dyDescent="0.25">
      <c r="A26" s="23"/>
      <c r="BK26" s="24"/>
    </row>
    <row r="27" spans="1:63" ht="15" customHeight="1" x14ac:dyDescent="0.25">
      <c r="A27" s="23"/>
      <c r="BK27" s="24"/>
    </row>
    <row r="28" spans="1:63" ht="15" customHeight="1" x14ac:dyDescent="0.25">
      <c r="A28" s="23"/>
      <c r="BK28" s="24"/>
    </row>
    <row r="29" spans="1:63" ht="15" customHeight="1" x14ac:dyDescent="0.25">
      <c r="A29" s="23"/>
      <c r="BK29" s="24"/>
    </row>
    <row r="30" spans="1:63" ht="15" customHeight="1" x14ac:dyDescent="0.25">
      <c r="A30" s="23"/>
      <c r="BK30" s="24"/>
    </row>
    <row r="31" spans="1:63" ht="15" customHeight="1" x14ac:dyDescent="0.25">
      <c r="A31" s="23"/>
      <c r="BK31" s="24"/>
    </row>
    <row r="32" spans="1:63" ht="15" customHeight="1" x14ac:dyDescent="0.25">
      <c r="A32" s="23"/>
      <c r="BK32" s="24"/>
    </row>
    <row r="33" spans="1:63" ht="15" customHeight="1" x14ac:dyDescent="0.25">
      <c r="A33" s="23"/>
      <c r="BK33" s="24"/>
    </row>
    <row r="34" spans="1:63" ht="15" customHeight="1" x14ac:dyDescent="0.25">
      <c r="A34" s="23"/>
      <c r="BK34" s="24"/>
    </row>
    <row r="35" spans="1:63" ht="15" customHeight="1" x14ac:dyDescent="0.25">
      <c r="A35" s="23"/>
      <c r="BK35" s="24"/>
    </row>
    <row r="36" spans="1:63" ht="15" customHeight="1" x14ac:dyDescent="0.25">
      <c r="A36" s="23"/>
      <c r="BK36" s="24"/>
    </row>
    <row r="37" spans="1:63" ht="15" customHeight="1" x14ac:dyDescent="0.25">
      <c r="A37" s="23"/>
      <c r="BK37" s="24"/>
    </row>
    <row r="38" spans="1:63" ht="15" customHeight="1" x14ac:dyDescent="0.25">
      <c r="A38" s="23"/>
      <c r="BK38" s="24"/>
    </row>
    <row r="39" spans="1:63" ht="15" customHeight="1" x14ac:dyDescent="0.25">
      <c r="A39" s="23"/>
      <c r="BK39" s="24"/>
    </row>
    <row r="40" spans="1:63" ht="15" customHeight="1" x14ac:dyDescent="0.25">
      <c r="A40" s="23"/>
      <c r="BK40" s="24"/>
    </row>
    <row r="41" spans="1:63" ht="15" customHeight="1" x14ac:dyDescent="0.25">
      <c r="A41" s="23"/>
      <c r="BK41" s="24"/>
    </row>
    <row r="42" spans="1:63" ht="15" customHeight="1" x14ac:dyDescent="0.25">
      <c r="A42" s="23"/>
      <c r="BK42" s="24"/>
    </row>
    <row r="43" spans="1:63" ht="15" customHeight="1" x14ac:dyDescent="0.25">
      <c r="A43" s="23"/>
      <c r="BK43" s="24"/>
    </row>
    <row r="44" spans="1:63" ht="15" customHeight="1" x14ac:dyDescent="0.25">
      <c r="A44" s="23"/>
      <c r="BK44" s="24"/>
    </row>
    <row r="45" spans="1:63" ht="15" customHeight="1" x14ac:dyDescent="0.25">
      <c r="A45" s="23"/>
      <c r="BK45" s="24"/>
    </row>
    <row r="46" spans="1:63" ht="15" customHeight="1" x14ac:dyDescent="0.25">
      <c r="A46" s="23"/>
      <c r="BK46" s="24"/>
    </row>
    <row r="47" spans="1:63" ht="15" customHeight="1" x14ac:dyDescent="0.25">
      <c r="A47" s="23"/>
      <c r="BK47" s="24"/>
    </row>
    <row r="48" spans="1:63" ht="15" customHeight="1" x14ac:dyDescent="0.25">
      <c r="A48" s="23"/>
      <c r="BK48" s="24"/>
    </row>
    <row r="49" spans="1:63" ht="15" customHeight="1" x14ac:dyDescent="0.25">
      <c r="A49" s="23"/>
      <c r="BK49" s="24"/>
    </row>
    <row r="50" spans="1:63" ht="15" customHeight="1" x14ac:dyDescent="0.25">
      <c r="A50" s="23"/>
      <c r="BK50" s="24"/>
    </row>
    <row r="51" spans="1:63" ht="15" customHeight="1" x14ac:dyDescent="0.25">
      <c r="A51" s="23"/>
      <c r="BK51" s="24"/>
    </row>
    <row r="52" spans="1:63" ht="15" customHeight="1" x14ac:dyDescent="0.25">
      <c r="A52" s="23"/>
      <c r="BK52" s="24"/>
    </row>
    <row r="53" spans="1:63" ht="14.25" customHeight="1" x14ac:dyDescent="0.25">
      <c r="A53" s="23"/>
      <c r="BK53" s="24"/>
    </row>
    <row r="54" spans="1:63" ht="15" customHeight="1" x14ac:dyDescent="0.25">
      <c r="A54" s="23"/>
      <c r="BK54" s="24"/>
    </row>
    <row r="55" spans="1:63" ht="15" customHeight="1" x14ac:dyDescent="0.25">
      <c r="A55" s="23"/>
      <c r="BK55" s="24"/>
    </row>
    <row r="56" spans="1:63" x14ac:dyDescent="0.25">
      <c r="A56" s="23"/>
      <c r="BK56" s="24"/>
    </row>
    <row r="57" spans="1:63" x14ac:dyDescent="0.25">
      <c r="A57" s="23"/>
      <c r="BK57" s="24"/>
    </row>
    <row r="58" spans="1:63" x14ac:dyDescent="0.25">
      <c r="A58" s="23"/>
      <c r="BK58" s="24"/>
    </row>
    <row r="59" spans="1:63" x14ac:dyDescent="0.25">
      <c r="A59" s="23"/>
      <c r="BK59" s="24"/>
    </row>
    <row r="60" spans="1:63" x14ac:dyDescent="0.25">
      <c r="A60" s="23"/>
      <c r="BK60" s="24"/>
    </row>
    <row r="61" spans="1:63" x14ac:dyDescent="0.25">
      <c r="A61" s="23"/>
      <c r="BK61" s="24"/>
    </row>
    <row r="62" spans="1:63" ht="15" customHeight="1" x14ac:dyDescent="0.25">
      <c r="A62" s="23"/>
      <c r="B62" s="25" t="s">
        <v>67</v>
      </c>
      <c r="BK62" s="24"/>
    </row>
    <row r="63" spans="1:63" x14ac:dyDescent="0.25">
      <c r="A63" s="23"/>
      <c r="BK63" s="24"/>
    </row>
    <row r="64" spans="1:63" ht="15.75" customHeight="1" x14ac:dyDescent="0.25">
      <c r="A64" s="23"/>
      <c r="B64" s="106" t="s">
        <v>68</v>
      </c>
      <c r="C64" s="107"/>
      <c r="D64" s="112" t="s">
        <v>69</v>
      </c>
      <c r="E64" s="113"/>
      <c r="F64" s="113"/>
      <c r="G64" s="113"/>
      <c r="H64" s="113"/>
      <c r="I64" s="113"/>
      <c r="J64" s="107"/>
      <c r="K64" s="112" t="s">
        <v>70</v>
      </c>
      <c r="L64" s="113"/>
      <c r="M64" s="107"/>
      <c r="N64" s="116" t="s">
        <v>15</v>
      </c>
      <c r="O64" s="119" t="s">
        <v>71</v>
      </c>
      <c r="P64" s="70" t="s">
        <v>72</v>
      </c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2"/>
      <c r="AR64" s="73" t="s">
        <v>73</v>
      </c>
      <c r="AS64" s="74"/>
      <c r="AT64" s="74"/>
      <c r="AU64" s="74"/>
      <c r="AV64" s="74"/>
      <c r="AW64" s="74"/>
      <c r="AX64" s="74"/>
      <c r="AY64" s="74"/>
      <c r="AZ64" s="74"/>
      <c r="BA64" s="74"/>
      <c r="BB64" s="75"/>
      <c r="BC64" s="76" t="s">
        <v>74</v>
      </c>
      <c r="BD64" s="77"/>
      <c r="BE64" s="77"/>
      <c r="BF64" s="77"/>
      <c r="BG64" s="77"/>
      <c r="BH64" s="77"/>
      <c r="BI64" s="77"/>
      <c r="BJ64" s="78"/>
      <c r="BK64" s="24"/>
    </row>
    <row r="65" spans="1:63" ht="15.75" customHeight="1" x14ac:dyDescent="0.25">
      <c r="A65" s="23"/>
      <c r="B65" s="108"/>
      <c r="C65" s="109"/>
      <c r="D65" s="108"/>
      <c r="E65" s="114"/>
      <c r="F65" s="114"/>
      <c r="G65" s="114"/>
      <c r="H65" s="114"/>
      <c r="I65" s="114"/>
      <c r="J65" s="109"/>
      <c r="K65" s="108"/>
      <c r="L65" s="114"/>
      <c r="M65" s="109"/>
      <c r="N65" s="117"/>
      <c r="O65" s="120"/>
      <c r="P65" s="85" t="s">
        <v>75</v>
      </c>
      <c r="Q65" s="86"/>
      <c r="R65" s="86"/>
      <c r="S65" s="86"/>
      <c r="T65" s="86"/>
      <c r="U65" s="86"/>
      <c r="V65" s="86"/>
      <c r="W65" s="87"/>
      <c r="X65" s="88" t="s">
        <v>76</v>
      </c>
      <c r="Y65" s="89"/>
      <c r="Z65" s="90"/>
      <c r="AA65" s="88" t="s">
        <v>77</v>
      </c>
      <c r="AB65" s="89"/>
      <c r="AC65" s="89"/>
      <c r="AD65" s="89"/>
      <c r="AE65" s="89"/>
      <c r="AF65" s="89"/>
      <c r="AG65" s="89"/>
      <c r="AH65" s="90"/>
      <c r="AI65" s="88" t="s">
        <v>78</v>
      </c>
      <c r="AJ65" s="89"/>
      <c r="AK65" s="89"/>
      <c r="AL65" s="89"/>
      <c r="AM65" s="89"/>
      <c r="AN65" s="89"/>
      <c r="AO65" s="89"/>
      <c r="AP65" s="89"/>
      <c r="AQ65" s="90"/>
      <c r="AR65" s="94" t="s">
        <v>16</v>
      </c>
      <c r="AS65" s="96" t="s">
        <v>79</v>
      </c>
      <c r="AT65" s="98" t="s">
        <v>80</v>
      </c>
      <c r="AU65" s="73" t="s">
        <v>75</v>
      </c>
      <c r="AV65" s="74"/>
      <c r="AW65" s="74"/>
      <c r="AX65" s="74"/>
      <c r="AY65" s="74"/>
      <c r="AZ65" s="74"/>
      <c r="BA65" s="74"/>
      <c r="BB65" s="75"/>
      <c r="BC65" s="79"/>
      <c r="BD65" s="80"/>
      <c r="BE65" s="80"/>
      <c r="BF65" s="80"/>
      <c r="BG65" s="80"/>
      <c r="BH65" s="80"/>
      <c r="BI65" s="80"/>
      <c r="BJ65" s="81"/>
      <c r="BK65" s="24"/>
    </row>
    <row r="66" spans="1:63" x14ac:dyDescent="0.25">
      <c r="A66" s="23"/>
      <c r="B66" s="110"/>
      <c r="C66" s="111"/>
      <c r="D66" s="110"/>
      <c r="E66" s="115"/>
      <c r="F66" s="115"/>
      <c r="G66" s="115"/>
      <c r="H66" s="115"/>
      <c r="I66" s="115"/>
      <c r="J66" s="111"/>
      <c r="K66" s="110"/>
      <c r="L66" s="115"/>
      <c r="M66" s="111"/>
      <c r="N66" s="118"/>
      <c r="O66" s="121"/>
      <c r="P66" s="70" t="s">
        <v>81</v>
      </c>
      <c r="Q66" s="71"/>
      <c r="R66" s="71"/>
      <c r="S66" s="72"/>
      <c r="T66" s="70" t="s">
        <v>69</v>
      </c>
      <c r="U66" s="71"/>
      <c r="V66" s="71"/>
      <c r="W66" s="72"/>
      <c r="X66" s="91"/>
      <c r="Y66" s="92"/>
      <c r="Z66" s="93"/>
      <c r="AA66" s="91"/>
      <c r="AB66" s="92"/>
      <c r="AC66" s="92"/>
      <c r="AD66" s="92"/>
      <c r="AE66" s="92"/>
      <c r="AF66" s="92"/>
      <c r="AG66" s="92"/>
      <c r="AH66" s="93"/>
      <c r="AI66" s="91"/>
      <c r="AJ66" s="92"/>
      <c r="AK66" s="92"/>
      <c r="AL66" s="92"/>
      <c r="AM66" s="92"/>
      <c r="AN66" s="92"/>
      <c r="AO66" s="92"/>
      <c r="AP66" s="92"/>
      <c r="AQ66" s="93"/>
      <c r="AR66" s="95"/>
      <c r="AS66" s="97"/>
      <c r="AT66" s="99"/>
      <c r="AU66" s="73" t="s">
        <v>81</v>
      </c>
      <c r="AV66" s="74"/>
      <c r="AW66" s="74"/>
      <c r="AX66" s="122"/>
      <c r="AY66" s="123" t="s">
        <v>69</v>
      </c>
      <c r="AZ66" s="74"/>
      <c r="BA66" s="74"/>
      <c r="BB66" s="75"/>
      <c r="BC66" s="82"/>
      <c r="BD66" s="83"/>
      <c r="BE66" s="83"/>
      <c r="BF66" s="83"/>
      <c r="BG66" s="83"/>
      <c r="BH66" s="83"/>
      <c r="BI66" s="83"/>
      <c r="BJ66" s="84"/>
      <c r="BK66" s="24"/>
    </row>
    <row r="67" spans="1:63" x14ac:dyDescent="0.25">
      <c r="A67" s="23"/>
      <c r="B67" s="235">
        <v>0</v>
      </c>
      <c r="C67" s="235"/>
      <c r="D67" s="67" t="s">
        <v>43</v>
      </c>
      <c r="E67" s="67"/>
      <c r="F67" s="67"/>
      <c r="G67" s="67"/>
      <c r="H67" s="67"/>
      <c r="I67" s="67"/>
      <c r="J67" s="67"/>
      <c r="K67" s="67" t="s">
        <v>20</v>
      </c>
      <c r="L67" s="67"/>
      <c r="M67" s="67"/>
      <c r="N67" s="27" t="s">
        <v>17</v>
      </c>
      <c r="O67" s="27" t="s">
        <v>17</v>
      </c>
      <c r="P67" s="68" t="s">
        <v>17</v>
      </c>
      <c r="Q67" s="69"/>
      <c r="R67" s="69"/>
      <c r="S67" s="69"/>
      <c r="T67" s="68" t="s">
        <v>17</v>
      </c>
      <c r="U67" s="69"/>
      <c r="V67" s="69"/>
      <c r="W67" s="69"/>
      <c r="X67" s="100" t="s">
        <v>82</v>
      </c>
      <c r="Y67" s="100"/>
      <c r="Z67" s="100"/>
      <c r="AA67" s="243" t="s">
        <v>91</v>
      </c>
      <c r="AB67" s="243"/>
      <c r="AC67" s="243"/>
      <c r="AD67" s="243"/>
      <c r="AE67" s="243"/>
      <c r="AF67" s="243"/>
      <c r="AG67" s="243"/>
      <c r="AH67" s="243"/>
      <c r="AI67" s="101" t="s">
        <v>17</v>
      </c>
      <c r="AJ67" s="101"/>
      <c r="AK67" s="101"/>
      <c r="AL67" s="101"/>
      <c r="AM67" s="101"/>
      <c r="AN67" s="101"/>
      <c r="AO67" s="101"/>
      <c r="AP67" s="101"/>
      <c r="AQ67" s="101"/>
      <c r="AR67" s="27" t="s">
        <v>17</v>
      </c>
      <c r="AS67" s="27" t="s">
        <v>21</v>
      </c>
      <c r="AT67" s="27" t="s">
        <v>21</v>
      </c>
      <c r="AU67" s="69" t="s">
        <v>19</v>
      </c>
      <c r="AV67" s="69"/>
      <c r="AW67" s="69"/>
      <c r="AX67" s="69"/>
      <c r="AY67" s="68" t="s">
        <v>83</v>
      </c>
      <c r="AZ67" s="69"/>
      <c r="BA67" s="69"/>
      <c r="BB67" s="69"/>
      <c r="BC67" s="217" t="s">
        <v>84</v>
      </c>
      <c r="BD67" s="217"/>
      <c r="BE67" s="217"/>
      <c r="BF67" s="217"/>
      <c r="BG67" s="217"/>
      <c r="BH67" s="217"/>
      <c r="BI67" s="217"/>
      <c r="BJ67" s="217"/>
      <c r="BK67" s="24"/>
    </row>
    <row r="68" spans="1:63" x14ac:dyDescent="0.25">
      <c r="A68" s="23"/>
      <c r="B68" s="236">
        <v>1</v>
      </c>
      <c r="C68" s="236"/>
      <c r="D68" s="65" t="s">
        <v>23</v>
      </c>
      <c r="E68" s="65"/>
      <c r="F68" s="65"/>
      <c r="G68" s="65"/>
      <c r="H68" s="65"/>
      <c r="I68" s="65"/>
      <c r="J68" s="65"/>
      <c r="K68" s="66" t="s">
        <v>20</v>
      </c>
      <c r="L68" s="66"/>
      <c r="M68" s="66"/>
      <c r="N68" s="26" t="s">
        <v>17</v>
      </c>
      <c r="O68" s="26" t="s">
        <v>18</v>
      </c>
      <c r="P68" s="60" t="s">
        <v>19</v>
      </c>
      <c r="Q68" s="60"/>
      <c r="R68" s="60"/>
      <c r="S68" s="60"/>
      <c r="T68" s="60" t="s">
        <v>19</v>
      </c>
      <c r="U68" s="60"/>
      <c r="V68" s="60"/>
      <c r="W68" s="60"/>
      <c r="X68" s="63" t="s">
        <v>85</v>
      </c>
      <c r="Y68" s="64"/>
      <c r="Z68" s="64"/>
      <c r="AA68" s="60" t="s">
        <v>21</v>
      </c>
      <c r="AB68" s="60"/>
      <c r="AC68" s="60"/>
      <c r="AD68" s="60"/>
      <c r="AE68" s="60"/>
      <c r="AF68" s="60"/>
      <c r="AG68" s="60"/>
      <c r="AH68" s="60"/>
      <c r="AI68" s="61" t="s">
        <v>21</v>
      </c>
      <c r="AJ68" s="61"/>
      <c r="AK68" s="61"/>
      <c r="AL68" s="61"/>
      <c r="AM68" s="61"/>
      <c r="AN68" s="61"/>
      <c r="AO68" s="61"/>
      <c r="AP68" s="61"/>
      <c r="AQ68" s="61"/>
      <c r="AR68" s="26" t="s">
        <v>17</v>
      </c>
      <c r="AS68" s="26" t="s">
        <v>21</v>
      </c>
      <c r="AT68" s="26" t="s">
        <v>21</v>
      </c>
      <c r="AU68" s="60" t="s">
        <v>19</v>
      </c>
      <c r="AV68" s="60"/>
      <c r="AW68" s="60"/>
      <c r="AX68" s="60"/>
      <c r="AY68" s="60" t="s">
        <v>21</v>
      </c>
      <c r="AZ68" s="60"/>
      <c r="BA68" s="60"/>
      <c r="BB68" s="60"/>
      <c r="BC68" s="62"/>
      <c r="BD68" s="218"/>
      <c r="BE68" s="218"/>
      <c r="BF68" s="218"/>
      <c r="BG68" s="218"/>
      <c r="BH68" s="218"/>
      <c r="BI68" s="218"/>
      <c r="BJ68" s="218"/>
      <c r="BK68" s="24"/>
    </row>
    <row r="69" spans="1:63" ht="79.5" customHeight="1" x14ac:dyDescent="0.25">
      <c r="A69" s="23"/>
      <c r="B69" s="236">
        <v>2</v>
      </c>
      <c r="C69" s="236"/>
      <c r="D69" s="219" t="s">
        <v>24</v>
      </c>
      <c r="E69" s="219"/>
      <c r="F69" s="219"/>
      <c r="G69" s="219"/>
      <c r="H69" s="219"/>
      <c r="I69" s="219"/>
      <c r="J69" s="219"/>
      <c r="K69" s="237" t="s">
        <v>86</v>
      </c>
      <c r="L69" s="237"/>
      <c r="M69" s="237"/>
      <c r="N69" s="220" t="s">
        <v>44</v>
      </c>
      <c r="O69" s="220" t="s">
        <v>17</v>
      </c>
      <c r="P69" s="221" t="s">
        <v>17</v>
      </c>
      <c r="Q69" s="221"/>
      <c r="R69" s="221"/>
      <c r="S69" s="221"/>
      <c r="T69" s="221" t="s">
        <v>17</v>
      </c>
      <c r="U69" s="221"/>
      <c r="V69" s="221"/>
      <c r="W69" s="221"/>
      <c r="X69" s="238" t="s">
        <v>87</v>
      </c>
      <c r="Y69" s="239"/>
      <c r="Z69" s="239"/>
      <c r="AA69" s="221" t="s">
        <v>21</v>
      </c>
      <c r="AB69" s="221"/>
      <c r="AC69" s="221"/>
      <c r="AD69" s="221"/>
      <c r="AE69" s="221"/>
      <c r="AF69" s="221"/>
      <c r="AG69" s="221"/>
      <c r="AH69" s="221"/>
      <c r="AI69" s="222" t="s">
        <v>27</v>
      </c>
      <c r="AJ69" s="222"/>
      <c r="AK69" s="222"/>
      <c r="AL69" s="222"/>
      <c r="AM69" s="222"/>
      <c r="AN69" s="222"/>
      <c r="AO69" s="222"/>
      <c r="AP69" s="222"/>
      <c r="AQ69" s="222"/>
      <c r="AR69" s="220" t="s">
        <v>18</v>
      </c>
      <c r="AS69" s="220" t="s">
        <v>17</v>
      </c>
      <c r="AT69" s="220" t="s">
        <v>17</v>
      </c>
      <c r="AU69" s="221" t="s">
        <v>28</v>
      </c>
      <c r="AV69" s="221"/>
      <c r="AW69" s="221"/>
      <c r="AX69" s="221"/>
      <c r="AY69" s="223" t="s">
        <v>29</v>
      </c>
      <c r="AZ69" s="223"/>
      <c r="BA69" s="223"/>
      <c r="BB69" s="223"/>
      <c r="BC69" s="244" t="s">
        <v>88</v>
      </c>
      <c r="BD69" s="59"/>
      <c r="BE69" s="59"/>
      <c r="BF69" s="59"/>
      <c r="BG69" s="59"/>
      <c r="BH69" s="59"/>
      <c r="BI69" s="59"/>
      <c r="BJ69" s="59"/>
      <c r="BK69" s="24"/>
    </row>
    <row r="70" spans="1:63" x14ac:dyDescent="0.25">
      <c r="A70" s="23"/>
      <c r="B70" s="236">
        <v>3</v>
      </c>
      <c r="C70" s="236"/>
      <c r="D70" s="224" t="s">
        <v>31</v>
      </c>
      <c r="E70" s="224"/>
      <c r="F70" s="224"/>
      <c r="G70" s="224"/>
      <c r="H70" s="224"/>
      <c r="I70" s="224"/>
      <c r="J70" s="224"/>
      <c r="K70" s="218" t="s">
        <v>20</v>
      </c>
      <c r="L70" s="218"/>
      <c r="M70" s="218"/>
      <c r="N70" s="220" t="s">
        <v>17</v>
      </c>
      <c r="O70" s="220" t="s">
        <v>18</v>
      </c>
      <c r="P70" s="221" t="s">
        <v>17</v>
      </c>
      <c r="Q70" s="221"/>
      <c r="R70" s="221"/>
      <c r="S70" s="221"/>
      <c r="T70" s="221" t="s">
        <v>17</v>
      </c>
      <c r="U70" s="221"/>
      <c r="V70" s="221"/>
      <c r="W70" s="221"/>
      <c r="X70" s="225" t="s">
        <v>30</v>
      </c>
      <c r="Y70" s="221"/>
      <c r="Z70" s="221"/>
      <c r="AA70" s="221" t="s">
        <v>21</v>
      </c>
      <c r="AB70" s="221"/>
      <c r="AC70" s="221"/>
      <c r="AD70" s="221"/>
      <c r="AE70" s="221"/>
      <c r="AF70" s="221"/>
      <c r="AG70" s="221"/>
      <c r="AH70" s="221"/>
      <c r="AI70" s="222" t="s">
        <v>21</v>
      </c>
      <c r="AJ70" s="222"/>
      <c r="AK70" s="222"/>
      <c r="AL70" s="222"/>
      <c r="AM70" s="222"/>
      <c r="AN70" s="222"/>
      <c r="AO70" s="222"/>
      <c r="AP70" s="222"/>
      <c r="AQ70" s="222"/>
      <c r="AR70" s="220" t="s">
        <v>17</v>
      </c>
      <c r="AS70" s="220" t="s">
        <v>21</v>
      </c>
      <c r="AT70" s="220" t="s">
        <v>21</v>
      </c>
      <c r="AU70" s="221" t="s">
        <v>17</v>
      </c>
      <c r="AV70" s="221"/>
      <c r="AW70" s="221"/>
      <c r="AX70" s="221"/>
      <c r="AY70" s="221" t="s">
        <v>21</v>
      </c>
      <c r="AZ70" s="221"/>
      <c r="BA70" s="221"/>
      <c r="BB70" s="221"/>
      <c r="BC70" s="218"/>
      <c r="BD70" s="218"/>
      <c r="BE70" s="218"/>
      <c r="BF70" s="218"/>
      <c r="BG70" s="218"/>
      <c r="BH70" s="218"/>
      <c r="BI70" s="218"/>
      <c r="BJ70" s="218"/>
      <c r="BK70" s="24"/>
    </row>
    <row r="71" spans="1:63" ht="46.5" customHeight="1" x14ac:dyDescent="0.25">
      <c r="A71" s="23"/>
      <c r="B71" s="236">
        <v>4</v>
      </c>
      <c r="C71" s="236"/>
      <c r="D71" s="224" t="s">
        <v>32</v>
      </c>
      <c r="E71" s="224"/>
      <c r="F71" s="224"/>
      <c r="G71" s="224"/>
      <c r="H71" s="224"/>
      <c r="I71" s="224"/>
      <c r="J71" s="224"/>
      <c r="K71" s="218" t="s">
        <v>25</v>
      </c>
      <c r="L71" s="218"/>
      <c r="M71" s="218"/>
      <c r="N71" s="220" t="s">
        <v>44</v>
      </c>
      <c r="O71" s="220" t="s">
        <v>17</v>
      </c>
      <c r="P71" s="221" t="s">
        <v>17</v>
      </c>
      <c r="Q71" s="221"/>
      <c r="R71" s="221"/>
      <c r="S71" s="221"/>
      <c r="T71" s="221" t="s">
        <v>17</v>
      </c>
      <c r="U71" s="221"/>
      <c r="V71" s="221"/>
      <c r="W71" s="221"/>
      <c r="X71" s="225"/>
      <c r="Y71" s="221"/>
      <c r="Z71" s="221"/>
      <c r="AA71" s="221" t="s">
        <v>21</v>
      </c>
      <c r="AB71" s="221"/>
      <c r="AC71" s="221"/>
      <c r="AD71" s="221"/>
      <c r="AE71" s="221"/>
      <c r="AF71" s="221"/>
      <c r="AG71" s="221"/>
      <c r="AH71" s="221"/>
      <c r="AI71" s="222" t="s">
        <v>27</v>
      </c>
      <c r="AJ71" s="222"/>
      <c r="AK71" s="222"/>
      <c r="AL71" s="222"/>
      <c r="AM71" s="222"/>
      <c r="AN71" s="222"/>
      <c r="AO71" s="222"/>
      <c r="AP71" s="222"/>
      <c r="AQ71" s="222"/>
      <c r="AR71" s="220" t="s">
        <v>18</v>
      </c>
      <c r="AS71" s="220" t="s">
        <v>18</v>
      </c>
      <c r="AT71" s="220" t="s">
        <v>18</v>
      </c>
      <c r="AU71" s="221" t="s">
        <v>28</v>
      </c>
      <c r="AV71" s="221"/>
      <c r="AW71" s="221"/>
      <c r="AX71" s="221"/>
      <c r="AY71" s="221" t="s">
        <v>33</v>
      </c>
      <c r="AZ71" s="221"/>
      <c r="BA71" s="221"/>
      <c r="BB71" s="221"/>
      <c r="BC71" s="226" t="s">
        <v>94</v>
      </c>
      <c r="BD71" s="218"/>
      <c r="BE71" s="218"/>
      <c r="BF71" s="218"/>
      <c r="BG71" s="218"/>
      <c r="BH71" s="218"/>
      <c r="BI71" s="218"/>
      <c r="BJ71" s="218"/>
      <c r="BK71" s="24"/>
    </row>
    <row r="72" spans="1:63" x14ac:dyDescent="0.25">
      <c r="A72" s="23"/>
      <c r="B72" s="236">
        <v>5</v>
      </c>
      <c r="C72" s="236"/>
      <c r="D72" s="224" t="s">
        <v>34</v>
      </c>
      <c r="E72" s="224"/>
      <c r="F72" s="224"/>
      <c r="G72" s="224"/>
      <c r="H72" s="224"/>
      <c r="I72" s="224"/>
      <c r="J72" s="224"/>
      <c r="K72" s="218" t="s">
        <v>20</v>
      </c>
      <c r="L72" s="218"/>
      <c r="M72" s="218"/>
      <c r="N72" s="220" t="s">
        <v>17</v>
      </c>
      <c r="O72" s="220" t="s">
        <v>18</v>
      </c>
      <c r="P72" s="221" t="s">
        <v>17</v>
      </c>
      <c r="Q72" s="221"/>
      <c r="R72" s="221"/>
      <c r="S72" s="221"/>
      <c r="T72" s="221" t="s">
        <v>17</v>
      </c>
      <c r="U72" s="221"/>
      <c r="V72" s="221"/>
      <c r="W72" s="221"/>
      <c r="X72" s="225" t="s">
        <v>37</v>
      </c>
      <c r="Y72" s="221"/>
      <c r="Z72" s="221"/>
      <c r="AA72" s="221" t="s">
        <v>21</v>
      </c>
      <c r="AB72" s="221"/>
      <c r="AC72" s="221"/>
      <c r="AD72" s="221"/>
      <c r="AE72" s="221"/>
      <c r="AF72" s="221"/>
      <c r="AG72" s="221"/>
      <c r="AH72" s="221"/>
      <c r="AI72" s="222" t="s">
        <v>21</v>
      </c>
      <c r="AJ72" s="222"/>
      <c r="AK72" s="222"/>
      <c r="AL72" s="222"/>
      <c r="AM72" s="222"/>
      <c r="AN72" s="222"/>
      <c r="AO72" s="222"/>
      <c r="AP72" s="222"/>
      <c r="AQ72" s="222"/>
      <c r="AR72" s="220" t="s">
        <v>17</v>
      </c>
      <c r="AS72" s="220" t="s">
        <v>21</v>
      </c>
      <c r="AT72" s="220" t="s">
        <v>21</v>
      </c>
      <c r="AU72" s="221" t="s">
        <v>17</v>
      </c>
      <c r="AV72" s="221"/>
      <c r="AW72" s="221"/>
      <c r="AX72" s="221"/>
      <c r="AY72" s="221" t="s">
        <v>21</v>
      </c>
      <c r="AZ72" s="221"/>
      <c r="BA72" s="221"/>
      <c r="BB72" s="221"/>
      <c r="BC72" s="218"/>
      <c r="BD72" s="218"/>
      <c r="BE72" s="218"/>
      <c r="BF72" s="218"/>
      <c r="BG72" s="218"/>
      <c r="BH72" s="218"/>
      <c r="BI72" s="218"/>
      <c r="BJ72" s="218"/>
      <c r="BK72" s="24"/>
    </row>
    <row r="73" spans="1:63" ht="47.25" customHeight="1" x14ac:dyDescent="0.25">
      <c r="A73" s="23"/>
      <c r="B73" s="236">
        <v>6</v>
      </c>
      <c r="C73" s="236"/>
      <c r="D73" s="224" t="s">
        <v>35</v>
      </c>
      <c r="E73" s="224"/>
      <c r="F73" s="224"/>
      <c r="G73" s="224"/>
      <c r="H73" s="224"/>
      <c r="I73" s="224"/>
      <c r="J73" s="224"/>
      <c r="K73" s="226" t="s">
        <v>36</v>
      </c>
      <c r="L73" s="226"/>
      <c r="M73" s="226"/>
      <c r="N73" s="220" t="s">
        <v>44</v>
      </c>
      <c r="O73" s="220" t="s">
        <v>17</v>
      </c>
      <c r="P73" s="221" t="s">
        <v>17</v>
      </c>
      <c r="Q73" s="221"/>
      <c r="R73" s="221"/>
      <c r="S73" s="221"/>
      <c r="T73" s="221" t="s">
        <v>17</v>
      </c>
      <c r="U73" s="221"/>
      <c r="V73" s="221"/>
      <c r="W73" s="221"/>
      <c r="X73" s="225" t="s">
        <v>26</v>
      </c>
      <c r="Y73" s="221"/>
      <c r="Z73" s="221"/>
      <c r="AA73" s="221" t="s">
        <v>21</v>
      </c>
      <c r="AB73" s="221"/>
      <c r="AC73" s="221"/>
      <c r="AD73" s="221"/>
      <c r="AE73" s="221"/>
      <c r="AF73" s="221"/>
      <c r="AG73" s="221"/>
      <c r="AH73" s="221"/>
      <c r="AI73" s="222" t="s">
        <v>27</v>
      </c>
      <c r="AJ73" s="222"/>
      <c r="AK73" s="222"/>
      <c r="AL73" s="222"/>
      <c r="AM73" s="222"/>
      <c r="AN73" s="222"/>
      <c r="AO73" s="222"/>
      <c r="AP73" s="222"/>
      <c r="AQ73" s="222"/>
      <c r="AR73" s="220" t="s">
        <v>18</v>
      </c>
      <c r="AS73" s="220" t="s">
        <v>18</v>
      </c>
      <c r="AT73" s="220" t="s">
        <v>18</v>
      </c>
      <c r="AU73" s="221" t="s">
        <v>28</v>
      </c>
      <c r="AV73" s="221"/>
      <c r="AW73" s="221"/>
      <c r="AX73" s="221"/>
      <c r="AY73" s="221" t="s">
        <v>38</v>
      </c>
      <c r="AZ73" s="221"/>
      <c r="BA73" s="221"/>
      <c r="BB73" s="221"/>
      <c r="BC73" s="226" t="s">
        <v>95</v>
      </c>
      <c r="BD73" s="218"/>
      <c r="BE73" s="218"/>
      <c r="BF73" s="218"/>
      <c r="BG73" s="218"/>
      <c r="BH73" s="218"/>
      <c r="BI73" s="218"/>
      <c r="BJ73" s="218"/>
      <c r="BK73" s="24"/>
    </row>
    <row r="74" spans="1:63" ht="52.5" customHeight="1" x14ac:dyDescent="0.25">
      <c r="A74" s="23"/>
      <c r="B74" s="235">
        <v>7</v>
      </c>
      <c r="C74" s="235"/>
      <c r="D74" s="219" t="s">
        <v>42</v>
      </c>
      <c r="E74" s="219"/>
      <c r="F74" s="219"/>
      <c r="G74" s="219"/>
      <c r="H74" s="219"/>
      <c r="I74" s="219"/>
      <c r="J74" s="219"/>
      <c r="K74" s="218" t="s">
        <v>20</v>
      </c>
      <c r="L74" s="218"/>
      <c r="M74" s="218"/>
      <c r="N74" s="220" t="s">
        <v>17</v>
      </c>
      <c r="O74" s="220" t="s">
        <v>18</v>
      </c>
      <c r="P74" s="221" t="s">
        <v>17</v>
      </c>
      <c r="Q74" s="221"/>
      <c r="R74" s="221"/>
      <c r="S74" s="221"/>
      <c r="T74" s="221" t="s">
        <v>17</v>
      </c>
      <c r="U74" s="221"/>
      <c r="V74" s="221"/>
      <c r="W74" s="221"/>
      <c r="X74" s="227"/>
      <c r="Y74" s="223"/>
      <c r="Z74" s="223"/>
      <c r="AA74" s="240" t="s">
        <v>92</v>
      </c>
      <c r="AB74" s="228"/>
      <c r="AC74" s="228"/>
      <c r="AD74" s="228"/>
      <c r="AE74" s="228"/>
      <c r="AF74" s="228"/>
      <c r="AG74" s="228"/>
      <c r="AH74" s="228"/>
      <c r="AI74" s="222" t="s">
        <v>21</v>
      </c>
      <c r="AJ74" s="222"/>
      <c r="AK74" s="222"/>
      <c r="AL74" s="222"/>
      <c r="AM74" s="222"/>
      <c r="AN74" s="222"/>
      <c r="AO74" s="222"/>
      <c r="AP74" s="222"/>
      <c r="AQ74" s="222"/>
      <c r="AR74" s="220" t="s">
        <v>17</v>
      </c>
      <c r="AS74" s="220" t="s">
        <v>21</v>
      </c>
      <c r="AT74" s="220" t="s">
        <v>21</v>
      </c>
      <c r="AU74" s="221" t="s">
        <v>17</v>
      </c>
      <c r="AV74" s="221"/>
      <c r="AW74" s="221"/>
      <c r="AX74" s="221"/>
      <c r="AY74" s="221" t="s">
        <v>21</v>
      </c>
      <c r="AZ74" s="221"/>
      <c r="BA74" s="221"/>
      <c r="BB74" s="221"/>
      <c r="BC74" s="219"/>
      <c r="BD74" s="226"/>
      <c r="BE74" s="226"/>
      <c r="BF74" s="226"/>
      <c r="BG74" s="226"/>
      <c r="BH74" s="226"/>
      <c r="BI74" s="226"/>
      <c r="BJ74" s="226"/>
      <c r="BK74" s="24"/>
    </row>
    <row r="75" spans="1:63" ht="46.5" customHeight="1" x14ac:dyDescent="0.25">
      <c r="A75" s="23"/>
      <c r="B75" s="235">
        <v>8</v>
      </c>
      <c r="C75" s="235"/>
      <c r="D75" s="219" t="s">
        <v>42</v>
      </c>
      <c r="E75" s="219"/>
      <c r="F75" s="219"/>
      <c r="G75" s="219"/>
      <c r="H75" s="219"/>
      <c r="I75" s="219"/>
      <c r="J75" s="219"/>
      <c r="K75" s="218" t="s">
        <v>20</v>
      </c>
      <c r="L75" s="218"/>
      <c r="M75" s="218"/>
      <c r="N75" s="220" t="s">
        <v>17</v>
      </c>
      <c r="O75" s="220" t="s">
        <v>18</v>
      </c>
      <c r="P75" s="221" t="s">
        <v>17</v>
      </c>
      <c r="Q75" s="221"/>
      <c r="R75" s="221"/>
      <c r="S75" s="221"/>
      <c r="T75" s="221" t="s">
        <v>17</v>
      </c>
      <c r="U75" s="221"/>
      <c r="V75" s="221"/>
      <c r="W75" s="221"/>
      <c r="X75" s="227"/>
      <c r="Y75" s="223"/>
      <c r="Z75" s="223"/>
      <c r="AA75" s="228" t="s">
        <v>93</v>
      </c>
      <c r="AB75" s="228"/>
      <c r="AC75" s="228"/>
      <c r="AD75" s="228"/>
      <c r="AE75" s="228"/>
      <c r="AF75" s="228"/>
      <c r="AG75" s="228"/>
      <c r="AH75" s="228"/>
      <c r="AI75" s="222" t="s">
        <v>21</v>
      </c>
      <c r="AJ75" s="222"/>
      <c r="AK75" s="222"/>
      <c r="AL75" s="222"/>
      <c r="AM75" s="222"/>
      <c r="AN75" s="222"/>
      <c r="AO75" s="222"/>
      <c r="AP75" s="222"/>
      <c r="AQ75" s="222"/>
      <c r="AR75" s="220" t="s">
        <v>17</v>
      </c>
      <c r="AS75" s="220" t="s">
        <v>21</v>
      </c>
      <c r="AT75" s="220" t="s">
        <v>21</v>
      </c>
      <c r="AU75" s="221" t="s">
        <v>17</v>
      </c>
      <c r="AV75" s="221"/>
      <c r="AW75" s="221"/>
      <c r="AX75" s="221"/>
      <c r="AY75" s="221" t="s">
        <v>21</v>
      </c>
      <c r="AZ75" s="221"/>
      <c r="BA75" s="221"/>
      <c r="BB75" s="221"/>
      <c r="BC75" s="219"/>
      <c r="BD75" s="226"/>
      <c r="BE75" s="226"/>
      <c r="BF75" s="226"/>
      <c r="BG75" s="226"/>
      <c r="BH75" s="226"/>
      <c r="BI75" s="226"/>
      <c r="BJ75" s="226"/>
      <c r="BK75" s="24"/>
    </row>
    <row r="76" spans="1:63" ht="30" customHeight="1" x14ac:dyDescent="0.25">
      <c r="A76" s="23"/>
      <c r="B76" s="236">
        <v>9</v>
      </c>
      <c r="C76" s="236"/>
      <c r="D76" s="229" t="s">
        <v>90</v>
      </c>
      <c r="E76" s="229"/>
      <c r="F76" s="229"/>
      <c r="G76" s="229"/>
      <c r="H76" s="229"/>
      <c r="I76" s="229"/>
      <c r="J76" s="229"/>
      <c r="K76" s="230" t="s">
        <v>39</v>
      </c>
      <c r="L76" s="230"/>
      <c r="M76" s="230"/>
      <c r="N76" s="231" t="s">
        <v>44</v>
      </c>
      <c r="O76" s="231" t="s">
        <v>18</v>
      </c>
      <c r="P76" s="232" t="s">
        <v>17</v>
      </c>
      <c r="Q76" s="232"/>
      <c r="R76" s="232"/>
      <c r="S76" s="232"/>
      <c r="T76" s="232" t="s">
        <v>17</v>
      </c>
      <c r="U76" s="232"/>
      <c r="V76" s="232"/>
      <c r="W76" s="232"/>
      <c r="X76" s="241" t="s">
        <v>89</v>
      </c>
      <c r="Y76" s="242"/>
      <c r="Z76" s="242"/>
      <c r="AA76" s="232" t="s">
        <v>21</v>
      </c>
      <c r="AB76" s="232"/>
      <c r="AC76" s="232"/>
      <c r="AD76" s="232"/>
      <c r="AE76" s="232"/>
      <c r="AF76" s="232"/>
      <c r="AG76" s="232"/>
      <c r="AH76" s="232"/>
      <c r="AI76" s="233" t="s">
        <v>27</v>
      </c>
      <c r="AJ76" s="233"/>
      <c r="AK76" s="233"/>
      <c r="AL76" s="233"/>
      <c r="AM76" s="233"/>
      <c r="AN76" s="233"/>
      <c r="AO76" s="233"/>
      <c r="AP76" s="233"/>
      <c r="AQ76" s="233"/>
      <c r="AR76" s="234" t="s">
        <v>17</v>
      </c>
      <c r="AS76" s="234" t="s">
        <v>17</v>
      </c>
      <c r="AT76" s="234" t="s">
        <v>17</v>
      </c>
      <c r="AU76" s="232" t="s">
        <v>17</v>
      </c>
      <c r="AV76" s="232"/>
      <c r="AW76" s="232"/>
      <c r="AX76" s="232"/>
      <c r="AY76" s="232" t="s">
        <v>17</v>
      </c>
      <c r="AZ76" s="232"/>
      <c r="BA76" s="232"/>
      <c r="BB76" s="232"/>
      <c r="BC76" s="217" t="s">
        <v>84</v>
      </c>
      <c r="BD76" s="217"/>
      <c r="BE76" s="217"/>
      <c r="BF76" s="217"/>
      <c r="BG76" s="217"/>
      <c r="BH76" s="217"/>
      <c r="BI76" s="217"/>
      <c r="BJ76" s="217"/>
      <c r="BK76" s="24"/>
    </row>
    <row r="77" spans="1:63" x14ac:dyDescent="0.25">
      <c r="B77" s="29" t="s">
        <v>22</v>
      </c>
    </row>
    <row r="78" spans="1:63" x14ac:dyDescent="0.25">
      <c r="C78" s="28" t="s">
        <v>45</v>
      </c>
    </row>
    <row r="79" spans="1:63" x14ac:dyDescent="0.25">
      <c r="A79" s="23"/>
      <c r="BK79" s="24"/>
    </row>
    <row r="80" spans="1:63" x14ac:dyDescent="0.25">
      <c r="A80" s="23"/>
      <c r="BK80" s="24"/>
    </row>
    <row r="81" spans="1:63" x14ac:dyDescent="0.25">
      <c r="A81" s="23"/>
      <c r="BK81" s="24"/>
    </row>
    <row r="82" spans="1:63" x14ac:dyDescent="0.25">
      <c r="A82" s="23"/>
      <c r="BK82" s="24"/>
    </row>
    <row r="83" spans="1:63" x14ac:dyDescent="0.25">
      <c r="A83" s="23"/>
      <c r="BK83" s="24"/>
    </row>
    <row r="84" spans="1:63" x14ac:dyDescent="0.25">
      <c r="A84" s="23"/>
      <c r="BK84" s="24"/>
    </row>
    <row r="85" spans="1:63" x14ac:dyDescent="0.25">
      <c r="A85" s="23"/>
      <c r="BK85" s="24"/>
    </row>
    <row r="86" spans="1:63" x14ac:dyDescent="0.25">
      <c r="A86" s="23"/>
      <c r="BK86" s="24"/>
    </row>
    <row r="87" spans="1:63" x14ac:dyDescent="0.25">
      <c r="A87" s="23"/>
      <c r="BK87" s="24"/>
    </row>
    <row r="88" spans="1:63" x14ac:dyDescent="0.25">
      <c r="A88" s="23"/>
      <c r="BK88" s="24"/>
    </row>
    <row r="89" spans="1:63" x14ac:dyDescent="0.25">
      <c r="A89" s="23"/>
      <c r="BK89" s="24"/>
    </row>
    <row r="90" spans="1:63" x14ac:dyDescent="0.25">
      <c r="A90" s="23"/>
      <c r="BK90" s="24"/>
    </row>
    <row r="91" spans="1:63" x14ac:dyDescent="0.25">
      <c r="A91" s="23"/>
      <c r="BK91" s="24"/>
    </row>
    <row r="92" spans="1:63" x14ac:dyDescent="0.25">
      <c r="A92" s="23"/>
      <c r="BK92" s="24"/>
    </row>
    <row r="93" spans="1:63" x14ac:dyDescent="0.25">
      <c r="A93" s="23"/>
      <c r="BK93" s="24"/>
    </row>
    <row r="94" spans="1:63" x14ac:dyDescent="0.25">
      <c r="A94" s="23"/>
      <c r="BK94" s="24"/>
    </row>
    <row r="95" spans="1:63" x14ac:dyDescent="0.25">
      <c r="A95" s="23"/>
      <c r="BK95" s="24"/>
    </row>
    <row r="96" spans="1:63" x14ac:dyDescent="0.25">
      <c r="A96" s="23"/>
      <c r="BK96" s="24"/>
    </row>
    <row r="97" spans="1:63" x14ac:dyDescent="0.25">
      <c r="A97" s="23"/>
      <c r="BK97" s="24"/>
    </row>
    <row r="98" spans="1:63" x14ac:dyDescent="0.25">
      <c r="A98" s="23"/>
      <c r="BK98" s="24"/>
    </row>
    <row r="99" spans="1:63" x14ac:dyDescent="0.25">
      <c r="A99" s="23"/>
      <c r="BK99" s="24"/>
    </row>
    <row r="100" spans="1:63" x14ac:dyDescent="0.25">
      <c r="A100" s="23"/>
      <c r="BK100" s="24"/>
    </row>
    <row r="101" spans="1:63" x14ac:dyDescent="0.25">
      <c r="A101" s="23"/>
      <c r="BK101" s="24"/>
    </row>
    <row r="102" spans="1:63" x14ac:dyDescent="0.25">
      <c r="A102" s="23"/>
      <c r="BK102" s="24"/>
    </row>
    <row r="103" spans="1:63" x14ac:dyDescent="0.25">
      <c r="A103" s="23"/>
      <c r="BK103" s="24"/>
    </row>
    <row r="104" spans="1:63" x14ac:dyDescent="0.25">
      <c r="A104" s="23"/>
      <c r="BK104" s="24"/>
    </row>
    <row r="105" spans="1:63" x14ac:dyDescent="0.25">
      <c r="A105" s="20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2"/>
    </row>
  </sheetData>
  <mergeCells count="150">
    <mergeCell ref="AY72:BB72"/>
    <mergeCell ref="BC72:BJ72"/>
    <mergeCell ref="B73:C73"/>
    <mergeCell ref="D73:J73"/>
    <mergeCell ref="K73:M73"/>
    <mergeCell ref="P73:S73"/>
    <mergeCell ref="T73:W73"/>
    <mergeCell ref="X73:Z73"/>
    <mergeCell ref="AA73:AH73"/>
    <mergeCell ref="AI73:AQ73"/>
    <mergeCell ref="AU73:AX73"/>
    <mergeCell ref="AY73:BB73"/>
    <mergeCell ref="BC73:BJ73"/>
    <mergeCell ref="B72:C72"/>
    <mergeCell ref="D72:J72"/>
    <mergeCell ref="K72:M72"/>
    <mergeCell ref="P72:S72"/>
    <mergeCell ref="T72:W72"/>
    <mergeCell ref="X72:Z72"/>
    <mergeCell ref="AA72:AH72"/>
    <mergeCell ref="AI72:AQ72"/>
    <mergeCell ref="AU72:AX7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64:C66"/>
    <mergeCell ref="D64:J66"/>
    <mergeCell ref="K64:M66"/>
    <mergeCell ref="N64:N66"/>
    <mergeCell ref="O64:O66"/>
    <mergeCell ref="AU66:AX66"/>
    <mergeCell ref="AY66:BB66"/>
    <mergeCell ref="B67:C67"/>
    <mergeCell ref="D67:J67"/>
    <mergeCell ref="K67:M67"/>
    <mergeCell ref="P67:S67"/>
    <mergeCell ref="T67:W67"/>
    <mergeCell ref="P64:AQ64"/>
    <mergeCell ref="AR64:BB64"/>
    <mergeCell ref="BC64:BJ66"/>
    <mergeCell ref="P65:W65"/>
    <mergeCell ref="X65:Z66"/>
    <mergeCell ref="AA65:AH66"/>
    <mergeCell ref="AI65:AQ66"/>
    <mergeCell ref="AR65:AR66"/>
    <mergeCell ref="AS65:AS66"/>
    <mergeCell ref="AT65:AT66"/>
    <mergeCell ref="X67:Z67"/>
    <mergeCell ref="AA67:AH67"/>
    <mergeCell ref="AI67:AQ67"/>
    <mergeCell ref="AU67:AX67"/>
    <mergeCell ref="AY67:BB67"/>
    <mergeCell ref="BC67:BJ67"/>
    <mergeCell ref="AU65:BB65"/>
    <mergeCell ref="P66:S66"/>
    <mergeCell ref="T66:W66"/>
    <mergeCell ref="B69:C69"/>
    <mergeCell ref="D69:J69"/>
    <mergeCell ref="K69:M69"/>
    <mergeCell ref="P69:S69"/>
    <mergeCell ref="T69:W69"/>
    <mergeCell ref="B68:C68"/>
    <mergeCell ref="D68:J68"/>
    <mergeCell ref="K68:M68"/>
    <mergeCell ref="P68:S68"/>
    <mergeCell ref="T68:W68"/>
    <mergeCell ref="X69:Z69"/>
    <mergeCell ref="AA69:AH69"/>
    <mergeCell ref="AI69:AQ69"/>
    <mergeCell ref="AU69:AX69"/>
    <mergeCell ref="AY69:BB69"/>
    <mergeCell ref="BC69:BJ69"/>
    <mergeCell ref="AA68:AH68"/>
    <mergeCell ref="AI68:AQ68"/>
    <mergeCell ref="AU68:AX68"/>
    <mergeCell ref="AY68:BB68"/>
    <mergeCell ref="BC68:BJ68"/>
    <mergeCell ref="X68:Z68"/>
    <mergeCell ref="X70:Z70"/>
    <mergeCell ref="B71:C71"/>
    <mergeCell ref="D71:J71"/>
    <mergeCell ref="K71:M71"/>
    <mergeCell ref="P71:S71"/>
    <mergeCell ref="T71:W71"/>
    <mergeCell ref="B70:C70"/>
    <mergeCell ref="D70:J70"/>
    <mergeCell ref="K70:M70"/>
    <mergeCell ref="P70:S70"/>
    <mergeCell ref="T70:W70"/>
    <mergeCell ref="X71:Z71"/>
    <mergeCell ref="AI71:AQ71"/>
    <mergeCell ref="AU71:AX71"/>
    <mergeCell ref="AY71:BB71"/>
    <mergeCell ref="BC71:BJ71"/>
    <mergeCell ref="AA70:AH70"/>
    <mergeCell ref="AI70:AQ70"/>
    <mergeCell ref="AU70:AX70"/>
    <mergeCell ref="AY70:BB70"/>
    <mergeCell ref="BC70:BJ70"/>
    <mergeCell ref="AA71:AH71"/>
    <mergeCell ref="AA76:AH76"/>
    <mergeCell ref="AI76:AQ76"/>
    <mergeCell ref="AU76:AX76"/>
    <mergeCell ref="AY76:BB76"/>
    <mergeCell ref="BC76:BJ76"/>
    <mergeCell ref="B76:C76"/>
    <mergeCell ref="D76:J76"/>
    <mergeCell ref="K76:M76"/>
    <mergeCell ref="P76:S76"/>
    <mergeCell ref="T76:W76"/>
    <mergeCell ref="X76:Z76"/>
    <mergeCell ref="AY74:BB74"/>
    <mergeCell ref="BC74:BJ74"/>
    <mergeCell ref="B75:C75"/>
    <mergeCell ref="D75:J75"/>
    <mergeCell ref="K75:M75"/>
    <mergeCell ref="P75:S75"/>
    <mergeCell ref="T75:W75"/>
    <mergeCell ref="X75:Z75"/>
    <mergeCell ref="AA75:AH75"/>
    <mergeCell ref="AI75:AQ75"/>
    <mergeCell ref="AU75:AX75"/>
    <mergeCell ref="AY75:BB75"/>
    <mergeCell ref="BC75:BJ75"/>
    <mergeCell ref="B74:C74"/>
    <mergeCell ref="D74:J74"/>
    <mergeCell ref="K74:M74"/>
    <mergeCell ref="P74:S74"/>
    <mergeCell ref="T74:W74"/>
    <mergeCell ref="X74:Z74"/>
    <mergeCell ref="AA74:AH74"/>
    <mergeCell ref="AI74:AQ74"/>
    <mergeCell ref="AU74:AX74"/>
  </mergeCells>
  <dataValidations count="1">
    <dataValidation type="list" allowBlank="1" showInputMessage="1" showErrorMessage="1" sqref="AR69:AT69 AR71:AT71 AR73:AT76 O67:O76" xr:uid="{00000000-0002-0000-0200-000000000000}">
      <formula1>"－,●"</formula1>
    </dataValidation>
  </dataValidations>
  <pageMargins left="0.7" right="0.7" top="0.75" bottom="0.75" header="0.3" footer="0.3"/>
  <pageSetup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SCX001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2024-11-07T02:23:17Z</dcterms:modified>
  <cp:category/>
  <cp:contentStatus/>
</cp:coreProperties>
</file>