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50_DB定義/"/>
    </mc:Choice>
  </mc:AlternateContent>
  <xr:revisionPtr revIDLastSave="597" documentId="13_ncr:1_{F3CE4DC4-DEDE-4264-A60E-A1132E59969E}" xr6:coauthVersionLast="47" xr6:coauthVersionMax="47" xr10:uidLastSave="{6D30AA56-BFF9-4659-A51E-827053B9402B}"/>
  <bookViews>
    <workbookView xWindow="-120" yWindow="-120" windowWidth="29040" windowHeight="15720" tabRatio="665" activeTab="3" xr2:uid="{8154B603-B968-49B9-B090-3F6EB617679B}"/>
  </bookViews>
  <sheets>
    <sheet name="表紙" sheetId="4" r:id="rId1"/>
    <sheet name="改廃履歴" sheetId="3" r:id="rId2"/>
    <sheet name="概要" sheetId="7" r:id="rId3"/>
    <sheet name="POS機器設定" sheetId="5" r:id="rId4"/>
    <sheet name="釣銭機設定" sheetId="15" r:id="rId5"/>
    <sheet name="テンプレート" sheetId="2" r:id="rId6"/>
  </sheets>
  <definedNames>
    <definedName name="_xlnm.Print_Area" localSheetId="3">POS機器設定!$A$1:$BK$195</definedName>
    <definedName name="_xlnm.Print_Area" localSheetId="4">釣銭機設定!$A$1:$BK$97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3" i="5" l="1"/>
  <c r="AB81" i="15" l="1"/>
  <c r="AB80" i="15"/>
  <c r="AB79" i="15"/>
  <c r="AB73" i="15"/>
  <c r="AB72" i="15"/>
  <c r="AB71" i="15"/>
  <c r="AB70" i="15"/>
  <c r="AB69" i="15"/>
  <c r="AB68" i="15"/>
  <c r="AB67" i="15"/>
  <c r="AB66" i="15"/>
  <c r="AB65" i="15"/>
  <c r="AB64" i="15"/>
  <c r="AB63" i="15"/>
  <c r="AB62" i="15"/>
  <c r="AB61" i="15"/>
  <c r="AB60" i="15"/>
  <c r="AB59" i="15"/>
  <c r="AB58" i="15"/>
  <c r="B27" i="15"/>
  <c r="B28" i="15" s="1"/>
  <c r="B29" i="15" s="1"/>
  <c r="AB138" i="5"/>
  <c r="AB137" i="5"/>
  <c r="AB136" i="5"/>
  <c r="AB111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92" i="5"/>
  <c r="AB91" i="5"/>
  <c r="AB90" i="5"/>
  <c r="AB86" i="5"/>
  <c r="AB89" i="5"/>
  <c r="AB88" i="5"/>
  <c r="AB87" i="5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D49" i="15" l="1"/>
  <c r="Z4" i="15"/>
  <c r="H4" i="15"/>
  <c r="BH2" i="15"/>
  <c r="BC2" i="15"/>
  <c r="AY2" i="15"/>
  <c r="AT2" i="15"/>
  <c r="AP2" i="15"/>
  <c r="K2" i="15"/>
  <c r="A2" i="15"/>
  <c r="W1" i="15"/>
  <c r="BH2" i="7" l="1"/>
  <c r="BC2" i="7"/>
  <c r="AY2" i="7"/>
  <c r="AT2" i="7"/>
  <c r="AP2" i="7"/>
  <c r="Z4" i="7"/>
  <c r="W1" i="7"/>
  <c r="K2" i="7"/>
  <c r="H4" i="7"/>
  <c r="A2" i="7"/>
  <c r="D77" i="5" l="1"/>
  <c r="Z4" i="5"/>
  <c r="H4" i="5"/>
  <c r="BH2" i="5"/>
  <c r="BC2" i="5"/>
  <c r="AY2" i="5"/>
  <c r="AT2" i="5"/>
  <c r="AP2" i="5"/>
  <c r="K2" i="5"/>
  <c r="A2" i="5"/>
  <c r="W1" i="5"/>
  <c r="D43" i="2"/>
  <c r="AT2" i="2" l="1"/>
  <c r="AP2" i="2"/>
  <c r="Z4" i="2"/>
  <c r="W1" i="2"/>
  <c r="K2" i="2"/>
  <c r="H4" i="2"/>
  <c r="A2" i="2"/>
  <c r="L24" i="4"/>
  <c r="BH2" i="4"/>
  <c r="BH2" i="3" s="1"/>
  <c r="BC2" i="3"/>
  <c r="AY2" i="4"/>
  <c r="AY2" i="3" s="1"/>
  <c r="AT2" i="3"/>
  <c r="AP2" i="3"/>
  <c r="Z4" i="3"/>
  <c r="W1" i="3"/>
  <c r="K2" i="3"/>
  <c r="H4" i="3"/>
  <c r="A2" i="3"/>
  <c r="BH2" i="2" l="1"/>
  <c r="AY2" i="2"/>
  <c r="B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19" authorId="0" shapeId="0" xr:uid="{1FC0E204-8AD3-4DE3-A0B0-5A458EC7E75E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EF084336-2E75-41D8-9B16-626F6BE04D40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85B1870-DE6F-4FB7-B146-62C862F1F03F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<sst xmlns="http://schemas.openxmlformats.org/spreadsheetml/2006/main" count="1173" uniqueCount="371">
  <si>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</si>
  <si>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</si>
  <si>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</si>
  <si>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</si>
  <si>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</si>
  <si>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</si>
  <si>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</si>
  <si>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</si>
  <si>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</si>
  <si>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改廃履歴</t>
    <phoneticPr fontId="1"/>
  </si>
  <si>
    <t>■改廃履歴</t>
  </si>
  <si>
    <t>更新日付</t>
  </si>
  <si>
    <t>変更内容</t>
  </si>
  <si>
    <t>承認日付</t>
  </si>
  <si>
    <t>承認者</t>
  </si>
  <si>
    <t>現金専用簡易セルフPOS</t>
  </si>
  <si>
    <t>表紙</t>
  </si>
  <si>
    <t>現金専用簡易セルフPOS 基本設計書</t>
  </si>
  <si>
    <t>承認日</t>
  </si>
  <si>
    <t>テンプレート</t>
  </si>
  <si>
    <t>■テーブル情報</t>
    <phoneticPr fontId="1"/>
  </si>
  <si>
    <t>■カラム情報</t>
  </si>
  <si>
    <t>No.</t>
    <phoneticPr fontId="1"/>
  </si>
  <si>
    <t>論理名</t>
    <phoneticPr fontId="1"/>
  </si>
  <si>
    <t>物理名</t>
  </si>
  <si>
    <t>データ型</t>
  </si>
  <si>
    <t>PK</t>
    <phoneticPr fontId="1"/>
  </si>
  <si>
    <t>Not Null</t>
  </si>
  <si>
    <t>デフォルト</t>
  </si>
  <si>
    <t>備考</t>
  </si>
  <si>
    <t>レコードID</t>
  </si>
  <si>
    <t>BIGINT</t>
  </si>
  <si>
    <t>Yes</t>
  </si>
  <si>
    <t>自動追加</t>
  </si>
  <si>
    <t>TIMESTAMP</t>
  </si>
  <si>
    <t>トリガー情報</t>
  </si>
  <si>
    <t>No.</t>
  </si>
  <si>
    <t>トリガー名</t>
  </si>
  <si>
    <t>イベント</t>
  </si>
  <si>
    <t>タイミング</t>
  </si>
  <si>
    <t>条件</t>
  </si>
  <si>
    <t>update</t>
    <phoneticPr fontId="1"/>
  </si>
  <si>
    <t>Before row</t>
  </si>
  <si>
    <t>auto_updated_date</t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</si>
  <si>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</si>
  <si>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</si>
  <si>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</si>
  <si>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</si>
  <si>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</si>
  <si>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</si>
  <si>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</si>
  <si>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</si>
  <si>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</si>
  <si>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</si>
  <si>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</si>
  <si>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</si>
  <si>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</si>
  <si>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r>
      <rPr>
        <sz val="11"/>
        <rFont val="Meiryo UI"/>
        <family val="3"/>
        <charset val="128"/>
      </rPr>
      <t>Yes</t>
    </r>
  </si>
  <si>
    <t>共通</t>
    <rPh sb="0" eb="2">
      <t>キョウツウ</t>
    </rPh>
    <phoneticPr fontId="1"/>
  </si>
  <si>
    <t>きよはら</t>
    <phoneticPr fontId="1"/>
  </si>
  <si>
    <t>新規作成</t>
    <rPh sb="0" eb="2">
      <t>シンキ</t>
    </rPh>
    <rPh sb="2" eb="4">
      <t>サクセイ</t>
    </rPh>
    <phoneticPr fontId="1"/>
  </si>
  <si>
    <t>RECORD_VOID_FLAG</t>
  </si>
  <si>
    <t>RECORD_CREATE_DATE</t>
  </si>
  <si>
    <t>RECORD_ID</t>
  </si>
  <si>
    <t>RECORD_CREATE_TIME</t>
  </si>
  <si>
    <t>RECORD_UPDATE_DATE</t>
  </si>
  <si>
    <t>RECORD_UPDATE_TIME</t>
  </si>
  <si>
    <t>レコード作成日付</t>
  </si>
  <si>
    <t>レコード作成時間</t>
  </si>
  <si>
    <t>レコード更新日付</t>
  </si>
  <si>
    <t>レコード更新時間</t>
  </si>
  <si>
    <t>レコード無効フラグ</t>
  </si>
  <si>
    <t>CURRENT_DATE</t>
    <phoneticPr fontId="1"/>
  </si>
  <si>
    <t>CURRENT_TIME</t>
    <phoneticPr fontId="1"/>
  </si>
  <si>
    <t>トリガーにより更新</t>
    <phoneticPr fontId="1"/>
  </si>
  <si>
    <t>機器接続情報</t>
    <rPh sb="0" eb="2">
      <t>キキ</t>
    </rPh>
    <rPh sb="2" eb="4">
      <t>セツゾク</t>
    </rPh>
    <rPh sb="4" eb="6">
      <t>ジョウホウ</t>
    </rPh>
    <phoneticPr fontId="1"/>
  </si>
  <si>
    <t>Sheet7</t>
  </si>
  <si>
    <t>区分</t>
    <rPh sb="0" eb="2">
      <t>クブン</t>
    </rPh>
    <phoneticPr fontId="8"/>
  </si>
  <si>
    <t>論理テーブル名</t>
    <rPh sb="0" eb="2">
      <t>ロンリ</t>
    </rPh>
    <rPh sb="6" eb="7">
      <t>メイ</t>
    </rPh>
    <phoneticPr fontId="8"/>
  </si>
  <si>
    <t>物理テーブル名</t>
    <rPh sb="0" eb="2">
      <t>ブツリ</t>
    </rPh>
    <rPh sb="6" eb="7">
      <t>メイ</t>
    </rPh>
    <phoneticPr fontId="8"/>
  </si>
  <si>
    <t>ID</t>
    <phoneticPr fontId="1"/>
  </si>
  <si>
    <t>備考</t>
    <rPh sb="0" eb="2">
      <t>ビコウ</t>
    </rPh>
    <phoneticPr fontId="1"/>
  </si>
  <si>
    <t>BIGINT</t>
    <phoneticPr fontId="1"/>
  </si>
  <si>
    <t>Yes</t>
    <phoneticPr fontId="1"/>
  </si>
  <si>
    <t>""</t>
    <phoneticPr fontId="1"/>
  </si>
  <si>
    <t>"9"</t>
    <phoneticPr fontId="1"/>
  </si>
  <si>
    <t>company_code</t>
  </si>
  <si>
    <t>store_code</t>
  </si>
  <si>
    <t>instore_code</t>
  </si>
  <si>
    <t>string</t>
  </si>
  <si>
    <t>true:有効 / false:無効</t>
    <rPh sb="5" eb="7">
      <t>ユウコウ</t>
    </rPh>
    <rPh sb="16" eb="18">
      <t>ムコウ</t>
    </rPh>
    <phoneticPr fontId="1"/>
  </si>
  <si>
    <t>BOOL</t>
    <phoneticPr fontId="1"/>
  </si>
  <si>
    <t>レコードID</t>
    <phoneticPr fontId="1"/>
  </si>
  <si>
    <t>レコード作成日付</t>
    <phoneticPr fontId="1"/>
  </si>
  <si>
    <t>レコード作成時間</t>
    <phoneticPr fontId="1"/>
  </si>
  <si>
    <t>レコード更新日付</t>
    <phoneticPr fontId="1"/>
  </si>
  <si>
    <t>レコード更新時間</t>
    <phoneticPr fontId="1"/>
  </si>
  <si>
    <t>レコード無効フラグ</t>
    <phoneticPr fontId="1"/>
  </si>
  <si>
    <t>10000円札</t>
    <rPh sb="5" eb="6">
      <t>エン</t>
    </rPh>
    <rPh sb="6" eb="7">
      <t>サツ</t>
    </rPh>
    <phoneticPr fontId="1"/>
  </si>
  <si>
    <t>5000円札</t>
    <rPh sb="4" eb="6">
      <t>エンサツ</t>
    </rPh>
    <phoneticPr fontId="1"/>
  </si>
  <si>
    <t>2000円札</t>
    <rPh sb="4" eb="5">
      <t>エン</t>
    </rPh>
    <rPh sb="5" eb="6">
      <t>サツ</t>
    </rPh>
    <phoneticPr fontId="1"/>
  </si>
  <si>
    <t>1000円札</t>
    <rPh sb="4" eb="6">
      <t>エンサツ</t>
    </rPh>
    <phoneticPr fontId="1"/>
  </si>
  <si>
    <t>500円玉</t>
    <rPh sb="3" eb="4">
      <t>エン</t>
    </rPh>
    <rPh sb="4" eb="5">
      <t>ダマ</t>
    </rPh>
    <phoneticPr fontId="1"/>
  </si>
  <si>
    <t>100円玉</t>
    <rPh sb="3" eb="5">
      <t>エンダマ</t>
    </rPh>
    <phoneticPr fontId="1"/>
  </si>
  <si>
    <t>50円玉</t>
    <rPh sb="2" eb="4">
      <t>エンダマ</t>
    </rPh>
    <phoneticPr fontId="1"/>
  </si>
  <si>
    <t>10円玉</t>
    <rPh sb="2" eb="4">
      <t>エンダマ</t>
    </rPh>
    <phoneticPr fontId="1"/>
  </si>
  <si>
    <t>5円玉</t>
    <rPh sb="1" eb="3">
      <t>エンダマ</t>
    </rPh>
    <phoneticPr fontId="1"/>
  </si>
  <si>
    <t>1円玉</t>
    <rPh sb="1" eb="3">
      <t>エンダマ</t>
    </rPh>
    <phoneticPr fontId="1"/>
  </si>
  <si>
    <t>TIMESTAMP</t>
    <phoneticPr fontId="1"/>
  </si>
  <si>
    <t>class</t>
    <phoneticPr fontId="1"/>
  </si>
  <si>
    <t>区分</t>
    <rPh sb="0" eb="2">
      <t>クブン</t>
    </rPh>
    <phoneticPr fontId="1"/>
  </si>
  <si>
    <t>10000yen</t>
    <phoneticPr fontId="1"/>
  </si>
  <si>
    <t>500yen</t>
    <phoneticPr fontId="1"/>
  </si>
  <si>
    <t>5000yen</t>
    <phoneticPr fontId="1"/>
  </si>
  <si>
    <t>2000yen</t>
    <phoneticPr fontId="1"/>
  </si>
  <si>
    <t>1000yen</t>
    <phoneticPr fontId="1"/>
  </si>
  <si>
    <t>100yen</t>
    <phoneticPr fontId="1"/>
  </si>
  <si>
    <t>50yen</t>
    <phoneticPr fontId="1"/>
  </si>
  <si>
    <t>10yen</t>
    <phoneticPr fontId="1"/>
  </si>
  <si>
    <t>5yen</t>
    <phoneticPr fontId="1"/>
  </si>
  <si>
    <t>1yen</t>
    <phoneticPr fontId="1"/>
  </si>
  <si>
    <t>cassette</t>
    <phoneticPr fontId="1"/>
  </si>
  <si>
    <t>company_code</t>
    <phoneticPr fontId="1"/>
  </si>
  <si>
    <t>store_code</t>
    <phoneticPr fontId="1"/>
  </si>
  <si>
    <t>instore_code</t>
    <phoneticPr fontId="1"/>
  </si>
  <si>
    <t>INT</t>
  </si>
  <si>
    <t>INT</t>
    <phoneticPr fontId="1"/>
  </si>
  <si>
    <t>カセット</t>
    <phoneticPr fontId="1"/>
  </si>
  <si>
    <t>1:フル 2:ニアフル 3:ニアエンプティ 4:エンプティ 5:残置 6:釣銭準備金</t>
    <rPh sb="32" eb="34">
      <t>ザンチ</t>
    </rPh>
    <rPh sb="37" eb="42">
      <t>ツリセンジュンビキン</t>
    </rPh>
    <phoneticPr fontId="1"/>
  </si>
  <si>
    <t>端末設定DB</t>
    <rPh sb="0" eb="2">
      <t>タンマツ</t>
    </rPh>
    <phoneticPr fontId="1"/>
  </si>
  <si>
    <t>釣銭機設定DB</t>
    <rPh sb="0" eb="3">
      <t>ツリセンキ</t>
    </rPh>
    <rPh sb="3" eb="5">
      <t>セッテイ</t>
    </rPh>
    <phoneticPr fontId="1"/>
  </si>
  <si>
    <t>ChangeMachineSetting</t>
    <phoneticPr fontId="1"/>
  </si>
  <si>
    <t>PosDeviceSetting</t>
    <phoneticPr fontId="1"/>
  </si>
  <si>
    <t>API(設定)定義書</t>
    <phoneticPr fontId="1"/>
  </si>
  <si>
    <t>API</t>
    <phoneticPr fontId="1"/>
  </si>
  <si>
    <t>基本設計書</t>
    <rPh sb="0" eb="4">
      <t>キホンセッケイ</t>
    </rPh>
    <rPh sb="4" eb="5">
      <t>ショ</t>
    </rPh>
    <phoneticPr fontId="1"/>
  </si>
  <si>
    <t>POS機器設定</t>
    <rPh sb="5" eb="7">
      <t>セッテイ</t>
    </rPh>
    <phoneticPr fontId="1"/>
  </si>
  <si>
    <t>釣銭機設定</t>
    <rPh sb="0" eb="3">
      <t>ツリセンキ</t>
    </rPh>
    <rPh sb="3" eb="5">
      <t>セッテイ</t>
    </rPh>
    <phoneticPr fontId="1"/>
  </si>
  <si>
    <t>企業コード</t>
    <phoneticPr fontId="1"/>
  </si>
  <si>
    <t>店舗コード</t>
    <phoneticPr fontId="1"/>
  </si>
  <si>
    <t>レジ番号</t>
    <phoneticPr fontId="1"/>
  </si>
  <si>
    <t>TEXT</t>
    <phoneticPr fontId="1"/>
  </si>
  <si>
    <t>INTEGER</t>
  </si>
  <si>
    <t>INTEGER</t>
    <phoneticPr fontId="1"/>
  </si>
  <si>
    <t>class</t>
  </si>
  <si>
    <t>本番機："1"、検証機："9"　：この区分でAPIの参照先を変更</t>
    <rPh sb="0" eb="3">
      <t>ホンバンキ</t>
    </rPh>
    <rPh sb="8" eb="11">
      <t>ケンショウキ</t>
    </rPh>
    <rPh sb="19" eb="21">
      <t>クブン</t>
    </rPh>
    <rPh sb="26" eb="29">
      <t>サンショウサキ</t>
    </rPh>
    <rPh sb="30" eb="32">
      <t>ヘンコウ</t>
    </rPh>
    <phoneticPr fontId="1"/>
  </si>
  <si>
    <t>各接続機器ごとに提供されるサービスを設定</t>
    <rPh sb="0" eb="1">
      <t>カク</t>
    </rPh>
    <rPh sb="1" eb="3">
      <t>セツゾク</t>
    </rPh>
    <rPh sb="3" eb="5">
      <t>キキ</t>
    </rPh>
    <rPh sb="8" eb="10">
      <t>テイキョウ</t>
    </rPh>
    <rPh sb="18" eb="20">
      <t>セッテイ</t>
    </rPh>
    <phoneticPr fontId="1"/>
  </si>
  <si>
    <t>・ポイント種別・・・支払画面の前に表示される利用ポイントの種別を定義する。</t>
    <rPh sb="5" eb="7">
      <t>シュベツ</t>
    </rPh>
    <rPh sb="10" eb="12">
      <t>シハライ</t>
    </rPh>
    <rPh sb="12" eb="14">
      <t>ガメン</t>
    </rPh>
    <rPh sb="15" eb="16">
      <t>マエ</t>
    </rPh>
    <rPh sb="17" eb="19">
      <t>ヒョウジ</t>
    </rPh>
    <rPh sb="22" eb="24">
      <t>リヨウ</t>
    </rPh>
    <rPh sb="29" eb="31">
      <t>シュベツ</t>
    </rPh>
    <rPh sb="32" eb="34">
      <t>テイギ</t>
    </rPh>
    <phoneticPr fontId="1"/>
  </si>
  <si>
    <t>・サービス種別・・・「いらっしゃいませ」の待機画面で表示される「ボタン(提供サービス)」を定義する。</t>
    <rPh sb="5" eb="7">
      <t>シュベツ</t>
    </rPh>
    <rPh sb="21" eb="23">
      <t>タイキ</t>
    </rPh>
    <rPh sb="23" eb="25">
      <t>ガメン</t>
    </rPh>
    <rPh sb="26" eb="28">
      <t>ヒョウジ</t>
    </rPh>
    <rPh sb="36" eb="38">
      <t>テイキョウ</t>
    </rPh>
    <phoneticPr fontId="1"/>
  </si>
  <si>
    <t>・支払種別・・・支払画面に表示される支払方法を定義する。</t>
    <rPh sb="1" eb="3">
      <t>シハライ</t>
    </rPh>
    <rPh sb="3" eb="5">
      <t>シュベツ</t>
    </rPh>
    <rPh sb="8" eb="10">
      <t>シハライ</t>
    </rPh>
    <rPh sb="10" eb="12">
      <t>ガメン</t>
    </rPh>
    <rPh sb="13" eb="15">
      <t>ヒョウジ</t>
    </rPh>
    <rPh sb="18" eb="20">
      <t>シハライ</t>
    </rPh>
    <rPh sb="20" eb="22">
      <t>ホウホウ</t>
    </rPh>
    <rPh sb="23" eb="25">
      <t>テイギ</t>
    </rPh>
    <phoneticPr fontId="1"/>
  </si>
  <si>
    <t>支払種別13</t>
    <rPh sb="0" eb="2">
      <t>シハライ</t>
    </rPh>
    <rPh sb="2" eb="4">
      <t>シュベツ</t>
    </rPh>
    <phoneticPr fontId="1"/>
  </si>
  <si>
    <t>支払種別14</t>
    <rPh sb="0" eb="2">
      <t>シハライ</t>
    </rPh>
    <rPh sb="2" eb="4">
      <t>シュベツ</t>
    </rPh>
    <phoneticPr fontId="1"/>
  </si>
  <si>
    <t>支払種別15</t>
    <rPh sb="0" eb="2">
      <t>シハライ</t>
    </rPh>
    <rPh sb="2" eb="4">
      <t>シュベツ</t>
    </rPh>
    <phoneticPr fontId="1"/>
  </si>
  <si>
    <t>支払種別16</t>
    <rPh sb="0" eb="2">
      <t>シハライ</t>
    </rPh>
    <rPh sb="2" eb="4">
      <t>シュベツ</t>
    </rPh>
    <phoneticPr fontId="1"/>
  </si>
  <si>
    <t>支払種別17</t>
    <rPh sb="0" eb="2">
      <t>シハライ</t>
    </rPh>
    <rPh sb="2" eb="4">
      <t>シュベツ</t>
    </rPh>
    <phoneticPr fontId="1"/>
  </si>
  <si>
    <t>支払種別18</t>
    <rPh sb="0" eb="2">
      <t>シハライ</t>
    </rPh>
    <rPh sb="2" eb="4">
      <t>シュベツ</t>
    </rPh>
    <phoneticPr fontId="1"/>
  </si>
  <si>
    <t>支払種別19</t>
    <rPh sb="0" eb="2">
      <t>シハライ</t>
    </rPh>
    <rPh sb="2" eb="4">
      <t>シュベツ</t>
    </rPh>
    <phoneticPr fontId="1"/>
  </si>
  <si>
    <t>支払種別20</t>
    <rPh sb="0" eb="2">
      <t>シハライ</t>
    </rPh>
    <rPh sb="2" eb="4">
      <t>シュベツ</t>
    </rPh>
    <phoneticPr fontId="1"/>
  </si>
  <si>
    <t>サービス種別1(Scan&amp;Go)</t>
    <rPh sb="4" eb="6">
      <t>シュベツ</t>
    </rPh>
    <phoneticPr fontId="1"/>
  </si>
  <si>
    <t>サービス種別2(手動登録)</t>
    <rPh sb="4" eb="6">
      <t>シュベツ</t>
    </rPh>
    <rPh sb="8" eb="10">
      <t>シュドウ</t>
    </rPh>
    <rPh sb="10" eb="12">
      <t>トウロク</t>
    </rPh>
    <phoneticPr fontId="1"/>
  </si>
  <si>
    <t>サービス種別3(Ignicaチャージ)</t>
    <rPh sb="4" eb="6">
      <t>シュベツ</t>
    </rPh>
    <phoneticPr fontId="1"/>
  </si>
  <si>
    <t>サービス種別4(Ignica残高照会)</t>
    <rPh sb="4" eb="6">
      <t>シュベツ</t>
    </rPh>
    <rPh sb="14" eb="16">
      <t>ザンダカ</t>
    </rPh>
    <rPh sb="16" eb="18">
      <t>ショウカイ</t>
    </rPh>
    <phoneticPr fontId="1"/>
  </si>
  <si>
    <t>サービス種別5(WAONチャージ)</t>
    <rPh sb="4" eb="6">
      <t>シュベツ</t>
    </rPh>
    <phoneticPr fontId="1"/>
  </si>
  <si>
    <t>サービス種別6(WAON残高照会)</t>
    <rPh sb="4" eb="6">
      <t>シュベツ</t>
    </rPh>
    <rPh sb="12" eb="14">
      <t>ザンダカ</t>
    </rPh>
    <rPh sb="14" eb="16">
      <t>ショウカイ</t>
    </rPh>
    <phoneticPr fontId="1"/>
  </si>
  <si>
    <t>サービス種別7(予備)</t>
    <rPh sb="4" eb="6">
      <t>シュベツ</t>
    </rPh>
    <rPh sb="8" eb="10">
      <t>ヨビ</t>
    </rPh>
    <phoneticPr fontId="1"/>
  </si>
  <si>
    <t>サービス種別8(予備)</t>
    <rPh sb="4" eb="6">
      <t>シュベツ</t>
    </rPh>
    <phoneticPr fontId="1"/>
  </si>
  <si>
    <t>サービス種別9(予備)</t>
    <rPh sb="4" eb="6">
      <t>シュベツ</t>
    </rPh>
    <phoneticPr fontId="1"/>
  </si>
  <si>
    <t>サービス種別10(予備)</t>
    <rPh sb="4" eb="6">
      <t>シュベツ</t>
    </rPh>
    <phoneticPr fontId="1"/>
  </si>
  <si>
    <t>ポイント種別1(Ignica)</t>
    <rPh sb="4" eb="6">
      <t>シュベツ</t>
    </rPh>
    <phoneticPr fontId="1"/>
  </si>
  <si>
    <t>ポイント種別2(WAONポイント)</t>
    <rPh sb="4" eb="6">
      <t>シュベツ</t>
    </rPh>
    <phoneticPr fontId="1"/>
  </si>
  <si>
    <t>ポイント種別3(イオンカード)</t>
    <rPh sb="4" eb="6">
      <t>シュベツ</t>
    </rPh>
    <phoneticPr fontId="1"/>
  </si>
  <si>
    <t>ポイント種別4(WAONカード支払)</t>
    <rPh sb="4" eb="6">
      <t>シュベツ</t>
    </rPh>
    <rPh sb="15" eb="17">
      <t>シハライ</t>
    </rPh>
    <phoneticPr fontId="1"/>
  </si>
  <si>
    <t>ポイント種別5(予備)</t>
    <rPh sb="4" eb="6">
      <t>シュベツ</t>
    </rPh>
    <phoneticPr fontId="1"/>
  </si>
  <si>
    <t>ポイント種別6(予備)</t>
    <rPh sb="4" eb="6">
      <t>シュベツ</t>
    </rPh>
    <phoneticPr fontId="1"/>
  </si>
  <si>
    <t>ポイント種別7(予備)</t>
    <rPh sb="4" eb="6">
      <t>シュベツ</t>
    </rPh>
    <phoneticPr fontId="1"/>
  </si>
  <si>
    <t>ポイント種別8(予備)</t>
    <rPh sb="4" eb="6">
      <t>シュベツ</t>
    </rPh>
    <phoneticPr fontId="1"/>
  </si>
  <si>
    <t>ポイント種別9(予備)</t>
    <rPh sb="4" eb="6">
      <t>シュベツ</t>
    </rPh>
    <phoneticPr fontId="1"/>
  </si>
  <si>
    <t>ポイント種別10(予備)</t>
    <rPh sb="4" eb="6">
      <t>シュベツ</t>
    </rPh>
    <phoneticPr fontId="1"/>
  </si>
  <si>
    <t>支払種別1(現金)</t>
    <rPh sb="0" eb="2">
      <t>シハライ</t>
    </rPh>
    <rPh sb="2" eb="4">
      <t>シュベツ</t>
    </rPh>
    <rPh sb="6" eb="8">
      <t>ゲンキン</t>
    </rPh>
    <phoneticPr fontId="1"/>
  </si>
  <si>
    <t>支払種別2(WAONポイント)</t>
    <rPh sb="0" eb="2">
      <t>シハライ</t>
    </rPh>
    <rPh sb="2" eb="4">
      <t>シュベツ</t>
    </rPh>
    <phoneticPr fontId="1"/>
  </si>
  <si>
    <t>支払種別3(Ignicaポイント)</t>
    <rPh sb="0" eb="2">
      <t>シハライ</t>
    </rPh>
    <rPh sb="2" eb="4">
      <t>シュベツ</t>
    </rPh>
    <phoneticPr fontId="1"/>
  </si>
  <si>
    <t>支払種別4(WAON)</t>
    <rPh sb="0" eb="2">
      <t>シハライ</t>
    </rPh>
    <rPh sb="2" eb="4">
      <t>シュベツ</t>
    </rPh>
    <phoneticPr fontId="1"/>
  </si>
  <si>
    <t>支払種別5(AEON Pay)</t>
    <rPh sb="0" eb="2">
      <t>シハライ</t>
    </rPh>
    <rPh sb="2" eb="4">
      <t>シュベツ</t>
    </rPh>
    <phoneticPr fontId="1"/>
  </si>
  <si>
    <t>支払種別6(クレジット(1回))</t>
    <rPh sb="0" eb="2">
      <t>シハライ</t>
    </rPh>
    <rPh sb="2" eb="4">
      <t>シュベツ</t>
    </rPh>
    <phoneticPr fontId="1"/>
  </si>
  <si>
    <t>支払種別7(クレジット(リボ))</t>
    <rPh sb="0" eb="2">
      <t>シハライ</t>
    </rPh>
    <rPh sb="2" eb="4">
      <t>シュベツ</t>
    </rPh>
    <phoneticPr fontId="1"/>
  </si>
  <si>
    <t>支払種別8(イオンギフトカード)</t>
    <rPh sb="0" eb="2">
      <t>シハライ</t>
    </rPh>
    <rPh sb="2" eb="4">
      <t>シュベツ</t>
    </rPh>
    <phoneticPr fontId="1"/>
  </si>
  <si>
    <t>支払種別9(電子マネー)</t>
    <rPh sb="0" eb="2">
      <t>シハライ</t>
    </rPh>
    <rPh sb="2" eb="4">
      <t>シュベツ</t>
    </rPh>
    <phoneticPr fontId="1"/>
  </si>
  <si>
    <t>支払種別10(銀嶺)</t>
    <rPh sb="0" eb="2">
      <t>シハライ</t>
    </rPh>
    <rPh sb="2" eb="4">
      <t>シュベツ</t>
    </rPh>
    <phoneticPr fontId="1"/>
  </si>
  <si>
    <t>支払種別11(クーポン)</t>
    <rPh sb="0" eb="2">
      <t>シハライ</t>
    </rPh>
    <rPh sb="2" eb="4">
      <t>シュベツ</t>
    </rPh>
    <phoneticPr fontId="1"/>
  </si>
  <si>
    <t>支払種別12(金券)</t>
    <rPh sb="0" eb="2">
      <t>シハライ</t>
    </rPh>
    <rPh sb="2" eb="4">
      <t>シュベツ</t>
    </rPh>
    <phoneticPr fontId="1"/>
  </si>
  <si>
    <t>利用：可能："1"、不可："9"</t>
  </si>
  <si>
    <t>"1"</t>
    <phoneticPr fontId="1"/>
  </si>
  <si>
    <t>company_code,store_code,instore_code</t>
    <phoneticPr fontId="1"/>
  </si>
  <si>
    <t>・当初設計では、端末ごとの各種設定については、アプリ内で保有する予定でした。しかしながら、今後の機能追加や、設定変更等の際の煩雑さを考えると、APIにてご提供いただくのがベストとなりました。</t>
    <rPh sb="1" eb="3">
      <t>トウショ</t>
    </rPh>
    <rPh sb="3" eb="5">
      <t>セッケイ</t>
    </rPh>
    <rPh sb="8" eb="10">
      <t>タンマツ</t>
    </rPh>
    <rPh sb="13" eb="17">
      <t>カクシュセッテイ</t>
    </rPh>
    <rPh sb="26" eb="27">
      <t>ナイ</t>
    </rPh>
    <rPh sb="28" eb="30">
      <t>ホユウ</t>
    </rPh>
    <rPh sb="32" eb="34">
      <t>ヨテイ</t>
    </rPh>
    <rPh sb="45" eb="47">
      <t>コンゴ</t>
    </rPh>
    <rPh sb="48" eb="52">
      <t>キノウツイカ</t>
    </rPh>
    <rPh sb="54" eb="56">
      <t>セッテイ</t>
    </rPh>
    <rPh sb="56" eb="58">
      <t>ヘンコウ</t>
    </rPh>
    <rPh sb="58" eb="59">
      <t>トウ</t>
    </rPh>
    <rPh sb="60" eb="61">
      <t>サイ</t>
    </rPh>
    <rPh sb="62" eb="64">
      <t>ハンザツ</t>
    </rPh>
    <rPh sb="66" eb="67">
      <t>カンガ</t>
    </rPh>
    <rPh sb="77" eb="79">
      <t>テイキョウ</t>
    </rPh>
    <phoneticPr fontId="1"/>
  </si>
  <si>
    <t>・問題点</t>
    <rPh sb="1" eb="4">
      <t>モンダイテン</t>
    </rPh>
    <phoneticPr fontId="1"/>
  </si>
  <si>
    <t>各店舗内で利用されている、POS機器の設定を変更する際に、全会社、全端末のアプリを更新する必要がある。</t>
    <rPh sb="0" eb="3">
      <t>カクテンポ</t>
    </rPh>
    <rPh sb="3" eb="4">
      <t>ナイ</t>
    </rPh>
    <rPh sb="5" eb="7">
      <t>リヨウ</t>
    </rPh>
    <rPh sb="16" eb="18">
      <t>キキ</t>
    </rPh>
    <rPh sb="19" eb="21">
      <t>セッテイ</t>
    </rPh>
    <rPh sb="22" eb="24">
      <t>ヘンコウ</t>
    </rPh>
    <rPh sb="26" eb="27">
      <t>サイ</t>
    </rPh>
    <rPh sb="29" eb="30">
      <t>ゼン</t>
    </rPh>
    <rPh sb="30" eb="32">
      <t>カイシャ</t>
    </rPh>
    <rPh sb="33" eb="34">
      <t>ゼン</t>
    </rPh>
    <rPh sb="34" eb="36">
      <t>タンマツ</t>
    </rPh>
    <rPh sb="41" eb="43">
      <t>コウシン</t>
    </rPh>
    <rPh sb="45" eb="47">
      <t>ヒツヨウ</t>
    </rPh>
    <phoneticPr fontId="1"/>
  </si>
  <si>
    <t>→すべてのサービス、すべての機能の開発が終わり、安定機に入れば、修正頻度はそんなに高くないと思われるが、ここ数年の過渡期においては、毎日アップデートが必要になる可能性がある。</t>
    <rPh sb="14" eb="16">
      <t>キノウ</t>
    </rPh>
    <rPh sb="17" eb="19">
      <t>カイハツ</t>
    </rPh>
    <rPh sb="20" eb="21">
      <t>オ</t>
    </rPh>
    <rPh sb="24" eb="26">
      <t>アンテイ</t>
    </rPh>
    <rPh sb="26" eb="27">
      <t>キ</t>
    </rPh>
    <rPh sb="28" eb="29">
      <t>ハイ</t>
    </rPh>
    <rPh sb="32" eb="34">
      <t>シュウセイ</t>
    </rPh>
    <rPh sb="34" eb="36">
      <t>ヒンド</t>
    </rPh>
    <rPh sb="41" eb="42">
      <t>タカ</t>
    </rPh>
    <rPh sb="46" eb="47">
      <t>オモ</t>
    </rPh>
    <rPh sb="54" eb="56">
      <t>スウネン</t>
    </rPh>
    <rPh sb="57" eb="60">
      <t>カトキ</t>
    </rPh>
    <rPh sb="66" eb="68">
      <t>マイニチ</t>
    </rPh>
    <rPh sb="75" eb="77">
      <t>ヒツヨウ</t>
    </rPh>
    <rPh sb="80" eb="83">
      <t>カノウセイ</t>
    </rPh>
    <phoneticPr fontId="1"/>
  </si>
  <si>
    <t>→アップデートの頻度が上がると、店員様、スタッフ様のお手を煩わせることになるばかりか、アップデート失敗等のトラブルも増加。</t>
    <rPh sb="8" eb="10">
      <t>ヒンド</t>
    </rPh>
    <rPh sb="11" eb="12">
      <t>ア</t>
    </rPh>
    <rPh sb="16" eb="18">
      <t>テンイン</t>
    </rPh>
    <rPh sb="18" eb="19">
      <t>サマ</t>
    </rPh>
    <rPh sb="24" eb="25">
      <t>サマ</t>
    </rPh>
    <rPh sb="27" eb="28">
      <t>テ</t>
    </rPh>
    <rPh sb="29" eb="30">
      <t>ワズラ</t>
    </rPh>
    <rPh sb="49" eb="51">
      <t>シッパイ</t>
    </rPh>
    <rPh sb="51" eb="52">
      <t>トウ</t>
    </rPh>
    <rPh sb="58" eb="60">
      <t>ゾウカ</t>
    </rPh>
    <phoneticPr fontId="1"/>
  </si>
  <si>
    <t>・改善</t>
    <rPh sb="1" eb="3">
      <t>カイゼン</t>
    </rPh>
    <phoneticPr fontId="1"/>
  </si>
  <si>
    <t>起動時に端末ごとの設定をAPIにて読み込むようにする。</t>
    <rPh sb="0" eb="3">
      <t>キドウジ</t>
    </rPh>
    <rPh sb="4" eb="6">
      <t>タンマツ</t>
    </rPh>
    <rPh sb="9" eb="11">
      <t>セッテイ</t>
    </rPh>
    <rPh sb="17" eb="18">
      <t>ヨ</t>
    </rPh>
    <rPh sb="19" eb="20">
      <t>コ</t>
    </rPh>
    <phoneticPr fontId="1"/>
  </si>
  <si>
    <t>→アップデートには、約3分から5分程度かかる見込みです。（ネットワークの速さに依存します）</t>
    <rPh sb="10" eb="11">
      <t>ヤク</t>
    </rPh>
    <rPh sb="12" eb="13">
      <t>フン</t>
    </rPh>
    <rPh sb="16" eb="17">
      <t>フン</t>
    </rPh>
    <rPh sb="17" eb="19">
      <t>テイド</t>
    </rPh>
    <rPh sb="22" eb="24">
      <t>ミコ</t>
    </rPh>
    <rPh sb="36" eb="37">
      <t>ハヤ</t>
    </rPh>
    <rPh sb="39" eb="41">
      <t>イゾン</t>
    </rPh>
    <phoneticPr fontId="1"/>
  </si>
  <si>
    <t>〇目的</t>
    <rPh sb="1" eb="3">
      <t>モクテキ</t>
    </rPh>
    <phoneticPr fontId="1"/>
  </si>
  <si>
    <t>〇概要</t>
    <rPh sb="1" eb="3">
      <t>ガイヨウ</t>
    </rPh>
    <phoneticPr fontId="1"/>
  </si>
  <si>
    <t>〇対象</t>
    <rPh sb="1" eb="3">
      <t>タイショウ</t>
    </rPh>
    <phoneticPr fontId="1"/>
  </si>
  <si>
    <t>利用：可能："1"、不可："9"（デフォルトで利用可能とする）</t>
    <rPh sb="0" eb="2">
      <t>リヨウ</t>
    </rPh>
    <rPh sb="3" eb="5">
      <t>カノウ</t>
    </rPh>
    <rPh sb="10" eb="12">
      <t>フカ</t>
    </rPh>
    <rPh sb="23" eb="27">
      <t>リヨウカノウ</t>
    </rPh>
    <phoneticPr fontId="1"/>
  </si>
  <si>
    <t>利用：可能："1"、不可："9"（デフォルトで利用可能とする）</t>
    <phoneticPr fontId="1"/>
  </si>
  <si>
    <t>※使用API</t>
    <rPh sb="1" eb="3">
      <t>シヨウ</t>
    </rPh>
    <phoneticPr fontId="1"/>
  </si>
  <si>
    <t>No.</t>
    <phoneticPr fontId="9"/>
  </si>
  <si>
    <t>A001</t>
    <phoneticPr fontId="10"/>
  </si>
  <si>
    <t>API</t>
    <phoneticPr fontId="10"/>
  </si>
  <si>
    <t>pos/v1/〇〇〇/〇〇〇</t>
    <phoneticPr fontId="10"/>
  </si>
  <si>
    <t>METHOD</t>
  </si>
  <si>
    <t>認証</t>
  </si>
  <si>
    <t>POST</t>
  </si>
  <si>
    <t>-</t>
  </si>
  <si>
    <t>プロパティ</t>
    <phoneticPr fontId="10"/>
  </si>
  <si>
    <t>型</t>
    <phoneticPr fontId="10"/>
  </si>
  <si>
    <t>文字数</t>
    <rPh sb="0" eb="3">
      <t>モジスウ</t>
    </rPh>
    <phoneticPr fontId="10"/>
  </si>
  <si>
    <t>説明</t>
    <rPh sb="0" eb="2">
      <t>セツメイ</t>
    </rPh>
    <phoneticPr fontId="10"/>
  </si>
  <si>
    <t>必須</t>
    <rPh sb="0" eb="2">
      <t>ヒッス</t>
    </rPh>
    <phoneticPr fontId="10"/>
  </si>
  <si>
    <t>例</t>
    <phoneticPr fontId="10"/>
  </si>
  <si>
    <t>company_code</t>
    <phoneticPr fontId="10"/>
  </si>
  <si>
    <t>string</t>
    <phoneticPr fontId="10"/>
  </si>
  <si>
    <t>10</t>
    <phoneticPr fontId="10"/>
  </si>
  <si>
    <t>企業コード</t>
    <rPh sb="0" eb="2">
      <t>キギョウ</t>
    </rPh>
    <phoneticPr fontId="10"/>
  </si>
  <si>
    <t>〇</t>
    <phoneticPr fontId="10"/>
  </si>
  <si>
    <t>{</t>
  </si>
  <si>
    <t>store_code</t>
    <phoneticPr fontId="10"/>
  </si>
  <si>
    <t>店舗コード</t>
    <rPh sb="0" eb="2">
      <t>テンポ</t>
    </rPh>
    <phoneticPr fontId="10"/>
  </si>
  <si>
    <t>instore_code</t>
    <phoneticPr fontId="10"/>
  </si>
  <si>
    <t>店舗内コード</t>
    <rPh sb="0" eb="2">
      <t>テンポ</t>
    </rPh>
    <rPh sb="2" eb="3">
      <t>ナイ</t>
    </rPh>
    <phoneticPr fontId="10"/>
  </si>
  <si>
    <t>}</t>
  </si>
  <si>
    <t>ServiceClass01</t>
  </si>
  <si>
    <t>ServiceClass01</t>
    <phoneticPr fontId="1"/>
  </si>
  <si>
    <t>ServiceClass02</t>
  </si>
  <si>
    <t>ServiceClass03</t>
  </si>
  <si>
    <t>ServiceClass04</t>
  </si>
  <si>
    <t>ServiceClass05</t>
  </si>
  <si>
    <t>ServiceClass06</t>
  </si>
  <si>
    <t>ServiceClass07</t>
  </si>
  <si>
    <t>ServiceClass08</t>
  </si>
  <si>
    <t>ServiceClass09</t>
  </si>
  <si>
    <t>ServiceClass10</t>
  </si>
  <si>
    <t>PointClass01</t>
  </si>
  <si>
    <t>PointClass01</t>
    <phoneticPr fontId="1"/>
  </si>
  <si>
    <t>PointClass02</t>
  </si>
  <si>
    <t>PointClass03</t>
  </si>
  <si>
    <t>PointClass04</t>
  </si>
  <si>
    <t>PointClass05</t>
  </si>
  <si>
    <t>PointClass06</t>
  </si>
  <si>
    <t>PointClass07</t>
  </si>
  <si>
    <t>PointClass08</t>
  </si>
  <si>
    <t>PointClass09</t>
  </si>
  <si>
    <t>PointClass10</t>
  </si>
  <si>
    <t>PaymentClass01</t>
  </si>
  <si>
    <t>PaymentClass01</t>
    <phoneticPr fontId="1"/>
  </si>
  <si>
    <t>PaymentClass02</t>
  </si>
  <si>
    <t>PaymentClass03</t>
  </si>
  <si>
    <t>PaymentClass04</t>
  </si>
  <si>
    <t>PaymentClass05</t>
  </si>
  <si>
    <t>PaymentClass06</t>
  </si>
  <si>
    <t>PaymentClass07</t>
  </si>
  <si>
    <t>PaymentClass08</t>
  </si>
  <si>
    <t>PaymentClass09</t>
  </si>
  <si>
    <t>PaymentClass10</t>
  </si>
  <si>
    <t>PaymentClass11</t>
  </si>
  <si>
    <t>PaymentClass12</t>
  </si>
  <si>
    <t>PaymentClass13</t>
  </si>
  <si>
    <t>PaymentClass14</t>
  </si>
  <si>
    <t>PaymentClass15</t>
  </si>
  <si>
    <t>PaymentClass16</t>
  </si>
  <si>
    <t>PaymentClass17</t>
  </si>
  <si>
    <t>PaymentClass18</t>
  </si>
  <si>
    <t>PaymentClass19</t>
  </si>
  <si>
    <t>PaymentClass20</t>
  </si>
  <si>
    <t>int</t>
    <phoneticPr fontId="1"/>
  </si>
  <si>
    <t>int</t>
  </si>
  <si>
    <t>〇</t>
  </si>
  <si>
    <t>〇</t>
    <phoneticPr fontId="1"/>
  </si>
  <si>
    <t>RECORD_VOID_FLAG</t>
    <phoneticPr fontId="1"/>
  </si>
  <si>
    <t>5</t>
    <phoneticPr fontId="1"/>
  </si>
  <si>
    <t>}</t>
    <phoneticPr fontId="1"/>
  </si>
  <si>
    <t>レスポンス&lt;200：OK&gt;</t>
    <phoneticPr fontId="10"/>
  </si>
  <si>
    <t>←参照(Select)、更新(Update）、追加（Insert）で、URLを分けていただきたい。</t>
    <rPh sb="1" eb="3">
      <t>サンショウ</t>
    </rPh>
    <rPh sb="12" eb="14">
      <t>コウシン</t>
    </rPh>
    <rPh sb="23" eb="25">
      <t>ツイカ</t>
    </rPh>
    <rPh sb="39" eb="40">
      <t>ワ</t>
    </rPh>
    <phoneticPr fontId="10"/>
  </si>
  <si>
    <t>←更新で、無い場合は追加という対応が可能でしたら、更新だけで問題ありません。</t>
    <rPh sb="1" eb="3">
      <t>コウシン</t>
    </rPh>
    <rPh sb="5" eb="6">
      <t>ナ</t>
    </rPh>
    <rPh sb="7" eb="9">
      <t>バアイ</t>
    </rPh>
    <rPh sb="10" eb="12">
      <t>ツイカ</t>
    </rPh>
    <rPh sb="15" eb="17">
      <t>タイオウ</t>
    </rPh>
    <rPh sb="18" eb="20">
      <t>カノウ</t>
    </rPh>
    <rPh sb="25" eb="27">
      <t>コウシン</t>
    </rPh>
    <rPh sb="30" eb="32">
      <t>モンダイ</t>
    </rPh>
    <phoneticPr fontId="10"/>
  </si>
  <si>
    <t>リクエスト:更新(Update）、追加（Insert）</t>
    <phoneticPr fontId="9"/>
  </si>
  <si>
    <t>なし</t>
    <phoneticPr fontId="10"/>
  </si>
  <si>
    <t>エラーメッセージ&lt;200：OK&gt;</t>
    <phoneticPr fontId="10"/>
  </si>
  <si>
    <t>HTTPステータス</t>
  </si>
  <si>
    <t>メッセージ</t>
  </si>
  <si>
    <t>400</t>
  </si>
  <si>
    <t>{ message:"company_code に誤りがあります。（必須または10文字以内）"}</t>
  </si>
  <si>
    <t>{ message:"store_code に誤りがあります。（必須または10文字以内）"}</t>
  </si>
  <si>
    <t>{ message:"instore_code に誤りがあります。（必須または10文字以内）"}</t>
    <phoneticPr fontId="10"/>
  </si>
  <si>
    <t>{ message:"プロパティ に誤りがあります。"}</t>
    <phoneticPr fontId="10"/>
  </si>
  <si>
    <t>}</t>
    <phoneticPr fontId="10"/>
  </si>
  <si>
    <t>リクエスト:参照（Select）</t>
    <rPh sb="6" eb="8">
      <t>サンショウ</t>
    </rPh>
    <phoneticPr fontId="9"/>
  </si>
  <si>
    <t>例</t>
  </si>
  <si>
    <t xml:space="preserve">  "company_code: "300","</t>
  </si>
  <si>
    <t xml:space="preserve">  "store_code: "048405","</t>
  </si>
  <si>
    <t xml:space="preserve">  "instore_code: "901","</t>
  </si>
  <si>
    <t xml:space="preserve">  "RECORD_VOID_FLAG: false,"</t>
  </si>
  <si>
    <t xml:space="preserve">  "class: 9,"</t>
  </si>
  <si>
    <t xml:space="preserve">  "ServiceClass01: 1,"</t>
  </si>
  <si>
    <t xml:space="preserve">  "ServiceClass02: 9,"</t>
  </si>
  <si>
    <t xml:space="preserve">  "ServiceClass03: 9,"</t>
  </si>
  <si>
    <t xml:space="preserve">  "ServiceClass04: 9,"</t>
  </si>
  <si>
    <t xml:space="preserve">  "ServiceClass05: 9,"</t>
  </si>
  <si>
    <t xml:space="preserve">  "ServiceClass06: 9,"</t>
  </si>
  <si>
    <t xml:space="preserve">  "ServiceClass07: 9,"</t>
  </si>
  <si>
    <t xml:space="preserve">  "ServiceClass08: 9,"</t>
  </si>
  <si>
    <t xml:space="preserve">  "ServiceClass09: 9,"</t>
  </si>
  <si>
    <t xml:space="preserve">  "ServiceClass10: 9,"</t>
  </si>
  <si>
    <t xml:space="preserve">  "PointClass01: 9,"</t>
  </si>
  <si>
    <t xml:space="preserve">  "PointClass02: 9,"</t>
  </si>
  <si>
    <t xml:space="preserve">  "PointClass03: 9,"</t>
  </si>
  <si>
    <t xml:space="preserve">  "PointClass04: 9,"</t>
  </si>
  <si>
    <t xml:space="preserve">  "PointClass05: 9,"</t>
  </si>
  <si>
    <t xml:space="preserve">  "PointClass06: 9,"</t>
  </si>
  <si>
    <t xml:space="preserve">  "PointClass07: 9,"</t>
  </si>
  <si>
    <t xml:space="preserve">  "PointClass08: 9,"</t>
  </si>
  <si>
    <t xml:space="preserve">  "PointClass09: 9,"</t>
  </si>
  <si>
    <t xml:space="preserve">  "PointClass10: 9,"</t>
  </si>
  <si>
    <t xml:space="preserve">  "PaymentClass01: 1,"</t>
  </si>
  <si>
    <t xml:space="preserve">  "PaymentClass02: 9,"</t>
  </si>
  <si>
    <t xml:space="preserve">  "PaymentClass03: 9,"</t>
  </si>
  <si>
    <t xml:space="preserve">  "PaymentClass04: 9,"</t>
  </si>
  <si>
    <t xml:space="preserve">  "PaymentClass05: 9,"</t>
  </si>
  <si>
    <t xml:space="preserve">  "PaymentClass06: 9,"</t>
  </si>
  <si>
    <t xml:space="preserve">  "PaymentClass07: 9,"</t>
  </si>
  <si>
    <t xml:space="preserve">  "PaymentClass08: 9,"</t>
  </si>
  <si>
    <t xml:space="preserve">  "PaymentClass09: 9,"</t>
  </si>
  <si>
    <t xml:space="preserve">  "PaymentClass10: 9,"</t>
  </si>
  <si>
    <t xml:space="preserve">  "PaymentClass11: 9,"</t>
  </si>
  <si>
    <t xml:space="preserve">  "PaymentClass12: 9,"</t>
  </si>
  <si>
    <t xml:space="preserve">  "PaymentClass13: 9,"</t>
  </si>
  <si>
    <t xml:space="preserve">  "PaymentClass14: 9,"</t>
  </si>
  <si>
    <t xml:space="preserve">  "PaymentClass15: 9,"</t>
  </si>
  <si>
    <t xml:space="preserve">  "PaymentClass16: 9,"</t>
  </si>
  <si>
    <t xml:space="preserve">  "PaymentClass17: 9,"</t>
  </si>
  <si>
    <t xml:space="preserve">  "PaymentClass18: 9,"</t>
  </si>
  <si>
    <t xml:space="preserve">  "PaymentClass19: 9,"</t>
  </si>
  <si>
    <t xml:space="preserve">  "PaymentClass20: 9,"</t>
  </si>
  <si>
    <t>company_code,store_code,instore_code,class</t>
    <phoneticPr fontId="1"/>
  </si>
  <si>
    <t>10000yen</t>
  </si>
  <si>
    <t>5000yen</t>
  </si>
  <si>
    <t>2000yen</t>
  </si>
  <si>
    <t>1000yen</t>
  </si>
  <si>
    <t>500yen</t>
  </si>
  <si>
    <t>100yen</t>
  </si>
  <si>
    <t>50yen</t>
  </si>
  <si>
    <t>10yen</t>
  </si>
  <si>
    <t>5yen</t>
  </si>
  <si>
    <t>1yen</t>
  </si>
  <si>
    <t>cassette</t>
  </si>
  <si>
    <t>カセット</t>
  </si>
  <si>
    <t>”0”</t>
  </si>
  <si>
    <t>”0”</t>
    <phoneticPr fontId="1"/>
  </si>
  <si>
    <t xml:space="preserve">  "10000yen: 1,"</t>
  </si>
  <si>
    <t xml:space="preserve">  "5000yen: 9,"</t>
  </si>
  <si>
    <t xml:space="preserve">  "2000yen: 9,"</t>
  </si>
  <si>
    <t xml:space="preserve">  "1000yen: 9,"</t>
  </si>
  <si>
    <t xml:space="preserve">  "500yen: 9,"</t>
  </si>
  <si>
    <t xml:space="preserve">  "100yen: 9,"</t>
  </si>
  <si>
    <t xml:space="preserve">  "50yen: 9,"</t>
  </si>
  <si>
    <t xml:space="preserve">  "10yen: 9,"</t>
  </si>
  <si>
    <t xml:space="preserve">  "5yen: 9,"</t>
  </si>
  <si>
    <t xml:space="preserve">  "1yen: 9,"</t>
  </si>
  <si>
    <t xml:space="preserve">  "cassette: 9,"</t>
  </si>
  <si>
    <t>・釣銭機に設定される各種金種ごとの設定枚数を定義する。</t>
    <rPh sb="1" eb="4">
      <t>ツリセンキ</t>
    </rPh>
    <rPh sb="5" eb="7">
      <t>セッテイ</t>
    </rPh>
    <rPh sb="10" eb="12">
      <t>カクシュ</t>
    </rPh>
    <rPh sb="12" eb="14">
      <t>キンシュ</t>
    </rPh>
    <rPh sb="17" eb="19">
      <t>セッテイ</t>
    </rPh>
    <rPh sb="19" eb="21">
      <t>マイスウ</t>
    </rPh>
    <rPh sb="22" eb="24">
      <t>テイギ</t>
    </rPh>
    <phoneticPr fontId="1"/>
  </si>
  <si>
    <t>POS機器設定</t>
    <rPh sb="3" eb="5">
      <t>キキ</t>
    </rPh>
    <rPh sb="5" eb="7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</si>
</sst>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メイリオ"/>
      <family val="3"/>
      <charset val="128"/>
    </font>
    <font>
      <sz val="6"/>
      <name val="MS UI Gothic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2"/>
      <name val="Meiryo UI"/>
      <family val="3"/>
      <charset val="128"/>
    </font>
    <font>
      <sz val="9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28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28" xfId="0" quotePrefix="1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7" fillId="6" borderId="34" xfId="0" applyFont="1" applyFill="1" applyBorder="1" applyAlignment="1">
      <alignment horizontal="left" vertical="center"/>
    </xf>
    <xf numFmtId="0" fontId="7" fillId="6" borderId="35" xfId="0" applyFont="1" applyFill="1" applyBorder="1" applyAlignment="1">
      <alignment horizontal="left" vertical="center"/>
    </xf>
    <xf numFmtId="0" fontId="7" fillId="6" borderId="36" xfId="0" applyFont="1" applyFill="1" applyBorder="1" applyAlignment="1">
      <alignment horizontal="left" vertical="center"/>
    </xf>
    <xf numFmtId="49" fontId="7" fillId="6" borderId="36" xfId="0" applyNumberFormat="1" applyFont="1" applyFill="1" applyBorder="1">
      <alignment vertical="center"/>
    </xf>
    <xf numFmtId="0" fontId="7" fillId="5" borderId="37" xfId="0" applyFont="1" applyFill="1" applyBorder="1" applyAlignment="1">
      <alignment horizontal="centerContinuous" vertical="center"/>
    </xf>
    <xf numFmtId="0" fontId="7" fillId="5" borderId="38" xfId="0" applyFont="1" applyFill="1" applyBorder="1" applyAlignment="1">
      <alignment horizontal="centerContinuous" vertical="center"/>
    </xf>
    <xf numFmtId="0" fontId="7" fillId="5" borderId="34" xfId="0" applyFont="1" applyFill="1" applyBorder="1" applyAlignment="1">
      <alignment horizontal="left" vertical="center"/>
    </xf>
    <xf numFmtId="0" fontId="7" fillId="5" borderId="36" xfId="0" applyFont="1" applyFill="1" applyBorder="1" applyAlignment="1">
      <alignment horizontal="left" vertical="center"/>
    </xf>
    <xf numFmtId="0" fontId="7" fillId="5" borderId="35" xfId="0" applyFont="1" applyFill="1" applyBorder="1" applyAlignment="1">
      <alignment horizontal="left" vertical="center"/>
    </xf>
    <xf numFmtId="0" fontId="7" fillId="5" borderId="39" xfId="0" applyFont="1" applyFill="1" applyBorder="1" applyAlignment="1">
      <alignment horizontal="left" vertical="center"/>
    </xf>
    <xf numFmtId="0" fontId="7" fillId="5" borderId="38" xfId="0" applyFont="1" applyFill="1" applyBorder="1" applyAlignment="1">
      <alignment horizontal="left" vertical="center"/>
    </xf>
    <xf numFmtId="0" fontId="7" fillId="5" borderId="37" xfId="0" applyFont="1" applyFill="1" applyBorder="1" applyAlignment="1">
      <alignment horizontal="left" vertical="center"/>
    </xf>
    <xf numFmtId="49" fontId="7" fillId="5" borderId="39" xfId="0" applyNumberFormat="1" applyFont="1" applyFill="1" applyBorder="1">
      <alignment vertical="center"/>
    </xf>
    <xf numFmtId="0" fontId="7" fillId="5" borderId="37" xfId="0" applyFont="1" applyFill="1" applyBorder="1">
      <alignment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29" xfId="0" quotePrefix="1" applyFill="1" applyBorder="1" applyAlignment="1">
      <alignment horizontal="left" vertical="center"/>
    </xf>
    <xf numFmtId="0" fontId="0" fillId="5" borderId="30" xfId="0" quotePrefix="1" applyFill="1" applyBorder="1" applyAlignment="1">
      <alignment horizontal="left" vertical="center"/>
    </xf>
    <xf numFmtId="0" fontId="0" fillId="5" borderId="28" xfId="0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0" fillId="5" borderId="41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41" xfId="0" applyFill="1" applyBorder="1" applyAlignment="1">
      <alignment horizontal="left" vertical="center"/>
    </xf>
    <xf numFmtId="0" fontId="0" fillId="5" borderId="43" xfId="0" applyFill="1" applyBorder="1" applyAlignment="1">
      <alignment horizontal="left" vertical="center"/>
    </xf>
    <xf numFmtId="0" fontId="0" fillId="5" borderId="42" xfId="0" applyFill="1" applyBorder="1" applyAlignment="1">
      <alignment horizontal="left" vertical="center"/>
    </xf>
    <xf numFmtId="0" fontId="0" fillId="5" borderId="41" xfId="0" applyFill="1" applyBorder="1">
      <alignment vertical="center"/>
    </xf>
    <xf numFmtId="0" fontId="0" fillId="5" borderId="43" xfId="0" applyFill="1" applyBorder="1">
      <alignment vertical="center"/>
    </xf>
    <xf numFmtId="0" fontId="0" fillId="5" borderId="29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0" fontId="7" fillId="5" borderId="45" xfId="0" applyFont="1" applyFill="1" applyBorder="1" applyAlignment="1">
      <alignment horizontal="centerContinuous" vertical="center"/>
    </xf>
    <xf numFmtId="0" fontId="7" fillId="5" borderId="46" xfId="0" applyFont="1" applyFill="1" applyBorder="1" applyAlignment="1">
      <alignment horizontal="centerContinuous" vertical="center"/>
    </xf>
    <xf numFmtId="0" fontId="7" fillId="5" borderId="45" xfId="0" applyFont="1" applyFill="1" applyBorder="1" applyAlignment="1">
      <alignment horizontal="left" vertical="center"/>
    </xf>
    <xf numFmtId="0" fontId="7" fillId="5" borderId="47" xfId="0" applyFont="1" applyFill="1" applyBorder="1" applyAlignment="1">
      <alignment horizontal="left" vertical="center"/>
    </xf>
    <xf numFmtId="0" fontId="7" fillId="5" borderId="46" xfId="0" applyFont="1" applyFill="1" applyBorder="1" applyAlignment="1">
      <alignment horizontal="left" vertical="center"/>
    </xf>
    <xf numFmtId="0" fontId="7" fillId="5" borderId="45" xfId="0" applyFont="1" applyFill="1" applyBorder="1">
      <alignment vertical="center"/>
    </xf>
    <xf numFmtId="49" fontId="7" fillId="5" borderId="47" xfId="0" applyNumberFormat="1" applyFont="1" applyFill="1" applyBorder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11" fillId="4" borderId="1" xfId="0" applyFont="1" applyFill="1" applyBorder="1">
      <alignment vertical="center"/>
    </xf>
    <xf numFmtId="49" fontId="11" fillId="4" borderId="4" xfId="0" applyNumberFormat="1" applyFont="1" applyFill="1" applyBorder="1">
      <alignment vertical="center"/>
    </xf>
    <xf numFmtId="49" fontId="11" fillId="4" borderId="10" xfId="0" applyNumberFormat="1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48" xfId="0" applyFont="1" applyFill="1" applyBorder="1">
      <alignment vertical="center"/>
    </xf>
    <xf numFmtId="0" fontId="11" fillId="4" borderId="49" xfId="0" applyFont="1" applyFill="1" applyBorder="1">
      <alignment vertical="center"/>
    </xf>
    <xf numFmtId="0" fontId="11" fillId="4" borderId="0" xfId="0" applyFont="1" applyFill="1">
      <alignment vertical="center"/>
    </xf>
    <xf numFmtId="0" fontId="11" fillId="5" borderId="12" xfId="0" applyFont="1" applyFill="1" applyBorder="1">
      <alignment vertical="center"/>
    </xf>
    <xf numFmtId="0" fontId="11" fillId="5" borderId="13" xfId="0" applyFont="1" applyFill="1" applyBorder="1">
      <alignment vertical="center"/>
    </xf>
    <xf numFmtId="0" fontId="11" fillId="5" borderId="56" xfId="0" applyFont="1" applyFill="1" applyBorder="1">
      <alignment vertical="center"/>
    </xf>
    <xf numFmtId="49" fontId="11" fillId="5" borderId="56" xfId="0" quotePrefix="1" applyNumberFormat="1" applyFont="1" applyFill="1" applyBorder="1" applyAlignment="1">
      <alignment horizontal="centerContinuous" vertical="center"/>
    </xf>
    <xf numFmtId="0" fontId="11" fillId="5" borderId="56" xfId="0" applyFont="1" applyFill="1" applyBorder="1" applyAlignment="1">
      <alignment horizontal="centerContinuous" vertical="center"/>
    </xf>
    <xf numFmtId="0" fontId="11" fillId="5" borderId="13" xfId="0" applyFont="1" applyFill="1" applyBorder="1" applyAlignment="1">
      <alignment horizontal="centerContinuous" vertical="center"/>
    </xf>
    <xf numFmtId="0" fontId="11" fillId="5" borderId="56" xfId="0" applyFont="1" applyFill="1" applyBorder="1" applyAlignment="1">
      <alignment vertical="top"/>
    </xf>
    <xf numFmtId="0" fontId="11" fillId="5" borderId="28" xfId="0" applyFont="1" applyFill="1" applyBorder="1">
      <alignment vertical="center"/>
    </xf>
    <xf numFmtId="0" fontId="11" fillId="5" borderId="29" xfId="0" applyFont="1" applyFill="1" applyBorder="1">
      <alignment vertical="center"/>
    </xf>
    <xf numFmtId="0" fontId="11" fillId="5" borderId="54" xfId="0" applyFont="1" applyFill="1" applyBorder="1">
      <alignment vertical="center"/>
    </xf>
    <xf numFmtId="49" fontId="11" fillId="5" borderId="54" xfId="0" applyNumberFormat="1" applyFont="1" applyFill="1" applyBorder="1" applyAlignment="1">
      <alignment horizontal="centerContinuous" vertical="center"/>
    </xf>
    <xf numFmtId="0" fontId="11" fillId="5" borderId="54" xfId="0" applyFont="1" applyFill="1" applyBorder="1" applyAlignment="1">
      <alignment horizontal="centerContinuous" vertical="center"/>
    </xf>
    <xf numFmtId="0" fontId="11" fillId="5" borderId="29" xfId="0" applyFont="1" applyFill="1" applyBorder="1" applyAlignment="1">
      <alignment horizontal="centerContinuous" vertical="center"/>
    </xf>
    <xf numFmtId="0" fontId="11" fillId="5" borderId="54" xfId="0" applyFont="1" applyFill="1" applyBorder="1" applyAlignment="1">
      <alignment vertical="top"/>
    </xf>
    <xf numFmtId="49" fontId="11" fillId="5" borderId="54" xfId="0" applyNumberFormat="1" applyFont="1" applyFill="1" applyBorder="1">
      <alignment vertical="center"/>
    </xf>
    <xf numFmtId="49" fontId="11" fillId="5" borderId="29" xfId="0" applyNumberFormat="1" applyFont="1" applyFill="1" applyBorder="1">
      <alignment vertical="center"/>
    </xf>
    <xf numFmtId="0" fontId="11" fillId="5" borderId="57" xfId="0" applyFont="1" applyFill="1" applyBorder="1">
      <alignment vertical="center"/>
    </xf>
    <xf numFmtId="0" fontId="11" fillId="5" borderId="55" xfId="0" applyFont="1" applyFill="1" applyBorder="1">
      <alignment vertical="center"/>
    </xf>
    <xf numFmtId="0" fontId="0" fillId="5" borderId="54" xfId="0" applyFill="1" applyBorder="1">
      <alignment vertical="center"/>
    </xf>
    <xf numFmtId="0" fontId="0" fillId="5" borderId="55" xfId="0" applyFill="1" applyBorder="1">
      <alignment vertical="center"/>
    </xf>
    <xf numFmtId="0" fontId="0" fillId="5" borderId="58" xfId="0" applyFill="1" applyBorder="1">
      <alignment vertical="center"/>
    </xf>
    <xf numFmtId="0" fontId="0" fillId="5" borderId="59" xfId="0" applyFill="1" applyBorder="1">
      <alignment vertical="center"/>
    </xf>
    <xf numFmtId="0" fontId="11" fillId="5" borderId="57" xfId="0" applyFont="1" applyFill="1" applyBorder="1" applyAlignment="1">
      <alignment horizontal="centerContinuous" vertical="center"/>
    </xf>
    <xf numFmtId="0" fontId="11" fillId="5" borderId="55" xfId="0" applyFont="1" applyFill="1" applyBorder="1" applyAlignment="1">
      <alignment horizontal="centerContinuous" vertical="center"/>
    </xf>
    <xf numFmtId="49" fontId="11" fillId="5" borderId="54" xfId="0" quotePrefix="1" applyNumberFormat="1" applyFont="1" applyFill="1" applyBorder="1" applyAlignment="1">
      <alignment horizontal="centerContinuous" vertical="center"/>
    </xf>
    <xf numFmtId="0" fontId="11" fillId="5" borderId="48" xfId="0" applyFont="1" applyFill="1" applyBorder="1" applyAlignment="1">
      <alignment vertical="top"/>
    </xf>
    <xf numFmtId="0" fontId="11" fillId="5" borderId="3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7" xfId="0" applyFill="1" applyBorder="1">
      <alignment vertical="center"/>
    </xf>
    <xf numFmtId="0" fontId="11" fillId="5" borderId="53" xfId="0" applyFont="1" applyFill="1" applyBorder="1" applyAlignment="1">
      <alignment vertical="top"/>
    </xf>
    <xf numFmtId="0" fontId="11" fillId="5" borderId="0" xfId="0" applyFont="1" applyFill="1">
      <alignment vertical="center"/>
    </xf>
    <xf numFmtId="0" fontId="0" fillId="5" borderId="60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9" xfId="0" applyFill="1" applyBorder="1">
      <alignment vertical="center"/>
    </xf>
    <xf numFmtId="49" fontId="11" fillId="4" borderId="11" xfId="0" applyNumberFormat="1" applyFont="1" applyFill="1" applyBorder="1">
      <alignment vertical="center"/>
    </xf>
    <xf numFmtId="0" fontId="0" fillId="4" borderId="0" xfId="0" applyFill="1">
      <alignment vertical="center"/>
    </xf>
    <xf numFmtId="0" fontId="0" fillId="4" borderId="8" xfId="0" applyFill="1" applyBorder="1">
      <alignment vertical="center"/>
    </xf>
    <xf numFmtId="0" fontId="11" fillId="5" borderId="31" xfId="0" applyFont="1" applyFill="1" applyBorder="1">
      <alignment vertical="center"/>
    </xf>
    <xf numFmtId="49" fontId="11" fillId="4" borderId="2" xfId="0" applyNumberFormat="1" applyFont="1" applyFill="1" applyBorder="1">
      <alignment vertical="center"/>
    </xf>
    <xf numFmtId="49" fontId="11" fillId="4" borderId="3" xfId="0" applyNumberFormat="1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7" xfId="0" applyFill="1" applyBorder="1">
      <alignment vertical="center"/>
    </xf>
    <xf numFmtId="0" fontId="11" fillId="4" borderId="5" xfId="0" applyFont="1" applyFill="1" applyBorder="1">
      <alignment vertical="center"/>
    </xf>
    <xf numFmtId="0" fontId="11" fillId="4" borderId="6" xfId="0" applyFont="1" applyFill="1" applyBorder="1">
      <alignment vertical="center"/>
    </xf>
    <xf numFmtId="0" fontId="0" fillId="4" borderId="6" xfId="0" applyFill="1" applyBorder="1">
      <alignment vertical="center"/>
    </xf>
    <xf numFmtId="0" fontId="0" fillId="4" borderId="9" xfId="0" applyFill="1" applyBorder="1">
      <alignment vertical="center"/>
    </xf>
    <xf numFmtId="0" fontId="11" fillId="5" borderId="2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0" fillId="5" borderId="5" xfId="0" applyFill="1" applyBorder="1">
      <alignment vertical="center"/>
    </xf>
    <xf numFmtId="0" fontId="11" fillId="5" borderId="3" xfId="0" applyFont="1" applyFill="1" applyBorder="1" applyAlignment="1">
      <alignment horizontal="centerContinuous" vertical="top" wrapText="1"/>
    </xf>
    <xf numFmtId="0" fontId="12" fillId="5" borderId="3" xfId="0" applyFont="1" applyFill="1" applyBorder="1" applyAlignment="1">
      <alignment vertical="top"/>
    </xf>
    <xf numFmtId="0" fontId="11" fillId="5" borderId="0" xfId="0" applyFont="1" applyFill="1" applyAlignment="1">
      <alignment horizontal="centerContinuous" vertical="top" wrapText="1"/>
    </xf>
    <xf numFmtId="0" fontId="12" fillId="5" borderId="0" xfId="0" applyFont="1" applyFill="1" applyAlignment="1">
      <alignment vertical="top"/>
    </xf>
    <xf numFmtId="0" fontId="11" fillId="5" borderId="0" xfId="0" applyFont="1" applyFill="1" applyAlignment="1">
      <alignment horizontal="centerContinuous" vertical="center"/>
    </xf>
    <xf numFmtId="0" fontId="12" fillId="5" borderId="50" xfId="0" applyFont="1" applyFill="1" applyBorder="1" applyAlignment="1">
      <alignment vertical="top"/>
    </xf>
    <xf numFmtId="0" fontId="12" fillId="5" borderId="61" xfId="0" applyFont="1" applyFill="1" applyBorder="1" applyAlignment="1">
      <alignment vertical="top"/>
    </xf>
    <xf numFmtId="0" fontId="0" fillId="5" borderId="61" xfId="0" applyFill="1" applyBorder="1">
      <alignment vertical="center"/>
    </xf>
    <xf numFmtId="0" fontId="12" fillId="5" borderId="48" xfId="0" applyFont="1" applyFill="1" applyBorder="1" applyAlignment="1">
      <alignment vertical="top"/>
    </xf>
    <xf numFmtId="0" fontId="12" fillId="5" borderId="53" xfId="0" applyFont="1" applyFill="1" applyBorder="1" applyAlignment="1">
      <alignment vertical="top"/>
    </xf>
    <xf numFmtId="0" fontId="0" fillId="5" borderId="53" xfId="0" applyFill="1" applyBorder="1">
      <alignment vertical="center"/>
    </xf>
    <xf numFmtId="0" fontId="0" fillId="5" borderId="62" xfId="0" applyFill="1" applyBorder="1">
      <alignment vertical="center"/>
    </xf>
    <xf numFmtId="0" fontId="11" fillId="5" borderId="33" xfId="0" applyFont="1" applyFill="1" applyBorder="1">
      <alignment vertical="center"/>
    </xf>
    <xf numFmtId="0" fontId="11" fillId="5" borderId="52" xfId="0" applyFont="1" applyFill="1" applyBorder="1">
      <alignment vertical="center"/>
    </xf>
    <xf numFmtId="0" fontId="11" fillId="5" borderId="51" xfId="0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11" fillId="4" borderId="10" xfId="0" applyFont="1" applyFill="1" applyBorder="1">
      <alignment vertical="center"/>
    </xf>
    <xf numFmtId="0" fontId="11" fillId="4" borderId="63" xfId="0" applyFont="1" applyFill="1" applyBorder="1">
      <alignment vertical="center"/>
    </xf>
    <xf numFmtId="0" fontId="12" fillId="4" borderId="10" xfId="0" applyFont="1" applyFill="1" applyBorder="1" applyAlignment="1">
      <alignment vertical="top"/>
    </xf>
    <xf numFmtId="49" fontId="11" fillId="5" borderId="0" xfId="0" applyNumberFormat="1" applyFont="1" applyFill="1">
      <alignment vertical="center"/>
    </xf>
    <xf numFmtId="0" fontId="0" fillId="5" borderId="33" xfId="0" applyFill="1" applyBorder="1">
      <alignment vertical="center"/>
    </xf>
    <xf numFmtId="0" fontId="0" fillId="5" borderId="32" xfId="0" applyFill="1" applyBorder="1">
      <alignment vertical="center"/>
    </xf>
    <xf numFmtId="0" fontId="0" fillId="5" borderId="64" xfId="0" applyFill="1" applyBorder="1">
      <alignment vertical="center"/>
    </xf>
    <xf numFmtId="0" fontId="0" fillId="5" borderId="65" xfId="0" applyFill="1" applyBorder="1">
      <alignment vertical="center"/>
    </xf>
    <xf numFmtId="0" fontId="11" fillId="5" borderId="5" xfId="0" applyFont="1" applyFill="1" applyBorder="1">
      <alignment vertical="center"/>
    </xf>
    <xf numFmtId="0" fontId="0" fillId="5" borderId="51" xfId="0" applyFill="1" applyBorder="1">
      <alignment vertical="center"/>
    </xf>
    <xf numFmtId="0" fontId="11" fillId="5" borderId="41" xfId="0" applyFont="1" applyFill="1" applyBorder="1">
      <alignment vertical="center"/>
    </xf>
    <xf numFmtId="0" fontId="11" fillId="5" borderId="43" xfId="0" applyFont="1" applyFill="1" applyBorder="1">
      <alignment vertical="center"/>
    </xf>
    <xf numFmtId="0" fontId="11" fillId="5" borderId="64" xfId="0" applyFont="1" applyFill="1" applyBorder="1">
      <alignment vertical="center"/>
    </xf>
    <xf numFmtId="0" fontId="11" fillId="5" borderId="65" xfId="0" applyFont="1" applyFill="1" applyBorder="1">
      <alignment vertical="center"/>
    </xf>
    <xf numFmtId="49" fontId="11" fillId="5" borderId="65" xfId="0" applyNumberFormat="1" applyFont="1" applyFill="1" applyBorder="1" applyAlignment="1">
      <alignment horizontal="centerContinuous" vertical="center"/>
    </xf>
    <xf numFmtId="0" fontId="11" fillId="5" borderId="65" xfId="0" applyFont="1" applyFill="1" applyBorder="1" applyAlignment="1">
      <alignment horizontal="centerContinuous" vertical="center"/>
    </xf>
    <xf numFmtId="0" fontId="11" fillId="5" borderId="43" xfId="0" applyFont="1" applyFill="1" applyBorder="1" applyAlignment="1">
      <alignment horizontal="centerContinuous" vertical="center"/>
    </xf>
    <xf numFmtId="0" fontId="11" fillId="5" borderId="64" xfId="0" applyFont="1" applyFill="1" applyBorder="1" applyAlignment="1">
      <alignment horizontal="centerContinuous" vertical="center"/>
    </xf>
    <xf numFmtId="0" fontId="12" fillId="5" borderId="13" xfId="0" applyFont="1" applyFill="1" applyBorder="1" applyAlignment="1">
      <alignment vertical="top"/>
    </xf>
    <xf numFmtId="0" fontId="12" fillId="5" borderId="29" xfId="0" applyFont="1" applyFill="1" applyBorder="1" applyAlignment="1">
      <alignment vertical="top"/>
    </xf>
    <xf numFmtId="0" fontId="0" fillId="0" borderId="44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2" fillId="2" borderId="0" xfId="0" applyFont="1" applyFill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14" fontId="0" fillId="0" borderId="28" xfId="0" quotePrefix="1" applyNumberFormat="1" applyBorder="1" applyAlignment="1">
      <alignment horizontal="left" vertical="center" wrapText="1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4" borderId="40" xfId="0" applyFill="1" applyBorder="1">
      <alignment vertical="center"/>
    </xf>
    <xf numFmtId="0" fontId="0" fillId="0" borderId="40" xfId="0" applyBorder="1">
      <alignment vertical="center"/>
    </xf>
    <xf numFmtId="0" fontId="0" fillId="0" borderId="40" xfId="0" applyBorder="1" applyAlignment="1">
      <alignment vertical="center" shrinkToFit="1"/>
    </xf>
    <xf numFmtId="49" fontId="0" fillId="4" borderId="40" xfId="0" applyNumberForma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20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CD45475-BA7C-ABA3-9B70-52C20D03DB27}"/>
            </a:ext>
          </a:extLst>
        </xdr:cNvPr>
        <xdr:cNvSpPr/>
      </xdr:nvSpPr>
      <xdr:spPr>
        <a:xfrm>
          <a:off x="977900" y="3937000"/>
          <a:ext cx="1435100" cy="571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POS</a:t>
          </a:r>
          <a:r>
            <a:rPr kumimoji="1" lang="ja-JP" altLang="en-US" sz="1100">
              <a:solidFill>
                <a:sysClr val="windowText" lastClr="000000"/>
              </a:solidFill>
            </a:rPr>
            <a:t>端末</a:t>
          </a:r>
        </a:p>
      </xdr:txBody>
    </xdr:sp>
    <xdr:clientData/>
  </xdr:twoCellAnchor>
  <xdr:twoCellAnchor>
    <xdr:from>
      <xdr:col>14</xdr:col>
      <xdr:colOff>0</xdr:colOff>
      <xdr:row>20</xdr:row>
      <xdr:rowOff>0</xdr:rowOff>
    </xdr:from>
    <xdr:to>
      <xdr:col>19</xdr:col>
      <xdr:colOff>228600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EEFBFD2-11BD-47C1-B7BB-75F197DC8DFA}"/>
            </a:ext>
          </a:extLst>
        </xdr:cNvPr>
        <xdr:cNvSpPr/>
      </xdr:nvSpPr>
      <xdr:spPr>
        <a:xfrm>
          <a:off x="3378200" y="3937000"/>
          <a:ext cx="1435100" cy="571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富士通様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en-US" altLang="ja-JP" sz="1100">
              <a:solidFill>
                <a:sysClr val="windowText" lastClr="000000"/>
              </a:solidFill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</a:rPr>
            <a:t>サーバー</a:t>
          </a:r>
        </a:p>
      </xdr:txBody>
    </xdr:sp>
    <xdr:clientData/>
  </xdr:twoCellAnchor>
  <xdr:twoCellAnchor>
    <xdr:from>
      <xdr:col>10</xdr:col>
      <xdr:colOff>0</xdr:colOff>
      <xdr:row>21</xdr:row>
      <xdr:rowOff>95250</xdr:rowOff>
    </xdr:from>
    <xdr:to>
      <xdr:col>14</xdr:col>
      <xdr:colOff>0</xdr:colOff>
      <xdr:row>21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DEE7DC5-373B-3553-1BD8-FAF4D89F08F6}"/>
            </a:ext>
          </a:extLst>
        </xdr:cNvPr>
        <xdr:cNvCxnSpPr>
          <a:stCxn id="3" idx="1"/>
          <a:endCxn id="2" idx="3"/>
        </xdr:cNvCxnSpPr>
      </xdr:nvCxnSpPr>
      <xdr:spPr>
        <a:xfrm flipH="1">
          <a:off x="2413000" y="422275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24</xdr:row>
      <xdr:rowOff>38100</xdr:rowOff>
    </xdr:from>
    <xdr:to>
      <xdr:col>19</xdr:col>
      <xdr:colOff>228600</xdr:colOff>
      <xdr:row>30</xdr:row>
      <xdr:rowOff>0</xdr:rowOff>
    </xdr:to>
    <xdr:sp macro="" textlink="">
      <xdr:nvSpPr>
        <xdr:cNvPr id="6" name="吹き出し: 線 5">
          <a:extLst>
            <a:ext uri="{FF2B5EF4-FFF2-40B4-BE49-F238E27FC236}">
              <a16:creationId xmlns:a16="http://schemas.microsoft.com/office/drawing/2014/main" id="{7FB3F6E4-3628-1969-3D1A-B8C591B73FD5}"/>
            </a:ext>
          </a:extLst>
        </xdr:cNvPr>
        <xdr:cNvSpPr/>
      </xdr:nvSpPr>
      <xdr:spPr>
        <a:xfrm>
          <a:off x="3365500" y="4737100"/>
          <a:ext cx="1447800" cy="1104900"/>
        </a:xfrm>
        <a:prstGeom prst="borderCallout1">
          <a:avLst>
            <a:gd name="adj1" fmla="val 51442"/>
            <a:gd name="adj2" fmla="val -438"/>
            <a:gd name="adj3" fmla="val -44176"/>
            <a:gd name="adj4" fmla="val -53245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起動時に設定の照会を実施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設定がない場合、利用不可にする。</a:t>
          </a:r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28</xdr:col>
      <xdr:colOff>228600</xdr:colOff>
      <xdr:row>23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574468E-1CA7-4920-96E4-BAA31CB43078}"/>
            </a:ext>
          </a:extLst>
        </xdr:cNvPr>
        <xdr:cNvSpPr/>
      </xdr:nvSpPr>
      <xdr:spPr>
        <a:xfrm>
          <a:off x="5549900" y="3937000"/>
          <a:ext cx="1435100" cy="571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PC</a:t>
          </a:r>
          <a:r>
            <a:rPr kumimoji="1" lang="ja-JP" altLang="en-US" sz="1100">
              <a:solidFill>
                <a:sysClr val="windowText" lastClr="000000"/>
              </a:solidFill>
            </a:rPr>
            <a:t>端末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</a:rPr>
            <a:t>WEB</a:t>
          </a:r>
          <a:r>
            <a:rPr kumimoji="1" lang="ja-JP" altLang="en-US" sz="1100">
              <a:solidFill>
                <a:sysClr val="windowText" lastClr="000000"/>
              </a:solidFill>
            </a:rPr>
            <a:t>操作）</a:t>
          </a:r>
        </a:p>
      </xdr:txBody>
    </xdr:sp>
    <xdr:clientData/>
  </xdr:twoCellAnchor>
  <xdr:twoCellAnchor>
    <xdr:from>
      <xdr:col>19</xdr:col>
      <xdr:colOff>228600</xdr:colOff>
      <xdr:row>21</xdr:row>
      <xdr:rowOff>95250</xdr:rowOff>
    </xdr:from>
    <xdr:to>
      <xdr:col>23</xdr:col>
      <xdr:colOff>0</xdr:colOff>
      <xdr:row>21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FA52099-6C65-4AE6-9C7F-94B0AB9A1122}"/>
            </a:ext>
          </a:extLst>
        </xdr:cNvPr>
        <xdr:cNvCxnSpPr>
          <a:stCxn id="7" idx="1"/>
          <a:endCxn id="3" idx="3"/>
        </xdr:cNvCxnSpPr>
      </xdr:nvCxnSpPr>
      <xdr:spPr>
        <a:xfrm flipH="1">
          <a:off x="4813300" y="4222750"/>
          <a:ext cx="736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24</xdr:row>
      <xdr:rowOff>0</xdr:rowOff>
    </xdr:from>
    <xdr:to>
      <xdr:col>35</xdr:col>
      <xdr:colOff>0</xdr:colOff>
      <xdr:row>27</xdr:row>
      <xdr:rowOff>88900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6FE7E771-45E0-4C42-8918-56E1FECB3DF5}"/>
            </a:ext>
          </a:extLst>
        </xdr:cNvPr>
        <xdr:cNvSpPr/>
      </xdr:nvSpPr>
      <xdr:spPr>
        <a:xfrm>
          <a:off x="6997700" y="4699000"/>
          <a:ext cx="1447800" cy="660400"/>
        </a:xfrm>
        <a:prstGeom prst="borderCallout1">
          <a:avLst>
            <a:gd name="adj1" fmla="val 51442"/>
            <a:gd name="adj2" fmla="val -438"/>
            <a:gd name="adj3" fmla="val -39423"/>
            <a:gd name="adj4" fmla="val -76052"/>
          </a:avLst>
        </a:prstGeom>
        <a:solidFill>
          <a:sysClr val="window" lastClr="FFFFFF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設定変更の実施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138</xdr:row>
      <xdr:rowOff>190500</xdr:rowOff>
    </xdr:from>
    <xdr:to>
      <xdr:col>37</xdr:col>
      <xdr:colOff>139700</xdr:colOff>
      <xdr:row>147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4E8138-D754-02B6-FC5B-5610790BA995}"/>
            </a:ext>
          </a:extLst>
        </xdr:cNvPr>
        <xdr:cNvSpPr txBox="1"/>
      </xdr:nvSpPr>
      <xdr:spPr>
        <a:xfrm>
          <a:off x="444500" y="27698700"/>
          <a:ext cx="862330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検索条件で、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company_code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がヒットするものの、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でヒットしない場合は、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が空欄のものを。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company_code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store_code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がヒットするものの、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がヒットしない場合は、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が空欄のものを、</a:t>
          </a:r>
          <a:b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company_code</a:t>
          </a: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instore_code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がヒットする場合は、そのまま検索して、</a:t>
          </a:r>
          <a:r>
            <a:rPr kumimoji="1" lang="en-US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レコードだけを返すようしてください。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A36-4D2F-4AD9-90BF-5A472F37B97F}">
  <dimension ref="A1:BK55"/>
  <sheetViews>
    <sheetView view="pageBreakPreview" zoomScale="75" zoomScaleNormal="75" zoomScaleSheetLayoutView="75" workbookViewId="0">
      <selection activeCell="AP4" sqref="AP4:BK4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">
        <v>135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">
        <v>15</v>
      </c>
      <c r="B2" s="200"/>
      <c r="C2" s="200"/>
      <c r="D2" s="200"/>
      <c r="E2" s="200"/>
      <c r="F2" s="200"/>
      <c r="G2" s="200"/>
      <c r="H2" s="200"/>
      <c r="I2" s="200"/>
      <c r="J2" s="201"/>
      <c r="K2" s="199" t="s">
        <v>134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238" t="s">
        <v>59</v>
      </c>
      <c r="AQ2" s="200"/>
      <c r="AR2" s="200"/>
      <c r="AS2" s="201"/>
      <c r="AT2" s="232">
        <v>44867</v>
      </c>
      <c r="AU2" s="233"/>
      <c r="AV2" s="233"/>
      <c r="AW2" s="233"/>
      <c r="AX2" s="234"/>
      <c r="AY2" s="199" t="str">
        <f>LOOKUP(2,1/(改廃履歴!H11:H30000&lt;&gt;""),改廃履歴!H11:H30000)</f>
        <v>きよはら</v>
      </c>
      <c r="AZ2" s="200"/>
      <c r="BA2" s="200"/>
      <c r="BB2" s="201"/>
      <c r="BC2" s="232">
        <v>44867</v>
      </c>
      <c r="BD2" s="233"/>
      <c r="BE2" s="233"/>
      <c r="BF2" s="233"/>
      <c r="BG2" s="234"/>
      <c r="BH2" s="226">
        <f>LOOKUP(2,1/(改廃履歴!O11:O30000&lt;&gt;""),改廃履歴!O11:O30000)</f>
        <v>0.1</v>
      </c>
      <c r="BI2" s="227"/>
      <c r="BJ2" s="227"/>
      <c r="BK2" s="228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">
        <v>58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">
        <v>133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16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98" t="s">
        <v>17</v>
      </c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2"/>
      <c r="BK16" s="4"/>
    </row>
    <row r="17" spans="1:63" ht="15" customHeight="1">
      <c r="A17" s="1"/>
      <c r="K17" s="6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2"/>
      <c r="BK17" s="4"/>
    </row>
    <row r="18" spans="1:63" ht="15" customHeight="1">
      <c r="A18" s="1"/>
      <c r="K18" s="6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2"/>
      <c r="BK18" s="4"/>
    </row>
    <row r="19" spans="1:63" ht="15" customHeight="1">
      <c r="A19" s="1"/>
      <c r="K19" s="6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2"/>
      <c r="BK19" s="4"/>
    </row>
    <row r="20" spans="1:63" ht="15" customHeight="1">
      <c r="A20" s="1"/>
      <c r="K20" s="6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2"/>
      <c r="BK20" s="4"/>
    </row>
    <row r="21" spans="1:63" ht="15" customHeight="1">
      <c r="A21" s="1"/>
      <c r="K21" s="6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98" t="str">
        <f>K2&amp;"/"&amp;H4&amp;"/"&amp;Z4</f>
        <v>API/共通/API(設定)定義書</v>
      </c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2"/>
      <c r="BK24" s="4"/>
    </row>
    <row r="25" spans="1:63" ht="15" customHeight="1">
      <c r="A25" s="1"/>
      <c r="K25" s="6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  <c r="AT25" s="198"/>
      <c r="AU25" s="198"/>
      <c r="AV25" s="198"/>
      <c r="AW25" s="198"/>
      <c r="AX25" s="198"/>
      <c r="AY25" s="198"/>
      <c r="AZ25" s="198"/>
      <c r="BA25" s="12"/>
      <c r="BK25" s="4"/>
    </row>
    <row r="26" spans="1:63" ht="15" customHeight="1">
      <c r="A26" s="1"/>
      <c r="K26" s="6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  <c r="AT26" s="198"/>
      <c r="AU26" s="198"/>
      <c r="AV26" s="198"/>
      <c r="AW26" s="198"/>
      <c r="AX26" s="198"/>
      <c r="AY26" s="198"/>
      <c r="AZ26" s="198"/>
      <c r="BA26" s="12"/>
      <c r="BK26" s="4"/>
    </row>
    <row r="27" spans="1:63" ht="15" customHeight="1">
      <c r="A27" s="1"/>
      <c r="K27" s="6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  <c r="AT27" s="198"/>
      <c r="AU27" s="198"/>
      <c r="AV27" s="198"/>
      <c r="AW27" s="198"/>
      <c r="AX27" s="198"/>
      <c r="AY27" s="198"/>
      <c r="AZ27" s="198"/>
      <c r="BA27" s="12"/>
      <c r="BK27" s="4"/>
    </row>
    <row r="28" spans="1:63" ht="15" customHeight="1">
      <c r="A28" s="1"/>
      <c r="K28" s="6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2"/>
      <c r="BK28" s="4"/>
    </row>
    <row r="29" spans="1:63" ht="15" customHeight="1">
      <c r="A29" s="1"/>
      <c r="K29" s="6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2"/>
      <c r="BK29" s="4"/>
    </row>
    <row r="30" spans="1:63" ht="15" customHeight="1">
      <c r="A30" s="1"/>
      <c r="K30" s="6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2"/>
      <c r="BK30" s="4"/>
    </row>
    <row r="31" spans="1:63" ht="15" customHeight="1">
      <c r="A31" s="1"/>
      <c r="K31" s="6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2"/>
      <c r="BK31" s="4"/>
    </row>
    <row r="32" spans="1:63" ht="15" customHeight="1">
      <c r="A32" s="1"/>
      <c r="K32" s="6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2"/>
      <c r="BK32" s="4"/>
    </row>
    <row r="33" spans="1:63" ht="15" customHeight="1">
      <c r="A33" s="1"/>
      <c r="K33" s="6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2"/>
      <c r="BK33" s="4"/>
    </row>
    <row r="34" spans="1:63" ht="15" customHeight="1">
      <c r="A34" s="1"/>
      <c r="K34" s="6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2"/>
      <c r="BK34" s="4"/>
    </row>
    <row r="35" spans="1:63" ht="15" customHeight="1">
      <c r="A35" s="1"/>
      <c r="K35" s="6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2"/>
      <c r="BK35" s="4"/>
    </row>
    <row r="36" spans="1:63" ht="15" customHeight="1">
      <c r="A36" s="1"/>
      <c r="K36" s="6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08" t="s">
        <v>18</v>
      </c>
      <c r="R44" s="209"/>
      <c r="S44" s="209"/>
      <c r="T44" s="209"/>
      <c r="U44" s="209"/>
      <c r="V44" s="209"/>
      <c r="W44" s="209"/>
      <c r="X44" s="209"/>
      <c r="Y44" s="209"/>
      <c r="Z44" s="210"/>
      <c r="AA44" s="208" t="s">
        <v>14</v>
      </c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10"/>
      <c r="AQ44" s="208" t="s">
        <v>7</v>
      </c>
      <c r="AR44" s="209"/>
      <c r="AS44" s="209"/>
      <c r="AT44" s="209"/>
      <c r="AU44" s="210"/>
      <c r="BK44" s="4"/>
    </row>
    <row r="45" spans="1:63" ht="15" customHeight="1">
      <c r="A45" s="1"/>
      <c r="Q45" s="211"/>
      <c r="R45" s="212"/>
      <c r="S45" s="212"/>
      <c r="T45" s="212"/>
      <c r="U45" s="212"/>
      <c r="V45" s="212"/>
      <c r="W45" s="212"/>
      <c r="X45" s="212"/>
      <c r="Y45" s="212"/>
      <c r="Z45" s="213"/>
      <c r="AA45" s="211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3"/>
      <c r="AQ45" s="211"/>
      <c r="AR45" s="212"/>
      <c r="AS45" s="212"/>
      <c r="AT45" s="212"/>
      <c r="AU45" s="213"/>
      <c r="BK45" s="4"/>
    </row>
    <row r="46" spans="1:63" ht="15" customHeight="1">
      <c r="A46" s="1"/>
      <c r="Q46" s="199"/>
      <c r="R46" s="200"/>
      <c r="S46" s="200"/>
      <c r="T46" s="200"/>
      <c r="U46" s="200"/>
      <c r="V46" s="200"/>
      <c r="W46" s="200"/>
      <c r="X46" s="200"/>
      <c r="Y46" s="200"/>
      <c r="Z46" s="201"/>
      <c r="AA46" s="199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1"/>
      <c r="AQ46" s="199"/>
      <c r="AR46" s="200"/>
      <c r="AS46" s="200"/>
      <c r="AT46" s="200"/>
      <c r="AU46" s="201"/>
      <c r="BK46" s="4"/>
    </row>
    <row r="47" spans="1:63" ht="15" customHeight="1">
      <c r="A47" s="1"/>
      <c r="Q47" s="202"/>
      <c r="R47" s="203"/>
      <c r="S47" s="203"/>
      <c r="T47" s="203"/>
      <c r="U47" s="203"/>
      <c r="V47" s="203"/>
      <c r="W47" s="203"/>
      <c r="X47" s="203"/>
      <c r="Y47" s="203"/>
      <c r="Z47" s="204"/>
      <c r="AA47" s="202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4"/>
      <c r="AQ47" s="202"/>
      <c r="AR47" s="203"/>
      <c r="AS47" s="203"/>
      <c r="AT47" s="203"/>
      <c r="AU47" s="204"/>
      <c r="BK47" s="4"/>
    </row>
    <row r="48" spans="1:63" ht="15" customHeight="1">
      <c r="A48" s="1"/>
      <c r="Q48" s="202"/>
      <c r="R48" s="203"/>
      <c r="S48" s="203"/>
      <c r="T48" s="203"/>
      <c r="U48" s="203"/>
      <c r="V48" s="203"/>
      <c r="W48" s="203"/>
      <c r="X48" s="203"/>
      <c r="Y48" s="203"/>
      <c r="Z48" s="204"/>
      <c r="AA48" s="202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4"/>
      <c r="AQ48" s="202"/>
      <c r="AR48" s="203"/>
      <c r="AS48" s="203"/>
      <c r="AT48" s="203"/>
      <c r="AU48" s="204"/>
      <c r="BK48" s="4"/>
    </row>
    <row r="49" spans="1:63" ht="15" customHeight="1">
      <c r="A49" s="1"/>
      <c r="Q49" s="205"/>
      <c r="R49" s="206"/>
      <c r="S49" s="206"/>
      <c r="T49" s="206"/>
      <c r="U49" s="206"/>
      <c r="V49" s="206"/>
      <c r="W49" s="206"/>
      <c r="X49" s="206"/>
      <c r="Y49" s="206"/>
      <c r="Z49" s="207"/>
      <c r="AA49" s="205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7"/>
      <c r="AQ49" s="205"/>
      <c r="AR49" s="206"/>
      <c r="AS49" s="206"/>
      <c r="AT49" s="206"/>
      <c r="AU49" s="207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445C-80D4-403D-842A-F44C2BC12F7D}">
  <dimension ref="A1:BK55"/>
  <sheetViews>
    <sheetView view="pageBreakPreview" zoomScale="75" zoomScaleNormal="75" zoomScaleSheetLayoutView="75" workbookViewId="0">
      <selection activeCell="H11" sqref="H11:N12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10</v>
      </c>
      <c r="BK8" s="4"/>
    </row>
    <row r="9" spans="1:63" ht="15" customHeight="1">
      <c r="A9" s="1"/>
      <c r="BK9" s="4"/>
    </row>
    <row r="10" spans="1:63" ht="15" customHeight="1">
      <c r="A10" s="1"/>
      <c r="B10" s="254" t="s">
        <v>11</v>
      </c>
      <c r="C10" s="254"/>
      <c r="D10" s="254"/>
      <c r="E10" s="254"/>
      <c r="F10" s="254"/>
      <c r="G10" s="254"/>
      <c r="H10" s="254" t="s">
        <v>5</v>
      </c>
      <c r="I10" s="254"/>
      <c r="J10" s="254"/>
      <c r="K10" s="254"/>
      <c r="L10" s="254"/>
      <c r="M10" s="254"/>
      <c r="N10" s="254"/>
      <c r="O10" s="254" t="s">
        <v>7</v>
      </c>
      <c r="P10" s="254"/>
      <c r="Q10" s="254"/>
      <c r="R10" s="254"/>
      <c r="S10" s="254" t="s">
        <v>12</v>
      </c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 t="s">
        <v>13</v>
      </c>
      <c r="AY10" s="254"/>
      <c r="AZ10" s="254"/>
      <c r="BA10" s="254"/>
      <c r="BB10" s="254"/>
      <c r="BC10" s="254"/>
      <c r="BD10" s="254" t="s">
        <v>14</v>
      </c>
      <c r="BE10" s="254"/>
      <c r="BF10" s="254"/>
      <c r="BG10" s="254"/>
      <c r="BH10" s="254"/>
      <c r="BI10" s="254"/>
      <c r="BJ10" s="254"/>
      <c r="BK10" s="4"/>
    </row>
    <row r="11" spans="1:63" ht="15" customHeight="1">
      <c r="A11" s="1"/>
      <c r="B11" s="238">
        <v>44867</v>
      </c>
      <c r="C11" s="200"/>
      <c r="D11" s="200"/>
      <c r="E11" s="200"/>
      <c r="F11" s="200"/>
      <c r="G11" s="201"/>
      <c r="H11" s="199" t="s">
        <v>59</v>
      </c>
      <c r="I11" s="200"/>
      <c r="J11" s="200"/>
      <c r="K11" s="200"/>
      <c r="L11" s="200"/>
      <c r="M11" s="200"/>
      <c r="N11" s="201"/>
      <c r="O11" s="199">
        <v>0.1</v>
      </c>
      <c r="P11" s="200"/>
      <c r="Q11" s="200"/>
      <c r="R11" s="200"/>
      <c r="S11" s="248" t="s">
        <v>60</v>
      </c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50"/>
      <c r="AX11" s="243"/>
      <c r="AY11" s="243"/>
      <c r="AZ11" s="243"/>
      <c r="BA11" s="243"/>
      <c r="BB11" s="243"/>
      <c r="BC11" s="244"/>
      <c r="BD11" s="242"/>
      <c r="BE11" s="243"/>
      <c r="BF11" s="243"/>
      <c r="BG11" s="243"/>
      <c r="BH11" s="243"/>
      <c r="BI11" s="243"/>
      <c r="BJ11" s="244"/>
      <c r="BK11" s="4"/>
    </row>
    <row r="12" spans="1:63" ht="15" customHeight="1">
      <c r="A12" s="1"/>
      <c r="B12" s="205"/>
      <c r="C12" s="206"/>
      <c r="D12" s="206"/>
      <c r="E12" s="206"/>
      <c r="F12" s="206"/>
      <c r="G12" s="207"/>
      <c r="H12" s="205"/>
      <c r="I12" s="206"/>
      <c r="J12" s="206"/>
      <c r="K12" s="206"/>
      <c r="L12" s="206"/>
      <c r="M12" s="206"/>
      <c r="N12" s="207"/>
      <c r="O12" s="205"/>
      <c r="P12" s="206"/>
      <c r="Q12" s="206"/>
      <c r="R12" s="206"/>
      <c r="S12" s="251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3"/>
      <c r="AX12" s="246"/>
      <c r="AY12" s="246"/>
      <c r="AZ12" s="246"/>
      <c r="BA12" s="246"/>
      <c r="BB12" s="246"/>
      <c r="BC12" s="247"/>
      <c r="BD12" s="245"/>
      <c r="BE12" s="246"/>
      <c r="BF12" s="246"/>
      <c r="BG12" s="246"/>
      <c r="BH12" s="246"/>
      <c r="BI12" s="246"/>
      <c r="BJ12" s="247"/>
      <c r="BK12" s="4"/>
    </row>
    <row r="13" spans="1:63" ht="15" customHeight="1">
      <c r="A13" s="1"/>
      <c r="B13" s="242"/>
      <c r="C13" s="243"/>
      <c r="D13" s="243"/>
      <c r="E13" s="243"/>
      <c r="F13" s="243"/>
      <c r="G13" s="244"/>
      <c r="H13" s="242"/>
      <c r="I13" s="243"/>
      <c r="J13" s="243"/>
      <c r="K13" s="243"/>
      <c r="L13" s="243"/>
      <c r="M13" s="243"/>
      <c r="N13" s="244"/>
      <c r="O13" s="242"/>
      <c r="P13" s="243"/>
      <c r="Q13" s="243"/>
      <c r="R13" s="243"/>
      <c r="S13" s="248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50"/>
      <c r="AX13" s="243"/>
      <c r="AY13" s="243"/>
      <c r="AZ13" s="243"/>
      <c r="BA13" s="243"/>
      <c r="BB13" s="243"/>
      <c r="BC13" s="244"/>
      <c r="BD13" s="242"/>
      <c r="BE13" s="243"/>
      <c r="BF13" s="243"/>
      <c r="BG13" s="243"/>
      <c r="BH13" s="243"/>
      <c r="BI13" s="243"/>
      <c r="BJ13" s="244"/>
      <c r="BK13" s="4"/>
    </row>
    <row r="14" spans="1:63" ht="15" customHeight="1">
      <c r="A14" s="1"/>
      <c r="B14" s="245"/>
      <c r="C14" s="246"/>
      <c r="D14" s="246"/>
      <c r="E14" s="246"/>
      <c r="F14" s="246"/>
      <c r="G14" s="247"/>
      <c r="H14" s="245"/>
      <c r="I14" s="246"/>
      <c r="J14" s="246"/>
      <c r="K14" s="246"/>
      <c r="L14" s="246"/>
      <c r="M14" s="246"/>
      <c r="N14" s="247"/>
      <c r="O14" s="245"/>
      <c r="P14" s="246"/>
      <c r="Q14" s="246"/>
      <c r="R14" s="246"/>
      <c r="S14" s="251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3"/>
      <c r="AX14" s="246"/>
      <c r="AY14" s="246"/>
      <c r="AZ14" s="246"/>
      <c r="BA14" s="246"/>
      <c r="BB14" s="246"/>
      <c r="BC14" s="247"/>
      <c r="BD14" s="245"/>
      <c r="BE14" s="246"/>
      <c r="BF14" s="246"/>
      <c r="BG14" s="246"/>
      <c r="BH14" s="246"/>
      <c r="BI14" s="246"/>
      <c r="BJ14" s="247"/>
      <c r="BK14" s="4"/>
    </row>
    <row r="15" spans="1:63" ht="15" customHeight="1">
      <c r="A15" s="1"/>
      <c r="B15" s="242"/>
      <c r="C15" s="243"/>
      <c r="D15" s="243"/>
      <c r="E15" s="243"/>
      <c r="F15" s="243"/>
      <c r="G15" s="244"/>
      <c r="H15" s="242"/>
      <c r="I15" s="243"/>
      <c r="J15" s="243"/>
      <c r="K15" s="243"/>
      <c r="L15" s="243"/>
      <c r="M15" s="243"/>
      <c r="N15" s="244"/>
      <c r="O15" s="242"/>
      <c r="P15" s="243"/>
      <c r="Q15" s="243"/>
      <c r="R15" s="243"/>
      <c r="S15" s="248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50"/>
      <c r="AX15" s="243"/>
      <c r="AY15" s="243"/>
      <c r="AZ15" s="243"/>
      <c r="BA15" s="243"/>
      <c r="BB15" s="243"/>
      <c r="BC15" s="244"/>
      <c r="BD15" s="242"/>
      <c r="BE15" s="243"/>
      <c r="BF15" s="243"/>
      <c r="BG15" s="243"/>
      <c r="BH15" s="243"/>
      <c r="BI15" s="243"/>
      <c r="BJ15" s="244"/>
      <c r="BK15" s="4"/>
    </row>
    <row r="16" spans="1:63" ht="15" customHeight="1">
      <c r="A16" s="1"/>
      <c r="B16" s="245"/>
      <c r="C16" s="246"/>
      <c r="D16" s="246"/>
      <c r="E16" s="246"/>
      <c r="F16" s="246"/>
      <c r="G16" s="247"/>
      <c r="H16" s="245"/>
      <c r="I16" s="246"/>
      <c r="J16" s="246"/>
      <c r="K16" s="246"/>
      <c r="L16" s="246"/>
      <c r="M16" s="246"/>
      <c r="N16" s="247"/>
      <c r="O16" s="245"/>
      <c r="P16" s="246"/>
      <c r="Q16" s="246"/>
      <c r="R16" s="246"/>
      <c r="S16" s="251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3"/>
      <c r="AX16" s="246"/>
      <c r="AY16" s="246"/>
      <c r="AZ16" s="246"/>
      <c r="BA16" s="246"/>
      <c r="BB16" s="246"/>
      <c r="BC16" s="247"/>
      <c r="BD16" s="245"/>
      <c r="BE16" s="246"/>
      <c r="BF16" s="246"/>
      <c r="BG16" s="246"/>
      <c r="BH16" s="246"/>
      <c r="BI16" s="246"/>
      <c r="BJ16" s="247"/>
      <c r="BK16" s="4"/>
    </row>
    <row r="17" spans="1:63" ht="15" customHeight="1">
      <c r="A17" s="1"/>
      <c r="B17" s="242"/>
      <c r="C17" s="243"/>
      <c r="D17" s="243"/>
      <c r="E17" s="243"/>
      <c r="F17" s="243"/>
      <c r="G17" s="244"/>
      <c r="H17" s="242"/>
      <c r="I17" s="243"/>
      <c r="J17" s="243"/>
      <c r="K17" s="243"/>
      <c r="L17" s="243"/>
      <c r="M17" s="243"/>
      <c r="N17" s="244"/>
      <c r="O17" s="242"/>
      <c r="P17" s="243"/>
      <c r="Q17" s="243"/>
      <c r="R17" s="243"/>
      <c r="S17" s="248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49"/>
      <c r="AO17" s="249"/>
      <c r="AP17" s="249"/>
      <c r="AQ17" s="249"/>
      <c r="AR17" s="249"/>
      <c r="AS17" s="249"/>
      <c r="AT17" s="249"/>
      <c r="AU17" s="249"/>
      <c r="AV17" s="249"/>
      <c r="AW17" s="250"/>
      <c r="AX17" s="243"/>
      <c r="AY17" s="243"/>
      <c r="AZ17" s="243"/>
      <c r="BA17" s="243"/>
      <c r="BB17" s="243"/>
      <c r="BC17" s="244"/>
      <c r="BD17" s="242"/>
      <c r="BE17" s="243"/>
      <c r="BF17" s="243"/>
      <c r="BG17" s="243"/>
      <c r="BH17" s="243"/>
      <c r="BI17" s="243"/>
      <c r="BJ17" s="244"/>
      <c r="BK17" s="4"/>
    </row>
    <row r="18" spans="1:63" ht="15" customHeight="1">
      <c r="A18" s="1"/>
      <c r="B18" s="245"/>
      <c r="C18" s="246"/>
      <c r="D18" s="246"/>
      <c r="E18" s="246"/>
      <c r="F18" s="246"/>
      <c r="G18" s="247"/>
      <c r="H18" s="245"/>
      <c r="I18" s="246"/>
      <c r="J18" s="246"/>
      <c r="K18" s="246"/>
      <c r="L18" s="246"/>
      <c r="M18" s="246"/>
      <c r="N18" s="247"/>
      <c r="O18" s="245"/>
      <c r="P18" s="246"/>
      <c r="Q18" s="246"/>
      <c r="R18" s="246"/>
      <c r="S18" s="251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3"/>
      <c r="AX18" s="246"/>
      <c r="AY18" s="246"/>
      <c r="AZ18" s="246"/>
      <c r="BA18" s="246"/>
      <c r="BB18" s="246"/>
      <c r="BC18" s="247"/>
      <c r="BD18" s="245"/>
      <c r="BE18" s="246"/>
      <c r="BF18" s="246"/>
      <c r="BG18" s="246"/>
      <c r="BH18" s="246"/>
      <c r="BI18" s="246"/>
      <c r="BJ18" s="247"/>
      <c r="BK18" s="4"/>
    </row>
    <row r="19" spans="1:63" ht="15" customHeight="1">
      <c r="A19" s="1"/>
      <c r="B19" s="242"/>
      <c r="C19" s="243"/>
      <c r="D19" s="243"/>
      <c r="E19" s="243"/>
      <c r="F19" s="243"/>
      <c r="G19" s="244"/>
      <c r="H19" s="242"/>
      <c r="I19" s="243"/>
      <c r="J19" s="243"/>
      <c r="K19" s="243"/>
      <c r="L19" s="243"/>
      <c r="M19" s="243"/>
      <c r="N19" s="244"/>
      <c r="O19" s="242"/>
      <c r="P19" s="243"/>
      <c r="Q19" s="243"/>
      <c r="R19" s="243"/>
      <c r="S19" s="248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49"/>
      <c r="AT19" s="249"/>
      <c r="AU19" s="249"/>
      <c r="AV19" s="249"/>
      <c r="AW19" s="250"/>
      <c r="AX19" s="243"/>
      <c r="AY19" s="243"/>
      <c r="AZ19" s="243"/>
      <c r="BA19" s="243"/>
      <c r="BB19" s="243"/>
      <c r="BC19" s="244"/>
      <c r="BD19" s="242"/>
      <c r="BE19" s="243"/>
      <c r="BF19" s="243"/>
      <c r="BG19" s="243"/>
      <c r="BH19" s="243"/>
      <c r="BI19" s="243"/>
      <c r="BJ19" s="244"/>
      <c r="BK19" s="4"/>
    </row>
    <row r="20" spans="1:63" ht="15" customHeight="1">
      <c r="A20" s="1"/>
      <c r="B20" s="245"/>
      <c r="C20" s="246"/>
      <c r="D20" s="246"/>
      <c r="E20" s="246"/>
      <c r="F20" s="246"/>
      <c r="G20" s="247"/>
      <c r="H20" s="245"/>
      <c r="I20" s="246"/>
      <c r="J20" s="246"/>
      <c r="K20" s="246"/>
      <c r="L20" s="246"/>
      <c r="M20" s="246"/>
      <c r="N20" s="247"/>
      <c r="O20" s="245"/>
      <c r="P20" s="246"/>
      <c r="Q20" s="246"/>
      <c r="R20" s="246"/>
      <c r="S20" s="251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3"/>
      <c r="AX20" s="246"/>
      <c r="AY20" s="246"/>
      <c r="AZ20" s="246"/>
      <c r="BA20" s="246"/>
      <c r="BB20" s="246"/>
      <c r="BC20" s="247"/>
      <c r="BD20" s="245"/>
      <c r="BE20" s="246"/>
      <c r="BF20" s="246"/>
      <c r="BG20" s="246"/>
      <c r="BH20" s="246"/>
      <c r="BI20" s="246"/>
      <c r="BJ20" s="247"/>
      <c r="BK20" s="4"/>
    </row>
    <row r="21" spans="1:63" ht="15" customHeight="1">
      <c r="A21" s="1"/>
      <c r="B21" s="242"/>
      <c r="C21" s="243"/>
      <c r="D21" s="243"/>
      <c r="E21" s="243"/>
      <c r="F21" s="243"/>
      <c r="G21" s="244"/>
      <c r="H21" s="242"/>
      <c r="I21" s="243"/>
      <c r="J21" s="243"/>
      <c r="K21" s="243"/>
      <c r="L21" s="243"/>
      <c r="M21" s="243"/>
      <c r="N21" s="244"/>
      <c r="O21" s="242"/>
      <c r="P21" s="243"/>
      <c r="Q21" s="243"/>
      <c r="R21" s="243"/>
      <c r="S21" s="248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9"/>
      <c r="AV21" s="249"/>
      <c r="AW21" s="250"/>
      <c r="AX21" s="243"/>
      <c r="AY21" s="243"/>
      <c r="AZ21" s="243"/>
      <c r="BA21" s="243"/>
      <c r="BB21" s="243"/>
      <c r="BC21" s="244"/>
      <c r="BD21" s="242"/>
      <c r="BE21" s="243"/>
      <c r="BF21" s="243"/>
      <c r="BG21" s="243"/>
      <c r="BH21" s="243"/>
      <c r="BI21" s="243"/>
      <c r="BJ21" s="244"/>
      <c r="BK21" s="4"/>
    </row>
    <row r="22" spans="1:63" ht="15" customHeight="1">
      <c r="A22" s="1"/>
      <c r="B22" s="245"/>
      <c r="C22" s="246"/>
      <c r="D22" s="246"/>
      <c r="E22" s="246"/>
      <c r="F22" s="246"/>
      <c r="G22" s="247"/>
      <c r="H22" s="245"/>
      <c r="I22" s="246"/>
      <c r="J22" s="246"/>
      <c r="K22" s="246"/>
      <c r="L22" s="246"/>
      <c r="M22" s="246"/>
      <c r="N22" s="247"/>
      <c r="O22" s="245"/>
      <c r="P22" s="246"/>
      <c r="Q22" s="246"/>
      <c r="R22" s="246"/>
      <c r="S22" s="251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3"/>
      <c r="AX22" s="246"/>
      <c r="AY22" s="246"/>
      <c r="AZ22" s="246"/>
      <c r="BA22" s="246"/>
      <c r="BB22" s="246"/>
      <c r="BC22" s="247"/>
      <c r="BD22" s="245"/>
      <c r="BE22" s="246"/>
      <c r="BF22" s="246"/>
      <c r="BG22" s="246"/>
      <c r="BH22" s="246"/>
      <c r="BI22" s="246"/>
      <c r="BJ22" s="247"/>
      <c r="BK22" s="4"/>
    </row>
    <row r="23" spans="1:63" ht="15" customHeight="1">
      <c r="A23" s="1"/>
      <c r="B23" s="242"/>
      <c r="C23" s="243"/>
      <c r="D23" s="243"/>
      <c r="E23" s="243"/>
      <c r="F23" s="243"/>
      <c r="G23" s="244"/>
      <c r="H23" s="242"/>
      <c r="I23" s="243"/>
      <c r="J23" s="243"/>
      <c r="K23" s="243"/>
      <c r="L23" s="243"/>
      <c r="M23" s="243"/>
      <c r="N23" s="244"/>
      <c r="O23" s="242"/>
      <c r="P23" s="243"/>
      <c r="Q23" s="243"/>
      <c r="R23" s="243"/>
      <c r="S23" s="248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50"/>
      <c r="AX23" s="243"/>
      <c r="AY23" s="243"/>
      <c r="AZ23" s="243"/>
      <c r="BA23" s="243"/>
      <c r="BB23" s="243"/>
      <c r="BC23" s="244"/>
      <c r="BD23" s="242"/>
      <c r="BE23" s="243"/>
      <c r="BF23" s="243"/>
      <c r="BG23" s="243"/>
      <c r="BH23" s="243"/>
      <c r="BI23" s="243"/>
      <c r="BJ23" s="244"/>
      <c r="BK23" s="4"/>
    </row>
    <row r="24" spans="1:63" ht="15" customHeight="1">
      <c r="A24" s="1"/>
      <c r="B24" s="245"/>
      <c r="C24" s="246"/>
      <c r="D24" s="246"/>
      <c r="E24" s="246"/>
      <c r="F24" s="246"/>
      <c r="G24" s="247"/>
      <c r="H24" s="245"/>
      <c r="I24" s="246"/>
      <c r="J24" s="246"/>
      <c r="K24" s="246"/>
      <c r="L24" s="246"/>
      <c r="M24" s="246"/>
      <c r="N24" s="247"/>
      <c r="O24" s="245"/>
      <c r="P24" s="246"/>
      <c r="Q24" s="246"/>
      <c r="R24" s="246"/>
      <c r="S24" s="251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3"/>
      <c r="AX24" s="246"/>
      <c r="AY24" s="246"/>
      <c r="AZ24" s="246"/>
      <c r="BA24" s="246"/>
      <c r="BB24" s="246"/>
      <c r="BC24" s="247"/>
      <c r="BD24" s="245"/>
      <c r="BE24" s="246"/>
      <c r="BF24" s="246"/>
      <c r="BG24" s="246"/>
      <c r="BH24" s="246"/>
      <c r="BI24" s="246"/>
      <c r="BJ24" s="247"/>
      <c r="BK24" s="4"/>
    </row>
    <row r="25" spans="1:63" ht="15" customHeight="1">
      <c r="A25" s="1"/>
      <c r="B25" s="242"/>
      <c r="C25" s="243"/>
      <c r="D25" s="243"/>
      <c r="E25" s="243"/>
      <c r="F25" s="243"/>
      <c r="G25" s="244"/>
      <c r="H25" s="242"/>
      <c r="I25" s="243"/>
      <c r="J25" s="243"/>
      <c r="K25" s="243"/>
      <c r="L25" s="243"/>
      <c r="M25" s="243"/>
      <c r="N25" s="244"/>
      <c r="O25" s="242"/>
      <c r="P25" s="243"/>
      <c r="Q25" s="243"/>
      <c r="R25" s="243"/>
      <c r="S25" s="248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50"/>
      <c r="AX25" s="243"/>
      <c r="AY25" s="243"/>
      <c r="AZ25" s="243"/>
      <c r="BA25" s="243"/>
      <c r="BB25" s="243"/>
      <c r="BC25" s="244"/>
      <c r="BD25" s="242"/>
      <c r="BE25" s="243"/>
      <c r="BF25" s="243"/>
      <c r="BG25" s="243"/>
      <c r="BH25" s="243"/>
      <c r="BI25" s="243"/>
      <c r="BJ25" s="244"/>
      <c r="BK25" s="4"/>
    </row>
    <row r="26" spans="1:63" ht="15" customHeight="1">
      <c r="A26" s="1"/>
      <c r="B26" s="245"/>
      <c r="C26" s="246"/>
      <c r="D26" s="246"/>
      <c r="E26" s="246"/>
      <c r="F26" s="246"/>
      <c r="G26" s="247"/>
      <c r="H26" s="245"/>
      <c r="I26" s="246"/>
      <c r="J26" s="246"/>
      <c r="K26" s="246"/>
      <c r="L26" s="246"/>
      <c r="M26" s="246"/>
      <c r="N26" s="247"/>
      <c r="O26" s="245"/>
      <c r="P26" s="246"/>
      <c r="Q26" s="246"/>
      <c r="R26" s="246"/>
      <c r="S26" s="251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3"/>
      <c r="AX26" s="246"/>
      <c r="AY26" s="246"/>
      <c r="AZ26" s="246"/>
      <c r="BA26" s="246"/>
      <c r="BB26" s="246"/>
      <c r="BC26" s="247"/>
      <c r="BD26" s="245"/>
      <c r="BE26" s="246"/>
      <c r="BF26" s="246"/>
      <c r="BG26" s="246"/>
      <c r="BH26" s="246"/>
      <c r="BI26" s="246"/>
      <c r="BJ26" s="247"/>
      <c r="BK26" s="4"/>
    </row>
    <row r="27" spans="1:63" ht="15" customHeight="1">
      <c r="A27" s="1"/>
      <c r="B27" s="242"/>
      <c r="C27" s="243"/>
      <c r="D27" s="243"/>
      <c r="E27" s="243"/>
      <c r="F27" s="243"/>
      <c r="G27" s="244"/>
      <c r="H27" s="242"/>
      <c r="I27" s="243"/>
      <c r="J27" s="243"/>
      <c r="K27" s="243"/>
      <c r="L27" s="243"/>
      <c r="M27" s="243"/>
      <c r="N27" s="244"/>
      <c r="O27" s="242"/>
      <c r="P27" s="243"/>
      <c r="Q27" s="243"/>
      <c r="R27" s="243"/>
      <c r="S27" s="248"/>
      <c r="T27" s="249"/>
      <c r="U27" s="249"/>
      <c r="V27" s="249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49"/>
      <c r="AO27" s="249"/>
      <c r="AP27" s="249"/>
      <c r="AQ27" s="249"/>
      <c r="AR27" s="249"/>
      <c r="AS27" s="249"/>
      <c r="AT27" s="249"/>
      <c r="AU27" s="249"/>
      <c r="AV27" s="249"/>
      <c r="AW27" s="250"/>
      <c r="AX27" s="243"/>
      <c r="AY27" s="243"/>
      <c r="AZ27" s="243"/>
      <c r="BA27" s="243"/>
      <c r="BB27" s="243"/>
      <c r="BC27" s="244"/>
      <c r="BD27" s="242"/>
      <c r="BE27" s="243"/>
      <c r="BF27" s="243"/>
      <c r="BG27" s="243"/>
      <c r="BH27" s="243"/>
      <c r="BI27" s="243"/>
      <c r="BJ27" s="244"/>
      <c r="BK27" s="4"/>
    </row>
    <row r="28" spans="1:63" ht="15" customHeight="1">
      <c r="A28" s="1"/>
      <c r="B28" s="245"/>
      <c r="C28" s="246"/>
      <c r="D28" s="246"/>
      <c r="E28" s="246"/>
      <c r="F28" s="246"/>
      <c r="G28" s="247"/>
      <c r="H28" s="245"/>
      <c r="I28" s="246"/>
      <c r="J28" s="246"/>
      <c r="K28" s="246"/>
      <c r="L28" s="246"/>
      <c r="M28" s="246"/>
      <c r="N28" s="247"/>
      <c r="O28" s="245"/>
      <c r="P28" s="246"/>
      <c r="Q28" s="246"/>
      <c r="R28" s="246"/>
      <c r="S28" s="251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3"/>
      <c r="AX28" s="246"/>
      <c r="AY28" s="246"/>
      <c r="AZ28" s="246"/>
      <c r="BA28" s="246"/>
      <c r="BB28" s="246"/>
      <c r="BC28" s="247"/>
      <c r="BD28" s="245"/>
      <c r="BE28" s="246"/>
      <c r="BF28" s="246"/>
      <c r="BG28" s="246"/>
      <c r="BH28" s="246"/>
      <c r="BI28" s="246"/>
      <c r="BJ28" s="247"/>
      <c r="BK28" s="4"/>
    </row>
    <row r="29" spans="1:63" ht="15" customHeight="1">
      <c r="A29" s="1"/>
      <c r="B29" s="242"/>
      <c r="C29" s="243"/>
      <c r="D29" s="243"/>
      <c r="E29" s="243"/>
      <c r="F29" s="243"/>
      <c r="G29" s="244"/>
      <c r="H29" s="242"/>
      <c r="I29" s="243"/>
      <c r="J29" s="243"/>
      <c r="K29" s="243"/>
      <c r="L29" s="243"/>
      <c r="M29" s="243"/>
      <c r="N29" s="244"/>
      <c r="O29" s="242"/>
      <c r="P29" s="243"/>
      <c r="Q29" s="243"/>
      <c r="R29" s="243"/>
      <c r="S29" s="248"/>
      <c r="T29" s="249"/>
      <c r="U29" s="249"/>
      <c r="V29" s="249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49"/>
      <c r="AT29" s="249"/>
      <c r="AU29" s="249"/>
      <c r="AV29" s="249"/>
      <c r="AW29" s="250"/>
      <c r="AX29" s="243"/>
      <c r="AY29" s="243"/>
      <c r="AZ29" s="243"/>
      <c r="BA29" s="243"/>
      <c r="BB29" s="243"/>
      <c r="BC29" s="244"/>
      <c r="BD29" s="242"/>
      <c r="BE29" s="243"/>
      <c r="BF29" s="243"/>
      <c r="BG29" s="243"/>
      <c r="BH29" s="243"/>
      <c r="BI29" s="243"/>
      <c r="BJ29" s="244"/>
      <c r="BK29" s="4"/>
    </row>
    <row r="30" spans="1:63" ht="15" customHeight="1">
      <c r="A30" s="1"/>
      <c r="B30" s="245"/>
      <c r="C30" s="246"/>
      <c r="D30" s="246"/>
      <c r="E30" s="246"/>
      <c r="F30" s="246"/>
      <c r="G30" s="247"/>
      <c r="H30" s="245"/>
      <c r="I30" s="246"/>
      <c r="J30" s="246"/>
      <c r="K30" s="246"/>
      <c r="L30" s="246"/>
      <c r="M30" s="246"/>
      <c r="N30" s="247"/>
      <c r="O30" s="245"/>
      <c r="P30" s="246"/>
      <c r="Q30" s="246"/>
      <c r="R30" s="246"/>
      <c r="S30" s="251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3"/>
      <c r="AX30" s="246"/>
      <c r="AY30" s="246"/>
      <c r="AZ30" s="246"/>
      <c r="BA30" s="246"/>
      <c r="BB30" s="246"/>
      <c r="BC30" s="247"/>
      <c r="BD30" s="245"/>
      <c r="BE30" s="246"/>
      <c r="BF30" s="246"/>
      <c r="BG30" s="246"/>
      <c r="BH30" s="246"/>
      <c r="BI30" s="246"/>
      <c r="BJ30" s="247"/>
      <c r="BK30" s="4"/>
    </row>
    <row r="31" spans="1:63" ht="15" customHeight="1">
      <c r="A31" s="1"/>
      <c r="B31" s="242"/>
      <c r="C31" s="243"/>
      <c r="D31" s="243"/>
      <c r="E31" s="243"/>
      <c r="F31" s="243"/>
      <c r="G31" s="244"/>
      <c r="H31" s="242"/>
      <c r="I31" s="243"/>
      <c r="J31" s="243"/>
      <c r="K31" s="243"/>
      <c r="L31" s="243"/>
      <c r="M31" s="243"/>
      <c r="N31" s="244"/>
      <c r="O31" s="242"/>
      <c r="P31" s="243"/>
      <c r="Q31" s="243"/>
      <c r="R31" s="243"/>
      <c r="S31" s="248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49"/>
      <c r="AH31" s="249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49"/>
      <c r="AT31" s="249"/>
      <c r="AU31" s="249"/>
      <c r="AV31" s="249"/>
      <c r="AW31" s="250"/>
      <c r="AX31" s="243"/>
      <c r="AY31" s="243"/>
      <c r="AZ31" s="243"/>
      <c r="BA31" s="243"/>
      <c r="BB31" s="243"/>
      <c r="BC31" s="244"/>
      <c r="BD31" s="242"/>
      <c r="BE31" s="243"/>
      <c r="BF31" s="243"/>
      <c r="BG31" s="243"/>
      <c r="BH31" s="243"/>
      <c r="BI31" s="243"/>
      <c r="BJ31" s="244"/>
      <c r="BK31" s="4"/>
    </row>
    <row r="32" spans="1:63" ht="15" customHeight="1">
      <c r="A32" s="1"/>
      <c r="B32" s="245"/>
      <c r="C32" s="246"/>
      <c r="D32" s="246"/>
      <c r="E32" s="246"/>
      <c r="F32" s="246"/>
      <c r="G32" s="247"/>
      <c r="H32" s="245"/>
      <c r="I32" s="246"/>
      <c r="J32" s="246"/>
      <c r="K32" s="246"/>
      <c r="L32" s="246"/>
      <c r="M32" s="246"/>
      <c r="N32" s="247"/>
      <c r="O32" s="245"/>
      <c r="P32" s="246"/>
      <c r="Q32" s="246"/>
      <c r="R32" s="246"/>
      <c r="S32" s="251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3"/>
      <c r="AX32" s="246"/>
      <c r="AY32" s="246"/>
      <c r="AZ32" s="246"/>
      <c r="BA32" s="246"/>
      <c r="BB32" s="246"/>
      <c r="BC32" s="247"/>
      <c r="BD32" s="245"/>
      <c r="BE32" s="246"/>
      <c r="BF32" s="246"/>
      <c r="BG32" s="246"/>
      <c r="BH32" s="246"/>
      <c r="BI32" s="246"/>
      <c r="BJ32" s="247"/>
      <c r="BK32" s="4"/>
    </row>
    <row r="33" spans="1:63" ht="15" customHeight="1">
      <c r="A33" s="1"/>
      <c r="B33" s="242"/>
      <c r="C33" s="243"/>
      <c r="D33" s="243"/>
      <c r="E33" s="243"/>
      <c r="F33" s="243"/>
      <c r="G33" s="244"/>
      <c r="H33" s="242"/>
      <c r="I33" s="243"/>
      <c r="J33" s="243"/>
      <c r="K33" s="243"/>
      <c r="L33" s="243"/>
      <c r="M33" s="243"/>
      <c r="N33" s="244"/>
      <c r="O33" s="242"/>
      <c r="P33" s="243"/>
      <c r="Q33" s="243"/>
      <c r="R33" s="243"/>
      <c r="S33" s="248"/>
      <c r="T33" s="249"/>
      <c r="U33" s="249"/>
      <c r="V33" s="249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249"/>
      <c r="AS33" s="249"/>
      <c r="AT33" s="249"/>
      <c r="AU33" s="249"/>
      <c r="AV33" s="249"/>
      <c r="AW33" s="250"/>
      <c r="AX33" s="243"/>
      <c r="AY33" s="243"/>
      <c r="AZ33" s="243"/>
      <c r="BA33" s="243"/>
      <c r="BB33" s="243"/>
      <c r="BC33" s="244"/>
      <c r="BD33" s="242"/>
      <c r="BE33" s="243"/>
      <c r="BF33" s="243"/>
      <c r="BG33" s="243"/>
      <c r="BH33" s="243"/>
      <c r="BI33" s="243"/>
      <c r="BJ33" s="244"/>
      <c r="BK33" s="4"/>
    </row>
    <row r="34" spans="1:63" ht="15" customHeight="1">
      <c r="A34" s="1"/>
      <c r="B34" s="245"/>
      <c r="C34" s="246"/>
      <c r="D34" s="246"/>
      <c r="E34" s="246"/>
      <c r="F34" s="246"/>
      <c r="G34" s="247"/>
      <c r="H34" s="245"/>
      <c r="I34" s="246"/>
      <c r="J34" s="246"/>
      <c r="K34" s="246"/>
      <c r="L34" s="246"/>
      <c r="M34" s="246"/>
      <c r="N34" s="247"/>
      <c r="O34" s="245"/>
      <c r="P34" s="246"/>
      <c r="Q34" s="246"/>
      <c r="R34" s="246"/>
      <c r="S34" s="251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3"/>
      <c r="AX34" s="246"/>
      <c r="AY34" s="246"/>
      <c r="AZ34" s="246"/>
      <c r="BA34" s="246"/>
      <c r="BB34" s="246"/>
      <c r="BC34" s="247"/>
      <c r="BD34" s="245"/>
      <c r="BE34" s="246"/>
      <c r="BF34" s="246"/>
      <c r="BG34" s="246"/>
      <c r="BH34" s="246"/>
      <c r="BI34" s="246"/>
      <c r="BJ34" s="247"/>
      <c r="BK34" s="4"/>
    </row>
    <row r="35" spans="1:63" ht="15" customHeight="1">
      <c r="A35" s="1"/>
      <c r="B35" s="242"/>
      <c r="C35" s="243"/>
      <c r="D35" s="243"/>
      <c r="E35" s="243"/>
      <c r="F35" s="243"/>
      <c r="G35" s="244"/>
      <c r="H35" s="242"/>
      <c r="I35" s="243"/>
      <c r="J35" s="243"/>
      <c r="K35" s="243"/>
      <c r="L35" s="243"/>
      <c r="M35" s="243"/>
      <c r="N35" s="244"/>
      <c r="O35" s="242"/>
      <c r="P35" s="243"/>
      <c r="Q35" s="243"/>
      <c r="R35" s="243"/>
      <c r="S35" s="248"/>
      <c r="T35" s="249"/>
      <c r="U35" s="249"/>
      <c r="V35" s="249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50"/>
      <c r="AX35" s="243"/>
      <c r="AY35" s="243"/>
      <c r="AZ35" s="243"/>
      <c r="BA35" s="243"/>
      <c r="BB35" s="243"/>
      <c r="BC35" s="244"/>
      <c r="BD35" s="242"/>
      <c r="BE35" s="243"/>
      <c r="BF35" s="243"/>
      <c r="BG35" s="243"/>
      <c r="BH35" s="243"/>
      <c r="BI35" s="243"/>
      <c r="BJ35" s="244"/>
      <c r="BK35" s="4"/>
    </row>
    <row r="36" spans="1:63" ht="15" customHeight="1">
      <c r="A36" s="1"/>
      <c r="B36" s="245"/>
      <c r="C36" s="246"/>
      <c r="D36" s="246"/>
      <c r="E36" s="246"/>
      <c r="F36" s="246"/>
      <c r="G36" s="247"/>
      <c r="H36" s="245"/>
      <c r="I36" s="246"/>
      <c r="J36" s="246"/>
      <c r="K36" s="246"/>
      <c r="L36" s="246"/>
      <c r="M36" s="246"/>
      <c r="N36" s="247"/>
      <c r="O36" s="245"/>
      <c r="P36" s="246"/>
      <c r="Q36" s="246"/>
      <c r="R36" s="246"/>
      <c r="S36" s="251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3"/>
      <c r="AX36" s="246"/>
      <c r="AY36" s="246"/>
      <c r="AZ36" s="246"/>
      <c r="BA36" s="246"/>
      <c r="BB36" s="246"/>
      <c r="BC36" s="247"/>
      <c r="BD36" s="245"/>
      <c r="BE36" s="246"/>
      <c r="BF36" s="246"/>
      <c r="BG36" s="246"/>
      <c r="BH36" s="246"/>
      <c r="BI36" s="246"/>
      <c r="BJ36" s="247"/>
      <c r="BK36" s="4"/>
    </row>
    <row r="37" spans="1:63" ht="15" customHeight="1">
      <c r="A37" s="1"/>
      <c r="B37" s="242"/>
      <c r="C37" s="243"/>
      <c r="D37" s="243"/>
      <c r="E37" s="243"/>
      <c r="F37" s="243"/>
      <c r="G37" s="244"/>
      <c r="H37" s="242"/>
      <c r="I37" s="243"/>
      <c r="J37" s="243"/>
      <c r="K37" s="243"/>
      <c r="L37" s="243"/>
      <c r="M37" s="243"/>
      <c r="N37" s="244"/>
      <c r="O37" s="242"/>
      <c r="P37" s="243"/>
      <c r="Q37" s="243"/>
      <c r="R37" s="243"/>
      <c r="S37" s="248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50"/>
      <c r="AX37" s="243"/>
      <c r="AY37" s="243"/>
      <c r="AZ37" s="243"/>
      <c r="BA37" s="243"/>
      <c r="BB37" s="243"/>
      <c r="BC37" s="244"/>
      <c r="BD37" s="242"/>
      <c r="BE37" s="243"/>
      <c r="BF37" s="243"/>
      <c r="BG37" s="243"/>
      <c r="BH37" s="243"/>
      <c r="BI37" s="243"/>
      <c r="BJ37" s="244"/>
      <c r="BK37" s="4"/>
    </row>
    <row r="38" spans="1:63" ht="15" customHeight="1">
      <c r="A38" s="1"/>
      <c r="B38" s="245"/>
      <c r="C38" s="246"/>
      <c r="D38" s="246"/>
      <c r="E38" s="246"/>
      <c r="F38" s="246"/>
      <c r="G38" s="247"/>
      <c r="H38" s="245"/>
      <c r="I38" s="246"/>
      <c r="J38" s="246"/>
      <c r="K38" s="246"/>
      <c r="L38" s="246"/>
      <c r="M38" s="246"/>
      <c r="N38" s="247"/>
      <c r="O38" s="245"/>
      <c r="P38" s="246"/>
      <c r="Q38" s="246"/>
      <c r="R38" s="246"/>
      <c r="S38" s="251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3"/>
      <c r="AX38" s="246"/>
      <c r="AY38" s="246"/>
      <c r="AZ38" s="246"/>
      <c r="BA38" s="246"/>
      <c r="BB38" s="246"/>
      <c r="BC38" s="247"/>
      <c r="BD38" s="245"/>
      <c r="BE38" s="246"/>
      <c r="BF38" s="246"/>
      <c r="BG38" s="246"/>
      <c r="BH38" s="246"/>
      <c r="BI38" s="246"/>
      <c r="BJ38" s="247"/>
      <c r="BK38" s="4"/>
    </row>
    <row r="39" spans="1:63" ht="15" customHeight="1">
      <c r="A39" s="1"/>
      <c r="B39" s="242"/>
      <c r="C39" s="243"/>
      <c r="D39" s="243"/>
      <c r="E39" s="243"/>
      <c r="F39" s="243"/>
      <c r="G39" s="244"/>
      <c r="H39" s="242"/>
      <c r="I39" s="243"/>
      <c r="J39" s="243"/>
      <c r="K39" s="243"/>
      <c r="L39" s="243"/>
      <c r="M39" s="243"/>
      <c r="N39" s="244"/>
      <c r="O39" s="242"/>
      <c r="P39" s="243"/>
      <c r="Q39" s="243"/>
      <c r="R39" s="243"/>
      <c r="S39" s="248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50"/>
      <c r="AX39" s="243"/>
      <c r="AY39" s="243"/>
      <c r="AZ39" s="243"/>
      <c r="BA39" s="243"/>
      <c r="BB39" s="243"/>
      <c r="BC39" s="244"/>
      <c r="BD39" s="242"/>
      <c r="BE39" s="243"/>
      <c r="BF39" s="243"/>
      <c r="BG39" s="243"/>
      <c r="BH39" s="243"/>
      <c r="BI39" s="243"/>
      <c r="BJ39" s="244"/>
      <c r="BK39" s="4"/>
    </row>
    <row r="40" spans="1:63" ht="15" customHeight="1">
      <c r="A40" s="1"/>
      <c r="B40" s="245"/>
      <c r="C40" s="246"/>
      <c r="D40" s="246"/>
      <c r="E40" s="246"/>
      <c r="F40" s="246"/>
      <c r="G40" s="247"/>
      <c r="H40" s="245"/>
      <c r="I40" s="246"/>
      <c r="J40" s="246"/>
      <c r="K40" s="246"/>
      <c r="L40" s="246"/>
      <c r="M40" s="246"/>
      <c r="N40" s="247"/>
      <c r="O40" s="245"/>
      <c r="P40" s="246"/>
      <c r="Q40" s="246"/>
      <c r="R40" s="246"/>
      <c r="S40" s="251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3"/>
      <c r="AX40" s="246"/>
      <c r="AY40" s="246"/>
      <c r="AZ40" s="246"/>
      <c r="BA40" s="246"/>
      <c r="BB40" s="246"/>
      <c r="BC40" s="247"/>
      <c r="BD40" s="245"/>
      <c r="BE40" s="246"/>
      <c r="BF40" s="246"/>
      <c r="BG40" s="246"/>
      <c r="BH40" s="246"/>
      <c r="BI40" s="246"/>
      <c r="BJ40" s="247"/>
      <c r="BK40" s="4"/>
    </row>
    <row r="41" spans="1:63" ht="15" customHeight="1">
      <c r="A41" s="1"/>
      <c r="B41" s="242"/>
      <c r="C41" s="243"/>
      <c r="D41" s="243"/>
      <c r="E41" s="243"/>
      <c r="F41" s="243"/>
      <c r="G41" s="244"/>
      <c r="H41" s="242"/>
      <c r="I41" s="243"/>
      <c r="J41" s="243"/>
      <c r="K41" s="243"/>
      <c r="L41" s="243"/>
      <c r="M41" s="243"/>
      <c r="N41" s="244"/>
      <c r="O41" s="242"/>
      <c r="P41" s="243"/>
      <c r="Q41" s="243"/>
      <c r="R41" s="243"/>
      <c r="S41" s="248"/>
      <c r="T41" s="249"/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50"/>
      <c r="AX41" s="243"/>
      <c r="AY41" s="243"/>
      <c r="AZ41" s="243"/>
      <c r="BA41" s="243"/>
      <c r="BB41" s="243"/>
      <c r="BC41" s="244"/>
      <c r="BD41" s="242"/>
      <c r="BE41" s="243"/>
      <c r="BF41" s="243"/>
      <c r="BG41" s="243"/>
      <c r="BH41" s="243"/>
      <c r="BI41" s="243"/>
      <c r="BJ41" s="244"/>
      <c r="BK41" s="4"/>
    </row>
    <row r="42" spans="1:63" ht="15" customHeight="1">
      <c r="A42" s="1"/>
      <c r="B42" s="245"/>
      <c r="C42" s="246"/>
      <c r="D42" s="246"/>
      <c r="E42" s="246"/>
      <c r="F42" s="246"/>
      <c r="G42" s="247"/>
      <c r="H42" s="245"/>
      <c r="I42" s="246"/>
      <c r="J42" s="246"/>
      <c r="K42" s="246"/>
      <c r="L42" s="246"/>
      <c r="M42" s="246"/>
      <c r="N42" s="247"/>
      <c r="O42" s="245"/>
      <c r="P42" s="246"/>
      <c r="Q42" s="246"/>
      <c r="R42" s="246"/>
      <c r="S42" s="251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3"/>
      <c r="AX42" s="246"/>
      <c r="AY42" s="246"/>
      <c r="AZ42" s="246"/>
      <c r="BA42" s="246"/>
      <c r="BB42" s="246"/>
      <c r="BC42" s="247"/>
      <c r="BD42" s="245"/>
      <c r="BE42" s="246"/>
      <c r="BF42" s="246"/>
      <c r="BG42" s="246"/>
      <c r="BH42" s="246"/>
      <c r="BI42" s="246"/>
      <c r="BJ42" s="247"/>
      <c r="BK42" s="4"/>
    </row>
    <row r="43" spans="1:63" ht="15" customHeight="1">
      <c r="A43" s="1"/>
      <c r="B43" s="242"/>
      <c r="C43" s="243"/>
      <c r="D43" s="243"/>
      <c r="E43" s="243"/>
      <c r="F43" s="243"/>
      <c r="G43" s="244"/>
      <c r="H43" s="242"/>
      <c r="I43" s="243"/>
      <c r="J43" s="243"/>
      <c r="K43" s="243"/>
      <c r="L43" s="243"/>
      <c r="M43" s="243"/>
      <c r="N43" s="244"/>
      <c r="O43" s="242"/>
      <c r="P43" s="243"/>
      <c r="Q43" s="243"/>
      <c r="R43" s="243"/>
      <c r="S43" s="248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50"/>
      <c r="AX43" s="243"/>
      <c r="AY43" s="243"/>
      <c r="AZ43" s="243"/>
      <c r="BA43" s="243"/>
      <c r="BB43" s="243"/>
      <c r="BC43" s="244"/>
      <c r="BD43" s="242"/>
      <c r="BE43" s="243"/>
      <c r="BF43" s="243"/>
      <c r="BG43" s="243"/>
      <c r="BH43" s="243"/>
      <c r="BI43" s="243"/>
      <c r="BJ43" s="244"/>
      <c r="BK43" s="4"/>
    </row>
    <row r="44" spans="1:63" ht="15" customHeight="1">
      <c r="A44" s="1"/>
      <c r="B44" s="245"/>
      <c r="C44" s="246"/>
      <c r="D44" s="246"/>
      <c r="E44" s="246"/>
      <c r="F44" s="246"/>
      <c r="G44" s="247"/>
      <c r="H44" s="245"/>
      <c r="I44" s="246"/>
      <c r="J44" s="246"/>
      <c r="K44" s="246"/>
      <c r="L44" s="246"/>
      <c r="M44" s="246"/>
      <c r="N44" s="247"/>
      <c r="O44" s="245"/>
      <c r="P44" s="246"/>
      <c r="Q44" s="246"/>
      <c r="R44" s="246"/>
      <c r="S44" s="251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3"/>
      <c r="AX44" s="246"/>
      <c r="AY44" s="246"/>
      <c r="AZ44" s="246"/>
      <c r="BA44" s="246"/>
      <c r="BB44" s="246"/>
      <c r="BC44" s="247"/>
      <c r="BD44" s="245"/>
      <c r="BE44" s="246"/>
      <c r="BF44" s="246"/>
      <c r="BG44" s="246"/>
      <c r="BH44" s="246"/>
      <c r="BI44" s="246"/>
      <c r="BJ44" s="247"/>
      <c r="BK44" s="4"/>
    </row>
    <row r="45" spans="1:63" ht="15" customHeight="1">
      <c r="A45" s="1"/>
      <c r="B45" s="242"/>
      <c r="C45" s="243"/>
      <c r="D45" s="243"/>
      <c r="E45" s="243"/>
      <c r="F45" s="243"/>
      <c r="G45" s="244"/>
      <c r="H45" s="242"/>
      <c r="I45" s="243"/>
      <c r="J45" s="243"/>
      <c r="K45" s="243"/>
      <c r="L45" s="243"/>
      <c r="M45" s="243"/>
      <c r="N45" s="244"/>
      <c r="O45" s="242"/>
      <c r="P45" s="243"/>
      <c r="Q45" s="243"/>
      <c r="R45" s="243"/>
      <c r="S45" s="248"/>
      <c r="T45" s="249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50"/>
      <c r="AX45" s="243"/>
      <c r="AY45" s="243"/>
      <c r="AZ45" s="243"/>
      <c r="BA45" s="243"/>
      <c r="BB45" s="243"/>
      <c r="BC45" s="244"/>
      <c r="BD45" s="242"/>
      <c r="BE45" s="243"/>
      <c r="BF45" s="243"/>
      <c r="BG45" s="243"/>
      <c r="BH45" s="243"/>
      <c r="BI45" s="243"/>
      <c r="BJ45" s="244"/>
      <c r="BK45" s="4"/>
    </row>
    <row r="46" spans="1:63" ht="15" customHeight="1">
      <c r="A46" s="1"/>
      <c r="B46" s="245"/>
      <c r="C46" s="246"/>
      <c r="D46" s="246"/>
      <c r="E46" s="246"/>
      <c r="F46" s="246"/>
      <c r="G46" s="247"/>
      <c r="H46" s="245"/>
      <c r="I46" s="246"/>
      <c r="J46" s="246"/>
      <c r="K46" s="246"/>
      <c r="L46" s="246"/>
      <c r="M46" s="246"/>
      <c r="N46" s="247"/>
      <c r="O46" s="245"/>
      <c r="P46" s="246"/>
      <c r="Q46" s="246"/>
      <c r="R46" s="246"/>
      <c r="S46" s="251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3"/>
      <c r="AX46" s="246"/>
      <c r="AY46" s="246"/>
      <c r="AZ46" s="246"/>
      <c r="BA46" s="246"/>
      <c r="BB46" s="246"/>
      <c r="BC46" s="247"/>
      <c r="BD46" s="245"/>
      <c r="BE46" s="246"/>
      <c r="BF46" s="246"/>
      <c r="BG46" s="246"/>
      <c r="BH46" s="246"/>
      <c r="BI46" s="246"/>
      <c r="BJ46" s="247"/>
      <c r="BK46" s="4"/>
    </row>
    <row r="47" spans="1:63" ht="15" customHeight="1">
      <c r="A47" s="1"/>
      <c r="B47" s="242"/>
      <c r="C47" s="243"/>
      <c r="D47" s="243"/>
      <c r="E47" s="243"/>
      <c r="F47" s="243"/>
      <c r="G47" s="244"/>
      <c r="H47" s="242"/>
      <c r="I47" s="243"/>
      <c r="J47" s="243"/>
      <c r="K47" s="243"/>
      <c r="L47" s="243"/>
      <c r="M47" s="243"/>
      <c r="N47" s="244"/>
      <c r="O47" s="242"/>
      <c r="P47" s="243"/>
      <c r="Q47" s="243"/>
      <c r="R47" s="243"/>
      <c r="S47" s="248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50"/>
      <c r="AX47" s="243"/>
      <c r="AY47" s="243"/>
      <c r="AZ47" s="243"/>
      <c r="BA47" s="243"/>
      <c r="BB47" s="243"/>
      <c r="BC47" s="244"/>
      <c r="BD47" s="242"/>
      <c r="BE47" s="243"/>
      <c r="BF47" s="243"/>
      <c r="BG47" s="243"/>
      <c r="BH47" s="243"/>
      <c r="BI47" s="243"/>
      <c r="BJ47" s="244"/>
      <c r="BK47" s="4"/>
    </row>
    <row r="48" spans="1:63" ht="15" customHeight="1">
      <c r="A48" s="1"/>
      <c r="B48" s="245"/>
      <c r="C48" s="246"/>
      <c r="D48" s="246"/>
      <c r="E48" s="246"/>
      <c r="F48" s="246"/>
      <c r="G48" s="247"/>
      <c r="H48" s="245"/>
      <c r="I48" s="246"/>
      <c r="J48" s="246"/>
      <c r="K48" s="246"/>
      <c r="L48" s="246"/>
      <c r="M48" s="246"/>
      <c r="N48" s="247"/>
      <c r="O48" s="245"/>
      <c r="P48" s="246"/>
      <c r="Q48" s="246"/>
      <c r="R48" s="246"/>
      <c r="S48" s="251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3"/>
      <c r="AX48" s="246"/>
      <c r="AY48" s="246"/>
      <c r="AZ48" s="246"/>
      <c r="BA48" s="246"/>
      <c r="BB48" s="246"/>
      <c r="BC48" s="247"/>
      <c r="BD48" s="245"/>
      <c r="BE48" s="246"/>
      <c r="BF48" s="246"/>
      <c r="BG48" s="246"/>
      <c r="BH48" s="246"/>
      <c r="BI48" s="246"/>
      <c r="BJ48" s="247"/>
      <c r="BK48" s="4"/>
    </row>
    <row r="49" spans="1:63" ht="15" customHeight="1">
      <c r="A49" s="1"/>
      <c r="B49" s="242"/>
      <c r="C49" s="243"/>
      <c r="D49" s="243"/>
      <c r="E49" s="243"/>
      <c r="F49" s="243"/>
      <c r="G49" s="244"/>
      <c r="H49" s="242"/>
      <c r="I49" s="243"/>
      <c r="J49" s="243"/>
      <c r="K49" s="243"/>
      <c r="L49" s="243"/>
      <c r="M49" s="243"/>
      <c r="N49" s="244"/>
      <c r="O49" s="242"/>
      <c r="P49" s="243"/>
      <c r="Q49" s="243"/>
      <c r="R49" s="243"/>
      <c r="S49" s="248"/>
      <c r="T49" s="249"/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50"/>
      <c r="AX49" s="243"/>
      <c r="AY49" s="243"/>
      <c r="AZ49" s="243"/>
      <c r="BA49" s="243"/>
      <c r="BB49" s="243"/>
      <c r="BC49" s="244"/>
      <c r="BD49" s="242"/>
      <c r="BE49" s="243"/>
      <c r="BF49" s="243"/>
      <c r="BG49" s="243"/>
      <c r="BH49" s="243"/>
      <c r="BI49" s="243"/>
      <c r="BJ49" s="244"/>
      <c r="BK49" s="4"/>
    </row>
    <row r="50" spans="1:63" ht="15" customHeight="1">
      <c r="A50" s="1"/>
      <c r="B50" s="245"/>
      <c r="C50" s="246"/>
      <c r="D50" s="246"/>
      <c r="E50" s="246"/>
      <c r="F50" s="246"/>
      <c r="G50" s="247"/>
      <c r="H50" s="245"/>
      <c r="I50" s="246"/>
      <c r="J50" s="246"/>
      <c r="K50" s="246"/>
      <c r="L50" s="246"/>
      <c r="M50" s="246"/>
      <c r="N50" s="247"/>
      <c r="O50" s="245"/>
      <c r="P50" s="246"/>
      <c r="Q50" s="246"/>
      <c r="R50" s="246"/>
      <c r="S50" s="251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3"/>
      <c r="AX50" s="246"/>
      <c r="AY50" s="246"/>
      <c r="AZ50" s="246"/>
      <c r="BA50" s="246"/>
      <c r="BB50" s="246"/>
      <c r="BC50" s="247"/>
      <c r="BD50" s="245"/>
      <c r="BE50" s="246"/>
      <c r="BF50" s="246"/>
      <c r="BG50" s="246"/>
      <c r="BH50" s="246"/>
      <c r="BI50" s="246"/>
      <c r="BJ50" s="247"/>
      <c r="BK50" s="4"/>
    </row>
    <row r="51" spans="1:63" ht="15" customHeight="1">
      <c r="A51" s="1"/>
      <c r="B51" s="242"/>
      <c r="C51" s="243"/>
      <c r="D51" s="243"/>
      <c r="E51" s="243"/>
      <c r="F51" s="243"/>
      <c r="G51" s="244"/>
      <c r="H51" s="242"/>
      <c r="I51" s="243"/>
      <c r="J51" s="243"/>
      <c r="K51" s="243"/>
      <c r="L51" s="243"/>
      <c r="M51" s="243"/>
      <c r="N51" s="244"/>
      <c r="O51" s="242"/>
      <c r="P51" s="243"/>
      <c r="Q51" s="243"/>
      <c r="R51" s="243"/>
      <c r="S51" s="248"/>
      <c r="T51" s="249"/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50"/>
      <c r="AX51" s="243"/>
      <c r="AY51" s="243"/>
      <c r="AZ51" s="243"/>
      <c r="BA51" s="243"/>
      <c r="BB51" s="243"/>
      <c r="BC51" s="244"/>
      <c r="BD51" s="242"/>
      <c r="BE51" s="243"/>
      <c r="BF51" s="243"/>
      <c r="BG51" s="243"/>
      <c r="BH51" s="243"/>
      <c r="BI51" s="243"/>
      <c r="BJ51" s="244"/>
      <c r="BK51" s="4"/>
    </row>
    <row r="52" spans="1:63" ht="15" customHeight="1">
      <c r="A52" s="1"/>
      <c r="B52" s="245"/>
      <c r="C52" s="246"/>
      <c r="D52" s="246"/>
      <c r="E52" s="246"/>
      <c r="F52" s="246"/>
      <c r="G52" s="247"/>
      <c r="H52" s="245"/>
      <c r="I52" s="246"/>
      <c r="J52" s="246"/>
      <c r="K52" s="246"/>
      <c r="L52" s="246"/>
      <c r="M52" s="246"/>
      <c r="N52" s="247"/>
      <c r="O52" s="245"/>
      <c r="P52" s="246"/>
      <c r="Q52" s="246"/>
      <c r="R52" s="246"/>
      <c r="S52" s="251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3"/>
      <c r="AX52" s="246"/>
      <c r="AY52" s="246"/>
      <c r="AZ52" s="246"/>
      <c r="BA52" s="246"/>
      <c r="BB52" s="246"/>
      <c r="BC52" s="247"/>
      <c r="BD52" s="245"/>
      <c r="BE52" s="246"/>
      <c r="BF52" s="246"/>
      <c r="BG52" s="246"/>
      <c r="BH52" s="246"/>
      <c r="BI52" s="246"/>
      <c r="BJ52" s="247"/>
      <c r="BK52" s="4"/>
    </row>
    <row r="53" spans="1:63" ht="15" customHeight="1">
      <c r="A53" s="1"/>
      <c r="B53" s="242"/>
      <c r="C53" s="243"/>
      <c r="D53" s="243"/>
      <c r="E53" s="243"/>
      <c r="F53" s="243"/>
      <c r="G53" s="244"/>
      <c r="H53" s="242"/>
      <c r="I53" s="243"/>
      <c r="J53" s="243"/>
      <c r="K53" s="243"/>
      <c r="L53" s="243"/>
      <c r="M53" s="243"/>
      <c r="N53" s="244"/>
      <c r="O53" s="242"/>
      <c r="P53" s="243"/>
      <c r="Q53" s="243"/>
      <c r="R53" s="243"/>
      <c r="S53" s="248"/>
      <c r="T53" s="249"/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50"/>
      <c r="AX53" s="243"/>
      <c r="AY53" s="243"/>
      <c r="AZ53" s="243"/>
      <c r="BA53" s="243"/>
      <c r="BB53" s="243"/>
      <c r="BC53" s="244"/>
      <c r="BD53" s="242"/>
      <c r="BE53" s="243"/>
      <c r="BF53" s="243"/>
      <c r="BG53" s="243"/>
      <c r="BH53" s="243"/>
      <c r="BI53" s="243"/>
      <c r="BJ53" s="244"/>
      <c r="BK53" s="4"/>
    </row>
    <row r="54" spans="1:63" ht="15" customHeight="1">
      <c r="A54" s="1"/>
      <c r="B54" s="245"/>
      <c r="C54" s="246"/>
      <c r="D54" s="246"/>
      <c r="E54" s="246"/>
      <c r="F54" s="246"/>
      <c r="G54" s="247"/>
      <c r="H54" s="245"/>
      <c r="I54" s="246"/>
      <c r="J54" s="246"/>
      <c r="K54" s="246"/>
      <c r="L54" s="246"/>
      <c r="M54" s="246"/>
      <c r="N54" s="247"/>
      <c r="O54" s="245"/>
      <c r="P54" s="246"/>
      <c r="Q54" s="246"/>
      <c r="R54" s="246"/>
      <c r="S54" s="251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3"/>
      <c r="AX54" s="246"/>
      <c r="AY54" s="246"/>
      <c r="AZ54" s="246"/>
      <c r="BA54" s="246"/>
      <c r="BB54" s="246"/>
      <c r="BC54" s="247"/>
      <c r="BD54" s="245"/>
      <c r="BE54" s="246"/>
      <c r="BF54" s="246"/>
      <c r="BG54" s="246"/>
      <c r="BH54" s="246"/>
      <c r="BI54" s="246"/>
      <c r="BJ54" s="247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DF-366D-44B9-BD37-4CFBECA1014F}">
  <dimension ref="A1:BK55"/>
  <sheetViews>
    <sheetView view="pageBreakPreview" topLeftCell="A9" zoomScale="75" zoomScaleNormal="75" zoomScaleSheetLayoutView="75" workbookViewId="0">
      <selection activeCell="AB35" sqref="AB35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76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201</v>
      </c>
      <c r="BK7" s="4"/>
    </row>
    <row r="8" spans="1:63" ht="15" customHeight="1">
      <c r="A8" s="1"/>
      <c r="BK8" s="4"/>
    </row>
    <row r="9" spans="1:63" ht="15" customHeight="1">
      <c r="A9" s="1"/>
      <c r="C9" t="s">
        <v>193</v>
      </c>
      <c r="BK9" s="4"/>
    </row>
    <row r="10" spans="1:63" ht="15" customHeight="1">
      <c r="A10" s="1"/>
      <c r="B10" s="91"/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3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4"/>
      <c r="AR10" s="94"/>
      <c r="AS10" s="94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4"/>
    </row>
    <row r="11" spans="1:63" ht="15" customHeight="1">
      <c r="A11" s="1"/>
      <c r="B11" s="91"/>
      <c r="C11" s="91"/>
      <c r="D11" s="92" t="s">
        <v>194</v>
      </c>
      <c r="E11" s="92"/>
      <c r="F11" s="92"/>
      <c r="G11" s="92"/>
      <c r="H11" s="92"/>
      <c r="I11" s="92"/>
      <c r="J11" s="92"/>
      <c r="K11" s="92"/>
      <c r="L11" s="92"/>
      <c r="M11" s="93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4"/>
      <c r="AR11" s="94"/>
      <c r="AS11" s="94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4"/>
    </row>
    <row r="12" spans="1:63" ht="15" customHeight="1">
      <c r="A12" s="1"/>
      <c r="B12" s="91"/>
      <c r="C12" s="91"/>
      <c r="D12" s="92"/>
      <c r="E12" s="92" t="s">
        <v>195</v>
      </c>
      <c r="F12" s="92"/>
      <c r="G12" s="92"/>
      <c r="H12" s="92"/>
      <c r="I12" s="92"/>
      <c r="J12" s="92"/>
      <c r="K12" s="92"/>
      <c r="L12" s="92"/>
      <c r="M12" s="93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4"/>
      <c r="AR12" s="94"/>
      <c r="AS12" s="94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4"/>
    </row>
    <row r="13" spans="1:63" ht="15" customHeight="1">
      <c r="A13" s="1"/>
      <c r="B13" s="91"/>
      <c r="C13" s="91"/>
      <c r="D13" s="92"/>
      <c r="E13" s="92" t="s">
        <v>196</v>
      </c>
      <c r="F13" s="92"/>
      <c r="G13" s="92"/>
      <c r="H13" s="92"/>
      <c r="I13" s="92"/>
      <c r="J13" s="92"/>
      <c r="K13" s="92"/>
      <c r="L13" s="92"/>
      <c r="M13" s="93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4"/>
      <c r="AR13" s="94"/>
      <c r="AS13" s="94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4"/>
    </row>
    <row r="14" spans="1:63" ht="15" customHeight="1">
      <c r="A14" s="1"/>
      <c r="B14" s="91"/>
      <c r="C14" s="91"/>
      <c r="D14" s="92"/>
      <c r="E14" s="92" t="s">
        <v>197</v>
      </c>
      <c r="F14" s="92"/>
      <c r="G14" s="92"/>
      <c r="H14" s="92"/>
      <c r="I14" s="92"/>
      <c r="J14" s="92"/>
      <c r="K14" s="92"/>
      <c r="L14" s="92"/>
      <c r="M14" s="93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4"/>
      <c r="AR14" s="94"/>
      <c r="AS14" s="94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4"/>
    </row>
    <row r="15" spans="1:63" ht="15" customHeight="1">
      <c r="A15" s="1"/>
      <c r="B15" s="91"/>
      <c r="C15" s="91"/>
      <c r="D15" s="92"/>
      <c r="E15" s="92" t="s">
        <v>200</v>
      </c>
      <c r="F15" s="92"/>
      <c r="G15" s="92"/>
      <c r="H15" s="92"/>
      <c r="I15" s="92"/>
      <c r="J15" s="92"/>
      <c r="K15" s="92"/>
      <c r="L15" s="92"/>
      <c r="M15" s="93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4"/>
      <c r="AR15" s="94"/>
      <c r="AS15" s="94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4"/>
    </row>
    <row r="16" spans="1:63" ht="15" customHeight="1">
      <c r="A16" s="1"/>
      <c r="B16" s="91"/>
      <c r="C16" s="91"/>
      <c r="F16" s="92"/>
      <c r="G16" s="92"/>
      <c r="H16" s="92"/>
      <c r="I16" s="92"/>
      <c r="J16" s="92"/>
      <c r="K16" s="92"/>
      <c r="L16" s="92"/>
      <c r="M16" s="93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4"/>
      <c r="AR16" s="94"/>
      <c r="AS16" s="94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4"/>
    </row>
    <row r="17" spans="1:63" ht="15" customHeight="1">
      <c r="A17" s="1"/>
      <c r="B17" s="91"/>
      <c r="C17" s="91"/>
      <c r="D17" s="92" t="s">
        <v>198</v>
      </c>
      <c r="E17" s="92"/>
      <c r="F17" s="92"/>
      <c r="G17" s="92"/>
      <c r="H17" s="92"/>
      <c r="I17" s="92"/>
      <c r="J17" s="92"/>
      <c r="K17" s="92"/>
      <c r="L17" s="92"/>
      <c r="M17" s="93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4"/>
      <c r="AR17" s="94"/>
      <c r="AS17" s="94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4"/>
    </row>
    <row r="18" spans="1:63" ht="15" customHeight="1">
      <c r="A18" s="1"/>
      <c r="B18" s="91"/>
      <c r="C18" s="91"/>
      <c r="D18" s="92"/>
      <c r="E18" s="92" t="s">
        <v>199</v>
      </c>
      <c r="F18" s="92"/>
      <c r="G18" s="92"/>
      <c r="H18" s="92"/>
      <c r="I18" s="92"/>
      <c r="J18" s="92"/>
      <c r="K18" s="92"/>
      <c r="L18" s="92"/>
      <c r="M18" s="93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4"/>
      <c r="AR18" s="94"/>
      <c r="AS18" s="94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4"/>
    </row>
    <row r="19" spans="1:63" ht="15" customHeight="1">
      <c r="A19" s="1"/>
      <c r="B19" s="91"/>
      <c r="C19" s="91"/>
      <c r="D19" s="92"/>
      <c r="E19" s="92"/>
      <c r="F19" s="92"/>
      <c r="G19" s="92"/>
      <c r="H19" s="92"/>
      <c r="I19" s="92"/>
      <c r="J19" s="92"/>
      <c r="K19" s="92"/>
      <c r="L19" s="92"/>
      <c r="M19" s="93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4"/>
      <c r="AR19" s="94"/>
      <c r="AS19" s="94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2"/>
      <c r="BK19" s="4"/>
    </row>
    <row r="20" spans="1:63" ht="15" customHeight="1">
      <c r="A20" s="1"/>
      <c r="B20" t="s">
        <v>202</v>
      </c>
      <c r="C20" s="91"/>
      <c r="D20" s="92"/>
      <c r="E20" s="92"/>
      <c r="F20" s="92"/>
      <c r="G20" s="92"/>
      <c r="H20" s="92"/>
      <c r="I20" s="92"/>
      <c r="J20" s="92"/>
      <c r="K20" s="92"/>
      <c r="L20" s="92"/>
      <c r="M20" s="93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4"/>
      <c r="AR20" s="94"/>
      <c r="AS20" s="94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4"/>
    </row>
    <row r="21" spans="1:63" ht="15" customHeight="1">
      <c r="A21" s="1"/>
      <c r="B21" s="91"/>
      <c r="C21" s="91"/>
      <c r="D21" s="92"/>
      <c r="E21" s="92"/>
      <c r="F21" s="92"/>
      <c r="G21" s="92"/>
      <c r="H21" s="92"/>
      <c r="I21" s="92"/>
      <c r="J21" s="92"/>
      <c r="K21" s="92"/>
      <c r="L21" s="92"/>
      <c r="M21" s="93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4"/>
      <c r="AR21" s="94"/>
      <c r="AS21" s="94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4"/>
    </row>
    <row r="22" spans="1:63" ht="15" customHeight="1">
      <c r="A22" s="1"/>
      <c r="B22" s="91"/>
      <c r="C22" s="91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4"/>
      <c r="AR22" s="94"/>
      <c r="AS22" s="94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4"/>
    </row>
    <row r="23" spans="1:63" ht="15" customHeight="1">
      <c r="A23" s="1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2"/>
      <c r="M23" s="93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4"/>
      <c r="AR23" s="94"/>
      <c r="AS23" s="94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4"/>
    </row>
    <row r="24" spans="1:63" ht="15" customHeight="1">
      <c r="A24" s="1"/>
      <c r="B24" s="91"/>
      <c r="C24" s="91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4"/>
      <c r="AR24" s="94"/>
      <c r="AS24" s="94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4"/>
    </row>
    <row r="25" spans="1:63" ht="15" customHeight="1">
      <c r="A25" s="1"/>
      <c r="B25" s="91"/>
      <c r="C25" s="91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4"/>
      <c r="AR25" s="94"/>
      <c r="AS25" s="94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4"/>
    </row>
    <row r="26" spans="1:63" ht="15" customHeight="1">
      <c r="A26" s="1"/>
      <c r="B26" s="91"/>
      <c r="C26" s="91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4"/>
      <c r="AR26" s="94"/>
      <c r="AS26" s="94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4"/>
    </row>
    <row r="27" spans="1:63" ht="15" customHeight="1">
      <c r="A27" s="1"/>
      <c r="B27" s="91"/>
      <c r="C27" s="91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4"/>
      <c r="AR27" s="94"/>
      <c r="AS27" s="94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4"/>
    </row>
    <row r="28" spans="1:63" ht="15" customHeight="1">
      <c r="A28" s="1"/>
      <c r="B28" s="91"/>
      <c r="C28" s="91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4"/>
      <c r="AR28" s="94"/>
      <c r="AS28" s="94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4"/>
    </row>
    <row r="29" spans="1:63" ht="15" customHeight="1">
      <c r="A29" s="1"/>
      <c r="B29" s="91"/>
      <c r="C29" s="91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4"/>
      <c r="AR29" s="94"/>
      <c r="AS29" s="94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4"/>
    </row>
    <row r="30" spans="1:63" ht="15" customHeight="1">
      <c r="A30" s="1"/>
      <c r="B30" s="91"/>
      <c r="C30" s="91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4"/>
      <c r="AR30" s="94"/>
      <c r="AS30" s="94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4"/>
    </row>
    <row r="31" spans="1:63" ht="15" customHeight="1">
      <c r="A31" s="1"/>
      <c r="B31" s="91"/>
      <c r="C31" s="91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4"/>
      <c r="AR31" s="94"/>
      <c r="AS31" s="94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4"/>
    </row>
    <row r="32" spans="1:63" ht="15" customHeight="1">
      <c r="A32" s="1"/>
      <c r="B32" t="s">
        <v>203</v>
      </c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4"/>
      <c r="AR32" s="94"/>
      <c r="AS32" s="94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4"/>
    </row>
    <row r="33" spans="1:63" ht="15" customHeight="1">
      <c r="A33" s="1"/>
      <c r="B33" s="91"/>
      <c r="C33" s="91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4"/>
      <c r="AR33" s="94"/>
      <c r="AS33" s="94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4"/>
    </row>
    <row r="34" spans="1:63" ht="15" customHeight="1">
      <c r="A34" s="1"/>
      <c r="B34" s="48" t="s">
        <v>80</v>
      </c>
      <c r="C34" s="49"/>
      <c r="D34" s="48" t="s">
        <v>77</v>
      </c>
      <c r="E34" s="50"/>
      <c r="F34" s="50"/>
      <c r="G34" s="50"/>
      <c r="H34" s="50"/>
      <c r="I34" s="50"/>
      <c r="J34" s="50"/>
      <c r="K34" s="50"/>
      <c r="L34" s="49"/>
      <c r="M34" s="48" t="s">
        <v>78</v>
      </c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49"/>
      <c r="AB34" s="48" t="s">
        <v>79</v>
      </c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1"/>
      <c r="AR34" s="51"/>
      <c r="AS34" s="51"/>
      <c r="AT34" s="50"/>
      <c r="AU34" s="50"/>
      <c r="AV34" s="49"/>
      <c r="AW34" s="48" t="s">
        <v>81</v>
      </c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49"/>
      <c r="BK34" s="4"/>
    </row>
    <row r="35" spans="1:63" ht="15" customHeight="1">
      <c r="A35" s="1"/>
      <c r="B35" s="52"/>
      <c r="C35" s="53"/>
      <c r="D35" s="54" t="s">
        <v>129</v>
      </c>
      <c r="E35" s="55"/>
      <c r="F35" s="55"/>
      <c r="G35" s="55"/>
      <c r="H35" s="55"/>
      <c r="I35" s="55"/>
      <c r="J35" s="55"/>
      <c r="K35" s="55"/>
      <c r="L35" s="56"/>
      <c r="M35" s="61" t="s">
        <v>136</v>
      </c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8"/>
      <c r="AB35" s="59" t="s">
        <v>132</v>
      </c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60"/>
      <c r="AR35" s="60"/>
      <c r="AS35" s="60"/>
      <c r="AT35" s="57"/>
      <c r="AU35" s="57"/>
      <c r="AV35" s="58"/>
      <c r="AW35" s="59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8"/>
      <c r="BK35" s="4"/>
    </row>
    <row r="36" spans="1:63" ht="15" customHeight="1">
      <c r="A36" s="1"/>
      <c r="B36" s="52"/>
      <c r="C36" s="53"/>
      <c r="D36" s="54" t="s">
        <v>130</v>
      </c>
      <c r="E36" s="55"/>
      <c r="F36" s="55"/>
      <c r="G36" s="55"/>
      <c r="H36" s="55"/>
      <c r="I36" s="55"/>
      <c r="J36" s="55"/>
      <c r="K36" s="55"/>
      <c r="L36" s="56"/>
      <c r="M36" s="61" t="s">
        <v>137</v>
      </c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8"/>
      <c r="AB36" s="59" t="s">
        <v>131</v>
      </c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60"/>
      <c r="AR36" s="60"/>
      <c r="AS36" s="60"/>
      <c r="AT36" s="57"/>
      <c r="AU36" s="57"/>
      <c r="AV36" s="58"/>
      <c r="AW36" s="59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8"/>
      <c r="BK36" s="4"/>
    </row>
    <row r="37" spans="1:63" ht="15" customHeight="1">
      <c r="A37" s="1"/>
      <c r="B37" s="52"/>
      <c r="C37" s="53"/>
      <c r="D37" s="54"/>
      <c r="E37" s="55"/>
      <c r="F37" s="55"/>
      <c r="G37" s="55"/>
      <c r="H37" s="55"/>
      <c r="I37" s="55"/>
      <c r="J37" s="55"/>
      <c r="K37" s="55"/>
      <c r="L37" s="56"/>
      <c r="M37" s="61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8"/>
      <c r="AB37" s="59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60"/>
      <c r="AR37" s="60"/>
      <c r="AS37" s="60"/>
      <c r="AT37" s="57"/>
      <c r="AU37" s="57"/>
      <c r="AV37" s="58"/>
      <c r="AW37" s="59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8"/>
      <c r="BK37" s="4"/>
    </row>
    <row r="38" spans="1:63" ht="15" customHeight="1">
      <c r="A38" s="1"/>
      <c r="B38" s="52"/>
      <c r="C38" s="53"/>
      <c r="D38" s="54"/>
      <c r="E38" s="55"/>
      <c r="F38" s="55"/>
      <c r="G38" s="55"/>
      <c r="H38" s="55"/>
      <c r="I38" s="55"/>
      <c r="J38" s="55"/>
      <c r="K38" s="55"/>
      <c r="L38" s="56"/>
      <c r="M38" s="61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8"/>
      <c r="AB38" s="59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60"/>
      <c r="AR38" s="60"/>
      <c r="AS38" s="60"/>
      <c r="AT38" s="57"/>
      <c r="AU38" s="57"/>
      <c r="AV38" s="58"/>
      <c r="AW38" s="59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8"/>
      <c r="BK38" s="4"/>
    </row>
    <row r="39" spans="1:63" ht="15" customHeight="1">
      <c r="A39" s="1"/>
      <c r="B39" s="52"/>
      <c r="C39" s="53"/>
      <c r="D39" s="54"/>
      <c r="E39" s="55"/>
      <c r="F39" s="55"/>
      <c r="G39" s="55"/>
      <c r="H39" s="55"/>
      <c r="I39" s="55"/>
      <c r="J39" s="55"/>
      <c r="K39" s="55"/>
      <c r="L39" s="56"/>
      <c r="M39" s="61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8"/>
      <c r="AB39" s="59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60"/>
      <c r="AR39" s="60"/>
      <c r="AS39" s="60"/>
      <c r="AT39" s="57"/>
      <c r="AU39" s="57"/>
      <c r="AV39" s="58"/>
      <c r="AW39" s="59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8"/>
      <c r="BK39" s="4"/>
    </row>
    <row r="40" spans="1:63" ht="15" customHeight="1">
      <c r="A40" s="1"/>
      <c r="B40" s="52"/>
      <c r="C40" s="53"/>
      <c r="D40" s="54"/>
      <c r="E40" s="55"/>
      <c r="F40" s="55"/>
      <c r="G40" s="55"/>
      <c r="H40" s="55"/>
      <c r="I40" s="55"/>
      <c r="J40" s="55"/>
      <c r="K40" s="55"/>
      <c r="L40" s="56"/>
      <c r="M40" s="61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8"/>
      <c r="AB40" s="59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60"/>
      <c r="AR40" s="60"/>
      <c r="AS40" s="60"/>
      <c r="AT40" s="57"/>
      <c r="AU40" s="57"/>
      <c r="AV40" s="58"/>
      <c r="AW40" s="59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8"/>
      <c r="BK40" s="4"/>
    </row>
    <row r="41" spans="1:63" ht="15" customHeight="1">
      <c r="A41" s="1"/>
      <c r="B41" s="52"/>
      <c r="C41" s="53"/>
      <c r="D41" s="54"/>
      <c r="E41" s="55"/>
      <c r="F41" s="55"/>
      <c r="G41" s="55"/>
      <c r="H41" s="55"/>
      <c r="I41" s="55"/>
      <c r="J41" s="55"/>
      <c r="K41" s="55"/>
      <c r="L41" s="56"/>
      <c r="M41" s="61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  <c r="AB41" s="59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60"/>
      <c r="AR41" s="60"/>
      <c r="AS41" s="60"/>
      <c r="AT41" s="57"/>
      <c r="AU41" s="57"/>
      <c r="AV41" s="58"/>
      <c r="AW41" s="59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8"/>
      <c r="BK41" s="4"/>
    </row>
    <row r="42" spans="1:63" ht="15" customHeight="1">
      <c r="A42" s="1"/>
      <c r="B42" s="52"/>
      <c r="C42" s="53"/>
      <c r="D42" s="54"/>
      <c r="E42" s="55"/>
      <c r="F42" s="55"/>
      <c r="G42" s="55"/>
      <c r="H42" s="55"/>
      <c r="I42" s="55"/>
      <c r="J42" s="55"/>
      <c r="K42" s="55"/>
      <c r="L42" s="56"/>
      <c r="M42" s="61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8"/>
      <c r="AB42" s="59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60"/>
      <c r="AR42" s="60"/>
      <c r="AS42" s="60"/>
      <c r="AT42" s="57"/>
      <c r="AU42" s="57"/>
      <c r="AV42" s="58"/>
      <c r="AW42" s="59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8"/>
      <c r="BK42" s="4"/>
    </row>
    <row r="43" spans="1:63" ht="15" customHeight="1">
      <c r="A43" s="1"/>
      <c r="B43" s="52"/>
      <c r="C43" s="53"/>
      <c r="D43" s="54"/>
      <c r="E43" s="55"/>
      <c r="F43" s="55"/>
      <c r="G43" s="55"/>
      <c r="H43" s="55"/>
      <c r="I43" s="55"/>
      <c r="J43" s="55"/>
      <c r="K43" s="55"/>
      <c r="L43" s="56"/>
      <c r="M43" s="61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8"/>
      <c r="AB43" s="59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60"/>
      <c r="AR43" s="60"/>
      <c r="AS43" s="60"/>
      <c r="AT43" s="57"/>
      <c r="AU43" s="57"/>
      <c r="AV43" s="58"/>
      <c r="AW43" s="59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8"/>
      <c r="BK43" s="4"/>
    </row>
    <row r="44" spans="1:63" ht="15" customHeight="1">
      <c r="A44" s="1"/>
      <c r="B44" s="52"/>
      <c r="C44" s="53"/>
      <c r="D44" s="54"/>
      <c r="E44" s="55"/>
      <c r="F44" s="55"/>
      <c r="G44" s="55"/>
      <c r="H44" s="55"/>
      <c r="I44" s="55"/>
      <c r="J44" s="55"/>
      <c r="K44" s="55"/>
      <c r="L44" s="56"/>
      <c r="M44" s="61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8"/>
      <c r="AB44" s="59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60"/>
      <c r="AR44" s="60"/>
      <c r="AS44" s="60"/>
      <c r="AT44" s="57"/>
      <c r="AU44" s="57"/>
      <c r="AV44" s="58"/>
      <c r="AW44" s="59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8"/>
      <c r="BK44" s="4"/>
    </row>
    <row r="45" spans="1:63" ht="15" customHeight="1">
      <c r="A45" s="1"/>
      <c r="B45" s="52"/>
      <c r="C45" s="53"/>
      <c r="D45" s="54"/>
      <c r="E45" s="55"/>
      <c r="F45" s="55"/>
      <c r="G45" s="55"/>
      <c r="H45" s="55"/>
      <c r="I45" s="55"/>
      <c r="J45" s="55"/>
      <c r="K45" s="55"/>
      <c r="L45" s="56"/>
      <c r="M45" s="61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8"/>
      <c r="AB45" s="59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60"/>
      <c r="AR45" s="60"/>
      <c r="AS45" s="60"/>
      <c r="AT45" s="57"/>
      <c r="AU45" s="57"/>
      <c r="AV45" s="58"/>
      <c r="AW45" s="59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8"/>
      <c r="BK45" s="4"/>
    </row>
    <row r="46" spans="1:63" ht="15" customHeight="1">
      <c r="A46" s="1"/>
      <c r="B46" s="52"/>
      <c r="C46" s="53"/>
      <c r="D46" s="54"/>
      <c r="E46" s="55"/>
      <c r="F46" s="55"/>
      <c r="G46" s="55"/>
      <c r="H46" s="55"/>
      <c r="I46" s="55"/>
      <c r="J46" s="55"/>
      <c r="K46" s="55"/>
      <c r="L46" s="56"/>
      <c r="M46" s="61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8"/>
      <c r="AB46" s="59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60"/>
      <c r="AR46" s="60"/>
      <c r="AS46" s="60"/>
      <c r="AT46" s="57"/>
      <c r="AU46" s="57"/>
      <c r="AV46" s="58"/>
      <c r="AW46" s="59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8"/>
      <c r="BK46" s="4"/>
    </row>
    <row r="47" spans="1:63" ht="15" customHeight="1">
      <c r="A47" s="1"/>
      <c r="B47" s="52"/>
      <c r="C47" s="53"/>
      <c r="D47" s="54"/>
      <c r="E47" s="55"/>
      <c r="F47" s="55"/>
      <c r="G47" s="55"/>
      <c r="H47" s="55"/>
      <c r="I47" s="55"/>
      <c r="J47" s="55"/>
      <c r="K47" s="55"/>
      <c r="L47" s="56"/>
      <c r="M47" s="61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8"/>
      <c r="AB47" s="59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60"/>
      <c r="AR47" s="60"/>
      <c r="AS47" s="60"/>
      <c r="AT47" s="57"/>
      <c r="AU47" s="57"/>
      <c r="AV47" s="58"/>
      <c r="AW47" s="59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8"/>
      <c r="BK47" s="4"/>
    </row>
    <row r="48" spans="1:63" ht="15" customHeight="1">
      <c r="A48" s="1"/>
      <c r="B48" s="52"/>
      <c r="C48" s="53"/>
      <c r="D48" s="54"/>
      <c r="E48" s="55"/>
      <c r="F48" s="55"/>
      <c r="G48" s="55"/>
      <c r="H48" s="55"/>
      <c r="I48" s="55"/>
      <c r="J48" s="55"/>
      <c r="K48" s="55"/>
      <c r="L48" s="56"/>
      <c r="M48" s="61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8"/>
      <c r="AB48" s="59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60"/>
      <c r="AR48" s="60"/>
      <c r="AS48" s="60"/>
      <c r="AT48" s="57"/>
      <c r="AU48" s="57"/>
      <c r="AV48" s="58"/>
      <c r="AW48" s="59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8"/>
      <c r="BK48" s="4"/>
    </row>
    <row r="49" spans="1:63" ht="15" customHeight="1">
      <c r="A49" s="1"/>
      <c r="B49" s="52"/>
      <c r="C49" s="53"/>
      <c r="D49" s="54"/>
      <c r="E49" s="55"/>
      <c r="F49" s="55"/>
      <c r="G49" s="55"/>
      <c r="H49" s="55"/>
      <c r="I49" s="55"/>
      <c r="J49" s="55"/>
      <c r="K49" s="55"/>
      <c r="L49" s="56"/>
      <c r="M49" s="61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8"/>
      <c r="AB49" s="59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60"/>
      <c r="AR49" s="60"/>
      <c r="AS49" s="60"/>
      <c r="AT49" s="57"/>
      <c r="AU49" s="57"/>
      <c r="AV49" s="58"/>
      <c r="AW49" s="59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8"/>
      <c r="BK49" s="4"/>
    </row>
    <row r="50" spans="1:63" ht="15" customHeight="1">
      <c r="A50" s="1"/>
      <c r="B50" s="52"/>
      <c r="C50" s="53"/>
      <c r="D50" s="54"/>
      <c r="E50" s="55"/>
      <c r="F50" s="55"/>
      <c r="G50" s="55"/>
      <c r="H50" s="55"/>
      <c r="I50" s="55"/>
      <c r="J50" s="55"/>
      <c r="K50" s="55"/>
      <c r="L50" s="56"/>
      <c r="M50" s="61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8"/>
      <c r="AB50" s="59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60"/>
      <c r="AR50" s="60"/>
      <c r="AS50" s="60"/>
      <c r="AT50" s="57"/>
      <c r="AU50" s="57"/>
      <c r="AV50" s="58"/>
      <c r="AW50" s="59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8"/>
      <c r="BK50" s="4"/>
    </row>
    <row r="51" spans="1:63" ht="15" customHeight="1">
      <c r="A51" s="1"/>
      <c r="B51" s="52"/>
      <c r="C51" s="53"/>
      <c r="D51" s="54"/>
      <c r="E51" s="55"/>
      <c r="F51" s="55"/>
      <c r="G51" s="55"/>
      <c r="H51" s="55"/>
      <c r="I51" s="55"/>
      <c r="J51" s="55"/>
      <c r="K51" s="55"/>
      <c r="L51" s="56"/>
      <c r="M51" s="61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8"/>
      <c r="AB51" s="59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60"/>
      <c r="AR51" s="60"/>
      <c r="AS51" s="60"/>
      <c r="AT51" s="57"/>
      <c r="AU51" s="57"/>
      <c r="AV51" s="58"/>
      <c r="AW51" s="59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8"/>
      <c r="BK51" s="4"/>
    </row>
    <row r="52" spans="1:63" ht="15" customHeight="1">
      <c r="A52" s="1"/>
      <c r="B52" s="52"/>
      <c r="C52" s="53"/>
      <c r="D52" s="54"/>
      <c r="E52" s="55"/>
      <c r="F52" s="55"/>
      <c r="G52" s="55"/>
      <c r="H52" s="55"/>
      <c r="I52" s="55"/>
      <c r="J52" s="55"/>
      <c r="K52" s="55"/>
      <c r="L52" s="56"/>
      <c r="M52" s="61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8"/>
      <c r="AB52" s="59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60"/>
      <c r="AR52" s="60"/>
      <c r="AS52" s="60"/>
      <c r="AT52" s="57"/>
      <c r="AU52" s="57"/>
      <c r="AV52" s="58"/>
      <c r="AW52" s="59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8"/>
      <c r="BK52" s="4"/>
    </row>
    <row r="53" spans="1:63" ht="15" customHeight="1">
      <c r="A53" s="1"/>
      <c r="B53" s="52"/>
      <c r="C53" s="53"/>
      <c r="D53" s="54"/>
      <c r="E53" s="55"/>
      <c r="F53" s="55"/>
      <c r="G53" s="55"/>
      <c r="H53" s="55"/>
      <c r="I53" s="55"/>
      <c r="J53" s="55"/>
      <c r="K53" s="55"/>
      <c r="L53" s="56"/>
      <c r="M53" s="61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8"/>
      <c r="AB53" s="59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60"/>
      <c r="AR53" s="60"/>
      <c r="AS53" s="60"/>
      <c r="AT53" s="57"/>
      <c r="AU53" s="57"/>
      <c r="AV53" s="58"/>
      <c r="AW53" s="59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8"/>
      <c r="BK53" s="4"/>
    </row>
    <row r="54" spans="1:63" ht="15" customHeight="1">
      <c r="A54" s="1"/>
      <c r="B54" s="95"/>
      <c r="C54" s="96"/>
      <c r="D54" s="97"/>
      <c r="E54" s="98"/>
      <c r="F54" s="98"/>
      <c r="G54" s="98"/>
      <c r="H54" s="98"/>
      <c r="I54" s="98"/>
      <c r="J54" s="98"/>
      <c r="K54" s="98"/>
      <c r="L54" s="99"/>
      <c r="M54" s="100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9"/>
      <c r="AB54" s="97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101"/>
      <c r="AR54" s="101"/>
      <c r="AS54" s="101"/>
      <c r="AT54" s="98"/>
      <c r="AU54" s="98"/>
      <c r="AV54" s="99"/>
      <c r="AW54" s="97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9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6765-2533-4F08-BA1E-99A5D901F76A}">
  <dimension ref="A1:BM189"/>
  <sheetViews>
    <sheetView tabSelected="1" view="pageBreakPreview" topLeftCell="A6" zoomScale="75" zoomScaleNormal="75" zoomScaleSheetLayoutView="75" workbookViewId="0">
      <selection activeCell="G9" sqref="G9:X9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</v>
      </c>
      <c r="BK7" s="4"/>
    </row>
    <row r="8" spans="1:63" ht="15" customHeight="1">
      <c r="A8" s="1"/>
      <c r="B8" s="279" t="s">
        <v>44</v>
      </c>
      <c r="C8" s="280"/>
      <c r="D8" s="280"/>
      <c r="E8" s="280"/>
      <c r="F8" s="281"/>
      <c r="G8" s="276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8"/>
      <c r="Y8" s="279" t="s">
        <v>45</v>
      </c>
      <c r="Z8" s="280"/>
      <c r="AA8" s="280"/>
      <c r="AB8" s="280"/>
      <c r="AC8" s="281"/>
      <c r="AD8" s="276"/>
      <c r="AE8" s="277"/>
      <c r="AF8" s="277"/>
      <c r="AG8" s="277"/>
      <c r="AH8" s="277"/>
      <c r="AI8" s="277"/>
      <c r="AJ8" s="277"/>
      <c r="AK8" s="277"/>
      <c r="AL8" s="277"/>
      <c r="AM8" s="277"/>
      <c r="AN8" s="278"/>
      <c r="BK8" s="4"/>
    </row>
    <row r="9" spans="1:63" ht="15" customHeight="1">
      <c r="A9" s="1"/>
      <c r="B9" s="258" t="s">
        <v>46</v>
      </c>
      <c r="C9" s="259"/>
      <c r="D9" s="259"/>
      <c r="E9" s="259"/>
      <c r="F9" s="260"/>
      <c r="G9" s="261" t="s">
        <v>370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3"/>
      <c r="Y9" s="258" t="s">
        <v>47</v>
      </c>
      <c r="Z9" s="259"/>
      <c r="AA9" s="259"/>
      <c r="AB9" s="259"/>
      <c r="AC9" s="260"/>
      <c r="AD9" s="264"/>
      <c r="AE9" s="265"/>
      <c r="AF9" s="265"/>
      <c r="AG9" s="265"/>
      <c r="AH9" s="265"/>
      <c r="AI9" s="265"/>
      <c r="AJ9" s="265"/>
      <c r="AK9" s="265"/>
      <c r="AL9" s="265"/>
      <c r="AM9" s="265"/>
      <c r="AN9" s="266"/>
      <c r="BK9" s="4"/>
    </row>
    <row r="10" spans="1:63" ht="15" customHeight="1">
      <c r="A10" s="1"/>
      <c r="B10" s="267" t="s">
        <v>48</v>
      </c>
      <c r="C10" s="268"/>
      <c r="D10" s="268"/>
      <c r="E10" s="268"/>
      <c r="F10" s="269"/>
      <c r="G10" s="255" t="s">
        <v>132</v>
      </c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67"/>
      <c r="Z10" s="268"/>
      <c r="AA10" s="268"/>
      <c r="AB10" s="268"/>
      <c r="AC10" s="269"/>
      <c r="AD10" s="270"/>
      <c r="AE10" s="271"/>
      <c r="AF10" s="271"/>
      <c r="AG10" s="271"/>
      <c r="AH10" s="271"/>
      <c r="AI10" s="271"/>
      <c r="AJ10" s="271"/>
      <c r="AK10" s="271"/>
      <c r="AL10" s="271"/>
      <c r="AM10" s="271"/>
      <c r="AN10" s="272"/>
      <c r="BK10" s="4"/>
    </row>
    <row r="11" spans="1:63" ht="15" customHeight="1">
      <c r="A11" s="1"/>
      <c r="B11" s="273" t="s">
        <v>49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5"/>
      <c r="BK11" s="4"/>
    </row>
    <row r="12" spans="1:63" ht="15" customHeight="1">
      <c r="A12" s="1"/>
      <c r="B12" s="276" t="s">
        <v>146</v>
      </c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8"/>
      <c r="BK12" s="4"/>
    </row>
    <row r="13" spans="1:63" ht="15" customHeight="1">
      <c r="A13" s="1"/>
      <c r="B13" s="261" t="s">
        <v>148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3"/>
      <c r="BK13" s="4"/>
    </row>
    <row r="14" spans="1:63" ht="15" customHeight="1">
      <c r="A14" s="1"/>
      <c r="B14" s="261" t="s">
        <v>147</v>
      </c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3"/>
      <c r="BK14" s="4"/>
    </row>
    <row r="15" spans="1:63" ht="15" customHeight="1">
      <c r="A15" s="1"/>
      <c r="B15" s="261" t="s">
        <v>149</v>
      </c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3"/>
      <c r="BK15" s="4"/>
    </row>
    <row r="16" spans="1:63" ht="15" customHeight="1">
      <c r="A16" s="1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7"/>
      <c r="BK16" s="4"/>
    </row>
    <row r="17" spans="1:63" ht="15" customHeight="1">
      <c r="A17" s="1"/>
      <c r="BK17" s="4"/>
    </row>
    <row r="18" spans="1:63" ht="15" customHeight="1">
      <c r="A18" s="1"/>
      <c r="B18" t="s">
        <v>21</v>
      </c>
      <c r="BK18" s="4"/>
    </row>
    <row r="19" spans="1:63" ht="15" customHeight="1">
      <c r="A19" s="1"/>
      <c r="B19" s="34" t="s">
        <v>22</v>
      </c>
      <c r="C19" s="35"/>
      <c r="D19" s="34" t="s">
        <v>23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5"/>
      <c r="R19" s="34" t="s">
        <v>24</v>
      </c>
      <c r="S19" s="36"/>
      <c r="T19" s="36"/>
      <c r="U19" s="36"/>
      <c r="V19" s="36"/>
      <c r="W19" s="36"/>
      <c r="X19" s="36"/>
      <c r="Y19" s="36"/>
      <c r="Z19" s="36"/>
      <c r="AA19" s="36"/>
      <c r="AB19" s="35"/>
      <c r="AC19" s="34" t="s">
        <v>25</v>
      </c>
      <c r="AD19" s="36"/>
      <c r="AE19" s="36"/>
      <c r="AF19" s="36"/>
      <c r="AG19" s="35"/>
      <c r="AH19" s="34" t="s">
        <v>26</v>
      </c>
      <c r="AI19" s="35"/>
      <c r="AJ19" s="34" t="s">
        <v>27</v>
      </c>
      <c r="AK19" s="36"/>
      <c r="AL19" s="35"/>
      <c r="AM19" s="34" t="s">
        <v>28</v>
      </c>
      <c r="AN19" s="36"/>
      <c r="AO19" s="36"/>
      <c r="AP19" s="36"/>
      <c r="AQ19" s="36"/>
      <c r="AR19" s="36"/>
      <c r="AS19" s="35"/>
      <c r="AT19" s="34" t="s">
        <v>29</v>
      </c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5"/>
      <c r="BK19" s="4"/>
    </row>
    <row r="20" spans="1:63" ht="15" customHeight="1">
      <c r="A20" s="1"/>
      <c r="B20" s="62">
        <v>1</v>
      </c>
      <c r="C20" s="63"/>
      <c r="D20" s="21" t="s">
        <v>92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5"/>
      <c r="R20" s="21" t="s">
        <v>63</v>
      </c>
      <c r="S20" s="64"/>
      <c r="T20" s="64"/>
      <c r="U20" s="64"/>
      <c r="V20" s="64"/>
      <c r="W20" s="64"/>
      <c r="X20" s="64"/>
      <c r="Y20" s="64"/>
      <c r="Z20" s="64"/>
      <c r="AA20" s="64"/>
      <c r="AB20" s="65"/>
      <c r="AC20" s="21" t="s">
        <v>31</v>
      </c>
      <c r="AD20" s="64"/>
      <c r="AE20" s="64"/>
      <c r="AF20" s="64"/>
      <c r="AG20" s="65"/>
      <c r="AH20" s="21"/>
      <c r="AI20" s="65"/>
      <c r="AJ20" s="21" t="s">
        <v>32</v>
      </c>
      <c r="AK20" s="64"/>
      <c r="AL20" s="65"/>
      <c r="AM20" s="21" t="s">
        <v>33</v>
      </c>
      <c r="AN20" s="64"/>
      <c r="AO20" s="64"/>
      <c r="AP20" s="64"/>
      <c r="AQ20" s="64"/>
      <c r="AR20" s="64"/>
      <c r="AS20" s="65"/>
      <c r="AT20" s="21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5"/>
      <c r="BK20" s="4"/>
    </row>
    <row r="21" spans="1:63" ht="15" customHeight="1">
      <c r="A21" s="1"/>
      <c r="B21" s="23">
        <f>B20+1</f>
        <v>2</v>
      </c>
      <c r="C21" s="24"/>
      <c r="D21" s="22" t="s">
        <v>93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  <c r="R21" s="22" t="s">
        <v>62</v>
      </c>
      <c r="S21" s="25"/>
      <c r="T21" s="25"/>
      <c r="U21" s="25"/>
      <c r="V21" s="25"/>
      <c r="W21" s="25"/>
      <c r="X21" s="25"/>
      <c r="Y21" s="25"/>
      <c r="Z21" s="25"/>
      <c r="AA21" s="25"/>
      <c r="AB21" s="26"/>
      <c r="AC21" s="22" t="s">
        <v>34</v>
      </c>
      <c r="AD21" s="25"/>
      <c r="AE21" s="25"/>
      <c r="AF21" s="25"/>
      <c r="AG21" s="26"/>
      <c r="AH21" s="22"/>
      <c r="AI21" s="26"/>
      <c r="AJ21" s="22" t="s">
        <v>32</v>
      </c>
      <c r="AK21" s="25"/>
      <c r="AL21" s="26"/>
      <c r="AM21" s="22" t="s">
        <v>72</v>
      </c>
      <c r="AN21" s="25"/>
      <c r="AO21" s="25"/>
      <c r="AP21" s="25"/>
      <c r="AQ21" s="25"/>
      <c r="AR21" s="25"/>
      <c r="AS21" s="26"/>
      <c r="AT21" s="22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6"/>
      <c r="BK21" s="4"/>
    </row>
    <row r="22" spans="1:63" ht="15" customHeight="1">
      <c r="A22" s="1"/>
      <c r="B22" s="23">
        <f t="shared" ref="B22:B59" si="0">B21+1</f>
        <v>3</v>
      </c>
      <c r="C22" s="24"/>
      <c r="D22" s="22" t="s">
        <v>94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22" t="s">
        <v>64</v>
      </c>
      <c r="S22" s="25"/>
      <c r="T22" s="25"/>
      <c r="U22" s="25"/>
      <c r="V22" s="25"/>
      <c r="W22" s="25"/>
      <c r="X22" s="25"/>
      <c r="Y22" s="25"/>
      <c r="Z22" s="25"/>
      <c r="AA22" s="25"/>
      <c r="AB22" s="26"/>
      <c r="AC22" s="22" t="s">
        <v>31</v>
      </c>
      <c r="AD22" s="25"/>
      <c r="AE22" s="25"/>
      <c r="AF22" s="25"/>
      <c r="AG22" s="26"/>
      <c r="AH22" s="22"/>
      <c r="AI22" s="26"/>
      <c r="AJ22" s="22" t="s">
        <v>32</v>
      </c>
      <c r="AK22" s="25"/>
      <c r="AL22" s="26"/>
      <c r="AM22" s="22" t="s">
        <v>73</v>
      </c>
      <c r="AN22" s="25"/>
      <c r="AO22" s="25"/>
      <c r="AP22" s="25"/>
      <c r="AQ22" s="25"/>
      <c r="AR22" s="25"/>
      <c r="AS22" s="26"/>
      <c r="AT22" s="22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6"/>
      <c r="BK22" s="4"/>
    </row>
    <row r="23" spans="1:63" ht="15" customHeight="1">
      <c r="A23" s="1"/>
      <c r="B23" s="23">
        <f t="shared" si="0"/>
        <v>4</v>
      </c>
      <c r="C23" s="24"/>
      <c r="D23" s="22" t="s">
        <v>95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2" t="s">
        <v>65</v>
      </c>
      <c r="S23" s="25"/>
      <c r="T23" s="25"/>
      <c r="U23" s="25"/>
      <c r="V23" s="25"/>
      <c r="W23" s="25"/>
      <c r="X23" s="25"/>
      <c r="Y23" s="25"/>
      <c r="Z23" s="25"/>
      <c r="AA23" s="25"/>
      <c r="AB23" s="26"/>
      <c r="AC23" s="22" t="s">
        <v>108</v>
      </c>
      <c r="AD23" s="25"/>
      <c r="AE23" s="25"/>
      <c r="AF23" s="25"/>
      <c r="AG23" s="26"/>
      <c r="AH23" s="22"/>
      <c r="AI23" s="26"/>
      <c r="AJ23" s="22" t="s">
        <v>32</v>
      </c>
      <c r="AK23" s="25"/>
      <c r="AL23" s="26"/>
      <c r="AM23" s="22" t="s">
        <v>72</v>
      </c>
      <c r="AN23" s="25"/>
      <c r="AO23" s="25"/>
      <c r="AP23" s="25"/>
      <c r="AQ23" s="25"/>
      <c r="AR23" s="25"/>
      <c r="AS23" s="26"/>
      <c r="AT23" s="27" t="s">
        <v>74</v>
      </c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7"/>
      <c r="BK23" s="4"/>
    </row>
    <row r="24" spans="1:63" ht="15" customHeight="1">
      <c r="A24" s="1"/>
      <c r="B24" s="23">
        <f t="shared" si="0"/>
        <v>5</v>
      </c>
      <c r="C24" s="24"/>
      <c r="D24" s="22" t="s">
        <v>96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2" t="s">
        <v>66</v>
      </c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22" t="s">
        <v>82</v>
      </c>
      <c r="AD24" s="25"/>
      <c r="AE24" s="25"/>
      <c r="AF24" s="25"/>
      <c r="AG24" s="26"/>
      <c r="AH24" s="22"/>
      <c r="AI24" s="26"/>
      <c r="AJ24" s="22" t="s">
        <v>83</v>
      </c>
      <c r="AK24" s="25"/>
      <c r="AL24" s="26"/>
      <c r="AM24" s="22" t="s">
        <v>73</v>
      </c>
      <c r="AN24" s="25"/>
      <c r="AO24" s="25"/>
      <c r="AP24" s="25"/>
      <c r="AQ24" s="25"/>
      <c r="AR24" s="25"/>
      <c r="AS24" s="26"/>
      <c r="AT24" s="27" t="s">
        <v>74</v>
      </c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7"/>
      <c r="BK24" s="4"/>
    </row>
    <row r="25" spans="1:63" ht="15" customHeight="1">
      <c r="A25" s="1"/>
      <c r="B25" s="71">
        <f t="shared" si="0"/>
        <v>6</v>
      </c>
      <c r="C25" s="72"/>
      <c r="D25" s="73" t="s">
        <v>97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279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91</v>
      </c>
      <c r="AD25" s="74"/>
      <c r="AE25" s="74"/>
      <c r="AF25" s="74"/>
      <c r="AG25" s="75"/>
      <c r="AH25" s="73"/>
      <c r="AI25" s="75"/>
      <c r="AJ25" s="73" t="s">
        <v>83</v>
      </c>
      <c r="AK25" s="74"/>
      <c r="AL25" s="75"/>
      <c r="AM25" s="73" t="s">
        <v>84</v>
      </c>
      <c r="AN25" s="74"/>
      <c r="AO25" s="74"/>
      <c r="AP25" s="74"/>
      <c r="AQ25" s="74"/>
      <c r="AR25" s="74"/>
      <c r="AS25" s="75"/>
      <c r="AT25" s="73" t="s">
        <v>90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</row>
    <row r="26" spans="1:63" ht="15" customHeight="1">
      <c r="A26" s="1"/>
      <c r="B26" s="62">
        <f t="shared" si="0"/>
        <v>7</v>
      </c>
      <c r="C26" s="63"/>
      <c r="D26" s="21" t="s">
        <v>138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5"/>
      <c r="R26" s="21" t="s">
        <v>122</v>
      </c>
      <c r="S26" s="64"/>
      <c r="T26" s="64"/>
      <c r="U26" s="64"/>
      <c r="V26" s="64"/>
      <c r="W26" s="64"/>
      <c r="X26" s="64"/>
      <c r="Y26" s="64"/>
      <c r="Z26" s="64"/>
      <c r="AA26" s="64"/>
      <c r="AB26" s="65"/>
      <c r="AC26" s="21" t="s">
        <v>141</v>
      </c>
      <c r="AD26" s="64"/>
      <c r="AE26" s="64"/>
      <c r="AF26" s="64"/>
      <c r="AG26" s="65"/>
      <c r="AH26" s="21" t="s">
        <v>83</v>
      </c>
      <c r="AI26" s="65"/>
      <c r="AJ26" s="21"/>
      <c r="AK26" s="64"/>
      <c r="AL26" s="65"/>
      <c r="AM26" s="21"/>
      <c r="AN26" s="64"/>
      <c r="AO26" s="64"/>
      <c r="AP26" s="64"/>
      <c r="AQ26" s="64"/>
      <c r="AR26" s="64"/>
      <c r="AS26" s="65"/>
      <c r="AT26" s="21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5"/>
      <c r="BK26" s="4"/>
    </row>
    <row r="27" spans="1:63" ht="15" customHeight="1">
      <c r="A27" s="1"/>
      <c r="B27" s="23">
        <f t="shared" si="0"/>
        <v>8</v>
      </c>
      <c r="C27" s="24"/>
      <c r="D27" s="22" t="s">
        <v>139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  <c r="R27" s="22" t="s">
        <v>123</v>
      </c>
      <c r="S27" s="25"/>
      <c r="T27" s="25"/>
      <c r="U27" s="25"/>
      <c r="V27" s="25"/>
      <c r="W27" s="25"/>
      <c r="X27" s="25"/>
      <c r="Y27" s="25"/>
      <c r="Z27" s="25"/>
      <c r="AA27" s="25"/>
      <c r="AB27" s="26"/>
      <c r="AC27" s="22" t="s">
        <v>141</v>
      </c>
      <c r="AD27" s="25"/>
      <c r="AE27" s="25"/>
      <c r="AF27" s="25"/>
      <c r="AG27" s="26"/>
      <c r="AH27" s="22" t="s">
        <v>83</v>
      </c>
      <c r="AI27" s="26"/>
      <c r="AJ27" s="22"/>
      <c r="AK27" s="25"/>
      <c r="AL27" s="26"/>
      <c r="AM27" s="22"/>
      <c r="AN27" s="25"/>
      <c r="AO27" s="25"/>
      <c r="AP27" s="25"/>
      <c r="AQ27" s="25"/>
      <c r="AR27" s="25"/>
      <c r="AS27" s="26"/>
      <c r="AT27" s="22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6"/>
      <c r="BK27" s="4"/>
    </row>
    <row r="28" spans="1:63" ht="15" customHeight="1">
      <c r="A28" s="1"/>
      <c r="B28" s="71">
        <f t="shared" si="0"/>
        <v>9</v>
      </c>
      <c r="C28" s="72"/>
      <c r="D28" s="73" t="s">
        <v>140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5"/>
      <c r="R28" s="73" t="s">
        <v>124</v>
      </c>
      <c r="S28" s="74"/>
      <c r="T28" s="74"/>
      <c r="U28" s="74"/>
      <c r="V28" s="74"/>
      <c r="W28" s="74"/>
      <c r="X28" s="74"/>
      <c r="Y28" s="74"/>
      <c r="Z28" s="74"/>
      <c r="AA28" s="74"/>
      <c r="AB28" s="75"/>
      <c r="AC28" s="73" t="s">
        <v>141</v>
      </c>
      <c r="AD28" s="74"/>
      <c r="AE28" s="74"/>
      <c r="AF28" s="74"/>
      <c r="AG28" s="75"/>
      <c r="AH28" s="73" t="s">
        <v>83</v>
      </c>
      <c r="AI28" s="75"/>
      <c r="AJ28" s="73"/>
      <c r="AK28" s="74"/>
      <c r="AL28" s="75"/>
      <c r="AM28" s="73"/>
      <c r="AN28" s="74"/>
      <c r="AO28" s="74"/>
      <c r="AP28" s="74"/>
      <c r="AQ28" s="74"/>
      <c r="AR28" s="74"/>
      <c r="AS28" s="75"/>
      <c r="AT28" s="73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5"/>
      <c r="BK28" s="4"/>
    </row>
    <row r="29" spans="1:63" ht="15" customHeight="1">
      <c r="A29" s="1"/>
      <c r="B29" s="89">
        <f t="shared" si="0"/>
        <v>10</v>
      </c>
      <c r="C29" s="90"/>
      <c r="D29" s="38" t="s">
        <v>110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39"/>
      <c r="R29" s="38" t="s">
        <v>109</v>
      </c>
      <c r="S29" s="40"/>
      <c r="T29" s="40"/>
      <c r="U29" s="40"/>
      <c r="V29" s="40"/>
      <c r="W29" s="40"/>
      <c r="X29" s="40"/>
      <c r="Y29" s="40"/>
      <c r="Z29" s="40"/>
      <c r="AA29" s="40"/>
      <c r="AB29" s="39"/>
      <c r="AC29" s="38" t="s">
        <v>143</v>
      </c>
      <c r="AD29" s="40"/>
      <c r="AE29" s="40"/>
      <c r="AF29" s="40"/>
      <c r="AG29" s="39"/>
      <c r="AH29" s="38"/>
      <c r="AI29" s="39"/>
      <c r="AJ29" s="38"/>
      <c r="AK29" s="40"/>
      <c r="AL29" s="39"/>
      <c r="AM29" s="38"/>
      <c r="AN29" s="40"/>
      <c r="AO29" s="40"/>
      <c r="AP29" s="40"/>
      <c r="AQ29" s="40"/>
      <c r="AR29" s="40"/>
      <c r="AS29" s="39"/>
      <c r="AT29" s="38" t="s">
        <v>145</v>
      </c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39"/>
      <c r="BK29" s="4"/>
    </row>
    <row r="30" spans="1:63" ht="15" customHeight="1">
      <c r="A30" s="1"/>
      <c r="B30" s="62">
        <f t="shared" si="0"/>
        <v>11</v>
      </c>
      <c r="C30" s="83"/>
      <c r="D30" s="21" t="s">
        <v>158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  <c r="R30" s="21" t="s">
        <v>233</v>
      </c>
      <c r="S30" s="64"/>
      <c r="T30" s="64"/>
      <c r="U30" s="64"/>
      <c r="V30" s="64"/>
      <c r="W30" s="64"/>
      <c r="X30" s="64"/>
      <c r="Y30" s="64"/>
      <c r="Z30" s="64"/>
      <c r="AA30" s="64"/>
      <c r="AB30" s="65"/>
      <c r="AC30" s="64" t="s">
        <v>143</v>
      </c>
      <c r="AD30" s="64"/>
      <c r="AE30" s="64"/>
      <c r="AF30" s="64"/>
      <c r="AG30" s="65"/>
      <c r="AH30" s="21"/>
      <c r="AI30" s="65"/>
      <c r="AJ30" s="21" t="s">
        <v>83</v>
      </c>
      <c r="AK30" s="64"/>
      <c r="AL30" s="65"/>
      <c r="AM30" s="102" t="s">
        <v>191</v>
      </c>
      <c r="AN30" s="103"/>
      <c r="AO30" s="103"/>
      <c r="AP30" s="103"/>
      <c r="AQ30" s="103"/>
      <c r="AR30" s="103"/>
      <c r="AS30" s="104"/>
      <c r="AT30" s="21" t="s">
        <v>204</v>
      </c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5"/>
      <c r="BK30" s="4"/>
    </row>
    <row r="31" spans="1:63" ht="15" customHeight="1">
      <c r="A31" s="1"/>
      <c r="B31" s="23">
        <f t="shared" si="0"/>
        <v>12</v>
      </c>
      <c r="C31" s="78"/>
      <c r="D31" s="22" t="s">
        <v>159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234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" t="s">
        <v>142</v>
      </c>
      <c r="AD31" s="25"/>
      <c r="AE31" s="25"/>
      <c r="AF31" s="25"/>
      <c r="AG31" s="26"/>
      <c r="AH31" s="22"/>
      <c r="AI31" s="26"/>
      <c r="AJ31" s="22" t="s">
        <v>83</v>
      </c>
      <c r="AK31" s="25"/>
      <c r="AL31" s="26"/>
      <c r="AM31" s="22" t="s">
        <v>85</v>
      </c>
      <c r="AN31" s="25"/>
      <c r="AO31" s="25"/>
      <c r="AP31" s="25"/>
      <c r="AQ31" s="25"/>
      <c r="AR31" s="25"/>
      <c r="AS31" s="26"/>
      <c r="AT31" s="22" t="s">
        <v>190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</row>
    <row r="32" spans="1:63" ht="15" customHeight="1">
      <c r="A32" s="1"/>
      <c r="B32" s="23">
        <f t="shared" si="0"/>
        <v>13</v>
      </c>
      <c r="C32" s="78"/>
      <c r="D32" s="22" t="s">
        <v>160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235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" t="s">
        <v>142</v>
      </c>
      <c r="AD32" s="25"/>
      <c r="AE32" s="25"/>
      <c r="AF32" s="25"/>
      <c r="AG32" s="26"/>
      <c r="AH32" s="22"/>
      <c r="AI32" s="26"/>
      <c r="AJ32" s="22" t="s">
        <v>83</v>
      </c>
      <c r="AK32" s="25"/>
      <c r="AL32" s="26"/>
      <c r="AM32" s="22" t="s">
        <v>85</v>
      </c>
      <c r="AN32" s="25"/>
      <c r="AO32" s="25"/>
      <c r="AP32" s="25"/>
      <c r="AQ32" s="25"/>
      <c r="AR32" s="25"/>
      <c r="AS32" s="26"/>
      <c r="AT32" s="22" t="s">
        <v>190</v>
      </c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</row>
    <row r="33" spans="1:63" ht="15" customHeight="1">
      <c r="A33" s="1"/>
      <c r="B33" s="23">
        <f t="shared" si="0"/>
        <v>14</v>
      </c>
      <c r="C33" s="78"/>
      <c r="D33" s="22" t="s">
        <v>161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236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" t="s">
        <v>142</v>
      </c>
      <c r="AD33" s="25"/>
      <c r="AE33" s="25"/>
      <c r="AF33" s="25"/>
      <c r="AG33" s="26"/>
      <c r="AH33" s="22"/>
      <c r="AI33" s="26"/>
      <c r="AJ33" s="22" t="s">
        <v>83</v>
      </c>
      <c r="AK33" s="25"/>
      <c r="AL33" s="26"/>
      <c r="AM33" s="22" t="s">
        <v>85</v>
      </c>
      <c r="AN33" s="25"/>
      <c r="AO33" s="25"/>
      <c r="AP33" s="25"/>
      <c r="AQ33" s="25"/>
      <c r="AR33" s="25"/>
      <c r="AS33" s="26"/>
      <c r="AT33" s="22" t="s">
        <v>190</v>
      </c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</row>
    <row r="34" spans="1:63" ht="15" customHeight="1">
      <c r="A34" s="1"/>
      <c r="B34" s="23">
        <f t="shared" si="0"/>
        <v>15</v>
      </c>
      <c r="C34" s="78"/>
      <c r="D34" s="22" t="s">
        <v>162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237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" t="s">
        <v>142</v>
      </c>
      <c r="AD34" s="25"/>
      <c r="AE34" s="25"/>
      <c r="AF34" s="25"/>
      <c r="AG34" s="26"/>
      <c r="AH34" s="22"/>
      <c r="AI34" s="26"/>
      <c r="AJ34" s="22" t="s">
        <v>83</v>
      </c>
      <c r="AK34" s="25"/>
      <c r="AL34" s="26"/>
      <c r="AM34" s="22" t="s">
        <v>85</v>
      </c>
      <c r="AN34" s="25"/>
      <c r="AO34" s="25"/>
      <c r="AP34" s="25"/>
      <c r="AQ34" s="25"/>
      <c r="AR34" s="25"/>
      <c r="AS34" s="26"/>
      <c r="AT34" s="22" t="s">
        <v>190</v>
      </c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</row>
    <row r="35" spans="1:63" ht="15" customHeight="1">
      <c r="A35" s="1"/>
      <c r="B35" s="23">
        <f t="shared" si="0"/>
        <v>16</v>
      </c>
      <c r="C35" s="78"/>
      <c r="D35" s="22" t="s">
        <v>163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238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" t="s">
        <v>142</v>
      </c>
      <c r="AD35" s="25"/>
      <c r="AE35" s="25"/>
      <c r="AF35" s="25"/>
      <c r="AG35" s="26"/>
      <c r="AH35" s="22"/>
      <c r="AI35" s="26"/>
      <c r="AJ35" s="22" t="s">
        <v>83</v>
      </c>
      <c r="AK35" s="25"/>
      <c r="AL35" s="26"/>
      <c r="AM35" s="22" t="s">
        <v>85</v>
      </c>
      <c r="AN35" s="25"/>
      <c r="AO35" s="25"/>
      <c r="AP35" s="25"/>
      <c r="AQ35" s="25"/>
      <c r="AR35" s="25"/>
      <c r="AS35" s="26"/>
      <c r="AT35" s="68" t="s">
        <v>190</v>
      </c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70"/>
      <c r="BK35" s="4"/>
    </row>
    <row r="36" spans="1:63" ht="15" customHeight="1">
      <c r="A36" s="1"/>
      <c r="B36" s="23">
        <f t="shared" si="0"/>
        <v>17</v>
      </c>
      <c r="C36" s="78"/>
      <c r="D36" s="22" t="s">
        <v>164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239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" t="s">
        <v>142</v>
      </c>
      <c r="AD36" s="25"/>
      <c r="AE36" s="25"/>
      <c r="AF36" s="25"/>
      <c r="AG36" s="26"/>
      <c r="AH36" s="22"/>
      <c r="AI36" s="26"/>
      <c r="AJ36" s="22" t="s">
        <v>83</v>
      </c>
      <c r="AK36" s="25"/>
      <c r="AL36" s="26"/>
      <c r="AM36" s="22" t="s">
        <v>85</v>
      </c>
      <c r="AN36" s="25"/>
      <c r="AO36" s="25"/>
      <c r="AP36" s="25"/>
      <c r="AQ36" s="25"/>
      <c r="AR36" s="25"/>
      <c r="AS36" s="26"/>
      <c r="AT36" s="22" t="s">
        <v>190</v>
      </c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</row>
    <row r="37" spans="1:63" ht="15" customHeight="1">
      <c r="A37" s="1"/>
      <c r="B37" s="23">
        <f t="shared" si="0"/>
        <v>18</v>
      </c>
      <c r="C37" s="78"/>
      <c r="D37" s="22" t="s">
        <v>165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240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" t="s">
        <v>142</v>
      </c>
      <c r="AD37" s="25"/>
      <c r="AE37" s="25"/>
      <c r="AF37" s="25"/>
      <c r="AG37" s="26"/>
      <c r="AH37" s="22"/>
      <c r="AI37" s="26"/>
      <c r="AJ37" s="22" t="s">
        <v>83</v>
      </c>
      <c r="AK37" s="25"/>
      <c r="AL37" s="26"/>
      <c r="AM37" s="22" t="s">
        <v>85</v>
      </c>
      <c r="AN37" s="25"/>
      <c r="AO37" s="25"/>
      <c r="AP37" s="25"/>
      <c r="AQ37" s="25"/>
      <c r="AR37" s="25"/>
      <c r="AS37" s="26"/>
      <c r="AT37" s="22" t="s">
        <v>190</v>
      </c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</row>
    <row r="38" spans="1:63" ht="15" customHeight="1">
      <c r="A38" s="1"/>
      <c r="B38" s="23">
        <f t="shared" si="0"/>
        <v>19</v>
      </c>
      <c r="C38" s="78"/>
      <c r="D38" s="22" t="s">
        <v>166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241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" t="s">
        <v>142</v>
      </c>
      <c r="AD38" s="25"/>
      <c r="AE38" s="25"/>
      <c r="AF38" s="25"/>
      <c r="AG38" s="26"/>
      <c r="AH38" s="22"/>
      <c r="AI38" s="26"/>
      <c r="AJ38" s="22" t="s">
        <v>83</v>
      </c>
      <c r="AK38" s="25"/>
      <c r="AL38" s="26"/>
      <c r="AM38" s="22" t="s">
        <v>85</v>
      </c>
      <c r="AN38" s="25"/>
      <c r="AO38" s="25"/>
      <c r="AP38" s="25"/>
      <c r="AQ38" s="25"/>
      <c r="AR38" s="25"/>
      <c r="AS38" s="26"/>
      <c r="AT38" s="22" t="s">
        <v>190</v>
      </c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</row>
    <row r="39" spans="1:63" ht="15" customHeight="1">
      <c r="A39" s="1"/>
      <c r="B39" s="28">
        <f t="shared" si="0"/>
        <v>20</v>
      </c>
      <c r="C39" s="79"/>
      <c r="D39" s="30" t="s">
        <v>167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30" t="s">
        <v>242</v>
      </c>
      <c r="S39" s="31"/>
      <c r="T39" s="31"/>
      <c r="U39" s="31"/>
      <c r="V39" s="31"/>
      <c r="W39" s="31"/>
      <c r="X39" s="31"/>
      <c r="Y39" s="31"/>
      <c r="Z39" s="31"/>
      <c r="AA39" s="31"/>
      <c r="AB39" s="32"/>
      <c r="AC39" s="31" t="s">
        <v>142</v>
      </c>
      <c r="AD39" s="31"/>
      <c r="AE39" s="31"/>
      <c r="AF39" s="31"/>
      <c r="AG39" s="32"/>
      <c r="AH39" s="30"/>
      <c r="AI39" s="32"/>
      <c r="AJ39" s="30" t="s">
        <v>83</v>
      </c>
      <c r="AK39" s="31"/>
      <c r="AL39" s="32"/>
      <c r="AM39" s="30" t="s">
        <v>85</v>
      </c>
      <c r="AN39" s="31"/>
      <c r="AO39" s="31"/>
      <c r="AP39" s="31"/>
      <c r="AQ39" s="31"/>
      <c r="AR39" s="31"/>
      <c r="AS39" s="32"/>
      <c r="AT39" s="80" t="s">
        <v>190</v>
      </c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2"/>
      <c r="BK39" s="4"/>
    </row>
    <row r="40" spans="1:63" ht="15" customHeight="1">
      <c r="A40" s="1"/>
      <c r="B40" s="62">
        <f t="shared" si="0"/>
        <v>21</v>
      </c>
      <c r="C40" s="83"/>
      <c r="D40" s="21" t="s">
        <v>168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5"/>
      <c r="R40" s="21" t="s">
        <v>244</v>
      </c>
      <c r="S40" s="64"/>
      <c r="T40" s="64"/>
      <c r="U40" s="64"/>
      <c r="V40" s="64"/>
      <c r="W40" s="64"/>
      <c r="X40" s="64"/>
      <c r="Y40" s="64"/>
      <c r="Z40" s="64"/>
      <c r="AA40" s="64"/>
      <c r="AB40" s="65"/>
      <c r="AC40" s="21" t="s">
        <v>142</v>
      </c>
      <c r="AD40" s="64"/>
      <c r="AE40" s="64"/>
      <c r="AF40" s="64"/>
      <c r="AG40" s="65"/>
      <c r="AH40" s="21"/>
      <c r="AI40" s="65"/>
      <c r="AJ40" s="21" t="s">
        <v>83</v>
      </c>
      <c r="AK40" s="64"/>
      <c r="AL40" s="65"/>
      <c r="AM40" s="21" t="s">
        <v>85</v>
      </c>
      <c r="AN40" s="64"/>
      <c r="AO40" s="64"/>
      <c r="AP40" s="64"/>
      <c r="AQ40" s="64"/>
      <c r="AR40" s="64"/>
      <c r="AS40" s="65"/>
      <c r="AT40" s="86" t="s">
        <v>190</v>
      </c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8"/>
      <c r="BK40" s="4"/>
    </row>
    <row r="41" spans="1:63" ht="15" customHeight="1">
      <c r="A41" s="1"/>
      <c r="B41" s="23">
        <f t="shared" si="0"/>
        <v>22</v>
      </c>
      <c r="C41" s="78"/>
      <c r="D41" s="22" t="s">
        <v>169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245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2" t="s">
        <v>142</v>
      </c>
      <c r="AD41" s="25"/>
      <c r="AE41" s="25"/>
      <c r="AF41" s="25"/>
      <c r="AG41" s="26"/>
      <c r="AH41" s="22"/>
      <c r="AI41" s="26"/>
      <c r="AJ41" s="22" t="s">
        <v>83</v>
      </c>
      <c r="AK41" s="25"/>
      <c r="AL41" s="26"/>
      <c r="AM41" s="22" t="s">
        <v>85</v>
      </c>
      <c r="AN41" s="25"/>
      <c r="AO41" s="25"/>
      <c r="AP41" s="25"/>
      <c r="AQ41" s="25"/>
      <c r="AR41" s="25"/>
      <c r="AS41" s="26"/>
      <c r="AT41" s="68" t="s">
        <v>190</v>
      </c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70"/>
      <c r="BK41" s="4"/>
    </row>
    <row r="42" spans="1:63" ht="15" customHeight="1">
      <c r="A42" s="1"/>
      <c r="B42" s="23">
        <f t="shared" si="0"/>
        <v>23</v>
      </c>
      <c r="C42" s="78"/>
      <c r="D42" s="22" t="s">
        <v>170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246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2" t="s">
        <v>142</v>
      </c>
      <c r="AD42" s="25"/>
      <c r="AE42" s="25"/>
      <c r="AF42" s="25"/>
      <c r="AG42" s="26"/>
      <c r="AH42" s="22"/>
      <c r="AI42" s="26"/>
      <c r="AJ42" s="22" t="s">
        <v>83</v>
      </c>
      <c r="AK42" s="25"/>
      <c r="AL42" s="26"/>
      <c r="AM42" s="22" t="s">
        <v>85</v>
      </c>
      <c r="AN42" s="25"/>
      <c r="AO42" s="25"/>
      <c r="AP42" s="25"/>
      <c r="AQ42" s="25"/>
      <c r="AR42" s="25"/>
      <c r="AS42" s="26"/>
      <c r="AT42" s="68" t="s">
        <v>190</v>
      </c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70"/>
      <c r="BK42" s="4"/>
    </row>
    <row r="43" spans="1:63" ht="15" customHeight="1">
      <c r="A43" s="1"/>
      <c r="B43" s="23">
        <f t="shared" si="0"/>
        <v>24</v>
      </c>
      <c r="C43" s="78"/>
      <c r="D43" s="22" t="s">
        <v>171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247</v>
      </c>
      <c r="S43" s="25"/>
      <c r="T43" s="25"/>
      <c r="U43" s="25"/>
      <c r="V43" s="25"/>
      <c r="W43" s="25"/>
      <c r="X43" t="str">
        <f t="shared" ref="X43" si="1">"{ ""company_code"": """&amp;T43&amp;""",""store_code"": """&amp;U43&amp;""",""instore_code"": """&amp;V43&amp;""",""status"": "&amp;LEFT(W43,1)&amp;"}"</f>
        <v>{ "company_code": "","store_code": "","instore_code": "","status": }</v>
      </c>
      <c r="Y43" s="25"/>
      <c r="Z43" s="25"/>
      <c r="AA43" s="25"/>
      <c r="AB43" s="26"/>
      <c r="AC43" s="22" t="s">
        <v>142</v>
      </c>
      <c r="AD43" s="25"/>
      <c r="AE43" s="25"/>
      <c r="AF43" s="25"/>
      <c r="AG43" s="26"/>
      <c r="AH43" s="22"/>
      <c r="AI43" s="26"/>
      <c r="AJ43" s="22" t="s">
        <v>83</v>
      </c>
      <c r="AK43" s="25"/>
      <c r="AL43" s="26"/>
      <c r="AM43" s="22" t="s">
        <v>85</v>
      </c>
      <c r="AN43" s="25"/>
      <c r="AO43" s="25"/>
      <c r="AP43" s="25"/>
      <c r="AQ43" s="25"/>
      <c r="AR43" s="25"/>
      <c r="AS43" s="26"/>
      <c r="AT43" s="68" t="s">
        <v>190</v>
      </c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70"/>
      <c r="BK43" s="4"/>
    </row>
    <row r="44" spans="1:63" ht="15" customHeight="1">
      <c r="A44" s="1"/>
      <c r="B44" s="23">
        <f t="shared" si="0"/>
        <v>25</v>
      </c>
      <c r="C44" s="78"/>
      <c r="D44" s="22" t="s">
        <v>172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248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2" t="s">
        <v>142</v>
      </c>
      <c r="AD44" s="25"/>
      <c r="AE44" s="25"/>
      <c r="AF44" s="25"/>
      <c r="AG44" s="26"/>
      <c r="AH44" s="22"/>
      <c r="AI44" s="26"/>
      <c r="AJ44" s="22" t="s">
        <v>83</v>
      </c>
      <c r="AK44" s="25"/>
      <c r="AL44" s="26"/>
      <c r="AM44" s="22" t="s">
        <v>85</v>
      </c>
      <c r="AN44" s="25"/>
      <c r="AO44" s="25"/>
      <c r="AP44" s="25"/>
      <c r="AQ44" s="25"/>
      <c r="AR44" s="25"/>
      <c r="AS44" s="26"/>
      <c r="AT44" s="68" t="s">
        <v>190</v>
      </c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70"/>
      <c r="BK44" s="4"/>
    </row>
    <row r="45" spans="1:63" ht="15" customHeight="1">
      <c r="A45" s="1"/>
      <c r="B45" s="23">
        <f t="shared" si="0"/>
        <v>26</v>
      </c>
      <c r="C45" s="78"/>
      <c r="D45" s="22" t="s">
        <v>173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249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2" t="s">
        <v>142</v>
      </c>
      <c r="AD45" s="25"/>
      <c r="AE45" s="25"/>
      <c r="AF45" s="25"/>
      <c r="AG45" s="26"/>
      <c r="AH45" s="22"/>
      <c r="AI45" s="26"/>
      <c r="AJ45" s="22" t="s">
        <v>83</v>
      </c>
      <c r="AK45" s="25"/>
      <c r="AL45" s="26"/>
      <c r="AM45" s="22" t="s">
        <v>85</v>
      </c>
      <c r="AN45" s="25"/>
      <c r="AO45" s="25"/>
      <c r="AP45" s="25"/>
      <c r="AQ45" s="25"/>
      <c r="AR45" s="25"/>
      <c r="AS45" s="26"/>
      <c r="AT45" s="68" t="s">
        <v>190</v>
      </c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70"/>
      <c r="BK45" s="4"/>
    </row>
    <row r="46" spans="1:63" ht="15" customHeight="1">
      <c r="A46" s="1"/>
      <c r="B46" s="23">
        <f t="shared" si="0"/>
        <v>27</v>
      </c>
      <c r="C46" s="78"/>
      <c r="D46" s="22" t="s">
        <v>174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250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2" t="s">
        <v>142</v>
      </c>
      <c r="AD46" s="25"/>
      <c r="AE46" s="25"/>
      <c r="AF46" s="25"/>
      <c r="AG46" s="26"/>
      <c r="AH46" s="22"/>
      <c r="AI46" s="26"/>
      <c r="AJ46" s="22" t="s">
        <v>83</v>
      </c>
      <c r="AK46" s="25"/>
      <c r="AL46" s="26"/>
      <c r="AM46" s="22" t="s">
        <v>85</v>
      </c>
      <c r="AN46" s="25"/>
      <c r="AO46" s="25"/>
      <c r="AP46" s="25"/>
      <c r="AQ46" s="25"/>
      <c r="AR46" s="25"/>
      <c r="AS46" s="26"/>
      <c r="AT46" s="68" t="s">
        <v>190</v>
      </c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70"/>
      <c r="BK46" s="4"/>
    </row>
    <row r="47" spans="1:63" ht="15" customHeight="1">
      <c r="A47" s="1"/>
      <c r="B47" s="23">
        <f t="shared" si="0"/>
        <v>28</v>
      </c>
      <c r="C47" s="78"/>
      <c r="D47" s="22" t="s">
        <v>175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251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2" t="s">
        <v>142</v>
      </c>
      <c r="AD47" s="25"/>
      <c r="AE47" s="25"/>
      <c r="AF47" s="25"/>
      <c r="AG47" s="26"/>
      <c r="AH47" s="22"/>
      <c r="AI47" s="26"/>
      <c r="AJ47" s="22" t="s">
        <v>83</v>
      </c>
      <c r="AK47" s="25"/>
      <c r="AL47" s="26"/>
      <c r="AM47" s="22" t="s">
        <v>85</v>
      </c>
      <c r="AN47" s="25"/>
      <c r="AO47" s="25"/>
      <c r="AP47" s="25"/>
      <c r="AQ47" s="25"/>
      <c r="AR47" s="25"/>
      <c r="AS47" s="26"/>
      <c r="AT47" s="68" t="s">
        <v>190</v>
      </c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70"/>
      <c r="BK47" s="4"/>
    </row>
    <row r="48" spans="1:63" ht="15" customHeight="1">
      <c r="A48" s="1"/>
      <c r="B48" s="23">
        <f t="shared" si="0"/>
        <v>29</v>
      </c>
      <c r="C48" s="78"/>
      <c r="D48" s="22" t="s">
        <v>176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252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2" t="s">
        <v>142</v>
      </c>
      <c r="AD48" s="25"/>
      <c r="AE48" s="25"/>
      <c r="AF48" s="25"/>
      <c r="AG48" s="26"/>
      <c r="AH48" s="22"/>
      <c r="AI48" s="26"/>
      <c r="AJ48" s="22" t="s">
        <v>83</v>
      </c>
      <c r="AK48" s="25"/>
      <c r="AL48" s="26"/>
      <c r="AM48" s="22" t="s">
        <v>85</v>
      </c>
      <c r="AN48" s="25"/>
      <c r="AO48" s="25"/>
      <c r="AP48" s="25"/>
      <c r="AQ48" s="25"/>
      <c r="AR48" s="25"/>
      <c r="AS48" s="26"/>
      <c r="AT48" s="68" t="s">
        <v>190</v>
      </c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70"/>
      <c r="BK48" s="4"/>
    </row>
    <row r="49" spans="1:63" ht="15" customHeight="1">
      <c r="A49" s="1"/>
      <c r="B49" s="28">
        <f t="shared" si="0"/>
        <v>30</v>
      </c>
      <c r="C49" s="79"/>
      <c r="D49" s="30" t="s">
        <v>177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2"/>
      <c r="R49" s="30" t="s">
        <v>253</v>
      </c>
      <c r="S49" s="31"/>
      <c r="T49" s="31"/>
      <c r="U49" s="31"/>
      <c r="V49" s="31"/>
      <c r="W49" s="31"/>
      <c r="X49" s="31"/>
      <c r="Y49" s="31"/>
      <c r="Z49" s="31"/>
      <c r="AA49" s="31"/>
      <c r="AB49" s="32"/>
      <c r="AC49" s="30" t="s">
        <v>142</v>
      </c>
      <c r="AD49" s="31"/>
      <c r="AE49" s="31"/>
      <c r="AF49" s="31"/>
      <c r="AG49" s="32"/>
      <c r="AH49" s="30"/>
      <c r="AI49" s="32"/>
      <c r="AJ49" s="30" t="s">
        <v>83</v>
      </c>
      <c r="AK49" s="31"/>
      <c r="AL49" s="32"/>
      <c r="AM49" s="30" t="s">
        <v>85</v>
      </c>
      <c r="AN49" s="31"/>
      <c r="AO49" s="31"/>
      <c r="AP49" s="31"/>
      <c r="AQ49" s="31"/>
      <c r="AR49" s="31"/>
      <c r="AS49" s="32"/>
      <c r="AT49" s="80" t="s">
        <v>190</v>
      </c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2"/>
      <c r="BK49" s="4"/>
    </row>
    <row r="50" spans="1:63" ht="15" customHeight="1">
      <c r="A50" s="1"/>
      <c r="B50" s="62">
        <f t="shared" si="0"/>
        <v>31</v>
      </c>
      <c r="C50" s="63"/>
      <c r="D50" s="21" t="s">
        <v>178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5"/>
      <c r="R50" s="21" t="s">
        <v>255</v>
      </c>
      <c r="S50" s="64"/>
      <c r="T50" s="64"/>
      <c r="U50" s="64"/>
      <c r="V50" s="64"/>
      <c r="W50" s="64"/>
      <c r="X50" s="64"/>
      <c r="Y50" s="64"/>
      <c r="Z50" s="64"/>
      <c r="AA50" s="64"/>
      <c r="AB50" s="65"/>
      <c r="AC50" s="21" t="s">
        <v>142</v>
      </c>
      <c r="AD50" s="64"/>
      <c r="AE50" s="64"/>
      <c r="AF50" s="64"/>
      <c r="AG50" s="65"/>
      <c r="AH50" s="21"/>
      <c r="AI50" s="65"/>
      <c r="AJ50" s="21" t="s">
        <v>83</v>
      </c>
      <c r="AK50" s="64"/>
      <c r="AL50" s="65"/>
      <c r="AM50" s="102" t="s">
        <v>191</v>
      </c>
      <c r="AN50" s="103"/>
      <c r="AO50" s="103"/>
      <c r="AP50" s="103"/>
      <c r="AQ50" s="103"/>
      <c r="AR50" s="103"/>
      <c r="AS50" s="104"/>
      <c r="AT50" s="64" t="s">
        <v>205</v>
      </c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5"/>
      <c r="BK50" s="4"/>
    </row>
    <row r="51" spans="1:63" ht="15" customHeight="1">
      <c r="A51" s="1"/>
      <c r="B51" s="23">
        <f t="shared" si="0"/>
        <v>32</v>
      </c>
      <c r="C51" s="24"/>
      <c r="D51" s="22" t="s">
        <v>179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  <c r="R51" s="22" t="s">
        <v>256</v>
      </c>
      <c r="S51" s="25"/>
      <c r="T51" s="25"/>
      <c r="U51" s="25"/>
      <c r="V51" s="25"/>
      <c r="W51" s="25"/>
      <c r="X51" s="25"/>
      <c r="Y51" s="25"/>
      <c r="Z51" s="25"/>
      <c r="AA51" s="25"/>
      <c r="AB51" s="26"/>
      <c r="AC51" s="22" t="s">
        <v>142</v>
      </c>
      <c r="AD51" s="25"/>
      <c r="AE51" s="25"/>
      <c r="AF51" s="25"/>
      <c r="AG51" s="26"/>
      <c r="AH51" s="22"/>
      <c r="AI51" s="26"/>
      <c r="AJ51" s="22" t="s">
        <v>83</v>
      </c>
      <c r="AK51" s="25"/>
      <c r="AL51" s="26"/>
      <c r="AM51" s="22" t="s">
        <v>85</v>
      </c>
      <c r="AN51" s="25"/>
      <c r="AO51" s="25"/>
      <c r="AP51" s="25"/>
      <c r="AQ51" s="25"/>
      <c r="AR51" s="25"/>
      <c r="AS51" s="26"/>
      <c r="AT51" s="25" t="s">
        <v>190</v>
      </c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6"/>
      <c r="BK51" s="4"/>
    </row>
    <row r="52" spans="1:63" ht="15" customHeight="1">
      <c r="A52" s="1"/>
      <c r="B52" s="23">
        <f t="shared" si="0"/>
        <v>33</v>
      </c>
      <c r="C52" s="24"/>
      <c r="D52" s="22" t="s">
        <v>180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2" t="s">
        <v>257</v>
      </c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2" t="s">
        <v>142</v>
      </c>
      <c r="AD52" s="25"/>
      <c r="AE52" s="25"/>
      <c r="AF52" s="25"/>
      <c r="AG52" s="26"/>
      <c r="AH52" s="22"/>
      <c r="AI52" s="26"/>
      <c r="AJ52" s="22" t="s">
        <v>83</v>
      </c>
      <c r="AK52" s="25"/>
      <c r="AL52" s="26"/>
      <c r="AM52" s="22" t="s">
        <v>85</v>
      </c>
      <c r="AN52" s="25"/>
      <c r="AO52" s="25"/>
      <c r="AP52" s="25"/>
      <c r="AQ52" s="25"/>
      <c r="AR52" s="25"/>
      <c r="AS52" s="26"/>
      <c r="AT52" s="25" t="s">
        <v>190</v>
      </c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4"/>
    </row>
    <row r="53" spans="1:63" ht="15" customHeight="1">
      <c r="A53" s="1"/>
      <c r="B53" s="23">
        <f t="shared" si="0"/>
        <v>34</v>
      </c>
      <c r="C53" s="24"/>
      <c r="D53" s="22" t="s">
        <v>181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2" t="s">
        <v>258</v>
      </c>
      <c r="S53" s="25"/>
      <c r="T53" s="25"/>
      <c r="U53" s="25"/>
      <c r="V53" s="25"/>
      <c r="W53" s="25"/>
      <c r="X53" s="25"/>
      <c r="Y53" s="25"/>
      <c r="Z53" s="25"/>
      <c r="AA53" s="25"/>
      <c r="AB53" s="26"/>
      <c r="AC53" s="22" t="s">
        <v>142</v>
      </c>
      <c r="AD53" s="25"/>
      <c r="AE53" s="25"/>
      <c r="AF53" s="25"/>
      <c r="AG53" s="26"/>
      <c r="AH53" s="22"/>
      <c r="AI53" s="26"/>
      <c r="AJ53" s="22" t="s">
        <v>83</v>
      </c>
      <c r="AK53" s="25"/>
      <c r="AL53" s="26"/>
      <c r="AM53" s="22" t="s">
        <v>85</v>
      </c>
      <c r="AN53" s="25"/>
      <c r="AO53" s="25"/>
      <c r="AP53" s="25"/>
      <c r="AQ53" s="25"/>
      <c r="AR53" s="25"/>
      <c r="AS53" s="26"/>
      <c r="AT53" s="25" t="s">
        <v>190</v>
      </c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4"/>
    </row>
    <row r="54" spans="1:63" ht="15" customHeight="1">
      <c r="A54" s="1"/>
      <c r="B54" s="23">
        <f t="shared" si="0"/>
        <v>35</v>
      </c>
      <c r="C54" s="24"/>
      <c r="D54" s="22" t="s">
        <v>182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259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2" t="s">
        <v>142</v>
      </c>
      <c r="AD54" s="25"/>
      <c r="AE54" s="25"/>
      <c r="AF54" s="25"/>
      <c r="AG54" s="26"/>
      <c r="AH54" s="22"/>
      <c r="AI54" s="26"/>
      <c r="AJ54" s="22" t="s">
        <v>83</v>
      </c>
      <c r="AK54" s="25"/>
      <c r="AL54" s="26"/>
      <c r="AM54" s="22" t="s">
        <v>85</v>
      </c>
      <c r="AN54" s="25"/>
      <c r="AO54" s="25"/>
      <c r="AP54" s="25"/>
      <c r="AQ54" s="25"/>
      <c r="AR54" s="25"/>
      <c r="AS54" s="26"/>
      <c r="AT54" s="25" t="s">
        <v>190</v>
      </c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4"/>
    </row>
    <row r="55" spans="1:63" ht="15" customHeight="1">
      <c r="A55" s="1"/>
      <c r="B55" s="23">
        <f t="shared" si="0"/>
        <v>36</v>
      </c>
      <c r="C55" s="24"/>
      <c r="D55" s="22" t="s">
        <v>183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2" t="s">
        <v>260</v>
      </c>
      <c r="S55" s="25"/>
      <c r="T55" s="25"/>
      <c r="U55" s="25"/>
      <c r="V55" s="25"/>
      <c r="W55" s="25"/>
      <c r="X55" s="25"/>
      <c r="Y55" s="25"/>
      <c r="Z55" s="25"/>
      <c r="AA55" s="25"/>
      <c r="AB55" s="26"/>
      <c r="AC55" s="22" t="s">
        <v>142</v>
      </c>
      <c r="AD55" s="25"/>
      <c r="AE55" s="25"/>
      <c r="AF55" s="25"/>
      <c r="AG55" s="26"/>
      <c r="AH55" s="22"/>
      <c r="AI55" s="26"/>
      <c r="AJ55" s="22" t="s">
        <v>83</v>
      </c>
      <c r="AK55" s="25"/>
      <c r="AL55" s="26"/>
      <c r="AM55" s="22" t="s">
        <v>85</v>
      </c>
      <c r="AN55" s="25"/>
      <c r="AO55" s="25"/>
      <c r="AP55" s="25"/>
      <c r="AQ55" s="25"/>
      <c r="AR55" s="25"/>
      <c r="AS55" s="26"/>
      <c r="AT55" s="25" t="s">
        <v>190</v>
      </c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4"/>
    </row>
    <row r="56" spans="1:63" ht="15" customHeight="1">
      <c r="A56" s="1"/>
      <c r="B56" s="23">
        <f t="shared" si="0"/>
        <v>37</v>
      </c>
      <c r="C56" s="24"/>
      <c r="D56" s="22" t="s">
        <v>184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2" t="s">
        <v>261</v>
      </c>
      <c r="S56" s="25"/>
      <c r="T56" s="25"/>
      <c r="U56" s="25"/>
      <c r="V56" s="25"/>
      <c r="W56" s="25"/>
      <c r="X56" s="25"/>
      <c r="Y56" s="25"/>
      <c r="Z56" s="25"/>
      <c r="AA56" s="25"/>
      <c r="AB56" s="26"/>
      <c r="AC56" s="22" t="s">
        <v>142</v>
      </c>
      <c r="AD56" s="25"/>
      <c r="AE56" s="25"/>
      <c r="AF56" s="25"/>
      <c r="AG56" s="26"/>
      <c r="AH56" s="22"/>
      <c r="AI56" s="26"/>
      <c r="AJ56" s="22" t="s">
        <v>83</v>
      </c>
      <c r="AK56" s="25"/>
      <c r="AL56" s="26"/>
      <c r="AM56" s="22" t="s">
        <v>85</v>
      </c>
      <c r="AN56" s="25"/>
      <c r="AO56" s="25"/>
      <c r="AP56" s="25"/>
      <c r="AQ56" s="25"/>
      <c r="AR56" s="25"/>
      <c r="AS56" s="26"/>
      <c r="AT56" s="25" t="s">
        <v>190</v>
      </c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4"/>
    </row>
    <row r="57" spans="1:63" ht="15" customHeight="1">
      <c r="A57" s="1"/>
      <c r="B57" s="23">
        <f t="shared" si="0"/>
        <v>38</v>
      </c>
      <c r="C57" s="24"/>
      <c r="D57" s="22" t="s">
        <v>185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2" t="s">
        <v>262</v>
      </c>
      <c r="S57" s="25"/>
      <c r="T57" s="25"/>
      <c r="U57" s="25"/>
      <c r="V57" s="25"/>
      <c r="W57" s="25"/>
      <c r="X57" s="25"/>
      <c r="Y57" s="25"/>
      <c r="Z57" s="25"/>
      <c r="AA57" s="25"/>
      <c r="AB57" s="26"/>
      <c r="AC57" s="22" t="s">
        <v>142</v>
      </c>
      <c r="AD57" s="25"/>
      <c r="AE57" s="25"/>
      <c r="AF57" s="25"/>
      <c r="AG57" s="26"/>
      <c r="AH57" s="22"/>
      <c r="AI57" s="26"/>
      <c r="AJ57" s="22" t="s">
        <v>83</v>
      </c>
      <c r="AK57" s="25"/>
      <c r="AL57" s="26"/>
      <c r="AM57" s="22" t="s">
        <v>85</v>
      </c>
      <c r="AN57" s="25"/>
      <c r="AO57" s="25"/>
      <c r="AP57" s="25"/>
      <c r="AQ57" s="25"/>
      <c r="AR57" s="25"/>
      <c r="AS57" s="26"/>
      <c r="AT57" s="25" t="s">
        <v>190</v>
      </c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4"/>
    </row>
    <row r="58" spans="1:63" ht="15" customHeight="1">
      <c r="A58" s="1"/>
      <c r="B58" s="23">
        <f t="shared" si="0"/>
        <v>39</v>
      </c>
      <c r="C58" s="24"/>
      <c r="D58" s="22" t="s">
        <v>186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2" t="s">
        <v>263</v>
      </c>
      <c r="S58" s="25"/>
      <c r="T58" s="25"/>
      <c r="U58" s="25"/>
      <c r="V58" s="25"/>
      <c r="W58" s="25"/>
      <c r="X58" s="25"/>
      <c r="Y58" s="25"/>
      <c r="Z58" s="25"/>
      <c r="AA58" s="25"/>
      <c r="AB58" s="26"/>
      <c r="AC58" s="22" t="s">
        <v>142</v>
      </c>
      <c r="AD58" s="25"/>
      <c r="AE58" s="25"/>
      <c r="AF58" s="25"/>
      <c r="AG58" s="26"/>
      <c r="AH58" s="22"/>
      <c r="AI58" s="26"/>
      <c r="AJ58" s="22" t="s">
        <v>83</v>
      </c>
      <c r="AK58" s="25"/>
      <c r="AL58" s="26"/>
      <c r="AM58" s="22" t="s">
        <v>85</v>
      </c>
      <c r="AN58" s="25"/>
      <c r="AO58" s="25"/>
      <c r="AP58" s="25"/>
      <c r="AQ58" s="25"/>
      <c r="AR58" s="25"/>
      <c r="AS58" s="26"/>
      <c r="AT58" s="25" t="s">
        <v>190</v>
      </c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4"/>
    </row>
    <row r="59" spans="1:63" ht="15" customHeight="1">
      <c r="A59" s="1"/>
      <c r="B59" s="23">
        <f t="shared" si="0"/>
        <v>40</v>
      </c>
      <c r="C59" s="24"/>
      <c r="D59" s="22" t="s">
        <v>187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6"/>
      <c r="R59" s="22" t="s">
        <v>264</v>
      </c>
      <c r="S59" s="25"/>
      <c r="T59" s="25"/>
      <c r="U59" s="25"/>
      <c r="V59" s="25"/>
      <c r="W59" s="25"/>
      <c r="X59" s="25"/>
      <c r="Y59" s="25"/>
      <c r="Z59" s="25"/>
      <c r="AA59" s="25"/>
      <c r="AB59" s="26"/>
      <c r="AC59" s="22" t="s">
        <v>142</v>
      </c>
      <c r="AD59" s="25"/>
      <c r="AE59" s="25"/>
      <c r="AF59" s="25"/>
      <c r="AG59" s="26"/>
      <c r="AH59" s="22"/>
      <c r="AI59" s="26"/>
      <c r="AJ59" s="22" t="s">
        <v>83</v>
      </c>
      <c r="AK59" s="25"/>
      <c r="AL59" s="26"/>
      <c r="AM59" s="22" t="s">
        <v>85</v>
      </c>
      <c r="AN59" s="25"/>
      <c r="AO59" s="25"/>
      <c r="AP59" s="25"/>
      <c r="AQ59" s="25"/>
      <c r="AR59" s="25"/>
      <c r="AS59" s="26"/>
      <c r="AT59" s="25" t="s">
        <v>190</v>
      </c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6"/>
      <c r="BK59" s="4"/>
    </row>
    <row r="60" spans="1:63" ht="15" customHeight="1">
      <c r="A60" s="1"/>
      <c r="B60" s="23">
        <f t="shared" ref="B60" si="2">B59+1</f>
        <v>41</v>
      </c>
      <c r="C60" s="24"/>
      <c r="D60" s="22" t="s">
        <v>188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2" t="s">
        <v>265</v>
      </c>
      <c r="S60" s="25"/>
      <c r="T60" s="25"/>
      <c r="U60" s="25"/>
      <c r="V60" s="25"/>
      <c r="W60" s="25"/>
      <c r="X60" s="25"/>
      <c r="Y60" s="25"/>
      <c r="Z60" s="25"/>
      <c r="AA60" s="25"/>
      <c r="AB60" s="26"/>
      <c r="AC60" s="22" t="s">
        <v>142</v>
      </c>
      <c r="AD60" s="25"/>
      <c r="AE60" s="25"/>
      <c r="AF60" s="25"/>
      <c r="AG60" s="26"/>
      <c r="AH60" s="22"/>
      <c r="AI60" s="26"/>
      <c r="AJ60" s="22" t="s">
        <v>83</v>
      </c>
      <c r="AK60" s="25"/>
      <c r="AL60" s="26"/>
      <c r="AM60" s="22" t="s">
        <v>85</v>
      </c>
      <c r="AN60" s="25"/>
      <c r="AO60" s="25"/>
      <c r="AP60" s="25"/>
      <c r="AQ60" s="25"/>
      <c r="AR60" s="25"/>
      <c r="AS60" s="26"/>
      <c r="AT60" s="25" t="s">
        <v>190</v>
      </c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4"/>
    </row>
    <row r="61" spans="1:63" ht="15" customHeight="1">
      <c r="A61" s="1"/>
      <c r="B61" s="23">
        <f t="shared" ref="B61:B69" si="3">B60+1</f>
        <v>42</v>
      </c>
      <c r="C61" s="24"/>
      <c r="D61" s="22" t="s">
        <v>189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266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2" t="s">
        <v>142</v>
      </c>
      <c r="AD61" s="25"/>
      <c r="AE61" s="25"/>
      <c r="AF61" s="25"/>
      <c r="AG61" s="26"/>
      <c r="AH61" s="22"/>
      <c r="AI61" s="26"/>
      <c r="AJ61" s="22" t="s">
        <v>83</v>
      </c>
      <c r="AK61" s="25"/>
      <c r="AL61" s="26"/>
      <c r="AM61" s="22" t="s">
        <v>85</v>
      </c>
      <c r="AN61" s="25"/>
      <c r="AO61" s="25"/>
      <c r="AP61" s="25"/>
      <c r="AQ61" s="25"/>
      <c r="AR61" s="25"/>
      <c r="AS61" s="26"/>
      <c r="AT61" s="25" t="s">
        <v>190</v>
      </c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4"/>
    </row>
    <row r="62" spans="1:63" ht="15" customHeight="1">
      <c r="A62" s="1"/>
      <c r="B62" s="23">
        <f t="shared" si="3"/>
        <v>43</v>
      </c>
      <c r="C62" s="24"/>
      <c r="D62" s="22" t="s">
        <v>150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267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2" t="s">
        <v>142</v>
      </c>
      <c r="AD62" s="25"/>
      <c r="AE62" s="25"/>
      <c r="AF62" s="25"/>
      <c r="AG62" s="26"/>
      <c r="AH62" s="22"/>
      <c r="AI62" s="26"/>
      <c r="AJ62" s="22" t="s">
        <v>83</v>
      </c>
      <c r="AK62" s="25"/>
      <c r="AL62" s="26"/>
      <c r="AM62" s="22" t="s">
        <v>85</v>
      </c>
      <c r="AN62" s="25"/>
      <c r="AO62" s="25"/>
      <c r="AP62" s="25"/>
      <c r="AQ62" s="25"/>
      <c r="AR62" s="25"/>
      <c r="AS62" s="26"/>
      <c r="AT62" s="25" t="s">
        <v>190</v>
      </c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4"/>
    </row>
    <row r="63" spans="1:63" ht="15" customHeight="1">
      <c r="A63" s="1"/>
      <c r="B63" s="23">
        <f t="shared" si="3"/>
        <v>44</v>
      </c>
      <c r="C63" s="24"/>
      <c r="D63" s="22" t="s">
        <v>151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268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2" t="s">
        <v>142</v>
      </c>
      <c r="AD63" s="25"/>
      <c r="AE63" s="25"/>
      <c r="AF63" s="25"/>
      <c r="AG63" s="26"/>
      <c r="AH63" s="22"/>
      <c r="AI63" s="26"/>
      <c r="AJ63" s="22" t="s">
        <v>83</v>
      </c>
      <c r="AK63" s="25"/>
      <c r="AL63" s="26"/>
      <c r="AM63" s="22" t="s">
        <v>85</v>
      </c>
      <c r="AN63" s="25"/>
      <c r="AO63" s="25"/>
      <c r="AP63" s="25"/>
      <c r="AQ63" s="25"/>
      <c r="AR63" s="25"/>
      <c r="AS63" s="26"/>
      <c r="AT63" s="25" t="s">
        <v>190</v>
      </c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</row>
    <row r="64" spans="1:63" ht="15" customHeight="1">
      <c r="A64" s="1"/>
      <c r="B64" s="23">
        <f t="shared" si="3"/>
        <v>45</v>
      </c>
      <c r="C64" s="24"/>
      <c r="D64" s="22" t="s">
        <v>152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  <c r="R64" s="22" t="s">
        <v>269</v>
      </c>
      <c r="S64" s="25"/>
      <c r="T64" s="25"/>
      <c r="U64" s="25"/>
      <c r="V64" s="25"/>
      <c r="W64" s="25"/>
      <c r="X64" s="25"/>
      <c r="Y64" s="25"/>
      <c r="Z64" s="25"/>
      <c r="AA64" s="25"/>
      <c r="AB64" s="26"/>
      <c r="AC64" s="22" t="s">
        <v>142</v>
      </c>
      <c r="AD64" s="25"/>
      <c r="AE64" s="25"/>
      <c r="AF64" s="25"/>
      <c r="AG64" s="26"/>
      <c r="AH64" s="22"/>
      <c r="AI64" s="26"/>
      <c r="AJ64" s="22" t="s">
        <v>83</v>
      </c>
      <c r="AK64" s="25"/>
      <c r="AL64" s="26"/>
      <c r="AM64" s="22" t="s">
        <v>85</v>
      </c>
      <c r="AN64" s="25"/>
      <c r="AO64" s="25"/>
      <c r="AP64" s="25"/>
      <c r="AQ64" s="25"/>
      <c r="AR64" s="25"/>
      <c r="AS64" s="26"/>
      <c r="AT64" s="25" t="s">
        <v>190</v>
      </c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6"/>
      <c r="BK64" s="4"/>
    </row>
    <row r="65" spans="1:63" ht="15" customHeight="1">
      <c r="A65" s="1"/>
      <c r="B65" s="23">
        <f t="shared" si="3"/>
        <v>46</v>
      </c>
      <c r="C65" s="24"/>
      <c r="D65" s="22" t="s">
        <v>153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  <c r="R65" s="22" t="s">
        <v>270</v>
      </c>
      <c r="S65" s="25"/>
      <c r="T65" s="25"/>
      <c r="U65" s="25"/>
      <c r="V65" s="25"/>
      <c r="W65" s="25"/>
      <c r="X65" s="25"/>
      <c r="Y65" s="25"/>
      <c r="Z65" s="25"/>
      <c r="AA65" s="25"/>
      <c r="AB65" s="26"/>
      <c r="AC65" s="22" t="s">
        <v>142</v>
      </c>
      <c r="AD65" s="25"/>
      <c r="AE65" s="25"/>
      <c r="AF65" s="25"/>
      <c r="AG65" s="26"/>
      <c r="AH65" s="22"/>
      <c r="AI65" s="26"/>
      <c r="AJ65" s="22" t="s">
        <v>83</v>
      </c>
      <c r="AK65" s="25"/>
      <c r="AL65" s="26"/>
      <c r="AM65" s="22" t="s">
        <v>85</v>
      </c>
      <c r="AN65" s="25"/>
      <c r="AO65" s="25"/>
      <c r="AP65" s="25"/>
      <c r="AQ65" s="25"/>
      <c r="AR65" s="25"/>
      <c r="AS65" s="26"/>
      <c r="AT65" s="25" t="s">
        <v>190</v>
      </c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6"/>
      <c r="BK65" s="4"/>
    </row>
    <row r="66" spans="1:63" ht="15" customHeight="1">
      <c r="A66" s="1"/>
      <c r="B66" s="23">
        <f t="shared" si="3"/>
        <v>47</v>
      </c>
      <c r="C66" s="24"/>
      <c r="D66" s="22" t="s">
        <v>154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2" t="s">
        <v>271</v>
      </c>
      <c r="S66" s="25"/>
      <c r="T66" s="25"/>
      <c r="U66" s="25"/>
      <c r="V66" s="25"/>
      <c r="W66" s="25"/>
      <c r="X66" s="25"/>
      <c r="Y66" s="25"/>
      <c r="Z66" s="25"/>
      <c r="AA66" s="25"/>
      <c r="AB66" s="26"/>
      <c r="AC66" s="22" t="s">
        <v>142</v>
      </c>
      <c r="AD66" s="25"/>
      <c r="AE66" s="25"/>
      <c r="AF66" s="25"/>
      <c r="AG66" s="26"/>
      <c r="AH66" s="22"/>
      <c r="AI66" s="26"/>
      <c r="AJ66" s="22" t="s">
        <v>83</v>
      </c>
      <c r="AK66" s="25"/>
      <c r="AL66" s="26"/>
      <c r="AM66" s="22" t="s">
        <v>85</v>
      </c>
      <c r="AN66" s="25"/>
      <c r="AO66" s="25"/>
      <c r="AP66" s="25"/>
      <c r="AQ66" s="25"/>
      <c r="AR66" s="25"/>
      <c r="AS66" s="26"/>
      <c r="AT66" s="25" t="s">
        <v>190</v>
      </c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6"/>
      <c r="BK66" s="4"/>
    </row>
    <row r="67" spans="1:63" ht="15" customHeight="1">
      <c r="A67" s="1"/>
      <c r="B67" s="23">
        <f t="shared" si="3"/>
        <v>48</v>
      </c>
      <c r="C67" s="24"/>
      <c r="D67" s="22" t="s">
        <v>155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  <c r="R67" s="22" t="s">
        <v>272</v>
      </c>
      <c r="S67" s="25"/>
      <c r="T67" s="25"/>
      <c r="U67" s="25"/>
      <c r="V67" s="25"/>
      <c r="W67" s="25"/>
      <c r="X67" s="25"/>
      <c r="Y67" s="25"/>
      <c r="Z67" s="25"/>
      <c r="AA67" s="25"/>
      <c r="AB67" s="26"/>
      <c r="AC67" s="22" t="s">
        <v>142</v>
      </c>
      <c r="AD67" s="25"/>
      <c r="AE67" s="25"/>
      <c r="AF67" s="25"/>
      <c r="AG67" s="26"/>
      <c r="AH67" s="22"/>
      <c r="AI67" s="26"/>
      <c r="AJ67" s="22" t="s">
        <v>83</v>
      </c>
      <c r="AK67" s="25"/>
      <c r="AL67" s="26"/>
      <c r="AM67" s="22" t="s">
        <v>85</v>
      </c>
      <c r="AN67" s="25"/>
      <c r="AO67" s="25"/>
      <c r="AP67" s="25"/>
      <c r="AQ67" s="25"/>
      <c r="AR67" s="25"/>
      <c r="AS67" s="26"/>
      <c r="AT67" s="25" t="s">
        <v>190</v>
      </c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6"/>
      <c r="BK67" s="4"/>
    </row>
    <row r="68" spans="1:63" ht="15" customHeight="1">
      <c r="A68" s="1"/>
      <c r="B68" s="23">
        <f t="shared" si="3"/>
        <v>49</v>
      </c>
      <c r="C68" s="24"/>
      <c r="D68" s="22" t="s">
        <v>156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2" t="s">
        <v>273</v>
      </c>
      <c r="S68" s="25"/>
      <c r="T68" s="25"/>
      <c r="U68" s="25"/>
      <c r="V68" s="25"/>
      <c r="W68" s="25"/>
      <c r="X68" s="25"/>
      <c r="Y68" s="25"/>
      <c r="Z68" s="25"/>
      <c r="AA68" s="25"/>
      <c r="AB68" s="26"/>
      <c r="AC68" s="22" t="s">
        <v>142</v>
      </c>
      <c r="AD68" s="25"/>
      <c r="AE68" s="25"/>
      <c r="AF68" s="25"/>
      <c r="AG68" s="26"/>
      <c r="AH68" s="22"/>
      <c r="AI68" s="26"/>
      <c r="AJ68" s="22" t="s">
        <v>83</v>
      </c>
      <c r="AK68" s="25"/>
      <c r="AL68" s="26"/>
      <c r="AM68" s="22" t="s">
        <v>85</v>
      </c>
      <c r="AN68" s="25"/>
      <c r="AO68" s="25"/>
      <c r="AP68" s="25"/>
      <c r="AQ68" s="25"/>
      <c r="AR68" s="25"/>
      <c r="AS68" s="26"/>
      <c r="AT68" s="25" t="s">
        <v>190</v>
      </c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6"/>
      <c r="BK68" s="4"/>
    </row>
    <row r="69" spans="1:63" ht="15" customHeight="1">
      <c r="A69" s="1"/>
      <c r="B69" s="28">
        <f t="shared" si="3"/>
        <v>50</v>
      </c>
      <c r="C69" s="29"/>
      <c r="D69" s="30" t="s">
        <v>157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  <c r="R69" s="30" t="s">
        <v>274</v>
      </c>
      <c r="S69" s="31"/>
      <c r="T69" s="31"/>
      <c r="U69" s="31"/>
      <c r="V69" s="31"/>
      <c r="W69" s="31"/>
      <c r="X69" s="31"/>
      <c r="Y69" s="31"/>
      <c r="Z69" s="31"/>
      <c r="AA69" s="31"/>
      <c r="AB69" s="32"/>
      <c r="AC69" s="30" t="s">
        <v>142</v>
      </c>
      <c r="AD69" s="31"/>
      <c r="AE69" s="31"/>
      <c r="AF69" s="31"/>
      <c r="AG69" s="32"/>
      <c r="AH69" s="30"/>
      <c r="AI69" s="32"/>
      <c r="AJ69" s="30" t="s">
        <v>83</v>
      </c>
      <c r="AK69" s="31"/>
      <c r="AL69" s="32"/>
      <c r="AM69" s="30" t="s">
        <v>85</v>
      </c>
      <c r="AN69" s="31"/>
      <c r="AO69" s="31"/>
      <c r="AP69" s="31"/>
      <c r="AQ69" s="31"/>
      <c r="AR69" s="31"/>
      <c r="AS69" s="32"/>
      <c r="AT69" s="31" t="s">
        <v>190</v>
      </c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2"/>
      <c r="BK69" s="4"/>
    </row>
    <row r="70" spans="1:63" ht="15" customHeight="1">
      <c r="A70" s="1"/>
      <c r="BK70" s="4"/>
    </row>
    <row r="71" spans="1:63" ht="15" customHeight="1">
      <c r="A71" s="1"/>
      <c r="B71" s="37" t="s">
        <v>50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4"/>
    </row>
    <row r="72" spans="1:63" ht="15" customHeight="1">
      <c r="A72" s="1"/>
      <c r="B72" s="34" t="s">
        <v>51</v>
      </c>
      <c r="C72" s="35"/>
      <c r="D72" s="34" t="s">
        <v>52</v>
      </c>
      <c r="E72" s="44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5"/>
      <c r="R72" s="34" t="s">
        <v>53</v>
      </c>
      <c r="S72" s="44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5"/>
      <c r="AL72" s="34" t="s">
        <v>54</v>
      </c>
      <c r="AM72" s="36"/>
      <c r="AN72" s="36"/>
      <c r="AO72" s="45"/>
      <c r="AP72" s="34" t="s">
        <v>55</v>
      </c>
      <c r="AQ72" s="36"/>
      <c r="AR72" s="36"/>
      <c r="AS72" s="35"/>
      <c r="AT72" s="34" t="s">
        <v>49</v>
      </c>
      <c r="AU72" s="44"/>
      <c r="AV72" s="44"/>
      <c r="AW72" s="36"/>
      <c r="AX72" s="36"/>
      <c r="AY72" s="44"/>
      <c r="AZ72" s="36"/>
      <c r="BA72" s="36"/>
      <c r="BB72" s="36"/>
      <c r="BC72" s="36"/>
      <c r="BD72" s="36"/>
      <c r="BE72" s="36"/>
      <c r="BF72" s="36"/>
      <c r="BG72" s="36"/>
      <c r="BH72" s="36"/>
      <c r="BI72" s="44"/>
      <c r="BJ72" s="35"/>
      <c r="BK72" s="4"/>
    </row>
    <row r="73" spans="1:63" ht="15" customHeight="1">
      <c r="A73" s="1"/>
      <c r="B73" s="38">
        <v>1</v>
      </c>
      <c r="C73" s="39"/>
      <c r="D73" s="38" t="s">
        <v>56</v>
      </c>
      <c r="E73" s="46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39"/>
      <c r="R73" s="38" t="s">
        <v>192</v>
      </c>
      <c r="S73" s="46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39"/>
      <c r="AL73" s="38" t="s">
        <v>57</v>
      </c>
      <c r="AM73" s="40"/>
      <c r="AN73" s="40"/>
      <c r="AO73" s="47"/>
      <c r="AP73" s="38" t="s">
        <v>57</v>
      </c>
      <c r="AQ73" s="40"/>
      <c r="AR73" s="40"/>
      <c r="AS73" s="39"/>
      <c r="AT73" s="38"/>
      <c r="AU73" s="46"/>
      <c r="AV73" s="46"/>
      <c r="AW73" s="40"/>
      <c r="AX73" s="40"/>
      <c r="AY73" s="46"/>
      <c r="AZ73" s="40"/>
      <c r="BA73" s="40"/>
      <c r="BB73" s="40"/>
      <c r="BC73" s="40"/>
      <c r="BD73" s="40"/>
      <c r="BE73" s="40"/>
      <c r="BF73" s="40"/>
      <c r="BG73" s="40"/>
      <c r="BH73" s="40"/>
      <c r="BI73" s="46"/>
      <c r="BJ73" s="39"/>
      <c r="BK73" s="4"/>
    </row>
    <row r="74" spans="1:63" ht="15" customHeight="1">
      <c r="A74" s="1"/>
      <c r="BK74" s="4"/>
    </row>
    <row r="75" spans="1:63" ht="15" customHeight="1">
      <c r="A75" s="1"/>
      <c r="B75" s="37" t="s">
        <v>35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4"/>
    </row>
    <row r="76" spans="1:63" ht="15" customHeight="1">
      <c r="A76" s="1"/>
      <c r="B76" s="34" t="s">
        <v>36</v>
      </c>
      <c r="C76" s="45"/>
      <c r="D76" s="34" t="s">
        <v>37</v>
      </c>
      <c r="E76" s="44"/>
      <c r="F76" s="44"/>
      <c r="G76" s="44"/>
      <c r="H76" s="44"/>
      <c r="I76" s="44"/>
      <c r="J76" s="44"/>
      <c r="K76" s="44"/>
      <c r="L76" s="36"/>
      <c r="M76" s="36"/>
      <c r="N76" s="36"/>
      <c r="O76" s="36"/>
      <c r="P76" s="36"/>
      <c r="Q76" s="35"/>
      <c r="R76" s="34" t="s">
        <v>38</v>
      </c>
      <c r="S76" s="36"/>
      <c r="T76" s="45"/>
      <c r="U76" s="34" t="s">
        <v>39</v>
      </c>
      <c r="V76" s="36"/>
      <c r="W76" s="44"/>
      <c r="X76" s="45"/>
      <c r="Y76" s="34" t="s">
        <v>40</v>
      </c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5"/>
      <c r="BK76" s="4"/>
    </row>
    <row r="77" spans="1:63" ht="15" customHeight="1">
      <c r="A77" s="1"/>
      <c r="B77" s="41">
        <v>1</v>
      </c>
      <c r="C77" s="47"/>
      <c r="D77" s="41" t="str">
        <f>G10&amp;"_"&amp;R77&amp;"_"&amp;"trg"</f>
        <v>PosDeviceSetting_update_trg</v>
      </c>
      <c r="E77" s="46"/>
      <c r="F77" s="46"/>
      <c r="G77" s="46"/>
      <c r="H77" s="46"/>
      <c r="I77" s="46"/>
      <c r="J77" s="46"/>
      <c r="K77" s="46"/>
      <c r="L77" s="42"/>
      <c r="M77" s="42"/>
      <c r="N77" s="42"/>
      <c r="O77" s="42"/>
      <c r="P77" s="42"/>
      <c r="Q77" s="43"/>
      <c r="R77" s="41" t="s">
        <v>41</v>
      </c>
      <c r="S77" s="42"/>
      <c r="T77" s="47"/>
      <c r="U77" s="41" t="s">
        <v>42</v>
      </c>
      <c r="V77" s="42"/>
      <c r="W77" s="46"/>
      <c r="X77" s="47"/>
      <c r="Y77" s="41" t="s">
        <v>43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3"/>
      <c r="BK77" s="4"/>
    </row>
    <row r="78" spans="1:63" ht="15" customHeight="1">
      <c r="A78" s="1"/>
      <c r="BK78" s="4"/>
    </row>
    <row r="79" spans="1:63" ht="15" customHeight="1">
      <c r="A79" s="1"/>
      <c r="B79" t="s">
        <v>206</v>
      </c>
      <c r="BK79" s="4"/>
    </row>
    <row r="80" spans="1:63" ht="15" customHeight="1">
      <c r="A80" s="1"/>
      <c r="B80" s="285" t="s">
        <v>207</v>
      </c>
      <c r="C80" s="285"/>
      <c r="D80" s="285"/>
      <c r="E80" s="285"/>
      <c r="F80" s="285" t="s">
        <v>209</v>
      </c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2" t="s">
        <v>211</v>
      </c>
      <c r="AB80" s="282"/>
      <c r="AC80" s="282"/>
      <c r="AD80" s="282"/>
      <c r="AE80" s="282"/>
      <c r="AF80" s="282" t="s">
        <v>212</v>
      </c>
      <c r="AG80" s="282"/>
      <c r="AH80" s="282"/>
      <c r="AI80" s="282"/>
      <c r="AJ80" s="282"/>
      <c r="AL80" t="s">
        <v>283</v>
      </c>
      <c r="BK80" s="4"/>
    </row>
    <row r="81" spans="1:65" ht="15" customHeight="1">
      <c r="A81" s="1"/>
      <c r="B81" s="284" t="s">
        <v>208</v>
      </c>
      <c r="C81" s="284"/>
      <c r="D81" s="284"/>
      <c r="E81" s="284"/>
      <c r="F81" s="284" t="s">
        <v>210</v>
      </c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3" t="s">
        <v>213</v>
      </c>
      <c r="AB81" s="283"/>
      <c r="AC81" s="283"/>
      <c r="AD81" s="283"/>
      <c r="AE81" s="283"/>
      <c r="AF81" s="283" t="s">
        <v>214</v>
      </c>
      <c r="AG81" s="283"/>
      <c r="AH81" s="283"/>
      <c r="AI81" s="283"/>
      <c r="AJ81" s="283"/>
      <c r="AL81" t="s">
        <v>284</v>
      </c>
      <c r="BK81" s="4"/>
    </row>
    <row r="82" spans="1:65" ht="15" customHeight="1">
      <c r="A82" s="1"/>
      <c r="BK82" s="4"/>
    </row>
    <row r="83" spans="1:65" ht="15" customHeight="1">
      <c r="A83" s="1"/>
      <c r="B83" s="106" t="s">
        <v>285</v>
      </c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46"/>
      <c r="AN83" s="150" t="s">
        <v>282</v>
      </c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2"/>
      <c r="BI83" s="152"/>
      <c r="BJ83" s="153"/>
      <c r="BK83" s="4"/>
    </row>
    <row r="84" spans="1:65" ht="15" customHeight="1">
      <c r="A84" s="1"/>
      <c r="B84" s="105" t="s">
        <v>215</v>
      </c>
      <c r="C84" s="111"/>
      <c r="D84" s="111"/>
      <c r="E84" s="111"/>
      <c r="F84" s="111"/>
      <c r="G84" s="111"/>
      <c r="H84" s="111"/>
      <c r="I84" s="109" t="s">
        <v>216</v>
      </c>
      <c r="J84" s="111"/>
      <c r="K84" s="111"/>
      <c r="L84" s="109" t="s">
        <v>217</v>
      </c>
      <c r="M84" s="108"/>
      <c r="N84" s="108"/>
      <c r="O84" s="110" t="s">
        <v>219</v>
      </c>
      <c r="P84" s="108"/>
      <c r="Q84" s="111"/>
      <c r="R84" s="109" t="s">
        <v>218</v>
      </c>
      <c r="S84" s="108"/>
      <c r="T84" s="108"/>
      <c r="U84" s="111"/>
      <c r="V84" s="147"/>
      <c r="W84" s="147"/>
      <c r="X84" s="111"/>
      <c r="Y84" s="111"/>
      <c r="Z84" s="111"/>
      <c r="AA84" s="111"/>
      <c r="AB84" s="109" t="s">
        <v>220</v>
      </c>
      <c r="AC84" s="111"/>
      <c r="AD84" s="111"/>
      <c r="AE84" s="111"/>
      <c r="AF84" s="147"/>
      <c r="AG84" s="147"/>
      <c r="AH84" s="147"/>
      <c r="AI84" s="111"/>
      <c r="AJ84" s="111"/>
      <c r="AK84" s="111"/>
      <c r="AL84" s="111"/>
      <c r="AM84" s="148"/>
      <c r="AN84" s="154"/>
      <c r="AO84" s="155"/>
      <c r="AP84" s="156"/>
      <c r="AQ84" s="155"/>
      <c r="AR84" s="155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155"/>
      <c r="BH84" s="155"/>
      <c r="BI84" s="155"/>
      <c r="BJ84" s="157"/>
      <c r="BM84" s="4"/>
    </row>
    <row r="85" spans="1:65" ht="15" customHeight="1">
      <c r="A85" s="1"/>
      <c r="B85" s="112"/>
      <c r="C85" s="113"/>
      <c r="D85" s="113"/>
      <c r="E85" s="113"/>
      <c r="F85" s="113"/>
      <c r="G85" s="113"/>
      <c r="H85" s="128"/>
      <c r="I85" s="114"/>
      <c r="J85" s="113"/>
      <c r="K85" s="128"/>
      <c r="L85" s="115"/>
      <c r="M85" s="113"/>
      <c r="N85" s="128"/>
      <c r="O85" s="116"/>
      <c r="P85" s="113"/>
      <c r="Q85" s="128"/>
      <c r="R85" s="114"/>
      <c r="S85" s="113"/>
      <c r="T85" s="113"/>
      <c r="U85" s="113"/>
      <c r="V85" s="87"/>
      <c r="W85" s="87"/>
      <c r="X85" s="117"/>
      <c r="Y85" s="117"/>
      <c r="Z85" s="117"/>
      <c r="AA85" s="134"/>
      <c r="AB85" s="137" t="s">
        <v>226</v>
      </c>
      <c r="AC85" s="138"/>
      <c r="AD85" s="138"/>
      <c r="AE85" s="138"/>
      <c r="AF85" s="139"/>
      <c r="AG85" s="139"/>
      <c r="AH85" s="139"/>
      <c r="AI85" s="138"/>
      <c r="AJ85" s="138"/>
      <c r="AK85" s="138"/>
      <c r="AL85" s="138"/>
      <c r="AM85" s="140"/>
      <c r="AN85" s="158" t="s">
        <v>286</v>
      </c>
      <c r="AO85" s="161"/>
      <c r="AP85" s="139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62"/>
      <c r="BC85" s="162"/>
      <c r="BD85" s="162"/>
      <c r="BE85" s="162"/>
      <c r="BF85" s="162"/>
      <c r="BG85" s="162"/>
      <c r="BH85" s="162"/>
      <c r="BI85" s="162"/>
      <c r="BJ85" s="140"/>
      <c r="BM85" s="4"/>
    </row>
    <row r="86" spans="1:65" ht="15" customHeight="1">
      <c r="A86" s="1"/>
      <c r="B86" s="119" t="s">
        <v>221</v>
      </c>
      <c r="C86" s="120"/>
      <c r="D86" s="120"/>
      <c r="E86" s="120"/>
      <c r="F86" s="120"/>
      <c r="G86" s="120"/>
      <c r="H86" s="129"/>
      <c r="I86" s="121" t="s">
        <v>222</v>
      </c>
      <c r="J86" s="120"/>
      <c r="K86" s="129"/>
      <c r="L86" s="136" t="s">
        <v>223</v>
      </c>
      <c r="M86" s="120"/>
      <c r="N86" s="129"/>
      <c r="O86" s="123" t="s">
        <v>225</v>
      </c>
      <c r="P86" s="120"/>
      <c r="Q86" s="129"/>
      <c r="R86" s="121" t="s">
        <v>224</v>
      </c>
      <c r="S86" s="120"/>
      <c r="T86" s="120"/>
      <c r="U86" s="120"/>
      <c r="V86" s="69"/>
      <c r="W86" s="69"/>
      <c r="X86" s="124"/>
      <c r="Y86" s="124"/>
      <c r="Z86" s="124"/>
      <c r="AA86" s="135"/>
      <c r="AB86" s="141" t="str">
        <f>"  """&amp;B86&amp;": ""300"","""</f>
        <v xml:space="preserve">  "company_code: "300","</v>
      </c>
      <c r="AC86" s="142"/>
      <c r="AD86" s="142"/>
      <c r="AE86" s="142"/>
      <c r="AF86" s="33"/>
      <c r="AG86" s="33"/>
      <c r="AH86" s="33"/>
      <c r="AI86" s="142"/>
      <c r="AJ86" s="142"/>
      <c r="AK86" s="142"/>
      <c r="AL86" s="142"/>
      <c r="AM86" s="85"/>
      <c r="AN86" s="159"/>
      <c r="AO86" s="163"/>
      <c r="AP86" s="33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85"/>
      <c r="BM86" s="4"/>
    </row>
    <row r="87" spans="1:65" ht="15" customHeight="1">
      <c r="A87" s="1"/>
      <c r="B87" s="119" t="s">
        <v>227</v>
      </c>
      <c r="C87" s="120"/>
      <c r="D87" s="120"/>
      <c r="E87" s="120"/>
      <c r="F87" s="120"/>
      <c r="G87" s="120"/>
      <c r="H87" s="129"/>
      <c r="I87" s="121" t="s">
        <v>222</v>
      </c>
      <c r="J87" s="120"/>
      <c r="K87" s="129"/>
      <c r="L87" s="122" t="s">
        <v>223</v>
      </c>
      <c r="M87" s="120"/>
      <c r="N87" s="129"/>
      <c r="O87" s="123" t="s">
        <v>225</v>
      </c>
      <c r="P87" s="120"/>
      <c r="Q87" s="129"/>
      <c r="R87" s="121" t="s">
        <v>228</v>
      </c>
      <c r="S87" s="120"/>
      <c r="T87" s="120"/>
      <c r="U87" s="120"/>
      <c r="V87" s="69"/>
      <c r="W87" s="69"/>
      <c r="X87" s="124"/>
      <c r="Y87" s="124"/>
      <c r="Z87" s="124"/>
      <c r="AA87" s="135"/>
      <c r="AB87" s="141" t="str">
        <f>"  """&amp;B87&amp;": ""048405"","""</f>
        <v xml:space="preserve">  "store_code: "048405","</v>
      </c>
      <c r="AC87" s="142"/>
      <c r="AD87" s="142"/>
      <c r="AE87" s="142"/>
      <c r="AF87" s="33"/>
      <c r="AG87" s="33"/>
      <c r="AH87" s="33"/>
      <c r="AI87" s="142"/>
      <c r="AJ87" s="142"/>
      <c r="AK87" s="142"/>
      <c r="AL87" s="142"/>
      <c r="AM87" s="85"/>
      <c r="AN87" s="159"/>
      <c r="AO87" s="163"/>
      <c r="AP87" s="33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85"/>
      <c r="BM87" s="4"/>
    </row>
    <row r="88" spans="1:65" ht="15" customHeight="1">
      <c r="A88" s="2"/>
      <c r="B88" s="119" t="s">
        <v>229</v>
      </c>
      <c r="C88" s="120"/>
      <c r="D88" s="120"/>
      <c r="E88" s="120"/>
      <c r="F88" s="120"/>
      <c r="G88" s="120"/>
      <c r="H88" s="129"/>
      <c r="I88" s="121" t="s">
        <v>222</v>
      </c>
      <c r="J88" s="120"/>
      <c r="K88" s="129"/>
      <c r="L88" s="122" t="s">
        <v>223</v>
      </c>
      <c r="M88" s="120"/>
      <c r="N88" s="129"/>
      <c r="O88" s="123" t="s">
        <v>225</v>
      </c>
      <c r="P88" s="120"/>
      <c r="Q88" s="129"/>
      <c r="R88" s="121" t="s">
        <v>230</v>
      </c>
      <c r="S88" s="120"/>
      <c r="T88" s="120"/>
      <c r="U88" s="120"/>
      <c r="V88" s="69"/>
      <c r="W88" s="69"/>
      <c r="X88" s="124"/>
      <c r="Y88" s="124"/>
      <c r="Z88" s="124"/>
      <c r="AA88" s="135"/>
      <c r="AB88" s="141" t="str">
        <f>"  """&amp;B88&amp;": ""901"","""</f>
        <v xml:space="preserve">  "instore_code: "901","</v>
      </c>
      <c r="AC88" s="142"/>
      <c r="AD88" s="142"/>
      <c r="AE88" s="142"/>
      <c r="AF88" s="33"/>
      <c r="AG88" s="33"/>
      <c r="AH88" s="33"/>
      <c r="AI88" s="142"/>
      <c r="AJ88" s="142"/>
      <c r="AK88" s="142"/>
      <c r="AL88" s="142"/>
      <c r="AM88" s="85"/>
      <c r="AN88" s="150" t="s">
        <v>287</v>
      </c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2"/>
      <c r="BI88" s="152"/>
      <c r="BJ88" s="153"/>
      <c r="BK88" s="3"/>
      <c r="BL88" s="3"/>
      <c r="BM88" s="5"/>
    </row>
    <row r="89" spans="1:65" ht="16.5">
      <c r="B89" s="119" t="s">
        <v>279</v>
      </c>
      <c r="C89" s="120"/>
      <c r="D89" s="120"/>
      <c r="E89" s="120"/>
      <c r="F89" s="120"/>
      <c r="G89" s="120"/>
      <c r="H89" s="129"/>
      <c r="I89" s="121" t="s">
        <v>222</v>
      </c>
      <c r="J89" s="120"/>
      <c r="K89" s="129"/>
      <c r="L89" s="122" t="s">
        <v>280</v>
      </c>
      <c r="M89" s="120"/>
      <c r="N89" s="129"/>
      <c r="O89" s="123"/>
      <c r="P89" s="120"/>
      <c r="Q89" s="129"/>
      <c r="R89" s="121" t="s">
        <v>97</v>
      </c>
      <c r="S89" s="120"/>
      <c r="T89" s="120"/>
      <c r="U89" s="120"/>
      <c r="V89" s="69"/>
      <c r="W89" s="69"/>
      <c r="X89" s="124"/>
      <c r="Y89" s="124"/>
      <c r="Z89" s="124"/>
      <c r="AA89" s="135"/>
      <c r="AB89" s="141" t="str">
        <f>"  """&amp;B89&amp;": false,"""</f>
        <v xml:space="preserve">  "RECORD_VOID_FLAG: false,"</v>
      </c>
      <c r="AC89" s="142"/>
      <c r="AD89" s="142"/>
      <c r="AE89" s="142"/>
      <c r="AF89" s="33"/>
      <c r="AG89" s="33"/>
      <c r="AH89" s="33"/>
      <c r="AI89" s="142"/>
      <c r="AJ89" s="142"/>
      <c r="AK89" s="142"/>
      <c r="AL89" s="142"/>
      <c r="AM89" s="85"/>
      <c r="AN89" s="154"/>
      <c r="AO89" s="155"/>
      <c r="AP89" s="156"/>
      <c r="AQ89" s="155"/>
      <c r="AR89" s="155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  <c r="BE89" s="155"/>
      <c r="BF89" s="155"/>
      <c r="BG89" s="155"/>
      <c r="BH89" s="155"/>
      <c r="BI89" s="155"/>
      <c r="BJ89" s="157"/>
    </row>
    <row r="90" spans="1:65" ht="16.5">
      <c r="B90" s="119" t="s">
        <v>144</v>
      </c>
      <c r="C90" s="120"/>
      <c r="D90" s="120"/>
      <c r="E90" s="120"/>
      <c r="F90" s="120"/>
      <c r="G90" s="120"/>
      <c r="H90" s="129"/>
      <c r="I90" s="121" t="s">
        <v>276</v>
      </c>
      <c r="J90" s="120"/>
      <c r="K90" s="129"/>
      <c r="L90" s="122"/>
      <c r="M90" s="120"/>
      <c r="N90" s="129"/>
      <c r="O90" s="123"/>
      <c r="P90" s="120"/>
      <c r="Q90" s="129"/>
      <c r="R90" s="121" t="s">
        <v>110</v>
      </c>
      <c r="S90" s="120"/>
      <c r="T90" s="120"/>
      <c r="U90" s="120"/>
      <c r="V90" s="69"/>
      <c r="W90" s="69"/>
      <c r="X90" s="124"/>
      <c r="Y90" s="124"/>
      <c r="Z90" s="124"/>
      <c r="AA90" s="135"/>
      <c r="AB90" s="141" t="str">
        <f>"  """&amp;B90&amp;": 9,"""</f>
        <v xml:space="preserve">  "class: 9,"</v>
      </c>
      <c r="AC90" s="142"/>
      <c r="AD90" s="142"/>
      <c r="AE90" s="142"/>
      <c r="AF90" s="33"/>
      <c r="AG90" s="33"/>
      <c r="AH90" s="33"/>
      <c r="AI90" s="142"/>
      <c r="AJ90" s="142"/>
      <c r="AK90" s="142"/>
      <c r="AL90" s="142"/>
      <c r="AM90" s="85"/>
      <c r="AN90" s="158" t="s">
        <v>288</v>
      </c>
      <c r="AO90" s="161"/>
      <c r="AP90" s="139"/>
      <c r="AQ90" s="162"/>
      <c r="AR90" s="162"/>
      <c r="AS90" s="166"/>
      <c r="AT90" s="169" t="s">
        <v>289</v>
      </c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85"/>
    </row>
    <row r="91" spans="1:65" ht="16.5">
      <c r="B91" s="119" t="s">
        <v>232</v>
      </c>
      <c r="C91" s="120"/>
      <c r="D91" s="120"/>
      <c r="E91" s="120"/>
      <c r="F91" s="120"/>
      <c r="G91" s="120"/>
      <c r="H91" s="129"/>
      <c r="I91" s="121" t="s">
        <v>275</v>
      </c>
      <c r="J91" s="120"/>
      <c r="K91" s="129"/>
      <c r="L91" s="122"/>
      <c r="M91" s="120"/>
      <c r="N91" s="129"/>
      <c r="O91" s="123"/>
      <c r="P91" s="120"/>
      <c r="Q91" s="129"/>
      <c r="R91" s="121" t="s">
        <v>158</v>
      </c>
      <c r="S91" s="120"/>
      <c r="T91" s="120"/>
      <c r="U91" s="120"/>
      <c r="V91" s="69"/>
      <c r="W91" s="69"/>
      <c r="X91" s="124"/>
      <c r="Y91" s="124"/>
      <c r="Z91" s="124"/>
      <c r="AA91" s="135"/>
      <c r="AB91" s="141" t="str">
        <f>"  """&amp;B91&amp;": 1,"""</f>
        <v xml:space="preserve">  "ServiceClass01: 1,"</v>
      </c>
      <c r="AC91" s="142"/>
      <c r="AD91" s="142"/>
      <c r="AE91" s="142"/>
      <c r="AF91" s="33"/>
      <c r="AG91" s="33"/>
      <c r="AH91" s="33"/>
      <c r="AI91" s="142"/>
      <c r="AJ91" s="142"/>
      <c r="AK91" s="142"/>
      <c r="AL91" s="142"/>
      <c r="AM91" s="85"/>
      <c r="AN91" s="159" t="s">
        <v>290</v>
      </c>
      <c r="AO91" s="165"/>
      <c r="AP91" s="33"/>
      <c r="AQ91" s="164"/>
      <c r="AR91" s="164"/>
      <c r="AS91" s="167"/>
      <c r="AT91" s="170" t="s">
        <v>291</v>
      </c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85"/>
    </row>
    <row r="92" spans="1:65" ht="16.5">
      <c r="B92" s="119" t="s">
        <v>234</v>
      </c>
      <c r="C92" s="120"/>
      <c r="D92" s="120"/>
      <c r="E92" s="120"/>
      <c r="F92" s="120"/>
      <c r="G92" s="120"/>
      <c r="H92" s="129"/>
      <c r="I92" s="121" t="s">
        <v>276</v>
      </c>
      <c r="J92" s="120"/>
      <c r="K92" s="129"/>
      <c r="L92" s="122"/>
      <c r="M92" s="120"/>
      <c r="N92" s="129"/>
      <c r="O92" s="123"/>
      <c r="P92" s="120"/>
      <c r="Q92" s="129"/>
      <c r="R92" s="121" t="s">
        <v>159</v>
      </c>
      <c r="S92" s="120"/>
      <c r="T92" s="120"/>
      <c r="U92" s="120"/>
      <c r="V92" s="69"/>
      <c r="W92" s="69"/>
      <c r="X92" s="124"/>
      <c r="Y92" s="124"/>
      <c r="Z92" s="124"/>
      <c r="AA92" s="135"/>
      <c r="AB92" s="141" t="str">
        <f>"  """&amp;B92&amp;": 9,"""</f>
        <v xml:space="preserve">  "ServiceClass02: 9,"</v>
      </c>
      <c r="AC92" s="142"/>
      <c r="AD92" s="142"/>
      <c r="AE92" s="142"/>
      <c r="AF92" s="33"/>
      <c r="AG92" s="33"/>
      <c r="AH92" s="33"/>
      <c r="AI92" s="142"/>
      <c r="AJ92" s="142"/>
      <c r="AK92" s="142"/>
      <c r="AL92" s="142"/>
      <c r="AM92" s="85"/>
      <c r="AN92" s="159" t="s">
        <v>290</v>
      </c>
      <c r="AO92" s="165"/>
      <c r="AP92" s="33"/>
      <c r="AQ92" s="164"/>
      <c r="AR92" s="164"/>
      <c r="AS92" s="167"/>
      <c r="AT92" s="170" t="s">
        <v>292</v>
      </c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85"/>
    </row>
    <row r="93" spans="1:65" ht="16.5">
      <c r="B93" s="119" t="s">
        <v>235</v>
      </c>
      <c r="C93" s="120"/>
      <c r="D93" s="120"/>
      <c r="E93" s="120"/>
      <c r="F93" s="120"/>
      <c r="G93" s="120"/>
      <c r="H93" s="129"/>
      <c r="I93" s="121" t="s">
        <v>276</v>
      </c>
      <c r="J93" s="120"/>
      <c r="K93" s="129"/>
      <c r="L93" s="122"/>
      <c r="M93" s="120"/>
      <c r="N93" s="129"/>
      <c r="O93" s="123"/>
      <c r="P93" s="120"/>
      <c r="Q93" s="129"/>
      <c r="R93" s="121" t="s">
        <v>160</v>
      </c>
      <c r="S93" s="120"/>
      <c r="T93" s="120"/>
      <c r="U93" s="120"/>
      <c r="V93" s="69"/>
      <c r="W93" s="69"/>
      <c r="X93" s="124"/>
      <c r="Y93" s="124"/>
      <c r="Z93" s="124"/>
      <c r="AA93" s="135"/>
      <c r="AB93" s="141" t="str">
        <f t="shared" ref="AB93:AB130" si="4">"  """&amp;B93&amp;": 9,"""</f>
        <v xml:space="preserve">  "ServiceClass03: 9,"</v>
      </c>
      <c r="AC93" s="142"/>
      <c r="AD93" s="142"/>
      <c r="AE93" s="142"/>
      <c r="AF93" s="33"/>
      <c r="AG93" s="33"/>
      <c r="AH93" s="33"/>
      <c r="AI93" s="142"/>
      <c r="AJ93" s="142"/>
      <c r="AK93" s="142"/>
      <c r="AL93" s="142"/>
      <c r="AM93" s="85"/>
      <c r="AN93" s="159" t="s">
        <v>290</v>
      </c>
      <c r="AO93" s="165"/>
      <c r="AP93" s="33"/>
      <c r="AQ93" s="164"/>
      <c r="AR93" s="164"/>
      <c r="AS93" s="167"/>
      <c r="AT93" s="170" t="s">
        <v>293</v>
      </c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85"/>
    </row>
    <row r="94" spans="1:65" ht="16.5">
      <c r="B94" s="119" t="s">
        <v>236</v>
      </c>
      <c r="C94" s="120"/>
      <c r="D94" s="120"/>
      <c r="E94" s="120"/>
      <c r="F94" s="120"/>
      <c r="G94" s="120"/>
      <c r="H94" s="129"/>
      <c r="I94" s="121" t="s">
        <v>276</v>
      </c>
      <c r="J94" s="120"/>
      <c r="K94" s="129"/>
      <c r="L94" s="126"/>
      <c r="M94" s="120"/>
      <c r="N94" s="129"/>
      <c r="O94" s="123"/>
      <c r="P94" s="120"/>
      <c r="Q94" s="129"/>
      <c r="R94" s="121" t="s">
        <v>161</v>
      </c>
      <c r="S94" s="120"/>
      <c r="T94" s="120"/>
      <c r="U94" s="120"/>
      <c r="V94" s="69"/>
      <c r="W94" s="69"/>
      <c r="X94" s="120"/>
      <c r="Y94" s="120"/>
      <c r="Z94" s="120"/>
      <c r="AA94" s="129"/>
      <c r="AB94" s="141" t="str">
        <f t="shared" si="4"/>
        <v xml:space="preserve">  "ServiceClass04: 9,"</v>
      </c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85"/>
      <c r="AN94" s="159" t="s">
        <v>290</v>
      </c>
      <c r="AO94" s="33"/>
      <c r="AP94" s="33"/>
      <c r="AQ94" s="33"/>
      <c r="AR94" s="33"/>
      <c r="AS94" s="168"/>
      <c r="AT94" s="171" t="s">
        <v>294</v>
      </c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85"/>
    </row>
    <row r="95" spans="1:65" ht="16.5">
      <c r="B95" s="68" t="s">
        <v>237</v>
      </c>
      <c r="C95" s="69"/>
      <c r="D95" s="69"/>
      <c r="E95" s="69"/>
      <c r="F95" s="69"/>
      <c r="G95" s="69"/>
      <c r="H95" s="131"/>
      <c r="I95" s="130" t="s">
        <v>276</v>
      </c>
      <c r="J95" s="69"/>
      <c r="K95" s="131"/>
      <c r="L95" s="130"/>
      <c r="M95" s="69"/>
      <c r="N95" s="131"/>
      <c r="O95" s="130"/>
      <c r="P95" s="69"/>
      <c r="Q95" s="131"/>
      <c r="R95" s="130" t="s">
        <v>162</v>
      </c>
      <c r="S95" s="69"/>
      <c r="T95" s="69"/>
      <c r="U95" s="69"/>
      <c r="V95" s="69"/>
      <c r="W95" s="69"/>
      <c r="X95" s="69"/>
      <c r="Y95" s="69"/>
      <c r="Z95" s="69"/>
      <c r="AA95" s="131"/>
      <c r="AB95" s="141" t="str">
        <f t="shared" si="4"/>
        <v xml:space="preserve">  "ServiceClass05: 9,"</v>
      </c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85"/>
      <c r="AN95" s="84"/>
      <c r="AO95" s="33"/>
      <c r="AP95" s="33"/>
      <c r="AQ95" s="33"/>
      <c r="AR95" s="33"/>
      <c r="AS95" s="168"/>
      <c r="AT95" s="171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85"/>
    </row>
    <row r="96" spans="1:65" ht="16.5">
      <c r="B96" s="68" t="s">
        <v>238</v>
      </c>
      <c r="C96" s="69"/>
      <c r="D96" s="69"/>
      <c r="E96" s="69"/>
      <c r="F96" s="69"/>
      <c r="G96" s="69"/>
      <c r="H96" s="131"/>
      <c r="I96" s="130" t="s">
        <v>276</v>
      </c>
      <c r="J96" s="69"/>
      <c r="K96" s="131"/>
      <c r="L96" s="130"/>
      <c r="M96" s="69"/>
      <c r="N96" s="131"/>
      <c r="O96" s="130"/>
      <c r="P96" s="69"/>
      <c r="Q96" s="131"/>
      <c r="R96" s="130" t="s">
        <v>163</v>
      </c>
      <c r="S96" s="69"/>
      <c r="T96" s="69"/>
      <c r="U96" s="69"/>
      <c r="V96" s="69"/>
      <c r="W96" s="69"/>
      <c r="X96" s="69"/>
      <c r="Y96" s="69"/>
      <c r="Z96" s="69"/>
      <c r="AA96" s="131"/>
      <c r="AB96" s="141" t="str">
        <f t="shared" si="4"/>
        <v xml:space="preserve">  "ServiceClass06: 9,"</v>
      </c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85"/>
      <c r="AN96" s="84"/>
      <c r="AO96" s="33"/>
      <c r="AP96" s="33"/>
      <c r="AQ96" s="33"/>
      <c r="AR96" s="33"/>
      <c r="AS96" s="168"/>
      <c r="AT96" s="171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85"/>
    </row>
    <row r="97" spans="2:62" ht="16.5">
      <c r="B97" s="68" t="s">
        <v>239</v>
      </c>
      <c r="C97" s="69"/>
      <c r="D97" s="69"/>
      <c r="E97" s="69"/>
      <c r="F97" s="69"/>
      <c r="G97" s="69"/>
      <c r="H97" s="131"/>
      <c r="I97" s="130" t="s">
        <v>276</v>
      </c>
      <c r="J97" s="69"/>
      <c r="K97" s="131"/>
      <c r="L97" s="130"/>
      <c r="M97" s="69"/>
      <c r="N97" s="131"/>
      <c r="O97" s="130"/>
      <c r="P97" s="69"/>
      <c r="Q97" s="131"/>
      <c r="R97" s="130" t="s">
        <v>164</v>
      </c>
      <c r="S97" s="69"/>
      <c r="T97" s="69"/>
      <c r="U97" s="69"/>
      <c r="V97" s="69"/>
      <c r="W97" s="69"/>
      <c r="X97" s="69"/>
      <c r="Y97" s="69"/>
      <c r="Z97" s="69"/>
      <c r="AA97" s="131"/>
      <c r="AB97" s="141" t="str">
        <f t="shared" si="4"/>
        <v xml:space="preserve">  "ServiceClass07: 9,"</v>
      </c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85"/>
      <c r="AN97" s="84"/>
      <c r="AO97" s="33"/>
      <c r="AP97" s="33"/>
      <c r="AQ97" s="33"/>
      <c r="AR97" s="33"/>
      <c r="AS97" s="168"/>
      <c r="AT97" s="171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85"/>
    </row>
    <row r="98" spans="2:62" ht="16.5">
      <c r="B98" s="68" t="s">
        <v>240</v>
      </c>
      <c r="C98" s="69"/>
      <c r="D98" s="69"/>
      <c r="E98" s="69"/>
      <c r="F98" s="69"/>
      <c r="G98" s="69"/>
      <c r="H98" s="131"/>
      <c r="I98" s="130" t="s">
        <v>276</v>
      </c>
      <c r="J98" s="69"/>
      <c r="K98" s="131"/>
      <c r="L98" s="130"/>
      <c r="M98" s="69"/>
      <c r="N98" s="131"/>
      <c r="O98" s="130"/>
      <c r="P98" s="69"/>
      <c r="Q98" s="131"/>
      <c r="R98" s="130" t="s">
        <v>165</v>
      </c>
      <c r="S98" s="69"/>
      <c r="T98" s="69"/>
      <c r="U98" s="69"/>
      <c r="V98" s="69"/>
      <c r="W98" s="69"/>
      <c r="X98" s="69"/>
      <c r="Y98" s="69"/>
      <c r="Z98" s="69"/>
      <c r="AA98" s="131"/>
      <c r="AB98" s="141" t="str">
        <f t="shared" si="4"/>
        <v xml:space="preserve">  "ServiceClass08: 9,"</v>
      </c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85"/>
      <c r="AN98" s="84"/>
      <c r="AO98" s="33"/>
      <c r="AP98" s="33"/>
      <c r="AQ98" s="33"/>
      <c r="AR98" s="33"/>
      <c r="AS98" s="168"/>
      <c r="AT98" s="171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85"/>
    </row>
    <row r="99" spans="2:62" ht="16.5">
      <c r="B99" s="68" t="s">
        <v>241</v>
      </c>
      <c r="C99" s="69"/>
      <c r="D99" s="69"/>
      <c r="E99" s="69"/>
      <c r="F99" s="69"/>
      <c r="G99" s="69"/>
      <c r="H99" s="131"/>
      <c r="I99" s="130" t="s">
        <v>276</v>
      </c>
      <c r="J99" s="69"/>
      <c r="K99" s="131"/>
      <c r="L99" s="130"/>
      <c r="M99" s="69"/>
      <c r="N99" s="131"/>
      <c r="O99" s="130"/>
      <c r="P99" s="69"/>
      <c r="Q99" s="131"/>
      <c r="R99" s="130" t="s">
        <v>166</v>
      </c>
      <c r="S99" s="69"/>
      <c r="T99" s="69"/>
      <c r="U99" s="69"/>
      <c r="V99" s="69"/>
      <c r="W99" s="69"/>
      <c r="X99" s="69"/>
      <c r="Y99" s="69"/>
      <c r="Z99" s="69"/>
      <c r="AA99" s="131"/>
      <c r="AB99" s="141" t="str">
        <f t="shared" si="4"/>
        <v xml:space="preserve">  "ServiceClass09: 9,"</v>
      </c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85"/>
      <c r="AN99" s="84"/>
      <c r="AO99" s="33"/>
      <c r="AP99" s="33"/>
      <c r="AQ99" s="33"/>
      <c r="AR99" s="33"/>
      <c r="AS99" s="168"/>
      <c r="AT99" s="171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85"/>
    </row>
    <row r="100" spans="2:62" ht="16.5">
      <c r="B100" s="68" t="s">
        <v>242</v>
      </c>
      <c r="C100" s="69"/>
      <c r="D100" s="69"/>
      <c r="E100" s="69"/>
      <c r="F100" s="69"/>
      <c r="G100" s="69"/>
      <c r="H100" s="131"/>
      <c r="I100" s="130" t="s">
        <v>276</v>
      </c>
      <c r="J100" s="69"/>
      <c r="K100" s="131"/>
      <c r="L100" s="130"/>
      <c r="M100" s="69"/>
      <c r="N100" s="131"/>
      <c r="O100" s="130"/>
      <c r="P100" s="69"/>
      <c r="Q100" s="131"/>
      <c r="R100" s="130" t="s">
        <v>167</v>
      </c>
      <c r="S100" s="69"/>
      <c r="T100" s="69"/>
      <c r="U100" s="69"/>
      <c r="V100" s="69"/>
      <c r="W100" s="69"/>
      <c r="X100" s="69"/>
      <c r="Y100" s="69"/>
      <c r="Z100" s="69"/>
      <c r="AA100" s="131"/>
      <c r="AB100" s="141" t="str">
        <f t="shared" si="4"/>
        <v xml:space="preserve">  "ServiceClass10: 9,"</v>
      </c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85"/>
      <c r="AN100" s="84"/>
      <c r="AO100" s="33"/>
      <c r="AP100" s="33"/>
      <c r="AQ100" s="33"/>
      <c r="AR100" s="33"/>
      <c r="AS100" s="168"/>
      <c r="AT100" s="171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85"/>
    </row>
    <row r="101" spans="2:62" ht="16.5">
      <c r="B101" s="68" t="s">
        <v>243</v>
      </c>
      <c r="C101" s="69"/>
      <c r="D101" s="69"/>
      <c r="E101" s="69"/>
      <c r="F101" s="69"/>
      <c r="G101" s="69"/>
      <c r="H101" s="131"/>
      <c r="I101" s="130" t="s">
        <v>276</v>
      </c>
      <c r="J101" s="69"/>
      <c r="K101" s="131"/>
      <c r="L101" s="130"/>
      <c r="M101" s="69"/>
      <c r="N101" s="131"/>
      <c r="O101" s="130"/>
      <c r="P101" s="69"/>
      <c r="Q101" s="131"/>
      <c r="R101" s="130" t="s">
        <v>168</v>
      </c>
      <c r="S101" s="69"/>
      <c r="T101" s="69"/>
      <c r="U101" s="69"/>
      <c r="V101" s="69"/>
      <c r="W101" s="69"/>
      <c r="X101" s="69"/>
      <c r="Y101" s="69"/>
      <c r="Z101" s="69"/>
      <c r="AA101" s="131"/>
      <c r="AB101" s="141" t="str">
        <f t="shared" si="4"/>
        <v xml:space="preserve">  "PointClass01: 9,"</v>
      </c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85"/>
      <c r="AN101" s="84"/>
      <c r="AO101" s="33"/>
      <c r="AP101" s="33"/>
      <c r="AQ101" s="33"/>
      <c r="AR101" s="33"/>
      <c r="AS101" s="168"/>
      <c r="AT101" s="171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85"/>
    </row>
    <row r="102" spans="2:62" ht="16.5">
      <c r="B102" s="68" t="s">
        <v>245</v>
      </c>
      <c r="C102" s="69"/>
      <c r="D102" s="69"/>
      <c r="E102" s="69"/>
      <c r="F102" s="69"/>
      <c r="G102" s="69"/>
      <c r="H102" s="131"/>
      <c r="I102" s="130" t="s">
        <v>276</v>
      </c>
      <c r="J102" s="69"/>
      <c r="K102" s="131"/>
      <c r="L102" s="130"/>
      <c r="M102" s="69"/>
      <c r="N102" s="131"/>
      <c r="O102" s="130"/>
      <c r="P102" s="69"/>
      <c r="Q102" s="131"/>
      <c r="R102" s="130" t="s">
        <v>169</v>
      </c>
      <c r="S102" s="69"/>
      <c r="T102" s="69"/>
      <c r="U102" s="69"/>
      <c r="V102" s="69"/>
      <c r="W102" s="69"/>
      <c r="X102" s="69"/>
      <c r="Y102" s="69"/>
      <c r="Z102" s="69"/>
      <c r="AA102" s="131"/>
      <c r="AB102" s="141" t="str">
        <f t="shared" si="4"/>
        <v xml:space="preserve">  "PointClass02: 9,"</v>
      </c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85"/>
      <c r="AN102" s="84"/>
      <c r="AO102" s="33"/>
      <c r="AP102" s="33"/>
      <c r="AQ102" s="33"/>
      <c r="AR102" s="33"/>
      <c r="AS102" s="168"/>
      <c r="AT102" s="171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85"/>
    </row>
    <row r="103" spans="2:62" ht="16.5">
      <c r="B103" s="68" t="s">
        <v>246</v>
      </c>
      <c r="C103" s="69"/>
      <c r="D103" s="69"/>
      <c r="E103" s="69"/>
      <c r="F103" s="69"/>
      <c r="G103" s="69"/>
      <c r="H103" s="131"/>
      <c r="I103" s="130" t="s">
        <v>276</v>
      </c>
      <c r="J103" s="69"/>
      <c r="K103" s="131"/>
      <c r="L103" s="130"/>
      <c r="M103" s="69"/>
      <c r="N103" s="131"/>
      <c r="O103" s="130"/>
      <c r="P103" s="69"/>
      <c r="Q103" s="131"/>
      <c r="R103" s="130" t="s">
        <v>170</v>
      </c>
      <c r="S103" s="69"/>
      <c r="T103" s="69"/>
      <c r="U103" s="69"/>
      <c r="V103" s="69"/>
      <c r="W103" s="69"/>
      <c r="X103" s="69"/>
      <c r="Y103" s="69"/>
      <c r="Z103" s="69"/>
      <c r="AA103" s="131"/>
      <c r="AB103" s="141" t="str">
        <f t="shared" si="4"/>
        <v xml:space="preserve">  "PointClass03: 9,"</v>
      </c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85"/>
      <c r="AN103" s="84"/>
      <c r="AO103" s="33"/>
      <c r="AP103" s="33"/>
      <c r="AQ103" s="33"/>
      <c r="AR103" s="33"/>
      <c r="AS103" s="168"/>
      <c r="AT103" s="171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85"/>
    </row>
    <row r="104" spans="2:62" ht="16.5">
      <c r="B104" s="68" t="s">
        <v>247</v>
      </c>
      <c r="C104" s="69"/>
      <c r="D104" s="69"/>
      <c r="E104" s="69"/>
      <c r="F104" s="69"/>
      <c r="G104" s="69"/>
      <c r="H104" s="131"/>
      <c r="I104" s="130" t="s">
        <v>276</v>
      </c>
      <c r="J104" s="69"/>
      <c r="K104" s="131"/>
      <c r="L104" s="130"/>
      <c r="M104" s="69"/>
      <c r="N104" s="131"/>
      <c r="O104" s="130"/>
      <c r="P104" s="69"/>
      <c r="Q104" s="131"/>
      <c r="R104" s="130" t="s">
        <v>171</v>
      </c>
      <c r="S104" s="69"/>
      <c r="T104" s="69"/>
      <c r="U104" s="69"/>
      <c r="V104" s="69"/>
      <c r="W104" s="69"/>
      <c r="X104" s="69"/>
      <c r="Y104" s="69"/>
      <c r="Z104" s="69"/>
      <c r="AA104" s="131"/>
      <c r="AB104" s="141" t="str">
        <f t="shared" si="4"/>
        <v xml:space="preserve">  "PointClass04: 9,"</v>
      </c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85"/>
      <c r="AN104" s="84"/>
      <c r="AO104" s="33"/>
      <c r="AP104" s="33"/>
      <c r="AQ104" s="33"/>
      <c r="AR104" s="33"/>
      <c r="AS104" s="168"/>
      <c r="AT104" s="171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85"/>
    </row>
    <row r="105" spans="2:62" ht="16.5">
      <c r="B105" s="68" t="s">
        <v>248</v>
      </c>
      <c r="C105" s="69"/>
      <c r="D105" s="69"/>
      <c r="E105" s="69"/>
      <c r="F105" s="69"/>
      <c r="G105" s="69"/>
      <c r="H105" s="131"/>
      <c r="I105" s="130" t="s">
        <v>276</v>
      </c>
      <c r="J105" s="69"/>
      <c r="K105" s="131"/>
      <c r="L105" s="130"/>
      <c r="M105" s="69"/>
      <c r="N105" s="131"/>
      <c r="O105" s="130"/>
      <c r="P105" s="69"/>
      <c r="Q105" s="131"/>
      <c r="R105" s="130" t="s">
        <v>172</v>
      </c>
      <c r="S105" s="69"/>
      <c r="T105" s="69"/>
      <c r="U105" s="69"/>
      <c r="V105" s="69"/>
      <c r="W105" s="69"/>
      <c r="X105" s="69"/>
      <c r="Y105" s="69"/>
      <c r="Z105" s="69"/>
      <c r="AA105" s="131"/>
      <c r="AB105" s="141" t="str">
        <f t="shared" si="4"/>
        <v xml:space="preserve">  "PointClass05: 9,"</v>
      </c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85"/>
      <c r="AN105" s="84"/>
      <c r="AO105" s="33"/>
      <c r="AP105" s="33"/>
      <c r="AQ105" s="33"/>
      <c r="AR105" s="33"/>
      <c r="AS105" s="168"/>
      <c r="AT105" s="171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85"/>
    </row>
    <row r="106" spans="2:62" ht="16.5">
      <c r="B106" s="68" t="s">
        <v>249</v>
      </c>
      <c r="C106" s="69"/>
      <c r="D106" s="69"/>
      <c r="E106" s="69"/>
      <c r="F106" s="69"/>
      <c r="G106" s="69"/>
      <c r="H106" s="131"/>
      <c r="I106" s="130" t="s">
        <v>276</v>
      </c>
      <c r="J106" s="69"/>
      <c r="K106" s="131"/>
      <c r="L106" s="130"/>
      <c r="M106" s="69"/>
      <c r="N106" s="131"/>
      <c r="O106" s="130"/>
      <c r="P106" s="69"/>
      <c r="Q106" s="131"/>
      <c r="R106" s="130" t="s">
        <v>173</v>
      </c>
      <c r="S106" s="69"/>
      <c r="T106" s="69"/>
      <c r="U106" s="69"/>
      <c r="V106" s="69"/>
      <c r="W106" s="69"/>
      <c r="X106" s="69"/>
      <c r="Y106" s="69"/>
      <c r="Z106" s="69"/>
      <c r="AA106" s="131"/>
      <c r="AB106" s="141" t="str">
        <f t="shared" si="4"/>
        <v xml:space="preserve">  "PointClass06: 9,"</v>
      </c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85"/>
      <c r="AN106" s="84"/>
      <c r="AO106" s="33"/>
      <c r="AP106" s="33"/>
      <c r="AQ106" s="33"/>
      <c r="AR106" s="33"/>
      <c r="AS106" s="168"/>
      <c r="AT106" s="171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85"/>
    </row>
    <row r="107" spans="2:62" ht="16.5">
      <c r="B107" s="68" t="s">
        <v>250</v>
      </c>
      <c r="C107" s="69"/>
      <c r="D107" s="69"/>
      <c r="E107" s="69"/>
      <c r="F107" s="69"/>
      <c r="G107" s="69"/>
      <c r="H107" s="131"/>
      <c r="I107" s="130" t="s">
        <v>276</v>
      </c>
      <c r="J107" s="69"/>
      <c r="K107" s="131"/>
      <c r="L107" s="130"/>
      <c r="M107" s="69"/>
      <c r="N107" s="131"/>
      <c r="O107" s="130"/>
      <c r="P107" s="69"/>
      <c r="Q107" s="131"/>
      <c r="R107" s="130" t="s">
        <v>174</v>
      </c>
      <c r="S107" s="69"/>
      <c r="T107" s="69"/>
      <c r="U107" s="69"/>
      <c r="V107" s="69"/>
      <c r="W107" s="69"/>
      <c r="X107" s="69"/>
      <c r="Y107" s="69"/>
      <c r="Z107" s="69"/>
      <c r="AA107" s="131"/>
      <c r="AB107" s="141" t="str">
        <f t="shared" si="4"/>
        <v xml:space="preserve">  "PointClass07: 9,"</v>
      </c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85"/>
      <c r="AN107" s="84"/>
      <c r="AO107" s="33"/>
      <c r="AP107" s="33"/>
      <c r="AQ107" s="33"/>
      <c r="AR107" s="33"/>
      <c r="AS107" s="168"/>
      <c r="AT107" s="171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85"/>
    </row>
    <row r="108" spans="2:62" ht="16.5">
      <c r="B108" s="68" t="s">
        <v>251</v>
      </c>
      <c r="C108" s="69"/>
      <c r="D108" s="69"/>
      <c r="E108" s="69"/>
      <c r="F108" s="69"/>
      <c r="G108" s="69"/>
      <c r="H108" s="131"/>
      <c r="I108" s="130" t="s">
        <v>276</v>
      </c>
      <c r="J108" s="69"/>
      <c r="K108" s="131"/>
      <c r="L108" s="130"/>
      <c r="M108" s="69"/>
      <c r="N108" s="131"/>
      <c r="O108" s="130"/>
      <c r="P108" s="69"/>
      <c r="Q108" s="131"/>
      <c r="R108" s="130" t="s">
        <v>175</v>
      </c>
      <c r="S108" s="69"/>
      <c r="T108" s="69"/>
      <c r="U108" s="69"/>
      <c r="V108" s="69"/>
      <c r="W108" s="69"/>
      <c r="X108" s="69"/>
      <c r="Y108" s="69"/>
      <c r="Z108" s="69"/>
      <c r="AA108" s="131"/>
      <c r="AB108" s="141" t="str">
        <f t="shared" si="4"/>
        <v xml:space="preserve">  "PointClass08: 9,"</v>
      </c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85"/>
      <c r="AN108" s="84"/>
      <c r="AO108" s="33"/>
      <c r="AP108" s="33"/>
      <c r="AQ108" s="33"/>
      <c r="AR108" s="33"/>
      <c r="AS108" s="168"/>
      <c r="AT108" s="171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85"/>
    </row>
    <row r="109" spans="2:62" ht="16.5">
      <c r="B109" s="68" t="s">
        <v>252</v>
      </c>
      <c r="C109" s="69"/>
      <c r="D109" s="69"/>
      <c r="E109" s="69"/>
      <c r="F109" s="69"/>
      <c r="G109" s="69"/>
      <c r="H109" s="131"/>
      <c r="I109" s="130" t="s">
        <v>276</v>
      </c>
      <c r="J109" s="69"/>
      <c r="K109" s="131"/>
      <c r="L109" s="130"/>
      <c r="M109" s="69"/>
      <c r="N109" s="131"/>
      <c r="O109" s="130"/>
      <c r="P109" s="69"/>
      <c r="Q109" s="131"/>
      <c r="R109" s="130" t="s">
        <v>176</v>
      </c>
      <c r="S109" s="69"/>
      <c r="T109" s="69"/>
      <c r="U109" s="69"/>
      <c r="V109" s="69"/>
      <c r="W109" s="69"/>
      <c r="X109" s="69"/>
      <c r="Y109" s="69"/>
      <c r="Z109" s="69"/>
      <c r="AA109" s="131"/>
      <c r="AB109" s="141" t="str">
        <f t="shared" si="4"/>
        <v xml:space="preserve">  "PointClass09: 9,"</v>
      </c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85"/>
      <c r="AN109" s="84"/>
      <c r="AO109" s="33"/>
      <c r="AP109" s="33"/>
      <c r="AQ109" s="33"/>
      <c r="AR109" s="33"/>
      <c r="AS109" s="168"/>
      <c r="AT109" s="171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85"/>
    </row>
    <row r="110" spans="2:62" ht="16.5">
      <c r="B110" s="68" t="s">
        <v>253</v>
      </c>
      <c r="C110" s="69"/>
      <c r="D110" s="69"/>
      <c r="E110" s="69"/>
      <c r="F110" s="69"/>
      <c r="G110" s="69"/>
      <c r="H110" s="131"/>
      <c r="I110" s="130" t="s">
        <v>276</v>
      </c>
      <c r="J110" s="69"/>
      <c r="K110" s="131"/>
      <c r="L110" s="130"/>
      <c r="M110" s="69"/>
      <c r="N110" s="131"/>
      <c r="O110" s="130"/>
      <c r="P110" s="69"/>
      <c r="Q110" s="131"/>
      <c r="R110" s="130" t="s">
        <v>177</v>
      </c>
      <c r="S110" s="69"/>
      <c r="T110" s="69"/>
      <c r="U110" s="69"/>
      <c r="V110" s="69"/>
      <c r="W110" s="69"/>
      <c r="X110" s="69"/>
      <c r="Y110" s="69"/>
      <c r="Z110" s="69"/>
      <c r="AA110" s="131"/>
      <c r="AB110" s="141" t="str">
        <f t="shared" si="4"/>
        <v xml:space="preserve">  "PointClass10: 9,"</v>
      </c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85"/>
      <c r="AN110" s="84"/>
      <c r="AO110" s="33"/>
      <c r="AP110" s="33"/>
      <c r="AQ110" s="33"/>
      <c r="AR110" s="33"/>
      <c r="AS110" s="168"/>
      <c r="AT110" s="171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85"/>
    </row>
    <row r="111" spans="2:62" ht="16.5">
      <c r="B111" s="68" t="s">
        <v>254</v>
      </c>
      <c r="C111" s="69"/>
      <c r="D111" s="69"/>
      <c r="E111" s="69"/>
      <c r="F111" s="69"/>
      <c r="G111" s="69"/>
      <c r="H111" s="131"/>
      <c r="I111" s="130" t="s">
        <v>276</v>
      </c>
      <c r="J111" s="69"/>
      <c r="K111" s="131"/>
      <c r="L111" s="130"/>
      <c r="M111" s="69"/>
      <c r="N111" s="131"/>
      <c r="O111" s="130"/>
      <c r="P111" s="69"/>
      <c r="Q111" s="131"/>
      <c r="R111" s="130" t="s">
        <v>178</v>
      </c>
      <c r="S111" s="69"/>
      <c r="T111" s="69"/>
      <c r="U111" s="69"/>
      <c r="V111" s="69"/>
      <c r="W111" s="69"/>
      <c r="X111" s="69"/>
      <c r="Y111" s="69"/>
      <c r="Z111" s="69"/>
      <c r="AA111" s="131"/>
      <c r="AB111" s="141" t="str">
        <f>"  """&amp;B111&amp;": 1,"""</f>
        <v xml:space="preserve">  "PaymentClass01: 1,"</v>
      </c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85"/>
      <c r="AN111" s="84"/>
      <c r="AO111" s="33"/>
      <c r="AP111" s="33"/>
      <c r="AQ111" s="33"/>
      <c r="AR111" s="33"/>
      <c r="AS111" s="168"/>
      <c r="AT111" s="171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85"/>
    </row>
    <row r="112" spans="2:62" ht="16.5">
      <c r="B112" s="68" t="s">
        <v>256</v>
      </c>
      <c r="C112" s="69"/>
      <c r="D112" s="69"/>
      <c r="E112" s="69"/>
      <c r="F112" s="69"/>
      <c r="G112" s="69"/>
      <c r="H112" s="131"/>
      <c r="I112" s="130" t="s">
        <v>276</v>
      </c>
      <c r="J112" s="69"/>
      <c r="K112" s="131"/>
      <c r="L112" s="130"/>
      <c r="M112" s="69"/>
      <c r="N112" s="131"/>
      <c r="O112" s="130"/>
      <c r="P112" s="69"/>
      <c r="Q112" s="131"/>
      <c r="R112" s="130" t="s">
        <v>179</v>
      </c>
      <c r="S112" s="69"/>
      <c r="T112" s="69"/>
      <c r="U112" s="69"/>
      <c r="V112" s="69"/>
      <c r="W112" s="69"/>
      <c r="X112" s="69"/>
      <c r="Y112" s="69"/>
      <c r="Z112" s="69"/>
      <c r="AA112" s="131"/>
      <c r="AB112" s="141" t="str">
        <f t="shared" si="4"/>
        <v xml:space="preserve">  "PaymentClass02: 9,"</v>
      </c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85"/>
      <c r="AN112" s="84"/>
      <c r="AO112" s="33"/>
      <c r="AP112" s="33"/>
      <c r="AQ112" s="33"/>
      <c r="AR112" s="33"/>
      <c r="AS112" s="168"/>
      <c r="AT112" s="171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85"/>
    </row>
    <row r="113" spans="2:62" ht="16.5">
      <c r="B113" s="68" t="s">
        <v>257</v>
      </c>
      <c r="C113" s="69"/>
      <c r="D113" s="69"/>
      <c r="E113" s="69"/>
      <c r="F113" s="69"/>
      <c r="G113" s="69"/>
      <c r="H113" s="131"/>
      <c r="I113" s="130" t="s">
        <v>276</v>
      </c>
      <c r="J113" s="69"/>
      <c r="K113" s="131"/>
      <c r="L113" s="130"/>
      <c r="M113" s="69"/>
      <c r="N113" s="131"/>
      <c r="O113" s="130"/>
      <c r="P113" s="69"/>
      <c r="Q113" s="131"/>
      <c r="R113" s="130" t="s">
        <v>180</v>
      </c>
      <c r="S113" s="69"/>
      <c r="T113" s="69"/>
      <c r="U113" s="69"/>
      <c r="V113" s="69"/>
      <c r="W113" s="69"/>
      <c r="X113" s="69"/>
      <c r="Y113" s="69"/>
      <c r="Z113" s="69"/>
      <c r="AA113" s="131"/>
      <c r="AB113" s="141" t="str">
        <f t="shared" si="4"/>
        <v xml:space="preserve">  "PaymentClass03: 9,"</v>
      </c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85"/>
      <c r="AN113" s="84"/>
      <c r="AO113" s="33"/>
      <c r="AP113" s="33"/>
      <c r="AQ113" s="33"/>
      <c r="AR113" s="33"/>
      <c r="AS113" s="168"/>
      <c r="AT113" s="171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85"/>
    </row>
    <row r="114" spans="2:62" ht="16.5">
      <c r="B114" s="68" t="s">
        <v>258</v>
      </c>
      <c r="C114" s="69"/>
      <c r="D114" s="69"/>
      <c r="E114" s="69"/>
      <c r="F114" s="69"/>
      <c r="G114" s="69"/>
      <c r="H114" s="131"/>
      <c r="I114" s="130" t="s">
        <v>276</v>
      </c>
      <c r="J114" s="69"/>
      <c r="K114" s="131"/>
      <c r="L114" s="130"/>
      <c r="M114" s="69"/>
      <c r="N114" s="131"/>
      <c r="O114" s="130"/>
      <c r="P114" s="69"/>
      <c r="Q114" s="131"/>
      <c r="R114" s="130" t="s">
        <v>181</v>
      </c>
      <c r="S114" s="69"/>
      <c r="T114" s="69"/>
      <c r="U114" s="69"/>
      <c r="V114" s="69"/>
      <c r="W114" s="69"/>
      <c r="X114" s="69"/>
      <c r="Y114" s="69"/>
      <c r="Z114" s="69"/>
      <c r="AA114" s="131"/>
      <c r="AB114" s="141" t="str">
        <f t="shared" si="4"/>
        <v xml:space="preserve">  "PaymentClass04: 9,"</v>
      </c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85"/>
      <c r="AN114" s="84"/>
      <c r="AO114" s="33"/>
      <c r="AP114" s="33"/>
      <c r="AQ114" s="33"/>
      <c r="AR114" s="33"/>
      <c r="AS114" s="168"/>
      <c r="AT114" s="171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85"/>
    </row>
    <row r="115" spans="2:62" ht="16.5">
      <c r="B115" s="68" t="s">
        <v>259</v>
      </c>
      <c r="C115" s="69"/>
      <c r="D115" s="69"/>
      <c r="E115" s="69"/>
      <c r="F115" s="69"/>
      <c r="G115" s="69"/>
      <c r="H115" s="131"/>
      <c r="I115" s="130" t="s">
        <v>276</v>
      </c>
      <c r="J115" s="69"/>
      <c r="K115" s="131"/>
      <c r="L115" s="130"/>
      <c r="M115" s="69"/>
      <c r="N115" s="131"/>
      <c r="O115" s="130"/>
      <c r="P115" s="69"/>
      <c r="Q115" s="131"/>
      <c r="R115" s="130" t="s">
        <v>182</v>
      </c>
      <c r="S115" s="69"/>
      <c r="T115" s="69"/>
      <c r="U115" s="69"/>
      <c r="V115" s="69"/>
      <c r="W115" s="69"/>
      <c r="X115" s="69"/>
      <c r="Y115" s="69"/>
      <c r="Z115" s="69"/>
      <c r="AA115" s="131"/>
      <c r="AB115" s="141" t="str">
        <f t="shared" si="4"/>
        <v xml:space="preserve">  "PaymentClass05: 9,"</v>
      </c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85"/>
      <c r="AN115" s="84"/>
      <c r="AO115" s="33"/>
      <c r="AP115" s="33"/>
      <c r="AQ115" s="33"/>
      <c r="AR115" s="33"/>
      <c r="AS115" s="168"/>
      <c r="AT115" s="171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85"/>
    </row>
    <row r="116" spans="2:62" ht="16.5">
      <c r="B116" s="68" t="s">
        <v>260</v>
      </c>
      <c r="C116" s="69"/>
      <c r="D116" s="69"/>
      <c r="E116" s="69"/>
      <c r="F116" s="69"/>
      <c r="G116" s="69"/>
      <c r="H116" s="131"/>
      <c r="I116" s="130" t="s">
        <v>276</v>
      </c>
      <c r="J116" s="69"/>
      <c r="K116" s="131"/>
      <c r="L116" s="130"/>
      <c r="M116" s="69"/>
      <c r="N116" s="131"/>
      <c r="O116" s="130"/>
      <c r="P116" s="69"/>
      <c r="Q116" s="131"/>
      <c r="R116" s="130" t="s">
        <v>183</v>
      </c>
      <c r="S116" s="69"/>
      <c r="T116" s="69"/>
      <c r="U116" s="69"/>
      <c r="V116" s="69"/>
      <c r="W116" s="69"/>
      <c r="X116" s="69"/>
      <c r="Y116" s="69"/>
      <c r="Z116" s="69"/>
      <c r="AA116" s="131"/>
      <c r="AB116" s="141" t="str">
        <f t="shared" si="4"/>
        <v xml:space="preserve">  "PaymentClass06: 9,"</v>
      </c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85"/>
      <c r="AN116" s="84"/>
      <c r="AO116" s="33"/>
      <c r="AP116" s="33"/>
      <c r="AQ116" s="33"/>
      <c r="AR116" s="33"/>
      <c r="AS116" s="168"/>
      <c r="AT116" s="171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85"/>
    </row>
    <row r="117" spans="2:62" ht="16.5">
      <c r="B117" s="68" t="s">
        <v>261</v>
      </c>
      <c r="C117" s="69"/>
      <c r="D117" s="69"/>
      <c r="E117" s="69"/>
      <c r="F117" s="69"/>
      <c r="G117" s="69"/>
      <c r="H117" s="131"/>
      <c r="I117" s="130" t="s">
        <v>276</v>
      </c>
      <c r="J117" s="69"/>
      <c r="K117" s="131"/>
      <c r="L117" s="130"/>
      <c r="M117" s="69"/>
      <c r="N117" s="131"/>
      <c r="O117" s="130"/>
      <c r="P117" s="69"/>
      <c r="Q117" s="131"/>
      <c r="R117" s="130" t="s">
        <v>184</v>
      </c>
      <c r="S117" s="69"/>
      <c r="T117" s="69"/>
      <c r="U117" s="69"/>
      <c r="V117" s="69"/>
      <c r="W117" s="69"/>
      <c r="X117" s="69"/>
      <c r="Y117" s="69"/>
      <c r="Z117" s="69"/>
      <c r="AA117" s="131"/>
      <c r="AB117" s="141" t="str">
        <f t="shared" si="4"/>
        <v xml:space="preserve">  "PaymentClass07: 9,"</v>
      </c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85"/>
      <c r="AN117" s="84"/>
      <c r="AO117" s="33"/>
      <c r="AP117" s="33"/>
      <c r="AQ117" s="33"/>
      <c r="AR117" s="33"/>
      <c r="AS117" s="168"/>
      <c r="AT117" s="171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85"/>
    </row>
    <row r="118" spans="2:62" ht="16.5">
      <c r="B118" s="68" t="s">
        <v>262</v>
      </c>
      <c r="C118" s="69"/>
      <c r="D118" s="69"/>
      <c r="E118" s="69"/>
      <c r="F118" s="69"/>
      <c r="G118" s="69"/>
      <c r="H118" s="131"/>
      <c r="I118" s="130" t="s">
        <v>276</v>
      </c>
      <c r="J118" s="69"/>
      <c r="K118" s="131"/>
      <c r="L118" s="130"/>
      <c r="M118" s="69"/>
      <c r="N118" s="131"/>
      <c r="O118" s="130"/>
      <c r="P118" s="69"/>
      <c r="Q118" s="131"/>
      <c r="R118" s="130" t="s">
        <v>185</v>
      </c>
      <c r="S118" s="69"/>
      <c r="T118" s="69"/>
      <c r="U118" s="69"/>
      <c r="V118" s="69"/>
      <c r="W118" s="69"/>
      <c r="X118" s="69"/>
      <c r="Y118" s="69"/>
      <c r="Z118" s="69"/>
      <c r="AA118" s="131"/>
      <c r="AB118" s="141" t="str">
        <f t="shared" si="4"/>
        <v xml:space="preserve">  "PaymentClass08: 9,"</v>
      </c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85"/>
      <c r="AN118" s="84"/>
      <c r="AO118" s="33"/>
      <c r="AP118" s="33"/>
      <c r="AQ118" s="33"/>
      <c r="AR118" s="33"/>
      <c r="AS118" s="168"/>
      <c r="AT118" s="171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85"/>
    </row>
    <row r="119" spans="2:62" ht="16.5">
      <c r="B119" s="68" t="s">
        <v>263</v>
      </c>
      <c r="C119" s="69"/>
      <c r="D119" s="69"/>
      <c r="E119" s="69"/>
      <c r="F119" s="69"/>
      <c r="G119" s="69"/>
      <c r="H119" s="131"/>
      <c r="I119" s="130" t="s">
        <v>276</v>
      </c>
      <c r="J119" s="69"/>
      <c r="K119" s="131"/>
      <c r="L119" s="130"/>
      <c r="M119" s="69"/>
      <c r="N119" s="131"/>
      <c r="O119" s="130"/>
      <c r="P119" s="69"/>
      <c r="Q119" s="131"/>
      <c r="R119" s="130" t="s">
        <v>186</v>
      </c>
      <c r="S119" s="69"/>
      <c r="T119" s="69"/>
      <c r="U119" s="69"/>
      <c r="V119" s="69"/>
      <c r="W119" s="69"/>
      <c r="X119" s="69"/>
      <c r="Y119" s="69"/>
      <c r="Z119" s="69"/>
      <c r="AA119" s="131"/>
      <c r="AB119" s="141" t="str">
        <f t="shared" si="4"/>
        <v xml:space="preserve">  "PaymentClass09: 9,"</v>
      </c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85"/>
      <c r="AN119" s="84"/>
      <c r="AO119" s="33"/>
      <c r="AP119" s="33"/>
      <c r="AQ119" s="33"/>
      <c r="AR119" s="33"/>
      <c r="AS119" s="168"/>
      <c r="AT119" s="171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85"/>
    </row>
    <row r="120" spans="2:62" ht="16.5">
      <c r="B120" s="68" t="s">
        <v>264</v>
      </c>
      <c r="C120" s="69"/>
      <c r="D120" s="69"/>
      <c r="E120" s="69"/>
      <c r="F120" s="69"/>
      <c r="G120" s="69"/>
      <c r="H120" s="131"/>
      <c r="I120" s="130" t="s">
        <v>276</v>
      </c>
      <c r="J120" s="69"/>
      <c r="K120" s="131"/>
      <c r="L120" s="130"/>
      <c r="M120" s="69"/>
      <c r="N120" s="131"/>
      <c r="O120" s="130"/>
      <c r="P120" s="69"/>
      <c r="Q120" s="131"/>
      <c r="R120" s="130" t="s">
        <v>187</v>
      </c>
      <c r="S120" s="69"/>
      <c r="T120" s="69"/>
      <c r="U120" s="69"/>
      <c r="V120" s="69"/>
      <c r="W120" s="69"/>
      <c r="X120" s="69"/>
      <c r="Y120" s="69"/>
      <c r="Z120" s="69"/>
      <c r="AA120" s="131"/>
      <c r="AB120" s="141" t="str">
        <f t="shared" si="4"/>
        <v xml:space="preserve">  "PaymentClass10: 9,"</v>
      </c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85"/>
      <c r="AN120" s="84"/>
      <c r="AO120" s="33"/>
      <c r="AP120" s="33"/>
      <c r="AQ120" s="33"/>
      <c r="AR120" s="33"/>
      <c r="AS120" s="168"/>
      <c r="AT120" s="171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85"/>
    </row>
    <row r="121" spans="2:62" ht="16.5">
      <c r="B121" s="68" t="s">
        <v>265</v>
      </c>
      <c r="C121" s="69"/>
      <c r="D121" s="69"/>
      <c r="E121" s="69"/>
      <c r="F121" s="69"/>
      <c r="G121" s="69"/>
      <c r="H121" s="131"/>
      <c r="I121" s="130" t="s">
        <v>276</v>
      </c>
      <c r="J121" s="69"/>
      <c r="K121" s="131"/>
      <c r="L121" s="130"/>
      <c r="M121" s="69"/>
      <c r="N121" s="131"/>
      <c r="O121" s="130"/>
      <c r="P121" s="69"/>
      <c r="Q121" s="131"/>
      <c r="R121" s="130" t="s">
        <v>188</v>
      </c>
      <c r="S121" s="69"/>
      <c r="T121" s="69"/>
      <c r="U121" s="69"/>
      <c r="V121" s="69"/>
      <c r="W121" s="69"/>
      <c r="X121" s="69"/>
      <c r="Y121" s="69"/>
      <c r="Z121" s="69"/>
      <c r="AA121" s="131"/>
      <c r="AB121" s="141" t="str">
        <f t="shared" si="4"/>
        <v xml:space="preserve">  "PaymentClass11: 9,"</v>
      </c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85"/>
      <c r="AN121" s="84"/>
      <c r="AO121" s="33"/>
      <c r="AP121" s="33"/>
      <c r="AQ121" s="33"/>
      <c r="AR121" s="33"/>
      <c r="AS121" s="168"/>
      <c r="AT121" s="171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85"/>
    </row>
    <row r="122" spans="2:62" ht="16.5">
      <c r="B122" s="68" t="s">
        <v>266</v>
      </c>
      <c r="C122" s="69"/>
      <c r="D122" s="69"/>
      <c r="E122" s="69"/>
      <c r="F122" s="69"/>
      <c r="G122" s="69"/>
      <c r="H122" s="131"/>
      <c r="I122" s="130" t="s">
        <v>276</v>
      </c>
      <c r="J122" s="69"/>
      <c r="K122" s="131"/>
      <c r="L122" s="130"/>
      <c r="M122" s="69"/>
      <c r="N122" s="131"/>
      <c r="O122" s="130"/>
      <c r="P122" s="69"/>
      <c r="Q122" s="131"/>
      <c r="R122" s="130" t="s">
        <v>189</v>
      </c>
      <c r="S122" s="69"/>
      <c r="T122" s="69"/>
      <c r="U122" s="69"/>
      <c r="V122" s="69"/>
      <c r="W122" s="69"/>
      <c r="X122" s="69"/>
      <c r="Y122" s="69"/>
      <c r="Z122" s="69"/>
      <c r="AA122" s="131"/>
      <c r="AB122" s="141" t="str">
        <f t="shared" si="4"/>
        <v xml:space="preserve">  "PaymentClass12: 9,"</v>
      </c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85"/>
      <c r="AN122" s="84"/>
      <c r="AO122" s="33"/>
      <c r="AP122" s="33"/>
      <c r="AQ122" s="33"/>
      <c r="AR122" s="33"/>
      <c r="AS122" s="168"/>
      <c r="AT122" s="171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85"/>
    </row>
    <row r="123" spans="2:62" ht="16.5">
      <c r="B123" s="68" t="s">
        <v>267</v>
      </c>
      <c r="C123" s="69"/>
      <c r="D123" s="69"/>
      <c r="E123" s="69"/>
      <c r="F123" s="69"/>
      <c r="G123" s="69"/>
      <c r="H123" s="131"/>
      <c r="I123" s="130" t="s">
        <v>276</v>
      </c>
      <c r="J123" s="69"/>
      <c r="K123" s="131"/>
      <c r="L123" s="130"/>
      <c r="M123" s="69"/>
      <c r="N123" s="131"/>
      <c r="O123" s="130"/>
      <c r="P123" s="69"/>
      <c r="Q123" s="131"/>
      <c r="R123" s="130" t="s">
        <v>150</v>
      </c>
      <c r="S123" s="69"/>
      <c r="T123" s="69"/>
      <c r="U123" s="69"/>
      <c r="V123" s="69"/>
      <c r="W123" s="69"/>
      <c r="X123" s="69"/>
      <c r="Y123" s="69"/>
      <c r="Z123" s="69"/>
      <c r="AA123" s="131"/>
      <c r="AB123" s="141" t="str">
        <f t="shared" si="4"/>
        <v xml:space="preserve">  "PaymentClass13: 9,"</v>
      </c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85"/>
      <c r="AN123" s="84"/>
      <c r="AO123" s="33"/>
      <c r="AP123" s="33"/>
      <c r="AQ123" s="33"/>
      <c r="AR123" s="33"/>
      <c r="AS123" s="168"/>
      <c r="AT123" s="171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85"/>
    </row>
    <row r="124" spans="2:62" ht="16.5">
      <c r="B124" s="68" t="s">
        <v>268</v>
      </c>
      <c r="C124" s="69"/>
      <c r="D124" s="69"/>
      <c r="E124" s="69"/>
      <c r="F124" s="69"/>
      <c r="G124" s="69"/>
      <c r="H124" s="131"/>
      <c r="I124" s="130" t="s">
        <v>276</v>
      </c>
      <c r="J124" s="69"/>
      <c r="K124" s="131"/>
      <c r="L124" s="130"/>
      <c r="M124" s="69"/>
      <c r="N124" s="131"/>
      <c r="O124" s="130"/>
      <c r="P124" s="69"/>
      <c r="Q124" s="131"/>
      <c r="R124" s="130" t="s">
        <v>151</v>
      </c>
      <c r="S124" s="69"/>
      <c r="T124" s="69"/>
      <c r="U124" s="69"/>
      <c r="V124" s="69"/>
      <c r="W124" s="69"/>
      <c r="X124" s="69"/>
      <c r="Y124" s="69"/>
      <c r="Z124" s="69"/>
      <c r="AA124" s="131"/>
      <c r="AB124" s="141" t="str">
        <f t="shared" si="4"/>
        <v xml:space="preserve">  "PaymentClass14: 9,"</v>
      </c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85"/>
      <c r="AN124" s="84"/>
      <c r="AO124" s="33"/>
      <c r="AP124" s="33"/>
      <c r="AQ124" s="33"/>
      <c r="AR124" s="33"/>
      <c r="AS124" s="168"/>
      <c r="AT124" s="171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85"/>
    </row>
    <row r="125" spans="2:62" ht="16.5">
      <c r="B125" s="68" t="s">
        <v>269</v>
      </c>
      <c r="C125" s="69"/>
      <c r="D125" s="69"/>
      <c r="E125" s="69"/>
      <c r="F125" s="69"/>
      <c r="G125" s="69"/>
      <c r="H125" s="131"/>
      <c r="I125" s="130" t="s">
        <v>276</v>
      </c>
      <c r="J125" s="69"/>
      <c r="K125" s="131"/>
      <c r="L125" s="130"/>
      <c r="M125" s="69"/>
      <c r="N125" s="131"/>
      <c r="O125" s="130"/>
      <c r="P125" s="69"/>
      <c r="Q125" s="131"/>
      <c r="R125" s="130" t="s">
        <v>152</v>
      </c>
      <c r="S125" s="69"/>
      <c r="T125" s="69"/>
      <c r="U125" s="69"/>
      <c r="V125" s="69"/>
      <c r="W125" s="69"/>
      <c r="X125" s="69"/>
      <c r="Y125" s="69"/>
      <c r="Z125" s="69"/>
      <c r="AA125" s="131"/>
      <c r="AB125" s="141" t="str">
        <f t="shared" si="4"/>
        <v xml:space="preserve">  "PaymentClass15: 9,"</v>
      </c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85"/>
      <c r="AN125" s="84"/>
      <c r="AO125" s="33"/>
      <c r="AP125" s="33"/>
      <c r="AQ125" s="33"/>
      <c r="AR125" s="33"/>
      <c r="AS125" s="168"/>
      <c r="AT125" s="171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85"/>
    </row>
    <row r="126" spans="2:62" ht="16.5">
      <c r="B126" s="68" t="s">
        <v>270</v>
      </c>
      <c r="C126" s="69"/>
      <c r="D126" s="69"/>
      <c r="E126" s="69"/>
      <c r="F126" s="69"/>
      <c r="G126" s="69"/>
      <c r="H126" s="131"/>
      <c r="I126" s="130" t="s">
        <v>276</v>
      </c>
      <c r="J126" s="69"/>
      <c r="K126" s="131"/>
      <c r="L126" s="130"/>
      <c r="M126" s="69"/>
      <c r="N126" s="131"/>
      <c r="O126" s="130"/>
      <c r="P126" s="69"/>
      <c r="Q126" s="131"/>
      <c r="R126" s="130" t="s">
        <v>153</v>
      </c>
      <c r="S126" s="69"/>
      <c r="T126" s="69"/>
      <c r="U126" s="69"/>
      <c r="V126" s="69"/>
      <c r="W126" s="69"/>
      <c r="X126" s="69"/>
      <c r="Y126" s="69"/>
      <c r="Z126" s="69"/>
      <c r="AA126" s="131"/>
      <c r="AB126" s="141" t="str">
        <f t="shared" si="4"/>
        <v xml:space="preserve">  "PaymentClass16: 9,"</v>
      </c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85"/>
      <c r="AN126" s="84"/>
      <c r="AO126" s="33"/>
      <c r="AP126" s="33"/>
      <c r="AQ126" s="33"/>
      <c r="AR126" s="33"/>
      <c r="AS126" s="168"/>
      <c r="AT126" s="171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85"/>
    </row>
    <row r="127" spans="2:62" ht="16.5">
      <c r="B127" s="68" t="s">
        <v>271</v>
      </c>
      <c r="C127" s="69"/>
      <c r="D127" s="69"/>
      <c r="E127" s="69"/>
      <c r="F127" s="69"/>
      <c r="G127" s="69"/>
      <c r="H127" s="131"/>
      <c r="I127" s="130" t="s">
        <v>276</v>
      </c>
      <c r="J127" s="69"/>
      <c r="K127" s="131"/>
      <c r="L127" s="130"/>
      <c r="M127" s="69"/>
      <c r="N127" s="131"/>
      <c r="O127" s="130"/>
      <c r="P127" s="69"/>
      <c r="Q127" s="131"/>
      <c r="R127" s="130" t="s">
        <v>154</v>
      </c>
      <c r="S127" s="69"/>
      <c r="T127" s="69"/>
      <c r="U127" s="69"/>
      <c r="V127" s="69"/>
      <c r="W127" s="69"/>
      <c r="X127" s="69"/>
      <c r="Y127" s="69"/>
      <c r="Z127" s="69"/>
      <c r="AA127" s="131"/>
      <c r="AB127" s="141" t="str">
        <f t="shared" si="4"/>
        <v xml:space="preserve">  "PaymentClass17: 9,"</v>
      </c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85"/>
      <c r="AN127" s="84"/>
      <c r="AO127" s="33"/>
      <c r="AP127" s="33"/>
      <c r="AQ127" s="33"/>
      <c r="AR127" s="33"/>
      <c r="AS127" s="168"/>
      <c r="AT127" s="171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85"/>
    </row>
    <row r="128" spans="2:62" ht="16.5">
      <c r="B128" s="68" t="s">
        <v>272</v>
      </c>
      <c r="C128" s="69"/>
      <c r="D128" s="69"/>
      <c r="E128" s="69"/>
      <c r="F128" s="69"/>
      <c r="G128" s="69"/>
      <c r="H128" s="131"/>
      <c r="I128" s="130" t="s">
        <v>276</v>
      </c>
      <c r="J128" s="69"/>
      <c r="K128" s="131"/>
      <c r="L128" s="130"/>
      <c r="M128" s="69"/>
      <c r="N128" s="131"/>
      <c r="O128" s="130"/>
      <c r="P128" s="69"/>
      <c r="Q128" s="131"/>
      <c r="R128" s="130" t="s">
        <v>155</v>
      </c>
      <c r="S128" s="69"/>
      <c r="T128" s="69"/>
      <c r="U128" s="69"/>
      <c r="V128" s="69"/>
      <c r="W128" s="69"/>
      <c r="X128" s="69"/>
      <c r="Y128" s="69"/>
      <c r="Z128" s="69"/>
      <c r="AA128" s="131"/>
      <c r="AB128" s="141" t="str">
        <f t="shared" si="4"/>
        <v xml:space="preserve">  "PaymentClass18: 9,"</v>
      </c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85"/>
      <c r="AN128" s="84"/>
      <c r="AO128" s="33"/>
      <c r="AP128" s="33"/>
      <c r="AQ128" s="33"/>
      <c r="AR128" s="33"/>
      <c r="AS128" s="168"/>
      <c r="AT128" s="171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85"/>
    </row>
    <row r="129" spans="1:62" ht="16.5">
      <c r="B129" s="68" t="s">
        <v>273</v>
      </c>
      <c r="C129" s="69"/>
      <c r="D129" s="69"/>
      <c r="E129" s="69"/>
      <c r="F129" s="69"/>
      <c r="G129" s="69"/>
      <c r="H129" s="131"/>
      <c r="I129" s="130" t="s">
        <v>276</v>
      </c>
      <c r="J129" s="69"/>
      <c r="K129" s="131"/>
      <c r="L129" s="130"/>
      <c r="M129" s="69"/>
      <c r="N129" s="131"/>
      <c r="O129" s="130"/>
      <c r="P129" s="69"/>
      <c r="Q129" s="131"/>
      <c r="R129" s="130" t="s">
        <v>156</v>
      </c>
      <c r="S129" s="69"/>
      <c r="T129" s="69"/>
      <c r="U129" s="69"/>
      <c r="V129" s="69"/>
      <c r="W129" s="69"/>
      <c r="X129" s="69"/>
      <c r="Y129" s="69"/>
      <c r="Z129" s="69"/>
      <c r="AA129" s="131"/>
      <c r="AB129" s="141" t="str">
        <f t="shared" si="4"/>
        <v xml:space="preserve">  "PaymentClass19: 9,"</v>
      </c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85"/>
      <c r="AN129" s="84"/>
      <c r="AO129" s="33"/>
      <c r="AP129" s="33"/>
      <c r="AQ129" s="33"/>
      <c r="AR129" s="33"/>
      <c r="AS129" s="168"/>
      <c r="AT129" s="171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85"/>
    </row>
    <row r="130" spans="1:62" ht="16.5">
      <c r="B130" s="68" t="s">
        <v>274</v>
      </c>
      <c r="C130" s="69"/>
      <c r="D130" s="69"/>
      <c r="E130" s="69"/>
      <c r="F130" s="69"/>
      <c r="G130" s="69"/>
      <c r="H130" s="131"/>
      <c r="I130" s="130" t="s">
        <v>276</v>
      </c>
      <c r="J130" s="69"/>
      <c r="K130" s="131"/>
      <c r="L130" s="130"/>
      <c r="M130" s="69"/>
      <c r="N130" s="131"/>
      <c r="O130" s="130"/>
      <c r="P130" s="69"/>
      <c r="Q130" s="131"/>
      <c r="R130" s="130" t="s">
        <v>157</v>
      </c>
      <c r="S130" s="69"/>
      <c r="T130" s="69"/>
      <c r="U130" s="69"/>
      <c r="V130" s="69"/>
      <c r="W130" s="69"/>
      <c r="X130" s="69"/>
      <c r="Y130" s="69"/>
      <c r="Z130" s="69"/>
      <c r="AA130" s="131"/>
      <c r="AB130" s="141" t="str">
        <f t="shared" si="4"/>
        <v xml:space="preserve">  "PaymentClass20: 9,"</v>
      </c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85"/>
      <c r="AN130" s="84"/>
      <c r="AO130" s="33"/>
      <c r="AP130" s="33"/>
      <c r="AQ130" s="33"/>
      <c r="AR130" s="33"/>
      <c r="AS130" s="168"/>
      <c r="AT130" s="171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85"/>
    </row>
    <row r="131" spans="1:62">
      <c r="B131" s="80"/>
      <c r="C131" s="81"/>
      <c r="D131" s="81"/>
      <c r="E131" s="81"/>
      <c r="F131" s="81"/>
      <c r="G131" s="81"/>
      <c r="H131" s="133"/>
      <c r="I131" s="132"/>
      <c r="J131" s="81"/>
      <c r="K131" s="133"/>
      <c r="L131" s="132"/>
      <c r="M131" s="81"/>
      <c r="N131" s="133"/>
      <c r="O131" s="132"/>
      <c r="P131" s="81"/>
      <c r="Q131" s="133"/>
      <c r="R131" s="132"/>
      <c r="S131" s="81"/>
      <c r="T131" s="81"/>
      <c r="U131" s="81"/>
      <c r="V131" s="81"/>
      <c r="W131" s="81"/>
      <c r="X131" s="81"/>
      <c r="Y131" s="81"/>
      <c r="Z131" s="81"/>
      <c r="AA131" s="133"/>
      <c r="AB131" s="143" t="s">
        <v>281</v>
      </c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5"/>
      <c r="AN131" s="160"/>
      <c r="AO131" s="144"/>
      <c r="AP131" s="144"/>
      <c r="AQ131" s="144"/>
      <c r="AR131" s="144"/>
      <c r="AS131" s="172"/>
      <c r="AT131" s="143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5"/>
    </row>
    <row r="133" spans="1:62" ht="15" customHeight="1">
      <c r="A133" s="1"/>
      <c r="B133" s="106" t="s">
        <v>296</v>
      </c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46"/>
      <c r="AN133" s="150" t="s">
        <v>282</v>
      </c>
      <c r="AO133" s="151"/>
      <c r="AP133" s="151"/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2"/>
      <c r="BI133" s="152"/>
      <c r="BJ133" s="153"/>
    </row>
    <row r="134" spans="1:62" ht="15" customHeight="1">
      <c r="A134" s="1"/>
      <c r="B134" s="105" t="s">
        <v>215</v>
      </c>
      <c r="C134" s="111"/>
      <c r="D134" s="111"/>
      <c r="E134" s="111"/>
      <c r="F134" s="111"/>
      <c r="G134" s="111"/>
      <c r="H134" s="111"/>
      <c r="I134" s="109" t="s">
        <v>216</v>
      </c>
      <c r="J134" s="111"/>
      <c r="K134" s="111"/>
      <c r="L134" s="109" t="s">
        <v>217</v>
      </c>
      <c r="M134" s="108"/>
      <c r="N134" s="108"/>
      <c r="O134" s="110" t="s">
        <v>219</v>
      </c>
      <c r="P134" s="108"/>
      <c r="Q134" s="111"/>
      <c r="R134" s="109" t="s">
        <v>218</v>
      </c>
      <c r="S134" s="108"/>
      <c r="T134" s="108"/>
      <c r="U134" s="111"/>
      <c r="V134" s="147"/>
      <c r="W134" s="147"/>
      <c r="X134" s="111"/>
      <c r="Y134" s="111"/>
      <c r="Z134" s="111"/>
      <c r="AA134" s="111"/>
      <c r="AB134" s="109" t="s">
        <v>220</v>
      </c>
      <c r="AC134" s="111"/>
      <c r="AD134" s="111"/>
      <c r="AE134" s="111"/>
      <c r="AF134" s="147"/>
      <c r="AG134" s="147"/>
      <c r="AH134" s="147"/>
      <c r="AI134" s="111"/>
      <c r="AJ134" s="111"/>
      <c r="AK134" s="111"/>
      <c r="AL134" s="111"/>
      <c r="AM134" s="148"/>
      <c r="AN134" s="154"/>
      <c r="AO134" s="155"/>
      <c r="AP134" s="156"/>
      <c r="AQ134" s="155"/>
      <c r="AR134" s="155"/>
      <c r="AS134" s="155"/>
      <c r="AT134" s="155"/>
      <c r="AU134" s="155"/>
      <c r="AV134" s="155"/>
      <c r="AW134" s="155"/>
      <c r="AX134" s="155"/>
      <c r="AY134" s="155"/>
      <c r="AZ134" s="155"/>
      <c r="BA134" s="155"/>
      <c r="BB134" s="155"/>
      <c r="BC134" s="155"/>
      <c r="BD134" s="155"/>
      <c r="BE134" s="155"/>
      <c r="BF134" s="155"/>
      <c r="BG134" s="155"/>
      <c r="BH134" s="155"/>
      <c r="BI134" s="155"/>
      <c r="BJ134" s="157"/>
    </row>
    <row r="135" spans="1:62" ht="15" customHeight="1">
      <c r="A135" s="1"/>
      <c r="B135" s="112"/>
      <c r="C135" s="113"/>
      <c r="D135" s="113"/>
      <c r="E135" s="113"/>
      <c r="F135" s="113"/>
      <c r="G135" s="113"/>
      <c r="H135" s="128"/>
      <c r="I135" s="114"/>
      <c r="J135" s="113"/>
      <c r="K135" s="128"/>
      <c r="L135" s="115"/>
      <c r="M135" s="113"/>
      <c r="N135" s="128"/>
      <c r="O135" s="116"/>
      <c r="P135" s="113"/>
      <c r="Q135" s="128"/>
      <c r="R135" s="114"/>
      <c r="S135" s="113"/>
      <c r="T135" s="113"/>
      <c r="U135" s="113"/>
      <c r="V135" s="87"/>
      <c r="W135" s="87"/>
      <c r="X135" s="117"/>
      <c r="Y135" s="117"/>
      <c r="Z135" s="117"/>
      <c r="AA135" s="134"/>
      <c r="AB135" s="137" t="s">
        <v>226</v>
      </c>
      <c r="AC135" s="138"/>
      <c r="AD135" s="138"/>
      <c r="AE135" s="138"/>
      <c r="AF135" s="139"/>
      <c r="AG135" s="139"/>
      <c r="AH135" s="139"/>
      <c r="AI135" s="138"/>
      <c r="AJ135" s="138"/>
      <c r="AK135" s="138"/>
      <c r="AL135" s="138"/>
      <c r="AM135" s="140"/>
      <c r="AN135" s="176" t="s">
        <v>215</v>
      </c>
      <c r="AO135" s="177"/>
      <c r="AP135" s="177"/>
      <c r="AQ135" s="177"/>
      <c r="AR135" s="177"/>
      <c r="AS135" s="177"/>
      <c r="AT135" s="177"/>
      <c r="AU135" s="178" t="s">
        <v>216</v>
      </c>
      <c r="AV135" s="177"/>
      <c r="AW135" s="177"/>
      <c r="AX135" s="178" t="s">
        <v>297</v>
      </c>
      <c r="AY135" s="179"/>
      <c r="AZ135" s="179"/>
      <c r="BA135" s="179"/>
      <c r="BB135" s="179"/>
      <c r="BC135" s="179"/>
      <c r="BD135" s="179"/>
      <c r="BE135" s="179"/>
      <c r="BF135" s="179"/>
      <c r="BG135" s="179"/>
      <c r="BH135" s="179"/>
      <c r="BI135" s="179"/>
      <c r="BJ135" s="45"/>
    </row>
    <row r="136" spans="1:62" ht="15" customHeight="1">
      <c r="A136" s="1"/>
      <c r="B136" s="119" t="s">
        <v>221</v>
      </c>
      <c r="C136" s="120"/>
      <c r="D136" s="120"/>
      <c r="E136" s="120"/>
      <c r="F136" s="120"/>
      <c r="G136" s="120"/>
      <c r="H136" s="129"/>
      <c r="I136" s="121" t="s">
        <v>222</v>
      </c>
      <c r="J136" s="120"/>
      <c r="K136" s="129"/>
      <c r="L136" s="136" t="s">
        <v>223</v>
      </c>
      <c r="M136" s="120"/>
      <c r="N136" s="129"/>
      <c r="O136" s="123" t="s">
        <v>225</v>
      </c>
      <c r="P136" s="120"/>
      <c r="Q136" s="129"/>
      <c r="R136" s="121" t="s">
        <v>224</v>
      </c>
      <c r="S136" s="120"/>
      <c r="T136" s="120"/>
      <c r="U136" s="120"/>
      <c r="V136" s="69"/>
      <c r="W136" s="69"/>
      <c r="X136" s="124"/>
      <c r="Y136" s="124"/>
      <c r="Z136" s="124"/>
      <c r="AA136" s="135"/>
      <c r="AB136" s="141" t="str">
        <f>"  """&amp;B136&amp;": ""300"","""</f>
        <v xml:space="preserve">  "company_code: "300","</v>
      </c>
      <c r="AC136" s="142"/>
      <c r="AD136" s="142"/>
      <c r="AE136" s="142"/>
      <c r="AF136" s="33"/>
      <c r="AG136" s="33"/>
      <c r="AH136" s="33"/>
      <c r="AI136" s="142"/>
      <c r="AJ136" s="142"/>
      <c r="AK136" s="142"/>
      <c r="AL136" s="142"/>
      <c r="AM136" s="85"/>
      <c r="AN136" s="149"/>
      <c r="AO136" s="173"/>
      <c r="AP136" s="173"/>
      <c r="AQ136" s="173"/>
      <c r="AR136" s="173"/>
      <c r="AS136" s="173"/>
      <c r="AT136" s="174"/>
      <c r="AU136" s="175"/>
      <c r="AV136" s="173"/>
      <c r="AW136" s="174"/>
      <c r="AX136" s="137" t="s">
        <v>226</v>
      </c>
      <c r="AY136" s="162"/>
      <c r="AZ136" s="162"/>
      <c r="BA136" s="162"/>
      <c r="BB136" s="162"/>
      <c r="BC136" s="162"/>
      <c r="BD136" s="162"/>
      <c r="BE136" s="162"/>
      <c r="BF136" s="162"/>
      <c r="BG136" s="162"/>
      <c r="BH136" s="162"/>
      <c r="BI136" s="162"/>
      <c r="BJ136" s="140"/>
    </row>
    <row r="137" spans="1:62" ht="15" customHeight="1">
      <c r="A137" s="1"/>
      <c r="B137" s="119" t="s">
        <v>227</v>
      </c>
      <c r="C137" s="120"/>
      <c r="D137" s="120"/>
      <c r="E137" s="120"/>
      <c r="F137" s="120"/>
      <c r="G137" s="120"/>
      <c r="H137" s="129"/>
      <c r="I137" s="121" t="s">
        <v>222</v>
      </c>
      <c r="J137" s="120"/>
      <c r="K137" s="129"/>
      <c r="L137" s="122" t="s">
        <v>223</v>
      </c>
      <c r="M137" s="120"/>
      <c r="N137" s="129"/>
      <c r="O137" s="123" t="s">
        <v>225</v>
      </c>
      <c r="P137" s="120"/>
      <c r="Q137" s="129"/>
      <c r="R137" s="121" t="s">
        <v>228</v>
      </c>
      <c r="S137" s="120"/>
      <c r="T137" s="120"/>
      <c r="U137" s="120"/>
      <c r="V137" s="69"/>
      <c r="W137" s="69"/>
      <c r="X137" s="124"/>
      <c r="Y137" s="124"/>
      <c r="Z137" s="124"/>
      <c r="AA137" s="135"/>
      <c r="AB137" s="141" t="str">
        <f>"  """&amp;B137&amp;": ""048405"","""</f>
        <v xml:space="preserve">  "store_code: "048405","</v>
      </c>
      <c r="AC137" s="142"/>
      <c r="AD137" s="142"/>
      <c r="AE137" s="142"/>
      <c r="AF137" s="33"/>
      <c r="AG137" s="33"/>
      <c r="AH137" s="33"/>
      <c r="AI137" s="142"/>
      <c r="AJ137" s="142"/>
      <c r="AK137" s="142"/>
      <c r="AL137" s="142"/>
      <c r="AM137" s="85"/>
      <c r="AN137" s="119" t="s">
        <v>221</v>
      </c>
      <c r="AO137" s="120"/>
      <c r="AP137" s="120"/>
      <c r="AQ137" s="120"/>
      <c r="AR137" s="120"/>
      <c r="AS137" s="120"/>
      <c r="AT137" s="129"/>
      <c r="AU137" s="121" t="s">
        <v>222</v>
      </c>
      <c r="AV137" s="120"/>
      <c r="AW137" s="129"/>
      <c r="AX137" s="141" t="s">
        <v>298</v>
      </c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  <c r="BJ137" s="85"/>
    </row>
    <row r="138" spans="1:62" ht="15" customHeight="1">
      <c r="A138" s="2"/>
      <c r="B138" s="119" t="s">
        <v>229</v>
      </c>
      <c r="C138" s="120"/>
      <c r="D138" s="120"/>
      <c r="E138" s="120"/>
      <c r="F138" s="120"/>
      <c r="G138" s="120"/>
      <c r="H138" s="129"/>
      <c r="I138" s="121" t="s">
        <v>222</v>
      </c>
      <c r="J138" s="120"/>
      <c r="K138" s="129"/>
      <c r="L138" s="122" t="s">
        <v>223</v>
      </c>
      <c r="M138" s="120"/>
      <c r="N138" s="129"/>
      <c r="O138" s="123" t="s">
        <v>225</v>
      </c>
      <c r="P138" s="120"/>
      <c r="Q138" s="129"/>
      <c r="R138" s="121" t="s">
        <v>230</v>
      </c>
      <c r="S138" s="120"/>
      <c r="T138" s="120"/>
      <c r="U138" s="120"/>
      <c r="V138" s="69"/>
      <c r="W138" s="69"/>
      <c r="X138" s="124"/>
      <c r="Y138" s="124"/>
      <c r="Z138" s="124"/>
      <c r="AA138" s="135"/>
      <c r="AB138" s="141" t="str">
        <f>"  """&amp;B138&amp;": ""901"","""</f>
        <v xml:space="preserve">  "instore_code: "901","</v>
      </c>
      <c r="AC138" s="142"/>
      <c r="AD138" s="142"/>
      <c r="AE138" s="142"/>
      <c r="AF138" s="33"/>
      <c r="AG138" s="33"/>
      <c r="AH138" s="33"/>
      <c r="AI138" s="142"/>
      <c r="AJ138" s="142"/>
      <c r="AK138" s="142"/>
      <c r="AL138" s="142"/>
      <c r="AM138" s="85"/>
      <c r="AN138" s="119" t="s">
        <v>227</v>
      </c>
      <c r="AO138" s="120"/>
      <c r="AP138" s="120"/>
      <c r="AQ138" s="120"/>
      <c r="AR138" s="120"/>
      <c r="AS138" s="120"/>
      <c r="AT138" s="129"/>
      <c r="AU138" s="121" t="s">
        <v>222</v>
      </c>
      <c r="AV138" s="120"/>
      <c r="AW138" s="129"/>
      <c r="AX138" s="141" t="s">
        <v>299</v>
      </c>
      <c r="AY138" s="180"/>
      <c r="AZ138" s="180"/>
      <c r="BA138" s="180"/>
      <c r="BB138" s="180"/>
      <c r="BC138" s="180"/>
      <c r="BD138" s="180"/>
      <c r="BE138" s="180"/>
      <c r="BF138" s="180"/>
      <c r="BG138" s="180"/>
      <c r="BH138" s="33"/>
      <c r="BI138" s="33"/>
      <c r="BJ138" s="85"/>
    </row>
    <row r="139" spans="1:62" ht="16.5">
      <c r="B139" s="119"/>
      <c r="C139" s="120"/>
      <c r="D139" s="120"/>
      <c r="E139" s="120"/>
      <c r="F139" s="120"/>
      <c r="G139" s="120"/>
      <c r="H139" s="129"/>
      <c r="I139" s="121"/>
      <c r="J139" s="120"/>
      <c r="K139" s="129"/>
      <c r="L139" s="122"/>
      <c r="M139" s="120"/>
      <c r="N139" s="129"/>
      <c r="O139" s="123"/>
      <c r="P139" s="120"/>
      <c r="Q139" s="129"/>
      <c r="R139" s="121"/>
      <c r="S139" s="120"/>
      <c r="T139" s="120"/>
      <c r="U139" s="120"/>
      <c r="V139" s="69"/>
      <c r="W139" s="69"/>
      <c r="X139" s="124"/>
      <c r="Y139" s="124"/>
      <c r="Z139" s="124"/>
      <c r="AA139" s="135"/>
      <c r="AB139" s="141" t="s">
        <v>295</v>
      </c>
      <c r="AC139" s="142"/>
      <c r="AD139" s="142"/>
      <c r="AE139" s="142"/>
      <c r="AF139" s="33"/>
      <c r="AG139" s="33"/>
      <c r="AH139" s="33"/>
      <c r="AI139" s="142"/>
      <c r="AJ139" s="142"/>
      <c r="AK139" s="142"/>
      <c r="AL139" s="142"/>
      <c r="AM139" s="85"/>
      <c r="AN139" s="119" t="s">
        <v>229</v>
      </c>
      <c r="AO139" s="120"/>
      <c r="AP139" s="120"/>
      <c r="AQ139" s="120"/>
      <c r="AR139" s="120"/>
      <c r="AS139" s="120"/>
      <c r="AT139" s="129"/>
      <c r="AU139" s="121" t="s">
        <v>222</v>
      </c>
      <c r="AV139" s="120"/>
      <c r="AW139" s="129"/>
      <c r="AX139" s="141" t="s">
        <v>300</v>
      </c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85"/>
    </row>
    <row r="140" spans="1:62" ht="16.5">
      <c r="B140" s="119"/>
      <c r="C140" s="120"/>
      <c r="D140" s="120"/>
      <c r="E140" s="120"/>
      <c r="F140" s="120"/>
      <c r="G140" s="120"/>
      <c r="H140" s="129"/>
      <c r="I140" s="121"/>
      <c r="J140" s="120"/>
      <c r="K140" s="129"/>
      <c r="L140" s="122"/>
      <c r="M140" s="120"/>
      <c r="N140" s="129"/>
      <c r="O140" s="123"/>
      <c r="P140" s="120"/>
      <c r="Q140" s="129"/>
      <c r="R140" s="121"/>
      <c r="S140" s="120"/>
      <c r="T140" s="120"/>
      <c r="U140" s="120"/>
      <c r="V140" s="69"/>
      <c r="W140" s="69"/>
      <c r="X140" s="124"/>
      <c r="Y140" s="124"/>
      <c r="Z140" s="124"/>
      <c r="AA140" s="135"/>
      <c r="AB140" s="141"/>
      <c r="AC140" s="142"/>
      <c r="AD140" s="142"/>
      <c r="AE140" s="142"/>
      <c r="AF140" s="33"/>
      <c r="AG140" s="33"/>
      <c r="AH140" s="33"/>
      <c r="AI140" s="142"/>
      <c r="AJ140" s="142"/>
      <c r="AK140" s="142"/>
      <c r="AL140" s="142"/>
      <c r="AM140" s="85"/>
      <c r="AN140" s="119" t="s">
        <v>279</v>
      </c>
      <c r="AO140" s="120"/>
      <c r="AP140" s="120"/>
      <c r="AQ140" s="120"/>
      <c r="AR140" s="120"/>
      <c r="AS140" s="120"/>
      <c r="AT140" s="129"/>
      <c r="AU140" s="121" t="s">
        <v>222</v>
      </c>
      <c r="AV140" s="120"/>
      <c r="AW140" s="129"/>
      <c r="AX140" s="141" t="s">
        <v>301</v>
      </c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  <c r="BJ140" s="85"/>
    </row>
    <row r="141" spans="1:62" ht="16.5">
      <c r="B141" s="119"/>
      <c r="C141" s="120"/>
      <c r="D141" s="120"/>
      <c r="E141" s="120"/>
      <c r="F141" s="120"/>
      <c r="G141" s="120"/>
      <c r="H141" s="129"/>
      <c r="I141" s="121"/>
      <c r="J141" s="120"/>
      <c r="K141" s="129"/>
      <c r="L141" s="122"/>
      <c r="M141" s="120"/>
      <c r="N141" s="129"/>
      <c r="O141" s="123"/>
      <c r="P141" s="120"/>
      <c r="Q141" s="129"/>
      <c r="R141" s="121"/>
      <c r="S141" s="120"/>
      <c r="T141" s="120"/>
      <c r="U141" s="120"/>
      <c r="V141" s="69"/>
      <c r="W141" s="69"/>
      <c r="X141" s="124"/>
      <c r="Y141" s="124"/>
      <c r="Z141" s="124"/>
      <c r="AA141" s="135"/>
      <c r="AB141" s="141"/>
      <c r="AC141" s="142"/>
      <c r="AD141" s="142"/>
      <c r="AE141" s="142"/>
      <c r="AF141" s="33"/>
      <c r="AG141" s="33"/>
      <c r="AH141" s="33"/>
      <c r="AI141" s="142"/>
      <c r="AJ141" s="142"/>
      <c r="AK141" s="142"/>
      <c r="AL141" s="142"/>
      <c r="AM141" s="85"/>
      <c r="AN141" s="119" t="s">
        <v>144</v>
      </c>
      <c r="AO141" s="120"/>
      <c r="AP141" s="120"/>
      <c r="AQ141" s="120"/>
      <c r="AR141" s="120"/>
      <c r="AS141" s="120"/>
      <c r="AT141" s="129"/>
      <c r="AU141" s="121" t="s">
        <v>276</v>
      </c>
      <c r="AV141" s="120"/>
      <c r="AW141" s="129"/>
      <c r="AX141" s="141" t="s">
        <v>302</v>
      </c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  <c r="BJ141" s="85"/>
    </row>
    <row r="142" spans="1:62" ht="16.5">
      <c r="B142" s="119"/>
      <c r="C142" s="120"/>
      <c r="D142" s="120"/>
      <c r="E142" s="120"/>
      <c r="F142" s="120"/>
      <c r="G142" s="120"/>
      <c r="H142" s="129"/>
      <c r="I142" s="121"/>
      <c r="J142" s="120"/>
      <c r="K142" s="129"/>
      <c r="L142" s="122"/>
      <c r="M142" s="120"/>
      <c r="N142" s="129"/>
      <c r="O142" s="123"/>
      <c r="P142" s="120"/>
      <c r="Q142" s="129"/>
      <c r="R142" s="121"/>
      <c r="S142" s="120"/>
      <c r="T142" s="120"/>
      <c r="U142" s="120"/>
      <c r="V142" s="69"/>
      <c r="W142" s="69"/>
      <c r="X142" s="124"/>
      <c r="Y142" s="124"/>
      <c r="Z142" s="124"/>
      <c r="AA142" s="135"/>
      <c r="AB142" s="141"/>
      <c r="AC142" s="142"/>
      <c r="AD142" s="142"/>
      <c r="AE142" s="142"/>
      <c r="AF142" s="33"/>
      <c r="AG142" s="33"/>
      <c r="AH142" s="33"/>
      <c r="AI142" s="142"/>
      <c r="AJ142" s="142"/>
      <c r="AK142" s="142"/>
      <c r="AL142" s="142"/>
      <c r="AM142" s="85"/>
      <c r="AN142" s="119" t="s">
        <v>232</v>
      </c>
      <c r="AO142" s="120"/>
      <c r="AP142" s="120"/>
      <c r="AQ142" s="120"/>
      <c r="AR142" s="120"/>
      <c r="AS142" s="120"/>
      <c r="AT142" s="129"/>
      <c r="AU142" s="121" t="s">
        <v>275</v>
      </c>
      <c r="AV142" s="120"/>
      <c r="AW142" s="129"/>
      <c r="AX142" s="141" t="s">
        <v>303</v>
      </c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  <c r="BJ142" s="85"/>
    </row>
    <row r="143" spans="1:62" ht="16.5">
      <c r="B143" s="119"/>
      <c r="C143" s="120"/>
      <c r="D143" s="120"/>
      <c r="E143" s="120"/>
      <c r="F143" s="120"/>
      <c r="G143" s="120"/>
      <c r="H143" s="129"/>
      <c r="I143" s="121"/>
      <c r="J143" s="120"/>
      <c r="K143" s="129"/>
      <c r="L143" s="122"/>
      <c r="M143" s="120"/>
      <c r="N143" s="129"/>
      <c r="O143" s="123"/>
      <c r="P143" s="120"/>
      <c r="Q143" s="129"/>
      <c r="R143" s="121"/>
      <c r="S143" s="120"/>
      <c r="T143" s="120"/>
      <c r="U143" s="120"/>
      <c r="V143" s="69"/>
      <c r="W143" s="69"/>
      <c r="X143" s="124"/>
      <c r="Y143" s="124"/>
      <c r="Z143" s="124"/>
      <c r="AA143" s="135"/>
      <c r="AB143" s="141"/>
      <c r="AC143" s="142"/>
      <c r="AD143" s="142"/>
      <c r="AE143" s="142"/>
      <c r="AF143" s="33"/>
      <c r="AG143" s="33"/>
      <c r="AH143" s="33"/>
      <c r="AI143" s="142"/>
      <c r="AJ143" s="142"/>
      <c r="AK143" s="142"/>
      <c r="AL143" s="142"/>
      <c r="AM143" s="85"/>
      <c r="AN143" s="119" t="s">
        <v>234</v>
      </c>
      <c r="AO143" s="120"/>
      <c r="AP143" s="120"/>
      <c r="AQ143" s="120"/>
      <c r="AR143" s="120"/>
      <c r="AS143" s="120"/>
      <c r="AT143" s="129"/>
      <c r="AU143" s="121" t="s">
        <v>276</v>
      </c>
      <c r="AV143" s="120"/>
      <c r="AW143" s="129"/>
      <c r="AX143" s="141" t="s">
        <v>304</v>
      </c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  <c r="BJ143" s="85"/>
    </row>
    <row r="144" spans="1:62" ht="16.5">
      <c r="B144" s="119"/>
      <c r="C144" s="120"/>
      <c r="D144" s="120"/>
      <c r="E144" s="120"/>
      <c r="F144" s="120"/>
      <c r="G144" s="120"/>
      <c r="H144" s="129"/>
      <c r="I144" s="121"/>
      <c r="J144" s="120"/>
      <c r="K144" s="129"/>
      <c r="L144" s="126"/>
      <c r="M144" s="120"/>
      <c r="N144" s="129"/>
      <c r="O144" s="123"/>
      <c r="P144" s="120"/>
      <c r="Q144" s="129"/>
      <c r="R144" s="121"/>
      <c r="S144" s="120"/>
      <c r="T144" s="120"/>
      <c r="U144" s="120"/>
      <c r="V144" s="69"/>
      <c r="W144" s="69"/>
      <c r="X144" s="120"/>
      <c r="Y144" s="120"/>
      <c r="Z144" s="120"/>
      <c r="AA144" s="129"/>
      <c r="AB144" s="141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85"/>
      <c r="AN144" s="119" t="s">
        <v>235</v>
      </c>
      <c r="AO144" s="120"/>
      <c r="AP144" s="120"/>
      <c r="AQ144" s="120"/>
      <c r="AR144" s="120"/>
      <c r="AS144" s="120"/>
      <c r="AT144" s="129"/>
      <c r="AU144" s="121" t="s">
        <v>276</v>
      </c>
      <c r="AV144" s="120"/>
      <c r="AW144" s="129"/>
      <c r="AX144" s="141" t="s">
        <v>305</v>
      </c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85"/>
    </row>
    <row r="145" spans="2:62" ht="16.5">
      <c r="B145" s="68"/>
      <c r="C145" s="69"/>
      <c r="D145" s="69"/>
      <c r="E145" s="69"/>
      <c r="F145" s="69"/>
      <c r="G145" s="69"/>
      <c r="H145" s="131"/>
      <c r="I145" s="130"/>
      <c r="J145" s="69"/>
      <c r="K145" s="131"/>
      <c r="L145" s="130"/>
      <c r="M145" s="69"/>
      <c r="N145" s="131"/>
      <c r="O145" s="130"/>
      <c r="P145" s="69"/>
      <c r="Q145" s="131"/>
      <c r="R145" s="130"/>
      <c r="S145" s="69"/>
      <c r="T145" s="69"/>
      <c r="U145" s="69"/>
      <c r="V145" s="69"/>
      <c r="W145" s="69"/>
      <c r="X145" s="69"/>
      <c r="Y145" s="69"/>
      <c r="Z145" s="69"/>
      <c r="AA145" s="131"/>
      <c r="AB145" s="141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85"/>
      <c r="AN145" s="119" t="s">
        <v>236</v>
      </c>
      <c r="AO145" s="120"/>
      <c r="AP145" s="120"/>
      <c r="AQ145" s="120"/>
      <c r="AR145" s="120"/>
      <c r="AS145" s="120"/>
      <c r="AT145" s="129"/>
      <c r="AU145" s="121" t="s">
        <v>276</v>
      </c>
      <c r="AV145" s="120"/>
      <c r="AW145" s="129"/>
      <c r="AX145" s="141" t="s">
        <v>306</v>
      </c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85"/>
    </row>
    <row r="146" spans="2:62" ht="16.5">
      <c r="B146" s="68"/>
      <c r="C146" s="69"/>
      <c r="D146" s="69"/>
      <c r="E146" s="69"/>
      <c r="F146" s="69"/>
      <c r="G146" s="69"/>
      <c r="H146" s="131"/>
      <c r="I146" s="130"/>
      <c r="J146" s="69"/>
      <c r="K146" s="131"/>
      <c r="L146" s="130"/>
      <c r="M146" s="69"/>
      <c r="N146" s="131"/>
      <c r="O146" s="130"/>
      <c r="P146" s="69"/>
      <c r="Q146" s="131"/>
      <c r="R146" s="130"/>
      <c r="S146" s="69"/>
      <c r="T146" s="69"/>
      <c r="U146" s="69"/>
      <c r="V146" s="69"/>
      <c r="W146" s="69"/>
      <c r="X146" s="69"/>
      <c r="Y146" s="69"/>
      <c r="Z146" s="69"/>
      <c r="AA146" s="131"/>
      <c r="AB146" s="141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85"/>
      <c r="AN146" s="68" t="s">
        <v>237</v>
      </c>
      <c r="AO146" s="69"/>
      <c r="AP146" s="69"/>
      <c r="AQ146" s="69"/>
      <c r="AR146" s="69"/>
      <c r="AS146" s="69"/>
      <c r="AT146" s="131"/>
      <c r="AU146" s="130" t="s">
        <v>276</v>
      </c>
      <c r="AV146" s="69"/>
      <c r="AW146" s="131"/>
      <c r="AX146" s="141" t="s">
        <v>307</v>
      </c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85"/>
    </row>
    <row r="147" spans="2:62" ht="16.5">
      <c r="B147" s="68"/>
      <c r="C147" s="69"/>
      <c r="D147" s="69"/>
      <c r="E147" s="69"/>
      <c r="F147" s="69"/>
      <c r="G147" s="69"/>
      <c r="H147" s="131"/>
      <c r="I147" s="130"/>
      <c r="J147" s="69"/>
      <c r="K147" s="131"/>
      <c r="L147" s="130"/>
      <c r="M147" s="69"/>
      <c r="N147" s="131"/>
      <c r="O147" s="130"/>
      <c r="P147" s="69"/>
      <c r="Q147" s="131"/>
      <c r="R147" s="130"/>
      <c r="S147" s="69"/>
      <c r="T147" s="69"/>
      <c r="U147" s="69"/>
      <c r="V147" s="69"/>
      <c r="W147" s="69"/>
      <c r="X147" s="69"/>
      <c r="Y147" s="69"/>
      <c r="Z147" s="69"/>
      <c r="AA147" s="131"/>
      <c r="AB147" s="141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85"/>
      <c r="AN147" s="68" t="s">
        <v>238</v>
      </c>
      <c r="AO147" s="69"/>
      <c r="AP147" s="69"/>
      <c r="AQ147" s="69"/>
      <c r="AR147" s="69"/>
      <c r="AS147" s="69"/>
      <c r="AT147" s="131"/>
      <c r="AU147" s="130" t="s">
        <v>276</v>
      </c>
      <c r="AV147" s="69"/>
      <c r="AW147" s="131"/>
      <c r="AX147" s="141" t="s">
        <v>308</v>
      </c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85"/>
    </row>
    <row r="148" spans="2:62" ht="16.5">
      <c r="B148" s="68"/>
      <c r="C148" s="69"/>
      <c r="D148" s="69"/>
      <c r="E148" s="69"/>
      <c r="F148" s="69"/>
      <c r="G148" s="69"/>
      <c r="H148" s="131"/>
      <c r="I148" s="130"/>
      <c r="J148" s="69"/>
      <c r="K148" s="131"/>
      <c r="L148" s="130"/>
      <c r="M148" s="69"/>
      <c r="N148" s="131"/>
      <c r="O148" s="130"/>
      <c r="P148" s="69"/>
      <c r="Q148" s="131"/>
      <c r="R148" s="130"/>
      <c r="S148" s="69"/>
      <c r="T148" s="69"/>
      <c r="U148" s="69"/>
      <c r="V148" s="69"/>
      <c r="W148" s="69"/>
      <c r="X148" s="69"/>
      <c r="Y148" s="69"/>
      <c r="Z148" s="69"/>
      <c r="AA148" s="131"/>
      <c r="AB148" s="141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85"/>
      <c r="AN148" s="68" t="s">
        <v>239</v>
      </c>
      <c r="AO148" s="69"/>
      <c r="AP148" s="69"/>
      <c r="AQ148" s="69"/>
      <c r="AR148" s="69"/>
      <c r="AS148" s="69"/>
      <c r="AT148" s="131"/>
      <c r="AU148" s="130" t="s">
        <v>276</v>
      </c>
      <c r="AV148" s="69"/>
      <c r="AW148" s="131"/>
      <c r="AX148" s="141" t="s">
        <v>309</v>
      </c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85"/>
    </row>
    <row r="149" spans="2:62" ht="16.5">
      <c r="B149" s="68"/>
      <c r="C149" s="69"/>
      <c r="D149" s="69"/>
      <c r="E149" s="69"/>
      <c r="F149" s="69"/>
      <c r="G149" s="69"/>
      <c r="H149" s="131"/>
      <c r="I149" s="130"/>
      <c r="J149" s="69"/>
      <c r="K149" s="131"/>
      <c r="L149" s="130"/>
      <c r="M149" s="69"/>
      <c r="N149" s="131"/>
      <c r="O149" s="130"/>
      <c r="P149" s="69"/>
      <c r="Q149" s="131"/>
      <c r="R149" s="130"/>
      <c r="S149" s="69"/>
      <c r="T149" s="69"/>
      <c r="U149" s="69"/>
      <c r="V149" s="69"/>
      <c r="W149" s="69"/>
      <c r="X149" s="69"/>
      <c r="Y149" s="69"/>
      <c r="Z149" s="69"/>
      <c r="AA149" s="131"/>
      <c r="AB149" s="141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85"/>
      <c r="AN149" s="68" t="s">
        <v>240</v>
      </c>
      <c r="AO149" s="69"/>
      <c r="AP149" s="69"/>
      <c r="AQ149" s="69"/>
      <c r="AR149" s="69"/>
      <c r="AS149" s="69"/>
      <c r="AT149" s="131"/>
      <c r="AU149" s="130" t="s">
        <v>276</v>
      </c>
      <c r="AV149" s="69"/>
      <c r="AW149" s="131"/>
      <c r="AX149" s="141" t="s">
        <v>310</v>
      </c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85"/>
    </row>
    <row r="150" spans="2:62" ht="16.5">
      <c r="B150" s="68"/>
      <c r="C150" s="69"/>
      <c r="D150" s="69"/>
      <c r="E150" s="69"/>
      <c r="F150" s="69"/>
      <c r="G150" s="69"/>
      <c r="H150" s="131"/>
      <c r="I150" s="130"/>
      <c r="J150" s="69"/>
      <c r="K150" s="131"/>
      <c r="L150" s="130"/>
      <c r="M150" s="69"/>
      <c r="N150" s="131"/>
      <c r="O150" s="130"/>
      <c r="P150" s="69"/>
      <c r="Q150" s="131"/>
      <c r="R150" s="130"/>
      <c r="S150" s="69"/>
      <c r="T150" s="69"/>
      <c r="U150" s="69"/>
      <c r="V150" s="69"/>
      <c r="W150" s="69"/>
      <c r="X150" s="69"/>
      <c r="Y150" s="69"/>
      <c r="Z150" s="69"/>
      <c r="AA150" s="131"/>
      <c r="AB150" s="141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85"/>
      <c r="AN150" s="68" t="s">
        <v>241</v>
      </c>
      <c r="AO150" s="69"/>
      <c r="AP150" s="69"/>
      <c r="AQ150" s="69"/>
      <c r="AR150" s="69"/>
      <c r="AS150" s="69"/>
      <c r="AT150" s="131"/>
      <c r="AU150" s="130" t="s">
        <v>276</v>
      </c>
      <c r="AV150" s="69"/>
      <c r="AW150" s="131"/>
      <c r="AX150" s="141" t="s">
        <v>311</v>
      </c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85"/>
    </row>
    <row r="151" spans="2:62" ht="16.5">
      <c r="B151" s="68"/>
      <c r="C151" s="69"/>
      <c r="D151" s="69"/>
      <c r="E151" s="69"/>
      <c r="F151" s="69"/>
      <c r="G151" s="69"/>
      <c r="H151" s="131"/>
      <c r="I151" s="130"/>
      <c r="J151" s="69"/>
      <c r="K151" s="131"/>
      <c r="L151" s="130"/>
      <c r="M151" s="69"/>
      <c r="N151" s="131"/>
      <c r="O151" s="130"/>
      <c r="P151" s="69"/>
      <c r="Q151" s="131"/>
      <c r="R151" s="130"/>
      <c r="S151" s="69"/>
      <c r="T151" s="69"/>
      <c r="U151" s="69"/>
      <c r="V151" s="69"/>
      <c r="W151" s="69"/>
      <c r="X151" s="69"/>
      <c r="Y151" s="69"/>
      <c r="Z151" s="69"/>
      <c r="AA151" s="131"/>
      <c r="AB151" s="141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85"/>
      <c r="AN151" s="68" t="s">
        <v>242</v>
      </c>
      <c r="AO151" s="69"/>
      <c r="AP151" s="69"/>
      <c r="AQ151" s="69"/>
      <c r="AR151" s="69"/>
      <c r="AS151" s="69"/>
      <c r="AT151" s="131"/>
      <c r="AU151" s="130" t="s">
        <v>276</v>
      </c>
      <c r="AV151" s="69"/>
      <c r="AW151" s="131"/>
      <c r="AX151" s="141" t="s">
        <v>312</v>
      </c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85"/>
    </row>
    <row r="152" spans="2:62" ht="16.5">
      <c r="B152" s="68"/>
      <c r="C152" s="69"/>
      <c r="D152" s="69"/>
      <c r="E152" s="69"/>
      <c r="F152" s="69"/>
      <c r="G152" s="69"/>
      <c r="H152" s="131"/>
      <c r="I152" s="130"/>
      <c r="J152" s="69"/>
      <c r="K152" s="131"/>
      <c r="L152" s="130"/>
      <c r="M152" s="69"/>
      <c r="N152" s="131"/>
      <c r="O152" s="130"/>
      <c r="P152" s="69"/>
      <c r="Q152" s="131"/>
      <c r="R152" s="130"/>
      <c r="S152" s="69"/>
      <c r="T152" s="69"/>
      <c r="U152" s="69"/>
      <c r="V152" s="69"/>
      <c r="W152" s="69"/>
      <c r="X152" s="69"/>
      <c r="Y152" s="69"/>
      <c r="Z152" s="69"/>
      <c r="AA152" s="131"/>
      <c r="AB152" s="141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85"/>
      <c r="AN152" s="68" t="s">
        <v>243</v>
      </c>
      <c r="AO152" s="69"/>
      <c r="AP152" s="69"/>
      <c r="AQ152" s="69"/>
      <c r="AR152" s="69"/>
      <c r="AS152" s="69"/>
      <c r="AT152" s="131"/>
      <c r="AU152" s="130" t="s">
        <v>276</v>
      </c>
      <c r="AV152" s="69"/>
      <c r="AW152" s="131"/>
      <c r="AX152" s="141" t="s">
        <v>313</v>
      </c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85"/>
    </row>
    <row r="153" spans="2:62" ht="16.5">
      <c r="B153" s="68"/>
      <c r="C153" s="69"/>
      <c r="D153" s="69"/>
      <c r="E153" s="69"/>
      <c r="F153" s="69"/>
      <c r="G153" s="69"/>
      <c r="H153" s="131"/>
      <c r="I153" s="130"/>
      <c r="J153" s="69"/>
      <c r="K153" s="131"/>
      <c r="L153" s="130"/>
      <c r="M153" s="69"/>
      <c r="N153" s="131"/>
      <c r="O153" s="130"/>
      <c r="P153" s="69"/>
      <c r="Q153" s="131"/>
      <c r="R153" s="130"/>
      <c r="S153" s="69"/>
      <c r="T153" s="69"/>
      <c r="U153" s="69"/>
      <c r="V153" s="69"/>
      <c r="W153" s="69"/>
      <c r="X153" s="69"/>
      <c r="Y153" s="69"/>
      <c r="Z153" s="69"/>
      <c r="AA153" s="131"/>
      <c r="AB153" s="141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85"/>
      <c r="AN153" s="68" t="s">
        <v>245</v>
      </c>
      <c r="AO153" s="69"/>
      <c r="AP153" s="69"/>
      <c r="AQ153" s="69"/>
      <c r="AR153" s="69"/>
      <c r="AS153" s="69"/>
      <c r="AT153" s="131"/>
      <c r="AU153" s="130" t="s">
        <v>276</v>
      </c>
      <c r="AV153" s="69"/>
      <c r="AW153" s="131"/>
      <c r="AX153" s="141" t="s">
        <v>314</v>
      </c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85"/>
    </row>
    <row r="154" spans="2:62" ht="16.5">
      <c r="B154" s="68"/>
      <c r="C154" s="69"/>
      <c r="D154" s="69"/>
      <c r="E154" s="69"/>
      <c r="F154" s="69"/>
      <c r="G154" s="69"/>
      <c r="H154" s="131"/>
      <c r="I154" s="130"/>
      <c r="J154" s="69"/>
      <c r="K154" s="131"/>
      <c r="L154" s="130"/>
      <c r="M154" s="69"/>
      <c r="N154" s="131"/>
      <c r="O154" s="130"/>
      <c r="P154" s="69"/>
      <c r="Q154" s="131"/>
      <c r="R154" s="130"/>
      <c r="S154" s="69"/>
      <c r="T154" s="69"/>
      <c r="U154" s="69"/>
      <c r="V154" s="69"/>
      <c r="W154" s="69"/>
      <c r="X154" s="69"/>
      <c r="Y154" s="69"/>
      <c r="Z154" s="69"/>
      <c r="AA154" s="131"/>
      <c r="AB154" s="141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85"/>
      <c r="AN154" s="68" t="s">
        <v>246</v>
      </c>
      <c r="AO154" s="69"/>
      <c r="AP154" s="69"/>
      <c r="AQ154" s="69"/>
      <c r="AR154" s="69"/>
      <c r="AS154" s="69"/>
      <c r="AT154" s="131"/>
      <c r="AU154" s="130" t="s">
        <v>276</v>
      </c>
      <c r="AV154" s="69"/>
      <c r="AW154" s="131"/>
      <c r="AX154" s="141" t="s">
        <v>315</v>
      </c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85"/>
    </row>
    <row r="155" spans="2:62" ht="16.5">
      <c r="B155" s="68"/>
      <c r="C155" s="69"/>
      <c r="D155" s="69"/>
      <c r="E155" s="69"/>
      <c r="F155" s="69"/>
      <c r="G155" s="69"/>
      <c r="H155" s="131"/>
      <c r="I155" s="130"/>
      <c r="J155" s="69"/>
      <c r="K155" s="131"/>
      <c r="L155" s="130"/>
      <c r="M155" s="69"/>
      <c r="N155" s="131"/>
      <c r="O155" s="130"/>
      <c r="P155" s="69"/>
      <c r="Q155" s="131"/>
      <c r="R155" s="130"/>
      <c r="S155" s="69"/>
      <c r="T155" s="69"/>
      <c r="U155" s="69"/>
      <c r="V155" s="69"/>
      <c r="W155" s="69"/>
      <c r="X155" s="69"/>
      <c r="Y155" s="69"/>
      <c r="Z155" s="69"/>
      <c r="AA155" s="131"/>
      <c r="AB155" s="141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85"/>
      <c r="AN155" s="68" t="s">
        <v>247</v>
      </c>
      <c r="AO155" s="69"/>
      <c r="AP155" s="69"/>
      <c r="AQ155" s="69"/>
      <c r="AR155" s="69"/>
      <c r="AS155" s="69"/>
      <c r="AT155" s="131"/>
      <c r="AU155" s="130" t="s">
        <v>276</v>
      </c>
      <c r="AV155" s="69"/>
      <c r="AW155" s="131"/>
      <c r="AX155" s="141" t="s">
        <v>316</v>
      </c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85"/>
    </row>
    <row r="156" spans="2:62" ht="16.5">
      <c r="B156" s="68"/>
      <c r="C156" s="69"/>
      <c r="D156" s="69"/>
      <c r="E156" s="69"/>
      <c r="F156" s="69"/>
      <c r="G156" s="69"/>
      <c r="H156" s="131"/>
      <c r="I156" s="130"/>
      <c r="J156" s="69"/>
      <c r="K156" s="131"/>
      <c r="L156" s="130"/>
      <c r="M156" s="69"/>
      <c r="N156" s="131"/>
      <c r="O156" s="130"/>
      <c r="P156" s="69"/>
      <c r="Q156" s="131"/>
      <c r="R156" s="130"/>
      <c r="S156" s="69"/>
      <c r="T156" s="69"/>
      <c r="U156" s="69"/>
      <c r="V156" s="69"/>
      <c r="W156" s="69"/>
      <c r="X156" s="69"/>
      <c r="Y156" s="69"/>
      <c r="Z156" s="69"/>
      <c r="AA156" s="131"/>
      <c r="AB156" s="141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85"/>
      <c r="AN156" s="68" t="s">
        <v>248</v>
      </c>
      <c r="AO156" s="69"/>
      <c r="AP156" s="69"/>
      <c r="AQ156" s="69"/>
      <c r="AR156" s="69"/>
      <c r="AS156" s="69"/>
      <c r="AT156" s="131"/>
      <c r="AU156" s="130" t="s">
        <v>276</v>
      </c>
      <c r="AV156" s="69"/>
      <c r="AW156" s="131"/>
      <c r="AX156" s="141" t="s">
        <v>317</v>
      </c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85"/>
    </row>
    <row r="157" spans="2:62" ht="16.5">
      <c r="B157" s="68"/>
      <c r="C157" s="69"/>
      <c r="D157" s="69"/>
      <c r="E157" s="69"/>
      <c r="F157" s="69"/>
      <c r="G157" s="69"/>
      <c r="H157" s="131"/>
      <c r="I157" s="130"/>
      <c r="J157" s="69"/>
      <c r="K157" s="131"/>
      <c r="L157" s="130"/>
      <c r="M157" s="69"/>
      <c r="N157" s="131"/>
      <c r="O157" s="130"/>
      <c r="P157" s="69"/>
      <c r="Q157" s="131"/>
      <c r="R157" s="130"/>
      <c r="S157" s="69"/>
      <c r="T157" s="69"/>
      <c r="U157" s="69"/>
      <c r="V157" s="69"/>
      <c r="W157" s="69"/>
      <c r="X157" s="69"/>
      <c r="Y157" s="69"/>
      <c r="Z157" s="69"/>
      <c r="AA157" s="131"/>
      <c r="AB157" s="141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85"/>
      <c r="AN157" s="68" t="s">
        <v>249</v>
      </c>
      <c r="AO157" s="69"/>
      <c r="AP157" s="69"/>
      <c r="AQ157" s="69"/>
      <c r="AR157" s="69"/>
      <c r="AS157" s="69"/>
      <c r="AT157" s="131"/>
      <c r="AU157" s="130" t="s">
        <v>276</v>
      </c>
      <c r="AV157" s="69"/>
      <c r="AW157" s="131"/>
      <c r="AX157" s="141" t="s">
        <v>318</v>
      </c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85"/>
    </row>
    <row r="158" spans="2:62" ht="16.5">
      <c r="B158" s="68"/>
      <c r="C158" s="69"/>
      <c r="D158" s="69"/>
      <c r="E158" s="69"/>
      <c r="F158" s="69"/>
      <c r="G158" s="69"/>
      <c r="H158" s="131"/>
      <c r="I158" s="130"/>
      <c r="J158" s="69"/>
      <c r="K158" s="131"/>
      <c r="L158" s="130"/>
      <c r="M158" s="69"/>
      <c r="N158" s="131"/>
      <c r="O158" s="130"/>
      <c r="P158" s="69"/>
      <c r="Q158" s="131"/>
      <c r="R158" s="130"/>
      <c r="S158" s="69"/>
      <c r="T158" s="69"/>
      <c r="U158" s="69"/>
      <c r="V158" s="69"/>
      <c r="W158" s="69"/>
      <c r="X158" s="69"/>
      <c r="Y158" s="69"/>
      <c r="Z158" s="69"/>
      <c r="AA158" s="131"/>
      <c r="AB158" s="141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85"/>
      <c r="AN158" s="68" t="s">
        <v>250</v>
      </c>
      <c r="AO158" s="69"/>
      <c r="AP158" s="69"/>
      <c r="AQ158" s="69"/>
      <c r="AR158" s="69"/>
      <c r="AS158" s="69"/>
      <c r="AT158" s="131"/>
      <c r="AU158" s="130" t="s">
        <v>276</v>
      </c>
      <c r="AV158" s="69"/>
      <c r="AW158" s="131"/>
      <c r="AX158" s="141" t="s">
        <v>319</v>
      </c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85"/>
    </row>
    <row r="159" spans="2:62" ht="16.5">
      <c r="B159" s="68"/>
      <c r="C159" s="69"/>
      <c r="D159" s="69"/>
      <c r="E159" s="69"/>
      <c r="F159" s="69"/>
      <c r="G159" s="69"/>
      <c r="H159" s="131"/>
      <c r="I159" s="130"/>
      <c r="J159" s="69"/>
      <c r="K159" s="131"/>
      <c r="L159" s="130"/>
      <c r="M159" s="69"/>
      <c r="N159" s="131"/>
      <c r="O159" s="130"/>
      <c r="P159" s="69"/>
      <c r="Q159" s="131"/>
      <c r="R159" s="130"/>
      <c r="S159" s="69"/>
      <c r="T159" s="69"/>
      <c r="U159" s="69"/>
      <c r="V159" s="69"/>
      <c r="W159" s="69"/>
      <c r="X159" s="69"/>
      <c r="Y159" s="69"/>
      <c r="Z159" s="69"/>
      <c r="AA159" s="131"/>
      <c r="AB159" s="141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85"/>
      <c r="AN159" s="68" t="s">
        <v>251</v>
      </c>
      <c r="AO159" s="69"/>
      <c r="AP159" s="69"/>
      <c r="AQ159" s="69"/>
      <c r="AR159" s="69"/>
      <c r="AS159" s="69"/>
      <c r="AT159" s="131"/>
      <c r="AU159" s="130" t="s">
        <v>276</v>
      </c>
      <c r="AV159" s="69"/>
      <c r="AW159" s="131"/>
      <c r="AX159" s="141" t="s">
        <v>320</v>
      </c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85"/>
    </row>
    <row r="160" spans="2:62" ht="16.5">
      <c r="B160" s="68"/>
      <c r="C160" s="69"/>
      <c r="D160" s="69"/>
      <c r="E160" s="69"/>
      <c r="F160" s="69"/>
      <c r="G160" s="69"/>
      <c r="H160" s="131"/>
      <c r="I160" s="130"/>
      <c r="J160" s="69"/>
      <c r="K160" s="131"/>
      <c r="L160" s="130"/>
      <c r="M160" s="69"/>
      <c r="N160" s="131"/>
      <c r="O160" s="130"/>
      <c r="P160" s="69"/>
      <c r="Q160" s="131"/>
      <c r="R160" s="130"/>
      <c r="S160" s="69"/>
      <c r="T160" s="69"/>
      <c r="U160" s="69"/>
      <c r="V160" s="69"/>
      <c r="W160" s="69"/>
      <c r="X160" s="69"/>
      <c r="Y160" s="69"/>
      <c r="Z160" s="69"/>
      <c r="AA160" s="131"/>
      <c r="AB160" s="141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85"/>
      <c r="AN160" s="68" t="s">
        <v>252</v>
      </c>
      <c r="AO160" s="69"/>
      <c r="AP160" s="69"/>
      <c r="AQ160" s="69"/>
      <c r="AR160" s="69"/>
      <c r="AS160" s="69"/>
      <c r="AT160" s="131"/>
      <c r="AU160" s="130" t="s">
        <v>276</v>
      </c>
      <c r="AV160" s="69"/>
      <c r="AW160" s="131"/>
      <c r="AX160" s="141" t="s">
        <v>321</v>
      </c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85"/>
    </row>
    <row r="161" spans="2:62" ht="16.5">
      <c r="B161" s="68"/>
      <c r="C161" s="69"/>
      <c r="D161" s="69"/>
      <c r="E161" s="69"/>
      <c r="F161" s="69"/>
      <c r="G161" s="69"/>
      <c r="H161" s="131"/>
      <c r="I161" s="130"/>
      <c r="J161" s="69"/>
      <c r="K161" s="131"/>
      <c r="L161" s="130"/>
      <c r="M161" s="69"/>
      <c r="N161" s="131"/>
      <c r="O161" s="130"/>
      <c r="P161" s="69"/>
      <c r="Q161" s="131"/>
      <c r="R161" s="130"/>
      <c r="S161" s="69"/>
      <c r="T161" s="69"/>
      <c r="U161" s="69"/>
      <c r="V161" s="69"/>
      <c r="W161" s="69"/>
      <c r="X161" s="69"/>
      <c r="Y161" s="69"/>
      <c r="Z161" s="69"/>
      <c r="AA161" s="131"/>
      <c r="AB161" s="141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85"/>
      <c r="AN161" s="68" t="s">
        <v>253</v>
      </c>
      <c r="AO161" s="69"/>
      <c r="AP161" s="69"/>
      <c r="AQ161" s="69"/>
      <c r="AR161" s="69"/>
      <c r="AS161" s="69"/>
      <c r="AT161" s="131"/>
      <c r="AU161" s="130" t="s">
        <v>276</v>
      </c>
      <c r="AV161" s="69"/>
      <c r="AW161" s="131"/>
      <c r="AX161" s="141" t="s">
        <v>322</v>
      </c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85"/>
    </row>
    <row r="162" spans="2:62" ht="16.5">
      <c r="B162" s="68"/>
      <c r="C162" s="69"/>
      <c r="D162" s="69"/>
      <c r="E162" s="69"/>
      <c r="F162" s="69"/>
      <c r="G162" s="69"/>
      <c r="H162" s="131"/>
      <c r="I162" s="130"/>
      <c r="J162" s="69"/>
      <c r="K162" s="131"/>
      <c r="L162" s="130"/>
      <c r="M162" s="69"/>
      <c r="N162" s="131"/>
      <c r="O162" s="130"/>
      <c r="P162" s="69"/>
      <c r="Q162" s="131"/>
      <c r="R162" s="130"/>
      <c r="S162" s="69"/>
      <c r="T162" s="69"/>
      <c r="U162" s="69"/>
      <c r="V162" s="69"/>
      <c r="W162" s="69"/>
      <c r="X162" s="69"/>
      <c r="Y162" s="69"/>
      <c r="Z162" s="69"/>
      <c r="AA162" s="131"/>
      <c r="AB162" s="141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85"/>
      <c r="AN162" s="68" t="s">
        <v>254</v>
      </c>
      <c r="AO162" s="69"/>
      <c r="AP162" s="69"/>
      <c r="AQ162" s="69"/>
      <c r="AR162" s="69"/>
      <c r="AS162" s="69"/>
      <c r="AT162" s="131"/>
      <c r="AU162" s="130" t="s">
        <v>276</v>
      </c>
      <c r="AV162" s="69"/>
      <c r="AW162" s="131"/>
      <c r="AX162" s="141" t="s">
        <v>323</v>
      </c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85"/>
    </row>
    <row r="163" spans="2:62" ht="16.5">
      <c r="B163" s="68"/>
      <c r="C163" s="69"/>
      <c r="D163" s="69"/>
      <c r="E163" s="69"/>
      <c r="F163" s="69"/>
      <c r="G163" s="69"/>
      <c r="H163" s="131"/>
      <c r="I163" s="130"/>
      <c r="J163" s="69"/>
      <c r="K163" s="131"/>
      <c r="L163" s="130"/>
      <c r="M163" s="69"/>
      <c r="N163" s="131"/>
      <c r="O163" s="130"/>
      <c r="P163" s="69"/>
      <c r="Q163" s="131"/>
      <c r="R163" s="130"/>
      <c r="S163" s="69"/>
      <c r="T163" s="69"/>
      <c r="U163" s="69"/>
      <c r="V163" s="69"/>
      <c r="W163" s="69"/>
      <c r="X163" s="69"/>
      <c r="Y163" s="69"/>
      <c r="Z163" s="69"/>
      <c r="AA163" s="131"/>
      <c r="AB163" s="141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85"/>
      <c r="AN163" s="68" t="s">
        <v>256</v>
      </c>
      <c r="AO163" s="69"/>
      <c r="AP163" s="69"/>
      <c r="AQ163" s="69"/>
      <c r="AR163" s="69"/>
      <c r="AS163" s="69"/>
      <c r="AT163" s="131"/>
      <c r="AU163" s="130" t="s">
        <v>276</v>
      </c>
      <c r="AV163" s="69"/>
      <c r="AW163" s="131"/>
      <c r="AX163" s="141" t="s">
        <v>324</v>
      </c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85"/>
    </row>
    <row r="164" spans="2:62" ht="16.5">
      <c r="B164" s="68"/>
      <c r="C164" s="69"/>
      <c r="D164" s="69"/>
      <c r="E164" s="69"/>
      <c r="F164" s="69"/>
      <c r="G164" s="69"/>
      <c r="H164" s="131"/>
      <c r="I164" s="130"/>
      <c r="J164" s="69"/>
      <c r="K164" s="131"/>
      <c r="L164" s="130"/>
      <c r="M164" s="69"/>
      <c r="N164" s="131"/>
      <c r="O164" s="130"/>
      <c r="P164" s="69"/>
      <c r="Q164" s="131"/>
      <c r="R164" s="130"/>
      <c r="S164" s="69"/>
      <c r="T164" s="69"/>
      <c r="U164" s="69"/>
      <c r="V164" s="69"/>
      <c r="W164" s="69"/>
      <c r="X164" s="69"/>
      <c r="Y164" s="69"/>
      <c r="Z164" s="69"/>
      <c r="AA164" s="131"/>
      <c r="AB164" s="141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85"/>
      <c r="AN164" s="68" t="s">
        <v>257</v>
      </c>
      <c r="AO164" s="69"/>
      <c r="AP164" s="69"/>
      <c r="AQ164" s="69"/>
      <c r="AR164" s="69"/>
      <c r="AS164" s="69"/>
      <c r="AT164" s="131"/>
      <c r="AU164" s="130" t="s">
        <v>276</v>
      </c>
      <c r="AV164" s="69"/>
      <c r="AW164" s="131"/>
      <c r="AX164" s="141" t="s">
        <v>325</v>
      </c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85"/>
    </row>
    <row r="165" spans="2:62" ht="16.5">
      <c r="B165" s="68"/>
      <c r="C165" s="69"/>
      <c r="D165" s="69"/>
      <c r="E165" s="69"/>
      <c r="F165" s="69"/>
      <c r="G165" s="69"/>
      <c r="H165" s="131"/>
      <c r="I165" s="130"/>
      <c r="J165" s="69"/>
      <c r="K165" s="131"/>
      <c r="L165" s="130"/>
      <c r="M165" s="69"/>
      <c r="N165" s="131"/>
      <c r="O165" s="130"/>
      <c r="P165" s="69"/>
      <c r="Q165" s="131"/>
      <c r="R165" s="130"/>
      <c r="S165" s="69"/>
      <c r="T165" s="69"/>
      <c r="U165" s="69"/>
      <c r="V165" s="69"/>
      <c r="W165" s="69"/>
      <c r="X165" s="69"/>
      <c r="Y165" s="69"/>
      <c r="Z165" s="69"/>
      <c r="AA165" s="131"/>
      <c r="AB165" s="141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85"/>
      <c r="AN165" s="68" t="s">
        <v>258</v>
      </c>
      <c r="AO165" s="69"/>
      <c r="AP165" s="69"/>
      <c r="AQ165" s="69"/>
      <c r="AR165" s="69"/>
      <c r="AS165" s="69"/>
      <c r="AT165" s="131"/>
      <c r="AU165" s="130" t="s">
        <v>276</v>
      </c>
      <c r="AV165" s="69"/>
      <c r="AW165" s="131"/>
      <c r="AX165" s="141" t="s">
        <v>326</v>
      </c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85"/>
    </row>
    <row r="166" spans="2:62" ht="16.5">
      <c r="B166" s="68"/>
      <c r="C166" s="69"/>
      <c r="D166" s="69"/>
      <c r="E166" s="69"/>
      <c r="F166" s="69"/>
      <c r="G166" s="69"/>
      <c r="H166" s="131"/>
      <c r="I166" s="130"/>
      <c r="J166" s="69"/>
      <c r="K166" s="131"/>
      <c r="L166" s="130"/>
      <c r="M166" s="69"/>
      <c r="N166" s="131"/>
      <c r="O166" s="130"/>
      <c r="P166" s="69"/>
      <c r="Q166" s="131"/>
      <c r="R166" s="130"/>
      <c r="S166" s="69"/>
      <c r="T166" s="69"/>
      <c r="U166" s="69"/>
      <c r="V166" s="69"/>
      <c r="W166" s="69"/>
      <c r="X166" s="69"/>
      <c r="Y166" s="69"/>
      <c r="Z166" s="69"/>
      <c r="AA166" s="131"/>
      <c r="AB166" s="141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85"/>
      <c r="AN166" s="68" t="s">
        <v>259</v>
      </c>
      <c r="AO166" s="69"/>
      <c r="AP166" s="69"/>
      <c r="AQ166" s="69"/>
      <c r="AR166" s="69"/>
      <c r="AS166" s="69"/>
      <c r="AT166" s="131"/>
      <c r="AU166" s="130" t="s">
        <v>276</v>
      </c>
      <c r="AV166" s="69"/>
      <c r="AW166" s="131"/>
      <c r="AX166" s="141" t="s">
        <v>327</v>
      </c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85"/>
    </row>
    <row r="167" spans="2:62" ht="16.5">
      <c r="B167" s="68"/>
      <c r="C167" s="69"/>
      <c r="D167" s="69"/>
      <c r="E167" s="69"/>
      <c r="F167" s="69"/>
      <c r="G167" s="69"/>
      <c r="H167" s="131"/>
      <c r="I167" s="130"/>
      <c r="J167" s="69"/>
      <c r="K167" s="131"/>
      <c r="L167" s="130"/>
      <c r="M167" s="69"/>
      <c r="N167" s="131"/>
      <c r="O167" s="130"/>
      <c r="P167" s="69"/>
      <c r="Q167" s="131"/>
      <c r="R167" s="130"/>
      <c r="S167" s="69"/>
      <c r="T167" s="69"/>
      <c r="U167" s="69"/>
      <c r="V167" s="69"/>
      <c r="W167" s="69"/>
      <c r="X167" s="69"/>
      <c r="Y167" s="69"/>
      <c r="Z167" s="69"/>
      <c r="AA167" s="131"/>
      <c r="AB167" s="141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85"/>
      <c r="AN167" s="68" t="s">
        <v>260</v>
      </c>
      <c r="AO167" s="69"/>
      <c r="AP167" s="69"/>
      <c r="AQ167" s="69"/>
      <c r="AR167" s="69"/>
      <c r="AS167" s="69"/>
      <c r="AT167" s="131"/>
      <c r="AU167" s="130" t="s">
        <v>276</v>
      </c>
      <c r="AV167" s="69"/>
      <c r="AW167" s="131"/>
      <c r="AX167" s="141" t="s">
        <v>328</v>
      </c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85"/>
    </row>
    <row r="168" spans="2:62" ht="16.5">
      <c r="B168" s="68"/>
      <c r="C168" s="69"/>
      <c r="D168" s="69"/>
      <c r="E168" s="69"/>
      <c r="F168" s="69"/>
      <c r="G168" s="69"/>
      <c r="H168" s="131"/>
      <c r="I168" s="130"/>
      <c r="J168" s="69"/>
      <c r="K168" s="131"/>
      <c r="L168" s="130"/>
      <c r="M168" s="69"/>
      <c r="N168" s="131"/>
      <c r="O168" s="130"/>
      <c r="P168" s="69"/>
      <c r="Q168" s="131"/>
      <c r="R168" s="130"/>
      <c r="S168" s="69"/>
      <c r="T168" s="69"/>
      <c r="U168" s="69"/>
      <c r="V168" s="69"/>
      <c r="W168" s="69"/>
      <c r="X168" s="69"/>
      <c r="Y168" s="69"/>
      <c r="Z168" s="69"/>
      <c r="AA168" s="131"/>
      <c r="AB168" s="141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85"/>
      <c r="AN168" s="68" t="s">
        <v>261</v>
      </c>
      <c r="AO168" s="69"/>
      <c r="AP168" s="69"/>
      <c r="AQ168" s="69"/>
      <c r="AR168" s="69"/>
      <c r="AS168" s="69"/>
      <c r="AT168" s="131"/>
      <c r="AU168" s="130" t="s">
        <v>276</v>
      </c>
      <c r="AV168" s="69"/>
      <c r="AW168" s="131"/>
      <c r="AX168" s="141" t="s">
        <v>329</v>
      </c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85"/>
    </row>
    <row r="169" spans="2:62" ht="16.5">
      <c r="B169" s="68"/>
      <c r="C169" s="69"/>
      <c r="D169" s="69"/>
      <c r="E169" s="69"/>
      <c r="F169" s="69"/>
      <c r="G169" s="69"/>
      <c r="H169" s="131"/>
      <c r="I169" s="130"/>
      <c r="J169" s="69"/>
      <c r="K169" s="131"/>
      <c r="L169" s="130"/>
      <c r="M169" s="69"/>
      <c r="N169" s="131"/>
      <c r="O169" s="130"/>
      <c r="P169" s="69"/>
      <c r="Q169" s="131"/>
      <c r="R169" s="130"/>
      <c r="S169" s="69"/>
      <c r="T169" s="69"/>
      <c r="U169" s="69"/>
      <c r="V169" s="69"/>
      <c r="W169" s="69"/>
      <c r="X169" s="69"/>
      <c r="Y169" s="69"/>
      <c r="Z169" s="69"/>
      <c r="AA169" s="131"/>
      <c r="AB169" s="141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85"/>
      <c r="AN169" s="68" t="s">
        <v>262</v>
      </c>
      <c r="AO169" s="69"/>
      <c r="AP169" s="69"/>
      <c r="AQ169" s="69"/>
      <c r="AR169" s="69"/>
      <c r="AS169" s="69"/>
      <c r="AT169" s="131"/>
      <c r="AU169" s="130" t="s">
        <v>276</v>
      </c>
      <c r="AV169" s="69"/>
      <c r="AW169" s="131"/>
      <c r="AX169" s="141" t="s">
        <v>330</v>
      </c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85"/>
    </row>
    <row r="170" spans="2:62" ht="16.5">
      <c r="B170" s="68"/>
      <c r="C170" s="69"/>
      <c r="D170" s="69"/>
      <c r="E170" s="69"/>
      <c r="F170" s="69"/>
      <c r="G170" s="69"/>
      <c r="H170" s="131"/>
      <c r="I170" s="130"/>
      <c r="J170" s="69"/>
      <c r="K170" s="131"/>
      <c r="L170" s="130"/>
      <c r="M170" s="69"/>
      <c r="N170" s="131"/>
      <c r="O170" s="130"/>
      <c r="P170" s="69"/>
      <c r="Q170" s="131"/>
      <c r="R170" s="130"/>
      <c r="S170" s="69"/>
      <c r="T170" s="69"/>
      <c r="U170" s="69"/>
      <c r="V170" s="69"/>
      <c r="W170" s="69"/>
      <c r="X170" s="69"/>
      <c r="Y170" s="69"/>
      <c r="Z170" s="69"/>
      <c r="AA170" s="131"/>
      <c r="AB170" s="141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85"/>
      <c r="AN170" s="68" t="s">
        <v>263</v>
      </c>
      <c r="AO170" s="69"/>
      <c r="AP170" s="69"/>
      <c r="AQ170" s="69"/>
      <c r="AR170" s="69"/>
      <c r="AS170" s="69"/>
      <c r="AT170" s="131"/>
      <c r="AU170" s="130" t="s">
        <v>276</v>
      </c>
      <c r="AV170" s="69"/>
      <c r="AW170" s="131"/>
      <c r="AX170" s="141" t="s">
        <v>331</v>
      </c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85"/>
    </row>
    <row r="171" spans="2:62" ht="16.5">
      <c r="B171" s="68"/>
      <c r="C171" s="69"/>
      <c r="D171" s="69"/>
      <c r="E171" s="69"/>
      <c r="F171" s="69"/>
      <c r="G171" s="69"/>
      <c r="H171" s="131"/>
      <c r="I171" s="130"/>
      <c r="J171" s="69"/>
      <c r="K171" s="131"/>
      <c r="L171" s="130"/>
      <c r="M171" s="69"/>
      <c r="N171" s="131"/>
      <c r="O171" s="130"/>
      <c r="P171" s="69"/>
      <c r="Q171" s="131"/>
      <c r="R171" s="130"/>
      <c r="S171" s="69"/>
      <c r="T171" s="69"/>
      <c r="U171" s="69"/>
      <c r="V171" s="69"/>
      <c r="W171" s="69"/>
      <c r="X171" s="69"/>
      <c r="Y171" s="69"/>
      <c r="Z171" s="69"/>
      <c r="AA171" s="131"/>
      <c r="AB171" s="141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85"/>
      <c r="AN171" s="68" t="s">
        <v>264</v>
      </c>
      <c r="AO171" s="69"/>
      <c r="AP171" s="69"/>
      <c r="AQ171" s="69"/>
      <c r="AR171" s="69"/>
      <c r="AS171" s="69"/>
      <c r="AT171" s="131"/>
      <c r="AU171" s="130" t="s">
        <v>276</v>
      </c>
      <c r="AV171" s="69"/>
      <c r="AW171" s="131"/>
      <c r="AX171" s="141" t="s">
        <v>332</v>
      </c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85"/>
    </row>
    <row r="172" spans="2:62" ht="16.5">
      <c r="B172" s="68"/>
      <c r="C172" s="69"/>
      <c r="D172" s="69"/>
      <c r="E172" s="69"/>
      <c r="F172" s="69"/>
      <c r="G172" s="69"/>
      <c r="H172" s="131"/>
      <c r="I172" s="130"/>
      <c r="J172" s="69"/>
      <c r="K172" s="131"/>
      <c r="L172" s="130"/>
      <c r="M172" s="69"/>
      <c r="N172" s="131"/>
      <c r="O172" s="130"/>
      <c r="P172" s="69"/>
      <c r="Q172" s="131"/>
      <c r="R172" s="130"/>
      <c r="S172" s="69"/>
      <c r="T172" s="69"/>
      <c r="U172" s="69"/>
      <c r="V172" s="69"/>
      <c r="W172" s="69"/>
      <c r="X172" s="69"/>
      <c r="Y172" s="69"/>
      <c r="Z172" s="69"/>
      <c r="AA172" s="131"/>
      <c r="AB172" s="141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85"/>
      <c r="AN172" s="68" t="s">
        <v>265</v>
      </c>
      <c r="AO172" s="69"/>
      <c r="AP172" s="69"/>
      <c r="AQ172" s="69"/>
      <c r="AR172" s="69"/>
      <c r="AS172" s="69"/>
      <c r="AT172" s="131"/>
      <c r="AU172" s="130" t="s">
        <v>276</v>
      </c>
      <c r="AV172" s="69"/>
      <c r="AW172" s="131"/>
      <c r="AX172" s="141" t="s">
        <v>333</v>
      </c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85"/>
    </row>
    <row r="173" spans="2:62" ht="16.5">
      <c r="B173" s="68"/>
      <c r="C173" s="69"/>
      <c r="D173" s="69"/>
      <c r="E173" s="69"/>
      <c r="F173" s="69"/>
      <c r="G173" s="69"/>
      <c r="H173" s="131"/>
      <c r="I173" s="130"/>
      <c r="J173" s="69"/>
      <c r="K173" s="131"/>
      <c r="L173" s="130"/>
      <c r="M173" s="69"/>
      <c r="N173" s="131"/>
      <c r="O173" s="130"/>
      <c r="P173" s="69"/>
      <c r="Q173" s="131"/>
      <c r="R173" s="130"/>
      <c r="S173" s="69"/>
      <c r="T173" s="69"/>
      <c r="U173" s="69"/>
      <c r="V173" s="69"/>
      <c r="W173" s="69"/>
      <c r="X173" s="69"/>
      <c r="Y173" s="69"/>
      <c r="Z173" s="69"/>
      <c r="AA173" s="131"/>
      <c r="AB173" s="141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85"/>
      <c r="AN173" s="68" t="s">
        <v>266</v>
      </c>
      <c r="AO173" s="69"/>
      <c r="AP173" s="69"/>
      <c r="AQ173" s="69"/>
      <c r="AR173" s="69"/>
      <c r="AS173" s="69"/>
      <c r="AT173" s="131"/>
      <c r="AU173" s="130" t="s">
        <v>276</v>
      </c>
      <c r="AV173" s="69"/>
      <c r="AW173" s="131"/>
      <c r="AX173" s="141" t="s">
        <v>334</v>
      </c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85"/>
    </row>
    <row r="174" spans="2:62" ht="16.5">
      <c r="B174" s="68"/>
      <c r="C174" s="69"/>
      <c r="D174" s="69"/>
      <c r="E174" s="69"/>
      <c r="F174" s="69"/>
      <c r="G174" s="69"/>
      <c r="H174" s="131"/>
      <c r="I174" s="130"/>
      <c r="J174" s="69"/>
      <c r="K174" s="131"/>
      <c r="L174" s="130"/>
      <c r="M174" s="69"/>
      <c r="N174" s="131"/>
      <c r="O174" s="130"/>
      <c r="P174" s="69"/>
      <c r="Q174" s="131"/>
      <c r="R174" s="130"/>
      <c r="S174" s="69"/>
      <c r="T174" s="69"/>
      <c r="U174" s="69"/>
      <c r="V174" s="69"/>
      <c r="W174" s="69"/>
      <c r="X174" s="69"/>
      <c r="Y174" s="69"/>
      <c r="Z174" s="69"/>
      <c r="AA174" s="131"/>
      <c r="AB174" s="141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85"/>
      <c r="AN174" s="68" t="s">
        <v>267</v>
      </c>
      <c r="AO174" s="69"/>
      <c r="AP174" s="69"/>
      <c r="AQ174" s="69"/>
      <c r="AR174" s="69"/>
      <c r="AS174" s="69"/>
      <c r="AT174" s="131"/>
      <c r="AU174" s="130" t="s">
        <v>276</v>
      </c>
      <c r="AV174" s="69"/>
      <c r="AW174" s="131"/>
      <c r="AX174" s="141" t="s">
        <v>335</v>
      </c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85"/>
    </row>
    <row r="175" spans="2:62" ht="16.5">
      <c r="B175" s="68"/>
      <c r="C175" s="69"/>
      <c r="D175" s="69"/>
      <c r="E175" s="69"/>
      <c r="F175" s="69"/>
      <c r="G175" s="69"/>
      <c r="H175" s="131"/>
      <c r="I175" s="130"/>
      <c r="J175" s="69"/>
      <c r="K175" s="131"/>
      <c r="L175" s="130"/>
      <c r="M175" s="69"/>
      <c r="N175" s="131"/>
      <c r="O175" s="130"/>
      <c r="P175" s="69"/>
      <c r="Q175" s="131"/>
      <c r="R175" s="130"/>
      <c r="S175" s="69"/>
      <c r="T175" s="69"/>
      <c r="U175" s="69"/>
      <c r="V175" s="69"/>
      <c r="W175" s="69"/>
      <c r="X175" s="69"/>
      <c r="Y175" s="69"/>
      <c r="Z175" s="69"/>
      <c r="AA175" s="131"/>
      <c r="AB175" s="141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85"/>
      <c r="AN175" s="68" t="s">
        <v>268</v>
      </c>
      <c r="AO175" s="69"/>
      <c r="AP175" s="69"/>
      <c r="AQ175" s="69"/>
      <c r="AR175" s="69"/>
      <c r="AS175" s="69"/>
      <c r="AT175" s="131"/>
      <c r="AU175" s="130" t="s">
        <v>276</v>
      </c>
      <c r="AV175" s="69"/>
      <c r="AW175" s="131"/>
      <c r="AX175" s="141" t="s">
        <v>336</v>
      </c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85"/>
    </row>
    <row r="176" spans="2:62" ht="16.5">
      <c r="B176" s="68"/>
      <c r="C176" s="69"/>
      <c r="D176" s="69"/>
      <c r="E176" s="69"/>
      <c r="F176" s="69"/>
      <c r="G176" s="69"/>
      <c r="H176" s="131"/>
      <c r="I176" s="130"/>
      <c r="J176" s="69"/>
      <c r="K176" s="131"/>
      <c r="L176" s="130"/>
      <c r="M176" s="69"/>
      <c r="N176" s="131"/>
      <c r="O176" s="130"/>
      <c r="P176" s="69"/>
      <c r="Q176" s="131"/>
      <c r="R176" s="130"/>
      <c r="S176" s="69"/>
      <c r="T176" s="69"/>
      <c r="U176" s="69"/>
      <c r="V176" s="69"/>
      <c r="W176" s="69"/>
      <c r="X176" s="69"/>
      <c r="Y176" s="69"/>
      <c r="Z176" s="69"/>
      <c r="AA176" s="131"/>
      <c r="AB176" s="141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85"/>
      <c r="AN176" s="68" t="s">
        <v>269</v>
      </c>
      <c r="AO176" s="69"/>
      <c r="AP176" s="69"/>
      <c r="AQ176" s="69"/>
      <c r="AR176" s="69"/>
      <c r="AS176" s="69"/>
      <c r="AT176" s="131"/>
      <c r="AU176" s="130" t="s">
        <v>276</v>
      </c>
      <c r="AV176" s="69"/>
      <c r="AW176" s="131"/>
      <c r="AX176" s="141" t="s">
        <v>337</v>
      </c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85"/>
    </row>
    <row r="177" spans="2:62" ht="16.5">
      <c r="B177" s="68"/>
      <c r="C177" s="69"/>
      <c r="D177" s="69"/>
      <c r="E177" s="69"/>
      <c r="F177" s="69"/>
      <c r="G177" s="69"/>
      <c r="H177" s="131"/>
      <c r="I177" s="130"/>
      <c r="J177" s="69"/>
      <c r="K177" s="131"/>
      <c r="L177" s="130"/>
      <c r="M177" s="69"/>
      <c r="N177" s="131"/>
      <c r="O177" s="130"/>
      <c r="P177" s="69"/>
      <c r="Q177" s="131"/>
      <c r="R177" s="130"/>
      <c r="S177" s="69"/>
      <c r="T177" s="69"/>
      <c r="U177" s="69"/>
      <c r="V177" s="69"/>
      <c r="W177" s="69"/>
      <c r="X177" s="69"/>
      <c r="Y177" s="69"/>
      <c r="Z177" s="69"/>
      <c r="AA177" s="131"/>
      <c r="AB177" s="141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85"/>
      <c r="AN177" s="68" t="s">
        <v>270</v>
      </c>
      <c r="AO177" s="69"/>
      <c r="AP177" s="69"/>
      <c r="AQ177" s="69"/>
      <c r="AR177" s="69"/>
      <c r="AS177" s="69"/>
      <c r="AT177" s="131"/>
      <c r="AU177" s="130" t="s">
        <v>276</v>
      </c>
      <c r="AV177" s="69"/>
      <c r="AW177" s="131"/>
      <c r="AX177" s="141" t="s">
        <v>338</v>
      </c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85"/>
    </row>
    <row r="178" spans="2:62" ht="16.5">
      <c r="B178" s="68"/>
      <c r="C178" s="69"/>
      <c r="D178" s="69"/>
      <c r="E178" s="69"/>
      <c r="F178" s="69"/>
      <c r="G178" s="69"/>
      <c r="H178" s="131"/>
      <c r="I178" s="130"/>
      <c r="J178" s="69"/>
      <c r="K178" s="131"/>
      <c r="L178" s="130"/>
      <c r="M178" s="69"/>
      <c r="N178" s="131"/>
      <c r="O178" s="130"/>
      <c r="P178" s="69"/>
      <c r="Q178" s="131"/>
      <c r="R178" s="130"/>
      <c r="S178" s="69"/>
      <c r="T178" s="69"/>
      <c r="U178" s="69"/>
      <c r="V178" s="69"/>
      <c r="W178" s="69"/>
      <c r="X178" s="69"/>
      <c r="Y178" s="69"/>
      <c r="Z178" s="69"/>
      <c r="AA178" s="131"/>
      <c r="AB178" s="141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85"/>
      <c r="AN178" s="68" t="s">
        <v>271</v>
      </c>
      <c r="AO178" s="69"/>
      <c r="AP178" s="69"/>
      <c r="AQ178" s="69"/>
      <c r="AR178" s="69"/>
      <c r="AS178" s="69"/>
      <c r="AT178" s="131"/>
      <c r="AU178" s="130" t="s">
        <v>276</v>
      </c>
      <c r="AV178" s="69"/>
      <c r="AW178" s="131"/>
      <c r="AX178" s="141" t="s">
        <v>339</v>
      </c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85"/>
    </row>
    <row r="179" spans="2:62" ht="16.5">
      <c r="B179" s="68"/>
      <c r="C179" s="69"/>
      <c r="D179" s="69"/>
      <c r="E179" s="69"/>
      <c r="F179" s="69"/>
      <c r="G179" s="69"/>
      <c r="H179" s="131"/>
      <c r="I179" s="130"/>
      <c r="J179" s="69"/>
      <c r="K179" s="131"/>
      <c r="L179" s="130"/>
      <c r="M179" s="69"/>
      <c r="N179" s="131"/>
      <c r="O179" s="130"/>
      <c r="P179" s="69"/>
      <c r="Q179" s="131"/>
      <c r="R179" s="130"/>
      <c r="S179" s="69"/>
      <c r="T179" s="69"/>
      <c r="U179" s="69"/>
      <c r="V179" s="69"/>
      <c r="W179" s="69"/>
      <c r="X179" s="69"/>
      <c r="Y179" s="69"/>
      <c r="Z179" s="69"/>
      <c r="AA179" s="131"/>
      <c r="AB179" s="141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85"/>
      <c r="AN179" s="68" t="s">
        <v>272</v>
      </c>
      <c r="AO179" s="69"/>
      <c r="AP179" s="69"/>
      <c r="AQ179" s="69"/>
      <c r="AR179" s="69"/>
      <c r="AS179" s="69"/>
      <c r="AT179" s="131"/>
      <c r="AU179" s="130" t="s">
        <v>276</v>
      </c>
      <c r="AV179" s="69"/>
      <c r="AW179" s="131"/>
      <c r="AX179" s="141" t="s">
        <v>340</v>
      </c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85"/>
    </row>
    <row r="180" spans="2:62" ht="16.5">
      <c r="B180" s="76"/>
      <c r="C180" s="77"/>
      <c r="D180" s="77"/>
      <c r="E180" s="77"/>
      <c r="F180" s="77"/>
      <c r="G180" s="77"/>
      <c r="H180" s="183"/>
      <c r="I180" s="184"/>
      <c r="J180" s="77"/>
      <c r="K180" s="183"/>
      <c r="L180" s="184"/>
      <c r="M180" s="77"/>
      <c r="N180" s="183"/>
      <c r="O180" s="184"/>
      <c r="P180" s="77"/>
      <c r="Q180" s="183"/>
      <c r="R180" s="184"/>
      <c r="S180" s="77"/>
      <c r="T180" s="77"/>
      <c r="U180" s="77"/>
      <c r="V180" s="77"/>
      <c r="W180" s="77"/>
      <c r="X180" s="77"/>
      <c r="Y180" s="77"/>
      <c r="Z180" s="77"/>
      <c r="AA180" s="183"/>
      <c r="AB180" s="141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85"/>
      <c r="AN180" s="68" t="s">
        <v>273</v>
      </c>
      <c r="AO180" s="69"/>
      <c r="AP180" s="69"/>
      <c r="AQ180" s="69"/>
      <c r="AR180" s="69"/>
      <c r="AS180" s="69"/>
      <c r="AT180" s="131"/>
      <c r="AU180" s="130" t="s">
        <v>276</v>
      </c>
      <c r="AV180" s="69"/>
      <c r="AW180" s="131"/>
      <c r="AX180" s="141" t="s">
        <v>341</v>
      </c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85"/>
    </row>
    <row r="181" spans="2:62" ht="16.5">
      <c r="B181" s="68"/>
      <c r="C181" s="69"/>
      <c r="D181" s="69"/>
      <c r="E181" s="69"/>
      <c r="F181" s="69"/>
      <c r="G181" s="69"/>
      <c r="H181" s="131"/>
      <c r="I181" s="130"/>
      <c r="J181" s="69"/>
      <c r="K181" s="131"/>
      <c r="L181" s="130"/>
      <c r="M181" s="69"/>
      <c r="N181" s="131"/>
      <c r="O181" s="130"/>
      <c r="P181" s="69"/>
      <c r="Q181" s="131"/>
      <c r="R181" s="130"/>
      <c r="S181" s="69"/>
      <c r="T181" s="69"/>
      <c r="U181" s="69"/>
      <c r="V181" s="69"/>
      <c r="W181" s="69"/>
      <c r="X181" s="69"/>
      <c r="Y181" s="69"/>
      <c r="Z181" s="69"/>
      <c r="AA181" s="131"/>
      <c r="AB181" s="171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85"/>
      <c r="AN181" s="68" t="s">
        <v>274</v>
      </c>
      <c r="AO181" s="69"/>
      <c r="AP181" s="69"/>
      <c r="AQ181" s="69"/>
      <c r="AR181" s="69"/>
      <c r="AS181" s="69"/>
      <c r="AT181" s="131"/>
      <c r="AU181" s="130" t="s">
        <v>276</v>
      </c>
      <c r="AV181" s="69"/>
      <c r="AW181" s="131"/>
      <c r="AX181" s="141" t="s">
        <v>342</v>
      </c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85"/>
    </row>
    <row r="182" spans="2:62">
      <c r="B182" s="68"/>
      <c r="C182" s="69"/>
      <c r="D182" s="69"/>
      <c r="E182" s="69"/>
      <c r="F182" s="69"/>
      <c r="G182" s="69"/>
      <c r="H182" s="131"/>
      <c r="I182" s="130"/>
      <c r="J182" s="69"/>
      <c r="K182" s="131"/>
      <c r="L182" s="130"/>
      <c r="M182" s="69"/>
      <c r="N182" s="131"/>
      <c r="O182" s="130"/>
      <c r="P182" s="69"/>
      <c r="Q182" s="131"/>
      <c r="R182" s="130"/>
      <c r="S182" s="69"/>
      <c r="T182" s="69"/>
      <c r="U182" s="69"/>
      <c r="V182" s="69"/>
      <c r="W182" s="69"/>
      <c r="X182" s="69"/>
      <c r="Y182" s="69"/>
      <c r="Z182" s="69"/>
      <c r="AA182" s="131"/>
      <c r="AB182" s="171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85"/>
      <c r="AN182" s="80"/>
      <c r="AO182" s="81"/>
      <c r="AP182" s="81"/>
      <c r="AQ182" s="81"/>
      <c r="AR182" s="81"/>
      <c r="AS182" s="81"/>
      <c r="AT182" s="133"/>
      <c r="AU182" s="132"/>
      <c r="AV182" s="81"/>
      <c r="AW182" s="133"/>
      <c r="AX182" s="143" t="s">
        <v>231</v>
      </c>
      <c r="AY182" s="144"/>
      <c r="AZ182" s="144"/>
      <c r="BA182" s="144"/>
      <c r="BB182" s="144"/>
      <c r="BC182" s="144"/>
      <c r="BD182" s="144"/>
      <c r="BE182" s="144"/>
      <c r="BF182" s="144"/>
      <c r="BG182" s="144"/>
      <c r="BH182" s="144"/>
      <c r="BI182" s="144"/>
      <c r="BJ182" s="145"/>
    </row>
    <row r="183" spans="2:62" ht="16.5">
      <c r="B183" s="68"/>
      <c r="C183" s="69"/>
      <c r="D183" s="69"/>
      <c r="E183" s="69"/>
      <c r="F183" s="69"/>
      <c r="G183" s="69"/>
      <c r="H183" s="131"/>
      <c r="I183" s="130"/>
      <c r="J183" s="69"/>
      <c r="K183" s="131"/>
      <c r="L183" s="130"/>
      <c r="M183" s="69"/>
      <c r="N183" s="131"/>
      <c r="O183" s="130"/>
      <c r="P183" s="69"/>
      <c r="Q183" s="131"/>
      <c r="R183" s="130"/>
      <c r="S183" s="69"/>
      <c r="T183" s="69"/>
      <c r="U183" s="69"/>
      <c r="V183" s="69"/>
      <c r="W183" s="69"/>
      <c r="X183" s="69"/>
      <c r="Y183" s="69"/>
      <c r="Z183" s="69"/>
      <c r="AA183" s="131"/>
      <c r="AB183" s="171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85"/>
      <c r="AN183" s="150" t="s">
        <v>287</v>
      </c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2"/>
      <c r="BI183" s="152"/>
      <c r="BJ183" s="153"/>
    </row>
    <row r="184" spans="2:62" ht="16.5">
      <c r="B184" s="68"/>
      <c r="C184" s="69"/>
      <c r="D184" s="69"/>
      <c r="E184" s="69"/>
      <c r="F184" s="69"/>
      <c r="G184" s="69"/>
      <c r="H184" s="131"/>
      <c r="I184" s="130"/>
      <c r="J184" s="69"/>
      <c r="K184" s="131"/>
      <c r="L184" s="130"/>
      <c r="M184" s="69"/>
      <c r="N184" s="131"/>
      <c r="O184" s="130"/>
      <c r="P184" s="69"/>
      <c r="Q184" s="131"/>
      <c r="R184" s="130"/>
      <c r="S184" s="69"/>
      <c r="T184" s="69"/>
      <c r="U184" s="69"/>
      <c r="V184" s="69"/>
      <c r="W184" s="69"/>
      <c r="X184" s="69"/>
      <c r="Y184" s="69"/>
      <c r="Z184" s="69"/>
      <c r="AA184" s="131"/>
      <c r="AB184" s="171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85"/>
      <c r="AN184" s="154"/>
      <c r="AO184" s="155"/>
      <c r="AP184" s="156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7"/>
    </row>
    <row r="185" spans="2:62" ht="16.5">
      <c r="B185" s="68"/>
      <c r="C185" s="69"/>
      <c r="D185" s="69"/>
      <c r="E185" s="69"/>
      <c r="F185" s="69"/>
      <c r="G185" s="69"/>
      <c r="H185" s="131"/>
      <c r="I185" s="130"/>
      <c r="J185" s="69"/>
      <c r="K185" s="131"/>
      <c r="L185" s="130"/>
      <c r="M185" s="69"/>
      <c r="N185" s="131"/>
      <c r="O185" s="130"/>
      <c r="P185" s="69"/>
      <c r="Q185" s="131"/>
      <c r="R185" s="130"/>
      <c r="S185" s="69"/>
      <c r="T185" s="69"/>
      <c r="U185" s="69"/>
      <c r="V185" s="69"/>
      <c r="W185" s="69"/>
      <c r="X185" s="69"/>
      <c r="Y185" s="69"/>
      <c r="Z185" s="69"/>
      <c r="AA185" s="131"/>
      <c r="AB185" s="171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85"/>
      <c r="AN185" s="158" t="s">
        <v>288</v>
      </c>
      <c r="AO185" s="161"/>
      <c r="AP185" s="139"/>
      <c r="AQ185" s="162"/>
      <c r="AR185" s="162"/>
      <c r="AS185" s="166"/>
      <c r="AT185" s="169" t="s">
        <v>289</v>
      </c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  <c r="BJ185" s="85"/>
    </row>
    <row r="186" spans="2:62" ht="16.5">
      <c r="B186" s="68"/>
      <c r="C186" s="69"/>
      <c r="D186" s="69"/>
      <c r="E186" s="69"/>
      <c r="F186" s="69"/>
      <c r="G186" s="69"/>
      <c r="H186" s="131"/>
      <c r="I186" s="130"/>
      <c r="J186" s="69"/>
      <c r="K186" s="131"/>
      <c r="L186" s="130"/>
      <c r="M186" s="69"/>
      <c r="N186" s="131"/>
      <c r="O186" s="130"/>
      <c r="P186" s="69"/>
      <c r="Q186" s="131"/>
      <c r="R186" s="130"/>
      <c r="S186" s="69"/>
      <c r="T186" s="69"/>
      <c r="U186" s="69"/>
      <c r="V186" s="69"/>
      <c r="W186" s="69"/>
      <c r="X186" s="69"/>
      <c r="Y186" s="69"/>
      <c r="Z186" s="69"/>
      <c r="AA186" s="131"/>
      <c r="AB186" s="171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85"/>
      <c r="AN186" s="159" t="s">
        <v>290</v>
      </c>
      <c r="AO186" s="165"/>
      <c r="AP186" s="33"/>
      <c r="AQ186" s="164"/>
      <c r="AR186" s="164"/>
      <c r="AS186" s="167"/>
      <c r="AT186" s="170" t="s">
        <v>291</v>
      </c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  <c r="BJ186" s="85"/>
    </row>
    <row r="187" spans="2:62" ht="16.5">
      <c r="B187" s="68"/>
      <c r="C187" s="69"/>
      <c r="D187" s="69"/>
      <c r="E187" s="69"/>
      <c r="F187" s="69"/>
      <c r="G187" s="69"/>
      <c r="H187" s="131"/>
      <c r="I187" s="130"/>
      <c r="J187" s="69"/>
      <c r="K187" s="131"/>
      <c r="L187" s="130"/>
      <c r="M187" s="69"/>
      <c r="N187" s="131"/>
      <c r="O187" s="130"/>
      <c r="P187" s="69"/>
      <c r="Q187" s="131"/>
      <c r="R187" s="130"/>
      <c r="S187" s="69"/>
      <c r="T187" s="69"/>
      <c r="U187" s="69"/>
      <c r="V187" s="69"/>
      <c r="W187" s="69"/>
      <c r="X187" s="69"/>
      <c r="Y187" s="69"/>
      <c r="Z187" s="69"/>
      <c r="AA187" s="131"/>
      <c r="AB187" s="171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85"/>
      <c r="AN187" s="159" t="s">
        <v>290</v>
      </c>
      <c r="AO187" s="165"/>
      <c r="AP187" s="33"/>
      <c r="AQ187" s="164"/>
      <c r="AR187" s="164"/>
      <c r="AS187" s="167"/>
      <c r="AT187" s="170" t="s">
        <v>292</v>
      </c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  <c r="BJ187" s="85"/>
    </row>
    <row r="188" spans="2:62" ht="16.5">
      <c r="B188" s="68"/>
      <c r="C188" s="69"/>
      <c r="D188" s="69"/>
      <c r="E188" s="69"/>
      <c r="F188" s="69"/>
      <c r="G188" s="69"/>
      <c r="H188" s="131"/>
      <c r="I188" s="130"/>
      <c r="J188" s="69"/>
      <c r="K188" s="131"/>
      <c r="L188" s="130"/>
      <c r="M188" s="69"/>
      <c r="N188" s="131"/>
      <c r="O188" s="130"/>
      <c r="P188" s="69"/>
      <c r="Q188" s="131"/>
      <c r="R188" s="130"/>
      <c r="S188" s="69"/>
      <c r="T188" s="69"/>
      <c r="U188" s="69"/>
      <c r="V188" s="69"/>
      <c r="W188" s="69"/>
      <c r="X188" s="69"/>
      <c r="Y188" s="69"/>
      <c r="Z188" s="69"/>
      <c r="AA188" s="131"/>
      <c r="AB188" s="171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85"/>
      <c r="AN188" s="159" t="s">
        <v>290</v>
      </c>
      <c r="AO188" s="165"/>
      <c r="AP188" s="33"/>
      <c r="AQ188" s="164"/>
      <c r="AR188" s="164"/>
      <c r="AS188" s="167"/>
      <c r="AT188" s="170" t="s">
        <v>293</v>
      </c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  <c r="BJ188" s="85"/>
    </row>
    <row r="189" spans="2:62" ht="16.5">
      <c r="B189" s="80"/>
      <c r="C189" s="81"/>
      <c r="D189" s="81"/>
      <c r="E189" s="81"/>
      <c r="F189" s="81"/>
      <c r="G189" s="81"/>
      <c r="H189" s="133"/>
      <c r="I189" s="132"/>
      <c r="J189" s="81"/>
      <c r="K189" s="133"/>
      <c r="L189" s="132"/>
      <c r="M189" s="81"/>
      <c r="N189" s="133"/>
      <c r="O189" s="132"/>
      <c r="P189" s="81"/>
      <c r="Q189" s="133"/>
      <c r="R189" s="132"/>
      <c r="S189" s="81"/>
      <c r="T189" s="81"/>
      <c r="U189" s="81"/>
      <c r="V189" s="81"/>
      <c r="W189" s="81"/>
      <c r="X189" s="81"/>
      <c r="Y189" s="81"/>
      <c r="Z189" s="81"/>
      <c r="AA189" s="133"/>
      <c r="AB189" s="143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5"/>
      <c r="AN189" s="185" t="s">
        <v>290</v>
      </c>
      <c r="AO189" s="144"/>
      <c r="AP189" s="144"/>
      <c r="AQ189" s="144"/>
      <c r="AR189" s="144"/>
      <c r="AS189" s="172"/>
      <c r="AT189" s="143" t="s">
        <v>294</v>
      </c>
      <c r="AU189" s="144"/>
      <c r="AV189" s="144"/>
      <c r="AW189" s="144"/>
      <c r="AX189" s="144"/>
      <c r="AY189" s="144"/>
      <c r="AZ189" s="144"/>
      <c r="BA189" s="144"/>
      <c r="BB189" s="144"/>
      <c r="BC189" s="144"/>
      <c r="BD189" s="144"/>
      <c r="BE189" s="144"/>
      <c r="BF189" s="144"/>
      <c r="BG189" s="144"/>
      <c r="BH189" s="144"/>
      <c r="BI189" s="144"/>
      <c r="BJ189" s="145"/>
    </row>
  </sheetData>
  <mergeCells count="46">
    <mergeCell ref="AA80:AE80"/>
    <mergeCell ref="AA81:AE81"/>
    <mergeCell ref="AF80:AJ80"/>
    <mergeCell ref="AF81:AJ81"/>
    <mergeCell ref="B81:E81"/>
    <mergeCell ref="B80:E80"/>
    <mergeCell ref="F81:Z81"/>
    <mergeCell ref="F80:Z80"/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1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B40B-7653-4C16-B4F8-F826A50A7A5C}">
  <dimension ref="A1:BK96"/>
  <sheetViews>
    <sheetView view="pageBreakPreview" zoomScale="75" zoomScaleNormal="75" zoomScaleSheetLayoutView="75" workbookViewId="0">
      <selection activeCell="B13" sqref="B13:AN13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</v>
      </c>
      <c r="BK7" s="4"/>
    </row>
    <row r="8" spans="1:63" ht="15" customHeight="1">
      <c r="A8" s="1"/>
      <c r="B8" s="279" t="s">
        <v>44</v>
      </c>
      <c r="C8" s="280"/>
      <c r="D8" s="280"/>
      <c r="E8" s="280"/>
      <c r="F8" s="281"/>
      <c r="G8" s="276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8"/>
      <c r="Y8" s="279" t="s">
        <v>45</v>
      </c>
      <c r="Z8" s="280"/>
      <c r="AA8" s="280"/>
      <c r="AB8" s="280"/>
      <c r="AC8" s="281"/>
      <c r="AD8" s="276"/>
      <c r="AE8" s="277"/>
      <c r="AF8" s="277"/>
      <c r="AG8" s="277"/>
      <c r="AH8" s="277"/>
      <c r="AI8" s="277"/>
      <c r="AJ8" s="277"/>
      <c r="AK8" s="277"/>
      <c r="AL8" s="277"/>
      <c r="AM8" s="277"/>
      <c r="AN8" s="278"/>
      <c r="BK8" s="4"/>
    </row>
    <row r="9" spans="1:63" ht="15" customHeight="1">
      <c r="A9" s="1"/>
      <c r="B9" s="258" t="s">
        <v>46</v>
      </c>
      <c r="C9" s="259"/>
      <c r="D9" s="259"/>
      <c r="E9" s="259"/>
      <c r="F9" s="260"/>
      <c r="G9" s="261" t="s">
        <v>137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3"/>
      <c r="Y9" s="258" t="s">
        <v>47</v>
      </c>
      <c r="Z9" s="259"/>
      <c r="AA9" s="259"/>
      <c r="AB9" s="259"/>
      <c r="AC9" s="260"/>
      <c r="AD9" s="264"/>
      <c r="AE9" s="265"/>
      <c r="AF9" s="265"/>
      <c r="AG9" s="265"/>
      <c r="AH9" s="265"/>
      <c r="AI9" s="265"/>
      <c r="AJ9" s="265"/>
      <c r="AK9" s="265"/>
      <c r="AL9" s="265"/>
      <c r="AM9" s="265"/>
      <c r="AN9" s="266"/>
      <c r="BK9" s="4"/>
    </row>
    <row r="10" spans="1:63" ht="15" customHeight="1">
      <c r="A10" s="1"/>
      <c r="B10" s="267" t="s">
        <v>48</v>
      </c>
      <c r="C10" s="268"/>
      <c r="D10" s="268"/>
      <c r="E10" s="268"/>
      <c r="F10" s="269"/>
      <c r="G10" s="255" t="s">
        <v>131</v>
      </c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67"/>
      <c r="Z10" s="268"/>
      <c r="AA10" s="268"/>
      <c r="AB10" s="268"/>
      <c r="AC10" s="269"/>
      <c r="AD10" s="270"/>
      <c r="AE10" s="271"/>
      <c r="AF10" s="271"/>
      <c r="AG10" s="271"/>
      <c r="AH10" s="271"/>
      <c r="AI10" s="271"/>
      <c r="AJ10" s="271"/>
      <c r="AK10" s="271"/>
      <c r="AL10" s="271"/>
      <c r="AM10" s="271"/>
      <c r="AN10" s="272"/>
      <c r="BK10" s="4"/>
    </row>
    <row r="11" spans="1:63" ht="15" customHeight="1">
      <c r="A11" s="1"/>
      <c r="B11" s="273" t="s">
        <v>49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5"/>
      <c r="BK11" s="4"/>
    </row>
    <row r="12" spans="1:63" ht="15" customHeight="1">
      <c r="A12" s="1"/>
      <c r="B12" s="276" t="s">
        <v>369</v>
      </c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8"/>
      <c r="BK12" s="4"/>
    </row>
    <row r="13" spans="1:63" ht="15" customHeight="1">
      <c r="A13" s="1"/>
      <c r="B13" s="261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3"/>
      <c r="BK13" s="4"/>
    </row>
    <row r="14" spans="1:63" ht="15" customHeight="1">
      <c r="A14" s="1"/>
      <c r="B14" s="261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3"/>
      <c r="BK14" s="4"/>
    </row>
    <row r="15" spans="1:63" ht="15" customHeight="1">
      <c r="A15" s="1"/>
      <c r="B15" s="261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3"/>
      <c r="BK15" s="4"/>
    </row>
    <row r="16" spans="1:63" ht="15" customHeight="1">
      <c r="A16" s="1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7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19" t="s">
        <v>21</v>
      </c>
      <c r="BK19" s="4"/>
    </row>
    <row r="20" spans="1:63" ht="15" customHeight="1">
      <c r="A20" s="1"/>
      <c r="B20" s="34" t="s">
        <v>22</v>
      </c>
      <c r="C20" s="35"/>
      <c r="D20" s="34" t="s">
        <v>23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5"/>
      <c r="R20" s="34" t="s">
        <v>24</v>
      </c>
      <c r="S20" s="36"/>
      <c r="T20" s="36"/>
      <c r="U20" s="36"/>
      <c r="V20" s="36"/>
      <c r="W20" s="36"/>
      <c r="X20" s="36"/>
      <c r="Y20" s="36"/>
      <c r="Z20" s="36"/>
      <c r="AA20" s="36"/>
      <c r="AB20" s="35"/>
      <c r="AC20" s="34" t="s">
        <v>25</v>
      </c>
      <c r="AD20" s="36"/>
      <c r="AE20" s="36"/>
      <c r="AF20" s="36"/>
      <c r="AG20" s="35"/>
      <c r="AH20" s="34" t="s">
        <v>26</v>
      </c>
      <c r="AI20" s="35"/>
      <c r="AJ20" s="34" t="s">
        <v>27</v>
      </c>
      <c r="AK20" s="36"/>
      <c r="AL20" s="35"/>
      <c r="AM20" s="34" t="s">
        <v>28</v>
      </c>
      <c r="AN20" s="36"/>
      <c r="AO20" s="36"/>
      <c r="AP20" s="36"/>
      <c r="AQ20" s="36"/>
      <c r="AR20" s="36"/>
      <c r="AS20" s="35"/>
      <c r="AT20" s="34" t="s">
        <v>29</v>
      </c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5"/>
      <c r="BK20" s="4"/>
    </row>
    <row r="21" spans="1:63" ht="15" customHeight="1">
      <c r="A21" s="1"/>
      <c r="B21" s="62">
        <v>1</v>
      </c>
      <c r="C21" s="63"/>
      <c r="D21" s="21" t="s">
        <v>30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21" t="s">
        <v>63</v>
      </c>
      <c r="S21" s="64"/>
      <c r="T21" s="64"/>
      <c r="U21" s="64"/>
      <c r="V21" s="64"/>
      <c r="W21" s="64"/>
      <c r="X21" s="64"/>
      <c r="Y21" s="64"/>
      <c r="Z21" s="64"/>
      <c r="AA21" s="64"/>
      <c r="AB21" s="65"/>
      <c r="AC21" s="21" t="s">
        <v>31</v>
      </c>
      <c r="AD21" s="64"/>
      <c r="AE21" s="64"/>
      <c r="AF21" s="64"/>
      <c r="AG21" s="65"/>
      <c r="AH21" s="21"/>
      <c r="AI21" s="65"/>
      <c r="AJ21" s="21" t="s">
        <v>32</v>
      </c>
      <c r="AK21" s="64"/>
      <c r="AL21" s="65"/>
      <c r="AM21" s="21" t="s">
        <v>33</v>
      </c>
      <c r="AN21" s="64"/>
      <c r="AO21" s="64"/>
      <c r="AP21" s="64"/>
      <c r="AQ21" s="64"/>
      <c r="AR21" s="64"/>
      <c r="AS21" s="65"/>
      <c r="AT21" s="21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  <c r="BK21" s="4"/>
    </row>
    <row r="22" spans="1:63" ht="15" customHeight="1">
      <c r="A22" s="1"/>
      <c r="B22" s="23">
        <v>2</v>
      </c>
      <c r="C22" s="24"/>
      <c r="D22" s="22" t="s">
        <v>67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22" t="s">
        <v>62</v>
      </c>
      <c r="S22" s="25"/>
      <c r="T22" s="25"/>
      <c r="U22" s="25"/>
      <c r="V22" s="25"/>
      <c r="W22" s="25"/>
      <c r="X22" s="25"/>
      <c r="Y22" s="25"/>
      <c r="Z22" s="25"/>
      <c r="AA22" s="25"/>
      <c r="AB22" s="26"/>
      <c r="AC22" s="22" t="s">
        <v>34</v>
      </c>
      <c r="AD22" s="25"/>
      <c r="AE22" s="25"/>
      <c r="AF22" s="25"/>
      <c r="AG22" s="26"/>
      <c r="AH22" s="22"/>
      <c r="AI22" s="26"/>
      <c r="AJ22" s="22" t="s">
        <v>32</v>
      </c>
      <c r="AK22" s="25"/>
      <c r="AL22" s="26"/>
      <c r="AM22" s="22" t="s">
        <v>72</v>
      </c>
      <c r="AN22" s="25"/>
      <c r="AO22" s="25"/>
      <c r="AP22" s="25"/>
      <c r="AQ22" s="25"/>
      <c r="AR22" s="25"/>
      <c r="AS22" s="26"/>
      <c r="AT22" s="22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6"/>
      <c r="BK22" s="4"/>
    </row>
    <row r="23" spans="1:63" ht="15" customHeight="1">
      <c r="A23" s="1"/>
      <c r="B23" s="23">
        <v>3</v>
      </c>
      <c r="C23" s="24"/>
      <c r="D23" s="22" t="s">
        <v>68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2" t="s">
        <v>64</v>
      </c>
      <c r="S23" s="25"/>
      <c r="T23" s="25"/>
      <c r="U23" s="25"/>
      <c r="V23" s="25"/>
      <c r="W23" s="25"/>
      <c r="X23" s="25"/>
      <c r="Y23" s="25"/>
      <c r="Z23" s="25"/>
      <c r="AA23" s="25"/>
      <c r="AB23" s="26"/>
      <c r="AC23" s="22" t="s">
        <v>31</v>
      </c>
      <c r="AD23" s="25"/>
      <c r="AE23" s="25"/>
      <c r="AF23" s="25"/>
      <c r="AG23" s="26"/>
      <c r="AH23" s="22"/>
      <c r="AI23" s="26"/>
      <c r="AJ23" s="22" t="s">
        <v>32</v>
      </c>
      <c r="AK23" s="25"/>
      <c r="AL23" s="26"/>
      <c r="AM23" s="22" t="s">
        <v>73</v>
      </c>
      <c r="AN23" s="25"/>
      <c r="AO23" s="25"/>
      <c r="AP23" s="25"/>
      <c r="AQ23" s="25"/>
      <c r="AR23" s="25"/>
      <c r="AS23" s="26"/>
      <c r="AT23" s="22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4"/>
    </row>
    <row r="24" spans="1:63" ht="15" customHeight="1">
      <c r="A24" s="1"/>
      <c r="B24" s="23">
        <v>4</v>
      </c>
      <c r="C24" s="24"/>
      <c r="D24" s="22" t="s">
        <v>69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2" t="s">
        <v>65</v>
      </c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22" t="s">
        <v>34</v>
      </c>
      <c r="AD24" s="25"/>
      <c r="AE24" s="25"/>
      <c r="AF24" s="25"/>
      <c r="AG24" s="26"/>
      <c r="AH24" s="22"/>
      <c r="AI24" s="26"/>
      <c r="AJ24" s="22" t="s">
        <v>32</v>
      </c>
      <c r="AK24" s="25"/>
      <c r="AL24" s="26"/>
      <c r="AM24" s="22" t="s">
        <v>72</v>
      </c>
      <c r="AN24" s="25"/>
      <c r="AO24" s="25"/>
      <c r="AP24" s="25"/>
      <c r="AQ24" s="25"/>
      <c r="AR24" s="25"/>
      <c r="AS24" s="26"/>
      <c r="AT24" s="27" t="s">
        <v>74</v>
      </c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4"/>
    </row>
    <row r="25" spans="1:63" ht="15" customHeight="1">
      <c r="A25" s="1"/>
      <c r="B25" s="23">
        <v>5</v>
      </c>
      <c r="C25" s="24"/>
      <c r="D25" s="22" t="s">
        <v>70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2" t="s">
        <v>66</v>
      </c>
      <c r="S25" s="25"/>
      <c r="T25" s="25"/>
      <c r="U25" s="25"/>
      <c r="V25" s="25"/>
      <c r="W25" s="25"/>
      <c r="X25" s="25"/>
      <c r="Y25" s="25"/>
      <c r="Z25" s="25"/>
      <c r="AA25" s="25"/>
      <c r="AB25" s="26"/>
      <c r="AC25" s="22" t="s">
        <v>82</v>
      </c>
      <c r="AD25" s="25"/>
      <c r="AE25" s="25"/>
      <c r="AF25" s="25"/>
      <c r="AG25" s="26"/>
      <c r="AH25" s="22"/>
      <c r="AI25" s="26"/>
      <c r="AJ25" s="22" t="s">
        <v>83</v>
      </c>
      <c r="AK25" s="25"/>
      <c r="AL25" s="26"/>
      <c r="AM25" s="22" t="s">
        <v>73</v>
      </c>
      <c r="AN25" s="25"/>
      <c r="AO25" s="25"/>
      <c r="AP25" s="25"/>
      <c r="AQ25" s="25"/>
      <c r="AR25" s="25"/>
      <c r="AS25" s="26"/>
      <c r="AT25" s="27" t="s">
        <v>74</v>
      </c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4"/>
    </row>
    <row r="26" spans="1:63" ht="15" customHeight="1">
      <c r="A26" s="1"/>
      <c r="B26" s="28">
        <v>6</v>
      </c>
      <c r="C26" s="29"/>
      <c r="D26" s="30" t="s">
        <v>71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2"/>
      <c r="R26" s="30" t="s">
        <v>61</v>
      </c>
      <c r="S26" s="31"/>
      <c r="T26" s="31"/>
      <c r="U26" s="31"/>
      <c r="V26" s="31"/>
      <c r="W26" s="31"/>
      <c r="X26" s="31"/>
      <c r="Y26" s="31"/>
      <c r="Z26" s="31"/>
      <c r="AA26" s="31"/>
      <c r="AB26" s="32"/>
      <c r="AC26" s="30" t="s">
        <v>91</v>
      </c>
      <c r="AD26" s="31"/>
      <c r="AE26" s="31"/>
      <c r="AF26" s="31"/>
      <c r="AG26" s="32"/>
      <c r="AH26" s="30"/>
      <c r="AI26" s="32"/>
      <c r="AJ26" s="30" t="s">
        <v>83</v>
      </c>
      <c r="AK26" s="31"/>
      <c r="AL26" s="32"/>
      <c r="AM26" s="30" t="s">
        <v>84</v>
      </c>
      <c r="AN26" s="31"/>
      <c r="AO26" s="31"/>
      <c r="AP26" s="31"/>
      <c r="AQ26" s="31"/>
      <c r="AR26" s="31"/>
      <c r="AS26" s="32"/>
      <c r="AT26" s="30" t="s">
        <v>90</v>
      </c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4"/>
    </row>
    <row r="27" spans="1:63" ht="15" customHeight="1">
      <c r="A27" s="1"/>
      <c r="B27" s="62">
        <f t="shared" ref="B27:B29" si="0">B26+1</f>
        <v>7</v>
      </c>
      <c r="C27" s="63"/>
      <c r="D27" s="21" t="s">
        <v>138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5"/>
      <c r="R27" s="21" t="s">
        <v>122</v>
      </c>
      <c r="S27" s="64"/>
      <c r="T27" s="64"/>
      <c r="U27" s="64"/>
      <c r="V27" s="64"/>
      <c r="W27" s="64"/>
      <c r="X27" s="64"/>
      <c r="Y27" s="64"/>
      <c r="Z27" s="64"/>
      <c r="AA27" s="64"/>
      <c r="AB27" s="65"/>
      <c r="AC27" s="21" t="s">
        <v>141</v>
      </c>
      <c r="AD27" s="64"/>
      <c r="AE27" s="64"/>
      <c r="AF27" s="64"/>
      <c r="AG27" s="65"/>
      <c r="AH27" s="21" t="s">
        <v>83</v>
      </c>
      <c r="AI27" s="65"/>
      <c r="AJ27" s="21" t="s">
        <v>83</v>
      </c>
      <c r="AK27" s="64"/>
      <c r="AL27" s="65"/>
      <c r="AM27" s="21"/>
      <c r="AN27" s="64"/>
      <c r="AO27" s="64"/>
      <c r="AP27" s="64"/>
      <c r="AQ27" s="64"/>
      <c r="AR27" s="64"/>
      <c r="AS27" s="65"/>
      <c r="AT27" s="21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5"/>
      <c r="BK27" s="4"/>
    </row>
    <row r="28" spans="1:63" ht="15" customHeight="1">
      <c r="A28" s="1"/>
      <c r="B28" s="23">
        <f t="shared" si="0"/>
        <v>8</v>
      </c>
      <c r="C28" s="24"/>
      <c r="D28" s="22" t="s">
        <v>139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123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2" t="s">
        <v>141</v>
      </c>
      <c r="AD28" s="25"/>
      <c r="AE28" s="25"/>
      <c r="AF28" s="25"/>
      <c r="AG28" s="26"/>
      <c r="AH28" s="22" t="s">
        <v>83</v>
      </c>
      <c r="AI28" s="26"/>
      <c r="AJ28" s="22" t="s">
        <v>83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</row>
    <row r="29" spans="1:63" ht="15" customHeight="1">
      <c r="A29" s="1"/>
      <c r="B29" s="28">
        <f t="shared" si="0"/>
        <v>9</v>
      </c>
      <c r="C29" s="29"/>
      <c r="D29" s="30" t="s">
        <v>140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2"/>
      <c r="R29" s="30" t="s">
        <v>124</v>
      </c>
      <c r="S29" s="31"/>
      <c r="T29" s="31"/>
      <c r="U29" s="31"/>
      <c r="V29" s="31"/>
      <c r="W29" s="31"/>
      <c r="X29" s="31"/>
      <c r="Y29" s="31"/>
      <c r="Z29" s="31"/>
      <c r="AA29" s="31"/>
      <c r="AB29" s="32"/>
      <c r="AC29" s="30" t="s">
        <v>141</v>
      </c>
      <c r="AD29" s="31"/>
      <c r="AE29" s="31"/>
      <c r="AF29" s="31"/>
      <c r="AG29" s="32"/>
      <c r="AH29" s="30" t="s">
        <v>83</v>
      </c>
      <c r="AI29" s="32"/>
      <c r="AJ29" s="30" t="s">
        <v>83</v>
      </c>
      <c r="AK29" s="31"/>
      <c r="AL29" s="32"/>
      <c r="AM29" s="30"/>
      <c r="AN29" s="31"/>
      <c r="AO29" s="31"/>
      <c r="AP29" s="31"/>
      <c r="AQ29" s="31"/>
      <c r="AR29" s="31"/>
      <c r="AS29" s="32"/>
      <c r="AT29" s="30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  <c r="BK29" s="4"/>
    </row>
    <row r="30" spans="1:63" ht="15" customHeight="1">
      <c r="A30" s="1"/>
      <c r="B30" s="89">
        <v>10</v>
      </c>
      <c r="C30" s="90"/>
      <c r="D30" s="38" t="s">
        <v>110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39"/>
      <c r="R30" s="38" t="s">
        <v>109</v>
      </c>
      <c r="S30" s="40"/>
      <c r="T30" s="40"/>
      <c r="U30" s="40"/>
      <c r="V30" s="40"/>
      <c r="W30" s="40"/>
      <c r="X30" s="40"/>
      <c r="Y30" s="40"/>
      <c r="Z30" s="40"/>
      <c r="AA30" s="40"/>
      <c r="AB30" s="39"/>
      <c r="AC30" s="38" t="s">
        <v>126</v>
      </c>
      <c r="AD30" s="40"/>
      <c r="AE30" s="40"/>
      <c r="AF30" s="40"/>
      <c r="AG30" s="39"/>
      <c r="AH30" s="38" t="s">
        <v>32</v>
      </c>
      <c r="AI30" s="39"/>
      <c r="AJ30" s="38" t="s">
        <v>83</v>
      </c>
      <c r="AK30" s="40"/>
      <c r="AL30" s="39"/>
      <c r="AM30" s="38"/>
      <c r="AN30" s="40"/>
      <c r="AO30" s="40"/>
      <c r="AP30" s="40"/>
      <c r="AQ30" s="40"/>
      <c r="AR30" s="40"/>
      <c r="AS30" s="39"/>
      <c r="AT30" s="38" t="s">
        <v>128</v>
      </c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39"/>
      <c r="BK30" s="4"/>
    </row>
    <row r="31" spans="1:63" ht="15" customHeight="1">
      <c r="A31" s="1"/>
      <c r="B31" s="16">
        <v>11</v>
      </c>
      <c r="C31" s="17"/>
      <c r="D31" s="18" t="s">
        <v>98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18" t="s">
        <v>111</v>
      </c>
      <c r="S31" s="19"/>
      <c r="T31" s="19"/>
      <c r="U31" s="19"/>
      <c r="V31" s="19"/>
      <c r="W31" s="19"/>
      <c r="X31" s="19"/>
      <c r="Y31" s="19"/>
      <c r="Z31" s="19"/>
      <c r="AA31" s="19"/>
      <c r="AB31" s="20"/>
      <c r="AC31" s="18" t="s">
        <v>125</v>
      </c>
      <c r="AD31" s="19"/>
      <c r="AE31" s="19"/>
      <c r="AF31" s="19"/>
      <c r="AG31" s="20"/>
      <c r="AH31" s="18"/>
      <c r="AI31" s="20"/>
      <c r="AJ31" s="18" t="s">
        <v>32</v>
      </c>
      <c r="AK31" s="19"/>
      <c r="AL31" s="20"/>
      <c r="AM31" s="18" t="s">
        <v>357</v>
      </c>
      <c r="AN31" s="19"/>
      <c r="AO31" s="19"/>
      <c r="AP31" s="19"/>
      <c r="AQ31" s="19"/>
      <c r="AR31" s="19"/>
      <c r="AS31" s="20"/>
      <c r="AT31" s="18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20"/>
      <c r="BK31" s="4"/>
    </row>
    <row r="32" spans="1:63" ht="15" customHeight="1">
      <c r="A32" s="1"/>
      <c r="B32" s="23">
        <v>12</v>
      </c>
      <c r="C32" s="24"/>
      <c r="D32" s="22" t="s">
        <v>99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113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2" t="s">
        <v>125</v>
      </c>
      <c r="AD32" s="25"/>
      <c r="AE32" s="25"/>
      <c r="AF32" s="25"/>
      <c r="AG32" s="26"/>
      <c r="AH32" s="22"/>
      <c r="AI32" s="26"/>
      <c r="AJ32" s="22" t="s">
        <v>32</v>
      </c>
      <c r="AK32" s="25"/>
      <c r="AL32" s="26"/>
      <c r="AM32" s="22" t="s">
        <v>356</v>
      </c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</row>
    <row r="33" spans="1:63" ht="15" customHeight="1">
      <c r="A33" s="1"/>
      <c r="B33" s="23">
        <v>13</v>
      </c>
      <c r="C33" s="24"/>
      <c r="D33" s="22" t="s">
        <v>100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114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2" t="s">
        <v>125</v>
      </c>
      <c r="AD33" s="25"/>
      <c r="AE33" s="25"/>
      <c r="AF33" s="25"/>
      <c r="AG33" s="26"/>
      <c r="AH33" s="22"/>
      <c r="AI33" s="26"/>
      <c r="AJ33" s="22" t="s">
        <v>32</v>
      </c>
      <c r="AK33" s="25"/>
      <c r="AL33" s="26"/>
      <c r="AM33" s="22" t="s">
        <v>356</v>
      </c>
      <c r="AN33" s="25"/>
      <c r="AO33" s="25"/>
      <c r="AP33" s="25"/>
      <c r="AQ33" s="25"/>
      <c r="AR33" s="25"/>
      <c r="AS33" s="26"/>
      <c r="AT33" s="22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</row>
    <row r="34" spans="1:63" ht="15" customHeight="1">
      <c r="A34" s="1"/>
      <c r="B34" s="23">
        <v>14</v>
      </c>
      <c r="C34" s="24"/>
      <c r="D34" s="22" t="s">
        <v>101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115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2" t="s">
        <v>125</v>
      </c>
      <c r="AD34" s="25"/>
      <c r="AE34" s="25"/>
      <c r="AF34" s="25"/>
      <c r="AG34" s="26"/>
      <c r="AH34" s="22"/>
      <c r="AI34" s="26"/>
      <c r="AJ34" s="22" t="s">
        <v>32</v>
      </c>
      <c r="AK34" s="25"/>
      <c r="AL34" s="26"/>
      <c r="AM34" s="22" t="s">
        <v>356</v>
      </c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</row>
    <row r="35" spans="1:63" ht="15" customHeight="1">
      <c r="A35" s="1"/>
      <c r="B35" s="23">
        <v>15</v>
      </c>
      <c r="C35" s="24"/>
      <c r="D35" s="22" t="s">
        <v>102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112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2" t="s">
        <v>125</v>
      </c>
      <c r="AD35" s="25"/>
      <c r="AE35" s="25"/>
      <c r="AF35" s="25"/>
      <c r="AG35" s="26"/>
      <c r="AH35" s="22"/>
      <c r="AI35" s="26"/>
      <c r="AJ35" s="22" t="s">
        <v>32</v>
      </c>
      <c r="AK35" s="25"/>
      <c r="AL35" s="26"/>
      <c r="AM35" s="22" t="s">
        <v>356</v>
      </c>
      <c r="AN35" s="25"/>
      <c r="AO35" s="25"/>
      <c r="AP35" s="25"/>
      <c r="AQ35" s="25"/>
      <c r="AR35" s="25"/>
      <c r="AS35" s="26"/>
      <c r="AT35" s="22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</row>
    <row r="36" spans="1:63" ht="15" customHeight="1">
      <c r="A36" s="1"/>
      <c r="B36" s="23">
        <v>16</v>
      </c>
      <c r="C36" s="24"/>
      <c r="D36" s="22" t="s">
        <v>103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116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2" t="s">
        <v>125</v>
      </c>
      <c r="AD36" s="25"/>
      <c r="AE36" s="25"/>
      <c r="AF36" s="25"/>
      <c r="AG36" s="26"/>
      <c r="AH36" s="22"/>
      <c r="AI36" s="26"/>
      <c r="AJ36" s="22" t="s">
        <v>32</v>
      </c>
      <c r="AK36" s="25"/>
      <c r="AL36" s="26"/>
      <c r="AM36" s="22" t="s">
        <v>356</v>
      </c>
      <c r="AN36" s="25"/>
      <c r="AO36" s="25"/>
      <c r="AP36" s="25"/>
      <c r="AQ36" s="25"/>
      <c r="AR36" s="25"/>
      <c r="AS36" s="26"/>
      <c r="AT36" s="69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</row>
    <row r="37" spans="1:63" ht="15" customHeight="1">
      <c r="A37" s="1"/>
      <c r="B37" s="23">
        <v>17</v>
      </c>
      <c r="C37" s="24"/>
      <c r="D37" s="22" t="s">
        <v>104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117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2" t="s">
        <v>125</v>
      </c>
      <c r="AD37" s="25"/>
      <c r="AE37" s="25"/>
      <c r="AF37" s="25"/>
      <c r="AG37" s="26"/>
      <c r="AH37" s="22"/>
      <c r="AI37" s="26"/>
      <c r="AJ37" s="22" t="s">
        <v>32</v>
      </c>
      <c r="AK37" s="25"/>
      <c r="AL37" s="26"/>
      <c r="AM37" s="22" t="s">
        <v>356</v>
      </c>
      <c r="AN37" s="25"/>
      <c r="AO37" s="25"/>
      <c r="AP37" s="25"/>
      <c r="AQ37" s="25"/>
      <c r="AR37" s="25"/>
      <c r="AS37" s="26"/>
      <c r="AT37" s="22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</row>
    <row r="38" spans="1:63" ht="15" customHeight="1">
      <c r="A38" s="1"/>
      <c r="B38" s="23">
        <v>18</v>
      </c>
      <c r="C38" s="24"/>
      <c r="D38" s="22" t="s">
        <v>105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118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2" t="s">
        <v>125</v>
      </c>
      <c r="AD38" s="25"/>
      <c r="AE38" s="25"/>
      <c r="AF38" s="25"/>
      <c r="AG38" s="26"/>
      <c r="AH38" s="22"/>
      <c r="AI38" s="26"/>
      <c r="AJ38" s="22" t="s">
        <v>32</v>
      </c>
      <c r="AK38" s="25"/>
      <c r="AL38" s="26"/>
      <c r="AM38" s="22" t="s">
        <v>356</v>
      </c>
      <c r="AN38" s="25"/>
      <c r="AO38" s="25"/>
      <c r="AP38" s="25"/>
      <c r="AQ38" s="25"/>
      <c r="AR38" s="25"/>
      <c r="AS38" s="26"/>
      <c r="AT38" s="22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</row>
    <row r="39" spans="1:63" ht="15" customHeight="1">
      <c r="A39" s="1"/>
      <c r="B39" s="23">
        <v>19</v>
      </c>
      <c r="C39" s="24"/>
      <c r="D39" s="22" t="s">
        <v>106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119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2" t="s">
        <v>125</v>
      </c>
      <c r="AD39" s="25"/>
      <c r="AE39" s="25"/>
      <c r="AF39" s="25"/>
      <c r="AG39" s="26"/>
      <c r="AH39" s="22"/>
      <c r="AI39" s="26"/>
      <c r="AJ39" s="22" t="s">
        <v>32</v>
      </c>
      <c r="AK39" s="25"/>
      <c r="AL39" s="26"/>
      <c r="AM39" s="22" t="s">
        <v>356</v>
      </c>
      <c r="AN39" s="25"/>
      <c r="AO39" s="25"/>
      <c r="AP39" s="25"/>
      <c r="AQ39" s="25"/>
      <c r="AR39" s="25"/>
      <c r="AS39" s="26"/>
      <c r="AT39" s="22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</row>
    <row r="40" spans="1:63" ht="15" customHeight="1">
      <c r="A40" s="1"/>
      <c r="B40" s="23">
        <v>20</v>
      </c>
      <c r="C40" s="24"/>
      <c r="D40" s="22" t="s">
        <v>107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120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2" t="s">
        <v>125</v>
      </c>
      <c r="AD40" s="25"/>
      <c r="AE40" s="25"/>
      <c r="AF40" s="25"/>
      <c r="AG40" s="26"/>
      <c r="AH40" s="22"/>
      <c r="AI40" s="26"/>
      <c r="AJ40" s="22" t="s">
        <v>32</v>
      </c>
      <c r="AK40" s="25"/>
      <c r="AL40" s="26"/>
      <c r="AM40" s="22" t="s">
        <v>356</v>
      </c>
      <c r="AN40" s="25"/>
      <c r="AO40" s="25"/>
      <c r="AP40" s="25"/>
      <c r="AQ40" s="25"/>
      <c r="AR40" s="25"/>
      <c r="AS40" s="26"/>
      <c r="AT40" s="22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</row>
    <row r="41" spans="1:63" ht="15" customHeight="1">
      <c r="A41" s="1"/>
      <c r="B41" s="28">
        <v>21</v>
      </c>
      <c r="C41" s="29"/>
      <c r="D41" s="30" t="s">
        <v>127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2"/>
      <c r="R41" s="30" t="s">
        <v>121</v>
      </c>
      <c r="S41" s="31"/>
      <c r="T41" s="31"/>
      <c r="U41" s="31"/>
      <c r="V41" s="31"/>
      <c r="W41" s="31"/>
      <c r="X41" s="31"/>
      <c r="Y41" s="31"/>
      <c r="Z41" s="31"/>
      <c r="AA41" s="31"/>
      <c r="AB41" s="32"/>
      <c r="AC41" s="30" t="s">
        <v>125</v>
      </c>
      <c r="AD41" s="31"/>
      <c r="AE41" s="31"/>
      <c r="AF41" s="31"/>
      <c r="AG41" s="32"/>
      <c r="AH41" s="30"/>
      <c r="AI41" s="32"/>
      <c r="AJ41" s="30" t="s">
        <v>32</v>
      </c>
      <c r="AK41" s="31"/>
      <c r="AL41" s="32"/>
      <c r="AM41" s="30" t="s">
        <v>356</v>
      </c>
      <c r="AN41" s="31"/>
      <c r="AO41" s="31"/>
      <c r="AP41" s="31"/>
      <c r="AQ41" s="31"/>
      <c r="AR41" s="31"/>
      <c r="AS41" s="32"/>
      <c r="AT41" s="30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  <c r="BK41" s="4"/>
    </row>
    <row r="42" spans="1:63" ht="15" customHeight="1">
      <c r="A42" s="1"/>
      <c r="BK42" s="4"/>
    </row>
    <row r="43" spans="1:63" ht="15" customHeight="1">
      <c r="A43" s="1"/>
      <c r="B43" s="37" t="s">
        <v>50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4"/>
    </row>
    <row r="44" spans="1:63" ht="15" customHeight="1">
      <c r="A44" s="1"/>
      <c r="B44" s="34" t="s">
        <v>51</v>
      </c>
      <c r="C44" s="35"/>
      <c r="D44" s="34" t="s">
        <v>52</v>
      </c>
      <c r="E44" s="44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4" t="s">
        <v>53</v>
      </c>
      <c r="S44" s="44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5"/>
      <c r="AL44" s="34" t="s">
        <v>54</v>
      </c>
      <c r="AM44" s="36"/>
      <c r="AN44" s="36"/>
      <c r="AO44" s="45"/>
      <c r="AP44" s="34" t="s">
        <v>55</v>
      </c>
      <c r="AQ44" s="36"/>
      <c r="AR44" s="36"/>
      <c r="AS44" s="35"/>
      <c r="AT44" s="34" t="s">
        <v>49</v>
      </c>
      <c r="AU44" s="44"/>
      <c r="AV44" s="44"/>
      <c r="AW44" s="36"/>
      <c r="AX44" s="36"/>
      <c r="AY44" s="44"/>
      <c r="AZ44" s="36"/>
      <c r="BA44" s="36"/>
      <c r="BB44" s="36"/>
      <c r="BC44" s="36"/>
      <c r="BD44" s="36"/>
      <c r="BE44" s="36"/>
      <c r="BF44" s="36"/>
      <c r="BG44" s="36"/>
      <c r="BH44" s="36"/>
      <c r="BI44" s="44"/>
      <c r="BJ44" s="35"/>
      <c r="BK44" s="4"/>
    </row>
    <row r="45" spans="1:63" ht="15" customHeight="1">
      <c r="A45" s="1"/>
      <c r="B45" s="38">
        <v>1</v>
      </c>
      <c r="C45" s="39"/>
      <c r="D45" s="38" t="s">
        <v>56</v>
      </c>
      <c r="E45" s="46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39"/>
      <c r="R45" s="38" t="s">
        <v>343</v>
      </c>
      <c r="S45" s="46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39"/>
      <c r="AL45" s="38" t="s">
        <v>57</v>
      </c>
      <c r="AM45" s="40"/>
      <c r="AN45" s="40"/>
      <c r="AO45" s="47"/>
      <c r="AP45" s="38" t="s">
        <v>57</v>
      </c>
      <c r="AQ45" s="40"/>
      <c r="AR45" s="40"/>
      <c r="AS45" s="39"/>
      <c r="AT45" s="38"/>
      <c r="AU45" s="46"/>
      <c r="AV45" s="46"/>
      <c r="AW45" s="40"/>
      <c r="AX45" s="40"/>
      <c r="AY45" s="46"/>
      <c r="AZ45" s="40"/>
      <c r="BA45" s="40"/>
      <c r="BB45" s="40"/>
      <c r="BC45" s="40"/>
      <c r="BD45" s="40"/>
      <c r="BE45" s="40"/>
      <c r="BF45" s="40"/>
      <c r="BG45" s="40"/>
      <c r="BH45" s="40"/>
      <c r="BI45" s="46"/>
      <c r="BJ45" s="39"/>
      <c r="BK45" s="4"/>
    </row>
    <row r="46" spans="1:63" ht="15" customHeight="1">
      <c r="A46" s="1"/>
      <c r="BK46" s="4"/>
    </row>
    <row r="47" spans="1:63" ht="15" customHeight="1">
      <c r="A47" s="1"/>
      <c r="B47" s="37" t="s">
        <v>35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4"/>
    </row>
    <row r="48" spans="1:63" ht="15" customHeight="1">
      <c r="A48" s="1"/>
      <c r="B48" s="34" t="s">
        <v>36</v>
      </c>
      <c r="C48" s="45"/>
      <c r="D48" s="34" t="s">
        <v>37</v>
      </c>
      <c r="E48" s="44"/>
      <c r="F48" s="44"/>
      <c r="G48" s="44"/>
      <c r="H48" s="44"/>
      <c r="I48" s="44"/>
      <c r="J48" s="44"/>
      <c r="K48" s="44"/>
      <c r="L48" s="36"/>
      <c r="M48" s="36"/>
      <c r="N48" s="36"/>
      <c r="O48" s="36"/>
      <c r="P48" s="36"/>
      <c r="Q48" s="35"/>
      <c r="R48" s="34" t="s">
        <v>38</v>
      </c>
      <c r="S48" s="36"/>
      <c r="T48" s="45"/>
      <c r="U48" s="34" t="s">
        <v>39</v>
      </c>
      <c r="V48" s="36"/>
      <c r="W48" s="44"/>
      <c r="X48" s="45"/>
      <c r="Y48" s="34" t="s">
        <v>40</v>
      </c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5"/>
      <c r="BK48" s="4"/>
    </row>
    <row r="49" spans="1:63" ht="15" customHeight="1">
      <c r="A49" s="1"/>
      <c r="B49" s="41">
        <v>1</v>
      </c>
      <c r="C49" s="47"/>
      <c r="D49" s="41" t="str">
        <f>G10&amp;"_"&amp;R49&amp;"_"&amp;"trg"</f>
        <v>ChangeMachineSetting_update_trg</v>
      </c>
      <c r="E49" s="46"/>
      <c r="F49" s="46"/>
      <c r="G49" s="46"/>
      <c r="H49" s="46"/>
      <c r="I49" s="46"/>
      <c r="J49" s="46"/>
      <c r="K49" s="46"/>
      <c r="L49" s="42"/>
      <c r="M49" s="42"/>
      <c r="N49" s="42"/>
      <c r="O49" s="42"/>
      <c r="P49" s="42"/>
      <c r="Q49" s="43"/>
      <c r="R49" s="41" t="s">
        <v>41</v>
      </c>
      <c r="S49" s="42"/>
      <c r="T49" s="47"/>
      <c r="U49" s="41" t="s">
        <v>42</v>
      </c>
      <c r="V49" s="42"/>
      <c r="W49" s="46"/>
      <c r="X49" s="47"/>
      <c r="Y49" s="41" t="s">
        <v>43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3"/>
      <c r="BK49" s="4"/>
    </row>
    <row r="50" spans="1:63" ht="15" customHeight="1">
      <c r="A50" s="1"/>
      <c r="BK50" s="4"/>
    </row>
    <row r="51" spans="1:63" ht="15" customHeight="1">
      <c r="A51" s="1"/>
      <c r="B51" t="s">
        <v>206</v>
      </c>
      <c r="BK51" s="4"/>
    </row>
    <row r="52" spans="1:63" ht="15" customHeight="1">
      <c r="A52" s="1"/>
      <c r="B52" s="285" t="s">
        <v>207</v>
      </c>
      <c r="C52" s="285"/>
      <c r="D52" s="285"/>
      <c r="E52" s="285"/>
      <c r="F52" s="285" t="s">
        <v>209</v>
      </c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2" t="s">
        <v>211</v>
      </c>
      <c r="AB52" s="282"/>
      <c r="AC52" s="282"/>
      <c r="AD52" s="282"/>
      <c r="AE52" s="282"/>
      <c r="AF52" s="282" t="s">
        <v>212</v>
      </c>
      <c r="AG52" s="282"/>
      <c r="AH52" s="282"/>
      <c r="AI52" s="282"/>
      <c r="AJ52" s="282"/>
      <c r="AL52" t="s">
        <v>283</v>
      </c>
      <c r="BK52" s="4"/>
    </row>
    <row r="53" spans="1:63" ht="15" customHeight="1">
      <c r="A53" s="1"/>
      <c r="B53" s="284" t="s">
        <v>208</v>
      </c>
      <c r="C53" s="284"/>
      <c r="D53" s="284"/>
      <c r="E53" s="284"/>
      <c r="F53" s="284" t="s">
        <v>210</v>
      </c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3" t="s">
        <v>213</v>
      </c>
      <c r="AB53" s="283"/>
      <c r="AC53" s="283"/>
      <c r="AD53" s="283"/>
      <c r="AE53" s="283"/>
      <c r="AF53" s="283" t="s">
        <v>214</v>
      </c>
      <c r="AG53" s="283"/>
      <c r="AH53" s="283"/>
      <c r="AI53" s="283"/>
      <c r="AJ53" s="283"/>
      <c r="AL53" t="s">
        <v>284</v>
      </c>
      <c r="BK53" s="4"/>
    </row>
    <row r="54" spans="1:63" ht="15" customHeight="1">
      <c r="A54" s="1"/>
      <c r="BK54" s="4"/>
    </row>
    <row r="55" spans="1:63" ht="15" customHeight="1">
      <c r="A55" s="1"/>
      <c r="B55" s="106" t="s">
        <v>285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46"/>
      <c r="AN55" s="150" t="s">
        <v>282</v>
      </c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2"/>
      <c r="BI55" s="152"/>
      <c r="BJ55" s="153"/>
      <c r="BK55" s="4"/>
    </row>
    <row r="56" spans="1:63" ht="15" customHeight="1">
      <c r="A56" s="1"/>
      <c r="B56" s="105" t="s">
        <v>215</v>
      </c>
      <c r="C56" s="111"/>
      <c r="D56" s="111"/>
      <c r="E56" s="111"/>
      <c r="F56" s="111"/>
      <c r="G56" s="111"/>
      <c r="H56" s="111"/>
      <c r="I56" s="109" t="s">
        <v>216</v>
      </c>
      <c r="J56" s="111"/>
      <c r="K56" s="111"/>
      <c r="L56" s="109" t="s">
        <v>217</v>
      </c>
      <c r="M56" s="108"/>
      <c r="N56" s="108"/>
      <c r="O56" s="110" t="s">
        <v>219</v>
      </c>
      <c r="P56" s="108"/>
      <c r="Q56" s="111"/>
      <c r="R56" s="109" t="s">
        <v>218</v>
      </c>
      <c r="S56" s="108"/>
      <c r="T56" s="108"/>
      <c r="U56" s="111"/>
      <c r="V56" s="147"/>
      <c r="W56" s="147"/>
      <c r="X56" s="111"/>
      <c r="Y56" s="111"/>
      <c r="Z56" s="111"/>
      <c r="AA56" s="111"/>
      <c r="AB56" s="109" t="s">
        <v>220</v>
      </c>
      <c r="AC56" s="111"/>
      <c r="AD56" s="111"/>
      <c r="AE56" s="111"/>
      <c r="AF56" s="147"/>
      <c r="AG56" s="147"/>
      <c r="AH56" s="147"/>
      <c r="AI56" s="111"/>
      <c r="AJ56" s="111"/>
      <c r="AK56" s="111"/>
      <c r="AL56" s="111"/>
      <c r="AM56" s="148"/>
      <c r="AN56" s="154"/>
      <c r="AO56" s="155"/>
      <c r="AP56" s="156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7"/>
    </row>
    <row r="57" spans="1:63" ht="15" customHeight="1">
      <c r="A57" s="1"/>
      <c r="B57" s="112"/>
      <c r="C57" s="113"/>
      <c r="D57" s="113"/>
      <c r="E57" s="113"/>
      <c r="F57" s="113"/>
      <c r="G57" s="113"/>
      <c r="H57" s="128"/>
      <c r="I57" s="114"/>
      <c r="J57" s="113"/>
      <c r="K57" s="128"/>
      <c r="L57" s="115"/>
      <c r="M57" s="113"/>
      <c r="N57" s="128"/>
      <c r="O57" s="116"/>
      <c r="P57" s="113"/>
      <c r="Q57" s="128"/>
      <c r="R57" s="114"/>
      <c r="S57" s="113"/>
      <c r="T57" s="113"/>
      <c r="U57" s="113"/>
      <c r="V57" s="87"/>
      <c r="W57" s="87"/>
      <c r="X57" s="117"/>
      <c r="Y57" s="117"/>
      <c r="Z57" s="117"/>
      <c r="AA57" s="134"/>
      <c r="AB57" s="137" t="s">
        <v>226</v>
      </c>
      <c r="AC57" s="138"/>
      <c r="AD57" s="138"/>
      <c r="AE57" s="138"/>
      <c r="AF57" s="139"/>
      <c r="AG57" s="139"/>
      <c r="AH57" s="139"/>
      <c r="AI57" s="138"/>
      <c r="AJ57" s="138"/>
      <c r="AK57" s="138"/>
      <c r="AL57" s="138"/>
      <c r="AM57" s="140"/>
      <c r="AN57" s="158" t="s">
        <v>286</v>
      </c>
      <c r="AO57" s="161"/>
      <c r="AP57" s="139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162"/>
      <c r="BB57" s="162"/>
      <c r="BC57" s="162"/>
      <c r="BD57" s="162"/>
      <c r="BE57" s="162"/>
      <c r="BF57" s="162"/>
      <c r="BG57" s="162"/>
      <c r="BH57" s="162"/>
      <c r="BI57" s="162"/>
      <c r="BJ57" s="140"/>
    </row>
    <row r="58" spans="1:63" ht="15" customHeight="1">
      <c r="A58" s="1"/>
      <c r="B58" s="119" t="s">
        <v>221</v>
      </c>
      <c r="C58" s="120"/>
      <c r="D58" s="120"/>
      <c r="E58" s="120"/>
      <c r="F58" s="120"/>
      <c r="G58" s="120"/>
      <c r="H58" s="129"/>
      <c r="I58" s="121" t="s">
        <v>222</v>
      </c>
      <c r="J58" s="120"/>
      <c r="K58" s="129"/>
      <c r="L58" s="136" t="s">
        <v>223</v>
      </c>
      <c r="M58" s="120"/>
      <c r="N58" s="129"/>
      <c r="O58" s="123" t="s">
        <v>225</v>
      </c>
      <c r="P58" s="120"/>
      <c r="Q58" s="129"/>
      <c r="R58" s="121" t="s">
        <v>224</v>
      </c>
      <c r="S58" s="120"/>
      <c r="T58" s="120"/>
      <c r="U58" s="120"/>
      <c r="V58" s="69"/>
      <c r="W58" s="69"/>
      <c r="X58" s="124"/>
      <c r="Y58" s="124"/>
      <c r="Z58" s="124"/>
      <c r="AA58" s="135"/>
      <c r="AB58" s="141" t="str">
        <f>"  """&amp;B58&amp;": ""300"","""</f>
        <v xml:space="preserve">  "company_code: "300","</v>
      </c>
      <c r="AC58" s="142"/>
      <c r="AD58" s="142"/>
      <c r="AE58" s="142"/>
      <c r="AF58" s="33"/>
      <c r="AG58" s="33"/>
      <c r="AH58" s="33"/>
      <c r="AI58" s="142"/>
      <c r="AJ58" s="142"/>
      <c r="AK58" s="142"/>
      <c r="AL58" s="142"/>
      <c r="AM58" s="85"/>
      <c r="AN58" s="159"/>
      <c r="AO58" s="163"/>
      <c r="AP58" s="33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85"/>
    </row>
    <row r="59" spans="1:63" ht="15" customHeight="1">
      <c r="A59" s="1"/>
      <c r="B59" s="119" t="s">
        <v>227</v>
      </c>
      <c r="C59" s="120"/>
      <c r="D59" s="120"/>
      <c r="E59" s="120"/>
      <c r="F59" s="120"/>
      <c r="G59" s="120"/>
      <c r="H59" s="129"/>
      <c r="I59" s="121" t="s">
        <v>222</v>
      </c>
      <c r="J59" s="120"/>
      <c r="K59" s="129"/>
      <c r="L59" s="122" t="s">
        <v>223</v>
      </c>
      <c r="M59" s="120"/>
      <c r="N59" s="129"/>
      <c r="O59" s="123" t="s">
        <v>225</v>
      </c>
      <c r="P59" s="120"/>
      <c r="Q59" s="129"/>
      <c r="R59" s="121" t="s">
        <v>228</v>
      </c>
      <c r="S59" s="120"/>
      <c r="T59" s="120"/>
      <c r="U59" s="120"/>
      <c r="V59" s="69"/>
      <c r="W59" s="69"/>
      <c r="X59" s="124"/>
      <c r="Y59" s="124"/>
      <c r="Z59" s="124"/>
      <c r="AA59" s="135"/>
      <c r="AB59" s="141" t="str">
        <f>"  """&amp;B59&amp;": ""048405"","""</f>
        <v xml:space="preserve">  "store_code: "048405","</v>
      </c>
      <c r="AC59" s="142"/>
      <c r="AD59" s="142"/>
      <c r="AE59" s="142"/>
      <c r="AF59" s="33"/>
      <c r="AG59" s="33"/>
      <c r="AH59" s="33"/>
      <c r="AI59" s="142"/>
      <c r="AJ59" s="142"/>
      <c r="AK59" s="142"/>
      <c r="AL59" s="142"/>
      <c r="AM59" s="85"/>
      <c r="AN59" s="159"/>
      <c r="AO59" s="163"/>
      <c r="AP59" s="33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85"/>
    </row>
    <row r="60" spans="1:63" ht="15" customHeight="1">
      <c r="A60" s="1"/>
      <c r="B60" s="119" t="s">
        <v>229</v>
      </c>
      <c r="C60" s="120"/>
      <c r="D60" s="120"/>
      <c r="E60" s="120"/>
      <c r="F60" s="120"/>
      <c r="G60" s="120"/>
      <c r="H60" s="129"/>
      <c r="I60" s="121" t="s">
        <v>222</v>
      </c>
      <c r="J60" s="120"/>
      <c r="K60" s="129"/>
      <c r="L60" s="122" t="s">
        <v>223</v>
      </c>
      <c r="M60" s="120"/>
      <c r="N60" s="129"/>
      <c r="O60" s="123" t="s">
        <v>225</v>
      </c>
      <c r="P60" s="120"/>
      <c r="Q60" s="129"/>
      <c r="R60" s="121" t="s">
        <v>230</v>
      </c>
      <c r="S60" s="120"/>
      <c r="T60" s="120"/>
      <c r="U60" s="120"/>
      <c r="V60" s="69"/>
      <c r="W60" s="69"/>
      <c r="X60" s="124"/>
      <c r="Y60" s="124"/>
      <c r="Z60" s="124"/>
      <c r="AA60" s="135"/>
      <c r="AB60" s="141" t="str">
        <f>"  """&amp;B60&amp;": ""901"","""</f>
        <v xml:space="preserve">  "instore_code: "901","</v>
      </c>
      <c r="AC60" s="142"/>
      <c r="AD60" s="142"/>
      <c r="AE60" s="142"/>
      <c r="AF60" s="33"/>
      <c r="AG60" s="33"/>
      <c r="AH60" s="33"/>
      <c r="AI60" s="142"/>
      <c r="AJ60" s="142"/>
      <c r="AK60" s="142"/>
      <c r="AL60" s="142"/>
      <c r="AM60" s="85"/>
      <c r="AN60" s="150" t="s">
        <v>287</v>
      </c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2"/>
      <c r="BI60" s="152"/>
      <c r="BJ60" s="153"/>
    </row>
    <row r="61" spans="1:63" ht="16.5">
      <c r="B61" s="119" t="s">
        <v>279</v>
      </c>
      <c r="C61" s="120"/>
      <c r="D61" s="120"/>
      <c r="E61" s="120"/>
      <c r="F61" s="120"/>
      <c r="G61" s="120"/>
      <c r="H61" s="129"/>
      <c r="I61" s="121" t="s">
        <v>222</v>
      </c>
      <c r="J61" s="120"/>
      <c r="K61" s="129"/>
      <c r="L61" s="122" t="s">
        <v>280</v>
      </c>
      <c r="M61" s="120"/>
      <c r="N61" s="129"/>
      <c r="O61" s="123"/>
      <c r="P61" s="120"/>
      <c r="Q61" s="129"/>
      <c r="R61" s="121" t="s">
        <v>97</v>
      </c>
      <c r="S61" s="120"/>
      <c r="T61" s="120"/>
      <c r="U61" s="120"/>
      <c r="V61" s="69"/>
      <c r="W61" s="69"/>
      <c r="X61" s="124"/>
      <c r="Y61" s="124"/>
      <c r="Z61" s="124"/>
      <c r="AA61" s="135"/>
      <c r="AB61" s="141" t="str">
        <f>"  """&amp;B61&amp;": false,"""</f>
        <v xml:space="preserve">  "RECORD_VOID_FLAG: false,"</v>
      </c>
      <c r="AC61" s="142"/>
      <c r="AD61" s="142"/>
      <c r="AE61" s="142"/>
      <c r="AF61" s="33"/>
      <c r="AG61" s="33"/>
      <c r="AH61" s="33"/>
      <c r="AI61" s="142"/>
      <c r="AJ61" s="142"/>
      <c r="AK61" s="142"/>
      <c r="AL61" s="142"/>
      <c r="AM61" s="85"/>
      <c r="AN61" s="154"/>
      <c r="AO61" s="155"/>
      <c r="AP61" s="156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155"/>
      <c r="BH61" s="155"/>
      <c r="BI61" s="155"/>
      <c r="BJ61" s="157"/>
    </row>
    <row r="62" spans="1:63" ht="16.5">
      <c r="B62" s="119" t="s">
        <v>144</v>
      </c>
      <c r="C62" s="120"/>
      <c r="D62" s="120"/>
      <c r="E62" s="120"/>
      <c r="F62" s="120"/>
      <c r="G62" s="120"/>
      <c r="H62" s="129"/>
      <c r="I62" s="121" t="s">
        <v>276</v>
      </c>
      <c r="J62" s="120"/>
      <c r="K62" s="129"/>
      <c r="L62" s="122"/>
      <c r="M62" s="120"/>
      <c r="N62" s="129"/>
      <c r="O62" s="123" t="s">
        <v>278</v>
      </c>
      <c r="P62" s="120"/>
      <c r="Q62" s="129"/>
      <c r="R62" s="121" t="s">
        <v>110</v>
      </c>
      <c r="S62" s="120"/>
      <c r="T62" s="120"/>
      <c r="U62" s="120"/>
      <c r="V62" s="69"/>
      <c r="W62" s="69"/>
      <c r="X62" s="124"/>
      <c r="Y62" s="124"/>
      <c r="Z62" s="124"/>
      <c r="AA62" s="135"/>
      <c r="AB62" s="141" t="str">
        <f>"  """&amp;B62&amp;": 9,"""</f>
        <v xml:space="preserve">  "class: 9,"</v>
      </c>
      <c r="AC62" s="142"/>
      <c r="AD62" s="142"/>
      <c r="AE62" s="142"/>
      <c r="AF62" s="33"/>
      <c r="AG62" s="33"/>
      <c r="AH62" s="33"/>
      <c r="AI62" s="142"/>
      <c r="AJ62" s="142"/>
      <c r="AK62" s="142"/>
      <c r="AL62" s="142"/>
      <c r="AM62" s="85"/>
      <c r="AN62" s="158" t="s">
        <v>288</v>
      </c>
      <c r="AO62" s="161"/>
      <c r="AP62" s="139"/>
      <c r="AQ62" s="162"/>
      <c r="AR62" s="162"/>
      <c r="AS62" s="166"/>
      <c r="AT62" s="169" t="s">
        <v>289</v>
      </c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85"/>
    </row>
    <row r="63" spans="1:63" ht="16.5">
      <c r="B63" s="119" t="s">
        <v>344</v>
      </c>
      <c r="C63" s="120"/>
      <c r="D63" s="120"/>
      <c r="E63" s="120"/>
      <c r="F63" s="120"/>
      <c r="G63" s="120"/>
      <c r="H63" s="129"/>
      <c r="I63" s="121" t="s">
        <v>275</v>
      </c>
      <c r="J63" s="120"/>
      <c r="K63" s="129"/>
      <c r="L63" s="122"/>
      <c r="M63" s="120"/>
      <c r="N63" s="129"/>
      <c r="O63" s="123"/>
      <c r="P63" s="120"/>
      <c r="Q63" s="129"/>
      <c r="R63" s="121" t="s">
        <v>98</v>
      </c>
      <c r="S63" s="120"/>
      <c r="T63" s="120"/>
      <c r="U63" s="120"/>
      <c r="V63" s="69"/>
      <c r="W63" s="69"/>
      <c r="X63" s="124"/>
      <c r="Y63" s="124"/>
      <c r="Z63" s="124"/>
      <c r="AA63" s="135"/>
      <c r="AB63" s="141" t="str">
        <f>"  """&amp;B63&amp;": 1,"""</f>
        <v xml:space="preserve">  "10000yen: 1,"</v>
      </c>
      <c r="AC63" s="142"/>
      <c r="AD63" s="142"/>
      <c r="AE63" s="142"/>
      <c r="AF63" s="33"/>
      <c r="AG63" s="33"/>
      <c r="AH63" s="33"/>
      <c r="AI63" s="142"/>
      <c r="AJ63" s="142"/>
      <c r="AK63" s="142"/>
      <c r="AL63" s="142"/>
      <c r="AM63" s="85"/>
      <c r="AN63" s="159" t="s">
        <v>290</v>
      </c>
      <c r="AO63" s="165"/>
      <c r="AP63" s="33"/>
      <c r="AQ63" s="164"/>
      <c r="AR63" s="164"/>
      <c r="AS63" s="167"/>
      <c r="AT63" s="170" t="s">
        <v>291</v>
      </c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85"/>
    </row>
    <row r="64" spans="1:63" ht="16.5">
      <c r="B64" s="119" t="s">
        <v>345</v>
      </c>
      <c r="C64" s="120"/>
      <c r="D64" s="120"/>
      <c r="E64" s="120"/>
      <c r="F64" s="120"/>
      <c r="G64" s="120"/>
      <c r="H64" s="129"/>
      <c r="I64" s="121" t="s">
        <v>276</v>
      </c>
      <c r="J64" s="120"/>
      <c r="K64" s="129"/>
      <c r="L64" s="122"/>
      <c r="M64" s="120"/>
      <c r="N64" s="129"/>
      <c r="O64" s="123"/>
      <c r="P64" s="120"/>
      <c r="Q64" s="129"/>
      <c r="R64" s="121" t="s">
        <v>99</v>
      </c>
      <c r="S64" s="120"/>
      <c r="T64" s="120"/>
      <c r="U64" s="120"/>
      <c r="V64" s="69"/>
      <c r="W64" s="69"/>
      <c r="X64" s="124"/>
      <c r="Y64" s="124"/>
      <c r="Z64" s="124"/>
      <c r="AA64" s="135"/>
      <c r="AB64" s="141" t="str">
        <f>"  """&amp;B64&amp;": 9,"""</f>
        <v xml:space="preserve">  "5000yen: 9,"</v>
      </c>
      <c r="AC64" s="142"/>
      <c r="AD64" s="142"/>
      <c r="AE64" s="142"/>
      <c r="AF64" s="33"/>
      <c r="AG64" s="33"/>
      <c r="AH64" s="33"/>
      <c r="AI64" s="142"/>
      <c r="AJ64" s="142"/>
      <c r="AK64" s="142"/>
      <c r="AL64" s="142"/>
      <c r="AM64" s="85"/>
      <c r="AN64" s="159" t="s">
        <v>290</v>
      </c>
      <c r="AO64" s="165"/>
      <c r="AP64" s="33"/>
      <c r="AQ64" s="164"/>
      <c r="AR64" s="164"/>
      <c r="AS64" s="167"/>
      <c r="AT64" s="170" t="s">
        <v>292</v>
      </c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85"/>
    </row>
    <row r="65" spans="1:62" ht="16.5">
      <c r="B65" s="119" t="s">
        <v>346</v>
      </c>
      <c r="C65" s="120"/>
      <c r="D65" s="120"/>
      <c r="E65" s="120"/>
      <c r="F65" s="120"/>
      <c r="G65" s="120"/>
      <c r="H65" s="129"/>
      <c r="I65" s="121" t="s">
        <v>276</v>
      </c>
      <c r="J65" s="120"/>
      <c r="K65" s="129"/>
      <c r="L65" s="122"/>
      <c r="M65" s="120"/>
      <c r="N65" s="129"/>
      <c r="O65" s="123"/>
      <c r="P65" s="120"/>
      <c r="Q65" s="129"/>
      <c r="R65" s="121" t="s">
        <v>100</v>
      </c>
      <c r="S65" s="120"/>
      <c r="T65" s="120"/>
      <c r="U65" s="120"/>
      <c r="V65" s="69"/>
      <c r="W65" s="69"/>
      <c r="X65" s="124"/>
      <c r="Y65" s="124"/>
      <c r="Z65" s="124"/>
      <c r="AA65" s="135"/>
      <c r="AB65" s="141" t="str">
        <f t="shared" ref="AB65:AB73" si="1">"  """&amp;B65&amp;": 9,"""</f>
        <v xml:space="preserve">  "2000yen: 9,"</v>
      </c>
      <c r="AC65" s="142"/>
      <c r="AD65" s="142"/>
      <c r="AE65" s="142"/>
      <c r="AF65" s="33"/>
      <c r="AG65" s="33"/>
      <c r="AH65" s="33"/>
      <c r="AI65" s="142"/>
      <c r="AJ65" s="142"/>
      <c r="AK65" s="142"/>
      <c r="AL65" s="142"/>
      <c r="AM65" s="85"/>
      <c r="AN65" s="159" t="s">
        <v>290</v>
      </c>
      <c r="AO65" s="165"/>
      <c r="AP65" s="33"/>
      <c r="AQ65" s="164"/>
      <c r="AR65" s="164"/>
      <c r="AS65" s="167"/>
      <c r="AT65" s="170" t="s">
        <v>293</v>
      </c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85"/>
    </row>
    <row r="66" spans="1:62" ht="16.5">
      <c r="B66" s="119" t="s">
        <v>347</v>
      </c>
      <c r="C66" s="120"/>
      <c r="D66" s="120"/>
      <c r="E66" s="120"/>
      <c r="F66" s="120"/>
      <c r="G66" s="120"/>
      <c r="H66" s="129"/>
      <c r="I66" s="121" t="s">
        <v>276</v>
      </c>
      <c r="J66" s="120"/>
      <c r="K66" s="129"/>
      <c r="L66" s="126"/>
      <c r="M66" s="120"/>
      <c r="N66" s="129"/>
      <c r="O66" s="123"/>
      <c r="P66" s="120"/>
      <c r="Q66" s="129"/>
      <c r="R66" s="121" t="s">
        <v>101</v>
      </c>
      <c r="S66" s="120"/>
      <c r="T66" s="120"/>
      <c r="U66" s="120"/>
      <c r="V66" s="69"/>
      <c r="W66" s="69"/>
      <c r="X66" s="120"/>
      <c r="Y66" s="120"/>
      <c r="Z66" s="120"/>
      <c r="AA66" s="129"/>
      <c r="AB66" s="141" t="str">
        <f t="shared" si="1"/>
        <v xml:space="preserve">  "1000yen: 9,"</v>
      </c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85"/>
      <c r="AN66" s="159" t="s">
        <v>290</v>
      </c>
      <c r="AO66" s="33"/>
      <c r="AP66" s="33"/>
      <c r="AQ66" s="33"/>
      <c r="AR66" s="33"/>
      <c r="AS66" s="168"/>
      <c r="AT66" s="171" t="s">
        <v>294</v>
      </c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85"/>
    </row>
    <row r="67" spans="1:62" ht="16.5">
      <c r="B67" s="68" t="s">
        <v>348</v>
      </c>
      <c r="C67" s="69"/>
      <c r="D67" s="69"/>
      <c r="E67" s="69"/>
      <c r="F67" s="69"/>
      <c r="G67" s="69"/>
      <c r="H67" s="131"/>
      <c r="I67" s="130" t="s">
        <v>276</v>
      </c>
      <c r="J67" s="69"/>
      <c r="K67" s="131"/>
      <c r="L67" s="130"/>
      <c r="M67" s="69"/>
      <c r="N67" s="131"/>
      <c r="O67" s="130"/>
      <c r="P67" s="69"/>
      <c r="Q67" s="131"/>
      <c r="R67" s="130" t="s">
        <v>102</v>
      </c>
      <c r="S67" s="69"/>
      <c r="T67" s="69"/>
      <c r="U67" s="69"/>
      <c r="V67" s="69"/>
      <c r="W67" s="69"/>
      <c r="X67" s="69"/>
      <c r="Y67" s="69"/>
      <c r="Z67" s="69"/>
      <c r="AA67" s="131"/>
      <c r="AB67" s="141" t="str">
        <f t="shared" si="1"/>
        <v xml:space="preserve">  "500yen: 9,"</v>
      </c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85"/>
      <c r="AN67" s="84"/>
      <c r="AO67" s="33"/>
      <c r="AP67" s="33"/>
      <c r="AQ67" s="33"/>
      <c r="AR67" s="33"/>
      <c r="AS67" s="168"/>
      <c r="AT67" s="171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85"/>
    </row>
    <row r="68" spans="1:62" ht="16.5">
      <c r="B68" s="68" t="s">
        <v>349</v>
      </c>
      <c r="C68" s="69"/>
      <c r="D68" s="69"/>
      <c r="E68" s="69"/>
      <c r="F68" s="69"/>
      <c r="G68" s="69"/>
      <c r="H68" s="131"/>
      <c r="I68" s="130" t="s">
        <v>276</v>
      </c>
      <c r="J68" s="69"/>
      <c r="K68" s="131"/>
      <c r="L68" s="130"/>
      <c r="M68" s="69"/>
      <c r="N68" s="131"/>
      <c r="O68" s="130"/>
      <c r="P68" s="69"/>
      <c r="Q68" s="131"/>
      <c r="R68" s="130" t="s">
        <v>103</v>
      </c>
      <c r="S68" s="69"/>
      <c r="T68" s="69"/>
      <c r="U68" s="69"/>
      <c r="V68" s="69"/>
      <c r="W68" s="69"/>
      <c r="X68" s="69"/>
      <c r="Y68" s="69"/>
      <c r="Z68" s="69"/>
      <c r="AA68" s="131"/>
      <c r="AB68" s="141" t="str">
        <f t="shared" si="1"/>
        <v xml:space="preserve">  "100yen: 9,"</v>
      </c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85"/>
      <c r="AN68" s="84"/>
      <c r="AO68" s="33"/>
      <c r="AP68" s="33"/>
      <c r="AQ68" s="33"/>
      <c r="AR68" s="33"/>
      <c r="AS68" s="168"/>
      <c r="AT68" s="171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85"/>
    </row>
    <row r="69" spans="1:62" ht="16.5">
      <c r="B69" s="68" t="s">
        <v>350</v>
      </c>
      <c r="C69" s="69"/>
      <c r="D69" s="69"/>
      <c r="E69" s="69"/>
      <c r="F69" s="69"/>
      <c r="G69" s="69"/>
      <c r="H69" s="131"/>
      <c r="I69" s="130" t="s">
        <v>276</v>
      </c>
      <c r="J69" s="69"/>
      <c r="K69" s="131"/>
      <c r="L69" s="130"/>
      <c r="M69" s="69"/>
      <c r="N69" s="131"/>
      <c r="O69" s="130"/>
      <c r="P69" s="69"/>
      <c r="Q69" s="131"/>
      <c r="R69" s="130" t="s">
        <v>104</v>
      </c>
      <c r="S69" s="69"/>
      <c r="T69" s="69"/>
      <c r="U69" s="69"/>
      <c r="V69" s="69"/>
      <c r="W69" s="69"/>
      <c r="X69" s="69"/>
      <c r="Y69" s="69"/>
      <c r="Z69" s="69"/>
      <c r="AA69" s="131"/>
      <c r="AB69" s="141" t="str">
        <f t="shared" si="1"/>
        <v xml:space="preserve">  "50yen: 9,"</v>
      </c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85"/>
      <c r="AN69" s="84"/>
      <c r="AO69" s="33"/>
      <c r="AP69" s="33"/>
      <c r="AQ69" s="33"/>
      <c r="AR69" s="33"/>
      <c r="AS69" s="168"/>
      <c r="AT69" s="171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85"/>
    </row>
    <row r="70" spans="1:62" ht="16.5">
      <c r="B70" s="68" t="s">
        <v>351</v>
      </c>
      <c r="C70" s="69"/>
      <c r="D70" s="69"/>
      <c r="E70" s="69"/>
      <c r="F70" s="69"/>
      <c r="G70" s="69"/>
      <c r="H70" s="131"/>
      <c r="I70" s="130" t="s">
        <v>276</v>
      </c>
      <c r="J70" s="69"/>
      <c r="K70" s="131"/>
      <c r="L70" s="130"/>
      <c r="M70" s="69"/>
      <c r="N70" s="131"/>
      <c r="O70" s="130"/>
      <c r="P70" s="69"/>
      <c r="Q70" s="131"/>
      <c r="R70" s="130" t="s">
        <v>105</v>
      </c>
      <c r="S70" s="69"/>
      <c r="T70" s="69"/>
      <c r="U70" s="69"/>
      <c r="V70" s="69"/>
      <c r="W70" s="69"/>
      <c r="X70" s="69"/>
      <c r="Y70" s="69"/>
      <c r="Z70" s="69"/>
      <c r="AA70" s="131"/>
      <c r="AB70" s="141" t="str">
        <f t="shared" si="1"/>
        <v xml:space="preserve">  "10yen: 9,"</v>
      </c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85"/>
      <c r="AN70" s="84"/>
      <c r="AO70" s="33"/>
      <c r="AP70" s="33"/>
      <c r="AQ70" s="33"/>
      <c r="AR70" s="33"/>
      <c r="AS70" s="168"/>
      <c r="AT70" s="171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85"/>
    </row>
    <row r="71" spans="1:62" ht="16.5">
      <c r="B71" s="68" t="s">
        <v>352</v>
      </c>
      <c r="C71" s="69"/>
      <c r="D71" s="69"/>
      <c r="E71" s="69"/>
      <c r="F71" s="69"/>
      <c r="G71" s="69"/>
      <c r="H71" s="131"/>
      <c r="I71" s="130" t="s">
        <v>276</v>
      </c>
      <c r="J71" s="69"/>
      <c r="K71" s="131"/>
      <c r="L71" s="130"/>
      <c r="M71" s="69"/>
      <c r="N71" s="131"/>
      <c r="O71" s="130"/>
      <c r="P71" s="69"/>
      <c r="Q71" s="131"/>
      <c r="R71" s="130" t="s">
        <v>106</v>
      </c>
      <c r="S71" s="69"/>
      <c r="T71" s="69"/>
      <c r="U71" s="69"/>
      <c r="V71" s="69"/>
      <c r="W71" s="69"/>
      <c r="X71" s="69"/>
      <c r="Y71" s="69"/>
      <c r="Z71" s="69"/>
      <c r="AA71" s="131"/>
      <c r="AB71" s="141" t="str">
        <f t="shared" si="1"/>
        <v xml:space="preserve">  "5yen: 9,"</v>
      </c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85"/>
      <c r="AN71" s="84"/>
      <c r="AO71" s="33"/>
      <c r="AP71" s="33"/>
      <c r="AQ71" s="33"/>
      <c r="AR71" s="33"/>
      <c r="AS71" s="168"/>
      <c r="AT71" s="171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85"/>
    </row>
    <row r="72" spans="1:62" ht="16.5">
      <c r="B72" s="68" t="s">
        <v>353</v>
      </c>
      <c r="C72" s="69"/>
      <c r="D72" s="69"/>
      <c r="E72" s="69"/>
      <c r="F72" s="69"/>
      <c r="G72" s="69"/>
      <c r="H72" s="131"/>
      <c r="I72" s="130" t="s">
        <v>276</v>
      </c>
      <c r="J72" s="69"/>
      <c r="K72" s="131"/>
      <c r="L72" s="130"/>
      <c r="M72" s="69"/>
      <c r="N72" s="131"/>
      <c r="O72" s="130"/>
      <c r="P72" s="69"/>
      <c r="Q72" s="131"/>
      <c r="R72" s="130" t="s">
        <v>107</v>
      </c>
      <c r="S72" s="69"/>
      <c r="T72" s="69"/>
      <c r="U72" s="69"/>
      <c r="V72" s="69"/>
      <c r="W72" s="69"/>
      <c r="X72" s="69"/>
      <c r="Y72" s="69"/>
      <c r="Z72" s="69"/>
      <c r="AA72" s="131"/>
      <c r="AB72" s="141" t="str">
        <f t="shared" si="1"/>
        <v xml:space="preserve">  "1yen: 9,"</v>
      </c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85"/>
      <c r="AN72" s="84"/>
      <c r="AO72" s="33"/>
      <c r="AP72" s="33"/>
      <c r="AQ72" s="33"/>
      <c r="AR72" s="33"/>
      <c r="AS72" s="168"/>
      <c r="AT72" s="171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85"/>
    </row>
    <row r="73" spans="1:62" ht="16.5">
      <c r="B73" s="68" t="s">
        <v>354</v>
      </c>
      <c r="C73" s="69"/>
      <c r="D73" s="69"/>
      <c r="E73" s="69"/>
      <c r="F73" s="69"/>
      <c r="G73" s="69"/>
      <c r="H73" s="131"/>
      <c r="I73" s="130" t="s">
        <v>276</v>
      </c>
      <c r="J73" s="69"/>
      <c r="K73" s="131"/>
      <c r="L73" s="130"/>
      <c r="M73" s="69"/>
      <c r="N73" s="131"/>
      <c r="O73" s="130"/>
      <c r="P73" s="69"/>
      <c r="Q73" s="131"/>
      <c r="R73" s="130" t="s">
        <v>355</v>
      </c>
      <c r="S73" s="69"/>
      <c r="T73" s="69"/>
      <c r="U73" s="69"/>
      <c r="V73" s="69"/>
      <c r="W73" s="69"/>
      <c r="X73" s="69"/>
      <c r="Y73" s="69"/>
      <c r="Z73" s="69"/>
      <c r="AA73" s="131"/>
      <c r="AB73" s="141" t="str">
        <f t="shared" si="1"/>
        <v xml:space="preserve">  "cassette: 9,"</v>
      </c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85"/>
      <c r="AN73" s="84"/>
      <c r="AO73" s="33"/>
      <c r="AP73" s="33"/>
      <c r="AQ73" s="33"/>
      <c r="AR73" s="33"/>
      <c r="AS73" s="168"/>
      <c r="AT73" s="171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85"/>
    </row>
    <row r="74" spans="1:62">
      <c r="B74" s="80"/>
      <c r="C74" s="81"/>
      <c r="D74" s="81"/>
      <c r="E74" s="81"/>
      <c r="F74" s="81"/>
      <c r="G74" s="81"/>
      <c r="H74" s="133"/>
      <c r="I74" s="132"/>
      <c r="J74" s="81"/>
      <c r="K74" s="133"/>
      <c r="L74" s="132"/>
      <c r="M74" s="81"/>
      <c r="N74" s="133"/>
      <c r="O74" s="132"/>
      <c r="P74" s="81"/>
      <c r="Q74" s="133"/>
      <c r="R74" s="132"/>
      <c r="S74" s="81"/>
      <c r="T74" s="81"/>
      <c r="U74" s="81"/>
      <c r="V74" s="81"/>
      <c r="W74" s="81"/>
      <c r="X74" s="81"/>
      <c r="Y74" s="81"/>
      <c r="Z74" s="81"/>
      <c r="AA74" s="133"/>
      <c r="AB74" s="143" t="s">
        <v>281</v>
      </c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5"/>
      <c r="AN74" s="160"/>
      <c r="AO74" s="144"/>
      <c r="AP74" s="144"/>
      <c r="AQ74" s="144"/>
      <c r="AR74" s="144"/>
      <c r="AS74" s="172"/>
      <c r="AT74" s="143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5"/>
    </row>
    <row r="76" spans="1:62" ht="15" customHeight="1">
      <c r="A76" s="1"/>
      <c r="B76" s="106" t="s">
        <v>296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46"/>
      <c r="AN76" s="150" t="s">
        <v>282</v>
      </c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2"/>
      <c r="BI76" s="152"/>
      <c r="BJ76" s="153"/>
    </row>
    <row r="77" spans="1:62" ht="15" customHeight="1">
      <c r="A77" s="1"/>
      <c r="B77" s="105" t="s">
        <v>215</v>
      </c>
      <c r="C77" s="111"/>
      <c r="D77" s="111"/>
      <c r="E77" s="111"/>
      <c r="F77" s="111"/>
      <c r="G77" s="111"/>
      <c r="H77" s="111"/>
      <c r="I77" s="109" t="s">
        <v>216</v>
      </c>
      <c r="J77" s="111"/>
      <c r="K77" s="111"/>
      <c r="L77" s="109" t="s">
        <v>217</v>
      </c>
      <c r="M77" s="108"/>
      <c r="N77" s="108"/>
      <c r="O77" s="110" t="s">
        <v>219</v>
      </c>
      <c r="P77" s="108"/>
      <c r="Q77" s="111"/>
      <c r="R77" s="109" t="s">
        <v>218</v>
      </c>
      <c r="S77" s="108"/>
      <c r="T77" s="108"/>
      <c r="U77" s="111"/>
      <c r="V77" s="147"/>
      <c r="W77" s="147"/>
      <c r="X77" s="111"/>
      <c r="Y77" s="111"/>
      <c r="Z77" s="111"/>
      <c r="AA77" s="111"/>
      <c r="AB77" s="109" t="s">
        <v>220</v>
      </c>
      <c r="AC77" s="111"/>
      <c r="AD77" s="111"/>
      <c r="AE77" s="111"/>
      <c r="AF77" s="147"/>
      <c r="AG77" s="147"/>
      <c r="AH77" s="147"/>
      <c r="AI77" s="111"/>
      <c r="AJ77" s="111"/>
      <c r="AK77" s="111"/>
      <c r="AL77" s="111"/>
      <c r="AM77" s="148"/>
      <c r="AN77" s="154"/>
      <c r="AO77" s="155"/>
      <c r="AP77" s="156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  <c r="BI77" s="155"/>
      <c r="BJ77" s="157"/>
    </row>
    <row r="78" spans="1:62" ht="15" customHeight="1">
      <c r="A78" s="1"/>
      <c r="B78" s="112"/>
      <c r="C78" s="113"/>
      <c r="D78" s="113"/>
      <c r="E78" s="113"/>
      <c r="F78" s="113"/>
      <c r="G78" s="113"/>
      <c r="H78" s="128"/>
      <c r="I78" s="114"/>
      <c r="J78" s="113"/>
      <c r="K78" s="128"/>
      <c r="L78" s="115"/>
      <c r="M78" s="113"/>
      <c r="N78" s="128"/>
      <c r="O78" s="116"/>
      <c r="P78" s="113"/>
      <c r="Q78" s="128"/>
      <c r="R78" s="114"/>
      <c r="S78" s="113"/>
      <c r="T78" s="113"/>
      <c r="U78" s="113"/>
      <c r="V78" s="87"/>
      <c r="W78" s="87"/>
      <c r="X78" s="117"/>
      <c r="Y78" s="117"/>
      <c r="Z78" s="117"/>
      <c r="AA78" s="134"/>
      <c r="AB78" s="137" t="s">
        <v>226</v>
      </c>
      <c r="AC78" s="138"/>
      <c r="AD78" s="138"/>
      <c r="AE78" s="138"/>
      <c r="AF78" s="139"/>
      <c r="AG78" s="139"/>
      <c r="AH78" s="139"/>
      <c r="AI78" s="138"/>
      <c r="AJ78" s="138"/>
      <c r="AK78" s="138"/>
      <c r="AL78" s="138"/>
      <c r="AM78" s="140"/>
      <c r="AN78" s="176" t="s">
        <v>215</v>
      </c>
      <c r="AO78" s="177"/>
      <c r="AP78" s="177"/>
      <c r="AQ78" s="177"/>
      <c r="AR78" s="177"/>
      <c r="AS78" s="177"/>
      <c r="AT78" s="177"/>
      <c r="AU78" s="178" t="s">
        <v>216</v>
      </c>
      <c r="AV78" s="177"/>
      <c r="AW78" s="177"/>
      <c r="AX78" s="178" t="s">
        <v>297</v>
      </c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45"/>
    </row>
    <row r="79" spans="1:62" ht="15" customHeight="1">
      <c r="A79" s="1"/>
      <c r="B79" s="119" t="s">
        <v>221</v>
      </c>
      <c r="C79" s="120"/>
      <c r="D79" s="120"/>
      <c r="E79" s="120"/>
      <c r="F79" s="120"/>
      <c r="G79" s="120"/>
      <c r="H79" s="129"/>
      <c r="I79" s="121" t="s">
        <v>222</v>
      </c>
      <c r="J79" s="120"/>
      <c r="K79" s="129"/>
      <c r="L79" s="136" t="s">
        <v>223</v>
      </c>
      <c r="M79" s="120"/>
      <c r="N79" s="129"/>
      <c r="O79" s="123" t="s">
        <v>225</v>
      </c>
      <c r="P79" s="120"/>
      <c r="Q79" s="129"/>
      <c r="R79" s="121" t="s">
        <v>224</v>
      </c>
      <c r="S79" s="120"/>
      <c r="T79" s="120"/>
      <c r="U79" s="120"/>
      <c r="V79" s="69"/>
      <c r="W79" s="69"/>
      <c r="X79" s="124"/>
      <c r="Y79" s="124"/>
      <c r="Z79" s="124"/>
      <c r="AA79" s="135"/>
      <c r="AB79" s="141" t="str">
        <f>"  """&amp;B79&amp;": ""300"","""</f>
        <v xml:space="preserve">  "company_code: "300","</v>
      </c>
      <c r="AC79" s="142"/>
      <c r="AD79" s="142"/>
      <c r="AE79" s="142"/>
      <c r="AF79" s="33"/>
      <c r="AG79" s="33"/>
      <c r="AH79" s="33"/>
      <c r="AI79" s="142"/>
      <c r="AJ79" s="142"/>
      <c r="AK79" s="142"/>
      <c r="AL79" s="142"/>
      <c r="AM79" s="85"/>
      <c r="AN79" s="112"/>
      <c r="AO79" s="113"/>
      <c r="AP79" s="113"/>
      <c r="AQ79" s="113"/>
      <c r="AR79" s="113"/>
      <c r="AS79" s="113"/>
      <c r="AT79" s="128"/>
      <c r="AU79" s="114"/>
      <c r="AV79" s="113"/>
      <c r="AW79" s="128"/>
      <c r="AX79" s="118" t="s">
        <v>226</v>
      </c>
      <c r="AY79" s="195"/>
      <c r="AZ79" s="195"/>
      <c r="BA79" s="195"/>
      <c r="BB79" s="195"/>
      <c r="BC79" s="195"/>
      <c r="BD79" s="195"/>
      <c r="BE79" s="195"/>
      <c r="BF79" s="195"/>
      <c r="BG79" s="195"/>
      <c r="BH79" s="195"/>
      <c r="BI79" s="195"/>
      <c r="BJ79" s="88"/>
    </row>
    <row r="80" spans="1:62" ht="15" customHeight="1">
      <c r="A80" s="1"/>
      <c r="B80" s="119" t="s">
        <v>227</v>
      </c>
      <c r="C80" s="120"/>
      <c r="D80" s="120"/>
      <c r="E80" s="120"/>
      <c r="F80" s="120"/>
      <c r="G80" s="120"/>
      <c r="H80" s="129"/>
      <c r="I80" s="121" t="s">
        <v>222</v>
      </c>
      <c r="J80" s="120"/>
      <c r="K80" s="129"/>
      <c r="L80" s="122" t="s">
        <v>223</v>
      </c>
      <c r="M80" s="120"/>
      <c r="N80" s="129"/>
      <c r="O80" s="123" t="s">
        <v>225</v>
      </c>
      <c r="P80" s="120"/>
      <c r="Q80" s="129"/>
      <c r="R80" s="121" t="s">
        <v>228</v>
      </c>
      <c r="S80" s="120"/>
      <c r="T80" s="120"/>
      <c r="U80" s="120"/>
      <c r="V80" s="69"/>
      <c r="W80" s="69"/>
      <c r="X80" s="124"/>
      <c r="Y80" s="124"/>
      <c r="Z80" s="124"/>
      <c r="AA80" s="135"/>
      <c r="AB80" s="141" t="str">
        <f>"  """&amp;B80&amp;": ""048405"","""</f>
        <v xml:space="preserve">  "store_code: "048405","</v>
      </c>
      <c r="AC80" s="142"/>
      <c r="AD80" s="142"/>
      <c r="AE80" s="142"/>
      <c r="AF80" s="33"/>
      <c r="AG80" s="33"/>
      <c r="AH80" s="33"/>
      <c r="AI80" s="142"/>
      <c r="AJ80" s="142"/>
      <c r="AK80" s="142"/>
      <c r="AL80" s="142"/>
      <c r="AM80" s="85"/>
      <c r="AN80" s="119" t="s">
        <v>86</v>
      </c>
      <c r="AO80" s="120"/>
      <c r="AP80" s="120"/>
      <c r="AQ80" s="120"/>
      <c r="AR80" s="120"/>
      <c r="AS80" s="120"/>
      <c r="AT80" s="129"/>
      <c r="AU80" s="121" t="s">
        <v>89</v>
      </c>
      <c r="AV80" s="120"/>
      <c r="AW80" s="129"/>
      <c r="AX80" s="125" t="s">
        <v>298</v>
      </c>
      <c r="AY80" s="196"/>
      <c r="AZ80" s="196"/>
      <c r="BA80" s="196"/>
      <c r="BB80" s="196"/>
      <c r="BC80" s="196"/>
      <c r="BD80" s="196"/>
      <c r="BE80" s="196"/>
      <c r="BF80" s="196"/>
      <c r="BG80" s="196"/>
      <c r="BH80" s="196"/>
      <c r="BI80" s="196"/>
      <c r="BJ80" s="70"/>
    </row>
    <row r="81" spans="1:62" ht="15" customHeight="1">
      <c r="A81" s="197"/>
      <c r="B81" s="119" t="s">
        <v>229</v>
      </c>
      <c r="C81" s="120"/>
      <c r="D81" s="120"/>
      <c r="E81" s="120"/>
      <c r="F81" s="120"/>
      <c r="G81" s="120"/>
      <c r="H81" s="129"/>
      <c r="I81" s="121" t="s">
        <v>222</v>
      </c>
      <c r="J81" s="120"/>
      <c r="K81" s="129"/>
      <c r="L81" s="122" t="s">
        <v>223</v>
      </c>
      <c r="M81" s="120"/>
      <c r="N81" s="129"/>
      <c r="O81" s="123" t="s">
        <v>225</v>
      </c>
      <c r="P81" s="120"/>
      <c r="Q81" s="129"/>
      <c r="R81" s="121" t="s">
        <v>230</v>
      </c>
      <c r="S81" s="120"/>
      <c r="T81" s="120"/>
      <c r="U81" s="120"/>
      <c r="V81" s="69"/>
      <c r="W81" s="69"/>
      <c r="X81" s="124"/>
      <c r="Y81" s="124"/>
      <c r="Z81" s="124"/>
      <c r="AA81" s="135"/>
      <c r="AB81" s="141" t="str">
        <f>"  """&amp;B81&amp;": ""901"","""</f>
        <v xml:space="preserve">  "instore_code: "901","</v>
      </c>
      <c r="AC81" s="142"/>
      <c r="AD81" s="142"/>
      <c r="AE81" s="142"/>
      <c r="AF81" s="33"/>
      <c r="AG81" s="33"/>
      <c r="AH81" s="33"/>
      <c r="AI81" s="142"/>
      <c r="AJ81" s="142"/>
      <c r="AK81" s="142"/>
      <c r="AL81" s="142"/>
      <c r="AM81" s="85"/>
      <c r="AN81" s="119" t="s">
        <v>87</v>
      </c>
      <c r="AO81" s="120"/>
      <c r="AP81" s="120"/>
      <c r="AQ81" s="120"/>
      <c r="AR81" s="120"/>
      <c r="AS81" s="120"/>
      <c r="AT81" s="129"/>
      <c r="AU81" s="121" t="s">
        <v>89</v>
      </c>
      <c r="AV81" s="120"/>
      <c r="AW81" s="129"/>
      <c r="AX81" s="125" t="s">
        <v>299</v>
      </c>
      <c r="AY81" s="127"/>
      <c r="AZ81" s="127"/>
      <c r="BA81" s="127"/>
      <c r="BB81" s="127"/>
      <c r="BC81" s="127"/>
      <c r="BD81" s="127"/>
      <c r="BE81" s="127"/>
      <c r="BF81" s="127"/>
      <c r="BG81" s="127"/>
      <c r="BH81" s="69"/>
      <c r="BI81" s="69"/>
      <c r="BJ81" s="70"/>
    </row>
    <row r="82" spans="1:62" ht="16.5">
      <c r="A82" s="4"/>
      <c r="B82" s="187" t="s">
        <v>144</v>
      </c>
      <c r="C82" s="188"/>
      <c r="D82" s="188"/>
      <c r="E82" s="188"/>
      <c r="F82" s="188"/>
      <c r="G82" s="188"/>
      <c r="H82" s="189"/>
      <c r="I82" s="190" t="s">
        <v>276</v>
      </c>
      <c r="J82" s="188"/>
      <c r="K82" s="189"/>
      <c r="L82" s="191"/>
      <c r="M82" s="188"/>
      <c r="N82" s="189"/>
      <c r="O82" s="192" t="s">
        <v>277</v>
      </c>
      <c r="P82" s="188"/>
      <c r="Q82" s="189"/>
      <c r="R82" s="190" t="s">
        <v>110</v>
      </c>
      <c r="S82" s="188"/>
      <c r="T82" s="188"/>
      <c r="U82" s="188"/>
      <c r="V82" s="77"/>
      <c r="W82" s="77"/>
      <c r="X82" s="193"/>
      <c r="Y82" s="193"/>
      <c r="Z82" s="193"/>
      <c r="AA82" s="194"/>
      <c r="AB82" s="141" t="s">
        <v>302</v>
      </c>
      <c r="AC82" s="142"/>
      <c r="AD82" s="142"/>
      <c r="AE82" s="142"/>
      <c r="AF82" s="33"/>
      <c r="AG82" s="33"/>
      <c r="AH82" s="33"/>
      <c r="AI82" s="142"/>
      <c r="AJ82" s="142"/>
      <c r="AK82" s="142"/>
      <c r="AL82" s="142"/>
      <c r="AM82" s="85"/>
      <c r="AN82" s="119" t="s">
        <v>88</v>
      </c>
      <c r="AO82" s="120"/>
      <c r="AP82" s="120"/>
      <c r="AQ82" s="120"/>
      <c r="AR82" s="120"/>
      <c r="AS82" s="120"/>
      <c r="AT82" s="129"/>
      <c r="AU82" s="121" t="s">
        <v>89</v>
      </c>
      <c r="AV82" s="120"/>
      <c r="AW82" s="129"/>
      <c r="AX82" s="125" t="s">
        <v>300</v>
      </c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70"/>
    </row>
    <row r="83" spans="1:62">
      <c r="B83" s="68"/>
      <c r="C83" s="69"/>
      <c r="D83" s="69"/>
      <c r="E83" s="69"/>
      <c r="F83" s="69"/>
      <c r="G83" s="69"/>
      <c r="H83" s="131"/>
      <c r="I83" s="130"/>
      <c r="J83" s="69"/>
      <c r="K83" s="131"/>
      <c r="L83" s="130"/>
      <c r="M83" s="69"/>
      <c r="N83" s="131"/>
      <c r="O83" s="130"/>
      <c r="P83" s="69"/>
      <c r="Q83" s="131"/>
      <c r="R83" s="130"/>
      <c r="S83" s="69"/>
      <c r="T83" s="69"/>
      <c r="U83" s="69"/>
      <c r="V83" s="69"/>
      <c r="W83" s="69"/>
      <c r="X83" s="69"/>
      <c r="Y83" s="69"/>
      <c r="Z83" s="69"/>
      <c r="AA83" s="131"/>
      <c r="AB83" s="186" t="s">
        <v>281</v>
      </c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2"/>
      <c r="AN83" s="68" t="s">
        <v>61</v>
      </c>
      <c r="AO83" s="69"/>
      <c r="AP83" s="69"/>
      <c r="AQ83" s="69"/>
      <c r="AR83" s="69"/>
      <c r="AS83" s="69"/>
      <c r="AT83" s="131"/>
      <c r="AU83" s="130" t="s">
        <v>89</v>
      </c>
      <c r="AV83" s="69"/>
      <c r="AW83" s="131"/>
      <c r="AX83" s="130" t="s">
        <v>301</v>
      </c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70"/>
    </row>
    <row r="84" spans="1:62">
      <c r="B84" s="68"/>
      <c r="C84" s="69"/>
      <c r="D84" s="69"/>
      <c r="E84" s="69"/>
      <c r="F84" s="69"/>
      <c r="G84" s="69"/>
      <c r="H84" s="131"/>
      <c r="I84" s="130"/>
      <c r="J84" s="69"/>
      <c r="K84" s="131"/>
      <c r="L84" s="130"/>
      <c r="M84" s="69"/>
      <c r="N84" s="131"/>
      <c r="O84" s="130"/>
      <c r="P84" s="69"/>
      <c r="Q84" s="131"/>
      <c r="R84" s="130"/>
      <c r="S84" s="69"/>
      <c r="T84" s="69"/>
      <c r="U84" s="69"/>
      <c r="V84" s="69"/>
      <c r="W84" s="69"/>
      <c r="X84" s="69"/>
      <c r="Y84" s="69"/>
      <c r="Z84" s="69"/>
      <c r="AA84" s="131"/>
      <c r="AB84" s="130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8" t="s">
        <v>144</v>
      </c>
      <c r="AO84" s="69"/>
      <c r="AP84" s="69"/>
      <c r="AQ84" s="69"/>
      <c r="AR84" s="69"/>
      <c r="AS84" s="69"/>
      <c r="AT84" s="131"/>
      <c r="AU84" s="130" t="s">
        <v>276</v>
      </c>
      <c r="AV84" s="69"/>
      <c r="AW84" s="131"/>
      <c r="AX84" s="130" t="s">
        <v>302</v>
      </c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70"/>
    </row>
    <row r="85" spans="1:62">
      <c r="B85" s="68"/>
      <c r="C85" s="69"/>
      <c r="D85" s="69"/>
      <c r="E85" s="69"/>
      <c r="F85" s="69"/>
      <c r="G85" s="69"/>
      <c r="H85" s="131"/>
      <c r="I85" s="130"/>
      <c r="J85" s="69"/>
      <c r="K85" s="131"/>
      <c r="L85" s="130"/>
      <c r="M85" s="69"/>
      <c r="N85" s="131"/>
      <c r="O85" s="130"/>
      <c r="P85" s="69"/>
      <c r="Q85" s="131"/>
      <c r="R85" s="130"/>
      <c r="S85" s="69"/>
      <c r="T85" s="69"/>
      <c r="U85" s="69"/>
      <c r="V85" s="69"/>
      <c r="W85" s="69"/>
      <c r="X85" s="69"/>
      <c r="Y85" s="69"/>
      <c r="Z85" s="69"/>
      <c r="AA85" s="131"/>
      <c r="AB85" s="130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8" t="s">
        <v>344</v>
      </c>
      <c r="AO85" s="69"/>
      <c r="AP85" s="69"/>
      <c r="AQ85" s="69"/>
      <c r="AR85" s="69"/>
      <c r="AS85" s="69"/>
      <c r="AT85" s="131"/>
      <c r="AU85" s="130" t="s">
        <v>276</v>
      </c>
      <c r="AV85" s="69"/>
      <c r="AW85" s="131"/>
      <c r="AX85" s="130" t="s">
        <v>358</v>
      </c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70"/>
    </row>
    <row r="86" spans="1:62">
      <c r="B86" s="68"/>
      <c r="C86" s="69"/>
      <c r="D86" s="69"/>
      <c r="E86" s="69"/>
      <c r="F86" s="69"/>
      <c r="G86" s="69"/>
      <c r="H86" s="131"/>
      <c r="I86" s="130"/>
      <c r="J86" s="69"/>
      <c r="K86" s="131"/>
      <c r="L86" s="130"/>
      <c r="M86" s="69"/>
      <c r="N86" s="131"/>
      <c r="O86" s="130"/>
      <c r="P86" s="69"/>
      <c r="Q86" s="131"/>
      <c r="R86" s="130"/>
      <c r="S86" s="69"/>
      <c r="T86" s="69"/>
      <c r="U86" s="69"/>
      <c r="V86" s="69"/>
      <c r="W86" s="69"/>
      <c r="X86" s="69"/>
      <c r="Y86" s="69"/>
      <c r="Z86" s="69"/>
      <c r="AA86" s="131"/>
      <c r="AB86" s="130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8" t="s">
        <v>345</v>
      </c>
      <c r="AO86" s="69"/>
      <c r="AP86" s="69"/>
      <c r="AQ86" s="69"/>
      <c r="AR86" s="69"/>
      <c r="AS86" s="69"/>
      <c r="AT86" s="131"/>
      <c r="AU86" s="130" t="s">
        <v>276</v>
      </c>
      <c r="AV86" s="69"/>
      <c r="AW86" s="131"/>
      <c r="AX86" s="130" t="s">
        <v>359</v>
      </c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70"/>
    </row>
    <row r="87" spans="1:62">
      <c r="B87" s="68"/>
      <c r="C87" s="69"/>
      <c r="D87" s="69"/>
      <c r="E87" s="69"/>
      <c r="F87" s="69"/>
      <c r="G87" s="69"/>
      <c r="H87" s="131"/>
      <c r="I87" s="130"/>
      <c r="J87" s="69"/>
      <c r="K87" s="131"/>
      <c r="L87" s="130"/>
      <c r="M87" s="69"/>
      <c r="N87" s="131"/>
      <c r="O87" s="130"/>
      <c r="P87" s="69"/>
      <c r="Q87" s="131"/>
      <c r="R87" s="130"/>
      <c r="S87" s="69"/>
      <c r="T87" s="69"/>
      <c r="U87" s="69"/>
      <c r="V87" s="69"/>
      <c r="W87" s="69"/>
      <c r="X87" s="69"/>
      <c r="Y87" s="69"/>
      <c r="Z87" s="69"/>
      <c r="AA87" s="131"/>
      <c r="AB87" s="130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8" t="s">
        <v>346</v>
      </c>
      <c r="AO87" s="69"/>
      <c r="AP87" s="69"/>
      <c r="AQ87" s="69"/>
      <c r="AR87" s="69"/>
      <c r="AS87" s="69"/>
      <c r="AT87" s="131"/>
      <c r="AU87" s="130" t="s">
        <v>276</v>
      </c>
      <c r="AV87" s="69"/>
      <c r="AW87" s="131"/>
      <c r="AX87" s="130" t="s">
        <v>360</v>
      </c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70"/>
    </row>
    <row r="88" spans="1:62">
      <c r="B88" s="68"/>
      <c r="C88" s="69"/>
      <c r="D88" s="69"/>
      <c r="E88" s="69"/>
      <c r="F88" s="69"/>
      <c r="G88" s="69"/>
      <c r="H88" s="131"/>
      <c r="I88" s="130"/>
      <c r="J88" s="69"/>
      <c r="K88" s="131"/>
      <c r="L88" s="130"/>
      <c r="M88" s="69"/>
      <c r="N88" s="131"/>
      <c r="O88" s="130"/>
      <c r="P88" s="69"/>
      <c r="Q88" s="131"/>
      <c r="R88" s="130"/>
      <c r="S88" s="69"/>
      <c r="T88" s="69"/>
      <c r="U88" s="69"/>
      <c r="V88" s="69"/>
      <c r="W88" s="69"/>
      <c r="X88" s="69"/>
      <c r="Y88" s="69"/>
      <c r="Z88" s="69"/>
      <c r="AA88" s="131"/>
      <c r="AB88" s="130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8" t="s">
        <v>347</v>
      </c>
      <c r="AO88" s="69"/>
      <c r="AP88" s="69"/>
      <c r="AQ88" s="69"/>
      <c r="AR88" s="69"/>
      <c r="AS88" s="69"/>
      <c r="AT88" s="131"/>
      <c r="AU88" s="130" t="s">
        <v>276</v>
      </c>
      <c r="AV88" s="69"/>
      <c r="AW88" s="131"/>
      <c r="AX88" s="130" t="s">
        <v>361</v>
      </c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70"/>
    </row>
    <row r="89" spans="1:62">
      <c r="B89" s="68"/>
      <c r="C89" s="69"/>
      <c r="D89" s="69"/>
      <c r="E89" s="69"/>
      <c r="F89" s="69"/>
      <c r="G89" s="69"/>
      <c r="H89" s="131"/>
      <c r="I89" s="130"/>
      <c r="J89" s="69"/>
      <c r="K89" s="131"/>
      <c r="L89" s="130"/>
      <c r="M89" s="69"/>
      <c r="N89" s="131"/>
      <c r="O89" s="130"/>
      <c r="P89" s="69"/>
      <c r="Q89" s="131"/>
      <c r="R89" s="130"/>
      <c r="S89" s="69"/>
      <c r="T89" s="69"/>
      <c r="U89" s="69"/>
      <c r="V89" s="69"/>
      <c r="W89" s="69"/>
      <c r="X89" s="69"/>
      <c r="Y89" s="69"/>
      <c r="Z89" s="69"/>
      <c r="AA89" s="131"/>
      <c r="AB89" s="130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8" t="s">
        <v>348</v>
      </c>
      <c r="AO89" s="69"/>
      <c r="AP89" s="69"/>
      <c r="AQ89" s="69"/>
      <c r="AR89" s="69"/>
      <c r="AS89" s="69"/>
      <c r="AT89" s="131"/>
      <c r="AU89" s="130" t="s">
        <v>276</v>
      </c>
      <c r="AV89" s="69"/>
      <c r="AW89" s="131"/>
      <c r="AX89" s="130" t="s">
        <v>362</v>
      </c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70"/>
    </row>
    <row r="90" spans="1:62">
      <c r="B90" s="68"/>
      <c r="C90" s="69"/>
      <c r="D90" s="69"/>
      <c r="E90" s="69"/>
      <c r="F90" s="69"/>
      <c r="G90" s="69"/>
      <c r="H90" s="131"/>
      <c r="I90" s="130"/>
      <c r="J90" s="69"/>
      <c r="K90" s="131"/>
      <c r="L90" s="130"/>
      <c r="M90" s="69"/>
      <c r="N90" s="131"/>
      <c r="O90" s="130"/>
      <c r="P90" s="69"/>
      <c r="Q90" s="131"/>
      <c r="R90" s="130"/>
      <c r="S90" s="69"/>
      <c r="T90" s="69"/>
      <c r="U90" s="69"/>
      <c r="V90" s="69"/>
      <c r="W90" s="69"/>
      <c r="X90" s="69"/>
      <c r="Y90" s="69"/>
      <c r="Z90" s="69"/>
      <c r="AA90" s="131"/>
      <c r="AB90" s="130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8" t="s">
        <v>349</v>
      </c>
      <c r="AO90" s="69"/>
      <c r="AP90" s="69"/>
      <c r="AQ90" s="69"/>
      <c r="AR90" s="69"/>
      <c r="AS90" s="69"/>
      <c r="AT90" s="131"/>
      <c r="AU90" s="130" t="s">
        <v>276</v>
      </c>
      <c r="AV90" s="69"/>
      <c r="AW90" s="131"/>
      <c r="AX90" s="130" t="s">
        <v>363</v>
      </c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70"/>
    </row>
    <row r="91" spans="1:62">
      <c r="B91" s="68"/>
      <c r="C91" s="69"/>
      <c r="D91" s="69"/>
      <c r="E91" s="69"/>
      <c r="F91" s="69"/>
      <c r="G91" s="69"/>
      <c r="H91" s="131"/>
      <c r="I91" s="130"/>
      <c r="J91" s="69"/>
      <c r="K91" s="131"/>
      <c r="L91" s="130"/>
      <c r="M91" s="69"/>
      <c r="N91" s="131"/>
      <c r="O91" s="130"/>
      <c r="P91" s="69"/>
      <c r="Q91" s="131"/>
      <c r="R91" s="130"/>
      <c r="S91" s="69"/>
      <c r="T91" s="69"/>
      <c r="U91" s="69"/>
      <c r="V91" s="69"/>
      <c r="W91" s="69"/>
      <c r="X91" s="69"/>
      <c r="Y91" s="69"/>
      <c r="Z91" s="69"/>
      <c r="AA91" s="131"/>
      <c r="AB91" s="130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8" t="s">
        <v>350</v>
      </c>
      <c r="AO91" s="69"/>
      <c r="AP91" s="69"/>
      <c r="AQ91" s="69"/>
      <c r="AR91" s="69"/>
      <c r="AS91" s="69"/>
      <c r="AT91" s="131"/>
      <c r="AU91" s="130" t="s">
        <v>276</v>
      </c>
      <c r="AV91" s="69"/>
      <c r="AW91" s="131"/>
      <c r="AX91" s="130" t="s">
        <v>364</v>
      </c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70"/>
    </row>
    <row r="92" spans="1:62">
      <c r="B92" s="68"/>
      <c r="C92" s="69"/>
      <c r="D92" s="69"/>
      <c r="E92" s="69"/>
      <c r="F92" s="69"/>
      <c r="G92" s="69"/>
      <c r="H92" s="131"/>
      <c r="I92" s="130"/>
      <c r="J92" s="69"/>
      <c r="K92" s="131"/>
      <c r="L92" s="130"/>
      <c r="M92" s="69"/>
      <c r="N92" s="131"/>
      <c r="O92" s="130"/>
      <c r="P92" s="69"/>
      <c r="Q92" s="131"/>
      <c r="R92" s="130"/>
      <c r="S92" s="69"/>
      <c r="T92" s="69"/>
      <c r="U92" s="69"/>
      <c r="V92" s="69"/>
      <c r="W92" s="69"/>
      <c r="X92" s="69"/>
      <c r="Y92" s="69"/>
      <c r="Z92" s="69"/>
      <c r="AA92" s="131"/>
      <c r="AB92" s="130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8" t="s">
        <v>351</v>
      </c>
      <c r="AO92" s="69"/>
      <c r="AP92" s="69"/>
      <c r="AQ92" s="69"/>
      <c r="AR92" s="69"/>
      <c r="AS92" s="69"/>
      <c r="AT92" s="131"/>
      <c r="AU92" s="130" t="s">
        <v>276</v>
      </c>
      <c r="AV92" s="69"/>
      <c r="AW92" s="131"/>
      <c r="AX92" s="130" t="s">
        <v>365</v>
      </c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70"/>
    </row>
    <row r="93" spans="1:62">
      <c r="B93" s="68"/>
      <c r="C93" s="69"/>
      <c r="D93" s="69"/>
      <c r="E93" s="69"/>
      <c r="F93" s="69"/>
      <c r="G93" s="69"/>
      <c r="H93" s="131"/>
      <c r="I93" s="130"/>
      <c r="J93" s="69"/>
      <c r="K93" s="131"/>
      <c r="L93" s="130"/>
      <c r="M93" s="69"/>
      <c r="N93" s="131"/>
      <c r="O93" s="130"/>
      <c r="P93" s="69"/>
      <c r="Q93" s="131"/>
      <c r="R93" s="130"/>
      <c r="S93" s="69"/>
      <c r="T93" s="69"/>
      <c r="U93" s="69"/>
      <c r="V93" s="69"/>
      <c r="W93" s="69"/>
      <c r="X93" s="69"/>
      <c r="Y93" s="69"/>
      <c r="Z93" s="69"/>
      <c r="AA93" s="131"/>
      <c r="AB93" s="130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8" t="s">
        <v>352</v>
      </c>
      <c r="AO93" s="69"/>
      <c r="AP93" s="69"/>
      <c r="AQ93" s="69"/>
      <c r="AR93" s="69"/>
      <c r="AS93" s="69"/>
      <c r="AT93" s="131"/>
      <c r="AU93" s="130" t="s">
        <v>276</v>
      </c>
      <c r="AV93" s="69"/>
      <c r="AW93" s="131"/>
      <c r="AX93" s="130" t="s">
        <v>366</v>
      </c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70"/>
    </row>
    <row r="94" spans="1:62">
      <c r="B94" s="68"/>
      <c r="C94" s="69"/>
      <c r="D94" s="69"/>
      <c r="E94" s="69"/>
      <c r="F94" s="69"/>
      <c r="G94" s="69"/>
      <c r="H94" s="131"/>
      <c r="I94" s="130"/>
      <c r="J94" s="69"/>
      <c r="K94" s="131"/>
      <c r="L94" s="130"/>
      <c r="M94" s="69"/>
      <c r="N94" s="131"/>
      <c r="O94" s="130"/>
      <c r="P94" s="69"/>
      <c r="Q94" s="131"/>
      <c r="R94" s="130"/>
      <c r="S94" s="69"/>
      <c r="T94" s="69"/>
      <c r="U94" s="69"/>
      <c r="V94" s="69"/>
      <c r="W94" s="69"/>
      <c r="X94" s="69"/>
      <c r="Y94" s="69"/>
      <c r="Z94" s="69"/>
      <c r="AA94" s="131"/>
      <c r="AB94" s="130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8" t="s">
        <v>353</v>
      </c>
      <c r="AO94" s="69"/>
      <c r="AP94" s="69"/>
      <c r="AQ94" s="69"/>
      <c r="AR94" s="69"/>
      <c r="AS94" s="69"/>
      <c r="AT94" s="131"/>
      <c r="AU94" s="130" t="s">
        <v>276</v>
      </c>
      <c r="AV94" s="69"/>
      <c r="AW94" s="131"/>
      <c r="AX94" s="130" t="s">
        <v>367</v>
      </c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70"/>
    </row>
    <row r="95" spans="1:62">
      <c r="B95" s="68"/>
      <c r="C95" s="69"/>
      <c r="D95" s="69"/>
      <c r="E95" s="69"/>
      <c r="F95" s="69"/>
      <c r="G95" s="69"/>
      <c r="H95" s="131"/>
      <c r="I95" s="130"/>
      <c r="J95" s="69"/>
      <c r="K95" s="131"/>
      <c r="L95" s="130"/>
      <c r="M95" s="69"/>
      <c r="N95" s="131"/>
      <c r="O95" s="130"/>
      <c r="P95" s="69"/>
      <c r="Q95" s="131"/>
      <c r="R95" s="130"/>
      <c r="S95" s="69"/>
      <c r="T95" s="69"/>
      <c r="U95" s="69"/>
      <c r="V95" s="69"/>
      <c r="W95" s="69"/>
      <c r="X95" s="69"/>
      <c r="Y95" s="69"/>
      <c r="Z95" s="69"/>
      <c r="AA95" s="131"/>
      <c r="AB95" s="130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70"/>
      <c r="AN95" s="68" t="s">
        <v>354</v>
      </c>
      <c r="AO95" s="69"/>
      <c r="AP95" s="69"/>
      <c r="AQ95" s="69"/>
      <c r="AR95" s="69"/>
      <c r="AS95" s="69"/>
      <c r="AT95" s="131"/>
      <c r="AU95" s="130" t="s">
        <v>276</v>
      </c>
      <c r="AV95" s="69"/>
      <c r="AW95" s="131"/>
      <c r="AX95" s="130" t="s">
        <v>368</v>
      </c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70"/>
    </row>
    <row r="96" spans="1:62">
      <c r="B96" s="80"/>
      <c r="C96" s="81"/>
      <c r="D96" s="81"/>
      <c r="E96" s="81"/>
      <c r="F96" s="81"/>
      <c r="G96" s="81"/>
      <c r="H96" s="133"/>
      <c r="I96" s="132"/>
      <c r="J96" s="81"/>
      <c r="K96" s="133"/>
      <c r="L96" s="132"/>
      <c r="M96" s="81"/>
      <c r="N96" s="133"/>
      <c r="O96" s="132"/>
      <c r="P96" s="81"/>
      <c r="Q96" s="133"/>
      <c r="R96" s="132"/>
      <c r="S96" s="81"/>
      <c r="T96" s="81"/>
      <c r="U96" s="81"/>
      <c r="V96" s="81"/>
      <c r="W96" s="81"/>
      <c r="X96" s="81"/>
      <c r="Y96" s="81"/>
      <c r="Z96" s="81"/>
      <c r="AA96" s="133"/>
      <c r="AB96" s="132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2"/>
      <c r="AN96" s="80"/>
      <c r="AO96" s="81"/>
      <c r="AP96" s="81"/>
      <c r="AQ96" s="81"/>
      <c r="AR96" s="81"/>
      <c r="AS96" s="81"/>
      <c r="AT96" s="133"/>
      <c r="AU96" s="132"/>
      <c r="AV96" s="81"/>
      <c r="AW96" s="133"/>
      <c r="AX96" s="132" t="s">
        <v>231</v>
      </c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2"/>
    </row>
  </sheetData>
  <mergeCells count="46">
    <mergeCell ref="B52:E52"/>
    <mergeCell ref="F52:Z52"/>
    <mergeCell ref="AA52:AE52"/>
    <mergeCell ref="AF52:AJ52"/>
    <mergeCell ref="B53:E53"/>
    <mergeCell ref="F53:Z53"/>
    <mergeCell ref="AA53:AE53"/>
    <mergeCell ref="AF53:AJ5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E18E-48E6-4316-B5ED-170A7BDF41C9}">
  <dimension ref="A1:BK55"/>
  <sheetViews>
    <sheetView view="pageBreakPreview" zoomScale="75" zoomScaleNormal="75" zoomScaleSheetLayoutView="75" workbookViewId="0">
      <selection activeCell="BB21" sqref="BB21"/>
    </sheetView>
  </sheetViews>
  <sheetFormatPr defaultRowHeight="15.75"/>
  <cols>
    <col min="1" max="63" width="2.77734375" customWidth="1"/>
  </cols>
  <sheetData>
    <row r="1" spans="1:63" ht="24.95" customHeight="1">
      <c r="A1" s="214" t="s">
        <v>0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2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tr">
        <f>IF(表紙!W1="","",表紙!W1)</f>
        <v>基本設計書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3</v>
      </c>
      <c r="AQ1" s="215"/>
      <c r="AR1" s="215"/>
      <c r="AS1" s="216"/>
      <c r="AT1" s="214" t="s">
        <v>4</v>
      </c>
      <c r="AU1" s="215"/>
      <c r="AV1" s="215"/>
      <c r="AW1" s="215"/>
      <c r="AX1" s="216"/>
      <c r="AY1" s="214" t="s">
        <v>5</v>
      </c>
      <c r="AZ1" s="215"/>
      <c r="BA1" s="215"/>
      <c r="BB1" s="216"/>
      <c r="BC1" s="214" t="s">
        <v>6</v>
      </c>
      <c r="BD1" s="215"/>
      <c r="BE1" s="215"/>
      <c r="BF1" s="215"/>
      <c r="BG1" s="216"/>
      <c r="BH1" s="214" t="s">
        <v>7</v>
      </c>
      <c r="BI1" s="215"/>
      <c r="BJ1" s="215"/>
      <c r="BK1" s="216"/>
    </row>
    <row r="2" spans="1:63" ht="15" customHeight="1">
      <c r="A2" s="199" t="str">
        <f>IF(表紙!A2="","",表紙!A2)</f>
        <v>現金専用簡易セルフPOS</v>
      </c>
      <c r="B2" s="200"/>
      <c r="C2" s="200"/>
      <c r="D2" s="200"/>
      <c r="E2" s="200"/>
      <c r="F2" s="200"/>
      <c r="G2" s="200"/>
      <c r="H2" s="200"/>
      <c r="I2" s="200"/>
      <c r="J2" s="201"/>
      <c r="K2" s="199" t="str">
        <f>IF(表紙!K2="","",表紙!K2)</f>
        <v>API</v>
      </c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1"/>
      <c r="W2" s="220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2"/>
      <c r="AP2" s="199" t="str">
        <f>IF(表紙!AP2="","",表紙!AP2)</f>
        <v>きよはら</v>
      </c>
      <c r="AQ2" s="200"/>
      <c r="AR2" s="200"/>
      <c r="AS2" s="201"/>
      <c r="AT2" s="232">
        <f>IF(表紙!AT2="","",表紙!AT2)</f>
        <v>44867</v>
      </c>
      <c r="AU2" s="233"/>
      <c r="AV2" s="233"/>
      <c r="AW2" s="233"/>
      <c r="AX2" s="234"/>
      <c r="AY2" s="199" t="str">
        <f>IF(表紙!AY2="","",表紙!AY2)</f>
        <v>きよはら</v>
      </c>
      <c r="AZ2" s="200"/>
      <c r="BA2" s="200"/>
      <c r="BB2" s="201"/>
      <c r="BC2" s="232">
        <f>IF(表紙!BC2="","",表紙!BC2)</f>
        <v>44867</v>
      </c>
      <c r="BD2" s="233"/>
      <c r="BE2" s="233"/>
      <c r="BF2" s="233"/>
      <c r="BG2" s="234"/>
      <c r="BH2" s="199">
        <f>IF(表紙!BH2="","",表紙!BH2)</f>
        <v>0.1</v>
      </c>
      <c r="BI2" s="200"/>
      <c r="BJ2" s="200"/>
      <c r="BK2" s="201"/>
    </row>
    <row r="3" spans="1:63" ht="15" customHeight="1">
      <c r="A3" s="205"/>
      <c r="B3" s="206"/>
      <c r="C3" s="206"/>
      <c r="D3" s="206"/>
      <c r="E3" s="206"/>
      <c r="F3" s="206"/>
      <c r="G3" s="206"/>
      <c r="H3" s="206"/>
      <c r="I3" s="206"/>
      <c r="J3" s="207"/>
      <c r="K3" s="205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7"/>
      <c r="W3" s="223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5"/>
      <c r="AP3" s="205"/>
      <c r="AQ3" s="206"/>
      <c r="AR3" s="206"/>
      <c r="AS3" s="207"/>
      <c r="AT3" s="235"/>
      <c r="AU3" s="236"/>
      <c r="AV3" s="236"/>
      <c r="AW3" s="236"/>
      <c r="AX3" s="237"/>
      <c r="AY3" s="205"/>
      <c r="AZ3" s="206"/>
      <c r="BA3" s="206"/>
      <c r="BB3" s="207"/>
      <c r="BC3" s="235"/>
      <c r="BD3" s="236"/>
      <c r="BE3" s="236"/>
      <c r="BF3" s="236"/>
      <c r="BG3" s="237"/>
      <c r="BH3" s="205"/>
      <c r="BI3" s="206"/>
      <c r="BJ3" s="206"/>
      <c r="BK3" s="207"/>
    </row>
    <row r="4" spans="1:63" ht="24.95" customHeight="1">
      <c r="A4" s="214" t="s">
        <v>1</v>
      </c>
      <c r="B4" s="215"/>
      <c r="C4" s="215"/>
      <c r="D4" s="215"/>
      <c r="E4" s="215"/>
      <c r="F4" s="215"/>
      <c r="G4" s="216"/>
      <c r="H4" s="239" t="str">
        <f>IF(表紙!H4="","",表紙!H4)</f>
        <v>共通</v>
      </c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14" t="s">
        <v>8</v>
      </c>
      <c r="V4" s="215"/>
      <c r="W4" s="215"/>
      <c r="X4" s="215"/>
      <c r="Y4" s="216"/>
      <c r="Z4" s="239" t="str">
        <f>IF(表紙!Z4="","",表紙!Z4)</f>
        <v>API(設定)定義書</v>
      </c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1"/>
      <c r="AP4" s="239" t="s">
        <v>19</v>
      </c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20</v>
      </c>
      <c r="BK7" s="4"/>
    </row>
    <row r="8" spans="1:63" ht="15" customHeight="1">
      <c r="A8" s="1"/>
      <c r="B8" s="279" t="s">
        <v>44</v>
      </c>
      <c r="C8" s="280"/>
      <c r="D8" s="280"/>
      <c r="E8" s="280"/>
      <c r="F8" s="281"/>
      <c r="G8" s="276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8"/>
      <c r="Y8" s="279" t="s">
        <v>45</v>
      </c>
      <c r="Z8" s="280"/>
      <c r="AA8" s="280"/>
      <c r="AB8" s="280"/>
      <c r="AC8" s="281"/>
      <c r="AD8" s="276"/>
      <c r="AE8" s="277"/>
      <c r="AF8" s="277"/>
      <c r="AG8" s="277"/>
      <c r="AH8" s="277"/>
      <c r="AI8" s="277"/>
      <c r="AJ8" s="277"/>
      <c r="AK8" s="277"/>
      <c r="AL8" s="277"/>
      <c r="AM8" s="277"/>
      <c r="AN8" s="278"/>
      <c r="BK8" s="4"/>
    </row>
    <row r="9" spans="1:63" ht="15" customHeight="1">
      <c r="A9" s="1"/>
      <c r="B9" s="258" t="s">
        <v>46</v>
      </c>
      <c r="C9" s="259"/>
      <c r="D9" s="259"/>
      <c r="E9" s="259"/>
      <c r="F9" s="260"/>
      <c r="G9" s="261" t="s">
        <v>75</v>
      </c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3"/>
      <c r="Y9" s="258" t="s">
        <v>47</v>
      </c>
      <c r="Z9" s="259"/>
      <c r="AA9" s="259"/>
      <c r="AB9" s="259"/>
      <c r="AC9" s="260"/>
      <c r="AD9" s="264"/>
      <c r="AE9" s="265"/>
      <c r="AF9" s="265"/>
      <c r="AG9" s="265"/>
      <c r="AH9" s="265"/>
      <c r="AI9" s="265"/>
      <c r="AJ9" s="265"/>
      <c r="AK9" s="265"/>
      <c r="AL9" s="265"/>
      <c r="AM9" s="265"/>
      <c r="AN9" s="266"/>
      <c r="BK9" s="4"/>
    </row>
    <row r="10" spans="1:63" ht="15" customHeight="1">
      <c r="A10" s="1"/>
      <c r="B10" s="267" t="s">
        <v>48</v>
      </c>
      <c r="C10" s="268"/>
      <c r="D10" s="268"/>
      <c r="E10" s="268"/>
      <c r="F10" s="269"/>
      <c r="G10" s="255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7"/>
      <c r="Y10" s="267"/>
      <c r="Z10" s="268"/>
      <c r="AA10" s="268"/>
      <c r="AB10" s="268"/>
      <c r="AC10" s="269"/>
      <c r="AD10" s="270"/>
      <c r="AE10" s="271"/>
      <c r="AF10" s="271"/>
      <c r="AG10" s="271"/>
      <c r="AH10" s="271"/>
      <c r="AI10" s="271"/>
      <c r="AJ10" s="271"/>
      <c r="AK10" s="271"/>
      <c r="AL10" s="271"/>
      <c r="AM10" s="271"/>
      <c r="AN10" s="272"/>
      <c r="BK10" s="4"/>
    </row>
    <row r="11" spans="1:63" ht="15" customHeight="1">
      <c r="A11" s="1"/>
      <c r="B11" s="273" t="s">
        <v>49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5"/>
      <c r="BK11" s="4"/>
    </row>
    <row r="12" spans="1:63" ht="15" customHeight="1">
      <c r="A12" s="1"/>
      <c r="B12" s="276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8"/>
      <c r="BK12" s="4"/>
    </row>
    <row r="13" spans="1:63" ht="15" customHeight="1">
      <c r="A13" s="1"/>
      <c r="B13" s="261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3"/>
      <c r="BK13" s="4"/>
    </row>
    <row r="14" spans="1:63" ht="15" customHeight="1">
      <c r="A14" s="1"/>
      <c r="B14" s="261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3"/>
      <c r="BK14" s="4"/>
    </row>
    <row r="15" spans="1:63" ht="15" customHeight="1">
      <c r="A15" s="1"/>
      <c r="B15" s="261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3"/>
      <c r="BK15" s="4"/>
    </row>
    <row r="16" spans="1:63" ht="15" customHeight="1">
      <c r="A16" s="1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7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19" t="s">
        <v>21</v>
      </c>
      <c r="BK19" s="4"/>
    </row>
    <row r="20" spans="1:63" ht="15" customHeight="1">
      <c r="A20" s="1"/>
      <c r="B20" s="34" t="s">
        <v>22</v>
      </c>
      <c r="C20" s="35"/>
      <c r="D20" s="34" t="s">
        <v>23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5"/>
      <c r="R20" s="34" t="s">
        <v>24</v>
      </c>
      <c r="S20" s="36"/>
      <c r="T20" s="36"/>
      <c r="U20" s="36"/>
      <c r="V20" s="36"/>
      <c r="W20" s="36"/>
      <c r="X20" s="36"/>
      <c r="Y20" s="36"/>
      <c r="Z20" s="36"/>
      <c r="AA20" s="36"/>
      <c r="AB20" s="35"/>
      <c r="AC20" s="34" t="s">
        <v>25</v>
      </c>
      <c r="AD20" s="36"/>
      <c r="AE20" s="36"/>
      <c r="AF20" s="36"/>
      <c r="AG20" s="35"/>
      <c r="AH20" s="34" t="s">
        <v>26</v>
      </c>
      <c r="AI20" s="35"/>
      <c r="AJ20" s="34" t="s">
        <v>27</v>
      </c>
      <c r="AK20" s="36"/>
      <c r="AL20" s="35"/>
      <c r="AM20" s="34" t="s">
        <v>28</v>
      </c>
      <c r="AN20" s="36"/>
      <c r="AO20" s="36"/>
      <c r="AP20" s="36"/>
      <c r="AQ20" s="36"/>
      <c r="AR20" s="36"/>
      <c r="AS20" s="35"/>
      <c r="AT20" s="34" t="s">
        <v>29</v>
      </c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5"/>
      <c r="BK20" s="4"/>
    </row>
    <row r="21" spans="1:63" ht="15" customHeight="1">
      <c r="A21" s="1"/>
      <c r="B21" s="16">
        <v>1</v>
      </c>
      <c r="C21" s="17"/>
      <c r="D21" s="18" t="s">
        <v>30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18" t="s">
        <v>63</v>
      </c>
      <c r="S21" s="19"/>
      <c r="T21" s="19"/>
      <c r="U21" s="19"/>
      <c r="V21" s="19"/>
      <c r="W21" s="19"/>
      <c r="X21" s="19"/>
      <c r="Y21" s="19"/>
      <c r="Z21" s="19"/>
      <c r="AA21" s="19"/>
      <c r="AB21" s="20"/>
      <c r="AC21" s="18" t="s">
        <v>31</v>
      </c>
      <c r="AD21" s="19"/>
      <c r="AE21" s="19"/>
      <c r="AF21" s="19"/>
      <c r="AG21" s="20"/>
      <c r="AH21" s="18" t="s">
        <v>32</v>
      </c>
      <c r="AI21" s="20"/>
      <c r="AJ21" s="18" t="s">
        <v>32</v>
      </c>
      <c r="AK21" s="19"/>
      <c r="AL21" s="20"/>
      <c r="AM21" s="18" t="s">
        <v>33</v>
      </c>
      <c r="AN21" s="19"/>
      <c r="AO21" s="19"/>
      <c r="AP21" s="19"/>
      <c r="AQ21" s="19"/>
      <c r="AR21" s="19"/>
      <c r="AS21" s="20"/>
      <c r="AT21" s="21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20"/>
      <c r="BK21" s="4"/>
    </row>
    <row r="22" spans="1:63" ht="15" customHeight="1">
      <c r="A22" s="1"/>
      <c r="B22" s="16">
        <v>2</v>
      </c>
      <c r="C22" s="17"/>
      <c r="D22" s="22" t="s">
        <v>67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18" t="s">
        <v>62</v>
      </c>
      <c r="S22" s="19"/>
      <c r="T22" s="19"/>
      <c r="U22" s="19"/>
      <c r="V22" s="19"/>
      <c r="W22" s="19"/>
      <c r="X22" s="19"/>
      <c r="Y22" s="19"/>
      <c r="Z22" s="19"/>
      <c r="AA22" s="19"/>
      <c r="AB22" s="20"/>
      <c r="AC22" s="18" t="s">
        <v>34</v>
      </c>
      <c r="AD22" s="19"/>
      <c r="AE22" s="19"/>
      <c r="AF22" s="19"/>
      <c r="AG22" s="20"/>
      <c r="AH22" s="18"/>
      <c r="AI22" s="20"/>
      <c r="AJ22" s="18" t="s">
        <v>32</v>
      </c>
      <c r="AK22" s="19"/>
      <c r="AL22" s="20"/>
      <c r="AM22" s="18" t="s">
        <v>72</v>
      </c>
      <c r="AN22" s="19"/>
      <c r="AO22" s="19"/>
      <c r="AP22" s="19"/>
      <c r="AQ22" s="19"/>
      <c r="AR22" s="19"/>
      <c r="AS22" s="20"/>
      <c r="AT22" s="18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20"/>
      <c r="BK22" s="4"/>
    </row>
    <row r="23" spans="1:63" ht="15" customHeight="1">
      <c r="A23" s="1"/>
      <c r="B23" s="23">
        <v>3</v>
      </c>
      <c r="C23" s="24"/>
      <c r="D23" s="22" t="s">
        <v>68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  <c r="R23" s="22" t="s">
        <v>64</v>
      </c>
      <c r="S23" s="25"/>
      <c r="T23" s="25"/>
      <c r="U23" s="25"/>
      <c r="V23" s="25"/>
      <c r="W23" s="25"/>
      <c r="X23" s="25"/>
      <c r="Y23" s="25"/>
      <c r="Z23" s="25"/>
      <c r="AA23" s="25"/>
      <c r="AB23" s="26"/>
      <c r="AC23" s="18" t="s">
        <v>31</v>
      </c>
      <c r="AD23" s="25"/>
      <c r="AE23" s="25"/>
      <c r="AF23" s="25"/>
      <c r="AG23" s="26"/>
      <c r="AH23" s="22"/>
      <c r="AI23" s="26"/>
      <c r="AJ23" s="22" t="s">
        <v>32</v>
      </c>
      <c r="AK23" s="25"/>
      <c r="AL23" s="26"/>
      <c r="AM23" s="22" t="s">
        <v>73</v>
      </c>
      <c r="AN23" s="25"/>
      <c r="AO23" s="25"/>
      <c r="AP23" s="25"/>
      <c r="AQ23" s="25"/>
      <c r="AR23" s="25"/>
      <c r="AS23" s="26"/>
      <c r="AT23" s="22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6"/>
      <c r="BK23" s="4"/>
    </row>
    <row r="24" spans="1:63" ht="15" customHeight="1">
      <c r="A24" s="1"/>
      <c r="B24" s="23">
        <v>4</v>
      </c>
      <c r="C24" s="24"/>
      <c r="D24" s="22" t="s">
        <v>69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2" t="s">
        <v>65</v>
      </c>
      <c r="S24" s="25"/>
      <c r="T24" s="25"/>
      <c r="U24" s="25"/>
      <c r="V24" s="25"/>
      <c r="W24" s="25"/>
      <c r="X24" s="25"/>
      <c r="Y24" s="25"/>
      <c r="Z24" s="25"/>
      <c r="AA24" s="25"/>
      <c r="AB24" s="26"/>
      <c r="AC24" s="18" t="s">
        <v>34</v>
      </c>
      <c r="AD24" s="25"/>
      <c r="AE24" s="25"/>
      <c r="AF24" s="25"/>
      <c r="AG24" s="26"/>
      <c r="AH24" s="22"/>
      <c r="AI24" s="26"/>
      <c r="AJ24" s="22" t="s">
        <v>32</v>
      </c>
      <c r="AK24" s="25"/>
      <c r="AL24" s="26"/>
      <c r="AM24" s="22" t="s">
        <v>72</v>
      </c>
      <c r="AN24" s="25"/>
      <c r="AO24" s="25"/>
      <c r="AP24" s="25"/>
      <c r="AQ24" s="25"/>
      <c r="AR24" s="25"/>
      <c r="AS24" s="26"/>
      <c r="AT24" s="27" t="s">
        <v>74</v>
      </c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6"/>
      <c r="BK24" s="4"/>
    </row>
    <row r="25" spans="1:63" ht="15" customHeight="1">
      <c r="A25" s="1"/>
      <c r="B25" s="23">
        <v>5</v>
      </c>
      <c r="C25" s="24"/>
      <c r="D25" s="22" t="s">
        <v>70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2" t="s">
        <v>66</v>
      </c>
      <c r="S25" s="25"/>
      <c r="T25" s="25"/>
      <c r="U25" s="25"/>
      <c r="V25" s="25"/>
      <c r="W25" s="25"/>
      <c r="X25" s="25"/>
      <c r="Y25" s="25"/>
      <c r="Z25" s="25"/>
      <c r="AA25" s="25"/>
      <c r="AB25" s="26"/>
      <c r="AC25" s="18" t="s">
        <v>82</v>
      </c>
      <c r="AD25" s="25"/>
      <c r="AE25" s="25"/>
      <c r="AF25" s="25"/>
      <c r="AG25" s="26"/>
      <c r="AH25" s="22"/>
      <c r="AI25" s="26"/>
      <c r="AJ25" s="22" t="s">
        <v>83</v>
      </c>
      <c r="AK25" s="25"/>
      <c r="AL25" s="26"/>
      <c r="AM25" s="22" t="s">
        <v>73</v>
      </c>
      <c r="AN25" s="25"/>
      <c r="AO25" s="25"/>
      <c r="AP25" s="25"/>
      <c r="AQ25" s="25"/>
      <c r="AR25" s="25"/>
      <c r="AS25" s="26"/>
      <c r="AT25" s="27" t="s">
        <v>74</v>
      </c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6"/>
      <c r="BK25" s="4"/>
    </row>
    <row r="26" spans="1:63" ht="15" customHeight="1">
      <c r="A26" s="1"/>
      <c r="B26" s="23">
        <v>6</v>
      </c>
      <c r="C26" s="24"/>
      <c r="D26" s="22" t="s">
        <v>71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  <c r="R26" s="22" t="s">
        <v>61</v>
      </c>
      <c r="S26" s="25"/>
      <c r="T26" s="25"/>
      <c r="U26" s="25"/>
      <c r="V26" s="25"/>
      <c r="W26" s="25"/>
      <c r="X26" s="25"/>
      <c r="Y26" s="25"/>
      <c r="Z26" s="25"/>
      <c r="AA26" s="25"/>
      <c r="AB26" s="26"/>
      <c r="AC26" s="22" t="s">
        <v>91</v>
      </c>
      <c r="AD26" s="25"/>
      <c r="AE26" s="25"/>
      <c r="AF26" s="25"/>
      <c r="AG26" s="26"/>
      <c r="AH26" s="22"/>
      <c r="AI26" s="26"/>
      <c r="AJ26" s="22" t="s">
        <v>83</v>
      </c>
      <c r="AK26" s="25"/>
      <c r="AL26" s="26"/>
      <c r="AM26" s="22" t="s">
        <v>84</v>
      </c>
      <c r="AN26" s="25"/>
      <c r="AO26" s="25"/>
      <c r="AP26" s="25"/>
      <c r="AQ26" s="25"/>
      <c r="AR26" s="25"/>
      <c r="AS26" s="26"/>
      <c r="AT26" s="22" t="s">
        <v>90</v>
      </c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6"/>
      <c r="BK26" s="4"/>
    </row>
    <row r="27" spans="1:63" ht="15" customHeight="1">
      <c r="A27" s="1"/>
      <c r="B27" s="16">
        <v>7</v>
      </c>
      <c r="C27" s="17"/>
      <c r="D27" s="22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20"/>
      <c r="AC27" s="18"/>
      <c r="AD27" s="19"/>
      <c r="AE27" s="19"/>
      <c r="AF27" s="19"/>
      <c r="AG27" s="20"/>
      <c r="AH27" s="18"/>
      <c r="AI27" s="20"/>
      <c r="AJ27" s="18"/>
      <c r="AK27" s="19"/>
      <c r="AL27" s="20"/>
      <c r="AM27" s="18"/>
      <c r="AN27" s="19"/>
      <c r="AO27" s="19"/>
      <c r="AP27" s="19"/>
      <c r="AQ27" s="19"/>
      <c r="AR27" s="19"/>
      <c r="AS27" s="20"/>
      <c r="AT27" s="18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0"/>
      <c r="BK27" s="4"/>
    </row>
    <row r="28" spans="1:63" ht="15" customHeight="1">
      <c r="A28" s="1"/>
      <c r="B28" s="16">
        <v>8</v>
      </c>
      <c r="C28" s="17"/>
      <c r="D28" s="2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20"/>
      <c r="AC28" s="18"/>
      <c r="AD28" s="19"/>
      <c r="AE28" s="19"/>
      <c r="AF28" s="19"/>
      <c r="AG28" s="20"/>
      <c r="AH28" s="18"/>
      <c r="AI28" s="20"/>
      <c r="AJ28" s="18"/>
      <c r="AK28" s="19"/>
      <c r="AL28" s="20"/>
      <c r="AM28" s="18"/>
      <c r="AN28" s="19"/>
      <c r="AO28" s="19"/>
      <c r="AP28" s="19"/>
      <c r="AQ28" s="19"/>
      <c r="AR28" s="19"/>
      <c r="AS28" s="20"/>
      <c r="AT28" s="18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20"/>
      <c r="BK28" s="4"/>
    </row>
    <row r="29" spans="1:63" ht="15" customHeight="1">
      <c r="A29" s="1"/>
      <c r="B29" s="16">
        <v>9</v>
      </c>
      <c r="C29" s="24"/>
      <c r="D29" s="2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8"/>
      <c r="AD29" s="19"/>
      <c r="AE29" s="19"/>
      <c r="AF29" s="19"/>
      <c r="AG29" s="20"/>
      <c r="AH29" s="18"/>
      <c r="AI29" s="20"/>
      <c r="AJ29" s="22"/>
      <c r="AK29" s="19"/>
      <c r="AL29" s="20"/>
      <c r="AM29" s="22"/>
      <c r="AN29" s="19"/>
      <c r="AO29" s="19"/>
      <c r="AP29" s="19"/>
      <c r="AQ29" s="19"/>
      <c r="AR29" s="19"/>
      <c r="AS29" s="20"/>
      <c r="AT29" s="22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20"/>
      <c r="BK29" s="4"/>
    </row>
    <row r="30" spans="1:63" ht="15" customHeight="1">
      <c r="A30" s="1"/>
      <c r="B30" s="16">
        <v>10</v>
      </c>
      <c r="C30" s="24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20"/>
      <c r="AC30" s="18"/>
      <c r="AD30" s="19"/>
      <c r="AE30" s="19"/>
      <c r="AF30" s="19"/>
      <c r="AG30" s="20"/>
      <c r="AH30" s="18"/>
      <c r="AI30" s="20"/>
      <c r="AJ30" s="22"/>
      <c r="AK30" s="19"/>
      <c r="AL30" s="20"/>
      <c r="AM30" s="18"/>
      <c r="AN30" s="19"/>
      <c r="AO30" s="19"/>
      <c r="AP30" s="19"/>
      <c r="AQ30" s="19"/>
      <c r="AR30" s="19"/>
      <c r="AS30" s="20"/>
      <c r="AT30" s="18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20"/>
      <c r="BK30" s="4"/>
    </row>
    <row r="31" spans="1:63" ht="15" customHeight="1">
      <c r="A31" s="1"/>
      <c r="B31" s="16">
        <v>11</v>
      </c>
      <c r="C31" s="24"/>
      <c r="D31" s="22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/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2"/>
      <c r="AD31" s="25"/>
      <c r="AE31" s="25"/>
      <c r="AF31" s="25"/>
      <c r="AG31" s="26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</row>
    <row r="32" spans="1:63" ht="15" customHeight="1">
      <c r="A32" s="1"/>
      <c r="B32" s="16">
        <v>12</v>
      </c>
      <c r="C32" s="24"/>
      <c r="D32" s="22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/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2"/>
      <c r="AD32" s="25"/>
      <c r="AE32" s="25"/>
      <c r="AF32" s="25"/>
      <c r="AG32" s="26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33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</row>
    <row r="33" spans="1:63" ht="15" customHeight="1">
      <c r="A33" s="1"/>
      <c r="B33" s="28">
        <v>13</v>
      </c>
      <c r="C33" s="29"/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2"/>
      <c r="R33" s="30"/>
      <c r="S33" s="31"/>
      <c r="T33" s="31"/>
      <c r="U33" s="31"/>
      <c r="V33" s="31"/>
      <c r="W33" s="31"/>
      <c r="X33" s="31"/>
      <c r="Y33" s="31"/>
      <c r="Z33" s="31"/>
      <c r="AA33" s="31"/>
      <c r="AB33" s="32"/>
      <c r="AC33" s="30"/>
      <c r="AD33" s="31"/>
      <c r="AE33" s="31"/>
      <c r="AF33" s="31"/>
      <c r="AG33" s="32"/>
      <c r="AH33" s="30"/>
      <c r="AI33" s="32"/>
      <c r="AJ33" s="30"/>
      <c r="AK33" s="31"/>
      <c r="AL33" s="32"/>
      <c r="AM33" s="30"/>
      <c r="AN33" s="31"/>
      <c r="AO33" s="31"/>
      <c r="AP33" s="31"/>
      <c r="AQ33" s="31"/>
      <c r="AR33" s="31"/>
      <c r="AS33" s="32"/>
      <c r="AT33" s="30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36" s="37" t="s">
        <v>50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4"/>
    </row>
    <row r="37" spans="1:63" ht="15" customHeight="1">
      <c r="A37" s="1"/>
      <c r="B37" s="34" t="s">
        <v>51</v>
      </c>
      <c r="C37" s="35"/>
      <c r="D37" s="34" t="s">
        <v>52</v>
      </c>
      <c r="E37" s="44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4" t="s">
        <v>53</v>
      </c>
      <c r="S37" s="44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5"/>
      <c r="AL37" s="34" t="s">
        <v>54</v>
      </c>
      <c r="AM37" s="36"/>
      <c r="AN37" s="36"/>
      <c r="AO37" s="45"/>
      <c r="AP37" s="34" t="s">
        <v>55</v>
      </c>
      <c r="AQ37" s="36"/>
      <c r="AR37" s="36"/>
      <c r="AS37" s="35"/>
      <c r="AT37" s="34" t="s">
        <v>49</v>
      </c>
      <c r="AU37" s="44"/>
      <c r="AV37" s="44"/>
      <c r="AW37" s="36"/>
      <c r="AX37" s="36"/>
      <c r="AY37" s="44"/>
      <c r="AZ37" s="36"/>
      <c r="BA37" s="36"/>
      <c r="BB37" s="36"/>
      <c r="BC37" s="36"/>
      <c r="BD37" s="36"/>
      <c r="BE37" s="36"/>
      <c r="BF37" s="36"/>
      <c r="BG37" s="36"/>
      <c r="BH37" s="36"/>
      <c r="BI37" s="44"/>
      <c r="BJ37" s="35"/>
      <c r="BK37" s="4"/>
    </row>
    <row r="38" spans="1:63" ht="15" customHeight="1">
      <c r="A38" s="1"/>
      <c r="B38" s="38">
        <v>1</v>
      </c>
      <c r="C38" s="39"/>
      <c r="D38" s="38" t="s">
        <v>56</v>
      </c>
      <c r="E38" s="46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8"/>
      <c r="S38" s="46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39"/>
      <c r="AL38" s="38" t="s">
        <v>57</v>
      </c>
      <c r="AM38" s="40"/>
      <c r="AN38" s="40"/>
      <c r="AO38" s="47"/>
      <c r="AP38" s="38" t="s">
        <v>57</v>
      </c>
      <c r="AQ38" s="40"/>
      <c r="AR38" s="40"/>
      <c r="AS38" s="39"/>
      <c r="AT38" s="38"/>
      <c r="AU38" s="46"/>
      <c r="AV38" s="46"/>
      <c r="AW38" s="40"/>
      <c r="AX38" s="40"/>
      <c r="AY38" s="46"/>
      <c r="AZ38" s="40"/>
      <c r="BA38" s="40"/>
      <c r="BB38" s="40"/>
      <c r="BC38" s="40"/>
      <c r="BD38" s="40"/>
      <c r="BE38" s="40"/>
      <c r="BF38" s="40"/>
      <c r="BG38" s="40"/>
      <c r="BH38" s="40"/>
      <c r="BI38" s="46"/>
      <c r="BJ38" s="39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41" s="37" t="s">
        <v>35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4"/>
    </row>
    <row r="42" spans="1:63" ht="15" customHeight="1">
      <c r="A42" s="1"/>
      <c r="B42" s="34" t="s">
        <v>36</v>
      </c>
      <c r="C42" s="45"/>
      <c r="D42" s="34" t="s">
        <v>37</v>
      </c>
      <c r="E42" s="44"/>
      <c r="F42" s="44"/>
      <c r="G42" s="44"/>
      <c r="H42" s="44"/>
      <c r="I42" s="44"/>
      <c r="J42" s="44"/>
      <c r="K42" s="44"/>
      <c r="L42" s="36"/>
      <c r="M42" s="36"/>
      <c r="N42" s="36"/>
      <c r="O42" s="36"/>
      <c r="P42" s="36"/>
      <c r="Q42" s="35"/>
      <c r="R42" s="34" t="s">
        <v>38</v>
      </c>
      <c r="S42" s="36"/>
      <c r="T42" s="45"/>
      <c r="U42" s="34" t="s">
        <v>39</v>
      </c>
      <c r="V42" s="36"/>
      <c r="W42" s="44"/>
      <c r="X42" s="45"/>
      <c r="Y42" s="34" t="s">
        <v>40</v>
      </c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5"/>
      <c r="BK42" s="4"/>
    </row>
    <row r="43" spans="1:63" ht="15" customHeight="1">
      <c r="A43" s="1"/>
      <c r="B43" s="41">
        <v>1</v>
      </c>
      <c r="C43" s="47"/>
      <c r="D43" s="41" t="str">
        <f>G10&amp;"_"&amp;R43&amp;"_"&amp;"trg"</f>
        <v>_update_trg</v>
      </c>
      <c r="E43" s="46"/>
      <c r="F43" s="46"/>
      <c r="G43" s="46"/>
      <c r="H43" s="46"/>
      <c r="I43" s="46"/>
      <c r="J43" s="46"/>
      <c r="K43" s="46"/>
      <c r="L43" s="42"/>
      <c r="M43" s="42"/>
      <c r="N43" s="42"/>
      <c r="O43" s="42"/>
      <c r="P43" s="42"/>
      <c r="Q43" s="43"/>
      <c r="R43" s="41" t="s">
        <v>41</v>
      </c>
      <c r="S43" s="42"/>
      <c r="T43" s="47"/>
      <c r="U43" s="41" t="s">
        <v>42</v>
      </c>
      <c r="V43" s="42"/>
      <c r="W43" s="46"/>
      <c r="X43" s="47"/>
      <c r="Y43" s="41" t="s">
        <v>43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3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38">
    <mergeCell ref="A4:G4"/>
    <mergeCell ref="BH2:BK3"/>
    <mergeCell ref="BC2:BG3"/>
    <mergeCell ref="AY2:BB3"/>
    <mergeCell ref="AT2:AX3"/>
    <mergeCell ref="AP2:AS3"/>
    <mergeCell ref="Y10:AC10"/>
    <mergeCell ref="AD10:AN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B14:AN14"/>
    <mergeCell ref="B15:AN15"/>
    <mergeCell ref="B16:AN16"/>
    <mergeCell ref="B8:F8"/>
    <mergeCell ref="G8:X8"/>
    <mergeCell ref="Y8:AC8"/>
    <mergeCell ref="AD8:AN8"/>
    <mergeCell ref="B11:AN11"/>
    <mergeCell ref="B12:AN12"/>
    <mergeCell ref="B13:AN13"/>
    <mergeCell ref="B9:F9"/>
    <mergeCell ref="G9:X9"/>
    <mergeCell ref="Y9:AC9"/>
    <mergeCell ref="AD9:AN9"/>
    <mergeCell ref="B10:F10"/>
    <mergeCell ref="G10:X10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表紙</vt:lpstr>
      <vt:lpstr>改廃履歴</vt:lpstr>
      <vt:lpstr>概要</vt:lpstr>
      <vt:lpstr>POS機器設定</vt:lpstr>
      <vt:lpstr>釣銭機設定</vt:lpstr>
      <vt:lpstr>テンプレート</vt:lpstr>
      <vt:lpstr>POS機器設定!Print_Area</vt:lpstr>
      <vt:lpstr>釣銭機設定!Print_Area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kiyohara kadutoshi</cp:lastModifiedBy>
  <dcterms:created xsi:type="dcterms:W3CDTF">2022-04-01T08:34:32Z</dcterms:created>
  <dcterms:modified xsi:type="dcterms:W3CDTF">2022-11-23T08:25:12Z</dcterms:modified>
</cp:coreProperties>
</file>