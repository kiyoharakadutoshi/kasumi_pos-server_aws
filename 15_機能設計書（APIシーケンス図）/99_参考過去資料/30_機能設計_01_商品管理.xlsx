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17CA1F2-AAB9-4B8A-9EDF-199FAB8ED2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101" sheetId="11" r:id="rId3"/>
    <sheet name="SC0102" sheetId="12" r:id="rId4"/>
    <sheet name="MD0102" sheetId="13" r:id="rId5"/>
    <sheet name="テンプレート" sheetId="7" r:id="rId6"/>
  </sheets>
  <definedNames>
    <definedName name="_xlnm.Print_Area" localSheetId="4">'MD0102'!$A$1:$BK$74</definedName>
    <definedName name="_xlnm.Print_Area" localSheetId="2">'SC0101'!$A$1:$BK$149</definedName>
    <definedName name="_xlnm.Print_Area" localSheetId="3">'SC0102'!$A$1:$BK$317</definedName>
    <definedName name="_xlnm.Print_Area" localSheetId="5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3"/>
  <c r="Z4" i="13"/>
  <c r="H4" i="13"/>
  <c r="AT2" i="13"/>
  <c r="K2" i="13"/>
  <c r="A2" i="13"/>
  <c r="W1" i="13"/>
  <c r="AP4" i="12"/>
  <c r="Z4" i="12"/>
  <c r="H4" i="12"/>
  <c r="AP2" i="12"/>
  <c r="K2" i="12"/>
  <c r="A2" i="12"/>
  <c r="W1" i="12"/>
  <c r="AP4" i="11"/>
  <c r="Z4" i="11"/>
  <c r="H4" i="11"/>
  <c r="K2" i="11"/>
  <c r="A2" i="11"/>
  <c r="W1" i="11"/>
  <c r="AP4" i="3" a="1"/>
  <c r="AP4" i="3" s="1"/>
  <c r="Z4" i="3"/>
  <c r="H4" i="3"/>
  <c r="K2" i="3"/>
  <c r="A2" i="3"/>
  <c r="W1" i="3"/>
  <c r="L24" i="4"/>
  <c r="AP4" i="4" a="1"/>
  <c r="AP4" i="4" s="1"/>
  <c r="BH2" i="4"/>
  <c r="BH2" i="11" s="1"/>
  <c r="BC2" i="4"/>
  <c r="BC2" i="7" s="1"/>
  <c r="AY2" i="4"/>
  <c r="AY2" i="13" s="1"/>
  <c r="AT2" i="4"/>
  <c r="AT2" i="12" s="1"/>
  <c r="AP2" i="4"/>
  <c r="AP2" i="11" s="1"/>
  <c r="AT2" i="3" l="1"/>
  <c r="AT2" i="11"/>
  <c r="AY2" i="12"/>
  <c r="BC2" i="13"/>
  <c r="AP2" i="7"/>
  <c r="BH2" i="7"/>
  <c r="AY2" i="3"/>
  <c r="AY2" i="11"/>
  <c r="BC2" i="12"/>
  <c r="AP2" i="13"/>
  <c r="BH2" i="13"/>
  <c r="AT2" i="7"/>
  <c r="BC2" i="3"/>
  <c r="BC2" i="11"/>
  <c r="AY2" i="7"/>
  <c r="BH2" i="12"/>
  <c r="AP2" i="3"/>
  <c r="BH2" i="3"/>
</calcChain>
</file>

<file path=xl/sharedStrings.xml><?xml version="1.0" encoding="utf-8"?>
<sst xmlns="http://schemas.openxmlformats.org/spreadsheetml/2006/main" count="622" uniqueCount="269">
  <si>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</si>
  <si>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</si>
  <si>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</si>
  <si>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</si>
  <si>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</si>
  <si>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</si>
  <si>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</si>
  <si>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</si>
  <si>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</si>
  <si>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</si>
  <si>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</si>
  <si>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</si>
  <si>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</si>
  <si>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</si>
  <si>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</si>
  <si>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</si>
  <si>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</si>
  <si>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</si>
  <si>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</si>
  <si>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</si>
  <si>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</si>
  <si>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</si>
  <si>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</si>
  <si>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</si>
  <si>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 xml:space="preserve">1. </t>
    </r>
    <r>
      <rPr>
        <sz val="11"/>
        <color rgb="FF000000"/>
        <rFont val="Meiryo UI"/>
        <family val="2"/>
      </rPr>
      <t>ロジック1</t>
    </r>
  </si>
  <si>
    <r>
      <rPr>
        <sz val="11"/>
        <color rgb="FF000000"/>
        <rFont val="Meiryo UI"/>
        <family val="2"/>
      </rPr>
      <t xml:space="preserve">2. </t>
    </r>
    <r>
      <rPr>
        <sz val="11"/>
        <color rgb="FF000000"/>
        <rFont val="Meiryo UI"/>
        <family val="2"/>
      </rPr>
      <t>ロジック2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</si>
  <si>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</si>
  <si>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</si>
  <si>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</si>
  <si>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</si>
  <si>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01_商品管理</t>
    </r>
  </si>
  <si>
    <r>
      <rPr>
        <sz val="11"/>
        <color rgb="FF000000"/>
        <rFont val="Meiryo UI"/>
        <family val="2"/>
      </rPr>
      <t>SC0101</t>
    </r>
  </si>
  <si>
    <r>
      <rPr>
        <sz val="11"/>
        <color rgb="FF000000"/>
        <rFont val="Meiryo UI"/>
        <family val="2"/>
      </rPr>
      <t>SC0101-01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</si>
  <si>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</si>
  <si>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</si>
  <si>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20_画面設計_01_商品管理.xlsxをご参照ください。</t>
    </r>
  </si>
  <si>
    <r>
      <rPr>
        <sz val="11"/>
        <color rgb="FF000000"/>
        <rFont val="Meiryo UI"/>
        <family val="2"/>
      </rPr>
      <t>13桁の場合、ステップ2を実行する。</t>
    </r>
  </si>
  <si>
    <r>
      <rPr>
        <sz val="11"/>
        <color rgb="FF000000"/>
        <rFont val="Meiryo UI"/>
        <family val="2"/>
      </rPr>
      <t>入力桁数が2桁未満の場合、「0」を追加して、AP1507_商品種類検索のAPIを呼び出す。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</si>
  <si>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</si>
  <si>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</si>
  <si>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ED7D31"/>
        <rFont val="Meiryo UI"/>
        <family val="2"/>
      </rPr>
      <t>画面で入力された値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</si>
  <si>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</si>
  <si>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ED7D31"/>
        <rFont val="Meiryo UI"/>
        <family val="2"/>
      </rPr>
      <t>①．成功した場合：</t>
    </r>
  </si>
  <si>
    <r>
      <rPr>
        <b/>
        <sz val="11"/>
        <color rgb="FFED7D31"/>
        <rFont val="Meiryo UI"/>
        <family val="2"/>
      </rPr>
      <t>返却された結果</t>
    </r>
  </si>
  <si>
    <r>
      <rPr>
        <sz val="11"/>
        <color rgb="FFED7D31"/>
        <rFont val="Meiryo UI"/>
        <family val="2"/>
      </rPr>
      <t>1. status_code</t>
    </r>
  </si>
  <si>
    <r>
      <rPr>
        <sz val="11"/>
        <color rgb="FFED7D31"/>
        <rFont val="Meiryo UI"/>
        <family val="2"/>
      </rPr>
      <t>200 (OK)</t>
    </r>
  </si>
  <si>
    <r>
      <rPr>
        <sz val="11"/>
        <color rgb="FFED7D31"/>
        <rFont val="Meiryo UI"/>
        <family val="2"/>
      </rPr>
      <t>2. message</t>
    </r>
  </si>
  <si>
    <r>
      <rPr>
        <sz val="11"/>
        <color rgb="FFED7D31"/>
        <rFont val="Meiryo UI"/>
        <family val="2"/>
      </rPr>
      <t>ブランク</t>
    </r>
  </si>
  <si>
    <r>
      <rPr>
        <sz val="11"/>
        <color rgb="FFED7D31"/>
        <rFont val="Meiryo UI"/>
        <family val="2"/>
      </rPr>
      <t>3. data</t>
    </r>
  </si>
  <si>
    <r>
      <rPr>
        <sz val="11"/>
        <color rgb="FFED7D31"/>
        <rFont val="Meiryo UI"/>
        <family val="2"/>
      </rPr>
      <t>②．エラーの場合、以下のように実行する。</t>
    </r>
  </si>
  <si>
    <r>
      <rPr>
        <sz val="11"/>
        <color rgb="FFED7D31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</si>
  <si>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</si>
  <si>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ED7D31"/>
        <rFont val="Meiryo UI"/>
        <family val="2"/>
      </rPr>
      <t>group_code</t>
    </r>
  </si>
  <si>
    <r>
      <rPr>
        <sz val="11"/>
        <color rgb="FFED7D31"/>
        <rFont val="Meiryo UI"/>
        <family val="2"/>
      </rPr>
      <t>product_code</t>
    </r>
  </si>
  <si>
    <r>
      <rPr>
        <sz val="11"/>
        <color rgb="FFED7D31"/>
        <rFont val="Meiryo UI"/>
        <family val="2"/>
      </rPr>
      <t>選択されている対象店舗</t>
    </r>
  </si>
  <si>
    <r>
      <rPr>
        <sz val="11"/>
        <color rgb="FFED7D31"/>
        <rFont val="Meiryo UI"/>
        <family val="2"/>
      </rPr>
      <t>提案商品情報</t>
    </r>
  </si>
  <si>
    <r>
      <rPr>
        <sz val="11"/>
        <color rgb="FF000000"/>
        <rFont val="Meiryo UI"/>
        <family val="2"/>
      </rPr>
      <t>20_画面設計_01_商品管理.xlsx</t>
    </r>
  </si>
  <si>
    <r>
      <rPr>
        <sz val="11"/>
        <color rgb="FF000000"/>
        <rFont val="Meiryo UI"/>
        <family val="2"/>
      </rPr>
      <t>SC0101-02</t>
    </r>
  </si>
  <si>
    <r>
      <rPr>
        <sz val="11"/>
        <color rgb="FF000000"/>
        <rFont val="Meiryo UI"/>
        <family val="2"/>
      </rPr>
      <t>SC0101-03</t>
    </r>
  </si>
  <si>
    <r>
      <rPr>
        <sz val="11"/>
        <color rgb="FF000000"/>
        <rFont val="Meiryo UI"/>
        <family val="2"/>
      </rPr>
      <t>商品詳細表示</t>
    </r>
  </si>
  <si>
    <t/>
  </si>
  <si>
    <r>
      <rPr>
        <sz val="11"/>
        <color rgb="FF000000"/>
        <rFont val="Meiryo UI"/>
        <family val="2"/>
      </rPr>
      <t>SC0101-04</t>
    </r>
  </si>
  <si>
    <r>
      <rPr>
        <sz val="11"/>
        <color rgb="FF000000"/>
        <rFont val="Meiryo UI"/>
        <family val="2"/>
      </rPr>
      <t>SC0101-05</t>
    </r>
  </si>
  <si>
    <r>
      <rPr>
        <sz val="11"/>
        <color rgb="FF000000"/>
        <rFont val="Meiryo UI"/>
        <family val="2"/>
      </rPr>
      <t>緊急売価変更</t>
    </r>
  </si>
  <si>
    <r>
      <rPr>
        <sz val="11"/>
        <color rgb="FFED7D31"/>
        <rFont val="Meiryo UI"/>
        <family val="2"/>
      </rPr>
      <t>2.1 「AP1506」API呼出処理を実行する。</t>
    </r>
  </si>
  <si>
    <r>
      <rPr>
        <sz val="11"/>
        <color rgb="FFED7D31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</si>
  <si>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4.1 「AP0101」API呼出処理を実行する。</t>
    </r>
  </si>
  <si>
    <r>
      <rPr>
        <sz val="11"/>
        <color rgb="FF000000"/>
        <rFont val="Meiryo UI"/>
        <family val="2"/>
      </rPr>
      <t>4.2 返却された結果情報</t>
    </r>
  </si>
  <si>
    <r>
      <rPr>
        <sz val="11"/>
        <color rgb="FF000000"/>
        <rFont val="Meiryo UI"/>
        <family val="2"/>
      </rPr>
      <t>ステップ4を実行する。</t>
    </r>
  </si>
  <si>
    <r>
      <rPr>
        <sz val="11"/>
        <color rgb="FF000000"/>
        <rFont val="Meiryo UI"/>
        <family val="2"/>
      </rPr>
      <t>ミックスマッチ・特売一覧</t>
    </r>
  </si>
  <si>
    <r>
      <rPr>
        <sz val="11"/>
        <color rgb="FF000000"/>
        <rFont val="Meiryo UI"/>
        <family val="2"/>
      </rPr>
      <t>SC0101-06</t>
    </r>
  </si>
  <si>
    <r>
      <rPr>
        <sz val="11"/>
        <color rgb="FF000000"/>
        <rFont val="Meiryo UI"/>
        <family val="2"/>
      </rPr>
      <t>特売（新規）設定</t>
    </r>
  </si>
  <si>
    <r>
      <rPr>
        <sz val="11"/>
        <color rgb="FF000000"/>
        <rFont val="Meiryo UI"/>
        <family val="2"/>
      </rPr>
      <t>SC0101-07</t>
    </r>
  </si>
  <si>
    <r>
      <rPr>
        <sz val="11"/>
        <color rgb="FF000000"/>
        <rFont val="Meiryo UI"/>
        <family val="2"/>
      </rPr>
      <t>ミックスマッチ・特売の編集</t>
    </r>
  </si>
  <si>
    <r>
      <rPr>
        <sz val="11"/>
        <color rgb="FF000000"/>
        <rFont val="Meiryo UI"/>
        <family val="2"/>
      </rPr>
      <t>ミックスマッチ（新規）設定</t>
    </r>
  </si>
  <si>
    <r>
      <rPr>
        <sz val="11"/>
        <color rgb="FF000000"/>
        <rFont val="Meiryo UI"/>
        <family val="2"/>
      </rPr>
      <t>SC0102-04</t>
    </r>
  </si>
  <si>
    <r>
      <rPr>
        <sz val="11"/>
        <color rgb="FF000000"/>
        <rFont val="Meiryo UI"/>
        <family val="2"/>
      </rPr>
      <t>SC0102-03</t>
    </r>
  </si>
  <si>
    <r>
      <rPr>
        <sz val="11"/>
        <color rgb="FF000000"/>
        <rFont val="Meiryo UI"/>
        <family val="2"/>
      </rPr>
      <t>SC0102-02</t>
    </r>
  </si>
  <si>
    <r>
      <rPr>
        <sz val="11"/>
        <color rgb="FF000000"/>
        <rFont val="Meiryo UI"/>
        <family val="2"/>
      </rPr>
      <t>SC0102-01</t>
    </r>
  </si>
  <si>
    <r>
      <rPr>
        <sz val="11"/>
        <color rgb="FF000000"/>
        <rFont val="Meiryo UI"/>
        <family val="2"/>
      </rPr>
      <t>SC0102</t>
    </r>
  </si>
  <si>
    <r>
      <rPr>
        <sz val="11"/>
        <color rgb="FF000000"/>
        <rFont val="Meiryo UI"/>
        <family val="2"/>
      </rPr>
      <t>税種別一覧</t>
    </r>
  </si>
  <si>
    <r>
      <rPr>
        <sz val="11"/>
        <color rgb="FF000000"/>
        <rFont val="Meiryo UI"/>
        <family val="2"/>
      </rPr>
      <t>編集取消</t>
    </r>
  </si>
  <si>
    <r>
      <rPr>
        <sz val="11"/>
        <color rgb="FF000000"/>
        <rFont val="Meiryo UI"/>
        <family val="2"/>
      </rPr>
      <t>商品削除</t>
    </r>
  </si>
  <si>
    <r>
      <rPr>
        <sz val="11"/>
        <color rgb="FF000000"/>
        <rFont val="Meiryo UI"/>
        <family val="2"/>
      </rPr>
      <t>1.1 「AP0112」API呼出処理を実行する。</t>
    </r>
  </si>
  <si>
    <r>
      <rPr>
        <sz val="11"/>
        <color rgb="FF000000"/>
        <rFont val="Meiryo UI"/>
        <family val="2"/>
      </rPr>
      <t>products</t>
    </r>
  </si>
  <si>
    <r>
      <rPr>
        <sz val="11"/>
        <color rgb="FF000000"/>
        <rFont val="Meiryo UI"/>
        <family val="2"/>
      </rPr>
      <t>画面に表示されている親PLUと子PLUの一覧</t>
    </r>
  </si>
  <si>
    <r>
      <rPr>
        <sz val="11"/>
        <color rgb="FF000000"/>
        <rFont val="Meiryo UI"/>
        <family val="2"/>
      </rPr>
      <t>1.1 「AP0111」API呼出処理を実行する。</t>
    </r>
  </si>
  <si>
    <r>
      <rPr>
        <sz val="11"/>
        <color rgb="FF000000"/>
        <rFont val="Meiryo UI"/>
        <family val="2"/>
      </rPr>
      <t>2.1 「AP0113」API呼出処理を実行する。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</si>
  <si>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</si>
  <si>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SC0101画面から渡された商品のPLUコード</t>
    </r>
  </si>
  <si>
    <r>
      <rPr>
        <sz val="11"/>
        <color rgb="FF000000"/>
        <rFont val="Meiryo UI"/>
        <family val="2"/>
      </rPr>
      <t>SC0101画面から渡されたmy_company_codeの値</t>
    </r>
  </si>
  <si>
    <r>
      <rPr>
        <sz val="11"/>
        <color rgb="FF000000"/>
        <rFont val="Meiryo UI"/>
        <family val="2"/>
      </rPr>
      <t>商品詳細情報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</si>
  <si>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</si>
  <si>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SC0101_商品管理（初期モードで表示）に遷移する。</t>
    </r>
  </si>
  <si>
    <r>
      <rPr>
        <sz val="11"/>
        <color rgb="FF000000"/>
        <rFont val="Meiryo UI"/>
        <family val="2"/>
      </rPr>
      <t>変更を保存する。</t>
    </r>
  </si>
  <si>
    <r>
      <rPr>
        <sz val="11"/>
        <color rgb="FF000000"/>
        <rFont val="Meiryo UI"/>
        <family val="2"/>
      </rPr>
      <t>・入力必須項目</t>
    </r>
  </si>
  <si>
    <r>
      <rPr>
        <sz val="11"/>
        <color rgb="FF000000"/>
        <rFont val="Meiryo UI"/>
        <family val="2"/>
      </rPr>
      <t>2.1 「AP0102」API呼出処理を実行する。</t>
    </r>
  </si>
  <si>
    <r>
      <rPr>
        <sz val="11"/>
        <color rgb="FF000000"/>
        <rFont val="Meiryo UI"/>
        <family val="2"/>
      </rPr>
      <t>SC0102画面の情報に基づいて、40_API設計_AP0102_商品情報変更.xlsxの説明に従ってリクエストを作成する。</t>
    </r>
  </si>
  <si>
    <r>
      <rPr>
        <sz val="11"/>
        <color rgb="FF000000"/>
        <rFont val="Meiryo UI"/>
        <family val="2"/>
      </rPr>
      <t>。</t>
    </r>
  </si>
  <si>
    <r>
      <rPr>
        <sz val="10"/>
        <color rgb="FF000000"/>
        <rFont val="Meiryo UI"/>
        <family val="2"/>
      </rPr>
      <t>40_API設計_AP0102_商品情報変更.xlsx</t>
    </r>
  </si>
  <si>
    <r>
      <rPr>
        <sz val="11"/>
        <color rgb="FFED7D31"/>
        <rFont val="Meiryo UI"/>
        <family val="2"/>
      </rPr>
      <t>plu</t>
    </r>
  </si>
  <si>
    <r>
      <rPr>
        <sz val="11"/>
        <color rgb="FF000000"/>
        <rFont val="Meiryo UI"/>
        <family val="2"/>
      </rPr>
      <t>SC0102-05</t>
    </r>
  </si>
  <si>
    <r>
      <rPr>
        <sz val="11"/>
        <color rgb="FF000000"/>
        <rFont val="Meiryo UI"/>
        <family val="2"/>
      </rPr>
      <t>部門提案を実行する。</t>
    </r>
  </si>
  <si>
    <r>
      <rPr>
        <sz val="11"/>
        <color rgb="FF000000"/>
        <rFont val="Meiryo UI"/>
        <family val="2"/>
      </rPr>
      <t>2.1 「AP0114」API呼出処理を実行する。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</si>
  <si>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</si>
  <si>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code_level_1</t>
    </r>
  </si>
  <si>
    <r>
      <rPr>
        <sz val="11"/>
        <color rgb="FF000000"/>
        <rFont val="Meiryo UI"/>
        <family val="2"/>
      </rPr>
      <t>code_level_2</t>
    </r>
  </si>
  <si>
    <r>
      <rPr>
        <sz val="11"/>
        <color rgb="FF000000"/>
        <rFont val="Meiryo UI"/>
        <family val="2"/>
      </rPr>
      <t>code_level_3</t>
    </r>
  </si>
  <si>
    <r>
      <rPr>
        <sz val="11"/>
        <color rgb="FF000000"/>
        <rFont val="Meiryo UI"/>
        <family val="2"/>
      </rPr>
      <t>code_level_4</t>
    </r>
  </si>
  <si>
    <r>
      <rPr>
        <sz val="11"/>
        <color rgb="FF000000"/>
        <rFont val="Meiryo UI"/>
        <family val="2"/>
      </rPr>
      <t>ユーザーが画面上に入力した値</t>
    </r>
  </si>
  <si>
    <r>
      <rPr>
        <sz val="11"/>
        <color rgb="FFED7D31"/>
        <rFont val="Meiryo UI"/>
        <family val="2"/>
      </rPr>
      <t>null</t>
    </r>
  </si>
  <si>
    <r>
      <rPr>
        <sz val="11"/>
        <color rgb="FF000000"/>
        <rFont val="Meiryo UI"/>
        <family val="2"/>
      </rPr>
      <t>部門詳細</t>
    </r>
  </si>
  <si>
    <r>
      <rPr>
        <sz val="11"/>
        <color rgb="FF000000"/>
        <rFont val="Meiryo UI"/>
        <family val="2"/>
      </rPr>
      <t>部門名称を画面にマッピングする。</t>
    </r>
  </si>
  <si>
    <r>
      <rPr>
        <sz val="11"/>
        <color rgb="FF000000"/>
        <rFont val="Meiryo UI"/>
        <family val="2"/>
      </rPr>
      <t>SC0102-06</t>
    </r>
  </si>
  <si>
    <r>
      <rPr>
        <sz val="11"/>
        <color rgb="FF000000"/>
        <rFont val="Meiryo UI"/>
        <family val="2"/>
      </rPr>
      <t>品群提案を実行する。</t>
    </r>
  </si>
  <si>
    <r>
      <rPr>
        <sz val="11"/>
        <color rgb="FF000000"/>
        <rFont val="Meiryo UI"/>
        <family val="2"/>
      </rPr>
      <t>部門、品群詳細</t>
    </r>
  </si>
  <si>
    <r>
      <rPr>
        <sz val="11"/>
        <color rgb="FF000000"/>
        <rFont val="Meiryo UI"/>
        <family val="2"/>
      </rPr>
      <t>品群名称を画面にマッピングする。</t>
    </r>
  </si>
  <si>
    <r>
      <rPr>
        <sz val="11"/>
        <color rgb="FF000000"/>
        <rFont val="Meiryo UI"/>
        <family val="2"/>
      </rPr>
      <t>SC0102-07</t>
    </r>
  </si>
  <si>
    <r>
      <rPr>
        <sz val="11"/>
        <color rgb="FF000000"/>
        <rFont val="Meiryo UI"/>
        <family val="2"/>
      </rPr>
      <t>品種提案を実行する。</t>
    </r>
  </si>
  <si>
    <r>
      <rPr>
        <sz val="11"/>
        <color rgb="FF000000"/>
        <rFont val="Meiryo UI"/>
        <family val="2"/>
      </rPr>
      <t>SC0102-08</t>
    </r>
  </si>
  <si>
    <r>
      <rPr>
        <sz val="11"/>
        <color rgb="FF000000"/>
        <rFont val="Meiryo UI"/>
        <family val="2"/>
      </rPr>
      <t>分類提案を実行する。</t>
    </r>
  </si>
  <si>
    <r>
      <rPr>
        <sz val="11"/>
        <color rgb="FF000000"/>
        <rFont val="Meiryo UI"/>
        <family val="2"/>
      </rPr>
      <t>部門、品群、品種詳細</t>
    </r>
  </si>
  <si>
    <r>
      <rPr>
        <sz val="11"/>
        <color rgb="FF000000"/>
        <rFont val="Meiryo UI"/>
        <family val="2"/>
      </rPr>
      <t>部門、品群、品種、分類詳細</t>
    </r>
  </si>
  <si>
    <r>
      <rPr>
        <sz val="11"/>
        <color rgb="FF000000"/>
        <rFont val="Meiryo UI"/>
        <family val="2"/>
      </rPr>
      <t>エラー404の場合、分類名称項目にエラーメッセージを表示する。</t>
    </r>
  </si>
  <si>
    <r>
      <rPr>
        <sz val="11"/>
        <color rgb="FF000000"/>
        <rFont val="Meiryo UI"/>
        <family val="2"/>
      </rPr>
      <t>エラー404の場合、品種名称項目にエラーメッセージを表示する。</t>
    </r>
  </si>
  <si>
    <r>
      <rPr>
        <sz val="11"/>
        <color rgb="FF000000"/>
        <rFont val="Meiryo UI"/>
        <family val="2"/>
      </rPr>
      <t>エラー404の場合、品群名称項目にエラーメッセージを表示する。</t>
    </r>
  </si>
  <si>
    <r>
      <rPr>
        <sz val="11"/>
        <color rgb="FF000000"/>
        <rFont val="Meiryo UI"/>
        <family val="2"/>
      </rPr>
      <t>エラー404の場合、部門名称項目にエラーメッセージを表示する。</t>
    </r>
  </si>
  <si>
    <r>
      <rPr>
        <sz val="11"/>
        <color rgb="FFED7D31"/>
        <rFont val="Meiryo UI"/>
        <family val="2"/>
      </rPr>
      <t>SC0102-09</t>
    </r>
  </si>
  <si>
    <r>
      <rPr>
        <sz val="11"/>
        <color rgb="FFED7D31"/>
        <rFont val="Meiryo UI"/>
        <family val="2"/>
      </rPr>
      <t>子PLUを追加する。</t>
    </r>
  </si>
  <si>
    <r>
      <rPr>
        <sz val="11"/>
        <color rgb="FFED7D31"/>
        <rFont val="Meiryo UI"/>
        <family val="2"/>
      </rPr>
      <t>選択したアイテムの位置からフォーカスを外した場合は：</t>
    </r>
  </si>
  <si>
    <r>
      <rPr>
        <sz val="11"/>
        <color rgb="FFED7D31"/>
        <rFont val="Meiryo UI"/>
        <family val="2"/>
      </rPr>
      <t>404エラーの場合、商品提案を実行しているPLUコードの入力項目にエラーメッセージを表示する。</t>
    </r>
  </si>
  <si>
    <r>
      <rPr>
        <sz val="11"/>
        <color rgb="FFED7D31"/>
        <rFont val="Meiryo UI"/>
        <family val="2"/>
      </rPr>
      <t>+重複していない場合、ステップ2を実行する。</t>
    </r>
  </si>
  <si>
    <r>
      <rPr>
        <sz val="11"/>
        <color rgb="FFED7D31"/>
        <rFont val="Meiryo UI"/>
        <family val="2"/>
      </rPr>
      <t>レスポンスのmy_company_codeが親商品のmy_company_codeと等しい場合、子PLUとして有効な商品となり、</t>
    </r>
  </si>
  <si>
    <r>
      <rPr>
        <sz val="11"/>
        <color rgb="FFED7D31"/>
        <rFont val="Meiryo UI"/>
        <family val="2"/>
      </rPr>
      <t>等しくない場合、エラーモーダルを表示する（エラーメッセージ：MSG_VAL_044）</t>
    </r>
  </si>
  <si>
    <r>
      <rPr>
        <sz val="11"/>
        <color rgb="FFED7D31"/>
        <rFont val="Meiryo UI"/>
        <family val="2"/>
      </rPr>
      <t>入力したレコードに対してoperation_type_codeを1（新規作成）としてマークする。</t>
    </r>
  </si>
  <si>
    <r>
      <rPr>
        <sz val="11"/>
        <color rgb="FFED7D31"/>
        <rFont val="Meiryo UI"/>
        <family val="2"/>
      </rPr>
      <t>SC0102-10</t>
    </r>
  </si>
  <si>
    <r>
      <rPr>
        <sz val="11"/>
        <color rgb="FFED7D31"/>
        <rFont val="Meiryo UI"/>
        <family val="2"/>
      </rPr>
      <t>子PLUを編集する。</t>
    </r>
  </si>
  <si>
    <r>
      <rPr>
        <sz val="11"/>
        <color rgb="FFED7D31"/>
        <rFont val="Meiryo UI"/>
        <family val="2"/>
      </rPr>
      <t>PLUコードが旧値と異なる場合、</t>
    </r>
  </si>
  <si>
    <r>
      <rPr>
        <sz val="11"/>
        <color rgb="FFED7D31"/>
        <rFont val="Meiryo UI"/>
        <family val="2"/>
      </rPr>
      <t>入力したレコードに対してoperation_type_codeを2（編集）としてマークする。</t>
    </r>
  </si>
  <si>
    <r>
      <rPr>
        <sz val="11"/>
        <color rgb="FF000000"/>
        <rFont val="Meiryo UI"/>
        <family val="2"/>
      </rPr>
      <t>MD0102</t>
    </r>
  </si>
  <si>
    <r>
      <rPr>
        <sz val="11"/>
        <color rgb="FF000000"/>
        <rFont val="Meiryo UI"/>
        <family val="2"/>
      </rPr>
      <t>プロモーション一覧モーダル</t>
    </r>
  </si>
  <si>
    <r>
      <rPr>
        <sz val="11"/>
        <color rgb="FF000000"/>
        <rFont val="Meiryo UI"/>
        <family val="2"/>
      </rPr>
      <t>MD0102_01</t>
    </r>
  </si>
  <si>
    <r>
      <rPr>
        <sz val="11"/>
        <color rgb="FF000000"/>
        <rFont val="Meiryo UI"/>
        <family val="2"/>
      </rPr>
      <t>20_画面設計_03_店舗特売入力.xlsxをご参照ください。</t>
    </r>
  </si>
  <si>
    <r>
      <rPr>
        <sz val="11"/>
        <color rgb="FF000000"/>
        <rFont val="Meiryo UI"/>
        <family val="2"/>
      </rPr>
      <t>MD0102_02</t>
    </r>
  </si>
  <si>
    <r>
      <rPr>
        <sz val="11"/>
        <color rgb="FF000000"/>
        <rFont val="Meiryo UI"/>
        <family val="2"/>
      </rPr>
      <t>SC0301画面に戻る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</si>
  <si>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MD0102_プロモーション一覧モーダルを閉じて、</t>
    </r>
  </si>
  <si>
    <r>
      <rPr>
        <b/>
        <sz val="11"/>
        <color rgb="FF000000"/>
        <rFont val="Meiryo UI"/>
        <family val="2"/>
      </rPr>
      <t>SC0301_店舗特売入力画面を表示する。</t>
    </r>
  </si>
  <si>
    <r>
      <rPr>
        <sz val="11"/>
        <color rgb="FF000000"/>
        <rFont val="Meiryo UI"/>
        <family val="2"/>
      </rPr>
      <t>MD0102_03</t>
    </r>
  </si>
  <si>
    <r>
      <rPr>
        <sz val="11"/>
        <color rgb="FF000000"/>
        <rFont val="Meiryo UI"/>
        <family val="2"/>
      </rPr>
      <t>プロモーションの情報を検索する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</si>
  <si>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KN0106_プロモーション一覧取得機能</t>
    </r>
  </si>
  <si>
    <r>
      <rPr>
        <sz val="11"/>
        <color rgb="FFFF0000"/>
        <rFont val="Meiryo UI"/>
        <family val="2"/>
      </rPr>
      <t>入力されたpromotion_codeが5未満の場合、「0」を追加して、API 「AP0105_プロモーション一覧取得」を呼び出す。</t>
    </r>
  </si>
  <si>
    <r>
      <rPr>
        <sz val="11"/>
        <color rgb="FFFF0000"/>
        <rFont val="Meiryo UI"/>
        <family val="2"/>
      </rPr>
      <t>API「AP0105_プロモーション一覧取得」を呼び出す。</t>
    </r>
  </si>
  <si>
    <r>
      <rPr>
        <sz val="11"/>
        <color rgb="FF000000"/>
        <rFont val="Meiryo UI"/>
        <family val="2"/>
      </rPr>
      <t>1.1 AP0105_プロモーション一覧取得API呼出処理を実行する。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</si>
  <si>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</si>
  <si>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</si>
  <si>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画面で入力されたプロモーションコード</t>
    </r>
  </si>
  <si>
    <r>
      <rPr>
        <sz val="11"/>
        <color rgb="FF000000"/>
        <rFont val="Meiryo UI"/>
        <family val="2"/>
      </rPr>
      <t>・40_API設計_AP0105_プロモーション一覧取得.xlsxをご参照ください。</t>
    </r>
  </si>
  <si>
    <r>
      <rPr>
        <sz val="11"/>
        <color rgb="FF000000"/>
        <rFont val="Meiryo UI"/>
        <family val="2"/>
      </rPr>
      <t>▪商品情報取得が成功した場合、</t>
    </r>
  </si>
  <si>
    <r>
      <rPr>
        <sz val="11"/>
        <color rgb="FF000000"/>
        <rFont val="Meiryo UI"/>
        <family val="2"/>
      </rPr>
      <t>・返却レスポンスは40_API設計_AP0105_プロモーション一覧取得.xlsxをご参照ください。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</si>
  <si>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</si>
  <si>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20_画面設計_03_店舗特売入力.xlsx</t>
    </r>
  </si>
  <si>
    <r>
      <rPr>
        <sz val="11"/>
        <color rgb="FF000000"/>
        <rFont val="Meiryo UI"/>
        <family val="2"/>
      </rPr>
      <t>▪商品情報取得が失敗した場合、</t>
    </r>
  </si>
  <si>
    <r>
      <rPr>
        <sz val="11"/>
        <color rgb="FF000000"/>
        <rFont val="Meiryo UI"/>
        <family val="2"/>
      </rPr>
      <t>・20_画面設計_03_店舗特売入力.xlsxの記載に従ってエラーメッセージを画面に表示する。</t>
    </r>
  </si>
  <si>
    <r>
      <rPr>
        <sz val="11"/>
        <color rgb="FF000000"/>
        <rFont val="Meiryo UI"/>
        <family val="2"/>
      </rPr>
      <t>MD0102_04</t>
    </r>
  </si>
  <si>
    <r>
      <rPr>
        <sz val="11"/>
        <color rgb="FF000000"/>
        <rFont val="Meiryo UI"/>
        <family val="2"/>
      </rPr>
      <t>プロモーションを選択する</t>
    </r>
  </si>
  <si>
    <r>
      <rPr>
        <sz val="11"/>
        <color rgb="FF000000"/>
        <rFont val="Meiryo UI"/>
        <family val="2"/>
      </rPr>
      <t>一覧画面に送信される項目：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</si>
  <si>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</si>
  <si>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</si>
  <si>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開始日時</t>
    </r>
  </si>
  <si>
    <r>
      <rPr>
        <sz val="11"/>
        <color rgb="FF000000"/>
        <rFont val="Meiryo UI"/>
        <family val="2"/>
      </rPr>
      <t>終了日時</t>
    </r>
  </si>
  <si>
    <r>
      <rPr>
        <sz val="10"/>
        <color rgb="FFFF0000"/>
        <rFont val="Meiryo UI"/>
        <family val="2"/>
      </rPr>
      <t>▪20_画面設計_01_商品管理.xlsx</t>
    </r>
  </si>
  <si>
    <r>
      <rPr>
        <sz val="10"/>
        <color rgb="FFFF0000"/>
        <rFont val="Meiryo UI"/>
        <family val="2"/>
      </rPr>
      <t>▪20_画面設計_01_商品管理.xlsx</t>
    </r>
    <r>
      <rPr>
        <sz val="10"/>
        <color rgb="FFFF0000"/>
        <rFont val="Meiryo UI"/>
        <family val="2"/>
      </rPr>
      <t xml:space="preserve">
</t>
    </r>
    <r>
      <rPr>
        <sz val="10"/>
        <color rgb="FFFF0000"/>
        <rFont val="Meiryo UI"/>
        <family val="2"/>
      </rPr>
      <t xml:space="preserve">
</t>
    </r>
    <r>
      <rPr>
        <sz val="10"/>
        <color rgb="FF000000"/>
        <rFont val="Meiryo UI"/>
        <family val="2"/>
      </rPr>
      <t>▪ 40_API設計_AP0105_プロモーション一覧取得.xlsx</t>
    </r>
  </si>
  <si>
    <r>
      <rPr>
        <sz val="11"/>
        <color rgb="FF000000"/>
        <rFont val="Meiryo UI"/>
        <family val="2"/>
      </rPr>
      <t>promotion_code</t>
    </r>
  </si>
  <si>
    <r>
      <rPr>
        <sz val="10"/>
        <color rgb="FF000000"/>
        <rFont val="Meiryo UI"/>
        <family val="2"/>
      </rPr>
      <t>40_API設計/API_15_プリセットメニュー設定/40_API設計_AP1507_階層一覧取得.xlsx</t>
    </r>
  </si>
  <si>
    <r>
      <rPr>
        <sz val="11"/>
        <color rgb="FF000000"/>
        <rFont val="Meiryo UI"/>
        <family val="2"/>
      </rPr>
      <t>SC0301画面に商品情報のデータを渡す。</t>
    </r>
  </si>
  <si>
    <r>
      <rPr>
        <sz val="11"/>
        <color rgb="FF000000"/>
        <rFont val="Meiryo UI"/>
        <family val="2"/>
      </rPr>
      <t>SC0301画面に特売売価情報のデータを渡す。</t>
    </r>
  </si>
  <si>
    <r>
      <rPr>
        <sz val="11"/>
        <color rgb="FF000000"/>
        <rFont val="Meiryo UI"/>
        <family val="2"/>
      </rPr>
      <t>▪選択中のアイテムが特売売価の場合、</t>
    </r>
  </si>
  <si>
    <r>
      <rPr>
        <sz val="11"/>
        <color rgb="FF000000"/>
        <rFont val="Meiryo UI"/>
        <family val="2"/>
      </rPr>
      <t>SC0301_特売マスタ売価設定画面（編集）に遷移する。</t>
    </r>
  </si>
  <si>
    <r>
      <rPr>
        <sz val="11"/>
        <color rgb="FF000000"/>
        <rFont val="Meiryo UI"/>
        <family val="2"/>
      </rPr>
      <t>▪選択中のアイテムがミックスマッチである場合、</t>
    </r>
  </si>
  <si>
    <r>
      <rPr>
        <sz val="11"/>
        <color rgb="FF000000"/>
        <rFont val="Meiryo UI"/>
        <family val="2"/>
      </rPr>
      <t>SC0501_ミックスマッチ設定画面（編集）に遷移する。</t>
    </r>
  </si>
  <si>
    <r>
      <rPr>
        <sz val="11"/>
        <color rgb="FF000000"/>
        <rFont val="Meiryo UI"/>
        <family val="2"/>
      </rPr>
      <t>SC0103画面に商品情報のデータを渡す。</t>
    </r>
  </si>
  <si>
    <r>
      <rPr>
        <sz val="11"/>
        <color rgb="FF000000"/>
        <rFont val="Meiryo UI"/>
        <family val="2"/>
      </rPr>
      <t>SC0501画面にミックスマッチコード情報のデータを渡す。</t>
    </r>
  </si>
  <si>
    <r>
      <rPr>
        <sz val="11"/>
        <color rgb="FF000000"/>
        <rFont val="Meiryo UI"/>
        <family val="2"/>
      </rPr>
      <t>MD0102_プロモーション一覧（商品ミックスマッチモード）に商品情報のデータを渡す。</t>
    </r>
  </si>
  <si>
    <r>
      <rPr>
        <sz val="11"/>
        <color rgb="FF000000"/>
        <rFont val="Meiryo UI"/>
        <family val="2"/>
      </rPr>
      <t>プロモーションの詳細情報を使用中の画面に渡す。</t>
    </r>
  </si>
  <si>
    <r>
      <rPr>
        <sz val="11"/>
        <color rgb="FF000000"/>
        <rFont val="Meiryo UI"/>
        <family val="2"/>
      </rPr>
      <t>有効なプロモーションコードを選択した後、 プロモーション情報と商品情報を</t>
    </r>
  </si>
  <si>
    <r>
      <rPr>
        <sz val="11"/>
        <color rgb="FF000000"/>
        <rFont val="Meiryo UI"/>
        <family val="2"/>
      </rPr>
      <t>SC0501_ミックスマッチ設定画面に転送する。</t>
    </r>
  </si>
  <si>
    <r>
      <rPr>
        <sz val="11"/>
        <color rgb="FF000000"/>
        <rFont val="Meiryo UI"/>
        <family val="2"/>
      </rPr>
      <t>画面上のPLUコード</t>
    </r>
  </si>
  <si>
    <r>
      <rPr>
        <sz val="11"/>
        <color rgb="FF000000"/>
        <rFont val="Meiryo UI"/>
        <family val="2"/>
      </rPr>
      <t>2.1 「AP1506」API呼出処理を実行する。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</si>
  <si>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</si>
  <si>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</si>
  <si>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</si>
  <si>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</si>
  <si>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</si>
  <si>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①．成功した場合：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</si>
  <si>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</si>
  <si>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</si>
  <si>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</si>
  <si>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</si>
  <si>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</si>
  <si>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選択されている対象店舗</t>
    </r>
  </si>
  <si>
    <r>
      <rPr>
        <sz val="11"/>
        <color rgb="FF000000"/>
        <rFont val="Meiryo UI"/>
        <family val="2"/>
      </rPr>
      <t>画面で入力された値</t>
    </r>
  </si>
  <si>
    <r>
      <rPr>
        <sz val="11"/>
        <color rgb="FF000000"/>
        <rFont val="Meiryo UI"/>
        <family val="2"/>
      </rPr>
      <t>null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</si>
  <si>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</si>
  <si>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</si>
  <si>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提案商品情報</t>
    </r>
  </si>
  <si>
    <r>
      <rPr>
        <sz val="11"/>
        <color rgb="FFED7D31"/>
        <rFont val="Meiryo UI"/>
        <family val="2"/>
      </rPr>
      <t>イベントID</t>
    </r>
  </si>
  <si>
    <r>
      <rPr>
        <sz val="11"/>
        <color rgb="FFED7D31"/>
        <rFont val="Meiryo UI"/>
        <family val="2"/>
      </rPr>
      <t>インプット</t>
    </r>
  </si>
  <si>
    <r>
      <rPr>
        <sz val="11"/>
        <color rgb="FFED7D31"/>
        <rFont val="Meiryo UI"/>
        <family val="2"/>
      </rPr>
      <t>処理概要</t>
    </r>
  </si>
  <si>
    <r>
      <rPr>
        <b/>
        <sz val="11"/>
        <color rgb="FFED7D31"/>
        <rFont val="Meiryo UI"/>
        <family val="2"/>
      </rPr>
      <t>APIのパラメータ</t>
    </r>
  </si>
  <si>
    <r>
      <rPr>
        <b/>
        <sz val="11"/>
        <color rgb="FFED7D31"/>
        <rFont val="Meiryo UI"/>
        <family val="2"/>
      </rPr>
      <t>パラメータの値</t>
    </r>
  </si>
  <si>
    <r>
      <rPr>
        <sz val="11"/>
        <color rgb="FFED7D31"/>
        <rFont val="Meiryo UI"/>
        <family val="2"/>
      </rPr>
      <t>出力</t>
    </r>
  </si>
  <si>
    <r>
      <rPr>
        <sz val="11"/>
        <color rgb="FFED7D31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</si>
  <si>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・返却レスポンスは40_API設計_AP0105_プロモーション一覧取得.xlsxをご参照ください。</t>
    </r>
  </si>
  <si>
    <r>
      <rPr>
        <sz val="10"/>
        <color rgb="FFFF0000"/>
        <rFont val="Meiryo UI"/>
        <family val="2"/>
      </rPr>
      <t>▪20_画面設計_01_商品管理.xlsx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</si>
  <si>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</si>
  <si>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</si>
  <si>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</si>
  <si>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</si>
  <si>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</si>
  <si>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</si>
  <si>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</si>
  <si>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</si>
  <si>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</si>
  <si>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</si>
  <si>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</si>
  <si>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</si>
  <si>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</si>
  <si>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</si>
  <si>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</si>
  <si>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</si>
  <si>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</si>
  <si>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</si>
  <si>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商品管理画面</t>
    </r>
  </si>
  <si>
    <r>
      <rPr>
        <sz val="10"/>
        <color rgb="FF000000"/>
        <rFont val="Meiryo UI"/>
        <family val="2"/>
      </rPr>
      <t xml:space="preserve"> 20_画面設計_01_商品管理.xlsx</t>
    </r>
  </si>
  <si>
    <r>
      <rPr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</si>
  <si>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1. PLUの長さを確認する。</t>
    </r>
  </si>
  <si>
    <r>
      <rPr>
        <sz val="11"/>
        <color rgb="FF000000"/>
        <rFont val="Meiryo UI"/>
        <family val="2"/>
      </rPr>
      <t>13桁未満の場合、「0」を追加して13桁になる。その後、ステップ2を実行する。</t>
    </r>
  </si>
  <si>
    <r>
      <rPr>
        <b/>
        <sz val="11"/>
        <color rgb="FF000000"/>
        <rFont val="Meiryo UI"/>
        <family val="2"/>
      </rPr>
      <t>2. API「AP1506」を使用して商品を提案する。</t>
    </r>
  </si>
  <si>
    <r>
      <rPr>
        <sz val="11"/>
        <color rgb="FF000000"/>
        <rFont val="Meiryo UI"/>
        <family val="2"/>
      </rPr>
      <t>404エラーの場合、以下のファイルの画面項目の説明に従ってエラー表示処理を実行する。</t>
    </r>
  </si>
  <si>
    <r>
      <rPr>
        <sz val="11"/>
        <color rgb="FF000000"/>
        <rFont val="Meiryo UI"/>
        <family val="2"/>
      </rPr>
      <t>その他のエラーの場合、APIエラーの共通表示処理を実行する。</t>
    </r>
  </si>
  <si>
    <r>
      <rPr>
        <b/>
        <sz val="11"/>
        <color rgb="FF000000"/>
        <rFont val="Meiryo UI"/>
        <family val="2"/>
      </rPr>
      <t>3. 画面項目の「AP1506」APIレスポンスをマッピングする。</t>
    </r>
  </si>
  <si>
    <r>
      <rPr>
        <b/>
        <sz val="11"/>
        <color rgb="FF000000"/>
        <rFont val="Meiryo UI"/>
        <family val="2"/>
      </rPr>
      <t>4. 商品のミックスマッチ・特売一覧を取得する。</t>
    </r>
  </si>
  <si>
    <r>
      <rPr>
        <b/>
        <sz val="11"/>
        <color rgb="FF000000"/>
        <rFont val="Meiryo UI"/>
        <family val="2"/>
      </rPr>
      <t>5. 画面項目の「AP0101」APIレスポンスをマッピングする。</t>
    </r>
  </si>
  <si>
    <r>
      <rPr>
        <b/>
        <sz val="11"/>
        <color rgb="FF000000"/>
        <rFont val="Meiryo UI"/>
        <family val="2"/>
      </rPr>
      <t>1. PLU_codeとmy_company_codeの値を渡し、SC0102_商品詳細画面に遷移する。</t>
    </r>
  </si>
  <si>
    <r>
      <rPr>
        <b/>
        <sz val="11"/>
        <color rgb="FF000000"/>
        <rFont val="Meiryo UI"/>
        <family val="2"/>
      </rPr>
      <t>1. SC0103_緊急売価変更画面に遷移する。</t>
    </r>
  </si>
  <si>
    <r>
      <rPr>
        <b/>
        <sz val="11"/>
        <color rgb="FF000000"/>
        <rFont val="Meiryo UI"/>
        <family val="2"/>
      </rPr>
      <t>1. SC0301_特売マスタ売価設定画面（新規）に遷移する。</t>
    </r>
  </si>
  <si>
    <r>
      <rPr>
        <b/>
        <sz val="11"/>
        <color rgb="FF000000"/>
        <rFont val="Meiryo UI"/>
        <family val="2"/>
      </rPr>
      <t>1. SC0501_ミックスマッチ設定画面（新規）に遷移する。</t>
    </r>
  </si>
  <si>
    <r>
      <rPr>
        <b/>
        <sz val="11"/>
        <color rgb="FF000000"/>
        <rFont val="Meiryo UI"/>
        <family val="2"/>
      </rPr>
      <t>1. 画面に遷移する。</t>
    </r>
  </si>
  <si>
    <r>
      <rPr>
        <sz val="11"/>
        <color rgb="FF000000"/>
        <rFont val="Meiryo UI"/>
        <family val="2"/>
      </rPr>
      <t xml:space="preserve"> 商品詳細画面</t>
    </r>
  </si>
  <si>
    <r>
      <rPr>
        <b/>
        <sz val="11"/>
        <color rgb="FF000000"/>
        <rFont val="Meiryo UI"/>
        <family val="2"/>
      </rPr>
      <t>1. AP0111を使用して商品詳細を取得する。</t>
    </r>
  </si>
  <si>
    <r>
      <rPr>
        <b/>
        <sz val="11"/>
        <color rgb="FF000000"/>
        <rFont val="Meiryo UI"/>
        <family val="2"/>
      </rPr>
      <t>2. AP0113を使用して、ドロップダウンに表示する税種別一覧を取得する。</t>
    </r>
  </si>
  <si>
    <r>
      <rPr>
        <b/>
        <sz val="11"/>
        <color rgb="FF000000"/>
        <rFont val="Meiryo UI"/>
        <family val="2"/>
      </rPr>
      <t>3. 画面項目の初期化を実行する。</t>
    </r>
  </si>
  <si>
    <r>
      <rPr>
        <b/>
        <sz val="11"/>
        <color rgb="FF000000"/>
        <rFont val="Meiryo UI"/>
        <family val="2"/>
      </rPr>
      <t>1. 編集を取り消し、SC0101_商品管理画面に遷移する。</t>
    </r>
  </si>
  <si>
    <r>
      <rPr>
        <b/>
        <sz val="11"/>
        <color rgb="FF000000"/>
        <rFont val="Meiryo UI"/>
        <family val="2"/>
      </rPr>
      <t>1. 商品を削除する（子PLUを含む）</t>
    </r>
  </si>
  <si>
    <r>
      <rPr>
        <b/>
        <sz val="11"/>
        <color rgb="FF000000"/>
        <rFont val="Meiryo UI"/>
        <family val="2"/>
      </rPr>
      <t>1. バリデーションチェックを行う。</t>
    </r>
  </si>
  <si>
    <r>
      <rPr>
        <b/>
        <sz val="11"/>
        <color rgb="FF000000"/>
        <rFont val="Meiryo UI"/>
        <family val="2"/>
      </rPr>
      <t>2. API「AP0102」を使用して商品を更新する。</t>
    </r>
  </si>
  <si>
    <r>
      <rPr>
        <b/>
        <sz val="11"/>
        <color rgb="FF000000"/>
        <rFont val="Meiryo UI"/>
        <family val="2"/>
      </rPr>
      <t>1. 品群、品種、分類の値と部門、品群、品種、分類の名称を全てクリアする。</t>
    </r>
  </si>
  <si>
    <r>
      <rPr>
        <b/>
        <sz val="11"/>
        <color rgb="FF000000"/>
        <rFont val="Meiryo UI"/>
        <family val="2"/>
      </rPr>
      <t>2. 階層情報を提案する。</t>
    </r>
  </si>
  <si>
    <r>
      <rPr>
        <b/>
        <sz val="11"/>
        <color rgb="FF000000"/>
        <rFont val="Meiryo UI"/>
        <family val="2"/>
      </rPr>
      <t>1. 品種、分類の値と品群、品種、分類の名称をを全てクリアする。</t>
    </r>
  </si>
  <si>
    <r>
      <rPr>
        <b/>
        <sz val="11"/>
        <color rgb="FF000000"/>
        <rFont val="Meiryo UI"/>
        <family val="2"/>
      </rPr>
      <t>1. 分類の値と名称を全てクリアする。</t>
    </r>
  </si>
  <si>
    <r>
      <rPr>
        <b/>
        <sz val="11"/>
        <color rgb="FFED7D31"/>
        <rFont val="Meiryo UI"/>
        <family val="2"/>
      </rPr>
      <t>1. リストの最後に1つのアイテムを新規作成する。選択したアイテムの位置にフォーカスして、PLUコードを入力できるようにする。</t>
    </r>
  </si>
  <si>
    <r>
      <rPr>
        <sz val="11"/>
        <color rgb="FFED7D31"/>
        <rFont val="Meiryo UI"/>
        <family val="2"/>
      </rPr>
      <t>・データが入力されている場合、13桁に構成するために「0」を追加し、親PLUコードまたは子PLUコードとの重複をチェックする。</t>
    </r>
  </si>
  <si>
    <r>
      <rPr>
        <sz val="11"/>
        <color rgb="FFED7D31"/>
        <rFont val="Meiryo UI"/>
        <family val="2"/>
      </rPr>
      <t>+重複している場合、エラーモーダルを表示する（エラーメッセージ = MSG_VAL_043）</t>
    </r>
  </si>
  <si>
    <r>
      <rPr>
        <sz val="11"/>
        <color rgb="FFED7D31"/>
        <rFont val="Meiryo UI"/>
        <family val="2"/>
      </rPr>
      <t>・データがない場合、エラーモーダルを表示する（エラーメッセージ  = MSG_VAL_001。その中： {0}がPLUコードである。）</t>
    </r>
  </si>
  <si>
    <r>
      <rPr>
        <b/>
        <sz val="11"/>
        <color rgb="FFED7D31"/>
        <rFont val="Meiryo UI"/>
        <family val="2"/>
      </rPr>
      <t>2. 階層情報を提案する。</t>
    </r>
  </si>
  <si>
    <r>
      <rPr>
        <sz val="11"/>
        <color rgb="FFED7D31"/>
        <rFont val="Meiryo UI"/>
        <family val="2"/>
      </rPr>
      <t>その他のエラーの場合、APIエラーの共通表示処理を実行する。</t>
    </r>
  </si>
  <si>
    <r>
      <rPr>
        <b/>
        <sz val="11"/>
        <color rgb="FFED7D31"/>
        <rFont val="Meiryo UI"/>
        <family val="2"/>
      </rPr>
      <t>1. そのアイテムが削除としてマークされている場合、PLUの値を変更できないようにする。</t>
    </r>
  </si>
  <si>
    <r>
      <rPr>
        <sz val="11"/>
        <color rgb="FFED7D31"/>
        <rFont val="Meiryo UI"/>
        <family val="2"/>
      </rPr>
      <t>そのアイテムが削除としてマークされていない場合：選択したアイテムの位置からフォーカスを外した場合は：</t>
    </r>
  </si>
  <si>
    <r>
      <rPr>
        <sz val="11"/>
        <color rgb="FFED7D31"/>
        <rFont val="Meiryo UI"/>
        <family val="2"/>
      </rPr>
      <t>・データが入力されている場合、13桁に構成するために「0」を追加し、親PLUコードとの重複をチェックする。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</si>
</sst>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b/>
      <sz val="11"/>
      <color rgb="FFFF0000"/>
      <name val="Meiryo UI"/>
      <family val="2"/>
    </font>
    <font>
      <sz val="10"/>
      <color theme="5"/>
      <name val="Meiryo UI"/>
      <family val="2"/>
    </font>
    <font>
      <b/>
      <sz val="11"/>
      <color theme="5"/>
      <name val="Meiryo UI"/>
      <family val="2"/>
    </font>
    <font>
      <sz val="11"/>
      <color rgb="FFFF0000"/>
      <name val="Meiryo UI"/>
      <family val="2"/>
    </font>
    <font>
      <sz val="10"/>
      <color rgb="FFFF0000"/>
      <name val="Meiryo UI"/>
      <family val="2"/>
    </font>
    <font>
      <b/>
      <sz val="11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ED7D31"/>
      <name val="Meiryo UI"/>
      <family val="2"/>
    </font>
    <font>
      <b/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/>
  </cellStyleXfs>
  <cellXfs count="365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49" fontId="9" fillId="2" borderId="17" xfId="8" applyNumberFormat="1" applyFont="1" applyFill="1" applyBorder="1" applyAlignment="1">
      <alignment vertical="top" wrapText="1"/>
    </xf>
    <xf numFmtId="49" fontId="9" fillId="2" borderId="18" xfId="8" applyNumberFormat="1" applyFont="1" applyFill="1" applyBorder="1" applyAlignment="1">
      <alignment vertical="top" wrapText="1"/>
    </xf>
    <xf numFmtId="49" fontId="9" fillId="2" borderId="19" xfId="8" applyNumberFormat="1" applyFont="1" applyFill="1" applyBorder="1" applyAlignment="1">
      <alignment vertical="top" wrapText="1"/>
    </xf>
    <xf numFmtId="0" fontId="0" fillId="2" borderId="18" xfId="0" applyFill="1" applyBorder="1" applyAlignment="1">
      <alignment vertical="center"/>
    </xf>
    <xf numFmtId="49" fontId="9" fillId="2" borderId="1" xfId="8" applyNumberFormat="1" applyFont="1" applyFill="1" applyBorder="1" applyAlignment="1">
      <alignment vertical="top" wrapText="1"/>
    </xf>
    <xf numFmtId="49" fontId="9" fillId="2" borderId="4" xfId="8" applyNumberFormat="1" applyFont="1" applyFill="1" applyBorder="1" applyAlignment="1">
      <alignment vertical="top" wrapText="1"/>
    </xf>
    <xf numFmtId="49" fontId="9" fillId="2" borderId="2" xfId="8" applyNumberFormat="1" applyFont="1" applyFill="1" applyBorder="1" applyAlignment="1">
      <alignment vertical="top" wrapText="1"/>
    </xf>
    <xf numFmtId="49" fontId="9" fillId="2" borderId="3" xfId="8" applyNumberFormat="1" applyFont="1" applyFill="1" applyBorder="1" applyAlignment="1">
      <alignment vertical="top" wrapText="1"/>
    </xf>
    <xf numFmtId="49" fontId="9" fillId="2" borderId="5" xfId="8" applyNumberFormat="1" applyFont="1" applyFill="1" applyBorder="1" applyAlignment="1">
      <alignment vertical="top" wrapText="1"/>
    </xf>
    <xf numFmtId="0" fontId="0" fillId="2" borderId="3" xfId="0" applyFill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 vertical="top" wrapText="1" shrinkToFit="1"/>
    </xf>
    <xf numFmtId="0" fontId="0" fillId="2" borderId="0" xfId="0" applyFill="1" applyAlignment="1">
      <alignment horizontal="left" vertical="top" wrapText="1" shrinkToFi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quotePrefix="1" applyFill="1" applyAlignment="1">
      <alignment vertical="top" wrapText="1" shrinkToFit="1"/>
    </xf>
    <xf numFmtId="0" fontId="0" fillId="2" borderId="0" xfId="0" applyFill="1" applyAlignment="1">
      <alignment vertical="top" wrapText="1" shrinkToFit="1"/>
    </xf>
    <xf numFmtId="0" fontId="0" fillId="2" borderId="4" xfId="0" applyFill="1" applyBorder="1" applyAlignment="1">
      <alignment horizontal="left" vertical="top" wrapText="1" shrinkToFit="1"/>
    </xf>
    <xf numFmtId="0" fontId="0" fillId="2" borderId="20" xfId="0" applyFill="1" applyBorder="1" applyAlignment="1">
      <alignment horizontal="left" vertical="top" wrapText="1" shrinkToFit="1"/>
    </xf>
    <xf numFmtId="49" fontId="9" fillId="2" borderId="0" xfId="8" applyNumberFormat="1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0" xfId="0" quotePrefix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0" fillId="2" borderId="21" xfId="0" applyFill="1" applyBorder="1" applyAlignment="1">
      <alignment horizontal="center" vertical="top" wrapText="1" shrinkToFit="1"/>
    </xf>
    <xf numFmtId="0" fontId="6" fillId="0" borderId="1" xfId="6" applyFont="1" applyBorder="1" applyAlignment="1">
      <alignment vertical="center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0" fontId="11" fillId="2" borderId="0" xfId="0" quotePrefix="1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49" fontId="0" fillId="2" borderId="21" xfId="8" applyNumberFormat="1" applyFont="1" applyFill="1" applyBorder="1">
      <alignment vertical="center"/>
    </xf>
    <xf numFmtId="49" fontId="0" fillId="2" borderId="16" xfId="8" applyNumberFormat="1" applyFont="1" applyFill="1" applyBorder="1">
      <alignment vertical="center"/>
    </xf>
    <xf numFmtId="49" fontId="0" fillId="2" borderId="21" xfId="8" quotePrefix="1" applyNumberFormat="1" applyFont="1" applyFill="1" applyBorder="1" applyAlignment="1">
      <alignment horizontal="left" vertical="top"/>
    </xf>
    <xf numFmtId="49" fontId="0" fillId="2" borderId="16" xfId="8" quotePrefix="1" applyNumberFormat="1" applyFont="1" applyFill="1" applyBorder="1" applyAlignment="1">
      <alignment horizontal="left" vertical="top" wrapText="1"/>
    </xf>
    <xf numFmtId="49" fontId="0" fillId="2" borderId="20" xfId="8" quotePrefix="1" applyNumberFormat="1" applyFont="1" applyFill="1" applyBorder="1" applyAlignment="1">
      <alignment horizontal="left" vertical="top" wrapText="1"/>
    </xf>
    <xf numFmtId="0" fontId="0" fillId="2" borderId="16" xfId="0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16" xfId="0" applyFont="1" applyFill="1" applyBorder="1" applyAlignment="1">
      <alignment horizontal="left" vertical="top" wrapText="1" shrinkToFit="1"/>
    </xf>
    <xf numFmtId="0" fontId="10" fillId="2" borderId="20" xfId="0" applyFont="1" applyFill="1" applyBorder="1" applyAlignment="1">
      <alignment horizontal="left" vertical="top" wrapText="1" shrinkToFit="1"/>
    </xf>
    <xf numFmtId="0" fontId="10" fillId="0" borderId="0" xfId="0" applyFont="1" applyAlignment="1">
      <alignment vertical="center"/>
    </xf>
    <xf numFmtId="49" fontId="14" fillId="2" borderId="17" xfId="8" applyNumberFormat="1" applyFont="1" applyFill="1" applyBorder="1" applyAlignment="1">
      <alignment vertical="top" wrapText="1"/>
    </xf>
    <xf numFmtId="49" fontId="14" fillId="2" borderId="18" xfId="8" applyNumberFormat="1" applyFont="1" applyFill="1" applyBorder="1" applyAlignment="1">
      <alignment vertical="top" wrapText="1"/>
    </xf>
    <xf numFmtId="49" fontId="14" fillId="2" borderId="19" xfId="8" applyNumberFormat="1" applyFont="1" applyFill="1" applyBorder="1" applyAlignment="1">
      <alignment vertical="top" wrapText="1"/>
    </xf>
    <xf numFmtId="0" fontId="10" fillId="2" borderId="18" xfId="0" applyFont="1" applyFill="1" applyBorder="1" applyAlignment="1">
      <alignment vertical="center"/>
    </xf>
    <xf numFmtId="49" fontId="14" fillId="2" borderId="1" xfId="8" applyNumberFormat="1" applyFont="1" applyFill="1" applyBorder="1" applyAlignment="1">
      <alignment vertical="top" wrapText="1"/>
    </xf>
    <xf numFmtId="49" fontId="14" fillId="2" borderId="0" xfId="8" applyNumberFormat="1" applyFont="1" applyFill="1" applyAlignment="1">
      <alignment vertical="top" wrapText="1"/>
    </xf>
    <xf numFmtId="49" fontId="14" fillId="2" borderId="4" xfId="8" applyNumberFormat="1" applyFont="1" applyFill="1" applyBorder="1" applyAlignment="1">
      <alignment vertical="top" wrapText="1"/>
    </xf>
    <xf numFmtId="0" fontId="15" fillId="2" borderId="0" xfId="0" quotePrefix="1" applyFont="1" applyFill="1" applyAlignment="1">
      <alignment vertical="center"/>
    </xf>
    <xf numFmtId="49" fontId="14" fillId="2" borderId="1" xfId="8" applyNumberFormat="1" applyFont="1" applyFill="1" applyBorder="1" applyAlignment="1">
      <alignment horizontal="left" vertical="top" wrapText="1"/>
    </xf>
    <xf numFmtId="49" fontId="14" fillId="2" borderId="0" xfId="8" applyNumberFormat="1" applyFont="1" applyFill="1" applyAlignment="1">
      <alignment horizontal="left" vertical="top" wrapText="1"/>
    </xf>
    <xf numFmtId="49" fontId="14" fillId="2" borderId="4" xfId="8" applyNumberFormat="1" applyFont="1" applyFill="1" applyBorder="1" applyAlignment="1">
      <alignment horizontal="left" vertical="top" wrapText="1"/>
    </xf>
    <xf numFmtId="0" fontId="10" fillId="2" borderId="0" xfId="0" quotePrefix="1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3" borderId="21" xfId="0" applyFont="1" applyFill="1" applyBorder="1" applyAlignment="1">
      <alignment vertical="center"/>
    </xf>
    <xf numFmtId="0" fontId="15" fillId="3" borderId="16" xfId="0" applyFont="1" applyFill="1" applyBorder="1" applyAlignment="1">
      <alignment vertical="center"/>
    </xf>
    <xf numFmtId="0" fontId="15" fillId="3" borderId="20" xfId="0" applyFont="1" applyFill="1" applyBorder="1" applyAlignment="1">
      <alignment vertical="center"/>
    </xf>
    <xf numFmtId="49" fontId="10" fillId="2" borderId="21" xfId="8" applyNumberFormat="1" applyFont="1" applyFill="1" applyBorder="1">
      <alignment vertical="center"/>
    </xf>
    <xf numFmtId="49" fontId="10" fillId="2" borderId="16" xfId="8" applyNumberFormat="1" applyFont="1" applyFill="1" applyBorder="1">
      <alignment vertical="center"/>
    </xf>
    <xf numFmtId="49" fontId="10" fillId="2" borderId="21" xfId="8" quotePrefix="1" applyNumberFormat="1" applyFont="1" applyFill="1" applyBorder="1" applyAlignment="1">
      <alignment horizontal="left" vertical="top"/>
    </xf>
    <xf numFmtId="49" fontId="10" fillId="2" borderId="16" xfId="8" quotePrefix="1" applyNumberFormat="1" applyFont="1" applyFill="1" applyBorder="1" applyAlignment="1">
      <alignment horizontal="left" vertical="top" wrapText="1"/>
    </xf>
    <xf numFmtId="49" fontId="10" fillId="2" borderId="20" xfId="8" quotePrefix="1" applyNumberFormat="1" applyFont="1" applyFill="1" applyBorder="1" applyAlignment="1">
      <alignment horizontal="left" vertical="top" wrapText="1"/>
    </xf>
    <xf numFmtId="0" fontId="10" fillId="2" borderId="17" xfId="0" quotePrefix="1" applyFont="1" applyFill="1" applyBorder="1" applyAlignment="1">
      <alignment horizontal="left" vertical="center"/>
    </xf>
    <xf numFmtId="0" fontId="10" fillId="2" borderId="18" xfId="0" quotePrefix="1" applyFont="1" applyFill="1" applyBorder="1" applyAlignment="1">
      <alignment horizontal="left" vertical="center" indent="1"/>
    </xf>
    <xf numFmtId="0" fontId="10" fillId="2" borderId="19" xfId="0" applyFont="1" applyFill="1" applyBorder="1" applyAlignment="1">
      <alignment vertical="center"/>
    </xf>
    <xf numFmtId="0" fontId="10" fillId="2" borderId="18" xfId="0" applyFont="1" applyFill="1" applyBorder="1" applyAlignment="1">
      <alignment horizontal="left" vertical="center" indent="1"/>
    </xf>
    <xf numFmtId="0" fontId="10" fillId="2" borderId="17" xfId="0" applyFont="1" applyFill="1" applyBorder="1" applyAlignment="1">
      <alignment horizontal="left" vertical="center"/>
    </xf>
    <xf numFmtId="0" fontId="10" fillId="2" borderId="21" xfId="0" quotePrefix="1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 indent="1"/>
    </xf>
    <xf numFmtId="0" fontId="10" fillId="2" borderId="21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vertical="center"/>
    </xf>
    <xf numFmtId="49" fontId="14" fillId="2" borderId="2" xfId="8" applyNumberFormat="1" applyFont="1" applyFill="1" applyBorder="1" applyAlignment="1">
      <alignment vertical="top" wrapText="1"/>
    </xf>
    <xf numFmtId="49" fontId="14" fillId="2" borderId="3" xfId="8" applyNumberFormat="1" applyFont="1" applyFill="1" applyBorder="1" applyAlignment="1">
      <alignment vertical="top" wrapText="1"/>
    </xf>
    <xf numFmtId="49" fontId="14" fillId="2" borderId="5" xfId="8" applyNumberFormat="1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center"/>
    </xf>
    <xf numFmtId="49" fontId="10" fillId="2" borderId="3" xfId="8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0" xfId="6" applyFont="1" applyAlignment="1">
      <alignment vertical="center"/>
    </xf>
    <xf numFmtId="0" fontId="10" fillId="0" borderId="4" xfId="6" applyFont="1" applyBorder="1" applyAlignment="1">
      <alignment vertical="center"/>
    </xf>
    <xf numFmtId="0" fontId="6" fillId="0" borderId="0" xfId="9" applyFont="1" applyAlignment="1">
      <alignment vertical="center"/>
    </xf>
    <xf numFmtId="0" fontId="6" fillId="0" borderId="2" xfId="9" applyFont="1" applyBorder="1" applyAlignment="1">
      <alignment vertical="center"/>
    </xf>
    <xf numFmtId="0" fontId="6" fillId="0" borderId="3" xfId="9" applyFont="1" applyBorder="1" applyAlignment="1">
      <alignment vertical="center"/>
    </xf>
    <xf numFmtId="0" fontId="6" fillId="0" borderId="5" xfId="9" applyFont="1" applyBorder="1" applyAlignment="1">
      <alignment vertical="center"/>
    </xf>
    <xf numFmtId="0" fontId="6" fillId="0" borderId="17" xfId="9" applyFont="1" applyBorder="1" applyAlignment="1">
      <alignment vertical="center"/>
    </xf>
    <xf numFmtId="0" fontId="6" fillId="0" borderId="18" xfId="9" applyFont="1" applyBorder="1" applyAlignment="1">
      <alignment vertical="center"/>
    </xf>
    <xf numFmtId="0" fontId="6" fillId="0" borderId="19" xfId="9" applyFont="1" applyBorder="1" applyAlignment="1">
      <alignment vertical="center"/>
    </xf>
    <xf numFmtId="0" fontId="6" fillId="0" borderId="1" xfId="9" applyFont="1" applyBorder="1" applyAlignment="1">
      <alignment vertical="center"/>
    </xf>
    <xf numFmtId="0" fontId="6" fillId="0" borderId="4" xfId="9" applyFont="1" applyBorder="1" applyAlignment="1">
      <alignment vertical="center"/>
    </xf>
    <xf numFmtId="0" fontId="16" fillId="2" borderId="0" xfId="0" quotePrefix="1" applyFont="1" applyFill="1" applyAlignment="1">
      <alignment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0" borderId="5" xfId="0" applyBorder="1"/>
    <xf numFmtId="0" fontId="0" fillId="0" borderId="17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4" borderId="0" xfId="0" applyFont="1" applyFill="1"/>
    <xf numFmtId="0" fontId="4" fillId="0" borderId="17" xfId="0" applyFont="1" applyBorder="1" applyAlignment="1">
      <alignment horizontal="center" vertical="center"/>
    </xf>
    <xf numFmtId="49" fontId="9" fillId="2" borderId="17" xfId="8" applyNumberFormat="1" applyFont="1" applyFill="1" applyBorder="1" applyAlignment="1">
      <alignment horizontal="left" vertical="top" wrapText="1"/>
    </xf>
    <xf numFmtId="49" fontId="9" fillId="2" borderId="18" xfId="8" applyNumberFormat="1" applyFont="1" applyFill="1" applyBorder="1" applyAlignment="1">
      <alignment horizontal="left" vertical="top" wrapText="1"/>
    </xf>
    <xf numFmtId="49" fontId="9" fillId="2" borderId="19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49" fontId="9" fillId="2" borderId="2" xfId="8" applyNumberFormat="1" applyFont="1" applyFill="1" applyBorder="1" applyAlignment="1">
      <alignment horizontal="center" vertical="top" wrapText="1"/>
    </xf>
    <xf numFmtId="49" fontId="9" fillId="2" borderId="3" xfId="8" applyNumberFormat="1" applyFont="1" applyFill="1" applyBorder="1" applyAlignment="1">
      <alignment horizontal="center" vertical="top" wrapText="1"/>
    </xf>
    <xf numFmtId="49" fontId="9" fillId="2" borderId="5" xfId="8" applyNumberFormat="1" applyFont="1" applyFill="1" applyBorder="1" applyAlignment="1">
      <alignment horizontal="center" vertical="top" wrapText="1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28" xfId="0" applyBorder="1" applyAlignment="1">
      <alignment horizontal="left" vertical="top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49" fontId="9" fillId="2" borderId="2" xfId="8" applyNumberFormat="1" applyFont="1" applyFill="1" applyBorder="1" applyAlignment="1">
      <alignment horizontal="left" vertical="top" wrapText="1"/>
    </xf>
    <xf numFmtId="49" fontId="9" fillId="2" borderId="3" xfId="8" applyNumberFormat="1" applyFont="1" applyFill="1" applyBorder="1" applyAlignment="1">
      <alignment horizontal="left" vertical="top" wrapText="1"/>
    </xf>
    <xf numFmtId="49" fontId="9" fillId="2" borderId="5" xfId="8" applyNumberFormat="1" applyFont="1" applyFill="1" applyBorder="1" applyAlignment="1">
      <alignment horizontal="left" vertical="top" wrapText="1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3" fillId="4" borderId="21" xfId="6" applyFont="1" applyFill="1" applyBorder="1" applyAlignment="1">
      <alignment horizontal="center" vertical="center"/>
    </xf>
    <xf numFmtId="0" fontId="3" fillId="4" borderId="16" xfId="6" applyFont="1" applyFill="1" applyBorder="1" applyAlignment="1">
      <alignment horizontal="center" vertical="center"/>
    </xf>
    <xf numFmtId="0" fontId="3" fillId="4" borderId="20" xfId="6" applyFont="1" applyFill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5" fillId="4" borderId="21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top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49" fontId="14" fillId="2" borderId="17" xfId="8" applyNumberFormat="1" applyFont="1" applyFill="1" applyBorder="1" applyAlignment="1">
      <alignment horizontal="left" vertical="top" wrapText="1"/>
    </xf>
    <xf numFmtId="49" fontId="14" fillId="2" borderId="18" xfId="8" applyNumberFormat="1" applyFont="1" applyFill="1" applyBorder="1" applyAlignment="1">
      <alignment horizontal="left" vertical="top" wrapText="1"/>
    </xf>
    <xf numFmtId="49" fontId="14" fillId="2" borderId="19" xfId="8" applyNumberFormat="1" applyFont="1" applyFill="1" applyBorder="1" applyAlignment="1">
      <alignment horizontal="left" vertical="top" wrapText="1"/>
    </xf>
    <xf numFmtId="49" fontId="14" fillId="2" borderId="1" xfId="8" applyNumberFormat="1" applyFont="1" applyFill="1" applyBorder="1" applyAlignment="1">
      <alignment horizontal="left" vertical="top" wrapText="1"/>
    </xf>
    <xf numFmtId="49" fontId="14" fillId="2" borderId="0" xfId="8" applyNumberFormat="1" applyFont="1" applyFill="1" applyAlignment="1">
      <alignment horizontal="left" vertical="top" wrapText="1"/>
    </xf>
    <xf numFmtId="49" fontId="14" fillId="2" borderId="4" xfId="8" applyNumberFormat="1" applyFont="1" applyFill="1" applyBorder="1" applyAlignment="1">
      <alignment horizontal="left" vertical="top" wrapText="1"/>
    </xf>
    <xf numFmtId="49" fontId="14" fillId="2" borderId="1" xfId="8" applyNumberFormat="1" applyFont="1" applyFill="1" applyBorder="1" applyAlignment="1">
      <alignment horizontal="center" vertical="top" wrapText="1"/>
    </xf>
    <xf numFmtId="49" fontId="14" fillId="2" borderId="0" xfId="8" applyNumberFormat="1" applyFont="1" applyFill="1" applyAlignment="1">
      <alignment horizontal="center" vertical="top" wrapText="1"/>
    </xf>
    <xf numFmtId="49" fontId="14" fillId="2" borderId="4" xfId="8" applyNumberFormat="1" applyFont="1" applyFill="1" applyBorder="1" applyAlignment="1">
      <alignment horizontal="center" vertical="top" wrapText="1"/>
    </xf>
    <xf numFmtId="49" fontId="14" fillId="2" borderId="2" xfId="8" applyNumberFormat="1" applyFont="1" applyFill="1" applyBorder="1" applyAlignment="1">
      <alignment horizontal="center" vertical="top" wrapText="1"/>
    </xf>
    <xf numFmtId="49" fontId="14" fillId="2" borderId="3" xfId="8" applyNumberFormat="1" applyFont="1" applyFill="1" applyBorder="1" applyAlignment="1">
      <alignment horizontal="center" vertical="top" wrapText="1"/>
    </xf>
    <xf numFmtId="49" fontId="14" fillId="2" borderId="5" xfId="8" applyNumberFormat="1" applyFont="1" applyFill="1" applyBorder="1" applyAlignment="1">
      <alignment horizontal="center" vertical="top" wrapText="1"/>
    </xf>
    <xf numFmtId="49" fontId="17" fillId="2" borderId="17" xfId="8" applyNumberFormat="1" applyFont="1" applyFill="1" applyBorder="1" applyAlignment="1">
      <alignment horizontal="left" vertical="top" wrapText="1"/>
    </xf>
    <xf numFmtId="49" fontId="17" fillId="2" borderId="18" xfId="8" applyNumberFormat="1" applyFont="1" applyFill="1" applyBorder="1" applyAlignment="1">
      <alignment horizontal="left" vertical="top" wrapText="1"/>
    </xf>
    <xf numFmtId="49" fontId="17" fillId="2" borderId="19" xfId="8" applyNumberFormat="1" applyFont="1" applyFill="1" applyBorder="1" applyAlignment="1">
      <alignment horizontal="left" vertical="top" wrapText="1"/>
    </xf>
    <xf numFmtId="49" fontId="17" fillId="2" borderId="1" xfId="8" applyNumberFormat="1" applyFont="1" applyFill="1" applyBorder="1" applyAlignment="1">
      <alignment horizontal="left" vertical="top" wrapText="1"/>
    </xf>
    <xf numFmtId="49" fontId="17" fillId="2" borderId="0" xfId="8" applyNumberFormat="1" applyFont="1" applyFill="1" applyAlignment="1">
      <alignment horizontal="left" vertical="top" wrapText="1"/>
    </xf>
    <xf numFmtId="49" fontId="17" fillId="2" borderId="4" xfId="8" applyNumberFormat="1" applyFont="1" applyFill="1" applyBorder="1" applyAlignment="1">
      <alignment horizontal="left" vertical="top" wrapText="1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0" fontId="23" fillId="4" borderId="21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7" fillId="0" borderId="0" xfId="0" applyFont="1"/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4" fontId="27" fillId="0" borderId="17" xfId="0" applyNumberFormat="1" applyFont="1" applyBorder="1" applyAlignment="1">
      <alignment horizontal="center" vertical="center"/>
    </xf>
    <xf numFmtId="14" fontId="27" fillId="0" borderId="18" xfId="0" applyNumberFormat="1" applyFont="1" applyBorder="1" applyAlignment="1">
      <alignment horizontal="center" vertical="center"/>
    </xf>
    <xf numFmtId="14" fontId="27" fillId="0" borderId="19" xfId="0" applyNumberFormat="1" applyFont="1" applyBorder="1" applyAlignment="1">
      <alignment horizontal="center" vertical="center"/>
    </xf>
    <xf numFmtId="2" fontId="27" fillId="0" borderId="17" xfId="0" applyNumberFormat="1" applyFont="1" applyBorder="1" applyAlignment="1">
      <alignment horizontal="center" vertical="center"/>
    </xf>
    <xf numFmtId="2" fontId="27" fillId="0" borderId="18" xfId="0" applyNumberFormat="1" applyFont="1" applyBorder="1" applyAlignment="1">
      <alignment horizontal="center" vertical="center"/>
    </xf>
    <xf numFmtId="2" fontId="27" fillId="0" borderId="19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2" fontId="27" fillId="0" borderId="5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" xfId="0" applyFont="1" applyBorder="1"/>
    <xf numFmtId="0" fontId="27" fillId="0" borderId="3" xfId="0" applyFont="1" applyBorder="1"/>
    <xf numFmtId="0" fontId="27" fillId="0" borderId="5" xfId="0" applyFont="1" applyBorder="1"/>
    <xf numFmtId="0" fontId="27" fillId="0" borderId="1" xfId="0" applyFont="1" applyBorder="1"/>
    <xf numFmtId="0" fontId="27" fillId="0" borderId="4" xfId="0" applyFont="1" applyBorder="1"/>
    <xf numFmtId="0" fontId="27" fillId="0" borderId="7" xfId="0" applyFont="1" applyBorder="1"/>
    <xf numFmtId="0" fontId="27" fillId="0" borderId="8" xfId="0" applyFont="1" applyBorder="1"/>
    <xf numFmtId="0" fontId="27" fillId="0" borderId="11" xfId="0" applyFont="1" applyBorder="1"/>
    <xf numFmtId="0" fontId="27" fillId="0" borderId="6" xfId="0" applyFont="1" applyBorder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7" fillId="0" borderId="12" xfId="0" applyFont="1" applyBorder="1"/>
    <xf numFmtId="0" fontId="27" fillId="0" borderId="14" xfId="0" applyFont="1" applyBorder="1"/>
    <xf numFmtId="0" fontId="27" fillId="0" borderId="15" xfId="0" applyFont="1" applyBorder="1"/>
    <xf numFmtId="0" fontId="27" fillId="0" borderId="9" xfId="0" applyFont="1" applyBorder="1"/>
    <xf numFmtId="0" fontId="27" fillId="0" borderId="10" xfId="0" applyFont="1" applyBorder="1"/>
    <xf numFmtId="0" fontId="27" fillId="0" borderId="13" xfId="0" applyFont="1" applyBorder="1"/>
    <xf numFmtId="0" fontId="23" fillId="4" borderId="17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3" fillId="4" borderId="21" xfId="6" applyFont="1" applyFill="1" applyBorder="1" applyAlignment="1">
      <alignment horizontal="center" vertical="center"/>
    </xf>
    <xf numFmtId="0" fontId="23" fillId="4" borderId="16" xfId="6" applyFont="1" applyFill="1" applyBorder="1" applyAlignment="1">
      <alignment horizontal="center" vertical="center"/>
    </xf>
    <xf numFmtId="0" fontId="23" fillId="4" borderId="20" xfId="6" applyFont="1" applyFill="1" applyBorder="1" applyAlignment="1">
      <alignment horizontal="center" vertical="center"/>
    </xf>
    <xf numFmtId="0" fontId="26" fillId="0" borderId="17" xfId="6" applyFont="1" applyBorder="1" applyAlignment="1">
      <alignment horizontal="center" vertical="center"/>
    </xf>
    <xf numFmtId="0" fontId="26" fillId="0" borderId="18" xfId="6" applyFont="1" applyBorder="1" applyAlignment="1">
      <alignment horizontal="center" vertical="center"/>
    </xf>
    <xf numFmtId="0" fontId="26" fillId="0" borderId="19" xfId="6" applyFont="1" applyBorder="1" applyAlignment="1">
      <alignment horizontal="center" vertical="center"/>
    </xf>
    <xf numFmtId="0" fontId="26" fillId="0" borderId="1" xfId="6" applyFont="1" applyBorder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26" fillId="0" borderId="5" xfId="6" applyFont="1" applyBorder="1" applyAlignment="1">
      <alignment horizontal="center" vertical="center"/>
    </xf>
    <xf numFmtId="0" fontId="24" fillId="4" borderId="21" xfId="6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vertical="center"/>
    </xf>
    <xf numFmtId="0" fontId="27" fillId="0" borderId="28" xfId="0" applyFont="1" applyBorder="1" applyAlignment="1">
      <alignment horizontal="left" vertical="top"/>
    </xf>
    <xf numFmtId="0" fontId="27" fillId="0" borderId="21" xfId="0" applyFont="1" applyBorder="1" applyAlignment="1">
      <alignment horizontal="left" vertical="top"/>
    </xf>
    <xf numFmtId="0" fontId="27" fillId="0" borderId="16" xfId="0" applyFont="1" applyBorder="1" applyAlignment="1">
      <alignment horizontal="left" vertical="top"/>
    </xf>
    <xf numFmtId="0" fontId="27" fillId="0" borderId="20" xfId="0" applyFont="1" applyBorder="1" applyAlignment="1">
      <alignment horizontal="left" vertical="top"/>
    </xf>
    <xf numFmtId="0" fontId="27" fillId="2" borderId="21" xfId="0" applyFont="1" applyFill="1" applyBorder="1" applyAlignment="1">
      <alignment horizontal="center" vertical="top" wrapText="1" shrinkToFit="1"/>
    </xf>
    <xf numFmtId="0" fontId="27" fillId="2" borderId="0" xfId="0" applyFont="1" applyFill="1" applyAlignment="1">
      <alignment horizontal="center" vertical="top" wrapText="1" shrinkToFit="1"/>
    </xf>
    <xf numFmtId="0" fontId="27" fillId="2" borderId="0" xfId="0" applyFont="1" applyFill="1" applyAlignment="1">
      <alignment horizontal="left" vertical="top" wrapText="1" shrinkToFit="1"/>
    </xf>
    <xf numFmtId="0" fontId="27" fillId="2" borderId="0" xfId="0" applyFont="1" applyFill="1" applyAlignment="1">
      <alignment horizontal="center" vertical="top"/>
    </xf>
    <xf numFmtId="0" fontId="27" fillId="2" borderId="0" xfId="0" applyFont="1" applyFill="1" applyAlignment="1">
      <alignment horizontal="left" vertical="top"/>
    </xf>
    <xf numFmtId="0" fontId="27" fillId="2" borderId="0" xfId="0" quotePrefix="1" applyFont="1" applyFill="1" applyAlignment="1">
      <alignment vertical="top" wrapText="1" shrinkToFit="1"/>
    </xf>
    <xf numFmtId="0" fontId="27" fillId="2" borderId="0" xfId="0" applyFont="1" applyFill="1" applyAlignment="1">
      <alignment vertical="top" wrapText="1" shrinkToFit="1"/>
    </xf>
    <xf numFmtId="0" fontId="27" fillId="2" borderId="4" xfId="0" applyFont="1" applyFill="1" applyBorder="1" applyAlignment="1">
      <alignment horizontal="left" vertical="top" wrapText="1" shrinkToFit="1"/>
    </xf>
    <xf numFmtId="0" fontId="27" fillId="5" borderId="21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vertical="center"/>
    </xf>
    <xf numFmtId="0" fontId="27" fillId="2" borderId="16" xfId="0" applyFont="1" applyFill="1" applyBorder="1" applyAlignment="1">
      <alignment horizontal="left" vertical="top" wrapText="1" shrinkToFit="1"/>
    </xf>
    <xf numFmtId="0" fontId="27" fillId="2" borderId="20" xfId="0" applyFont="1" applyFill="1" applyBorder="1" applyAlignment="1">
      <alignment horizontal="left" vertical="top" wrapText="1" shrinkToFi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27" fillId="5" borderId="19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/>
    </xf>
    <xf numFmtId="0" fontId="27" fillId="2" borderId="18" xfId="0" applyFont="1" applyFill="1" applyBorder="1" applyAlignment="1">
      <alignment vertical="center"/>
    </xf>
    <xf numFmtId="0" fontId="27" fillId="2" borderId="0" xfId="0" quotePrefix="1" applyFont="1" applyFill="1" applyAlignment="1">
      <alignment vertical="center"/>
    </xf>
    <xf numFmtId="0" fontId="27" fillId="2" borderId="1" xfId="0" applyFont="1" applyFill="1" applyBorder="1" applyAlignment="1">
      <alignment vertical="center"/>
    </xf>
    <xf numFmtId="0" fontId="27" fillId="2" borderId="2" xfId="0" applyFont="1" applyFill="1" applyBorder="1" applyAlignment="1">
      <alignment vertical="center"/>
    </xf>
    <xf numFmtId="49" fontId="27" fillId="2" borderId="3" xfId="8" applyNumberFormat="1" applyFont="1" applyFill="1" applyBorder="1" applyAlignment="1">
      <alignment horizontal="left" vertical="center"/>
    </xf>
    <xf numFmtId="0" fontId="27" fillId="2" borderId="3" xfId="0" applyFont="1" applyFill="1" applyBorder="1" applyAlignment="1">
      <alignment vertical="center"/>
    </xf>
    <xf numFmtId="49" fontId="27" fillId="2" borderId="21" xfId="8" applyNumberFormat="1" applyFont="1" applyFill="1" applyBorder="1">
      <alignment vertical="center"/>
    </xf>
    <xf numFmtId="49" fontId="27" fillId="2" borderId="16" xfId="8" applyNumberFormat="1" applyFont="1" applyFill="1" applyBorder="1">
      <alignment vertical="center"/>
    </xf>
    <xf numFmtId="49" fontId="27" fillId="2" borderId="21" xfId="8" quotePrefix="1" applyNumberFormat="1" applyFont="1" applyFill="1" applyBorder="1" applyAlignment="1">
      <alignment horizontal="left" vertical="top"/>
    </xf>
    <xf numFmtId="49" fontId="27" fillId="2" borderId="16" xfId="8" quotePrefix="1" applyNumberFormat="1" applyFont="1" applyFill="1" applyBorder="1" applyAlignment="1">
      <alignment horizontal="left" vertical="top" wrapText="1"/>
    </xf>
    <xf numFmtId="49" fontId="27" fillId="2" borderId="20" xfId="8" quotePrefix="1" applyNumberFormat="1" applyFont="1" applyFill="1" applyBorder="1" applyAlignment="1">
      <alignment horizontal="left" vertical="top" wrapText="1"/>
    </xf>
    <xf numFmtId="0" fontId="27" fillId="2" borderId="17" xfId="0" quotePrefix="1" applyFont="1" applyFill="1" applyBorder="1" applyAlignment="1">
      <alignment horizontal="left" vertical="center"/>
    </xf>
    <xf numFmtId="0" fontId="27" fillId="2" borderId="18" xfId="0" quotePrefix="1" applyFont="1" applyFill="1" applyBorder="1" applyAlignment="1">
      <alignment horizontal="left" vertical="center" indent="1"/>
    </xf>
    <xf numFmtId="0" fontId="27" fillId="2" borderId="19" xfId="0" applyFont="1" applyFill="1" applyBorder="1" applyAlignment="1">
      <alignment vertical="center"/>
    </xf>
    <xf numFmtId="0" fontId="27" fillId="2" borderId="18" xfId="0" applyFont="1" applyFill="1" applyBorder="1" applyAlignment="1">
      <alignment horizontal="left" vertical="center" indent="1"/>
    </xf>
    <xf numFmtId="0" fontId="27" fillId="2" borderId="17" xfId="0" applyFont="1" applyFill="1" applyBorder="1" applyAlignment="1">
      <alignment horizontal="left" vertical="center"/>
    </xf>
    <xf numFmtId="0" fontId="27" fillId="2" borderId="21" xfId="0" quotePrefix="1" applyFont="1" applyFill="1" applyBorder="1" applyAlignment="1">
      <alignment horizontal="left" vertical="center"/>
    </xf>
    <xf numFmtId="0" fontId="27" fillId="2" borderId="16" xfId="0" applyFont="1" applyFill="1" applyBorder="1" applyAlignment="1">
      <alignment horizontal="left" vertical="center" indent="1"/>
    </xf>
    <xf numFmtId="0" fontId="27" fillId="2" borderId="21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vertical="center"/>
    </xf>
    <xf numFmtId="0" fontId="27" fillId="0" borderId="21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  <cellStyle name="標準 2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メインメニューで商品管理をタッチした場合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 flipV="1">
          <a:off x="2667000" y="2971800"/>
          <a:ext cx="8001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62195</xdr:colOff>
      <xdr:row>14</xdr:row>
      <xdr:rowOff>78441</xdr:rowOff>
    </xdr:from>
    <xdr:to>
      <xdr:col>52</xdr:col>
      <xdr:colOff>0</xdr:colOff>
      <xdr:row>16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239813" y="2857500"/>
          <a:ext cx="2997011" cy="302559"/>
          <a:chOff x="8092817" y="-2531810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26</xdr:row>
      <xdr:rowOff>83206</xdr:rowOff>
    </xdr:from>
    <xdr:to>
      <xdr:col>10</xdr:col>
      <xdr:colOff>68790</xdr:colOff>
      <xdr:row>31</xdr:row>
      <xdr:rowOff>56030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66700" y="5153025"/>
          <a:ext cx="2466975" cy="9239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PLUの13桁を入力したか、PLU入力テキストからフォーカスを外した場合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28</xdr:row>
      <xdr:rowOff>56030</xdr:rowOff>
    </xdr:from>
    <xdr:to>
      <xdr:col>13</xdr:col>
      <xdr:colOff>0</xdr:colOff>
      <xdr:row>28</xdr:row>
      <xdr:rowOff>164868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stCxn id="15" idx="3"/>
        </xdr:cNvCxnSpPr>
      </xdr:nvCxnSpPr>
      <xdr:spPr>
        <a:xfrm flipV="1">
          <a:off x="2733675" y="5505450"/>
          <a:ext cx="733425" cy="1047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112060</xdr:colOff>
      <xdr:row>49</xdr:row>
      <xdr:rowOff>0</xdr:rowOff>
    </xdr:from>
    <xdr:to>
      <xdr:col>54</xdr:col>
      <xdr:colOff>33618</xdr:colOff>
      <xdr:row>50</xdr:row>
      <xdr:rowOff>112059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>
        <a:xfrm>
          <a:off x="9995648" y="9446559"/>
          <a:ext cx="2745441" cy="302559"/>
          <a:chOff x="8092817" y="-2531810"/>
          <a:chExt cx="2042145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102647</xdr:colOff>
      <xdr:row>69</xdr:row>
      <xdr:rowOff>11206</xdr:rowOff>
    </xdr:from>
    <xdr:to>
      <xdr:col>52</xdr:col>
      <xdr:colOff>0</xdr:colOff>
      <xdr:row>71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>
          <a:grpSpLocks/>
        </xdr:cNvGrpSpPr>
      </xdr:nvGrpSpPr>
      <xdr:grpSpPr>
        <a:xfrm>
          <a:off x="9986235" y="13267765"/>
          <a:ext cx="2250589" cy="369794"/>
          <a:chOff x="8994954" y="-1771293"/>
          <a:chExt cx="2234552" cy="777600"/>
        </a:xfrm>
      </xdr:grpSpPr>
      <xdr:sp macro="" textlink="" fLocksText="0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7" name="直線矢印コネクタ 4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CxnSpPr>
            <a:endCxn id="2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81</xdr:row>
      <xdr:rowOff>83206</xdr:rowOff>
    </xdr:from>
    <xdr:to>
      <xdr:col>10</xdr:col>
      <xdr:colOff>68790</xdr:colOff>
      <xdr:row>85</xdr:row>
      <xdr:rowOff>0</xdr:rowOff>
    </xdr:to>
    <xdr:sp macro="" textlink="" fLocksText="0">
      <xdr:nvSpPr>
        <xdr:cNvPr id="30" name="フローチャート: 代替処理 27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66700" y="156305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商品管理詳細ボタンをタッチした場合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83</xdr:row>
      <xdr:rowOff>41603</xdr:rowOff>
    </xdr:from>
    <xdr:to>
      <xdr:col>13</xdr:col>
      <xdr:colOff>0</xdr:colOff>
      <xdr:row>83</xdr:row>
      <xdr:rowOff>56030</xdr:rowOff>
    </xdr:to>
    <xdr:cxnSp macro="">
      <xdr:nvCxnSpPr>
        <xdr:cNvPr id="31" name="直線矢印コネクタ 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stCxn id="30" idx="3"/>
        </xdr:cNvCxnSpPr>
      </xdr:nvCxnSpPr>
      <xdr:spPr>
        <a:xfrm>
          <a:off x="2733675" y="159639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67236</xdr:colOff>
      <xdr:row>82</xdr:row>
      <xdr:rowOff>22412</xdr:rowOff>
    </xdr:from>
    <xdr:to>
      <xdr:col>55</xdr:col>
      <xdr:colOff>224118</xdr:colOff>
      <xdr:row>83</xdr:row>
      <xdr:rowOff>134471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>
          <a:grpSpLocks/>
        </xdr:cNvGrpSpPr>
      </xdr:nvGrpSpPr>
      <xdr:grpSpPr>
        <a:xfrm>
          <a:off x="10421471" y="15755471"/>
          <a:ext cx="2745441" cy="302559"/>
          <a:chOff x="8092817" y="-2531810"/>
          <a:chExt cx="2042145" cy="777600"/>
        </a:xfrm>
      </xdr:grpSpPr>
      <xdr:sp macro="" textlink="" fLocksText="0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0" name="直線矢印コネクタ 4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CxnSpPr>
            <a:endCxn id="39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94</xdr:row>
      <xdr:rowOff>83206</xdr:rowOff>
    </xdr:from>
    <xdr:to>
      <xdr:col>10</xdr:col>
      <xdr:colOff>68790</xdr:colOff>
      <xdr:row>97</xdr:row>
      <xdr:rowOff>100853</xdr:rowOff>
    </xdr:to>
    <xdr:sp macro="" textlink="" fLocksText="0">
      <xdr:nvSpPr>
        <xdr:cNvPr id="41" name="フローチャート: 代替処理 27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66700" y="18107025"/>
          <a:ext cx="2466975" cy="5905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緊急売価変更ボタンをタッチした場合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95</xdr:row>
      <xdr:rowOff>187280</xdr:rowOff>
    </xdr:from>
    <xdr:to>
      <xdr:col>12</xdr:col>
      <xdr:colOff>190500</xdr:colOff>
      <xdr:row>96</xdr:row>
      <xdr:rowOff>0</xdr:rowOff>
    </xdr:to>
    <xdr:cxnSp macro="">
      <xdr:nvCxnSpPr>
        <xdr:cNvPr id="42" name="直線矢印コネクタ 4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>
          <a:stCxn id="41" idx="3"/>
        </xdr:cNvCxnSpPr>
      </xdr:nvCxnSpPr>
      <xdr:spPr>
        <a:xfrm>
          <a:off x="2733675" y="18402300"/>
          <a:ext cx="6572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235323</xdr:colOff>
      <xdr:row>94</xdr:row>
      <xdr:rowOff>44825</xdr:rowOff>
    </xdr:from>
    <xdr:to>
      <xdr:col>54</xdr:col>
      <xdr:colOff>156881</xdr:colOff>
      <xdr:row>97</xdr:row>
      <xdr:rowOff>44825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10118911" y="18063884"/>
          <a:ext cx="2745441" cy="571500"/>
          <a:chOff x="8092817" y="-2531810"/>
          <a:chExt cx="2042145" cy="777600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SC0103_緊急売価変更画面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106</xdr:row>
      <xdr:rowOff>83206</xdr:rowOff>
    </xdr:from>
    <xdr:to>
      <xdr:col>10</xdr:col>
      <xdr:colOff>68790</xdr:colOff>
      <xdr:row>110</xdr:row>
      <xdr:rowOff>0</xdr:rowOff>
    </xdr:to>
    <xdr:sp macro="" textlink="" fLocksText="0">
      <xdr:nvSpPr>
        <xdr:cNvPr id="46" name="フローチャート: 代替処理 2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66700" y="203930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特売新規ボタンをタッチした場合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108</xdr:row>
      <xdr:rowOff>41603</xdr:rowOff>
    </xdr:from>
    <xdr:to>
      <xdr:col>13</xdr:col>
      <xdr:colOff>0</xdr:colOff>
      <xdr:row>108</xdr:row>
      <xdr:rowOff>56030</xdr:rowOff>
    </xdr:to>
    <xdr:cxnSp macro="">
      <xdr:nvCxnSpPr>
        <xdr:cNvPr id="47" name="直線矢印コネクタ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46" idx="3"/>
        </xdr:cNvCxnSpPr>
      </xdr:nvCxnSpPr>
      <xdr:spPr>
        <a:xfrm>
          <a:off x="2733675" y="207264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235323</xdr:colOff>
      <xdr:row>106</xdr:row>
      <xdr:rowOff>78442</xdr:rowOff>
    </xdr:from>
    <xdr:to>
      <xdr:col>54</xdr:col>
      <xdr:colOff>156881</xdr:colOff>
      <xdr:row>109</xdr:row>
      <xdr:rowOff>78442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>
          <a:grpSpLocks/>
        </xdr:cNvGrpSpPr>
      </xdr:nvGrpSpPr>
      <xdr:grpSpPr>
        <a:xfrm>
          <a:off x="10118911" y="20383501"/>
          <a:ext cx="2745441" cy="571500"/>
          <a:chOff x="8092817" y="-2531810"/>
          <a:chExt cx="2042145" cy="777600"/>
        </a:xfrm>
      </xdr:grpSpPr>
      <xdr:sp macro="" textlink="" fLocksText="0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SC0301_特売マスタ売価設定画面（新規）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0" name="直線矢印コネクタ 4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>
            <a:endCxn id="49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57824</xdr:colOff>
      <xdr:row>51</xdr:row>
      <xdr:rowOff>11206</xdr:rowOff>
    </xdr:from>
    <xdr:to>
      <xdr:col>51</xdr:col>
      <xdr:colOff>190501</xdr:colOff>
      <xdr:row>53</xdr:row>
      <xdr:rowOff>11206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9941412" y="9838765"/>
          <a:ext cx="2250589" cy="381000"/>
          <a:chOff x="9093309" y="-1817035"/>
          <a:chExt cx="2234552" cy="7776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145677</xdr:colOff>
      <xdr:row>71</xdr:row>
      <xdr:rowOff>112059</xdr:rowOff>
    </xdr:from>
    <xdr:to>
      <xdr:col>54</xdr:col>
      <xdr:colOff>67235</xdr:colOff>
      <xdr:row>73</xdr:row>
      <xdr:rowOff>33618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GrpSpPr>
          <a:grpSpLocks/>
        </xdr:cNvGrpSpPr>
      </xdr:nvGrpSpPr>
      <xdr:grpSpPr>
        <a:xfrm>
          <a:off x="10029265" y="13749618"/>
          <a:ext cx="2745441" cy="302559"/>
          <a:chOff x="8092817" y="-2531810"/>
          <a:chExt cx="2042145" cy="777600"/>
        </a:xfrm>
      </xdr:grpSpPr>
      <xdr:sp macro="" textlink="" fLocksText="0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9" name="直線矢印コネクタ 4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>
            <a:endCxn id="5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118</xdr:row>
      <xdr:rowOff>83206</xdr:rowOff>
    </xdr:from>
    <xdr:to>
      <xdr:col>10</xdr:col>
      <xdr:colOff>68790</xdr:colOff>
      <xdr:row>122</xdr:row>
      <xdr:rowOff>0</xdr:rowOff>
    </xdr:to>
    <xdr:sp macro="" textlink="" fLocksText="0">
      <xdr:nvSpPr>
        <xdr:cNvPr id="61" name="フローチャート: 代替処理 27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66700" y="226790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ミックスマッチ新規ボタンをタッチした場合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120</xdr:row>
      <xdr:rowOff>41603</xdr:rowOff>
    </xdr:from>
    <xdr:to>
      <xdr:col>13</xdr:col>
      <xdr:colOff>0</xdr:colOff>
      <xdr:row>120</xdr:row>
      <xdr:rowOff>56030</xdr:rowOff>
    </xdr:to>
    <xdr:cxnSp macro="">
      <xdr:nvCxnSpPr>
        <xdr:cNvPr id="62" name="直線矢印コネクタ 4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stCxn id="61" idx="3"/>
        </xdr:cNvCxnSpPr>
      </xdr:nvCxnSpPr>
      <xdr:spPr>
        <a:xfrm>
          <a:off x="2733675" y="230124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224117</xdr:colOff>
      <xdr:row>118</xdr:row>
      <xdr:rowOff>112060</xdr:rowOff>
    </xdr:from>
    <xdr:to>
      <xdr:col>54</xdr:col>
      <xdr:colOff>145675</xdr:colOff>
      <xdr:row>122</xdr:row>
      <xdr:rowOff>134470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pSpPr>
          <a:grpSpLocks/>
        </xdr:cNvGrpSpPr>
      </xdr:nvGrpSpPr>
      <xdr:grpSpPr>
        <a:xfrm>
          <a:off x="10107705" y="22703119"/>
          <a:ext cx="2745441" cy="784410"/>
          <a:chOff x="8092817" y="-2531810"/>
          <a:chExt cx="2042145" cy="777600"/>
        </a:xfrm>
      </xdr:grpSpPr>
      <xdr:sp macro="" textlink="" fLocksText="0">
        <xdr:nvSpPr>
          <xdr:cNvPr id="64" name="Rectangle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overflow" horzOverflow="overflow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MD0102_プロモーション一覧（商品ミックスマッチモード）</a:t>
            </a:r>
            <a:endPara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5" name="直線矢印コネクタ 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CxnSpPr>
            <a:endCxn id="6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134</xdr:row>
      <xdr:rowOff>83206</xdr:rowOff>
    </xdr:from>
    <xdr:to>
      <xdr:col>10</xdr:col>
      <xdr:colOff>68790</xdr:colOff>
      <xdr:row>138</xdr:row>
      <xdr:rowOff>0</xdr:rowOff>
    </xdr:to>
    <xdr:sp macro="" textlink="" fLocksText="0">
      <xdr:nvSpPr>
        <xdr:cNvPr id="66" name="フローチャート: 代替処理 27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266700" y="257270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アイテムをダブルクリックしたか、「編集」ボタンをタッチした場合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136</xdr:row>
      <xdr:rowOff>41603</xdr:rowOff>
    </xdr:from>
    <xdr:to>
      <xdr:col>13</xdr:col>
      <xdr:colOff>0</xdr:colOff>
      <xdr:row>136</xdr:row>
      <xdr:rowOff>56030</xdr:rowOff>
    </xdr:to>
    <xdr:cxnSp macro="">
      <xdr:nvCxnSpPr>
        <xdr:cNvPr id="67" name="直線矢印コネクタ 4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stCxn id="66" idx="3"/>
        </xdr:cNvCxnSpPr>
      </xdr:nvCxnSpPr>
      <xdr:spPr>
        <a:xfrm>
          <a:off x="2733675" y="260604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224118</xdr:colOff>
      <xdr:row>139</xdr:row>
      <xdr:rowOff>56029</xdr:rowOff>
    </xdr:from>
    <xdr:to>
      <xdr:col>56</xdr:col>
      <xdr:colOff>145676</xdr:colOff>
      <xdr:row>142</xdr:row>
      <xdr:rowOff>56029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GrpSpPr>
          <a:grpSpLocks/>
        </xdr:cNvGrpSpPr>
      </xdr:nvGrpSpPr>
      <xdr:grpSpPr>
        <a:xfrm>
          <a:off x="10578353" y="26647588"/>
          <a:ext cx="2745441" cy="571500"/>
          <a:chOff x="8092817" y="-2531810"/>
          <a:chExt cx="2042145" cy="777600"/>
        </a:xfrm>
      </xdr:grpSpPr>
      <xdr:sp macro="" textlink="" fLocksText="0">
        <xdr:nvSpPr>
          <xdr:cNvPr id="69" name="Rectangl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SC0301_特売マスタ売価設定画面（編集）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0" name="直線矢印コネクタ 4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CxnSpPr>
            <a:endCxn id="69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</xdr:colOff>
      <xdr:row>134</xdr:row>
      <xdr:rowOff>67236</xdr:rowOff>
    </xdr:from>
    <xdr:to>
      <xdr:col>56</xdr:col>
      <xdr:colOff>156883</xdr:colOff>
      <xdr:row>137</xdr:row>
      <xdr:rowOff>67236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>
        <a:xfrm>
          <a:off x="10589560" y="25706295"/>
          <a:ext cx="2745441" cy="571500"/>
          <a:chOff x="8209511" y="-2791010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8595476" y="-27910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SC0501_ミックスマッチ設定画面（編集）</a:t>
            </a: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endCxn id="8" idx="1"/>
          </xdr:cNvCxnSpPr>
        </xdr:nvCxnSpPr>
        <xdr:spPr>
          <a:xfrm>
            <a:off x="8209511" y="-24022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224118</xdr:colOff>
      <xdr:row>123</xdr:row>
      <xdr:rowOff>134471</xdr:rowOff>
    </xdr:from>
    <xdr:to>
      <xdr:col>54</xdr:col>
      <xdr:colOff>145676</xdr:colOff>
      <xdr:row>126</xdr:row>
      <xdr:rowOff>134471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10107706" y="23678030"/>
          <a:ext cx="2745441" cy="571500"/>
          <a:chOff x="8209511" y="-2791010"/>
          <a:chExt cx="2042145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595476" y="-27910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SC0501_ミックスマッチ設定（新規）画面</a:t>
            </a: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endCxn id="13" idx="1"/>
          </xdr:cNvCxnSpPr>
        </xdr:nvCxnSpPr>
        <xdr:spPr>
          <a:xfrm>
            <a:off x="8209511" y="-24022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0</xdr:rowOff>
    </xdr:from>
    <xdr:to>
      <xdr:col>10</xdr:col>
      <xdr:colOff>0</xdr:colOff>
      <xdr:row>18</xdr:row>
      <xdr:rowOff>89648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81300"/>
          <a:ext cx="2505075" cy="8477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SC0101画面で商品管理詳細ボタンをタッチした場合、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14</xdr:row>
      <xdr:rowOff>185736</xdr:rowOff>
    </xdr:from>
    <xdr:to>
      <xdr:col>13</xdr:col>
      <xdr:colOff>0</xdr:colOff>
      <xdr:row>16</xdr:row>
      <xdr:rowOff>44824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 flipV="1">
          <a:off x="2667000" y="2962275"/>
          <a:ext cx="80010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67235</xdr:colOff>
      <xdr:row>48</xdr:row>
      <xdr:rowOff>100853</xdr:rowOff>
    </xdr:from>
    <xdr:to>
      <xdr:col>54</xdr:col>
      <xdr:colOff>5040</xdr:colOff>
      <xdr:row>50</xdr:row>
      <xdr:rowOff>63510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715500" y="9356912"/>
          <a:ext cx="2997011" cy="343657"/>
          <a:chOff x="8092817" y="-2531810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58</xdr:row>
      <xdr:rowOff>83205</xdr:rowOff>
    </xdr:from>
    <xdr:to>
      <xdr:col>10</xdr:col>
      <xdr:colOff>0</xdr:colOff>
      <xdr:row>61</xdr:row>
      <xdr:rowOff>26420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11249025"/>
          <a:ext cx="2505075" cy="5143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戻るボタンをタッチした場合、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59</xdr:row>
      <xdr:rowOff>41603</xdr:rowOff>
    </xdr:from>
    <xdr:to>
      <xdr:col>12</xdr:col>
      <xdr:colOff>166534</xdr:colOff>
      <xdr:row>59</xdr:row>
      <xdr:rowOff>150063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 flipV="1">
          <a:off x="2667000" y="11391900"/>
          <a:ext cx="695325" cy="1143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83205</xdr:rowOff>
    </xdr:from>
    <xdr:to>
      <xdr:col>10</xdr:col>
      <xdr:colOff>68790</xdr:colOff>
      <xdr:row>73</xdr:row>
      <xdr:rowOff>123264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66700" y="13535025"/>
          <a:ext cx="2466975" cy="6096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削除ボタンをタッチした場合、</a:t>
          </a:r>
        </a:p>
      </xdr:txBody>
    </xdr:sp>
    <xdr:clientData/>
  </xdr:twoCellAnchor>
  <xdr:twoCellAnchor>
    <xdr:from>
      <xdr:col>10</xdr:col>
      <xdr:colOff>68790</xdr:colOff>
      <xdr:row>71</xdr:row>
      <xdr:rowOff>69618</xdr:rowOff>
    </xdr:from>
    <xdr:to>
      <xdr:col>13</xdr:col>
      <xdr:colOff>0</xdr:colOff>
      <xdr:row>72</xdr:row>
      <xdr:rowOff>7985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stCxn id="15" idx="3"/>
        </xdr:cNvCxnSpPr>
      </xdr:nvCxnSpPr>
      <xdr:spPr>
        <a:xfrm flipV="1">
          <a:off x="2733675" y="13706475"/>
          <a:ext cx="733425" cy="133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</xdr:row>
      <xdr:rowOff>83206</xdr:rowOff>
    </xdr:from>
    <xdr:to>
      <xdr:col>10</xdr:col>
      <xdr:colOff>68790</xdr:colOff>
      <xdr:row>100</xdr:row>
      <xdr:rowOff>56030</xdr:rowOff>
    </xdr:to>
    <xdr:sp macro="" textlink="" fLocksText="0">
      <xdr:nvSpPr>
        <xdr:cNvPr id="20" name="フローチャート: 代替処理 2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66700" y="18869025"/>
          <a:ext cx="2466975" cy="3524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「F09:確定」ボタンをタッチした場合、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99</xdr:row>
      <xdr:rowOff>69618</xdr:rowOff>
    </xdr:from>
    <xdr:to>
      <xdr:col>12</xdr:col>
      <xdr:colOff>190500</xdr:colOff>
      <xdr:row>99</xdr:row>
      <xdr:rowOff>78441</xdr:rowOff>
    </xdr:to>
    <xdr:cxnSp macro="">
      <xdr:nvCxnSpPr>
        <xdr:cNvPr id="21" name="直線矢印コネクタ 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>
          <a:stCxn id="20" idx="3"/>
        </xdr:cNvCxnSpPr>
      </xdr:nvCxnSpPr>
      <xdr:spPr>
        <a:xfrm>
          <a:off x="2733675" y="19040475"/>
          <a:ext cx="65722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212912</xdr:colOff>
      <xdr:row>99</xdr:row>
      <xdr:rowOff>123266</xdr:rowOff>
    </xdr:from>
    <xdr:to>
      <xdr:col>54</xdr:col>
      <xdr:colOff>134470</xdr:colOff>
      <xdr:row>103</xdr:row>
      <xdr:rowOff>78442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>
          <a:grpSpLocks/>
        </xdr:cNvGrpSpPr>
      </xdr:nvGrpSpPr>
      <xdr:grpSpPr>
        <a:xfrm>
          <a:off x="10096500" y="19094825"/>
          <a:ext cx="2745441" cy="717176"/>
          <a:chOff x="8092817" y="-2531810"/>
          <a:chExt cx="2042145" cy="777600"/>
        </a:xfrm>
      </xdr:grpSpPr>
      <xdr:sp macro="" textlink="" fLocksText="0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SC0103_緊急売価変更画面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CxnSpPr>
            <a:endCxn id="23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224117</xdr:colOff>
      <xdr:row>58</xdr:row>
      <xdr:rowOff>134469</xdr:rowOff>
    </xdr:from>
    <xdr:to>
      <xdr:col>53</xdr:col>
      <xdr:colOff>145676</xdr:colOff>
      <xdr:row>60</xdr:row>
      <xdr:rowOff>89646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pSpPr>
          <a:grpSpLocks/>
        </xdr:cNvGrpSpPr>
      </xdr:nvGrpSpPr>
      <xdr:grpSpPr>
        <a:xfrm>
          <a:off x="9872382" y="11295528"/>
          <a:ext cx="2745441" cy="336177"/>
          <a:chOff x="8092817" y="-2531810"/>
          <a:chExt cx="2042145" cy="777600"/>
        </a:xfrm>
      </xdr:grpSpPr>
      <xdr:sp macro="" textlink="" fLocksText="0">
        <xdr:nvSpPr>
          <xdr:cNvPr id="34" name="Rectangle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5" name="直線矢印コネクタ 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CxnSpPr>
            <a:endCxn id="3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57822</xdr:colOff>
      <xdr:row>44</xdr:row>
      <xdr:rowOff>56029</xdr:rowOff>
    </xdr:from>
    <xdr:to>
      <xdr:col>49</xdr:col>
      <xdr:colOff>190499</xdr:colOff>
      <xdr:row>45</xdr:row>
      <xdr:rowOff>156883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>
          <a:grpSpLocks/>
        </xdr:cNvGrpSpPr>
      </xdr:nvGrpSpPr>
      <xdr:grpSpPr>
        <a:xfrm>
          <a:off x="10176734" y="8550088"/>
          <a:ext cx="1544618" cy="291354"/>
          <a:chOff x="9093309" y="-1817035"/>
          <a:chExt cx="2234552" cy="777600"/>
        </a:xfrm>
      </xdr:grpSpPr>
      <xdr:sp macro="" textlink="" fLocksText="0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1" name="直線矢印コネクタ 4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CxnSpPr>
            <a:endCxn id="50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0</xdr:colOff>
      <xdr:row>84</xdr:row>
      <xdr:rowOff>89646</xdr:rowOff>
    </xdr:from>
    <xdr:to>
      <xdr:col>53</xdr:col>
      <xdr:colOff>156882</xdr:colOff>
      <xdr:row>86</xdr:row>
      <xdr:rowOff>78441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pSpPr>
          <a:grpSpLocks/>
        </xdr:cNvGrpSpPr>
      </xdr:nvGrpSpPr>
      <xdr:grpSpPr>
        <a:xfrm>
          <a:off x="9883588" y="16203705"/>
          <a:ext cx="2745441" cy="369795"/>
          <a:chOff x="8092817" y="-2531810"/>
          <a:chExt cx="2042145" cy="777600"/>
        </a:xfrm>
      </xdr:grpSpPr>
      <xdr:sp macro="" textlink="" fLocksText="0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3" name="直線矢印コネクタ 4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CxnSpPr>
            <a:endCxn id="62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123264</xdr:colOff>
      <xdr:row>87</xdr:row>
      <xdr:rowOff>56029</xdr:rowOff>
    </xdr:from>
    <xdr:to>
      <xdr:col>49</xdr:col>
      <xdr:colOff>20617</xdr:colOff>
      <xdr:row>88</xdr:row>
      <xdr:rowOff>170449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pSpPr>
          <a:grpSpLocks/>
        </xdr:cNvGrpSpPr>
      </xdr:nvGrpSpPr>
      <xdr:grpSpPr>
        <a:xfrm>
          <a:off x="10006852" y="16741588"/>
          <a:ext cx="1544618" cy="304920"/>
          <a:chOff x="9093309" y="-1817035"/>
          <a:chExt cx="2234552" cy="777600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6" name="直線矢印コネクタ 4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CxnSpPr>
            <a:endCxn id="65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126</xdr:row>
      <xdr:rowOff>83205</xdr:rowOff>
    </xdr:from>
    <xdr:to>
      <xdr:col>10</xdr:col>
      <xdr:colOff>68790</xdr:colOff>
      <xdr:row>132</xdr:row>
      <xdr:rowOff>152188</xdr:rowOff>
    </xdr:to>
    <xdr:sp macro="" textlink="" fLocksText="0">
      <xdr:nvSpPr>
        <xdr:cNvPr id="9" name="フローチャート: 代替処理 2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66700" y="24203025"/>
          <a:ext cx="2466975" cy="12096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部門を2桁入力したか、フォーカスを外した場合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127</xdr:row>
      <xdr:rowOff>69618</xdr:rowOff>
    </xdr:from>
    <xdr:to>
      <xdr:col>13</xdr:col>
      <xdr:colOff>0</xdr:colOff>
      <xdr:row>129</xdr:row>
      <xdr:rowOff>117697</xdr:rowOff>
    </xdr:to>
    <xdr:cxnSp macro="">
      <xdr:nvCxnSpPr>
        <xdr:cNvPr id="10" name="直線矢印コネクタ 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stCxn id="9" idx="3"/>
        </xdr:cNvCxnSpPr>
      </xdr:nvCxnSpPr>
      <xdr:spPr>
        <a:xfrm flipV="1">
          <a:off x="2733675" y="24374475"/>
          <a:ext cx="733425" cy="428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78440</xdr:colOff>
      <xdr:row>144</xdr:row>
      <xdr:rowOff>134470</xdr:rowOff>
    </xdr:from>
    <xdr:to>
      <xdr:col>53</xdr:col>
      <xdr:colOff>235322</xdr:colOff>
      <xdr:row>146</xdr:row>
      <xdr:rowOff>64618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>
          <a:grpSpLocks/>
        </xdr:cNvGrpSpPr>
      </xdr:nvGrpSpPr>
      <xdr:grpSpPr>
        <a:xfrm>
          <a:off x="9962028" y="27678529"/>
          <a:ext cx="2745441" cy="311148"/>
          <a:chOff x="8092817" y="-2531810"/>
          <a:chExt cx="2042145" cy="777600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>
            <a:endCxn id="12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147</xdr:row>
      <xdr:rowOff>22412</xdr:rowOff>
    </xdr:from>
    <xdr:to>
      <xdr:col>49</xdr:col>
      <xdr:colOff>76647</xdr:colOff>
      <xdr:row>148</xdr:row>
      <xdr:rowOff>103214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>
          <a:grpSpLocks/>
        </xdr:cNvGrpSpPr>
      </xdr:nvGrpSpPr>
      <xdr:grpSpPr>
        <a:xfrm>
          <a:off x="10062882" y="28137971"/>
          <a:ext cx="1544618" cy="271302"/>
          <a:chOff x="9093309" y="-1817035"/>
          <a:chExt cx="2234552" cy="777600"/>
        </a:xfrm>
      </xdr:grpSpPr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" name="直線矢印コネクタ 4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CxnSpPr>
            <a:endCxn id="17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157</xdr:row>
      <xdr:rowOff>83205</xdr:rowOff>
    </xdr:from>
    <xdr:to>
      <xdr:col>10</xdr:col>
      <xdr:colOff>68790</xdr:colOff>
      <xdr:row>161</xdr:row>
      <xdr:rowOff>33617</xdr:rowOff>
    </xdr:to>
    <xdr:sp macro="" textlink="" fLocksText="0">
      <xdr:nvSpPr>
        <xdr:cNvPr id="19" name="フローチャート: 代替処理 27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66700" y="30108525"/>
          <a:ext cx="2466975" cy="7143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品群を4桁入力したか、フォーカスを外した場合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158</xdr:row>
      <xdr:rowOff>69618</xdr:rowOff>
    </xdr:from>
    <xdr:to>
      <xdr:col>13</xdr:col>
      <xdr:colOff>0</xdr:colOff>
      <xdr:row>159</xdr:row>
      <xdr:rowOff>58411</xdr:rowOff>
    </xdr:to>
    <xdr:cxnSp macro="">
      <xdr:nvCxnSpPr>
        <xdr:cNvPr id="25" name="直線矢印コネクタ 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19" idx="3"/>
        </xdr:cNvCxnSpPr>
      </xdr:nvCxnSpPr>
      <xdr:spPr>
        <a:xfrm flipV="1">
          <a:off x="2733675" y="30279975"/>
          <a:ext cx="733425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173</xdr:row>
      <xdr:rowOff>190499</xdr:rowOff>
    </xdr:from>
    <xdr:to>
      <xdr:col>53</xdr:col>
      <xdr:colOff>156882</xdr:colOff>
      <xdr:row>175</xdr:row>
      <xdr:rowOff>134471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>
          <a:grpSpLocks/>
        </xdr:cNvGrpSpPr>
      </xdr:nvGrpSpPr>
      <xdr:grpSpPr>
        <a:xfrm>
          <a:off x="9883588" y="33259058"/>
          <a:ext cx="2745441" cy="324972"/>
          <a:chOff x="8092817" y="-2531811"/>
          <a:chExt cx="2042145" cy="777600"/>
        </a:xfrm>
      </xdr:grpSpPr>
      <xdr:sp macro="" textlink="" fLocksText="0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8478782" y="-2531811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8" name="直線矢印コネクタ 4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CxnSpPr>
            <a:endCxn id="27" idx="1"/>
          </xdr:cNvCxnSpPr>
        </xdr:nvCxnSpPr>
        <xdr:spPr>
          <a:xfrm>
            <a:off x="8092817" y="-2143011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177</xdr:row>
      <xdr:rowOff>168088</xdr:rowOff>
    </xdr:from>
    <xdr:to>
      <xdr:col>49</xdr:col>
      <xdr:colOff>76647</xdr:colOff>
      <xdr:row>179</xdr:row>
      <xdr:rowOff>103214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pSpPr>
          <a:grpSpLocks/>
        </xdr:cNvGrpSpPr>
      </xdr:nvGrpSpPr>
      <xdr:grpSpPr>
        <a:xfrm>
          <a:off x="10062882" y="33998647"/>
          <a:ext cx="1544618" cy="316126"/>
          <a:chOff x="9093309" y="-1817035"/>
          <a:chExt cx="2234552" cy="777600"/>
        </a:xfrm>
      </xdr:grpSpPr>
      <xdr:sp macro="" textlink="" fLocksText="0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1" name="直線矢印コネクタ 4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CxnSpPr>
            <a:endCxn id="30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187</xdr:row>
      <xdr:rowOff>83205</xdr:rowOff>
    </xdr:from>
    <xdr:to>
      <xdr:col>10</xdr:col>
      <xdr:colOff>68790</xdr:colOff>
      <xdr:row>191</xdr:row>
      <xdr:rowOff>44823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266700" y="35823525"/>
          <a:ext cx="2466975" cy="7239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品種を4桁入力したか、フォーカスを外した場合</a:t>
          </a:r>
        </a:p>
      </xdr:txBody>
    </xdr:sp>
    <xdr:clientData/>
  </xdr:twoCellAnchor>
  <xdr:twoCellAnchor>
    <xdr:from>
      <xdr:col>10</xdr:col>
      <xdr:colOff>68790</xdr:colOff>
      <xdr:row>188</xdr:row>
      <xdr:rowOff>69618</xdr:rowOff>
    </xdr:from>
    <xdr:to>
      <xdr:col>13</xdr:col>
      <xdr:colOff>0</xdr:colOff>
      <xdr:row>189</xdr:row>
      <xdr:rowOff>64014</xdr:rowOff>
    </xdr:to>
    <xdr:cxnSp macro="">
      <xdr:nvCxnSpPr>
        <xdr:cNvPr id="36" name="直線矢印コネクタ 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2" idx="3"/>
        </xdr:cNvCxnSpPr>
      </xdr:nvCxnSpPr>
      <xdr:spPr>
        <a:xfrm flipV="1">
          <a:off x="2733675" y="35994975"/>
          <a:ext cx="733425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203</xdr:row>
      <xdr:rowOff>190499</xdr:rowOff>
    </xdr:from>
    <xdr:to>
      <xdr:col>53</xdr:col>
      <xdr:colOff>156882</xdr:colOff>
      <xdr:row>206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pSpPr>
          <a:grpSpLocks/>
        </xdr:cNvGrpSpPr>
      </xdr:nvGrpSpPr>
      <xdr:grpSpPr>
        <a:xfrm>
          <a:off x="9883588" y="38974058"/>
          <a:ext cx="2745441" cy="381001"/>
          <a:chOff x="8092817" y="-2531810"/>
          <a:chExt cx="2042145" cy="777600"/>
        </a:xfrm>
      </xdr:grpSpPr>
      <xdr:sp macro="" textlink="" fLocksText="0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9" name="直線矢印コネクタ 4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CxnSpPr>
            <a:endCxn id="3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207</xdr:row>
      <xdr:rowOff>123264</xdr:rowOff>
    </xdr:from>
    <xdr:to>
      <xdr:col>49</xdr:col>
      <xdr:colOff>76647</xdr:colOff>
      <xdr:row>209</xdr:row>
      <xdr:rowOff>103213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>
          <a:grpSpLocks/>
        </xdr:cNvGrpSpPr>
      </xdr:nvGrpSpPr>
      <xdr:grpSpPr>
        <a:xfrm>
          <a:off x="10062882" y="39668823"/>
          <a:ext cx="1544618" cy="360949"/>
          <a:chOff x="9093309" y="-1817035"/>
          <a:chExt cx="2234552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CxnSpPr>
            <a:endCxn id="41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217</xdr:row>
      <xdr:rowOff>83205</xdr:rowOff>
    </xdr:from>
    <xdr:to>
      <xdr:col>10</xdr:col>
      <xdr:colOff>68790</xdr:colOff>
      <xdr:row>221</xdr:row>
      <xdr:rowOff>44823</xdr:rowOff>
    </xdr:to>
    <xdr:sp macro="" textlink="" fLocksText="0">
      <xdr:nvSpPr>
        <xdr:cNvPr id="59" name="フローチャート: 代替処理 27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266700" y="41538525"/>
          <a:ext cx="2466975" cy="7239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分類を4桁入力したか、フォーカスを外した場合</a:t>
          </a:r>
        </a:p>
      </xdr:txBody>
    </xdr:sp>
    <xdr:clientData/>
  </xdr:twoCellAnchor>
  <xdr:twoCellAnchor>
    <xdr:from>
      <xdr:col>10</xdr:col>
      <xdr:colOff>68790</xdr:colOff>
      <xdr:row>218</xdr:row>
      <xdr:rowOff>69618</xdr:rowOff>
    </xdr:from>
    <xdr:to>
      <xdr:col>13</xdr:col>
      <xdr:colOff>0</xdr:colOff>
      <xdr:row>219</xdr:row>
      <xdr:rowOff>64014</xdr:rowOff>
    </xdr:to>
    <xdr:cxnSp macro="">
      <xdr:nvCxnSpPr>
        <xdr:cNvPr id="60" name="直線矢印コネクタ 4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stCxn id="59" idx="3"/>
        </xdr:cNvCxnSpPr>
      </xdr:nvCxnSpPr>
      <xdr:spPr>
        <a:xfrm flipV="1">
          <a:off x="2733675" y="41709975"/>
          <a:ext cx="733425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233</xdr:row>
      <xdr:rowOff>190499</xdr:rowOff>
    </xdr:from>
    <xdr:to>
      <xdr:col>53</xdr:col>
      <xdr:colOff>156882</xdr:colOff>
      <xdr:row>236</xdr:row>
      <xdr:rowOff>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pSpPr>
          <a:grpSpLocks/>
        </xdr:cNvGrpSpPr>
      </xdr:nvGrpSpPr>
      <xdr:grpSpPr>
        <a:xfrm>
          <a:off x="9883588" y="44689058"/>
          <a:ext cx="2745441" cy="381001"/>
          <a:chOff x="8092817" y="-2531810"/>
          <a:chExt cx="2042145" cy="777600"/>
        </a:xfrm>
      </xdr:grpSpPr>
      <xdr:sp macro="" textlink="" fLocksText="0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9" name="直線矢印コネクタ 4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CxnSpPr>
            <a:endCxn id="6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237</xdr:row>
      <xdr:rowOff>123264</xdr:rowOff>
    </xdr:from>
    <xdr:to>
      <xdr:col>49</xdr:col>
      <xdr:colOff>76647</xdr:colOff>
      <xdr:row>239</xdr:row>
      <xdr:rowOff>103213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pSpPr>
          <a:grpSpLocks/>
        </xdr:cNvGrpSpPr>
      </xdr:nvGrpSpPr>
      <xdr:grpSpPr>
        <a:xfrm>
          <a:off x="10062882" y="45383823"/>
          <a:ext cx="1544618" cy="360949"/>
          <a:chOff x="9093309" y="-1817035"/>
          <a:chExt cx="2234552" cy="777600"/>
        </a:xfrm>
      </xdr:grpSpPr>
      <xdr:sp macro="" textlink="" fLocksText="0">
        <xdr:nvSpPr>
          <xdr:cNvPr id="71" name="Rectangle 70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2" name="直線矢印コネクタ 4">
            <a:extLst>
              <a:ext uri="{FF2B5EF4-FFF2-40B4-BE49-F238E27FC236}">
                <a16:creationId xmlns:a16="http://schemas.microsoft.com/office/drawing/2014/main" id="{00000000-0008-0000-0300-000048000000}"/>
              </a:ext>
            </a:extLst>
          </xdr:cNvPr>
          <xdr:cNvCxnSpPr>
            <a:endCxn id="71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247</xdr:row>
      <xdr:rowOff>83205</xdr:rowOff>
    </xdr:from>
    <xdr:to>
      <xdr:col>10</xdr:col>
      <xdr:colOff>68790</xdr:colOff>
      <xdr:row>249</xdr:row>
      <xdr:rowOff>145676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66700" y="47253525"/>
          <a:ext cx="2466975" cy="4381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子JAN追加（+)ボタンをタッチした場合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248</xdr:row>
      <xdr:rowOff>69618</xdr:rowOff>
    </xdr:from>
    <xdr:to>
      <xdr:col>13</xdr:col>
      <xdr:colOff>0</xdr:colOff>
      <xdr:row>248</xdr:row>
      <xdr:rowOff>114441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43" idx="3"/>
        </xdr:cNvCxnSpPr>
      </xdr:nvCxnSpPr>
      <xdr:spPr>
        <a:xfrm flipV="1">
          <a:off x="2733675" y="47424975"/>
          <a:ext cx="733425" cy="47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268</xdr:row>
      <xdr:rowOff>190499</xdr:rowOff>
    </xdr:from>
    <xdr:to>
      <xdr:col>53</xdr:col>
      <xdr:colOff>156882</xdr:colOff>
      <xdr:row>271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pSpPr>
          <a:grpSpLocks/>
        </xdr:cNvGrpSpPr>
      </xdr:nvGrpSpPr>
      <xdr:grpSpPr>
        <a:xfrm>
          <a:off x="9883588" y="51356558"/>
          <a:ext cx="2745441" cy="381001"/>
          <a:chOff x="8092817" y="-2531810"/>
          <a:chExt cx="2042145" cy="777600"/>
        </a:xfrm>
      </xdr:grpSpPr>
      <xdr:sp macro="" textlink="" fLocksText="0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7" name="直線矢印コネクタ 4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>
            <a:endCxn id="46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272</xdr:row>
      <xdr:rowOff>123264</xdr:rowOff>
    </xdr:from>
    <xdr:to>
      <xdr:col>49</xdr:col>
      <xdr:colOff>76647</xdr:colOff>
      <xdr:row>274</xdr:row>
      <xdr:rowOff>103213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pSpPr>
          <a:grpSpLocks/>
        </xdr:cNvGrpSpPr>
      </xdr:nvGrpSpPr>
      <xdr:grpSpPr>
        <a:xfrm>
          <a:off x="10062882" y="52051323"/>
          <a:ext cx="1544618" cy="360949"/>
          <a:chOff x="9093309" y="-1817035"/>
          <a:chExt cx="2234552" cy="777600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>
            <a:endCxn id="52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282</xdr:row>
      <xdr:rowOff>83205</xdr:rowOff>
    </xdr:from>
    <xdr:to>
      <xdr:col>10</xdr:col>
      <xdr:colOff>68790</xdr:colOff>
      <xdr:row>286</xdr:row>
      <xdr:rowOff>89647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266700" y="53921025"/>
          <a:ext cx="2466975" cy="762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1つのアイテムの子PLU入力項目にフォーカスする。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283</xdr:row>
      <xdr:rowOff>69618</xdr:rowOff>
    </xdr:from>
    <xdr:to>
      <xdr:col>13</xdr:col>
      <xdr:colOff>0</xdr:colOff>
      <xdr:row>284</xdr:row>
      <xdr:rowOff>86426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>
          <a:stCxn id="57" idx="3"/>
        </xdr:cNvCxnSpPr>
      </xdr:nvCxnSpPr>
      <xdr:spPr>
        <a:xfrm flipV="1">
          <a:off x="2733675" y="54092475"/>
          <a:ext cx="733425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304</xdr:row>
      <xdr:rowOff>190499</xdr:rowOff>
    </xdr:from>
    <xdr:to>
      <xdr:col>53</xdr:col>
      <xdr:colOff>156882</xdr:colOff>
      <xdr:row>307</xdr:row>
      <xdr:rowOff>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GrpSpPr>
          <a:grpSpLocks/>
        </xdr:cNvGrpSpPr>
      </xdr:nvGrpSpPr>
      <xdr:grpSpPr>
        <a:xfrm>
          <a:off x="9883588" y="58214558"/>
          <a:ext cx="2745441" cy="381001"/>
          <a:chOff x="8092817" y="-2531810"/>
          <a:chExt cx="2042145" cy="777600"/>
        </a:xfrm>
      </xdr:grpSpPr>
      <xdr:sp macro="" textlink="" fLocksText="0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5" name="直線矢印コネクタ 4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CxnSpPr>
            <a:endCxn id="7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308</xdr:row>
      <xdr:rowOff>123264</xdr:rowOff>
    </xdr:from>
    <xdr:to>
      <xdr:col>49</xdr:col>
      <xdr:colOff>76647</xdr:colOff>
      <xdr:row>310</xdr:row>
      <xdr:rowOff>0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pSpPr>
          <a:grpSpLocks/>
        </xdr:cNvGrpSpPr>
      </xdr:nvGrpSpPr>
      <xdr:grpSpPr>
        <a:xfrm>
          <a:off x="10062882" y="58909323"/>
          <a:ext cx="1544618" cy="257736"/>
          <a:chOff x="9093309" y="-1817035"/>
          <a:chExt cx="2234552" cy="777600"/>
        </a:xfrm>
      </xdr:grpSpPr>
      <xdr:sp macro="" textlink="" fLocksText="0">
        <xdr:nvSpPr>
          <xdr:cNvPr id="77" name="Rectangle 76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8" name="直線矢印コネクタ 4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CxnSpPr>
            <a:endCxn id="77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179294</xdr:colOff>
      <xdr:row>13</xdr:row>
      <xdr:rowOff>156882</xdr:rowOff>
    </xdr:from>
    <xdr:to>
      <xdr:col>55</xdr:col>
      <xdr:colOff>179295</xdr:colOff>
      <xdr:row>16</xdr:row>
      <xdr:rowOff>179294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>
        <a:xfrm>
          <a:off x="10298206" y="2745441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MD0102_プロモーション一覧モーダル</a:t>
            </a: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1925" y="4886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戻る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112059</xdr:colOff>
      <xdr:row>25</xdr:row>
      <xdr:rowOff>0</xdr:rowOff>
    </xdr:from>
    <xdr:to>
      <xdr:col>55</xdr:col>
      <xdr:colOff>112060</xdr:colOff>
      <xdr:row>28</xdr:row>
      <xdr:rowOff>22412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>
          <a:grpSpLocks/>
        </xdr:cNvGrpSpPr>
      </xdr:nvGrpSpPr>
      <xdr:grpSpPr>
        <a:xfrm>
          <a:off x="10230971" y="4874559"/>
          <a:ext cx="2823883" cy="593912"/>
          <a:chOff x="8357213" y="12314519"/>
          <a:chExt cx="2803762" cy="2324291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9037826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SC0301_店舗特売入力画面</a:t>
            </a:r>
          </a:p>
        </xdr:txBody>
      </xdr:sp>
      <xdr:cxnSp macro="">
        <xdr:nvCxnSpPr>
          <xdr:cNvPr id="11" name="直線矢印コネクタ 4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>
            <a:endCxn id="10" idx="1"/>
          </xdr:cNvCxnSpPr>
        </xdr:nvCxnSpPr>
        <xdr:spPr>
          <a:xfrm>
            <a:off x="8357213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143883</xdr:colOff>
      <xdr:row>46</xdr:row>
      <xdr:rowOff>168088</xdr:rowOff>
    </xdr:from>
    <xdr:to>
      <xdr:col>55</xdr:col>
      <xdr:colOff>143883</xdr:colOff>
      <xdr:row>50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>
          <a:grpSpLocks/>
        </xdr:cNvGrpSpPr>
      </xdr:nvGrpSpPr>
      <xdr:grpSpPr>
        <a:xfrm>
          <a:off x="10262795" y="9043147"/>
          <a:ext cx="2823882" cy="593912"/>
          <a:chOff x="8357211" y="12314519"/>
          <a:chExt cx="2803760" cy="2324291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9037824" y="12314519"/>
            <a:ext cx="2123147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MD0102_プロモーション一覧モーダル</a:t>
            </a: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>
            <a:endCxn id="1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52</xdr:row>
      <xdr:rowOff>0</xdr:rowOff>
    </xdr:from>
    <xdr:to>
      <xdr:col>53</xdr:col>
      <xdr:colOff>132677</xdr:colOff>
      <xdr:row>53</xdr:row>
      <xdr:rowOff>179294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pSpPr>
          <a:grpSpLocks/>
        </xdr:cNvGrpSpPr>
      </xdr:nvGrpSpPr>
      <xdr:grpSpPr>
        <a:xfrm>
          <a:off x="10354235" y="10018059"/>
          <a:ext cx="2250589" cy="369794"/>
          <a:chOff x="8994954" y="-1771293"/>
          <a:chExt cx="2234552" cy="777600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CxnSpPr>
            <a:endCxn id="1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37</xdr:row>
      <xdr:rowOff>123263</xdr:rowOff>
    </xdr:from>
    <xdr:to>
      <xdr:col>10</xdr:col>
      <xdr:colOff>0</xdr:colOff>
      <xdr:row>40</xdr:row>
      <xdr:rowOff>123263</xdr:rowOff>
    </xdr:to>
    <xdr:sp macro="" textlink="" fLocksText="0">
      <xdr:nvSpPr>
        <xdr:cNvPr id="18" name="フローチャート: 代替処理 2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61925" y="7286625"/>
          <a:ext cx="2505075" cy="5715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sz="1100" b="0" i="0" u="none" baseline="0">
              <a:solidFill>
                <a:srgbClr val="FFFFFF"/>
              </a:solidFill>
              <a:latin typeface="Meiryo UI"/>
              <a:ea typeface="Meiryo UI"/>
            </a:rPr>
            <a:t>プロモーション検索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39</xdr:row>
      <xdr:rowOff>28013</xdr:rowOff>
    </xdr:from>
    <xdr:to>
      <xdr:col>14</xdr:col>
      <xdr:colOff>0</xdr:colOff>
      <xdr:row>39</xdr:row>
      <xdr:rowOff>28013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8" idx="3"/>
        </xdr:cNvCxnSpPr>
      </xdr:nvCxnSpPr>
      <xdr:spPr>
        <a:xfrm>
          <a:off x="2667000" y="7572375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63</xdr:row>
      <xdr:rowOff>4764</xdr:rowOff>
    </xdr:from>
    <xdr:to>
      <xdr:col>10</xdr:col>
      <xdr:colOff>0</xdr:colOff>
      <xdr:row>66</xdr:row>
      <xdr:rowOff>56030</xdr:rowOff>
    </xdr:to>
    <xdr:sp macro="" textlink="" fLocksText="0">
      <xdr:nvSpPr>
        <xdr:cNvPr id="20" name="フローチャート: 代替処理 27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61925" y="12125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選択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64</xdr:row>
      <xdr:rowOff>131250</xdr:rowOff>
    </xdr:from>
    <xdr:to>
      <xdr:col>13</xdr:col>
      <xdr:colOff>89648</xdr:colOff>
      <xdr:row>64</xdr:row>
      <xdr:rowOff>131250</xdr:rowOff>
    </xdr:to>
    <xdr:cxnSp macro="">
      <xdr:nvCxnSpPr>
        <xdr:cNvPr id="21" name="直線矢印コネクタ 4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20" idx="3"/>
        </xdr:cNvCxnSpPr>
      </xdr:nvCxnSpPr>
      <xdr:spPr>
        <a:xfrm>
          <a:off x="2667000" y="12439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112059</xdr:colOff>
      <xdr:row>64</xdr:row>
      <xdr:rowOff>168088</xdr:rowOff>
    </xdr:from>
    <xdr:to>
      <xdr:col>55</xdr:col>
      <xdr:colOff>112060</xdr:colOff>
      <xdr:row>68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>
          <a:grpSpLocks/>
        </xdr:cNvGrpSpPr>
      </xdr:nvGrpSpPr>
      <xdr:grpSpPr>
        <a:xfrm>
          <a:off x="10230971" y="12472147"/>
          <a:ext cx="2823883" cy="593912"/>
          <a:chOff x="8357213" y="12314519"/>
          <a:chExt cx="2803762" cy="2324291"/>
        </a:xfrm>
      </xdr:grpSpPr>
      <xdr:sp macro="" textlink="" fLocksText="0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/>
        </xdr:nvSpPr>
        <xdr:spPr>
          <a:xfrm>
            <a:off x="9037826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SC0301_店舗特売入力画面</a:t>
            </a: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CxnSpPr>
            <a:endCxn id="23" idx="1"/>
          </xdr:cNvCxnSpPr>
        </xdr:nvCxnSpPr>
        <xdr:spPr>
          <a:xfrm>
            <a:off x="8357213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47" customWidth="1"/>
    <col min="61" max="16384" width="2.77734375" style="247"/>
  </cols>
  <sheetData>
    <row r="1" spans="1:63" ht="24.95" customHeight="1" x14ac:dyDescent="0.25">
      <c r="A1" s="241" t="s">
        <v>214</v>
      </c>
      <c r="B1" s="242"/>
      <c r="C1" s="242"/>
      <c r="D1" s="242"/>
      <c r="E1" s="242"/>
      <c r="F1" s="242"/>
      <c r="G1" s="242"/>
      <c r="H1" s="242"/>
      <c r="I1" s="242"/>
      <c r="J1" s="243"/>
      <c r="K1" s="241" t="s">
        <v>215</v>
      </c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3"/>
      <c r="W1" s="244" t="s">
        <v>216</v>
      </c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6"/>
      <c r="AP1" s="241" t="s">
        <v>217</v>
      </c>
      <c r="AQ1" s="242"/>
      <c r="AR1" s="242"/>
      <c r="AS1" s="243"/>
      <c r="AT1" s="241" t="s">
        <v>218</v>
      </c>
      <c r="AU1" s="242"/>
      <c r="AV1" s="242"/>
      <c r="AW1" s="242"/>
      <c r="AX1" s="243"/>
      <c r="AY1" s="241" t="s">
        <v>219</v>
      </c>
      <c r="AZ1" s="242"/>
      <c r="BA1" s="242"/>
      <c r="BB1" s="243"/>
      <c r="BC1" s="241" t="s">
        <v>220</v>
      </c>
      <c r="BD1" s="242"/>
      <c r="BE1" s="242"/>
      <c r="BF1" s="242"/>
      <c r="BG1" s="243"/>
      <c r="BH1" s="241" t="s">
        <v>221</v>
      </c>
      <c r="BI1" s="242"/>
      <c r="BJ1" s="242"/>
      <c r="BK1" s="243"/>
    </row>
    <row r="2" spans="1:63" ht="15" customHeight="1" x14ac:dyDescent="0.25">
      <c r="A2" s="136" t="s">
        <v>222</v>
      </c>
      <c r="B2" s="248"/>
      <c r="C2" s="248"/>
      <c r="D2" s="248"/>
      <c r="E2" s="248"/>
      <c r="F2" s="248"/>
      <c r="G2" s="248"/>
      <c r="H2" s="248"/>
      <c r="I2" s="248"/>
      <c r="J2" s="249"/>
      <c r="K2" s="250" t="s">
        <v>13</v>
      </c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9"/>
      <c r="W2" s="251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3"/>
      <c r="AP2" s="250" t="str">
        <f>改訂履歴!$H$11</f>
        <v>DuNT</v>
      </c>
      <c r="AQ2" s="248"/>
      <c r="AR2" s="248"/>
      <c r="AS2" s="249"/>
      <c r="AT2" s="254">
        <f>改訂履歴!$B$11</f>
        <v>45533</v>
      </c>
      <c r="AU2" s="255"/>
      <c r="AV2" s="255"/>
      <c r="AW2" s="255"/>
      <c r="AX2" s="256"/>
      <c r="AY2" s="250" t="str">
        <f>LOOKUP(2,1/(改訂履歴!H11:H30000&lt;&gt;""),改訂履歴!H11:H30000)</f>
        <v>DuNT</v>
      </c>
      <c r="AZ2" s="248"/>
      <c r="BA2" s="248"/>
      <c r="BB2" s="249"/>
      <c r="BC2" s="254">
        <f>LOOKUP(2,1/(改訂履歴!B11:B30000&lt;&gt;""),改訂履歴!B11:B30000)</f>
        <v>45533</v>
      </c>
      <c r="BD2" s="255"/>
      <c r="BE2" s="255"/>
      <c r="BF2" s="255"/>
      <c r="BG2" s="256"/>
      <c r="BH2" s="257">
        <f>LOOKUP(2,1/(改訂履歴!O11:O30000&lt;&gt;""),改訂履歴!O11:O30000)</f>
        <v>0.1</v>
      </c>
      <c r="BI2" s="258"/>
      <c r="BJ2" s="258"/>
      <c r="BK2" s="259"/>
    </row>
    <row r="3" spans="1:63" ht="15" customHeight="1" x14ac:dyDescent="0.25">
      <c r="A3" s="260"/>
      <c r="B3" s="261"/>
      <c r="C3" s="261"/>
      <c r="D3" s="261"/>
      <c r="E3" s="261"/>
      <c r="F3" s="261"/>
      <c r="G3" s="261"/>
      <c r="H3" s="261"/>
      <c r="I3" s="261"/>
      <c r="J3" s="262"/>
      <c r="K3" s="260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2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60"/>
      <c r="AQ3" s="261"/>
      <c r="AR3" s="261"/>
      <c r="AS3" s="262"/>
      <c r="AT3" s="266"/>
      <c r="AU3" s="267"/>
      <c r="AV3" s="267"/>
      <c r="AW3" s="267"/>
      <c r="AX3" s="268"/>
      <c r="AY3" s="260"/>
      <c r="AZ3" s="261"/>
      <c r="BA3" s="261"/>
      <c r="BB3" s="262"/>
      <c r="BC3" s="266"/>
      <c r="BD3" s="267"/>
      <c r="BE3" s="267"/>
      <c r="BF3" s="267"/>
      <c r="BG3" s="268"/>
      <c r="BH3" s="269"/>
      <c r="BI3" s="270"/>
      <c r="BJ3" s="270"/>
      <c r="BK3" s="271"/>
    </row>
    <row r="4" spans="1:63" ht="24.95" customHeight="1" x14ac:dyDescent="0.25">
      <c r="A4" s="241" t="s">
        <v>223</v>
      </c>
      <c r="B4" s="242"/>
      <c r="C4" s="242"/>
      <c r="D4" s="242"/>
      <c r="E4" s="242"/>
      <c r="F4" s="242"/>
      <c r="G4" s="243"/>
      <c r="H4" s="272" t="s">
        <v>30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41" t="s">
        <v>224</v>
      </c>
      <c r="V4" s="242"/>
      <c r="W4" s="242"/>
      <c r="X4" s="242"/>
      <c r="Y4" s="243"/>
      <c r="Z4" s="129" t="s">
        <v>225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tr">
        <f t="array" aca="1" ref="AP4" ca="1">RIGHT(CELL("filename",$A$1),LEN(CELL("filename",$A$1))-FIND("]",CELL("filename",$A$1)))</f>
        <v>表紙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 x14ac:dyDescent="0.25">
      <c r="A5" s="275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7"/>
    </row>
    <row r="6" spans="1:63" ht="15" customHeight="1" x14ac:dyDescent="0.25">
      <c r="A6" s="278"/>
      <c r="BK6" s="279"/>
    </row>
    <row r="7" spans="1:63" ht="15" customHeight="1" x14ac:dyDescent="0.25">
      <c r="A7" s="278"/>
      <c r="BK7" s="279"/>
    </row>
    <row r="8" spans="1:63" ht="15" customHeight="1" x14ac:dyDescent="0.25">
      <c r="A8" s="278"/>
      <c r="BK8" s="279"/>
    </row>
    <row r="9" spans="1:63" ht="15" customHeight="1" x14ac:dyDescent="0.25">
      <c r="A9" s="278"/>
      <c r="BK9" s="279"/>
    </row>
    <row r="10" spans="1:63" ht="15" customHeight="1" x14ac:dyDescent="0.25">
      <c r="A10" s="278"/>
      <c r="BK10" s="279"/>
    </row>
    <row r="11" spans="1:63" ht="15" customHeight="1" x14ac:dyDescent="0.25">
      <c r="A11" s="278"/>
      <c r="BK11" s="279"/>
    </row>
    <row r="12" spans="1:63" ht="15" customHeight="1" x14ac:dyDescent="0.25">
      <c r="A12" s="278"/>
      <c r="BK12" s="279"/>
    </row>
    <row r="13" spans="1:63" ht="15" customHeight="1" x14ac:dyDescent="0.25">
      <c r="A13" s="278"/>
      <c r="BK13" s="279"/>
    </row>
    <row r="14" spans="1:63" ht="15" customHeight="1" thickBot="1" x14ac:dyDescent="0.3">
      <c r="A14" s="278"/>
      <c r="BK14" s="279"/>
    </row>
    <row r="15" spans="1:63" ht="15" customHeight="1" thickTop="1" x14ac:dyDescent="0.25">
      <c r="A15" s="278"/>
      <c r="K15" s="280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2"/>
      <c r="BK15" s="279"/>
    </row>
    <row r="16" spans="1:63" ht="15" customHeight="1" x14ac:dyDescent="0.25">
      <c r="A16" s="278"/>
      <c r="K16" s="283"/>
      <c r="L16" s="284" t="s">
        <v>226</v>
      </c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285"/>
      <c r="AZ16" s="285"/>
      <c r="BA16" s="286"/>
      <c r="BK16" s="279"/>
    </row>
    <row r="17" spans="1:63" ht="15" customHeight="1" x14ac:dyDescent="0.25">
      <c r="A17" s="278"/>
      <c r="K17" s="283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6"/>
      <c r="BK17" s="279"/>
    </row>
    <row r="18" spans="1:63" ht="15" customHeight="1" x14ac:dyDescent="0.25">
      <c r="A18" s="278"/>
      <c r="K18" s="283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6"/>
      <c r="BK18" s="279"/>
    </row>
    <row r="19" spans="1:63" ht="15" customHeight="1" x14ac:dyDescent="0.25">
      <c r="A19" s="278"/>
      <c r="K19" s="283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5"/>
      <c r="AX19" s="285"/>
      <c r="AY19" s="285"/>
      <c r="AZ19" s="285"/>
      <c r="BA19" s="286"/>
      <c r="BK19" s="279"/>
    </row>
    <row r="20" spans="1:63" ht="15" customHeight="1" x14ac:dyDescent="0.25">
      <c r="A20" s="278"/>
      <c r="K20" s="283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  <c r="AU20" s="285"/>
      <c r="AV20" s="285"/>
      <c r="AW20" s="285"/>
      <c r="AX20" s="285"/>
      <c r="AY20" s="285"/>
      <c r="AZ20" s="285"/>
      <c r="BA20" s="286"/>
      <c r="BK20" s="279"/>
    </row>
    <row r="21" spans="1:63" ht="15" customHeight="1" x14ac:dyDescent="0.25">
      <c r="A21" s="278"/>
      <c r="K21" s="283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6"/>
      <c r="BK21" s="279"/>
    </row>
    <row r="22" spans="1:63" ht="15" customHeight="1" thickBot="1" x14ac:dyDescent="0.3">
      <c r="A22" s="278"/>
      <c r="K22" s="283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7"/>
      <c r="AU22" s="287"/>
      <c r="AV22" s="287"/>
      <c r="AW22" s="287"/>
      <c r="AX22" s="287"/>
      <c r="AY22" s="287"/>
      <c r="AZ22" s="287"/>
      <c r="BA22" s="286"/>
      <c r="BK22" s="279"/>
    </row>
    <row r="23" spans="1:63" ht="15" customHeight="1" x14ac:dyDescent="0.25">
      <c r="A23" s="278"/>
      <c r="K23" s="283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6"/>
      <c r="BK23" s="279"/>
    </row>
    <row r="24" spans="1:63" ht="15" customHeight="1" x14ac:dyDescent="0.25">
      <c r="A24" s="278"/>
      <c r="K24" s="283"/>
      <c r="L24" s="285" t="str">
        <f>K2&amp;"/"&amp;H4&amp;"/"&amp;Z4</f>
        <v>POSサーバ/01_商品管理/機能設計書</v>
      </c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6"/>
      <c r="BK24" s="279"/>
    </row>
    <row r="25" spans="1:63" ht="15" customHeight="1" x14ac:dyDescent="0.25">
      <c r="A25" s="278"/>
      <c r="K25" s="283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5"/>
      <c r="AX25" s="285"/>
      <c r="AY25" s="285"/>
      <c r="AZ25" s="285"/>
      <c r="BA25" s="286"/>
      <c r="BK25" s="279"/>
    </row>
    <row r="26" spans="1:63" ht="15" customHeight="1" x14ac:dyDescent="0.25">
      <c r="A26" s="278"/>
      <c r="K26" s="283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  <c r="AH26" s="285"/>
      <c r="AI26" s="285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285"/>
      <c r="AZ26" s="285"/>
      <c r="BA26" s="286"/>
      <c r="BK26" s="279"/>
    </row>
    <row r="27" spans="1:63" ht="15" customHeight="1" x14ac:dyDescent="0.25">
      <c r="A27" s="278"/>
      <c r="K27" s="283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285"/>
      <c r="AZ27" s="285"/>
      <c r="BA27" s="286"/>
      <c r="BK27" s="279"/>
    </row>
    <row r="28" spans="1:63" ht="15" customHeight="1" x14ac:dyDescent="0.25">
      <c r="A28" s="278"/>
      <c r="K28" s="283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6"/>
      <c r="BK28" s="279"/>
    </row>
    <row r="29" spans="1:63" ht="15" customHeight="1" x14ac:dyDescent="0.25">
      <c r="A29" s="278"/>
      <c r="K29" s="283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285"/>
      <c r="AZ29" s="285"/>
      <c r="BA29" s="286"/>
      <c r="BK29" s="279"/>
    </row>
    <row r="30" spans="1:63" ht="15" customHeight="1" x14ac:dyDescent="0.25">
      <c r="A30" s="278"/>
      <c r="K30" s="283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6"/>
      <c r="BK30" s="279"/>
    </row>
    <row r="31" spans="1:63" ht="15" customHeight="1" x14ac:dyDescent="0.25">
      <c r="A31" s="278"/>
      <c r="K31" s="283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6"/>
      <c r="BK31" s="279"/>
    </row>
    <row r="32" spans="1:63" ht="15" customHeight="1" x14ac:dyDescent="0.25">
      <c r="A32" s="278"/>
      <c r="K32" s="283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285"/>
      <c r="AZ32" s="285"/>
      <c r="BA32" s="286"/>
      <c r="BK32" s="279"/>
    </row>
    <row r="33" spans="1:63" ht="15" customHeight="1" x14ac:dyDescent="0.25">
      <c r="A33" s="278"/>
      <c r="K33" s="283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285"/>
      <c r="AZ33" s="285"/>
      <c r="BA33" s="286"/>
      <c r="BK33" s="279"/>
    </row>
    <row r="34" spans="1:63" ht="15" customHeight="1" x14ac:dyDescent="0.25">
      <c r="A34" s="278"/>
      <c r="K34" s="283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85"/>
      <c r="AG34" s="285"/>
      <c r="AH34" s="285"/>
      <c r="AI34" s="285"/>
      <c r="AJ34" s="285"/>
      <c r="AK34" s="285"/>
      <c r="AL34" s="285"/>
      <c r="AM34" s="285"/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285"/>
      <c r="AZ34" s="285"/>
      <c r="BA34" s="286"/>
      <c r="BK34" s="279"/>
    </row>
    <row r="35" spans="1:63" ht="15" customHeight="1" x14ac:dyDescent="0.25">
      <c r="A35" s="278"/>
      <c r="K35" s="283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285"/>
      <c r="AZ35" s="285"/>
      <c r="BA35" s="286"/>
      <c r="BK35" s="279"/>
    </row>
    <row r="36" spans="1:63" ht="15" customHeight="1" x14ac:dyDescent="0.25">
      <c r="A36" s="278"/>
      <c r="K36" s="283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  <c r="AH36" s="285"/>
      <c r="AI36" s="285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285"/>
      <c r="AZ36" s="285"/>
      <c r="BA36" s="286"/>
      <c r="BK36" s="279"/>
    </row>
    <row r="37" spans="1:63" ht="15" customHeight="1" thickBot="1" x14ac:dyDescent="0.3">
      <c r="A37" s="278"/>
      <c r="K37" s="289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  <c r="AJ37" s="290"/>
      <c r="AK37" s="290"/>
      <c r="AL37" s="290"/>
      <c r="AM37" s="290"/>
      <c r="AN37" s="290"/>
      <c r="AO37" s="290"/>
      <c r="AP37" s="290"/>
      <c r="AQ37" s="290"/>
      <c r="AR37" s="290"/>
      <c r="AS37" s="290"/>
      <c r="AT37" s="290"/>
      <c r="AU37" s="290"/>
      <c r="AV37" s="290"/>
      <c r="AW37" s="290"/>
      <c r="AX37" s="290"/>
      <c r="AY37" s="290"/>
      <c r="AZ37" s="290"/>
      <c r="BA37" s="291"/>
      <c r="BK37" s="279"/>
    </row>
    <row r="38" spans="1:63" ht="15" customHeight="1" thickTop="1" x14ac:dyDescent="0.25">
      <c r="A38" s="278"/>
      <c r="BK38" s="279"/>
    </row>
    <row r="39" spans="1:63" ht="15" customHeight="1" x14ac:dyDescent="0.25">
      <c r="A39" s="278"/>
      <c r="BK39" s="279"/>
    </row>
    <row r="40" spans="1:63" ht="15" customHeight="1" x14ac:dyDescent="0.25">
      <c r="A40" s="278"/>
      <c r="BK40" s="279"/>
    </row>
    <row r="41" spans="1:63" ht="15" customHeight="1" x14ac:dyDescent="0.25">
      <c r="A41" s="278"/>
      <c r="BK41" s="279"/>
    </row>
    <row r="42" spans="1:63" ht="15" customHeight="1" x14ac:dyDescent="0.25">
      <c r="A42" s="278"/>
      <c r="BK42" s="279"/>
    </row>
    <row r="43" spans="1:63" ht="15" customHeight="1" x14ac:dyDescent="0.25">
      <c r="A43" s="278"/>
      <c r="BK43" s="279"/>
    </row>
    <row r="44" spans="1:63" ht="15" customHeight="1" x14ac:dyDescent="0.25">
      <c r="A44" s="278"/>
      <c r="Q44" s="292" t="s">
        <v>227</v>
      </c>
      <c r="R44" s="293"/>
      <c r="S44" s="293"/>
      <c r="T44" s="293"/>
      <c r="U44" s="293"/>
      <c r="V44" s="293"/>
      <c r="W44" s="293"/>
      <c r="X44" s="293"/>
      <c r="Y44" s="293"/>
      <c r="Z44" s="294"/>
      <c r="AA44" s="292" t="s">
        <v>228</v>
      </c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4"/>
      <c r="AQ44" s="292" t="s">
        <v>221</v>
      </c>
      <c r="AR44" s="293"/>
      <c r="AS44" s="293"/>
      <c r="AT44" s="293"/>
      <c r="AU44" s="294"/>
      <c r="BK44" s="279"/>
    </row>
    <row r="45" spans="1:63" ht="15" customHeight="1" x14ac:dyDescent="0.25">
      <c r="A45" s="278"/>
      <c r="Q45" s="295"/>
      <c r="R45" s="296"/>
      <c r="S45" s="296"/>
      <c r="T45" s="296"/>
      <c r="U45" s="296"/>
      <c r="V45" s="296"/>
      <c r="W45" s="296"/>
      <c r="X45" s="296"/>
      <c r="Y45" s="296"/>
      <c r="Z45" s="297"/>
      <c r="AA45" s="295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7"/>
      <c r="AQ45" s="295"/>
      <c r="AR45" s="296"/>
      <c r="AS45" s="296"/>
      <c r="AT45" s="296"/>
      <c r="AU45" s="297"/>
      <c r="BK45" s="279"/>
    </row>
    <row r="46" spans="1:63" ht="15" customHeight="1" x14ac:dyDescent="0.25">
      <c r="A46" s="278"/>
      <c r="Q46" s="250"/>
      <c r="R46" s="248"/>
      <c r="S46" s="248"/>
      <c r="T46" s="248"/>
      <c r="U46" s="248"/>
      <c r="V46" s="248"/>
      <c r="W46" s="248"/>
      <c r="X46" s="248"/>
      <c r="Y46" s="248"/>
      <c r="Z46" s="249"/>
      <c r="AA46" s="250"/>
      <c r="AB46" s="248"/>
      <c r="AC46" s="248"/>
      <c r="AD46" s="248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9"/>
      <c r="AQ46" s="250"/>
      <c r="AR46" s="248"/>
      <c r="AS46" s="248"/>
      <c r="AT46" s="248"/>
      <c r="AU46" s="249"/>
      <c r="BK46" s="279"/>
    </row>
    <row r="47" spans="1:63" ht="15" customHeight="1" x14ac:dyDescent="0.25">
      <c r="A47" s="278"/>
      <c r="Q47" s="298"/>
      <c r="R47" s="299"/>
      <c r="S47" s="299"/>
      <c r="T47" s="299"/>
      <c r="U47" s="299"/>
      <c r="V47" s="299"/>
      <c r="W47" s="299"/>
      <c r="X47" s="299"/>
      <c r="Y47" s="299"/>
      <c r="Z47" s="300"/>
      <c r="AA47" s="298"/>
      <c r="AB47" s="299"/>
      <c r="AC47" s="299"/>
      <c r="AD47" s="299"/>
      <c r="AE47" s="299"/>
      <c r="AF47" s="299"/>
      <c r="AG47" s="299"/>
      <c r="AH47" s="299"/>
      <c r="AI47" s="299"/>
      <c r="AJ47" s="299"/>
      <c r="AK47" s="299"/>
      <c r="AL47" s="299"/>
      <c r="AM47" s="299"/>
      <c r="AN47" s="299"/>
      <c r="AO47" s="299"/>
      <c r="AP47" s="300"/>
      <c r="AQ47" s="298"/>
      <c r="AR47" s="299"/>
      <c r="AS47" s="299"/>
      <c r="AT47" s="299"/>
      <c r="AU47" s="300"/>
      <c r="BK47" s="279"/>
    </row>
    <row r="48" spans="1:63" ht="15" customHeight="1" x14ac:dyDescent="0.25">
      <c r="A48" s="278"/>
      <c r="Q48" s="298"/>
      <c r="R48" s="299"/>
      <c r="S48" s="299"/>
      <c r="T48" s="299"/>
      <c r="U48" s="299"/>
      <c r="V48" s="299"/>
      <c r="W48" s="299"/>
      <c r="X48" s="299"/>
      <c r="Y48" s="299"/>
      <c r="Z48" s="300"/>
      <c r="AA48" s="298"/>
      <c r="AB48" s="299"/>
      <c r="AC48" s="299"/>
      <c r="AD48" s="299"/>
      <c r="AE48" s="299"/>
      <c r="AF48" s="299"/>
      <c r="AG48" s="299"/>
      <c r="AH48" s="299"/>
      <c r="AI48" s="299"/>
      <c r="AJ48" s="299"/>
      <c r="AK48" s="299"/>
      <c r="AL48" s="299"/>
      <c r="AM48" s="299"/>
      <c r="AN48" s="299"/>
      <c r="AO48" s="299"/>
      <c r="AP48" s="300"/>
      <c r="AQ48" s="298"/>
      <c r="AR48" s="299"/>
      <c r="AS48" s="299"/>
      <c r="AT48" s="299"/>
      <c r="AU48" s="300"/>
      <c r="BK48" s="279"/>
    </row>
    <row r="49" spans="1:63" ht="15" customHeight="1" x14ac:dyDescent="0.25">
      <c r="A49" s="278"/>
      <c r="Q49" s="260"/>
      <c r="R49" s="261"/>
      <c r="S49" s="261"/>
      <c r="T49" s="261"/>
      <c r="U49" s="261"/>
      <c r="V49" s="261"/>
      <c r="W49" s="261"/>
      <c r="X49" s="261"/>
      <c r="Y49" s="261"/>
      <c r="Z49" s="262"/>
      <c r="AA49" s="260"/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2"/>
      <c r="AQ49" s="260"/>
      <c r="AR49" s="261"/>
      <c r="AS49" s="261"/>
      <c r="AT49" s="261"/>
      <c r="AU49" s="262"/>
      <c r="BK49" s="279"/>
    </row>
    <row r="50" spans="1:63" ht="15" customHeight="1" x14ac:dyDescent="0.25">
      <c r="A50" s="278"/>
      <c r="BK50" s="279"/>
    </row>
    <row r="51" spans="1:63" ht="15" customHeight="1" x14ac:dyDescent="0.25">
      <c r="A51" s="278"/>
      <c r="BK51" s="279"/>
    </row>
    <row r="52" spans="1:63" ht="15" customHeight="1" x14ac:dyDescent="0.25">
      <c r="A52" s="278"/>
      <c r="BK52" s="279"/>
    </row>
    <row r="53" spans="1:63" ht="15" customHeight="1" x14ac:dyDescent="0.25">
      <c r="A53" s="278"/>
      <c r="BK53" s="279"/>
    </row>
    <row r="54" spans="1:63" ht="15" customHeight="1" x14ac:dyDescent="0.25">
      <c r="A54" s="278"/>
      <c r="BK54" s="279"/>
    </row>
    <row r="55" spans="1:63" ht="15" customHeight="1" x14ac:dyDescent="0.25">
      <c r="A55" s="275"/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6"/>
      <c r="AS55" s="276"/>
      <c r="AT55" s="276"/>
      <c r="AU55" s="276"/>
      <c r="AV55" s="276"/>
      <c r="AW55" s="276"/>
      <c r="AX55" s="276"/>
      <c r="AY55" s="276"/>
      <c r="AZ55" s="276"/>
      <c r="BA55" s="276"/>
      <c r="BB55" s="276"/>
      <c r="BC55" s="276"/>
      <c r="BD55" s="276"/>
      <c r="BE55" s="276"/>
      <c r="BF55" s="276"/>
      <c r="BG55" s="276"/>
      <c r="BH55" s="276"/>
      <c r="BI55" s="276"/>
      <c r="BJ55" s="276"/>
      <c r="BK55" s="27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2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58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123" t="s">
        <v>3</v>
      </c>
      <c r="AQ1" s="124"/>
      <c r="AR1" s="124"/>
      <c r="AS1" s="125"/>
      <c r="AT1" s="123" t="s">
        <v>4</v>
      </c>
      <c r="AU1" s="124"/>
      <c r="AV1" s="124"/>
      <c r="AW1" s="124"/>
      <c r="AX1" s="125"/>
      <c r="AY1" s="123" t="s">
        <v>5</v>
      </c>
      <c r="AZ1" s="124"/>
      <c r="BA1" s="124"/>
      <c r="BB1" s="125"/>
      <c r="BC1" s="123" t="s">
        <v>6</v>
      </c>
      <c r="BD1" s="124"/>
      <c r="BE1" s="124"/>
      <c r="BF1" s="124"/>
      <c r="BG1" s="125"/>
      <c r="BH1" s="123" t="s">
        <v>7</v>
      </c>
      <c r="BI1" s="124"/>
      <c r="BJ1" s="124"/>
      <c r="BK1" s="125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" t="str">
        <f>IF(表紙!AP2="","",表紙!AP2)</f>
        <v>DuNT</v>
      </c>
      <c r="AQ2" s="5"/>
      <c r="AR2" s="5"/>
      <c r="AS2" s="4"/>
      <c r="AT2" s="130">
        <f>IF(表紙!AT2="","",表紙!AT2)</f>
        <v>45533</v>
      </c>
      <c r="AU2" s="131"/>
      <c r="AV2" s="131"/>
      <c r="AW2" s="131"/>
      <c r="AX2" s="132"/>
      <c r="AY2" s="6" t="str">
        <f>IF(表紙!AY2="","",表紙!AY2)</f>
        <v>DuNT</v>
      </c>
      <c r="AZ2" s="5"/>
      <c r="BA2" s="5"/>
      <c r="BB2" s="4"/>
      <c r="BC2" s="130">
        <f>IF(表紙!BC2="","",表紙!BC2)</f>
        <v>45533</v>
      </c>
      <c r="BD2" s="131"/>
      <c r="BE2" s="131"/>
      <c r="BF2" s="131"/>
      <c r="BG2" s="132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3"/>
      <c r="AQ3" s="2"/>
      <c r="AR3" s="2"/>
      <c r="AS3" s="1"/>
      <c r="AT3" s="133"/>
      <c r="AU3" s="134"/>
      <c r="AV3" s="134"/>
      <c r="AW3" s="134"/>
      <c r="AX3" s="135"/>
      <c r="AY3" s="3"/>
      <c r="AZ3" s="2"/>
      <c r="BA3" s="2"/>
      <c r="BB3" s="1"/>
      <c r="BC3" s="133"/>
      <c r="BD3" s="134"/>
      <c r="BE3" s="134"/>
      <c r="BF3" s="134"/>
      <c r="BG3" s="135"/>
      <c r="BH3" s="3"/>
      <c r="BI3" s="2"/>
      <c r="BJ3" s="2"/>
      <c r="BK3" s="1"/>
    </row>
    <row r="4" spans="1:63" ht="24.95" customHeight="1" x14ac:dyDescent="0.25">
      <c r="A4" s="123" t="s">
        <v>1</v>
      </c>
      <c r="B4" s="124"/>
      <c r="C4" s="124"/>
      <c r="D4" s="124"/>
      <c r="E4" s="124"/>
      <c r="F4" s="124"/>
      <c r="G4" s="125"/>
      <c r="H4" s="126" t="str">
        <f>IF(表紙!H4="","",表紙!H4)</f>
        <v>01_商品管理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8</v>
      </c>
      <c r="V4" s="124"/>
      <c r="W4" s="124"/>
      <c r="X4" s="124"/>
      <c r="Y4" s="125"/>
      <c r="Z4" s="126" t="str">
        <f>IF(表紙!Z4="","",表紙!Z4)</f>
        <v>機能設計書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6" t="str">
        <f t="array" aca="1" ref="AP4" ca="1">RIGHT(CELL("filename",$A$1),LEN(CELL("filename",$A$1))-FIND("]",CELL("filename",$A$1)))</f>
        <v>改訂履歴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157" t="s">
        <v>6</v>
      </c>
      <c r="C10" s="157"/>
      <c r="D10" s="157"/>
      <c r="E10" s="157"/>
      <c r="F10" s="157"/>
      <c r="G10" s="157"/>
      <c r="H10" s="157" t="s">
        <v>5</v>
      </c>
      <c r="I10" s="157"/>
      <c r="J10" s="157"/>
      <c r="K10" s="157"/>
      <c r="L10" s="157"/>
      <c r="M10" s="157"/>
      <c r="N10" s="157"/>
      <c r="O10" s="157" t="s">
        <v>7</v>
      </c>
      <c r="P10" s="157"/>
      <c r="Q10" s="157"/>
      <c r="R10" s="157"/>
      <c r="S10" s="157" t="s">
        <v>10</v>
      </c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 t="s">
        <v>11</v>
      </c>
      <c r="AY10" s="157"/>
      <c r="AZ10" s="157"/>
      <c r="BA10" s="157"/>
      <c r="BB10" s="157"/>
      <c r="BC10" s="157"/>
      <c r="BD10" s="157" t="s">
        <v>12</v>
      </c>
      <c r="BE10" s="157"/>
      <c r="BF10" s="157"/>
      <c r="BG10" s="157"/>
      <c r="BH10" s="157"/>
      <c r="BI10" s="157"/>
      <c r="BJ10" s="157"/>
      <c r="BK10" s="10"/>
    </row>
    <row r="11" spans="1:63" ht="15" customHeight="1" x14ac:dyDescent="0.25">
      <c r="A11" s="7"/>
      <c r="B11" s="130">
        <v>45533</v>
      </c>
      <c r="C11" s="5"/>
      <c r="D11" s="5"/>
      <c r="E11" s="5"/>
      <c r="F11" s="5"/>
      <c r="G11" s="4"/>
      <c r="H11" s="136" t="s">
        <v>15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145" t="s">
        <v>14</v>
      </c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7"/>
      <c r="AX11" s="148"/>
      <c r="AY11" s="148"/>
      <c r="AZ11" s="148"/>
      <c r="BA11" s="148"/>
      <c r="BB11" s="148"/>
      <c r="BC11" s="149"/>
      <c r="BD11" s="152"/>
      <c r="BE11" s="148"/>
      <c r="BF11" s="148"/>
      <c r="BG11" s="148"/>
      <c r="BH11" s="148"/>
      <c r="BI11" s="148"/>
      <c r="BJ11" s="149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154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6"/>
      <c r="AX12" s="150"/>
      <c r="AY12" s="150"/>
      <c r="AZ12" s="150"/>
      <c r="BA12" s="150"/>
      <c r="BB12" s="150"/>
      <c r="BC12" s="151"/>
      <c r="BD12" s="153"/>
      <c r="BE12" s="150"/>
      <c r="BF12" s="150"/>
      <c r="BG12" s="150"/>
      <c r="BH12" s="150"/>
      <c r="BI12" s="150"/>
      <c r="BJ12" s="151"/>
      <c r="BK12" s="10"/>
    </row>
    <row r="13" spans="1:63" ht="15" customHeight="1" x14ac:dyDescent="0.25">
      <c r="A13" s="7"/>
      <c r="B13" s="130"/>
      <c r="C13" s="5"/>
      <c r="D13" s="5"/>
      <c r="E13" s="5"/>
      <c r="F13" s="5"/>
      <c r="G13" s="4"/>
      <c r="H13" s="6"/>
      <c r="I13" s="5"/>
      <c r="J13" s="5"/>
      <c r="K13" s="5"/>
      <c r="L13" s="5"/>
      <c r="M13" s="5"/>
      <c r="N13" s="4"/>
      <c r="O13" s="6"/>
      <c r="P13" s="5"/>
      <c r="Q13" s="5"/>
      <c r="R13" s="5"/>
      <c r="S13" s="145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148"/>
      <c r="AY13" s="148"/>
      <c r="AZ13" s="148"/>
      <c r="BA13" s="148"/>
      <c r="BB13" s="148"/>
      <c r="BC13" s="149"/>
      <c r="BD13" s="152"/>
      <c r="BE13" s="148"/>
      <c r="BF13" s="148"/>
      <c r="BG13" s="148"/>
      <c r="BH13" s="148"/>
      <c r="BI13" s="148"/>
      <c r="BJ13" s="149"/>
      <c r="BK13" s="10"/>
    </row>
    <row r="14" spans="1:63" ht="15" customHeight="1" x14ac:dyDescent="0.25">
      <c r="A14" s="7"/>
      <c r="B14" s="3"/>
      <c r="C14" s="2"/>
      <c r="D14" s="2"/>
      <c r="E14" s="2"/>
      <c r="F14" s="2"/>
      <c r="G14" s="1"/>
      <c r="H14" s="3"/>
      <c r="I14" s="2"/>
      <c r="J14" s="2"/>
      <c r="K14" s="2"/>
      <c r="L14" s="2"/>
      <c r="M14" s="2"/>
      <c r="N14" s="1"/>
      <c r="O14" s="3"/>
      <c r="P14" s="2"/>
      <c r="Q14" s="2"/>
      <c r="R14" s="2"/>
      <c r="S14" s="154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6"/>
      <c r="AX14" s="150"/>
      <c r="AY14" s="150"/>
      <c r="AZ14" s="150"/>
      <c r="BA14" s="150"/>
      <c r="BB14" s="150"/>
      <c r="BC14" s="151"/>
      <c r="BD14" s="153"/>
      <c r="BE14" s="150"/>
      <c r="BF14" s="150"/>
      <c r="BG14" s="150"/>
      <c r="BH14" s="150"/>
      <c r="BI14" s="150"/>
      <c r="BJ14" s="151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145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148"/>
      <c r="AY15" s="148"/>
      <c r="AZ15" s="148"/>
      <c r="BA15" s="148"/>
      <c r="BB15" s="148"/>
      <c r="BC15" s="149"/>
      <c r="BD15" s="152"/>
      <c r="BE15" s="148"/>
      <c r="BF15" s="148"/>
      <c r="BG15" s="148"/>
      <c r="BH15" s="148"/>
      <c r="BI15" s="148"/>
      <c r="BJ15" s="149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154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6"/>
      <c r="AX16" s="150"/>
      <c r="AY16" s="150"/>
      <c r="AZ16" s="150"/>
      <c r="BA16" s="150"/>
      <c r="BB16" s="150"/>
      <c r="BC16" s="151"/>
      <c r="BD16" s="153"/>
      <c r="BE16" s="150"/>
      <c r="BF16" s="150"/>
      <c r="BG16" s="150"/>
      <c r="BH16" s="150"/>
      <c r="BI16" s="150"/>
      <c r="BJ16" s="151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145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7"/>
      <c r="AX17" s="148"/>
      <c r="AY17" s="148"/>
      <c r="AZ17" s="148"/>
      <c r="BA17" s="148"/>
      <c r="BB17" s="148"/>
      <c r="BC17" s="149"/>
      <c r="BD17" s="152"/>
      <c r="BE17" s="148"/>
      <c r="BF17" s="148"/>
      <c r="BG17" s="148"/>
      <c r="BH17" s="148"/>
      <c r="BI17" s="148"/>
      <c r="BJ17" s="149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154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6"/>
      <c r="AX18" s="150"/>
      <c r="AY18" s="150"/>
      <c r="AZ18" s="150"/>
      <c r="BA18" s="150"/>
      <c r="BB18" s="150"/>
      <c r="BC18" s="151"/>
      <c r="BD18" s="153"/>
      <c r="BE18" s="150"/>
      <c r="BF18" s="150"/>
      <c r="BG18" s="150"/>
      <c r="BH18" s="150"/>
      <c r="BI18" s="150"/>
      <c r="BJ18" s="151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145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7"/>
      <c r="AX19" s="148"/>
      <c r="AY19" s="148"/>
      <c r="AZ19" s="148"/>
      <c r="BA19" s="148"/>
      <c r="BB19" s="148"/>
      <c r="BC19" s="149"/>
      <c r="BD19" s="152"/>
      <c r="BE19" s="148"/>
      <c r="BF19" s="148"/>
      <c r="BG19" s="148"/>
      <c r="BH19" s="148"/>
      <c r="BI19" s="148"/>
      <c r="BJ19" s="149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154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6"/>
      <c r="AX20" s="150"/>
      <c r="AY20" s="150"/>
      <c r="AZ20" s="150"/>
      <c r="BA20" s="150"/>
      <c r="BB20" s="150"/>
      <c r="BC20" s="151"/>
      <c r="BD20" s="153"/>
      <c r="BE20" s="150"/>
      <c r="BF20" s="150"/>
      <c r="BG20" s="150"/>
      <c r="BH20" s="150"/>
      <c r="BI20" s="150"/>
      <c r="BJ20" s="151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145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7"/>
      <c r="AX21" s="148"/>
      <c r="AY21" s="148"/>
      <c r="AZ21" s="148"/>
      <c r="BA21" s="148"/>
      <c r="BB21" s="148"/>
      <c r="BC21" s="149"/>
      <c r="BD21" s="152"/>
      <c r="BE21" s="148"/>
      <c r="BF21" s="148"/>
      <c r="BG21" s="148"/>
      <c r="BH21" s="148"/>
      <c r="BI21" s="148"/>
      <c r="BJ21" s="149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154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6"/>
      <c r="AX22" s="150"/>
      <c r="AY22" s="150"/>
      <c r="AZ22" s="150"/>
      <c r="BA22" s="150"/>
      <c r="BB22" s="150"/>
      <c r="BC22" s="151"/>
      <c r="BD22" s="153"/>
      <c r="BE22" s="150"/>
      <c r="BF22" s="150"/>
      <c r="BG22" s="150"/>
      <c r="BH22" s="150"/>
      <c r="BI22" s="150"/>
      <c r="BJ22" s="151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145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7"/>
      <c r="AX23" s="148"/>
      <c r="AY23" s="148"/>
      <c r="AZ23" s="148"/>
      <c r="BA23" s="148"/>
      <c r="BB23" s="148"/>
      <c r="BC23" s="149"/>
      <c r="BD23" s="152"/>
      <c r="BE23" s="148"/>
      <c r="BF23" s="148"/>
      <c r="BG23" s="148"/>
      <c r="BH23" s="148"/>
      <c r="BI23" s="148"/>
      <c r="BJ23" s="149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154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6"/>
      <c r="AX24" s="150"/>
      <c r="AY24" s="150"/>
      <c r="AZ24" s="150"/>
      <c r="BA24" s="150"/>
      <c r="BB24" s="150"/>
      <c r="BC24" s="151"/>
      <c r="BD24" s="153"/>
      <c r="BE24" s="150"/>
      <c r="BF24" s="150"/>
      <c r="BG24" s="150"/>
      <c r="BH24" s="150"/>
      <c r="BI24" s="150"/>
      <c r="BJ24" s="151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145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7"/>
      <c r="AX25" s="148"/>
      <c r="AY25" s="148"/>
      <c r="AZ25" s="148"/>
      <c r="BA25" s="148"/>
      <c r="BB25" s="148"/>
      <c r="BC25" s="149"/>
      <c r="BD25" s="152"/>
      <c r="BE25" s="148"/>
      <c r="BF25" s="148"/>
      <c r="BG25" s="148"/>
      <c r="BH25" s="148"/>
      <c r="BI25" s="148"/>
      <c r="BJ25" s="149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154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6"/>
      <c r="AX26" s="150"/>
      <c r="AY26" s="150"/>
      <c r="AZ26" s="150"/>
      <c r="BA26" s="150"/>
      <c r="BB26" s="150"/>
      <c r="BC26" s="151"/>
      <c r="BD26" s="153"/>
      <c r="BE26" s="150"/>
      <c r="BF26" s="150"/>
      <c r="BG26" s="150"/>
      <c r="BH26" s="150"/>
      <c r="BI26" s="150"/>
      <c r="BJ26" s="151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145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7"/>
      <c r="AX27" s="148"/>
      <c r="AY27" s="148"/>
      <c r="AZ27" s="148"/>
      <c r="BA27" s="148"/>
      <c r="BB27" s="148"/>
      <c r="BC27" s="149"/>
      <c r="BD27" s="152"/>
      <c r="BE27" s="148"/>
      <c r="BF27" s="148"/>
      <c r="BG27" s="148"/>
      <c r="BH27" s="148"/>
      <c r="BI27" s="148"/>
      <c r="BJ27" s="149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154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6"/>
      <c r="AX28" s="150"/>
      <c r="AY28" s="150"/>
      <c r="AZ28" s="150"/>
      <c r="BA28" s="150"/>
      <c r="BB28" s="150"/>
      <c r="BC28" s="151"/>
      <c r="BD28" s="153"/>
      <c r="BE28" s="150"/>
      <c r="BF28" s="150"/>
      <c r="BG28" s="150"/>
      <c r="BH28" s="150"/>
      <c r="BI28" s="150"/>
      <c r="BJ28" s="151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145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7"/>
      <c r="AX29" s="148"/>
      <c r="AY29" s="148"/>
      <c r="AZ29" s="148"/>
      <c r="BA29" s="148"/>
      <c r="BB29" s="148"/>
      <c r="BC29" s="149"/>
      <c r="BD29" s="152"/>
      <c r="BE29" s="148"/>
      <c r="BF29" s="148"/>
      <c r="BG29" s="148"/>
      <c r="BH29" s="148"/>
      <c r="BI29" s="148"/>
      <c r="BJ29" s="149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154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6"/>
      <c r="AX30" s="150"/>
      <c r="AY30" s="150"/>
      <c r="AZ30" s="150"/>
      <c r="BA30" s="150"/>
      <c r="BB30" s="150"/>
      <c r="BC30" s="151"/>
      <c r="BD30" s="153"/>
      <c r="BE30" s="150"/>
      <c r="BF30" s="150"/>
      <c r="BG30" s="150"/>
      <c r="BH30" s="150"/>
      <c r="BI30" s="150"/>
      <c r="BJ30" s="151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145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7"/>
      <c r="AX31" s="148"/>
      <c r="AY31" s="148"/>
      <c r="AZ31" s="148"/>
      <c r="BA31" s="148"/>
      <c r="BB31" s="148"/>
      <c r="BC31" s="149"/>
      <c r="BD31" s="152"/>
      <c r="BE31" s="148"/>
      <c r="BF31" s="148"/>
      <c r="BG31" s="148"/>
      <c r="BH31" s="148"/>
      <c r="BI31" s="148"/>
      <c r="BJ31" s="149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154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6"/>
      <c r="AX32" s="150"/>
      <c r="AY32" s="150"/>
      <c r="AZ32" s="150"/>
      <c r="BA32" s="150"/>
      <c r="BB32" s="150"/>
      <c r="BC32" s="151"/>
      <c r="BD32" s="153"/>
      <c r="BE32" s="150"/>
      <c r="BF32" s="150"/>
      <c r="BG32" s="150"/>
      <c r="BH32" s="150"/>
      <c r="BI32" s="150"/>
      <c r="BJ32" s="151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145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7"/>
      <c r="AX33" s="148"/>
      <c r="AY33" s="148"/>
      <c r="AZ33" s="148"/>
      <c r="BA33" s="148"/>
      <c r="BB33" s="148"/>
      <c r="BC33" s="149"/>
      <c r="BD33" s="152"/>
      <c r="BE33" s="148"/>
      <c r="BF33" s="148"/>
      <c r="BG33" s="148"/>
      <c r="BH33" s="148"/>
      <c r="BI33" s="148"/>
      <c r="BJ33" s="149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154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6"/>
      <c r="AX34" s="150"/>
      <c r="AY34" s="150"/>
      <c r="AZ34" s="150"/>
      <c r="BA34" s="150"/>
      <c r="BB34" s="150"/>
      <c r="BC34" s="151"/>
      <c r="BD34" s="153"/>
      <c r="BE34" s="150"/>
      <c r="BF34" s="150"/>
      <c r="BG34" s="150"/>
      <c r="BH34" s="150"/>
      <c r="BI34" s="150"/>
      <c r="BJ34" s="151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145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7"/>
      <c r="AX35" s="148"/>
      <c r="AY35" s="148"/>
      <c r="AZ35" s="148"/>
      <c r="BA35" s="148"/>
      <c r="BB35" s="148"/>
      <c r="BC35" s="149"/>
      <c r="BD35" s="152"/>
      <c r="BE35" s="148"/>
      <c r="BF35" s="148"/>
      <c r="BG35" s="148"/>
      <c r="BH35" s="148"/>
      <c r="BI35" s="148"/>
      <c r="BJ35" s="149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154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6"/>
      <c r="AX36" s="150"/>
      <c r="AY36" s="150"/>
      <c r="AZ36" s="150"/>
      <c r="BA36" s="150"/>
      <c r="BB36" s="150"/>
      <c r="BC36" s="151"/>
      <c r="BD36" s="153"/>
      <c r="BE36" s="150"/>
      <c r="BF36" s="150"/>
      <c r="BG36" s="150"/>
      <c r="BH36" s="150"/>
      <c r="BI36" s="150"/>
      <c r="BJ36" s="151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145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7"/>
      <c r="AX37" s="148"/>
      <c r="AY37" s="148"/>
      <c r="AZ37" s="148"/>
      <c r="BA37" s="148"/>
      <c r="BB37" s="148"/>
      <c r="BC37" s="149"/>
      <c r="BD37" s="152"/>
      <c r="BE37" s="148"/>
      <c r="BF37" s="148"/>
      <c r="BG37" s="148"/>
      <c r="BH37" s="148"/>
      <c r="BI37" s="148"/>
      <c r="BJ37" s="149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154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6"/>
      <c r="AX38" s="150"/>
      <c r="AY38" s="150"/>
      <c r="AZ38" s="150"/>
      <c r="BA38" s="150"/>
      <c r="BB38" s="150"/>
      <c r="BC38" s="151"/>
      <c r="BD38" s="153"/>
      <c r="BE38" s="150"/>
      <c r="BF38" s="150"/>
      <c r="BG38" s="150"/>
      <c r="BH38" s="150"/>
      <c r="BI38" s="150"/>
      <c r="BJ38" s="151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145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7"/>
      <c r="AX39" s="148"/>
      <c r="AY39" s="148"/>
      <c r="AZ39" s="148"/>
      <c r="BA39" s="148"/>
      <c r="BB39" s="148"/>
      <c r="BC39" s="149"/>
      <c r="BD39" s="152"/>
      <c r="BE39" s="148"/>
      <c r="BF39" s="148"/>
      <c r="BG39" s="148"/>
      <c r="BH39" s="148"/>
      <c r="BI39" s="148"/>
      <c r="BJ39" s="149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154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6"/>
      <c r="AX40" s="150"/>
      <c r="AY40" s="150"/>
      <c r="AZ40" s="150"/>
      <c r="BA40" s="150"/>
      <c r="BB40" s="150"/>
      <c r="BC40" s="151"/>
      <c r="BD40" s="153"/>
      <c r="BE40" s="150"/>
      <c r="BF40" s="150"/>
      <c r="BG40" s="150"/>
      <c r="BH40" s="150"/>
      <c r="BI40" s="150"/>
      <c r="BJ40" s="151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145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7"/>
      <c r="AX41" s="148"/>
      <c r="AY41" s="148"/>
      <c r="AZ41" s="148"/>
      <c r="BA41" s="148"/>
      <c r="BB41" s="148"/>
      <c r="BC41" s="149"/>
      <c r="BD41" s="152"/>
      <c r="BE41" s="148"/>
      <c r="BF41" s="148"/>
      <c r="BG41" s="148"/>
      <c r="BH41" s="148"/>
      <c r="BI41" s="148"/>
      <c r="BJ41" s="149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154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6"/>
      <c r="AX42" s="150"/>
      <c r="AY42" s="150"/>
      <c r="AZ42" s="150"/>
      <c r="BA42" s="150"/>
      <c r="BB42" s="150"/>
      <c r="BC42" s="151"/>
      <c r="BD42" s="153"/>
      <c r="BE42" s="150"/>
      <c r="BF42" s="150"/>
      <c r="BG42" s="150"/>
      <c r="BH42" s="150"/>
      <c r="BI42" s="150"/>
      <c r="BJ42" s="151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145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7"/>
      <c r="AX43" s="148"/>
      <c r="AY43" s="148"/>
      <c r="AZ43" s="148"/>
      <c r="BA43" s="148"/>
      <c r="BB43" s="148"/>
      <c r="BC43" s="149"/>
      <c r="BD43" s="152"/>
      <c r="BE43" s="148"/>
      <c r="BF43" s="148"/>
      <c r="BG43" s="148"/>
      <c r="BH43" s="148"/>
      <c r="BI43" s="148"/>
      <c r="BJ43" s="149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154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6"/>
      <c r="AX44" s="150"/>
      <c r="AY44" s="150"/>
      <c r="AZ44" s="150"/>
      <c r="BA44" s="150"/>
      <c r="BB44" s="150"/>
      <c r="BC44" s="151"/>
      <c r="BD44" s="153"/>
      <c r="BE44" s="150"/>
      <c r="BF44" s="150"/>
      <c r="BG44" s="150"/>
      <c r="BH44" s="150"/>
      <c r="BI44" s="150"/>
      <c r="BJ44" s="151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145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7"/>
      <c r="AX45" s="148"/>
      <c r="AY45" s="148"/>
      <c r="AZ45" s="148"/>
      <c r="BA45" s="148"/>
      <c r="BB45" s="148"/>
      <c r="BC45" s="149"/>
      <c r="BD45" s="152"/>
      <c r="BE45" s="148"/>
      <c r="BF45" s="148"/>
      <c r="BG45" s="148"/>
      <c r="BH45" s="148"/>
      <c r="BI45" s="148"/>
      <c r="BJ45" s="149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154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6"/>
      <c r="AX46" s="150"/>
      <c r="AY46" s="150"/>
      <c r="AZ46" s="150"/>
      <c r="BA46" s="150"/>
      <c r="BB46" s="150"/>
      <c r="BC46" s="151"/>
      <c r="BD46" s="153"/>
      <c r="BE46" s="150"/>
      <c r="BF46" s="150"/>
      <c r="BG46" s="150"/>
      <c r="BH46" s="150"/>
      <c r="BI46" s="150"/>
      <c r="BJ46" s="151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145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7"/>
      <c r="AX47" s="148"/>
      <c r="AY47" s="148"/>
      <c r="AZ47" s="148"/>
      <c r="BA47" s="148"/>
      <c r="BB47" s="148"/>
      <c r="BC47" s="149"/>
      <c r="BD47" s="152"/>
      <c r="BE47" s="148"/>
      <c r="BF47" s="148"/>
      <c r="BG47" s="148"/>
      <c r="BH47" s="148"/>
      <c r="BI47" s="148"/>
      <c r="BJ47" s="149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154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6"/>
      <c r="AX48" s="150"/>
      <c r="AY48" s="150"/>
      <c r="AZ48" s="150"/>
      <c r="BA48" s="150"/>
      <c r="BB48" s="150"/>
      <c r="BC48" s="151"/>
      <c r="BD48" s="153"/>
      <c r="BE48" s="150"/>
      <c r="BF48" s="150"/>
      <c r="BG48" s="150"/>
      <c r="BH48" s="150"/>
      <c r="BI48" s="150"/>
      <c r="BJ48" s="151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145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7"/>
      <c r="AX49" s="148"/>
      <c r="AY49" s="148"/>
      <c r="AZ49" s="148"/>
      <c r="BA49" s="148"/>
      <c r="BB49" s="148"/>
      <c r="BC49" s="149"/>
      <c r="BD49" s="152"/>
      <c r="BE49" s="148"/>
      <c r="BF49" s="148"/>
      <c r="BG49" s="148"/>
      <c r="BH49" s="148"/>
      <c r="BI49" s="148"/>
      <c r="BJ49" s="149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154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6"/>
      <c r="AX50" s="150"/>
      <c r="AY50" s="150"/>
      <c r="AZ50" s="150"/>
      <c r="BA50" s="150"/>
      <c r="BB50" s="150"/>
      <c r="BC50" s="151"/>
      <c r="BD50" s="153"/>
      <c r="BE50" s="150"/>
      <c r="BF50" s="150"/>
      <c r="BG50" s="150"/>
      <c r="BH50" s="150"/>
      <c r="BI50" s="150"/>
      <c r="BJ50" s="151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145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7"/>
      <c r="AX51" s="148"/>
      <c r="AY51" s="148"/>
      <c r="AZ51" s="148"/>
      <c r="BA51" s="148"/>
      <c r="BB51" s="148"/>
      <c r="BC51" s="149"/>
      <c r="BD51" s="152"/>
      <c r="BE51" s="148"/>
      <c r="BF51" s="148"/>
      <c r="BG51" s="148"/>
      <c r="BH51" s="148"/>
      <c r="BI51" s="148"/>
      <c r="BJ51" s="149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154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6"/>
      <c r="AX52" s="150"/>
      <c r="AY52" s="150"/>
      <c r="AZ52" s="150"/>
      <c r="BA52" s="150"/>
      <c r="BB52" s="150"/>
      <c r="BC52" s="151"/>
      <c r="BD52" s="153"/>
      <c r="BE52" s="150"/>
      <c r="BF52" s="150"/>
      <c r="BG52" s="150"/>
      <c r="BH52" s="150"/>
      <c r="BI52" s="150"/>
      <c r="BJ52" s="151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145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7"/>
      <c r="AX53" s="148"/>
      <c r="AY53" s="148"/>
      <c r="AZ53" s="148"/>
      <c r="BA53" s="148"/>
      <c r="BB53" s="148"/>
      <c r="BC53" s="149"/>
      <c r="BD53" s="152"/>
      <c r="BE53" s="148"/>
      <c r="BF53" s="148"/>
      <c r="BG53" s="148"/>
      <c r="BH53" s="148"/>
      <c r="BI53" s="148"/>
      <c r="BJ53" s="149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154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6"/>
      <c r="AX54" s="150"/>
      <c r="AY54" s="150"/>
      <c r="AZ54" s="150"/>
      <c r="BA54" s="150"/>
      <c r="BB54" s="150"/>
      <c r="BC54" s="151"/>
      <c r="BD54" s="153"/>
      <c r="BE54" s="150"/>
      <c r="BF54" s="150"/>
      <c r="BG54" s="150"/>
      <c r="BH54" s="150"/>
      <c r="BI54" s="150"/>
      <c r="BJ54" s="151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1C04-D162-4B79-8E05-D88C6C7A8B66}">
  <sheetPr>
    <pageSetUpPr fitToPage="1"/>
  </sheetPr>
  <dimension ref="A1:BK454"/>
  <sheetViews>
    <sheetView view="pageBreakPreview" zoomScale="85" zoomScaleNormal="100" zoomScaleSheetLayoutView="85" zoomScalePageLayoutView="85" workbookViewId="0">
      <selection activeCell="A2" sqref="A1:J3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301" t="s">
        <v>214</v>
      </c>
      <c r="B1" s="302"/>
      <c r="C1" s="302"/>
      <c r="D1" s="302"/>
      <c r="E1" s="302"/>
      <c r="F1" s="302"/>
      <c r="G1" s="302"/>
      <c r="H1" s="302"/>
      <c r="I1" s="302"/>
      <c r="J1" s="303"/>
      <c r="K1" s="301" t="s">
        <v>215</v>
      </c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 t="str">
        <f>IF(表紙!W1="","",表紙!W1)</f>
        <v>詳細設計書</v>
      </c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241" t="s">
        <v>217</v>
      </c>
      <c r="AQ1" s="242"/>
      <c r="AR1" s="242"/>
      <c r="AS1" s="243"/>
      <c r="AT1" s="241" t="s">
        <v>218</v>
      </c>
      <c r="AU1" s="242"/>
      <c r="AV1" s="242"/>
      <c r="AW1" s="242"/>
      <c r="AX1" s="243"/>
      <c r="AY1" s="241" t="s">
        <v>219</v>
      </c>
      <c r="AZ1" s="242"/>
      <c r="BA1" s="242"/>
      <c r="BB1" s="243"/>
      <c r="BC1" s="241" t="s">
        <v>220</v>
      </c>
      <c r="BD1" s="242"/>
      <c r="BE1" s="242"/>
      <c r="BF1" s="242"/>
      <c r="BG1" s="243"/>
      <c r="BH1" s="241" t="s">
        <v>221</v>
      </c>
      <c r="BI1" s="242"/>
      <c r="BJ1" s="242"/>
      <c r="BK1" s="243"/>
    </row>
    <row r="2" spans="1:63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307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9"/>
      <c r="AP2" s="250" t="str">
        <f>IF(表紙!AP2="","",表紙!AP2)</f>
        <v>DuNT</v>
      </c>
      <c r="AQ2" s="248"/>
      <c r="AR2" s="248"/>
      <c r="AS2" s="249"/>
      <c r="AT2" s="254">
        <f>IF(表紙!AT2="","",表紙!AT2)</f>
        <v>45533</v>
      </c>
      <c r="AU2" s="255"/>
      <c r="AV2" s="255"/>
      <c r="AW2" s="255"/>
      <c r="AX2" s="256"/>
      <c r="AY2" s="250" t="str">
        <f>IF(表紙!AY2="","",表紙!AY2)</f>
        <v>DuNT</v>
      </c>
      <c r="AZ2" s="248"/>
      <c r="BA2" s="248"/>
      <c r="BB2" s="249"/>
      <c r="BC2" s="254">
        <f>IF(表紙!BC2="","",表紙!BC2)</f>
        <v>45533</v>
      </c>
      <c r="BD2" s="255"/>
      <c r="BE2" s="255"/>
      <c r="BF2" s="255"/>
      <c r="BG2" s="256"/>
      <c r="BH2" s="250">
        <f>IF(表紙!BH2="","",表紙!BH2)</f>
        <v>0.1</v>
      </c>
      <c r="BI2" s="248"/>
      <c r="BJ2" s="248"/>
      <c r="BK2" s="249"/>
    </row>
    <row r="3" spans="1:63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310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2"/>
      <c r="AP3" s="260"/>
      <c r="AQ3" s="261"/>
      <c r="AR3" s="261"/>
      <c r="AS3" s="262"/>
      <c r="AT3" s="266"/>
      <c r="AU3" s="267"/>
      <c r="AV3" s="267"/>
      <c r="AW3" s="267"/>
      <c r="AX3" s="268"/>
      <c r="AY3" s="260"/>
      <c r="AZ3" s="261"/>
      <c r="BA3" s="261"/>
      <c r="BB3" s="262"/>
      <c r="BC3" s="266"/>
      <c r="BD3" s="267"/>
      <c r="BE3" s="267"/>
      <c r="BF3" s="267"/>
      <c r="BG3" s="268"/>
      <c r="BH3" s="260"/>
      <c r="BI3" s="261"/>
      <c r="BJ3" s="261"/>
      <c r="BK3" s="262"/>
    </row>
    <row r="4" spans="1:63" ht="24.95" customHeight="1" x14ac:dyDescent="0.25">
      <c r="A4" s="313" t="s">
        <v>229</v>
      </c>
      <c r="B4" s="302"/>
      <c r="C4" s="302"/>
      <c r="D4" s="302"/>
      <c r="E4" s="302"/>
      <c r="F4" s="302"/>
      <c r="G4" s="303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301" t="s">
        <v>224</v>
      </c>
      <c r="V4" s="302"/>
      <c r="W4" s="302"/>
      <c r="X4" s="302"/>
      <c r="Y4" s="303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SC0101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s="315" customFormat="1" ht="15" customHeight="1" x14ac:dyDescent="0.25">
      <c r="A7" s="314" t="s">
        <v>26</v>
      </c>
      <c r="BK7" s="316"/>
    </row>
    <row r="8" spans="1:63" s="315" customFormat="1" ht="15" customHeight="1" x14ac:dyDescent="0.25">
      <c r="A8" s="314"/>
      <c r="BK8" s="316"/>
    </row>
    <row r="9" spans="1:63" s="315" customFormat="1" ht="15" customHeight="1" x14ac:dyDescent="0.25">
      <c r="A9" s="241" t="s">
        <v>230</v>
      </c>
      <c r="B9" s="242"/>
      <c r="C9" s="242"/>
      <c r="D9" s="242"/>
      <c r="E9" s="317" t="s">
        <v>31</v>
      </c>
      <c r="F9" s="317"/>
      <c r="G9" s="317"/>
      <c r="H9" s="317"/>
      <c r="I9" s="317"/>
      <c r="J9" s="317"/>
      <c r="K9" s="317"/>
      <c r="L9" s="317"/>
      <c r="M9" s="317"/>
      <c r="N9" s="317"/>
      <c r="O9" s="241" t="s">
        <v>231</v>
      </c>
      <c r="P9" s="242"/>
      <c r="Q9" s="242"/>
      <c r="R9" s="242"/>
      <c r="S9" s="242"/>
      <c r="T9" s="243"/>
      <c r="U9" s="318" t="s">
        <v>232</v>
      </c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20"/>
    </row>
    <row r="10" spans="1:63" s="315" customFormat="1" ht="15" customHeight="1" x14ac:dyDescent="0.25">
      <c r="A10" s="321"/>
      <c r="B10" s="322"/>
      <c r="C10" s="322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4"/>
      <c r="P10" s="324"/>
      <c r="Q10" s="324"/>
      <c r="R10" s="324"/>
      <c r="S10" s="324"/>
      <c r="T10" s="324"/>
      <c r="U10" s="325"/>
      <c r="V10" s="325"/>
      <c r="W10" s="322"/>
      <c r="X10" s="322"/>
      <c r="Y10" s="326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3"/>
      <c r="BK10" s="328"/>
    </row>
    <row r="11" spans="1:63" s="315" customFormat="1" ht="15" customHeight="1" x14ac:dyDescent="0.25">
      <c r="A11" s="329" t="s">
        <v>18</v>
      </c>
      <c r="B11" s="330"/>
      <c r="C11" s="330"/>
      <c r="D11" s="330"/>
      <c r="E11" s="330"/>
      <c r="F11" s="331"/>
      <c r="G11" s="317" t="s">
        <v>32</v>
      </c>
      <c r="H11" s="317"/>
      <c r="I11" s="317"/>
      <c r="J11" s="317"/>
      <c r="K11" s="317"/>
      <c r="L11" s="317"/>
      <c r="M11" s="332" t="s">
        <v>33</v>
      </c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32"/>
      <c r="AL11" s="332"/>
      <c r="AM11" s="332"/>
      <c r="AN11" s="332"/>
      <c r="AO11" s="332"/>
      <c r="AP11" s="332"/>
      <c r="AQ11" s="332"/>
      <c r="AR11" s="332"/>
      <c r="AS11" s="332"/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33"/>
      <c r="BI11" s="333"/>
      <c r="BJ11" s="333"/>
      <c r="BK11" s="334"/>
    </row>
    <row r="12" spans="1:63" s="315" customFormat="1" ht="15" customHeight="1" x14ac:dyDescent="0.25">
      <c r="A12" s="335" t="s">
        <v>20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7"/>
      <c r="M12" s="335" t="s">
        <v>21</v>
      </c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  <c r="AS12" s="336"/>
      <c r="AT12" s="337"/>
      <c r="AU12" s="335" t="s">
        <v>22</v>
      </c>
      <c r="AV12" s="336"/>
      <c r="AW12" s="336"/>
      <c r="AX12" s="336"/>
      <c r="AY12" s="336"/>
      <c r="AZ12" s="336"/>
      <c r="BA12" s="336"/>
      <c r="BB12" s="336"/>
      <c r="BC12" s="336"/>
      <c r="BD12" s="336"/>
      <c r="BE12" s="336"/>
      <c r="BF12" s="335" t="s">
        <v>23</v>
      </c>
      <c r="BG12" s="336"/>
      <c r="BH12" s="336"/>
      <c r="BI12" s="336"/>
      <c r="BJ12" s="336"/>
      <c r="BK12" s="337"/>
    </row>
    <row r="13" spans="1:63" s="315" customFormat="1" ht="15" customHeight="1" x14ac:dyDescent="0.25">
      <c r="A13" s="338"/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40"/>
      <c r="M13" s="338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40"/>
      <c r="AU13" s="338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8"/>
      <c r="BG13" s="339"/>
      <c r="BH13" s="339"/>
      <c r="BI13" s="339"/>
      <c r="BJ13" s="339"/>
      <c r="BK13" s="340"/>
    </row>
    <row r="14" spans="1:63" s="315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341"/>
      <c r="N14" s="341"/>
      <c r="O14" s="341"/>
      <c r="P14" s="341"/>
      <c r="Q14" s="341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42"/>
      <c r="AQ14" s="342"/>
      <c r="AR14" s="342"/>
      <c r="AS14" s="342"/>
      <c r="AT14" s="342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159" t="s">
        <v>233</v>
      </c>
      <c r="BG14" s="160"/>
      <c r="BH14" s="160"/>
      <c r="BI14" s="160"/>
      <c r="BJ14" s="160"/>
      <c r="BK14" s="161"/>
    </row>
    <row r="15" spans="1:63" s="315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341"/>
      <c r="N15" s="343" t="s">
        <v>234</v>
      </c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  <c r="AK15" s="341"/>
      <c r="AL15" s="341"/>
      <c r="AM15" s="341"/>
      <c r="AN15" s="341"/>
      <c r="AO15" s="341"/>
      <c r="AP15" s="341"/>
      <c r="AQ15" s="341"/>
      <c r="AR15" s="341"/>
      <c r="AS15" s="341"/>
      <c r="AT15" s="341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162"/>
      <c r="BG15" s="163"/>
      <c r="BH15" s="163"/>
      <c r="BI15" s="163"/>
      <c r="BJ15" s="163"/>
      <c r="BK15" s="164"/>
    </row>
    <row r="16" spans="1:63" s="315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344"/>
      <c r="N16" s="341"/>
      <c r="O16" s="343" t="s">
        <v>35</v>
      </c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3"/>
      <c r="AG16" s="343"/>
      <c r="AH16" s="343"/>
      <c r="AI16" s="343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162"/>
      <c r="BG16" s="163"/>
      <c r="BH16" s="163"/>
      <c r="BI16" s="163"/>
      <c r="BJ16" s="163"/>
      <c r="BK16" s="164"/>
    </row>
    <row r="17" spans="1:63" s="315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341"/>
      <c r="N17" s="341"/>
      <c r="O17" s="343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165"/>
      <c r="BG17" s="166"/>
      <c r="BH17" s="166"/>
      <c r="BI17" s="166"/>
      <c r="BJ17" s="166"/>
      <c r="BK17" s="167"/>
    </row>
    <row r="18" spans="1:63" s="315" customFormat="1" ht="15" customHeight="1" x14ac:dyDescent="0.25">
      <c r="A18" s="2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26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25"/>
      <c r="AV18" s="43"/>
      <c r="AW18" s="43"/>
      <c r="AX18" s="43"/>
      <c r="AY18" s="43"/>
      <c r="AZ18" s="43"/>
      <c r="BA18" s="43"/>
      <c r="BB18" s="43"/>
      <c r="BC18" s="43"/>
      <c r="BD18" s="43"/>
      <c r="BE18" s="26"/>
      <c r="BF18" s="165"/>
      <c r="BG18" s="166"/>
      <c r="BH18" s="166"/>
      <c r="BI18" s="166"/>
      <c r="BJ18" s="166"/>
      <c r="BK18" s="167"/>
    </row>
    <row r="19" spans="1:63" s="315" customFormat="1" ht="15" customHeight="1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345"/>
      <c r="N19" s="346"/>
      <c r="O19" s="346"/>
      <c r="P19" s="346"/>
      <c r="Q19" s="346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347"/>
      <c r="AQ19" s="347"/>
      <c r="AR19" s="347"/>
      <c r="AS19" s="347"/>
      <c r="AT19" s="347"/>
      <c r="AU19" s="27"/>
      <c r="AV19" s="28"/>
      <c r="AW19" s="28"/>
      <c r="AX19" s="28"/>
      <c r="AY19" s="28"/>
      <c r="AZ19" s="28"/>
      <c r="BA19" s="28"/>
      <c r="BB19" s="28"/>
      <c r="BC19" s="28"/>
      <c r="BD19" s="28"/>
      <c r="BE19" s="29"/>
      <c r="BF19" s="168"/>
      <c r="BG19" s="169"/>
      <c r="BH19" s="169"/>
      <c r="BI19" s="169"/>
      <c r="BJ19" s="169"/>
      <c r="BK19" s="170"/>
    </row>
    <row r="20" spans="1:63" ht="15" customHeight="1" x14ac:dyDescent="0.25">
      <c r="A20" s="31"/>
      <c r="BK20" s="16"/>
    </row>
    <row r="21" spans="1:63" ht="15" customHeight="1" x14ac:dyDescent="0.25">
      <c r="A21" s="53"/>
      <c r="BK21" s="16"/>
    </row>
    <row r="22" spans="1:63" ht="15" customHeight="1" x14ac:dyDescent="0.25">
      <c r="A22" s="53"/>
      <c r="BK22" s="16"/>
    </row>
    <row r="23" spans="1:63" ht="15" customHeight="1" x14ac:dyDescent="0.25">
      <c r="A23" s="53"/>
      <c r="BK23" s="16"/>
    </row>
    <row r="24" spans="1:63" s="315" customFormat="1" ht="15" customHeight="1" x14ac:dyDescent="0.25">
      <c r="A24" s="329" t="s">
        <v>18</v>
      </c>
      <c r="B24" s="330"/>
      <c r="C24" s="330"/>
      <c r="D24" s="330"/>
      <c r="E24" s="330"/>
      <c r="F24" s="331"/>
      <c r="G24" s="317" t="s">
        <v>57</v>
      </c>
      <c r="H24" s="317"/>
      <c r="I24" s="317"/>
      <c r="J24" s="317"/>
      <c r="K24" s="317"/>
      <c r="L24" s="317"/>
      <c r="M24" s="332" t="s">
        <v>33</v>
      </c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2"/>
      <c r="AN24" s="332"/>
      <c r="AO24" s="332"/>
      <c r="AP24" s="332"/>
      <c r="AQ24" s="332"/>
      <c r="AR24" s="332"/>
      <c r="AS24" s="332"/>
      <c r="AT24" s="332"/>
      <c r="AU24" s="332"/>
      <c r="AV24" s="332"/>
      <c r="AW24" s="332"/>
      <c r="AX24" s="332"/>
      <c r="AY24" s="332"/>
      <c r="AZ24" s="332"/>
      <c r="BA24" s="332"/>
      <c r="BB24" s="332"/>
      <c r="BC24" s="332"/>
      <c r="BD24" s="332"/>
      <c r="BE24" s="332"/>
      <c r="BF24" s="332"/>
      <c r="BG24" s="332"/>
      <c r="BH24" s="333"/>
      <c r="BI24" s="333"/>
      <c r="BJ24" s="333"/>
      <c r="BK24" s="334"/>
    </row>
    <row r="25" spans="1:63" s="315" customFormat="1" ht="15" customHeight="1" x14ac:dyDescent="0.25">
      <c r="A25" s="335" t="s">
        <v>20</v>
      </c>
      <c r="B25" s="336"/>
      <c r="C25" s="336"/>
      <c r="D25" s="336"/>
      <c r="E25" s="336"/>
      <c r="F25" s="336"/>
      <c r="G25" s="336"/>
      <c r="H25" s="336"/>
      <c r="I25" s="336"/>
      <c r="J25" s="336"/>
      <c r="K25" s="336"/>
      <c r="L25" s="337"/>
      <c r="M25" s="335" t="s">
        <v>21</v>
      </c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6"/>
      <c r="AQ25" s="336"/>
      <c r="AR25" s="336"/>
      <c r="AS25" s="336"/>
      <c r="AT25" s="337"/>
      <c r="AU25" s="335" t="s">
        <v>22</v>
      </c>
      <c r="AV25" s="336"/>
      <c r="AW25" s="336"/>
      <c r="AX25" s="336"/>
      <c r="AY25" s="336"/>
      <c r="AZ25" s="336"/>
      <c r="BA25" s="336"/>
      <c r="BB25" s="336"/>
      <c r="BC25" s="336"/>
      <c r="BD25" s="336"/>
      <c r="BE25" s="336"/>
      <c r="BF25" s="335" t="s">
        <v>23</v>
      </c>
      <c r="BG25" s="336"/>
      <c r="BH25" s="336"/>
      <c r="BI25" s="336"/>
      <c r="BJ25" s="336"/>
      <c r="BK25" s="337"/>
    </row>
    <row r="26" spans="1:63" s="315" customFormat="1" ht="15" customHeight="1" x14ac:dyDescent="0.25">
      <c r="A26" s="338"/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40"/>
      <c r="M26" s="338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39"/>
      <c r="AS26" s="339"/>
      <c r="AT26" s="340"/>
      <c r="AU26" s="338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8"/>
      <c r="BG26" s="339"/>
      <c r="BH26" s="339"/>
      <c r="BI26" s="339"/>
      <c r="BJ26" s="339"/>
      <c r="BK26" s="340"/>
    </row>
    <row r="27" spans="1:63" s="315" customFormat="1" ht="15" customHeigh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341"/>
      <c r="N27" s="341"/>
      <c r="O27" s="341"/>
      <c r="P27" s="341"/>
      <c r="Q27" s="341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42"/>
      <c r="AN27" s="342"/>
      <c r="AO27" s="342"/>
      <c r="AP27" s="342"/>
      <c r="AQ27" s="342"/>
      <c r="AR27" s="342"/>
      <c r="AS27" s="342"/>
      <c r="AT27" s="342"/>
      <c r="AU27" s="21"/>
      <c r="AV27" s="22"/>
      <c r="AW27" s="22"/>
      <c r="AX27" s="22"/>
      <c r="AY27" s="22"/>
      <c r="AZ27" s="22"/>
      <c r="BA27" s="22"/>
      <c r="BB27" s="22"/>
      <c r="BC27" s="22"/>
      <c r="BD27" s="22"/>
      <c r="BE27" s="23"/>
      <c r="BF27" s="159" t="s">
        <v>233</v>
      </c>
      <c r="BG27" s="160"/>
      <c r="BH27" s="160"/>
      <c r="BI27" s="160"/>
      <c r="BJ27" s="160"/>
      <c r="BK27" s="161"/>
    </row>
    <row r="28" spans="1:63" s="315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341"/>
      <c r="N28" s="57" t="s">
        <v>235</v>
      </c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  <c r="AK28" s="341"/>
      <c r="AL28" s="341"/>
      <c r="AM28" s="341"/>
      <c r="AN28" s="341"/>
      <c r="AO28" s="341"/>
      <c r="AP28" s="341"/>
      <c r="AQ28" s="341"/>
      <c r="AR28" s="341"/>
      <c r="AS28" s="341"/>
      <c r="AT28" s="341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162"/>
      <c r="BG28" s="163"/>
      <c r="BH28" s="163"/>
      <c r="BI28" s="163"/>
      <c r="BJ28" s="163"/>
      <c r="BK28" s="164"/>
    </row>
    <row r="29" spans="1:63" s="315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344"/>
      <c r="N29" s="341"/>
      <c r="O29" s="343" t="s">
        <v>36</v>
      </c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3"/>
      <c r="AE29" s="343"/>
      <c r="AF29" s="343"/>
      <c r="AG29" s="343"/>
      <c r="AH29" s="343"/>
      <c r="AI29" s="343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41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162"/>
      <c r="BG29" s="163"/>
      <c r="BH29" s="163"/>
      <c r="BI29" s="163"/>
      <c r="BJ29" s="163"/>
      <c r="BK29" s="164"/>
    </row>
    <row r="30" spans="1:63" s="315" customFormat="1" ht="15" customHeight="1" x14ac:dyDescent="0.25">
      <c r="A30" s="2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6"/>
      <c r="M30" s="341"/>
      <c r="N30" s="341"/>
      <c r="O30" s="343" t="s">
        <v>236</v>
      </c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  <c r="AK30" s="341"/>
      <c r="AL30" s="341"/>
      <c r="AM30" s="341"/>
      <c r="AN30" s="341"/>
      <c r="AO30" s="341"/>
      <c r="AP30" s="341"/>
      <c r="AQ30" s="341"/>
      <c r="AR30" s="341"/>
      <c r="AS30" s="341"/>
      <c r="AT30" s="341"/>
      <c r="AU30" s="25"/>
      <c r="AV30" s="43"/>
      <c r="AW30" s="43"/>
      <c r="AX30" s="43"/>
      <c r="AY30" s="43"/>
      <c r="AZ30" s="43"/>
      <c r="BA30" s="43"/>
      <c r="BB30" s="43"/>
      <c r="BC30" s="43"/>
      <c r="BD30" s="43"/>
      <c r="BE30" s="26"/>
      <c r="BF30" s="162" t="s">
        <v>173</v>
      </c>
      <c r="BG30" s="163"/>
      <c r="BH30" s="163"/>
      <c r="BI30" s="163"/>
      <c r="BJ30" s="163"/>
      <c r="BK30" s="164"/>
    </row>
    <row r="31" spans="1:63" s="315" customFormat="1" ht="15" customHeight="1" x14ac:dyDescent="0.25">
      <c r="A31" s="25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6"/>
      <c r="M31" s="341"/>
      <c r="N31" s="57" t="s">
        <v>237</v>
      </c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25"/>
      <c r="AV31" s="43"/>
      <c r="AW31" s="43"/>
      <c r="AX31" s="43"/>
      <c r="AY31" s="43"/>
      <c r="AZ31" s="43"/>
      <c r="BA31" s="43"/>
      <c r="BB31" s="43"/>
      <c r="BC31" s="43"/>
      <c r="BD31" s="43"/>
      <c r="BE31" s="26"/>
      <c r="BF31" s="162"/>
      <c r="BG31" s="163"/>
      <c r="BH31" s="163"/>
      <c r="BI31" s="163"/>
      <c r="BJ31" s="163"/>
      <c r="BK31" s="164"/>
    </row>
    <row r="32" spans="1:63" s="315" customFormat="1" ht="15" customHeight="1" x14ac:dyDescent="0.25">
      <c r="A32" s="25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6"/>
      <c r="M32" s="341"/>
      <c r="N32" s="57"/>
      <c r="O32" s="341" t="s">
        <v>37</v>
      </c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25"/>
      <c r="AV32" s="43"/>
      <c r="AW32" s="43"/>
      <c r="AX32" s="43"/>
      <c r="AY32" s="43"/>
      <c r="AZ32" s="43"/>
      <c r="BA32" s="43"/>
      <c r="BB32" s="43"/>
      <c r="BC32" s="43"/>
      <c r="BD32" s="43"/>
      <c r="BE32" s="26"/>
      <c r="BF32" s="162"/>
      <c r="BG32" s="163"/>
      <c r="BH32" s="163"/>
      <c r="BI32" s="163"/>
      <c r="BJ32" s="163"/>
      <c r="BK32" s="164"/>
    </row>
    <row r="33" spans="1:63" s="315" customFormat="1" ht="15" customHeight="1" x14ac:dyDescent="0.25">
      <c r="A33" s="25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6"/>
      <c r="M33" s="341"/>
      <c r="N33" s="57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25"/>
      <c r="AV33" s="43"/>
      <c r="AW33" s="43"/>
      <c r="AX33" s="43"/>
      <c r="AY33" s="43"/>
      <c r="AZ33" s="43"/>
      <c r="BA33" s="43"/>
      <c r="BB33" s="43"/>
      <c r="BC33" s="43"/>
      <c r="BD33" s="43"/>
      <c r="BE33" s="26"/>
      <c r="BF33" s="162"/>
      <c r="BG33" s="163"/>
      <c r="BH33" s="163"/>
      <c r="BI33" s="163"/>
      <c r="BJ33" s="163"/>
      <c r="BK33" s="164"/>
    </row>
    <row r="34" spans="1:63" s="315" customFormat="1" ht="15" customHeight="1" x14ac:dyDescent="0.25">
      <c r="A34" s="2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6"/>
      <c r="M34" s="344"/>
      <c r="N34" s="57"/>
      <c r="O34" s="343" t="s">
        <v>187</v>
      </c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341"/>
      <c r="AU34" s="25"/>
      <c r="AV34" s="43"/>
      <c r="AW34" s="43"/>
      <c r="AX34" s="43"/>
      <c r="AY34" s="43"/>
      <c r="AZ34" s="43"/>
      <c r="BA34" s="43"/>
      <c r="BB34" s="43"/>
      <c r="BC34" s="43"/>
      <c r="BD34" s="43"/>
      <c r="BE34" s="26"/>
      <c r="BF34" s="162"/>
      <c r="BG34" s="163"/>
      <c r="BH34" s="163"/>
      <c r="BI34" s="163"/>
      <c r="BJ34" s="163"/>
      <c r="BK34" s="164"/>
    </row>
    <row r="35" spans="1:63" s="315" customFormat="1" ht="15" customHeight="1" x14ac:dyDescent="0.25">
      <c r="A35" s="2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6"/>
      <c r="M35" s="341"/>
      <c r="O35" s="343"/>
      <c r="P35" s="58" t="s">
        <v>38</v>
      </c>
      <c r="Q35" s="59"/>
      <c r="R35" s="59"/>
      <c r="S35" s="59"/>
      <c r="T35" s="59"/>
      <c r="U35" s="59"/>
      <c r="V35" s="59"/>
      <c r="W35" s="58" t="s">
        <v>39</v>
      </c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0"/>
      <c r="AN35" s="341"/>
      <c r="AO35" s="341"/>
      <c r="AP35" s="341"/>
      <c r="AQ35" s="341"/>
      <c r="AR35" s="341"/>
      <c r="AS35" s="341"/>
      <c r="AT35" s="341"/>
      <c r="AU35" s="25"/>
      <c r="AV35" s="43"/>
      <c r="AW35" s="43"/>
      <c r="AX35" s="43"/>
      <c r="AY35" s="43"/>
      <c r="AZ35" s="43"/>
      <c r="BA35" s="43"/>
      <c r="BB35" s="43"/>
      <c r="BC35" s="43"/>
      <c r="BD35" s="43"/>
      <c r="BE35" s="26"/>
      <c r="BF35" s="162"/>
      <c r="BG35" s="163"/>
      <c r="BH35" s="163"/>
      <c r="BI35" s="163"/>
      <c r="BJ35" s="163"/>
      <c r="BK35" s="164"/>
    </row>
    <row r="36" spans="1:63" s="315" customFormat="1" ht="15" customHeight="1" x14ac:dyDescent="0.25">
      <c r="A36" s="2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6"/>
      <c r="M36" s="341"/>
      <c r="N36" s="343"/>
      <c r="O36" s="343"/>
      <c r="P36" s="348" t="s">
        <v>189</v>
      </c>
      <c r="Q36" s="349"/>
      <c r="R36" s="349"/>
      <c r="S36" s="349"/>
      <c r="T36" s="349"/>
      <c r="U36" s="349"/>
      <c r="V36" s="349"/>
      <c r="W36" s="350" t="s">
        <v>199</v>
      </c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2"/>
      <c r="AN36" s="341"/>
      <c r="AO36" s="341"/>
      <c r="AP36" s="341"/>
      <c r="AQ36" s="341"/>
      <c r="AR36" s="341"/>
      <c r="AS36" s="341"/>
      <c r="AT36" s="341"/>
      <c r="AU36" s="25"/>
      <c r="AV36" s="43"/>
      <c r="AW36" s="43"/>
      <c r="AX36" s="43"/>
      <c r="AY36" s="43"/>
      <c r="AZ36" s="43"/>
      <c r="BA36" s="43"/>
      <c r="BB36" s="43"/>
      <c r="BC36" s="43"/>
      <c r="BD36" s="43"/>
      <c r="BE36" s="26"/>
      <c r="BF36" s="162"/>
      <c r="BG36" s="163"/>
      <c r="BH36" s="163"/>
      <c r="BI36" s="163"/>
      <c r="BJ36" s="163"/>
      <c r="BK36" s="164"/>
    </row>
    <row r="37" spans="1:63" s="315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341"/>
      <c r="N37" s="343"/>
      <c r="O37" s="343"/>
      <c r="P37" s="348" t="s">
        <v>190</v>
      </c>
      <c r="Q37" s="349"/>
      <c r="R37" s="349"/>
      <c r="S37" s="349"/>
      <c r="T37" s="349"/>
      <c r="U37" s="349"/>
      <c r="V37" s="349"/>
      <c r="W37" s="350" t="s">
        <v>200</v>
      </c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352"/>
      <c r="AN37" s="341"/>
      <c r="AO37" s="341"/>
      <c r="AP37" s="341"/>
      <c r="AQ37" s="341"/>
      <c r="AR37" s="341"/>
      <c r="AS37" s="341"/>
      <c r="AT37" s="341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162"/>
      <c r="BG37" s="163"/>
      <c r="BH37" s="163"/>
      <c r="BI37" s="163"/>
      <c r="BJ37" s="163"/>
      <c r="BK37" s="164"/>
    </row>
    <row r="38" spans="1:63" s="315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341"/>
      <c r="N38" s="343"/>
      <c r="O38" s="343"/>
      <c r="P38" s="348" t="s">
        <v>191</v>
      </c>
      <c r="Q38" s="349"/>
      <c r="R38" s="349"/>
      <c r="S38" s="349"/>
      <c r="T38" s="349"/>
      <c r="U38" s="349"/>
      <c r="V38" s="349"/>
      <c r="W38" s="350" t="s">
        <v>200</v>
      </c>
      <c r="X38" s="351"/>
      <c r="Y38" s="351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  <c r="AJ38" s="351"/>
      <c r="AK38" s="351"/>
      <c r="AL38" s="351"/>
      <c r="AM38" s="352"/>
      <c r="AN38" s="341"/>
      <c r="AO38" s="341"/>
      <c r="AP38" s="341"/>
      <c r="AQ38" s="341"/>
      <c r="AR38" s="341"/>
      <c r="AS38" s="341"/>
      <c r="AT38" s="341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162"/>
      <c r="BG38" s="163"/>
      <c r="BH38" s="163"/>
      <c r="BI38" s="163"/>
      <c r="BJ38" s="163"/>
      <c r="BK38" s="164"/>
    </row>
    <row r="39" spans="1:63" s="315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341"/>
      <c r="N39" s="343"/>
      <c r="O39" s="343"/>
      <c r="P39" s="348" t="s">
        <v>192</v>
      </c>
      <c r="Q39" s="349"/>
      <c r="R39" s="349"/>
      <c r="S39" s="349"/>
      <c r="T39" s="349"/>
      <c r="U39" s="349"/>
      <c r="V39" s="349"/>
      <c r="W39" s="350" t="s">
        <v>200</v>
      </c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2"/>
      <c r="AN39" s="341"/>
      <c r="AO39" s="341"/>
      <c r="AP39" s="341"/>
      <c r="AQ39" s="341"/>
      <c r="AR39" s="341"/>
      <c r="AS39" s="341"/>
      <c r="AT39" s="341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162"/>
      <c r="BG39" s="163"/>
      <c r="BH39" s="163"/>
      <c r="BI39" s="163"/>
      <c r="BJ39" s="163"/>
      <c r="BK39" s="164"/>
    </row>
    <row r="40" spans="1:63" s="315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341"/>
      <c r="N40" s="343"/>
      <c r="O40" s="343"/>
      <c r="P40" s="348" t="s">
        <v>172</v>
      </c>
      <c r="Q40" s="349"/>
      <c r="R40" s="349"/>
      <c r="S40" s="349"/>
      <c r="T40" s="349"/>
      <c r="U40" s="349"/>
      <c r="V40" s="349"/>
      <c r="W40" s="350" t="s">
        <v>201</v>
      </c>
      <c r="X40" s="351"/>
      <c r="Y40" s="351"/>
      <c r="Z40" s="351"/>
      <c r="AA40" s="351"/>
      <c r="AB40" s="351"/>
      <c r="AC40" s="351"/>
      <c r="AD40" s="351"/>
      <c r="AE40" s="351"/>
      <c r="AF40" s="351"/>
      <c r="AG40" s="351"/>
      <c r="AH40" s="351"/>
      <c r="AI40" s="351"/>
      <c r="AJ40" s="351"/>
      <c r="AK40" s="351"/>
      <c r="AL40" s="351"/>
      <c r="AM40" s="352"/>
      <c r="AN40" s="341"/>
      <c r="AO40" s="341"/>
      <c r="AP40" s="341"/>
      <c r="AQ40" s="341"/>
      <c r="AR40" s="341"/>
      <c r="AS40" s="341"/>
      <c r="AT40" s="341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162"/>
      <c r="BG40" s="163"/>
      <c r="BH40" s="163"/>
      <c r="BI40" s="163"/>
      <c r="BJ40" s="163"/>
      <c r="BK40" s="164"/>
    </row>
    <row r="41" spans="1:63" s="315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341"/>
      <c r="N41" s="343"/>
      <c r="O41" s="343"/>
      <c r="P41" s="343"/>
      <c r="Q41" s="343"/>
      <c r="R41" s="343"/>
      <c r="S41" s="343"/>
      <c r="T41" s="343"/>
      <c r="U41" s="343"/>
      <c r="V41" s="343"/>
      <c r="W41" s="343"/>
      <c r="X41" s="343"/>
      <c r="Y41" s="343"/>
      <c r="Z41" s="343"/>
      <c r="AA41" s="343"/>
      <c r="AB41" s="343"/>
      <c r="AC41" s="343"/>
      <c r="AD41" s="343"/>
      <c r="AE41" s="343"/>
      <c r="AF41" s="343"/>
      <c r="AG41" s="343"/>
      <c r="AH41" s="343"/>
      <c r="AI41" s="343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162"/>
      <c r="BG41" s="163"/>
      <c r="BH41" s="163"/>
      <c r="BI41" s="163"/>
      <c r="BJ41" s="163"/>
      <c r="BK41" s="164"/>
    </row>
    <row r="42" spans="1:63" s="315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341"/>
      <c r="N42" s="343"/>
      <c r="O42" s="341" t="s">
        <v>188</v>
      </c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343"/>
      <c r="AB42" s="343"/>
      <c r="AC42" s="343"/>
      <c r="AD42" s="343"/>
      <c r="AE42" s="343"/>
      <c r="AF42" s="343"/>
      <c r="AG42" s="343"/>
      <c r="AH42" s="343"/>
      <c r="AI42" s="343"/>
      <c r="AJ42" s="341"/>
      <c r="AK42" s="341"/>
      <c r="AL42" s="341"/>
      <c r="AM42" s="341"/>
      <c r="AN42" s="341"/>
      <c r="AO42" s="341"/>
      <c r="AP42" s="341"/>
      <c r="AQ42" s="341"/>
      <c r="AR42" s="341"/>
      <c r="AS42" s="341"/>
      <c r="AT42" s="341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162"/>
      <c r="BG42" s="163"/>
      <c r="BH42" s="163"/>
      <c r="BI42" s="163"/>
      <c r="BJ42" s="163"/>
      <c r="BK42" s="164"/>
    </row>
    <row r="43" spans="1:63" s="315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341"/>
      <c r="N43" s="343"/>
      <c r="O43" s="343"/>
      <c r="P43" s="343" t="s">
        <v>193</v>
      </c>
      <c r="Q43" s="343"/>
      <c r="R43" s="343"/>
      <c r="S43" s="343"/>
      <c r="T43" s="343"/>
      <c r="U43" s="343"/>
      <c r="V43" s="343"/>
      <c r="W43" s="343"/>
      <c r="X43" s="343"/>
      <c r="Y43" s="343"/>
      <c r="Z43" s="343"/>
      <c r="AA43" s="343"/>
      <c r="AB43" s="343"/>
      <c r="AC43" s="343"/>
      <c r="AD43" s="343"/>
      <c r="AE43" s="343"/>
      <c r="AF43" s="343"/>
      <c r="AG43" s="343"/>
      <c r="AH43" s="343"/>
      <c r="AI43" s="343"/>
      <c r="AJ43" s="341"/>
      <c r="AK43" s="341"/>
      <c r="AL43" s="341"/>
      <c r="AM43" s="341"/>
      <c r="AN43" s="341"/>
      <c r="AO43" s="341"/>
      <c r="AP43" s="341"/>
      <c r="AQ43" s="341"/>
      <c r="AR43" s="341"/>
      <c r="AS43" s="341"/>
      <c r="AT43" s="341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162"/>
      <c r="BG43" s="163"/>
      <c r="BH43" s="163"/>
      <c r="BI43" s="163"/>
      <c r="BJ43" s="163"/>
      <c r="BK43" s="164"/>
    </row>
    <row r="44" spans="1:63" s="315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341"/>
      <c r="N44" s="343"/>
      <c r="O44" s="343"/>
      <c r="P44" s="343"/>
      <c r="Q44" s="58" t="s">
        <v>195</v>
      </c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60"/>
      <c r="AN44" s="341"/>
      <c r="AO44" s="341"/>
      <c r="AP44" s="341"/>
      <c r="AQ44" s="341"/>
      <c r="AR44" s="341"/>
      <c r="AS44" s="341"/>
      <c r="AT44" s="341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162"/>
      <c r="BG44" s="163"/>
      <c r="BH44" s="163"/>
      <c r="BI44" s="163"/>
      <c r="BJ44" s="163"/>
      <c r="BK44" s="164"/>
    </row>
    <row r="45" spans="1:63" s="315" customFormat="1" ht="15" customHeight="1" x14ac:dyDescent="0.25">
      <c r="A45" s="2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6"/>
      <c r="M45" s="341"/>
      <c r="N45" s="343"/>
      <c r="O45" s="343"/>
      <c r="P45" s="343"/>
      <c r="Q45" s="353" t="s">
        <v>196</v>
      </c>
      <c r="R45" s="342"/>
      <c r="S45" s="342"/>
      <c r="T45" s="342"/>
      <c r="U45" s="342"/>
      <c r="V45" s="354"/>
      <c r="W45" s="342"/>
      <c r="X45" s="342"/>
      <c r="Y45" s="342"/>
      <c r="Z45" s="342"/>
      <c r="AA45" s="342"/>
      <c r="AB45" s="353" t="s">
        <v>202</v>
      </c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55"/>
      <c r="AN45" s="341"/>
      <c r="AO45" s="341"/>
      <c r="AP45" s="341"/>
      <c r="AQ45" s="341"/>
      <c r="AR45" s="341"/>
      <c r="AS45" s="341"/>
      <c r="AT45" s="341"/>
      <c r="AU45" s="25"/>
      <c r="AV45" s="43"/>
      <c r="AW45" s="43"/>
      <c r="AX45" s="43"/>
      <c r="AY45" s="43"/>
      <c r="AZ45" s="43"/>
      <c r="BA45" s="43"/>
      <c r="BB45" s="43"/>
      <c r="BC45" s="43"/>
      <c r="BD45" s="43"/>
      <c r="BE45" s="26"/>
      <c r="BF45" s="162"/>
      <c r="BG45" s="163"/>
      <c r="BH45" s="163"/>
      <c r="BI45" s="163"/>
      <c r="BJ45" s="163"/>
      <c r="BK45" s="164"/>
    </row>
    <row r="46" spans="1:63" s="315" customFormat="1" ht="15" customHeight="1" x14ac:dyDescent="0.25">
      <c r="A46" s="2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  <c r="M46" s="341"/>
      <c r="N46" s="343"/>
      <c r="O46" s="343"/>
      <c r="P46" s="343"/>
      <c r="Q46" s="353" t="s">
        <v>197</v>
      </c>
      <c r="R46" s="342"/>
      <c r="S46" s="342"/>
      <c r="T46" s="342"/>
      <c r="U46" s="342"/>
      <c r="V46" s="356"/>
      <c r="W46" s="342"/>
      <c r="X46" s="342"/>
      <c r="Y46" s="342"/>
      <c r="Z46" s="342"/>
      <c r="AA46" s="342"/>
      <c r="AB46" s="357" t="s">
        <v>203</v>
      </c>
      <c r="AC46" s="342"/>
      <c r="AD46" s="342"/>
      <c r="AE46" s="342"/>
      <c r="AF46" s="342"/>
      <c r="AG46" s="342"/>
      <c r="AH46" s="342"/>
      <c r="AI46" s="342"/>
      <c r="AJ46" s="342"/>
      <c r="AK46" s="342"/>
      <c r="AL46" s="342"/>
      <c r="AM46" s="355"/>
      <c r="AN46" s="341"/>
      <c r="AO46" s="341"/>
      <c r="AP46" s="341"/>
      <c r="AQ46" s="341"/>
      <c r="AR46" s="341"/>
      <c r="AS46" s="341"/>
      <c r="AT46" s="341"/>
      <c r="AU46" s="25"/>
      <c r="AV46" s="43"/>
      <c r="AW46" s="43"/>
      <c r="AX46" s="43"/>
      <c r="AY46" s="43"/>
      <c r="AZ46" s="43"/>
      <c r="BA46" s="43"/>
      <c r="BB46" s="43"/>
      <c r="BC46" s="43"/>
      <c r="BD46" s="43"/>
      <c r="BE46" s="26"/>
      <c r="BF46" s="162"/>
      <c r="BG46" s="163"/>
      <c r="BH46" s="163"/>
      <c r="BI46" s="163"/>
      <c r="BJ46" s="163"/>
      <c r="BK46" s="164"/>
    </row>
    <row r="47" spans="1:63" s="315" customFormat="1" ht="15" customHeight="1" x14ac:dyDescent="0.25">
      <c r="A47" s="2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6"/>
      <c r="M47" s="341"/>
      <c r="N47" s="343"/>
      <c r="O47" s="343"/>
      <c r="P47" s="343"/>
      <c r="Q47" s="358" t="s">
        <v>198</v>
      </c>
      <c r="R47" s="332"/>
      <c r="S47" s="332"/>
      <c r="T47" s="332"/>
      <c r="U47" s="332"/>
      <c r="V47" s="359"/>
      <c r="W47" s="332"/>
      <c r="X47" s="332"/>
      <c r="Y47" s="332"/>
      <c r="Z47" s="332"/>
      <c r="AA47" s="332"/>
      <c r="AB47" s="360" t="s">
        <v>204</v>
      </c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61"/>
      <c r="AN47" s="341"/>
      <c r="AO47" s="341"/>
      <c r="AP47" s="341"/>
      <c r="AQ47" s="341"/>
      <c r="AR47" s="341"/>
      <c r="AS47" s="341"/>
      <c r="AT47" s="341"/>
      <c r="AU47" s="25"/>
      <c r="AV47" s="43"/>
      <c r="AW47" s="43"/>
      <c r="AX47" s="43"/>
      <c r="AY47" s="43"/>
      <c r="AZ47" s="43"/>
      <c r="BA47" s="43"/>
      <c r="BB47" s="43"/>
      <c r="BC47" s="43"/>
      <c r="BD47" s="43"/>
      <c r="BE47" s="26"/>
      <c r="BF47" s="162"/>
      <c r="BG47" s="163"/>
      <c r="BH47" s="163"/>
      <c r="BI47" s="163"/>
      <c r="BJ47" s="163"/>
      <c r="BK47" s="164"/>
    </row>
    <row r="48" spans="1:63" s="315" customFormat="1" ht="15" customHeight="1" x14ac:dyDescent="0.25">
      <c r="A48" s="2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6"/>
      <c r="M48" s="341"/>
      <c r="N48" s="343"/>
      <c r="O48" s="343"/>
      <c r="P48" s="343"/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25"/>
      <c r="AV48" s="43"/>
      <c r="AW48" s="43"/>
      <c r="AX48" s="43"/>
      <c r="AY48" s="43"/>
      <c r="AZ48" s="43"/>
      <c r="BA48" s="43"/>
      <c r="BB48" s="43"/>
      <c r="BC48" s="43"/>
      <c r="BD48" s="43"/>
      <c r="BE48" s="26"/>
      <c r="BF48" s="162"/>
      <c r="BG48" s="163"/>
      <c r="BH48" s="163"/>
      <c r="BI48" s="163"/>
      <c r="BJ48" s="163"/>
      <c r="BK48" s="164"/>
    </row>
    <row r="49" spans="1:63" s="315" customFormat="1" ht="15" customHeight="1" x14ac:dyDescent="0.25">
      <c r="A49" s="2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6"/>
      <c r="M49" s="341"/>
      <c r="N49" s="343"/>
      <c r="O49" s="343"/>
      <c r="P49" s="343"/>
      <c r="Q49" s="343" t="s">
        <v>68</v>
      </c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26"/>
      <c r="BF49" s="162"/>
      <c r="BG49" s="163"/>
      <c r="BH49" s="163"/>
      <c r="BI49" s="163"/>
      <c r="BJ49" s="163"/>
      <c r="BK49" s="164"/>
    </row>
    <row r="50" spans="1:63" s="315" customFormat="1" ht="15" customHeight="1" x14ac:dyDescent="0.25">
      <c r="A50" s="2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6"/>
      <c r="M50" s="341"/>
      <c r="N50" s="343"/>
      <c r="O50" s="343"/>
      <c r="P50" s="341" t="s">
        <v>194</v>
      </c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26"/>
      <c r="BF50" s="162"/>
      <c r="BG50" s="163"/>
      <c r="BH50" s="163"/>
      <c r="BI50" s="163"/>
      <c r="BJ50" s="163"/>
      <c r="BK50" s="164"/>
    </row>
    <row r="51" spans="1:63" s="315" customFormat="1" ht="15" customHeight="1" x14ac:dyDescent="0.25">
      <c r="A51" s="25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6"/>
      <c r="M51" s="341"/>
      <c r="N51" s="343"/>
      <c r="O51" s="343"/>
      <c r="P51" s="343"/>
      <c r="Q51" s="343" t="s">
        <v>238</v>
      </c>
      <c r="R51" s="343"/>
      <c r="S51" s="343"/>
      <c r="T51" s="343"/>
      <c r="U51" s="343"/>
      <c r="V51" s="343"/>
      <c r="W51" s="343"/>
      <c r="X51" s="343"/>
      <c r="Y51" s="343"/>
      <c r="Z51" s="343"/>
      <c r="AA51" s="343"/>
      <c r="AB51" s="343"/>
      <c r="AC51" s="343"/>
      <c r="AD51" s="343"/>
      <c r="AE51" s="343"/>
      <c r="AF51" s="343"/>
      <c r="AG51" s="343"/>
      <c r="AH51" s="343"/>
      <c r="AI51" s="343"/>
      <c r="AJ51" s="341"/>
      <c r="AK51" s="341"/>
      <c r="AL51" s="341"/>
      <c r="AM51" s="341"/>
      <c r="AN51" s="341"/>
      <c r="AO51" s="341"/>
      <c r="AP51" s="341"/>
      <c r="AQ51" s="341"/>
      <c r="AR51" s="341"/>
      <c r="AS51" s="341"/>
      <c r="AT51" s="341"/>
      <c r="AU51" s="25"/>
      <c r="AV51" s="43"/>
      <c r="AW51" s="43"/>
      <c r="AX51" s="43"/>
      <c r="AY51" s="43"/>
      <c r="AZ51" s="43"/>
      <c r="BA51" s="43"/>
      <c r="BB51" s="43"/>
      <c r="BC51" s="43"/>
      <c r="BD51" s="43"/>
      <c r="BE51" s="26"/>
      <c r="BF51" s="162"/>
      <c r="BG51" s="163"/>
      <c r="BH51" s="163"/>
      <c r="BI51" s="163"/>
      <c r="BJ51" s="163"/>
      <c r="BK51" s="164"/>
    </row>
    <row r="52" spans="1:63" s="315" customFormat="1" ht="15" customHeight="1" x14ac:dyDescent="0.25">
      <c r="A52" s="25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6"/>
      <c r="M52" s="341"/>
      <c r="N52" s="343"/>
      <c r="O52" s="343"/>
      <c r="P52" s="343"/>
      <c r="Q52" s="343" t="s">
        <v>56</v>
      </c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  <c r="AC52" s="343"/>
      <c r="AD52" s="343"/>
      <c r="AE52" s="343"/>
      <c r="AF52" s="343"/>
      <c r="AG52" s="343"/>
      <c r="AH52" s="343"/>
      <c r="AI52" s="343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25"/>
      <c r="AV52" s="43"/>
      <c r="AW52" s="43"/>
      <c r="AX52" s="43"/>
      <c r="AY52" s="43"/>
      <c r="AZ52" s="43"/>
      <c r="BA52" s="43"/>
      <c r="BB52" s="43"/>
      <c r="BC52" s="43"/>
      <c r="BD52" s="43"/>
      <c r="BE52" s="26"/>
      <c r="BF52" s="162"/>
      <c r="BG52" s="163"/>
      <c r="BH52" s="163"/>
      <c r="BI52" s="163"/>
      <c r="BJ52" s="163"/>
      <c r="BK52" s="164"/>
    </row>
    <row r="53" spans="1:63" s="315" customFormat="1" ht="15" customHeight="1" x14ac:dyDescent="0.25">
      <c r="A53" s="25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6"/>
      <c r="M53" s="341"/>
      <c r="N53" s="343"/>
      <c r="O53" s="343"/>
      <c r="P53" s="343"/>
      <c r="Q53" s="343" t="s">
        <v>239</v>
      </c>
      <c r="R53" s="343"/>
      <c r="S53" s="343"/>
      <c r="T53" s="343"/>
      <c r="U53" s="343"/>
      <c r="V53" s="343"/>
      <c r="W53" s="343"/>
      <c r="X53" s="343"/>
      <c r="Y53" s="343"/>
      <c r="Z53" s="343"/>
      <c r="AA53" s="343"/>
      <c r="AB53" s="343"/>
      <c r="AC53" s="343"/>
      <c r="AD53" s="343"/>
      <c r="AE53" s="343"/>
      <c r="AF53" s="343"/>
      <c r="AG53" s="343"/>
      <c r="AH53" s="343"/>
      <c r="AI53" s="343"/>
      <c r="AJ53" s="341"/>
      <c r="AK53" s="341"/>
      <c r="AL53" s="341"/>
      <c r="AM53" s="341"/>
      <c r="AN53" s="341"/>
      <c r="AO53" s="341"/>
      <c r="AP53" s="341"/>
      <c r="AQ53" s="341"/>
      <c r="AR53" s="341"/>
      <c r="AS53" s="341"/>
      <c r="AT53" s="341"/>
      <c r="AU53" s="25"/>
      <c r="AV53" s="43"/>
      <c r="AW53" s="43"/>
      <c r="AX53" s="43"/>
      <c r="AY53" s="43"/>
      <c r="AZ53" s="43"/>
      <c r="BA53" s="43"/>
      <c r="BB53" s="43"/>
      <c r="BC53" s="43"/>
      <c r="BD53" s="43"/>
      <c r="BE53" s="26"/>
      <c r="BF53" s="162"/>
      <c r="BG53" s="163"/>
      <c r="BH53" s="163"/>
      <c r="BI53" s="163"/>
      <c r="BJ53" s="163"/>
      <c r="BK53" s="164"/>
    </row>
    <row r="54" spans="1:63" s="315" customFormat="1" ht="15" customHeight="1" x14ac:dyDescent="0.25">
      <c r="A54" s="25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6"/>
      <c r="M54" s="341"/>
      <c r="N54" s="57" t="s">
        <v>240</v>
      </c>
      <c r="O54" s="343"/>
      <c r="P54" s="343"/>
      <c r="Q54" s="343"/>
      <c r="R54" s="343"/>
      <c r="S54" s="343"/>
      <c r="T54" s="343"/>
      <c r="U54" s="343"/>
      <c r="V54" s="343"/>
      <c r="W54" s="343"/>
      <c r="X54" s="343"/>
      <c r="Y54" s="343"/>
      <c r="Z54" s="343"/>
      <c r="AA54" s="343"/>
      <c r="AB54" s="343"/>
      <c r="AC54" s="343"/>
      <c r="AD54" s="343"/>
      <c r="AE54" s="343"/>
      <c r="AF54" s="343"/>
      <c r="AG54" s="343"/>
      <c r="AH54" s="343"/>
      <c r="AI54" s="343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/>
      <c r="AT54" s="341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26"/>
      <c r="BF54" s="162"/>
      <c r="BG54" s="163"/>
      <c r="BH54" s="163"/>
      <c r="BI54" s="163"/>
      <c r="BJ54" s="163"/>
      <c r="BK54" s="164"/>
    </row>
    <row r="55" spans="1:63" s="315" customFormat="1" ht="15" customHeight="1" x14ac:dyDescent="0.25">
      <c r="A55" s="25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6"/>
      <c r="M55" s="341"/>
      <c r="O55" s="343" t="s">
        <v>35</v>
      </c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  <c r="AA55" s="343"/>
      <c r="AB55" s="343"/>
      <c r="AC55" s="343"/>
      <c r="AD55" s="343"/>
      <c r="AE55" s="343"/>
      <c r="AF55" s="343"/>
      <c r="AG55" s="343"/>
      <c r="AH55" s="343"/>
      <c r="AI55" s="343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26"/>
      <c r="BF55" s="162"/>
      <c r="BG55" s="163"/>
      <c r="BH55" s="163"/>
      <c r="BI55" s="163"/>
      <c r="BJ55" s="163"/>
      <c r="BK55" s="164"/>
    </row>
    <row r="56" spans="1:63" s="315" customFormat="1" ht="15" customHeight="1" x14ac:dyDescent="0.25">
      <c r="A56" s="25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6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26"/>
      <c r="BF56" s="162"/>
      <c r="BG56" s="163"/>
      <c r="BH56" s="163"/>
      <c r="BI56" s="163"/>
      <c r="BJ56" s="163"/>
      <c r="BK56" s="164"/>
    </row>
    <row r="57" spans="1:63" s="315" customFormat="1" ht="15" customHeight="1" x14ac:dyDescent="0.25">
      <c r="A57" s="25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6"/>
      <c r="M57" s="341"/>
      <c r="N57" s="57" t="s">
        <v>241</v>
      </c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26"/>
      <c r="BF57" s="162"/>
      <c r="BG57" s="163"/>
      <c r="BH57" s="163"/>
      <c r="BI57" s="163"/>
      <c r="BJ57" s="163"/>
      <c r="BK57" s="164"/>
    </row>
    <row r="58" spans="1:63" s="315" customFormat="1" ht="15" customHeight="1" x14ac:dyDescent="0.25">
      <c r="A58" s="25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6"/>
      <c r="M58" s="344"/>
      <c r="N58" s="57"/>
      <c r="O58" s="343" t="s">
        <v>66</v>
      </c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  <c r="AA58" s="343"/>
      <c r="AB58" s="343"/>
      <c r="AC58" s="343"/>
      <c r="AD58" s="343"/>
      <c r="AE58" s="343"/>
      <c r="AF58" s="343"/>
      <c r="AG58" s="343"/>
      <c r="AH58" s="343"/>
      <c r="AI58" s="343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26"/>
      <c r="BF58" s="162"/>
      <c r="BG58" s="163"/>
      <c r="BH58" s="163"/>
      <c r="BI58" s="163"/>
      <c r="BJ58" s="163"/>
      <c r="BK58" s="164"/>
    </row>
    <row r="59" spans="1:63" s="315" customFormat="1" ht="15" customHeight="1" x14ac:dyDescent="0.25">
      <c r="A59" s="25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6"/>
      <c r="M59" s="341"/>
      <c r="O59" s="343"/>
      <c r="P59" s="58" t="s">
        <v>38</v>
      </c>
      <c r="Q59" s="59"/>
      <c r="R59" s="59"/>
      <c r="S59" s="59"/>
      <c r="T59" s="59"/>
      <c r="U59" s="59"/>
      <c r="V59" s="59"/>
      <c r="W59" s="58" t="s">
        <v>39</v>
      </c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60"/>
      <c r="AN59" s="341"/>
      <c r="AO59" s="341"/>
      <c r="AP59" s="341"/>
      <c r="AQ59" s="341"/>
      <c r="AR59" s="341"/>
      <c r="AS59" s="341"/>
      <c r="AT59" s="341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26"/>
      <c r="BF59" s="162"/>
      <c r="BG59" s="163"/>
      <c r="BH59" s="163"/>
      <c r="BI59" s="163"/>
      <c r="BJ59" s="163"/>
      <c r="BK59" s="164"/>
    </row>
    <row r="60" spans="1:63" s="315" customFormat="1" ht="15" customHeight="1" x14ac:dyDescent="0.25">
      <c r="A60" s="25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6"/>
      <c r="M60" s="341"/>
      <c r="N60" s="343"/>
      <c r="O60" s="343"/>
      <c r="P60" s="348" t="s">
        <v>104</v>
      </c>
      <c r="Q60" s="349"/>
      <c r="R60" s="349"/>
      <c r="S60" s="349"/>
      <c r="T60" s="349"/>
      <c r="U60" s="349"/>
      <c r="V60" s="349"/>
      <c r="W60" s="350" t="s">
        <v>199</v>
      </c>
      <c r="X60" s="351"/>
      <c r="Y60" s="351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352"/>
      <c r="AN60" s="341"/>
      <c r="AO60" s="341"/>
      <c r="AP60" s="341"/>
      <c r="AQ60" s="341"/>
      <c r="AR60" s="341"/>
      <c r="AS60" s="341"/>
      <c r="AT60" s="341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26"/>
      <c r="BF60" s="162"/>
      <c r="BG60" s="163"/>
      <c r="BH60" s="163"/>
      <c r="BI60" s="163"/>
      <c r="BJ60" s="163"/>
      <c r="BK60" s="164"/>
    </row>
    <row r="61" spans="1:63" s="315" customFormat="1" ht="15" customHeight="1" x14ac:dyDescent="0.25">
      <c r="A61" s="25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6"/>
      <c r="M61" s="341"/>
      <c r="N61" s="343"/>
      <c r="O61" s="343"/>
      <c r="P61" s="348" t="s">
        <v>190</v>
      </c>
      <c r="Q61" s="349"/>
      <c r="R61" s="349"/>
      <c r="S61" s="349"/>
      <c r="T61" s="349"/>
      <c r="U61" s="349"/>
      <c r="V61" s="349"/>
      <c r="W61" s="350" t="s">
        <v>186</v>
      </c>
      <c r="X61" s="351"/>
      <c r="Y61" s="351"/>
      <c r="Z61" s="351"/>
      <c r="AA61" s="351"/>
      <c r="AB61" s="351"/>
      <c r="AC61" s="351"/>
      <c r="AD61" s="351"/>
      <c r="AE61" s="351"/>
      <c r="AF61" s="351"/>
      <c r="AG61" s="351"/>
      <c r="AH61" s="351"/>
      <c r="AI61" s="351"/>
      <c r="AJ61" s="351"/>
      <c r="AK61" s="351"/>
      <c r="AL61" s="351"/>
      <c r="AM61" s="352"/>
      <c r="AN61" s="341"/>
      <c r="AO61" s="341"/>
      <c r="AP61" s="341"/>
      <c r="AQ61" s="341"/>
      <c r="AR61" s="341"/>
      <c r="AS61" s="341"/>
      <c r="AT61" s="341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26"/>
      <c r="BF61" s="162"/>
      <c r="BG61" s="163"/>
      <c r="BH61" s="163"/>
      <c r="BI61" s="163"/>
      <c r="BJ61" s="163"/>
      <c r="BK61" s="164"/>
    </row>
    <row r="62" spans="1:63" s="315" customFormat="1" ht="15" customHeight="1" x14ac:dyDescent="0.25">
      <c r="A62" s="2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6"/>
      <c r="M62" s="341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26"/>
      <c r="BF62" s="162"/>
      <c r="BG62" s="163"/>
      <c r="BH62" s="163"/>
      <c r="BI62" s="163"/>
      <c r="BJ62" s="163"/>
      <c r="BK62" s="164"/>
    </row>
    <row r="63" spans="1:63" s="315" customFormat="1" ht="15" customHeight="1" x14ac:dyDescent="0.25">
      <c r="A63" s="25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6"/>
      <c r="M63" s="341"/>
      <c r="N63" s="343"/>
      <c r="O63" s="341" t="s">
        <v>67</v>
      </c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25"/>
      <c r="AV63" s="43"/>
      <c r="AW63" s="43"/>
      <c r="AX63" s="43"/>
      <c r="AY63" s="43"/>
      <c r="AZ63" s="43"/>
      <c r="BA63" s="43"/>
      <c r="BB63" s="43"/>
      <c r="BC63" s="43"/>
      <c r="BD63" s="43"/>
      <c r="BE63" s="26"/>
      <c r="BF63" s="162"/>
      <c r="BG63" s="163"/>
      <c r="BH63" s="163"/>
      <c r="BI63" s="163"/>
      <c r="BJ63" s="163"/>
      <c r="BK63" s="164"/>
    </row>
    <row r="64" spans="1:63" s="315" customFormat="1" ht="15" customHeight="1" x14ac:dyDescent="0.25">
      <c r="A64" s="25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6"/>
      <c r="M64" s="341"/>
      <c r="N64" s="343"/>
      <c r="O64" s="343"/>
      <c r="P64" s="343" t="s">
        <v>193</v>
      </c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26"/>
      <c r="BF64" s="162"/>
      <c r="BG64" s="163"/>
      <c r="BH64" s="163"/>
      <c r="BI64" s="163"/>
      <c r="BJ64" s="163"/>
      <c r="BK64" s="164"/>
    </row>
    <row r="65" spans="1:63" s="315" customFormat="1" ht="15" customHeight="1" x14ac:dyDescent="0.25">
      <c r="A65" s="25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6"/>
      <c r="M65" s="341"/>
      <c r="N65" s="343"/>
      <c r="O65" s="343"/>
      <c r="P65" s="343"/>
      <c r="Q65" s="58" t="s">
        <v>195</v>
      </c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60"/>
      <c r="AN65" s="341"/>
      <c r="AO65" s="341"/>
      <c r="AP65" s="341"/>
      <c r="AQ65" s="341"/>
      <c r="AR65" s="341"/>
      <c r="AS65" s="341"/>
      <c r="AT65" s="341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26"/>
      <c r="BF65" s="162"/>
      <c r="BG65" s="163"/>
      <c r="BH65" s="163"/>
      <c r="BI65" s="163"/>
      <c r="BJ65" s="163"/>
      <c r="BK65" s="164"/>
    </row>
    <row r="66" spans="1:63" s="315" customFormat="1" ht="15" customHeight="1" x14ac:dyDescent="0.25">
      <c r="A66" s="25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6"/>
      <c r="M66" s="341"/>
      <c r="N66" s="343"/>
      <c r="O66" s="343"/>
      <c r="P66" s="343"/>
      <c r="Q66" s="353" t="s">
        <v>196</v>
      </c>
      <c r="R66" s="342"/>
      <c r="S66" s="342"/>
      <c r="T66" s="342"/>
      <c r="U66" s="342"/>
      <c r="V66" s="354"/>
      <c r="W66" s="342"/>
      <c r="X66" s="342"/>
      <c r="Y66" s="342"/>
      <c r="Z66" s="342"/>
      <c r="AA66" s="342"/>
      <c r="AB66" s="353" t="s">
        <v>202</v>
      </c>
      <c r="AC66" s="342"/>
      <c r="AD66" s="342"/>
      <c r="AE66" s="342"/>
      <c r="AF66" s="342"/>
      <c r="AG66" s="342"/>
      <c r="AH66" s="342"/>
      <c r="AI66" s="342"/>
      <c r="AJ66" s="342"/>
      <c r="AK66" s="342"/>
      <c r="AL66" s="342"/>
      <c r="AM66" s="355"/>
      <c r="AN66" s="341"/>
      <c r="AO66" s="341"/>
      <c r="AP66" s="341"/>
      <c r="AQ66" s="341"/>
      <c r="AR66" s="341"/>
      <c r="AS66" s="341"/>
      <c r="AT66" s="341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26"/>
      <c r="BF66" s="162"/>
      <c r="BG66" s="163"/>
      <c r="BH66" s="163"/>
      <c r="BI66" s="163"/>
      <c r="BJ66" s="163"/>
      <c r="BK66" s="164"/>
    </row>
    <row r="67" spans="1:63" s="315" customFormat="1" ht="15" customHeight="1" x14ac:dyDescent="0.25">
      <c r="A67" s="25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6"/>
      <c r="M67" s="341"/>
      <c r="N67" s="343"/>
      <c r="O67" s="343"/>
      <c r="P67" s="343"/>
      <c r="Q67" s="353" t="s">
        <v>197</v>
      </c>
      <c r="R67" s="342"/>
      <c r="S67" s="342"/>
      <c r="T67" s="342"/>
      <c r="U67" s="342"/>
      <c r="V67" s="356"/>
      <c r="W67" s="342"/>
      <c r="X67" s="342"/>
      <c r="Y67" s="342"/>
      <c r="Z67" s="342"/>
      <c r="AA67" s="342"/>
      <c r="AB67" s="357" t="s">
        <v>203</v>
      </c>
      <c r="AC67" s="342"/>
      <c r="AD67" s="342"/>
      <c r="AE67" s="342"/>
      <c r="AF67" s="342"/>
      <c r="AG67" s="342"/>
      <c r="AH67" s="342"/>
      <c r="AI67" s="342"/>
      <c r="AJ67" s="342"/>
      <c r="AK67" s="342"/>
      <c r="AL67" s="342"/>
      <c r="AM67" s="355"/>
      <c r="AN67" s="341"/>
      <c r="AO67" s="341"/>
      <c r="AP67" s="341"/>
      <c r="AQ67" s="341"/>
      <c r="AR67" s="341"/>
      <c r="AS67" s="341"/>
      <c r="AT67" s="341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26"/>
      <c r="BF67" s="162"/>
      <c r="BG67" s="163"/>
      <c r="BH67" s="163"/>
      <c r="BI67" s="163"/>
      <c r="BJ67" s="163"/>
      <c r="BK67" s="164"/>
    </row>
    <row r="68" spans="1:63" s="315" customFormat="1" ht="15" customHeight="1" x14ac:dyDescent="0.25">
      <c r="A68" s="25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6"/>
      <c r="M68" s="341"/>
      <c r="N68" s="343"/>
      <c r="O68" s="343"/>
      <c r="P68" s="343"/>
      <c r="Q68" s="358" t="s">
        <v>198</v>
      </c>
      <c r="R68" s="332"/>
      <c r="S68" s="332"/>
      <c r="T68" s="332"/>
      <c r="U68" s="332"/>
      <c r="V68" s="359"/>
      <c r="W68" s="332"/>
      <c r="X68" s="332"/>
      <c r="Y68" s="332"/>
      <c r="Z68" s="332"/>
      <c r="AA68" s="332"/>
      <c r="AB68" s="360" t="s">
        <v>69</v>
      </c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61"/>
      <c r="AN68" s="341"/>
      <c r="AO68" s="341"/>
      <c r="AP68" s="341"/>
      <c r="AQ68" s="341"/>
      <c r="AR68" s="341"/>
      <c r="AS68" s="341"/>
      <c r="AT68" s="341"/>
      <c r="AU68" s="25"/>
      <c r="AV68" s="43"/>
      <c r="AW68" s="43"/>
      <c r="AX68" s="43"/>
      <c r="AY68" s="43"/>
      <c r="AZ68" s="43"/>
      <c r="BA68" s="43"/>
      <c r="BB68" s="43"/>
      <c r="BC68" s="43"/>
      <c r="BD68" s="43"/>
      <c r="BE68" s="26"/>
      <c r="BF68" s="162"/>
      <c r="BG68" s="163"/>
      <c r="BH68" s="163"/>
      <c r="BI68" s="163"/>
      <c r="BJ68" s="163"/>
      <c r="BK68" s="164"/>
    </row>
    <row r="69" spans="1:63" s="315" customFormat="1" ht="15" customHeight="1" x14ac:dyDescent="0.25">
      <c r="A69" s="25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6"/>
      <c r="M69" s="341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25"/>
      <c r="AV69" s="43"/>
      <c r="AW69" s="43"/>
      <c r="AX69" s="43"/>
      <c r="AY69" s="43"/>
      <c r="AZ69" s="43"/>
      <c r="BA69" s="43"/>
      <c r="BB69" s="43"/>
      <c r="BC69" s="43"/>
      <c r="BD69" s="43"/>
      <c r="BE69" s="26"/>
      <c r="BF69" s="162"/>
      <c r="BG69" s="163"/>
      <c r="BH69" s="163"/>
      <c r="BI69" s="163"/>
      <c r="BJ69" s="163"/>
      <c r="BK69" s="164"/>
    </row>
    <row r="70" spans="1:63" s="315" customFormat="1" ht="15" customHeight="1" x14ac:dyDescent="0.25">
      <c r="A70" s="25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6"/>
      <c r="M70" s="341"/>
      <c r="N70" s="343"/>
      <c r="O70" s="343"/>
      <c r="P70" s="341" t="s">
        <v>194</v>
      </c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25"/>
      <c r="AV70" s="43"/>
      <c r="AW70" s="43"/>
      <c r="AX70" s="43"/>
      <c r="AY70" s="43"/>
      <c r="AZ70" s="43"/>
      <c r="BA70" s="43"/>
      <c r="BB70" s="43"/>
      <c r="BC70" s="43"/>
      <c r="BD70" s="43"/>
      <c r="BE70" s="26"/>
      <c r="BF70" s="162"/>
      <c r="BG70" s="163"/>
      <c r="BH70" s="163"/>
      <c r="BI70" s="163"/>
      <c r="BJ70" s="163"/>
      <c r="BK70" s="164"/>
    </row>
    <row r="71" spans="1:63" s="315" customFormat="1" ht="15" customHeight="1" x14ac:dyDescent="0.25">
      <c r="A71" s="25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6"/>
      <c r="M71" s="341"/>
      <c r="N71" s="343"/>
      <c r="O71" s="343"/>
      <c r="P71" s="343"/>
      <c r="Q71" s="343" t="s">
        <v>239</v>
      </c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25"/>
      <c r="AV71" s="43"/>
      <c r="AW71" s="43"/>
      <c r="AX71" s="43"/>
      <c r="AY71" s="43"/>
      <c r="AZ71" s="43"/>
      <c r="BA71" s="43"/>
      <c r="BB71" s="43"/>
      <c r="BC71" s="43"/>
      <c r="BD71" s="43"/>
      <c r="BE71" s="26"/>
      <c r="BF71" s="162"/>
      <c r="BG71" s="163"/>
      <c r="BH71" s="163"/>
      <c r="BI71" s="163"/>
      <c r="BJ71" s="163"/>
      <c r="BK71" s="164"/>
    </row>
    <row r="72" spans="1:63" s="315" customFormat="1" ht="15" customHeight="1" x14ac:dyDescent="0.25">
      <c r="A72" s="25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6"/>
      <c r="M72" s="341"/>
      <c r="N72" s="57" t="s">
        <v>242</v>
      </c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25"/>
      <c r="AV72" s="43"/>
      <c r="AW72" s="43"/>
      <c r="AX72" s="43"/>
      <c r="AY72" s="43"/>
      <c r="AZ72" s="43"/>
      <c r="BA72" s="43"/>
      <c r="BB72" s="43"/>
      <c r="BC72" s="43"/>
      <c r="BD72" s="43"/>
      <c r="BE72" s="26"/>
      <c r="BF72" s="162"/>
      <c r="BG72" s="163"/>
      <c r="BH72" s="163"/>
      <c r="BI72" s="163"/>
      <c r="BJ72" s="163"/>
      <c r="BK72" s="164"/>
    </row>
    <row r="73" spans="1:63" s="315" customFormat="1" ht="15" customHeight="1" x14ac:dyDescent="0.25">
      <c r="A73" s="25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6"/>
      <c r="M73" s="341"/>
      <c r="O73" s="343" t="s">
        <v>35</v>
      </c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25"/>
      <c r="AV73" s="43"/>
      <c r="AW73" s="43"/>
      <c r="AX73" s="43"/>
      <c r="AY73" s="43"/>
      <c r="AZ73" s="43"/>
      <c r="BA73" s="43"/>
      <c r="BB73" s="43"/>
      <c r="BC73" s="43"/>
      <c r="BD73" s="43"/>
      <c r="BE73" s="26"/>
      <c r="BF73" s="162"/>
      <c r="BG73" s="163"/>
      <c r="BH73" s="163"/>
      <c r="BI73" s="163"/>
      <c r="BJ73" s="163"/>
      <c r="BK73" s="164"/>
    </row>
    <row r="74" spans="1:63" s="315" customFormat="1" ht="15" customHeight="1" x14ac:dyDescent="0.2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9"/>
      <c r="M74" s="345"/>
      <c r="N74" s="346"/>
      <c r="O74" s="346"/>
      <c r="P74" s="346"/>
      <c r="Q74" s="346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347"/>
      <c r="AQ74" s="347"/>
      <c r="AR74" s="347"/>
      <c r="AS74" s="347"/>
      <c r="AT74" s="347"/>
      <c r="AU74" s="27"/>
      <c r="AV74" s="28"/>
      <c r="AW74" s="28"/>
      <c r="AX74" s="28"/>
      <c r="AY74" s="28"/>
      <c r="AZ74" s="28"/>
      <c r="BA74" s="28"/>
      <c r="BB74" s="28"/>
      <c r="BC74" s="28"/>
      <c r="BD74" s="28"/>
      <c r="BE74" s="29"/>
      <c r="BF74" s="181"/>
      <c r="BG74" s="182"/>
      <c r="BH74" s="182"/>
      <c r="BI74" s="182"/>
      <c r="BJ74" s="182"/>
      <c r="BK74" s="183"/>
    </row>
    <row r="75" spans="1:63" ht="15" customHeight="1" x14ac:dyDescent="0.25">
      <c r="A75" s="53"/>
      <c r="BK75" s="16"/>
    </row>
    <row r="76" spans="1:63" ht="15" customHeight="1" x14ac:dyDescent="0.25">
      <c r="A76" s="53"/>
      <c r="BK76" s="16"/>
    </row>
    <row r="77" spans="1:63" ht="15" customHeight="1" x14ac:dyDescent="0.25">
      <c r="A77" s="53"/>
      <c r="BK77" s="16"/>
    </row>
    <row r="78" spans="1:63" ht="15" customHeight="1" x14ac:dyDescent="0.25">
      <c r="A78" s="53"/>
      <c r="BK78" s="16"/>
    </row>
    <row r="79" spans="1:63" s="315" customFormat="1" ht="15" customHeight="1" x14ac:dyDescent="0.25">
      <c r="A79" s="329" t="s">
        <v>18</v>
      </c>
      <c r="B79" s="330"/>
      <c r="C79" s="330"/>
      <c r="D79" s="330"/>
      <c r="E79" s="330"/>
      <c r="F79" s="331"/>
      <c r="G79" s="317" t="s">
        <v>58</v>
      </c>
      <c r="H79" s="317"/>
      <c r="I79" s="317"/>
      <c r="J79" s="317"/>
      <c r="K79" s="317"/>
      <c r="L79" s="317"/>
      <c r="M79" s="332" t="s">
        <v>59</v>
      </c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/>
      <c r="AB79" s="332"/>
      <c r="AC79" s="332"/>
      <c r="AD79" s="332"/>
      <c r="AE79" s="332"/>
      <c r="AF79" s="332"/>
      <c r="AG79" s="332"/>
      <c r="AH79" s="332"/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332"/>
      <c r="AU79" s="332"/>
      <c r="AV79" s="332"/>
      <c r="AW79" s="332"/>
      <c r="AX79" s="332"/>
      <c r="AY79" s="332"/>
      <c r="AZ79" s="332"/>
      <c r="BA79" s="332"/>
      <c r="BB79" s="332"/>
      <c r="BC79" s="332"/>
      <c r="BD79" s="332"/>
      <c r="BE79" s="332"/>
      <c r="BF79" s="332"/>
      <c r="BG79" s="332"/>
      <c r="BH79" s="333"/>
      <c r="BI79" s="333"/>
      <c r="BJ79" s="333"/>
      <c r="BK79" s="334"/>
    </row>
    <row r="80" spans="1:63" s="315" customFormat="1" ht="15" customHeight="1" x14ac:dyDescent="0.25">
      <c r="A80" s="335" t="s">
        <v>20</v>
      </c>
      <c r="B80" s="336"/>
      <c r="C80" s="336"/>
      <c r="D80" s="336"/>
      <c r="E80" s="336"/>
      <c r="F80" s="336"/>
      <c r="G80" s="336"/>
      <c r="H80" s="336"/>
      <c r="I80" s="336"/>
      <c r="J80" s="336"/>
      <c r="K80" s="336"/>
      <c r="L80" s="337"/>
      <c r="M80" s="335" t="s">
        <v>21</v>
      </c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  <c r="AA80" s="336"/>
      <c r="AB80" s="336"/>
      <c r="AC80" s="336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6"/>
      <c r="AP80" s="336"/>
      <c r="AQ80" s="336"/>
      <c r="AR80" s="336"/>
      <c r="AS80" s="336"/>
      <c r="AT80" s="337"/>
      <c r="AU80" s="335" t="s">
        <v>22</v>
      </c>
      <c r="AV80" s="336"/>
      <c r="AW80" s="336"/>
      <c r="AX80" s="336"/>
      <c r="AY80" s="336"/>
      <c r="AZ80" s="336"/>
      <c r="BA80" s="336"/>
      <c r="BB80" s="336"/>
      <c r="BC80" s="336"/>
      <c r="BD80" s="336"/>
      <c r="BE80" s="336"/>
      <c r="BF80" s="335" t="s">
        <v>23</v>
      </c>
      <c r="BG80" s="336"/>
      <c r="BH80" s="336"/>
      <c r="BI80" s="336"/>
      <c r="BJ80" s="336"/>
      <c r="BK80" s="337"/>
    </row>
    <row r="81" spans="1:63" s="315" customFormat="1" ht="15" customHeight="1" x14ac:dyDescent="0.25">
      <c r="A81" s="338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40"/>
      <c r="M81" s="338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39"/>
      <c r="AP81" s="339"/>
      <c r="AQ81" s="339"/>
      <c r="AR81" s="339"/>
      <c r="AS81" s="339"/>
      <c r="AT81" s="340"/>
      <c r="AU81" s="338"/>
      <c r="AV81" s="339"/>
      <c r="AW81" s="339"/>
      <c r="AX81" s="339"/>
      <c r="AY81" s="339"/>
      <c r="AZ81" s="339"/>
      <c r="BA81" s="339"/>
      <c r="BB81" s="339"/>
      <c r="BC81" s="339"/>
      <c r="BD81" s="339"/>
      <c r="BE81" s="339"/>
      <c r="BF81" s="338"/>
      <c r="BG81" s="339"/>
      <c r="BH81" s="339"/>
      <c r="BI81" s="339"/>
      <c r="BJ81" s="339"/>
      <c r="BK81" s="340"/>
    </row>
    <row r="82" spans="1:63" s="315" customFormat="1" ht="15" customHeight="1" x14ac:dyDescent="0.25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341"/>
      <c r="N82" s="341"/>
      <c r="O82" s="341"/>
      <c r="P82" s="341"/>
      <c r="Q82" s="341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2"/>
      <c r="AR82" s="342"/>
      <c r="AS82" s="342"/>
      <c r="AT82" s="342"/>
      <c r="AU82" s="21"/>
      <c r="AV82" s="22"/>
      <c r="AW82" s="22"/>
      <c r="AX82" s="22"/>
      <c r="AY82" s="22"/>
      <c r="AZ82" s="22"/>
      <c r="BA82" s="22"/>
      <c r="BB82" s="22"/>
      <c r="BC82" s="22"/>
      <c r="BD82" s="22"/>
      <c r="BE82" s="23"/>
      <c r="BF82" s="159"/>
      <c r="BG82" s="160"/>
      <c r="BH82" s="160"/>
      <c r="BI82" s="160"/>
      <c r="BJ82" s="160"/>
      <c r="BK82" s="161"/>
    </row>
    <row r="83" spans="1:63" s="315" customFormat="1" ht="15" customHeight="1" x14ac:dyDescent="0.25">
      <c r="A83" s="25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6"/>
      <c r="M83" s="341"/>
      <c r="N83" s="57" t="s">
        <v>243</v>
      </c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25"/>
      <c r="AV83" s="43"/>
      <c r="AW83" s="43"/>
      <c r="AX83" s="43"/>
      <c r="AY83" s="43"/>
      <c r="AZ83" s="43"/>
      <c r="BA83" s="43"/>
      <c r="BB83" s="43"/>
      <c r="BC83" s="43"/>
      <c r="BD83" s="43"/>
      <c r="BE83" s="26"/>
      <c r="BF83" s="162"/>
      <c r="BG83" s="163"/>
      <c r="BH83" s="163"/>
      <c r="BI83" s="163"/>
      <c r="BJ83" s="163"/>
      <c r="BK83" s="164"/>
    </row>
    <row r="84" spans="1:63" s="315" customFormat="1" ht="15" customHeight="1" x14ac:dyDescent="0.25">
      <c r="A84" s="25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6"/>
      <c r="M84" s="344"/>
      <c r="N84" s="341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25"/>
      <c r="AV84" s="43"/>
      <c r="AW84" s="43"/>
      <c r="AX84" s="43"/>
      <c r="AY84" s="43"/>
      <c r="AZ84" s="43"/>
      <c r="BA84" s="43"/>
      <c r="BB84" s="43"/>
      <c r="BC84" s="43"/>
      <c r="BD84" s="43"/>
      <c r="BE84" s="26"/>
      <c r="BF84" s="162"/>
      <c r="BG84" s="163"/>
      <c r="BH84" s="163"/>
      <c r="BI84" s="163"/>
      <c r="BJ84" s="163"/>
      <c r="BK84" s="164"/>
    </row>
    <row r="85" spans="1:63" s="315" customFormat="1" ht="15" customHeight="1" x14ac:dyDescent="0.25">
      <c r="A85" s="25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6"/>
      <c r="M85" s="341"/>
      <c r="N85" s="341"/>
      <c r="O85" s="343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25"/>
      <c r="AV85" s="43"/>
      <c r="AW85" s="43"/>
      <c r="AX85" s="43"/>
      <c r="AY85" s="43"/>
      <c r="AZ85" s="43"/>
      <c r="BA85" s="43"/>
      <c r="BB85" s="43"/>
      <c r="BC85" s="43"/>
      <c r="BD85" s="43"/>
      <c r="BE85" s="26"/>
      <c r="BF85" s="165"/>
      <c r="BG85" s="166"/>
      <c r="BH85" s="166"/>
      <c r="BI85" s="166"/>
      <c r="BJ85" s="166"/>
      <c r="BK85" s="167"/>
    </row>
    <row r="86" spans="1:63" s="315" customFormat="1" ht="15" customHeight="1" x14ac:dyDescent="0.25">
      <c r="A86" s="25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6"/>
      <c r="M86" s="341"/>
      <c r="N86" s="57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25"/>
      <c r="AV86" s="43"/>
      <c r="AW86" s="43"/>
      <c r="AX86" s="43"/>
      <c r="AY86" s="43"/>
      <c r="AZ86" s="43"/>
      <c r="BA86" s="43"/>
      <c r="BB86" s="43"/>
      <c r="BC86" s="43"/>
      <c r="BD86" s="43"/>
      <c r="BE86" s="26"/>
      <c r="BF86" s="165"/>
      <c r="BG86" s="166"/>
      <c r="BH86" s="166"/>
      <c r="BI86" s="166"/>
      <c r="BJ86" s="166"/>
      <c r="BK86" s="167"/>
    </row>
    <row r="87" spans="1:63" s="315" customFormat="1" ht="15" customHeight="1" x14ac:dyDescent="0.25">
      <c r="A87" s="25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6"/>
      <c r="M87" s="341"/>
      <c r="N87" s="57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25"/>
      <c r="AV87" s="43"/>
      <c r="AW87" s="43"/>
      <c r="AX87" s="43"/>
      <c r="AY87" s="43"/>
      <c r="AZ87" s="43"/>
      <c r="BA87" s="43"/>
      <c r="BB87" s="43"/>
      <c r="BC87" s="43"/>
      <c r="BD87" s="43"/>
      <c r="BE87" s="26"/>
      <c r="BF87" s="165"/>
      <c r="BG87" s="166"/>
      <c r="BH87" s="166"/>
      <c r="BI87" s="166"/>
      <c r="BJ87" s="166"/>
      <c r="BK87" s="167"/>
    </row>
    <row r="88" spans="1:63" s="315" customFormat="1" ht="15" customHeight="1" x14ac:dyDescent="0.25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9"/>
      <c r="M88" s="345"/>
      <c r="N88" s="346"/>
      <c r="O88" s="346"/>
      <c r="P88" s="346"/>
      <c r="Q88" s="346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347"/>
      <c r="AQ88" s="347"/>
      <c r="AR88" s="347"/>
      <c r="AS88" s="347"/>
      <c r="AT88" s="347"/>
      <c r="AU88" s="27"/>
      <c r="AV88" s="28"/>
      <c r="AW88" s="28"/>
      <c r="AX88" s="28"/>
      <c r="AY88" s="28"/>
      <c r="AZ88" s="28"/>
      <c r="BA88" s="28"/>
      <c r="BB88" s="28"/>
      <c r="BC88" s="28"/>
      <c r="BD88" s="28"/>
      <c r="BE88" s="29"/>
      <c r="BF88" s="168"/>
      <c r="BG88" s="169"/>
      <c r="BH88" s="169"/>
      <c r="BI88" s="169"/>
      <c r="BJ88" s="169"/>
      <c r="BK88" s="170"/>
    </row>
    <row r="89" spans="1:63" ht="15" customHeight="1" x14ac:dyDescent="0.25">
      <c r="BF89" s="32"/>
      <c r="BG89" s="32"/>
      <c r="BH89" s="32"/>
      <c r="BI89" s="32"/>
      <c r="BJ89" s="32"/>
      <c r="BK89" s="33"/>
    </row>
    <row r="90" spans="1:63" ht="15" customHeight="1" x14ac:dyDescent="0.25">
      <c r="BK90" s="16"/>
    </row>
    <row r="91" spans="1:63" ht="15" customHeight="1" x14ac:dyDescent="0.25">
      <c r="BK91" s="16"/>
    </row>
    <row r="92" spans="1:63" s="315" customFormat="1" ht="15" customHeight="1" x14ac:dyDescent="0.25">
      <c r="A92" s="329" t="s">
        <v>18</v>
      </c>
      <c r="B92" s="330"/>
      <c r="C92" s="330"/>
      <c r="D92" s="330"/>
      <c r="E92" s="330"/>
      <c r="F92" s="331"/>
      <c r="G92" s="317" t="s">
        <v>61</v>
      </c>
      <c r="H92" s="317"/>
      <c r="I92" s="317"/>
      <c r="J92" s="317"/>
      <c r="K92" s="317"/>
      <c r="L92" s="317"/>
      <c r="M92" s="332" t="s">
        <v>63</v>
      </c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332"/>
      <c r="AN92" s="332"/>
      <c r="AO92" s="332"/>
      <c r="AP92" s="332"/>
      <c r="AQ92" s="332"/>
      <c r="AR92" s="332"/>
      <c r="AS92" s="332"/>
      <c r="AT92" s="332"/>
      <c r="AU92" s="332"/>
      <c r="AV92" s="332"/>
      <c r="AW92" s="332"/>
      <c r="AX92" s="332"/>
      <c r="AY92" s="332"/>
      <c r="AZ92" s="332"/>
      <c r="BA92" s="332"/>
      <c r="BB92" s="332"/>
      <c r="BC92" s="332"/>
      <c r="BD92" s="332"/>
      <c r="BE92" s="332"/>
      <c r="BF92" s="332"/>
      <c r="BG92" s="332"/>
      <c r="BH92" s="333"/>
      <c r="BI92" s="333"/>
      <c r="BJ92" s="333"/>
      <c r="BK92" s="334"/>
    </row>
    <row r="93" spans="1:63" s="315" customFormat="1" ht="15" customHeight="1" x14ac:dyDescent="0.25">
      <c r="A93" s="335" t="s">
        <v>20</v>
      </c>
      <c r="B93" s="336"/>
      <c r="C93" s="336"/>
      <c r="D93" s="336"/>
      <c r="E93" s="336"/>
      <c r="F93" s="336"/>
      <c r="G93" s="336"/>
      <c r="H93" s="336"/>
      <c r="I93" s="336"/>
      <c r="J93" s="336"/>
      <c r="K93" s="336"/>
      <c r="L93" s="337"/>
      <c r="M93" s="335" t="s">
        <v>21</v>
      </c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6"/>
      <c r="AH93" s="336"/>
      <c r="AI93" s="336"/>
      <c r="AJ93" s="336"/>
      <c r="AK93" s="336"/>
      <c r="AL93" s="336"/>
      <c r="AM93" s="336"/>
      <c r="AN93" s="336"/>
      <c r="AO93" s="336"/>
      <c r="AP93" s="336"/>
      <c r="AQ93" s="336"/>
      <c r="AR93" s="336"/>
      <c r="AS93" s="336"/>
      <c r="AT93" s="337"/>
      <c r="AU93" s="335" t="s">
        <v>22</v>
      </c>
      <c r="AV93" s="336"/>
      <c r="AW93" s="336"/>
      <c r="AX93" s="336"/>
      <c r="AY93" s="336"/>
      <c r="AZ93" s="336"/>
      <c r="BA93" s="336"/>
      <c r="BB93" s="336"/>
      <c r="BC93" s="336"/>
      <c r="BD93" s="336"/>
      <c r="BE93" s="336"/>
      <c r="BF93" s="335" t="s">
        <v>23</v>
      </c>
      <c r="BG93" s="336"/>
      <c r="BH93" s="336"/>
      <c r="BI93" s="336"/>
      <c r="BJ93" s="336"/>
      <c r="BK93" s="337"/>
    </row>
    <row r="94" spans="1:63" s="315" customFormat="1" ht="15" customHeight="1" x14ac:dyDescent="0.25">
      <c r="A94" s="338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40"/>
      <c r="M94" s="338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  <c r="AE94" s="339"/>
      <c r="AF94" s="339"/>
      <c r="AG94" s="339"/>
      <c r="AH94" s="339"/>
      <c r="AI94" s="339"/>
      <c r="AJ94" s="339"/>
      <c r="AK94" s="339"/>
      <c r="AL94" s="339"/>
      <c r="AM94" s="339"/>
      <c r="AN94" s="339"/>
      <c r="AO94" s="339"/>
      <c r="AP94" s="339"/>
      <c r="AQ94" s="339"/>
      <c r="AR94" s="339"/>
      <c r="AS94" s="339"/>
      <c r="AT94" s="340"/>
      <c r="AU94" s="338"/>
      <c r="AV94" s="339"/>
      <c r="AW94" s="339"/>
      <c r="AX94" s="339"/>
      <c r="AY94" s="339"/>
      <c r="AZ94" s="339"/>
      <c r="BA94" s="339"/>
      <c r="BB94" s="339"/>
      <c r="BC94" s="339"/>
      <c r="BD94" s="339"/>
      <c r="BE94" s="339"/>
      <c r="BF94" s="338"/>
      <c r="BG94" s="339"/>
      <c r="BH94" s="339"/>
      <c r="BI94" s="339"/>
      <c r="BJ94" s="339"/>
      <c r="BK94" s="340"/>
    </row>
    <row r="95" spans="1:63" s="315" customFormat="1" ht="15" customHeight="1" x14ac:dyDescent="0.25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341"/>
      <c r="N95" s="341"/>
      <c r="O95" s="341"/>
      <c r="P95" s="341"/>
      <c r="Q95" s="341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  <c r="AJ95" s="342"/>
      <c r="AK95" s="342"/>
      <c r="AL95" s="342"/>
      <c r="AM95" s="342"/>
      <c r="AN95" s="342"/>
      <c r="AO95" s="342"/>
      <c r="AP95" s="342"/>
      <c r="AQ95" s="342"/>
      <c r="AR95" s="342"/>
      <c r="AS95" s="342"/>
      <c r="AT95" s="342"/>
      <c r="AU95" s="21"/>
      <c r="AV95" s="22"/>
      <c r="AW95" s="22"/>
      <c r="AX95" s="22"/>
      <c r="AY95" s="22"/>
      <c r="AZ95" s="22"/>
      <c r="BA95" s="22"/>
      <c r="BB95" s="22"/>
      <c r="BC95" s="22"/>
      <c r="BD95" s="22"/>
      <c r="BE95" s="23"/>
      <c r="BF95" s="159"/>
      <c r="BG95" s="160"/>
      <c r="BH95" s="160"/>
      <c r="BI95" s="160"/>
      <c r="BJ95" s="160"/>
      <c r="BK95" s="161"/>
    </row>
    <row r="96" spans="1:63" s="315" customFormat="1" ht="15" customHeight="1" x14ac:dyDescent="0.25">
      <c r="A96" s="25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6"/>
      <c r="M96" s="341"/>
      <c r="N96" s="57" t="s">
        <v>244</v>
      </c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25"/>
      <c r="AV96" s="43"/>
      <c r="AW96" s="43"/>
      <c r="AX96" s="43"/>
      <c r="AY96" s="43"/>
      <c r="AZ96" s="43"/>
      <c r="BA96" s="43"/>
      <c r="BB96" s="43"/>
      <c r="BC96" s="43"/>
      <c r="BD96" s="43"/>
      <c r="BE96" s="26"/>
      <c r="BF96" s="162"/>
      <c r="BG96" s="163"/>
      <c r="BH96" s="163"/>
      <c r="BI96" s="163"/>
      <c r="BJ96" s="163"/>
      <c r="BK96" s="164"/>
    </row>
    <row r="97" spans="1:63" s="315" customFormat="1" ht="15" customHeight="1" x14ac:dyDescent="0.25">
      <c r="A97" s="25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6"/>
      <c r="M97" s="344"/>
      <c r="N97" s="341"/>
      <c r="O97" s="343" t="s">
        <v>180</v>
      </c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25"/>
      <c r="AV97" s="43"/>
      <c r="AW97" s="43"/>
      <c r="AX97" s="43"/>
      <c r="AY97" s="43"/>
      <c r="AZ97" s="43"/>
      <c r="BA97" s="43"/>
      <c r="BB97" s="43"/>
      <c r="BC97" s="43"/>
      <c r="BD97" s="43"/>
      <c r="BE97" s="26"/>
      <c r="BF97" s="162"/>
      <c r="BG97" s="163"/>
      <c r="BH97" s="163"/>
      <c r="BI97" s="163"/>
      <c r="BJ97" s="163"/>
      <c r="BK97" s="164"/>
    </row>
    <row r="98" spans="1:63" s="315" customFormat="1" ht="15" customHeight="1" x14ac:dyDescent="0.25">
      <c r="A98" s="25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6"/>
      <c r="M98" s="341"/>
      <c r="N98" s="341"/>
      <c r="O98" s="343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25"/>
      <c r="AV98" s="43"/>
      <c r="AW98" s="43"/>
      <c r="AX98" s="43"/>
      <c r="AY98" s="43"/>
      <c r="AZ98" s="43"/>
      <c r="BA98" s="43"/>
      <c r="BB98" s="43"/>
      <c r="BC98" s="43"/>
      <c r="BD98" s="43"/>
      <c r="BE98" s="26"/>
      <c r="BF98" s="165"/>
      <c r="BG98" s="166"/>
      <c r="BH98" s="166"/>
      <c r="BI98" s="166"/>
      <c r="BJ98" s="166"/>
      <c r="BK98" s="167"/>
    </row>
    <row r="99" spans="1:63" s="315" customFormat="1" ht="15" customHeight="1" x14ac:dyDescent="0.25">
      <c r="A99" s="25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6"/>
      <c r="M99" s="341"/>
      <c r="N99" s="57" t="s">
        <v>60</v>
      </c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25"/>
      <c r="AV99" s="43"/>
      <c r="AW99" s="43"/>
      <c r="AX99" s="43"/>
      <c r="AY99" s="43"/>
      <c r="AZ99" s="43"/>
      <c r="BA99" s="43"/>
      <c r="BB99" s="43"/>
      <c r="BC99" s="43"/>
      <c r="BD99" s="43"/>
      <c r="BE99" s="26"/>
      <c r="BF99" s="165"/>
      <c r="BG99" s="166"/>
      <c r="BH99" s="166"/>
      <c r="BI99" s="166"/>
      <c r="BJ99" s="166"/>
      <c r="BK99" s="167"/>
    </row>
    <row r="100" spans="1:63" s="315" customFormat="1" ht="15" customHeight="1" x14ac:dyDescent="0.25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9"/>
      <c r="M100" s="345"/>
      <c r="N100" s="346"/>
      <c r="O100" s="346"/>
      <c r="P100" s="346"/>
      <c r="Q100" s="346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347"/>
      <c r="AQ100" s="347"/>
      <c r="AR100" s="347"/>
      <c r="AS100" s="347"/>
      <c r="AT100" s="347"/>
      <c r="AU100" s="27"/>
      <c r="AV100" s="28"/>
      <c r="AW100" s="28"/>
      <c r="AX100" s="28"/>
      <c r="AY100" s="28"/>
      <c r="AZ100" s="28"/>
      <c r="BA100" s="28"/>
      <c r="BB100" s="28"/>
      <c r="BC100" s="28"/>
      <c r="BD100" s="28"/>
      <c r="BE100" s="29"/>
      <c r="BF100" s="168"/>
      <c r="BG100" s="169"/>
      <c r="BH100" s="169"/>
      <c r="BI100" s="169"/>
      <c r="BJ100" s="169"/>
      <c r="BK100" s="170"/>
    </row>
    <row r="101" spans="1:63" ht="15" customHeight="1" x14ac:dyDescent="0.25">
      <c r="BK101" s="16"/>
    </row>
    <row r="102" spans="1:63" ht="15" customHeight="1" x14ac:dyDescent="0.25">
      <c r="BK102" s="16"/>
    </row>
    <row r="103" spans="1:63" ht="15" customHeight="1" x14ac:dyDescent="0.25">
      <c r="BK103" s="16"/>
    </row>
    <row r="104" spans="1:63" s="315" customFormat="1" ht="15" customHeight="1" x14ac:dyDescent="0.25">
      <c r="A104" s="329" t="s">
        <v>18</v>
      </c>
      <c r="B104" s="330"/>
      <c r="C104" s="330"/>
      <c r="D104" s="330"/>
      <c r="E104" s="330"/>
      <c r="F104" s="331"/>
      <c r="G104" s="317" t="s">
        <v>62</v>
      </c>
      <c r="H104" s="317"/>
      <c r="I104" s="317"/>
      <c r="J104" s="317"/>
      <c r="K104" s="317"/>
      <c r="L104" s="317"/>
      <c r="M104" s="332" t="s">
        <v>71</v>
      </c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32"/>
      <c r="AQ104" s="332"/>
      <c r="AR104" s="332"/>
      <c r="AS104" s="332"/>
      <c r="AT104" s="332"/>
      <c r="AU104" s="332"/>
      <c r="AV104" s="332"/>
      <c r="AW104" s="332"/>
      <c r="AX104" s="332"/>
      <c r="AY104" s="332"/>
      <c r="AZ104" s="332"/>
      <c r="BA104" s="332"/>
      <c r="BB104" s="332"/>
      <c r="BC104" s="332"/>
      <c r="BD104" s="332"/>
      <c r="BE104" s="332"/>
      <c r="BF104" s="332"/>
      <c r="BG104" s="332"/>
      <c r="BH104" s="333"/>
      <c r="BI104" s="333"/>
      <c r="BJ104" s="333"/>
      <c r="BK104" s="334"/>
    </row>
    <row r="105" spans="1:63" s="315" customFormat="1" ht="15" customHeight="1" x14ac:dyDescent="0.25">
      <c r="A105" s="335" t="s">
        <v>20</v>
      </c>
      <c r="B105" s="336"/>
      <c r="C105" s="336"/>
      <c r="D105" s="336"/>
      <c r="E105" s="336"/>
      <c r="F105" s="336"/>
      <c r="G105" s="336"/>
      <c r="H105" s="336"/>
      <c r="I105" s="336"/>
      <c r="J105" s="336"/>
      <c r="K105" s="336"/>
      <c r="L105" s="337"/>
      <c r="M105" s="335" t="s">
        <v>21</v>
      </c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6"/>
      <c r="AB105" s="336"/>
      <c r="AC105" s="336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  <c r="AN105" s="336"/>
      <c r="AO105" s="336"/>
      <c r="AP105" s="336"/>
      <c r="AQ105" s="336"/>
      <c r="AR105" s="336"/>
      <c r="AS105" s="336"/>
      <c r="AT105" s="337"/>
      <c r="AU105" s="335" t="s">
        <v>22</v>
      </c>
      <c r="AV105" s="336"/>
      <c r="AW105" s="336"/>
      <c r="AX105" s="336"/>
      <c r="AY105" s="336"/>
      <c r="AZ105" s="336"/>
      <c r="BA105" s="336"/>
      <c r="BB105" s="336"/>
      <c r="BC105" s="336"/>
      <c r="BD105" s="336"/>
      <c r="BE105" s="336"/>
      <c r="BF105" s="335" t="s">
        <v>23</v>
      </c>
      <c r="BG105" s="336"/>
      <c r="BH105" s="336"/>
      <c r="BI105" s="336"/>
      <c r="BJ105" s="336"/>
      <c r="BK105" s="337"/>
    </row>
    <row r="106" spans="1:63" s="315" customFormat="1" ht="15" customHeight="1" x14ac:dyDescent="0.25">
      <c r="A106" s="338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40"/>
      <c r="M106" s="338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39"/>
      <c r="AP106" s="339"/>
      <c r="AQ106" s="339"/>
      <c r="AR106" s="339"/>
      <c r="AS106" s="339"/>
      <c r="AT106" s="340"/>
      <c r="AU106" s="338"/>
      <c r="AV106" s="339"/>
      <c r="AW106" s="339"/>
      <c r="AX106" s="339"/>
      <c r="AY106" s="339"/>
      <c r="AZ106" s="339"/>
      <c r="BA106" s="339"/>
      <c r="BB106" s="339"/>
      <c r="BC106" s="339"/>
      <c r="BD106" s="339"/>
      <c r="BE106" s="339"/>
      <c r="BF106" s="338"/>
      <c r="BG106" s="339"/>
      <c r="BH106" s="339"/>
      <c r="BI106" s="339"/>
      <c r="BJ106" s="339"/>
      <c r="BK106" s="340"/>
    </row>
    <row r="107" spans="1:63" s="315" customFormat="1" ht="15" customHeight="1" x14ac:dyDescent="0.25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341"/>
      <c r="N107" s="341"/>
      <c r="O107" s="341"/>
      <c r="P107" s="341"/>
      <c r="Q107" s="341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42"/>
      <c r="AP107" s="342"/>
      <c r="AQ107" s="342"/>
      <c r="AR107" s="342"/>
      <c r="AS107" s="342"/>
      <c r="AT107" s="342"/>
      <c r="AU107" s="21"/>
      <c r="AV107" s="22"/>
      <c r="AW107" s="22"/>
      <c r="AX107" s="22"/>
      <c r="AY107" s="22"/>
      <c r="AZ107" s="22"/>
      <c r="BA107" s="22"/>
      <c r="BB107" s="22"/>
      <c r="BC107" s="22"/>
      <c r="BD107" s="22"/>
      <c r="BE107" s="23"/>
      <c r="BF107" s="159"/>
      <c r="BG107" s="160"/>
      <c r="BH107" s="160"/>
      <c r="BI107" s="160"/>
      <c r="BJ107" s="160"/>
      <c r="BK107" s="161"/>
    </row>
    <row r="108" spans="1:63" s="315" customFormat="1" ht="15" customHeight="1" x14ac:dyDescent="0.25">
      <c r="A108" s="25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6"/>
      <c r="M108" s="341"/>
      <c r="N108" s="57" t="s">
        <v>245</v>
      </c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25"/>
      <c r="AV108" s="43"/>
      <c r="AW108" s="43"/>
      <c r="AX108" s="43"/>
      <c r="AY108" s="43"/>
      <c r="AZ108" s="43"/>
      <c r="BA108" s="43"/>
      <c r="BB108" s="43"/>
      <c r="BC108" s="43"/>
      <c r="BD108" s="43"/>
      <c r="BE108" s="26"/>
      <c r="BF108" s="162"/>
      <c r="BG108" s="163"/>
      <c r="BH108" s="163"/>
      <c r="BI108" s="163"/>
      <c r="BJ108" s="163"/>
      <c r="BK108" s="164"/>
    </row>
    <row r="109" spans="1:63" s="315" customFormat="1" ht="15" customHeight="1" x14ac:dyDescent="0.25">
      <c r="A109" s="25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6"/>
      <c r="M109" s="344"/>
      <c r="N109" s="341"/>
      <c r="O109" s="343" t="s">
        <v>174</v>
      </c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25"/>
      <c r="AV109" s="43"/>
      <c r="AW109" s="43"/>
      <c r="AX109" s="43"/>
      <c r="AY109" s="43"/>
      <c r="AZ109" s="43"/>
      <c r="BA109" s="43"/>
      <c r="BB109" s="43"/>
      <c r="BC109" s="43"/>
      <c r="BD109" s="43"/>
      <c r="BE109" s="26"/>
      <c r="BF109" s="162"/>
      <c r="BG109" s="163"/>
      <c r="BH109" s="163"/>
      <c r="BI109" s="163"/>
      <c r="BJ109" s="163"/>
      <c r="BK109" s="164"/>
    </row>
    <row r="110" spans="1:63" s="315" customFormat="1" ht="15" customHeight="1" x14ac:dyDescent="0.25">
      <c r="A110" s="25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6"/>
      <c r="M110" s="341"/>
      <c r="N110" s="341"/>
      <c r="O110" s="343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25"/>
      <c r="AV110" s="43"/>
      <c r="AW110" s="43"/>
      <c r="AX110" s="43"/>
      <c r="AY110" s="43"/>
      <c r="AZ110" s="43"/>
      <c r="BA110" s="43"/>
      <c r="BB110" s="43"/>
      <c r="BC110" s="43"/>
      <c r="BD110" s="43"/>
      <c r="BE110" s="26"/>
      <c r="BF110" s="165"/>
      <c r="BG110" s="166"/>
      <c r="BH110" s="166"/>
      <c r="BI110" s="166"/>
      <c r="BJ110" s="166"/>
      <c r="BK110" s="167"/>
    </row>
    <row r="111" spans="1:63" s="315" customFormat="1" ht="15" customHeight="1" x14ac:dyDescent="0.25">
      <c r="A111" s="25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6"/>
      <c r="M111" s="341"/>
      <c r="N111" s="57" t="s">
        <v>60</v>
      </c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25"/>
      <c r="AV111" s="43"/>
      <c r="AW111" s="43"/>
      <c r="AX111" s="43"/>
      <c r="AY111" s="43"/>
      <c r="AZ111" s="43"/>
      <c r="BA111" s="43"/>
      <c r="BB111" s="43"/>
      <c r="BC111" s="43"/>
      <c r="BD111" s="43"/>
      <c r="BE111" s="26"/>
      <c r="BF111" s="165"/>
      <c r="BG111" s="166"/>
      <c r="BH111" s="166"/>
      <c r="BI111" s="166"/>
      <c r="BJ111" s="166"/>
      <c r="BK111" s="167"/>
    </row>
    <row r="112" spans="1:63" s="315" customFormat="1" ht="15" customHeight="1" x14ac:dyDescent="0.25">
      <c r="A112" s="2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9"/>
      <c r="M112" s="345"/>
      <c r="N112" s="346"/>
      <c r="O112" s="346"/>
      <c r="P112" s="346"/>
      <c r="Q112" s="346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347"/>
      <c r="AQ112" s="347"/>
      <c r="AR112" s="347"/>
      <c r="AS112" s="347"/>
      <c r="AT112" s="347"/>
      <c r="AU112" s="27"/>
      <c r="AV112" s="28"/>
      <c r="AW112" s="28"/>
      <c r="AX112" s="28"/>
      <c r="AY112" s="28"/>
      <c r="AZ112" s="28"/>
      <c r="BA112" s="28"/>
      <c r="BB112" s="28"/>
      <c r="BC112" s="28"/>
      <c r="BD112" s="28"/>
      <c r="BE112" s="29"/>
      <c r="BF112" s="168"/>
      <c r="BG112" s="169"/>
      <c r="BH112" s="169"/>
      <c r="BI112" s="169"/>
      <c r="BJ112" s="169"/>
      <c r="BK112" s="170"/>
    </row>
    <row r="113" spans="1:63" ht="15" customHeight="1" x14ac:dyDescent="0.25">
      <c r="BK113" s="16"/>
    </row>
    <row r="114" spans="1:63" ht="15" customHeight="1" x14ac:dyDescent="0.25">
      <c r="BK114" s="16"/>
    </row>
    <row r="115" spans="1:63" ht="15" customHeight="1" x14ac:dyDescent="0.25">
      <c r="BK115" s="16"/>
    </row>
    <row r="116" spans="1:63" s="315" customFormat="1" ht="15" customHeight="1" x14ac:dyDescent="0.25">
      <c r="A116" s="329" t="s">
        <v>18</v>
      </c>
      <c r="B116" s="330"/>
      <c r="C116" s="330"/>
      <c r="D116" s="330"/>
      <c r="E116" s="330"/>
      <c r="F116" s="331"/>
      <c r="G116" s="317" t="s">
        <v>70</v>
      </c>
      <c r="H116" s="317"/>
      <c r="I116" s="317"/>
      <c r="J116" s="317"/>
      <c r="K116" s="317"/>
      <c r="L116" s="317"/>
      <c r="M116" s="332" t="s">
        <v>74</v>
      </c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32"/>
      <c r="AQ116" s="332"/>
      <c r="AR116" s="332"/>
      <c r="AS116" s="332"/>
      <c r="AT116" s="332"/>
      <c r="AU116" s="332"/>
      <c r="AV116" s="332"/>
      <c r="AW116" s="332"/>
      <c r="AX116" s="332"/>
      <c r="AY116" s="332"/>
      <c r="AZ116" s="332"/>
      <c r="BA116" s="332"/>
      <c r="BB116" s="332"/>
      <c r="BC116" s="332"/>
      <c r="BD116" s="332"/>
      <c r="BE116" s="332"/>
      <c r="BF116" s="332"/>
      <c r="BG116" s="332"/>
      <c r="BH116" s="333"/>
      <c r="BI116" s="333"/>
      <c r="BJ116" s="333"/>
      <c r="BK116" s="334"/>
    </row>
    <row r="117" spans="1:63" s="315" customFormat="1" ht="15" customHeight="1" x14ac:dyDescent="0.25">
      <c r="A117" s="335" t="s">
        <v>20</v>
      </c>
      <c r="B117" s="336"/>
      <c r="C117" s="336"/>
      <c r="D117" s="336"/>
      <c r="E117" s="336"/>
      <c r="F117" s="336"/>
      <c r="G117" s="336"/>
      <c r="H117" s="336"/>
      <c r="I117" s="336"/>
      <c r="J117" s="336"/>
      <c r="K117" s="336"/>
      <c r="L117" s="337"/>
      <c r="M117" s="335" t="s">
        <v>21</v>
      </c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6"/>
      <c r="AP117" s="336"/>
      <c r="AQ117" s="336"/>
      <c r="AR117" s="336"/>
      <c r="AS117" s="336"/>
      <c r="AT117" s="337"/>
      <c r="AU117" s="335" t="s">
        <v>22</v>
      </c>
      <c r="AV117" s="336"/>
      <c r="AW117" s="336"/>
      <c r="AX117" s="336"/>
      <c r="AY117" s="336"/>
      <c r="AZ117" s="336"/>
      <c r="BA117" s="336"/>
      <c r="BB117" s="336"/>
      <c r="BC117" s="336"/>
      <c r="BD117" s="336"/>
      <c r="BE117" s="336"/>
      <c r="BF117" s="335" t="s">
        <v>23</v>
      </c>
      <c r="BG117" s="336"/>
      <c r="BH117" s="336"/>
      <c r="BI117" s="336"/>
      <c r="BJ117" s="336"/>
      <c r="BK117" s="337"/>
    </row>
    <row r="118" spans="1:63" s="315" customFormat="1" ht="15" customHeight="1" x14ac:dyDescent="0.25">
      <c r="A118" s="338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40"/>
      <c r="M118" s="338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  <c r="AD118" s="339"/>
      <c r="AE118" s="339"/>
      <c r="AF118" s="339"/>
      <c r="AG118" s="339"/>
      <c r="AH118" s="339"/>
      <c r="AI118" s="339"/>
      <c r="AJ118" s="339"/>
      <c r="AK118" s="339"/>
      <c r="AL118" s="339"/>
      <c r="AM118" s="339"/>
      <c r="AN118" s="339"/>
      <c r="AO118" s="339"/>
      <c r="AP118" s="339"/>
      <c r="AQ118" s="339"/>
      <c r="AR118" s="339"/>
      <c r="AS118" s="339"/>
      <c r="AT118" s="340"/>
      <c r="AU118" s="338"/>
      <c r="AV118" s="339"/>
      <c r="AW118" s="339"/>
      <c r="AX118" s="339"/>
      <c r="AY118" s="339"/>
      <c r="AZ118" s="339"/>
      <c r="BA118" s="339"/>
      <c r="BB118" s="339"/>
      <c r="BC118" s="339"/>
      <c r="BD118" s="339"/>
      <c r="BE118" s="339"/>
      <c r="BF118" s="338"/>
      <c r="BG118" s="339"/>
      <c r="BH118" s="339"/>
      <c r="BI118" s="339"/>
      <c r="BJ118" s="339"/>
      <c r="BK118" s="340"/>
    </row>
    <row r="119" spans="1:63" s="315" customFormat="1" ht="15" customHeight="1" x14ac:dyDescent="0.25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341"/>
      <c r="N119" s="341"/>
      <c r="O119" s="341"/>
      <c r="P119" s="341"/>
      <c r="Q119" s="341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  <c r="AJ119" s="342"/>
      <c r="AK119" s="342"/>
      <c r="AL119" s="342"/>
      <c r="AM119" s="342"/>
      <c r="AN119" s="342"/>
      <c r="AO119" s="342"/>
      <c r="AP119" s="342"/>
      <c r="AQ119" s="342"/>
      <c r="AR119" s="342"/>
      <c r="AS119" s="342"/>
      <c r="AT119" s="342"/>
      <c r="AU119" s="21"/>
      <c r="AV119" s="22"/>
      <c r="AW119" s="22"/>
      <c r="AX119" s="22"/>
      <c r="AY119" s="22"/>
      <c r="AZ119" s="22"/>
      <c r="BA119" s="22"/>
      <c r="BB119" s="22"/>
      <c r="BC119" s="22"/>
      <c r="BD119" s="22"/>
      <c r="BE119" s="23"/>
      <c r="BF119" s="159"/>
      <c r="BG119" s="160"/>
      <c r="BH119" s="160"/>
      <c r="BI119" s="160"/>
      <c r="BJ119" s="160"/>
      <c r="BK119" s="161"/>
    </row>
    <row r="120" spans="1:63" s="315" customFormat="1" ht="15" customHeight="1" x14ac:dyDescent="0.25">
      <c r="A120" s="25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6"/>
      <c r="M120" s="341"/>
      <c r="N120" s="57" t="s">
        <v>246</v>
      </c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25"/>
      <c r="AV120" s="43"/>
      <c r="AW120" s="43"/>
      <c r="AX120" s="43"/>
      <c r="AY120" s="43"/>
      <c r="AZ120" s="43"/>
      <c r="BA120" s="43"/>
      <c r="BB120" s="43"/>
      <c r="BC120" s="43"/>
      <c r="BD120" s="43"/>
      <c r="BE120" s="26"/>
      <c r="BF120" s="162"/>
      <c r="BG120" s="163"/>
      <c r="BH120" s="163"/>
      <c r="BI120" s="163"/>
      <c r="BJ120" s="163"/>
      <c r="BK120" s="164"/>
    </row>
    <row r="121" spans="1:63" s="315" customFormat="1" ht="15" customHeight="1" x14ac:dyDescent="0.25">
      <c r="A121" s="25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6"/>
      <c r="M121" s="344"/>
      <c r="N121" s="341"/>
      <c r="O121" s="343" t="s">
        <v>182</v>
      </c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25"/>
      <c r="AV121" s="43"/>
      <c r="AW121" s="43"/>
      <c r="AX121" s="43"/>
      <c r="AY121" s="43"/>
      <c r="AZ121" s="43"/>
      <c r="BA121" s="43"/>
      <c r="BB121" s="43"/>
      <c r="BC121" s="43"/>
      <c r="BD121" s="43"/>
      <c r="BE121" s="26"/>
      <c r="BF121" s="162"/>
      <c r="BG121" s="163"/>
      <c r="BH121" s="163"/>
      <c r="BI121" s="163"/>
      <c r="BJ121" s="163"/>
      <c r="BK121" s="164"/>
    </row>
    <row r="122" spans="1:63" s="315" customFormat="1" ht="15" customHeight="1" x14ac:dyDescent="0.25">
      <c r="A122" s="25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6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25"/>
      <c r="AV122" s="43"/>
      <c r="AW122" s="43"/>
      <c r="AX122" s="43"/>
      <c r="AY122" s="43"/>
      <c r="AZ122" s="43"/>
      <c r="BA122" s="43"/>
      <c r="BB122" s="43"/>
      <c r="BC122" s="43"/>
      <c r="BD122" s="43"/>
      <c r="BE122" s="26"/>
      <c r="BF122" s="165"/>
      <c r="BG122" s="166"/>
      <c r="BH122" s="166"/>
      <c r="BI122" s="166"/>
      <c r="BJ122" s="166"/>
      <c r="BK122" s="167"/>
    </row>
    <row r="123" spans="1:63" s="315" customFormat="1" ht="15" customHeight="1" x14ac:dyDescent="0.25">
      <c r="A123" s="25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6"/>
      <c r="M123" s="341"/>
      <c r="N123" s="57" t="s">
        <v>60</v>
      </c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25"/>
      <c r="AV123" s="43"/>
      <c r="AW123" s="43"/>
      <c r="AX123" s="43"/>
      <c r="AY123" s="43"/>
      <c r="AZ123" s="43"/>
      <c r="BA123" s="43"/>
      <c r="BB123" s="43"/>
      <c r="BC123" s="43"/>
      <c r="BD123" s="43"/>
      <c r="BE123" s="26"/>
      <c r="BF123" s="165"/>
      <c r="BG123" s="166"/>
      <c r="BH123" s="166"/>
      <c r="BI123" s="166"/>
      <c r="BJ123" s="166"/>
      <c r="BK123" s="167"/>
    </row>
    <row r="124" spans="1:63" s="315" customFormat="1" ht="15" customHeight="1" x14ac:dyDescent="0.25">
      <c r="A124" s="25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6"/>
      <c r="M124" s="341"/>
      <c r="N124" s="57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25"/>
      <c r="AV124" s="43"/>
      <c r="AW124" s="43"/>
      <c r="AX124" s="43"/>
      <c r="AY124" s="43"/>
      <c r="AZ124" s="43"/>
      <c r="BA124" s="43"/>
      <c r="BB124" s="43"/>
      <c r="BC124" s="43"/>
      <c r="BD124" s="43"/>
      <c r="BE124" s="26"/>
      <c r="BF124" s="165"/>
      <c r="BG124" s="166"/>
      <c r="BH124" s="166"/>
      <c r="BI124" s="166"/>
      <c r="BJ124" s="166"/>
      <c r="BK124" s="167"/>
    </row>
    <row r="125" spans="1:63" s="315" customFormat="1" ht="15" customHeight="1" x14ac:dyDescent="0.25">
      <c r="A125" s="25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6"/>
      <c r="M125" s="341"/>
      <c r="N125" s="57"/>
      <c r="O125" s="343" t="s">
        <v>184</v>
      </c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25"/>
      <c r="AV125" s="43"/>
      <c r="AW125" s="43"/>
      <c r="AX125" s="43"/>
      <c r="AY125" s="43"/>
      <c r="AZ125" s="43"/>
      <c r="BA125" s="43"/>
      <c r="BB125" s="43"/>
      <c r="BC125" s="43"/>
      <c r="BD125" s="43"/>
      <c r="BE125" s="26"/>
      <c r="BF125" s="165"/>
      <c r="BG125" s="166"/>
      <c r="BH125" s="166"/>
      <c r="BI125" s="166"/>
      <c r="BJ125" s="166"/>
      <c r="BK125" s="167"/>
    </row>
    <row r="126" spans="1:63" s="315" customFormat="1" ht="15" customHeight="1" x14ac:dyDescent="0.25">
      <c r="A126" s="25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6"/>
      <c r="M126" s="341"/>
      <c r="N126" s="57"/>
      <c r="O126" s="341" t="s">
        <v>185</v>
      </c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25"/>
      <c r="AV126" s="43"/>
      <c r="AW126" s="43"/>
      <c r="AX126" s="43"/>
      <c r="AY126" s="43"/>
      <c r="AZ126" s="43"/>
      <c r="BA126" s="43"/>
      <c r="BB126" s="43"/>
      <c r="BC126" s="43"/>
      <c r="BD126" s="43"/>
      <c r="BE126" s="26"/>
      <c r="BF126" s="165"/>
      <c r="BG126" s="166"/>
      <c r="BH126" s="166"/>
      <c r="BI126" s="166"/>
      <c r="BJ126" s="166"/>
      <c r="BK126" s="167"/>
    </row>
    <row r="127" spans="1:63" s="315" customFormat="1" ht="15" customHeight="1" x14ac:dyDescent="0.25">
      <c r="A127" s="25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6"/>
      <c r="M127" s="341"/>
      <c r="N127" s="57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25"/>
      <c r="AV127" s="43"/>
      <c r="AW127" s="43"/>
      <c r="AX127" s="43"/>
      <c r="AY127" s="43"/>
      <c r="AZ127" s="43"/>
      <c r="BA127" s="43"/>
      <c r="BB127" s="43"/>
      <c r="BC127" s="43"/>
      <c r="BD127" s="43"/>
      <c r="BE127" s="26"/>
      <c r="BF127" s="165"/>
      <c r="BG127" s="166"/>
      <c r="BH127" s="166"/>
      <c r="BI127" s="166"/>
      <c r="BJ127" s="166"/>
      <c r="BK127" s="167"/>
    </row>
    <row r="128" spans="1:63" s="315" customFormat="1" ht="15" customHeight="1" x14ac:dyDescent="0.25">
      <c r="A128" s="2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9"/>
      <c r="M128" s="345"/>
      <c r="N128" s="346"/>
      <c r="O128" s="346"/>
      <c r="P128" s="346"/>
      <c r="Q128" s="346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347"/>
      <c r="AQ128" s="347"/>
      <c r="AR128" s="347"/>
      <c r="AS128" s="347"/>
      <c r="AT128" s="347"/>
      <c r="AU128" s="27"/>
      <c r="AV128" s="28"/>
      <c r="AW128" s="28"/>
      <c r="AX128" s="28"/>
      <c r="AY128" s="28"/>
      <c r="AZ128" s="28"/>
      <c r="BA128" s="28"/>
      <c r="BB128" s="28"/>
      <c r="BC128" s="28"/>
      <c r="BD128" s="28"/>
      <c r="BE128" s="29"/>
      <c r="BF128" s="168"/>
      <c r="BG128" s="169"/>
      <c r="BH128" s="169"/>
      <c r="BI128" s="169"/>
      <c r="BJ128" s="169"/>
      <c r="BK128" s="170"/>
    </row>
    <row r="129" spans="1:63" ht="15" customHeight="1" x14ac:dyDescent="0.25">
      <c r="BK129" s="16"/>
    </row>
    <row r="130" spans="1:63" ht="15" customHeight="1" x14ac:dyDescent="0.25">
      <c r="BK130" s="16"/>
    </row>
    <row r="131" spans="1:63" ht="15" customHeight="1" x14ac:dyDescent="0.25">
      <c r="BK131" s="16"/>
    </row>
    <row r="132" spans="1:63" s="315" customFormat="1" ht="15" customHeight="1" x14ac:dyDescent="0.25">
      <c r="A132" s="329" t="s">
        <v>18</v>
      </c>
      <c r="B132" s="330"/>
      <c r="C132" s="330"/>
      <c r="D132" s="330"/>
      <c r="E132" s="330"/>
      <c r="F132" s="331"/>
      <c r="G132" s="317" t="s">
        <v>72</v>
      </c>
      <c r="H132" s="317"/>
      <c r="I132" s="317"/>
      <c r="J132" s="317"/>
      <c r="K132" s="317"/>
      <c r="L132" s="317"/>
      <c r="M132" s="332" t="s">
        <v>73</v>
      </c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2"/>
      <c r="AH132" s="332"/>
      <c r="AI132" s="332"/>
      <c r="AJ132" s="332"/>
      <c r="AK132" s="332"/>
      <c r="AL132" s="332"/>
      <c r="AM132" s="332"/>
      <c r="AN132" s="332"/>
      <c r="AO132" s="332"/>
      <c r="AP132" s="332"/>
      <c r="AQ132" s="332"/>
      <c r="AR132" s="332"/>
      <c r="AS132" s="332"/>
      <c r="AT132" s="332"/>
      <c r="AU132" s="332"/>
      <c r="AV132" s="332"/>
      <c r="AW132" s="332"/>
      <c r="AX132" s="332"/>
      <c r="AY132" s="332"/>
      <c r="AZ132" s="332"/>
      <c r="BA132" s="332"/>
      <c r="BB132" s="332"/>
      <c r="BC132" s="332"/>
      <c r="BD132" s="332"/>
      <c r="BE132" s="332"/>
      <c r="BF132" s="332"/>
      <c r="BG132" s="332"/>
      <c r="BH132" s="333"/>
      <c r="BI132" s="333"/>
      <c r="BJ132" s="333"/>
      <c r="BK132" s="334"/>
    </row>
    <row r="133" spans="1:63" s="315" customFormat="1" ht="15" customHeight="1" x14ac:dyDescent="0.25">
      <c r="A133" s="335" t="s">
        <v>20</v>
      </c>
      <c r="B133" s="336"/>
      <c r="C133" s="336"/>
      <c r="D133" s="336"/>
      <c r="E133" s="336"/>
      <c r="F133" s="336"/>
      <c r="G133" s="336"/>
      <c r="H133" s="336"/>
      <c r="I133" s="336"/>
      <c r="J133" s="336"/>
      <c r="K133" s="336"/>
      <c r="L133" s="337"/>
      <c r="M133" s="335" t="s">
        <v>21</v>
      </c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6"/>
      <c r="AP133" s="336"/>
      <c r="AQ133" s="336"/>
      <c r="AR133" s="336"/>
      <c r="AS133" s="336"/>
      <c r="AT133" s="337"/>
      <c r="AU133" s="335" t="s">
        <v>22</v>
      </c>
      <c r="AV133" s="336"/>
      <c r="AW133" s="336"/>
      <c r="AX133" s="336"/>
      <c r="AY133" s="336"/>
      <c r="AZ133" s="336"/>
      <c r="BA133" s="336"/>
      <c r="BB133" s="336"/>
      <c r="BC133" s="336"/>
      <c r="BD133" s="336"/>
      <c r="BE133" s="336"/>
      <c r="BF133" s="335" t="s">
        <v>23</v>
      </c>
      <c r="BG133" s="336"/>
      <c r="BH133" s="336"/>
      <c r="BI133" s="336"/>
      <c r="BJ133" s="336"/>
      <c r="BK133" s="337"/>
    </row>
    <row r="134" spans="1:63" s="315" customFormat="1" ht="15" customHeight="1" x14ac:dyDescent="0.25">
      <c r="A134" s="338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40"/>
      <c r="M134" s="338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39"/>
      <c r="AP134" s="339"/>
      <c r="AQ134" s="339"/>
      <c r="AR134" s="339"/>
      <c r="AS134" s="339"/>
      <c r="AT134" s="340"/>
      <c r="AU134" s="338"/>
      <c r="AV134" s="339"/>
      <c r="AW134" s="339"/>
      <c r="AX134" s="339"/>
      <c r="AY134" s="339"/>
      <c r="AZ134" s="339"/>
      <c r="BA134" s="339"/>
      <c r="BB134" s="339"/>
      <c r="BC134" s="339"/>
      <c r="BD134" s="339"/>
      <c r="BE134" s="339"/>
      <c r="BF134" s="338"/>
      <c r="BG134" s="339"/>
      <c r="BH134" s="339"/>
      <c r="BI134" s="339"/>
      <c r="BJ134" s="339"/>
      <c r="BK134" s="340"/>
    </row>
    <row r="135" spans="1:63" s="315" customFormat="1" ht="15" customHeight="1" x14ac:dyDescent="0.2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341"/>
      <c r="N135" s="341"/>
      <c r="O135" s="341"/>
      <c r="P135" s="341"/>
      <c r="Q135" s="341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342"/>
      <c r="AE135" s="342"/>
      <c r="AF135" s="342"/>
      <c r="AG135" s="342"/>
      <c r="AH135" s="342"/>
      <c r="AI135" s="342"/>
      <c r="AJ135" s="342"/>
      <c r="AK135" s="342"/>
      <c r="AL135" s="342"/>
      <c r="AM135" s="342"/>
      <c r="AN135" s="342"/>
      <c r="AO135" s="342"/>
      <c r="AP135" s="342"/>
      <c r="AQ135" s="342"/>
      <c r="AR135" s="342"/>
      <c r="AS135" s="342"/>
      <c r="AT135" s="342"/>
      <c r="AU135" s="21"/>
      <c r="AV135" s="22"/>
      <c r="AW135" s="22"/>
      <c r="AX135" s="22"/>
      <c r="AY135" s="22"/>
      <c r="AZ135" s="22"/>
      <c r="BA135" s="22"/>
      <c r="BB135" s="22"/>
      <c r="BC135" s="22"/>
      <c r="BD135" s="22"/>
      <c r="BE135" s="23"/>
      <c r="BF135" s="159"/>
      <c r="BG135" s="160"/>
      <c r="BH135" s="160"/>
      <c r="BI135" s="160"/>
      <c r="BJ135" s="160"/>
      <c r="BK135" s="161"/>
    </row>
    <row r="136" spans="1:63" s="315" customFormat="1" ht="15" customHeight="1" x14ac:dyDescent="0.25">
      <c r="A136" s="25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6"/>
      <c r="M136" s="341"/>
      <c r="N136" s="57" t="s">
        <v>247</v>
      </c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25"/>
      <c r="AV136" s="43"/>
      <c r="AW136" s="43"/>
      <c r="AX136" s="43"/>
      <c r="AY136" s="43"/>
      <c r="AZ136" s="43"/>
      <c r="BA136" s="43"/>
      <c r="BB136" s="43"/>
      <c r="BC136" s="43"/>
      <c r="BD136" s="43"/>
      <c r="BE136" s="26"/>
      <c r="BF136" s="162"/>
      <c r="BG136" s="163"/>
      <c r="BH136" s="163"/>
      <c r="BI136" s="163"/>
      <c r="BJ136" s="163"/>
      <c r="BK136" s="164"/>
    </row>
    <row r="137" spans="1:63" s="315" customFormat="1" ht="15" customHeight="1" x14ac:dyDescent="0.25">
      <c r="A137" s="25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6"/>
      <c r="M137" s="344"/>
      <c r="N137" s="341"/>
      <c r="O137" s="343" t="s">
        <v>178</v>
      </c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25"/>
      <c r="AV137" s="43"/>
      <c r="AW137" s="43"/>
      <c r="AX137" s="43"/>
      <c r="AY137" s="43"/>
      <c r="AZ137" s="43"/>
      <c r="BA137" s="43"/>
      <c r="BB137" s="43"/>
      <c r="BC137" s="43"/>
      <c r="BD137" s="43"/>
      <c r="BE137" s="26"/>
      <c r="BF137" s="162"/>
      <c r="BG137" s="163"/>
      <c r="BH137" s="163"/>
      <c r="BI137" s="163"/>
      <c r="BJ137" s="163"/>
      <c r="BK137" s="164"/>
    </row>
    <row r="138" spans="1:63" s="315" customFormat="1" ht="15" customHeight="1" x14ac:dyDescent="0.25">
      <c r="A138" s="25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6"/>
      <c r="M138" s="341"/>
      <c r="N138" s="341"/>
      <c r="O138" s="341" t="s">
        <v>179</v>
      </c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25"/>
      <c r="AV138" s="43"/>
      <c r="AW138" s="43"/>
      <c r="AX138" s="43"/>
      <c r="AY138" s="43"/>
      <c r="AZ138" s="43"/>
      <c r="BA138" s="43"/>
      <c r="BB138" s="43"/>
      <c r="BC138" s="43"/>
      <c r="BD138" s="43"/>
      <c r="BE138" s="26"/>
      <c r="BF138" s="165"/>
      <c r="BG138" s="166"/>
      <c r="BH138" s="166"/>
      <c r="BI138" s="166"/>
      <c r="BJ138" s="166"/>
      <c r="BK138" s="167"/>
    </row>
    <row r="139" spans="1:63" s="315" customFormat="1" ht="15" customHeight="1" x14ac:dyDescent="0.25">
      <c r="A139" s="25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6"/>
      <c r="M139" s="341"/>
      <c r="N139" s="341"/>
      <c r="O139" s="315" t="s">
        <v>181</v>
      </c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25"/>
      <c r="AV139" s="43"/>
      <c r="AW139" s="43"/>
      <c r="AX139" s="43"/>
      <c r="AY139" s="43"/>
      <c r="AZ139" s="43"/>
      <c r="BA139" s="43"/>
      <c r="BB139" s="43"/>
      <c r="BC139" s="43"/>
      <c r="BD139" s="43"/>
      <c r="BE139" s="26"/>
      <c r="BF139" s="165"/>
      <c r="BG139" s="166"/>
      <c r="BH139" s="166"/>
      <c r="BI139" s="166"/>
      <c r="BJ139" s="166"/>
      <c r="BK139" s="167"/>
    </row>
    <row r="140" spans="1:63" s="315" customFormat="1" ht="15" customHeight="1" x14ac:dyDescent="0.25">
      <c r="A140" s="25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6"/>
      <c r="M140" s="341"/>
      <c r="N140" s="341"/>
      <c r="O140" s="343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25"/>
      <c r="AV140" s="43"/>
      <c r="AW140" s="43"/>
      <c r="AX140" s="43"/>
      <c r="AY140" s="43"/>
      <c r="AZ140" s="43"/>
      <c r="BA140" s="43"/>
      <c r="BB140" s="43"/>
      <c r="BC140" s="43"/>
      <c r="BD140" s="43"/>
      <c r="BE140" s="26"/>
      <c r="BF140" s="165"/>
      <c r="BG140" s="166"/>
      <c r="BH140" s="166"/>
      <c r="BI140" s="166"/>
      <c r="BJ140" s="166"/>
      <c r="BK140" s="167"/>
    </row>
    <row r="141" spans="1:63" s="315" customFormat="1" ht="15" customHeight="1" x14ac:dyDescent="0.25">
      <c r="A141" s="25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6"/>
      <c r="M141" s="341"/>
      <c r="N141" s="341"/>
      <c r="O141" s="343" t="s">
        <v>176</v>
      </c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25"/>
      <c r="AV141" s="43"/>
      <c r="AW141" s="43"/>
      <c r="AX141" s="43"/>
      <c r="AY141" s="43"/>
      <c r="AZ141" s="43"/>
      <c r="BA141" s="43"/>
      <c r="BB141" s="43"/>
      <c r="BC141" s="43"/>
      <c r="BD141" s="43"/>
      <c r="BE141" s="26"/>
      <c r="BF141" s="165"/>
      <c r="BG141" s="166"/>
      <c r="BH141" s="166"/>
      <c r="BI141" s="166"/>
      <c r="BJ141" s="166"/>
      <c r="BK141" s="167"/>
    </row>
    <row r="142" spans="1:63" s="315" customFormat="1" ht="15" customHeight="1" x14ac:dyDescent="0.25">
      <c r="A142" s="25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6"/>
      <c r="M142" s="341"/>
      <c r="N142" s="341"/>
      <c r="O142" s="315" t="s">
        <v>177</v>
      </c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25"/>
      <c r="AV142" s="43"/>
      <c r="AW142" s="43"/>
      <c r="AX142" s="43"/>
      <c r="AY142" s="43"/>
      <c r="AZ142" s="43"/>
      <c r="BA142" s="43"/>
      <c r="BB142" s="43"/>
      <c r="BC142" s="43"/>
      <c r="BD142" s="43"/>
      <c r="BE142" s="26"/>
      <c r="BF142" s="165"/>
      <c r="BG142" s="166"/>
      <c r="BH142" s="166"/>
      <c r="BI142" s="166"/>
      <c r="BJ142" s="166"/>
      <c r="BK142" s="167"/>
    </row>
    <row r="143" spans="1:63" s="315" customFormat="1" ht="15" customHeight="1" x14ac:dyDescent="0.25">
      <c r="A143" s="25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6"/>
      <c r="M143" s="341"/>
      <c r="N143" s="341"/>
      <c r="O143" s="343" t="s">
        <v>175</v>
      </c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25"/>
      <c r="AV143" s="43"/>
      <c r="AW143" s="43"/>
      <c r="AX143" s="43"/>
      <c r="AY143" s="43"/>
      <c r="AZ143" s="43"/>
      <c r="BA143" s="43"/>
      <c r="BB143" s="43"/>
      <c r="BC143" s="43"/>
      <c r="BD143" s="43"/>
      <c r="BE143" s="26"/>
      <c r="BF143" s="165"/>
      <c r="BG143" s="166"/>
      <c r="BH143" s="166"/>
      <c r="BI143" s="166"/>
      <c r="BJ143" s="166"/>
      <c r="BK143" s="167"/>
    </row>
    <row r="144" spans="1:63" s="315" customFormat="1" ht="15" customHeight="1" x14ac:dyDescent="0.25">
      <c r="A144" s="25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6"/>
      <c r="M144" s="341"/>
      <c r="N144" s="57" t="s">
        <v>60</v>
      </c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25"/>
      <c r="AV144" s="43"/>
      <c r="AW144" s="43"/>
      <c r="AX144" s="43"/>
      <c r="AY144" s="43"/>
      <c r="AZ144" s="43"/>
      <c r="BA144" s="43"/>
      <c r="BB144" s="43"/>
      <c r="BC144" s="43"/>
      <c r="BD144" s="43"/>
      <c r="BE144" s="26"/>
      <c r="BF144" s="165"/>
      <c r="BG144" s="166"/>
      <c r="BH144" s="166"/>
      <c r="BI144" s="166"/>
      <c r="BJ144" s="166"/>
      <c r="BK144" s="167"/>
    </row>
    <row r="145" spans="1:63" s="315" customFormat="1" ht="15" customHeight="1" x14ac:dyDescent="0.25">
      <c r="A145" s="2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9"/>
      <c r="M145" s="345"/>
      <c r="N145" s="346"/>
      <c r="O145" s="346"/>
      <c r="P145" s="346"/>
      <c r="Q145" s="346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347"/>
      <c r="AQ145" s="347"/>
      <c r="AR145" s="347"/>
      <c r="AS145" s="347"/>
      <c r="AT145" s="347"/>
      <c r="AU145" s="27"/>
      <c r="AV145" s="28"/>
      <c r="AW145" s="28"/>
      <c r="AX145" s="28"/>
      <c r="AY145" s="28"/>
      <c r="AZ145" s="28"/>
      <c r="BA145" s="28"/>
      <c r="BB145" s="28"/>
      <c r="BC145" s="28"/>
      <c r="BD145" s="28"/>
      <c r="BE145" s="29"/>
      <c r="BF145" s="168"/>
      <c r="BG145" s="169"/>
      <c r="BH145" s="169"/>
      <c r="BI145" s="169"/>
      <c r="BJ145" s="169"/>
      <c r="BK145" s="170"/>
    </row>
    <row r="146" spans="1:63" ht="15" customHeight="1" x14ac:dyDescent="0.25"/>
    <row r="147" spans="1:63" ht="15" customHeight="1" x14ac:dyDescent="0.25"/>
    <row r="148" spans="1:63" ht="15" customHeight="1" x14ac:dyDescent="0.25"/>
    <row r="149" spans="1:63" ht="15" customHeight="1" x14ac:dyDescent="0.25"/>
    <row r="150" spans="1:63" ht="15" customHeight="1" x14ac:dyDescent="0.25"/>
    <row r="151" spans="1:63" ht="15" customHeight="1" x14ac:dyDescent="0.25"/>
    <row r="152" spans="1:63" ht="15" customHeight="1" x14ac:dyDescent="0.25"/>
    <row r="153" spans="1:63" ht="15" customHeight="1" x14ac:dyDescent="0.25"/>
    <row r="154" spans="1:63" ht="15" customHeight="1" x14ac:dyDescent="0.25"/>
    <row r="155" spans="1:63" ht="15" customHeight="1" x14ac:dyDescent="0.25"/>
    <row r="156" spans="1:63" ht="15" customHeight="1" x14ac:dyDescent="0.25"/>
    <row r="157" spans="1:63" ht="15" customHeight="1" x14ac:dyDescent="0.25"/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</sheetData>
  <mergeCells count="80"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4:BK4"/>
    <mergeCell ref="BF14:BK16"/>
    <mergeCell ref="BF17:BK19"/>
    <mergeCell ref="A11:F11"/>
    <mergeCell ref="G11:L11"/>
    <mergeCell ref="A12:L13"/>
    <mergeCell ref="M12:AT13"/>
    <mergeCell ref="AU12:BE13"/>
    <mergeCell ref="BF12:BK13"/>
    <mergeCell ref="BF80:BK81"/>
    <mergeCell ref="BF27:BK29"/>
    <mergeCell ref="BF30:BK74"/>
    <mergeCell ref="A24:F24"/>
    <mergeCell ref="G24:L24"/>
    <mergeCell ref="A25:L26"/>
    <mergeCell ref="M25:AT26"/>
    <mergeCell ref="AU25:BE26"/>
    <mergeCell ref="BF25:BK26"/>
    <mergeCell ref="A79:F79"/>
    <mergeCell ref="G79:L79"/>
    <mergeCell ref="A80:L81"/>
    <mergeCell ref="M80:AT81"/>
    <mergeCell ref="AU80:BE81"/>
    <mergeCell ref="BF82:BK84"/>
    <mergeCell ref="BF85:BK88"/>
    <mergeCell ref="A92:F92"/>
    <mergeCell ref="G92:L92"/>
    <mergeCell ref="A93:L94"/>
    <mergeCell ref="M93:AT94"/>
    <mergeCell ref="AU93:BE94"/>
    <mergeCell ref="BF93:BK94"/>
    <mergeCell ref="BF95:BK97"/>
    <mergeCell ref="BF98:BK100"/>
    <mergeCell ref="A104:F104"/>
    <mergeCell ref="G104:L104"/>
    <mergeCell ref="A105:L106"/>
    <mergeCell ref="M105:AT106"/>
    <mergeCell ref="AU105:BE106"/>
    <mergeCell ref="BF105:BK106"/>
    <mergeCell ref="BF107:BK109"/>
    <mergeCell ref="BF110:BK112"/>
    <mergeCell ref="A116:F116"/>
    <mergeCell ref="G116:L116"/>
    <mergeCell ref="A117:L118"/>
    <mergeCell ref="M117:AT118"/>
    <mergeCell ref="AU117:BE118"/>
    <mergeCell ref="BF117:BK118"/>
    <mergeCell ref="BF135:BK137"/>
    <mergeCell ref="BF138:BK145"/>
    <mergeCell ref="BF119:BK121"/>
    <mergeCell ref="BF122:BK128"/>
    <mergeCell ref="A132:F132"/>
    <mergeCell ref="G132:L132"/>
    <mergeCell ref="A133:L134"/>
    <mergeCell ref="M133:AT134"/>
    <mergeCell ref="AU133:BE134"/>
    <mergeCell ref="BF133:BK134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C39D-B331-40EE-9320-934A97A5EBA1}">
  <sheetPr>
    <pageSetUpPr fitToPage="1"/>
  </sheetPr>
  <dimension ref="A1:BK56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301" t="s">
        <v>214</v>
      </c>
      <c r="B1" s="302"/>
      <c r="C1" s="302"/>
      <c r="D1" s="302"/>
      <c r="E1" s="302"/>
      <c r="F1" s="302"/>
      <c r="G1" s="302"/>
      <c r="H1" s="302"/>
      <c r="I1" s="302"/>
      <c r="J1" s="303"/>
      <c r="K1" s="301" t="s">
        <v>215</v>
      </c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 t="str">
        <f>IF(表紙!W1="","",表紙!W1)</f>
        <v>詳細設計書</v>
      </c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241" t="s">
        <v>217</v>
      </c>
      <c r="AQ1" s="242"/>
      <c r="AR1" s="242"/>
      <c r="AS1" s="243"/>
      <c r="AT1" s="241" t="s">
        <v>218</v>
      </c>
      <c r="AU1" s="242"/>
      <c r="AV1" s="242"/>
      <c r="AW1" s="242"/>
      <c r="AX1" s="243"/>
      <c r="AY1" s="241" t="s">
        <v>219</v>
      </c>
      <c r="AZ1" s="242"/>
      <c r="BA1" s="242"/>
      <c r="BB1" s="243"/>
      <c r="BC1" s="241" t="s">
        <v>220</v>
      </c>
      <c r="BD1" s="242"/>
      <c r="BE1" s="242"/>
      <c r="BF1" s="242"/>
      <c r="BG1" s="243"/>
      <c r="BH1" s="241" t="s">
        <v>221</v>
      </c>
      <c r="BI1" s="242"/>
      <c r="BJ1" s="242"/>
      <c r="BK1" s="243"/>
    </row>
    <row r="2" spans="1:63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307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9"/>
      <c r="AP2" s="250" t="str">
        <f>IF(表紙!AP2="","",表紙!AP2)</f>
        <v>DuNT</v>
      </c>
      <c r="AQ2" s="248"/>
      <c r="AR2" s="248"/>
      <c r="AS2" s="249"/>
      <c r="AT2" s="254">
        <f>IF(表紙!AT2="","",表紙!AT2)</f>
        <v>45533</v>
      </c>
      <c r="AU2" s="255"/>
      <c r="AV2" s="255"/>
      <c r="AW2" s="255"/>
      <c r="AX2" s="256"/>
      <c r="AY2" s="250" t="str">
        <f>IF(表紙!AY2="","",表紙!AY2)</f>
        <v>DuNT</v>
      </c>
      <c r="AZ2" s="248"/>
      <c r="BA2" s="248"/>
      <c r="BB2" s="249"/>
      <c r="BC2" s="254">
        <f>IF(表紙!BC2="","",表紙!BC2)</f>
        <v>45533</v>
      </c>
      <c r="BD2" s="255"/>
      <c r="BE2" s="255"/>
      <c r="BF2" s="255"/>
      <c r="BG2" s="256"/>
      <c r="BH2" s="250">
        <f>IF(表紙!BH2="","",表紙!BH2)</f>
        <v>0.1</v>
      </c>
      <c r="BI2" s="248"/>
      <c r="BJ2" s="248"/>
      <c r="BK2" s="249"/>
    </row>
    <row r="3" spans="1:63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310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2"/>
      <c r="AP3" s="260"/>
      <c r="AQ3" s="261"/>
      <c r="AR3" s="261"/>
      <c r="AS3" s="262"/>
      <c r="AT3" s="266"/>
      <c r="AU3" s="267"/>
      <c r="AV3" s="267"/>
      <c r="AW3" s="267"/>
      <c r="AX3" s="268"/>
      <c r="AY3" s="260"/>
      <c r="AZ3" s="261"/>
      <c r="BA3" s="261"/>
      <c r="BB3" s="262"/>
      <c r="BC3" s="266"/>
      <c r="BD3" s="267"/>
      <c r="BE3" s="267"/>
      <c r="BF3" s="267"/>
      <c r="BG3" s="268"/>
      <c r="BH3" s="260"/>
      <c r="BI3" s="261"/>
      <c r="BJ3" s="261"/>
      <c r="BK3" s="262"/>
    </row>
    <row r="4" spans="1:63" ht="24.95" customHeight="1" x14ac:dyDescent="0.25">
      <c r="A4" s="313" t="s">
        <v>229</v>
      </c>
      <c r="B4" s="302"/>
      <c r="C4" s="302"/>
      <c r="D4" s="302"/>
      <c r="E4" s="302"/>
      <c r="F4" s="302"/>
      <c r="G4" s="303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301" t="s">
        <v>224</v>
      </c>
      <c r="V4" s="302"/>
      <c r="W4" s="302"/>
      <c r="X4" s="302"/>
      <c r="Y4" s="303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SC0102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s="315" customFormat="1" ht="15" customHeight="1" x14ac:dyDescent="0.25">
      <c r="A7" s="314" t="s">
        <v>26</v>
      </c>
      <c r="BK7" s="316"/>
    </row>
    <row r="8" spans="1:63" s="315" customFormat="1" ht="15" customHeight="1" x14ac:dyDescent="0.25">
      <c r="A8" s="314"/>
      <c r="BK8" s="316"/>
    </row>
    <row r="9" spans="1:63" s="315" customFormat="1" ht="15" customHeight="1" x14ac:dyDescent="0.25">
      <c r="A9" s="241" t="s">
        <v>230</v>
      </c>
      <c r="B9" s="242"/>
      <c r="C9" s="242"/>
      <c r="D9" s="242"/>
      <c r="E9" s="317" t="s">
        <v>79</v>
      </c>
      <c r="F9" s="317"/>
      <c r="G9" s="317"/>
      <c r="H9" s="317"/>
      <c r="I9" s="317"/>
      <c r="J9" s="317"/>
      <c r="K9" s="317"/>
      <c r="L9" s="317"/>
      <c r="M9" s="317"/>
      <c r="N9" s="317"/>
      <c r="O9" s="241" t="s">
        <v>231</v>
      </c>
      <c r="P9" s="242"/>
      <c r="Q9" s="242"/>
      <c r="R9" s="242"/>
      <c r="S9" s="242"/>
      <c r="T9" s="243"/>
      <c r="U9" s="318" t="s">
        <v>248</v>
      </c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20"/>
    </row>
    <row r="10" spans="1:63" s="315" customFormat="1" ht="15" customHeight="1" x14ac:dyDescent="0.25">
      <c r="A10" s="321"/>
      <c r="B10" s="322"/>
      <c r="C10" s="322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4"/>
      <c r="P10" s="324"/>
      <c r="Q10" s="324"/>
      <c r="R10" s="324"/>
      <c r="S10" s="324"/>
      <c r="T10" s="324"/>
      <c r="U10" s="325"/>
      <c r="V10" s="325"/>
      <c r="W10" s="322"/>
      <c r="X10" s="322"/>
      <c r="Y10" s="326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3"/>
      <c r="BK10" s="328"/>
    </row>
    <row r="11" spans="1:63" s="315" customFormat="1" ht="15" customHeight="1" x14ac:dyDescent="0.25">
      <c r="A11" s="329" t="s">
        <v>18</v>
      </c>
      <c r="B11" s="330"/>
      <c r="C11" s="330"/>
      <c r="D11" s="330"/>
      <c r="E11" s="330"/>
      <c r="F11" s="331"/>
      <c r="G11" s="317" t="s">
        <v>78</v>
      </c>
      <c r="H11" s="317"/>
      <c r="I11" s="317"/>
      <c r="J11" s="317"/>
      <c r="K11" s="317"/>
      <c r="L11" s="317"/>
      <c r="M11" s="332" t="s">
        <v>33</v>
      </c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32"/>
      <c r="AL11" s="332"/>
      <c r="AM11" s="332"/>
      <c r="AN11" s="332"/>
      <c r="AO11" s="332"/>
      <c r="AP11" s="332"/>
      <c r="AQ11" s="332"/>
      <c r="AR11" s="332"/>
      <c r="AS11" s="332"/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33"/>
      <c r="BI11" s="333"/>
      <c r="BJ11" s="333"/>
      <c r="BK11" s="334"/>
    </row>
    <row r="12" spans="1:63" s="315" customFormat="1" ht="15" customHeight="1" x14ac:dyDescent="0.25">
      <c r="A12" s="335" t="s">
        <v>20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7"/>
      <c r="M12" s="335" t="s">
        <v>21</v>
      </c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  <c r="AS12" s="336"/>
      <c r="AT12" s="337"/>
      <c r="AU12" s="335" t="s">
        <v>22</v>
      </c>
      <c r="AV12" s="336"/>
      <c r="AW12" s="336"/>
      <c r="AX12" s="336"/>
      <c r="AY12" s="336"/>
      <c r="AZ12" s="336"/>
      <c r="BA12" s="336"/>
      <c r="BB12" s="336"/>
      <c r="BC12" s="336"/>
      <c r="BD12" s="336"/>
      <c r="BE12" s="336"/>
      <c r="BF12" s="335" t="s">
        <v>23</v>
      </c>
      <c r="BG12" s="336"/>
      <c r="BH12" s="336"/>
      <c r="BI12" s="336"/>
      <c r="BJ12" s="336"/>
      <c r="BK12" s="337"/>
    </row>
    <row r="13" spans="1:63" s="315" customFormat="1" ht="15" customHeight="1" x14ac:dyDescent="0.25">
      <c r="A13" s="338"/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40"/>
      <c r="M13" s="338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40"/>
      <c r="AU13" s="338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8"/>
      <c r="BG13" s="339"/>
      <c r="BH13" s="339"/>
      <c r="BI13" s="339"/>
      <c r="BJ13" s="339"/>
      <c r="BK13" s="340"/>
    </row>
    <row r="14" spans="1:63" s="315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341"/>
      <c r="N14" s="341"/>
      <c r="O14" s="341"/>
      <c r="P14" s="341"/>
      <c r="Q14" s="341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42"/>
      <c r="AQ14" s="342"/>
      <c r="AR14" s="342"/>
      <c r="AS14" s="342"/>
      <c r="AT14" s="342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159" t="s">
        <v>233</v>
      </c>
      <c r="BG14" s="160"/>
      <c r="BH14" s="160"/>
      <c r="BI14" s="160"/>
      <c r="BJ14" s="160"/>
      <c r="BK14" s="161"/>
    </row>
    <row r="15" spans="1:63" s="315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341"/>
      <c r="N15" s="57" t="s">
        <v>249</v>
      </c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  <c r="AK15" s="341"/>
      <c r="AL15" s="341"/>
      <c r="AM15" s="341"/>
      <c r="AN15" s="341"/>
      <c r="AO15" s="341"/>
      <c r="AP15" s="341"/>
      <c r="AQ15" s="341"/>
      <c r="AR15" s="341"/>
      <c r="AS15" s="341"/>
      <c r="AT15" s="341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162"/>
      <c r="BG15" s="163"/>
      <c r="BH15" s="163"/>
      <c r="BI15" s="163"/>
      <c r="BJ15" s="163"/>
      <c r="BK15" s="164"/>
    </row>
    <row r="16" spans="1:63" s="315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341"/>
      <c r="N16" s="57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162"/>
      <c r="BG16" s="163"/>
      <c r="BH16" s="163"/>
      <c r="BI16" s="163"/>
      <c r="BJ16" s="163"/>
      <c r="BK16" s="164"/>
    </row>
    <row r="17" spans="1:63" s="315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344"/>
      <c r="N17" s="57"/>
      <c r="O17" s="343" t="s">
        <v>86</v>
      </c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3"/>
      <c r="AB17" s="343"/>
      <c r="AC17" s="343"/>
      <c r="AD17" s="343"/>
      <c r="AE17" s="343"/>
      <c r="AF17" s="343"/>
      <c r="AG17" s="343"/>
      <c r="AH17" s="343"/>
      <c r="AI17" s="343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162"/>
      <c r="BG17" s="163"/>
      <c r="BH17" s="163"/>
      <c r="BI17" s="163"/>
      <c r="BJ17" s="163"/>
      <c r="BK17" s="164"/>
    </row>
    <row r="18" spans="1:63" s="315" customFormat="1" ht="15" customHeight="1" x14ac:dyDescent="0.25">
      <c r="A18" s="2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26"/>
      <c r="M18" s="341"/>
      <c r="O18" s="343"/>
      <c r="P18" s="58" t="s">
        <v>38</v>
      </c>
      <c r="Q18" s="59"/>
      <c r="R18" s="59"/>
      <c r="S18" s="59"/>
      <c r="T18" s="59"/>
      <c r="U18" s="59"/>
      <c r="V18" s="59"/>
      <c r="W18" s="58" t="s">
        <v>39</v>
      </c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60"/>
      <c r="AN18" s="341"/>
      <c r="AO18" s="341"/>
      <c r="AP18" s="341"/>
      <c r="AQ18" s="341"/>
      <c r="AR18" s="341"/>
      <c r="AS18" s="341"/>
      <c r="AT18" s="341"/>
      <c r="AU18" s="25"/>
      <c r="AV18" s="43"/>
      <c r="AW18" s="43"/>
      <c r="AX18" s="43"/>
      <c r="AY18" s="43"/>
      <c r="AZ18" s="43"/>
      <c r="BA18" s="43"/>
      <c r="BB18" s="43"/>
      <c r="BC18" s="43"/>
      <c r="BD18" s="43"/>
      <c r="BE18" s="26"/>
      <c r="BF18" s="54"/>
      <c r="BG18" s="55"/>
      <c r="BH18" s="55"/>
      <c r="BI18" s="55"/>
      <c r="BJ18" s="55"/>
      <c r="BK18" s="56"/>
    </row>
    <row r="19" spans="1:63" s="315" customFormat="1" ht="15" customHeight="1" x14ac:dyDescent="0.25">
      <c r="A19" s="25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26"/>
      <c r="M19" s="341"/>
      <c r="N19" s="343"/>
      <c r="O19" s="343"/>
      <c r="P19" s="348" t="s">
        <v>189</v>
      </c>
      <c r="Q19" s="349"/>
      <c r="R19" s="349"/>
      <c r="S19" s="349"/>
      <c r="T19" s="349"/>
      <c r="U19" s="349"/>
      <c r="V19" s="349"/>
      <c r="W19" s="350" t="s">
        <v>199</v>
      </c>
      <c r="X19" s="351"/>
      <c r="Y19" s="351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2"/>
      <c r="AN19" s="341"/>
      <c r="AO19" s="341"/>
      <c r="AP19" s="341"/>
      <c r="AQ19" s="341"/>
      <c r="AR19" s="341"/>
      <c r="AS19" s="341"/>
      <c r="AT19" s="341"/>
      <c r="AU19" s="25"/>
      <c r="AV19" s="43"/>
      <c r="AW19" s="43"/>
      <c r="AX19" s="43"/>
      <c r="AY19" s="43"/>
      <c r="AZ19" s="43"/>
      <c r="BA19" s="43"/>
      <c r="BB19" s="43"/>
      <c r="BC19" s="43"/>
      <c r="BD19" s="43"/>
      <c r="BE19" s="26"/>
      <c r="BF19" s="54"/>
      <c r="BG19" s="55"/>
      <c r="BH19" s="55"/>
      <c r="BI19" s="55"/>
      <c r="BJ19" s="55"/>
      <c r="BK19" s="56"/>
    </row>
    <row r="20" spans="1:63" s="315" customFormat="1" ht="15" customHeight="1" x14ac:dyDescent="0.25">
      <c r="A20" s="25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26"/>
      <c r="M20" s="341"/>
      <c r="N20" s="343"/>
      <c r="O20" s="343"/>
      <c r="P20" s="348" t="s">
        <v>51</v>
      </c>
      <c r="Q20" s="349"/>
      <c r="R20" s="349"/>
      <c r="S20" s="349"/>
      <c r="T20" s="349"/>
      <c r="U20" s="349"/>
      <c r="V20" s="349"/>
      <c r="W20" s="350" t="s">
        <v>89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2"/>
      <c r="AN20" s="341"/>
      <c r="AO20" s="341"/>
      <c r="AP20" s="341"/>
      <c r="AQ20" s="341"/>
      <c r="AR20" s="341"/>
      <c r="AS20" s="341"/>
      <c r="AT20" s="341"/>
      <c r="AU20" s="25"/>
      <c r="AV20" s="43"/>
      <c r="AW20" s="43"/>
      <c r="AX20" s="43"/>
      <c r="AY20" s="43"/>
      <c r="AZ20" s="43"/>
      <c r="BA20" s="43"/>
      <c r="BB20" s="43"/>
      <c r="BC20" s="43"/>
      <c r="BD20" s="43"/>
      <c r="BE20" s="26"/>
      <c r="BF20" s="54"/>
      <c r="BG20" s="55"/>
      <c r="BH20" s="55"/>
      <c r="BI20" s="55"/>
      <c r="BJ20" s="55"/>
      <c r="BK20" s="56"/>
    </row>
    <row r="21" spans="1:63" s="315" customFormat="1" ht="15" customHeight="1" x14ac:dyDescent="0.25">
      <c r="A21" s="25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26"/>
      <c r="M21" s="341"/>
      <c r="N21" s="343"/>
      <c r="O21" s="343"/>
      <c r="P21" s="348" t="s">
        <v>88</v>
      </c>
      <c r="Q21" s="349"/>
      <c r="R21" s="349"/>
      <c r="S21" s="349"/>
      <c r="T21" s="349"/>
      <c r="U21" s="349"/>
      <c r="V21" s="349"/>
      <c r="W21" s="350" t="s">
        <v>90</v>
      </c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2"/>
      <c r="AN21" s="341"/>
      <c r="AO21" s="341"/>
      <c r="AP21" s="341"/>
      <c r="AQ21" s="341"/>
      <c r="AR21" s="341"/>
      <c r="AS21" s="341"/>
      <c r="AT21" s="341"/>
      <c r="AU21" s="25"/>
      <c r="AV21" s="43"/>
      <c r="AW21" s="43"/>
      <c r="AX21" s="43"/>
      <c r="AY21" s="43"/>
      <c r="AZ21" s="43"/>
      <c r="BA21" s="43"/>
      <c r="BB21" s="43"/>
      <c r="BC21" s="43"/>
      <c r="BD21" s="43"/>
      <c r="BE21" s="26"/>
      <c r="BF21" s="54"/>
      <c r="BG21" s="55"/>
      <c r="BH21" s="55"/>
      <c r="BI21" s="55"/>
      <c r="BJ21" s="55"/>
      <c r="BK21" s="56"/>
    </row>
    <row r="22" spans="1:63" s="315" customFormat="1" ht="15" customHeight="1" x14ac:dyDescent="0.25">
      <c r="A22" s="2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26"/>
      <c r="M22" s="341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1"/>
      <c r="AK22" s="341"/>
      <c r="AL22" s="341"/>
      <c r="AM22" s="341"/>
      <c r="AN22" s="341"/>
      <c r="AO22" s="341"/>
      <c r="AP22" s="341"/>
      <c r="AQ22" s="341"/>
      <c r="AR22" s="341"/>
      <c r="AS22" s="341"/>
      <c r="AT22" s="341"/>
      <c r="AU22" s="25"/>
      <c r="AV22" s="43"/>
      <c r="AW22" s="43"/>
      <c r="AX22" s="43"/>
      <c r="AY22" s="43"/>
      <c r="AZ22" s="43"/>
      <c r="BA22" s="43"/>
      <c r="BB22" s="43"/>
      <c r="BC22" s="43"/>
      <c r="BD22" s="43"/>
      <c r="BE22" s="26"/>
      <c r="BF22" s="54"/>
      <c r="BG22" s="55"/>
      <c r="BH22" s="55"/>
      <c r="BI22" s="55"/>
      <c r="BJ22" s="55"/>
      <c r="BK22" s="56"/>
    </row>
    <row r="23" spans="1:63" s="315" customFormat="1" ht="15" customHeight="1" x14ac:dyDescent="0.25">
      <c r="A23" s="25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26"/>
      <c r="M23" s="341"/>
      <c r="N23" s="343"/>
      <c r="O23" s="341" t="s">
        <v>41</v>
      </c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  <c r="AC23" s="343"/>
      <c r="AD23" s="343"/>
      <c r="AE23" s="343"/>
      <c r="AF23" s="343"/>
      <c r="AG23" s="343"/>
      <c r="AH23" s="343"/>
      <c r="AI23" s="343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41"/>
      <c r="AU23" s="25"/>
      <c r="AV23" s="43"/>
      <c r="AW23" s="43"/>
      <c r="AX23" s="43"/>
      <c r="AY23" s="43"/>
      <c r="AZ23" s="43"/>
      <c r="BA23" s="43"/>
      <c r="BB23" s="43"/>
      <c r="BC23" s="43"/>
      <c r="BD23" s="43"/>
      <c r="BE23" s="26"/>
      <c r="BF23" s="54"/>
      <c r="BG23" s="55"/>
      <c r="BH23" s="55"/>
      <c r="BI23" s="55"/>
      <c r="BJ23" s="55"/>
      <c r="BK23" s="56"/>
    </row>
    <row r="24" spans="1:63" s="315" customFormat="1" ht="15" customHeight="1" x14ac:dyDescent="0.25">
      <c r="A24" s="2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26"/>
      <c r="M24" s="341"/>
      <c r="N24" s="343"/>
      <c r="O24" s="343"/>
      <c r="P24" s="343" t="s">
        <v>193</v>
      </c>
      <c r="Q24" s="343"/>
      <c r="R24" s="343"/>
      <c r="S24" s="343"/>
      <c r="T24" s="343"/>
      <c r="U24" s="343"/>
      <c r="V24" s="343"/>
      <c r="W24" s="343"/>
      <c r="X24" s="343"/>
      <c r="Y24" s="343"/>
      <c r="Z24" s="343"/>
      <c r="AA24" s="343"/>
      <c r="AB24" s="343"/>
      <c r="AC24" s="343"/>
      <c r="AD24" s="343"/>
      <c r="AE24" s="343"/>
      <c r="AF24" s="343"/>
      <c r="AG24" s="343"/>
      <c r="AH24" s="343"/>
      <c r="AI24" s="343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25"/>
      <c r="AV24" s="43"/>
      <c r="AW24" s="43"/>
      <c r="AX24" s="43"/>
      <c r="AY24" s="43"/>
      <c r="AZ24" s="43"/>
      <c r="BA24" s="43"/>
      <c r="BB24" s="43"/>
      <c r="BC24" s="43"/>
      <c r="BD24" s="43"/>
      <c r="BE24" s="26"/>
      <c r="BF24" s="54"/>
      <c r="BG24" s="55"/>
      <c r="BH24" s="55"/>
      <c r="BI24" s="55"/>
      <c r="BJ24" s="55"/>
      <c r="BK24" s="56"/>
    </row>
    <row r="25" spans="1:63" s="315" customFormat="1" ht="15" customHeight="1" x14ac:dyDescent="0.25">
      <c r="A25" s="25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6"/>
      <c r="M25" s="341"/>
      <c r="N25" s="343"/>
      <c r="O25" s="343"/>
      <c r="P25" s="343"/>
      <c r="Q25" s="58" t="s">
        <v>195</v>
      </c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60"/>
      <c r="AN25" s="341"/>
      <c r="AO25" s="341"/>
      <c r="AP25" s="341"/>
      <c r="AQ25" s="341"/>
      <c r="AR25" s="341"/>
      <c r="AS25" s="341"/>
      <c r="AT25" s="341"/>
      <c r="AU25" s="25"/>
      <c r="AV25" s="43"/>
      <c r="AW25" s="43"/>
      <c r="AX25" s="43"/>
      <c r="AY25" s="43"/>
      <c r="AZ25" s="43"/>
      <c r="BA25" s="43"/>
      <c r="BB25" s="43"/>
      <c r="BC25" s="43"/>
      <c r="BD25" s="43"/>
      <c r="BE25" s="26"/>
      <c r="BF25" s="54"/>
      <c r="BG25" s="55"/>
      <c r="BH25" s="55"/>
      <c r="BI25" s="55"/>
      <c r="BJ25" s="55"/>
      <c r="BK25" s="56"/>
    </row>
    <row r="26" spans="1:63" s="315" customFormat="1" ht="15" customHeight="1" x14ac:dyDescent="0.25">
      <c r="A26" s="2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6"/>
      <c r="M26" s="341"/>
      <c r="N26" s="343"/>
      <c r="O26" s="343"/>
      <c r="P26" s="343"/>
      <c r="Q26" s="353" t="s">
        <v>196</v>
      </c>
      <c r="R26" s="342"/>
      <c r="S26" s="342"/>
      <c r="T26" s="342"/>
      <c r="U26" s="342"/>
      <c r="V26" s="354"/>
      <c r="W26" s="342"/>
      <c r="X26" s="342"/>
      <c r="Y26" s="342"/>
      <c r="Z26" s="342"/>
      <c r="AA26" s="342"/>
      <c r="AB26" s="353" t="s">
        <v>202</v>
      </c>
      <c r="AC26" s="342"/>
      <c r="AD26" s="342"/>
      <c r="AE26" s="342"/>
      <c r="AF26" s="342"/>
      <c r="AG26" s="342"/>
      <c r="AH26" s="342"/>
      <c r="AI26" s="342"/>
      <c r="AJ26" s="342"/>
      <c r="AK26" s="342"/>
      <c r="AL26" s="342"/>
      <c r="AM26" s="355"/>
      <c r="AN26" s="341"/>
      <c r="AO26" s="341"/>
      <c r="AP26" s="341"/>
      <c r="AQ26" s="341"/>
      <c r="AR26" s="341"/>
      <c r="AS26" s="341"/>
      <c r="AT26" s="341"/>
      <c r="AU26" s="25"/>
      <c r="AV26" s="43"/>
      <c r="AW26" s="43"/>
      <c r="AX26" s="43"/>
      <c r="AY26" s="43"/>
      <c r="AZ26" s="43"/>
      <c r="BA26" s="43"/>
      <c r="BB26" s="43"/>
      <c r="BC26" s="43"/>
      <c r="BD26" s="43"/>
      <c r="BE26" s="26"/>
      <c r="BF26" s="54"/>
      <c r="BG26" s="55"/>
      <c r="BH26" s="55"/>
      <c r="BI26" s="55"/>
      <c r="BJ26" s="55"/>
      <c r="BK26" s="56"/>
    </row>
    <row r="27" spans="1:63" s="315" customFormat="1" ht="15" customHeight="1" x14ac:dyDescent="0.25">
      <c r="A27" s="25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6"/>
      <c r="M27" s="341"/>
      <c r="N27" s="343"/>
      <c r="O27" s="343"/>
      <c r="P27" s="343"/>
      <c r="Q27" s="353" t="s">
        <v>197</v>
      </c>
      <c r="R27" s="342"/>
      <c r="S27" s="342"/>
      <c r="T27" s="342"/>
      <c r="U27" s="342"/>
      <c r="V27" s="356"/>
      <c r="W27" s="342"/>
      <c r="X27" s="342"/>
      <c r="Y27" s="342"/>
      <c r="Z27" s="342"/>
      <c r="AA27" s="342"/>
      <c r="AB27" s="357" t="s">
        <v>203</v>
      </c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55"/>
      <c r="AN27" s="341"/>
      <c r="AO27" s="341"/>
      <c r="AP27" s="341"/>
      <c r="AQ27" s="341"/>
      <c r="AR27" s="341"/>
      <c r="AS27" s="341"/>
      <c r="AT27" s="341"/>
      <c r="AU27" s="25"/>
      <c r="AV27" s="43"/>
      <c r="AW27" s="43"/>
      <c r="AX27" s="43"/>
      <c r="AY27" s="43"/>
      <c r="AZ27" s="43"/>
      <c r="BA27" s="43"/>
      <c r="BB27" s="43"/>
      <c r="BC27" s="43"/>
      <c r="BD27" s="43"/>
      <c r="BE27" s="26"/>
      <c r="BF27" s="54"/>
      <c r="BG27" s="55"/>
      <c r="BH27" s="55"/>
      <c r="BI27" s="55"/>
      <c r="BJ27" s="55"/>
      <c r="BK27" s="56"/>
    </row>
    <row r="28" spans="1:63" s="315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341"/>
      <c r="N28" s="343"/>
      <c r="O28" s="343"/>
      <c r="P28" s="343"/>
      <c r="Q28" s="358" t="s">
        <v>198</v>
      </c>
      <c r="R28" s="332"/>
      <c r="S28" s="332"/>
      <c r="T28" s="332"/>
      <c r="U28" s="332"/>
      <c r="V28" s="359"/>
      <c r="W28" s="332"/>
      <c r="X28" s="332"/>
      <c r="Y28" s="332"/>
      <c r="Z28" s="332"/>
      <c r="AA28" s="332"/>
      <c r="AB28" s="360" t="s">
        <v>91</v>
      </c>
      <c r="AC28" s="332"/>
      <c r="AD28" s="332"/>
      <c r="AE28" s="332"/>
      <c r="AF28" s="332"/>
      <c r="AG28" s="332"/>
      <c r="AH28" s="332"/>
      <c r="AI28" s="332"/>
      <c r="AJ28" s="332"/>
      <c r="AK28" s="332"/>
      <c r="AL28" s="332"/>
      <c r="AM28" s="361"/>
      <c r="AN28" s="341"/>
      <c r="AO28" s="341"/>
      <c r="AP28" s="341"/>
      <c r="AQ28" s="341"/>
      <c r="AR28" s="341"/>
      <c r="AS28" s="341"/>
      <c r="AT28" s="341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54"/>
      <c r="BG28" s="55"/>
      <c r="BH28" s="55"/>
      <c r="BI28" s="55"/>
      <c r="BJ28" s="55"/>
      <c r="BK28" s="56"/>
    </row>
    <row r="29" spans="1:63" s="315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341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3"/>
      <c r="AE29" s="343"/>
      <c r="AF29" s="343"/>
      <c r="AG29" s="343"/>
      <c r="AH29" s="343"/>
      <c r="AI29" s="343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41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54"/>
      <c r="BG29" s="55"/>
      <c r="BH29" s="55"/>
      <c r="BI29" s="55"/>
      <c r="BJ29" s="55"/>
      <c r="BK29" s="56"/>
    </row>
    <row r="30" spans="1:63" s="315" customFormat="1" ht="15" customHeight="1" x14ac:dyDescent="0.25">
      <c r="A30" s="2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6"/>
      <c r="M30" s="341"/>
      <c r="N30" s="343"/>
      <c r="O30" s="343"/>
      <c r="P30" s="341" t="s">
        <v>194</v>
      </c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  <c r="AB30" s="343"/>
      <c r="AC30" s="343"/>
      <c r="AD30" s="343"/>
      <c r="AE30" s="343"/>
      <c r="AF30" s="343"/>
      <c r="AG30" s="343"/>
      <c r="AH30" s="343"/>
      <c r="AI30" s="343"/>
      <c r="AJ30" s="341"/>
      <c r="AK30" s="341"/>
      <c r="AL30" s="341"/>
      <c r="AM30" s="341"/>
      <c r="AN30" s="341"/>
      <c r="AO30" s="341"/>
      <c r="AP30" s="341"/>
      <c r="AQ30" s="341"/>
      <c r="AR30" s="341"/>
      <c r="AS30" s="341"/>
      <c r="AT30" s="341"/>
      <c r="AU30" s="25"/>
      <c r="AV30" s="43"/>
      <c r="AW30" s="43"/>
      <c r="AX30" s="43"/>
      <c r="AY30" s="43"/>
      <c r="AZ30" s="43"/>
      <c r="BA30" s="43"/>
      <c r="BB30" s="43"/>
      <c r="BC30" s="43"/>
      <c r="BD30" s="43"/>
      <c r="BE30" s="26"/>
      <c r="BF30" s="54"/>
      <c r="BG30" s="55"/>
      <c r="BH30" s="55"/>
      <c r="BI30" s="55"/>
      <c r="BJ30" s="55"/>
      <c r="BK30" s="56"/>
    </row>
    <row r="31" spans="1:63" s="315" customFormat="1" ht="15" customHeight="1" x14ac:dyDescent="0.25">
      <c r="A31" s="25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6"/>
      <c r="M31" s="341"/>
      <c r="N31" s="343"/>
      <c r="O31" s="343"/>
      <c r="P31" s="343"/>
      <c r="Q31" s="343" t="s">
        <v>239</v>
      </c>
      <c r="R31" s="343"/>
      <c r="S31" s="343"/>
      <c r="T31" s="343"/>
      <c r="U31" s="343"/>
      <c r="V31" s="343"/>
      <c r="W31" s="343"/>
      <c r="X31" s="343"/>
      <c r="Y31" s="343"/>
      <c r="Z31" s="343"/>
      <c r="AA31" s="343"/>
      <c r="AB31" s="343"/>
      <c r="AC31" s="343"/>
      <c r="AD31" s="343"/>
      <c r="AE31" s="343"/>
      <c r="AF31" s="343"/>
      <c r="AG31" s="343"/>
      <c r="AH31" s="343"/>
      <c r="AI31" s="343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25"/>
      <c r="AV31" s="43"/>
      <c r="AW31" s="43"/>
      <c r="AX31" s="43"/>
      <c r="AY31" s="43"/>
      <c r="AZ31" s="43"/>
      <c r="BA31" s="43"/>
      <c r="BB31" s="43"/>
      <c r="BC31" s="43"/>
      <c r="BD31" s="43"/>
      <c r="BE31" s="26"/>
      <c r="BF31" s="54"/>
      <c r="BG31" s="55"/>
      <c r="BH31" s="55"/>
      <c r="BI31" s="55"/>
      <c r="BJ31" s="55"/>
      <c r="BK31" s="56"/>
    </row>
    <row r="32" spans="1:63" s="315" customFormat="1" ht="15" customHeight="1" x14ac:dyDescent="0.25">
      <c r="A32" s="25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6"/>
      <c r="M32" s="341"/>
      <c r="N32" s="57" t="s">
        <v>250</v>
      </c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25"/>
      <c r="AV32" s="43"/>
      <c r="AW32" s="43"/>
      <c r="AX32" s="43"/>
      <c r="AY32" s="43"/>
      <c r="AZ32" s="43"/>
      <c r="BA32" s="43"/>
      <c r="BB32" s="43"/>
      <c r="BC32" s="43"/>
      <c r="BD32" s="43"/>
      <c r="BE32" s="26"/>
      <c r="BF32" s="54"/>
      <c r="BG32" s="55"/>
      <c r="BH32" s="55"/>
      <c r="BI32" s="55"/>
      <c r="BJ32" s="55"/>
      <c r="BK32" s="56"/>
    </row>
    <row r="33" spans="1:63" s="315" customFormat="1" ht="15" customHeight="1" x14ac:dyDescent="0.25">
      <c r="A33" s="25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6"/>
      <c r="M33" s="341"/>
      <c r="N33" s="57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25"/>
      <c r="AV33" s="43"/>
      <c r="AW33" s="43"/>
      <c r="AX33" s="43"/>
      <c r="AY33" s="43"/>
      <c r="AZ33" s="43"/>
      <c r="BA33" s="43"/>
      <c r="BB33" s="43"/>
      <c r="BC33" s="43"/>
      <c r="BD33" s="43"/>
      <c r="BE33" s="26"/>
      <c r="BF33" s="54"/>
      <c r="BG33" s="55"/>
      <c r="BH33" s="55"/>
      <c r="BI33" s="55"/>
      <c r="BJ33" s="55"/>
      <c r="BK33" s="56"/>
    </row>
    <row r="34" spans="1:63" s="315" customFormat="1" ht="15" customHeight="1" x14ac:dyDescent="0.25">
      <c r="A34" s="2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6"/>
      <c r="M34" s="344"/>
      <c r="N34" s="57"/>
      <c r="O34" s="343" t="s">
        <v>87</v>
      </c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341"/>
      <c r="AU34" s="25"/>
      <c r="AV34" s="43"/>
      <c r="AW34" s="43"/>
      <c r="AX34" s="43"/>
      <c r="AY34" s="43"/>
      <c r="AZ34" s="43"/>
      <c r="BA34" s="43"/>
      <c r="BB34" s="43"/>
      <c r="BC34" s="43"/>
      <c r="BD34" s="43"/>
      <c r="BE34" s="26"/>
      <c r="BF34" s="54"/>
      <c r="BG34" s="55"/>
      <c r="BH34" s="55"/>
      <c r="BI34" s="55"/>
      <c r="BJ34" s="55"/>
      <c r="BK34" s="56"/>
    </row>
    <row r="35" spans="1:63" s="315" customFormat="1" ht="15" customHeight="1" x14ac:dyDescent="0.25">
      <c r="A35" s="2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6"/>
      <c r="M35" s="341"/>
      <c r="O35" s="343"/>
      <c r="P35" s="58" t="s">
        <v>38</v>
      </c>
      <c r="Q35" s="59"/>
      <c r="R35" s="59"/>
      <c r="S35" s="59"/>
      <c r="T35" s="59"/>
      <c r="U35" s="59"/>
      <c r="V35" s="59"/>
      <c r="W35" s="58" t="s">
        <v>39</v>
      </c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0"/>
      <c r="AN35" s="341"/>
      <c r="AO35" s="341"/>
      <c r="AP35" s="341"/>
      <c r="AQ35" s="341"/>
      <c r="AR35" s="341"/>
      <c r="AS35" s="341"/>
      <c r="AT35" s="341"/>
      <c r="AU35" s="25"/>
      <c r="AV35" s="43"/>
      <c r="AW35" s="43"/>
      <c r="AX35" s="43"/>
      <c r="AY35" s="43"/>
      <c r="AZ35" s="43"/>
      <c r="BA35" s="43"/>
      <c r="BB35" s="43"/>
      <c r="BC35" s="43"/>
      <c r="BD35" s="43"/>
      <c r="BE35" s="26"/>
      <c r="BF35" s="54"/>
      <c r="BG35" s="55"/>
      <c r="BH35" s="55"/>
      <c r="BI35" s="55"/>
      <c r="BJ35" s="55"/>
      <c r="BK35" s="56"/>
    </row>
    <row r="36" spans="1:63" s="315" customFormat="1" ht="15" customHeight="1" x14ac:dyDescent="0.25">
      <c r="A36" s="2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6"/>
      <c r="M36" s="341"/>
      <c r="N36" s="343"/>
      <c r="O36" s="343"/>
      <c r="P36" s="348" t="s">
        <v>189</v>
      </c>
      <c r="Q36" s="349"/>
      <c r="R36" s="349"/>
      <c r="S36" s="349"/>
      <c r="T36" s="349"/>
      <c r="U36" s="349"/>
      <c r="V36" s="349"/>
      <c r="W36" s="350" t="s">
        <v>199</v>
      </c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2"/>
      <c r="AN36" s="341"/>
      <c r="AO36" s="341"/>
      <c r="AP36" s="341"/>
      <c r="AQ36" s="341"/>
      <c r="AR36" s="341"/>
      <c r="AS36" s="341"/>
      <c r="AT36" s="341"/>
      <c r="AU36" s="25"/>
      <c r="AV36" s="43"/>
      <c r="AW36" s="43"/>
      <c r="AX36" s="43"/>
      <c r="AY36" s="43"/>
      <c r="AZ36" s="43"/>
      <c r="BA36" s="43"/>
      <c r="BB36" s="43"/>
      <c r="BC36" s="43"/>
      <c r="BD36" s="43"/>
      <c r="BE36" s="26"/>
      <c r="BF36" s="54"/>
      <c r="BG36" s="55"/>
      <c r="BH36" s="55"/>
      <c r="BI36" s="55"/>
      <c r="BJ36" s="55"/>
      <c r="BK36" s="56"/>
    </row>
    <row r="37" spans="1:63" s="315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341"/>
      <c r="N37" s="343"/>
      <c r="O37" s="343"/>
      <c r="P37" s="343"/>
      <c r="Q37" s="343"/>
      <c r="R37" s="343"/>
      <c r="S37" s="343"/>
      <c r="T37" s="343"/>
      <c r="U37" s="343"/>
      <c r="V37" s="343"/>
      <c r="W37" s="343"/>
      <c r="X37" s="343"/>
      <c r="Y37" s="343"/>
      <c r="Z37" s="343"/>
      <c r="AA37" s="343"/>
      <c r="AB37" s="343"/>
      <c r="AC37" s="343"/>
      <c r="AD37" s="343"/>
      <c r="AE37" s="343"/>
      <c r="AF37" s="343"/>
      <c r="AG37" s="343"/>
      <c r="AH37" s="343"/>
      <c r="AI37" s="343"/>
      <c r="AJ37" s="341"/>
      <c r="AK37" s="341"/>
      <c r="AL37" s="341"/>
      <c r="AM37" s="341"/>
      <c r="AN37" s="341"/>
      <c r="AO37" s="341"/>
      <c r="AP37" s="341"/>
      <c r="AQ37" s="341"/>
      <c r="AR37" s="341"/>
      <c r="AS37" s="341"/>
      <c r="AT37" s="341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54"/>
      <c r="BG37" s="55"/>
      <c r="BH37" s="55"/>
      <c r="BI37" s="55"/>
      <c r="BJ37" s="55"/>
      <c r="BK37" s="56"/>
    </row>
    <row r="38" spans="1:63" s="315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341"/>
      <c r="N38" s="343"/>
      <c r="O38" s="341" t="s">
        <v>188</v>
      </c>
      <c r="P38" s="343"/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343"/>
      <c r="AB38" s="343"/>
      <c r="AC38" s="343"/>
      <c r="AD38" s="343"/>
      <c r="AE38" s="343"/>
      <c r="AF38" s="343"/>
      <c r="AG38" s="343"/>
      <c r="AH38" s="343"/>
      <c r="AI38" s="343"/>
      <c r="AJ38" s="341"/>
      <c r="AK38" s="341"/>
      <c r="AL38" s="341"/>
      <c r="AM38" s="341"/>
      <c r="AN38" s="341"/>
      <c r="AO38" s="341"/>
      <c r="AP38" s="341"/>
      <c r="AQ38" s="341"/>
      <c r="AR38" s="341"/>
      <c r="AS38" s="341"/>
      <c r="AT38" s="341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54"/>
      <c r="BG38" s="55"/>
      <c r="BH38" s="55"/>
      <c r="BI38" s="55"/>
      <c r="BJ38" s="55"/>
      <c r="BK38" s="56"/>
    </row>
    <row r="39" spans="1:63" s="315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341"/>
      <c r="N39" s="343"/>
      <c r="O39" s="343"/>
      <c r="P39" s="343" t="s">
        <v>193</v>
      </c>
      <c r="Q39" s="343"/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  <c r="AE39" s="343"/>
      <c r="AF39" s="343"/>
      <c r="AG39" s="343"/>
      <c r="AH39" s="343"/>
      <c r="AI39" s="343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54"/>
      <c r="BG39" s="55"/>
      <c r="BH39" s="55"/>
      <c r="BI39" s="55"/>
      <c r="BJ39" s="55"/>
      <c r="BK39" s="56"/>
    </row>
    <row r="40" spans="1:63" s="315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341"/>
      <c r="N40" s="343"/>
      <c r="O40" s="343"/>
      <c r="P40" s="343"/>
      <c r="Q40" s="58" t="s">
        <v>195</v>
      </c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60"/>
      <c r="AN40" s="341"/>
      <c r="AO40" s="341"/>
      <c r="AP40" s="341"/>
      <c r="AQ40" s="341"/>
      <c r="AR40" s="341"/>
      <c r="AS40" s="341"/>
      <c r="AT40" s="341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54"/>
      <c r="BG40" s="55"/>
      <c r="BH40" s="55"/>
      <c r="BI40" s="55"/>
      <c r="BJ40" s="55"/>
      <c r="BK40" s="56"/>
    </row>
    <row r="41" spans="1:63" s="315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341"/>
      <c r="N41" s="343"/>
      <c r="O41" s="343"/>
      <c r="P41" s="343"/>
      <c r="Q41" s="353" t="s">
        <v>196</v>
      </c>
      <c r="R41" s="342"/>
      <c r="S41" s="342"/>
      <c r="T41" s="342"/>
      <c r="U41" s="342"/>
      <c r="V41" s="354"/>
      <c r="W41" s="342"/>
      <c r="X41" s="342"/>
      <c r="Y41" s="342"/>
      <c r="Z41" s="342"/>
      <c r="AA41" s="342"/>
      <c r="AB41" s="353" t="s">
        <v>202</v>
      </c>
      <c r="AC41" s="342"/>
      <c r="AD41" s="342"/>
      <c r="AE41" s="342"/>
      <c r="AF41" s="342"/>
      <c r="AG41" s="342"/>
      <c r="AH41" s="342"/>
      <c r="AI41" s="342"/>
      <c r="AJ41" s="342"/>
      <c r="AK41" s="342"/>
      <c r="AL41" s="342"/>
      <c r="AM41" s="355"/>
      <c r="AN41" s="341"/>
      <c r="AO41" s="341"/>
      <c r="AP41" s="341"/>
      <c r="AQ41" s="341"/>
      <c r="AR41" s="341"/>
      <c r="AS41" s="341"/>
      <c r="AT41" s="341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54"/>
      <c r="BG41" s="55"/>
      <c r="BH41" s="55"/>
      <c r="BI41" s="55"/>
      <c r="BJ41" s="55"/>
      <c r="BK41" s="56"/>
    </row>
    <row r="42" spans="1:63" s="315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341"/>
      <c r="N42" s="343"/>
      <c r="O42" s="343"/>
      <c r="P42" s="343"/>
      <c r="Q42" s="353" t="s">
        <v>197</v>
      </c>
      <c r="R42" s="342"/>
      <c r="S42" s="342"/>
      <c r="T42" s="342"/>
      <c r="U42" s="342"/>
      <c r="V42" s="356"/>
      <c r="W42" s="342"/>
      <c r="X42" s="342"/>
      <c r="Y42" s="342"/>
      <c r="Z42" s="342"/>
      <c r="AA42" s="342"/>
      <c r="AB42" s="357" t="s">
        <v>203</v>
      </c>
      <c r="AC42" s="342"/>
      <c r="AD42" s="342"/>
      <c r="AE42" s="342"/>
      <c r="AF42" s="342"/>
      <c r="AG42" s="342"/>
      <c r="AH42" s="342"/>
      <c r="AI42" s="342"/>
      <c r="AJ42" s="342"/>
      <c r="AK42" s="342"/>
      <c r="AL42" s="342"/>
      <c r="AM42" s="355"/>
      <c r="AN42" s="341"/>
      <c r="AO42" s="341"/>
      <c r="AP42" s="341"/>
      <c r="AQ42" s="341"/>
      <c r="AR42" s="341"/>
      <c r="AS42" s="341"/>
      <c r="AT42" s="341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54"/>
      <c r="BG42" s="55"/>
      <c r="BH42" s="55"/>
      <c r="BI42" s="55"/>
      <c r="BJ42" s="55"/>
      <c r="BK42" s="56"/>
    </row>
    <row r="43" spans="1:63" s="315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341"/>
      <c r="N43" s="343"/>
      <c r="O43" s="343"/>
      <c r="P43" s="343"/>
      <c r="Q43" s="358" t="s">
        <v>198</v>
      </c>
      <c r="R43" s="332"/>
      <c r="S43" s="332"/>
      <c r="T43" s="332"/>
      <c r="U43" s="332"/>
      <c r="V43" s="359"/>
      <c r="W43" s="332"/>
      <c r="X43" s="332"/>
      <c r="Y43" s="332"/>
      <c r="Z43" s="332"/>
      <c r="AA43" s="332"/>
      <c r="AB43" s="360" t="s">
        <v>80</v>
      </c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61"/>
      <c r="AN43" s="341"/>
      <c r="AO43" s="341"/>
      <c r="AP43" s="341"/>
      <c r="AQ43" s="341"/>
      <c r="AR43" s="341"/>
      <c r="AS43" s="341"/>
      <c r="AT43" s="341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54"/>
      <c r="BG43" s="55"/>
      <c r="BH43" s="55"/>
      <c r="BI43" s="55"/>
      <c r="BJ43" s="55"/>
      <c r="BK43" s="56"/>
    </row>
    <row r="44" spans="1:63" s="315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341"/>
      <c r="N44" s="343"/>
      <c r="O44" s="343"/>
      <c r="P44" s="343"/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343"/>
      <c r="AB44" s="343"/>
      <c r="AC44" s="343"/>
      <c r="AD44" s="343"/>
      <c r="AE44" s="343"/>
      <c r="AF44" s="343"/>
      <c r="AG44" s="343"/>
      <c r="AH44" s="343"/>
      <c r="AI44" s="343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54"/>
      <c r="BG44" s="55"/>
      <c r="BH44" s="55"/>
      <c r="BI44" s="55"/>
      <c r="BJ44" s="55"/>
      <c r="BK44" s="56"/>
    </row>
    <row r="45" spans="1:63" s="315" customFormat="1" ht="15" customHeight="1" x14ac:dyDescent="0.25">
      <c r="A45" s="2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6"/>
      <c r="M45" s="341"/>
      <c r="N45" s="343"/>
      <c r="O45" s="343"/>
      <c r="P45" s="341" t="s">
        <v>194</v>
      </c>
      <c r="Q45" s="343"/>
      <c r="R45" s="343"/>
      <c r="S45" s="343"/>
      <c r="T45" s="343"/>
      <c r="U45" s="343"/>
      <c r="V45" s="343"/>
      <c r="W45" s="343"/>
      <c r="X45" s="343"/>
      <c r="Y45" s="343"/>
      <c r="Z45" s="343"/>
      <c r="AA45" s="343"/>
      <c r="AB45" s="343"/>
      <c r="AC45" s="343"/>
      <c r="AD45" s="343"/>
      <c r="AE45" s="343"/>
      <c r="AF45" s="343"/>
      <c r="AG45" s="343"/>
      <c r="AH45" s="343"/>
      <c r="AI45" s="343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25"/>
      <c r="AV45" s="43"/>
      <c r="AW45" s="43"/>
      <c r="AX45" s="43"/>
      <c r="AY45" s="43"/>
      <c r="AZ45" s="43"/>
      <c r="BA45" s="43"/>
      <c r="BB45" s="43"/>
      <c r="BC45" s="43"/>
      <c r="BD45" s="43"/>
      <c r="BE45" s="26"/>
      <c r="BF45" s="54"/>
      <c r="BG45" s="55"/>
      <c r="BH45" s="55"/>
      <c r="BI45" s="55"/>
      <c r="BJ45" s="55"/>
      <c r="BK45" s="56"/>
    </row>
    <row r="46" spans="1:63" s="315" customFormat="1" ht="15" customHeight="1" x14ac:dyDescent="0.25">
      <c r="A46" s="2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  <c r="M46" s="341"/>
      <c r="N46" s="343"/>
      <c r="O46" s="343"/>
      <c r="P46" s="343"/>
      <c r="Q46" s="343" t="s">
        <v>239</v>
      </c>
      <c r="R46" s="343"/>
      <c r="S46" s="343"/>
      <c r="T46" s="343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3"/>
      <c r="AF46" s="343"/>
      <c r="AG46" s="343"/>
      <c r="AH46" s="343"/>
      <c r="AI46" s="343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25"/>
      <c r="AV46" s="43"/>
      <c r="AW46" s="43"/>
      <c r="AX46" s="43"/>
      <c r="AY46" s="43"/>
      <c r="AZ46" s="43"/>
      <c r="BA46" s="43"/>
      <c r="BB46" s="43"/>
      <c r="BC46" s="43"/>
      <c r="BD46" s="43"/>
      <c r="BE46" s="26"/>
      <c r="BF46" s="54"/>
      <c r="BG46" s="55"/>
      <c r="BH46" s="55"/>
      <c r="BI46" s="55"/>
      <c r="BJ46" s="55"/>
      <c r="BK46" s="56"/>
    </row>
    <row r="47" spans="1:63" s="315" customFormat="1" ht="15" customHeight="1" x14ac:dyDescent="0.25">
      <c r="A47" s="2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6"/>
      <c r="M47" s="341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1"/>
      <c r="AK47" s="341"/>
      <c r="AL47" s="341"/>
      <c r="AM47" s="341"/>
      <c r="AN47" s="341"/>
      <c r="AO47" s="341"/>
      <c r="AP47" s="341"/>
      <c r="AQ47" s="341"/>
      <c r="AR47" s="341"/>
      <c r="AS47" s="341"/>
      <c r="AT47" s="341"/>
      <c r="AU47" s="25"/>
      <c r="AV47" s="43"/>
      <c r="AW47" s="43"/>
      <c r="AX47" s="43"/>
      <c r="AY47" s="43"/>
      <c r="AZ47" s="43"/>
      <c r="BA47" s="43"/>
      <c r="BB47" s="43"/>
      <c r="BC47" s="43"/>
      <c r="BD47" s="43"/>
      <c r="BE47" s="26"/>
      <c r="BF47" s="54"/>
      <c r="BG47" s="55"/>
      <c r="BH47" s="55"/>
      <c r="BI47" s="55"/>
      <c r="BJ47" s="55"/>
      <c r="BK47" s="56"/>
    </row>
    <row r="48" spans="1:63" s="315" customFormat="1" ht="15" customHeight="1" x14ac:dyDescent="0.25">
      <c r="A48" s="2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6"/>
      <c r="M48" s="341"/>
      <c r="N48" s="343"/>
      <c r="O48" s="343"/>
      <c r="P48" s="343"/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25"/>
      <c r="AV48" s="43"/>
      <c r="AW48" s="43"/>
      <c r="AX48" s="43"/>
      <c r="AY48" s="43"/>
      <c r="AZ48" s="43"/>
      <c r="BA48" s="43"/>
      <c r="BB48" s="43"/>
      <c r="BC48" s="43"/>
      <c r="BD48" s="43"/>
      <c r="BE48" s="26"/>
      <c r="BF48" s="54"/>
      <c r="BG48" s="55"/>
      <c r="BH48" s="55"/>
      <c r="BI48" s="55"/>
      <c r="BJ48" s="55"/>
      <c r="BK48" s="56"/>
    </row>
    <row r="49" spans="1:63" s="315" customFormat="1" ht="15" customHeight="1" x14ac:dyDescent="0.25">
      <c r="A49" s="2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6"/>
      <c r="M49" s="341"/>
      <c r="N49" s="57" t="s">
        <v>251</v>
      </c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26"/>
      <c r="BF49" s="165"/>
      <c r="BG49" s="166"/>
      <c r="BH49" s="166"/>
      <c r="BI49" s="166"/>
      <c r="BJ49" s="166"/>
      <c r="BK49" s="167"/>
    </row>
    <row r="50" spans="1:63" s="315" customFormat="1" ht="15" customHeight="1" x14ac:dyDescent="0.25">
      <c r="A50" s="2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6"/>
      <c r="M50" s="341"/>
      <c r="N50" s="341"/>
      <c r="O50" s="343" t="s">
        <v>35</v>
      </c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26"/>
      <c r="BF50" s="165"/>
      <c r="BG50" s="166"/>
      <c r="BH50" s="166"/>
      <c r="BI50" s="166"/>
      <c r="BJ50" s="166"/>
      <c r="BK50" s="167"/>
    </row>
    <row r="51" spans="1:63" s="315" customFormat="1" ht="15" customHeight="1" x14ac:dyDescent="0.25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9"/>
      <c r="M51" s="345"/>
      <c r="N51" s="346"/>
      <c r="O51" s="346"/>
      <c r="P51" s="346"/>
      <c r="Q51" s="346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347"/>
      <c r="AQ51" s="347"/>
      <c r="AR51" s="347"/>
      <c r="AS51" s="347"/>
      <c r="AT51" s="347"/>
      <c r="AU51" s="27"/>
      <c r="AV51" s="28"/>
      <c r="AW51" s="28"/>
      <c r="AX51" s="28"/>
      <c r="AY51" s="28"/>
      <c r="AZ51" s="28"/>
      <c r="BA51" s="28"/>
      <c r="BB51" s="28"/>
      <c r="BC51" s="28"/>
      <c r="BD51" s="28"/>
      <c r="BE51" s="29"/>
      <c r="BF51" s="168"/>
      <c r="BG51" s="169"/>
      <c r="BH51" s="169"/>
      <c r="BI51" s="169"/>
      <c r="BJ51" s="169"/>
      <c r="BK51" s="170"/>
    </row>
    <row r="52" spans="1:63" ht="15" customHeight="1" x14ac:dyDescent="0.25">
      <c r="A52" s="31"/>
      <c r="BK52" s="16"/>
    </row>
    <row r="53" spans="1:63" ht="15" customHeight="1" x14ac:dyDescent="0.25">
      <c r="A53" s="53"/>
      <c r="BK53" s="16"/>
    </row>
    <row r="54" spans="1:63" ht="15" customHeight="1" x14ac:dyDescent="0.25">
      <c r="A54" s="53"/>
      <c r="BK54" s="16"/>
    </row>
    <row r="55" spans="1:63" ht="15" customHeight="1" x14ac:dyDescent="0.25">
      <c r="A55" s="53"/>
      <c r="BK55" s="16"/>
    </row>
    <row r="56" spans="1:63" s="315" customFormat="1" ht="15" customHeight="1" x14ac:dyDescent="0.25">
      <c r="A56" s="329" t="s">
        <v>18</v>
      </c>
      <c r="B56" s="330"/>
      <c r="C56" s="330"/>
      <c r="D56" s="330"/>
      <c r="E56" s="330"/>
      <c r="F56" s="331"/>
      <c r="G56" s="317" t="s">
        <v>77</v>
      </c>
      <c r="H56" s="317"/>
      <c r="I56" s="317"/>
      <c r="J56" s="317"/>
      <c r="K56" s="317"/>
      <c r="L56" s="317"/>
      <c r="M56" s="332" t="s">
        <v>81</v>
      </c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  <c r="AL56" s="332"/>
      <c r="AM56" s="332"/>
      <c r="AN56" s="332"/>
      <c r="AO56" s="332"/>
      <c r="AP56" s="332"/>
      <c r="AQ56" s="332"/>
      <c r="AR56" s="332"/>
      <c r="AS56" s="332"/>
      <c r="AT56" s="332"/>
      <c r="AU56" s="332"/>
      <c r="AV56" s="332"/>
      <c r="AW56" s="332"/>
      <c r="AX56" s="332"/>
      <c r="AY56" s="332"/>
      <c r="AZ56" s="332"/>
      <c r="BA56" s="332"/>
      <c r="BB56" s="332"/>
      <c r="BC56" s="332"/>
      <c r="BD56" s="332"/>
      <c r="BE56" s="332"/>
      <c r="BF56" s="332"/>
      <c r="BG56" s="332"/>
      <c r="BH56" s="333"/>
      <c r="BI56" s="333"/>
      <c r="BJ56" s="333"/>
      <c r="BK56" s="334"/>
    </row>
    <row r="57" spans="1:63" s="315" customFormat="1" ht="15" customHeight="1" x14ac:dyDescent="0.25">
      <c r="A57" s="335" t="s">
        <v>20</v>
      </c>
      <c r="B57" s="336"/>
      <c r="C57" s="336"/>
      <c r="D57" s="336"/>
      <c r="E57" s="336"/>
      <c r="F57" s="336"/>
      <c r="G57" s="336"/>
      <c r="H57" s="336"/>
      <c r="I57" s="336"/>
      <c r="J57" s="336"/>
      <c r="K57" s="336"/>
      <c r="L57" s="337"/>
      <c r="M57" s="335" t="s">
        <v>21</v>
      </c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6"/>
      <c r="AQ57" s="336"/>
      <c r="AR57" s="336"/>
      <c r="AS57" s="336"/>
      <c r="AT57" s="337"/>
      <c r="AU57" s="335" t="s">
        <v>22</v>
      </c>
      <c r="AV57" s="336"/>
      <c r="AW57" s="336"/>
      <c r="AX57" s="336"/>
      <c r="AY57" s="336"/>
      <c r="AZ57" s="336"/>
      <c r="BA57" s="336"/>
      <c r="BB57" s="336"/>
      <c r="BC57" s="336"/>
      <c r="BD57" s="336"/>
      <c r="BE57" s="336"/>
      <c r="BF57" s="335" t="s">
        <v>23</v>
      </c>
      <c r="BG57" s="336"/>
      <c r="BH57" s="336"/>
      <c r="BI57" s="336"/>
      <c r="BJ57" s="336"/>
      <c r="BK57" s="337"/>
    </row>
    <row r="58" spans="1:63" s="315" customFormat="1" ht="15" customHeight="1" x14ac:dyDescent="0.25">
      <c r="A58" s="338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40"/>
      <c r="M58" s="338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40"/>
      <c r="AU58" s="338"/>
      <c r="AV58" s="339"/>
      <c r="AW58" s="339"/>
      <c r="AX58" s="339"/>
      <c r="AY58" s="339"/>
      <c r="AZ58" s="339"/>
      <c r="BA58" s="339"/>
      <c r="BB58" s="339"/>
      <c r="BC58" s="339"/>
      <c r="BD58" s="339"/>
      <c r="BE58" s="339"/>
      <c r="BF58" s="338"/>
      <c r="BG58" s="339"/>
      <c r="BH58" s="339"/>
      <c r="BI58" s="339"/>
      <c r="BJ58" s="339"/>
      <c r="BK58" s="340"/>
    </row>
    <row r="59" spans="1:63" s="315" customFormat="1" ht="15" customHeight="1" x14ac:dyDescent="0.25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341"/>
      <c r="N59" s="341"/>
      <c r="O59" s="341"/>
      <c r="P59" s="341"/>
      <c r="Q59" s="341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2"/>
      <c r="AR59" s="342"/>
      <c r="AS59" s="342"/>
      <c r="AT59" s="342"/>
      <c r="AU59" s="21"/>
      <c r="AV59" s="22"/>
      <c r="AW59" s="22"/>
      <c r="AX59" s="22"/>
      <c r="AY59" s="22"/>
      <c r="AZ59" s="22"/>
      <c r="BA59" s="22"/>
      <c r="BB59" s="22"/>
      <c r="BC59" s="22"/>
      <c r="BD59" s="22"/>
      <c r="BE59" s="23"/>
      <c r="BF59" s="159"/>
      <c r="BG59" s="160"/>
      <c r="BH59" s="160"/>
      <c r="BI59" s="160"/>
      <c r="BJ59" s="160"/>
      <c r="BK59" s="161"/>
    </row>
    <row r="60" spans="1:63" s="315" customFormat="1" ht="15" customHeight="1" x14ac:dyDescent="0.25">
      <c r="A60" s="25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6"/>
      <c r="M60" s="341"/>
      <c r="N60" s="57" t="s">
        <v>252</v>
      </c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26"/>
      <c r="BF60" s="162"/>
      <c r="BG60" s="163"/>
      <c r="BH60" s="163"/>
      <c r="BI60" s="163"/>
      <c r="BJ60" s="163"/>
      <c r="BK60" s="164"/>
    </row>
    <row r="61" spans="1:63" s="315" customFormat="1" ht="15" customHeight="1" x14ac:dyDescent="0.25">
      <c r="A61" s="25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6"/>
      <c r="M61" s="344"/>
      <c r="N61" s="341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26"/>
      <c r="BF61" s="162"/>
      <c r="BG61" s="163"/>
      <c r="BH61" s="163"/>
      <c r="BI61" s="163"/>
      <c r="BJ61" s="163"/>
      <c r="BK61" s="164"/>
    </row>
    <row r="62" spans="1:63" s="315" customFormat="1" ht="15" customHeight="1" x14ac:dyDescent="0.25">
      <c r="A62" s="2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6"/>
      <c r="M62" s="341"/>
      <c r="N62" s="341"/>
      <c r="O62" s="343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26"/>
      <c r="BF62" s="165"/>
      <c r="BG62" s="166"/>
      <c r="BH62" s="166"/>
      <c r="BI62" s="166"/>
      <c r="BJ62" s="166"/>
      <c r="BK62" s="167"/>
    </row>
    <row r="63" spans="1:63" s="315" customFormat="1" ht="15" customHeight="1" x14ac:dyDescent="0.25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345"/>
      <c r="N63" s="346"/>
      <c r="O63" s="346"/>
      <c r="P63" s="346"/>
      <c r="Q63" s="346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347"/>
      <c r="AQ63" s="347"/>
      <c r="AR63" s="347"/>
      <c r="AS63" s="347"/>
      <c r="AT63" s="347"/>
      <c r="AU63" s="27"/>
      <c r="AV63" s="28"/>
      <c r="AW63" s="28"/>
      <c r="AX63" s="28"/>
      <c r="AY63" s="28"/>
      <c r="AZ63" s="28"/>
      <c r="BA63" s="28"/>
      <c r="BB63" s="28"/>
      <c r="BC63" s="28"/>
      <c r="BD63" s="28"/>
      <c r="BE63" s="29"/>
      <c r="BF63" s="168"/>
      <c r="BG63" s="169"/>
      <c r="BH63" s="169"/>
      <c r="BI63" s="169"/>
      <c r="BJ63" s="169"/>
      <c r="BK63" s="170"/>
    </row>
    <row r="64" spans="1:63" ht="15" customHeight="1" x14ac:dyDescent="0.25">
      <c r="A64" s="53"/>
      <c r="BK64" s="16"/>
    </row>
    <row r="65" spans="1:63" ht="15" customHeight="1" x14ac:dyDescent="0.25">
      <c r="A65" s="53"/>
      <c r="BK65" s="16"/>
    </row>
    <row r="66" spans="1:63" ht="15" customHeight="1" x14ac:dyDescent="0.25">
      <c r="A66" s="53"/>
      <c r="BK66" s="16"/>
    </row>
    <row r="67" spans="1:63" ht="15" customHeight="1" x14ac:dyDescent="0.25">
      <c r="A67" s="53"/>
      <c r="BK67" s="16"/>
    </row>
    <row r="68" spans="1:63" s="315" customFormat="1" ht="15" customHeight="1" x14ac:dyDescent="0.25">
      <c r="A68" s="329" t="s">
        <v>18</v>
      </c>
      <c r="B68" s="330"/>
      <c r="C68" s="330"/>
      <c r="D68" s="330"/>
      <c r="E68" s="330"/>
      <c r="F68" s="331"/>
      <c r="G68" s="317" t="s">
        <v>76</v>
      </c>
      <c r="H68" s="317"/>
      <c r="I68" s="317"/>
      <c r="J68" s="317"/>
      <c r="K68" s="317"/>
      <c r="L68" s="317"/>
      <c r="M68" s="332" t="s">
        <v>82</v>
      </c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32"/>
      <c r="AN68" s="332"/>
      <c r="AO68" s="332"/>
      <c r="AP68" s="332"/>
      <c r="AQ68" s="332"/>
      <c r="AR68" s="332"/>
      <c r="AS68" s="332"/>
      <c r="AT68" s="332"/>
      <c r="AU68" s="332"/>
      <c r="AV68" s="332"/>
      <c r="AW68" s="332"/>
      <c r="AX68" s="332"/>
      <c r="AY68" s="332"/>
      <c r="AZ68" s="332"/>
      <c r="BA68" s="332"/>
      <c r="BB68" s="332"/>
      <c r="BC68" s="332"/>
      <c r="BD68" s="332"/>
      <c r="BE68" s="332"/>
      <c r="BF68" s="332"/>
      <c r="BG68" s="332"/>
      <c r="BH68" s="333"/>
      <c r="BI68" s="333"/>
      <c r="BJ68" s="333"/>
      <c r="BK68" s="334"/>
    </row>
    <row r="69" spans="1:63" s="315" customFormat="1" ht="15" customHeight="1" x14ac:dyDescent="0.25">
      <c r="A69" s="335" t="s">
        <v>20</v>
      </c>
      <c r="B69" s="336"/>
      <c r="C69" s="336"/>
      <c r="D69" s="336"/>
      <c r="E69" s="336"/>
      <c r="F69" s="336"/>
      <c r="G69" s="336"/>
      <c r="H69" s="336"/>
      <c r="I69" s="336"/>
      <c r="J69" s="336"/>
      <c r="K69" s="336"/>
      <c r="L69" s="337"/>
      <c r="M69" s="335" t="s">
        <v>21</v>
      </c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  <c r="AA69" s="336"/>
      <c r="AB69" s="336"/>
      <c r="AC69" s="336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  <c r="AP69" s="336"/>
      <c r="AQ69" s="336"/>
      <c r="AR69" s="336"/>
      <c r="AS69" s="336"/>
      <c r="AT69" s="337"/>
      <c r="AU69" s="335" t="s">
        <v>22</v>
      </c>
      <c r="AV69" s="336"/>
      <c r="AW69" s="336"/>
      <c r="AX69" s="336"/>
      <c r="AY69" s="336"/>
      <c r="AZ69" s="336"/>
      <c r="BA69" s="336"/>
      <c r="BB69" s="336"/>
      <c r="BC69" s="336"/>
      <c r="BD69" s="336"/>
      <c r="BE69" s="336"/>
      <c r="BF69" s="335" t="s">
        <v>23</v>
      </c>
      <c r="BG69" s="336"/>
      <c r="BH69" s="336"/>
      <c r="BI69" s="336"/>
      <c r="BJ69" s="336"/>
      <c r="BK69" s="337"/>
    </row>
    <row r="70" spans="1:63" s="315" customFormat="1" ht="15" customHeight="1" x14ac:dyDescent="0.25">
      <c r="A70" s="338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40"/>
      <c r="M70" s="338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339"/>
      <c r="AP70" s="339"/>
      <c r="AQ70" s="339"/>
      <c r="AR70" s="339"/>
      <c r="AS70" s="339"/>
      <c r="AT70" s="340"/>
      <c r="AU70" s="338"/>
      <c r="AV70" s="339"/>
      <c r="AW70" s="339"/>
      <c r="AX70" s="339"/>
      <c r="AY70" s="339"/>
      <c r="AZ70" s="339"/>
      <c r="BA70" s="339"/>
      <c r="BB70" s="339"/>
      <c r="BC70" s="339"/>
      <c r="BD70" s="339"/>
      <c r="BE70" s="339"/>
      <c r="BF70" s="338"/>
      <c r="BG70" s="339"/>
      <c r="BH70" s="339"/>
      <c r="BI70" s="339"/>
      <c r="BJ70" s="339"/>
      <c r="BK70" s="340"/>
    </row>
    <row r="71" spans="1:63" s="315" customFormat="1" ht="15" customHeight="1" x14ac:dyDescent="0.25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341"/>
      <c r="N71" s="341"/>
      <c r="O71" s="341"/>
      <c r="P71" s="341"/>
      <c r="Q71" s="341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42"/>
      <c r="AP71" s="342"/>
      <c r="AQ71" s="342"/>
      <c r="AR71" s="342"/>
      <c r="AS71" s="342"/>
      <c r="AT71" s="342"/>
      <c r="AU71" s="21"/>
      <c r="AV71" s="22"/>
      <c r="AW71" s="22"/>
      <c r="AX71" s="22"/>
      <c r="AY71" s="22"/>
      <c r="AZ71" s="22"/>
      <c r="BA71" s="22"/>
      <c r="BB71" s="22"/>
      <c r="BC71" s="22"/>
      <c r="BD71" s="22"/>
      <c r="BE71" s="23"/>
      <c r="BF71" s="159"/>
      <c r="BG71" s="160"/>
      <c r="BH71" s="160"/>
      <c r="BI71" s="160"/>
      <c r="BJ71" s="160"/>
      <c r="BK71" s="161"/>
    </row>
    <row r="72" spans="1:63" s="315" customFormat="1" ht="15" customHeight="1" x14ac:dyDescent="0.25">
      <c r="A72" s="25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6"/>
      <c r="M72" s="341"/>
      <c r="N72" s="57" t="s">
        <v>253</v>
      </c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25"/>
      <c r="AV72" s="43"/>
      <c r="AW72" s="43"/>
      <c r="AX72" s="43"/>
      <c r="AY72" s="43"/>
      <c r="AZ72" s="43"/>
      <c r="BA72" s="43"/>
      <c r="BB72" s="43"/>
      <c r="BC72" s="43"/>
      <c r="BD72" s="43"/>
      <c r="BE72" s="26"/>
      <c r="BF72" s="162"/>
      <c r="BG72" s="163"/>
      <c r="BH72" s="163"/>
      <c r="BI72" s="163"/>
      <c r="BJ72" s="163"/>
      <c r="BK72" s="164"/>
    </row>
    <row r="73" spans="1:63" s="315" customFormat="1" ht="15" customHeight="1" x14ac:dyDescent="0.25">
      <c r="A73" s="25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6"/>
      <c r="M73" s="344"/>
      <c r="N73" s="341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25"/>
      <c r="AV73" s="43"/>
      <c r="AW73" s="43"/>
      <c r="AX73" s="43"/>
      <c r="AY73" s="43"/>
      <c r="AZ73" s="43"/>
      <c r="BA73" s="43"/>
      <c r="BB73" s="43"/>
      <c r="BC73" s="43"/>
      <c r="BD73" s="43"/>
      <c r="BE73" s="26"/>
      <c r="BF73" s="162"/>
      <c r="BG73" s="163"/>
      <c r="BH73" s="163"/>
      <c r="BI73" s="163"/>
      <c r="BJ73" s="163"/>
      <c r="BK73" s="164"/>
    </row>
    <row r="74" spans="1:63" s="315" customFormat="1" ht="15" customHeight="1" x14ac:dyDescent="0.25">
      <c r="A74" s="25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6"/>
      <c r="M74" s="344"/>
      <c r="N74" s="57"/>
      <c r="O74" s="343" t="s">
        <v>83</v>
      </c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25"/>
      <c r="AV74" s="43"/>
      <c r="AW74" s="43"/>
      <c r="AX74" s="43"/>
      <c r="AY74" s="43"/>
      <c r="AZ74" s="43"/>
      <c r="BA74" s="43"/>
      <c r="BB74" s="43"/>
      <c r="BC74" s="43"/>
      <c r="BD74" s="43"/>
      <c r="BE74" s="26"/>
      <c r="BF74" s="54"/>
      <c r="BG74" s="55"/>
      <c r="BH74" s="55"/>
      <c r="BI74" s="55"/>
      <c r="BJ74" s="55"/>
      <c r="BK74" s="56"/>
    </row>
    <row r="75" spans="1:63" s="315" customFormat="1" ht="15" customHeight="1" x14ac:dyDescent="0.25">
      <c r="A75" s="25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6"/>
      <c r="M75" s="341"/>
      <c r="O75" s="343"/>
      <c r="P75" s="58" t="s">
        <v>38</v>
      </c>
      <c r="Q75" s="59"/>
      <c r="R75" s="59"/>
      <c r="S75" s="59"/>
      <c r="T75" s="59"/>
      <c r="U75" s="59"/>
      <c r="V75" s="59"/>
      <c r="W75" s="58" t="s">
        <v>39</v>
      </c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60"/>
      <c r="AN75" s="341"/>
      <c r="AO75" s="341"/>
      <c r="AP75" s="341"/>
      <c r="AQ75" s="341"/>
      <c r="AR75" s="341"/>
      <c r="AS75" s="341"/>
      <c r="AT75" s="341"/>
      <c r="AU75" s="25"/>
      <c r="AV75" s="43"/>
      <c r="AW75" s="43"/>
      <c r="AX75" s="43"/>
      <c r="AY75" s="43"/>
      <c r="AZ75" s="43"/>
      <c r="BA75" s="43"/>
      <c r="BB75" s="43"/>
      <c r="BC75" s="43"/>
      <c r="BD75" s="43"/>
      <c r="BE75" s="26"/>
      <c r="BF75" s="54"/>
      <c r="BG75" s="55"/>
      <c r="BH75" s="55"/>
      <c r="BI75" s="55"/>
      <c r="BJ75" s="55"/>
      <c r="BK75" s="56"/>
    </row>
    <row r="76" spans="1:63" s="315" customFormat="1" ht="15" customHeight="1" x14ac:dyDescent="0.25">
      <c r="A76" s="25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6"/>
      <c r="M76" s="341"/>
      <c r="N76" s="343"/>
      <c r="O76" s="343"/>
      <c r="P76" s="348" t="s">
        <v>189</v>
      </c>
      <c r="Q76" s="349"/>
      <c r="R76" s="349"/>
      <c r="S76" s="349"/>
      <c r="T76" s="349"/>
      <c r="U76" s="349"/>
      <c r="V76" s="349"/>
      <c r="W76" s="350" t="s">
        <v>199</v>
      </c>
      <c r="X76" s="351"/>
      <c r="Y76" s="351"/>
      <c r="Z76" s="351"/>
      <c r="AA76" s="351"/>
      <c r="AB76" s="351"/>
      <c r="AC76" s="351"/>
      <c r="AD76" s="351"/>
      <c r="AE76" s="351"/>
      <c r="AF76" s="351"/>
      <c r="AG76" s="351"/>
      <c r="AH76" s="351"/>
      <c r="AI76" s="351"/>
      <c r="AJ76" s="351"/>
      <c r="AK76" s="351"/>
      <c r="AL76" s="351"/>
      <c r="AM76" s="352"/>
      <c r="AN76" s="341"/>
      <c r="AO76" s="341"/>
      <c r="AP76" s="341"/>
      <c r="AQ76" s="341"/>
      <c r="AR76" s="341"/>
      <c r="AS76" s="341"/>
      <c r="AT76" s="341"/>
      <c r="AU76" s="25"/>
      <c r="AV76" s="43"/>
      <c r="AW76" s="43"/>
      <c r="AX76" s="43"/>
      <c r="AY76" s="43"/>
      <c r="AZ76" s="43"/>
      <c r="BA76" s="43"/>
      <c r="BB76" s="43"/>
      <c r="BC76" s="43"/>
      <c r="BD76" s="43"/>
      <c r="BE76" s="26"/>
      <c r="BF76" s="54"/>
      <c r="BG76" s="55"/>
      <c r="BH76" s="55"/>
      <c r="BI76" s="55"/>
      <c r="BJ76" s="55"/>
      <c r="BK76" s="56"/>
    </row>
    <row r="77" spans="1:63" s="315" customFormat="1" ht="15" customHeight="1" x14ac:dyDescent="0.25">
      <c r="A77" s="25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6"/>
      <c r="M77" s="341"/>
      <c r="N77" s="343"/>
      <c r="O77" s="343"/>
      <c r="P77" s="348" t="s">
        <v>84</v>
      </c>
      <c r="Q77" s="349"/>
      <c r="R77" s="349"/>
      <c r="S77" s="349"/>
      <c r="T77" s="349"/>
      <c r="U77" s="349"/>
      <c r="V77" s="349"/>
      <c r="W77" s="350" t="s">
        <v>85</v>
      </c>
      <c r="X77" s="351"/>
      <c r="Y77" s="351"/>
      <c r="Z77" s="351"/>
      <c r="AA77" s="351"/>
      <c r="AB77" s="351"/>
      <c r="AC77" s="351"/>
      <c r="AD77" s="351"/>
      <c r="AE77" s="351"/>
      <c r="AF77" s="351"/>
      <c r="AG77" s="351"/>
      <c r="AH77" s="351"/>
      <c r="AI77" s="351"/>
      <c r="AJ77" s="351"/>
      <c r="AK77" s="351"/>
      <c r="AL77" s="351"/>
      <c r="AM77" s="352"/>
      <c r="AN77" s="341"/>
      <c r="AO77" s="341"/>
      <c r="AP77" s="341"/>
      <c r="AQ77" s="341"/>
      <c r="AR77" s="341"/>
      <c r="AS77" s="341"/>
      <c r="AT77" s="341"/>
      <c r="AU77" s="25"/>
      <c r="AV77" s="43"/>
      <c r="AW77" s="43"/>
      <c r="AX77" s="43"/>
      <c r="AY77" s="43"/>
      <c r="AZ77" s="43"/>
      <c r="BA77" s="43"/>
      <c r="BB77" s="43"/>
      <c r="BC77" s="43"/>
      <c r="BD77" s="43"/>
      <c r="BE77" s="26"/>
      <c r="BF77" s="54"/>
      <c r="BG77" s="55"/>
      <c r="BH77" s="55"/>
      <c r="BI77" s="55"/>
      <c r="BJ77" s="55"/>
      <c r="BK77" s="56"/>
    </row>
    <row r="78" spans="1:63" s="315" customFormat="1" ht="15" customHeight="1" x14ac:dyDescent="0.25">
      <c r="A78" s="25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6"/>
      <c r="M78" s="341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25"/>
      <c r="AV78" s="43"/>
      <c r="AW78" s="43"/>
      <c r="AX78" s="43"/>
      <c r="AY78" s="43"/>
      <c r="AZ78" s="43"/>
      <c r="BA78" s="43"/>
      <c r="BB78" s="43"/>
      <c r="BC78" s="43"/>
      <c r="BD78" s="43"/>
      <c r="BE78" s="26"/>
      <c r="BF78" s="54"/>
      <c r="BG78" s="55"/>
      <c r="BH78" s="55"/>
      <c r="BI78" s="55"/>
      <c r="BJ78" s="55"/>
      <c r="BK78" s="56"/>
    </row>
    <row r="79" spans="1:63" s="315" customFormat="1" ht="15" customHeight="1" x14ac:dyDescent="0.25">
      <c r="A79" s="25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6"/>
      <c r="M79" s="341"/>
      <c r="N79" s="343"/>
      <c r="O79" s="341" t="s">
        <v>41</v>
      </c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25"/>
      <c r="AV79" s="43"/>
      <c r="AW79" s="43"/>
      <c r="AX79" s="43"/>
      <c r="AY79" s="43"/>
      <c r="AZ79" s="43"/>
      <c r="BA79" s="43"/>
      <c r="BB79" s="43"/>
      <c r="BC79" s="43"/>
      <c r="BD79" s="43"/>
      <c r="BE79" s="26"/>
      <c r="BF79" s="54"/>
      <c r="BG79" s="55"/>
      <c r="BH79" s="55"/>
      <c r="BI79" s="55"/>
      <c r="BJ79" s="55"/>
      <c r="BK79" s="56"/>
    </row>
    <row r="80" spans="1:63" s="315" customFormat="1" ht="15" customHeight="1" x14ac:dyDescent="0.25">
      <c r="A80" s="25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6"/>
      <c r="M80" s="341"/>
      <c r="N80" s="343"/>
      <c r="O80" s="343"/>
      <c r="P80" s="343" t="s">
        <v>193</v>
      </c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25"/>
      <c r="AV80" s="43"/>
      <c r="AW80" s="43"/>
      <c r="AX80" s="43"/>
      <c r="AY80" s="43"/>
      <c r="AZ80" s="43"/>
      <c r="BA80" s="43"/>
      <c r="BB80" s="43"/>
      <c r="BC80" s="43"/>
      <c r="BD80" s="43"/>
      <c r="BE80" s="26"/>
      <c r="BF80" s="54"/>
      <c r="BG80" s="55"/>
      <c r="BH80" s="55"/>
      <c r="BI80" s="55"/>
      <c r="BJ80" s="55"/>
      <c r="BK80" s="56"/>
    </row>
    <row r="81" spans="1:63" s="315" customFormat="1" ht="15" customHeight="1" x14ac:dyDescent="0.25">
      <c r="A81" s="25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6"/>
      <c r="M81" s="341"/>
      <c r="N81" s="343"/>
      <c r="O81" s="343"/>
      <c r="P81" s="343"/>
      <c r="Q81" s="58" t="s">
        <v>195</v>
      </c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60"/>
      <c r="AN81" s="341"/>
      <c r="AO81" s="341"/>
      <c r="AP81" s="341"/>
      <c r="AQ81" s="341"/>
      <c r="AR81" s="341"/>
      <c r="AS81" s="341"/>
      <c r="AT81" s="341"/>
      <c r="AU81" s="25"/>
      <c r="AV81" s="43"/>
      <c r="AW81" s="43"/>
      <c r="AX81" s="43"/>
      <c r="AY81" s="43"/>
      <c r="AZ81" s="43"/>
      <c r="BA81" s="43"/>
      <c r="BB81" s="43"/>
      <c r="BC81" s="43"/>
      <c r="BD81" s="43"/>
      <c r="BE81" s="26"/>
      <c r="BF81" s="54"/>
      <c r="BG81" s="55"/>
      <c r="BH81" s="55"/>
      <c r="BI81" s="55"/>
      <c r="BJ81" s="55"/>
      <c r="BK81" s="56"/>
    </row>
    <row r="82" spans="1:63" s="315" customFormat="1" ht="15" customHeight="1" x14ac:dyDescent="0.25">
      <c r="A82" s="25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6"/>
      <c r="M82" s="341"/>
      <c r="N82" s="343"/>
      <c r="O82" s="343"/>
      <c r="P82" s="343"/>
      <c r="Q82" s="353" t="s">
        <v>196</v>
      </c>
      <c r="R82" s="342"/>
      <c r="S82" s="342"/>
      <c r="T82" s="342"/>
      <c r="U82" s="342"/>
      <c r="V82" s="354"/>
      <c r="W82" s="342"/>
      <c r="X82" s="342"/>
      <c r="Y82" s="342"/>
      <c r="Z82" s="342"/>
      <c r="AA82" s="342"/>
      <c r="AB82" s="353" t="s">
        <v>202</v>
      </c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55"/>
      <c r="AN82" s="341"/>
      <c r="AO82" s="341"/>
      <c r="AP82" s="341"/>
      <c r="AQ82" s="341"/>
      <c r="AR82" s="341"/>
      <c r="AS82" s="341"/>
      <c r="AT82" s="341"/>
      <c r="AU82" s="25"/>
      <c r="AV82" s="43"/>
      <c r="AW82" s="43"/>
      <c r="AX82" s="43"/>
      <c r="AY82" s="43"/>
      <c r="AZ82" s="43"/>
      <c r="BA82" s="43"/>
      <c r="BB82" s="43"/>
      <c r="BC82" s="43"/>
      <c r="BD82" s="43"/>
      <c r="BE82" s="26"/>
      <c r="BF82" s="54"/>
      <c r="BG82" s="55"/>
      <c r="BH82" s="55"/>
      <c r="BI82" s="55"/>
      <c r="BJ82" s="55"/>
      <c r="BK82" s="56"/>
    </row>
    <row r="83" spans="1:63" s="315" customFormat="1" ht="15" customHeight="1" x14ac:dyDescent="0.25">
      <c r="A83" s="25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6"/>
      <c r="M83" s="341"/>
      <c r="N83" s="343"/>
      <c r="O83" s="343"/>
      <c r="P83" s="343"/>
      <c r="Q83" s="353" t="s">
        <v>197</v>
      </c>
      <c r="R83" s="342"/>
      <c r="S83" s="342"/>
      <c r="T83" s="342"/>
      <c r="U83" s="342"/>
      <c r="V83" s="356"/>
      <c r="W83" s="342"/>
      <c r="X83" s="342"/>
      <c r="Y83" s="342"/>
      <c r="Z83" s="342"/>
      <c r="AA83" s="342"/>
      <c r="AB83" s="357" t="s">
        <v>203</v>
      </c>
      <c r="AC83" s="342"/>
      <c r="AD83" s="342"/>
      <c r="AE83" s="342"/>
      <c r="AF83" s="342"/>
      <c r="AG83" s="342"/>
      <c r="AH83" s="342"/>
      <c r="AI83" s="342"/>
      <c r="AJ83" s="342"/>
      <c r="AK83" s="342"/>
      <c r="AL83" s="342"/>
      <c r="AM83" s="355"/>
      <c r="AN83" s="341"/>
      <c r="AO83" s="341"/>
      <c r="AP83" s="341"/>
      <c r="AQ83" s="341"/>
      <c r="AR83" s="341"/>
      <c r="AS83" s="341"/>
      <c r="AT83" s="341"/>
      <c r="AU83" s="25"/>
      <c r="AV83" s="43"/>
      <c r="AW83" s="43"/>
      <c r="AX83" s="43"/>
      <c r="AY83" s="43"/>
      <c r="AZ83" s="43"/>
      <c r="BA83" s="43"/>
      <c r="BB83" s="43"/>
      <c r="BC83" s="43"/>
      <c r="BD83" s="43"/>
      <c r="BE83" s="26"/>
      <c r="BF83" s="54"/>
      <c r="BG83" s="55"/>
      <c r="BH83" s="55"/>
      <c r="BI83" s="55"/>
      <c r="BJ83" s="55"/>
      <c r="BK83" s="56"/>
    </row>
    <row r="84" spans="1:63" s="315" customFormat="1" ht="15" customHeight="1" x14ac:dyDescent="0.25">
      <c r="A84" s="25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6"/>
      <c r="M84" s="341"/>
      <c r="N84" s="343"/>
      <c r="O84" s="343"/>
      <c r="P84" s="343"/>
      <c r="Q84" s="358" t="s">
        <v>198</v>
      </c>
      <c r="R84" s="332"/>
      <c r="S84" s="332"/>
      <c r="T84" s="332"/>
      <c r="U84" s="332"/>
      <c r="V84" s="359"/>
      <c r="W84" s="332"/>
      <c r="X84" s="332"/>
      <c r="Y84" s="332"/>
      <c r="Z84" s="332"/>
      <c r="AA84" s="332"/>
      <c r="AB84" s="360" t="s">
        <v>92</v>
      </c>
      <c r="AC84" s="332"/>
      <c r="AD84" s="332"/>
      <c r="AE84" s="332"/>
      <c r="AF84" s="332"/>
      <c r="AG84" s="332"/>
      <c r="AH84" s="332"/>
      <c r="AI84" s="332"/>
      <c r="AJ84" s="332"/>
      <c r="AK84" s="332"/>
      <c r="AL84" s="332"/>
      <c r="AM84" s="361"/>
      <c r="AN84" s="341"/>
      <c r="AO84" s="341"/>
      <c r="AP84" s="341"/>
      <c r="AQ84" s="341"/>
      <c r="AR84" s="341"/>
      <c r="AS84" s="341"/>
      <c r="AT84" s="341"/>
      <c r="AU84" s="25"/>
      <c r="AV84" s="43"/>
      <c r="AW84" s="43"/>
      <c r="AX84" s="43"/>
      <c r="AY84" s="43"/>
      <c r="AZ84" s="43"/>
      <c r="BA84" s="43"/>
      <c r="BB84" s="43"/>
      <c r="BC84" s="43"/>
      <c r="BD84" s="43"/>
      <c r="BE84" s="26"/>
      <c r="BF84" s="54"/>
      <c r="BG84" s="55"/>
      <c r="BH84" s="55"/>
      <c r="BI84" s="55"/>
      <c r="BJ84" s="55"/>
      <c r="BK84" s="56"/>
    </row>
    <row r="85" spans="1:63" s="315" customFormat="1" ht="15" customHeight="1" x14ac:dyDescent="0.25">
      <c r="A85" s="25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6"/>
      <c r="M85" s="341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25"/>
      <c r="AV85" s="43"/>
      <c r="AW85" s="43"/>
      <c r="AX85" s="43"/>
      <c r="AY85" s="43"/>
      <c r="AZ85" s="43"/>
      <c r="BA85" s="43"/>
      <c r="BB85" s="43"/>
      <c r="BC85" s="43"/>
      <c r="BD85" s="43"/>
      <c r="BE85" s="26"/>
      <c r="BF85" s="54"/>
      <c r="BG85" s="55"/>
      <c r="BH85" s="55"/>
      <c r="BI85" s="55"/>
      <c r="BJ85" s="55"/>
      <c r="BK85" s="56"/>
    </row>
    <row r="86" spans="1:63" s="315" customFormat="1" ht="15" customHeight="1" x14ac:dyDescent="0.25">
      <c r="A86" s="25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6"/>
      <c r="M86" s="341"/>
      <c r="N86" s="343"/>
      <c r="O86" s="343"/>
      <c r="P86" s="343"/>
      <c r="Q86" s="343" t="s">
        <v>93</v>
      </c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25"/>
      <c r="AV86" s="43"/>
      <c r="AW86" s="43"/>
      <c r="AX86" s="43"/>
      <c r="AY86" s="43"/>
      <c r="AZ86" s="43"/>
      <c r="BA86" s="43"/>
      <c r="BB86" s="43"/>
      <c r="BC86" s="43"/>
      <c r="BD86" s="43"/>
      <c r="BE86" s="26"/>
      <c r="BF86" s="54"/>
      <c r="BG86" s="55"/>
      <c r="BH86" s="55"/>
      <c r="BI86" s="55"/>
      <c r="BJ86" s="55"/>
      <c r="BK86" s="56"/>
    </row>
    <row r="87" spans="1:63" s="315" customFormat="1" ht="15" customHeight="1" x14ac:dyDescent="0.25">
      <c r="A87" s="25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6"/>
      <c r="M87" s="341"/>
      <c r="N87" s="343"/>
      <c r="O87" s="343"/>
      <c r="P87" s="341" t="s">
        <v>194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25"/>
      <c r="AV87" s="43"/>
      <c r="AW87" s="43"/>
      <c r="AX87" s="43"/>
      <c r="AY87" s="43"/>
      <c r="AZ87" s="43"/>
      <c r="BA87" s="43"/>
      <c r="BB87" s="43"/>
      <c r="BC87" s="43"/>
      <c r="BD87" s="43"/>
      <c r="BE87" s="26"/>
      <c r="BF87" s="54"/>
      <c r="BG87" s="55"/>
      <c r="BH87" s="55"/>
      <c r="BI87" s="55"/>
      <c r="BJ87" s="55"/>
      <c r="BK87" s="56"/>
    </row>
    <row r="88" spans="1:63" s="315" customFormat="1" ht="15" customHeight="1" x14ac:dyDescent="0.25">
      <c r="A88" s="25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6"/>
      <c r="M88" s="341"/>
      <c r="N88" s="343"/>
      <c r="O88" s="343"/>
      <c r="P88" s="343"/>
      <c r="Q88" s="343" t="s">
        <v>239</v>
      </c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25"/>
      <c r="AV88" s="43"/>
      <c r="AW88" s="43"/>
      <c r="AX88" s="43"/>
      <c r="AY88" s="43"/>
      <c r="AZ88" s="43"/>
      <c r="BA88" s="43"/>
      <c r="BB88" s="43"/>
      <c r="BC88" s="43"/>
      <c r="BD88" s="43"/>
      <c r="BE88" s="26"/>
      <c r="BF88" s="54"/>
      <c r="BG88" s="55"/>
      <c r="BH88" s="55"/>
      <c r="BI88" s="55"/>
      <c r="BJ88" s="55"/>
      <c r="BK88" s="56"/>
    </row>
    <row r="89" spans="1:63" s="315" customFormat="1" ht="15" customHeight="1" x14ac:dyDescent="0.25">
      <c r="A89" s="25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6"/>
      <c r="M89" s="341"/>
      <c r="N89" s="341"/>
      <c r="O89" s="343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25"/>
      <c r="AV89" s="43"/>
      <c r="AW89" s="43"/>
      <c r="AX89" s="43"/>
      <c r="AY89" s="43"/>
      <c r="AZ89" s="43"/>
      <c r="BA89" s="43"/>
      <c r="BB89" s="43"/>
      <c r="BC89" s="43"/>
      <c r="BD89" s="43"/>
      <c r="BE89" s="26"/>
      <c r="BF89" s="165"/>
      <c r="BG89" s="166"/>
      <c r="BH89" s="166"/>
      <c r="BI89" s="166"/>
      <c r="BJ89" s="166"/>
      <c r="BK89" s="167"/>
    </row>
    <row r="90" spans="1:63" s="315" customFormat="1" ht="15" customHeight="1" x14ac:dyDescent="0.25">
      <c r="A90" s="25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6"/>
      <c r="M90" s="341"/>
      <c r="N90" s="57"/>
      <c r="O90" s="68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25"/>
      <c r="AV90" s="43"/>
      <c r="AW90" s="43"/>
      <c r="AX90" s="43"/>
      <c r="AY90" s="43"/>
      <c r="AZ90" s="43"/>
      <c r="BA90" s="43"/>
      <c r="BB90" s="43"/>
      <c r="BC90" s="43"/>
      <c r="BD90" s="43"/>
      <c r="BE90" s="26"/>
      <c r="BF90" s="165"/>
      <c r="BG90" s="166"/>
      <c r="BH90" s="166"/>
      <c r="BI90" s="166"/>
      <c r="BJ90" s="166"/>
      <c r="BK90" s="167"/>
    </row>
    <row r="91" spans="1:63" s="315" customFormat="1" ht="15" customHeight="1" x14ac:dyDescent="0.25">
      <c r="A91" s="25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6"/>
      <c r="M91" s="341"/>
      <c r="N91" s="57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25"/>
      <c r="AV91" s="43"/>
      <c r="AW91" s="43"/>
      <c r="AX91" s="43"/>
      <c r="AY91" s="43"/>
      <c r="AZ91" s="43"/>
      <c r="BA91" s="43"/>
      <c r="BB91" s="43"/>
      <c r="BC91" s="43"/>
      <c r="BD91" s="43"/>
      <c r="BE91" s="26"/>
      <c r="BF91" s="165"/>
      <c r="BG91" s="166"/>
      <c r="BH91" s="166"/>
      <c r="BI91" s="166"/>
      <c r="BJ91" s="166"/>
      <c r="BK91" s="167"/>
    </row>
    <row r="92" spans="1:63" s="315" customFormat="1" ht="15" customHeight="1" x14ac:dyDescent="0.25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9"/>
      <c r="M92" s="345"/>
      <c r="N92" s="346"/>
      <c r="O92" s="346"/>
      <c r="P92" s="346"/>
      <c r="Q92" s="346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347"/>
      <c r="AQ92" s="347"/>
      <c r="AR92" s="347"/>
      <c r="AS92" s="347"/>
      <c r="AT92" s="347"/>
      <c r="AU92" s="27"/>
      <c r="AV92" s="28"/>
      <c r="AW92" s="28"/>
      <c r="AX92" s="28"/>
      <c r="AY92" s="28"/>
      <c r="AZ92" s="28"/>
      <c r="BA92" s="28"/>
      <c r="BB92" s="28"/>
      <c r="BC92" s="28"/>
      <c r="BD92" s="28"/>
      <c r="BE92" s="29"/>
      <c r="BF92" s="168"/>
      <c r="BG92" s="169"/>
      <c r="BH92" s="169"/>
      <c r="BI92" s="169"/>
      <c r="BJ92" s="169"/>
      <c r="BK92" s="170"/>
    </row>
    <row r="93" spans="1:63" ht="15" customHeight="1" x14ac:dyDescent="0.25">
      <c r="BF93" s="32"/>
      <c r="BG93" s="32"/>
      <c r="BH93" s="32"/>
      <c r="BI93" s="32"/>
      <c r="BJ93" s="32"/>
      <c r="BK93" s="33"/>
    </row>
    <row r="94" spans="1:63" ht="15" customHeight="1" x14ac:dyDescent="0.25">
      <c r="BK94" s="16"/>
    </row>
    <row r="95" spans="1:63" ht="15" customHeight="1" x14ac:dyDescent="0.25">
      <c r="BK95" s="16"/>
    </row>
    <row r="96" spans="1:63" s="315" customFormat="1" ht="15" customHeight="1" x14ac:dyDescent="0.25">
      <c r="A96" s="329" t="s">
        <v>18</v>
      </c>
      <c r="B96" s="330"/>
      <c r="C96" s="330"/>
      <c r="D96" s="330"/>
      <c r="E96" s="330"/>
      <c r="F96" s="331"/>
      <c r="G96" s="317" t="s">
        <v>75</v>
      </c>
      <c r="H96" s="317"/>
      <c r="I96" s="317"/>
      <c r="J96" s="317"/>
      <c r="K96" s="317"/>
      <c r="L96" s="317"/>
      <c r="M96" s="332" t="s">
        <v>94</v>
      </c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2"/>
      <c r="AK96" s="332"/>
      <c r="AL96" s="332"/>
      <c r="AM96" s="332"/>
      <c r="AN96" s="332"/>
      <c r="AO96" s="332"/>
      <c r="AP96" s="332"/>
      <c r="AQ96" s="332"/>
      <c r="AR96" s="332"/>
      <c r="AS96" s="332"/>
      <c r="AT96" s="332"/>
      <c r="AU96" s="332"/>
      <c r="AV96" s="332"/>
      <c r="AW96" s="332"/>
      <c r="AX96" s="332"/>
      <c r="AY96" s="332"/>
      <c r="AZ96" s="332"/>
      <c r="BA96" s="332"/>
      <c r="BB96" s="332"/>
      <c r="BC96" s="332"/>
      <c r="BD96" s="332"/>
      <c r="BE96" s="332"/>
      <c r="BF96" s="332"/>
      <c r="BG96" s="332"/>
      <c r="BH96" s="333"/>
      <c r="BI96" s="333"/>
      <c r="BJ96" s="333"/>
      <c r="BK96" s="334"/>
    </row>
    <row r="97" spans="1:63" s="315" customFormat="1" ht="15" customHeight="1" x14ac:dyDescent="0.25">
      <c r="A97" s="335" t="s">
        <v>20</v>
      </c>
      <c r="B97" s="336"/>
      <c r="C97" s="336"/>
      <c r="D97" s="336"/>
      <c r="E97" s="336"/>
      <c r="F97" s="336"/>
      <c r="G97" s="336"/>
      <c r="H97" s="336"/>
      <c r="I97" s="336"/>
      <c r="J97" s="336"/>
      <c r="K97" s="336"/>
      <c r="L97" s="337"/>
      <c r="M97" s="335" t="s">
        <v>21</v>
      </c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  <c r="AF97" s="336"/>
      <c r="AG97" s="336"/>
      <c r="AH97" s="336"/>
      <c r="AI97" s="336"/>
      <c r="AJ97" s="336"/>
      <c r="AK97" s="336"/>
      <c r="AL97" s="336"/>
      <c r="AM97" s="336"/>
      <c r="AN97" s="336"/>
      <c r="AO97" s="336"/>
      <c r="AP97" s="336"/>
      <c r="AQ97" s="336"/>
      <c r="AR97" s="336"/>
      <c r="AS97" s="336"/>
      <c r="AT97" s="337"/>
      <c r="AU97" s="335" t="s">
        <v>22</v>
      </c>
      <c r="AV97" s="336"/>
      <c r="AW97" s="336"/>
      <c r="AX97" s="336"/>
      <c r="AY97" s="336"/>
      <c r="AZ97" s="336"/>
      <c r="BA97" s="336"/>
      <c r="BB97" s="336"/>
      <c r="BC97" s="336"/>
      <c r="BD97" s="336"/>
      <c r="BE97" s="336"/>
      <c r="BF97" s="335" t="s">
        <v>23</v>
      </c>
      <c r="BG97" s="336"/>
      <c r="BH97" s="336"/>
      <c r="BI97" s="336"/>
      <c r="BJ97" s="336"/>
      <c r="BK97" s="337"/>
    </row>
    <row r="98" spans="1:63" s="315" customFormat="1" ht="15" customHeight="1" x14ac:dyDescent="0.25">
      <c r="A98" s="338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40"/>
      <c r="M98" s="338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39"/>
      <c r="AP98" s="339"/>
      <c r="AQ98" s="339"/>
      <c r="AR98" s="339"/>
      <c r="AS98" s="339"/>
      <c r="AT98" s="340"/>
      <c r="AU98" s="338"/>
      <c r="AV98" s="339"/>
      <c r="AW98" s="339"/>
      <c r="AX98" s="339"/>
      <c r="AY98" s="339"/>
      <c r="AZ98" s="339"/>
      <c r="BA98" s="339"/>
      <c r="BB98" s="339"/>
      <c r="BC98" s="339"/>
      <c r="BD98" s="339"/>
      <c r="BE98" s="339"/>
      <c r="BF98" s="338"/>
      <c r="BG98" s="339"/>
      <c r="BH98" s="339"/>
      <c r="BI98" s="339"/>
      <c r="BJ98" s="339"/>
      <c r="BK98" s="340"/>
    </row>
    <row r="99" spans="1:63" s="315" customFormat="1" ht="15" customHeight="1" x14ac:dyDescent="0.25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341"/>
      <c r="N99" s="341"/>
      <c r="O99" s="341"/>
      <c r="P99" s="341"/>
      <c r="Q99" s="341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  <c r="AJ99" s="342"/>
      <c r="AK99" s="342"/>
      <c r="AL99" s="342"/>
      <c r="AM99" s="342"/>
      <c r="AN99" s="342"/>
      <c r="AO99" s="342"/>
      <c r="AP99" s="342"/>
      <c r="AQ99" s="342"/>
      <c r="AR99" s="342"/>
      <c r="AS99" s="342"/>
      <c r="AT99" s="342"/>
      <c r="AU99" s="21"/>
      <c r="AV99" s="22"/>
      <c r="AW99" s="22"/>
      <c r="AX99" s="22"/>
      <c r="AY99" s="22"/>
      <c r="AZ99" s="22"/>
      <c r="BA99" s="22"/>
      <c r="BB99" s="22"/>
      <c r="BC99" s="22"/>
      <c r="BD99" s="22"/>
      <c r="BE99" s="23"/>
      <c r="BF99" s="159" t="s">
        <v>99</v>
      </c>
      <c r="BG99" s="160"/>
      <c r="BH99" s="160"/>
      <c r="BI99" s="160"/>
      <c r="BJ99" s="160"/>
      <c r="BK99" s="161"/>
    </row>
    <row r="100" spans="1:63" s="315" customFormat="1" ht="15" customHeight="1" x14ac:dyDescent="0.25">
      <c r="A100" s="25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6"/>
      <c r="M100" s="341"/>
      <c r="N100" s="57" t="s">
        <v>254</v>
      </c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25"/>
      <c r="AV100" s="43"/>
      <c r="AW100" s="43"/>
      <c r="AX100" s="43"/>
      <c r="AY100" s="43"/>
      <c r="AZ100" s="43"/>
      <c r="BA100" s="43"/>
      <c r="BB100" s="43"/>
      <c r="BC100" s="43"/>
      <c r="BD100" s="43"/>
      <c r="BE100" s="26"/>
      <c r="BF100" s="162"/>
      <c r="BG100" s="163"/>
      <c r="BH100" s="163"/>
      <c r="BI100" s="163"/>
      <c r="BJ100" s="163"/>
      <c r="BK100" s="164"/>
    </row>
    <row r="101" spans="1:63" s="315" customFormat="1" ht="15" customHeight="1" x14ac:dyDescent="0.25">
      <c r="A101" s="25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6"/>
      <c r="M101" s="344"/>
      <c r="N101" s="341"/>
      <c r="O101" s="343" t="s">
        <v>95</v>
      </c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25"/>
      <c r="AV101" s="43"/>
      <c r="AW101" s="43"/>
      <c r="AX101" s="43"/>
      <c r="AY101" s="43"/>
      <c r="AZ101" s="43"/>
      <c r="BA101" s="43"/>
      <c r="BB101" s="43"/>
      <c r="BC101" s="43"/>
      <c r="BD101" s="43"/>
      <c r="BE101" s="26"/>
      <c r="BF101" s="162"/>
      <c r="BG101" s="163"/>
      <c r="BH101" s="163"/>
      <c r="BI101" s="163"/>
      <c r="BJ101" s="163"/>
      <c r="BK101" s="164"/>
    </row>
    <row r="102" spans="1:63" s="315" customFormat="1" ht="15" customHeight="1" x14ac:dyDescent="0.25">
      <c r="A102" s="25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6"/>
      <c r="M102" s="341"/>
      <c r="N102" s="67" t="s">
        <v>255</v>
      </c>
      <c r="O102" s="343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25"/>
      <c r="AV102" s="43"/>
      <c r="AW102" s="43"/>
      <c r="AX102" s="43"/>
      <c r="AY102" s="43"/>
      <c r="AZ102" s="43"/>
      <c r="BA102" s="43"/>
      <c r="BB102" s="43"/>
      <c r="BC102" s="43"/>
      <c r="BD102" s="43"/>
      <c r="BE102" s="26"/>
      <c r="BF102" s="162"/>
      <c r="BG102" s="163"/>
      <c r="BH102" s="163"/>
      <c r="BI102" s="163"/>
      <c r="BJ102" s="163"/>
      <c r="BK102" s="164"/>
    </row>
    <row r="103" spans="1:63" s="315" customFormat="1" ht="15" customHeight="1" x14ac:dyDescent="0.25">
      <c r="A103" s="25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6"/>
      <c r="M103" s="341"/>
      <c r="N103" s="57" t="s">
        <v>60</v>
      </c>
      <c r="O103" s="343" t="s">
        <v>96</v>
      </c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25"/>
      <c r="AV103" s="43"/>
      <c r="AW103" s="43"/>
      <c r="AX103" s="43"/>
      <c r="AY103" s="43"/>
      <c r="AZ103" s="43"/>
      <c r="BA103" s="43"/>
      <c r="BB103" s="43"/>
      <c r="BC103" s="43"/>
      <c r="BD103" s="43"/>
      <c r="BE103" s="26"/>
      <c r="BF103" s="162"/>
      <c r="BG103" s="163"/>
      <c r="BH103" s="163"/>
      <c r="BI103" s="163"/>
      <c r="BJ103" s="163"/>
      <c r="BK103" s="164"/>
    </row>
    <row r="104" spans="1:63" s="315" customFormat="1" ht="15" customHeight="1" x14ac:dyDescent="0.25">
      <c r="A104" s="25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6"/>
      <c r="M104" s="341"/>
      <c r="N104" s="57"/>
      <c r="O104" s="343"/>
      <c r="P104" s="343" t="s">
        <v>97</v>
      </c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25"/>
      <c r="AV104" s="43"/>
      <c r="AW104" s="43"/>
      <c r="AX104" s="43"/>
      <c r="AY104" s="43"/>
      <c r="AZ104" s="43"/>
      <c r="BA104" s="43"/>
      <c r="BB104" s="43"/>
      <c r="BC104" s="43"/>
      <c r="BD104" s="43"/>
      <c r="BE104" s="26"/>
      <c r="BF104" s="162"/>
      <c r="BG104" s="163"/>
      <c r="BH104" s="163"/>
      <c r="BI104" s="163"/>
      <c r="BJ104" s="163"/>
      <c r="BK104" s="164"/>
    </row>
    <row r="105" spans="1:63" s="315" customFormat="1" ht="15" customHeight="1" x14ac:dyDescent="0.25">
      <c r="A105" s="25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6"/>
      <c r="M105" s="341"/>
      <c r="N105" s="57"/>
      <c r="O105" s="343"/>
      <c r="P105" s="343" t="s">
        <v>98</v>
      </c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25"/>
      <c r="AV105" s="43"/>
      <c r="AW105" s="43"/>
      <c r="AX105" s="43"/>
      <c r="AY105" s="43"/>
      <c r="AZ105" s="43"/>
      <c r="BA105" s="43"/>
      <c r="BB105" s="43"/>
      <c r="BC105" s="43"/>
      <c r="BD105" s="43"/>
      <c r="BE105" s="26"/>
      <c r="BF105" s="162"/>
      <c r="BG105" s="163"/>
      <c r="BH105" s="163"/>
      <c r="BI105" s="163"/>
      <c r="BJ105" s="163"/>
      <c r="BK105" s="164"/>
    </row>
    <row r="106" spans="1:63" s="315" customFormat="1" ht="15" customHeight="1" x14ac:dyDescent="0.25">
      <c r="A106" s="25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6"/>
      <c r="M106" s="341"/>
      <c r="N106" s="57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25"/>
      <c r="AV106" s="43"/>
      <c r="AW106" s="43"/>
      <c r="AX106" s="43"/>
      <c r="AY106" s="43"/>
      <c r="AZ106" s="43"/>
      <c r="BA106" s="43"/>
      <c r="BB106" s="43"/>
      <c r="BC106" s="43"/>
      <c r="BD106" s="43"/>
      <c r="BE106" s="26"/>
      <c r="BF106" s="162"/>
      <c r="BG106" s="163"/>
      <c r="BH106" s="163"/>
      <c r="BI106" s="163"/>
      <c r="BJ106" s="163"/>
      <c r="BK106" s="164"/>
    </row>
    <row r="107" spans="1:63" s="315" customFormat="1" ht="15" customHeight="1" x14ac:dyDescent="0.25">
      <c r="A107" s="25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6"/>
      <c r="M107" s="341"/>
      <c r="N107" s="57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25"/>
      <c r="AV107" s="43"/>
      <c r="AW107" s="43"/>
      <c r="AX107" s="43"/>
      <c r="AY107" s="43"/>
      <c r="AZ107" s="43"/>
      <c r="BA107" s="43"/>
      <c r="BB107" s="43"/>
      <c r="BC107" s="43"/>
      <c r="BD107" s="43"/>
      <c r="BE107" s="26"/>
      <c r="BF107" s="162"/>
      <c r="BG107" s="163"/>
      <c r="BH107" s="163"/>
      <c r="BI107" s="163"/>
      <c r="BJ107" s="163"/>
      <c r="BK107" s="164"/>
    </row>
    <row r="108" spans="1:63" s="315" customFormat="1" ht="15" customHeight="1" x14ac:dyDescent="0.25">
      <c r="A108" s="25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6"/>
      <c r="M108" s="341"/>
      <c r="N108" s="57"/>
      <c r="O108" s="341" t="s">
        <v>188</v>
      </c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25"/>
      <c r="AV108" s="43"/>
      <c r="AW108" s="43"/>
      <c r="AX108" s="43"/>
      <c r="AY108" s="43"/>
      <c r="AZ108" s="43"/>
      <c r="BA108" s="43"/>
      <c r="BB108" s="43"/>
      <c r="BC108" s="43"/>
      <c r="BD108" s="43"/>
      <c r="BE108" s="26"/>
      <c r="BF108" s="162"/>
      <c r="BG108" s="163"/>
      <c r="BH108" s="163"/>
      <c r="BI108" s="163"/>
      <c r="BJ108" s="163"/>
      <c r="BK108" s="164"/>
    </row>
    <row r="109" spans="1:63" s="315" customFormat="1" ht="15" customHeight="1" x14ac:dyDescent="0.25">
      <c r="A109" s="25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6"/>
      <c r="M109" s="341"/>
      <c r="N109" s="57"/>
      <c r="O109" s="343"/>
      <c r="P109" s="343" t="s">
        <v>193</v>
      </c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25"/>
      <c r="AV109" s="43"/>
      <c r="AW109" s="43"/>
      <c r="AX109" s="43"/>
      <c r="AY109" s="43"/>
      <c r="AZ109" s="43"/>
      <c r="BA109" s="43"/>
      <c r="BB109" s="43"/>
      <c r="BC109" s="43"/>
      <c r="BD109" s="43"/>
      <c r="BE109" s="26"/>
      <c r="BF109" s="162"/>
      <c r="BG109" s="163"/>
      <c r="BH109" s="163"/>
      <c r="BI109" s="163"/>
      <c r="BJ109" s="163"/>
      <c r="BK109" s="164"/>
    </row>
    <row r="110" spans="1:63" s="315" customFormat="1" ht="15" customHeight="1" x14ac:dyDescent="0.25">
      <c r="A110" s="25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6"/>
      <c r="M110" s="341"/>
      <c r="N110" s="57"/>
      <c r="O110" s="343"/>
      <c r="P110" s="343"/>
      <c r="Q110" s="58" t="s">
        <v>195</v>
      </c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60"/>
      <c r="AN110" s="341"/>
      <c r="AO110" s="341"/>
      <c r="AP110" s="341"/>
      <c r="AQ110" s="341"/>
      <c r="AR110" s="341"/>
      <c r="AS110" s="341"/>
      <c r="AT110" s="341"/>
      <c r="AU110" s="25"/>
      <c r="AV110" s="43"/>
      <c r="AW110" s="43"/>
      <c r="AX110" s="43"/>
      <c r="AY110" s="43"/>
      <c r="AZ110" s="43"/>
      <c r="BA110" s="43"/>
      <c r="BB110" s="43"/>
      <c r="BC110" s="43"/>
      <c r="BD110" s="43"/>
      <c r="BE110" s="26"/>
      <c r="BF110" s="162"/>
      <c r="BG110" s="163"/>
      <c r="BH110" s="163"/>
      <c r="BI110" s="163"/>
      <c r="BJ110" s="163"/>
      <c r="BK110" s="164"/>
    </row>
    <row r="111" spans="1:63" s="315" customFormat="1" ht="15" customHeight="1" x14ac:dyDescent="0.25">
      <c r="A111" s="25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6"/>
      <c r="M111" s="341"/>
      <c r="N111" s="57"/>
      <c r="O111" s="343"/>
      <c r="P111" s="343"/>
      <c r="Q111" s="353" t="s">
        <v>196</v>
      </c>
      <c r="R111" s="342"/>
      <c r="S111" s="342"/>
      <c r="T111" s="342"/>
      <c r="U111" s="342"/>
      <c r="V111" s="354"/>
      <c r="W111" s="342"/>
      <c r="X111" s="342"/>
      <c r="Y111" s="342"/>
      <c r="Z111" s="342"/>
      <c r="AA111" s="342"/>
      <c r="AB111" s="353" t="s">
        <v>202</v>
      </c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55"/>
      <c r="AN111" s="341"/>
      <c r="AO111" s="341"/>
      <c r="AP111" s="341"/>
      <c r="AQ111" s="341"/>
      <c r="AR111" s="341"/>
      <c r="AS111" s="341"/>
      <c r="AT111" s="341"/>
      <c r="AU111" s="25"/>
      <c r="AV111" s="43"/>
      <c r="AW111" s="43"/>
      <c r="AX111" s="43"/>
      <c r="AY111" s="43"/>
      <c r="AZ111" s="43"/>
      <c r="BA111" s="43"/>
      <c r="BB111" s="43"/>
      <c r="BC111" s="43"/>
      <c r="BD111" s="43"/>
      <c r="BE111" s="26"/>
      <c r="BF111" s="162"/>
      <c r="BG111" s="163"/>
      <c r="BH111" s="163"/>
      <c r="BI111" s="163"/>
      <c r="BJ111" s="163"/>
      <c r="BK111" s="164"/>
    </row>
    <row r="112" spans="1:63" s="315" customFormat="1" ht="15" customHeight="1" x14ac:dyDescent="0.25">
      <c r="A112" s="25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6"/>
      <c r="M112" s="341"/>
      <c r="N112" s="57"/>
      <c r="O112" s="343"/>
      <c r="P112" s="343"/>
      <c r="Q112" s="353" t="s">
        <v>197</v>
      </c>
      <c r="R112" s="342"/>
      <c r="S112" s="342"/>
      <c r="T112" s="342"/>
      <c r="U112" s="342"/>
      <c r="V112" s="356"/>
      <c r="W112" s="342"/>
      <c r="X112" s="342"/>
      <c r="Y112" s="342"/>
      <c r="Z112" s="342"/>
      <c r="AA112" s="342"/>
      <c r="AB112" s="357" t="s">
        <v>203</v>
      </c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55"/>
      <c r="AN112" s="341"/>
      <c r="AO112" s="341"/>
      <c r="AP112" s="341"/>
      <c r="AQ112" s="341"/>
      <c r="AR112" s="341"/>
      <c r="AS112" s="341"/>
      <c r="AT112" s="341"/>
      <c r="AU112" s="25"/>
      <c r="AV112" s="43"/>
      <c r="AW112" s="43"/>
      <c r="AX112" s="43"/>
      <c r="AY112" s="43"/>
      <c r="AZ112" s="43"/>
      <c r="BA112" s="43"/>
      <c r="BB112" s="43"/>
      <c r="BC112" s="43"/>
      <c r="BD112" s="43"/>
      <c r="BE112" s="26"/>
      <c r="BF112" s="162"/>
      <c r="BG112" s="163"/>
      <c r="BH112" s="163"/>
      <c r="BI112" s="163"/>
      <c r="BJ112" s="163"/>
      <c r="BK112" s="164"/>
    </row>
    <row r="113" spans="1:63" s="315" customFormat="1" ht="15" customHeight="1" x14ac:dyDescent="0.25">
      <c r="A113" s="25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6"/>
      <c r="M113" s="341"/>
      <c r="N113" s="57"/>
      <c r="O113" s="343"/>
      <c r="P113" s="343"/>
      <c r="Q113" s="358" t="s">
        <v>198</v>
      </c>
      <c r="R113" s="332"/>
      <c r="S113" s="332"/>
      <c r="T113" s="332"/>
      <c r="U113" s="332"/>
      <c r="V113" s="359"/>
      <c r="W113" s="332"/>
      <c r="X113" s="332"/>
      <c r="Y113" s="332"/>
      <c r="Z113" s="332"/>
      <c r="AA113" s="332"/>
      <c r="AB113" s="360" t="s">
        <v>92</v>
      </c>
      <c r="AC113" s="332"/>
      <c r="AD113" s="332"/>
      <c r="AE113" s="332"/>
      <c r="AF113" s="332"/>
      <c r="AG113" s="332"/>
      <c r="AH113" s="332"/>
      <c r="AI113" s="332"/>
      <c r="AJ113" s="332"/>
      <c r="AK113" s="332"/>
      <c r="AL113" s="332"/>
      <c r="AM113" s="361"/>
      <c r="AN113" s="341"/>
      <c r="AO113" s="341"/>
      <c r="AP113" s="341"/>
      <c r="AQ113" s="341"/>
      <c r="AR113" s="341"/>
      <c r="AS113" s="341"/>
      <c r="AT113" s="341"/>
      <c r="AU113" s="25"/>
      <c r="AV113" s="43"/>
      <c r="AW113" s="43"/>
      <c r="AX113" s="43"/>
      <c r="AY113" s="43"/>
      <c r="AZ113" s="43"/>
      <c r="BA113" s="43"/>
      <c r="BB113" s="43"/>
      <c r="BC113" s="43"/>
      <c r="BD113" s="43"/>
      <c r="BE113" s="26"/>
      <c r="BF113" s="162"/>
      <c r="BG113" s="163"/>
      <c r="BH113" s="163"/>
      <c r="BI113" s="163"/>
      <c r="BJ113" s="163"/>
      <c r="BK113" s="164"/>
    </row>
    <row r="114" spans="1:63" s="315" customFormat="1" ht="15" customHeight="1" x14ac:dyDescent="0.25">
      <c r="A114" s="25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6"/>
      <c r="M114" s="341"/>
      <c r="N114" s="57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25"/>
      <c r="AV114" s="43"/>
      <c r="AW114" s="43"/>
      <c r="AX114" s="43"/>
      <c r="AY114" s="43"/>
      <c r="AZ114" s="43"/>
      <c r="BA114" s="43"/>
      <c r="BB114" s="43"/>
      <c r="BC114" s="43"/>
      <c r="BD114" s="43"/>
      <c r="BE114" s="26"/>
      <c r="BF114" s="162"/>
      <c r="BG114" s="163"/>
      <c r="BH114" s="163"/>
      <c r="BI114" s="163"/>
      <c r="BJ114" s="163"/>
      <c r="BK114" s="164"/>
    </row>
    <row r="115" spans="1:63" s="315" customFormat="1" ht="15" customHeight="1" x14ac:dyDescent="0.25">
      <c r="A115" s="25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6"/>
      <c r="M115" s="341"/>
      <c r="N115" s="57"/>
      <c r="O115" s="343"/>
      <c r="P115" s="343"/>
      <c r="Q115" s="343" t="s">
        <v>93</v>
      </c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25"/>
      <c r="AV115" s="43"/>
      <c r="AW115" s="43"/>
      <c r="AX115" s="43"/>
      <c r="AY115" s="43"/>
      <c r="AZ115" s="43"/>
      <c r="BA115" s="43"/>
      <c r="BB115" s="43"/>
      <c r="BC115" s="43"/>
      <c r="BD115" s="43"/>
      <c r="BE115" s="26"/>
      <c r="BF115" s="162"/>
      <c r="BG115" s="163"/>
      <c r="BH115" s="163"/>
      <c r="BI115" s="163"/>
      <c r="BJ115" s="163"/>
      <c r="BK115" s="164"/>
    </row>
    <row r="116" spans="1:63" s="315" customFormat="1" ht="15" customHeight="1" x14ac:dyDescent="0.25">
      <c r="A116" s="25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6"/>
      <c r="M116" s="341"/>
      <c r="N116" s="57"/>
      <c r="O116" s="343"/>
      <c r="P116" s="341" t="s">
        <v>194</v>
      </c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25"/>
      <c r="AV116" s="43"/>
      <c r="AW116" s="43"/>
      <c r="AX116" s="43"/>
      <c r="AY116" s="43"/>
      <c r="AZ116" s="43"/>
      <c r="BA116" s="43"/>
      <c r="BB116" s="43"/>
      <c r="BC116" s="43"/>
      <c r="BD116" s="43"/>
      <c r="BE116" s="26"/>
      <c r="BF116" s="162"/>
      <c r="BG116" s="163"/>
      <c r="BH116" s="163"/>
      <c r="BI116" s="163"/>
      <c r="BJ116" s="163"/>
      <c r="BK116" s="164"/>
    </row>
    <row r="117" spans="1:63" s="315" customFormat="1" ht="15" customHeight="1" x14ac:dyDescent="0.25">
      <c r="A117" s="25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6"/>
      <c r="M117" s="341"/>
      <c r="N117" s="57"/>
      <c r="O117" s="343"/>
      <c r="P117" s="343"/>
      <c r="Q117" s="343" t="s">
        <v>239</v>
      </c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25"/>
      <c r="AV117" s="43"/>
      <c r="AW117" s="43"/>
      <c r="AX117" s="43"/>
      <c r="AY117" s="43"/>
      <c r="AZ117" s="43"/>
      <c r="BA117" s="43"/>
      <c r="BB117" s="43"/>
      <c r="BC117" s="43"/>
      <c r="BD117" s="43"/>
      <c r="BE117" s="26"/>
      <c r="BF117" s="162"/>
      <c r="BG117" s="163"/>
      <c r="BH117" s="163"/>
      <c r="BI117" s="163"/>
      <c r="BJ117" s="163"/>
      <c r="BK117" s="164"/>
    </row>
    <row r="118" spans="1:63" s="315" customFormat="1" ht="15" customHeight="1" x14ac:dyDescent="0.25">
      <c r="A118" s="25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6"/>
      <c r="M118" s="341"/>
      <c r="N118" s="57"/>
      <c r="O118" s="343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25"/>
      <c r="AV118" s="43"/>
      <c r="AW118" s="43"/>
      <c r="AX118" s="43"/>
      <c r="AY118" s="43"/>
      <c r="AZ118" s="43"/>
      <c r="BA118" s="43"/>
      <c r="BB118" s="43"/>
      <c r="BC118" s="43"/>
      <c r="BD118" s="43"/>
      <c r="BE118" s="26"/>
      <c r="BF118" s="162"/>
      <c r="BG118" s="163"/>
      <c r="BH118" s="163"/>
      <c r="BI118" s="163"/>
      <c r="BJ118" s="163"/>
      <c r="BK118" s="164"/>
    </row>
    <row r="119" spans="1:63" s="315" customFormat="1" ht="15" customHeight="1" x14ac:dyDescent="0.25">
      <c r="A119" s="25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6"/>
      <c r="M119" s="341"/>
      <c r="N119" s="68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25"/>
      <c r="AV119" s="43"/>
      <c r="AW119" s="43"/>
      <c r="AX119" s="43"/>
      <c r="AY119" s="43"/>
      <c r="AZ119" s="43"/>
      <c r="BA119" s="43"/>
      <c r="BB119" s="43"/>
      <c r="BC119" s="43"/>
      <c r="BD119" s="43"/>
      <c r="BE119" s="26"/>
      <c r="BF119" s="162"/>
      <c r="BG119" s="163"/>
      <c r="BH119" s="163"/>
      <c r="BI119" s="163"/>
      <c r="BJ119" s="163"/>
      <c r="BK119" s="164"/>
    </row>
    <row r="120" spans="1:63" s="315" customFormat="1" ht="15" customHeight="1" x14ac:dyDescent="0.25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9"/>
      <c r="M120" s="345"/>
      <c r="N120" s="346"/>
      <c r="O120" s="346"/>
      <c r="P120" s="346"/>
      <c r="Q120" s="346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347"/>
      <c r="AQ120" s="347"/>
      <c r="AR120" s="347"/>
      <c r="AS120" s="347"/>
      <c r="AT120" s="347"/>
      <c r="AU120" s="27"/>
      <c r="AV120" s="28"/>
      <c r="AW120" s="28"/>
      <c r="AX120" s="28"/>
      <c r="AY120" s="28"/>
      <c r="AZ120" s="28"/>
      <c r="BA120" s="28"/>
      <c r="BB120" s="28"/>
      <c r="BC120" s="28"/>
      <c r="BD120" s="28"/>
      <c r="BE120" s="29"/>
      <c r="BF120" s="181"/>
      <c r="BG120" s="182"/>
      <c r="BH120" s="182"/>
      <c r="BI120" s="182"/>
      <c r="BJ120" s="182"/>
      <c r="BK120" s="183"/>
    </row>
    <row r="121" spans="1:63" ht="15" customHeight="1" x14ac:dyDescent="0.25">
      <c r="BK121" s="16"/>
    </row>
    <row r="122" spans="1:63" ht="15" customHeight="1" x14ac:dyDescent="0.25">
      <c r="BK122" s="16"/>
    </row>
    <row r="123" spans="1:63" ht="15" customHeight="1" x14ac:dyDescent="0.25">
      <c r="BK123" s="16"/>
    </row>
    <row r="124" spans="1:63" s="315" customFormat="1" ht="15" customHeight="1" x14ac:dyDescent="0.25">
      <c r="A124" s="329" t="s">
        <v>18</v>
      </c>
      <c r="B124" s="330"/>
      <c r="C124" s="330"/>
      <c r="D124" s="330"/>
      <c r="E124" s="330"/>
      <c r="F124" s="331"/>
      <c r="G124" s="317" t="s">
        <v>101</v>
      </c>
      <c r="H124" s="317"/>
      <c r="I124" s="317"/>
      <c r="J124" s="317"/>
      <c r="K124" s="317"/>
      <c r="L124" s="317"/>
      <c r="M124" s="332" t="s">
        <v>102</v>
      </c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  <c r="AA124" s="332"/>
      <c r="AB124" s="332"/>
      <c r="AC124" s="332"/>
      <c r="AD124" s="332"/>
      <c r="AE124" s="332"/>
      <c r="AF124" s="332"/>
      <c r="AG124" s="332"/>
      <c r="AH124" s="332"/>
      <c r="AI124" s="332"/>
      <c r="AJ124" s="332"/>
      <c r="AK124" s="332"/>
      <c r="AL124" s="332"/>
      <c r="AM124" s="332"/>
      <c r="AN124" s="332"/>
      <c r="AO124" s="332"/>
      <c r="AP124" s="332"/>
      <c r="AQ124" s="332"/>
      <c r="AR124" s="332"/>
      <c r="AS124" s="332"/>
      <c r="AT124" s="332"/>
      <c r="AU124" s="332"/>
      <c r="AV124" s="332"/>
      <c r="AW124" s="332"/>
      <c r="AX124" s="332"/>
      <c r="AY124" s="332"/>
      <c r="AZ124" s="332"/>
      <c r="BA124" s="332"/>
      <c r="BB124" s="332"/>
      <c r="BC124" s="332"/>
      <c r="BD124" s="332"/>
      <c r="BE124" s="332"/>
      <c r="BF124" s="332"/>
      <c r="BG124" s="332"/>
      <c r="BH124" s="333"/>
      <c r="BI124" s="333"/>
      <c r="BJ124" s="333"/>
      <c r="BK124" s="334"/>
    </row>
    <row r="125" spans="1:63" s="315" customFormat="1" ht="15" customHeight="1" x14ac:dyDescent="0.25">
      <c r="A125" s="335" t="s">
        <v>20</v>
      </c>
      <c r="B125" s="336"/>
      <c r="C125" s="336"/>
      <c r="D125" s="336"/>
      <c r="E125" s="336"/>
      <c r="F125" s="336"/>
      <c r="G125" s="336"/>
      <c r="H125" s="336"/>
      <c r="I125" s="336"/>
      <c r="J125" s="336"/>
      <c r="K125" s="336"/>
      <c r="L125" s="337"/>
      <c r="M125" s="335" t="s">
        <v>21</v>
      </c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  <c r="AA125" s="336"/>
      <c r="AB125" s="336"/>
      <c r="AC125" s="336"/>
      <c r="AD125" s="336"/>
      <c r="AE125" s="336"/>
      <c r="AF125" s="336"/>
      <c r="AG125" s="336"/>
      <c r="AH125" s="336"/>
      <c r="AI125" s="336"/>
      <c r="AJ125" s="336"/>
      <c r="AK125" s="336"/>
      <c r="AL125" s="336"/>
      <c r="AM125" s="336"/>
      <c r="AN125" s="336"/>
      <c r="AO125" s="336"/>
      <c r="AP125" s="336"/>
      <c r="AQ125" s="336"/>
      <c r="AR125" s="336"/>
      <c r="AS125" s="336"/>
      <c r="AT125" s="337"/>
      <c r="AU125" s="335" t="s">
        <v>22</v>
      </c>
      <c r="AV125" s="336"/>
      <c r="AW125" s="336"/>
      <c r="AX125" s="336"/>
      <c r="AY125" s="336"/>
      <c r="AZ125" s="336"/>
      <c r="BA125" s="336"/>
      <c r="BB125" s="336"/>
      <c r="BC125" s="336"/>
      <c r="BD125" s="336"/>
      <c r="BE125" s="336"/>
      <c r="BF125" s="335" t="s">
        <v>23</v>
      </c>
      <c r="BG125" s="336"/>
      <c r="BH125" s="336"/>
      <c r="BI125" s="336"/>
      <c r="BJ125" s="336"/>
      <c r="BK125" s="337"/>
    </row>
    <row r="126" spans="1:63" s="315" customFormat="1" ht="15" customHeight="1" x14ac:dyDescent="0.25">
      <c r="A126" s="338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40"/>
      <c r="M126" s="338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39"/>
      <c r="AP126" s="339"/>
      <c r="AQ126" s="339"/>
      <c r="AR126" s="339"/>
      <c r="AS126" s="339"/>
      <c r="AT126" s="340"/>
      <c r="AU126" s="338"/>
      <c r="AV126" s="339"/>
      <c r="AW126" s="339"/>
      <c r="AX126" s="339"/>
      <c r="AY126" s="339"/>
      <c r="AZ126" s="339"/>
      <c r="BA126" s="339"/>
      <c r="BB126" s="339"/>
      <c r="BC126" s="339"/>
      <c r="BD126" s="339"/>
      <c r="BE126" s="339"/>
      <c r="BF126" s="338"/>
      <c r="BG126" s="339"/>
      <c r="BH126" s="339"/>
      <c r="BI126" s="339"/>
      <c r="BJ126" s="339"/>
      <c r="BK126" s="340"/>
    </row>
    <row r="127" spans="1:63" s="315" customFormat="1" ht="15" customHeight="1" x14ac:dyDescent="0.25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341"/>
      <c r="N127" s="341"/>
      <c r="O127" s="341"/>
      <c r="P127" s="341"/>
      <c r="Q127" s="341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  <c r="AJ127" s="342"/>
      <c r="AK127" s="342"/>
      <c r="AL127" s="342"/>
      <c r="AM127" s="342"/>
      <c r="AN127" s="342"/>
      <c r="AO127" s="342"/>
      <c r="AP127" s="342"/>
      <c r="AQ127" s="342"/>
      <c r="AR127" s="342"/>
      <c r="AS127" s="342"/>
      <c r="AT127" s="342"/>
      <c r="AU127" s="21"/>
      <c r="AV127" s="22"/>
      <c r="AW127" s="22"/>
      <c r="AX127" s="22"/>
      <c r="AY127" s="22"/>
      <c r="AZ127" s="22"/>
      <c r="BA127" s="22"/>
      <c r="BB127" s="22"/>
      <c r="BC127" s="22"/>
      <c r="BD127" s="22"/>
      <c r="BE127" s="23"/>
      <c r="BF127" s="159"/>
      <c r="BG127" s="160"/>
      <c r="BH127" s="160"/>
      <c r="BI127" s="160"/>
      <c r="BJ127" s="160"/>
      <c r="BK127" s="161"/>
    </row>
    <row r="128" spans="1:63" s="315" customFormat="1" ht="15" customHeight="1" x14ac:dyDescent="0.25">
      <c r="A128" s="25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6"/>
      <c r="M128" s="341"/>
      <c r="N128" s="57" t="s">
        <v>256</v>
      </c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25"/>
      <c r="AV128" s="43"/>
      <c r="AW128" s="43"/>
      <c r="AX128" s="43"/>
      <c r="AY128" s="43"/>
      <c r="AZ128" s="43"/>
      <c r="BA128" s="43"/>
      <c r="BB128" s="43"/>
      <c r="BC128" s="43"/>
      <c r="BD128" s="43"/>
      <c r="BE128" s="26"/>
      <c r="BF128" s="162"/>
      <c r="BG128" s="163"/>
      <c r="BH128" s="163"/>
      <c r="BI128" s="163"/>
      <c r="BJ128" s="163"/>
      <c r="BK128" s="164"/>
    </row>
    <row r="129" spans="1:63" s="315" customFormat="1" ht="15" customHeight="1" x14ac:dyDescent="0.25">
      <c r="A129" s="25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6"/>
      <c r="M129" s="344"/>
      <c r="N129" s="67" t="s">
        <v>257</v>
      </c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25"/>
      <c r="AV129" s="43"/>
      <c r="AW129" s="43"/>
      <c r="AX129" s="43"/>
      <c r="AY129" s="43"/>
      <c r="AZ129" s="43"/>
      <c r="BA129" s="43"/>
      <c r="BB129" s="43"/>
      <c r="BC129" s="43"/>
      <c r="BD129" s="43"/>
      <c r="BE129" s="26"/>
      <c r="BF129" s="162"/>
      <c r="BG129" s="163"/>
      <c r="BH129" s="163"/>
      <c r="BI129" s="163"/>
      <c r="BJ129" s="163"/>
      <c r="BK129" s="164"/>
    </row>
    <row r="130" spans="1:63" s="315" customFormat="1" ht="15" customHeight="1" x14ac:dyDescent="0.25">
      <c r="A130" s="25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6"/>
      <c r="M130" s="344"/>
      <c r="N130" s="57"/>
      <c r="O130" s="343" t="s">
        <v>103</v>
      </c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25"/>
      <c r="AV130" s="43"/>
      <c r="AW130" s="43"/>
      <c r="AX130" s="43"/>
      <c r="AY130" s="43"/>
      <c r="AZ130" s="43"/>
      <c r="BA130" s="43"/>
      <c r="BB130" s="43"/>
      <c r="BC130" s="43"/>
      <c r="BD130" s="43"/>
      <c r="BE130" s="26"/>
      <c r="BF130" s="54"/>
      <c r="BG130" s="55"/>
      <c r="BH130" s="55"/>
      <c r="BI130" s="55"/>
      <c r="BJ130" s="55"/>
      <c r="BK130" s="56"/>
    </row>
    <row r="131" spans="1:63" s="315" customFormat="1" ht="15" customHeight="1" x14ac:dyDescent="0.25">
      <c r="A131" s="25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6"/>
      <c r="M131" s="341"/>
      <c r="O131" s="343"/>
      <c r="P131" s="58" t="s">
        <v>38</v>
      </c>
      <c r="Q131" s="59"/>
      <c r="R131" s="59"/>
      <c r="S131" s="59"/>
      <c r="T131" s="59"/>
      <c r="U131" s="59"/>
      <c r="V131" s="59"/>
      <c r="W131" s="58" t="s">
        <v>39</v>
      </c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60"/>
      <c r="AN131" s="341"/>
      <c r="AO131" s="341"/>
      <c r="AP131" s="341"/>
      <c r="AQ131" s="341"/>
      <c r="AR131" s="341"/>
      <c r="AS131" s="341"/>
      <c r="AT131" s="341"/>
      <c r="AU131" s="25"/>
      <c r="AV131" s="43"/>
      <c r="AW131" s="43"/>
      <c r="AX131" s="43"/>
      <c r="AY131" s="43"/>
      <c r="AZ131" s="43"/>
      <c r="BA131" s="43"/>
      <c r="BB131" s="43"/>
      <c r="BC131" s="43"/>
      <c r="BD131" s="43"/>
      <c r="BE131" s="26"/>
      <c r="BF131" s="54"/>
      <c r="BG131" s="55"/>
      <c r="BH131" s="55"/>
      <c r="BI131" s="55"/>
      <c r="BJ131" s="55"/>
      <c r="BK131" s="56"/>
    </row>
    <row r="132" spans="1:63" s="315" customFormat="1" ht="15" customHeight="1" x14ac:dyDescent="0.25">
      <c r="A132" s="25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6"/>
      <c r="M132" s="341"/>
      <c r="N132" s="343"/>
      <c r="O132" s="343"/>
      <c r="P132" s="348" t="s">
        <v>104</v>
      </c>
      <c r="Q132" s="349"/>
      <c r="R132" s="349"/>
      <c r="S132" s="349"/>
      <c r="T132" s="349"/>
      <c r="U132" s="349"/>
      <c r="V132" s="349"/>
      <c r="W132" s="350" t="s">
        <v>199</v>
      </c>
      <c r="X132" s="351"/>
      <c r="Y132" s="351"/>
      <c r="Z132" s="351"/>
      <c r="AA132" s="351"/>
      <c r="AB132" s="351"/>
      <c r="AC132" s="351"/>
      <c r="AD132" s="351"/>
      <c r="AE132" s="351"/>
      <c r="AF132" s="351"/>
      <c r="AG132" s="351"/>
      <c r="AH132" s="351"/>
      <c r="AI132" s="351"/>
      <c r="AJ132" s="351"/>
      <c r="AK132" s="351"/>
      <c r="AL132" s="351"/>
      <c r="AM132" s="352"/>
      <c r="AN132" s="341"/>
      <c r="AO132" s="341"/>
      <c r="AP132" s="341"/>
      <c r="AQ132" s="341"/>
      <c r="AR132" s="341"/>
      <c r="AS132" s="341"/>
      <c r="AT132" s="341"/>
      <c r="AU132" s="25"/>
      <c r="AV132" s="43"/>
      <c r="AW132" s="43"/>
      <c r="AX132" s="43"/>
      <c r="AY132" s="43"/>
      <c r="AZ132" s="43"/>
      <c r="BA132" s="43"/>
      <c r="BB132" s="43"/>
      <c r="BC132" s="43"/>
      <c r="BD132" s="43"/>
      <c r="BE132" s="26"/>
      <c r="BF132" s="54"/>
      <c r="BG132" s="55"/>
      <c r="BH132" s="55"/>
      <c r="BI132" s="55"/>
      <c r="BJ132" s="55"/>
      <c r="BK132" s="56"/>
    </row>
    <row r="133" spans="1:63" s="315" customFormat="1" ht="15" customHeight="1" x14ac:dyDescent="0.25">
      <c r="A133" s="25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6"/>
      <c r="M133" s="341"/>
      <c r="N133" s="343"/>
      <c r="O133" s="343"/>
      <c r="P133" s="362" t="s">
        <v>105</v>
      </c>
      <c r="Q133" s="363"/>
      <c r="R133" s="363"/>
      <c r="S133" s="363"/>
      <c r="T133" s="363"/>
      <c r="U133" s="363"/>
      <c r="V133" s="364"/>
      <c r="W133" s="350" t="s">
        <v>109</v>
      </c>
      <c r="X133" s="351"/>
      <c r="Y133" s="351"/>
      <c r="Z133" s="351"/>
      <c r="AA133" s="351"/>
      <c r="AB133" s="351"/>
      <c r="AC133" s="351"/>
      <c r="AD133" s="351"/>
      <c r="AE133" s="351"/>
      <c r="AF133" s="351"/>
      <c r="AG133" s="351"/>
      <c r="AH133" s="351"/>
      <c r="AI133" s="351"/>
      <c r="AJ133" s="351"/>
      <c r="AK133" s="351"/>
      <c r="AL133" s="351"/>
      <c r="AM133" s="352"/>
      <c r="AN133" s="341"/>
      <c r="AO133" s="341"/>
      <c r="AP133" s="341"/>
      <c r="AQ133" s="341"/>
      <c r="AR133" s="341"/>
      <c r="AS133" s="341"/>
      <c r="AT133" s="341"/>
      <c r="AU133" s="25"/>
      <c r="AV133" s="43"/>
      <c r="AW133" s="43"/>
      <c r="AX133" s="43"/>
      <c r="AY133" s="43"/>
      <c r="AZ133" s="43"/>
      <c r="BA133" s="43"/>
      <c r="BB133" s="43"/>
      <c r="BC133" s="43"/>
      <c r="BD133" s="43"/>
      <c r="BE133" s="26"/>
      <c r="BF133" s="54"/>
      <c r="BG133" s="55"/>
      <c r="BH133" s="55"/>
      <c r="BI133" s="55"/>
      <c r="BJ133" s="55"/>
      <c r="BK133" s="56"/>
    </row>
    <row r="134" spans="1:63" s="315" customFormat="1" ht="15" customHeight="1" x14ac:dyDescent="0.25">
      <c r="A134" s="25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6"/>
      <c r="M134" s="341"/>
      <c r="N134" s="343"/>
      <c r="O134" s="343"/>
      <c r="P134" s="362" t="s">
        <v>106</v>
      </c>
      <c r="Q134" s="363"/>
      <c r="R134" s="363"/>
      <c r="S134" s="363"/>
      <c r="T134" s="363"/>
      <c r="U134" s="363"/>
      <c r="V134" s="364"/>
      <c r="W134" s="350" t="s">
        <v>201</v>
      </c>
      <c r="X134" s="351"/>
      <c r="Y134" s="351"/>
      <c r="Z134" s="351"/>
      <c r="AA134" s="351"/>
      <c r="AB134" s="351"/>
      <c r="AC134" s="351"/>
      <c r="AD134" s="351"/>
      <c r="AE134" s="351"/>
      <c r="AF134" s="351"/>
      <c r="AG134" s="351"/>
      <c r="AH134" s="351"/>
      <c r="AI134" s="351"/>
      <c r="AJ134" s="351"/>
      <c r="AK134" s="351"/>
      <c r="AL134" s="351"/>
      <c r="AM134" s="352"/>
      <c r="AN134" s="341"/>
      <c r="AO134" s="341"/>
      <c r="AP134" s="341"/>
      <c r="AQ134" s="341"/>
      <c r="AR134" s="341"/>
      <c r="AS134" s="341"/>
      <c r="AT134" s="341"/>
      <c r="AU134" s="25"/>
      <c r="AV134" s="43"/>
      <c r="AW134" s="43"/>
      <c r="AX134" s="43"/>
      <c r="AY134" s="43"/>
      <c r="AZ134" s="43"/>
      <c r="BA134" s="43"/>
      <c r="BB134" s="43"/>
      <c r="BC134" s="43"/>
      <c r="BD134" s="43"/>
      <c r="BE134" s="26"/>
      <c r="BF134" s="54"/>
      <c r="BG134" s="55"/>
      <c r="BH134" s="55"/>
      <c r="BI134" s="55"/>
      <c r="BJ134" s="55"/>
      <c r="BK134" s="56"/>
    </row>
    <row r="135" spans="1:63" s="315" customFormat="1" ht="15" customHeight="1" x14ac:dyDescent="0.25">
      <c r="A135" s="25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6"/>
      <c r="M135" s="341"/>
      <c r="N135" s="343"/>
      <c r="O135" s="343"/>
      <c r="P135" s="362" t="s">
        <v>107</v>
      </c>
      <c r="Q135" s="363"/>
      <c r="R135" s="363"/>
      <c r="S135" s="363"/>
      <c r="T135" s="363"/>
      <c r="U135" s="363"/>
      <c r="V135" s="364"/>
      <c r="W135" s="350" t="s">
        <v>201</v>
      </c>
      <c r="X135" s="351"/>
      <c r="Y135" s="351"/>
      <c r="Z135" s="351"/>
      <c r="AA135" s="351"/>
      <c r="AB135" s="351"/>
      <c r="AC135" s="351"/>
      <c r="AD135" s="351"/>
      <c r="AE135" s="351"/>
      <c r="AF135" s="351"/>
      <c r="AG135" s="351"/>
      <c r="AH135" s="351"/>
      <c r="AI135" s="351"/>
      <c r="AJ135" s="351"/>
      <c r="AK135" s="351"/>
      <c r="AL135" s="351"/>
      <c r="AM135" s="352"/>
      <c r="AN135" s="341"/>
      <c r="AO135" s="341"/>
      <c r="AP135" s="341"/>
      <c r="AQ135" s="341"/>
      <c r="AR135" s="341"/>
      <c r="AS135" s="341"/>
      <c r="AT135" s="341"/>
      <c r="AU135" s="25"/>
      <c r="AV135" s="43"/>
      <c r="AW135" s="43"/>
      <c r="AX135" s="43"/>
      <c r="AY135" s="43"/>
      <c r="AZ135" s="43"/>
      <c r="BA135" s="43"/>
      <c r="BB135" s="43"/>
      <c r="BC135" s="43"/>
      <c r="BD135" s="43"/>
      <c r="BE135" s="26"/>
      <c r="BF135" s="54"/>
      <c r="BG135" s="55"/>
      <c r="BH135" s="55"/>
      <c r="BI135" s="55"/>
      <c r="BJ135" s="55"/>
      <c r="BK135" s="56"/>
    </row>
    <row r="136" spans="1:63" s="315" customFormat="1" ht="15" customHeight="1" x14ac:dyDescent="0.25">
      <c r="A136" s="25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6"/>
      <c r="M136" s="341"/>
      <c r="N136" s="343"/>
      <c r="O136" s="343"/>
      <c r="P136" s="362" t="s">
        <v>108</v>
      </c>
      <c r="Q136" s="363"/>
      <c r="R136" s="363"/>
      <c r="S136" s="363"/>
      <c r="T136" s="363"/>
      <c r="U136" s="363"/>
      <c r="V136" s="364"/>
      <c r="W136" s="350" t="s">
        <v>201</v>
      </c>
      <c r="X136" s="351"/>
      <c r="Y136" s="351"/>
      <c r="Z136" s="351"/>
      <c r="AA136" s="351"/>
      <c r="AB136" s="351"/>
      <c r="AC136" s="351"/>
      <c r="AD136" s="351"/>
      <c r="AE136" s="351"/>
      <c r="AF136" s="351"/>
      <c r="AG136" s="351"/>
      <c r="AH136" s="351"/>
      <c r="AI136" s="351"/>
      <c r="AJ136" s="351"/>
      <c r="AK136" s="351"/>
      <c r="AL136" s="351"/>
      <c r="AM136" s="352"/>
      <c r="AN136" s="341"/>
      <c r="AO136" s="341"/>
      <c r="AP136" s="341"/>
      <c r="AQ136" s="341"/>
      <c r="AR136" s="341"/>
      <c r="AS136" s="341"/>
      <c r="AT136" s="341"/>
      <c r="AU136" s="25"/>
      <c r="AV136" s="43"/>
      <c r="AW136" s="43"/>
      <c r="AX136" s="43"/>
      <c r="AY136" s="43"/>
      <c r="AZ136" s="43"/>
      <c r="BA136" s="43"/>
      <c r="BB136" s="43"/>
      <c r="BC136" s="43"/>
      <c r="BD136" s="43"/>
      <c r="BE136" s="26"/>
      <c r="BF136" s="54"/>
      <c r="BG136" s="55"/>
      <c r="BH136" s="55"/>
      <c r="BI136" s="55"/>
      <c r="BJ136" s="55"/>
      <c r="BK136" s="56"/>
    </row>
    <row r="137" spans="1:63" s="315" customFormat="1" ht="15" customHeight="1" x14ac:dyDescent="0.25">
      <c r="A137" s="25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6"/>
      <c r="M137" s="341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25"/>
      <c r="AV137" s="43"/>
      <c r="AW137" s="43"/>
      <c r="AX137" s="43"/>
      <c r="AY137" s="43"/>
      <c r="AZ137" s="43"/>
      <c r="BA137" s="43"/>
      <c r="BB137" s="43"/>
      <c r="BC137" s="43"/>
      <c r="BD137" s="43"/>
      <c r="BE137" s="26"/>
      <c r="BF137" s="54"/>
      <c r="BG137" s="55"/>
      <c r="BH137" s="55"/>
      <c r="BI137" s="55"/>
      <c r="BJ137" s="55"/>
      <c r="BK137" s="56"/>
    </row>
    <row r="138" spans="1:63" s="315" customFormat="1" ht="15" customHeight="1" x14ac:dyDescent="0.25">
      <c r="A138" s="25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6"/>
      <c r="M138" s="341"/>
      <c r="N138" s="343"/>
      <c r="O138" s="341" t="s">
        <v>41</v>
      </c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25"/>
      <c r="AV138" s="43"/>
      <c r="AW138" s="43"/>
      <c r="AX138" s="43"/>
      <c r="AY138" s="43"/>
      <c r="AZ138" s="43"/>
      <c r="BA138" s="43"/>
      <c r="BB138" s="43"/>
      <c r="BC138" s="43"/>
      <c r="BD138" s="43"/>
      <c r="BE138" s="26"/>
      <c r="BF138" s="54"/>
      <c r="BG138" s="55"/>
      <c r="BH138" s="55"/>
      <c r="BI138" s="55"/>
      <c r="BJ138" s="55"/>
      <c r="BK138" s="56"/>
    </row>
    <row r="139" spans="1:63" s="315" customFormat="1" ht="15" customHeight="1" x14ac:dyDescent="0.25">
      <c r="A139" s="25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6"/>
      <c r="M139" s="341"/>
      <c r="N139" s="343"/>
      <c r="O139" s="343"/>
      <c r="P139" s="343" t="s">
        <v>193</v>
      </c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25"/>
      <c r="AV139" s="43"/>
      <c r="AW139" s="43"/>
      <c r="AX139" s="43"/>
      <c r="AY139" s="43"/>
      <c r="AZ139" s="43"/>
      <c r="BA139" s="43"/>
      <c r="BB139" s="43"/>
      <c r="BC139" s="43"/>
      <c r="BD139" s="43"/>
      <c r="BE139" s="26"/>
      <c r="BF139" s="54"/>
      <c r="BG139" s="55"/>
      <c r="BH139" s="55"/>
      <c r="BI139" s="55"/>
      <c r="BJ139" s="55"/>
      <c r="BK139" s="56"/>
    </row>
    <row r="140" spans="1:63" s="315" customFormat="1" ht="15" customHeight="1" x14ac:dyDescent="0.25">
      <c r="A140" s="25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6"/>
      <c r="M140" s="341"/>
      <c r="N140" s="343"/>
      <c r="O140" s="343"/>
      <c r="P140" s="343"/>
      <c r="Q140" s="58" t="s">
        <v>195</v>
      </c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60"/>
      <c r="AN140" s="341"/>
      <c r="AO140" s="341"/>
      <c r="AP140" s="341"/>
      <c r="AQ140" s="341"/>
      <c r="AR140" s="341"/>
      <c r="AS140" s="341"/>
      <c r="AT140" s="341"/>
      <c r="AU140" s="25"/>
      <c r="AV140" s="43"/>
      <c r="AW140" s="43"/>
      <c r="AX140" s="43"/>
      <c r="AY140" s="43"/>
      <c r="AZ140" s="43"/>
      <c r="BA140" s="43"/>
      <c r="BB140" s="43"/>
      <c r="BC140" s="43"/>
      <c r="BD140" s="43"/>
      <c r="BE140" s="26"/>
      <c r="BF140" s="54"/>
      <c r="BG140" s="55"/>
      <c r="BH140" s="55"/>
      <c r="BI140" s="55"/>
      <c r="BJ140" s="55"/>
      <c r="BK140" s="56"/>
    </row>
    <row r="141" spans="1:63" s="315" customFormat="1" ht="15" customHeight="1" x14ac:dyDescent="0.25">
      <c r="A141" s="25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6"/>
      <c r="M141" s="341"/>
      <c r="N141" s="343"/>
      <c r="O141" s="343"/>
      <c r="P141" s="343"/>
      <c r="Q141" s="353" t="s">
        <v>196</v>
      </c>
      <c r="R141" s="342"/>
      <c r="S141" s="342"/>
      <c r="T141" s="342"/>
      <c r="U141" s="342"/>
      <c r="V141" s="354"/>
      <c r="W141" s="342"/>
      <c r="X141" s="342"/>
      <c r="Y141" s="342"/>
      <c r="Z141" s="342"/>
      <c r="AA141" s="342"/>
      <c r="AB141" s="353" t="s">
        <v>202</v>
      </c>
      <c r="AC141" s="342"/>
      <c r="AD141" s="342"/>
      <c r="AE141" s="342"/>
      <c r="AF141" s="342"/>
      <c r="AG141" s="342"/>
      <c r="AH141" s="342"/>
      <c r="AI141" s="342"/>
      <c r="AJ141" s="342"/>
      <c r="AK141" s="342"/>
      <c r="AL141" s="342"/>
      <c r="AM141" s="355"/>
      <c r="AN141" s="341"/>
      <c r="AO141" s="341"/>
      <c r="AP141" s="341"/>
      <c r="AQ141" s="341"/>
      <c r="AR141" s="341"/>
      <c r="AS141" s="341"/>
      <c r="AT141" s="341"/>
      <c r="AU141" s="25"/>
      <c r="AV141" s="43"/>
      <c r="AW141" s="43"/>
      <c r="AX141" s="43"/>
      <c r="AY141" s="43"/>
      <c r="AZ141" s="43"/>
      <c r="BA141" s="43"/>
      <c r="BB141" s="43"/>
      <c r="BC141" s="43"/>
      <c r="BD141" s="43"/>
      <c r="BE141" s="26"/>
      <c r="BF141" s="54"/>
      <c r="BG141" s="55"/>
      <c r="BH141" s="55"/>
      <c r="BI141" s="55"/>
      <c r="BJ141" s="55"/>
      <c r="BK141" s="56"/>
    </row>
    <row r="142" spans="1:63" s="315" customFormat="1" ht="15" customHeight="1" x14ac:dyDescent="0.25">
      <c r="A142" s="25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6"/>
      <c r="M142" s="341"/>
      <c r="N142" s="343"/>
      <c r="O142" s="343"/>
      <c r="P142" s="343"/>
      <c r="Q142" s="353" t="s">
        <v>197</v>
      </c>
      <c r="R142" s="342"/>
      <c r="S142" s="342"/>
      <c r="T142" s="342"/>
      <c r="U142" s="342"/>
      <c r="V142" s="356"/>
      <c r="W142" s="342"/>
      <c r="X142" s="342"/>
      <c r="Y142" s="342"/>
      <c r="Z142" s="342"/>
      <c r="AA142" s="342"/>
      <c r="AB142" s="357" t="s">
        <v>203</v>
      </c>
      <c r="AC142" s="342"/>
      <c r="AD142" s="342"/>
      <c r="AE142" s="342"/>
      <c r="AF142" s="342"/>
      <c r="AG142" s="342"/>
      <c r="AH142" s="342"/>
      <c r="AI142" s="342"/>
      <c r="AJ142" s="342"/>
      <c r="AK142" s="342"/>
      <c r="AL142" s="342"/>
      <c r="AM142" s="355"/>
      <c r="AN142" s="341"/>
      <c r="AO142" s="341"/>
      <c r="AP142" s="341"/>
      <c r="AQ142" s="341"/>
      <c r="AR142" s="341"/>
      <c r="AS142" s="341"/>
      <c r="AT142" s="341"/>
      <c r="AU142" s="25"/>
      <c r="AV142" s="43"/>
      <c r="AW142" s="43"/>
      <c r="AX142" s="43"/>
      <c r="AY142" s="43"/>
      <c r="AZ142" s="43"/>
      <c r="BA142" s="43"/>
      <c r="BB142" s="43"/>
      <c r="BC142" s="43"/>
      <c r="BD142" s="43"/>
      <c r="BE142" s="26"/>
      <c r="BF142" s="54"/>
      <c r="BG142" s="55"/>
      <c r="BH142" s="55"/>
      <c r="BI142" s="55"/>
      <c r="BJ142" s="55"/>
      <c r="BK142" s="56"/>
    </row>
    <row r="143" spans="1:63" s="315" customFormat="1" ht="15" customHeight="1" x14ac:dyDescent="0.25">
      <c r="A143" s="25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6"/>
      <c r="M143" s="341"/>
      <c r="N143" s="343"/>
      <c r="O143" s="343"/>
      <c r="P143" s="343"/>
      <c r="Q143" s="358" t="s">
        <v>198</v>
      </c>
      <c r="R143" s="332"/>
      <c r="S143" s="332"/>
      <c r="T143" s="332"/>
      <c r="U143" s="332"/>
      <c r="V143" s="359"/>
      <c r="W143" s="332"/>
      <c r="X143" s="332"/>
      <c r="Y143" s="332"/>
      <c r="Z143" s="332"/>
      <c r="AA143" s="332"/>
      <c r="AB143" s="360" t="s">
        <v>111</v>
      </c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61"/>
      <c r="AN143" s="341"/>
      <c r="AO143" s="341"/>
      <c r="AP143" s="341"/>
      <c r="AQ143" s="341"/>
      <c r="AR143" s="341"/>
      <c r="AS143" s="341"/>
      <c r="AT143" s="341"/>
      <c r="AU143" s="25"/>
      <c r="AV143" s="43"/>
      <c r="AW143" s="43"/>
      <c r="AX143" s="43"/>
      <c r="AY143" s="43"/>
      <c r="AZ143" s="43"/>
      <c r="BA143" s="43"/>
      <c r="BB143" s="43"/>
      <c r="BC143" s="43"/>
      <c r="BD143" s="43"/>
      <c r="BE143" s="26"/>
      <c r="BF143" s="54"/>
      <c r="BG143" s="55"/>
      <c r="BH143" s="55"/>
      <c r="BI143" s="55"/>
      <c r="BJ143" s="55"/>
      <c r="BK143" s="56"/>
    </row>
    <row r="144" spans="1:63" s="315" customFormat="1" ht="15" customHeight="1" x14ac:dyDescent="0.25">
      <c r="A144" s="25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6"/>
      <c r="M144" s="341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25"/>
      <c r="AV144" s="43"/>
      <c r="AW144" s="43"/>
      <c r="AX144" s="43"/>
      <c r="AY144" s="43"/>
      <c r="AZ144" s="43"/>
      <c r="BA144" s="43"/>
      <c r="BB144" s="43"/>
      <c r="BC144" s="43"/>
      <c r="BD144" s="43"/>
      <c r="BE144" s="26"/>
      <c r="BF144" s="54"/>
      <c r="BG144" s="55"/>
      <c r="BH144" s="55"/>
      <c r="BI144" s="55"/>
      <c r="BJ144" s="55"/>
      <c r="BK144" s="56"/>
    </row>
    <row r="145" spans="1:63" s="315" customFormat="1" ht="15" customHeight="1" x14ac:dyDescent="0.25">
      <c r="A145" s="25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6"/>
      <c r="M145" s="341"/>
      <c r="N145" s="343"/>
      <c r="O145" s="343"/>
      <c r="P145" s="343"/>
      <c r="Q145" s="343" t="s">
        <v>112</v>
      </c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25"/>
      <c r="AV145" s="43"/>
      <c r="AW145" s="43"/>
      <c r="AX145" s="43"/>
      <c r="AY145" s="43"/>
      <c r="AZ145" s="43"/>
      <c r="BA145" s="43"/>
      <c r="BB145" s="43"/>
      <c r="BC145" s="43"/>
      <c r="BD145" s="43"/>
      <c r="BE145" s="26"/>
      <c r="BF145" s="54"/>
      <c r="BG145" s="55"/>
      <c r="BH145" s="55"/>
      <c r="BI145" s="55"/>
      <c r="BJ145" s="55"/>
      <c r="BK145" s="56"/>
    </row>
    <row r="146" spans="1:63" s="315" customFormat="1" ht="15" customHeight="1" x14ac:dyDescent="0.25">
      <c r="A146" s="25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6"/>
      <c r="M146" s="341"/>
      <c r="N146" s="343"/>
      <c r="O146" s="343"/>
      <c r="P146" s="341" t="s">
        <v>194</v>
      </c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25"/>
      <c r="AV146" s="43"/>
      <c r="AW146" s="43"/>
      <c r="AX146" s="43"/>
      <c r="AY146" s="43"/>
      <c r="AZ146" s="43"/>
      <c r="BA146" s="43"/>
      <c r="BB146" s="43"/>
      <c r="BC146" s="43"/>
      <c r="BD146" s="43"/>
      <c r="BE146" s="26"/>
      <c r="BF146" s="54"/>
      <c r="BG146" s="55"/>
      <c r="BH146" s="55"/>
      <c r="BI146" s="55"/>
      <c r="BJ146" s="55"/>
      <c r="BK146" s="56"/>
    </row>
    <row r="147" spans="1:63" s="315" customFormat="1" ht="15" customHeight="1" x14ac:dyDescent="0.25">
      <c r="A147" s="25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6"/>
      <c r="M147" s="341"/>
      <c r="N147" s="343"/>
      <c r="O147" s="343"/>
      <c r="P147" s="343"/>
      <c r="Q147" s="343" t="s">
        <v>126</v>
      </c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25"/>
      <c r="AV147" s="43"/>
      <c r="AW147" s="43"/>
      <c r="AX147" s="43"/>
      <c r="AY147" s="43"/>
      <c r="AZ147" s="43"/>
      <c r="BA147" s="43"/>
      <c r="BB147" s="43"/>
      <c r="BC147" s="43"/>
      <c r="BD147" s="43"/>
      <c r="BE147" s="26"/>
      <c r="BF147" s="54"/>
      <c r="BG147" s="55"/>
      <c r="BH147" s="55"/>
      <c r="BI147" s="55"/>
      <c r="BJ147" s="55"/>
      <c r="BK147" s="56"/>
    </row>
    <row r="148" spans="1:63" s="315" customFormat="1" ht="15" customHeight="1" x14ac:dyDescent="0.25">
      <c r="A148" s="25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6"/>
      <c r="M148" s="341"/>
      <c r="N148" s="341"/>
      <c r="O148" s="343"/>
      <c r="P148" s="341"/>
      <c r="Q148" s="343" t="s">
        <v>239</v>
      </c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25"/>
      <c r="AV148" s="43"/>
      <c r="AW148" s="43"/>
      <c r="AX148" s="43"/>
      <c r="AY148" s="43"/>
      <c r="AZ148" s="43"/>
      <c r="BA148" s="43"/>
      <c r="BB148" s="43"/>
      <c r="BC148" s="43"/>
      <c r="BD148" s="43"/>
      <c r="BE148" s="26"/>
      <c r="BF148" s="165"/>
      <c r="BG148" s="166"/>
      <c r="BH148" s="166"/>
      <c r="BI148" s="166"/>
      <c r="BJ148" s="166"/>
      <c r="BK148" s="167"/>
    </row>
    <row r="149" spans="1:63" s="315" customFormat="1" ht="15" customHeight="1" x14ac:dyDescent="0.25">
      <c r="A149" s="25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6"/>
      <c r="M149" s="341"/>
      <c r="N149" s="57"/>
      <c r="O149" s="68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25"/>
      <c r="AV149" s="43"/>
      <c r="AW149" s="43"/>
      <c r="AX149" s="43"/>
      <c r="AY149" s="43"/>
      <c r="AZ149" s="43"/>
      <c r="BA149" s="43"/>
      <c r="BB149" s="43"/>
      <c r="BC149" s="43"/>
      <c r="BD149" s="43"/>
      <c r="BE149" s="26"/>
      <c r="BF149" s="165"/>
      <c r="BG149" s="166"/>
      <c r="BH149" s="166"/>
      <c r="BI149" s="166"/>
      <c r="BJ149" s="166"/>
      <c r="BK149" s="167"/>
    </row>
    <row r="150" spans="1:63" s="315" customFormat="1" ht="15" customHeight="1" x14ac:dyDescent="0.25">
      <c r="A150" s="25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6"/>
      <c r="M150" s="341"/>
      <c r="N150" s="57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25"/>
      <c r="AV150" s="43"/>
      <c r="AW150" s="43"/>
      <c r="AX150" s="43"/>
      <c r="AY150" s="43"/>
      <c r="AZ150" s="43"/>
      <c r="BA150" s="43"/>
      <c r="BB150" s="43"/>
      <c r="BC150" s="43"/>
      <c r="BD150" s="43"/>
      <c r="BE150" s="26"/>
      <c r="BF150" s="165"/>
      <c r="BG150" s="166"/>
      <c r="BH150" s="166"/>
      <c r="BI150" s="166"/>
      <c r="BJ150" s="166"/>
      <c r="BK150" s="167"/>
    </row>
    <row r="151" spans="1:63" s="315" customFormat="1" ht="15" customHeight="1" x14ac:dyDescent="0.25">
      <c r="A151" s="2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9"/>
      <c r="M151" s="345"/>
      <c r="N151" s="346"/>
      <c r="O151" s="346"/>
      <c r="P151" s="346"/>
      <c r="Q151" s="346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347"/>
      <c r="AQ151" s="347"/>
      <c r="AR151" s="347"/>
      <c r="AS151" s="347"/>
      <c r="AT151" s="347"/>
      <c r="AU151" s="27"/>
      <c r="AV151" s="28"/>
      <c r="AW151" s="28"/>
      <c r="AX151" s="28"/>
      <c r="AY151" s="28"/>
      <c r="AZ151" s="28"/>
      <c r="BA151" s="28"/>
      <c r="BB151" s="28"/>
      <c r="BC151" s="28"/>
      <c r="BD151" s="28"/>
      <c r="BE151" s="29"/>
      <c r="BF151" s="168"/>
      <c r="BG151" s="169"/>
      <c r="BH151" s="169"/>
      <c r="BI151" s="169"/>
      <c r="BJ151" s="169"/>
      <c r="BK151" s="170"/>
    </row>
    <row r="152" spans="1:63" ht="15" customHeight="1" x14ac:dyDescent="0.25">
      <c r="BK152" s="16"/>
    </row>
    <row r="153" spans="1:63" ht="15" customHeight="1" x14ac:dyDescent="0.25">
      <c r="BK153" s="16"/>
    </row>
    <row r="154" spans="1:63" ht="15" customHeight="1" x14ac:dyDescent="0.25">
      <c r="BK154" s="16"/>
    </row>
    <row r="155" spans="1:63" s="315" customFormat="1" ht="15" customHeight="1" x14ac:dyDescent="0.25">
      <c r="A155" s="329" t="s">
        <v>18</v>
      </c>
      <c r="B155" s="330"/>
      <c r="C155" s="330"/>
      <c r="D155" s="330"/>
      <c r="E155" s="330"/>
      <c r="F155" s="331"/>
      <c r="G155" s="317" t="s">
        <v>113</v>
      </c>
      <c r="H155" s="317"/>
      <c r="I155" s="317"/>
      <c r="J155" s="317"/>
      <c r="K155" s="317"/>
      <c r="L155" s="317"/>
      <c r="M155" s="332" t="s">
        <v>114</v>
      </c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  <c r="AC155" s="332"/>
      <c r="AD155" s="332"/>
      <c r="AE155" s="332"/>
      <c r="AF155" s="332"/>
      <c r="AG155" s="332"/>
      <c r="AH155" s="332"/>
      <c r="AI155" s="332"/>
      <c r="AJ155" s="332"/>
      <c r="AK155" s="332"/>
      <c r="AL155" s="332"/>
      <c r="AM155" s="332"/>
      <c r="AN155" s="332"/>
      <c r="AO155" s="332"/>
      <c r="AP155" s="332"/>
      <c r="AQ155" s="332"/>
      <c r="AR155" s="332"/>
      <c r="AS155" s="332"/>
      <c r="AT155" s="332"/>
      <c r="AU155" s="332"/>
      <c r="AV155" s="332"/>
      <c r="AW155" s="332"/>
      <c r="AX155" s="332"/>
      <c r="AY155" s="332"/>
      <c r="AZ155" s="332"/>
      <c r="BA155" s="332"/>
      <c r="BB155" s="332"/>
      <c r="BC155" s="332"/>
      <c r="BD155" s="332"/>
      <c r="BE155" s="332"/>
      <c r="BF155" s="332"/>
      <c r="BG155" s="332"/>
      <c r="BH155" s="333"/>
      <c r="BI155" s="333"/>
      <c r="BJ155" s="333"/>
      <c r="BK155" s="334"/>
    </row>
    <row r="156" spans="1:63" s="315" customFormat="1" ht="15" customHeight="1" x14ac:dyDescent="0.25">
      <c r="A156" s="335" t="s">
        <v>20</v>
      </c>
      <c r="B156" s="336"/>
      <c r="C156" s="336"/>
      <c r="D156" s="336"/>
      <c r="E156" s="336"/>
      <c r="F156" s="336"/>
      <c r="G156" s="336"/>
      <c r="H156" s="336"/>
      <c r="I156" s="336"/>
      <c r="J156" s="336"/>
      <c r="K156" s="336"/>
      <c r="L156" s="337"/>
      <c r="M156" s="335" t="s">
        <v>21</v>
      </c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  <c r="AA156" s="336"/>
      <c r="AB156" s="336"/>
      <c r="AC156" s="336"/>
      <c r="AD156" s="336"/>
      <c r="AE156" s="336"/>
      <c r="AF156" s="336"/>
      <c r="AG156" s="336"/>
      <c r="AH156" s="336"/>
      <c r="AI156" s="336"/>
      <c r="AJ156" s="336"/>
      <c r="AK156" s="336"/>
      <c r="AL156" s="336"/>
      <c r="AM156" s="336"/>
      <c r="AN156" s="336"/>
      <c r="AO156" s="336"/>
      <c r="AP156" s="336"/>
      <c r="AQ156" s="336"/>
      <c r="AR156" s="336"/>
      <c r="AS156" s="336"/>
      <c r="AT156" s="337"/>
      <c r="AU156" s="335" t="s">
        <v>22</v>
      </c>
      <c r="AV156" s="336"/>
      <c r="AW156" s="336"/>
      <c r="AX156" s="336"/>
      <c r="AY156" s="336"/>
      <c r="AZ156" s="336"/>
      <c r="BA156" s="336"/>
      <c r="BB156" s="336"/>
      <c r="BC156" s="336"/>
      <c r="BD156" s="336"/>
      <c r="BE156" s="336"/>
      <c r="BF156" s="335" t="s">
        <v>23</v>
      </c>
      <c r="BG156" s="336"/>
      <c r="BH156" s="336"/>
      <c r="BI156" s="336"/>
      <c r="BJ156" s="336"/>
      <c r="BK156" s="337"/>
    </row>
    <row r="157" spans="1:63" s="315" customFormat="1" ht="15" customHeight="1" x14ac:dyDescent="0.25">
      <c r="A157" s="338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40"/>
      <c r="M157" s="338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339"/>
      <c r="AP157" s="339"/>
      <c r="AQ157" s="339"/>
      <c r="AR157" s="339"/>
      <c r="AS157" s="339"/>
      <c r="AT157" s="340"/>
      <c r="AU157" s="338"/>
      <c r="AV157" s="339"/>
      <c r="AW157" s="339"/>
      <c r="AX157" s="339"/>
      <c r="AY157" s="339"/>
      <c r="AZ157" s="339"/>
      <c r="BA157" s="339"/>
      <c r="BB157" s="339"/>
      <c r="BC157" s="339"/>
      <c r="BD157" s="339"/>
      <c r="BE157" s="339"/>
      <c r="BF157" s="338"/>
      <c r="BG157" s="339"/>
      <c r="BH157" s="339"/>
      <c r="BI157" s="339"/>
      <c r="BJ157" s="339"/>
      <c r="BK157" s="340"/>
    </row>
    <row r="158" spans="1:63" s="315" customFormat="1" ht="15" customHeight="1" x14ac:dyDescent="0.25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341"/>
      <c r="N158" s="341"/>
      <c r="O158" s="341"/>
      <c r="P158" s="341"/>
      <c r="Q158" s="341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  <c r="AJ158" s="342"/>
      <c r="AK158" s="342"/>
      <c r="AL158" s="342"/>
      <c r="AM158" s="342"/>
      <c r="AN158" s="342"/>
      <c r="AO158" s="342"/>
      <c r="AP158" s="342"/>
      <c r="AQ158" s="342"/>
      <c r="AR158" s="342"/>
      <c r="AS158" s="342"/>
      <c r="AT158" s="342"/>
      <c r="AU158" s="21"/>
      <c r="AV158" s="22"/>
      <c r="AW158" s="22"/>
      <c r="AX158" s="22"/>
      <c r="AY158" s="22"/>
      <c r="AZ158" s="22"/>
      <c r="BA158" s="22"/>
      <c r="BB158" s="22"/>
      <c r="BC158" s="22"/>
      <c r="BD158" s="22"/>
      <c r="BE158" s="23"/>
      <c r="BF158" s="159"/>
      <c r="BG158" s="160"/>
      <c r="BH158" s="160"/>
      <c r="BI158" s="160"/>
      <c r="BJ158" s="160"/>
      <c r="BK158" s="161"/>
    </row>
    <row r="159" spans="1:63" s="315" customFormat="1" ht="15" customHeight="1" x14ac:dyDescent="0.25">
      <c r="A159" s="25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6"/>
      <c r="M159" s="341"/>
      <c r="N159" s="57" t="s">
        <v>258</v>
      </c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25"/>
      <c r="AV159" s="43"/>
      <c r="AW159" s="43"/>
      <c r="AX159" s="43"/>
      <c r="AY159" s="43"/>
      <c r="AZ159" s="43"/>
      <c r="BA159" s="43"/>
      <c r="BB159" s="43"/>
      <c r="BC159" s="43"/>
      <c r="BD159" s="43"/>
      <c r="BE159" s="26"/>
      <c r="BF159" s="162"/>
      <c r="BG159" s="163"/>
      <c r="BH159" s="163"/>
      <c r="BI159" s="163"/>
      <c r="BJ159" s="163"/>
      <c r="BK159" s="164"/>
    </row>
    <row r="160" spans="1:63" s="315" customFormat="1" ht="15" customHeight="1" x14ac:dyDescent="0.25">
      <c r="A160" s="25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6"/>
      <c r="M160" s="344"/>
      <c r="N160" s="67" t="s">
        <v>257</v>
      </c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343"/>
      <c r="AG160" s="343"/>
      <c r="AH160" s="343"/>
      <c r="AI160" s="343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25"/>
      <c r="AV160" s="43"/>
      <c r="AW160" s="43"/>
      <c r="AX160" s="43"/>
      <c r="AY160" s="43"/>
      <c r="AZ160" s="43"/>
      <c r="BA160" s="43"/>
      <c r="BB160" s="43"/>
      <c r="BC160" s="43"/>
      <c r="BD160" s="43"/>
      <c r="BE160" s="26"/>
      <c r="BF160" s="162"/>
      <c r="BG160" s="163"/>
      <c r="BH160" s="163"/>
      <c r="BI160" s="163"/>
      <c r="BJ160" s="163"/>
      <c r="BK160" s="164"/>
    </row>
    <row r="161" spans="1:63" s="315" customFormat="1" ht="15" customHeight="1" x14ac:dyDescent="0.25">
      <c r="A161" s="25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6"/>
      <c r="M161" s="344"/>
      <c r="N161" s="57"/>
      <c r="O161" s="343" t="s">
        <v>103</v>
      </c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343"/>
      <c r="AG161" s="343"/>
      <c r="AH161" s="343"/>
      <c r="AI161" s="343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25"/>
      <c r="AV161" s="43"/>
      <c r="AW161" s="43"/>
      <c r="AX161" s="43"/>
      <c r="AY161" s="43"/>
      <c r="AZ161" s="43"/>
      <c r="BA161" s="43"/>
      <c r="BB161" s="43"/>
      <c r="BC161" s="43"/>
      <c r="BD161" s="43"/>
      <c r="BE161" s="26"/>
      <c r="BF161" s="54"/>
      <c r="BG161" s="55"/>
      <c r="BH161" s="55"/>
      <c r="BI161" s="55"/>
      <c r="BJ161" s="55"/>
      <c r="BK161" s="56"/>
    </row>
    <row r="162" spans="1:63" s="315" customFormat="1" ht="15" customHeight="1" x14ac:dyDescent="0.25">
      <c r="A162" s="25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6"/>
      <c r="M162" s="341"/>
      <c r="O162" s="343"/>
      <c r="P162" s="58" t="s">
        <v>38</v>
      </c>
      <c r="Q162" s="59"/>
      <c r="R162" s="59"/>
      <c r="S162" s="59"/>
      <c r="T162" s="59"/>
      <c r="U162" s="59"/>
      <c r="V162" s="59"/>
      <c r="W162" s="58" t="s">
        <v>39</v>
      </c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60"/>
      <c r="AN162" s="341"/>
      <c r="AO162" s="341"/>
      <c r="AP162" s="341"/>
      <c r="AQ162" s="341"/>
      <c r="AR162" s="341"/>
      <c r="AS162" s="341"/>
      <c r="AT162" s="341"/>
      <c r="AU162" s="25"/>
      <c r="AV162" s="43"/>
      <c r="AW162" s="43"/>
      <c r="AX162" s="43"/>
      <c r="AY162" s="43"/>
      <c r="AZ162" s="43"/>
      <c r="BA162" s="43"/>
      <c r="BB162" s="43"/>
      <c r="BC162" s="43"/>
      <c r="BD162" s="43"/>
      <c r="BE162" s="26"/>
      <c r="BF162" s="54"/>
      <c r="BG162" s="55"/>
      <c r="BH162" s="55"/>
      <c r="BI162" s="55"/>
      <c r="BJ162" s="55"/>
      <c r="BK162" s="56"/>
    </row>
    <row r="163" spans="1:63" s="315" customFormat="1" ht="15" customHeight="1" x14ac:dyDescent="0.25">
      <c r="A163" s="25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6"/>
      <c r="M163" s="341"/>
      <c r="N163" s="343"/>
      <c r="O163" s="343"/>
      <c r="P163" s="348" t="s">
        <v>104</v>
      </c>
      <c r="Q163" s="349"/>
      <c r="R163" s="349"/>
      <c r="S163" s="349"/>
      <c r="T163" s="349"/>
      <c r="U163" s="349"/>
      <c r="V163" s="349"/>
      <c r="W163" s="350" t="s">
        <v>199</v>
      </c>
      <c r="X163" s="351"/>
      <c r="Y163" s="351"/>
      <c r="Z163" s="351"/>
      <c r="AA163" s="351"/>
      <c r="AB163" s="351"/>
      <c r="AC163" s="351"/>
      <c r="AD163" s="351"/>
      <c r="AE163" s="351"/>
      <c r="AF163" s="351"/>
      <c r="AG163" s="351"/>
      <c r="AH163" s="351"/>
      <c r="AI163" s="351"/>
      <c r="AJ163" s="351"/>
      <c r="AK163" s="351"/>
      <c r="AL163" s="351"/>
      <c r="AM163" s="352"/>
      <c r="AN163" s="341"/>
      <c r="AO163" s="341"/>
      <c r="AP163" s="341"/>
      <c r="AQ163" s="341"/>
      <c r="AR163" s="341"/>
      <c r="AS163" s="341"/>
      <c r="AT163" s="341"/>
      <c r="AU163" s="25"/>
      <c r="AV163" s="43"/>
      <c r="AW163" s="43"/>
      <c r="AX163" s="43"/>
      <c r="AY163" s="43"/>
      <c r="AZ163" s="43"/>
      <c r="BA163" s="43"/>
      <c r="BB163" s="43"/>
      <c r="BC163" s="43"/>
      <c r="BD163" s="43"/>
      <c r="BE163" s="26"/>
      <c r="BF163" s="54"/>
      <c r="BG163" s="55"/>
      <c r="BH163" s="55"/>
      <c r="BI163" s="55"/>
      <c r="BJ163" s="55"/>
      <c r="BK163" s="56"/>
    </row>
    <row r="164" spans="1:63" s="315" customFormat="1" ht="15" customHeight="1" x14ac:dyDescent="0.25">
      <c r="A164" s="25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6"/>
      <c r="M164" s="341"/>
      <c r="N164" s="343"/>
      <c r="O164" s="343"/>
      <c r="P164" s="362" t="s">
        <v>105</v>
      </c>
      <c r="Q164" s="363"/>
      <c r="R164" s="363"/>
      <c r="S164" s="363"/>
      <c r="T164" s="363"/>
      <c r="U164" s="363"/>
      <c r="V164" s="364"/>
      <c r="W164" s="350" t="s">
        <v>109</v>
      </c>
      <c r="X164" s="351"/>
      <c r="Y164" s="351"/>
      <c r="Z164" s="351"/>
      <c r="AA164" s="351"/>
      <c r="AB164" s="351"/>
      <c r="AC164" s="351"/>
      <c r="AD164" s="351"/>
      <c r="AE164" s="351"/>
      <c r="AF164" s="351"/>
      <c r="AG164" s="351"/>
      <c r="AH164" s="351"/>
      <c r="AI164" s="351"/>
      <c r="AJ164" s="351"/>
      <c r="AK164" s="351"/>
      <c r="AL164" s="351"/>
      <c r="AM164" s="352"/>
      <c r="AN164" s="341"/>
      <c r="AO164" s="341"/>
      <c r="AP164" s="341"/>
      <c r="AQ164" s="341"/>
      <c r="AR164" s="341"/>
      <c r="AS164" s="341"/>
      <c r="AT164" s="341"/>
      <c r="AU164" s="25"/>
      <c r="AV164" s="43"/>
      <c r="AW164" s="43"/>
      <c r="AX164" s="43"/>
      <c r="AY164" s="43"/>
      <c r="AZ164" s="43"/>
      <c r="BA164" s="43"/>
      <c r="BB164" s="43"/>
      <c r="BC164" s="43"/>
      <c r="BD164" s="43"/>
      <c r="BE164" s="26"/>
      <c r="BF164" s="54"/>
      <c r="BG164" s="55"/>
      <c r="BH164" s="55"/>
      <c r="BI164" s="55"/>
      <c r="BJ164" s="55"/>
      <c r="BK164" s="56"/>
    </row>
    <row r="165" spans="1:63" s="315" customFormat="1" ht="15" customHeight="1" x14ac:dyDescent="0.25">
      <c r="A165" s="25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6"/>
      <c r="M165" s="341"/>
      <c r="N165" s="343"/>
      <c r="O165" s="343"/>
      <c r="P165" s="362" t="s">
        <v>106</v>
      </c>
      <c r="Q165" s="363"/>
      <c r="R165" s="363"/>
      <c r="S165" s="363"/>
      <c r="T165" s="363"/>
      <c r="U165" s="363"/>
      <c r="V165" s="364"/>
      <c r="W165" s="350" t="s">
        <v>109</v>
      </c>
      <c r="X165" s="351"/>
      <c r="Y165" s="351"/>
      <c r="Z165" s="351"/>
      <c r="AA165" s="351"/>
      <c r="AB165" s="351"/>
      <c r="AC165" s="351"/>
      <c r="AD165" s="351"/>
      <c r="AE165" s="351"/>
      <c r="AF165" s="351"/>
      <c r="AG165" s="351"/>
      <c r="AH165" s="351"/>
      <c r="AI165" s="351"/>
      <c r="AJ165" s="351"/>
      <c r="AK165" s="351"/>
      <c r="AL165" s="351"/>
      <c r="AM165" s="352"/>
      <c r="AN165" s="341"/>
      <c r="AO165" s="341"/>
      <c r="AP165" s="341"/>
      <c r="AQ165" s="341"/>
      <c r="AR165" s="341"/>
      <c r="AS165" s="341"/>
      <c r="AT165" s="341"/>
      <c r="AU165" s="25"/>
      <c r="AV165" s="43"/>
      <c r="AW165" s="43"/>
      <c r="AX165" s="43"/>
      <c r="AY165" s="43"/>
      <c r="AZ165" s="43"/>
      <c r="BA165" s="43"/>
      <c r="BB165" s="43"/>
      <c r="BC165" s="43"/>
      <c r="BD165" s="43"/>
      <c r="BE165" s="26"/>
      <c r="BF165" s="54"/>
      <c r="BG165" s="55"/>
      <c r="BH165" s="55"/>
      <c r="BI165" s="55"/>
      <c r="BJ165" s="55"/>
      <c r="BK165" s="56"/>
    </row>
    <row r="166" spans="1:63" s="315" customFormat="1" ht="15" customHeight="1" x14ac:dyDescent="0.25">
      <c r="A166" s="25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6"/>
      <c r="M166" s="341"/>
      <c r="N166" s="343"/>
      <c r="O166" s="343"/>
      <c r="P166" s="362" t="s">
        <v>107</v>
      </c>
      <c r="Q166" s="363"/>
      <c r="R166" s="363"/>
      <c r="S166" s="363"/>
      <c r="T166" s="363"/>
      <c r="U166" s="363"/>
      <c r="V166" s="364"/>
      <c r="W166" s="350" t="s">
        <v>201</v>
      </c>
      <c r="X166" s="351"/>
      <c r="Y166" s="351"/>
      <c r="Z166" s="351"/>
      <c r="AA166" s="351"/>
      <c r="AB166" s="351"/>
      <c r="AC166" s="351"/>
      <c r="AD166" s="351"/>
      <c r="AE166" s="351"/>
      <c r="AF166" s="351"/>
      <c r="AG166" s="351"/>
      <c r="AH166" s="351"/>
      <c r="AI166" s="351"/>
      <c r="AJ166" s="351"/>
      <c r="AK166" s="351"/>
      <c r="AL166" s="351"/>
      <c r="AM166" s="352"/>
      <c r="AN166" s="341"/>
      <c r="AO166" s="341"/>
      <c r="AP166" s="341"/>
      <c r="AQ166" s="341"/>
      <c r="AR166" s="341"/>
      <c r="AS166" s="341"/>
      <c r="AT166" s="341"/>
      <c r="AU166" s="25"/>
      <c r="AV166" s="43"/>
      <c r="AW166" s="43"/>
      <c r="AX166" s="43"/>
      <c r="AY166" s="43"/>
      <c r="AZ166" s="43"/>
      <c r="BA166" s="43"/>
      <c r="BB166" s="43"/>
      <c r="BC166" s="43"/>
      <c r="BD166" s="43"/>
      <c r="BE166" s="26"/>
      <c r="BF166" s="54"/>
      <c r="BG166" s="55"/>
      <c r="BH166" s="55"/>
      <c r="BI166" s="55"/>
      <c r="BJ166" s="55"/>
      <c r="BK166" s="56"/>
    </row>
    <row r="167" spans="1:63" s="315" customFormat="1" ht="15" customHeight="1" x14ac:dyDescent="0.25">
      <c r="A167" s="25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6"/>
      <c r="M167" s="341"/>
      <c r="N167" s="343"/>
      <c r="O167" s="343"/>
      <c r="P167" s="362" t="s">
        <v>108</v>
      </c>
      <c r="Q167" s="363"/>
      <c r="R167" s="363"/>
      <c r="S167" s="363"/>
      <c r="T167" s="363"/>
      <c r="U167" s="363"/>
      <c r="V167" s="364"/>
      <c r="W167" s="350" t="s">
        <v>201</v>
      </c>
      <c r="X167" s="351"/>
      <c r="Y167" s="351"/>
      <c r="Z167" s="351"/>
      <c r="AA167" s="351"/>
      <c r="AB167" s="351"/>
      <c r="AC167" s="351"/>
      <c r="AD167" s="351"/>
      <c r="AE167" s="351"/>
      <c r="AF167" s="351"/>
      <c r="AG167" s="351"/>
      <c r="AH167" s="351"/>
      <c r="AI167" s="351"/>
      <c r="AJ167" s="351"/>
      <c r="AK167" s="351"/>
      <c r="AL167" s="351"/>
      <c r="AM167" s="352"/>
      <c r="AN167" s="341"/>
      <c r="AO167" s="341"/>
      <c r="AP167" s="341"/>
      <c r="AQ167" s="341"/>
      <c r="AR167" s="341"/>
      <c r="AS167" s="341"/>
      <c r="AT167" s="341"/>
      <c r="AU167" s="25"/>
      <c r="AV167" s="43"/>
      <c r="AW167" s="43"/>
      <c r="AX167" s="43"/>
      <c r="AY167" s="43"/>
      <c r="AZ167" s="43"/>
      <c r="BA167" s="43"/>
      <c r="BB167" s="43"/>
      <c r="BC167" s="43"/>
      <c r="BD167" s="43"/>
      <c r="BE167" s="26"/>
      <c r="BF167" s="54"/>
      <c r="BG167" s="55"/>
      <c r="BH167" s="55"/>
      <c r="BI167" s="55"/>
      <c r="BJ167" s="55"/>
      <c r="BK167" s="56"/>
    </row>
    <row r="168" spans="1:63" s="315" customFormat="1" ht="15" customHeight="1" x14ac:dyDescent="0.25">
      <c r="A168" s="25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6"/>
      <c r="M168" s="341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343"/>
      <c r="AG168" s="343"/>
      <c r="AH168" s="343"/>
      <c r="AI168" s="343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25"/>
      <c r="AV168" s="43"/>
      <c r="AW168" s="43"/>
      <c r="AX168" s="43"/>
      <c r="AY168" s="43"/>
      <c r="AZ168" s="43"/>
      <c r="BA168" s="43"/>
      <c r="BB168" s="43"/>
      <c r="BC168" s="43"/>
      <c r="BD168" s="43"/>
      <c r="BE168" s="26"/>
      <c r="BF168" s="54"/>
      <c r="BG168" s="55"/>
      <c r="BH168" s="55"/>
      <c r="BI168" s="55"/>
      <c r="BJ168" s="55"/>
      <c r="BK168" s="56"/>
    </row>
    <row r="169" spans="1:63" s="315" customFormat="1" ht="15" customHeight="1" x14ac:dyDescent="0.25">
      <c r="A169" s="25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6"/>
      <c r="M169" s="341"/>
      <c r="N169" s="343"/>
      <c r="O169" s="341" t="s">
        <v>41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25"/>
      <c r="AV169" s="43"/>
      <c r="AW169" s="43"/>
      <c r="AX169" s="43"/>
      <c r="AY169" s="43"/>
      <c r="AZ169" s="43"/>
      <c r="BA169" s="43"/>
      <c r="BB169" s="43"/>
      <c r="BC169" s="43"/>
      <c r="BD169" s="43"/>
      <c r="BE169" s="26"/>
      <c r="BF169" s="54"/>
      <c r="BG169" s="55"/>
      <c r="BH169" s="55"/>
      <c r="BI169" s="55"/>
      <c r="BJ169" s="55"/>
      <c r="BK169" s="56"/>
    </row>
    <row r="170" spans="1:63" s="315" customFormat="1" ht="15" customHeight="1" x14ac:dyDescent="0.25">
      <c r="A170" s="25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6"/>
      <c r="M170" s="341"/>
      <c r="N170" s="343"/>
      <c r="O170" s="343"/>
      <c r="P170" s="343" t="s">
        <v>193</v>
      </c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343"/>
      <c r="AG170" s="343"/>
      <c r="AH170" s="343"/>
      <c r="AI170" s="343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25"/>
      <c r="AV170" s="43"/>
      <c r="AW170" s="43"/>
      <c r="AX170" s="43"/>
      <c r="AY170" s="43"/>
      <c r="AZ170" s="43"/>
      <c r="BA170" s="43"/>
      <c r="BB170" s="43"/>
      <c r="BC170" s="43"/>
      <c r="BD170" s="43"/>
      <c r="BE170" s="26"/>
      <c r="BF170" s="54"/>
      <c r="BG170" s="55"/>
      <c r="BH170" s="55"/>
      <c r="BI170" s="55"/>
      <c r="BJ170" s="55"/>
      <c r="BK170" s="56"/>
    </row>
    <row r="171" spans="1:63" s="315" customFormat="1" ht="15" customHeight="1" x14ac:dyDescent="0.25">
      <c r="A171" s="25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6"/>
      <c r="M171" s="341"/>
      <c r="N171" s="343"/>
      <c r="O171" s="343"/>
      <c r="P171" s="343"/>
      <c r="Q171" s="58" t="s">
        <v>195</v>
      </c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60"/>
      <c r="AN171" s="341"/>
      <c r="AO171" s="341"/>
      <c r="AP171" s="341"/>
      <c r="AQ171" s="341"/>
      <c r="AR171" s="341"/>
      <c r="AS171" s="341"/>
      <c r="AT171" s="341"/>
      <c r="AU171" s="25"/>
      <c r="AV171" s="43"/>
      <c r="AW171" s="43"/>
      <c r="AX171" s="43"/>
      <c r="AY171" s="43"/>
      <c r="AZ171" s="43"/>
      <c r="BA171" s="43"/>
      <c r="BB171" s="43"/>
      <c r="BC171" s="43"/>
      <c r="BD171" s="43"/>
      <c r="BE171" s="26"/>
      <c r="BF171" s="54"/>
      <c r="BG171" s="55"/>
      <c r="BH171" s="55"/>
      <c r="BI171" s="55"/>
      <c r="BJ171" s="55"/>
      <c r="BK171" s="56"/>
    </row>
    <row r="172" spans="1:63" s="315" customFormat="1" ht="15" customHeight="1" x14ac:dyDescent="0.25">
      <c r="A172" s="25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6"/>
      <c r="M172" s="341"/>
      <c r="N172" s="343"/>
      <c r="O172" s="343"/>
      <c r="P172" s="343"/>
      <c r="Q172" s="353" t="s">
        <v>196</v>
      </c>
      <c r="R172" s="342"/>
      <c r="S172" s="342"/>
      <c r="T172" s="342"/>
      <c r="U172" s="342"/>
      <c r="V172" s="354"/>
      <c r="W172" s="342"/>
      <c r="X172" s="342"/>
      <c r="Y172" s="342"/>
      <c r="Z172" s="342"/>
      <c r="AA172" s="342"/>
      <c r="AB172" s="353" t="s">
        <v>202</v>
      </c>
      <c r="AC172" s="342"/>
      <c r="AD172" s="342"/>
      <c r="AE172" s="342"/>
      <c r="AF172" s="342"/>
      <c r="AG172" s="342"/>
      <c r="AH172" s="342"/>
      <c r="AI172" s="342"/>
      <c r="AJ172" s="342"/>
      <c r="AK172" s="342"/>
      <c r="AL172" s="342"/>
      <c r="AM172" s="355"/>
      <c r="AN172" s="341"/>
      <c r="AO172" s="341"/>
      <c r="AP172" s="341"/>
      <c r="AQ172" s="341"/>
      <c r="AR172" s="341"/>
      <c r="AS172" s="341"/>
      <c r="AT172" s="341"/>
      <c r="AU172" s="25"/>
      <c r="AV172" s="43"/>
      <c r="AW172" s="43"/>
      <c r="AX172" s="43"/>
      <c r="AY172" s="43"/>
      <c r="AZ172" s="43"/>
      <c r="BA172" s="43"/>
      <c r="BB172" s="43"/>
      <c r="BC172" s="43"/>
      <c r="BD172" s="43"/>
      <c r="BE172" s="26"/>
      <c r="BF172" s="54"/>
      <c r="BG172" s="55"/>
      <c r="BH172" s="55"/>
      <c r="BI172" s="55"/>
      <c r="BJ172" s="55"/>
      <c r="BK172" s="56"/>
    </row>
    <row r="173" spans="1:63" s="315" customFormat="1" ht="15" customHeight="1" x14ac:dyDescent="0.25">
      <c r="A173" s="25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6"/>
      <c r="M173" s="341"/>
      <c r="N173" s="343"/>
      <c r="O173" s="343"/>
      <c r="P173" s="343"/>
      <c r="Q173" s="353" t="s">
        <v>197</v>
      </c>
      <c r="R173" s="342"/>
      <c r="S173" s="342"/>
      <c r="T173" s="342"/>
      <c r="U173" s="342"/>
      <c r="V173" s="356"/>
      <c r="W173" s="342"/>
      <c r="X173" s="342"/>
      <c r="Y173" s="342"/>
      <c r="Z173" s="342"/>
      <c r="AA173" s="342"/>
      <c r="AB173" s="357" t="s">
        <v>203</v>
      </c>
      <c r="AC173" s="342"/>
      <c r="AD173" s="342"/>
      <c r="AE173" s="342"/>
      <c r="AF173" s="342"/>
      <c r="AG173" s="342"/>
      <c r="AH173" s="342"/>
      <c r="AI173" s="342"/>
      <c r="AJ173" s="342"/>
      <c r="AK173" s="342"/>
      <c r="AL173" s="342"/>
      <c r="AM173" s="355"/>
      <c r="AN173" s="341"/>
      <c r="AO173" s="341"/>
      <c r="AP173" s="341"/>
      <c r="AQ173" s="341"/>
      <c r="AR173" s="341"/>
      <c r="AS173" s="341"/>
      <c r="AT173" s="341"/>
      <c r="AU173" s="25"/>
      <c r="AV173" s="43"/>
      <c r="AW173" s="43"/>
      <c r="AX173" s="43"/>
      <c r="AY173" s="43"/>
      <c r="AZ173" s="43"/>
      <c r="BA173" s="43"/>
      <c r="BB173" s="43"/>
      <c r="BC173" s="43"/>
      <c r="BD173" s="43"/>
      <c r="BE173" s="26"/>
      <c r="BF173" s="54"/>
      <c r="BG173" s="55"/>
      <c r="BH173" s="55"/>
      <c r="BI173" s="55"/>
      <c r="BJ173" s="55"/>
      <c r="BK173" s="56"/>
    </row>
    <row r="174" spans="1:63" s="315" customFormat="1" ht="15" customHeight="1" x14ac:dyDescent="0.25">
      <c r="A174" s="25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6"/>
      <c r="M174" s="341"/>
      <c r="N174" s="343"/>
      <c r="O174" s="343"/>
      <c r="P174" s="343"/>
      <c r="Q174" s="358" t="s">
        <v>198</v>
      </c>
      <c r="R174" s="332"/>
      <c r="S174" s="332"/>
      <c r="T174" s="332"/>
      <c r="U174" s="332"/>
      <c r="V174" s="359"/>
      <c r="W174" s="332"/>
      <c r="X174" s="332"/>
      <c r="Y174" s="332"/>
      <c r="Z174" s="332"/>
      <c r="AA174" s="332"/>
      <c r="AB174" s="360" t="s">
        <v>115</v>
      </c>
      <c r="AC174" s="332"/>
      <c r="AD174" s="332"/>
      <c r="AE174" s="332"/>
      <c r="AF174" s="332"/>
      <c r="AG174" s="332"/>
      <c r="AH174" s="332"/>
      <c r="AI174" s="332"/>
      <c r="AJ174" s="332"/>
      <c r="AK174" s="332"/>
      <c r="AL174" s="332"/>
      <c r="AM174" s="361"/>
      <c r="AN174" s="341"/>
      <c r="AO174" s="341"/>
      <c r="AP174" s="341"/>
      <c r="AQ174" s="341"/>
      <c r="AR174" s="341"/>
      <c r="AS174" s="341"/>
      <c r="AT174" s="341"/>
      <c r="AU174" s="25"/>
      <c r="AV174" s="43"/>
      <c r="AW174" s="43"/>
      <c r="AX174" s="43"/>
      <c r="AY174" s="43"/>
      <c r="AZ174" s="43"/>
      <c r="BA174" s="43"/>
      <c r="BB174" s="43"/>
      <c r="BC174" s="43"/>
      <c r="BD174" s="43"/>
      <c r="BE174" s="26"/>
      <c r="BF174" s="54"/>
      <c r="BG174" s="55"/>
      <c r="BH174" s="55"/>
      <c r="BI174" s="55"/>
      <c r="BJ174" s="55"/>
      <c r="BK174" s="56"/>
    </row>
    <row r="175" spans="1:63" s="315" customFormat="1" ht="15" customHeight="1" x14ac:dyDescent="0.25">
      <c r="A175" s="25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6"/>
      <c r="M175" s="341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343"/>
      <c r="AG175" s="343"/>
      <c r="AH175" s="343"/>
      <c r="AI175" s="343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25"/>
      <c r="AV175" s="43"/>
      <c r="AW175" s="43"/>
      <c r="AX175" s="43"/>
      <c r="AY175" s="43"/>
      <c r="AZ175" s="43"/>
      <c r="BA175" s="43"/>
      <c r="BB175" s="43"/>
      <c r="BC175" s="43"/>
      <c r="BD175" s="43"/>
      <c r="BE175" s="26"/>
      <c r="BF175" s="54"/>
      <c r="BG175" s="55"/>
      <c r="BH175" s="55"/>
      <c r="BI175" s="55"/>
      <c r="BJ175" s="55"/>
      <c r="BK175" s="56"/>
    </row>
    <row r="176" spans="1:63" s="315" customFormat="1" ht="15" customHeight="1" x14ac:dyDescent="0.25">
      <c r="A176" s="25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6"/>
      <c r="M176" s="341"/>
      <c r="N176" s="343"/>
      <c r="O176" s="343"/>
      <c r="P176" s="343"/>
      <c r="Q176" s="343" t="s">
        <v>116</v>
      </c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343"/>
      <c r="AG176" s="343"/>
      <c r="AH176" s="343"/>
      <c r="AI176" s="343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25"/>
      <c r="AV176" s="43"/>
      <c r="AW176" s="43"/>
      <c r="AX176" s="43"/>
      <c r="AY176" s="43"/>
      <c r="AZ176" s="43"/>
      <c r="BA176" s="43"/>
      <c r="BB176" s="43"/>
      <c r="BC176" s="43"/>
      <c r="BD176" s="43"/>
      <c r="BE176" s="26"/>
      <c r="BF176" s="54"/>
      <c r="BG176" s="55"/>
      <c r="BH176" s="55"/>
      <c r="BI176" s="55"/>
      <c r="BJ176" s="55"/>
      <c r="BK176" s="56"/>
    </row>
    <row r="177" spans="1:63" s="315" customFormat="1" ht="15" customHeight="1" x14ac:dyDescent="0.25">
      <c r="A177" s="25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6"/>
      <c r="M177" s="341"/>
      <c r="N177" s="343"/>
      <c r="O177" s="343"/>
      <c r="P177" s="341" t="s">
        <v>194</v>
      </c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343"/>
      <c r="AG177" s="343"/>
      <c r="AH177" s="343"/>
      <c r="AI177" s="343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25"/>
      <c r="AV177" s="43"/>
      <c r="AW177" s="43"/>
      <c r="AX177" s="43"/>
      <c r="AY177" s="43"/>
      <c r="AZ177" s="43"/>
      <c r="BA177" s="43"/>
      <c r="BB177" s="43"/>
      <c r="BC177" s="43"/>
      <c r="BD177" s="43"/>
      <c r="BE177" s="26"/>
      <c r="BF177" s="54"/>
      <c r="BG177" s="55"/>
      <c r="BH177" s="55"/>
      <c r="BI177" s="55"/>
      <c r="BJ177" s="55"/>
      <c r="BK177" s="56"/>
    </row>
    <row r="178" spans="1:63" s="315" customFormat="1" ht="15" customHeight="1" x14ac:dyDescent="0.25">
      <c r="A178" s="25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6"/>
      <c r="M178" s="341"/>
      <c r="N178" s="343"/>
      <c r="O178" s="343"/>
      <c r="P178" s="343"/>
      <c r="Q178" s="343" t="s">
        <v>125</v>
      </c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343"/>
      <c r="AG178" s="343"/>
      <c r="AH178" s="343"/>
      <c r="AI178" s="343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25"/>
      <c r="AV178" s="43"/>
      <c r="AW178" s="43"/>
      <c r="AX178" s="43"/>
      <c r="AY178" s="43"/>
      <c r="AZ178" s="43"/>
      <c r="BA178" s="43"/>
      <c r="BB178" s="43"/>
      <c r="BC178" s="43"/>
      <c r="BD178" s="43"/>
      <c r="BE178" s="26"/>
      <c r="BF178" s="54"/>
      <c r="BG178" s="55"/>
      <c r="BH178" s="55"/>
      <c r="BI178" s="55"/>
      <c r="BJ178" s="55"/>
      <c r="BK178" s="56"/>
    </row>
    <row r="179" spans="1:63" s="315" customFormat="1" ht="15" customHeight="1" x14ac:dyDescent="0.25">
      <c r="A179" s="25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6"/>
      <c r="M179" s="341"/>
      <c r="N179" s="341"/>
      <c r="O179" s="343"/>
      <c r="P179" s="341"/>
      <c r="Q179" s="343" t="s">
        <v>239</v>
      </c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25"/>
      <c r="AV179" s="43"/>
      <c r="AW179" s="43"/>
      <c r="AX179" s="43"/>
      <c r="AY179" s="43"/>
      <c r="AZ179" s="43"/>
      <c r="BA179" s="43"/>
      <c r="BB179" s="43"/>
      <c r="BC179" s="43"/>
      <c r="BD179" s="43"/>
      <c r="BE179" s="26"/>
      <c r="BF179" s="165"/>
      <c r="BG179" s="166"/>
      <c r="BH179" s="166"/>
      <c r="BI179" s="166"/>
      <c r="BJ179" s="166"/>
      <c r="BK179" s="167"/>
    </row>
    <row r="180" spans="1:63" s="315" customFormat="1" ht="15" customHeight="1" x14ac:dyDescent="0.25">
      <c r="A180" s="25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6"/>
      <c r="M180" s="341"/>
      <c r="N180" s="57"/>
      <c r="O180" s="68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25"/>
      <c r="AV180" s="43"/>
      <c r="AW180" s="43"/>
      <c r="AX180" s="43"/>
      <c r="AY180" s="43"/>
      <c r="AZ180" s="43"/>
      <c r="BA180" s="43"/>
      <c r="BB180" s="43"/>
      <c r="BC180" s="43"/>
      <c r="BD180" s="43"/>
      <c r="BE180" s="26"/>
      <c r="BF180" s="165"/>
      <c r="BG180" s="166"/>
      <c r="BH180" s="166"/>
      <c r="BI180" s="166"/>
      <c r="BJ180" s="166"/>
      <c r="BK180" s="167"/>
    </row>
    <row r="181" spans="1:63" s="315" customFormat="1" ht="15" customHeight="1" x14ac:dyDescent="0.25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9"/>
      <c r="M181" s="345"/>
      <c r="N181" s="346"/>
      <c r="O181" s="346"/>
      <c r="P181" s="346"/>
      <c r="Q181" s="346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347"/>
      <c r="AQ181" s="347"/>
      <c r="AR181" s="347"/>
      <c r="AS181" s="347"/>
      <c r="AT181" s="347"/>
      <c r="AU181" s="27"/>
      <c r="AV181" s="28"/>
      <c r="AW181" s="28"/>
      <c r="AX181" s="28"/>
      <c r="AY181" s="28"/>
      <c r="AZ181" s="28"/>
      <c r="BA181" s="28"/>
      <c r="BB181" s="28"/>
      <c r="BC181" s="28"/>
      <c r="BD181" s="28"/>
      <c r="BE181" s="29"/>
      <c r="BF181" s="168"/>
      <c r="BG181" s="169"/>
      <c r="BH181" s="169"/>
      <c r="BI181" s="169"/>
      <c r="BJ181" s="169"/>
      <c r="BK181" s="170"/>
    </row>
    <row r="182" spans="1:63" ht="15" customHeight="1" x14ac:dyDescent="0.25">
      <c r="BK182" s="16"/>
    </row>
    <row r="183" spans="1:63" ht="15" customHeight="1" x14ac:dyDescent="0.25">
      <c r="BK183" s="16"/>
    </row>
    <row r="184" spans="1:63" ht="15" customHeight="1" x14ac:dyDescent="0.25">
      <c r="BK184" s="16"/>
    </row>
    <row r="185" spans="1:63" s="315" customFormat="1" ht="15" customHeight="1" x14ac:dyDescent="0.25">
      <c r="A185" s="329" t="s">
        <v>18</v>
      </c>
      <c r="B185" s="330"/>
      <c r="C185" s="330"/>
      <c r="D185" s="330"/>
      <c r="E185" s="330"/>
      <c r="F185" s="331"/>
      <c r="G185" s="317" t="s">
        <v>117</v>
      </c>
      <c r="H185" s="317"/>
      <c r="I185" s="317"/>
      <c r="J185" s="317"/>
      <c r="K185" s="317"/>
      <c r="L185" s="317"/>
      <c r="M185" s="332" t="s">
        <v>118</v>
      </c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  <c r="AA185" s="332"/>
      <c r="AB185" s="332"/>
      <c r="AC185" s="332"/>
      <c r="AD185" s="332"/>
      <c r="AE185" s="332"/>
      <c r="AF185" s="332"/>
      <c r="AG185" s="332"/>
      <c r="AH185" s="332"/>
      <c r="AI185" s="332"/>
      <c r="AJ185" s="332"/>
      <c r="AK185" s="332"/>
      <c r="AL185" s="332"/>
      <c r="AM185" s="332"/>
      <c r="AN185" s="332"/>
      <c r="AO185" s="332"/>
      <c r="AP185" s="332"/>
      <c r="AQ185" s="332"/>
      <c r="AR185" s="332"/>
      <c r="AS185" s="332"/>
      <c r="AT185" s="332"/>
      <c r="AU185" s="332"/>
      <c r="AV185" s="332"/>
      <c r="AW185" s="332"/>
      <c r="AX185" s="332"/>
      <c r="AY185" s="332"/>
      <c r="AZ185" s="332"/>
      <c r="BA185" s="332"/>
      <c r="BB185" s="332"/>
      <c r="BC185" s="332"/>
      <c r="BD185" s="332"/>
      <c r="BE185" s="332"/>
      <c r="BF185" s="332"/>
      <c r="BG185" s="332"/>
      <c r="BH185" s="333"/>
      <c r="BI185" s="333"/>
      <c r="BJ185" s="333"/>
      <c r="BK185" s="334"/>
    </row>
    <row r="186" spans="1:63" s="315" customFormat="1" ht="15" customHeight="1" x14ac:dyDescent="0.25">
      <c r="A186" s="335" t="s">
        <v>20</v>
      </c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7"/>
      <c r="M186" s="335" t="s">
        <v>21</v>
      </c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336"/>
      <c r="AB186" s="336"/>
      <c r="AC186" s="336"/>
      <c r="AD186" s="336"/>
      <c r="AE186" s="336"/>
      <c r="AF186" s="336"/>
      <c r="AG186" s="336"/>
      <c r="AH186" s="336"/>
      <c r="AI186" s="336"/>
      <c r="AJ186" s="336"/>
      <c r="AK186" s="336"/>
      <c r="AL186" s="336"/>
      <c r="AM186" s="336"/>
      <c r="AN186" s="336"/>
      <c r="AO186" s="336"/>
      <c r="AP186" s="336"/>
      <c r="AQ186" s="336"/>
      <c r="AR186" s="336"/>
      <c r="AS186" s="336"/>
      <c r="AT186" s="337"/>
      <c r="AU186" s="335" t="s">
        <v>22</v>
      </c>
      <c r="AV186" s="336"/>
      <c r="AW186" s="336"/>
      <c r="AX186" s="336"/>
      <c r="AY186" s="336"/>
      <c r="AZ186" s="336"/>
      <c r="BA186" s="336"/>
      <c r="BB186" s="336"/>
      <c r="BC186" s="336"/>
      <c r="BD186" s="336"/>
      <c r="BE186" s="336"/>
      <c r="BF186" s="335" t="s">
        <v>23</v>
      </c>
      <c r="BG186" s="336"/>
      <c r="BH186" s="336"/>
      <c r="BI186" s="336"/>
      <c r="BJ186" s="336"/>
      <c r="BK186" s="337"/>
    </row>
    <row r="187" spans="1:63" s="315" customFormat="1" ht="15" customHeight="1" x14ac:dyDescent="0.25">
      <c r="A187" s="338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40"/>
      <c r="M187" s="338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339"/>
      <c r="AP187" s="339"/>
      <c r="AQ187" s="339"/>
      <c r="AR187" s="339"/>
      <c r="AS187" s="339"/>
      <c r="AT187" s="340"/>
      <c r="AU187" s="338"/>
      <c r="AV187" s="339"/>
      <c r="AW187" s="339"/>
      <c r="AX187" s="339"/>
      <c r="AY187" s="339"/>
      <c r="AZ187" s="339"/>
      <c r="BA187" s="339"/>
      <c r="BB187" s="339"/>
      <c r="BC187" s="339"/>
      <c r="BD187" s="339"/>
      <c r="BE187" s="339"/>
      <c r="BF187" s="338"/>
      <c r="BG187" s="339"/>
      <c r="BH187" s="339"/>
      <c r="BI187" s="339"/>
      <c r="BJ187" s="339"/>
      <c r="BK187" s="340"/>
    </row>
    <row r="188" spans="1:63" s="315" customFormat="1" ht="15" customHeight="1" x14ac:dyDescent="0.25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341"/>
      <c r="N188" s="341"/>
      <c r="O188" s="341"/>
      <c r="P188" s="341"/>
      <c r="Q188" s="341"/>
      <c r="R188" s="342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  <c r="AJ188" s="342"/>
      <c r="AK188" s="342"/>
      <c r="AL188" s="342"/>
      <c r="AM188" s="342"/>
      <c r="AN188" s="342"/>
      <c r="AO188" s="342"/>
      <c r="AP188" s="342"/>
      <c r="AQ188" s="342"/>
      <c r="AR188" s="342"/>
      <c r="AS188" s="342"/>
      <c r="AT188" s="342"/>
      <c r="AU188" s="21"/>
      <c r="AV188" s="22"/>
      <c r="AW188" s="22"/>
      <c r="AX188" s="22"/>
      <c r="AY188" s="22"/>
      <c r="AZ188" s="22"/>
      <c r="BA188" s="22"/>
      <c r="BB188" s="22"/>
      <c r="BC188" s="22"/>
      <c r="BD188" s="22"/>
      <c r="BE188" s="23"/>
      <c r="BF188" s="159"/>
      <c r="BG188" s="160"/>
      <c r="BH188" s="160"/>
      <c r="BI188" s="160"/>
      <c r="BJ188" s="160"/>
      <c r="BK188" s="161"/>
    </row>
    <row r="189" spans="1:63" s="315" customFormat="1" ht="15" customHeight="1" x14ac:dyDescent="0.25">
      <c r="A189" s="25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6"/>
      <c r="M189" s="341"/>
      <c r="N189" s="57" t="s">
        <v>259</v>
      </c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25"/>
      <c r="AV189" s="43"/>
      <c r="AW189" s="43"/>
      <c r="AX189" s="43"/>
      <c r="AY189" s="43"/>
      <c r="AZ189" s="43"/>
      <c r="BA189" s="43"/>
      <c r="BB189" s="43"/>
      <c r="BC189" s="43"/>
      <c r="BD189" s="43"/>
      <c r="BE189" s="26"/>
      <c r="BF189" s="162"/>
      <c r="BG189" s="163"/>
      <c r="BH189" s="163"/>
      <c r="BI189" s="163"/>
      <c r="BJ189" s="163"/>
      <c r="BK189" s="164"/>
    </row>
    <row r="190" spans="1:63" s="315" customFormat="1" ht="15" customHeight="1" x14ac:dyDescent="0.25">
      <c r="A190" s="25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6"/>
      <c r="M190" s="344"/>
      <c r="N190" s="67" t="s">
        <v>257</v>
      </c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343"/>
      <c r="AG190" s="343"/>
      <c r="AH190" s="343"/>
      <c r="AI190" s="343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25"/>
      <c r="AV190" s="43"/>
      <c r="AW190" s="43"/>
      <c r="AX190" s="43"/>
      <c r="AY190" s="43"/>
      <c r="AZ190" s="43"/>
      <c r="BA190" s="43"/>
      <c r="BB190" s="43"/>
      <c r="BC190" s="43"/>
      <c r="BD190" s="43"/>
      <c r="BE190" s="26"/>
      <c r="BF190" s="162"/>
      <c r="BG190" s="163"/>
      <c r="BH190" s="163"/>
      <c r="BI190" s="163"/>
      <c r="BJ190" s="163"/>
      <c r="BK190" s="164"/>
    </row>
    <row r="191" spans="1:63" s="315" customFormat="1" ht="15" customHeight="1" x14ac:dyDescent="0.25">
      <c r="A191" s="25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6"/>
      <c r="M191" s="344"/>
      <c r="N191" s="57"/>
      <c r="O191" s="343" t="s">
        <v>103</v>
      </c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343"/>
      <c r="AG191" s="343"/>
      <c r="AH191" s="343"/>
      <c r="AI191" s="343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25"/>
      <c r="AV191" s="43"/>
      <c r="AW191" s="43"/>
      <c r="AX191" s="43"/>
      <c r="AY191" s="43"/>
      <c r="AZ191" s="43"/>
      <c r="BA191" s="43"/>
      <c r="BB191" s="43"/>
      <c r="BC191" s="43"/>
      <c r="BD191" s="43"/>
      <c r="BE191" s="26"/>
      <c r="BF191" s="54"/>
      <c r="BG191" s="55"/>
      <c r="BH191" s="55"/>
      <c r="BI191" s="55"/>
      <c r="BJ191" s="55"/>
      <c r="BK191" s="56"/>
    </row>
    <row r="192" spans="1:63" s="315" customFormat="1" ht="15" customHeight="1" x14ac:dyDescent="0.25">
      <c r="A192" s="25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6"/>
      <c r="M192" s="341"/>
      <c r="O192" s="343"/>
      <c r="P192" s="58" t="s">
        <v>38</v>
      </c>
      <c r="Q192" s="59"/>
      <c r="R192" s="59"/>
      <c r="S192" s="59"/>
      <c r="T192" s="59"/>
      <c r="U192" s="59"/>
      <c r="V192" s="59"/>
      <c r="W192" s="58" t="s">
        <v>39</v>
      </c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60"/>
      <c r="AN192" s="341"/>
      <c r="AO192" s="341"/>
      <c r="AP192" s="341"/>
      <c r="AQ192" s="341"/>
      <c r="AR192" s="341"/>
      <c r="AS192" s="341"/>
      <c r="AT192" s="341"/>
      <c r="AU192" s="25"/>
      <c r="AV192" s="43"/>
      <c r="AW192" s="43"/>
      <c r="AX192" s="43"/>
      <c r="AY192" s="43"/>
      <c r="AZ192" s="43"/>
      <c r="BA192" s="43"/>
      <c r="BB192" s="43"/>
      <c r="BC192" s="43"/>
      <c r="BD192" s="43"/>
      <c r="BE192" s="26"/>
      <c r="BF192" s="54"/>
      <c r="BG192" s="55"/>
      <c r="BH192" s="55"/>
      <c r="BI192" s="55"/>
      <c r="BJ192" s="55"/>
      <c r="BK192" s="56"/>
    </row>
    <row r="193" spans="1:63" s="315" customFormat="1" ht="15" customHeight="1" x14ac:dyDescent="0.25">
      <c r="A193" s="25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6"/>
      <c r="M193" s="341"/>
      <c r="N193" s="343"/>
      <c r="O193" s="343"/>
      <c r="P193" s="348" t="s">
        <v>104</v>
      </c>
      <c r="Q193" s="349"/>
      <c r="R193" s="349"/>
      <c r="S193" s="349"/>
      <c r="T193" s="349"/>
      <c r="U193" s="349"/>
      <c r="V193" s="349"/>
      <c r="W193" s="350" t="s">
        <v>199</v>
      </c>
      <c r="X193" s="351"/>
      <c r="Y193" s="351"/>
      <c r="Z193" s="351"/>
      <c r="AA193" s="351"/>
      <c r="AB193" s="351"/>
      <c r="AC193" s="351"/>
      <c r="AD193" s="351"/>
      <c r="AE193" s="351"/>
      <c r="AF193" s="351"/>
      <c r="AG193" s="351"/>
      <c r="AH193" s="351"/>
      <c r="AI193" s="351"/>
      <c r="AJ193" s="351"/>
      <c r="AK193" s="351"/>
      <c r="AL193" s="351"/>
      <c r="AM193" s="352"/>
      <c r="AN193" s="341"/>
      <c r="AO193" s="341"/>
      <c r="AP193" s="341"/>
      <c r="AQ193" s="341"/>
      <c r="AR193" s="341"/>
      <c r="AS193" s="341"/>
      <c r="AT193" s="341"/>
      <c r="AU193" s="25"/>
      <c r="AV193" s="43"/>
      <c r="AW193" s="43"/>
      <c r="AX193" s="43"/>
      <c r="AY193" s="43"/>
      <c r="AZ193" s="43"/>
      <c r="BA193" s="43"/>
      <c r="BB193" s="43"/>
      <c r="BC193" s="43"/>
      <c r="BD193" s="43"/>
      <c r="BE193" s="26"/>
      <c r="BF193" s="54"/>
      <c r="BG193" s="55"/>
      <c r="BH193" s="55"/>
      <c r="BI193" s="55"/>
      <c r="BJ193" s="55"/>
      <c r="BK193" s="56"/>
    </row>
    <row r="194" spans="1:63" s="315" customFormat="1" ht="15" customHeight="1" x14ac:dyDescent="0.25">
      <c r="A194" s="25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6"/>
      <c r="M194" s="341"/>
      <c r="N194" s="343"/>
      <c r="O194" s="343"/>
      <c r="P194" s="362" t="s">
        <v>105</v>
      </c>
      <c r="Q194" s="363"/>
      <c r="R194" s="363"/>
      <c r="S194" s="363"/>
      <c r="T194" s="363"/>
      <c r="U194" s="363"/>
      <c r="V194" s="364"/>
      <c r="W194" s="350" t="s">
        <v>109</v>
      </c>
      <c r="X194" s="351"/>
      <c r="Y194" s="351"/>
      <c r="Z194" s="351"/>
      <c r="AA194" s="351"/>
      <c r="AB194" s="351"/>
      <c r="AC194" s="351"/>
      <c r="AD194" s="351"/>
      <c r="AE194" s="351"/>
      <c r="AF194" s="351"/>
      <c r="AG194" s="351"/>
      <c r="AH194" s="351"/>
      <c r="AI194" s="351"/>
      <c r="AJ194" s="351"/>
      <c r="AK194" s="351"/>
      <c r="AL194" s="351"/>
      <c r="AM194" s="352"/>
      <c r="AN194" s="341"/>
      <c r="AO194" s="341"/>
      <c r="AP194" s="341"/>
      <c r="AQ194" s="341"/>
      <c r="AR194" s="341"/>
      <c r="AS194" s="341"/>
      <c r="AT194" s="341"/>
      <c r="AU194" s="25"/>
      <c r="AV194" s="43"/>
      <c r="AW194" s="43"/>
      <c r="AX194" s="43"/>
      <c r="AY194" s="43"/>
      <c r="AZ194" s="43"/>
      <c r="BA194" s="43"/>
      <c r="BB194" s="43"/>
      <c r="BC194" s="43"/>
      <c r="BD194" s="43"/>
      <c r="BE194" s="26"/>
      <c r="BF194" s="54"/>
      <c r="BG194" s="55"/>
      <c r="BH194" s="55"/>
      <c r="BI194" s="55"/>
      <c r="BJ194" s="55"/>
      <c r="BK194" s="56"/>
    </row>
    <row r="195" spans="1:63" s="315" customFormat="1" ht="15" customHeight="1" x14ac:dyDescent="0.25">
      <c r="A195" s="25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6"/>
      <c r="M195" s="341"/>
      <c r="N195" s="343"/>
      <c r="O195" s="343"/>
      <c r="P195" s="362" t="s">
        <v>106</v>
      </c>
      <c r="Q195" s="363"/>
      <c r="R195" s="363"/>
      <c r="S195" s="363"/>
      <c r="T195" s="363"/>
      <c r="U195" s="363"/>
      <c r="V195" s="364"/>
      <c r="W195" s="350" t="s">
        <v>109</v>
      </c>
      <c r="X195" s="351"/>
      <c r="Y195" s="351"/>
      <c r="Z195" s="351"/>
      <c r="AA195" s="351"/>
      <c r="AB195" s="351"/>
      <c r="AC195" s="351"/>
      <c r="AD195" s="351"/>
      <c r="AE195" s="351"/>
      <c r="AF195" s="351"/>
      <c r="AG195" s="351"/>
      <c r="AH195" s="351"/>
      <c r="AI195" s="351"/>
      <c r="AJ195" s="351"/>
      <c r="AK195" s="351"/>
      <c r="AL195" s="351"/>
      <c r="AM195" s="352"/>
      <c r="AN195" s="341"/>
      <c r="AO195" s="341"/>
      <c r="AP195" s="341"/>
      <c r="AQ195" s="341"/>
      <c r="AR195" s="341"/>
      <c r="AS195" s="341"/>
      <c r="AT195" s="341"/>
      <c r="AU195" s="25"/>
      <c r="AV195" s="43"/>
      <c r="AW195" s="43"/>
      <c r="AX195" s="43"/>
      <c r="AY195" s="43"/>
      <c r="AZ195" s="43"/>
      <c r="BA195" s="43"/>
      <c r="BB195" s="43"/>
      <c r="BC195" s="43"/>
      <c r="BD195" s="43"/>
      <c r="BE195" s="26"/>
      <c r="BF195" s="54"/>
      <c r="BG195" s="55"/>
      <c r="BH195" s="55"/>
      <c r="BI195" s="55"/>
      <c r="BJ195" s="55"/>
      <c r="BK195" s="56"/>
    </row>
    <row r="196" spans="1:63" s="315" customFormat="1" ht="15" customHeight="1" x14ac:dyDescent="0.25">
      <c r="A196" s="25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6"/>
      <c r="M196" s="341"/>
      <c r="N196" s="343"/>
      <c r="O196" s="343"/>
      <c r="P196" s="362" t="s">
        <v>107</v>
      </c>
      <c r="Q196" s="363"/>
      <c r="R196" s="363"/>
      <c r="S196" s="363"/>
      <c r="T196" s="363"/>
      <c r="U196" s="363"/>
      <c r="V196" s="364"/>
      <c r="W196" s="350" t="s">
        <v>109</v>
      </c>
      <c r="X196" s="351"/>
      <c r="Y196" s="351"/>
      <c r="Z196" s="351"/>
      <c r="AA196" s="351"/>
      <c r="AB196" s="351"/>
      <c r="AC196" s="351"/>
      <c r="AD196" s="351"/>
      <c r="AE196" s="351"/>
      <c r="AF196" s="351"/>
      <c r="AG196" s="351"/>
      <c r="AH196" s="351"/>
      <c r="AI196" s="351"/>
      <c r="AJ196" s="351"/>
      <c r="AK196" s="351"/>
      <c r="AL196" s="351"/>
      <c r="AM196" s="352"/>
      <c r="AN196" s="341"/>
      <c r="AO196" s="341"/>
      <c r="AP196" s="341"/>
      <c r="AQ196" s="341"/>
      <c r="AR196" s="341"/>
      <c r="AS196" s="341"/>
      <c r="AT196" s="341"/>
      <c r="AU196" s="25"/>
      <c r="AV196" s="43"/>
      <c r="AW196" s="43"/>
      <c r="AX196" s="43"/>
      <c r="AY196" s="43"/>
      <c r="AZ196" s="43"/>
      <c r="BA196" s="43"/>
      <c r="BB196" s="43"/>
      <c r="BC196" s="43"/>
      <c r="BD196" s="43"/>
      <c r="BE196" s="26"/>
      <c r="BF196" s="54"/>
      <c r="BG196" s="55"/>
      <c r="BH196" s="55"/>
      <c r="BI196" s="55"/>
      <c r="BJ196" s="55"/>
      <c r="BK196" s="56"/>
    </row>
    <row r="197" spans="1:63" s="315" customFormat="1" ht="15" customHeight="1" x14ac:dyDescent="0.25">
      <c r="A197" s="25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6"/>
      <c r="M197" s="341"/>
      <c r="N197" s="343"/>
      <c r="O197" s="343"/>
      <c r="P197" s="362" t="s">
        <v>108</v>
      </c>
      <c r="Q197" s="363"/>
      <c r="R197" s="363"/>
      <c r="S197" s="363"/>
      <c r="T197" s="363"/>
      <c r="U197" s="363"/>
      <c r="V197" s="364"/>
      <c r="W197" s="350" t="s">
        <v>201</v>
      </c>
      <c r="X197" s="351"/>
      <c r="Y197" s="351"/>
      <c r="Z197" s="351"/>
      <c r="AA197" s="351"/>
      <c r="AB197" s="351"/>
      <c r="AC197" s="351"/>
      <c r="AD197" s="351"/>
      <c r="AE197" s="351"/>
      <c r="AF197" s="351"/>
      <c r="AG197" s="351"/>
      <c r="AH197" s="351"/>
      <c r="AI197" s="351"/>
      <c r="AJ197" s="351"/>
      <c r="AK197" s="351"/>
      <c r="AL197" s="351"/>
      <c r="AM197" s="352"/>
      <c r="AN197" s="341"/>
      <c r="AO197" s="341"/>
      <c r="AP197" s="341"/>
      <c r="AQ197" s="341"/>
      <c r="AR197" s="341"/>
      <c r="AS197" s="341"/>
      <c r="AT197" s="341"/>
      <c r="AU197" s="25"/>
      <c r="AV197" s="43"/>
      <c r="AW197" s="43"/>
      <c r="AX197" s="43"/>
      <c r="AY197" s="43"/>
      <c r="AZ197" s="43"/>
      <c r="BA197" s="43"/>
      <c r="BB197" s="43"/>
      <c r="BC197" s="43"/>
      <c r="BD197" s="43"/>
      <c r="BE197" s="26"/>
      <c r="BF197" s="54"/>
      <c r="BG197" s="55"/>
      <c r="BH197" s="55"/>
      <c r="BI197" s="55"/>
      <c r="BJ197" s="55"/>
      <c r="BK197" s="56"/>
    </row>
    <row r="198" spans="1:63" s="315" customFormat="1" ht="15" customHeight="1" x14ac:dyDescent="0.25">
      <c r="A198" s="25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6"/>
      <c r="M198" s="341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343"/>
      <c r="AG198" s="343"/>
      <c r="AH198" s="343"/>
      <c r="AI198" s="343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25"/>
      <c r="AV198" s="43"/>
      <c r="AW198" s="43"/>
      <c r="AX198" s="43"/>
      <c r="AY198" s="43"/>
      <c r="AZ198" s="43"/>
      <c r="BA198" s="43"/>
      <c r="BB198" s="43"/>
      <c r="BC198" s="43"/>
      <c r="BD198" s="43"/>
      <c r="BE198" s="26"/>
      <c r="BF198" s="54"/>
      <c r="BG198" s="55"/>
      <c r="BH198" s="55"/>
      <c r="BI198" s="55"/>
      <c r="BJ198" s="55"/>
      <c r="BK198" s="56"/>
    </row>
    <row r="199" spans="1:63" s="315" customFormat="1" ht="15" customHeight="1" x14ac:dyDescent="0.25">
      <c r="A199" s="25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6"/>
      <c r="M199" s="341"/>
      <c r="N199" s="343"/>
      <c r="O199" s="341" t="s">
        <v>41</v>
      </c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25"/>
      <c r="AV199" s="43"/>
      <c r="AW199" s="43"/>
      <c r="AX199" s="43"/>
      <c r="AY199" s="43"/>
      <c r="AZ199" s="43"/>
      <c r="BA199" s="43"/>
      <c r="BB199" s="43"/>
      <c r="BC199" s="43"/>
      <c r="BD199" s="43"/>
      <c r="BE199" s="26"/>
      <c r="BF199" s="54"/>
      <c r="BG199" s="55"/>
      <c r="BH199" s="55"/>
      <c r="BI199" s="55"/>
      <c r="BJ199" s="55"/>
      <c r="BK199" s="56"/>
    </row>
    <row r="200" spans="1:63" s="315" customFormat="1" ht="15" customHeight="1" x14ac:dyDescent="0.25">
      <c r="A200" s="25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6"/>
      <c r="M200" s="341"/>
      <c r="N200" s="343"/>
      <c r="O200" s="343"/>
      <c r="P200" s="343" t="s">
        <v>193</v>
      </c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25"/>
      <c r="AV200" s="43"/>
      <c r="AW200" s="43"/>
      <c r="AX200" s="43"/>
      <c r="AY200" s="43"/>
      <c r="AZ200" s="43"/>
      <c r="BA200" s="43"/>
      <c r="BB200" s="43"/>
      <c r="BC200" s="43"/>
      <c r="BD200" s="43"/>
      <c r="BE200" s="26"/>
      <c r="BF200" s="54"/>
      <c r="BG200" s="55"/>
      <c r="BH200" s="55"/>
      <c r="BI200" s="55"/>
      <c r="BJ200" s="55"/>
      <c r="BK200" s="56"/>
    </row>
    <row r="201" spans="1:63" s="315" customFormat="1" ht="15" customHeight="1" x14ac:dyDescent="0.25">
      <c r="A201" s="25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6"/>
      <c r="M201" s="341"/>
      <c r="N201" s="343"/>
      <c r="O201" s="343"/>
      <c r="P201" s="343"/>
      <c r="Q201" s="58" t="s">
        <v>195</v>
      </c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60"/>
      <c r="AN201" s="341"/>
      <c r="AO201" s="341"/>
      <c r="AP201" s="341"/>
      <c r="AQ201" s="341"/>
      <c r="AR201" s="341"/>
      <c r="AS201" s="341"/>
      <c r="AT201" s="341"/>
      <c r="AU201" s="25"/>
      <c r="AV201" s="43"/>
      <c r="AW201" s="43"/>
      <c r="AX201" s="43"/>
      <c r="AY201" s="43"/>
      <c r="AZ201" s="43"/>
      <c r="BA201" s="43"/>
      <c r="BB201" s="43"/>
      <c r="BC201" s="43"/>
      <c r="BD201" s="43"/>
      <c r="BE201" s="26"/>
      <c r="BF201" s="54"/>
      <c r="BG201" s="55"/>
      <c r="BH201" s="55"/>
      <c r="BI201" s="55"/>
      <c r="BJ201" s="55"/>
      <c r="BK201" s="56"/>
    </row>
    <row r="202" spans="1:63" s="315" customFormat="1" ht="15" customHeight="1" x14ac:dyDescent="0.25">
      <c r="A202" s="25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6"/>
      <c r="M202" s="341"/>
      <c r="N202" s="343"/>
      <c r="O202" s="343"/>
      <c r="P202" s="343"/>
      <c r="Q202" s="353" t="s">
        <v>196</v>
      </c>
      <c r="R202" s="342"/>
      <c r="S202" s="342"/>
      <c r="T202" s="342"/>
      <c r="U202" s="342"/>
      <c r="V202" s="354"/>
      <c r="W202" s="342"/>
      <c r="X202" s="342"/>
      <c r="Y202" s="342"/>
      <c r="Z202" s="342"/>
      <c r="AA202" s="342"/>
      <c r="AB202" s="353" t="s">
        <v>202</v>
      </c>
      <c r="AC202" s="342"/>
      <c r="AD202" s="342"/>
      <c r="AE202" s="342"/>
      <c r="AF202" s="342"/>
      <c r="AG202" s="342"/>
      <c r="AH202" s="342"/>
      <c r="AI202" s="342"/>
      <c r="AJ202" s="342"/>
      <c r="AK202" s="342"/>
      <c r="AL202" s="342"/>
      <c r="AM202" s="355"/>
      <c r="AN202" s="341"/>
      <c r="AO202" s="341"/>
      <c r="AP202" s="341"/>
      <c r="AQ202" s="341"/>
      <c r="AR202" s="341"/>
      <c r="AS202" s="341"/>
      <c r="AT202" s="341"/>
      <c r="AU202" s="25"/>
      <c r="AV202" s="43"/>
      <c r="AW202" s="43"/>
      <c r="AX202" s="43"/>
      <c r="AY202" s="43"/>
      <c r="AZ202" s="43"/>
      <c r="BA202" s="43"/>
      <c r="BB202" s="43"/>
      <c r="BC202" s="43"/>
      <c r="BD202" s="43"/>
      <c r="BE202" s="26"/>
      <c r="BF202" s="54"/>
      <c r="BG202" s="55"/>
      <c r="BH202" s="55"/>
      <c r="BI202" s="55"/>
      <c r="BJ202" s="55"/>
      <c r="BK202" s="56"/>
    </row>
    <row r="203" spans="1:63" s="315" customFormat="1" ht="15" customHeight="1" x14ac:dyDescent="0.25">
      <c r="A203" s="25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6"/>
      <c r="M203" s="341"/>
      <c r="N203" s="343"/>
      <c r="O203" s="343"/>
      <c r="P203" s="343"/>
      <c r="Q203" s="353" t="s">
        <v>197</v>
      </c>
      <c r="R203" s="342"/>
      <c r="S203" s="342"/>
      <c r="T203" s="342"/>
      <c r="U203" s="342"/>
      <c r="V203" s="356"/>
      <c r="W203" s="342"/>
      <c r="X203" s="342"/>
      <c r="Y203" s="342"/>
      <c r="Z203" s="342"/>
      <c r="AA203" s="342"/>
      <c r="AB203" s="357" t="s">
        <v>203</v>
      </c>
      <c r="AC203" s="342"/>
      <c r="AD203" s="342"/>
      <c r="AE203" s="342"/>
      <c r="AF203" s="342"/>
      <c r="AG203" s="342"/>
      <c r="AH203" s="342"/>
      <c r="AI203" s="342"/>
      <c r="AJ203" s="342"/>
      <c r="AK203" s="342"/>
      <c r="AL203" s="342"/>
      <c r="AM203" s="355"/>
      <c r="AN203" s="341"/>
      <c r="AO203" s="341"/>
      <c r="AP203" s="341"/>
      <c r="AQ203" s="341"/>
      <c r="AR203" s="341"/>
      <c r="AS203" s="341"/>
      <c r="AT203" s="341"/>
      <c r="AU203" s="25"/>
      <c r="AV203" s="43"/>
      <c r="AW203" s="43"/>
      <c r="AX203" s="43"/>
      <c r="AY203" s="43"/>
      <c r="AZ203" s="43"/>
      <c r="BA203" s="43"/>
      <c r="BB203" s="43"/>
      <c r="BC203" s="43"/>
      <c r="BD203" s="43"/>
      <c r="BE203" s="26"/>
      <c r="BF203" s="54"/>
      <c r="BG203" s="55"/>
      <c r="BH203" s="55"/>
      <c r="BI203" s="55"/>
      <c r="BJ203" s="55"/>
      <c r="BK203" s="56"/>
    </row>
    <row r="204" spans="1:63" s="315" customFormat="1" ht="15" customHeight="1" x14ac:dyDescent="0.25">
      <c r="A204" s="25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6"/>
      <c r="M204" s="341"/>
      <c r="N204" s="343"/>
      <c r="O204" s="343"/>
      <c r="P204" s="343"/>
      <c r="Q204" s="358" t="s">
        <v>198</v>
      </c>
      <c r="R204" s="332"/>
      <c r="S204" s="332"/>
      <c r="T204" s="332"/>
      <c r="U204" s="332"/>
      <c r="V204" s="359"/>
      <c r="W204" s="332"/>
      <c r="X204" s="332"/>
      <c r="Y204" s="332"/>
      <c r="Z204" s="332"/>
      <c r="AA204" s="332"/>
      <c r="AB204" s="360" t="s">
        <v>121</v>
      </c>
      <c r="AC204" s="332"/>
      <c r="AD204" s="332"/>
      <c r="AE204" s="332"/>
      <c r="AF204" s="332"/>
      <c r="AG204" s="332"/>
      <c r="AH204" s="332"/>
      <c r="AI204" s="332"/>
      <c r="AJ204" s="332"/>
      <c r="AK204" s="332"/>
      <c r="AL204" s="332"/>
      <c r="AM204" s="361"/>
      <c r="AN204" s="341"/>
      <c r="AO204" s="341"/>
      <c r="AP204" s="341"/>
      <c r="AQ204" s="341"/>
      <c r="AR204" s="341"/>
      <c r="AS204" s="341"/>
      <c r="AT204" s="341"/>
      <c r="AU204" s="25"/>
      <c r="AV204" s="43"/>
      <c r="AW204" s="43"/>
      <c r="AX204" s="43"/>
      <c r="AY204" s="43"/>
      <c r="AZ204" s="43"/>
      <c r="BA204" s="43"/>
      <c r="BB204" s="43"/>
      <c r="BC204" s="43"/>
      <c r="BD204" s="43"/>
      <c r="BE204" s="26"/>
      <c r="BF204" s="54"/>
      <c r="BG204" s="55"/>
      <c r="BH204" s="55"/>
      <c r="BI204" s="55"/>
      <c r="BJ204" s="55"/>
      <c r="BK204" s="56"/>
    </row>
    <row r="205" spans="1:63" s="315" customFormat="1" ht="15" customHeight="1" x14ac:dyDescent="0.25">
      <c r="A205" s="25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6"/>
      <c r="M205" s="341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343"/>
      <c r="AG205" s="343"/>
      <c r="AH205" s="343"/>
      <c r="AI205" s="343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25"/>
      <c r="AV205" s="43"/>
      <c r="AW205" s="43"/>
      <c r="AX205" s="43"/>
      <c r="AY205" s="43"/>
      <c r="AZ205" s="43"/>
      <c r="BA205" s="43"/>
      <c r="BB205" s="43"/>
      <c r="BC205" s="43"/>
      <c r="BD205" s="43"/>
      <c r="BE205" s="26"/>
      <c r="BF205" s="54"/>
      <c r="BG205" s="55"/>
      <c r="BH205" s="55"/>
      <c r="BI205" s="55"/>
      <c r="BJ205" s="55"/>
      <c r="BK205" s="56"/>
    </row>
    <row r="206" spans="1:63" s="315" customFormat="1" ht="15" customHeight="1" x14ac:dyDescent="0.25">
      <c r="A206" s="25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6"/>
      <c r="M206" s="341"/>
      <c r="N206" s="343"/>
      <c r="O206" s="343"/>
      <c r="P206" s="343"/>
      <c r="Q206" s="343" t="s">
        <v>116</v>
      </c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343"/>
      <c r="AG206" s="343"/>
      <c r="AH206" s="343"/>
      <c r="AI206" s="343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25"/>
      <c r="AV206" s="43"/>
      <c r="AW206" s="43"/>
      <c r="AX206" s="43"/>
      <c r="AY206" s="43"/>
      <c r="AZ206" s="43"/>
      <c r="BA206" s="43"/>
      <c r="BB206" s="43"/>
      <c r="BC206" s="43"/>
      <c r="BD206" s="43"/>
      <c r="BE206" s="26"/>
      <c r="BF206" s="54"/>
      <c r="BG206" s="55"/>
      <c r="BH206" s="55"/>
      <c r="BI206" s="55"/>
      <c r="BJ206" s="55"/>
      <c r="BK206" s="56"/>
    </row>
    <row r="207" spans="1:63" s="315" customFormat="1" ht="15" customHeight="1" x14ac:dyDescent="0.25">
      <c r="A207" s="25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6"/>
      <c r="M207" s="341"/>
      <c r="N207" s="343"/>
      <c r="O207" s="343"/>
      <c r="P207" s="341" t="s">
        <v>194</v>
      </c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343"/>
      <c r="AG207" s="343"/>
      <c r="AH207" s="343"/>
      <c r="AI207" s="343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25"/>
      <c r="AV207" s="43"/>
      <c r="AW207" s="43"/>
      <c r="AX207" s="43"/>
      <c r="AY207" s="43"/>
      <c r="AZ207" s="43"/>
      <c r="BA207" s="43"/>
      <c r="BB207" s="43"/>
      <c r="BC207" s="43"/>
      <c r="BD207" s="43"/>
      <c r="BE207" s="26"/>
      <c r="BF207" s="54"/>
      <c r="BG207" s="55"/>
      <c r="BH207" s="55"/>
      <c r="BI207" s="55"/>
      <c r="BJ207" s="55"/>
      <c r="BK207" s="56"/>
    </row>
    <row r="208" spans="1:63" s="315" customFormat="1" ht="15" customHeight="1" x14ac:dyDescent="0.25">
      <c r="A208" s="25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6"/>
      <c r="M208" s="341"/>
      <c r="N208" s="343"/>
      <c r="O208" s="343"/>
      <c r="P208" s="343"/>
      <c r="Q208" s="343" t="s">
        <v>124</v>
      </c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343"/>
      <c r="AG208" s="343"/>
      <c r="AH208" s="343"/>
      <c r="AI208" s="343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25"/>
      <c r="AV208" s="43"/>
      <c r="AW208" s="43"/>
      <c r="AX208" s="43"/>
      <c r="AY208" s="43"/>
      <c r="AZ208" s="43"/>
      <c r="BA208" s="43"/>
      <c r="BB208" s="43"/>
      <c r="BC208" s="43"/>
      <c r="BD208" s="43"/>
      <c r="BE208" s="26"/>
      <c r="BF208" s="54"/>
      <c r="BG208" s="55"/>
      <c r="BH208" s="55"/>
      <c r="BI208" s="55"/>
      <c r="BJ208" s="55"/>
      <c r="BK208" s="56"/>
    </row>
    <row r="209" spans="1:63" s="315" customFormat="1" ht="15" customHeight="1" x14ac:dyDescent="0.25">
      <c r="A209" s="25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6"/>
      <c r="M209" s="341"/>
      <c r="N209" s="341"/>
      <c r="O209" s="343"/>
      <c r="P209" s="341"/>
      <c r="Q209" s="343" t="s">
        <v>239</v>
      </c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25"/>
      <c r="AV209" s="43"/>
      <c r="AW209" s="43"/>
      <c r="AX209" s="43"/>
      <c r="AY209" s="43"/>
      <c r="AZ209" s="43"/>
      <c r="BA209" s="43"/>
      <c r="BB209" s="43"/>
      <c r="BC209" s="43"/>
      <c r="BD209" s="43"/>
      <c r="BE209" s="26"/>
      <c r="BF209" s="165"/>
      <c r="BG209" s="166"/>
      <c r="BH209" s="166"/>
      <c r="BI209" s="166"/>
      <c r="BJ209" s="166"/>
      <c r="BK209" s="167"/>
    </row>
    <row r="210" spans="1:63" s="315" customFormat="1" ht="15" customHeight="1" x14ac:dyDescent="0.25">
      <c r="A210" s="25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6"/>
      <c r="M210" s="341"/>
      <c r="N210" s="57"/>
      <c r="O210" s="68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25"/>
      <c r="AV210" s="43"/>
      <c r="AW210" s="43"/>
      <c r="AX210" s="43"/>
      <c r="AY210" s="43"/>
      <c r="AZ210" s="43"/>
      <c r="BA210" s="43"/>
      <c r="BB210" s="43"/>
      <c r="BC210" s="43"/>
      <c r="BD210" s="43"/>
      <c r="BE210" s="26"/>
      <c r="BF210" s="165"/>
      <c r="BG210" s="166"/>
      <c r="BH210" s="166"/>
      <c r="BI210" s="166"/>
      <c r="BJ210" s="166"/>
      <c r="BK210" s="167"/>
    </row>
    <row r="211" spans="1:63" s="315" customFormat="1" ht="15" customHeight="1" x14ac:dyDescent="0.25">
      <c r="A211" s="2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9"/>
      <c r="M211" s="345"/>
      <c r="N211" s="346"/>
      <c r="O211" s="346"/>
      <c r="P211" s="346"/>
      <c r="Q211" s="346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347"/>
      <c r="AQ211" s="347"/>
      <c r="AR211" s="347"/>
      <c r="AS211" s="347"/>
      <c r="AT211" s="347"/>
      <c r="AU211" s="27"/>
      <c r="AV211" s="28"/>
      <c r="AW211" s="28"/>
      <c r="AX211" s="28"/>
      <c r="AY211" s="28"/>
      <c r="AZ211" s="28"/>
      <c r="BA211" s="28"/>
      <c r="BB211" s="28"/>
      <c r="BC211" s="28"/>
      <c r="BD211" s="28"/>
      <c r="BE211" s="29"/>
      <c r="BF211" s="168"/>
      <c r="BG211" s="169"/>
      <c r="BH211" s="169"/>
      <c r="BI211" s="169"/>
      <c r="BJ211" s="169"/>
      <c r="BK211" s="170"/>
    </row>
    <row r="212" spans="1:63" ht="15" customHeight="1" x14ac:dyDescent="0.25">
      <c r="BK212" s="16"/>
    </row>
    <row r="213" spans="1:63" ht="15" customHeight="1" x14ac:dyDescent="0.25">
      <c r="BK213" s="16"/>
    </row>
    <row r="214" spans="1:63" ht="15" customHeight="1" x14ac:dyDescent="0.25">
      <c r="BK214" s="16"/>
    </row>
    <row r="215" spans="1:63" s="315" customFormat="1" ht="15" customHeight="1" x14ac:dyDescent="0.25">
      <c r="A215" s="329" t="s">
        <v>18</v>
      </c>
      <c r="B215" s="330"/>
      <c r="C215" s="330"/>
      <c r="D215" s="330"/>
      <c r="E215" s="330"/>
      <c r="F215" s="331"/>
      <c r="G215" s="317" t="s">
        <v>119</v>
      </c>
      <c r="H215" s="317"/>
      <c r="I215" s="317"/>
      <c r="J215" s="317"/>
      <c r="K215" s="317"/>
      <c r="L215" s="317"/>
      <c r="M215" s="332" t="s">
        <v>120</v>
      </c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  <c r="AA215" s="332"/>
      <c r="AB215" s="332"/>
      <c r="AC215" s="332"/>
      <c r="AD215" s="332"/>
      <c r="AE215" s="332"/>
      <c r="AF215" s="332"/>
      <c r="AG215" s="332"/>
      <c r="AH215" s="332"/>
      <c r="AI215" s="332"/>
      <c r="AJ215" s="332"/>
      <c r="AK215" s="332"/>
      <c r="AL215" s="332"/>
      <c r="AM215" s="332"/>
      <c r="AN215" s="332"/>
      <c r="AO215" s="332"/>
      <c r="AP215" s="332"/>
      <c r="AQ215" s="332"/>
      <c r="AR215" s="332"/>
      <c r="AS215" s="332"/>
      <c r="AT215" s="332"/>
      <c r="AU215" s="332"/>
      <c r="AV215" s="332"/>
      <c r="AW215" s="332"/>
      <c r="AX215" s="332"/>
      <c r="AY215" s="332"/>
      <c r="AZ215" s="332"/>
      <c r="BA215" s="332"/>
      <c r="BB215" s="332"/>
      <c r="BC215" s="332"/>
      <c r="BD215" s="332"/>
      <c r="BE215" s="332"/>
      <c r="BF215" s="332"/>
      <c r="BG215" s="332"/>
      <c r="BH215" s="333"/>
      <c r="BI215" s="333"/>
      <c r="BJ215" s="333"/>
      <c r="BK215" s="334"/>
    </row>
    <row r="216" spans="1:63" s="315" customFormat="1" ht="15" customHeight="1" x14ac:dyDescent="0.25">
      <c r="A216" s="335" t="s">
        <v>20</v>
      </c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7"/>
      <c r="M216" s="335" t="s">
        <v>21</v>
      </c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6"/>
      <c r="AP216" s="336"/>
      <c r="AQ216" s="336"/>
      <c r="AR216" s="336"/>
      <c r="AS216" s="336"/>
      <c r="AT216" s="337"/>
      <c r="AU216" s="335" t="s">
        <v>22</v>
      </c>
      <c r="AV216" s="336"/>
      <c r="AW216" s="336"/>
      <c r="AX216" s="336"/>
      <c r="AY216" s="336"/>
      <c r="AZ216" s="336"/>
      <c r="BA216" s="336"/>
      <c r="BB216" s="336"/>
      <c r="BC216" s="336"/>
      <c r="BD216" s="336"/>
      <c r="BE216" s="336"/>
      <c r="BF216" s="335" t="s">
        <v>23</v>
      </c>
      <c r="BG216" s="336"/>
      <c r="BH216" s="336"/>
      <c r="BI216" s="336"/>
      <c r="BJ216" s="336"/>
      <c r="BK216" s="337"/>
    </row>
    <row r="217" spans="1:63" s="315" customFormat="1" ht="15" customHeight="1" x14ac:dyDescent="0.25">
      <c r="A217" s="338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40"/>
      <c r="M217" s="338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339"/>
      <c r="AP217" s="339"/>
      <c r="AQ217" s="339"/>
      <c r="AR217" s="339"/>
      <c r="AS217" s="339"/>
      <c r="AT217" s="340"/>
      <c r="AU217" s="338"/>
      <c r="AV217" s="339"/>
      <c r="AW217" s="339"/>
      <c r="AX217" s="339"/>
      <c r="AY217" s="339"/>
      <c r="AZ217" s="339"/>
      <c r="BA217" s="339"/>
      <c r="BB217" s="339"/>
      <c r="BC217" s="339"/>
      <c r="BD217" s="339"/>
      <c r="BE217" s="339"/>
      <c r="BF217" s="338"/>
      <c r="BG217" s="339"/>
      <c r="BH217" s="339"/>
      <c r="BI217" s="339"/>
      <c r="BJ217" s="339"/>
      <c r="BK217" s="340"/>
    </row>
    <row r="218" spans="1:63" s="315" customFormat="1" ht="15" customHeight="1" x14ac:dyDescent="0.25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341"/>
      <c r="N218" s="341"/>
      <c r="O218" s="341"/>
      <c r="P218" s="341"/>
      <c r="Q218" s="341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  <c r="AJ218" s="342"/>
      <c r="AK218" s="342"/>
      <c r="AL218" s="342"/>
      <c r="AM218" s="342"/>
      <c r="AN218" s="342"/>
      <c r="AO218" s="342"/>
      <c r="AP218" s="342"/>
      <c r="AQ218" s="342"/>
      <c r="AR218" s="342"/>
      <c r="AS218" s="342"/>
      <c r="AT218" s="342"/>
      <c r="AU218" s="21"/>
      <c r="AV218" s="22"/>
      <c r="AW218" s="22"/>
      <c r="AX218" s="22"/>
      <c r="AY218" s="22"/>
      <c r="AZ218" s="22"/>
      <c r="BA218" s="22"/>
      <c r="BB218" s="22"/>
      <c r="BC218" s="22"/>
      <c r="BD218" s="22"/>
      <c r="BE218" s="23"/>
      <c r="BF218" s="159"/>
      <c r="BG218" s="160"/>
      <c r="BH218" s="160"/>
      <c r="BI218" s="160"/>
      <c r="BJ218" s="160"/>
      <c r="BK218" s="161"/>
    </row>
    <row r="219" spans="1:63" s="315" customFormat="1" ht="15" customHeight="1" x14ac:dyDescent="0.25">
      <c r="A219" s="25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6"/>
      <c r="M219" s="341"/>
      <c r="N219" s="57" t="s">
        <v>259</v>
      </c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25"/>
      <c r="AV219" s="43"/>
      <c r="AW219" s="43"/>
      <c r="AX219" s="43"/>
      <c r="AY219" s="43"/>
      <c r="AZ219" s="43"/>
      <c r="BA219" s="43"/>
      <c r="BB219" s="43"/>
      <c r="BC219" s="43"/>
      <c r="BD219" s="43"/>
      <c r="BE219" s="26"/>
      <c r="BF219" s="162"/>
      <c r="BG219" s="163"/>
      <c r="BH219" s="163"/>
      <c r="BI219" s="163"/>
      <c r="BJ219" s="163"/>
      <c r="BK219" s="164"/>
    </row>
    <row r="220" spans="1:63" s="315" customFormat="1" ht="15" customHeight="1" x14ac:dyDescent="0.25">
      <c r="A220" s="25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6"/>
      <c r="M220" s="344"/>
      <c r="N220" s="67" t="s">
        <v>257</v>
      </c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343"/>
      <c r="AG220" s="343"/>
      <c r="AH220" s="343"/>
      <c r="AI220" s="343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25"/>
      <c r="AV220" s="43"/>
      <c r="AW220" s="43"/>
      <c r="AX220" s="43"/>
      <c r="AY220" s="43"/>
      <c r="AZ220" s="43"/>
      <c r="BA220" s="43"/>
      <c r="BB220" s="43"/>
      <c r="BC220" s="43"/>
      <c r="BD220" s="43"/>
      <c r="BE220" s="26"/>
      <c r="BF220" s="162"/>
      <c r="BG220" s="163"/>
      <c r="BH220" s="163"/>
      <c r="BI220" s="163"/>
      <c r="BJ220" s="163"/>
      <c r="BK220" s="164"/>
    </row>
    <row r="221" spans="1:63" s="315" customFormat="1" ht="15" customHeight="1" x14ac:dyDescent="0.25">
      <c r="A221" s="25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6"/>
      <c r="M221" s="344"/>
      <c r="N221" s="57"/>
      <c r="O221" s="343" t="s">
        <v>103</v>
      </c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343"/>
      <c r="AG221" s="343"/>
      <c r="AH221" s="343"/>
      <c r="AI221" s="343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25"/>
      <c r="AV221" s="43"/>
      <c r="AW221" s="43"/>
      <c r="AX221" s="43"/>
      <c r="AY221" s="43"/>
      <c r="AZ221" s="43"/>
      <c r="BA221" s="43"/>
      <c r="BB221" s="43"/>
      <c r="BC221" s="43"/>
      <c r="BD221" s="43"/>
      <c r="BE221" s="26"/>
      <c r="BF221" s="54"/>
      <c r="BG221" s="55"/>
      <c r="BH221" s="55"/>
      <c r="BI221" s="55"/>
      <c r="BJ221" s="55"/>
      <c r="BK221" s="56"/>
    </row>
    <row r="222" spans="1:63" s="315" customFormat="1" ht="15" customHeight="1" x14ac:dyDescent="0.25">
      <c r="A222" s="25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6"/>
      <c r="M222" s="341"/>
      <c r="O222" s="343"/>
      <c r="P222" s="58" t="s">
        <v>38</v>
      </c>
      <c r="Q222" s="59"/>
      <c r="R222" s="59"/>
      <c r="S222" s="59"/>
      <c r="T222" s="59"/>
      <c r="U222" s="59"/>
      <c r="V222" s="59"/>
      <c r="W222" s="58" t="s">
        <v>39</v>
      </c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60"/>
      <c r="AN222" s="341"/>
      <c r="AO222" s="341"/>
      <c r="AP222" s="341"/>
      <c r="AQ222" s="341"/>
      <c r="AR222" s="341"/>
      <c r="AS222" s="341"/>
      <c r="AT222" s="341"/>
      <c r="AU222" s="25"/>
      <c r="AV222" s="43"/>
      <c r="AW222" s="43"/>
      <c r="AX222" s="43"/>
      <c r="AY222" s="43"/>
      <c r="AZ222" s="43"/>
      <c r="BA222" s="43"/>
      <c r="BB222" s="43"/>
      <c r="BC222" s="43"/>
      <c r="BD222" s="43"/>
      <c r="BE222" s="26"/>
      <c r="BF222" s="54"/>
      <c r="BG222" s="55"/>
      <c r="BH222" s="55"/>
      <c r="BI222" s="55"/>
      <c r="BJ222" s="55"/>
      <c r="BK222" s="56"/>
    </row>
    <row r="223" spans="1:63" s="315" customFormat="1" ht="15" customHeight="1" x14ac:dyDescent="0.25">
      <c r="A223" s="25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6"/>
      <c r="M223" s="341"/>
      <c r="N223" s="343"/>
      <c r="O223" s="343"/>
      <c r="P223" s="348" t="s">
        <v>104</v>
      </c>
      <c r="Q223" s="349"/>
      <c r="R223" s="349"/>
      <c r="S223" s="349"/>
      <c r="T223" s="349"/>
      <c r="U223" s="349"/>
      <c r="V223" s="349"/>
      <c r="W223" s="350" t="s">
        <v>199</v>
      </c>
      <c r="X223" s="351"/>
      <c r="Y223" s="351"/>
      <c r="Z223" s="351"/>
      <c r="AA223" s="351"/>
      <c r="AB223" s="351"/>
      <c r="AC223" s="351"/>
      <c r="AD223" s="351"/>
      <c r="AE223" s="351"/>
      <c r="AF223" s="351"/>
      <c r="AG223" s="351"/>
      <c r="AH223" s="351"/>
      <c r="AI223" s="351"/>
      <c r="AJ223" s="351"/>
      <c r="AK223" s="351"/>
      <c r="AL223" s="351"/>
      <c r="AM223" s="352"/>
      <c r="AN223" s="341"/>
      <c r="AO223" s="341"/>
      <c r="AP223" s="341"/>
      <c r="AQ223" s="341"/>
      <c r="AR223" s="341"/>
      <c r="AS223" s="341"/>
      <c r="AT223" s="341"/>
      <c r="AU223" s="25"/>
      <c r="AV223" s="43"/>
      <c r="AW223" s="43"/>
      <c r="AX223" s="43"/>
      <c r="AY223" s="43"/>
      <c r="AZ223" s="43"/>
      <c r="BA223" s="43"/>
      <c r="BB223" s="43"/>
      <c r="BC223" s="43"/>
      <c r="BD223" s="43"/>
      <c r="BE223" s="26"/>
      <c r="BF223" s="54"/>
      <c r="BG223" s="55"/>
      <c r="BH223" s="55"/>
      <c r="BI223" s="55"/>
      <c r="BJ223" s="55"/>
      <c r="BK223" s="56"/>
    </row>
    <row r="224" spans="1:63" s="315" customFormat="1" ht="15" customHeight="1" x14ac:dyDescent="0.25">
      <c r="A224" s="25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6"/>
      <c r="M224" s="341"/>
      <c r="N224" s="343"/>
      <c r="O224" s="343"/>
      <c r="P224" s="362" t="s">
        <v>105</v>
      </c>
      <c r="Q224" s="363"/>
      <c r="R224" s="363"/>
      <c r="S224" s="363"/>
      <c r="T224" s="363"/>
      <c r="U224" s="363"/>
      <c r="V224" s="364"/>
      <c r="W224" s="350" t="s">
        <v>109</v>
      </c>
      <c r="X224" s="351"/>
      <c r="Y224" s="351"/>
      <c r="Z224" s="351"/>
      <c r="AA224" s="351"/>
      <c r="AB224" s="351"/>
      <c r="AC224" s="351"/>
      <c r="AD224" s="351"/>
      <c r="AE224" s="351"/>
      <c r="AF224" s="351"/>
      <c r="AG224" s="351"/>
      <c r="AH224" s="351"/>
      <c r="AI224" s="351"/>
      <c r="AJ224" s="351"/>
      <c r="AK224" s="351"/>
      <c r="AL224" s="351"/>
      <c r="AM224" s="352"/>
      <c r="AN224" s="341"/>
      <c r="AO224" s="341"/>
      <c r="AP224" s="341"/>
      <c r="AQ224" s="341"/>
      <c r="AR224" s="341"/>
      <c r="AS224" s="341"/>
      <c r="AT224" s="341"/>
      <c r="AU224" s="25"/>
      <c r="AV224" s="43"/>
      <c r="AW224" s="43"/>
      <c r="AX224" s="43"/>
      <c r="AY224" s="43"/>
      <c r="AZ224" s="43"/>
      <c r="BA224" s="43"/>
      <c r="BB224" s="43"/>
      <c r="BC224" s="43"/>
      <c r="BD224" s="43"/>
      <c r="BE224" s="26"/>
      <c r="BF224" s="54"/>
      <c r="BG224" s="55"/>
      <c r="BH224" s="55"/>
      <c r="BI224" s="55"/>
      <c r="BJ224" s="55"/>
      <c r="BK224" s="56"/>
    </row>
    <row r="225" spans="1:63" s="315" customFormat="1" ht="15" customHeight="1" x14ac:dyDescent="0.25">
      <c r="A225" s="25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6"/>
      <c r="M225" s="341"/>
      <c r="N225" s="343"/>
      <c r="O225" s="343"/>
      <c r="P225" s="362" t="s">
        <v>106</v>
      </c>
      <c r="Q225" s="363"/>
      <c r="R225" s="363"/>
      <c r="S225" s="363"/>
      <c r="T225" s="363"/>
      <c r="U225" s="363"/>
      <c r="V225" s="364"/>
      <c r="W225" s="350" t="s">
        <v>109</v>
      </c>
      <c r="X225" s="351"/>
      <c r="Y225" s="351"/>
      <c r="Z225" s="351"/>
      <c r="AA225" s="351"/>
      <c r="AB225" s="351"/>
      <c r="AC225" s="351"/>
      <c r="AD225" s="351"/>
      <c r="AE225" s="351"/>
      <c r="AF225" s="351"/>
      <c r="AG225" s="351"/>
      <c r="AH225" s="351"/>
      <c r="AI225" s="351"/>
      <c r="AJ225" s="351"/>
      <c r="AK225" s="351"/>
      <c r="AL225" s="351"/>
      <c r="AM225" s="352"/>
      <c r="AN225" s="341"/>
      <c r="AO225" s="341"/>
      <c r="AP225" s="341"/>
      <c r="AQ225" s="341"/>
      <c r="AR225" s="341"/>
      <c r="AS225" s="341"/>
      <c r="AT225" s="341"/>
      <c r="AU225" s="25"/>
      <c r="AV225" s="43"/>
      <c r="AW225" s="43"/>
      <c r="AX225" s="43"/>
      <c r="AY225" s="43"/>
      <c r="AZ225" s="43"/>
      <c r="BA225" s="43"/>
      <c r="BB225" s="43"/>
      <c r="BC225" s="43"/>
      <c r="BD225" s="43"/>
      <c r="BE225" s="26"/>
      <c r="BF225" s="54"/>
      <c r="BG225" s="55"/>
      <c r="BH225" s="55"/>
      <c r="BI225" s="55"/>
      <c r="BJ225" s="55"/>
      <c r="BK225" s="56"/>
    </row>
    <row r="226" spans="1:63" s="315" customFormat="1" ht="15" customHeight="1" x14ac:dyDescent="0.25">
      <c r="A226" s="25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6"/>
      <c r="M226" s="341"/>
      <c r="N226" s="343"/>
      <c r="O226" s="343"/>
      <c r="P226" s="362" t="s">
        <v>107</v>
      </c>
      <c r="Q226" s="363"/>
      <c r="R226" s="363"/>
      <c r="S226" s="363"/>
      <c r="T226" s="363"/>
      <c r="U226" s="363"/>
      <c r="V226" s="364"/>
      <c r="W226" s="350" t="s">
        <v>109</v>
      </c>
      <c r="X226" s="351"/>
      <c r="Y226" s="351"/>
      <c r="Z226" s="351"/>
      <c r="AA226" s="351"/>
      <c r="AB226" s="351"/>
      <c r="AC226" s="351"/>
      <c r="AD226" s="351"/>
      <c r="AE226" s="351"/>
      <c r="AF226" s="351"/>
      <c r="AG226" s="351"/>
      <c r="AH226" s="351"/>
      <c r="AI226" s="351"/>
      <c r="AJ226" s="351"/>
      <c r="AK226" s="351"/>
      <c r="AL226" s="351"/>
      <c r="AM226" s="352"/>
      <c r="AN226" s="341"/>
      <c r="AO226" s="341"/>
      <c r="AP226" s="341"/>
      <c r="AQ226" s="341"/>
      <c r="AR226" s="341"/>
      <c r="AS226" s="341"/>
      <c r="AT226" s="341"/>
      <c r="AU226" s="25"/>
      <c r="AV226" s="43"/>
      <c r="AW226" s="43"/>
      <c r="AX226" s="43"/>
      <c r="AY226" s="43"/>
      <c r="AZ226" s="43"/>
      <c r="BA226" s="43"/>
      <c r="BB226" s="43"/>
      <c r="BC226" s="43"/>
      <c r="BD226" s="43"/>
      <c r="BE226" s="26"/>
      <c r="BF226" s="54"/>
      <c r="BG226" s="55"/>
      <c r="BH226" s="55"/>
      <c r="BI226" s="55"/>
      <c r="BJ226" s="55"/>
      <c r="BK226" s="56"/>
    </row>
    <row r="227" spans="1:63" s="315" customFormat="1" ht="15" customHeight="1" x14ac:dyDescent="0.25">
      <c r="A227" s="25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6"/>
      <c r="M227" s="341"/>
      <c r="N227" s="343"/>
      <c r="O227" s="343"/>
      <c r="P227" s="362" t="s">
        <v>108</v>
      </c>
      <c r="Q227" s="363"/>
      <c r="R227" s="363"/>
      <c r="S227" s="363"/>
      <c r="T227" s="363"/>
      <c r="U227" s="363"/>
      <c r="V227" s="364"/>
      <c r="W227" s="350" t="s">
        <v>109</v>
      </c>
      <c r="X227" s="351"/>
      <c r="Y227" s="351"/>
      <c r="Z227" s="351"/>
      <c r="AA227" s="351"/>
      <c r="AB227" s="351"/>
      <c r="AC227" s="351"/>
      <c r="AD227" s="351"/>
      <c r="AE227" s="351"/>
      <c r="AF227" s="351"/>
      <c r="AG227" s="351"/>
      <c r="AH227" s="351"/>
      <c r="AI227" s="351"/>
      <c r="AJ227" s="351"/>
      <c r="AK227" s="351"/>
      <c r="AL227" s="351"/>
      <c r="AM227" s="352"/>
      <c r="AN227" s="341"/>
      <c r="AO227" s="341"/>
      <c r="AP227" s="341"/>
      <c r="AQ227" s="341"/>
      <c r="AR227" s="341"/>
      <c r="AS227" s="341"/>
      <c r="AT227" s="341"/>
      <c r="AU227" s="25"/>
      <c r="AV227" s="43"/>
      <c r="AW227" s="43"/>
      <c r="AX227" s="43"/>
      <c r="AY227" s="43"/>
      <c r="AZ227" s="43"/>
      <c r="BA227" s="43"/>
      <c r="BB227" s="43"/>
      <c r="BC227" s="43"/>
      <c r="BD227" s="43"/>
      <c r="BE227" s="26"/>
      <c r="BF227" s="54"/>
      <c r="BG227" s="55"/>
      <c r="BH227" s="55"/>
      <c r="BI227" s="55"/>
      <c r="BJ227" s="55"/>
      <c r="BK227" s="56"/>
    </row>
    <row r="228" spans="1:63" s="315" customFormat="1" ht="15" customHeight="1" x14ac:dyDescent="0.25">
      <c r="A228" s="25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6"/>
      <c r="M228" s="341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25"/>
      <c r="AV228" s="43"/>
      <c r="AW228" s="43"/>
      <c r="AX228" s="43"/>
      <c r="AY228" s="43"/>
      <c r="AZ228" s="43"/>
      <c r="BA228" s="43"/>
      <c r="BB228" s="43"/>
      <c r="BC228" s="43"/>
      <c r="BD228" s="43"/>
      <c r="BE228" s="26"/>
      <c r="BF228" s="54"/>
      <c r="BG228" s="55"/>
      <c r="BH228" s="55"/>
      <c r="BI228" s="55"/>
      <c r="BJ228" s="55"/>
      <c r="BK228" s="56"/>
    </row>
    <row r="229" spans="1:63" s="315" customFormat="1" ht="15" customHeight="1" x14ac:dyDescent="0.25">
      <c r="A229" s="25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6"/>
      <c r="M229" s="341"/>
      <c r="N229" s="343"/>
      <c r="O229" s="341" t="s">
        <v>41</v>
      </c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343"/>
      <c r="AG229" s="343"/>
      <c r="AH229" s="343"/>
      <c r="AI229" s="343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25"/>
      <c r="AV229" s="43"/>
      <c r="AW229" s="43"/>
      <c r="AX229" s="43"/>
      <c r="AY229" s="43"/>
      <c r="AZ229" s="43"/>
      <c r="BA229" s="43"/>
      <c r="BB229" s="43"/>
      <c r="BC229" s="43"/>
      <c r="BD229" s="43"/>
      <c r="BE229" s="26"/>
      <c r="BF229" s="54"/>
      <c r="BG229" s="55"/>
      <c r="BH229" s="55"/>
      <c r="BI229" s="55"/>
      <c r="BJ229" s="55"/>
      <c r="BK229" s="56"/>
    </row>
    <row r="230" spans="1:63" s="315" customFormat="1" ht="15" customHeight="1" x14ac:dyDescent="0.25">
      <c r="A230" s="25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6"/>
      <c r="M230" s="341"/>
      <c r="N230" s="343"/>
      <c r="O230" s="343"/>
      <c r="P230" s="343" t="s">
        <v>193</v>
      </c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343"/>
      <c r="AG230" s="343"/>
      <c r="AH230" s="343"/>
      <c r="AI230" s="343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25"/>
      <c r="AV230" s="43"/>
      <c r="AW230" s="43"/>
      <c r="AX230" s="43"/>
      <c r="AY230" s="43"/>
      <c r="AZ230" s="43"/>
      <c r="BA230" s="43"/>
      <c r="BB230" s="43"/>
      <c r="BC230" s="43"/>
      <c r="BD230" s="43"/>
      <c r="BE230" s="26"/>
      <c r="BF230" s="54"/>
      <c r="BG230" s="55"/>
      <c r="BH230" s="55"/>
      <c r="BI230" s="55"/>
      <c r="BJ230" s="55"/>
      <c r="BK230" s="56"/>
    </row>
    <row r="231" spans="1:63" s="315" customFormat="1" ht="15" customHeight="1" x14ac:dyDescent="0.25">
      <c r="A231" s="25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6"/>
      <c r="M231" s="341"/>
      <c r="N231" s="343"/>
      <c r="O231" s="343"/>
      <c r="P231" s="343"/>
      <c r="Q231" s="58" t="s">
        <v>195</v>
      </c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60"/>
      <c r="AN231" s="341"/>
      <c r="AO231" s="341"/>
      <c r="AP231" s="341"/>
      <c r="AQ231" s="341"/>
      <c r="AR231" s="341"/>
      <c r="AS231" s="341"/>
      <c r="AT231" s="341"/>
      <c r="AU231" s="25"/>
      <c r="AV231" s="43"/>
      <c r="AW231" s="43"/>
      <c r="AX231" s="43"/>
      <c r="AY231" s="43"/>
      <c r="AZ231" s="43"/>
      <c r="BA231" s="43"/>
      <c r="BB231" s="43"/>
      <c r="BC231" s="43"/>
      <c r="BD231" s="43"/>
      <c r="BE231" s="26"/>
      <c r="BF231" s="54"/>
      <c r="BG231" s="55"/>
      <c r="BH231" s="55"/>
      <c r="BI231" s="55"/>
      <c r="BJ231" s="55"/>
      <c r="BK231" s="56"/>
    </row>
    <row r="232" spans="1:63" s="315" customFormat="1" ht="15" customHeight="1" x14ac:dyDescent="0.25">
      <c r="A232" s="25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6"/>
      <c r="M232" s="341"/>
      <c r="N232" s="343"/>
      <c r="O232" s="343"/>
      <c r="P232" s="343"/>
      <c r="Q232" s="353" t="s">
        <v>196</v>
      </c>
      <c r="R232" s="342"/>
      <c r="S232" s="342"/>
      <c r="T232" s="342"/>
      <c r="U232" s="342"/>
      <c r="V232" s="354"/>
      <c r="W232" s="342"/>
      <c r="X232" s="342"/>
      <c r="Y232" s="342"/>
      <c r="Z232" s="342"/>
      <c r="AA232" s="342"/>
      <c r="AB232" s="353" t="s">
        <v>202</v>
      </c>
      <c r="AC232" s="342"/>
      <c r="AD232" s="342"/>
      <c r="AE232" s="342"/>
      <c r="AF232" s="342"/>
      <c r="AG232" s="342"/>
      <c r="AH232" s="342"/>
      <c r="AI232" s="342"/>
      <c r="AJ232" s="342"/>
      <c r="AK232" s="342"/>
      <c r="AL232" s="342"/>
      <c r="AM232" s="355"/>
      <c r="AN232" s="341"/>
      <c r="AO232" s="341"/>
      <c r="AP232" s="341"/>
      <c r="AQ232" s="341"/>
      <c r="AR232" s="341"/>
      <c r="AS232" s="341"/>
      <c r="AT232" s="341"/>
      <c r="AU232" s="25"/>
      <c r="AV232" s="43"/>
      <c r="AW232" s="43"/>
      <c r="AX232" s="43"/>
      <c r="AY232" s="43"/>
      <c r="AZ232" s="43"/>
      <c r="BA232" s="43"/>
      <c r="BB232" s="43"/>
      <c r="BC232" s="43"/>
      <c r="BD232" s="43"/>
      <c r="BE232" s="26"/>
      <c r="BF232" s="54"/>
      <c r="BG232" s="55"/>
      <c r="BH232" s="55"/>
      <c r="BI232" s="55"/>
      <c r="BJ232" s="55"/>
      <c r="BK232" s="56"/>
    </row>
    <row r="233" spans="1:63" s="315" customFormat="1" ht="15" customHeight="1" x14ac:dyDescent="0.25">
      <c r="A233" s="25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6"/>
      <c r="M233" s="341"/>
      <c r="N233" s="343"/>
      <c r="O233" s="343"/>
      <c r="P233" s="343"/>
      <c r="Q233" s="353" t="s">
        <v>197</v>
      </c>
      <c r="R233" s="342"/>
      <c r="S233" s="342"/>
      <c r="T233" s="342"/>
      <c r="U233" s="342"/>
      <c r="V233" s="356"/>
      <c r="W233" s="342"/>
      <c r="X233" s="342"/>
      <c r="Y233" s="342"/>
      <c r="Z233" s="342"/>
      <c r="AA233" s="342"/>
      <c r="AB233" s="357" t="s">
        <v>203</v>
      </c>
      <c r="AC233" s="342"/>
      <c r="AD233" s="342"/>
      <c r="AE233" s="342"/>
      <c r="AF233" s="342"/>
      <c r="AG233" s="342"/>
      <c r="AH233" s="342"/>
      <c r="AI233" s="342"/>
      <c r="AJ233" s="342"/>
      <c r="AK233" s="342"/>
      <c r="AL233" s="342"/>
      <c r="AM233" s="355"/>
      <c r="AN233" s="341"/>
      <c r="AO233" s="341"/>
      <c r="AP233" s="341"/>
      <c r="AQ233" s="341"/>
      <c r="AR233" s="341"/>
      <c r="AS233" s="341"/>
      <c r="AT233" s="341"/>
      <c r="AU233" s="25"/>
      <c r="AV233" s="43"/>
      <c r="AW233" s="43"/>
      <c r="AX233" s="43"/>
      <c r="AY233" s="43"/>
      <c r="AZ233" s="43"/>
      <c r="BA233" s="43"/>
      <c r="BB233" s="43"/>
      <c r="BC233" s="43"/>
      <c r="BD233" s="43"/>
      <c r="BE233" s="26"/>
      <c r="BF233" s="54"/>
      <c r="BG233" s="55"/>
      <c r="BH233" s="55"/>
      <c r="BI233" s="55"/>
      <c r="BJ233" s="55"/>
      <c r="BK233" s="56"/>
    </row>
    <row r="234" spans="1:63" s="315" customFormat="1" ht="15" customHeight="1" x14ac:dyDescent="0.25">
      <c r="A234" s="25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6"/>
      <c r="M234" s="341"/>
      <c r="N234" s="343"/>
      <c r="O234" s="343"/>
      <c r="P234" s="343"/>
      <c r="Q234" s="358" t="s">
        <v>198</v>
      </c>
      <c r="R234" s="332"/>
      <c r="S234" s="332"/>
      <c r="T234" s="332"/>
      <c r="U234" s="332"/>
      <c r="V234" s="359"/>
      <c r="W234" s="332"/>
      <c r="X234" s="332"/>
      <c r="Y234" s="332"/>
      <c r="Z234" s="332"/>
      <c r="AA234" s="332"/>
      <c r="AB234" s="360" t="s">
        <v>122</v>
      </c>
      <c r="AC234" s="332"/>
      <c r="AD234" s="332"/>
      <c r="AE234" s="332"/>
      <c r="AF234" s="332"/>
      <c r="AG234" s="332"/>
      <c r="AH234" s="332"/>
      <c r="AI234" s="332"/>
      <c r="AJ234" s="332"/>
      <c r="AK234" s="332"/>
      <c r="AL234" s="332"/>
      <c r="AM234" s="361"/>
      <c r="AN234" s="341"/>
      <c r="AO234" s="341"/>
      <c r="AP234" s="341"/>
      <c r="AQ234" s="341"/>
      <c r="AR234" s="341"/>
      <c r="AS234" s="341"/>
      <c r="AT234" s="341"/>
      <c r="AU234" s="25"/>
      <c r="AV234" s="43"/>
      <c r="AW234" s="43"/>
      <c r="AX234" s="43"/>
      <c r="AY234" s="43"/>
      <c r="AZ234" s="43"/>
      <c r="BA234" s="43"/>
      <c r="BB234" s="43"/>
      <c r="BC234" s="43"/>
      <c r="BD234" s="43"/>
      <c r="BE234" s="26"/>
      <c r="BF234" s="54"/>
      <c r="BG234" s="55"/>
      <c r="BH234" s="55"/>
      <c r="BI234" s="55"/>
      <c r="BJ234" s="55"/>
      <c r="BK234" s="56"/>
    </row>
    <row r="235" spans="1:63" s="315" customFormat="1" ht="15" customHeight="1" x14ac:dyDescent="0.25">
      <c r="A235" s="25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6"/>
      <c r="M235" s="341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343"/>
      <c r="AG235" s="343"/>
      <c r="AH235" s="343"/>
      <c r="AI235" s="343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25"/>
      <c r="AV235" s="43"/>
      <c r="AW235" s="43"/>
      <c r="AX235" s="43"/>
      <c r="AY235" s="43"/>
      <c r="AZ235" s="43"/>
      <c r="BA235" s="43"/>
      <c r="BB235" s="43"/>
      <c r="BC235" s="43"/>
      <c r="BD235" s="43"/>
      <c r="BE235" s="26"/>
      <c r="BF235" s="54"/>
      <c r="BG235" s="55"/>
      <c r="BH235" s="55"/>
      <c r="BI235" s="55"/>
      <c r="BJ235" s="55"/>
      <c r="BK235" s="56"/>
    </row>
    <row r="236" spans="1:63" s="315" customFormat="1" ht="15" customHeight="1" x14ac:dyDescent="0.25">
      <c r="A236" s="25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6"/>
      <c r="M236" s="341"/>
      <c r="N236" s="343"/>
      <c r="O236" s="343"/>
      <c r="P236" s="343"/>
      <c r="Q236" s="343" t="s">
        <v>116</v>
      </c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343"/>
      <c r="AG236" s="343"/>
      <c r="AH236" s="343"/>
      <c r="AI236" s="343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25"/>
      <c r="AV236" s="43"/>
      <c r="AW236" s="43"/>
      <c r="AX236" s="43"/>
      <c r="AY236" s="43"/>
      <c r="AZ236" s="43"/>
      <c r="BA236" s="43"/>
      <c r="BB236" s="43"/>
      <c r="BC236" s="43"/>
      <c r="BD236" s="43"/>
      <c r="BE236" s="26"/>
      <c r="BF236" s="54"/>
      <c r="BG236" s="55"/>
      <c r="BH236" s="55"/>
      <c r="BI236" s="55"/>
      <c r="BJ236" s="55"/>
      <c r="BK236" s="56"/>
    </row>
    <row r="237" spans="1:63" s="315" customFormat="1" ht="15" customHeight="1" x14ac:dyDescent="0.25">
      <c r="A237" s="25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6"/>
      <c r="M237" s="341"/>
      <c r="N237" s="343"/>
      <c r="O237" s="343"/>
      <c r="P237" s="341" t="s">
        <v>194</v>
      </c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343"/>
      <c r="AG237" s="343"/>
      <c r="AH237" s="343"/>
      <c r="AI237" s="343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25"/>
      <c r="AV237" s="43"/>
      <c r="AW237" s="43"/>
      <c r="AX237" s="43"/>
      <c r="AY237" s="43"/>
      <c r="AZ237" s="43"/>
      <c r="BA237" s="43"/>
      <c r="BB237" s="43"/>
      <c r="BC237" s="43"/>
      <c r="BD237" s="43"/>
      <c r="BE237" s="26"/>
      <c r="BF237" s="54"/>
      <c r="BG237" s="55"/>
      <c r="BH237" s="55"/>
      <c r="BI237" s="55"/>
      <c r="BJ237" s="55"/>
      <c r="BK237" s="56"/>
    </row>
    <row r="238" spans="1:63" s="315" customFormat="1" ht="15" customHeight="1" x14ac:dyDescent="0.25">
      <c r="A238" s="25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6"/>
      <c r="M238" s="341"/>
      <c r="N238" s="343"/>
      <c r="O238" s="343"/>
      <c r="P238" s="343"/>
      <c r="Q238" s="343" t="s">
        <v>123</v>
      </c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343"/>
      <c r="AG238" s="343"/>
      <c r="AH238" s="343"/>
      <c r="AI238" s="343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25"/>
      <c r="AV238" s="43"/>
      <c r="AW238" s="43"/>
      <c r="AX238" s="43"/>
      <c r="AY238" s="43"/>
      <c r="AZ238" s="43"/>
      <c r="BA238" s="43"/>
      <c r="BB238" s="43"/>
      <c r="BC238" s="43"/>
      <c r="BD238" s="43"/>
      <c r="BE238" s="26"/>
      <c r="BF238" s="54"/>
      <c r="BG238" s="55"/>
      <c r="BH238" s="55"/>
      <c r="BI238" s="55"/>
      <c r="BJ238" s="55"/>
      <c r="BK238" s="56"/>
    </row>
    <row r="239" spans="1:63" s="315" customFormat="1" ht="15" customHeight="1" x14ac:dyDescent="0.25">
      <c r="A239" s="25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6"/>
      <c r="M239" s="341"/>
      <c r="N239" s="341"/>
      <c r="O239" s="343"/>
      <c r="P239" s="341"/>
      <c r="Q239" s="343" t="s">
        <v>239</v>
      </c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25"/>
      <c r="AV239" s="43"/>
      <c r="AW239" s="43"/>
      <c r="AX239" s="43"/>
      <c r="AY239" s="43"/>
      <c r="AZ239" s="43"/>
      <c r="BA239" s="43"/>
      <c r="BB239" s="43"/>
      <c r="BC239" s="43"/>
      <c r="BD239" s="43"/>
      <c r="BE239" s="26"/>
      <c r="BF239" s="165"/>
      <c r="BG239" s="166"/>
      <c r="BH239" s="166"/>
      <c r="BI239" s="166"/>
      <c r="BJ239" s="166"/>
      <c r="BK239" s="167"/>
    </row>
    <row r="240" spans="1:63" s="315" customFormat="1" ht="15" customHeight="1" x14ac:dyDescent="0.25">
      <c r="A240" s="25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6"/>
      <c r="M240" s="341"/>
      <c r="N240" s="57"/>
      <c r="O240" s="68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25"/>
      <c r="AV240" s="43"/>
      <c r="AW240" s="43"/>
      <c r="AX240" s="43"/>
      <c r="AY240" s="43"/>
      <c r="AZ240" s="43"/>
      <c r="BA240" s="43"/>
      <c r="BB240" s="43"/>
      <c r="BC240" s="43"/>
      <c r="BD240" s="43"/>
      <c r="BE240" s="26"/>
      <c r="BF240" s="165"/>
      <c r="BG240" s="166"/>
      <c r="BH240" s="166"/>
      <c r="BI240" s="166"/>
      <c r="BJ240" s="166"/>
      <c r="BK240" s="167"/>
    </row>
    <row r="241" spans="1:63" s="315" customFormat="1" ht="15" customHeight="1" x14ac:dyDescent="0.25">
      <c r="A241" s="27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9"/>
      <c r="M241" s="345"/>
      <c r="N241" s="346"/>
      <c r="O241" s="346"/>
      <c r="P241" s="346"/>
      <c r="Q241" s="346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347"/>
      <c r="AQ241" s="347"/>
      <c r="AR241" s="347"/>
      <c r="AS241" s="347"/>
      <c r="AT241" s="347"/>
      <c r="AU241" s="27"/>
      <c r="AV241" s="28"/>
      <c r="AW241" s="28"/>
      <c r="AX241" s="28"/>
      <c r="AY241" s="28"/>
      <c r="AZ241" s="28"/>
      <c r="BA241" s="28"/>
      <c r="BB241" s="28"/>
      <c r="BC241" s="28"/>
      <c r="BD241" s="28"/>
      <c r="BE241" s="29"/>
      <c r="BF241" s="168"/>
      <c r="BG241" s="169"/>
      <c r="BH241" s="169"/>
      <c r="BI241" s="169"/>
      <c r="BJ241" s="169"/>
      <c r="BK241" s="170"/>
    </row>
    <row r="242" spans="1:63" ht="15" customHeight="1" x14ac:dyDescent="0.25">
      <c r="BK242" s="16"/>
    </row>
    <row r="243" spans="1:63" ht="15" customHeight="1" x14ac:dyDescent="0.25">
      <c r="BK243" s="16"/>
    </row>
    <row r="244" spans="1:63" ht="15" customHeight="1" x14ac:dyDescent="0.25">
      <c r="BK244" s="16"/>
    </row>
    <row r="245" spans="1:63" s="72" customFormat="1" ht="15" customHeight="1" x14ac:dyDescent="0.25">
      <c r="A245" s="210" t="s">
        <v>205</v>
      </c>
      <c r="B245" s="211"/>
      <c r="C245" s="211"/>
      <c r="D245" s="211"/>
      <c r="E245" s="211"/>
      <c r="F245" s="212"/>
      <c r="G245" s="213" t="s">
        <v>127</v>
      </c>
      <c r="H245" s="213"/>
      <c r="I245" s="213"/>
      <c r="J245" s="213"/>
      <c r="K245" s="213"/>
      <c r="L245" s="213"/>
      <c r="M245" s="69" t="s">
        <v>128</v>
      </c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70"/>
      <c r="BI245" s="70"/>
      <c r="BJ245" s="70"/>
      <c r="BK245" s="71"/>
    </row>
    <row r="246" spans="1:63" s="72" customFormat="1" ht="15" customHeight="1" x14ac:dyDescent="0.25">
      <c r="A246" s="214" t="s">
        <v>206</v>
      </c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6"/>
      <c r="M246" s="214" t="s">
        <v>207</v>
      </c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  <c r="AA246" s="215"/>
      <c r="AB246" s="215"/>
      <c r="AC246" s="215"/>
      <c r="AD246" s="215"/>
      <c r="AE246" s="215"/>
      <c r="AF246" s="215"/>
      <c r="AG246" s="215"/>
      <c r="AH246" s="215"/>
      <c r="AI246" s="215"/>
      <c r="AJ246" s="215"/>
      <c r="AK246" s="215"/>
      <c r="AL246" s="215"/>
      <c r="AM246" s="215"/>
      <c r="AN246" s="215"/>
      <c r="AO246" s="215"/>
      <c r="AP246" s="215"/>
      <c r="AQ246" s="215"/>
      <c r="AR246" s="215"/>
      <c r="AS246" s="215"/>
      <c r="AT246" s="216"/>
      <c r="AU246" s="214" t="s">
        <v>210</v>
      </c>
      <c r="AV246" s="215"/>
      <c r="AW246" s="215"/>
      <c r="AX246" s="215"/>
      <c r="AY246" s="215"/>
      <c r="AZ246" s="215"/>
      <c r="BA246" s="215"/>
      <c r="BB246" s="215"/>
      <c r="BC246" s="215"/>
      <c r="BD246" s="215"/>
      <c r="BE246" s="215"/>
      <c r="BF246" s="214" t="s">
        <v>211</v>
      </c>
      <c r="BG246" s="215"/>
      <c r="BH246" s="215"/>
      <c r="BI246" s="215"/>
      <c r="BJ246" s="215"/>
      <c r="BK246" s="216"/>
    </row>
    <row r="247" spans="1:63" s="72" customFormat="1" ht="15" customHeight="1" x14ac:dyDescent="0.25">
      <c r="A247" s="217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9"/>
      <c r="M247" s="217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9"/>
      <c r="AU247" s="217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7"/>
      <c r="BG247" s="218"/>
      <c r="BH247" s="218"/>
      <c r="BI247" s="218"/>
      <c r="BJ247" s="218"/>
      <c r="BK247" s="219"/>
    </row>
    <row r="248" spans="1:63" s="72" customFormat="1" ht="15" customHeight="1" x14ac:dyDescent="0.25">
      <c r="A248" s="73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5"/>
      <c r="M248" s="48"/>
      <c r="N248" s="48"/>
      <c r="O248" s="48"/>
      <c r="P248" s="48"/>
      <c r="Q248" s="4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3"/>
      <c r="AV248" s="74"/>
      <c r="AW248" s="74"/>
      <c r="AX248" s="74"/>
      <c r="AY248" s="74"/>
      <c r="AZ248" s="74"/>
      <c r="BA248" s="74"/>
      <c r="BB248" s="74"/>
      <c r="BC248" s="74"/>
      <c r="BD248" s="74"/>
      <c r="BE248" s="75"/>
      <c r="BF248" s="220"/>
      <c r="BG248" s="221"/>
      <c r="BH248" s="221"/>
      <c r="BI248" s="221"/>
      <c r="BJ248" s="221"/>
      <c r="BK248" s="222"/>
    </row>
    <row r="249" spans="1:63" s="72" customFormat="1" ht="15" customHeight="1" x14ac:dyDescent="0.25">
      <c r="A249" s="77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9"/>
      <c r="M249" s="48"/>
      <c r="N249" s="80" t="s">
        <v>260</v>
      </c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77"/>
      <c r="AV249" s="78"/>
      <c r="AW249" s="78"/>
      <c r="AX249" s="78"/>
      <c r="AY249" s="78"/>
      <c r="AZ249" s="78"/>
      <c r="BA249" s="78"/>
      <c r="BB249" s="78"/>
      <c r="BC249" s="78"/>
      <c r="BD249" s="78"/>
      <c r="BE249" s="79"/>
      <c r="BF249" s="223"/>
      <c r="BG249" s="224"/>
      <c r="BH249" s="224"/>
      <c r="BI249" s="224"/>
      <c r="BJ249" s="224"/>
      <c r="BK249" s="225"/>
    </row>
    <row r="250" spans="1:63" s="72" customFormat="1" ht="15" customHeight="1" x14ac:dyDescent="0.25">
      <c r="A250" s="77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9"/>
      <c r="M250" s="48"/>
      <c r="N250" s="80"/>
      <c r="O250" s="48" t="s">
        <v>129</v>
      </c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77"/>
      <c r="AV250" s="78"/>
      <c r="AW250" s="78"/>
      <c r="AX250" s="78"/>
      <c r="AY250" s="78"/>
      <c r="AZ250" s="78"/>
      <c r="BA250" s="78"/>
      <c r="BB250" s="78"/>
      <c r="BC250" s="78"/>
      <c r="BD250" s="78"/>
      <c r="BE250" s="79"/>
      <c r="BF250" s="223"/>
      <c r="BG250" s="224"/>
      <c r="BH250" s="224"/>
      <c r="BI250" s="224"/>
      <c r="BJ250" s="224"/>
      <c r="BK250" s="225"/>
    </row>
    <row r="251" spans="1:63" s="72" customFormat="1" ht="15" customHeight="1" x14ac:dyDescent="0.25">
      <c r="A251" s="77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9"/>
      <c r="M251" s="48"/>
      <c r="N251" s="80"/>
      <c r="O251" s="48"/>
      <c r="P251" s="84" t="s">
        <v>261</v>
      </c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77"/>
      <c r="AV251" s="78"/>
      <c r="AW251" s="78"/>
      <c r="AX251" s="78"/>
      <c r="AY251" s="78"/>
      <c r="AZ251" s="78"/>
      <c r="BA251" s="78"/>
      <c r="BB251" s="78"/>
      <c r="BC251" s="78"/>
      <c r="BD251" s="78"/>
      <c r="BE251" s="79"/>
      <c r="BF251" s="223"/>
      <c r="BG251" s="224"/>
      <c r="BH251" s="224"/>
      <c r="BI251" s="224"/>
      <c r="BJ251" s="224"/>
      <c r="BK251" s="225"/>
    </row>
    <row r="252" spans="1:63" s="72" customFormat="1" ht="15" customHeight="1" x14ac:dyDescent="0.25">
      <c r="A252" s="77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9"/>
      <c r="M252" s="48"/>
      <c r="N252" s="80"/>
      <c r="O252" s="48"/>
      <c r="P252" s="48"/>
      <c r="Q252" s="84" t="s">
        <v>262</v>
      </c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77"/>
      <c r="AV252" s="78"/>
      <c r="AW252" s="78"/>
      <c r="AX252" s="78"/>
      <c r="AY252" s="78"/>
      <c r="AZ252" s="78"/>
      <c r="BA252" s="78"/>
      <c r="BB252" s="78"/>
      <c r="BC252" s="78"/>
      <c r="BD252" s="78"/>
      <c r="BE252" s="79"/>
      <c r="BF252" s="223"/>
      <c r="BG252" s="224"/>
      <c r="BH252" s="224"/>
      <c r="BI252" s="224"/>
      <c r="BJ252" s="224"/>
      <c r="BK252" s="225"/>
    </row>
    <row r="253" spans="1:63" s="72" customFormat="1" ht="15" customHeight="1" x14ac:dyDescent="0.25">
      <c r="A253" s="77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9"/>
      <c r="M253" s="48"/>
      <c r="N253" s="80"/>
      <c r="O253" s="48"/>
      <c r="P253" s="48"/>
      <c r="Q253" s="84" t="s">
        <v>131</v>
      </c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77"/>
      <c r="AV253" s="78"/>
      <c r="AW253" s="78"/>
      <c r="AX253" s="78"/>
      <c r="AY253" s="78"/>
      <c r="AZ253" s="78"/>
      <c r="BA253" s="78"/>
      <c r="BB253" s="78"/>
      <c r="BC253" s="78"/>
      <c r="BD253" s="78"/>
      <c r="BE253" s="79"/>
      <c r="BF253" s="223"/>
      <c r="BG253" s="224"/>
      <c r="BH253" s="224"/>
      <c r="BI253" s="224"/>
      <c r="BJ253" s="224"/>
      <c r="BK253" s="225"/>
    </row>
    <row r="254" spans="1:63" s="72" customFormat="1" ht="15" customHeight="1" x14ac:dyDescent="0.25">
      <c r="A254" s="77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9"/>
      <c r="M254" s="48"/>
      <c r="N254" s="80"/>
      <c r="O254" s="48"/>
      <c r="P254" s="84" t="s">
        <v>263</v>
      </c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77"/>
      <c r="AV254" s="78"/>
      <c r="AW254" s="78"/>
      <c r="AX254" s="78"/>
      <c r="AY254" s="78"/>
      <c r="AZ254" s="78"/>
      <c r="BA254" s="78"/>
      <c r="BB254" s="78"/>
      <c r="BC254" s="78"/>
      <c r="BD254" s="78"/>
      <c r="BE254" s="79"/>
      <c r="BF254" s="223"/>
      <c r="BG254" s="224"/>
      <c r="BH254" s="224"/>
      <c r="BI254" s="224"/>
      <c r="BJ254" s="224"/>
      <c r="BK254" s="225"/>
    </row>
    <row r="255" spans="1:63" s="72" customFormat="1" ht="15" customHeight="1" x14ac:dyDescent="0.25">
      <c r="A255" s="77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9"/>
      <c r="M255" s="85"/>
      <c r="N255" s="86" t="s">
        <v>264</v>
      </c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77"/>
      <c r="AV255" s="78"/>
      <c r="AW255" s="78"/>
      <c r="AX255" s="78"/>
      <c r="AY255" s="78"/>
      <c r="AZ255" s="78"/>
      <c r="BA255" s="78"/>
      <c r="BB255" s="78"/>
      <c r="BC255" s="78"/>
      <c r="BD255" s="78"/>
      <c r="BE255" s="79"/>
      <c r="BF255" s="223"/>
      <c r="BG255" s="224"/>
      <c r="BH255" s="224"/>
      <c r="BI255" s="224"/>
      <c r="BJ255" s="224"/>
      <c r="BK255" s="225"/>
    </row>
    <row r="256" spans="1:63" s="72" customFormat="1" ht="15" customHeight="1" x14ac:dyDescent="0.25">
      <c r="A256" s="77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9"/>
      <c r="M256" s="85"/>
      <c r="N256" s="80"/>
      <c r="O256" s="84" t="s">
        <v>64</v>
      </c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77"/>
      <c r="AV256" s="78"/>
      <c r="AW256" s="78"/>
      <c r="AX256" s="78"/>
      <c r="AY256" s="78"/>
      <c r="AZ256" s="78"/>
      <c r="BA256" s="78"/>
      <c r="BB256" s="78"/>
      <c r="BC256" s="78"/>
      <c r="BD256" s="78"/>
      <c r="BE256" s="79"/>
      <c r="BF256" s="81"/>
      <c r="BG256" s="82"/>
      <c r="BH256" s="82"/>
      <c r="BI256" s="82"/>
      <c r="BJ256" s="82"/>
      <c r="BK256" s="83"/>
    </row>
    <row r="257" spans="1:63" s="72" customFormat="1" ht="15" customHeight="1" x14ac:dyDescent="0.25">
      <c r="A257" s="77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9"/>
      <c r="M257" s="48"/>
      <c r="O257" s="84"/>
      <c r="P257" s="87" t="s">
        <v>208</v>
      </c>
      <c r="Q257" s="88"/>
      <c r="R257" s="88"/>
      <c r="S257" s="88"/>
      <c r="T257" s="88"/>
      <c r="U257" s="88"/>
      <c r="V257" s="88"/>
      <c r="W257" s="87" t="s">
        <v>209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9"/>
      <c r="AN257" s="48"/>
      <c r="AO257" s="48"/>
      <c r="AP257" s="48"/>
      <c r="AQ257" s="48"/>
      <c r="AR257" s="48"/>
      <c r="AS257" s="48"/>
      <c r="AT257" s="48"/>
      <c r="AU257" s="77"/>
      <c r="AV257" s="78"/>
      <c r="AW257" s="78"/>
      <c r="AX257" s="78"/>
      <c r="AY257" s="78"/>
      <c r="AZ257" s="78"/>
      <c r="BA257" s="78"/>
      <c r="BB257" s="78"/>
      <c r="BC257" s="78"/>
      <c r="BD257" s="78"/>
      <c r="BE257" s="79"/>
      <c r="BF257" s="81"/>
      <c r="BG257" s="82"/>
      <c r="BH257" s="82"/>
      <c r="BI257" s="82"/>
      <c r="BJ257" s="82"/>
      <c r="BK257" s="83"/>
    </row>
    <row r="258" spans="1:63" s="72" customFormat="1" ht="15" customHeight="1" x14ac:dyDescent="0.25">
      <c r="A258" s="77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9"/>
      <c r="M258" s="48"/>
      <c r="N258" s="84"/>
      <c r="O258" s="84"/>
      <c r="P258" s="90" t="s">
        <v>50</v>
      </c>
      <c r="Q258" s="91"/>
      <c r="R258" s="91"/>
      <c r="S258" s="91"/>
      <c r="T258" s="91"/>
      <c r="U258" s="91"/>
      <c r="V258" s="91"/>
      <c r="W258" s="92" t="s">
        <v>54</v>
      </c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4"/>
      <c r="AN258" s="48"/>
      <c r="AO258" s="48"/>
      <c r="AP258" s="48"/>
      <c r="AQ258" s="48"/>
      <c r="AR258" s="48"/>
      <c r="AS258" s="48"/>
      <c r="AT258" s="48"/>
      <c r="AU258" s="77"/>
      <c r="AV258" s="78"/>
      <c r="AW258" s="78"/>
      <c r="AX258" s="78"/>
      <c r="AY258" s="78"/>
      <c r="AZ258" s="78"/>
      <c r="BA258" s="78"/>
      <c r="BB258" s="78"/>
      <c r="BC258" s="78"/>
      <c r="BD258" s="78"/>
      <c r="BE258" s="79"/>
      <c r="BF258" s="81"/>
      <c r="BG258" s="82"/>
      <c r="BH258" s="82"/>
      <c r="BI258" s="82"/>
      <c r="BJ258" s="82"/>
      <c r="BK258" s="83"/>
    </row>
    <row r="259" spans="1:63" s="72" customFormat="1" ht="15" customHeight="1" x14ac:dyDescent="0.25">
      <c r="A259" s="77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9"/>
      <c r="M259" s="48"/>
      <c r="N259" s="84"/>
      <c r="O259" s="84"/>
      <c r="P259" s="90" t="s">
        <v>100</v>
      </c>
      <c r="Q259" s="91"/>
      <c r="R259" s="91"/>
      <c r="S259" s="91"/>
      <c r="T259" s="91"/>
      <c r="U259" s="91"/>
      <c r="V259" s="91"/>
      <c r="W259" s="92" t="s">
        <v>40</v>
      </c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4"/>
      <c r="AN259" s="48"/>
      <c r="AO259" s="48"/>
      <c r="AP259" s="48"/>
      <c r="AQ259" s="48"/>
      <c r="AR259" s="48"/>
      <c r="AS259" s="48"/>
      <c r="AT259" s="48"/>
      <c r="AU259" s="77"/>
      <c r="AV259" s="78"/>
      <c r="AW259" s="78"/>
      <c r="AX259" s="78"/>
      <c r="AY259" s="78"/>
      <c r="AZ259" s="78"/>
      <c r="BA259" s="78"/>
      <c r="BB259" s="78"/>
      <c r="BC259" s="78"/>
      <c r="BD259" s="78"/>
      <c r="BE259" s="79"/>
      <c r="BF259" s="81"/>
      <c r="BG259" s="82"/>
      <c r="BH259" s="82"/>
      <c r="BI259" s="82"/>
      <c r="BJ259" s="82"/>
      <c r="BK259" s="83"/>
    </row>
    <row r="260" spans="1:63" s="72" customFormat="1" ht="15" customHeight="1" x14ac:dyDescent="0.25">
      <c r="A260" s="77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9"/>
      <c r="M260" s="48"/>
      <c r="N260" s="84"/>
      <c r="O260" s="84"/>
      <c r="P260" s="90" t="s">
        <v>52</v>
      </c>
      <c r="Q260" s="91"/>
      <c r="R260" s="91"/>
      <c r="S260" s="91"/>
      <c r="T260" s="91"/>
      <c r="U260" s="91"/>
      <c r="V260" s="91"/>
      <c r="W260" s="92" t="s">
        <v>110</v>
      </c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4"/>
      <c r="AN260" s="48"/>
      <c r="AO260" s="48"/>
      <c r="AP260" s="48"/>
      <c r="AQ260" s="48"/>
      <c r="AR260" s="48"/>
      <c r="AS260" s="48"/>
      <c r="AT260" s="48"/>
      <c r="AU260" s="77"/>
      <c r="AV260" s="78"/>
      <c r="AW260" s="78"/>
      <c r="AX260" s="78"/>
      <c r="AY260" s="78"/>
      <c r="AZ260" s="78"/>
      <c r="BA260" s="78"/>
      <c r="BB260" s="78"/>
      <c r="BC260" s="78"/>
      <c r="BD260" s="78"/>
      <c r="BE260" s="79"/>
      <c r="BF260" s="81"/>
      <c r="BG260" s="82"/>
      <c r="BH260" s="82"/>
      <c r="BI260" s="82"/>
      <c r="BJ260" s="82"/>
      <c r="BK260" s="83"/>
    </row>
    <row r="261" spans="1:63" s="72" customFormat="1" ht="15" customHeight="1" x14ac:dyDescent="0.25">
      <c r="A261" s="77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9"/>
      <c r="M261" s="48"/>
      <c r="N261" s="84"/>
      <c r="O261" s="84"/>
      <c r="P261" s="90" t="s">
        <v>53</v>
      </c>
      <c r="Q261" s="91"/>
      <c r="R261" s="91"/>
      <c r="S261" s="91"/>
      <c r="T261" s="91"/>
      <c r="U261" s="91"/>
      <c r="V261" s="91"/>
      <c r="W261" s="92" t="s">
        <v>110</v>
      </c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4"/>
      <c r="AN261" s="48"/>
      <c r="AO261" s="48"/>
      <c r="AP261" s="48"/>
      <c r="AQ261" s="48"/>
      <c r="AR261" s="48"/>
      <c r="AS261" s="48"/>
      <c r="AT261" s="48"/>
      <c r="AU261" s="77"/>
      <c r="AV261" s="78"/>
      <c r="AW261" s="78"/>
      <c r="AX261" s="78"/>
      <c r="AY261" s="78"/>
      <c r="AZ261" s="78"/>
      <c r="BA261" s="78"/>
      <c r="BB261" s="78"/>
      <c r="BC261" s="78"/>
      <c r="BD261" s="78"/>
      <c r="BE261" s="79"/>
      <c r="BF261" s="81"/>
      <c r="BG261" s="82"/>
      <c r="BH261" s="82"/>
      <c r="BI261" s="82"/>
      <c r="BJ261" s="82"/>
      <c r="BK261" s="83"/>
    </row>
    <row r="262" spans="1:63" s="72" customFormat="1" ht="15" customHeight="1" x14ac:dyDescent="0.25">
      <c r="A262" s="77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9"/>
      <c r="M262" s="48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77"/>
      <c r="AV262" s="78"/>
      <c r="AW262" s="78"/>
      <c r="AX262" s="78"/>
      <c r="AY262" s="78"/>
      <c r="AZ262" s="78"/>
      <c r="BA262" s="78"/>
      <c r="BB262" s="78"/>
      <c r="BC262" s="78"/>
      <c r="BD262" s="78"/>
      <c r="BE262" s="79"/>
      <c r="BF262" s="81"/>
      <c r="BG262" s="82"/>
      <c r="BH262" s="82"/>
      <c r="BI262" s="82"/>
      <c r="BJ262" s="82"/>
      <c r="BK262" s="83"/>
    </row>
    <row r="263" spans="1:63" s="72" customFormat="1" ht="15" customHeight="1" x14ac:dyDescent="0.25">
      <c r="A263" s="77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9"/>
      <c r="M263" s="48"/>
      <c r="N263" s="84"/>
      <c r="O263" s="48" t="s">
        <v>65</v>
      </c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77"/>
      <c r="AV263" s="78"/>
      <c r="AW263" s="78"/>
      <c r="AX263" s="78"/>
      <c r="AY263" s="78"/>
      <c r="AZ263" s="78"/>
      <c r="BA263" s="78"/>
      <c r="BB263" s="78"/>
      <c r="BC263" s="78"/>
      <c r="BD263" s="78"/>
      <c r="BE263" s="79"/>
      <c r="BF263" s="81"/>
      <c r="BG263" s="82"/>
      <c r="BH263" s="82"/>
      <c r="BI263" s="82"/>
      <c r="BJ263" s="82"/>
      <c r="BK263" s="83"/>
    </row>
    <row r="264" spans="1:63" s="72" customFormat="1" ht="15" customHeight="1" x14ac:dyDescent="0.25">
      <c r="A264" s="77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9"/>
      <c r="M264" s="48"/>
      <c r="N264" s="84"/>
      <c r="O264" s="84"/>
      <c r="P264" s="84" t="s">
        <v>42</v>
      </c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77"/>
      <c r="AV264" s="78"/>
      <c r="AW264" s="78"/>
      <c r="AX264" s="78"/>
      <c r="AY264" s="78"/>
      <c r="AZ264" s="78"/>
      <c r="BA264" s="78"/>
      <c r="BB264" s="78"/>
      <c r="BC264" s="78"/>
      <c r="BD264" s="78"/>
      <c r="BE264" s="79"/>
      <c r="BF264" s="81"/>
      <c r="BG264" s="82"/>
      <c r="BH264" s="82"/>
      <c r="BI264" s="82"/>
      <c r="BJ264" s="82"/>
      <c r="BK264" s="83"/>
    </row>
    <row r="265" spans="1:63" s="72" customFormat="1" ht="15" customHeight="1" x14ac:dyDescent="0.25">
      <c r="A265" s="77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9"/>
      <c r="M265" s="48"/>
      <c r="N265" s="84"/>
      <c r="O265" s="84"/>
      <c r="P265" s="84"/>
      <c r="Q265" s="87" t="s">
        <v>43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9"/>
      <c r="AN265" s="48"/>
      <c r="AO265" s="48"/>
      <c r="AP265" s="48"/>
      <c r="AQ265" s="48"/>
      <c r="AR265" s="48"/>
      <c r="AS265" s="48"/>
      <c r="AT265" s="48"/>
      <c r="AU265" s="77"/>
      <c r="AV265" s="78"/>
      <c r="AW265" s="78"/>
      <c r="AX265" s="78"/>
      <c r="AY265" s="78"/>
      <c r="AZ265" s="78"/>
      <c r="BA265" s="78"/>
      <c r="BB265" s="78"/>
      <c r="BC265" s="78"/>
      <c r="BD265" s="78"/>
      <c r="BE265" s="79"/>
      <c r="BF265" s="81"/>
      <c r="BG265" s="82"/>
      <c r="BH265" s="82"/>
      <c r="BI265" s="82"/>
      <c r="BJ265" s="82"/>
      <c r="BK265" s="83"/>
    </row>
    <row r="266" spans="1:63" s="72" customFormat="1" ht="15" customHeight="1" x14ac:dyDescent="0.25">
      <c r="A266" s="77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9"/>
      <c r="M266" s="48"/>
      <c r="N266" s="84"/>
      <c r="O266" s="84"/>
      <c r="P266" s="84"/>
      <c r="Q266" s="95" t="s">
        <v>44</v>
      </c>
      <c r="R266" s="76"/>
      <c r="S266" s="76"/>
      <c r="T266" s="76"/>
      <c r="U266" s="76"/>
      <c r="V266" s="96"/>
      <c r="W266" s="76"/>
      <c r="X266" s="76"/>
      <c r="Y266" s="76"/>
      <c r="Z266" s="76"/>
      <c r="AA266" s="76"/>
      <c r="AB266" s="95" t="s">
        <v>45</v>
      </c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97"/>
      <c r="AN266" s="48"/>
      <c r="AO266" s="48"/>
      <c r="AP266" s="48"/>
      <c r="AQ266" s="48"/>
      <c r="AR266" s="48"/>
      <c r="AS266" s="48"/>
      <c r="AT266" s="48"/>
      <c r="AU266" s="77"/>
      <c r="AV266" s="78"/>
      <c r="AW266" s="78"/>
      <c r="AX266" s="78"/>
      <c r="AY266" s="78"/>
      <c r="AZ266" s="78"/>
      <c r="BA266" s="78"/>
      <c r="BB266" s="78"/>
      <c r="BC266" s="78"/>
      <c r="BD266" s="78"/>
      <c r="BE266" s="79"/>
      <c r="BF266" s="81"/>
      <c r="BG266" s="82"/>
      <c r="BH266" s="82"/>
      <c r="BI266" s="82"/>
      <c r="BJ266" s="82"/>
      <c r="BK266" s="83"/>
    </row>
    <row r="267" spans="1:63" s="72" customFormat="1" ht="15" customHeight="1" x14ac:dyDescent="0.25">
      <c r="A267" s="77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9"/>
      <c r="M267" s="48"/>
      <c r="N267" s="84"/>
      <c r="O267" s="84"/>
      <c r="P267" s="84"/>
      <c r="Q267" s="95" t="s">
        <v>46</v>
      </c>
      <c r="R267" s="76"/>
      <c r="S267" s="76"/>
      <c r="T267" s="76"/>
      <c r="U267" s="76"/>
      <c r="V267" s="98"/>
      <c r="W267" s="76"/>
      <c r="X267" s="76"/>
      <c r="Y267" s="76"/>
      <c r="Z267" s="76"/>
      <c r="AA267" s="76"/>
      <c r="AB267" s="99" t="s">
        <v>47</v>
      </c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97"/>
      <c r="AN267" s="48"/>
      <c r="AO267" s="48"/>
      <c r="AP267" s="48"/>
      <c r="AQ267" s="48"/>
      <c r="AR267" s="48"/>
      <c r="AS267" s="48"/>
      <c r="AT267" s="48"/>
      <c r="AU267" s="77"/>
      <c r="AV267" s="78"/>
      <c r="AW267" s="78"/>
      <c r="AX267" s="78"/>
      <c r="AY267" s="78"/>
      <c r="AZ267" s="78"/>
      <c r="BA267" s="78"/>
      <c r="BB267" s="78"/>
      <c r="BC267" s="78"/>
      <c r="BD267" s="78"/>
      <c r="BE267" s="79"/>
      <c r="BF267" s="81"/>
      <c r="BG267" s="82"/>
      <c r="BH267" s="82"/>
      <c r="BI267" s="82"/>
      <c r="BJ267" s="82"/>
      <c r="BK267" s="83"/>
    </row>
    <row r="268" spans="1:63" s="72" customFormat="1" ht="15" customHeight="1" x14ac:dyDescent="0.25">
      <c r="A268" s="77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9"/>
      <c r="M268" s="48"/>
      <c r="N268" s="84"/>
      <c r="O268" s="84"/>
      <c r="P268" s="84"/>
      <c r="Q268" s="100" t="s">
        <v>48</v>
      </c>
      <c r="R268" s="69"/>
      <c r="S268" s="69"/>
      <c r="T268" s="69"/>
      <c r="U268" s="69"/>
      <c r="V268" s="101"/>
      <c r="W268" s="69"/>
      <c r="X268" s="69"/>
      <c r="Y268" s="69"/>
      <c r="Z268" s="69"/>
      <c r="AA268" s="69"/>
      <c r="AB268" s="102" t="s">
        <v>55</v>
      </c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103"/>
      <c r="AN268" s="48"/>
      <c r="AO268" s="48"/>
      <c r="AP268" s="48"/>
      <c r="AQ268" s="48"/>
      <c r="AR268" s="48"/>
      <c r="AS268" s="48"/>
      <c r="AT268" s="48"/>
      <c r="AU268" s="77"/>
      <c r="AV268" s="78"/>
      <c r="AW268" s="78"/>
      <c r="AX268" s="78"/>
      <c r="AY268" s="78"/>
      <c r="AZ268" s="78"/>
      <c r="BA268" s="78"/>
      <c r="BB268" s="78"/>
      <c r="BC268" s="78"/>
      <c r="BD268" s="78"/>
      <c r="BE268" s="79"/>
      <c r="BF268" s="81"/>
      <c r="BG268" s="82"/>
      <c r="BH268" s="82"/>
      <c r="BI268" s="82"/>
      <c r="BJ268" s="82"/>
      <c r="BK268" s="83"/>
    </row>
    <row r="269" spans="1:63" s="72" customFormat="1" ht="15" customHeight="1" x14ac:dyDescent="0.25">
      <c r="A269" s="77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9"/>
      <c r="M269" s="48"/>
      <c r="N269" s="84"/>
      <c r="O269" s="84"/>
      <c r="P269" s="84" t="s">
        <v>132</v>
      </c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77"/>
      <c r="AV269" s="78"/>
      <c r="AW269" s="78"/>
      <c r="AX269" s="78"/>
      <c r="AY269" s="78"/>
      <c r="AZ269" s="78"/>
      <c r="BA269" s="78"/>
      <c r="BB269" s="78"/>
      <c r="BC269" s="78"/>
      <c r="BD269" s="78"/>
      <c r="BE269" s="79"/>
      <c r="BF269" s="81"/>
      <c r="BG269" s="82"/>
      <c r="BH269" s="82"/>
      <c r="BI269" s="82"/>
      <c r="BJ269" s="82"/>
      <c r="BK269" s="83"/>
    </row>
    <row r="270" spans="1:63" s="72" customFormat="1" ht="15" customHeight="1" x14ac:dyDescent="0.25">
      <c r="A270" s="77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9"/>
      <c r="M270" s="48"/>
      <c r="N270" s="84"/>
      <c r="O270" s="84"/>
      <c r="P270" s="84" t="s">
        <v>134</v>
      </c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77"/>
      <c r="AV270" s="78"/>
      <c r="AW270" s="78"/>
      <c r="AX270" s="78"/>
      <c r="AY270" s="78"/>
      <c r="AZ270" s="78"/>
      <c r="BA270" s="78"/>
      <c r="BB270" s="78"/>
      <c r="BC270" s="78"/>
      <c r="BD270" s="78"/>
      <c r="BE270" s="79"/>
      <c r="BF270" s="81"/>
      <c r="BG270" s="82"/>
      <c r="BH270" s="82"/>
      <c r="BI270" s="82"/>
      <c r="BJ270" s="82"/>
      <c r="BK270" s="83"/>
    </row>
    <row r="271" spans="1:63" s="72" customFormat="1" ht="15" customHeight="1" x14ac:dyDescent="0.25">
      <c r="A271" s="77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9"/>
      <c r="M271" s="48"/>
      <c r="N271" s="84"/>
      <c r="O271" s="84"/>
      <c r="P271" s="84" t="s">
        <v>133</v>
      </c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77"/>
      <c r="AV271" s="78"/>
      <c r="AW271" s="78"/>
      <c r="AX271" s="78"/>
      <c r="AY271" s="78"/>
      <c r="AZ271" s="78"/>
      <c r="BA271" s="78"/>
      <c r="BB271" s="78"/>
      <c r="BC271" s="78"/>
      <c r="BD271" s="78"/>
      <c r="BE271" s="79"/>
      <c r="BF271" s="81"/>
      <c r="BG271" s="82"/>
      <c r="BH271" s="82"/>
      <c r="BI271" s="82"/>
      <c r="BJ271" s="82"/>
      <c r="BK271" s="83"/>
    </row>
    <row r="272" spans="1:63" s="72" customFormat="1" ht="15" customHeight="1" x14ac:dyDescent="0.25">
      <c r="A272" s="77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9"/>
      <c r="M272" s="48"/>
      <c r="N272" s="84"/>
      <c r="O272" s="84"/>
      <c r="P272" s="48" t="s">
        <v>49</v>
      </c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77"/>
      <c r="AV272" s="78"/>
      <c r="AW272" s="78"/>
      <c r="AX272" s="78"/>
      <c r="AY272" s="78"/>
      <c r="AZ272" s="78"/>
      <c r="BA272" s="78"/>
      <c r="BB272" s="78"/>
      <c r="BC272" s="78"/>
      <c r="BD272" s="78"/>
      <c r="BE272" s="79"/>
      <c r="BF272" s="81"/>
      <c r="BG272" s="82"/>
      <c r="BH272" s="82"/>
      <c r="BI272" s="82"/>
      <c r="BJ272" s="82"/>
      <c r="BK272" s="83"/>
    </row>
    <row r="273" spans="1:63" s="72" customFormat="1" ht="15" customHeight="1" x14ac:dyDescent="0.25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9"/>
      <c r="M273" s="48"/>
      <c r="N273" s="84"/>
      <c r="O273" s="84"/>
      <c r="P273" s="84"/>
      <c r="Q273" s="84" t="s">
        <v>130</v>
      </c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77"/>
      <c r="AV273" s="78"/>
      <c r="AW273" s="78"/>
      <c r="AX273" s="78"/>
      <c r="AY273" s="78"/>
      <c r="AZ273" s="78"/>
      <c r="BA273" s="78"/>
      <c r="BB273" s="78"/>
      <c r="BC273" s="78"/>
      <c r="BD273" s="78"/>
      <c r="BE273" s="79"/>
      <c r="BF273" s="81"/>
      <c r="BG273" s="82"/>
      <c r="BH273" s="82"/>
      <c r="BI273" s="82"/>
      <c r="BJ273" s="82"/>
      <c r="BK273" s="83"/>
    </row>
    <row r="274" spans="1:63" s="72" customFormat="1" ht="15" customHeight="1" x14ac:dyDescent="0.25">
      <c r="A274" s="77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9"/>
      <c r="M274" s="48"/>
      <c r="N274" s="48"/>
      <c r="O274" s="84"/>
      <c r="P274" s="48"/>
      <c r="Q274" s="84" t="s">
        <v>265</v>
      </c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77"/>
      <c r="AV274" s="78"/>
      <c r="AW274" s="78"/>
      <c r="AX274" s="78"/>
      <c r="AY274" s="78"/>
      <c r="AZ274" s="78"/>
      <c r="BA274" s="78"/>
      <c r="BB274" s="78"/>
      <c r="BC274" s="78"/>
      <c r="BD274" s="78"/>
      <c r="BE274" s="79"/>
      <c r="BF274" s="226"/>
      <c r="BG274" s="227"/>
      <c r="BH274" s="227"/>
      <c r="BI274" s="227"/>
      <c r="BJ274" s="227"/>
      <c r="BK274" s="228"/>
    </row>
    <row r="275" spans="1:63" s="72" customFormat="1" ht="15" customHeight="1" x14ac:dyDescent="0.25">
      <c r="A275" s="77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9"/>
      <c r="M275" s="48"/>
      <c r="N275" s="80"/>
      <c r="O275" s="80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77"/>
      <c r="AV275" s="78"/>
      <c r="AW275" s="78"/>
      <c r="AX275" s="78"/>
      <c r="AY275" s="78"/>
      <c r="AZ275" s="78"/>
      <c r="BA275" s="78"/>
      <c r="BB275" s="78"/>
      <c r="BC275" s="78"/>
      <c r="BD275" s="78"/>
      <c r="BE275" s="79"/>
      <c r="BF275" s="226"/>
      <c r="BG275" s="227"/>
      <c r="BH275" s="227"/>
      <c r="BI275" s="227"/>
      <c r="BJ275" s="227"/>
      <c r="BK275" s="228"/>
    </row>
    <row r="276" spans="1:63" s="72" customFormat="1" ht="15" customHeight="1" x14ac:dyDescent="0.25">
      <c r="A276" s="104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6"/>
      <c r="M276" s="107"/>
      <c r="N276" s="108"/>
      <c r="O276" s="108"/>
      <c r="P276" s="108"/>
      <c r="Q276" s="108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10"/>
      <c r="AQ276" s="110"/>
      <c r="AR276" s="110"/>
      <c r="AS276" s="110"/>
      <c r="AT276" s="110"/>
      <c r="AU276" s="104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6"/>
      <c r="BF276" s="229"/>
      <c r="BG276" s="230"/>
      <c r="BH276" s="230"/>
      <c r="BI276" s="230"/>
      <c r="BJ276" s="230"/>
      <c r="BK276" s="231"/>
    </row>
    <row r="277" spans="1:63" s="111" customFormat="1" ht="15" customHeight="1" x14ac:dyDescent="0.25">
      <c r="BK277" s="112"/>
    </row>
    <row r="278" spans="1:63" s="111" customFormat="1" ht="15" customHeight="1" x14ac:dyDescent="0.25">
      <c r="BK278" s="112"/>
    </row>
    <row r="279" spans="1:63" s="111" customFormat="1" ht="15" customHeight="1" x14ac:dyDescent="0.25">
      <c r="BK279" s="112"/>
    </row>
    <row r="280" spans="1:63" s="72" customFormat="1" ht="15" customHeight="1" x14ac:dyDescent="0.25">
      <c r="A280" s="210" t="s">
        <v>205</v>
      </c>
      <c r="B280" s="211"/>
      <c r="C280" s="211"/>
      <c r="D280" s="211"/>
      <c r="E280" s="211"/>
      <c r="F280" s="212"/>
      <c r="G280" s="213" t="s">
        <v>135</v>
      </c>
      <c r="H280" s="213"/>
      <c r="I280" s="213"/>
      <c r="J280" s="213"/>
      <c r="K280" s="213"/>
      <c r="L280" s="213"/>
      <c r="M280" s="69" t="s">
        <v>136</v>
      </c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70"/>
      <c r="BI280" s="70"/>
      <c r="BJ280" s="70"/>
      <c r="BK280" s="71"/>
    </row>
    <row r="281" spans="1:63" s="72" customFormat="1" ht="15" customHeight="1" x14ac:dyDescent="0.25">
      <c r="A281" s="214" t="s">
        <v>206</v>
      </c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6"/>
      <c r="M281" s="214" t="s">
        <v>207</v>
      </c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  <c r="AB281" s="215"/>
      <c r="AC281" s="215"/>
      <c r="AD281" s="215"/>
      <c r="AE281" s="215"/>
      <c r="AF281" s="215"/>
      <c r="AG281" s="215"/>
      <c r="AH281" s="215"/>
      <c r="AI281" s="215"/>
      <c r="AJ281" s="215"/>
      <c r="AK281" s="215"/>
      <c r="AL281" s="215"/>
      <c r="AM281" s="215"/>
      <c r="AN281" s="215"/>
      <c r="AO281" s="215"/>
      <c r="AP281" s="215"/>
      <c r="AQ281" s="215"/>
      <c r="AR281" s="215"/>
      <c r="AS281" s="215"/>
      <c r="AT281" s="216"/>
      <c r="AU281" s="214" t="s">
        <v>210</v>
      </c>
      <c r="AV281" s="215"/>
      <c r="AW281" s="215"/>
      <c r="AX281" s="215"/>
      <c r="AY281" s="215"/>
      <c r="AZ281" s="215"/>
      <c r="BA281" s="215"/>
      <c r="BB281" s="215"/>
      <c r="BC281" s="215"/>
      <c r="BD281" s="215"/>
      <c r="BE281" s="215"/>
      <c r="BF281" s="214" t="s">
        <v>211</v>
      </c>
      <c r="BG281" s="215"/>
      <c r="BH281" s="215"/>
      <c r="BI281" s="215"/>
      <c r="BJ281" s="215"/>
      <c r="BK281" s="216"/>
    </row>
    <row r="282" spans="1:63" s="72" customFormat="1" ht="15" customHeight="1" x14ac:dyDescent="0.25">
      <c r="A282" s="217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9"/>
      <c r="M282" s="217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9"/>
      <c r="AU282" s="217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7"/>
      <c r="BG282" s="218"/>
      <c r="BH282" s="218"/>
      <c r="BI282" s="218"/>
      <c r="BJ282" s="218"/>
      <c r="BK282" s="219"/>
    </row>
    <row r="283" spans="1:63" s="72" customFormat="1" ht="15" customHeight="1" x14ac:dyDescent="0.25">
      <c r="A283" s="73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5"/>
      <c r="M283" s="48"/>
      <c r="N283" s="48"/>
      <c r="O283" s="48"/>
      <c r="P283" s="48"/>
      <c r="Q283" s="4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3"/>
      <c r="AV283" s="74"/>
      <c r="AW283" s="74"/>
      <c r="AX283" s="74"/>
      <c r="AY283" s="74"/>
      <c r="AZ283" s="74"/>
      <c r="BA283" s="74"/>
      <c r="BB283" s="74"/>
      <c r="BC283" s="74"/>
      <c r="BD283" s="74"/>
      <c r="BE283" s="75"/>
      <c r="BF283" s="220"/>
      <c r="BG283" s="221"/>
      <c r="BH283" s="221"/>
      <c r="BI283" s="221"/>
      <c r="BJ283" s="221"/>
      <c r="BK283" s="222"/>
    </row>
    <row r="284" spans="1:63" s="72" customFormat="1" ht="15" customHeight="1" x14ac:dyDescent="0.25">
      <c r="A284" s="77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9"/>
      <c r="M284" s="48"/>
      <c r="N284" s="80" t="s">
        <v>266</v>
      </c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77"/>
      <c r="AV284" s="78"/>
      <c r="AW284" s="78"/>
      <c r="AX284" s="78"/>
      <c r="AY284" s="78"/>
      <c r="AZ284" s="78"/>
      <c r="BA284" s="78"/>
      <c r="BB284" s="78"/>
      <c r="BC284" s="78"/>
      <c r="BD284" s="78"/>
      <c r="BE284" s="79"/>
      <c r="BF284" s="223"/>
      <c r="BG284" s="224"/>
      <c r="BH284" s="224"/>
      <c r="BI284" s="224"/>
      <c r="BJ284" s="224"/>
      <c r="BK284" s="225"/>
    </row>
    <row r="285" spans="1:63" s="72" customFormat="1" ht="15" customHeight="1" x14ac:dyDescent="0.25">
      <c r="A285" s="77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9"/>
      <c r="M285" s="48"/>
      <c r="N285" s="80"/>
      <c r="O285" s="48" t="s">
        <v>267</v>
      </c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77"/>
      <c r="AV285" s="78"/>
      <c r="AW285" s="78"/>
      <c r="AX285" s="78"/>
      <c r="AY285" s="78"/>
      <c r="AZ285" s="78"/>
      <c r="BA285" s="78"/>
      <c r="BB285" s="78"/>
      <c r="BC285" s="78"/>
      <c r="BD285" s="78"/>
      <c r="BE285" s="79"/>
      <c r="BF285" s="223"/>
      <c r="BG285" s="224"/>
      <c r="BH285" s="224"/>
      <c r="BI285" s="224"/>
      <c r="BJ285" s="224"/>
      <c r="BK285" s="225"/>
    </row>
    <row r="286" spans="1:63" s="72" customFormat="1" ht="15" customHeight="1" x14ac:dyDescent="0.25">
      <c r="A286" s="77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9"/>
      <c r="M286" s="48"/>
      <c r="N286" s="80"/>
      <c r="O286" s="48"/>
      <c r="P286" s="48" t="s">
        <v>137</v>
      </c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77"/>
      <c r="AV286" s="78"/>
      <c r="AW286" s="78"/>
      <c r="AX286" s="78"/>
      <c r="AY286" s="78"/>
      <c r="AZ286" s="78"/>
      <c r="BA286" s="78"/>
      <c r="BB286" s="78"/>
      <c r="BC286" s="78"/>
      <c r="BD286" s="78"/>
      <c r="BE286" s="79"/>
      <c r="BF286" s="223"/>
      <c r="BG286" s="224"/>
      <c r="BH286" s="224"/>
      <c r="BI286" s="224"/>
      <c r="BJ286" s="224"/>
      <c r="BK286" s="225"/>
    </row>
    <row r="287" spans="1:63" s="72" customFormat="1" ht="15" customHeight="1" x14ac:dyDescent="0.25">
      <c r="A287" s="77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9"/>
      <c r="M287" s="48"/>
      <c r="N287" s="80"/>
      <c r="O287" s="48"/>
      <c r="P287" s="84" t="s">
        <v>268</v>
      </c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77"/>
      <c r="AV287" s="78"/>
      <c r="AW287" s="78"/>
      <c r="AX287" s="78"/>
      <c r="AY287" s="78"/>
      <c r="AZ287" s="78"/>
      <c r="BA287" s="78"/>
      <c r="BB287" s="78"/>
      <c r="BC287" s="78"/>
      <c r="BD287" s="78"/>
      <c r="BE287" s="79"/>
      <c r="BF287" s="223"/>
      <c r="BG287" s="224"/>
      <c r="BH287" s="224"/>
      <c r="BI287" s="224"/>
      <c r="BJ287" s="224"/>
      <c r="BK287" s="225"/>
    </row>
    <row r="288" spans="1:63" s="72" customFormat="1" ht="15" customHeight="1" x14ac:dyDescent="0.25">
      <c r="A288" s="77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9"/>
      <c r="M288" s="48"/>
      <c r="N288" s="80"/>
      <c r="O288" s="48"/>
      <c r="P288" s="48"/>
      <c r="Q288" s="84" t="s">
        <v>262</v>
      </c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77"/>
      <c r="AV288" s="78"/>
      <c r="AW288" s="78"/>
      <c r="AX288" s="78"/>
      <c r="AY288" s="78"/>
      <c r="AZ288" s="78"/>
      <c r="BA288" s="78"/>
      <c r="BB288" s="78"/>
      <c r="BC288" s="78"/>
      <c r="BD288" s="78"/>
      <c r="BE288" s="79"/>
      <c r="BF288" s="223"/>
      <c r="BG288" s="224"/>
      <c r="BH288" s="224"/>
      <c r="BI288" s="224"/>
      <c r="BJ288" s="224"/>
      <c r="BK288" s="225"/>
    </row>
    <row r="289" spans="1:63" s="72" customFormat="1" ht="15" customHeight="1" x14ac:dyDescent="0.25">
      <c r="A289" s="77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9"/>
      <c r="M289" s="48"/>
      <c r="N289" s="80"/>
      <c r="O289" s="48"/>
      <c r="P289" s="48"/>
      <c r="Q289" s="84" t="s">
        <v>131</v>
      </c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77"/>
      <c r="AV289" s="78"/>
      <c r="AW289" s="78"/>
      <c r="AX289" s="78"/>
      <c r="AY289" s="78"/>
      <c r="AZ289" s="78"/>
      <c r="BA289" s="78"/>
      <c r="BB289" s="78"/>
      <c r="BC289" s="78"/>
      <c r="BD289" s="78"/>
      <c r="BE289" s="79"/>
      <c r="BF289" s="223"/>
      <c r="BG289" s="224"/>
      <c r="BH289" s="224"/>
      <c r="BI289" s="224"/>
      <c r="BJ289" s="224"/>
      <c r="BK289" s="225"/>
    </row>
    <row r="290" spans="1:63" s="72" customFormat="1" ht="15" customHeight="1" x14ac:dyDescent="0.25">
      <c r="A290" s="77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9"/>
      <c r="M290" s="48"/>
      <c r="N290" s="80"/>
      <c r="O290" s="48"/>
      <c r="P290" s="84" t="s">
        <v>263</v>
      </c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77"/>
      <c r="AV290" s="78"/>
      <c r="AW290" s="78"/>
      <c r="AX290" s="78"/>
      <c r="AY290" s="78"/>
      <c r="AZ290" s="78"/>
      <c r="BA290" s="78"/>
      <c r="BB290" s="78"/>
      <c r="BC290" s="78"/>
      <c r="BD290" s="78"/>
      <c r="BE290" s="79"/>
      <c r="BF290" s="223"/>
      <c r="BG290" s="224"/>
      <c r="BH290" s="224"/>
      <c r="BI290" s="224"/>
      <c r="BJ290" s="224"/>
      <c r="BK290" s="225"/>
    </row>
    <row r="291" spans="1:63" s="72" customFormat="1" ht="15" customHeight="1" x14ac:dyDescent="0.25">
      <c r="A291" s="77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9"/>
      <c r="M291" s="85"/>
      <c r="N291" s="86" t="s">
        <v>264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77"/>
      <c r="AV291" s="78"/>
      <c r="AW291" s="78"/>
      <c r="AX291" s="78"/>
      <c r="AY291" s="78"/>
      <c r="AZ291" s="78"/>
      <c r="BA291" s="78"/>
      <c r="BB291" s="78"/>
      <c r="BC291" s="78"/>
      <c r="BD291" s="78"/>
      <c r="BE291" s="79"/>
      <c r="BF291" s="223"/>
      <c r="BG291" s="224"/>
      <c r="BH291" s="224"/>
      <c r="BI291" s="224"/>
      <c r="BJ291" s="224"/>
      <c r="BK291" s="225"/>
    </row>
    <row r="292" spans="1:63" s="72" customFormat="1" ht="15" customHeight="1" x14ac:dyDescent="0.25">
      <c r="A292" s="77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9"/>
      <c r="M292" s="85"/>
      <c r="N292" s="80"/>
      <c r="O292" s="84" t="s">
        <v>64</v>
      </c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77"/>
      <c r="AV292" s="78"/>
      <c r="AW292" s="78"/>
      <c r="AX292" s="78"/>
      <c r="AY292" s="78"/>
      <c r="AZ292" s="78"/>
      <c r="BA292" s="78"/>
      <c r="BB292" s="78"/>
      <c r="BC292" s="78"/>
      <c r="BD292" s="78"/>
      <c r="BE292" s="79"/>
      <c r="BF292" s="81"/>
      <c r="BG292" s="82"/>
      <c r="BH292" s="82"/>
      <c r="BI292" s="82"/>
      <c r="BJ292" s="82"/>
      <c r="BK292" s="83"/>
    </row>
    <row r="293" spans="1:63" s="72" customFormat="1" ht="15" customHeight="1" x14ac:dyDescent="0.25">
      <c r="A293" s="77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9"/>
      <c r="M293" s="48"/>
      <c r="O293" s="84"/>
      <c r="P293" s="87" t="s">
        <v>208</v>
      </c>
      <c r="Q293" s="88"/>
      <c r="R293" s="88"/>
      <c r="S293" s="88"/>
      <c r="T293" s="88"/>
      <c r="U293" s="88"/>
      <c r="V293" s="88"/>
      <c r="W293" s="87" t="s">
        <v>209</v>
      </c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9"/>
      <c r="AN293" s="48"/>
      <c r="AO293" s="48"/>
      <c r="AP293" s="48"/>
      <c r="AQ293" s="48"/>
      <c r="AR293" s="48"/>
      <c r="AS293" s="48"/>
      <c r="AT293" s="48"/>
      <c r="AU293" s="77"/>
      <c r="AV293" s="78"/>
      <c r="AW293" s="78"/>
      <c r="AX293" s="78"/>
      <c r="AY293" s="78"/>
      <c r="AZ293" s="78"/>
      <c r="BA293" s="78"/>
      <c r="BB293" s="78"/>
      <c r="BC293" s="78"/>
      <c r="BD293" s="78"/>
      <c r="BE293" s="79"/>
      <c r="BF293" s="81"/>
      <c r="BG293" s="82"/>
      <c r="BH293" s="82"/>
      <c r="BI293" s="82"/>
      <c r="BJ293" s="82"/>
      <c r="BK293" s="83"/>
    </row>
    <row r="294" spans="1:63" s="72" customFormat="1" ht="15" customHeight="1" x14ac:dyDescent="0.25">
      <c r="A294" s="77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9"/>
      <c r="M294" s="48"/>
      <c r="N294" s="84"/>
      <c r="O294" s="84"/>
      <c r="P294" s="90" t="s">
        <v>50</v>
      </c>
      <c r="Q294" s="91"/>
      <c r="R294" s="91"/>
      <c r="S294" s="91"/>
      <c r="T294" s="91"/>
      <c r="U294" s="91"/>
      <c r="V294" s="91"/>
      <c r="W294" s="92" t="s">
        <v>54</v>
      </c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4"/>
      <c r="AN294" s="48"/>
      <c r="AO294" s="48"/>
      <c r="AP294" s="48"/>
      <c r="AQ294" s="48"/>
      <c r="AR294" s="48"/>
      <c r="AS294" s="48"/>
      <c r="AT294" s="48"/>
      <c r="AU294" s="77"/>
      <c r="AV294" s="78"/>
      <c r="AW294" s="78"/>
      <c r="AX294" s="78"/>
      <c r="AY294" s="78"/>
      <c r="AZ294" s="78"/>
      <c r="BA294" s="78"/>
      <c r="BB294" s="78"/>
      <c r="BC294" s="78"/>
      <c r="BD294" s="78"/>
      <c r="BE294" s="79"/>
      <c r="BF294" s="81"/>
      <c r="BG294" s="82"/>
      <c r="BH294" s="82"/>
      <c r="BI294" s="82"/>
      <c r="BJ294" s="82"/>
      <c r="BK294" s="83"/>
    </row>
    <row r="295" spans="1:63" s="72" customFormat="1" ht="15" customHeight="1" x14ac:dyDescent="0.25">
      <c r="A295" s="77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9"/>
      <c r="M295" s="48"/>
      <c r="N295" s="84"/>
      <c r="O295" s="84"/>
      <c r="P295" s="90" t="s">
        <v>100</v>
      </c>
      <c r="Q295" s="91"/>
      <c r="R295" s="91"/>
      <c r="S295" s="91"/>
      <c r="T295" s="91"/>
      <c r="U295" s="91"/>
      <c r="V295" s="91"/>
      <c r="W295" s="92" t="s">
        <v>40</v>
      </c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4"/>
      <c r="AN295" s="48"/>
      <c r="AO295" s="48"/>
      <c r="AP295" s="48"/>
      <c r="AQ295" s="48"/>
      <c r="AR295" s="48"/>
      <c r="AS295" s="48"/>
      <c r="AT295" s="48"/>
      <c r="AU295" s="77"/>
      <c r="AV295" s="78"/>
      <c r="AW295" s="78"/>
      <c r="AX295" s="78"/>
      <c r="AY295" s="78"/>
      <c r="AZ295" s="78"/>
      <c r="BA295" s="78"/>
      <c r="BB295" s="78"/>
      <c r="BC295" s="78"/>
      <c r="BD295" s="78"/>
      <c r="BE295" s="79"/>
      <c r="BF295" s="81"/>
      <c r="BG295" s="82"/>
      <c r="BH295" s="82"/>
      <c r="BI295" s="82"/>
      <c r="BJ295" s="82"/>
      <c r="BK295" s="83"/>
    </row>
    <row r="296" spans="1:63" s="72" customFormat="1" ht="15" customHeight="1" x14ac:dyDescent="0.25">
      <c r="A296" s="77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9"/>
      <c r="M296" s="48"/>
      <c r="N296" s="84"/>
      <c r="O296" s="84"/>
      <c r="P296" s="90" t="s">
        <v>52</v>
      </c>
      <c r="Q296" s="91"/>
      <c r="R296" s="91"/>
      <c r="S296" s="91"/>
      <c r="T296" s="91"/>
      <c r="U296" s="91"/>
      <c r="V296" s="91"/>
      <c r="W296" s="92" t="s">
        <v>110</v>
      </c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4"/>
      <c r="AN296" s="48"/>
      <c r="AO296" s="48"/>
      <c r="AP296" s="48"/>
      <c r="AQ296" s="48"/>
      <c r="AR296" s="48"/>
      <c r="AS296" s="48"/>
      <c r="AT296" s="48"/>
      <c r="AU296" s="77"/>
      <c r="AV296" s="78"/>
      <c r="AW296" s="78"/>
      <c r="AX296" s="78"/>
      <c r="AY296" s="78"/>
      <c r="AZ296" s="78"/>
      <c r="BA296" s="78"/>
      <c r="BB296" s="78"/>
      <c r="BC296" s="78"/>
      <c r="BD296" s="78"/>
      <c r="BE296" s="79"/>
      <c r="BF296" s="81"/>
      <c r="BG296" s="82"/>
      <c r="BH296" s="82"/>
      <c r="BI296" s="82"/>
      <c r="BJ296" s="82"/>
      <c r="BK296" s="83"/>
    </row>
    <row r="297" spans="1:63" s="72" customFormat="1" ht="15" customHeight="1" x14ac:dyDescent="0.25">
      <c r="A297" s="77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9"/>
      <c r="M297" s="48"/>
      <c r="N297" s="84"/>
      <c r="O297" s="84"/>
      <c r="P297" s="90" t="s">
        <v>53</v>
      </c>
      <c r="Q297" s="91"/>
      <c r="R297" s="91"/>
      <c r="S297" s="91"/>
      <c r="T297" s="91"/>
      <c r="U297" s="91"/>
      <c r="V297" s="91"/>
      <c r="W297" s="92" t="s">
        <v>110</v>
      </c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4"/>
      <c r="AN297" s="48"/>
      <c r="AO297" s="48"/>
      <c r="AP297" s="48"/>
      <c r="AQ297" s="48"/>
      <c r="AR297" s="48"/>
      <c r="AS297" s="48"/>
      <c r="AT297" s="48"/>
      <c r="AU297" s="77"/>
      <c r="AV297" s="78"/>
      <c r="AW297" s="78"/>
      <c r="AX297" s="78"/>
      <c r="AY297" s="78"/>
      <c r="AZ297" s="78"/>
      <c r="BA297" s="78"/>
      <c r="BB297" s="78"/>
      <c r="BC297" s="78"/>
      <c r="BD297" s="78"/>
      <c r="BE297" s="79"/>
      <c r="BF297" s="81"/>
      <c r="BG297" s="82"/>
      <c r="BH297" s="82"/>
      <c r="BI297" s="82"/>
      <c r="BJ297" s="82"/>
      <c r="BK297" s="83"/>
    </row>
    <row r="298" spans="1:63" s="72" customFormat="1" ht="15" customHeight="1" x14ac:dyDescent="0.25">
      <c r="A298" s="77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9"/>
      <c r="M298" s="48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77"/>
      <c r="AV298" s="78"/>
      <c r="AW298" s="78"/>
      <c r="AX298" s="78"/>
      <c r="AY298" s="78"/>
      <c r="AZ298" s="78"/>
      <c r="BA298" s="78"/>
      <c r="BB298" s="78"/>
      <c r="BC298" s="78"/>
      <c r="BD298" s="78"/>
      <c r="BE298" s="79"/>
      <c r="BF298" s="81"/>
      <c r="BG298" s="82"/>
      <c r="BH298" s="82"/>
      <c r="BI298" s="82"/>
      <c r="BJ298" s="82"/>
      <c r="BK298" s="83"/>
    </row>
    <row r="299" spans="1:63" s="72" customFormat="1" ht="15" customHeight="1" x14ac:dyDescent="0.25">
      <c r="A299" s="77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9"/>
      <c r="M299" s="48"/>
      <c r="N299" s="84"/>
      <c r="O299" s="48" t="s">
        <v>65</v>
      </c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77"/>
      <c r="AV299" s="78"/>
      <c r="AW299" s="78"/>
      <c r="AX299" s="78"/>
      <c r="AY299" s="78"/>
      <c r="AZ299" s="78"/>
      <c r="BA299" s="78"/>
      <c r="BB299" s="78"/>
      <c r="BC299" s="78"/>
      <c r="BD299" s="78"/>
      <c r="BE299" s="79"/>
      <c r="BF299" s="81"/>
      <c r="BG299" s="82"/>
      <c r="BH299" s="82"/>
      <c r="BI299" s="82"/>
      <c r="BJ299" s="82"/>
      <c r="BK299" s="83"/>
    </row>
    <row r="300" spans="1:63" s="72" customFormat="1" ht="15" customHeight="1" x14ac:dyDescent="0.25">
      <c r="A300" s="77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9"/>
      <c r="M300" s="48"/>
      <c r="N300" s="84"/>
      <c r="O300" s="84"/>
      <c r="P300" s="84" t="s">
        <v>42</v>
      </c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77"/>
      <c r="AV300" s="78"/>
      <c r="AW300" s="78"/>
      <c r="AX300" s="78"/>
      <c r="AY300" s="78"/>
      <c r="AZ300" s="78"/>
      <c r="BA300" s="78"/>
      <c r="BB300" s="78"/>
      <c r="BC300" s="78"/>
      <c r="BD300" s="78"/>
      <c r="BE300" s="79"/>
      <c r="BF300" s="81"/>
      <c r="BG300" s="82"/>
      <c r="BH300" s="82"/>
      <c r="BI300" s="82"/>
      <c r="BJ300" s="82"/>
      <c r="BK300" s="83"/>
    </row>
    <row r="301" spans="1:63" s="72" customFormat="1" ht="15" customHeight="1" x14ac:dyDescent="0.25">
      <c r="A301" s="77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9"/>
      <c r="M301" s="48"/>
      <c r="N301" s="84"/>
      <c r="O301" s="84"/>
      <c r="P301" s="84"/>
      <c r="Q301" s="87" t="s">
        <v>43</v>
      </c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9"/>
      <c r="AN301" s="48"/>
      <c r="AO301" s="48"/>
      <c r="AP301" s="48"/>
      <c r="AQ301" s="48"/>
      <c r="AR301" s="48"/>
      <c r="AS301" s="48"/>
      <c r="AT301" s="48"/>
      <c r="AU301" s="77"/>
      <c r="AV301" s="78"/>
      <c r="AW301" s="78"/>
      <c r="AX301" s="78"/>
      <c r="AY301" s="78"/>
      <c r="AZ301" s="78"/>
      <c r="BA301" s="78"/>
      <c r="BB301" s="78"/>
      <c r="BC301" s="78"/>
      <c r="BD301" s="78"/>
      <c r="BE301" s="79"/>
      <c r="BF301" s="81"/>
      <c r="BG301" s="82"/>
      <c r="BH301" s="82"/>
      <c r="BI301" s="82"/>
      <c r="BJ301" s="82"/>
      <c r="BK301" s="83"/>
    </row>
    <row r="302" spans="1:63" s="72" customFormat="1" ht="15" customHeight="1" x14ac:dyDescent="0.25">
      <c r="A302" s="77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9"/>
      <c r="M302" s="48"/>
      <c r="N302" s="84"/>
      <c r="O302" s="84"/>
      <c r="P302" s="84"/>
      <c r="Q302" s="95" t="s">
        <v>44</v>
      </c>
      <c r="R302" s="76"/>
      <c r="S302" s="76"/>
      <c r="T302" s="76"/>
      <c r="U302" s="76"/>
      <c r="V302" s="96"/>
      <c r="W302" s="76"/>
      <c r="X302" s="76"/>
      <c r="Y302" s="76"/>
      <c r="Z302" s="76"/>
      <c r="AA302" s="76"/>
      <c r="AB302" s="95" t="s">
        <v>45</v>
      </c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97"/>
      <c r="AN302" s="48"/>
      <c r="AO302" s="48"/>
      <c r="AP302" s="48"/>
      <c r="AQ302" s="48"/>
      <c r="AR302" s="48"/>
      <c r="AS302" s="48"/>
      <c r="AT302" s="48"/>
      <c r="AU302" s="77"/>
      <c r="AV302" s="78"/>
      <c r="AW302" s="78"/>
      <c r="AX302" s="78"/>
      <c r="AY302" s="78"/>
      <c r="AZ302" s="78"/>
      <c r="BA302" s="78"/>
      <c r="BB302" s="78"/>
      <c r="BC302" s="78"/>
      <c r="BD302" s="78"/>
      <c r="BE302" s="79"/>
      <c r="BF302" s="81"/>
      <c r="BG302" s="82"/>
      <c r="BH302" s="82"/>
      <c r="BI302" s="82"/>
      <c r="BJ302" s="82"/>
      <c r="BK302" s="83"/>
    </row>
    <row r="303" spans="1:63" s="72" customFormat="1" ht="15" customHeight="1" x14ac:dyDescent="0.25">
      <c r="A303" s="77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9"/>
      <c r="M303" s="48"/>
      <c r="N303" s="84"/>
      <c r="O303" s="84"/>
      <c r="P303" s="84"/>
      <c r="Q303" s="95" t="s">
        <v>46</v>
      </c>
      <c r="R303" s="76"/>
      <c r="S303" s="76"/>
      <c r="T303" s="76"/>
      <c r="U303" s="76"/>
      <c r="V303" s="98"/>
      <c r="W303" s="76"/>
      <c r="X303" s="76"/>
      <c r="Y303" s="76"/>
      <c r="Z303" s="76"/>
      <c r="AA303" s="76"/>
      <c r="AB303" s="99" t="s">
        <v>47</v>
      </c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97"/>
      <c r="AN303" s="48"/>
      <c r="AO303" s="48"/>
      <c r="AP303" s="48"/>
      <c r="AQ303" s="48"/>
      <c r="AR303" s="48"/>
      <c r="AS303" s="48"/>
      <c r="AT303" s="48"/>
      <c r="AU303" s="77"/>
      <c r="AV303" s="78"/>
      <c r="AW303" s="78"/>
      <c r="AX303" s="78"/>
      <c r="AY303" s="78"/>
      <c r="AZ303" s="78"/>
      <c r="BA303" s="78"/>
      <c r="BB303" s="78"/>
      <c r="BC303" s="78"/>
      <c r="BD303" s="78"/>
      <c r="BE303" s="79"/>
      <c r="BF303" s="81"/>
      <c r="BG303" s="82"/>
      <c r="BH303" s="82"/>
      <c r="BI303" s="82"/>
      <c r="BJ303" s="82"/>
      <c r="BK303" s="83"/>
    </row>
    <row r="304" spans="1:63" s="72" customFormat="1" ht="15" customHeight="1" x14ac:dyDescent="0.25">
      <c r="A304" s="77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9"/>
      <c r="M304" s="48"/>
      <c r="N304" s="84"/>
      <c r="O304" s="84"/>
      <c r="P304" s="84"/>
      <c r="Q304" s="100" t="s">
        <v>48</v>
      </c>
      <c r="R304" s="69"/>
      <c r="S304" s="69"/>
      <c r="T304" s="69"/>
      <c r="U304" s="69"/>
      <c r="V304" s="101"/>
      <c r="W304" s="69"/>
      <c r="X304" s="69"/>
      <c r="Y304" s="69"/>
      <c r="Z304" s="69"/>
      <c r="AA304" s="69"/>
      <c r="AB304" s="102" t="s">
        <v>55</v>
      </c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103"/>
      <c r="AN304" s="48"/>
      <c r="AO304" s="48"/>
      <c r="AP304" s="48"/>
      <c r="AQ304" s="48"/>
      <c r="AR304" s="48"/>
      <c r="AS304" s="48"/>
      <c r="AT304" s="48"/>
      <c r="AU304" s="77"/>
      <c r="AV304" s="78"/>
      <c r="AW304" s="78"/>
      <c r="AX304" s="78"/>
      <c r="AY304" s="78"/>
      <c r="AZ304" s="78"/>
      <c r="BA304" s="78"/>
      <c r="BB304" s="78"/>
      <c r="BC304" s="78"/>
      <c r="BD304" s="78"/>
      <c r="BE304" s="79"/>
      <c r="BF304" s="81"/>
      <c r="BG304" s="82"/>
      <c r="BH304" s="82"/>
      <c r="BI304" s="82"/>
      <c r="BJ304" s="82"/>
      <c r="BK304" s="83"/>
    </row>
    <row r="305" spans="1:63" s="72" customFormat="1" ht="15" customHeight="1" x14ac:dyDescent="0.25">
      <c r="A305" s="77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9"/>
      <c r="M305" s="48"/>
      <c r="N305" s="84"/>
      <c r="O305" s="84"/>
      <c r="P305" s="84" t="s">
        <v>132</v>
      </c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77"/>
      <c r="AV305" s="78"/>
      <c r="AW305" s="78"/>
      <c r="AX305" s="78"/>
      <c r="AY305" s="78"/>
      <c r="AZ305" s="78"/>
      <c r="BA305" s="78"/>
      <c r="BB305" s="78"/>
      <c r="BC305" s="78"/>
      <c r="BD305" s="78"/>
      <c r="BE305" s="79"/>
      <c r="BF305" s="81"/>
      <c r="BG305" s="82"/>
      <c r="BH305" s="82"/>
      <c r="BI305" s="82"/>
      <c r="BJ305" s="82"/>
      <c r="BK305" s="83"/>
    </row>
    <row r="306" spans="1:63" s="72" customFormat="1" ht="15" customHeight="1" x14ac:dyDescent="0.25">
      <c r="A306" s="77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9"/>
      <c r="M306" s="48"/>
      <c r="N306" s="84"/>
      <c r="O306" s="84"/>
      <c r="P306" s="84" t="s">
        <v>138</v>
      </c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77"/>
      <c r="AV306" s="78"/>
      <c r="AW306" s="78"/>
      <c r="AX306" s="78"/>
      <c r="AY306" s="78"/>
      <c r="AZ306" s="78"/>
      <c r="BA306" s="78"/>
      <c r="BB306" s="78"/>
      <c r="BC306" s="78"/>
      <c r="BD306" s="78"/>
      <c r="BE306" s="79"/>
      <c r="BF306" s="81"/>
      <c r="BG306" s="82"/>
      <c r="BH306" s="82"/>
      <c r="BI306" s="82"/>
      <c r="BJ306" s="82"/>
      <c r="BK306" s="83"/>
    </row>
    <row r="307" spans="1:63" s="72" customFormat="1" ht="15" customHeight="1" x14ac:dyDescent="0.25">
      <c r="A307" s="77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9"/>
      <c r="M307" s="48"/>
      <c r="N307" s="84"/>
      <c r="O307" s="84"/>
      <c r="P307" s="84" t="s">
        <v>133</v>
      </c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77"/>
      <c r="AV307" s="78"/>
      <c r="AW307" s="78"/>
      <c r="AX307" s="78"/>
      <c r="AY307" s="78"/>
      <c r="AZ307" s="78"/>
      <c r="BA307" s="78"/>
      <c r="BB307" s="78"/>
      <c r="BC307" s="78"/>
      <c r="BD307" s="78"/>
      <c r="BE307" s="79"/>
      <c r="BF307" s="81"/>
      <c r="BG307" s="82"/>
      <c r="BH307" s="82"/>
      <c r="BI307" s="82"/>
      <c r="BJ307" s="82"/>
      <c r="BK307" s="83"/>
    </row>
    <row r="308" spans="1:63" s="72" customFormat="1" ht="15" customHeight="1" x14ac:dyDescent="0.25">
      <c r="A308" s="77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9"/>
      <c r="M308" s="48"/>
      <c r="N308" s="84"/>
      <c r="O308" s="84"/>
      <c r="P308" s="48" t="s">
        <v>49</v>
      </c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77"/>
      <c r="AV308" s="78"/>
      <c r="AW308" s="78"/>
      <c r="AX308" s="78"/>
      <c r="AY308" s="78"/>
      <c r="AZ308" s="78"/>
      <c r="BA308" s="78"/>
      <c r="BB308" s="78"/>
      <c r="BC308" s="78"/>
      <c r="BD308" s="78"/>
      <c r="BE308" s="79"/>
      <c r="BF308" s="81"/>
      <c r="BG308" s="82"/>
      <c r="BH308" s="82"/>
      <c r="BI308" s="82"/>
      <c r="BJ308" s="82"/>
      <c r="BK308" s="83"/>
    </row>
    <row r="309" spans="1:63" s="72" customFormat="1" ht="15" customHeight="1" x14ac:dyDescent="0.25">
      <c r="A309" s="77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9"/>
      <c r="M309" s="48"/>
      <c r="N309" s="84"/>
      <c r="O309" s="84"/>
      <c r="P309" s="84"/>
      <c r="Q309" s="84" t="s">
        <v>130</v>
      </c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77"/>
      <c r="AV309" s="78"/>
      <c r="AW309" s="78"/>
      <c r="AX309" s="78"/>
      <c r="AY309" s="78"/>
      <c r="AZ309" s="78"/>
      <c r="BA309" s="78"/>
      <c r="BB309" s="78"/>
      <c r="BC309" s="78"/>
      <c r="BD309" s="78"/>
      <c r="BE309" s="79"/>
      <c r="BF309" s="81"/>
      <c r="BG309" s="82"/>
      <c r="BH309" s="82"/>
      <c r="BI309" s="82"/>
      <c r="BJ309" s="82"/>
      <c r="BK309" s="83"/>
    </row>
    <row r="310" spans="1:63" s="72" customFormat="1" ht="15" customHeight="1" x14ac:dyDescent="0.25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9"/>
      <c r="M310" s="48"/>
      <c r="N310" s="48"/>
      <c r="O310" s="84"/>
      <c r="P310" s="48"/>
      <c r="Q310" s="84" t="s">
        <v>265</v>
      </c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77"/>
      <c r="AV310" s="78"/>
      <c r="AW310" s="78"/>
      <c r="AX310" s="78"/>
      <c r="AY310" s="78"/>
      <c r="AZ310" s="78"/>
      <c r="BA310" s="78"/>
      <c r="BB310" s="78"/>
      <c r="BC310" s="78"/>
      <c r="BD310" s="78"/>
      <c r="BE310" s="79"/>
      <c r="BF310" s="226"/>
      <c r="BG310" s="227"/>
      <c r="BH310" s="227"/>
      <c r="BI310" s="227"/>
      <c r="BJ310" s="227"/>
      <c r="BK310" s="228"/>
    </row>
    <row r="311" spans="1:63" s="72" customFormat="1" ht="15" customHeight="1" x14ac:dyDescent="0.25">
      <c r="A311" s="104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6"/>
      <c r="M311" s="107"/>
      <c r="N311" s="108"/>
      <c r="O311" s="108"/>
      <c r="P311" s="108"/>
      <c r="Q311" s="108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  <c r="AO311" s="109"/>
      <c r="AP311" s="110"/>
      <c r="AQ311" s="110"/>
      <c r="AR311" s="110"/>
      <c r="AS311" s="110"/>
      <c r="AT311" s="110"/>
      <c r="AU311" s="104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6"/>
      <c r="BF311" s="229"/>
      <c r="BG311" s="230"/>
      <c r="BH311" s="230"/>
      <c r="BI311" s="230"/>
      <c r="BJ311" s="230"/>
      <c r="BK311" s="231"/>
    </row>
    <row r="312" spans="1:63" ht="15" customHeight="1" x14ac:dyDescent="0.25"/>
    <row r="313" spans="1:63" ht="15" customHeight="1" x14ac:dyDescent="0.25"/>
    <row r="314" spans="1:63" ht="15" customHeight="1" x14ac:dyDescent="0.25"/>
    <row r="315" spans="1:63" ht="15" customHeight="1" x14ac:dyDescent="0.25"/>
    <row r="316" spans="1:63" ht="15" customHeight="1" x14ac:dyDescent="0.25"/>
    <row r="317" spans="1:63" ht="15" customHeight="1" x14ac:dyDescent="0.25"/>
    <row r="318" spans="1:63" ht="15" customHeight="1" x14ac:dyDescent="0.25"/>
    <row r="319" spans="1:63" ht="15" customHeight="1" x14ac:dyDescent="0.25"/>
    <row r="320" spans="1:6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</sheetData>
  <mergeCells count="119">
    <mergeCell ref="BF283:BK291"/>
    <mergeCell ref="BF310:BK311"/>
    <mergeCell ref="BF274:BK276"/>
    <mergeCell ref="A280:F280"/>
    <mergeCell ref="G280:L280"/>
    <mergeCell ref="A281:L282"/>
    <mergeCell ref="M281:AT282"/>
    <mergeCell ref="AU281:BE282"/>
    <mergeCell ref="BF281:BK282"/>
    <mergeCell ref="A245:F245"/>
    <mergeCell ref="G245:L245"/>
    <mergeCell ref="A246:L247"/>
    <mergeCell ref="M246:AT247"/>
    <mergeCell ref="AU246:BE247"/>
    <mergeCell ref="BF246:BK247"/>
    <mergeCell ref="BF248:BK255"/>
    <mergeCell ref="BF99:BK1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56:F56"/>
    <mergeCell ref="G56:L56"/>
    <mergeCell ref="A57:L58"/>
    <mergeCell ref="M57:AT58"/>
    <mergeCell ref="AU57:BE58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A124:F124"/>
    <mergeCell ref="G124:L124"/>
    <mergeCell ref="A125:L126"/>
    <mergeCell ref="M125:AT126"/>
    <mergeCell ref="AU125:BE126"/>
    <mergeCell ref="BF14:BK17"/>
    <mergeCell ref="BF71:BK73"/>
    <mergeCell ref="BF89:BK92"/>
    <mergeCell ref="BF97:BK98"/>
    <mergeCell ref="BF59:BK61"/>
    <mergeCell ref="BF62:BK63"/>
    <mergeCell ref="BF69:BK70"/>
    <mergeCell ref="BF49:BK51"/>
    <mergeCell ref="BF57:BK58"/>
    <mergeCell ref="A96:F96"/>
    <mergeCell ref="G96:L96"/>
    <mergeCell ref="A97:L98"/>
    <mergeCell ref="M97:AT98"/>
    <mergeCell ref="AU97:BE98"/>
    <mergeCell ref="A68:F68"/>
    <mergeCell ref="G68:L68"/>
    <mergeCell ref="A69:L70"/>
    <mergeCell ref="M69:AT70"/>
    <mergeCell ref="AU69:BE70"/>
    <mergeCell ref="A155:F155"/>
    <mergeCell ref="G155:L155"/>
    <mergeCell ref="A156:L157"/>
    <mergeCell ref="M156:AT157"/>
    <mergeCell ref="AU156:BE157"/>
    <mergeCell ref="BF125:BK126"/>
    <mergeCell ref="BF127:BK129"/>
    <mergeCell ref="BF148:BK151"/>
    <mergeCell ref="P133:V133"/>
    <mergeCell ref="P134:V134"/>
    <mergeCell ref="P135:V135"/>
    <mergeCell ref="P136:V136"/>
    <mergeCell ref="P167:V167"/>
    <mergeCell ref="BF179:BK181"/>
    <mergeCell ref="A185:F185"/>
    <mergeCell ref="G185:L185"/>
    <mergeCell ref="A186:L187"/>
    <mergeCell ref="M186:AT187"/>
    <mergeCell ref="AU186:BE187"/>
    <mergeCell ref="BF186:BK187"/>
    <mergeCell ref="BF156:BK157"/>
    <mergeCell ref="BF158:BK160"/>
    <mergeCell ref="P164:V164"/>
    <mergeCell ref="P165:V165"/>
    <mergeCell ref="P166:V166"/>
    <mergeCell ref="P226:V226"/>
    <mergeCell ref="BF239:BK241"/>
    <mergeCell ref="P227:V227"/>
    <mergeCell ref="BF209:BK211"/>
    <mergeCell ref="BF188:BK190"/>
    <mergeCell ref="P194:V194"/>
    <mergeCell ref="P195:V195"/>
    <mergeCell ref="P196:V196"/>
    <mergeCell ref="P197:V197"/>
    <mergeCell ref="A215:F215"/>
    <mergeCell ref="G215:L215"/>
    <mergeCell ref="A216:L217"/>
    <mergeCell ref="M216:AT217"/>
    <mergeCell ref="AU216:BE217"/>
    <mergeCell ref="BF216:BK217"/>
    <mergeCell ref="BF218:BK220"/>
    <mergeCell ref="P224:V224"/>
    <mergeCell ref="P225:V225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1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869C-9DD8-4851-9122-EB4CA7F5355C}">
  <sheetPr>
    <pageSetUpPr fitToPage="1"/>
  </sheetPr>
  <dimension ref="A1:BK443"/>
  <sheetViews>
    <sheetView showGridLines="0"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3" customWidth="1"/>
    <col min="64" max="16384" width="10.109375" style="113"/>
  </cols>
  <sheetData>
    <row r="1" spans="1:63" s="12" customFormat="1" ht="24.95" customHeight="1" x14ac:dyDescent="0.2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2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190" t="str">
        <f>IF(表紙!W1="","",表紙!W1)</f>
        <v>詳細設計書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23" t="s">
        <v>3</v>
      </c>
      <c r="AQ1" s="124"/>
      <c r="AR1" s="124"/>
      <c r="AS1" s="125"/>
      <c r="AT1" s="123" t="s">
        <v>4</v>
      </c>
      <c r="AU1" s="124"/>
      <c r="AV1" s="124"/>
      <c r="AW1" s="124"/>
      <c r="AX1" s="125"/>
      <c r="AY1" s="123" t="s">
        <v>5</v>
      </c>
      <c r="AZ1" s="124"/>
      <c r="BA1" s="124"/>
      <c r="BB1" s="125"/>
      <c r="BC1" s="123" t="s">
        <v>6</v>
      </c>
      <c r="BD1" s="124"/>
      <c r="BE1" s="124"/>
      <c r="BF1" s="124"/>
      <c r="BG1" s="125"/>
      <c r="BH1" s="123" t="s">
        <v>7</v>
      </c>
      <c r="BI1" s="124"/>
      <c r="BJ1" s="124"/>
      <c r="BK1" s="125"/>
    </row>
    <row r="2" spans="1:63" s="12" customFormat="1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193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5"/>
      <c r="AP2" s="6" t="str">
        <f>IF(表紙!AP2="","",表紙!AP2)</f>
        <v>DuNT</v>
      </c>
      <c r="AQ2" s="5"/>
      <c r="AR2" s="5"/>
      <c r="AS2" s="4"/>
      <c r="AT2" s="130">
        <f>IF(表紙!AT2="","",表紙!AT2)</f>
        <v>45533</v>
      </c>
      <c r="AU2" s="131"/>
      <c r="AV2" s="131"/>
      <c r="AW2" s="131"/>
      <c r="AX2" s="132"/>
      <c r="AY2" s="6" t="str">
        <f>IF(表紙!AY2="","",表紙!AY2)</f>
        <v>DuNT</v>
      </c>
      <c r="AZ2" s="5"/>
      <c r="BA2" s="5"/>
      <c r="BB2" s="4"/>
      <c r="BC2" s="130">
        <f>IF(表紙!BC2="","",表紙!BC2)</f>
        <v>45533</v>
      </c>
      <c r="BD2" s="131"/>
      <c r="BE2" s="131"/>
      <c r="BF2" s="131"/>
      <c r="BG2" s="132"/>
      <c r="BH2" s="6">
        <f>IF(表紙!BH2="","",表紙!BH2)</f>
        <v>0.1</v>
      </c>
      <c r="BI2" s="5"/>
      <c r="BJ2" s="5"/>
      <c r="BK2" s="4"/>
    </row>
    <row r="3" spans="1:63" s="12" customFormat="1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3"/>
      <c r="AQ3" s="2"/>
      <c r="AR3" s="2"/>
      <c r="AS3" s="1"/>
      <c r="AT3" s="133"/>
      <c r="AU3" s="134"/>
      <c r="AV3" s="134"/>
      <c r="AW3" s="134"/>
      <c r="AX3" s="135"/>
      <c r="AY3" s="3"/>
      <c r="AZ3" s="2"/>
      <c r="BA3" s="2"/>
      <c r="BB3" s="1"/>
      <c r="BC3" s="133"/>
      <c r="BD3" s="134"/>
      <c r="BE3" s="134"/>
      <c r="BF3" s="134"/>
      <c r="BG3" s="135"/>
      <c r="BH3" s="3"/>
      <c r="BI3" s="2"/>
      <c r="BJ3" s="2"/>
      <c r="BK3" s="1"/>
    </row>
    <row r="4" spans="1:63" s="12" customFormat="1" ht="24.95" customHeight="1" x14ac:dyDescent="0.25">
      <c r="A4" s="199" t="s">
        <v>29</v>
      </c>
      <c r="B4" s="188"/>
      <c r="C4" s="188"/>
      <c r="D4" s="188"/>
      <c r="E4" s="188"/>
      <c r="F4" s="188"/>
      <c r="G4" s="189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87" t="s">
        <v>8</v>
      </c>
      <c r="V4" s="188"/>
      <c r="W4" s="188"/>
      <c r="X4" s="188"/>
      <c r="Y4" s="189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MD0102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14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6"/>
    </row>
    <row r="6" spans="1:63" ht="15" customHeight="1" x14ac:dyDescent="0.2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9"/>
    </row>
    <row r="7" spans="1:63" s="17" customFormat="1" ht="15" customHeight="1" x14ac:dyDescent="0.25">
      <c r="A7" s="18" t="s">
        <v>26</v>
      </c>
      <c r="BK7" s="34"/>
    </row>
    <row r="8" spans="1:63" s="17" customFormat="1" ht="15" customHeight="1" x14ac:dyDescent="0.25">
      <c r="A8" s="18"/>
      <c r="BK8" s="34"/>
    </row>
    <row r="9" spans="1:63" s="17" customFormat="1" ht="15" customHeight="1" x14ac:dyDescent="0.25">
      <c r="A9" s="123" t="s">
        <v>16</v>
      </c>
      <c r="B9" s="124"/>
      <c r="C9" s="124"/>
      <c r="D9" s="124"/>
      <c r="E9" s="174" t="s">
        <v>139</v>
      </c>
      <c r="F9" s="174"/>
      <c r="G9" s="174"/>
      <c r="H9" s="174"/>
      <c r="I9" s="174"/>
      <c r="J9" s="174"/>
      <c r="K9" s="174"/>
      <c r="L9" s="174"/>
      <c r="M9" s="174"/>
      <c r="N9" s="174"/>
      <c r="O9" s="123" t="s">
        <v>17</v>
      </c>
      <c r="P9" s="124"/>
      <c r="Q9" s="124"/>
      <c r="R9" s="124"/>
      <c r="S9" s="124"/>
      <c r="T9" s="125"/>
      <c r="U9" s="201" t="s">
        <v>140</v>
      </c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3"/>
    </row>
    <row r="10" spans="1:63" ht="15" customHeight="1" x14ac:dyDescent="0.25">
      <c r="A10" s="120"/>
      <c r="BK10" s="121"/>
    </row>
    <row r="11" spans="1:63" s="17" customFormat="1" ht="15" customHeight="1" x14ac:dyDescent="0.25">
      <c r="A11" s="171" t="s">
        <v>18</v>
      </c>
      <c r="B11" s="172"/>
      <c r="C11" s="172"/>
      <c r="D11" s="172"/>
      <c r="E11" s="172"/>
      <c r="F11" s="173"/>
      <c r="G11" s="174" t="s">
        <v>141</v>
      </c>
      <c r="H11" s="174"/>
      <c r="I11" s="174"/>
      <c r="J11" s="174"/>
      <c r="K11" s="174"/>
      <c r="L11" s="174"/>
      <c r="M11" s="66" t="s">
        <v>33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42"/>
    </row>
    <row r="12" spans="1:63" s="17" customFormat="1" ht="15" customHeight="1" x14ac:dyDescent="0.25">
      <c r="A12" s="175" t="s">
        <v>20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7"/>
      <c r="M12" s="175" t="s">
        <v>21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7"/>
      <c r="AU12" s="175" t="s">
        <v>22</v>
      </c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5" t="s">
        <v>23</v>
      </c>
      <c r="BG12" s="176"/>
      <c r="BH12" s="176"/>
      <c r="BI12" s="176"/>
      <c r="BJ12" s="176"/>
      <c r="BK12" s="177"/>
    </row>
    <row r="13" spans="1:63" s="17" customFormat="1" ht="15" customHeight="1" x14ac:dyDescent="0.25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78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78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8"/>
      <c r="BG13" s="179"/>
      <c r="BH13" s="179"/>
      <c r="BI13" s="179"/>
      <c r="BJ13" s="179"/>
      <c r="BK13" s="180"/>
    </row>
    <row r="14" spans="1:63" s="17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44"/>
      <c r="N14" s="44"/>
      <c r="O14" s="44"/>
      <c r="P14" s="44"/>
      <c r="Q14" s="4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232" t="s">
        <v>213</v>
      </c>
      <c r="BG14" s="233"/>
      <c r="BH14" s="233"/>
      <c r="BI14" s="233"/>
      <c r="BJ14" s="233"/>
      <c r="BK14" s="234"/>
    </row>
    <row r="15" spans="1:63" s="17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44"/>
      <c r="N15" s="57" t="s">
        <v>34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235"/>
      <c r="BG15" s="236"/>
      <c r="BH15" s="236"/>
      <c r="BI15" s="236"/>
      <c r="BJ15" s="236"/>
      <c r="BK15" s="237"/>
    </row>
    <row r="16" spans="1:63" s="17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46"/>
      <c r="N16" s="44"/>
      <c r="O16" s="45" t="s">
        <v>142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235"/>
      <c r="BG16" s="236"/>
      <c r="BH16" s="236"/>
      <c r="BI16" s="236"/>
      <c r="BJ16" s="236"/>
      <c r="BK16" s="237"/>
    </row>
    <row r="17" spans="1:63" s="17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4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235"/>
      <c r="BG17" s="236"/>
      <c r="BH17" s="236"/>
      <c r="BI17" s="236"/>
      <c r="BJ17" s="236"/>
      <c r="BK17" s="237"/>
    </row>
    <row r="18" spans="1:63" s="17" customFormat="1" ht="15" customHeight="1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49"/>
      <c r="N18" s="50"/>
      <c r="O18" s="50"/>
      <c r="P18" s="50"/>
      <c r="Q18" s="50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30"/>
      <c r="AQ18" s="30"/>
      <c r="AR18" s="30"/>
      <c r="AS18" s="30"/>
      <c r="AT18" s="30"/>
      <c r="AU18" s="27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168"/>
      <c r="BG18" s="169"/>
      <c r="BH18" s="169"/>
      <c r="BI18" s="169"/>
      <c r="BJ18" s="169"/>
      <c r="BK18" s="170"/>
    </row>
    <row r="19" spans="1:63" ht="15" customHeight="1" x14ac:dyDescent="0.25">
      <c r="A19" s="117"/>
      <c r="BK19" s="121"/>
    </row>
    <row r="20" spans="1:63" ht="15" customHeight="1" x14ac:dyDescent="0.25">
      <c r="A20" s="120"/>
      <c r="BK20" s="121"/>
    </row>
    <row r="21" spans="1:63" ht="15" customHeight="1" x14ac:dyDescent="0.25">
      <c r="A21" s="120"/>
      <c r="BK21" s="121"/>
    </row>
    <row r="22" spans="1:63" s="17" customFormat="1" ht="15" customHeight="1" x14ac:dyDescent="0.25">
      <c r="A22" s="171" t="s">
        <v>18</v>
      </c>
      <c r="B22" s="172"/>
      <c r="C22" s="172"/>
      <c r="D22" s="172"/>
      <c r="E22" s="172"/>
      <c r="F22" s="173"/>
      <c r="G22" s="174" t="s">
        <v>143</v>
      </c>
      <c r="H22" s="174"/>
      <c r="I22" s="174"/>
      <c r="J22" s="174"/>
      <c r="K22" s="174"/>
      <c r="L22" s="174"/>
      <c r="M22" s="66" t="s">
        <v>144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20"/>
      <c r="BI22" s="20"/>
      <c r="BJ22" s="20"/>
      <c r="BK22" s="42"/>
    </row>
    <row r="23" spans="1:63" s="17" customFormat="1" ht="15" customHeight="1" x14ac:dyDescent="0.25">
      <c r="A23" s="175" t="s">
        <v>20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7"/>
      <c r="M23" s="175" t="s">
        <v>21</v>
      </c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7"/>
      <c r="AU23" s="175" t="s">
        <v>22</v>
      </c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5" t="s">
        <v>23</v>
      </c>
      <c r="BG23" s="176"/>
      <c r="BH23" s="176"/>
      <c r="BI23" s="176"/>
      <c r="BJ23" s="176"/>
      <c r="BK23" s="177"/>
    </row>
    <row r="24" spans="1:63" s="17" customFormat="1" ht="15" customHeight="1" x14ac:dyDescent="0.25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80"/>
      <c r="M24" s="178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80"/>
      <c r="AU24" s="178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8"/>
      <c r="BG24" s="179"/>
      <c r="BH24" s="179"/>
      <c r="BI24" s="179"/>
      <c r="BJ24" s="179"/>
      <c r="BK24" s="180"/>
    </row>
    <row r="25" spans="1:63" s="17" customFormat="1" ht="15" customHeight="1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44"/>
      <c r="N25" s="44"/>
      <c r="O25" s="44"/>
      <c r="P25" s="44"/>
      <c r="Q25" s="4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1"/>
      <c r="AV25" s="22"/>
      <c r="AW25" s="22"/>
      <c r="AX25" s="22"/>
      <c r="AY25" s="22"/>
      <c r="AZ25" s="22"/>
      <c r="BA25" s="22"/>
      <c r="BB25" s="22"/>
      <c r="BC25" s="22"/>
      <c r="BD25" s="22"/>
      <c r="BE25" s="23"/>
      <c r="BF25" s="232" t="s">
        <v>213</v>
      </c>
      <c r="BG25" s="233"/>
      <c r="BH25" s="233"/>
      <c r="BI25" s="233"/>
      <c r="BJ25" s="233"/>
      <c r="BK25" s="234"/>
    </row>
    <row r="26" spans="1:63" s="17" customFormat="1" ht="15" customHeight="1" x14ac:dyDescent="0.25">
      <c r="A26" s="2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6"/>
      <c r="M26" s="44"/>
      <c r="N26" s="57" t="s">
        <v>145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25"/>
      <c r="AV26" s="43"/>
      <c r="AW26" s="43"/>
      <c r="AX26" s="43"/>
      <c r="AY26" s="43"/>
      <c r="AZ26" s="43"/>
      <c r="BA26" s="43"/>
      <c r="BB26" s="43"/>
      <c r="BC26" s="43"/>
      <c r="BD26" s="43"/>
      <c r="BE26" s="26"/>
      <c r="BF26" s="235"/>
      <c r="BG26" s="236"/>
      <c r="BH26" s="236"/>
      <c r="BI26" s="236"/>
      <c r="BJ26" s="236"/>
      <c r="BK26" s="237"/>
    </row>
    <row r="27" spans="1:63" s="17" customFormat="1" ht="15" customHeight="1" x14ac:dyDescent="0.25">
      <c r="A27" s="25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6"/>
      <c r="M27" s="46"/>
      <c r="N27" s="44"/>
      <c r="O27" s="57" t="s">
        <v>146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25"/>
      <c r="AV27" s="43"/>
      <c r="AW27" s="43"/>
      <c r="AX27" s="43"/>
      <c r="AY27" s="43"/>
      <c r="AZ27" s="43"/>
      <c r="BA27" s="43"/>
      <c r="BB27" s="43"/>
      <c r="BC27" s="43"/>
      <c r="BD27" s="43"/>
      <c r="BE27" s="26"/>
      <c r="BF27" s="235"/>
      <c r="BG27" s="236"/>
      <c r="BH27" s="236"/>
      <c r="BI27" s="236"/>
      <c r="BJ27" s="236"/>
      <c r="BK27" s="237"/>
    </row>
    <row r="28" spans="1:63" s="17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4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235"/>
      <c r="BG28" s="236"/>
      <c r="BH28" s="236"/>
      <c r="BI28" s="236"/>
      <c r="BJ28" s="236"/>
      <c r="BK28" s="237"/>
    </row>
    <row r="29" spans="1:63" s="17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44"/>
      <c r="N29" s="4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235"/>
      <c r="BG29" s="236"/>
      <c r="BH29" s="236"/>
      <c r="BI29" s="236"/>
      <c r="BJ29" s="236"/>
      <c r="BK29" s="237"/>
    </row>
    <row r="30" spans="1:63" s="17" customFormat="1" ht="15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9"/>
      <c r="M30" s="49"/>
      <c r="N30" s="50"/>
      <c r="O30" s="50"/>
      <c r="P30" s="50"/>
      <c r="Q30" s="50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30"/>
      <c r="AQ30" s="30"/>
      <c r="AR30" s="30"/>
      <c r="AS30" s="30"/>
      <c r="AT30" s="30"/>
      <c r="AU30" s="27"/>
      <c r="AV30" s="28"/>
      <c r="AW30" s="28"/>
      <c r="AX30" s="28"/>
      <c r="AY30" s="28"/>
      <c r="AZ30" s="28"/>
      <c r="BA30" s="28"/>
      <c r="BB30" s="28"/>
      <c r="BC30" s="28"/>
      <c r="BD30" s="28"/>
      <c r="BE30" s="29"/>
      <c r="BF30" s="168"/>
      <c r="BG30" s="169"/>
      <c r="BH30" s="169"/>
      <c r="BI30" s="169"/>
      <c r="BJ30" s="169"/>
      <c r="BK30" s="170"/>
    </row>
    <row r="31" spans="1:63" ht="15" customHeight="1" x14ac:dyDescent="0.25">
      <c r="A31" s="120"/>
      <c r="BK31" s="121"/>
    </row>
    <row r="32" spans="1:63" ht="15" customHeight="1" x14ac:dyDescent="0.25">
      <c r="BK32" s="121"/>
    </row>
    <row r="33" spans="1:63" ht="15" customHeight="1" x14ac:dyDescent="0.25">
      <c r="A33" s="120"/>
      <c r="BK33" s="121"/>
    </row>
    <row r="34" spans="1:63" s="17" customFormat="1" ht="15" customHeight="1" x14ac:dyDescent="0.25">
      <c r="A34" s="171" t="s">
        <v>18</v>
      </c>
      <c r="B34" s="172"/>
      <c r="C34" s="172"/>
      <c r="D34" s="172"/>
      <c r="E34" s="172"/>
      <c r="F34" s="173"/>
      <c r="G34" s="174" t="s">
        <v>147</v>
      </c>
      <c r="H34" s="174"/>
      <c r="I34" s="174"/>
      <c r="J34" s="174"/>
      <c r="K34" s="174"/>
      <c r="L34" s="174"/>
      <c r="M34" s="66" t="s">
        <v>148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42"/>
    </row>
    <row r="35" spans="1:63" s="17" customFormat="1" ht="15" customHeight="1" x14ac:dyDescent="0.25">
      <c r="A35" s="175" t="s">
        <v>20</v>
      </c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7"/>
      <c r="M35" s="175" t="s">
        <v>21</v>
      </c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7"/>
      <c r="AU35" s="175" t="s">
        <v>22</v>
      </c>
      <c r="AV35" s="176"/>
      <c r="AW35" s="176"/>
      <c r="AX35" s="176"/>
      <c r="AY35" s="176"/>
      <c r="AZ35" s="176"/>
      <c r="BA35" s="176"/>
      <c r="BB35" s="176"/>
      <c r="BC35" s="176"/>
      <c r="BD35" s="176"/>
      <c r="BE35" s="176"/>
      <c r="BF35" s="175" t="s">
        <v>23</v>
      </c>
      <c r="BG35" s="176"/>
      <c r="BH35" s="176"/>
      <c r="BI35" s="176"/>
      <c r="BJ35" s="176"/>
      <c r="BK35" s="177"/>
    </row>
    <row r="36" spans="1:63" s="17" customFormat="1" ht="15" customHeight="1" x14ac:dyDescent="0.25">
      <c r="A36" s="178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78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78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8"/>
      <c r="BG36" s="179"/>
      <c r="BH36" s="179"/>
      <c r="BI36" s="179"/>
      <c r="BJ36" s="179"/>
      <c r="BK36" s="180"/>
    </row>
    <row r="37" spans="1:63" s="17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4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162" t="s">
        <v>171</v>
      </c>
      <c r="BG37" s="163"/>
      <c r="BH37" s="163"/>
      <c r="BI37" s="163"/>
      <c r="BJ37" s="163"/>
      <c r="BK37" s="164"/>
    </row>
    <row r="38" spans="1:63" s="17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44"/>
      <c r="N38" s="67" t="s">
        <v>149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162"/>
      <c r="BG38" s="163"/>
      <c r="BH38" s="163"/>
      <c r="BI38" s="163"/>
      <c r="BJ38" s="163"/>
      <c r="BK38" s="164"/>
    </row>
    <row r="39" spans="1:63" s="17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44"/>
      <c r="N39" s="67"/>
      <c r="O39" s="122" t="s">
        <v>150</v>
      </c>
      <c r="P39" s="122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162"/>
      <c r="BG39" s="163"/>
      <c r="BH39" s="163"/>
      <c r="BI39" s="163"/>
      <c r="BJ39" s="163"/>
      <c r="BK39" s="164"/>
    </row>
    <row r="40" spans="1:63" s="17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44"/>
      <c r="N40" s="67"/>
      <c r="O40" s="122"/>
      <c r="P40" s="122" t="s">
        <v>151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162"/>
      <c r="BG40" s="163"/>
      <c r="BH40" s="163"/>
      <c r="BI40" s="163"/>
      <c r="BJ40" s="163"/>
      <c r="BK40" s="164"/>
    </row>
    <row r="41" spans="1:63" s="17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44"/>
      <c r="N41" s="67"/>
      <c r="O41" s="45" t="s">
        <v>152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162"/>
      <c r="BG41" s="163"/>
      <c r="BH41" s="163"/>
      <c r="BI41" s="163"/>
      <c r="BJ41" s="163"/>
      <c r="BK41" s="164"/>
    </row>
    <row r="42" spans="1:63" s="17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44"/>
      <c r="N42" s="67"/>
      <c r="O42" s="45"/>
      <c r="P42" s="58" t="s">
        <v>38</v>
      </c>
      <c r="Q42" s="59"/>
      <c r="R42" s="59"/>
      <c r="S42" s="59"/>
      <c r="T42" s="59"/>
      <c r="U42" s="59"/>
      <c r="V42" s="59"/>
      <c r="W42" s="58" t="s">
        <v>39</v>
      </c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60"/>
      <c r="AN42" s="44"/>
      <c r="AO42" s="44"/>
      <c r="AP42" s="44"/>
      <c r="AQ42" s="44"/>
      <c r="AR42" s="44"/>
      <c r="AS42" s="44"/>
      <c r="AT42" s="44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162"/>
      <c r="BG42" s="163"/>
      <c r="BH42" s="163"/>
      <c r="BI42" s="163"/>
      <c r="BJ42" s="163"/>
      <c r="BK42" s="164"/>
    </row>
    <row r="43" spans="1:63" s="17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44"/>
      <c r="N43" s="44"/>
      <c r="O43" s="45"/>
      <c r="P43" s="61" t="s">
        <v>104</v>
      </c>
      <c r="Q43" s="62"/>
      <c r="R43" s="62"/>
      <c r="S43" s="62"/>
      <c r="T43" s="62"/>
      <c r="U43" s="62"/>
      <c r="V43" s="62"/>
      <c r="W43" s="63" t="s">
        <v>153</v>
      </c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5"/>
      <c r="AN43" s="44"/>
      <c r="AO43" s="44"/>
      <c r="AP43" s="44"/>
      <c r="AQ43" s="44"/>
      <c r="AR43" s="44"/>
      <c r="AS43" s="44"/>
      <c r="AT43" s="44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162"/>
      <c r="BG43" s="163"/>
      <c r="BH43" s="163"/>
      <c r="BI43" s="163"/>
      <c r="BJ43" s="163"/>
      <c r="BK43" s="164"/>
    </row>
    <row r="44" spans="1:63" s="17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44"/>
      <c r="N44" s="44"/>
      <c r="O44" s="45"/>
      <c r="P44" s="61" t="s">
        <v>154</v>
      </c>
      <c r="Q44" s="62"/>
      <c r="R44" s="62"/>
      <c r="S44" s="62"/>
      <c r="T44" s="62"/>
      <c r="U44" s="62"/>
      <c r="V44" s="62"/>
      <c r="W44" s="63" t="s">
        <v>155</v>
      </c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5"/>
      <c r="AN44" s="44"/>
      <c r="AO44" s="44"/>
      <c r="AP44" s="44"/>
      <c r="AQ44" s="44"/>
      <c r="AR44" s="44"/>
      <c r="AS44" s="44"/>
      <c r="AT44" s="44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162"/>
      <c r="BG44" s="163"/>
      <c r="BH44" s="163"/>
      <c r="BI44" s="163"/>
      <c r="BJ44" s="163"/>
      <c r="BK44" s="164"/>
    </row>
    <row r="45" spans="1:63" s="17" customFormat="1" ht="15" customHeight="1" x14ac:dyDescent="0.25">
      <c r="A45" s="2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6"/>
      <c r="M45" s="44"/>
      <c r="N45" s="4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25"/>
      <c r="AV45" s="43"/>
      <c r="AW45" s="43"/>
      <c r="AX45" s="43"/>
      <c r="AY45" s="43"/>
      <c r="AZ45" s="43"/>
      <c r="BA45" s="43"/>
      <c r="BB45" s="43"/>
      <c r="BC45" s="43"/>
      <c r="BD45" s="43"/>
      <c r="BE45" s="26"/>
      <c r="BF45" s="162"/>
      <c r="BG45" s="163"/>
      <c r="BH45" s="163"/>
      <c r="BI45" s="163"/>
      <c r="BJ45" s="163"/>
      <c r="BK45" s="164"/>
    </row>
    <row r="46" spans="1:63" s="17" customFormat="1" ht="15" customHeight="1" x14ac:dyDescent="0.25">
      <c r="A46" s="2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  <c r="M46" s="44"/>
      <c r="N46" s="44"/>
      <c r="O46" s="45"/>
      <c r="P46" s="45" t="s">
        <v>156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25"/>
      <c r="AV46" s="43"/>
      <c r="AW46" s="43"/>
      <c r="AX46" s="43"/>
      <c r="AY46" s="43"/>
      <c r="AZ46" s="43"/>
      <c r="BA46" s="43"/>
      <c r="BB46" s="43"/>
      <c r="BC46" s="43"/>
      <c r="BD46" s="43"/>
      <c r="BE46" s="26"/>
      <c r="BF46" s="162"/>
      <c r="BG46" s="163"/>
      <c r="BH46" s="163"/>
      <c r="BI46" s="163"/>
      <c r="BJ46" s="163"/>
      <c r="BK46" s="164"/>
    </row>
    <row r="47" spans="1:63" s="17" customFormat="1" ht="15" customHeight="1" x14ac:dyDescent="0.25">
      <c r="A47" s="2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6"/>
      <c r="M47" s="44"/>
      <c r="N47" s="44"/>
      <c r="O47" s="45" t="s">
        <v>41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25"/>
      <c r="AV47" s="43"/>
      <c r="AW47" s="43"/>
      <c r="AX47" s="43"/>
      <c r="AY47" s="43"/>
      <c r="AZ47" s="43"/>
      <c r="BA47" s="43"/>
      <c r="BB47" s="43"/>
      <c r="BC47" s="43"/>
      <c r="BD47" s="43"/>
      <c r="BE47" s="26"/>
      <c r="BF47" s="162"/>
      <c r="BG47" s="163"/>
      <c r="BH47" s="163"/>
      <c r="BI47" s="163"/>
      <c r="BJ47" s="163"/>
      <c r="BK47" s="164"/>
    </row>
    <row r="48" spans="1:63" s="17" customFormat="1" ht="15" customHeight="1" x14ac:dyDescent="0.25">
      <c r="A48" s="2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6"/>
      <c r="M48" s="44"/>
      <c r="N48" s="44"/>
      <c r="O48" s="45"/>
      <c r="P48" s="45" t="s">
        <v>157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25"/>
      <c r="AV48" s="43"/>
      <c r="AW48" s="43"/>
      <c r="AX48" s="43"/>
      <c r="AY48" s="43"/>
      <c r="AZ48" s="43"/>
      <c r="BA48" s="43"/>
      <c r="BB48" s="43"/>
      <c r="BC48" s="43"/>
      <c r="BD48" s="43"/>
      <c r="BE48" s="26"/>
      <c r="BF48" s="162"/>
      <c r="BG48" s="163"/>
      <c r="BH48" s="163"/>
      <c r="BI48" s="163"/>
      <c r="BJ48" s="163"/>
      <c r="BK48" s="164"/>
    </row>
    <row r="49" spans="1:63" s="17" customFormat="1" ht="15" customHeight="1" x14ac:dyDescent="0.25">
      <c r="A49" s="2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6"/>
      <c r="M49" s="44"/>
      <c r="N49" s="44"/>
      <c r="O49" s="45"/>
      <c r="P49" s="45"/>
      <c r="Q49" s="45" t="s">
        <v>212</v>
      </c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4"/>
      <c r="AO49" s="44"/>
      <c r="AP49" s="44"/>
      <c r="AQ49" s="44"/>
      <c r="AR49" s="44"/>
      <c r="AS49" s="44"/>
      <c r="AT49" s="44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26"/>
      <c r="BF49" s="162"/>
      <c r="BG49" s="163"/>
      <c r="BH49" s="163"/>
      <c r="BI49" s="163"/>
      <c r="BJ49" s="163"/>
      <c r="BK49" s="164"/>
    </row>
    <row r="50" spans="1:63" s="17" customFormat="1" ht="15" customHeight="1" x14ac:dyDescent="0.25">
      <c r="A50" s="2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6"/>
      <c r="M50" s="44"/>
      <c r="N50" s="44"/>
      <c r="O50" s="45"/>
      <c r="P50" s="45"/>
      <c r="Q50" s="45" t="s">
        <v>159</v>
      </c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4"/>
      <c r="AO50" s="44"/>
      <c r="AP50" s="44"/>
      <c r="AQ50" s="44"/>
      <c r="AR50" s="44"/>
      <c r="AS50" s="44"/>
      <c r="AT50" s="44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26"/>
      <c r="BF50" s="162"/>
      <c r="BG50" s="163"/>
      <c r="BH50" s="163"/>
      <c r="BI50" s="163"/>
      <c r="BJ50" s="163"/>
      <c r="BK50" s="164"/>
    </row>
    <row r="51" spans="1:63" s="17" customFormat="1" ht="15" customHeight="1" x14ac:dyDescent="0.25">
      <c r="A51" s="25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6"/>
      <c r="M51" s="44"/>
      <c r="N51" s="44"/>
      <c r="O51" s="45"/>
      <c r="P51" s="45"/>
      <c r="Q51" s="45"/>
      <c r="R51" s="45" t="s">
        <v>160</v>
      </c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4"/>
      <c r="AO51" s="44"/>
      <c r="AP51" s="44"/>
      <c r="AQ51" s="44"/>
      <c r="AR51" s="44"/>
      <c r="AS51" s="44"/>
      <c r="AT51" s="44"/>
      <c r="AU51" s="25"/>
      <c r="AV51" s="43"/>
      <c r="AW51" s="43"/>
      <c r="AX51" s="43"/>
      <c r="AY51" s="43"/>
      <c r="AZ51" s="43"/>
      <c r="BA51" s="43"/>
      <c r="BB51" s="43"/>
      <c r="BC51" s="43"/>
      <c r="BD51" s="43"/>
      <c r="BE51" s="26"/>
      <c r="BF51" s="162"/>
      <c r="BG51" s="163"/>
      <c r="BH51" s="163"/>
      <c r="BI51" s="163"/>
      <c r="BJ51" s="163"/>
      <c r="BK51" s="164"/>
    </row>
    <row r="52" spans="1:63" s="17" customFormat="1" ht="15" customHeight="1" x14ac:dyDescent="0.25">
      <c r="A52" s="25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6"/>
      <c r="M52" s="44"/>
      <c r="N52" s="44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4"/>
      <c r="AO52" s="44"/>
      <c r="AP52" s="44"/>
      <c r="AQ52" s="44"/>
      <c r="AR52" s="44"/>
      <c r="AS52" s="44"/>
      <c r="AT52" s="44"/>
      <c r="AU52" s="25"/>
      <c r="AV52" s="43"/>
      <c r="AW52" s="43"/>
      <c r="AX52" s="43"/>
      <c r="AY52" s="43"/>
      <c r="AZ52" s="43"/>
      <c r="BA52" s="43"/>
      <c r="BB52" s="43"/>
      <c r="BC52" s="43"/>
      <c r="BD52" s="43"/>
      <c r="BE52" s="26"/>
      <c r="BF52" s="162"/>
      <c r="BG52" s="163"/>
      <c r="BH52" s="163"/>
      <c r="BI52" s="163"/>
      <c r="BJ52" s="163"/>
      <c r="BK52" s="164"/>
    </row>
    <row r="53" spans="1:63" s="17" customFormat="1" ht="15" customHeight="1" x14ac:dyDescent="0.25">
      <c r="A53" s="25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6"/>
      <c r="M53" s="44"/>
      <c r="N53" s="44"/>
      <c r="O53" s="45"/>
      <c r="P53" s="44" t="s">
        <v>161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4"/>
      <c r="AO53" s="44"/>
      <c r="AP53" s="44"/>
      <c r="AQ53" s="44"/>
      <c r="AR53" s="44"/>
      <c r="AS53" s="44"/>
      <c r="AT53" s="44"/>
      <c r="AU53" s="25"/>
      <c r="AV53" s="43"/>
      <c r="AW53" s="43"/>
      <c r="AX53" s="43"/>
      <c r="AY53" s="43"/>
      <c r="AZ53" s="43"/>
      <c r="BA53" s="43"/>
      <c r="BB53" s="43"/>
      <c r="BC53" s="43"/>
      <c r="BD53" s="43"/>
      <c r="BE53" s="26"/>
      <c r="BF53" s="162"/>
      <c r="BG53" s="163"/>
      <c r="BH53" s="163"/>
      <c r="BI53" s="163"/>
      <c r="BJ53" s="163"/>
      <c r="BK53" s="164"/>
    </row>
    <row r="54" spans="1:63" s="17" customFormat="1" ht="15" customHeight="1" x14ac:dyDescent="0.25">
      <c r="A54" s="25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6"/>
      <c r="M54" s="44"/>
      <c r="N54" s="44"/>
      <c r="O54" s="45"/>
      <c r="P54" s="45"/>
      <c r="Q54" s="45" t="s">
        <v>158</v>
      </c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4"/>
      <c r="AO54" s="44"/>
      <c r="AP54" s="44"/>
      <c r="AQ54" s="44"/>
      <c r="AR54" s="44"/>
      <c r="AS54" s="44"/>
      <c r="AT54" s="44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26"/>
      <c r="BF54" s="162"/>
      <c r="BG54" s="163"/>
      <c r="BH54" s="163"/>
      <c r="BI54" s="163"/>
      <c r="BJ54" s="163"/>
      <c r="BK54" s="164"/>
    </row>
    <row r="55" spans="1:63" s="17" customFormat="1" ht="15" customHeight="1" x14ac:dyDescent="0.25">
      <c r="A55" s="25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6"/>
      <c r="M55" s="44"/>
      <c r="N55" s="44"/>
      <c r="O55" s="45"/>
      <c r="P55" s="45"/>
      <c r="Q55" s="45" t="s">
        <v>162</v>
      </c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26"/>
      <c r="BF55" s="162"/>
      <c r="BG55" s="163"/>
      <c r="BH55" s="163"/>
      <c r="BI55" s="163"/>
      <c r="BJ55" s="163"/>
      <c r="BK55" s="164"/>
    </row>
    <row r="56" spans="1:63" s="17" customFormat="1" ht="15" customHeight="1" x14ac:dyDescent="0.25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9"/>
      <c r="M56" s="49"/>
      <c r="N56" s="50"/>
      <c r="O56" s="50"/>
      <c r="P56" s="50"/>
      <c r="Q56" s="50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30"/>
      <c r="AQ56" s="30"/>
      <c r="AR56" s="30"/>
      <c r="AS56" s="30"/>
      <c r="AT56" s="30"/>
      <c r="AU56" s="27"/>
      <c r="AV56" s="28"/>
      <c r="AW56" s="28"/>
      <c r="AX56" s="28"/>
      <c r="AY56" s="28"/>
      <c r="AZ56" s="28"/>
      <c r="BA56" s="28"/>
      <c r="BB56" s="28"/>
      <c r="BC56" s="28"/>
      <c r="BD56" s="28"/>
      <c r="BE56" s="29"/>
      <c r="BF56" s="168"/>
      <c r="BG56" s="169"/>
      <c r="BH56" s="169"/>
      <c r="BI56" s="169"/>
      <c r="BJ56" s="169"/>
      <c r="BK56" s="170"/>
    </row>
    <row r="57" spans="1:63" ht="15" customHeight="1" x14ac:dyDescent="0.25">
      <c r="A57" s="120"/>
      <c r="BK57" s="121"/>
    </row>
    <row r="58" spans="1:63" ht="15" customHeight="1" x14ac:dyDescent="0.25">
      <c r="A58" s="120"/>
      <c r="BK58" s="121"/>
    </row>
    <row r="59" spans="1:63" ht="15" customHeight="1" x14ac:dyDescent="0.25">
      <c r="A59" s="120"/>
      <c r="BK59" s="121"/>
    </row>
    <row r="60" spans="1:63" s="17" customFormat="1" ht="15" customHeight="1" x14ac:dyDescent="0.25">
      <c r="A60" s="171" t="s">
        <v>18</v>
      </c>
      <c r="B60" s="172"/>
      <c r="C60" s="172"/>
      <c r="D60" s="172"/>
      <c r="E60" s="172"/>
      <c r="F60" s="173"/>
      <c r="G60" s="174" t="s">
        <v>163</v>
      </c>
      <c r="H60" s="174"/>
      <c r="I60" s="174"/>
      <c r="J60" s="174"/>
      <c r="K60" s="174"/>
      <c r="L60" s="174"/>
      <c r="M60" s="66" t="s">
        <v>164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20"/>
      <c r="BI60" s="20"/>
      <c r="BJ60" s="20"/>
      <c r="BK60" s="42"/>
    </row>
    <row r="61" spans="1:63" s="17" customFormat="1" ht="15" customHeight="1" x14ac:dyDescent="0.25">
      <c r="A61" s="175" t="s">
        <v>20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7"/>
      <c r="M61" s="175" t="s">
        <v>21</v>
      </c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7"/>
      <c r="AU61" s="175" t="s">
        <v>22</v>
      </c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5" t="s">
        <v>23</v>
      </c>
      <c r="BG61" s="176"/>
      <c r="BH61" s="176"/>
      <c r="BI61" s="176"/>
      <c r="BJ61" s="176"/>
      <c r="BK61" s="177"/>
    </row>
    <row r="62" spans="1:63" s="17" customFormat="1" ht="15" customHeight="1" x14ac:dyDescent="0.25">
      <c r="A62" s="178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80"/>
      <c r="M62" s="178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80"/>
      <c r="AU62" s="178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8"/>
      <c r="BG62" s="179"/>
      <c r="BH62" s="179"/>
      <c r="BI62" s="179"/>
      <c r="BJ62" s="179"/>
      <c r="BK62" s="180"/>
    </row>
    <row r="63" spans="1:63" s="17" customFormat="1" ht="15" customHeight="1" x14ac:dyDescent="0.25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44"/>
      <c r="N63" s="44"/>
      <c r="O63" s="44"/>
      <c r="P63" s="44"/>
      <c r="Q63" s="4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1"/>
      <c r="AV63" s="22"/>
      <c r="AW63" s="22"/>
      <c r="AX63" s="22"/>
      <c r="AY63" s="22"/>
      <c r="AZ63" s="22"/>
      <c r="BA63" s="22"/>
      <c r="BB63" s="22"/>
      <c r="BC63" s="22"/>
      <c r="BD63" s="22"/>
      <c r="BE63" s="23"/>
      <c r="BF63" s="232" t="s">
        <v>170</v>
      </c>
      <c r="BG63" s="233"/>
      <c r="BH63" s="233"/>
      <c r="BI63" s="233"/>
      <c r="BJ63" s="233"/>
      <c r="BK63" s="234"/>
    </row>
    <row r="64" spans="1:63" s="17" customFormat="1" ht="15" customHeight="1" x14ac:dyDescent="0.25">
      <c r="A64" s="25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6"/>
      <c r="M64" s="44"/>
      <c r="N64" s="57" t="s">
        <v>145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26"/>
      <c r="BF64" s="235"/>
      <c r="BG64" s="236"/>
      <c r="BH64" s="236"/>
      <c r="BI64" s="236"/>
      <c r="BJ64" s="236"/>
      <c r="BK64" s="237"/>
    </row>
    <row r="65" spans="1:63" s="17" customFormat="1" ht="15" customHeight="1" x14ac:dyDescent="0.25">
      <c r="A65" s="25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6"/>
      <c r="M65" s="46"/>
      <c r="N65" s="44"/>
      <c r="O65" s="57" t="s">
        <v>183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26"/>
      <c r="BF65" s="235"/>
      <c r="BG65" s="236"/>
      <c r="BH65" s="236"/>
      <c r="BI65" s="236"/>
      <c r="BJ65" s="236"/>
      <c r="BK65" s="237"/>
    </row>
    <row r="66" spans="1:63" s="17" customFormat="1" ht="15" customHeight="1" x14ac:dyDescent="0.25">
      <c r="A66" s="25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6"/>
      <c r="M66" s="44"/>
      <c r="O66" s="45" t="s">
        <v>165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26"/>
      <c r="BF66" s="235"/>
      <c r="BG66" s="236"/>
      <c r="BH66" s="236"/>
      <c r="BI66" s="236"/>
      <c r="BJ66" s="236"/>
      <c r="BK66" s="237"/>
    </row>
    <row r="67" spans="1:63" s="17" customFormat="1" ht="15" customHeight="1" x14ac:dyDescent="0.25">
      <c r="A67" s="25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6"/>
      <c r="M67" s="44"/>
      <c r="N67" s="44"/>
      <c r="O67" s="45"/>
      <c r="P67" s="45" t="s">
        <v>166</v>
      </c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26"/>
      <c r="BF67" s="235"/>
      <c r="BG67" s="236"/>
      <c r="BH67" s="236"/>
      <c r="BI67" s="236"/>
      <c r="BJ67" s="236"/>
      <c r="BK67" s="237"/>
    </row>
    <row r="68" spans="1:63" s="17" customFormat="1" ht="15" customHeight="1" x14ac:dyDescent="0.25">
      <c r="A68" s="25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6"/>
      <c r="M68" s="44"/>
      <c r="N68" s="44"/>
      <c r="O68" s="45"/>
      <c r="P68" s="45" t="s">
        <v>167</v>
      </c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25"/>
      <c r="AV68" s="43"/>
      <c r="AW68" s="43"/>
      <c r="AX68" s="43"/>
      <c r="AY68" s="43"/>
      <c r="AZ68" s="43"/>
      <c r="BA68" s="43"/>
      <c r="BB68" s="43"/>
      <c r="BC68" s="43"/>
      <c r="BD68" s="43"/>
      <c r="BE68" s="26"/>
      <c r="BF68" s="54"/>
      <c r="BG68" s="55"/>
      <c r="BH68" s="55"/>
      <c r="BI68" s="55"/>
      <c r="BJ68" s="55"/>
      <c r="BK68" s="56"/>
    </row>
    <row r="69" spans="1:63" s="17" customFormat="1" ht="15" customHeight="1" x14ac:dyDescent="0.25">
      <c r="A69" s="25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6"/>
      <c r="M69" s="44"/>
      <c r="N69" s="44"/>
      <c r="O69" s="45"/>
      <c r="P69" s="45" t="s">
        <v>168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25"/>
      <c r="AV69" s="43"/>
      <c r="AW69" s="43"/>
      <c r="AX69" s="43"/>
      <c r="AY69" s="43"/>
      <c r="AZ69" s="43"/>
      <c r="BA69" s="43"/>
      <c r="BB69" s="43"/>
      <c r="BC69" s="43"/>
      <c r="BD69" s="43"/>
      <c r="BE69" s="26"/>
      <c r="BF69" s="54"/>
      <c r="BG69" s="55"/>
      <c r="BH69" s="55"/>
      <c r="BI69" s="55"/>
      <c r="BJ69" s="55"/>
      <c r="BK69" s="56"/>
    </row>
    <row r="70" spans="1:63" s="17" customFormat="1" ht="15" customHeight="1" x14ac:dyDescent="0.25">
      <c r="A70" s="25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6"/>
      <c r="M70" s="44"/>
      <c r="N70" s="44"/>
      <c r="O70" s="45"/>
      <c r="P70" s="45" t="s">
        <v>169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25"/>
      <c r="AV70" s="43"/>
      <c r="AW70" s="43"/>
      <c r="AX70" s="43"/>
      <c r="AY70" s="43"/>
      <c r="AZ70" s="43"/>
      <c r="BA70" s="43"/>
      <c r="BB70" s="43"/>
      <c r="BC70" s="43"/>
      <c r="BD70" s="43"/>
      <c r="BE70" s="26"/>
      <c r="BF70" s="54"/>
      <c r="BG70" s="55"/>
      <c r="BH70" s="55"/>
      <c r="BI70" s="55"/>
      <c r="BJ70" s="55"/>
      <c r="BK70" s="56"/>
    </row>
    <row r="71" spans="1:63" s="17" customFormat="1" ht="15" customHeight="1" x14ac:dyDescent="0.25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9"/>
      <c r="M71" s="49"/>
      <c r="N71" s="50"/>
      <c r="O71" s="50"/>
      <c r="P71" s="50"/>
      <c r="Q71" s="50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30"/>
      <c r="AQ71" s="30"/>
      <c r="AR71" s="30"/>
      <c r="AS71" s="30"/>
      <c r="AT71" s="30"/>
      <c r="AU71" s="27"/>
      <c r="AV71" s="28"/>
      <c r="AW71" s="28"/>
      <c r="AX71" s="28"/>
      <c r="AY71" s="28"/>
      <c r="AZ71" s="28"/>
      <c r="BA71" s="28"/>
      <c r="BB71" s="28"/>
      <c r="BC71" s="28"/>
      <c r="BD71" s="28"/>
      <c r="BE71" s="29"/>
      <c r="BF71" s="168"/>
      <c r="BG71" s="169"/>
      <c r="BH71" s="169"/>
      <c r="BI71" s="169"/>
      <c r="BJ71" s="169"/>
      <c r="BK71" s="170"/>
    </row>
    <row r="72" spans="1:63" ht="15" customHeight="1" x14ac:dyDescent="0.25">
      <c r="A72" s="120"/>
      <c r="BK72" s="121"/>
    </row>
    <row r="73" spans="1:63" ht="15" customHeight="1" x14ac:dyDescent="0.25">
      <c r="A73" s="120"/>
      <c r="BK73" s="121"/>
    </row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</sheetData>
  <mergeCells count="56">
    <mergeCell ref="BF63:BK67"/>
    <mergeCell ref="BF71:BK71"/>
    <mergeCell ref="BF37:BK55"/>
    <mergeCell ref="BF56:BK56"/>
    <mergeCell ref="A60:F60"/>
    <mergeCell ref="G60:L60"/>
    <mergeCell ref="A61:L62"/>
    <mergeCell ref="M61:AT62"/>
    <mergeCell ref="AU61:BE62"/>
    <mergeCell ref="BF61:BK62"/>
    <mergeCell ref="BF25:BK29"/>
    <mergeCell ref="BF30:BK30"/>
    <mergeCell ref="A34:F34"/>
    <mergeCell ref="G34:L34"/>
    <mergeCell ref="A35:L36"/>
    <mergeCell ref="M35:AT36"/>
    <mergeCell ref="AU35:BE36"/>
    <mergeCell ref="BF35:BK36"/>
    <mergeCell ref="BF14:BK17"/>
    <mergeCell ref="BF18:BK18"/>
    <mergeCell ref="A22:F22"/>
    <mergeCell ref="G22:L22"/>
    <mergeCell ref="A23:L24"/>
    <mergeCell ref="M23:AT24"/>
    <mergeCell ref="AU23:BE24"/>
    <mergeCell ref="BF23:BK24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2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190" t="str">
        <f>IF(表紙!W1="","",表紙!W1)</f>
        <v>詳細設計書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23" t="s">
        <v>3</v>
      </c>
      <c r="AQ1" s="124"/>
      <c r="AR1" s="124"/>
      <c r="AS1" s="125"/>
      <c r="AT1" s="123" t="s">
        <v>4</v>
      </c>
      <c r="AU1" s="124"/>
      <c r="AV1" s="124"/>
      <c r="AW1" s="124"/>
      <c r="AX1" s="125"/>
      <c r="AY1" s="123" t="s">
        <v>5</v>
      </c>
      <c r="AZ1" s="124"/>
      <c r="BA1" s="124"/>
      <c r="BB1" s="125"/>
      <c r="BC1" s="123" t="s">
        <v>6</v>
      </c>
      <c r="BD1" s="124"/>
      <c r="BE1" s="124"/>
      <c r="BF1" s="124"/>
      <c r="BG1" s="125"/>
      <c r="BH1" s="123" t="s">
        <v>7</v>
      </c>
      <c r="BI1" s="124"/>
      <c r="BJ1" s="124"/>
      <c r="BK1" s="125"/>
    </row>
    <row r="2" spans="1:63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193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5"/>
      <c r="AP2" s="6" t="str">
        <f>IF(表紙!AP2="","",表紙!AP2)</f>
        <v>DuNT</v>
      </c>
      <c r="AQ2" s="5"/>
      <c r="AR2" s="5"/>
      <c r="AS2" s="4"/>
      <c r="AT2" s="130">
        <f>IF(表紙!AT2="","",表紙!AT2)</f>
        <v>45533</v>
      </c>
      <c r="AU2" s="131"/>
      <c r="AV2" s="131"/>
      <c r="AW2" s="131"/>
      <c r="AX2" s="132"/>
      <c r="AY2" s="6" t="str">
        <f>IF(表紙!AY2="","",表紙!AY2)</f>
        <v>DuNT</v>
      </c>
      <c r="AZ2" s="5"/>
      <c r="BA2" s="5"/>
      <c r="BB2" s="4"/>
      <c r="BC2" s="130">
        <f>IF(表紙!BC2="","",表紙!BC2)</f>
        <v>45533</v>
      </c>
      <c r="BD2" s="131"/>
      <c r="BE2" s="131"/>
      <c r="BF2" s="131"/>
      <c r="BG2" s="132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3"/>
      <c r="AQ3" s="2"/>
      <c r="AR3" s="2"/>
      <c r="AS3" s="1"/>
      <c r="AT3" s="133"/>
      <c r="AU3" s="134"/>
      <c r="AV3" s="134"/>
      <c r="AW3" s="134"/>
      <c r="AX3" s="135"/>
      <c r="AY3" s="3"/>
      <c r="AZ3" s="2"/>
      <c r="BA3" s="2"/>
      <c r="BB3" s="1"/>
      <c r="BC3" s="133"/>
      <c r="BD3" s="134"/>
      <c r="BE3" s="134"/>
      <c r="BF3" s="134"/>
      <c r="BG3" s="135"/>
      <c r="BH3" s="3"/>
      <c r="BI3" s="2"/>
      <c r="BJ3" s="2"/>
      <c r="BK3" s="1"/>
    </row>
    <row r="4" spans="1:63" ht="24.95" customHeight="1" x14ac:dyDescent="0.25">
      <c r="A4" s="199" t="s">
        <v>29</v>
      </c>
      <c r="B4" s="188"/>
      <c r="C4" s="188"/>
      <c r="D4" s="188"/>
      <c r="E4" s="188"/>
      <c r="F4" s="188"/>
      <c r="G4" s="189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87" t="s">
        <v>8</v>
      </c>
      <c r="V4" s="188"/>
      <c r="W4" s="188"/>
      <c r="X4" s="188"/>
      <c r="Y4" s="189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テンプレート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s="17" customFormat="1" ht="15" customHeight="1" x14ac:dyDescent="0.25">
      <c r="A7" s="18" t="s">
        <v>26</v>
      </c>
      <c r="BK7" s="34"/>
    </row>
    <row r="8" spans="1:63" s="17" customFormat="1" ht="15" customHeight="1" x14ac:dyDescent="0.25">
      <c r="A8" s="18"/>
      <c r="BK8" s="34"/>
    </row>
    <row r="9" spans="1:63" s="17" customFormat="1" ht="15" customHeight="1" x14ac:dyDescent="0.25">
      <c r="A9" s="123" t="s">
        <v>16</v>
      </c>
      <c r="B9" s="124"/>
      <c r="C9" s="124"/>
      <c r="D9" s="124"/>
      <c r="E9" s="174" t="s">
        <v>27</v>
      </c>
      <c r="F9" s="174"/>
      <c r="G9" s="174"/>
      <c r="H9" s="174"/>
      <c r="I9" s="174"/>
      <c r="J9" s="174"/>
      <c r="K9" s="174"/>
      <c r="L9" s="174"/>
      <c r="M9" s="174"/>
      <c r="N9" s="174"/>
      <c r="O9" s="123" t="s">
        <v>17</v>
      </c>
      <c r="P9" s="124"/>
      <c r="Q9" s="124"/>
      <c r="R9" s="124"/>
      <c r="S9" s="124"/>
      <c r="T9" s="125"/>
      <c r="U9" s="201" t="s">
        <v>28</v>
      </c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3"/>
    </row>
    <row r="10" spans="1:63" s="17" customFormat="1" ht="15" customHeight="1" x14ac:dyDescent="0.25">
      <c r="A10" s="52"/>
      <c r="B10" s="35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7"/>
      <c r="Q10" s="37"/>
      <c r="R10" s="37"/>
      <c r="S10" s="37"/>
      <c r="T10" s="37"/>
      <c r="U10" s="38"/>
      <c r="V10" s="38"/>
      <c r="W10" s="35"/>
      <c r="X10" s="35"/>
      <c r="Y10" s="39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41"/>
    </row>
    <row r="11" spans="1:63" s="17" customFormat="1" ht="15" customHeight="1" x14ac:dyDescent="0.25">
      <c r="A11" s="171" t="s">
        <v>18</v>
      </c>
      <c r="B11" s="172"/>
      <c r="C11" s="172"/>
      <c r="D11" s="172"/>
      <c r="E11" s="172"/>
      <c r="F11" s="173"/>
      <c r="G11" s="174" t="s">
        <v>19</v>
      </c>
      <c r="H11" s="174"/>
      <c r="I11" s="174"/>
      <c r="J11" s="174"/>
      <c r="K11" s="174"/>
      <c r="L11" s="174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42"/>
    </row>
    <row r="12" spans="1:63" s="17" customFormat="1" ht="15" customHeight="1" x14ac:dyDescent="0.25">
      <c r="A12" s="175" t="s">
        <v>20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7"/>
      <c r="M12" s="175" t="s">
        <v>21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7"/>
      <c r="AU12" s="175" t="s">
        <v>22</v>
      </c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5" t="s">
        <v>23</v>
      </c>
      <c r="BG12" s="176"/>
      <c r="BH12" s="176"/>
      <c r="BI12" s="176"/>
      <c r="BJ12" s="176"/>
      <c r="BK12" s="177"/>
    </row>
    <row r="13" spans="1:63" s="17" customFormat="1" ht="15" customHeight="1" x14ac:dyDescent="0.25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78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78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8"/>
      <c r="BG13" s="179"/>
      <c r="BH13" s="179"/>
      <c r="BI13" s="179"/>
      <c r="BJ13" s="179"/>
      <c r="BK13" s="180"/>
    </row>
    <row r="14" spans="1:63" s="17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44"/>
      <c r="N14" s="44"/>
      <c r="O14" s="44"/>
      <c r="P14" s="44"/>
      <c r="Q14" s="4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238"/>
      <c r="BG14" s="239"/>
      <c r="BH14" s="239"/>
      <c r="BI14" s="239"/>
      <c r="BJ14" s="239"/>
      <c r="BK14" s="240"/>
    </row>
    <row r="15" spans="1:63" s="17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44"/>
      <c r="N15" s="45" t="s">
        <v>24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165"/>
      <c r="BG15" s="166"/>
      <c r="BH15" s="166"/>
      <c r="BI15" s="166"/>
      <c r="BJ15" s="166"/>
      <c r="BK15" s="167"/>
    </row>
    <row r="16" spans="1:63" s="17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46"/>
      <c r="N16" s="4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165"/>
      <c r="BG16" s="166"/>
      <c r="BH16" s="166"/>
      <c r="BI16" s="166"/>
      <c r="BJ16" s="166"/>
      <c r="BK16" s="167"/>
    </row>
    <row r="17" spans="1:63" s="17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4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165"/>
      <c r="BG17" s="166"/>
      <c r="BH17" s="166"/>
      <c r="BI17" s="166"/>
      <c r="BJ17" s="166"/>
      <c r="BK17" s="167"/>
    </row>
    <row r="18" spans="1:63" s="17" customFormat="1" ht="15" customHeight="1" x14ac:dyDescent="0.25">
      <c r="A18" s="2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26"/>
      <c r="M18" s="44"/>
      <c r="N18" s="4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25"/>
      <c r="AV18" s="43"/>
      <c r="AW18" s="43"/>
      <c r="AX18" s="43"/>
      <c r="AY18" s="43"/>
      <c r="AZ18" s="43"/>
      <c r="BA18" s="43"/>
      <c r="BB18" s="43"/>
      <c r="BC18" s="43"/>
      <c r="BD18" s="43"/>
      <c r="BE18" s="26"/>
      <c r="BF18" s="165"/>
      <c r="BG18" s="166"/>
      <c r="BH18" s="166"/>
      <c r="BI18" s="166"/>
      <c r="BJ18" s="166"/>
      <c r="BK18" s="167"/>
    </row>
    <row r="19" spans="1:63" s="17" customFormat="1" ht="15" customHeight="1" x14ac:dyDescent="0.25">
      <c r="A19" s="25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26"/>
      <c r="M19" s="44"/>
      <c r="N19" s="4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25"/>
      <c r="AV19" s="43"/>
      <c r="AW19" s="43"/>
      <c r="AX19" s="43"/>
      <c r="AY19" s="43"/>
      <c r="AZ19" s="43"/>
      <c r="BA19" s="43"/>
      <c r="BB19" s="43"/>
      <c r="BC19" s="43"/>
      <c r="BD19" s="43"/>
      <c r="BE19" s="26"/>
      <c r="BF19" s="165"/>
      <c r="BG19" s="166"/>
      <c r="BH19" s="166"/>
      <c r="BI19" s="166"/>
      <c r="BJ19" s="166"/>
      <c r="BK19" s="167"/>
    </row>
    <row r="20" spans="1:63" s="17" customFormat="1" ht="15" customHeight="1" x14ac:dyDescent="0.25">
      <c r="A20" s="25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26"/>
      <c r="M20" s="44"/>
      <c r="N20" s="4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25"/>
      <c r="AV20" s="43"/>
      <c r="AW20" s="43"/>
      <c r="AX20" s="43"/>
      <c r="AY20" s="43"/>
      <c r="AZ20" s="43"/>
      <c r="BA20" s="43"/>
      <c r="BB20" s="43"/>
      <c r="BC20" s="43"/>
      <c r="BD20" s="43"/>
      <c r="BE20" s="26"/>
      <c r="BF20" s="165"/>
      <c r="BG20" s="166"/>
      <c r="BH20" s="166"/>
      <c r="BI20" s="166"/>
      <c r="BJ20" s="166"/>
      <c r="BK20" s="167"/>
    </row>
    <row r="21" spans="1:63" s="17" customFormat="1" ht="15" customHeight="1" x14ac:dyDescent="0.25">
      <c r="A21" s="25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26"/>
      <c r="M21" s="44"/>
      <c r="N21" s="4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25"/>
      <c r="AV21" s="43"/>
      <c r="AW21" s="43"/>
      <c r="AX21" s="43"/>
      <c r="AY21" s="43"/>
      <c r="AZ21" s="43"/>
      <c r="BA21" s="43"/>
      <c r="BB21" s="43"/>
      <c r="BC21" s="43"/>
      <c r="BD21" s="43"/>
      <c r="BE21" s="26"/>
      <c r="BF21" s="165"/>
      <c r="BG21" s="166"/>
      <c r="BH21" s="166"/>
      <c r="BI21" s="166"/>
      <c r="BJ21" s="166"/>
      <c r="BK21" s="167"/>
    </row>
    <row r="22" spans="1:63" s="17" customFormat="1" ht="15" customHeight="1" x14ac:dyDescent="0.25">
      <c r="A22" s="2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26"/>
      <c r="M22" s="44"/>
      <c r="N22" s="44"/>
      <c r="O22" s="45"/>
      <c r="P22" s="45"/>
      <c r="Q22" s="45"/>
      <c r="R22" s="47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25"/>
      <c r="AV22" s="43"/>
      <c r="AW22" s="43"/>
      <c r="AX22" s="43"/>
      <c r="AY22" s="43"/>
      <c r="AZ22" s="43"/>
      <c r="BA22" s="43"/>
      <c r="BB22" s="43"/>
      <c r="BC22" s="43"/>
      <c r="BD22" s="43"/>
      <c r="BE22" s="26"/>
      <c r="BF22" s="165"/>
      <c r="BG22" s="166"/>
      <c r="BH22" s="166"/>
      <c r="BI22" s="166"/>
      <c r="BJ22" s="166"/>
      <c r="BK22" s="167"/>
    </row>
    <row r="23" spans="1:63" s="17" customFormat="1" ht="15" customHeight="1" x14ac:dyDescent="0.25">
      <c r="A23" s="25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26"/>
      <c r="M23" s="44"/>
      <c r="N23" s="4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25"/>
      <c r="AV23" s="43"/>
      <c r="AW23" s="43"/>
      <c r="AX23" s="43"/>
      <c r="AY23" s="43"/>
      <c r="AZ23" s="43"/>
      <c r="BA23" s="43"/>
      <c r="BB23" s="43"/>
      <c r="BC23" s="43"/>
      <c r="BD23" s="43"/>
      <c r="BE23" s="26"/>
      <c r="BF23" s="165"/>
      <c r="BG23" s="166"/>
      <c r="BH23" s="166"/>
      <c r="BI23" s="166"/>
      <c r="BJ23" s="166"/>
      <c r="BK23" s="167"/>
    </row>
    <row r="24" spans="1:63" s="17" customFormat="1" ht="15" customHeight="1" x14ac:dyDescent="0.25">
      <c r="A24" s="2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26"/>
      <c r="M24" s="44"/>
      <c r="N24" s="4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25"/>
      <c r="AV24" s="43"/>
      <c r="AW24" s="43"/>
      <c r="AX24" s="43"/>
      <c r="AY24" s="43"/>
      <c r="AZ24" s="43"/>
      <c r="BA24" s="43"/>
      <c r="BB24" s="43"/>
      <c r="BC24" s="43"/>
      <c r="BD24" s="43"/>
      <c r="BE24" s="26"/>
      <c r="BF24" s="165"/>
      <c r="BG24" s="166"/>
      <c r="BH24" s="166"/>
      <c r="BI24" s="166"/>
      <c r="BJ24" s="166"/>
      <c r="BK24" s="167"/>
    </row>
    <row r="25" spans="1:63" s="17" customFormat="1" ht="15" customHeight="1" x14ac:dyDescent="0.25">
      <c r="A25" s="25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6"/>
      <c r="M25" s="44"/>
      <c r="N25" s="4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25"/>
      <c r="AV25" s="43"/>
      <c r="AW25" s="43"/>
      <c r="AX25" s="43"/>
      <c r="AY25" s="43"/>
      <c r="AZ25" s="43"/>
      <c r="BA25" s="43"/>
      <c r="BB25" s="43"/>
      <c r="BC25" s="43"/>
      <c r="BD25" s="43"/>
      <c r="BE25" s="26"/>
      <c r="BF25" s="165"/>
      <c r="BG25" s="166"/>
      <c r="BH25" s="166"/>
      <c r="BI25" s="166"/>
      <c r="BJ25" s="166"/>
      <c r="BK25" s="167"/>
    </row>
    <row r="26" spans="1:63" s="17" customFormat="1" ht="15" customHeight="1" x14ac:dyDescent="0.25">
      <c r="A26" s="2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6"/>
      <c r="M26" s="44"/>
      <c r="N26" s="44" t="s">
        <v>25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25"/>
      <c r="AV26" s="43"/>
      <c r="AW26" s="43"/>
      <c r="AX26" s="43"/>
      <c r="AY26" s="43"/>
      <c r="AZ26" s="43"/>
      <c r="BA26" s="43"/>
      <c r="BB26" s="43"/>
      <c r="BC26" s="43"/>
      <c r="BD26" s="43"/>
      <c r="BE26" s="26"/>
      <c r="BF26" s="165"/>
      <c r="BG26" s="166"/>
      <c r="BH26" s="166"/>
      <c r="BI26" s="166"/>
      <c r="BJ26" s="166"/>
      <c r="BK26" s="167"/>
    </row>
    <row r="27" spans="1:63" s="17" customFormat="1" ht="15" customHeight="1" x14ac:dyDescent="0.25">
      <c r="A27" s="25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6"/>
      <c r="M27" s="44"/>
      <c r="N27" s="4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25"/>
      <c r="AV27" s="43"/>
      <c r="AW27" s="43"/>
      <c r="AX27" s="43"/>
      <c r="AY27" s="43"/>
      <c r="AZ27" s="43"/>
      <c r="BA27" s="43"/>
      <c r="BB27" s="43"/>
      <c r="BC27" s="43"/>
      <c r="BD27" s="43"/>
      <c r="BE27" s="26"/>
      <c r="BF27" s="165"/>
      <c r="BG27" s="166"/>
      <c r="BH27" s="166"/>
      <c r="BI27" s="166"/>
      <c r="BJ27" s="166"/>
      <c r="BK27" s="167"/>
    </row>
    <row r="28" spans="1:63" s="17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44"/>
      <c r="N28" s="4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165"/>
      <c r="BG28" s="166"/>
      <c r="BH28" s="166"/>
      <c r="BI28" s="166"/>
      <c r="BJ28" s="166"/>
      <c r="BK28" s="167"/>
    </row>
    <row r="29" spans="1:63" s="17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44"/>
      <c r="N29" s="4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165"/>
      <c r="BG29" s="166"/>
      <c r="BH29" s="166"/>
      <c r="BI29" s="166"/>
      <c r="BJ29" s="166"/>
      <c r="BK29" s="167"/>
    </row>
    <row r="30" spans="1:63" s="17" customFormat="1" ht="15" customHeight="1" x14ac:dyDescent="0.25">
      <c r="A30" s="2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6"/>
      <c r="M30" s="44"/>
      <c r="N30" s="4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25"/>
      <c r="AV30" s="43"/>
      <c r="AW30" s="43"/>
      <c r="AX30" s="43"/>
      <c r="AY30" s="43"/>
      <c r="AZ30" s="43"/>
      <c r="BA30" s="43"/>
      <c r="BB30" s="43"/>
      <c r="BC30" s="43"/>
      <c r="BD30" s="43"/>
      <c r="BE30" s="26"/>
      <c r="BF30" s="165"/>
      <c r="BG30" s="166"/>
      <c r="BH30" s="166"/>
      <c r="BI30" s="166"/>
      <c r="BJ30" s="166"/>
      <c r="BK30" s="167"/>
    </row>
    <row r="31" spans="1:63" s="17" customFormat="1" ht="15" customHeight="1" x14ac:dyDescent="0.25">
      <c r="A31" s="25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6"/>
      <c r="M31" s="44"/>
      <c r="N31" s="44"/>
      <c r="O31" s="45"/>
      <c r="P31" s="45"/>
      <c r="Q31" s="45"/>
      <c r="R31" s="48"/>
      <c r="S31" s="48"/>
      <c r="T31" s="44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25"/>
      <c r="AV31" s="43"/>
      <c r="AW31" s="43"/>
      <c r="AX31" s="43"/>
      <c r="AY31" s="43"/>
      <c r="AZ31" s="43"/>
      <c r="BA31" s="43"/>
      <c r="BB31" s="43"/>
      <c r="BC31" s="43"/>
      <c r="BD31" s="43"/>
      <c r="BE31" s="26"/>
      <c r="BF31" s="165"/>
      <c r="BG31" s="166"/>
      <c r="BH31" s="166"/>
      <c r="BI31" s="166"/>
      <c r="BJ31" s="166"/>
      <c r="BK31" s="167"/>
    </row>
    <row r="32" spans="1:63" s="17" customFormat="1" ht="15" customHeight="1" x14ac:dyDescent="0.25">
      <c r="A32" s="25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6"/>
      <c r="M32" s="44"/>
      <c r="N32" s="44"/>
      <c r="O32" s="45"/>
      <c r="P32" s="45"/>
      <c r="Q32" s="45"/>
      <c r="R32" s="48"/>
      <c r="S32" s="48"/>
      <c r="T32" s="44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25"/>
      <c r="AV32" s="43"/>
      <c r="AW32" s="43"/>
      <c r="AX32" s="43"/>
      <c r="AY32" s="43"/>
      <c r="AZ32" s="43"/>
      <c r="BA32" s="43"/>
      <c r="BB32" s="43"/>
      <c r="BC32" s="43"/>
      <c r="BD32" s="43"/>
      <c r="BE32" s="26"/>
      <c r="BF32" s="165"/>
      <c r="BG32" s="166"/>
      <c r="BH32" s="166"/>
      <c r="BI32" s="166"/>
      <c r="BJ32" s="166"/>
      <c r="BK32" s="167"/>
    </row>
    <row r="33" spans="1:63" s="17" customFormat="1" ht="15" customHeight="1" x14ac:dyDescent="0.25">
      <c r="A33" s="25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6"/>
      <c r="M33" s="44"/>
      <c r="N33" s="44"/>
      <c r="O33" s="45"/>
      <c r="P33" s="45"/>
      <c r="Q33" s="45"/>
      <c r="R33" s="44"/>
      <c r="S33" s="48"/>
      <c r="T33" s="44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25"/>
      <c r="AV33" s="43"/>
      <c r="AW33" s="43"/>
      <c r="AX33" s="43"/>
      <c r="AY33" s="43"/>
      <c r="AZ33" s="43"/>
      <c r="BA33" s="43"/>
      <c r="BB33" s="43"/>
      <c r="BC33" s="43"/>
      <c r="BD33" s="43"/>
      <c r="BE33" s="26"/>
      <c r="BF33" s="165"/>
      <c r="BG33" s="166"/>
      <c r="BH33" s="166"/>
      <c r="BI33" s="166"/>
      <c r="BJ33" s="166"/>
      <c r="BK33" s="167"/>
    </row>
    <row r="34" spans="1:63" s="17" customFormat="1" ht="15" customHeight="1" x14ac:dyDescent="0.25">
      <c r="A34" s="2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6"/>
      <c r="M34" s="44"/>
      <c r="N34" s="44"/>
      <c r="O34" s="45"/>
      <c r="P34" s="45"/>
      <c r="Q34" s="45"/>
      <c r="R34" s="44"/>
      <c r="S34" s="48"/>
      <c r="T34" s="44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25"/>
      <c r="AV34" s="43"/>
      <c r="AW34" s="43"/>
      <c r="AX34" s="43"/>
      <c r="AY34" s="43"/>
      <c r="AZ34" s="43"/>
      <c r="BA34" s="43"/>
      <c r="BB34" s="43"/>
      <c r="BC34" s="43"/>
      <c r="BD34" s="43"/>
      <c r="BE34" s="26"/>
      <c r="BF34" s="165"/>
      <c r="BG34" s="166"/>
      <c r="BH34" s="166"/>
      <c r="BI34" s="166"/>
      <c r="BJ34" s="166"/>
      <c r="BK34" s="167"/>
    </row>
    <row r="35" spans="1:63" s="17" customFormat="1" ht="15" customHeight="1" x14ac:dyDescent="0.25">
      <c r="A35" s="2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6"/>
      <c r="M35" s="44"/>
      <c r="N35" s="44"/>
      <c r="O35" s="45"/>
      <c r="P35" s="45"/>
      <c r="Q35" s="45"/>
      <c r="R35" s="44"/>
      <c r="S35" s="48"/>
      <c r="T35" s="44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25"/>
      <c r="AV35" s="43"/>
      <c r="AW35" s="43"/>
      <c r="AX35" s="43"/>
      <c r="AY35" s="43"/>
      <c r="AZ35" s="43"/>
      <c r="BA35" s="43"/>
      <c r="BB35" s="43"/>
      <c r="BC35" s="43"/>
      <c r="BD35" s="43"/>
      <c r="BE35" s="26"/>
      <c r="BF35" s="165"/>
      <c r="BG35" s="166"/>
      <c r="BH35" s="166"/>
      <c r="BI35" s="166"/>
      <c r="BJ35" s="166"/>
      <c r="BK35" s="167"/>
    </row>
    <row r="36" spans="1:63" s="17" customFormat="1" ht="15" customHeight="1" x14ac:dyDescent="0.25">
      <c r="A36" s="2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6"/>
      <c r="M36" s="44"/>
      <c r="N36" s="44"/>
      <c r="O36" s="45"/>
      <c r="P36" s="45"/>
      <c r="R36" s="48"/>
      <c r="S36" s="48"/>
      <c r="T36" s="44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25"/>
      <c r="AV36" s="43"/>
      <c r="AW36" s="43"/>
      <c r="AX36" s="43"/>
      <c r="AY36" s="43"/>
      <c r="AZ36" s="43"/>
      <c r="BA36" s="43"/>
      <c r="BB36" s="43"/>
      <c r="BC36" s="43"/>
      <c r="BD36" s="43"/>
      <c r="BE36" s="26"/>
      <c r="BF36" s="165"/>
      <c r="BG36" s="166"/>
      <c r="BH36" s="166"/>
      <c r="BI36" s="166"/>
      <c r="BJ36" s="166"/>
      <c r="BK36" s="167"/>
    </row>
    <row r="37" spans="1:63" s="17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44"/>
      <c r="N37" s="4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165"/>
      <c r="BG37" s="166"/>
      <c r="BH37" s="166"/>
      <c r="BI37" s="166"/>
      <c r="BJ37" s="166"/>
      <c r="BK37" s="167"/>
    </row>
    <row r="38" spans="1:63" s="17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44"/>
      <c r="N38" s="4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165"/>
      <c r="BG38" s="166"/>
      <c r="BH38" s="166"/>
      <c r="BI38" s="166"/>
      <c r="BJ38" s="166"/>
      <c r="BK38" s="167"/>
    </row>
    <row r="39" spans="1:63" s="17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44"/>
      <c r="N39" s="44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165"/>
      <c r="BG39" s="166"/>
      <c r="BH39" s="166"/>
      <c r="BI39" s="166"/>
      <c r="BJ39" s="166"/>
      <c r="BK39" s="167"/>
    </row>
    <row r="40" spans="1:63" s="17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44"/>
      <c r="N40" s="44"/>
      <c r="O40" s="45"/>
      <c r="P40" s="45"/>
      <c r="Q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165"/>
      <c r="BG40" s="166"/>
      <c r="BH40" s="166"/>
      <c r="BI40" s="166"/>
      <c r="BJ40" s="166"/>
      <c r="BK40" s="167"/>
    </row>
    <row r="41" spans="1:63" s="17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44"/>
      <c r="N41" s="44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165"/>
      <c r="BG41" s="166"/>
      <c r="BH41" s="166"/>
      <c r="BI41" s="166"/>
      <c r="BJ41" s="166"/>
      <c r="BK41" s="167"/>
    </row>
    <row r="42" spans="1:63" s="17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44"/>
      <c r="N42" s="44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165"/>
      <c r="BG42" s="166"/>
      <c r="BH42" s="166"/>
      <c r="BI42" s="166"/>
      <c r="BJ42" s="166"/>
      <c r="BK42" s="167"/>
    </row>
    <row r="43" spans="1:63" s="17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44"/>
      <c r="N43" s="44"/>
      <c r="O43" s="45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165"/>
      <c r="BG43" s="166"/>
      <c r="BH43" s="166"/>
      <c r="BI43" s="166"/>
      <c r="BJ43" s="166"/>
      <c r="BK43" s="167"/>
    </row>
    <row r="44" spans="1:63" s="17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165"/>
      <c r="BG44" s="166"/>
      <c r="BH44" s="166"/>
      <c r="BI44" s="166"/>
      <c r="BJ44" s="166"/>
      <c r="BK44" s="167"/>
    </row>
    <row r="45" spans="1:63" s="17" customFormat="1" ht="15" customHeight="1" x14ac:dyDescent="0.2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9"/>
      <c r="M45" s="49"/>
      <c r="N45" s="50"/>
      <c r="O45" s="50"/>
      <c r="P45" s="50"/>
      <c r="Q45" s="50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30"/>
      <c r="AQ45" s="30"/>
      <c r="AR45" s="30"/>
      <c r="AS45" s="30"/>
      <c r="AT45" s="30"/>
      <c r="AU45" s="27"/>
      <c r="AV45" s="28"/>
      <c r="AW45" s="28"/>
      <c r="AX45" s="28"/>
      <c r="AY45" s="28"/>
      <c r="AZ45" s="28"/>
      <c r="BA45" s="28"/>
      <c r="BB45" s="28"/>
      <c r="BC45" s="28"/>
      <c r="BD45" s="28"/>
      <c r="BE45" s="29"/>
      <c r="BF45" s="168"/>
      <c r="BG45" s="169"/>
      <c r="BH45" s="169"/>
      <c r="BI45" s="169"/>
      <c r="BJ45" s="169"/>
      <c r="BK45" s="170"/>
    </row>
    <row r="46" spans="1:63" ht="15" customHeight="1" x14ac:dyDescent="0.25">
      <c r="A46" s="31"/>
      <c r="BK46" s="16"/>
    </row>
    <row r="47" spans="1:63" ht="15" customHeight="1" x14ac:dyDescent="0.25">
      <c r="A47" s="53"/>
      <c r="BK47" s="16"/>
    </row>
    <row r="48" spans="1:63" ht="15" customHeight="1" x14ac:dyDescent="0.25">
      <c r="A48" s="53"/>
      <c r="BK48" s="16"/>
    </row>
    <row r="49" spans="1:63" ht="15" customHeight="1" x14ac:dyDescent="0.25">
      <c r="A49" s="53"/>
      <c r="BK49" s="16"/>
    </row>
    <row r="50" spans="1:63" ht="15" customHeight="1" x14ac:dyDescent="0.25">
      <c r="A50" s="53"/>
      <c r="BK50" s="16"/>
    </row>
    <row r="51" spans="1:63" ht="15" customHeight="1" x14ac:dyDescent="0.25">
      <c r="A51" s="53"/>
      <c r="BK51" s="16"/>
    </row>
    <row r="52" spans="1:63" ht="15" customHeight="1" x14ac:dyDescent="0.25">
      <c r="A52" s="53"/>
      <c r="BK52" s="16"/>
    </row>
    <row r="53" spans="1:63" ht="15" customHeight="1" x14ac:dyDescent="0.25">
      <c r="A53" s="53"/>
      <c r="BK53" s="16"/>
    </row>
    <row r="54" spans="1:63" ht="15" customHeight="1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5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5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SC0101</vt:lpstr>
      <vt:lpstr>SC0102</vt:lpstr>
      <vt:lpstr>MD0102</vt:lpstr>
      <vt:lpstr>テンプレート</vt:lpstr>
      <vt:lpstr>'MD0102'!Print_Area</vt:lpstr>
      <vt:lpstr>'SC0101'!Print_Area</vt:lpstr>
      <vt:lpstr>'SC0102'!Print_Area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2024-12-26T08:37:28Z</dcterms:modified>
  <cp:category/>
  <cp:contentStatus/>
</cp:coreProperties>
</file>