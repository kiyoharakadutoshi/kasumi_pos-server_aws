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Pos system\30_機能設計\"/>
    </mc:Choice>
  </mc:AlternateContent>
  <xr:revisionPtr revIDLastSave="0" documentId="13_ncr:1_{5E3DA881-FF26-42FF-B061-5B596E88AF2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201" sheetId="11" r:id="rId3"/>
  </sheets>
  <definedNames>
    <definedName name="_xlnm.Print_Area" localSheetId="2">'SC0201'!$A$1:$BK$217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1" l="1"/>
  <c r="Z4" i="11"/>
  <c r="H4" i="11"/>
  <c r="AT2" i="11"/>
  <c r="AP2" i="11"/>
  <c r="K2" i="11"/>
  <c r="A2" i="11"/>
  <c r="W1" i="11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11" s="1"/>
  <c r="BC2" i="4"/>
  <c r="BC2" i="11" s="1"/>
  <c r="AY2" i="4"/>
  <c r="AY2" i="11" s="1"/>
  <c r="AT2" i="4"/>
  <c r="AP2" i="4"/>
  <c r="BH2" i="3" l="1"/>
  <c r="AY2" i="3"/>
  <c r="BC2" i="3"/>
</calcChain>
</file>

<file path=xl/sharedStrings.xml><?xml version="1.0" encoding="utf-8"?>
<sst xmlns="http://schemas.openxmlformats.org/spreadsheetml/2006/main" count="261" uniqueCount="165">
  <si>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</si>
  <si>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</si>
  <si>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</si>
  <si>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</si>
  <si>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</si>
  <si>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</si>
  <si>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</si>
  <si>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</si>
  <si>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</si>
  <si>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画面初期化</t>
    </r>
  </si>
  <si>
    <r>
      <rPr>
        <sz val="11"/>
        <color rgb="FF000000"/>
        <rFont val="Meiryo UI"/>
        <family val="2"/>
      </rPr>
      <t>20_画面設計_40_従業員設定.xlsx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</si>
  <si>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</si>
  <si>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</si>
  <si>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2.2 返却された結果情報</t>
    </r>
  </si>
  <si>
    <r>
      <rPr>
        <sz val="11"/>
        <color rgb="FF000000"/>
        <rFont val="Meiryo UI"/>
        <family val="2"/>
      </rPr>
      <t>▪バリデーションチェックのエラーがある：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</si>
  <si>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</si>
  <si>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</si>
  <si>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選択された店舗</t>
    </r>
  </si>
  <si>
    <r>
      <rPr>
        <sz val="11"/>
        <color rgb="FF000000"/>
        <rFont val="Meiryo UI"/>
        <family val="2"/>
      </rPr>
      <t>レコードのID(新規作成の場合、NULLを渡す)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</si>
  <si>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</si>
  <si>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02_緊急売価変更</t>
    </r>
  </si>
  <si>
    <r>
      <rPr>
        <sz val="11"/>
        <color rgb="FF000000"/>
        <rFont val="Meiryo UI"/>
        <family val="2"/>
      </rPr>
      <t>SC0201</t>
    </r>
  </si>
  <si>
    <r>
      <rPr>
        <sz val="11"/>
        <color rgb="FF000000"/>
        <rFont val="Meiryo UI"/>
        <family val="2"/>
      </rPr>
      <t>緊急売価変更</t>
    </r>
  </si>
  <si>
    <r>
      <rPr>
        <sz val="11"/>
        <color rgb="FF000000"/>
        <rFont val="Meiryo UI"/>
        <family val="2"/>
      </rPr>
      <t>SC0201_01</t>
    </r>
  </si>
  <si>
    <r>
      <rPr>
        <sz val="11"/>
        <color rgb="FF000000"/>
        <rFont val="Meiryo UI"/>
        <family val="2"/>
      </rPr>
      <t>20_画面設計_02_緊急売価変更.xlsxをご参照ください。</t>
    </r>
  </si>
  <si>
    <r>
      <rPr>
        <sz val="11"/>
        <color rgb="FF000000"/>
        <rFont val="Meiryo UI"/>
        <family val="2"/>
      </rPr>
      <t>SC0201_02</t>
    </r>
  </si>
  <si>
    <r>
      <rPr>
        <sz val="11"/>
        <color rgb="FF000000"/>
        <rFont val="Meiryo UI"/>
        <family val="2"/>
      </rPr>
      <t>部門提案</t>
    </r>
  </si>
  <si>
    <r>
      <rPr>
        <sz val="11"/>
        <color rgb="FF000000"/>
        <rFont val="Meiryo UI"/>
        <family val="2"/>
      </rPr>
      <t>1.1 AP1507API呼出処理を実行する。</t>
    </r>
  </si>
  <si>
    <r>
      <rPr>
        <sz val="11"/>
        <color rgb="FF000000"/>
        <rFont val="Meiryo UI"/>
        <family val="2"/>
      </rPr>
      <t>level</t>
    </r>
  </si>
  <si>
    <r>
      <rPr>
        <sz val="11"/>
        <color rgb="FF000000"/>
        <rFont val="Meiryo UI"/>
        <family val="2"/>
      </rPr>
      <t>filter-code</t>
    </r>
  </si>
  <si>
    <r>
      <rPr>
        <sz val="11"/>
        <color rgb="FF000000"/>
        <rFont val="Meiryo UI"/>
        <family val="2"/>
      </rPr>
      <t>1</t>
    </r>
  </si>
  <si>
    <r>
      <rPr>
        <sz val="11"/>
        <color rgb="FF000000"/>
        <rFont val="Meiryo UI"/>
        <family val="2"/>
      </rPr>
      <t>画面で入力された値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</si>
  <si>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</si>
  <si>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</si>
  <si>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</si>
  <si>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</si>
  <si>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</si>
  <si>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</si>
  <si>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</si>
  <si>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緊急売価検索</t>
    </r>
  </si>
  <si>
    <r>
      <rPr>
        <sz val="11"/>
        <color rgb="FF000000"/>
        <rFont val="Meiryo UI"/>
        <family val="2"/>
      </rPr>
      <t>日付が存在せずに形式が不正な場合、 MSG_VAL_003を表示する。</t>
    </r>
  </si>
  <si>
    <r>
      <rPr>
        <sz val="11"/>
        <color rgb="FF000000"/>
        <rFont val="Meiryo UI"/>
        <family val="2"/>
      </rPr>
      <t>入力されていない場合、MSG_VAL_001を表示する。</t>
    </r>
  </si>
  <si>
    <r>
      <rPr>
        <sz val="11"/>
        <color rgb="FF000000"/>
        <rFont val="Meiryo UI"/>
        <family val="2"/>
      </rPr>
      <t>過去日の場合、MSG_VAL_037を表示する。</t>
    </r>
  </si>
  <si>
    <r>
      <rPr>
        <sz val="11"/>
        <color rgb="FF000000"/>
        <rFont val="Meiryo UI"/>
        <family val="2"/>
      </rPr>
      <t>2.1 AP0201API呼出処理を実行する。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</si>
  <si>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</si>
  <si>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画面に入力された緊急売価の予約日付</t>
    </r>
  </si>
  <si>
    <r>
      <rPr>
        <sz val="11"/>
        <color rgb="FF000000"/>
        <rFont val="Meiryo UI"/>
        <family val="2"/>
      </rPr>
      <t>md_hierachy_code_level1</t>
    </r>
  </si>
  <si>
    <r>
      <rPr>
        <sz val="11"/>
        <color rgb="FF000000"/>
        <rFont val="Meiryo UI"/>
        <family val="2"/>
      </rPr>
      <t>画面に入力された部門コード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</si>
  <si>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</si>
  <si>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</si>
  <si>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14</t>
    </r>
  </si>
  <si>
    <r>
      <rPr>
        <sz val="11"/>
        <color rgb="FF000000"/>
        <rFont val="Meiryo UI"/>
        <family val="2"/>
      </rPr>
      <t>20_画面設計_02_緊急売価変更.xlsx</t>
    </r>
  </si>
  <si>
    <r>
      <rPr>
        <sz val="11"/>
        <color rgb="FF000000"/>
        <rFont val="Meiryo UI"/>
        <family val="2"/>
      </rPr>
      <t>SC0201_04</t>
    </r>
  </si>
  <si>
    <r>
      <rPr>
        <sz val="11"/>
        <color rgb="FF000000"/>
        <rFont val="Meiryo UI"/>
        <family val="2"/>
      </rPr>
      <t>商品コード切替/PLUコード切替</t>
    </r>
  </si>
  <si>
    <r>
      <rPr>
        <sz val="11"/>
        <color rgb="FF000000"/>
        <rFont val="Meiryo UI"/>
        <family val="2"/>
      </rPr>
      <t>ボタンの名称を「F08:PLUコード切替」に変更する。</t>
    </r>
  </si>
  <si>
    <r>
      <rPr>
        <sz val="11"/>
        <color rgb="FF000000"/>
        <rFont val="Meiryo UI"/>
        <family val="2"/>
      </rPr>
      <t>「部門コード（値）」、「商品コード」項目を無効にする。</t>
    </r>
  </si>
  <si>
    <r>
      <rPr>
        <sz val="11"/>
        <color rgb="FF000000"/>
        <rFont val="Meiryo UI"/>
        <family val="2"/>
      </rPr>
      <t>「PLUコード」項目を無効にする。</t>
    </r>
  </si>
  <si>
    <r>
      <rPr>
        <sz val="11"/>
        <color rgb="FF000000"/>
        <rFont val="Meiryo UI"/>
        <family val="2"/>
      </rPr>
      <t>商品の基本情報を検索する</t>
    </r>
  </si>
  <si>
    <r>
      <rPr>
        <sz val="11"/>
        <color rgb="FF000000"/>
        <rFont val="Meiryo UI"/>
        <family val="2"/>
      </rPr>
      <t>1.1 API「AP1506」: 商品提案呼出処理を実行する。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</si>
  <si>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</si>
  <si>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</si>
  <si>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</si>
  <si>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画面に入力された商品コード</t>
    </r>
  </si>
  <si>
    <r>
      <rPr>
        <sz val="11"/>
        <color rgb="FF000000"/>
        <rFont val="Meiryo UI"/>
        <family val="2"/>
      </rPr>
      <t>画面に入力されたPLUコード</t>
    </r>
  </si>
  <si>
    <r>
      <rPr>
        <sz val="11"/>
        <color rgb="FF000000"/>
        <rFont val="Meiryo UI"/>
        <family val="2"/>
      </rPr>
      <t>40_API設計_AP1506_商品提案.xlsxをご参照ください。</t>
    </r>
  </si>
  <si>
    <r>
      <rPr>
        <sz val="11"/>
        <color rgb="FF000000"/>
        <rFont val="Meiryo UI"/>
        <family val="2"/>
      </rPr>
      <t>返却レスポンスは40_API設計_AP1506_商品提案.xlsxをご参照ください。</t>
    </r>
  </si>
  <si>
    <r>
      <rPr>
        <sz val="11"/>
        <color rgb="FF000000"/>
        <rFont val="Meiryo UI"/>
        <family val="2"/>
      </rPr>
      <t>画面に入力された情報をクリアする。</t>
    </r>
  </si>
  <si>
    <r>
      <rPr>
        <sz val="10"/>
        <color rgb="FF000000"/>
        <rFont val="Meiryo UI"/>
        <family val="2"/>
      </rPr>
      <t>▪イベントSC0201_01</t>
    </r>
  </si>
  <si>
    <r>
      <rPr>
        <sz val="11"/>
        <color rgb="FF000000"/>
        <rFont val="Meiryo UI"/>
        <family val="2"/>
      </rPr>
      <t>2.1 AP0203API呼出処理を実行する。</t>
    </r>
  </si>
  <si>
    <r>
      <rPr>
        <sz val="11"/>
        <color rgb="FF000000"/>
        <rFont val="Meiryo UI"/>
        <family val="2"/>
      </rPr>
      <t>lang</t>
    </r>
  </si>
  <si>
    <r>
      <rPr>
        <sz val="11"/>
        <color rgb="FF000000"/>
        <rFont val="Meiryo UI"/>
        <family val="2"/>
      </rPr>
      <t>▪商品情報取得が成功した場合、</t>
    </r>
  </si>
  <si>
    <r>
      <rPr>
        <sz val="11"/>
        <color rgb="FF000000"/>
        <rFont val="Meiryo UI"/>
        <family val="2"/>
      </rPr>
      <t>▪商品情報取得が失敗した場合、</t>
    </r>
  </si>
  <si>
    <r>
      <rPr>
        <sz val="11"/>
        <color rgb="FF000000"/>
        <rFont val="Meiryo UI"/>
        <family val="2"/>
      </rPr>
      <t>・サーバーから返されたファイルのダウンロード処理を実行する。</t>
    </r>
  </si>
  <si>
    <r>
      <rPr>
        <sz val="11"/>
        <color rgb="FF000000"/>
        <rFont val="Meiryo UI"/>
        <family val="2"/>
      </rPr>
      <t>・参照ファイル内容：</t>
    </r>
  </si>
  <si>
    <r>
      <rPr>
        <sz val="11"/>
        <color rgb="FF000000"/>
        <rFont val="Meiryo UI"/>
        <family val="2"/>
      </rPr>
      <t>▪ファイル出力が成功した場合、</t>
    </r>
  </si>
  <si>
    <r>
      <rPr>
        <sz val="11"/>
        <color rgb="FF000000"/>
        <rFont val="Meiryo UI"/>
        <family val="2"/>
      </rPr>
      <t>▪ファイル出力が失敗した場合、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</si>
  <si>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</si>
  <si>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</si>
  <si>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force_price</t>
    </r>
  </si>
  <si>
    <r>
      <rPr>
        <sz val="11"/>
        <color rgb="FF000000"/>
        <rFont val="Meiryo UI"/>
        <family val="2"/>
      </rPr>
      <t>画面に入力された緊急売価</t>
    </r>
  </si>
  <si>
    <r>
      <rPr>
        <sz val="11"/>
        <color rgb="FF000000"/>
        <rFont val="Meiryo UI"/>
        <family val="2"/>
      </rPr>
      <t>id_delete_flag</t>
    </r>
  </si>
  <si>
    <r>
      <rPr>
        <sz val="11"/>
        <color rgb="FF000000"/>
        <rFont val="Meiryo UI"/>
        <family val="2"/>
      </rPr>
      <t>レコード削除確認フラグ</t>
    </r>
  </si>
  <si>
    <r>
      <rPr>
        <sz val="11"/>
        <color rgb="FF000000"/>
        <rFont val="Meiryo UI"/>
        <family val="2"/>
      </rPr>
      <t>40_API設計_AP0202_緊急売価の新規作成・編集・削除.xlsxをご参照ください。</t>
    </r>
  </si>
  <si>
    <r>
      <rPr>
        <sz val="11"/>
        <color rgb="FF000000"/>
        <rFont val="Meiryo UI"/>
        <family val="2"/>
      </rPr>
      <t>1.1　「AP0202」APIを呼び出す。</t>
    </r>
  </si>
  <si>
    <r>
      <rPr>
        <sz val="11"/>
        <color rgb="FF000000"/>
        <rFont val="Meiryo UI"/>
        <family val="2"/>
      </rPr>
      <t>▪緊急売価情報保存が成功した場合、</t>
    </r>
  </si>
  <si>
    <r>
      <rPr>
        <sz val="11"/>
        <color rgb="FF000000"/>
        <rFont val="Meiryo UI"/>
        <family val="2"/>
      </rPr>
      <t>▪緊急売価情報保存が失敗した場合、</t>
    </r>
  </si>
  <si>
    <r>
      <rPr>
        <sz val="11"/>
        <color rgb="FF000000"/>
        <rFont val="Meiryo UI"/>
        <family val="2"/>
      </rPr>
      <t>返却レスポンスは40_API設計_AP0202_緊急売価の新規作成・編集・削除.xlsxをご参照ください。</t>
    </r>
  </si>
  <si>
    <r>
      <rPr>
        <sz val="11"/>
        <color rgb="FF000000"/>
        <rFont val="Meiryo UI"/>
        <family val="2"/>
      </rPr>
      <t>入力された数値 &lt;=0の場合、MSG_VAL_038を表示する。</t>
    </r>
  </si>
  <si>
    <r>
      <rPr>
        <sz val="11"/>
        <color rgb="FF000000"/>
        <rFont val="Meiryo UI"/>
        <family val="2"/>
      </rPr>
      <t>変更された緊急売価を保存する。</t>
    </r>
  </si>
  <si>
    <r>
      <rPr>
        <sz val="11"/>
        <color rgb="FF000000"/>
        <rFont val="Meiryo UI"/>
        <family val="2"/>
      </rPr>
      <t>①．成功した場合：</t>
    </r>
  </si>
  <si>
    <r>
      <rPr>
        <sz val="11"/>
        <color rgb="FF000000"/>
        <rFont val="Meiryo UI"/>
        <family val="2"/>
      </rPr>
      <t>SC0201_03</t>
    </r>
  </si>
  <si>
    <r>
      <rPr>
        <sz val="11"/>
        <color rgb="FF000000"/>
        <rFont val="Meiryo UI"/>
        <family val="2"/>
      </rPr>
      <t>・APIエラーの共通表示処理を実行する。</t>
    </r>
  </si>
  <si>
    <r>
      <rPr>
        <sz val="11"/>
        <color rgb="FF000000"/>
        <rFont val="Meiryo UI"/>
        <family val="2"/>
      </rPr>
      <t>ボタンの名称を「F08:商品コード切替」に変更する。</t>
    </r>
  </si>
  <si>
    <r>
      <rPr>
        <sz val="11"/>
        <color rgb="FF000000"/>
        <rFont val="Meiryo UI"/>
        <family val="2"/>
      </rPr>
      <t>SC0201_05</t>
    </r>
  </si>
  <si>
    <r>
      <rPr>
        <sz val="11"/>
        <color rgb="FF000000"/>
        <rFont val="Meiryo UI"/>
        <family val="2"/>
      </rPr>
      <t>SC0201_06</t>
    </r>
  </si>
  <si>
    <r>
      <rPr>
        <sz val="11"/>
        <color rgb="FF000000"/>
        <rFont val="Meiryo UI"/>
        <family val="2"/>
      </rPr>
      <t>SC0201_07</t>
    </r>
  </si>
  <si>
    <r>
      <rPr>
        <sz val="11"/>
        <color rgb="FF000000"/>
        <rFont val="Meiryo UI"/>
        <family val="2"/>
      </rPr>
      <t>現在のシステムの言語（「ja」、「en」）</t>
    </r>
  </si>
  <si>
    <r>
      <rPr>
        <sz val="11"/>
        <color rgb="FF000000"/>
        <rFont val="Meiryo UI"/>
        <family val="2"/>
      </rPr>
      <t>SC0201_08</t>
    </r>
  </si>
  <si>
    <r>
      <rPr>
        <sz val="11"/>
        <color rgb="FF000000"/>
        <rFont val="Meiryo UI"/>
        <family val="2"/>
      </rPr>
      <t>入力されたgroup_codeが2桁未満、product_codeが6未満の場合、「0」を追加して</t>
    </r>
  </si>
  <si>
    <r>
      <rPr>
        <sz val="11"/>
        <color rgb="FF000000"/>
        <rFont val="Meiryo UI"/>
        <family val="2"/>
      </rPr>
      <t>API「AP1506: 商品提案」を呼び出す。</t>
    </r>
  </si>
  <si>
    <r>
      <rPr>
        <sz val="11"/>
        <color rgb="FF000000"/>
        <rFont val="Meiryo UI"/>
        <family val="2"/>
      </rPr>
      <t>入力されたPLUコードが13未満の場合、「0」を追加して、API 「AP1506：商品提案」を呼び出す。</t>
    </r>
  </si>
  <si>
    <r>
      <rPr>
        <sz val="11"/>
        <color rgb="FF000000"/>
        <rFont val="Meiryo UI"/>
        <family val="2"/>
      </rPr>
      <t>・20_画面設計_02_緊急売価変更.xlsxに従って画面にエラーメッセージを表示する。</t>
    </r>
  </si>
  <si>
    <r>
      <rPr>
        <sz val="11"/>
        <color rgb="FF000000"/>
        <rFont val="Meiryo UI"/>
        <family val="2"/>
      </rPr>
      <t>・サーバーから返されたエラーメッセージを含むモーダルエラーを表示する。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</si>
  <si>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</si>
  <si>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</si>
  <si>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</si>
  <si>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</si>
  <si>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</si>
  <si>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</si>
  <si>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</si>
  <si>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</si>
  <si>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</si>
  <si>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</si>
  <si>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</si>
  <si>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</si>
  <si>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</si>
  <si>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</si>
  <si>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</si>
  <si>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</si>
  <si>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</si>
  <si>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TuyenNH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</si>
  <si>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</si>
  <si>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</si>
  <si>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</si>
  <si>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</si>
  <si>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sz val="11"/>
        <color rgb="FF000000"/>
        <rFont val="Meiryo UI"/>
        <family val="2"/>
      </rPr>
      <t>401エラーの場合、以下のファイルの説明に従ってエラー表示処理を実行する（エラーメッセージ = MSG_ER_001）</t>
    </r>
  </si>
  <si>
    <r>
      <rPr>
        <sz val="11"/>
        <color rgb="FF000000"/>
        <rFont val="Meiryo UI"/>
        <family val="2"/>
      </rPr>
      <t>他のエラーの場合、APIエラーの共通表示処理を実行する。</t>
    </r>
  </si>
  <si>
    <r>
      <rPr>
        <b/>
        <sz val="11"/>
        <color rgb="FF000000"/>
        <rFont val="Meiryo UI"/>
        <family val="2"/>
      </rPr>
      <t>2. 画面項目の「AP1507」APIレスポンスをマッピングする。</t>
    </r>
  </si>
  <si>
    <r>
      <rPr>
        <b/>
        <sz val="11"/>
        <color rgb="FF000000"/>
        <rFont val="Meiryo UI"/>
        <family val="2"/>
      </rPr>
      <t>1. 検索条件を確認する。</t>
    </r>
  </si>
  <si>
    <r>
      <rPr>
        <sz val="11"/>
        <color rgb="FF000000"/>
        <rFont val="Meiryo UI"/>
        <family val="2"/>
      </rPr>
      <t xml:space="preserve">・「予約日付」項目: </t>
    </r>
  </si>
  <si>
    <r>
      <rPr>
        <b/>
        <sz val="11"/>
        <color rgb="FF000000"/>
        <rFont val="Meiryo UI"/>
        <family val="2"/>
      </rPr>
      <t>2. KN0201_部門コード別緊急売価検索機能</t>
    </r>
  </si>
  <si>
    <r>
      <rPr>
        <sz val="11"/>
        <color rgb="FF000000"/>
        <rFont val="Meiryo UI"/>
        <family val="2"/>
      </rPr>
      <t>・現在のページの場合、デフォルト = 1、
・次頁の場合、現在のページ + 1</t>
    </r>
  </si>
  <si>
    <r>
      <rPr>
        <b/>
        <sz val="11"/>
        <color rgb="FF000000"/>
        <rFont val="Meiryo UI"/>
        <family val="2"/>
      </rPr>
      <t>1. 「F08:商品コード切替」ボタンをタッチする</t>
    </r>
  </si>
  <si>
    <r>
      <rPr>
        <b/>
        <sz val="11"/>
        <color rgb="FF000000"/>
        <rFont val="Meiryo UI"/>
        <family val="2"/>
      </rPr>
      <t>2. 「F08:PLUコード切替」ボタンをタッチする</t>
    </r>
  </si>
  <si>
    <r>
      <rPr>
        <b/>
        <sz val="11"/>
        <color rgb="FF000000"/>
        <rFont val="Meiryo UI"/>
        <family val="2"/>
      </rPr>
      <t>1. KN1505_商品提案機能</t>
    </r>
  </si>
  <si>
    <r>
      <rPr>
        <b/>
        <sz val="11"/>
        <color rgb="FF000000"/>
        <rFont val="Meiryo UI"/>
        <family val="2"/>
      </rPr>
      <t>1. 画面に入力された情報をクリアする。</t>
    </r>
  </si>
  <si>
    <r>
      <rPr>
        <sz val="11"/>
        <color rgb="FF000000"/>
        <rFont val="Meiryo UI"/>
        <family val="2"/>
      </rPr>
      <t>画面を初期状態にする。「SC0201_01」イベントをご参照ください。</t>
    </r>
  </si>
  <si>
    <r>
      <rPr>
        <sz val="11"/>
        <color rgb="FF000000"/>
        <rFont val="Meiryo UI"/>
        <family val="2"/>
      </rPr>
      <t>注意：画面の検索項目と検索結果をクリアする。選択中の対象店舗をクリアしない。</t>
    </r>
  </si>
  <si>
    <r>
      <rPr>
        <b/>
        <sz val="11"/>
        <color rgb="FF000000"/>
        <rFont val="Meiryo UI"/>
        <family val="2"/>
      </rPr>
      <t>1. 出力条件を確認する。</t>
    </r>
  </si>
  <si>
    <r>
      <rPr>
        <b/>
        <sz val="11"/>
        <color rgb="FF000000"/>
        <rFont val="Meiryo UI"/>
        <family val="2"/>
      </rPr>
      <t>1. 緊急売価情報のバリデーションチェックを行う。</t>
    </r>
  </si>
  <si>
    <r>
      <rPr>
        <sz val="11"/>
        <color rgb="FF000000"/>
        <rFont val="Meiryo UI"/>
        <family val="2"/>
      </rPr>
      <t xml:space="preserve">・「変更売価」項目: </t>
    </r>
  </si>
  <si>
    <r>
      <rPr>
        <b/>
        <sz val="11"/>
        <color rgb="FF000000"/>
        <rFont val="Meiryo UI"/>
        <family val="2"/>
      </rPr>
      <t>2. KN0202_一括商品売価変更機能を実行する。</t>
    </r>
  </si>
  <si>
    <t>▪20_画面設計_02_緊急売価変更.xlsx</t>
  </si>
  <si>
    <t>▪20_画面設計_02_緊急売価変更.xlsx
▪40_API設計_AP1507_階層一覧取得.xlsx</t>
  </si>
  <si>
    <t>▪20_画面設計_02_緊急売価変更.xlsx
▪40_API設計_AP1506_商品提案.xlsx</t>
  </si>
  <si>
    <t>▪20_画面設計_40_従業員設定.xlsx
▪40_API設計_AP0202_緊急売価の新規作成・編集・削除.xlsx</t>
  </si>
  <si>
    <t>品種一覧</t>
  </si>
  <si>
    <r>
      <rPr>
        <b/>
        <sz val="11"/>
        <color rgb="FF000000"/>
        <rFont val="Meiryo UI"/>
        <family val="2"/>
      </rPr>
      <t>1. AP1507を使用して品種を検索する。</t>
    </r>
  </si>
  <si>
    <t>入力桁数が2桁未満の場合、「0」を追加して、AP1507_品種検索のAPIを呼び出す。</t>
  </si>
  <si>
    <r>
      <rPr>
        <sz val="11"/>
        <color rgb="FF000000"/>
        <rFont val="Meiryo UI"/>
        <family val="2"/>
      </rPr>
      <t>▪バリデーションチェックのエラーがない場合：KN0201_部門コード別緊急売価検索機能を実行する。</t>
    </r>
  </si>
  <si>
    <r>
      <rPr>
        <sz val="11"/>
        <color rgb="FF000000"/>
        <rFont val="Meiryo UI"/>
        <family val="2"/>
      </rPr>
      <t>・以下の画面設計に従って画面に返されるAPIレスポンスのマッピングを実行する。</t>
    </r>
  </si>
  <si>
    <r>
      <rPr>
        <sz val="11"/>
        <color rgb="FF000000"/>
        <rFont val="Meiryo UI"/>
        <family val="2"/>
      </rPr>
      <t>▪バリデーションチェックのエラーがない場合：KN0202_一括商品売価変更機能を実行する。</t>
    </r>
  </si>
  <si>
    <r>
      <rPr>
        <sz val="11"/>
        <color rgb="FF000000"/>
        <rFont val="Meiryo UI"/>
        <family val="2"/>
      </rPr>
      <t>・画面を再度リロードし、以下の以前の検索条件に従ってデータを表示する：</t>
    </r>
  </si>
  <si>
    <t>▪20_画面設計_02_緊急売価変更.xlsx
40_API設計_AP0201_緊急売価リスト取得.xlsx</t>
  </si>
  <si>
    <t>40_API設計_AP0201_緊急売価リスト取得.xlsxをご参照ください。</t>
  </si>
  <si>
    <t>▪緊急売価リスト取得が成功した場合、</t>
  </si>
  <si>
    <t>返却レスポンスは40_API設計_AP0201_緊急売価リスト取得.xlsxをご参照ください。</t>
  </si>
  <si>
    <t>▪緊急売価リスト取得が失敗した場合、</t>
  </si>
  <si>
    <t>緊急売価リスト帳票を出力する。</t>
  </si>
  <si>
    <t>▪20_画面設計_02_緊急売価変更.xlsx
▪40_API設計_AP0203_緊急売価リスト出力.xlsx</t>
  </si>
  <si>
    <t>▪バリデーションチェックのエラーがない場合、PR0201_緊急売価リスト帳票を出力する。</t>
  </si>
  <si>
    <t>2. PR0201_緊急売価リスト帳票を出力する。</t>
  </si>
  <si>
    <t>40_API設計_AP0203_緊急売価リスト出力.xlsxをご参照ください。</t>
  </si>
  <si>
    <t>/60_帳票設計/02_緊急売価変更/PR0201_緊急売価リスト.xlsx</t>
  </si>
  <si>
    <t>4返却レスポンスは0_API設計_AP0203_緊急売価リスト出力.xlsxをご参照ください。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</si>
</sst>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1" fillId="0" borderId="0">
      <alignment vertical="center"/>
    </xf>
    <xf numFmtId="0" fontId="2" fillId="0" borderId="0">
      <alignment vertical="center"/>
    </xf>
  </cellStyleXfs>
  <cellXfs count="182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7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7" fillId="2" borderId="0" xfId="0" quotePrefix="1" applyFont="1" applyFill="1" applyAlignment="1">
      <alignment vertical="center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0" fontId="7" fillId="2" borderId="0" xfId="0" applyFont="1" applyFill="1" applyAlignment="1">
      <alignment vertical="center"/>
    </xf>
    <xf numFmtId="0" fontId="8" fillId="3" borderId="21" xfId="0" applyFont="1" applyFill="1" applyBorder="1" applyAlignment="1">
      <alignment vertical="center"/>
    </xf>
    <xf numFmtId="0" fontId="8" fillId="3" borderId="16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16" fillId="0" borderId="0" xfId="0" applyFont="1"/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4" xfId="0" applyFont="1" applyBorder="1" applyAlignment="1">
      <alignment vertical="center"/>
    </xf>
    <xf numFmtId="0" fontId="16" fillId="2" borderId="16" xfId="0" applyFont="1" applyFill="1" applyBorder="1" applyAlignment="1">
      <alignment vertical="center"/>
    </xf>
    <xf numFmtId="0" fontId="16" fillId="2" borderId="16" xfId="0" applyFont="1" applyFill="1" applyBorder="1" applyAlignment="1">
      <alignment horizontal="left" vertical="top" wrapText="1" shrinkToFit="1"/>
    </xf>
    <xf numFmtId="0" fontId="16" fillId="2" borderId="20" xfId="0" applyFont="1" applyFill="1" applyBorder="1" applyAlignment="1">
      <alignment horizontal="left" vertical="top" wrapText="1" shrinkToFit="1"/>
    </xf>
    <xf numFmtId="0" fontId="16" fillId="2" borderId="0" xfId="0" applyFont="1" applyFill="1" applyAlignment="1">
      <alignment vertical="center"/>
    </xf>
    <xf numFmtId="0" fontId="16" fillId="2" borderId="18" xfId="0" applyFont="1" applyFill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16" fillId="2" borderId="0" xfId="0" quotePrefix="1" applyFont="1" applyFill="1" applyAlignment="1">
      <alignment vertical="center"/>
    </xf>
    <xf numFmtId="0" fontId="16" fillId="2" borderId="2" xfId="0" applyFont="1" applyFill="1" applyBorder="1" applyAlignment="1">
      <alignment vertical="center"/>
    </xf>
    <xf numFmtId="49" fontId="16" fillId="2" borderId="3" xfId="8" applyNumberFormat="1" applyFont="1" applyFill="1" applyBorder="1" applyAlignment="1">
      <alignment horizontal="left" vertical="center"/>
    </xf>
    <xf numFmtId="0" fontId="16" fillId="2" borderId="3" xfId="0" applyFont="1" applyFill="1" applyBorder="1" applyAlignment="1">
      <alignment vertical="center"/>
    </xf>
    <xf numFmtId="49" fontId="16" fillId="2" borderId="21" xfId="8" applyNumberFormat="1" applyFont="1" applyFill="1" applyBorder="1">
      <alignment vertical="center"/>
    </xf>
    <xf numFmtId="49" fontId="16" fillId="2" borderId="16" xfId="8" applyNumberFormat="1" applyFont="1" applyFill="1" applyBorder="1">
      <alignment vertical="center"/>
    </xf>
    <xf numFmtId="49" fontId="16" fillId="2" borderId="21" xfId="8" quotePrefix="1" applyNumberFormat="1" applyFont="1" applyFill="1" applyBorder="1" applyAlignment="1">
      <alignment horizontal="left" vertical="top"/>
    </xf>
    <xf numFmtId="49" fontId="16" fillId="2" borderId="16" xfId="8" quotePrefix="1" applyNumberFormat="1" applyFont="1" applyFill="1" applyBorder="1" applyAlignment="1">
      <alignment horizontal="left" vertical="top" wrapText="1"/>
    </xf>
    <xf numFmtId="49" fontId="16" fillId="2" borderId="20" xfId="8" quotePrefix="1" applyNumberFormat="1" applyFont="1" applyFill="1" applyBorder="1" applyAlignment="1">
      <alignment horizontal="left" vertical="top" wrapText="1"/>
    </xf>
    <xf numFmtId="0" fontId="16" fillId="2" borderId="17" xfId="0" quotePrefix="1" applyFont="1" applyFill="1" applyBorder="1" applyAlignment="1">
      <alignment horizontal="left" vertical="center"/>
    </xf>
    <xf numFmtId="0" fontId="16" fillId="2" borderId="18" xfId="0" quotePrefix="1" applyFont="1" applyFill="1" applyBorder="1" applyAlignment="1">
      <alignment horizontal="left" vertical="center" indent="1"/>
    </xf>
    <xf numFmtId="0" fontId="16" fillId="2" borderId="19" xfId="0" applyFont="1" applyFill="1" applyBorder="1" applyAlignment="1">
      <alignment vertical="center"/>
    </xf>
    <xf numFmtId="0" fontId="16" fillId="2" borderId="18" xfId="0" applyFont="1" applyFill="1" applyBorder="1" applyAlignment="1">
      <alignment horizontal="left" vertical="center" indent="1"/>
    </xf>
    <xf numFmtId="0" fontId="16" fillId="2" borderId="17" xfId="0" applyFont="1" applyFill="1" applyBorder="1" applyAlignment="1">
      <alignment horizontal="left" vertical="center"/>
    </xf>
    <xf numFmtId="0" fontId="16" fillId="2" borderId="21" xfId="0" quotePrefix="1" applyFont="1" applyFill="1" applyBorder="1" applyAlignment="1">
      <alignment horizontal="left" vertical="center"/>
    </xf>
    <xf numFmtId="0" fontId="16" fillId="2" borderId="16" xfId="0" applyFont="1" applyFill="1" applyBorder="1" applyAlignment="1">
      <alignment horizontal="left" vertical="center" indent="1"/>
    </xf>
    <xf numFmtId="0" fontId="16" fillId="2" borderId="20" xfId="0" applyFont="1" applyFill="1" applyBorder="1" applyAlignment="1">
      <alignment vertical="center"/>
    </xf>
    <xf numFmtId="0" fontId="4" fillId="2" borderId="21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2" fontId="16" fillId="0" borderId="19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14" fontId="16" fillId="0" borderId="18" xfId="0" applyNumberFormat="1" applyFont="1" applyBorder="1" applyAlignment="1">
      <alignment horizontal="center" vertical="center"/>
    </xf>
    <xf numFmtId="14" fontId="16" fillId="0" borderId="19" xfId="0" applyNumberFormat="1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  <xf numFmtId="0" fontId="16" fillId="0" borderId="18" xfId="0" applyFont="1" applyBorder="1"/>
    <xf numFmtId="0" fontId="16" fillId="0" borderId="19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7" xfId="0" applyFont="1" applyBorder="1"/>
    <xf numFmtId="0" fontId="16" fillId="0" borderId="2" xfId="0" applyFont="1" applyBorder="1"/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0" fontId="12" fillId="4" borderId="0" xfId="0" applyFont="1" applyFill="1"/>
    <xf numFmtId="0" fontId="15" fillId="0" borderId="17" xfId="0" applyFont="1" applyBorder="1" applyAlignment="1">
      <alignment horizontal="center" vertical="center"/>
    </xf>
    <xf numFmtId="0" fontId="16" fillId="0" borderId="28" xfId="0" applyFont="1" applyBorder="1" applyAlignment="1">
      <alignment horizontal="left" vertical="top"/>
    </xf>
    <xf numFmtId="0" fontId="16" fillId="0" borderId="21" xfId="0" applyFont="1" applyBorder="1" applyAlignment="1">
      <alignment horizontal="left" vertical="top"/>
    </xf>
    <xf numFmtId="0" fontId="16" fillId="0" borderId="16" xfId="0" applyFont="1" applyBorder="1" applyAlignment="1">
      <alignment horizontal="left" vertical="top"/>
    </xf>
    <xf numFmtId="0" fontId="16" fillId="0" borderId="20" xfId="0" applyFont="1" applyBorder="1" applyAlignment="1">
      <alignment horizontal="left" vertical="top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2" fillId="4" borderId="21" xfId="6" applyFont="1" applyFill="1" applyBorder="1" applyAlignment="1">
      <alignment horizontal="center" vertical="center"/>
    </xf>
    <xf numFmtId="0" fontId="12" fillId="4" borderId="16" xfId="6" applyFont="1" applyFill="1" applyBorder="1" applyAlignment="1">
      <alignment horizontal="center" vertical="center"/>
    </xf>
    <xf numFmtId="0" fontId="12" fillId="4" borderId="20" xfId="6" applyFont="1" applyFill="1" applyBorder="1" applyAlignment="1">
      <alignment horizontal="center" vertical="center"/>
    </xf>
    <xf numFmtId="0" fontId="15" fillId="0" borderId="17" xfId="6" applyFont="1" applyBorder="1" applyAlignment="1">
      <alignment horizontal="center" vertical="center"/>
    </xf>
    <xf numFmtId="0" fontId="15" fillId="0" borderId="18" xfId="6" applyFont="1" applyBorder="1" applyAlignment="1">
      <alignment horizontal="center" vertical="center"/>
    </xf>
    <xf numFmtId="0" fontId="15" fillId="0" borderId="19" xfId="6" applyFont="1" applyBorder="1" applyAlignment="1">
      <alignment horizontal="center" vertical="center"/>
    </xf>
    <xf numFmtId="0" fontId="15" fillId="0" borderId="1" xfId="6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5" fillId="0" borderId="4" xfId="6" applyFont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0" fontId="15" fillId="0" borderId="3" xfId="6" applyFont="1" applyBorder="1" applyAlignment="1">
      <alignment horizontal="center" vertical="center"/>
    </xf>
    <xf numFmtId="0" fontId="15" fillId="0" borderId="5" xfId="6" applyFont="1" applyBorder="1" applyAlignment="1">
      <alignment horizontal="center" vertical="center"/>
    </xf>
    <xf numFmtId="0" fontId="13" fillId="4" borderId="21" xfId="6" applyFont="1" applyFill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49" fontId="6" fillId="2" borderId="17" xfId="8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49" fontId="16" fillId="2" borderId="21" xfId="8" quotePrefix="1" applyNumberFormat="1" applyFont="1" applyFill="1" applyBorder="1" applyAlignment="1">
      <alignment horizontal="left" vertical="top" wrapText="1"/>
    </xf>
    <xf numFmtId="49" fontId="16" fillId="2" borderId="16" xfId="8" quotePrefix="1" applyNumberFormat="1" applyFont="1" applyFill="1" applyBorder="1" applyAlignment="1">
      <alignment horizontal="left" vertical="top" wrapText="1"/>
    </xf>
    <xf numFmtId="49" fontId="16" fillId="2" borderId="20" xfId="8" quotePrefix="1" applyNumberFormat="1" applyFont="1" applyFill="1" applyBorder="1" applyAlignment="1">
      <alignment horizontal="left" vertical="top" wrapText="1"/>
    </xf>
    <xf numFmtId="0" fontId="4" fillId="0" borderId="21" xfId="6" applyFont="1" applyBorder="1" applyAlignment="1">
      <alignment horizontal="center" vertical="center"/>
    </xf>
    <xf numFmtId="49" fontId="9" fillId="2" borderId="17" xfId="8" applyNumberFormat="1" applyFont="1" applyFill="1" applyBorder="1" applyAlignment="1">
      <alignment horizontal="left" vertical="top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179294</xdr:colOff>
      <xdr:row>13</xdr:row>
      <xdr:rowOff>156882</xdr:rowOff>
    </xdr:from>
    <xdr:to>
      <xdr:col>55</xdr:col>
      <xdr:colOff>179295</xdr:colOff>
      <xdr:row>16</xdr:row>
      <xdr:rowOff>179294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>
          <a:grpSpLocks/>
        </xdr:cNvGrpSpPr>
      </xdr:nvGrpSpPr>
      <xdr:grpSpPr>
        <a:xfrm>
          <a:off x="10298206" y="2745441"/>
          <a:ext cx="2823883" cy="593912"/>
          <a:chOff x="8681645" y="-2596021"/>
          <a:chExt cx="2803761" cy="2324291"/>
        </a:xfrm>
      </xdr:grpSpPr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SC0201_緊急売価変更画面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>
            <a:endCxn id="12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54</xdr:row>
      <xdr:rowOff>4764</xdr:rowOff>
    </xdr:from>
    <xdr:to>
      <xdr:col>10</xdr:col>
      <xdr:colOff>0</xdr:colOff>
      <xdr:row>57</xdr:row>
      <xdr:rowOff>56030</xdr:rowOff>
    </xdr:to>
    <xdr:sp macro="" textlink="" fLocksText="0">
      <xdr:nvSpPr>
        <xdr:cNvPr id="21" name="フローチャート: 代替処理 27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61925" y="104108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</a:p>
      </xdr:txBody>
    </xdr:sp>
    <xdr:clientData/>
  </xdr:twoCellAnchor>
  <xdr:twoCellAnchor>
    <xdr:from>
      <xdr:col>10</xdr:col>
      <xdr:colOff>0</xdr:colOff>
      <xdr:row>55</xdr:row>
      <xdr:rowOff>131250</xdr:rowOff>
    </xdr:from>
    <xdr:to>
      <xdr:col>13</xdr:col>
      <xdr:colOff>89648</xdr:colOff>
      <xdr:row>55</xdr:row>
      <xdr:rowOff>131250</xdr:rowOff>
    </xdr:to>
    <xdr:cxnSp macro="">
      <xdr:nvCxnSpPr>
        <xdr:cNvPr id="22" name="直線矢印コネクタ 4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21" idx="3"/>
        </xdr:cNvCxnSpPr>
      </xdr:nvCxnSpPr>
      <xdr:spPr>
        <a:xfrm>
          <a:off x="2667000" y="1072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143883</xdr:colOff>
      <xdr:row>74</xdr:row>
      <xdr:rowOff>168088</xdr:rowOff>
    </xdr:from>
    <xdr:to>
      <xdr:col>55</xdr:col>
      <xdr:colOff>143885</xdr:colOff>
      <xdr:row>78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>
          <a:grpSpLocks/>
        </xdr:cNvGrpSpPr>
      </xdr:nvGrpSpPr>
      <xdr:grpSpPr>
        <a:xfrm>
          <a:off x="10262795" y="14612470"/>
          <a:ext cx="2823884" cy="593912"/>
          <a:chOff x="8357211" y="12314519"/>
          <a:chExt cx="2803762" cy="2324291"/>
        </a:xfrm>
      </xdr:grpSpPr>
      <xdr:sp macro="" textlink="" fLocksText="0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SC0201_緊急売価変更画面</a:t>
            </a:r>
          </a:p>
        </xdr:txBody>
      </xdr:sp>
      <xdr:cxnSp macro="">
        <xdr:nvCxnSpPr>
          <xdr:cNvPr id="25" name="直線矢印コネクタ 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CxnSpPr>
            <a:endCxn id="24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11206</xdr:colOff>
      <xdr:row>56</xdr:row>
      <xdr:rowOff>0</xdr:rowOff>
    </xdr:from>
    <xdr:to>
      <xdr:col>53</xdr:col>
      <xdr:colOff>143883</xdr:colOff>
      <xdr:row>57</xdr:row>
      <xdr:rowOff>179294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pSpPr>
          <a:grpSpLocks/>
        </xdr:cNvGrpSpPr>
      </xdr:nvGrpSpPr>
      <xdr:grpSpPr>
        <a:xfrm>
          <a:off x="10365441" y="10780059"/>
          <a:ext cx="2250589" cy="369794"/>
          <a:chOff x="8994954" y="-1771293"/>
          <a:chExt cx="2234552" cy="777600"/>
        </a:xfrm>
      </xdr:grpSpPr>
      <xdr:sp macro="" textlink="" fLocksText="0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8" name="直線矢印コネクタ 4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CxnSpPr>
            <a:endCxn id="27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80</xdr:row>
      <xdr:rowOff>11206</xdr:rowOff>
    </xdr:from>
    <xdr:to>
      <xdr:col>53</xdr:col>
      <xdr:colOff>132677</xdr:colOff>
      <xdr:row>82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pSpPr>
          <a:grpSpLocks/>
        </xdr:cNvGrpSpPr>
      </xdr:nvGrpSpPr>
      <xdr:grpSpPr>
        <a:xfrm>
          <a:off x="10354235" y="15598588"/>
          <a:ext cx="2250589" cy="369794"/>
          <a:chOff x="8994954" y="-1771293"/>
          <a:chExt cx="2234552" cy="777600"/>
        </a:xfrm>
      </xdr:grpSpPr>
      <xdr:sp macro="" textlink="" fLocksText="0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1" name="直線矢印コネクタ 4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CxnSpPr>
            <a:endCxn id="30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137</xdr:row>
      <xdr:rowOff>4764</xdr:rowOff>
    </xdr:from>
    <xdr:to>
      <xdr:col>10</xdr:col>
      <xdr:colOff>0</xdr:colOff>
      <xdr:row>140</xdr:row>
      <xdr:rowOff>56030</xdr:rowOff>
    </xdr:to>
    <xdr:sp macro="" textlink="" fLocksText="0">
      <xdr:nvSpPr>
        <xdr:cNvPr id="32" name="フローチャート: 代替処理 2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61925" y="26460450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F04：クリア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138</xdr:row>
      <xdr:rowOff>131250</xdr:rowOff>
    </xdr:from>
    <xdr:to>
      <xdr:col>13</xdr:col>
      <xdr:colOff>89648</xdr:colOff>
      <xdr:row>138</xdr:row>
      <xdr:rowOff>131250</xdr:rowOff>
    </xdr:to>
    <xdr:cxnSp macro="">
      <xdr:nvCxnSpPr>
        <xdr:cNvPr id="33" name="直線矢印コネクタ 4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stCxn id="32" idx="3"/>
        </xdr:cNvCxnSpPr>
      </xdr:nvCxnSpPr>
      <xdr:spPr>
        <a:xfrm>
          <a:off x="2667000" y="26774775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166534</xdr:colOff>
      <xdr:row>149</xdr:row>
      <xdr:rowOff>4764</xdr:rowOff>
    </xdr:from>
    <xdr:to>
      <xdr:col>10</xdr:col>
      <xdr:colOff>0</xdr:colOff>
      <xdr:row>152</xdr:row>
      <xdr:rowOff>56030</xdr:rowOff>
    </xdr:to>
    <xdr:sp macro="" textlink="" fLocksText="0">
      <xdr:nvSpPr>
        <xdr:cNvPr id="43" name="フローチャート: 代替処理 27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61925" y="28746450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F07:印刷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150</xdr:row>
      <xdr:rowOff>131250</xdr:rowOff>
    </xdr:from>
    <xdr:to>
      <xdr:col>13</xdr:col>
      <xdr:colOff>89648</xdr:colOff>
      <xdr:row>150</xdr:row>
      <xdr:rowOff>131250</xdr:rowOff>
    </xdr:to>
    <xdr:cxnSp macro="">
      <xdr:nvCxnSpPr>
        <xdr:cNvPr id="44" name="直線矢印コネクタ 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stCxn id="43" idx="3"/>
        </xdr:cNvCxnSpPr>
      </xdr:nvCxnSpPr>
      <xdr:spPr>
        <a:xfrm>
          <a:off x="2667000" y="29060775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166534</xdr:colOff>
      <xdr:row>193</xdr:row>
      <xdr:rowOff>4764</xdr:rowOff>
    </xdr:from>
    <xdr:to>
      <xdr:col>10</xdr:col>
      <xdr:colOff>0</xdr:colOff>
      <xdr:row>196</xdr:row>
      <xdr:rowOff>56030</xdr:rowOff>
    </xdr:to>
    <xdr:sp macro="" textlink="" fLocksText="0">
      <xdr:nvSpPr>
        <xdr:cNvPr id="76" name="フローチャート: 代替処理 27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161925" y="37128450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F09:確認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194</xdr:row>
      <xdr:rowOff>131250</xdr:rowOff>
    </xdr:from>
    <xdr:to>
      <xdr:col>13</xdr:col>
      <xdr:colOff>89648</xdr:colOff>
      <xdr:row>194</xdr:row>
      <xdr:rowOff>131250</xdr:rowOff>
    </xdr:to>
    <xdr:cxnSp macro="">
      <xdr:nvCxnSpPr>
        <xdr:cNvPr id="77" name="直線矢印コネクタ 4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>
          <a:stCxn id="76" idx="3"/>
        </xdr:cNvCxnSpPr>
      </xdr:nvCxnSpPr>
      <xdr:spPr>
        <a:xfrm>
          <a:off x="2667000" y="37442775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224120</xdr:colOff>
      <xdr:row>212</xdr:row>
      <xdr:rowOff>11206</xdr:rowOff>
    </xdr:from>
    <xdr:to>
      <xdr:col>53</xdr:col>
      <xdr:colOff>121474</xdr:colOff>
      <xdr:row>214</xdr:row>
      <xdr:rowOff>0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GrpSpPr>
          <a:grpSpLocks/>
        </xdr:cNvGrpSpPr>
      </xdr:nvGrpSpPr>
      <xdr:grpSpPr>
        <a:xfrm>
          <a:off x="10343032" y="40744588"/>
          <a:ext cx="2250589" cy="369794"/>
          <a:chOff x="8870788" y="-2171875"/>
          <a:chExt cx="2234552" cy="777600"/>
        </a:xfrm>
      </xdr:grpSpPr>
      <xdr:sp macro="" textlink="" fLocksText="0">
        <xdr:nvSpPr>
          <xdr:cNvPr id="85" name="Rectangl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9449537" y="-217187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6" name="直線矢印コネクタ 4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CxnSpPr>
            <a:endCxn id="85" idx="1"/>
          </xdr:cNvCxnSpPr>
        </xdr:nvCxnSpPr>
        <xdr:spPr>
          <a:xfrm>
            <a:off x="8870788" y="-178307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110505</xdr:colOff>
      <xdr:row>25</xdr:row>
      <xdr:rowOff>0</xdr:rowOff>
    </xdr:from>
    <xdr:to>
      <xdr:col>9</xdr:col>
      <xdr:colOff>179294</xdr:colOff>
      <xdr:row>29</xdr:row>
      <xdr:rowOff>185736</xdr:rowOff>
    </xdr:to>
    <xdr:sp macro="" textlink="" fLocksText="0">
      <xdr:nvSpPr>
        <xdr:cNvPr id="4" name="フローチャート: 代替処理 2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4300" y="4876800"/>
          <a:ext cx="2466975" cy="942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部門コードを入力してフォーカスアウトした場合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179294</xdr:colOff>
      <xdr:row>27</xdr:row>
      <xdr:rowOff>92868</xdr:rowOff>
    </xdr:from>
    <xdr:to>
      <xdr:col>13</xdr:col>
      <xdr:colOff>179294</xdr:colOff>
      <xdr:row>27</xdr:row>
      <xdr:rowOff>92868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stCxn id="4" idx="3"/>
        </xdr:cNvCxnSpPr>
      </xdr:nvCxnSpPr>
      <xdr:spPr>
        <a:xfrm>
          <a:off x="2581275" y="5353050"/>
          <a:ext cx="1066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145676</xdr:colOff>
      <xdr:row>35</xdr:row>
      <xdr:rowOff>0</xdr:rowOff>
    </xdr:from>
    <xdr:to>
      <xdr:col>55</xdr:col>
      <xdr:colOff>145677</xdr:colOff>
      <xdr:row>38</xdr:row>
      <xdr:rowOff>22412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>
          <a:grpSpLocks/>
        </xdr:cNvGrpSpPr>
      </xdr:nvGrpSpPr>
      <xdr:grpSpPr>
        <a:xfrm>
          <a:off x="10264588" y="6779559"/>
          <a:ext cx="2823883" cy="593912"/>
          <a:chOff x="8681645" y="-2596021"/>
          <a:chExt cx="2803761" cy="2324291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SC0201_緊急売価変更画面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" name="直線矢印コネクタ 4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CxnSpPr>
            <a:endCxn id="7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90</xdr:row>
      <xdr:rowOff>4764</xdr:rowOff>
    </xdr:from>
    <xdr:to>
      <xdr:col>10</xdr:col>
      <xdr:colOff>0</xdr:colOff>
      <xdr:row>94</xdr:row>
      <xdr:rowOff>0</xdr:rowOff>
    </xdr:to>
    <xdr:sp macro="" textlink="" fLocksText="0">
      <xdr:nvSpPr>
        <xdr:cNvPr id="19" name="フローチャート: 代替処理 27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1925" y="17506950"/>
          <a:ext cx="2505075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vi-VN" altLang="ja-JP" sz="11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商品コード切替/PLUコード切替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92</xdr:row>
      <xdr:rowOff>2382</xdr:rowOff>
    </xdr:from>
    <xdr:to>
      <xdr:col>13</xdr:col>
      <xdr:colOff>0</xdr:colOff>
      <xdr:row>92</xdr:row>
      <xdr:rowOff>2382</xdr:rowOff>
    </xdr:to>
    <xdr:cxnSp macro="">
      <xdr:nvCxnSpPr>
        <xdr:cNvPr id="20" name="直線矢印コネクタ 4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>
          <a:stCxn id="19" idx="3"/>
        </xdr:cNvCxnSpPr>
      </xdr:nvCxnSpPr>
      <xdr:spPr>
        <a:xfrm>
          <a:off x="2667000" y="1787842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91</xdr:row>
      <xdr:rowOff>0</xdr:rowOff>
    </xdr:from>
    <xdr:to>
      <xdr:col>56</xdr:col>
      <xdr:colOff>0</xdr:colOff>
      <xdr:row>94</xdr:row>
      <xdr:rowOff>22412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pSpPr>
          <a:grpSpLocks/>
        </xdr:cNvGrpSpPr>
      </xdr:nvGrpSpPr>
      <xdr:grpSpPr>
        <a:xfrm>
          <a:off x="10354235" y="17682882"/>
          <a:ext cx="2823883" cy="593912"/>
          <a:chOff x="8681645" y="-2596021"/>
          <a:chExt cx="2803761" cy="2324291"/>
        </a:xfrm>
      </xdr:grpSpPr>
      <xdr:sp macro="" textlink="" fLocksText="0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SC0201_緊急売価変更画面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2" name="直線矢印コネクタ 4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CxnSpPr>
            <a:endCxn id="41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99299</xdr:colOff>
      <xdr:row>106</xdr:row>
      <xdr:rowOff>89647</xdr:rowOff>
    </xdr:from>
    <xdr:to>
      <xdr:col>9</xdr:col>
      <xdr:colOff>168088</xdr:colOff>
      <xdr:row>108</xdr:row>
      <xdr:rowOff>56031</xdr:rowOff>
    </xdr:to>
    <xdr:sp macro="" textlink="" fLocksText="0">
      <xdr:nvSpPr>
        <xdr:cNvPr id="47" name="フローチャート: 代替処理 27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95250" y="20631150"/>
          <a:ext cx="2476500" cy="3524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vi-VN" altLang="ja-JP" sz="11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商品提案</a:t>
          </a:r>
        </a:p>
      </xdr:txBody>
    </xdr:sp>
    <xdr:clientData/>
  </xdr:twoCellAnchor>
  <xdr:twoCellAnchor>
    <xdr:from>
      <xdr:col>9</xdr:col>
      <xdr:colOff>168088</xdr:colOff>
      <xdr:row>107</xdr:row>
      <xdr:rowOff>70456</xdr:rowOff>
    </xdr:from>
    <xdr:to>
      <xdr:col>13</xdr:col>
      <xdr:colOff>22413</xdr:colOff>
      <xdr:row>107</xdr:row>
      <xdr:rowOff>72839</xdr:rowOff>
    </xdr:to>
    <xdr:cxnSp macro="">
      <xdr:nvCxnSpPr>
        <xdr:cNvPr id="51" name="直線矢印コネクタ 4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>
          <a:stCxn id="47" idx="3"/>
        </xdr:cNvCxnSpPr>
      </xdr:nvCxnSpPr>
      <xdr:spPr>
        <a:xfrm flipV="1">
          <a:off x="2571750" y="20802600"/>
          <a:ext cx="91440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143883</xdr:colOff>
      <xdr:row>120</xdr:row>
      <xdr:rowOff>168088</xdr:rowOff>
    </xdr:from>
    <xdr:to>
      <xdr:col>55</xdr:col>
      <xdr:colOff>143885</xdr:colOff>
      <xdr:row>124</xdr:row>
      <xdr:rowOff>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GrpSpPr>
          <a:grpSpLocks/>
        </xdr:cNvGrpSpPr>
      </xdr:nvGrpSpPr>
      <xdr:grpSpPr>
        <a:xfrm>
          <a:off x="10262795" y="23375470"/>
          <a:ext cx="2823884" cy="593912"/>
          <a:chOff x="8357211" y="12314519"/>
          <a:chExt cx="2803762" cy="2324291"/>
        </a:xfrm>
      </xdr:grpSpPr>
      <xdr:sp macro="" textlink="" fLocksText="0">
        <xdr:nvSpPr>
          <xdr:cNvPr id="53" name="Rectangle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SC0201_緊急売価変更画面</a:t>
            </a:r>
          </a:p>
        </xdr:txBody>
      </xdr:sp>
      <xdr:cxnSp macro="">
        <xdr:nvCxnSpPr>
          <xdr:cNvPr id="70" name="直線矢印コネクタ 4">
            <a:extLst>
              <a:ext uri="{FF2B5EF4-FFF2-40B4-BE49-F238E27FC236}">
                <a16:creationId xmlns:a16="http://schemas.microsoft.com/office/drawing/2014/main" id="{00000000-0008-0000-0200-000046000000}"/>
              </a:ext>
            </a:extLst>
          </xdr:cNvPr>
          <xdr:cNvCxnSpPr>
            <a:endCxn id="53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126</xdr:row>
      <xdr:rowOff>0</xdr:rowOff>
    </xdr:from>
    <xdr:to>
      <xdr:col>53</xdr:col>
      <xdr:colOff>132677</xdr:colOff>
      <xdr:row>127</xdr:row>
      <xdr:rowOff>179294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GrpSpPr>
          <a:grpSpLocks/>
        </xdr:cNvGrpSpPr>
      </xdr:nvGrpSpPr>
      <xdr:grpSpPr>
        <a:xfrm>
          <a:off x="10354235" y="24350382"/>
          <a:ext cx="2250589" cy="369794"/>
          <a:chOff x="8994954" y="-1771293"/>
          <a:chExt cx="2234552" cy="777600"/>
        </a:xfrm>
      </xdr:grpSpPr>
      <xdr:sp macro="" textlink="" fLocksText="0">
        <xdr:nvSpPr>
          <xdr:cNvPr id="83" name="Rectangle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7" name="直線矢印コネクタ 4">
            <a:extLst>
              <a:ext uri="{FF2B5EF4-FFF2-40B4-BE49-F238E27FC236}">
                <a16:creationId xmlns:a16="http://schemas.microsoft.com/office/drawing/2014/main" id="{00000000-0008-0000-0200-000057000000}"/>
              </a:ext>
            </a:extLst>
          </xdr:cNvPr>
          <xdr:cNvCxnSpPr>
            <a:endCxn id="83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112060</xdr:colOff>
      <xdr:row>137</xdr:row>
      <xdr:rowOff>0</xdr:rowOff>
    </xdr:from>
    <xdr:to>
      <xdr:col>55</xdr:col>
      <xdr:colOff>112062</xdr:colOff>
      <xdr:row>140</xdr:row>
      <xdr:rowOff>22412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GrpSpPr>
          <a:grpSpLocks/>
        </xdr:cNvGrpSpPr>
      </xdr:nvGrpSpPr>
      <xdr:grpSpPr>
        <a:xfrm>
          <a:off x="10230972" y="26445882"/>
          <a:ext cx="2823884" cy="593912"/>
          <a:chOff x="8357211" y="12314519"/>
          <a:chExt cx="2803762" cy="2324291"/>
        </a:xfrm>
      </xdr:grpSpPr>
      <xdr:sp macro="" textlink="" fLocksText="0">
        <xdr:nvSpPr>
          <xdr:cNvPr id="89" name="Rectangle 88">
            <a:extLst>
              <a:ext uri="{FF2B5EF4-FFF2-40B4-BE49-F238E27FC236}">
                <a16:creationId xmlns:a16="http://schemas.microsoft.com/office/drawing/2014/main" id="{00000000-0008-0000-0200-000059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SC0201_緊急売価変更画面</a:t>
            </a:r>
          </a:p>
        </xdr:txBody>
      </xdr:sp>
      <xdr:cxnSp macro="">
        <xdr:nvCxnSpPr>
          <xdr:cNvPr id="90" name="直線矢印コネクタ 4">
            <a:extLst>
              <a:ext uri="{FF2B5EF4-FFF2-40B4-BE49-F238E27FC236}">
                <a16:creationId xmlns:a16="http://schemas.microsoft.com/office/drawing/2014/main" id="{00000000-0008-0000-0200-00005A000000}"/>
              </a:ext>
            </a:extLst>
          </xdr:cNvPr>
          <xdr:cNvCxnSpPr>
            <a:endCxn id="89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100853</xdr:colOff>
      <xdr:row>168</xdr:row>
      <xdr:rowOff>0</xdr:rowOff>
    </xdr:from>
    <xdr:to>
      <xdr:col>55</xdr:col>
      <xdr:colOff>100855</xdr:colOff>
      <xdr:row>171</xdr:row>
      <xdr:rowOff>22412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GrpSpPr>
          <a:grpSpLocks/>
        </xdr:cNvGrpSpPr>
      </xdr:nvGrpSpPr>
      <xdr:grpSpPr>
        <a:xfrm>
          <a:off x="10219765" y="32351382"/>
          <a:ext cx="2823884" cy="593912"/>
          <a:chOff x="8357211" y="12314519"/>
          <a:chExt cx="2803762" cy="2324291"/>
        </a:xfrm>
      </xdr:grpSpPr>
      <xdr:sp macro="" textlink="" fLocksText="0">
        <xdr:nvSpPr>
          <xdr:cNvPr id="92" name="Rectangle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SC0201_緊急売価変更画面</a:t>
            </a:r>
          </a:p>
        </xdr:txBody>
      </xdr:sp>
      <xdr:cxnSp macro="">
        <xdr:nvCxnSpPr>
          <xdr:cNvPr id="93" name="直線矢印コネクタ 4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CxnSpPr>
            <a:endCxn id="92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2</xdr:colOff>
      <xdr:row>152</xdr:row>
      <xdr:rowOff>11206</xdr:rowOff>
    </xdr:from>
    <xdr:to>
      <xdr:col>53</xdr:col>
      <xdr:colOff>132679</xdr:colOff>
      <xdr:row>154</xdr:row>
      <xdr:rowOff>0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>
          <a:grpSpLocks/>
        </xdr:cNvGrpSpPr>
      </xdr:nvGrpSpPr>
      <xdr:grpSpPr>
        <a:xfrm>
          <a:off x="10354237" y="29314588"/>
          <a:ext cx="2250589" cy="369794"/>
          <a:chOff x="8917074" y="-1724165"/>
          <a:chExt cx="2234552" cy="777600"/>
        </a:xfrm>
      </xdr:grpSpPr>
      <xdr:sp macro="" textlink="" fLocksText="0">
        <xdr:nvSpPr>
          <xdr:cNvPr id="95" name="Rectangle 94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SpPr/>
        </xdr:nvSpPr>
        <xdr:spPr>
          <a:xfrm>
            <a:off x="9495823" y="-172416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6" name="直線矢印コネクタ 4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CxnSpPr>
            <a:endCxn id="95" idx="1"/>
          </xdr:cNvCxnSpPr>
        </xdr:nvCxnSpPr>
        <xdr:spPr>
          <a:xfrm>
            <a:off x="8917074" y="-133536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175</xdr:row>
      <xdr:rowOff>0</xdr:rowOff>
    </xdr:from>
    <xdr:to>
      <xdr:col>53</xdr:col>
      <xdr:colOff>132677</xdr:colOff>
      <xdr:row>176</xdr:row>
      <xdr:rowOff>179294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>
          <a:grpSpLocks/>
        </xdr:cNvGrpSpPr>
      </xdr:nvGrpSpPr>
      <xdr:grpSpPr>
        <a:xfrm>
          <a:off x="10354235" y="33684882"/>
          <a:ext cx="2250589" cy="369794"/>
          <a:chOff x="8994954" y="-1771293"/>
          <a:chExt cx="2234552" cy="777600"/>
        </a:xfrm>
      </xdr:grpSpPr>
      <xdr:sp macro="" textlink="" fLocksText="0">
        <xdr:nvSpPr>
          <xdr:cNvPr id="98" name="Rectangle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9" name="直線矢印コネクタ 4">
            <a:extLst>
              <a:ext uri="{FF2B5EF4-FFF2-40B4-BE49-F238E27FC236}">
                <a16:creationId xmlns:a16="http://schemas.microsoft.com/office/drawing/2014/main" id="{00000000-0008-0000-0200-000063000000}"/>
              </a:ext>
            </a:extLst>
          </xdr:cNvPr>
          <xdr:cNvCxnSpPr>
            <a:endCxn id="98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179293</xdr:colOff>
      <xdr:row>205</xdr:row>
      <xdr:rowOff>0</xdr:rowOff>
    </xdr:from>
    <xdr:to>
      <xdr:col>55</xdr:col>
      <xdr:colOff>179295</xdr:colOff>
      <xdr:row>208</xdr:row>
      <xdr:rowOff>22412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GrpSpPr>
          <a:grpSpLocks/>
        </xdr:cNvGrpSpPr>
      </xdr:nvGrpSpPr>
      <xdr:grpSpPr>
        <a:xfrm>
          <a:off x="10298205" y="39399882"/>
          <a:ext cx="2823884" cy="593912"/>
          <a:chOff x="8357211" y="12314519"/>
          <a:chExt cx="2803762" cy="2324291"/>
        </a:xfrm>
      </xdr:grpSpPr>
      <xdr:sp macro="" textlink="" fLocksText="0">
        <xdr:nvSpPr>
          <xdr:cNvPr id="101" name="Rectangle 100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SC0201_緊急売価変更画面</a:t>
            </a:r>
          </a:p>
        </xdr:txBody>
      </xdr:sp>
      <xdr:cxnSp macro="">
        <xdr:nvCxnSpPr>
          <xdr:cNvPr id="102" name="直線矢印コネクタ 4">
            <a:extLst>
              <a:ext uri="{FF2B5EF4-FFF2-40B4-BE49-F238E27FC236}">
                <a16:creationId xmlns:a16="http://schemas.microsoft.com/office/drawing/2014/main" id="{00000000-0008-0000-0200-000066000000}"/>
              </a:ext>
            </a:extLst>
          </xdr:cNvPr>
          <xdr:cNvCxnSpPr>
            <a:endCxn id="101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188</xdr:row>
      <xdr:rowOff>0</xdr:rowOff>
    </xdr:from>
    <xdr:to>
      <xdr:col>53</xdr:col>
      <xdr:colOff>132677</xdr:colOff>
      <xdr:row>189</xdr:row>
      <xdr:rowOff>179294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GrpSpPr>
          <a:grpSpLocks/>
        </xdr:cNvGrpSpPr>
      </xdr:nvGrpSpPr>
      <xdr:grpSpPr>
        <a:xfrm>
          <a:off x="10354235" y="36161382"/>
          <a:ext cx="2250589" cy="369794"/>
          <a:chOff x="8870788" y="-2171875"/>
          <a:chExt cx="2234552" cy="777600"/>
        </a:xfrm>
      </xdr:grpSpPr>
      <xdr:sp macro="" textlink="" fLocksText="0">
        <xdr:nvSpPr>
          <xdr:cNvPr id="104" name="Rectangle 103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SpPr/>
        </xdr:nvSpPr>
        <xdr:spPr>
          <a:xfrm>
            <a:off x="9449537" y="-217187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5" name="直線矢印コネクタ 4">
            <a:extLst>
              <a:ext uri="{FF2B5EF4-FFF2-40B4-BE49-F238E27FC236}">
                <a16:creationId xmlns:a16="http://schemas.microsoft.com/office/drawing/2014/main" id="{00000000-0008-0000-0200-000069000000}"/>
              </a:ext>
            </a:extLst>
          </xdr:cNvPr>
          <xdr:cNvCxnSpPr>
            <a:endCxn id="104" idx="1"/>
          </xdr:cNvCxnSpPr>
        </xdr:nvCxnSpPr>
        <xdr:spPr>
          <a:xfrm>
            <a:off x="8870788" y="-178307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40</xdr:row>
      <xdr:rowOff>0</xdr:rowOff>
    </xdr:from>
    <xdr:to>
      <xdr:col>53</xdr:col>
      <xdr:colOff>132677</xdr:colOff>
      <xdr:row>41</xdr:row>
      <xdr:rowOff>179294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>
        <a:xfrm>
          <a:off x="10354235" y="7732059"/>
          <a:ext cx="2250589" cy="369794"/>
          <a:chOff x="8994954" y="-1771293"/>
          <a:chExt cx="2234552" cy="777600"/>
        </a:xfrm>
      </xdr:grpSpPr>
      <xdr:sp macro="" textlink="" fLocksText="0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>
            <a:endCxn id="10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9" customWidth="1"/>
    <col min="61" max="16384" width="2.77734375" style="29"/>
  </cols>
  <sheetData>
    <row r="1" spans="1:63" ht="24.95" customHeight="1" x14ac:dyDescent="0.25">
      <c r="A1" s="88" t="s">
        <v>103</v>
      </c>
      <c r="B1" s="89"/>
      <c r="C1" s="89"/>
      <c r="D1" s="89"/>
      <c r="E1" s="89"/>
      <c r="F1" s="89"/>
      <c r="G1" s="89"/>
      <c r="H1" s="89"/>
      <c r="I1" s="89"/>
      <c r="J1" s="90"/>
      <c r="K1" s="88" t="s">
        <v>104</v>
      </c>
      <c r="L1" s="89"/>
      <c r="M1" s="89"/>
      <c r="N1" s="89"/>
      <c r="O1" s="89"/>
      <c r="P1" s="89"/>
      <c r="Q1" s="89"/>
      <c r="R1" s="89"/>
      <c r="S1" s="89"/>
      <c r="T1" s="89"/>
      <c r="U1" s="89"/>
      <c r="V1" s="90"/>
      <c r="W1" s="110" t="s">
        <v>105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88" t="s">
        <v>106</v>
      </c>
      <c r="AQ1" s="89"/>
      <c r="AR1" s="89"/>
      <c r="AS1" s="90"/>
      <c r="AT1" s="88" t="s">
        <v>107</v>
      </c>
      <c r="AU1" s="89"/>
      <c r="AV1" s="89"/>
      <c r="AW1" s="89"/>
      <c r="AX1" s="90"/>
      <c r="AY1" s="88" t="s">
        <v>108</v>
      </c>
      <c r="AZ1" s="89"/>
      <c r="BA1" s="89"/>
      <c r="BB1" s="90"/>
      <c r="BC1" s="88" t="s">
        <v>109</v>
      </c>
      <c r="BD1" s="89"/>
      <c r="BE1" s="89"/>
      <c r="BF1" s="89"/>
      <c r="BG1" s="90"/>
      <c r="BH1" s="88" t="s">
        <v>110</v>
      </c>
      <c r="BI1" s="89"/>
      <c r="BJ1" s="89"/>
      <c r="BK1" s="90"/>
    </row>
    <row r="2" spans="1:63" ht="15" customHeight="1" x14ac:dyDescent="0.25">
      <c r="A2" s="109" t="s">
        <v>111</v>
      </c>
      <c r="B2" s="74"/>
      <c r="C2" s="74"/>
      <c r="D2" s="74"/>
      <c r="E2" s="74"/>
      <c r="F2" s="74"/>
      <c r="G2" s="74"/>
      <c r="H2" s="74"/>
      <c r="I2" s="74"/>
      <c r="J2" s="75"/>
      <c r="K2" s="73" t="s">
        <v>1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73" t="str">
        <f>改訂履歴!$H$11</f>
        <v>TuyenNH</v>
      </c>
      <c r="AQ2" s="74"/>
      <c r="AR2" s="74"/>
      <c r="AS2" s="75"/>
      <c r="AT2" s="103">
        <f>改訂履歴!$B$11</f>
        <v>45519</v>
      </c>
      <c r="AU2" s="104"/>
      <c r="AV2" s="104"/>
      <c r="AW2" s="104"/>
      <c r="AX2" s="105"/>
      <c r="AY2" s="73" t="str">
        <f>LOOKUP(2,1/(改訂履歴!H11:H30000&lt;&gt;""),改訂履歴!H11:H30000)</f>
        <v>TuyenNH</v>
      </c>
      <c r="AZ2" s="74"/>
      <c r="BA2" s="74"/>
      <c r="BB2" s="75"/>
      <c r="BC2" s="103">
        <f>LOOKUP(2,1/(改訂履歴!B11:B30000&lt;&gt;""),改訂履歴!B11:B30000)</f>
        <v>45519</v>
      </c>
      <c r="BD2" s="104"/>
      <c r="BE2" s="104"/>
      <c r="BF2" s="104"/>
      <c r="BG2" s="105"/>
      <c r="BH2" s="97">
        <f>LOOKUP(2,1/(改訂履歴!O11:O30000&lt;&gt;""),改訂履歴!O11:O30000)</f>
        <v>0.1</v>
      </c>
      <c r="BI2" s="98"/>
      <c r="BJ2" s="98"/>
      <c r="BK2" s="99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79"/>
      <c r="AQ3" s="80"/>
      <c r="AR3" s="80"/>
      <c r="AS3" s="81"/>
      <c r="AT3" s="106"/>
      <c r="AU3" s="107"/>
      <c r="AV3" s="107"/>
      <c r="AW3" s="107"/>
      <c r="AX3" s="108"/>
      <c r="AY3" s="79"/>
      <c r="AZ3" s="80"/>
      <c r="BA3" s="80"/>
      <c r="BB3" s="81"/>
      <c r="BC3" s="106"/>
      <c r="BD3" s="107"/>
      <c r="BE3" s="107"/>
      <c r="BF3" s="107"/>
      <c r="BG3" s="108"/>
      <c r="BH3" s="100"/>
      <c r="BI3" s="101"/>
      <c r="BJ3" s="101"/>
      <c r="BK3" s="102"/>
    </row>
    <row r="4" spans="1:63" ht="24.95" customHeight="1" x14ac:dyDescent="0.25">
      <c r="A4" s="88" t="s">
        <v>112</v>
      </c>
      <c r="B4" s="89"/>
      <c r="C4" s="89"/>
      <c r="D4" s="89"/>
      <c r="E4" s="89"/>
      <c r="F4" s="89"/>
      <c r="G4" s="90"/>
      <c r="H4" s="93" t="s">
        <v>20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5"/>
      <c r="U4" s="88" t="s">
        <v>113</v>
      </c>
      <c r="V4" s="89"/>
      <c r="W4" s="89"/>
      <c r="X4" s="89"/>
      <c r="Y4" s="90"/>
      <c r="Z4" s="96" t="s">
        <v>114</v>
      </c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5"/>
      <c r="AP4" s="93" t="str">
        <f t="array" aca="1" ref="AP4" ca="1">RIGHT(CELL("filename",$A$1),LEN(CELL("filename",$A$1))-FIND("]",CELL("filename",$A$1)))</f>
        <v>表紙</v>
      </c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5"/>
    </row>
    <row r="5" spans="1:63" ht="5.0999999999999996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2"/>
    </row>
    <row r="6" spans="1:63" ht="15" customHeight="1" x14ac:dyDescent="0.25">
      <c r="A6" s="33"/>
      <c r="BK6" s="34"/>
    </row>
    <row r="7" spans="1:63" ht="15" customHeight="1" x14ac:dyDescent="0.25">
      <c r="A7" s="33"/>
      <c r="BK7" s="34"/>
    </row>
    <row r="8" spans="1:63" ht="15" customHeight="1" x14ac:dyDescent="0.25">
      <c r="A8" s="33"/>
      <c r="BK8" s="34"/>
    </row>
    <row r="9" spans="1:63" ht="15" customHeight="1" x14ac:dyDescent="0.25">
      <c r="A9" s="33"/>
      <c r="BK9" s="34"/>
    </row>
    <row r="10" spans="1:63" ht="15" customHeight="1" x14ac:dyDescent="0.25">
      <c r="A10" s="33"/>
      <c r="BK10" s="34"/>
    </row>
    <row r="11" spans="1:63" ht="15" customHeight="1" x14ac:dyDescent="0.25">
      <c r="A11" s="33"/>
      <c r="BK11" s="34"/>
    </row>
    <row r="12" spans="1:63" ht="15" customHeight="1" x14ac:dyDescent="0.25">
      <c r="A12" s="33"/>
      <c r="BK12" s="34"/>
    </row>
    <row r="13" spans="1:63" ht="15" customHeight="1" x14ac:dyDescent="0.25">
      <c r="A13" s="33"/>
      <c r="BK13" s="34"/>
    </row>
    <row r="14" spans="1:63" ht="15" customHeight="1" thickBot="1" x14ac:dyDescent="0.3">
      <c r="A14" s="33"/>
      <c r="BK14" s="34"/>
    </row>
    <row r="15" spans="1:63" ht="15" customHeight="1" thickTop="1" x14ac:dyDescent="0.25">
      <c r="A15" s="33"/>
      <c r="K15" s="35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7"/>
      <c r="BK15" s="34"/>
    </row>
    <row r="16" spans="1:63" ht="15" customHeight="1" x14ac:dyDescent="0.25">
      <c r="A16" s="33"/>
      <c r="K16" s="38"/>
      <c r="L16" s="91" t="s">
        <v>115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39"/>
      <c r="BK16" s="34"/>
    </row>
    <row r="17" spans="1:63" ht="15" customHeight="1" x14ac:dyDescent="0.25">
      <c r="A17" s="33"/>
      <c r="K17" s="38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39"/>
      <c r="BK17" s="34"/>
    </row>
    <row r="18" spans="1:63" ht="15" customHeight="1" x14ac:dyDescent="0.25">
      <c r="A18" s="33"/>
      <c r="K18" s="38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39"/>
      <c r="BK18" s="34"/>
    </row>
    <row r="19" spans="1:63" ht="15" customHeight="1" x14ac:dyDescent="0.25">
      <c r="A19" s="33"/>
      <c r="K19" s="38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39"/>
      <c r="BK19" s="34"/>
    </row>
    <row r="20" spans="1:63" ht="15" customHeight="1" x14ac:dyDescent="0.25">
      <c r="A20" s="33"/>
      <c r="K20" s="38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39"/>
      <c r="BK20" s="34"/>
    </row>
    <row r="21" spans="1:63" ht="15" customHeight="1" x14ac:dyDescent="0.25">
      <c r="A21" s="33"/>
      <c r="K21" s="38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39"/>
      <c r="BK21" s="34"/>
    </row>
    <row r="22" spans="1:63" ht="15" customHeight="1" thickBot="1" x14ac:dyDescent="0.3">
      <c r="A22" s="33"/>
      <c r="K22" s="38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39"/>
      <c r="BK22" s="34"/>
    </row>
    <row r="23" spans="1:63" ht="15" customHeight="1" x14ac:dyDescent="0.25">
      <c r="A23" s="33"/>
      <c r="K23" s="38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39"/>
      <c r="BK23" s="34"/>
    </row>
    <row r="24" spans="1:63" ht="15" customHeight="1" x14ac:dyDescent="0.25">
      <c r="A24" s="33"/>
      <c r="K24" s="38"/>
      <c r="L24" s="92" t="str">
        <f>K2&amp;"/"&amp;H4&amp;"/"&amp;Z4</f>
        <v>POSサーバ/02_緊急売価変更/機能設計書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39"/>
      <c r="BK24" s="34"/>
    </row>
    <row r="25" spans="1:63" ht="15" customHeight="1" x14ac:dyDescent="0.25">
      <c r="A25" s="33"/>
      <c r="K25" s="38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39"/>
      <c r="BK25" s="34"/>
    </row>
    <row r="26" spans="1:63" ht="15" customHeight="1" x14ac:dyDescent="0.25">
      <c r="A26" s="33"/>
      <c r="K26" s="38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39"/>
      <c r="BK26" s="34"/>
    </row>
    <row r="27" spans="1:63" ht="15" customHeight="1" x14ac:dyDescent="0.25">
      <c r="A27" s="33"/>
      <c r="K27" s="38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39"/>
      <c r="BK27" s="34"/>
    </row>
    <row r="28" spans="1:63" ht="15" customHeight="1" x14ac:dyDescent="0.25">
      <c r="A28" s="33"/>
      <c r="K28" s="38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39"/>
      <c r="BK28" s="34"/>
    </row>
    <row r="29" spans="1:63" ht="15" customHeight="1" x14ac:dyDescent="0.25">
      <c r="A29" s="33"/>
      <c r="K29" s="38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39"/>
      <c r="BK29" s="34"/>
    </row>
    <row r="30" spans="1:63" ht="15" customHeight="1" x14ac:dyDescent="0.25">
      <c r="A30" s="33"/>
      <c r="K30" s="38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39"/>
      <c r="BK30" s="34"/>
    </row>
    <row r="31" spans="1:63" ht="15" customHeight="1" x14ac:dyDescent="0.25">
      <c r="A31" s="33"/>
      <c r="K31" s="38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39"/>
      <c r="BK31" s="34"/>
    </row>
    <row r="32" spans="1:63" ht="15" customHeight="1" x14ac:dyDescent="0.25">
      <c r="A32" s="33"/>
      <c r="K32" s="38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39"/>
      <c r="BK32" s="34"/>
    </row>
    <row r="33" spans="1:63" ht="15" customHeight="1" x14ac:dyDescent="0.25">
      <c r="A33" s="33"/>
      <c r="K33" s="38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39"/>
      <c r="BK33" s="34"/>
    </row>
    <row r="34" spans="1:63" ht="15" customHeight="1" x14ac:dyDescent="0.25">
      <c r="A34" s="33"/>
      <c r="K34" s="38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39"/>
      <c r="BK34" s="34"/>
    </row>
    <row r="35" spans="1:63" ht="15" customHeight="1" x14ac:dyDescent="0.25">
      <c r="A35" s="33"/>
      <c r="K35" s="38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39"/>
      <c r="BK35" s="34"/>
    </row>
    <row r="36" spans="1:63" ht="15" customHeight="1" x14ac:dyDescent="0.25">
      <c r="A36" s="33"/>
      <c r="K36" s="38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39"/>
      <c r="BK36" s="34"/>
    </row>
    <row r="37" spans="1:63" ht="15" customHeight="1" thickBot="1" x14ac:dyDescent="0.3">
      <c r="A37" s="33"/>
      <c r="K37" s="42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4"/>
      <c r="BK37" s="34"/>
    </row>
    <row r="38" spans="1:63" ht="15" customHeight="1" thickTop="1" x14ac:dyDescent="0.25">
      <c r="A38" s="33"/>
      <c r="BK38" s="34"/>
    </row>
    <row r="39" spans="1:63" ht="15" customHeight="1" x14ac:dyDescent="0.25">
      <c r="A39" s="33"/>
      <c r="BK39" s="34"/>
    </row>
    <row r="40" spans="1:63" ht="15" customHeight="1" x14ac:dyDescent="0.25">
      <c r="A40" s="33"/>
      <c r="BK40" s="34"/>
    </row>
    <row r="41" spans="1:63" ht="15" customHeight="1" x14ac:dyDescent="0.25">
      <c r="A41" s="33"/>
      <c r="BK41" s="34"/>
    </row>
    <row r="42" spans="1:63" ht="15" customHeight="1" x14ac:dyDescent="0.25">
      <c r="A42" s="33"/>
      <c r="BK42" s="34"/>
    </row>
    <row r="43" spans="1:63" ht="15" customHeight="1" x14ac:dyDescent="0.25">
      <c r="A43" s="33"/>
      <c r="BK43" s="34"/>
    </row>
    <row r="44" spans="1:63" ht="15" customHeight="1" x14ac:dyDescent="0.25">
      <c r="A44" s="33"/>
      <c r="Q44" s="82" t="s">
        <v>116</v>
      </c>
      <c r="R44" s="83"/>
      <c r="S44" s="83"/>
      <c r="T44" s="83"/>
      <c r="U44" s="83"/>
      <c r="V44" s="83"/>
      <c r="W44" s="83"/>
      <c r="X44" s="83"/>
      <c r="Y44" s="83"/>
      <c r="Z44" s="84"/>
      <c r="AA44" s="82" t="s">
        <v>117</v>
      </c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4"/>
      <c r="AQ44" s="82" t="s">
        <v>110</v>
      </c>
      <c r="AR44" s="83"/>
      <c r="AS44" s="83"/>
      <c r="AT44" s="83"/>
      <c r="AU44" s="84"/>
      <c r="BK44" s="34"/>
    </row>
    <row r="45" spans="1:63" ht="15" customHeight="1" x14ac:dyDescent="0.25">
      <c r="A45" s="33"/>
      <c r="Q45" s="85"/>
      <c r="R45" s="86"/>
      <c r="S45" s="86"/>
      <c r="T45" s="86"/>
      <c r="U45" s="86"/>
      <c r="V45" s="86"/>
      <c r="W45" s="86"/>
      <c r="X45" s="86"/>
      <c r="Y45" s="86"/>
      <c r="Z45" s="87"/>
      <c r="AA45" s="85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7"/>
      <c r="AQ45" s="85"/>
      <c r="AR45" s="86"/>
      <c r="AS45" s="86"/>
      <c r="AT45" s="86"/>
      <c r="AU45" s="87"/>
      <c r="BK45" s="34"/>
    </row>
    <row r="46" spans="1:63" ht="15" customHeight="1" x14ac:dyDescent="0.25">
      <c r="A46" s="33"/>
      <c r="Q46" s="73"/>
      <c r="R46" s="74"/>
      <c r="S46" s="74"/>
      <c r="T46" s="74"/>
      <c r="U46" s="74"/>
      <c r="V46" s="74"/>
      <c r="W46" s="74"/>
      <c r="X46" s="74"/>
      <c r="Y46" s="74"/>
      <c r="Z46" s="75"/>
      <c r="AA46" s="73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5"/>
      <c r="AQ46" s="73"/>
      <c r="AR46" s="74"/>
      <c r="AS46" s="74"/>
      <c r="AT46" s="74"/>
      <c r="AU46" s="75"/>
      <c r="BK46" s="34"/>
    </row>
    <row r="47" spans="1:63" ht="15" customHeight="1" x14ac:dyDescent="0.25">
      <c r="A47" s="33"/>
      <c r="Q47" s="76"/>
      <c r="R47" s="77"/>
      <c r="S47" s="77"/>
      <c r="T47" s="77"/>
      <c r="U47" s="77"/>
      <c r="V47" s="77"/>
      <c r="W47" s="77"/>
      <c r="X47" s="77"/>
      <c r="Y47" s="77"/>
      <c r="Z47" s="78"/>
      <c r="AA47" s="76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8"/>
      <c r="AQ47" s="76"/>
      <c r="AR47" s="77"/>
      <c r="AS47" s="77"/>
      <c r="AT47" s="77"/>
      <c r="AU47" s="78"/>
      <c r="BK47" s="34"/>
    </row>
    <row r="48" spans="1:63" ht="15" customHeight="1" x14ac:dyDescent="0.25">
      <c r="A48" s="33"/>
      <c r="Q48" s="76"/>
      <c r="R48" s="77"/>
      <c r="S48" s="77"/>
      <c r="T48" s="77"/>
      <c r="U48" s="77"/>
      <c r="V48" s="77"/>
      <c r="W48" s="77"/>
      <c r="X48" s="77"/>
      <c r="Y48" s="77"/>
      <c r="Z48" s="78"/>
      <c r="AA48" s="76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8"/>
      <c r="AQ48" s="76"/>
      <c r="AR48" s="77"/>
      <c r="AS48" s="77"/>
      <c r="AT48" s="77"/>
      <c r="AU48" s="78"/>
      <c r="BK48" s="34"/>
    </row>
    <row r="49" spans="1:63" ht="15" customHeight="1" x14ac:dyDescent="0.25">
      <c r="A49" s="33"/>
      <c r="Q49" s="79"/>
      <c r="R49" s="80"/>
      <c r="S49" s="80"/>
      <c r="T49" s="80"/>
      <c r="U49" s="80"/>
      <c r="V49" s="80"/>
      <c r="W49" s="80"/>
      <c r="X49" s="80"/>
      <c r="Y49" s="80"/>
      <c r="Z49" s="81"/>
      <c r="AA49" s="79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1"/>
      <c r="AQ49" s="79"/>
      <c r="AR49" s="80"/>
      <c r="AS49" s="80"/>
      <c r="AT49" s="80"/>
      <c r="AU49" s="81"/>
      <c r="BK49" s="34"/>
    </row>
    <row r="50" spans="1:63" ht="15" customHeight="1" x14ac:dyDescent="0.25">
      <c r="A50" s="33"/>
      <c r="BK50" s="34"/>
    </row>
    <row r="51" spans="1:63" ht="15" customHeight="1" x14ac:dyDescent="0.25">
      <c r="A51" s="33"/>
      <c r="BK51" s="34"/>
    </row>
    <row r="52" spans="1:63" ht="15" customHeight="1" x14ac:dyDescent="0.25">
      <c r="A52" s="33"/>
      <c r="BK52" s="34"/>
    </row>
    <row r="53" spans="1:63" ht="15" customHeight="1" x14ac:dyDescent="0.25">
      <c r="A53" s="33"/>
      <c r="BK53" s="34"/>
    </row>
    <row r="54" spans="1:63" ht="15" customHeight="1" x14ac:dyDescent="0.25">
      <c r="A54" s="33"/>
      <c r="BK54" s="34"/>
    </row>
    <row r="55" spans="1:63" ht="15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2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9" customWidth="1"/>
    <col min="61" max="16384" width="2.77734375" style="29"/>
  </cols>
  <sheetData>
    <row r="1" spans="1:63" ht="24.95" customHeight="1" x14ac:dyDescent="0.25">
      <c r="A1" s="88" t="s">
        <v>103</v>
      </c>
      <c r="B1" s="89"/>
      <c r="C1" s="89"/>
      <c r="D1" s="89"/>
      <c r="E1" s="89"/>
      <c r="F1" s="89"/>
      <c r="G1" s="89"/>
      <c r="H1" s="89"/>
      <c r="I1" s="89"/>
      <c r="J1" s="90"/>
      <c r="K1" s="88" t="s">
        <v>104</v>
      </c>
      <c r="L1" s="89"/>
      <c r="M1" s="89"/>
      <c r="N1" s="89"/>
      <c r="O1" s="89"/>
      <c r="P1" s="89"/>
      <c r="Q1" s="89"/>
      <c r="R1" s="89"/>
      <c r="S1" s="89"/>
      <c r="T1" s="89"/>
      <c r="U1" s="89"/>
      <c r="V1" s="90"/>
      <c r="W1" s="132" t="str">
        <f>IF(表紙!W1="","",表紙!W1)</f>
        <v>詳細設計書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88" t="s">
        <v>106</v>
      </c>
      <c r="AQ1" s="89"/>
      <c r="AR1" s="89"/>
      <c r="AS1" s="90"/>
      <c r="AT1" s="88" t="s">
        <v>107</v>
      </c>
      <c r="AU1" s="89"/>
      <c r="AV1" s="89"/>
      <c r="AW1" s="89"/>
      <c r="AX1" s="90"/>
      <c r="AY1" s="88" t="s">
        <v>108</v>
      </c>
      <c r="AZ1" s="89"/>
      <c r="BA1" s="89"/>
      <c r="BB1" s="90"/>
      <c r="BC1" s="88" t="s">
        <v>109</v>
      </c>
      <c r="BD1" s="89"/>
      <c r="BE1" s="89"/>
      <c r="BF1" s="89"/>
      <c r="BG1" s="90"/>
      <c r="BH1" s="88" t="s">
        <v>110</v>
      </c>
      <c r="BI1" s="89"/>
      <c r="BJ1" s="89"/>
      <c r="BK1" s="90"/>
    </row>
    <row r="2" spans="1:63" ht="15" customHeight="1" x14ac:dyDescent="0.25">
      <c r="A2" s="73" t="str">
        <f>IF(表紙!A2="","",表紙!A2)</f>
        <v>POSサーバー</v>
      </c>
      <c r="B2" s="74"/>
      <c r="C2" s="74"/>
      <c r="D2" s="74"/>
      <c r="E2" s="74"/>
      <c r="F2" s="74"/>
      <c r="G2" s="74"/>
      <c r="H2" s="74"/>
      <c r="I2" s="74"/>
      <c r="J2" s="75"/>
      <c r="K2" s="73" t="str">
        <f>IF(表紙!K2="","",表紙!K2)</f>
        <v>POSサーバ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73" t="str">
        <f>IF(表紙!AP2="","",表紙!AP2)</f>
        <v>TuyenNH</v>
      </c>
      <c r="AQ2" s="74"/>
      <c r="AR2" s="74"/>
      <c r="AS2" s="75"/>
      <c r="AT2" s="103">
        <f>IF(表紙!AT2="","",表紙!AT2)</f>
        <v>45519</v>
      </c>
      <c r="AU2" s="104"/>
      <c r="AV2" s="104"/>
      <c r="AW2" s="104"/>
      <c r="AX2" s="105"/>
      <c r="AY2" s="73" t="str">
        <f>IF(表紙!AY2="","",表紙!AY2)</f>
        <v>TuyenNH</v>
      </c>
      <c r="AZ2" s="74"/>
      <c r="BA2" s="74"/>
      <c r="BB2" s="75"/>
      <c r="BC2" s="103">
        <f>IF(表紙!BC2="","",表紙!BC2)</f>
        <v>45519</v>
      </c>
      <c r="BD2" s="104"/>
      <c r="BE2" s="104"/>
      <c r="BF2" s="104"/>
      <c r="BG2" s="105"/>
      <c r="BH2" s="73">
        <f>IF(表紙!BH2="","",表紙!BH2)</f>
        <v>0.1</v>
      </c>
      <c r="BI2" s="74"/>
      <c r="BJ2" s="74"/>
      <c r="BK2" s="75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79"/>
      <c r="AQ3" s="80"/>
      <c r="AR3" s="80"/>
      <c r="AS3" s="81"/>
      <c r="AT3" s="106"/>
      <c r="AU3" s="107"/>
      <c r="AV3" s="107"/>
      <c r="AW3" s="107"/>
      <c r="AX3" s="108"/>
      <c r="AY3" s="79"/>
      <c r="AZ3" s="80"/>
      <c r="BA3" s="80"/>
      <c r="BB3" s="81"/>
      <c r="BC3" s="106"/>
      <c r="BD3" s="107"/>
      <c r="BE3" s="107"/>
      <c r="BF3" s="107"/>
      <c r="BG3" s="108"/>
      <c r="BH3" s="79"/>
      <c r="BI3" s="80"/>
      <c r="BJ3" s="80"/>
      <c r="BK3" s="81"/>
    </row>
    <row r="4" spans="1:63" ht="24.95" customHeight="1" x14ac:dyDescent="0.25">
      <c r="A4" s="88" t="s">
        <v>118</v>
      </c>
      <c r="B4" s="89"/>
      <c r="C4" s="89"/>
      <c r="D4" s="89"/>
      <c r="E4" s="89"/>
      <c r="F4" s="89"/>
      <c r="G4" s="90"/>
      <c r="H4" s="93" t="str">
        <f>IF(表紙!H4="","",表紙!H4)</f>
        <v>02_緊急売価変更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5"/>
      <c r="U4" s="88" t="s">
        <v>113</v>
      </c>
      <c r="V4" s="89"/>
      <c r="W4" s="89"/>
      <c r="X4" s="89"/>
      <c r="Y4" s="90"/>
      <c r="Z4" s="93" t="str">
        <f>IF(表紙!Z4="","",表紙!Z4)</f>
        <v>機能設計書</v>
      </c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5"/>
      <c r="AP4" s="93" t="str">
        <f t="array" aca="1" ref="AP4" ca="1">RIGHT(CELL("filename",$A$1),LEN(CELL("filename",$A$1))-FIND("]",CELL("filename",$A$1)))</f>
        <v>改訂履歴</v>
      </c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5"/>
    </row>
    <row r="5" spans="1:63" ht="5.0999999999999996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2"/>
    </row>
    <row r="6" spans="1:63" ht="15" customHeight="1" x14ac:dyDescent="0.25">
      <c r="A6" s="33"/>
      <c r="BK6" s="34"/>
    </row>
    <row r="7" spans="1:63" ht="15" customHeight="1" x14ac:dyDescent="0.25">
      <c r="A7" s="33"/>
      <c r="BK7" s="34"/>
    </row>
    <row r="8" spans="1:63" ht="15" customHeight="1" x14ac:dyDescent="0.25">
      <c r="A8" s="33"/>
      <c r="B8" s="29" t="s">
        <v>0</v>
      </c>
      <c r="BK8" s="34"/>
    </row>
    <row r="9" spans="1:63" ht="15" customHeight="1" x14ac:dyDescent="0.25">
      <c r="A9" s="33"/>
      <c r="BK9" s="34"/>
    </row>
    <row r="10" spans="1:63" ht="15" customHeight="1" x14ac:dyDescent="0.25">
      <c r="A10" s="33"/>
      <c r="B10" s="131" t="s">
        <v>109</v>
      </c>
      <c r="C10" s="131"/>
      <c r="D10" s="131"/>
      <c r="E10" s="131"/>
      <c r="F10" s="131"/>
      <c r="G10" s="131"/>
      <c r="H10" s="131" t="s">
        <v>108</v>
      </c>
      <c r="I10" s="131"/>
      <c r="J10" s="131"/>
      <c r="K10" s="131"/>
      <c r="L10" s="131"/>
      <c r="M10" s="131"/>
      <c r="N10" s="131"/>
      <c r="O10" s="131" t="s">
        <v>110</v>
      </c>
      <c r="P10" s="131"/>
      <c r="Q10" s="131"/>
      <c r="R10" s="131"/>
      <c r="S10" s="131" t="s">
        <v>119</v>
      </c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 t="s">
        <v>116</v>
      </c>
      <c r="AY10" s="131"/>
      <c r="AZ10" s="131"/>
      <c r="BA10" s="131"/>
      <c r="BB10" s="131"/>
      <c r="BC10" s="131"/>
      <c r="BD10" s="131" t="s">
        <v>117</v>
      </c>
      <c r="BE10" s="131"/>
      <c r="BF10" s="131"/>
      <c r="BG10" s="131"/>
      <c r="BH10" s="131"/>
      <c r="BI10" s="131"/>
      <c r="BJ10" s="131"/>
      <c r="BK10" s="34"/>
    </row>
    <row r="11" spans="1:63" ht="15" customHeight="1" x14ac:dyDescent="0.25">
      <c r="A11" s="33"/>
      <c r="B11" s="103">
        <v>45519</v>
      </c>
      <c r="C11" s="74"/>
      <c r="D11" s="74"/>
      <c r="E11" s="74"/>
      <c r="F11" s="74"/>
      <c r="G11" s="75"/>
      <c r="H11" s="109" t="s">
        <v>120</v>
      </c>
      <c r="I11" s="74"/>
      <c r="J11" s="74"/>
      <c r="K11" s="74"/>
      <c r="L11" s="74"/>
      <c r="M11" s="74"/>
      <c r="N11" s="75"/>
      <c r="O11" s="73">
        <v>0.1</v>
      </c>
      <c r="P11" s="74"/>
      <c r="Q11" s="74"/>
      <c r="R11" s="74"/>
      <c r="S11" s="119" t="s">
        <v>2</v>
      </c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1"/>
      <c r="AX11" s="122"/>
      <c r="AY11" s="122"/>
      <c r="AZ11" s="122"/>
      <c r="BA11" s="122"/>
      <c r="BB11" s="122"/>
      <c r="BC11" s="123"/>
      <c r="BD11" s="126"/>
      <c r="BE11" s="122"/>
      <c r="BF11" s="122"/>
      <c r="BG11" s="122"/>
      <c r="BH11" s="122"/>
      <c r="BI11" s="122"/>
      <c r="BJ11" s="123"/>
      <c r="BK11" s="34"/>
    </row>
    <row r="12" spans="1:63" ht="15" customHeight="1" x14ac:dyDescent="0.25">
      <c r="A12" s="33"/>
      <c r="B12" s="79"/>
      <c r="C12" s="80"/>
      <c r="D12" s="80"/>
      <c r="E12" s="80"/>
      <c r="F12" s="80"/>
      <c r="G12" s="81"/>
      <c r="H12" s="79"/>
      <c r="I12" s="80"/>
      <c r="J12" s="80"/>
      <c r="K12" s="80"/>
      <c r="L12" s="80"/>
      <c r="M12" s="80"/>
      <c r="N12" s="81"/>
      <c r="O12" s="79"/>
      <c r="P12" s="80"/>
      <c r="Q12" s="80"/>
      <c r="R12" s="80"/>
      <c r="S12" s="128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30"/>
      <c r="AX12" s="124"/>
      <c r="AY12" s="124"/>
      <c r="AZ12" s="124"/>
      <c r="BA12" s="124"/>
      <c r="BB12" s="124"/>
      <c r="BC12" s="125"/>
      <c r="BD12" s="127"/>
      <c r="BE12" s="124"/>
      <c r="BF12" s="124"/>
      <c r="BG12" s="124"/>
      <c r="BH12" s="124"/>
      <c r="BI12" s="124"/>
      <c r="BJ12" s="125"/>
      <c r="BK12" s="34"/>
    </row>
    <row r="13" spans="1:63" ht="15" customHeight="1" x14ac:dyDescent="0.25">
      <c r="A13" s="33"/>
      <c r="B13" s="103"/>
      <c r="C13" s="74"/>
      <c r="D13" s="74"/>
      <c r="E13" s="74"/>
      <c r="F13" s="74"/>
      <c r="G13" s="75"/>
      <c r="H13" s="73"/>
      <c r="I13" s="74"/>
      <c r="J13" s="74"/>
      <c r="K13" s="74"/>
      <c r="L13" s="74"/>
      <c r="M13" s="74"/>
      <c r="N13" s="75"/>
      <c r="O13" s="73"/>
      <c r="P13" s="74"/>
      <c r="Q13" s="74"/>
      <c r="R13" s="74"/>
      <c r="S13" s="119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1"/>
      <c r="AX13" s="122"/>
      <c r="AY13" s="122"/>
      <c r="AZ13" s="122"/>
      <c r="BA13" s="122"/>
      <c r="BB13" s="122"/>
      <c r="BC13" s="123"/>
      <c r="BD13" s="126"/>
      <c r="BE13" s="122"/>
      <c r="BF13" s="122"/>
      <c r="BG13" s="122"/>
      <c r="BH13" s="122"/>
      <c r="BI13" s="122"/>
      <c r="BJ13" s="123"/>
      <c r="BK13" s="34"/>
    </row>
    <row r="14" spans="1:63" ht="15" customHeight="1" x14ac:dyDescent="0.25">
      <c r="A14" s="33"/>
      <c r="B14" s="79"/>
      <c r="C14" s="80"/>
      <c r="D14" s="80"/>
      <c r="E14" s="80"/>
      <c r="F14" s="80"/>
      <c r="G14" s="81"/>
      <c r="H14" s="79"/>
      <c r="I14" s="80"/>
      <c r="J14" s="80"/>
      <c r="K14" s="80"/>
      <c r="L14" s="80"/>
      <c r="M14" s="80"/>
      <c r="N14" s="81"/>
      <c r="O14" s="79"/>
      <c r="P14" s="80"/>
      <c r="Q14" s="80"/>
      <c r="R14" s="80"/>
      <c r="S14" s="128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30"/>
      <c r="AX14" s="124"/>
      <c r="AY14" s="124"/>
      <c r="AZ14" s="124"/>
      <c r="BA14" s="124"/>
      <c r="BB14" s="124"/>
      <c r="BC14" s="125"/>
      <c r="BD14" s="127"/>
      <c r="BE14" s="124"/>
      <c r="BF14" s="124"/>
      <c r="BG14" s="124"/>
      <c r="BH14" s="124"/>
      <c r="BI14" s="124"/>
      <c r="BJ14" s="125"/>
      <c r="BK14" s="34"/>
    </row>
    <row r="15" spans="1:63" ht="15" customHeight="1" x14ac:dyDescent="0.25">
      <c r="A15" s="33"/>
      <c r="B15" s="73"/>
      <c r="C15" s="74"/>
      <c r="D15" s="74"/>
      <c r="E15" s="74"/>
      <c r="F15" s="74"/>
      <c r="G15" s="75"/>
      <c r="H15" s="73"/>
      <c r="I15" s="74"/>
      <c r="J15" s="74"/>
      <c r="K15" s="74"/>
      <c r="L15" s="74"/>
      <c r="M15" s="74"/>
      <c r="N15" s="75"/>
      <c r="O15" s="73"/>
      <c r="P15" s="74"/>
      <c r="Q15" s="74"/>
      <c r="R15" s="74"/>
      <c r="S15" s="119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1"/>
      <c r="AX15" s="122"/>
      <c r="AY15" s="122"/>
      <c r="AZ15" s="122"/>
      <c r="BA15" s="122"/>
      <c r="BB15" s="122"/>
      <c r="BC15" s="123"/>
      <c r="BD15" s="126"/>
      <c r="BE15" s="122"/>
      <c r="BF15" s="122"/>
      <c r="BG15" s="122"/>
      <c r="BH15" s="122"/>
      <c r="BI15" s="122"/>
      <c r="BJ15" s="123"/>
      <c r="BK15" s="34"/>
    </row>
    <row r="16" spans="1:63" ht="15" customHeight="1" x14ac:dyDescent="0.25">
      <c r="A16" s="33"/>
      <c r="B16" s="79"/>
      <c r="C16" s="80"/>
      <c r="D16" s="80"/>
      <c r="E16" s="80"/>
      <c r="F16" s="80"/>
      <c r="G16" s="81"/>
      <c r="H16" s="79"/>
      <c r="I16" s="80"/>
      <c r="J16" s="80"/>
      <c r="K16" s="80"/>
      <c r="L16" s="80"/>
      <c r="M16" s="80"/>
      <c r="N16" s="81"/>
      <c r="O16" s="79"/>
      <c r="P16" s="80"/>
      <c r="Q16" s="80"/>
      <c r="R16" s="80"/>
      <c r="S16" s="128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30"/>
      <c r="AX16" s="124"/>
      <c r="AY16" s="124"/>
      <c r="AZ16" s="124"/>
      <c r="BA16" s="124"/>
      <c r="BB16" s="124"/>
      <c r="BC16" s="125"/>
      <c r="BD16" s="127"/>
      <c r="BE16" s="124"/>
      <c r="BF16" s="124"/>
      <c r="BG16" s="124"/>
      <c r="BH16" s="124"/>
      <c r="BI16" s="124"/>
      <c r="BJ16" s="125"/>
      <c r="BK16" s="34"/>
    </row>
    <row r="17" spans="1:63" ht="15" customHeight="1" x14ac:dyDescent="0.25">
      <c r="A17" s="33"/>
      <c r="B17" s="73"/>
      <c r="C17" s="74"/>
      <c r="D17" s="74"/>
      <c r="E17" s="74"/>
      <c r="F17" s="74"/>
      <c r="G17" s="75"/>
      <c r="H17" s="73"/>
      <c r="I17" s="74"/>
      <c r="J17" s="74"/>
      <c r="K17" s="74"/>
      <c r="L17" s="74"/>
      <c r="M17" s="74"/>
      <c r="N17" s="75"/>
      <c r="O17" s="73"/>
      <c r="P17" s="74"/>
      <c r="Q17" s="74"/>
      <c r="R17" s="74"/>
      <c r="S17" s="119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1"/>
      <c r="AX17" s="122"/>
      <c r="AY17" s="122"/>
      <c r="AZ17" s="122"/>
      <c r="BA17" s="122"/>
      <c r="BB17" s="122"/>
      <c r="BC17" s="123"/>
      <c r="BD17" s="126"/>
      <c r="BE17" s="122"/>
      <c r="BF17" s="122"/>
      <c r="BG17" s="122"/>
      <c r="BH17" s="122"/>
      <c r="BI17" s="122"/>
      <c r="BJ17" s="123"/>
      <c r="BK17" s="34"/>
    </row>
    <row r="18" spans="1:63" ht="15" customHeight="1" x14ac:dyDescent="0.25">
      <c r="A18" s="33"/>
      <c r="B18" s="79"/>
      <c r="C18" s="80"/>
      <c r="D18" s="80"/>
      <c r="E18" s="80"/>
      <c r="F18" s="80"/>
      <c r="G18" s="81"/>
      <c r="H18" s="79"/>
      <c r="I18" s="80"/>
      <c r="J18" s="80"/>
      <c r="K18" s="80"/>
      <c r="L18" s="80"/>
      <c r="M18" s="80"/>
      <c r="N18" s="81"/>
      <c r="O18" s="79"/>
      <c r="P18" s="80"/>
      <c r="Q18" s="80"/>
      <c r="R18" s="80"/>
      <c r="S18" s="128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30"/>
      <c r="AX18" s="124"/>
      <c r="AY18" s="124"/>
      <c r="AZ18" s="124"/>
      <c r="BA18" s="124"/>
      <c r="BB18" s="124"/>
      <c r="BC18" s="125"/>
      <c r="BD18" s="127"/>
      <c r="BE18" s="124"/>
      <c r="BF18" s="124"/>
      <c r="BG18" s="124"/>
      <c r="BH18" s="124"/>
      <c r="BI18" s="124"/>
      <c r="BJ18" s="125"/>
      <c r="BK18" s="34"/>
    </row>
    <row r="19" spans="1:63" ht="15" customHeight="1" x14ac:dyDescent="0.25">
      <c r="A19" s="33"/>
      <c r="B19" s="73"/>
      <c r="C19" s="74"/>
      <c r="D19" s="74"/>
      <c r="E19" s="74"/>
      <c r="F19" s="74"/>
      <c r="G19" s="75"/>
      <c r="H19" s="73"/>
      <c r="I19" s="74"/>
      <c r="J19" s="74"/>
      <c r="K19" s="74"/>
      <c r="L19" s="74"/>
      <c r="M19" s="74"/>
      <c r="N19" s="75"/>
      <c r="O19" s="73"/>
      <c r="P19" s="74"/>
      <c r="Q19" s="74"/>
      <c r="R19" s="74"/>
      <c r="S19" s="119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1"/>
      <c r="AX19" s="122"/>
      <c r="AY19" s="122"/>
      <c r="AZ19" s="122"/>
      <c r="BA19" s="122"/>
      <c r="BB19" s="122"/>
      <c r="BC19" s="123"/>
      <c r="BD19" s="126"/>
      <c r="BE19" s="122"/>
      <c r="BF19" s="122"/>
      <c r="BG19" s="122"/>
      <c r="BH19" s="122"/>
      <c r="BI19" s="122"/>
      <c r="BJ19" s="123"/>
      <c r="BK19" s="34"/>
    </row>
    <row r="20" spans="1:63" ht="15" customHeight="1" x14ac:dyDescent="0.25">
      <c r="A20" s="33"/>
      <c r="B20" s="79"/>
      <c r="C20" s="80"/>
      <c r="D20" s="80"/>
      <c r="E20" s="80"/>
      <c r="F20" s="80"/>
      <c r="G20" s="81"/>
      <c r="H20" s="79"/>
      <c r="I20" s="80"/>
      <c r="J20" s="80"/>
      <c r="K20" s="80"/>
      <c r="L20" s="80"/>
      <c r="M20" s="80"/>
      <c r="N20" s="81"/>
      <c r="O20" s="79"/>
      <c r="P20" s="80"/>
      <c r="Q20" s="80"/>
      <c r="R20" s="80"/>
      <c r="S20" s="128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30"/>
      <c r="AX20" s="124"/>
      <c r="AY20" s="124"/>
      <c r="AZ20" s="124"/>
      <c r="BA20" s="124"/>
      <c r="BB20" s="124"/>
      <c r="BC20" s="125"/>
      <c r="BD20" s="127"/>
      <c r="BE20" s="124"/>
      <c r="BF20" s="124"/>
      <c r="BG20" s="124"/>
      <c r="BH20" s="124"/>
      <c r="BI20" s="124"/>
      <c r="BJ20" s="125"/>
      <c r="BK20" s="34"/>
    </row>
    <row r="21" spans="1:63" ht="15" customHeight="1" x14ac:dyDescent="0.25">
      <c r="A21" s="33"/>
      <c r="B21" s="73"/>
      <c r="C21" s="74"/>
      <c r="D21" s="74"/>
      <c r="E21" s="74"/>
      <c r="F21" s="74"/>
      <c r="G21" s="75"/>
      <c r="H21" s="73"/>
      <c r="I21" s="74"/>
      <c r="J21" s="74"/>
      <c r="K21" s="74"/>
      <c r="L21" s="74"/>
      <c r="M21" s="74"/>
      <c r="N21" s="75"/>
      <c r="O21" s="73"/>
      <c r="P21" s="74"/>
      <c r="Q21" s="74"/>
      <c r="R21" s="74"/>
      <c r="S21" s="119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1"/>
      <c r="AX21" s="122"/>
      <c r="AY21" s="122"/>
      <c r="AZ21" s="122"/>
      <c r="BA21" s="122"/>
      <c r="BB21" s="122"/>
      <c r="BC21" s="123"/>
      <c r="BD21" s="126"/>
      <c r="BE21" s="122"/>
      <c r="BF21" s="122"/>
      <c r="BG21" s="122"/>
      <c r="BH21" s="122"/>
      <c r="BI21" s="122"/>
      <c r="BJ21" s="123"/>
      <c r="BK21" s="34"/>
    </row>
    <row r="22" spans="1:63" ht="15" customHeight="1" x14ac:dyDescent="0.25">
      <c r="A22" s="33"/>
      <c r="B22" s="79"/>
      <c r="C22" s="80"/>
      <c r="D22" s="80"/>
      <c r="E22" s="80"/>
      <c r="F22" s="80"/>
      <c r="G22" s="81"/>
      <c r="H22" s="79"/>
      <c r="I22" s="80"/>
      <c r="J22" s="80"/>
      <c r="K22" s="80"/>
      <c r="L22" s="80"/>
      <c r="M22" s="80"/>
      <c r="N22" s="81"/>
      <c r="O22" s="79"/>
      <c r="P22" s="80"/>
      <c r="Q22" s="80"/>
      <c r="R22" s="80"/>
      <c r="S22" s="128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30"/>
      <c r="AX22" s="124"/>
      <c r="AY22" s="124"/>
      <c r="AZ22" s="124"/>
      <c r="BA22" s="124"/>
      <c r="BB22" s="124"/>
      <c r="BC22" s="125"/>
      <c r="BD22" s="127"/>
      <c r="BE22" s="124"/>
      <c r="BF22" s="124"/>
      <c r="BG22" s="124"/>
      <c r="BH22" s="124"/>
      <c r="BI22" s="124"/>
      <c r="BJ22" s="125"/>
      <c r="BK22" s="34"/>
    </row>
    <row r="23" spans="1:63" ht="15" customHeight="1" x14ac:dyDescent="0.25">
      <c r="A23" s="33"/>
      <c r="B23" s="73"/>
      <c r="C23" s="74"/>
      <c r="D23" s="74"/>
      <c r="E23" s="74"/>
      <c r="F23" s="74"/>
      <c r="G23" s="75"/>
      <c r="H23" s="73"/>
      <c r="I23" s="74"/>
      <c r="J23" s="74"/>
      <c r="K23" s="74"/>
      <c r="L23" s="74"/>
      <c r="M23" s="74"/>
      <c r="N23" s="75"/>
      <c r="O23" s="73"/>
      <c r="P23" s="74"/>
      <c r="Q23" s="74"/>
      <c r="R23" s="74"/>
      <c r="S23" s="119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1"/>
      <c r="AX23" s="122"/>
      <c r="AY23" s="122"/>
      <c r="AZ23" s="122"/>
      <c r="BA23" s="122"/>
      <c r="BB23" s="122"/>
      <c r="BC23" s="123"/>
      <c r="BD23" s="126"/>
      <c r="BE23" s="122"/>
      <c r="BF23" s="122"/>
      <c r="BG23" s="122"/>
      <c r="BH23" s="122"/>
      <c r="BI23" s="122"/>
      <c r="BJ23" s="123"/>
      <c r="BK23" s="34"/>
    </row>
    <row r="24" spans="1:63" ht="15" customHeight="1" x14ac:dyDescent="0.25">
      <c r="A24" s="33"/>
      <c r="B24" s="79"/>
      <c r="C24" s="80"/>
      <c r="D24" s="80"/>
      <c r="E24" s="80"/>
      <c r="F24" s="80"/>
      <c r="G24" s="81"/>
      <c r="H24" s="79"/>
      <c r="I24" s="80"/>
      <c r="J24" s="80"/>
      <c r="K24" s="80"/>
      <c r="L24" s="80"/>
      <c r="M24" s="80"/>
      <c r="N24" s="81"/>
      <c r="O24" s="79"/>
      <c r="P24" s="80"/>
      <c r="Q24" s="80"/>
      <c r="R24" s="80"/>
      <c r="S24" s="128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30"/>
      <c r="AX24" s="124"/>
      <c r="AY24" s="124"/>
      <c r="AZ24" s="124"/>
      <c r="BA24" s="124"/>
      <c r="BB24" s="124"/>
      <c r="BC24" s="125"/>
      <c r="BD24" s="127"/>
      <c r="BE24" s="124"/>
      <c r="BF24" s="124"/>
      <c r="BG24" s="124"/>
      <c r="BH24" s="124"/>
      <c r="BI24" s="124"/>
      <c r="BJ24" s="125"/>
      <c r="BK24" s="34"/>
    </row>
    <row r="25" spans="1:63" ht="15" customHeight="1" x14ac:dyDescent="0.25">
      <c r="A25" s="33"/>
      <c r="B25" s="73"/>
      <c r="C25" s="74"/>
      <c r="D25" s="74"/>
      <c r="E25" s="74"/>
      <c r="F25" s="74"/>
      <c r="G25" s="75"/>
      <c r="H25" s="73"/>
      <c r="I25" s="74"/>
      <c r="J25" s="74"/>
      <c r="K25" s="74"/>
      <c r="L25" s="74"/>
      <c r="M25" s="74"/>
      <c r="N25" s="75"/>
      <c r="O25" s="73"/>
      <c r="P25" s="74"/>
      <c r="Q25" s="74"/>
      <c r="R25" s="74"/>
      <c r="S25" s="119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1"/>
      <c r="AX25" s="122"/>
      <c r="AY25" s="122"/>
      <c r="AZ25" s="122"/>
      <c r="BA25" s="122"/>
      <c r="BB25" s="122"/>
      <c r="BC25" s="123"/>
      <c r="BD25" s="126"/>
      <c r="BE25" s="122"/>
      <c r="BF25" s="122"/>
      <c r="BG25" s="122"/>
      <c r="BH25" s="122"/>
      <c r="BI25" s="122"/>
      <c r="BJ25" s="123"/>
      <c r="BK25" s="34"/>
    </row>
    <row r="26" spans="1:63" ht="15" customHeight="1" x14ac:dyDescent="0.25">
      <c r="A26" s="33"/>
      <c r="B26" s="79"/>
      <c r="C26" s="80"/>
      <c r="D26" s="80"/>
      <c r="E26" s="80"/>
      <c r="F26" s="80"/>
      <c r="G26" s="81"/>
      <c r="H26" s="79"/>
      <c r="I26" s="80"/>
      <c r="J26" s="80"/>
      <c r="K26" s="80"/>
      <c r="L26" s="80"/>
      <c r="M26" s="80"/>
      <c r="N26" s="81"/>
      <c r="O26" s="79"/>
      <c r="P26" s="80"/>
      <c r="Q26" s="80"/>
      <c r="R26" s="80"/>
      <c r="S26" s="128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30"/>
      <c r="AX26" s="124"/>
      <c r="AY26" s="124"/>
      <c r="AZ26" s="124"/>
      <c r="BA26" s="124"/>
      <c r="BB26" s="124"/>
      <c r="BC26" s="125"/>
      <c r="BD26" s="127"/>
      <c r="BE26" s="124"/>
      <c r="BF26" s="124"/>
      <c r="BG26" s="124"/>
      <c r="BH26" s="124"/>
      <c r="BI26" s="124"/>
      <c r="BJ26" s="125"/>
      <c r="BK26" s="34"/>
    </row>
    <row r="27" spans="1:63" ht="15" customHeight="1" x14ac:dyDescent="0.25">
      <c r="A27" s="33"/>
      <c r="B27" s="73"/>
      <c r="C27" s="74"/>
      <c r="D27" s="74"/>
      <c r="E27" s="74"/>
      <c r="F27" s="74"/>
      <c r="G27" s="75"/>
      <c r="H27" s="73"/>
      <c r="I27" s="74"/>
      <c r="J27" s="74"/>
      <c r="K27" s="74"/>
      <c r="L27" s="74"/>
      <c r="M27" s="74"/>
      <c r="N27" s="75"/>
      <c r="O27" s="73"/>
      <c r="P27" s="74"/>
      <c r="Q27" s="74"/>
      <c r="R27" s="74"/>
      <c r="S27" s="119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1"/>
      <c r="AX27" s="122"/>
      <c r="AY27" s="122"/>
      <c r="AZ27" s="122"/>
      <c r="BA27" s="122"/>
      <c r="BB27" s="122"/>
      <c r="BC27" s="123"/>
      <c r="BD27" s="126"/>
      <c r="BE27" s="122"/>
      <c r="BF27" s="122"/>
      <c r="BG27" s="122"/>
      <c r="BH27" s="122"/>
      <c r="BI27" s="122"/>
      <c r="BJ27" s="123"/>
      <c r="BK27" s="34"/>
    </row>
    <row r="28" spans="1:63" ht="15" customHeight="1" x14ac:dyDescent="0.25">
      <c r="A28" s="33"/>
      <c r="B28" s="79"/>
      <c r="C28" s="80"/>
      <c r="D28" s="80"/>
      <c r="E28" s="80"/>
      <c r="F28" s="80"/>
      <c r="G28" s="81"/>
      <c r="H28" s="79"/>
      <c r="I28" s="80"/>
      <c r="J28" s="80"/>
      <c r="K28" s="80"/>
      <c r="L28" s="80"/>
      <c r="M28" s="80"/>
      <c r="N28" s="81"/>
      <c r="O28" s="79"/>
      <c r="P28" s="80"/>
      <c r="Q28" s="80"/>
      <c r="R28" s="80"/>
      <c r="S28" s="128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30"/>
      <c r="AX28" s="124"/>
      <c r="AY28" s="124"/>
      <c r="AZ28" s="124"/>
      <c r="BA28" s="124"/>
      <c r="BB28" s="124"/>
      <c r="BC28" s="125"/>
      <c r="BD28" s="127"/>
      <c r="BE28" s="124"/>
      <c r="BF28" s="124"/>
      <c r="BG28" s="124"/>
      <c r="BH28" s="124"/>
      <c r="BI28" s="124"/>
      <c r="BJ28" s="125"/>
      <c r="BK28" s="34"/>
    </row>
    <row r="29" spans="1:63" ht="15" customHeight="1" x14ac:dyDescent="0.25">
      <c r="A29" s="33"/>
      <c r="B29" s="73"/>
      <c r="C29" s="74"/>
      <c r="D29" s="74"/>
      <c r="E29" s="74"/>
      <c r="F29" s="74"/>
      <c r="G29" s="75"/>
      <c r="H29" s="73"/>
      <c r="I29" s="74"/>
      <c r="J29" s="74"/>
      <c r="K29" s="74"/>
      <c r="L29" s="74"/>
      <c r="M29" s="74"/>
      <c r="N29" s="75"/>
      <c r="O29" s="73"/>
      <c r="P29" s="74"/>
      <c r="Q29" s="74"/>
      <c r="R29" s="74"/>
      <c r="S29" s="119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1"/>
      <c r="AX29" s="122"/>
      <c r="AY29" s="122"/>
      <c r="AZ29" s="122"/>
      <c r="BA29" s="122"/>
      <c r="BB29" s="122"/>
      <c r="BC29" s="123"/>
      <c r="BD29" s="126"/>
      <c r="BE29" s="122"/>
      <c r="BF29" s="122"/>
      <c r="BG29" s="122"/>
      <c r="BH29" s="122"/>
      <c r="BI29" s="122"/>
      <c r="BJ29" s="123"/>
      <c r="BK29" s="34"/>
    </row>
    <row r="30" spans="1:63" ht="15" customHeight="1" x14ac:dyDescent="0.25">
      <c r="A30" s="33"/>
      <c r="B30" s="79"/>
      <c r="C30" s="80"/>
      <c r="D30" s="80"/>
      <c r="E30" s="80"/>
      <c r="F30" s="80"/>
      <c r="G30" s="81"/>
      <c r="H30" s="79"/>
      <c r="I30" s="80"/>
      <c r="J30" s="80"/>
      <c r="K30" s="80"/>
      <c r="L30" s="80"/>
      <c r="M30" s="80"/>
      <c r="N30" s="81"/>
      <c r="O30" s="79"/>
      <c r="P30" s="80"/>
      <c r="Q30" s="80"/>
      <c r="R30" s="80"/>
      <c r="S30" s="128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30"/>
      <c r="AX30" s="124"/>
      <c r="AY30" s="124"/>
      <c r="AZ30" s="124"/>
      <c r="BA30" s="124"/>
      <c r="BB30" s="124"/>
      <c r="BC30" s="125"/>
      <c r="BD30" s="127"/>
      <c r="BE30" s="124"/>
      <c r="BF30" s="124"/>
      <c r="BG30" s="124"/>
      <c r="BH30" s="124"/>
      <c r="BI30" s="124"/>
      <c r="BJ30" s="125"/>
      <c r="BK30" s="34"/>
    </row>
    <row r="31" spans="1:63" ht="15" customHeight="1" x14ac:dyDescent="0.25">
      <c r="A31" s="33"/>
      <c r="B31" s="73"/>
      <c r="C31" s="74"/>
      <c r="D31" s="74"/>
      <c r="E31" s="74"/>
      <c r="F31" s="74"/>
      <c r="G31" s="75"/>
      <c r="H31" s="73"/>
      <c r="I31" s="74"/>
      <c r="J31" s="74"/>
      <c r="K31" s="74"/>
      <c r="L31" s="74"/>
      <c r="M31" s="74"/>
      <c r="N31" s="75"/>
      <c r="O31" s="73"/>
      <c r="P31" s="74"/>
      <c r="Q31" s="74"/>
      <c r="R31" s="74"/>
      <c r="S31" s="119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1"/>
      <c r="AX31" s="122"/>
      <c r="AY31" s="122"/>
      <c r="AZ31" s="122"/>
      <c r="BA31" s="122"/>
      <c r="BB31" s="122"/>
      <c r="BC31" s="123"/>
      <c r="BD31" s="126"/>
      <c r="BE31" s="122"/>
      <c r="BF31" s="122"/>
      <c r="BG31" s="122"/>
      <c r="BH31" s="122"/>
      <c r="BI31" s="122"/>
      <c r="BJ31" s="123"/>
      <c r="BK31" s="34"/>
    </row>
    <row r="32" spans="1:63" ht="15" customHeight="1" x14ac:dyDescent="0.25">
      <c r="A32" s="33"/>
      <c r="B32" s="79"/>
      <c r="C32" s="80"/>
      <c r="D32" s="80"/>
      <c r="E32" s="80"/>
      <c r="F32" s="80"/>
      <c r="G32" s="81"/>
      <c r="H32" s="79"/>
      <c r="I32" s="80"/>
      <c r="J32" s="80"/>
      <c r="K32" s="80"/>
      <c r="L32" s="80"/>
      <c r="M32" s="80"/>
      <c r="N32" s="81"/>
      <c r="O32" s="79"/>
      <c r="P32" s="80"/>
      <c r="Q32" s="80"/>
      <c r="R32" s="80"/>
      <c r="S32" s="128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30"/>
      <c r="AX32" s="124"/>
      <c r="AY32" s="124"/>
      <c r="AZ32" s="124"/>
      <c r="BA32" s="124"/>
      <c r="BB32" s="124"/>
      <c r="BC32" s="125"/>
      <c r="BD32" s="127"/>
      <c r="BE32" s="124"/>
      <c r="BF32" s="124"/>
      <c r="BG32" s="124"/>
      <c r="BH32" s="124"/>
      <c r="BI32" s="124"/>
      <c r="BJ32" s="125"/>
      <c r="BK32" s="34"/>
    </row>
    <row r="33" spans="1:63" ht="15" customHeight="1" x14ac:dyDescent="0.25">
      <c r="A33" s="33"/>
      <c r="B33" s="73"/>
      <c r="C33" s="74"/>
      <c r="D33" s="74"/>
      <c r="E33" s="74"/>
      <c r="F33" s="74"/>
      <c r="G33" s="75"/>
      <c r="H33" s="73"/>
      <c r="I33" s="74"/>
      <c r="J33" s="74"/>
      <c r="K33" s="74"/>
      <c r="L33" s="74"/>
      <c r="M33" s="74"/>
      <c r="N33" s="75"/>
      <c r="O33" s="73"/>
      <c r="P33" s="74"/>
      <c r="Q33" s="74"/>
      <c r="R33" s="74"/>
      <c r="S33" s="119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1"/>
      <c r="AX33" s="122"/>
      <c r="AY33" s="122"/>
      <c r="AZ33" s="122"/>
      <c r="BA33" s="122"/>
      <c r="BB33" s="122"/>
      <c r="BC33" s="123"/>
      <c r="BD33" s="126"/>
      <c r="BE33" s="122"/>
      <c r="BF33" s="122"/>
      <c r="BG33" s="122"/>
      <c r="BH33" s="122"/>
      <c r="BI33" s="122"/>
      <c r="BJ33" s="123"/>
      <c r="BK33" s="34"/>
    </row>
    <row r="34" spans="1:63" ht="15" customHeight="1" x14ac:dyDescent="0.25">
      <c r="A34" s="33"/>
      <c r="B34" s="79"/>
      <c r="C34" s="80"/>
      <c r="D34" s="80"/>
      <c r="E34" s="80"/>
      <c r="F34" s="80"/>
      <c r="G34" s="81"/>
      <c r="H34" s="79"/>
      <c r="I34" s="80"/>
      <c r="J34" s="80"/>
      <c r="K34" s="80"/>
      <c r="L34" s="80"/>
      <c r="M34" s="80"/>
      <c r="N34" s="81"/>
      <c r="O34" s="79"/>
      <c r="P34" s="80"/>
      <c r="Q34" s="80"/>
      <c r="R34" s="80"/>
      <c r="S34" s="128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30"/>
      <c r="AX34" s="124"/>
      <c r="AY34" s="124"/>
      <c r="AZ34" s="124"/>
      <c r="BA34" s="124"/>
      <c r="BB34" s="124"/>
      <c r="BC34" s="125"/>
      <c r="BD34" s="127"/>
      <c r="BE34" s="124"/>
      <c r="BF34" s="124"/>
      <c r="BG34" s="124"/>
      <c r="BH34" s="124"/>
      <c r="BI34" s="124"/>
      <c r="BJ34" s="125"/>
      <c r="BK34" s="34"/>
    </row>
    <row r="35" spans="1:63" ht="15" customHeight="1" x14ac:dyDescent="0.25">
      <c r="A35" s="33"/>
      <c r="B35" s="73"/>
      <c r="C35" s="74"/>
      <c r="D35" s="74"/>
      <c r="E35" s="74"/>
      <c r="F35" s="74"/>
      <c r="G35" s="75"/>
      <c r="H35" s="73"/>
      <c r="I35" s="74"/>
      <c r="J35" s="74"/>
      <c r="K35" s="74"/>
      <c r="L35" s="74"/>
      <c r="M35" s="74"/>
      <c r="N35" s="75"/>
      <c r="O35" s="73"/>
      <c r="P35" s="74"/>
      <c r="Q35" s="74"/>
      <c r="R35" s="74"/>
      <c r="S35" s="119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1"/>
      <c r="AX35" s="122"/>
      <c r="AY35" s="122"/>
      <c r="AZ35" s="122"/>
      <c r="BA35" s="122"/>
      <c r="BB35" s="122"/>
      <c r="BC35" s="123"/>
      <c r="BD35" s="126"/>
      <c r="BE35" s="122"/>
      <c r="BF35" s="122"/>
      <c r="BG35" s="122"/>
      <c r="BH35" s="122"/>
      <c r="BI35" s="122"/>
      <c r="BJ35" s="123"/>
      <c r="BK35" s="34"/>
    </row>
    <row r="36" spans="1:63" ht="15" customHeight="1" x14ac:dyDescent="0.25">
      <c r="A36" s="33"/>
      <c r="B36" s="79"/>
      <c r="C36" s="80"/>
      <c r="D36" s="80"/>
      <c r="E36" s="80"/>
      <c r="F36" s="80"/>
      <c r="G36" s="81"/>
      <c r="H36" s="79"/>
      <c r="I36" s="80"/>
      <c r="J36" s="80"/>
      <c r="K36" s="80"/>
      <c r="L36" s="80"/>
      <c r="M36" s="80"/>
      <c r="N36" s="81"/>
      <c r="O36" s="79"/>
      <c r="P36" s="80"/>
      <c r="Q36" s="80"/>
      <c r="R36" s="80"/>
      <c r="S36" s="128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30"/>
      <c r="AX36" s="124"/>
      <c r="AY36" s="124"/>
      <c r="AZ36" s="124"/>
      <c r="BA36" s="124"/>
      <c r="BB36" s="124"/>
      <c r="BC36" s="125"/>
      <c r="BD36" s="127"/>
      <c r="BE36" s="124"/>
      <c r="BF36" s="124"/>
      <c r="BG36" s="124"/>
      <c r="BH36" s="124"/>
      <c r="BI36" s="124"/>
      <c r="BJ36" s="125"/>
      <c r="BK36" s="34"/>
    </row>
    <row r="37" spans="1:63" ht="15" customHeight="1" x14ac:dyDescent="0.25">
      <c r="A37" s="33"/>
      <c r="B37" s="73"/>
      <c r="C37" s="74"/>
      <c r="D37" s="74"/>
      <c r="E37" s="74"/>
      <c r="F37" s="74"/>
      <c r="G37" s="75"/>
      <c r="H37" s="73"/>
      <c r="I37" s="74"/>
      <c r="J37" s="74"/>
      <c r="K37" s="74"/>
      <c r="L37" s="74"/>
      <c r="M37" s="74"/>
      <c r="N37" s="75"/>
      <c r="O37" s="73"/>
      <c r="P37" s="74"/>
      <c r="Q37" s="74"/>
      <c r="R37" s="74"/>
      <c r="S37" s="119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1"/>
      <c r="AX37" s="122"/>
      <c r="AY37" s="122"/>
      <c r="AZ37" s="122"/>
      <c r="BA37" s="122"/>
      <c r="BB37" s="122"/>
      <c r="BC37" s="123"/>
      <c r="BD37" s="126"/>
      <c r="BE37" s="122"/>
      <c r="BF37" s="122"/>
      <c r="BG37" s="122"/>
      <c r="BH37" s="122"/>
      <c r="BI37" s="122"/>
      <c r="BJ37" s="123"/>
      <c r="BK37" s="34"/>
    </row>
    <row r="38" spans="1:63" ht="15" customHeight="1" x14ac:dyDescent="0.25">
      <c r="A38" s="33"/>
      <c r="B38" s="79"/>
      <c r="C38" s="80"/>
      <c r="D38" s="80"/>
      <c r="E38" s="80"/>
      <c r="F38" s="80"/>
      <c r="G38" s="81"/>
      <c r="H38" s="79"/>
      <c r="I38" s="80"/>
      <c r="J38" s="80"/>
      <c r="K38" s="80"/>
      <c r="L38" s="80"/>
      <c r="M38" s="80"/>
      <c r="N38" s="81"/>
      <c r="O38" s="79"/>
      <c r="P38" s="80"/>
      <c r="Q38" s="80"/>
      <c r="R38" s="80"/>
      <c r="S38" s="128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30"/>
      <c r="AX38" s="124"/>
      <c r="AY38" s="124"/>
      <c r="AZ38" s="124"/>
      <c r="BA38" s="124"/>
      <c r="BB38" s="124"/>
      <c r="BC38" s="125"/>
      <c r="BD38" s="127"/>
      <c r="BE38" s="124"/>
      <c r="BF38" s="124"/>
      <c r="BG38" s="124"/>
      <c r="BH38" s="124"/>
      <c r="BI38" s="124"/>
      <c r="BJ38" s="125"/>
      <c r="BK38" s="34"/>
    </row>
    <row r="39" spans="1:63" ht="15" customHeight="1" x14ac:dyDescent="0.25">
      <c r="A39" s="33"/>
      <c r="B39" s="73"/>
      <c r="C39" s="74"/>
      <c r="D39" s="74"/>
      <c r="E39" s="74"/>
      <c r="F39" s="74"/>
      <c r="G39" s="75"/>
      <c r="H39" s="73"/>
      <c r="I39" s="74"/>
      <c r="J39" s="74"/>
      <c r="K39" s="74"/>
      <c r="L39" s="74"/>
      <c r="M39" s="74"/>
      <c r="N39" s="75"/>
      <c r="O39" s="73"/>
      <c r="P39" s="74"/>
      <c r="Q39" s="74"/>
      <c r="R39" s="74"/>
      <c r="S39" s="119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1"/>
      <c r="AX39" s="122"/>
      <c r="AY39" s="122"/>
      <c r="AZ39" s="122"/>
      <c r="BA39" s="122"/>
      <c r="BB39" s="122"/>
      <c r="BC39" s="123"/>
      <c r="BD39" s="126"/>
      <c r="BE39" s="122"/>
      <c r="BF39" s="122"/>
      <c r="BG39" s="122"/>
      <c r="BH39" s="122"/>
      <c r="BI39" s="122"/>
      <c r="BJ39" s="123"/>
      <c r="BK39" s="34"/>
    </row>
    <row r="40" spans="1:63" ht="15" customHeight="1" x14ac:dyDescent="0.25">
      <c r="A40" s="33"/>
      <c r="B40" s="79"/>
      <c r="C40" s="80"/>
      <c r="D40" s="80"/>
      <c r="E40" s="80"/>
      <c r="F40" s="80"/>
      <c r="G40" s="81"/>
      <c r="H40" s="79"/>
      <c r="I40" s="80"/>
      <c r="J40" s="80"/>
      <c r="K40" s="80"/>
      <c r="L40" s="80"/>
      <c r="M40" s="80"/>
      <c r="N40" s="81"/>
      <c r="O40" s="79"/>
      <c r="P40" s="80"/>
      <c r="Q40" s="80"/>
      <c r="R40" s="80"/>
      <c r="S40" s="128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30"/>
      <c r="AX40" s="124"/>
      <c r="AY40" s="124"/>
      <c r="AZ40" s="124"/>
      <c r="BA40" s="124"/>
      <c r="BB40" s="124"/>
      <c r="BC40" s="125"/>
      <c r="BD40" s="127"/>
      <c r="BE40" s="124"/>
      <c r="BF40" s="124"/>
      <c r="BG40" s="124"/>
      <c r="BH40" s="124"/>
      <c r="BI40" s="124"/>
      <c r="BJ40" s="125"/>
      <c r="BK40" s="34"/>
    </row>
    <row r="41" spans="1:63" ht="15" customHeight="1" x14ac:dyDescent="0.25">
      <c r="A41" s="33"/>
      <c r="B41" s="73"/>
      <c r="C41" s="74"/>
      <c r="D41" s="74"/>
      <c r="E41" s="74"/>
      <c r="F41" s="74"/>
      <c r="G41" s="75"/>
      <c r="H41" s="73"/>
      <c r="I41" s="74"/>
      <c r="J41" s="74"/>
      <c r="K41" s="74"/>
      <c r="L41" s="74"/>
      <c r="M41" s="74"/>
      <c r="N41" s="75"/>
      <c r="O41" s="73"/>
      <c r="P41" s="74"/>
      <c r="Q41" s="74"/>
      <c r="R41" s="74"/>
      <c r="S41" s="119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1"/>
      <c r="AX41" s="122"/>
      <c r="AY41" s="122"/>
      <c r="AZ41" s="122"/>
      <c r="BA41" s="122"/>
      <c r="BB41" s="122"/>
      <c r="BC41" s="123"/>
      <c r="BD41" s="126"/>
      <c r="BE41" s="122"/>
      <c r="BF41" s="122"/>
      <c r="BG41" s="122"/>
      <c r="BH41" s="122"/>
      <c r="BI41" s="122"/>
      <c r="BJ41" s="123"/>
      <c r="BK41" s="34"/>
    </row>
    <row r="42" spans="1:63" ht="15" customHeight="1" x14ac:dyDescent="0.25">
      <c r="A42" s="33"/>
      <c r="B42" s="79"/>
      <c r="C42" s="80"/>
      <c r="D42" s="80"/>
      <c r="E42" s="80"/>
      <c r="F42" s="80"/>
      <c r="G42" s="81"/>
      <c r="H42" s="79"/>
      <c r="I42" s="80"/>
      <c r="J42" s="80"/>
      <c r="K42" s="80"/>
      <c r="L42" s="80"/>
      <c r="M42" s="80"/>
      <c r="N42" s="81"/>
      <c r="O42" s="79"/>
      <c r="P42" s="80"/>
      <c r="Q42" s="80"/>
      <c r="R42" s="80"/>
      <c r="S42" s="128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30"/>
      <c r="AX42" s="124"/>
      <c r="AY42" s="124"/>
      <c r="AZ42" s="124"/>
      <c r="BA42" s="124"/>
      <c r="BB42" s="124"/>
      <c r="BC42" s="125"/>
      <c r="BD42" s="127"/>
      <c r="BE42" s="124"/>
      <c r="BF42" s="124"/>
      <c r="BG42" s="124"/>
      <c r="BH42" s="124"/>
      <c r="BI42" s="124"/>
      <c r="BJ42" s="125"/>
      <c r="BK42" s="34"/>
    </row>
    <row r="43" spans="1:63" ht="15" customHeight="1" x14ac:dyDescent="0.25">
      <c r="A43" s="33"/>
      <c r="B43" s="73"/>
      <c r="C43" s="74"/>
      <c r="D43" s="74"/>
      <c r="E43" s="74"/>
      <c r="F43" s="74"/>
      <c r="G43" s="75"/>
      <c r="H43" s="73"/>
      <c r="I43" s="74"/>
      <c r="J43" s="74"/>
      <c r="K43" s="74"/>
      <c r="L43" s="74"/>
      <c r="M43" s="74"/>
      <c r="N43" s="75"/>
      <c r="O43" s="73"/>
      <c r="P43" s="74"/>
      <c r="Q43" s="74"/>
      <c r="R43" s="74"/>
      <c r="S43" s="119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1"/>
      <c r="AX43" s="122"/>
      <c r="AY43" s="122"/>
      <c r="AZ43" s="122"/>
      <c r="BA43" s="122"/>
      <c r="BB43" s="122"/>
      <c r="BC43" s="123"/>
      <c r="BD43" s="126"/>
      <c r="BE43" s="122"/>
      <c r="BF43" s="122"/>
      <c r="BG43" s="122"/>
      <c r="BH43" s="122"/>
      <c r="BI43" s="122"/>
      <c r="BJ43" s="123"/>
      <c r="BK43" s="34"/>
    </row>
    <row r="44" spans="1:63" ht="15" customHeight="1" x14ac:dyDescent="0.25">
      <c r="A44" s="33"/>
      <c r="B44" s="79"/>
      <c r="C44" s="80"/>
      <c r="D44" s="80"/>
      <c r="E44" s="80"/>
      <c r="F44" s="80"/>
      <c r="G44" s="81"/>
      <c r="H44" s="79"/>
      <c r="I44" s="80"/>
      <c r="J44" s="80"/>
      <c r="K44" s="80"/>
      <c r="L44" s="80"/>
      <c r="M44" s="80"/>
      <c r="N44" s="81"/>
      <c r="O44" s="79"/>
      <c r="P44" s="80"/>
      <c r="Q44" s="80"/>
      <c r="R44" s="80"/>
      <c r="S44" s="128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30"/>
      <c r="AX44" s="124"/>
      <c r="AY44" s="124"/>
      <c r="AZ44" s="124"/>
      <c r="BA44" s="124"/>
      <c r="BB44" s="124"/>
      <c r="BC44" s="125"/>
      <c r="BD44" s="127"/>
      <c r="BE44" s="124"/>
      <c r="BF44" s="124"/>
      <c r="BG44" s="124"/>
      <c r="BH44" s="124"/>
      <c r="BI44" s="124"/>
      <c r="BJ44" s="125"/>
      <c r="BK44" s="34"/>
    </row>
    <row r="45" spans="1:63" ht="15" customHeight="1" x14ac:dyDescent="0.25">
      <c r="A45" s="33"/>
      <c r="B45" s="73"/>
      <c r="C45" s="74"/>
      <c r="D45" s="74"/>
      <c r="E45" s="74"/>
      <c r="F45" s="74"/>
      <c r="G45" s="75"/>
      <c r="H45" s="73"/>
      <c r="I45" s="74"/>
      <c r="J45" s="74"/>
      <c r="K45" s="74"/>
      <c r="L45" s="74"/>
      <c r="M45" s="74"/>
      <c r="N45" s="75"/>
      <c r="O45" s="73"/>
      <c r="P45" s="74"/>
      <c r="Q45" s="74"/>
      <c r="R45" s="74"/>
      <c r="S45" s="119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1"/>
      <c r="AX45" s="122"/>
      <c r="AY45" s="122"/>
      <c r="AZ45" s="122"/>
      <c r="BA45" s="122"/>
      <c r="BB45" s="122"/>
      <c r="BC45" s="123"/>
      <c r="BD45" s="126"/>
      <c r="BE45" s="122"/>
      <c r="BF45" s="122"/>
      <c r="BG45" s="122"/>
      <c r="BH45" s="122"/>
      <c r="BI45" s="122"/>
      <c r="BJ45" s="123"/>
      <c r="BK45" s="34"/>
    </row>
    <row r="46" spans="1:63" ht="15" customHeight="1" x14ac:dyDescent="0.25">
      <c r="A46" s="33"/>
      <c r="B46" s="79"/>
      <c r="C46" s="80"/>
      <c r="D46" s="80"/>
      <c r="E46" s="80"/>
      <c r="F46" s="80"/>
      <c r="G46" s="81"/>
      <c r="H46" s="79"/>
      <c r="I46" s="80"/>
      <c r="J46" s="80"/>
      <c r="K46" s="80"/>
      <c r="L46" s="80"/>
      <c r="M46" s="80"/>
      <c r="N46" s="81"/>
      <c r="O46" s="79"/>
      <c r="P46" s="80"/>
      <c r="Q46" s="80"/>
      <c r="R46" s="80"/>
      <c r="S46" s="128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30"/>
      <c r="AX46" s="124"/>
      <c r="AY46" s="124"/>
      <c r="AZ46" s="124"/>
      <c r="BA46" s="124"/>
      <c r="BB46" s="124"/>
      <c r="BC46" s="125"/>
      <c r="BD46" s="127"/>
      <c r="BE46" s="124"/>
      <c r="BF46" s="124"/>
      <c r="BG46" s="124"/>
      <c r="BH46" s="124"/>
      <c r="BI46" s="124"/>
      <c r="BJ46" s="125"/>
      <c r="BK46" s="34"/>
    </row>
    <row r="47" spans="1:63" ht="15" customHeight="1" x14ac:dyDescent="0.25">
      <c r="A47" s="33"/>
      <c r="B47" s="73"/>
      <c r="C47" s="74"/>
      <c r="D47" s="74"/>
      <c r="E47" s="74"/>
      <c r="F47" s="74"/>
      <c r="G47" s="75"/>
      <c r="H47" s="73"/>
      <c r="I47" s="74"/>
      <c r="J47" s="74"/>
      <c r="K47" s="74"/>
      <c r="L47" s="74"/>
      <c r="M47" s="74"/>
      <c r="N47" s="75"/>
      <c r="O47" s="73"/>
      <c r="P47" s="74"/>
      <c r="Q47" s="74"/>
      <c r="R47" s="74"/>
      <c r="S47" s="119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1"/>
      <c r="AX47" s="122"/>
      <c r="AY47" s="122"/>
      <c r="AZ47" s="122"/>
      <c r="BA47" s="122"/>
      <c r="BB47" s="122"/>
      <c r="BC47" s="123"/>
      <c r="BD47" s="126"/>
      <c r="BE47" s="122"/>
      <c r="BF47" s="122"/>
      <c r="BG47" s="122"/>
      <c r="BH47" s="122"/>
      <c r="BI47" s="122"/>
      <c r="BJ47" s="123"/>
      <c r="BK47" s="34"/>
    </row>
    <row r="48" spans="1:63" ht="15" customHeight="1" x14ac:dyDescent="0.25">
      <c r="A48" s="33"/>
      <c r="B48" s="79"/>
      <c r="C48" s="80"/>
      <c r="D48" s="80"/>
      <c r="E48" s="80"/>
      <c r="F48" s="80"/>
      <c r="G48" s="81"/>
      <c r="H48" s="79"/>
      <c r="I48" s="80"/>
      <c r="J48" s="80"/>
      <c r="K48" s="80"/>
      <c r="L48" s="80"/>
      <c r="M48" s="80"/>
      <c r="N48" s="81"/>
      <c r="O48" s="79"/>
      <c r="P48" s="80"/>
      <c r="Q48" s="80"/>
      <c r="R48" s="80"/>
      <c r="S48" s="128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30"/>
      <c r="AX48" s="124"/>
      <c r="AY48" s="124"/>
      <c r="AZ48" s="124"/>
      <c r="BA48" s="124"/>
      <c r="BB48" s="124"/>
      <c r="BC48" s="125"/>
      <c r="BD48" s="127"/>
      <c r="BE48" s="124"/>
      <c r="BF48" s="124"/>
      <c r="BG48" s="124"/>
      <c r="BH48" s="124"/>
      <c r="BI48" s="124"/>
      <c r="BJ48" s="125"/>
      <c r="BK48" s="34"/>
    </row>
    <row r="49" spans="1:63" ht="15" customHeight="1" x14ac:dyDescent="0.25">
      <c r="A49" s="33"/>
      <c r="B49" s="73"/>
      <c r="C49" s="74"/>
      <c r="D49" s="74"/>
      <c r="E49" s="74"/>
      <c r="F49" s="74"/>
      <c r="G49" s="75"/>
      <c r="H49" s="73"/>
      <c r="I49" s="74"/>
      <c r="J49" s="74"/>
      <c r="K49" s="74"/>
      <c r="L49" s="74"/>
      <c r="M49" s="74"/>
      <c r="N49" s="75"/>
      <c r="O49" s="73"/>
      <c r="P49" s="74"/>
      <c r="Q49" s="74"/>
      <c r="R49" s="74"/>
      <c r="S49" s="119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1"/>
      <c r="AX49" s="122"/>
      <c r="AY49" s="122"/>
      <c r="AZ49" s="122"/>
      <c r="BA49" s="122"/>
      <c r="BB49" s="122"/>
      <c r="BC49" s="123"/>
      <c r="BD49" s="126"/>
      <c r="BE49" s="122"/>
      <c r="BF49" s="122"/>
      <c r="BG49" s="122"/>
      <c r="BH49" s="122"/>
      <c r="BI49" s="122"/>
      <c r="BJ49" s="123"/>
      <c r="BK49" s="34"/>
    </row>
    <row r="50" spans="1:63" ht="15" customHeight="1" x14ac:dyDescent="0.25">
      <c r="A50" s="33"/>
      <c r="B50" s="79"/>
      <c r="C50" s="80"/>
      <c r="D50" s="80"/>
      <c r="E50" s="80"/>
      <c r="F50" s="80"/>
      <c r="G50" s="81"/>
      <c r="H50" s="79"/>
      <c r="I50" s="80"/>
      <c r="J50" s="80"/>
      <c r="K50" s="80"/>
      <c r="L50" s="80"/>
      <c r="M50" s="80"/>
      <c r="N50" s="81"/>
      <c r="O50" s="79"/>
      <c r="P50" s="80"/>
      <c r="Q50" s="80"/>
      <c r="R50" s="80"/>
      <c r="S50" s="128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30"/>
      <c r="AX50" s="124"/>
      <c r="AY50" s="124"/>
      <c r="AZ50" s="124"/>
      <c r="BA50" s="124"/>
      <c r="BB50" s="124"/>
      <c r="BC50" s="125"/>
      <c r="BD50" s="127"/>
      <c r="BE50" s="124"/>
      <c r="BF50" s="124"/>
      <c r="BG50" s="124"/>
      <c r="BH50" s="124"/>
      <c r="BI50" s="124"/>
      <c r="BJ50" s="125"/>
      <c r="BK50" s="34"/>
    </row>
    <row r="51" spans="1:63" ht="15" customHeight="1" x14ac:dyDescent="0.25">
      <c r="A51" s="33"/>
      <c r="B51" s="73"/>
      <c r="C51" s="74"/>
      <c r="D51" s="74"/>
      <c r="E51" s="74"/>
      <c r="F51" s="74"/>
      <c r="G51" s="75"/>
      <c r="H51" s="73"/>
      <c r="I51" s="74"/>
      <c r="J51" s="74"/>
      <c r="K51" s="74"/>
      <c r="L51" s="74"/>
      <c r="M51" s="74"/>
      <c r="N51" s="75"/>
      <c r="O51" s="73"/>
      <c r="P51" s="74"/>
      <c r="Q51" s="74"/>
      <c r="R51" s="74"/>
      <c r="S51" s="119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1"/>
      <c r="AX51" s="122"/>
      <c r="AY51" s="122"/>
      <c r="AZ51" s="122"/>
      <c r="BA51" s="122"/>
      <c r="BB51" s="122"/>
      <c r="BC51" s="123"/>
      <c r="BD51" s="126"/>
      <c r="BE51" s="122"/>
      <c r="BF51" s="122"/>
      <c r="BG51" s="122"/>
      <c r="BH51" s="122"/>
      <c r="BI51" s="122"/>
      <c r="BJ51" s="123"/>
      <c r="BK51" s="34"/>
    </row>
    <row r="52" spans="1:63" ht="15" customHeight="1" x14ac:dyDescent="0.25">
      <c r="A52" s="33"/>
      <c r="B52" s="79"/>
      <c r="C52" s="80"/>
      <c r="D52" s="80"/>
      <c r="E52" s="80"/>
      <c r="F52" s="80"/>
      <c r="G52" s="81"/>
      <c r="H52" s="79"/>
      <c r="I52" s="80"/>
      <c r="J52" s="80"/>
      <c r="K52" s="80"/>
      <c r="L52" s="80"/>
      <c r="M52" s="80"/>
      <c r="N52" s="81"/>
      <c r="O52" s="79"/>
      <c r="P52" s="80"/>
      <c r="Q52" s="80"/>
      <c r="R52" s="80"/>
      <c r="S52" s="128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30"/>
      <c r="AX52" s="124"/>
      <c r="AY52" s="124"/>
      <c r="AZ52" s="124"/>
      <c r="BA52" s="124"/>
      <c r="BB52" s="124"/>
      <c r="BC52" s="125"/>
      <c r="BD52" s="127"/>
      <c r="BE52" s="124"/>
      <c r="BF52" s="124"/>
      <c r="BG52" s="124"/>
      <c r="BH52" s="124"/>
      <c r="BI52" s="124"/>
      <c r="BJ52" s="125"/>
      <c r="BK52" s="34"/>
    </row>
    <row r="53" spans="1:63" ht="15" customHeight="1" x14ac:dyDescent="0.25">
      <c r="A53" s="33"/>
      <c r="B53" s="73"/>
      <c r="C53" s="74"/>
      <c r="D53" s="74"/>
      <c r="E53" s="74"/>
      <c r="F53" s="74"/>
      <c r="G53" s="75"/>
      <c r="H53" s="73"/>
      <c r="I53" s="74"/>
      <c r="J53" s="74"/>
      <c r="K53" s="74"/>
      <c r="L53" s="74"/>
      <c r="M53" s="74"/>
      <c r="N53" s="75"/>
      <c r="O53" s="73"/>
      <c r="P53" s="74"/>
      <c r="Q53" s="74"/>
      <c r="R53" s="74"/>
      <c r="S53" s="119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1"/>
      <c r="AX53" s="122"/>
      <c r="AY53" s="122"/>
      <c r="AZ53" s="122"/>
      <c r="BA53" s="122"/>
      <c r="BB53" s="122"/>
      <c r="BC53" s="123"/>
      <c r="BD53" s="126"/>
      <c r="BE53" s="122"/>
      <c r="BF53" s="122"/>
      <c r="BG53" s="122"/>
      <c r="BH53" s="122"/>
      <c r="BI53" s="122"/>
      <c r="BJ53" s="123"/>
      <c r="BK53" s="34"/>
    </row>
    <row r="54" spans="1:63" ht="15" customHeight="1" x14ac:dyDescent="0.25">
      <c r="A54" s="33"/>
      <c r="B54" s="79"/>
      <c r="C54" s="80"/>
      <c r="D54" s="80"/>
      <c r="E54" s="80"/>
      <c r="F54" s="80"/>
      <c r="G54" s="81"/>
      <c r="H54" s="79"/>
      <c r="I54" s="80"/>
      <c r="J54" s="80"/>
      <c r="K54" s="80"/>
      <c r="L54" s="80"/>
      <c r="M54" s="80"/>
      <c r="N54" s="81"/>
      <c r="O54" s="79"/>
      <c r="P54" s="80"/>
      <c r="Q54" s="80"/>
      <c r="R54" s="80"/>
      <c r="S54" s="128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30"/>
      <c r="AX54" s="124"/>
      <c r="AY54" s="124"/>
      <c r="AZ54" s="124"/>
      <c r="BA54" s="124"/>
      <c r="BB54" s="124"/>
      <c r="BC54" s="125"/>
      <c r="BD54" s="127"/>
      <c r="BE54" s="124"/>
      <c r="BF54" s="124"/>
      <c r="BG54" s="124"/>
      <c r="BH54" s="124"/>
      <c r="BI54" s="124"/>
      <c r="BJ54" s="125"/>
      <c r="BK54" s="34"/>
    </row>
    <row r="55" spans="1:63" ht="15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2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D249-BF9F-4572-AF05-C562D8E6D11A}">
  <sheetPr>
    <pageSetUpPr fitToPage="1"/>
  </sheetPr>
  <dimension ref="A1:BK586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3" t="s">
        <v>103</v>
      </c>
      <c r="B1" s="144"/>
      <c r="C1" s="144"/>
      <c r="D1" s="144"/>
      <c r="E1" s="144"/>
      <c r="F1" s="144"/>
      <c r="G1" s="144"/>
      <c r="H1" s="144"/>
      <c r="I1" s="144"/>
      <c r="J1" s="145"/>
      <c r="K1" s="143" t="s">
        <v>104</v>
      </c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5"/>
      <c r="W1" s="146" t="str">
        <f>IF(表紙!W1="","",表紙!W1)</f>
        <v>詳細設計書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8"/>
      <c r="AP1" s="88" t="s">
        <v>106</v>
      </c>
      <c r="AQ1" s="89"/>
      <c r="AR1" s="89"/>
      <c r="AS1" s="90"/>
      <c r="AT1" s="88" t="s">
        <v>107</v>
      </c>
      <c r="AU1" s="89"/>
      <c r="AV1" s="89"/>
      <c r="AW1" s="89"/>
      <c r="AX1" s="90"/>
      <c r="AY1" s="88" t="s">
        <v>108</v>
      </c>
      <c r="AZ1" s="89"/>
      <c r="BA1" s="89"/>
      <c r="BB1" s="90"/>
      <c r="BC1" s="88" t="s">
        <v>109</v>
      </c>
      <c r="BD1" s="89"/>
      <c r="BE1" s="89"/>
      <c r="BF1" s="89"/>
      <c r="BG1" s="90"/>
      <c r="BH1" s="88" t="s">
        <v>110</v>
      </c>
      <c r="BI1" s="89"/>
      <c r="BJ1" s="89"/>
      <c r="BK1" s="90"/>
    </row>
    <row r="2" spans="1:63" ht="15" customHeight="1" x14ac:dyDescent="0.25">
      <c r="A2" s="137" t="str">
        <f>IF(表紙!A2="","",表紙!A2)</f>
        <v>POSサーバー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73" t="str">
        <f>IF(表紙!AP2="","",表紙!AP2)</f>
        <v>TuyenNH</v>
      </c>
      <c r="AQ2" s="74"/>
      <c r="AR2" s="74"/>
      <c r="AS2" s="75"/>
      <c r="AT2" s="103">
        <f>IF(表紙!AT2="","",表紙!AT2)</f>
        <v>45519</v>
      </c>
      <c r="AU2" s="104"/>
      <c r="AV2" s="104"/>
      <c r="AW2" s="104"/>
      <c r="AX2" s="105"/>
      <c r="AY2" s="73" t="str">
        <f>IF(表紙!AY2="","",表紙!AY2)</f>
        <v>TuyenNH</v>
      </c>
      <c r="AZ2" s="74"/>
      <c r="BA2" s="74"/>
      <c r="BB2" s="75"/>
      <c r="BC2" s="103">
        <f>IF(表紙!BC2="","",表紙!BC2)</f>
        <v>45519</v>
      </c>
      <c r="BD2" s="104"/>
      <c r="BE2" s="104"/>
      <c r="BF2" s="104"/>
      <c r="BG2" s="105"/>
      <c r="BH2" s="73">
        <f>IF(表紙!BH2="","",表紙!BH2)</f>
        <v>0.1</v>
      </c>
      <c r="BI2" s="74"/>
      <c r="BJ2" s="74"/>
      <c r="BK2" s="75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79"/>
      <c r="AQ3" s="80"/>
      <c r="AR3" s="80"/>
      <c r="AS3" s="81"/>
      <c r="AT3" s="106"/>
      <c r="AU3" s="107"/>
      <c r="AV3" s="107"/>
      <c r="AW3" s="107"/>
      <c r="AX3" s="108"/>
      <c r="AY3" s="79"/>
      <c r="AZ3" s="80"/>
      <c r="BA3" s="80"/>
      <c r="BB3" s="81"/>
      <c r="BC3" s="106"/>
      <c r="BD3" s="107"/>
      <c r="BE3" s="107"/>
      <c r="BF3" s="107"/>
      <c r="BG3" s="108"/>
      <c r="BH3" s="79"/>
      <c r="BI3" s="80"/>
      <c r="BJ3" s="80"/>
      <c r="BK3" s="81"/>
    </row>
    <row r="4" spans="1:63" ht="24.95" customHeight="1" x14ac:dyDescent="0.25">
      <c r="A4" s="155" t="s">
        <v>121</v>
      </c>
      <c r="B4" s="144"/>
      <c r="C4" s="144"/>
      <c r="D4" s="144"/>
      <c r="E4" s="144"/>
      <c r="F4" s="144"/>
      <c r="G4" s="145"/>
      <c r="H4" s="156" t="str">
        <f>IF(表紙!H4="","",表紙!H4)</f>
        <v>02_緊急売価変更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43" t="s">
        <v>113</v>
      </c>
      <c r="V4" s="144"/>
      <c r="W4" s="144"/>
      <c r="X4" s="144"/>
      <c r="Y4" s="145"/>
      <c r="Z4" s="156" t="str">
        <f>IF(表紙!Z4="","",表紙!Z4)</f>
        <v>機能設計書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80" t="str">
        <f ca="1">MID(CELL("filename",A1),FIND("]",CELL("filename",A1))+1,255)</f>
        <v>SC0201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7"/>
    </row>
    <row r="7" spans="1:63" s="46" customFormat="1" ht="15" customHeight="1" x14ac:dyDescent="0.25">
      <c r="A7" s="45" t="s">
        <v>8</v>
      </c>
      <c r="BK7" s="47"/>
    </row>
    <row r="8" spans="1:63" s="46" customFormat="1" ht="15" customHeight="1" x14ac:dyDescent="0.25">
      <c r="A8" s="45"/>
      <c r="BK8" s="47"/>
    </row>
    <row r="9" spans="1:63" s="46" customFormat="1" ht="15" customHeight="1" x14ac:dyDescent="0.25">
      <c r="A9" s="88" t="s">
        <v>122</v>
      </c>
      <c r="B9" s="89"/>
      <c r="C9" s="89"/>
      <c r="D9" s="89"/>
      <c r="E9" s="133" t="s">
        <v>21</v>
      </c>
      <c r="F9" s="133"/>
      <c r="G9" s="133"/>
      <c r="H9" s="133"/>
      <c r="I9" s="133"/>
      <c r="J9" s="133"/>
      <c r="K9" s="133"/>
      <c r="L9" s="133"/>
      <c r="M9" s="133"/>
      <c r="N9" s="133"/>
      <c r="O9" s="88" t="s">
        <v>123</v>
      </c>
      <c r="P9" s="89"/>
      <c r="Q9" s="89"/>
      <c r="R9" s="89"/>
      <c r="S9" s="89"/>
      <c r="T9" s="90"/>
      <c r="U9" s="134" t="s">
        <v>22</v>
      </c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6"/>
    </row>
    <row r="10" spans="1:63" ht="15" customHeight="1" x14ac:dyDescent="0.25">
      <c r="A10" s="20"/>
      <c r="BK10" s="5"/>
    </row>
    <row r="11" spans="1:63" s="46" customFormat="1" ht="15" customHeight="1" x14ac:dyDescent="0.25">
      <c r="A11" s="159" t="s">
        <v>3</v>
      </c>
      <c r="B11" s="160"/>
      <c r="C11" s="160"/>
      <c r="D11" s="160"/>
      <c r="E11" s="160"/>
      <c r="F11" s="161"/>
      <c r="G11" s="133" t="s">
        <v>23</v>
      </c>
      <c r="H11" s="133"/>
      <c r="I11" s="133"/>
      <c r="J11" s="133"/>
      <c r="K11" s="133"/>
      <c r="L11" s="133"/>
      <c r="M11" s="48" t="s">
        <v>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49"/>
      <c r="BI11" s="49"/>
      <c r="BJ11" s="49"/>
      <c r="BK11" s="50"/>
    </row>
    <row r="12" spans="1:63" s="46" customFormat="1" ht="15" customHeight="1" x14ac:dyDescent="0.25">
      <c r="A12" s="162" t="s">
        <v>4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4"/>
      <c r="M12" s="162" t="s">
        <v>5</v>
      </c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4"/>
      <c r="AU12" s="162" t="s">
        <v>6</v>
      </c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2" t="s">
        <v>7</v>
      </c>
      <c r="BG12" s="163"/>
      <c r="BH12" s="163"/>
      <c r="BI12" s="163"/>
      <c r="BJ12" s="163"/>
      <c r="BK12" s="164"/>
    </row>
    <row r="13" spans="1:63" s="46" customFormat="1" ht="15" customHeight="1" x14ac:dyDescent="0.25">
      <c r="A13" s="165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7"/>
      <c r="M13" s="165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7"/>
      <c r="AU13" s="165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5"/>
      <c r="BG13" s="166"/>
      <c r="BH13" s="166"/>
      <c r="BI13" s="166"/>
      <c r="BJ13" s="166"/>
      <c r="BK13" s="167"/>
    </row>
    <row r="14" spans="1:63" s="46" customFormat="1" ht="1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7"/>
      <c r="AV14" s="8"/>
      <c r="AW14" s="8"/>
      <c r="AX14" s="8"/>
      <c r="AY14" s="8"/>
      <c r="AZ14" s="8"/>
      <c r="BA14" s="8"/>
      <c r="BB14" s="8"/>
      <c r="BC14" s="8"/>
      <c r="BD14" s="8"/>
      <c r="BE14" s="9"/>
      <c r="BF14" s="171" t="s">
        <v>142</v>
      </c>
      <c r="BG14" s="172"/>
      <c r="BH14" s="172"/>
      <c r="BI14" s="172"/>
      <c r="BJ14" s="172"/>
      <c r="BK14" s="173"/>
    </row>
    <row r="15" spans="1:63" s="46" customFormat="1" ht="15" customHeight="1" x14ac:dyDescent="0.25">
      <c r="A15" s="1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1"/>
      <c r="M15" s="51"/>
      <c r="N15" s="21" t="s">
        <v>124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10"/>
      <c r="AV15" s="18"/>
      <c r="AW15" s="18"/>
      <c r="AX15" s="18"/>
      <c r="AY15" s="18"/>
      <c r="AZ15" s="18"/>
      <c r="BA15" s="18"/>
      <c r="BB15" s="18"/>
      <c r="BC15" s="18"/>
      <c r="BD15" s="18"/>
      <c r="BE15" s="11"/>
      <c r="BF15" s="174"/>
      <c r="BG15" s="175"/>
      <c r="BH15" s="175"/>
      <c r="BI15" s="175"/>
      <c r="BJ15" s="175"/>
      <c r="BK15" s="176"/>
    </row>
    <row r="16" spans="1:63" s="46" customFormat="1" ht="15" customHeight="1" x14ac:dyDescent="0.25">
      <c r="A16" s="1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1"/>
      <c r="M16" s="53"/>
      <c r="N16" s="51"/>
      <c r="O16" s="54" t="s">
        <v>24</v>
      </c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10"/>
      <c r="AV16" s="18"/>
      <c r="AW16" s="18"/>
      <c r="AX16" s="18"/>
      <c r="AY16" s="18"/>
      <c r="AZ16" s="18"/>
      <c r="BA16" s="18"/>
      <c r="BB16" s="18"/>
      <c r="BC16" s="18"/>
      <c r="BD16" s="18"/>
      <c r="BE16" s="11"/>
      <c r="BF16" s="174"/>
      <c r="BG16" s="175"/>
      <c r="BH16" s="175"/>
      <c r="BI16" s="175"/>
      <c r="BJ16" s="175"/>
      <c r="BK16" s="176"/>
    </row>
    <row r="17" spans="1:63" s="46" customFormat="1" ht="15" customHeight="1" x14ac:dyDescent="0.25">
      <c r="A17" s="1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1"/>
      <c r="M17" s="51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10"/>
      <c r="AV17" s="18"/>
      <c r="AW17" s="18"/>
      <c r="AX17" s="18"/>
      <c r="AY17" s="18"/>
      <c r="AZ17" s="18"/>
      <c r="BA17" s="18"/>
      <c r="BB17" s="18"/>
      <c r="BC17" s="18"/>
      <c r="BD17" s="18"/>
      <c r="BE17" s="11"/>
      <c r="BF17" s="174"/>
      <c r="BG17" s="175"/>
      <c r="BH17" s="175"/>
      <c r="BI17" s="175"/>
      <c r="BJ17" s="175"/>
      <c r="BK17" s="176"/>
    </row>
    <row r="18" spans="1:63" s="46" customFormat="1" ht="15" customHeight="1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55"/>
      <c r="N18" s="56"/>
      <c r="O18" s="56"/>
      <c r="P18" s="56"/>
      <c r="Q18" s="56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57"/>
      <c r="AQ18" s="57"/>
      <c r="AR18" s="57"/>
      <c r="AS18" s="57"/>
      <c r="AT18" s="57"/>
      <c r="AU18" s="12"/>
      <c r="AV18" s="13"/>
      <c r="AW18" s="13"/>
      <c r="AX18" s="13"/>
      <c r="AY18" s="13"/>
      <c r="AZ18" s="13"/>
      <c r="BA18" s="13"/>
      <c r="BB18" s="13"/>
      <c r="BC18" s="13"/>
      <c r="BD18" s="13"/>
      <c r="BE18" s="14"/>
      <c r="BF18" s="168"/>
      <c r="BG18" s="169"/>
      <c r="BH18" s="169"/>
      <c r="BI18" s="169"/>
      <c r="BJ18" s="169"/>
      <c r="BK18" s="170"/>
    </row>
    <row r="19" spans="1:63" ht="15" customHeight="1" x14ac:dyDescent="0.25">
      <c r="A19" s="15"/>
      <c r="BK19" s="5"/>
    </row>
    <row r="20" spans="1:63" ht="15" customHeight="1" x14ac:dyDescent="0.25">
      <c r="A20" s="20"/>
      <c r="BK20" s="5"/>
    </row>
    <row r="21" spans="1:63" ht="15" customHeight="1" x14ac:dyDescent="0.25">
      <c r="A21" s="20"/>
      <c r="BK21" s="5"/>
    </row>
    <row r="22" spans="1:63" s="46" customFormat="1" ht="15" customHeight="1" x14ac:dyDescent="0.25">
      <c r="A22" s="159" t="s">
        <v>3</v>
      </c>
      <c r="B22" s="160"/>
      <c r="C22" s="160"/>
      <c r="D22" s="160"/>
      <c r="E22" s="160"/>
      <c r="F22" s="161"/>
      <c r="G22" s="133" t="s">
        <v>25</v>
      </c>
      <c r="H22" s="133"/>
      <c r="I22" s="133"/>
      <c r="J22" s="133"/>
      <c r="K22" s="133"/>
      <c r="L22" s="133"/>
      <c r="M22" s="48" t="s">
        <v>26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49"/>
      <c r="BI22" s="49"/>
      <c r="BJ22" s="49"/>
      <c r="BK22" s="50"/>
    </row>
    <row r="23" spans="1:63" s="46" customFormat="1" ht="15" customHeight="1" x14ac:dyDescent="0.25">
      <c r="A23" s="162" t="s">
        <v>4</v>
      </c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4"/>
      <c r="M23" s="162" t="s">
        <v>5</v>
      </c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4"/>
      <c r="AU23" s="162" t="s">
        <v>6</v>
      </c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2" t="s">
        <v>7</v>
      </c>
      <c r="BG23" s="163"/>
      <c r="BH23" s="163"/>
      <c r="BI23" s="163"/>
      <c r="BJ23" s="163"/>
      <c r="BK23" s="164"/>
    </row>
    <row r="24" spans="1:63" s="46" customFormat="1" ht="15" customHeight="1" x14ac:dyDescent="0.25">
      <c r="A24" s="165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7"/>
      <c r="M24" s="165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7"/>
      <c r="AU24" s="165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5"/>
      <c r="BG24" s="166"/>
      <c r="BH24" s="166"/>
      <c r="BI24" s="166"/>
      <c r="BJ24" s="166"/>
      <c r="BK24" s="167"/>
    </row>
    <row r="25" spans="1:63" s="46" customFormat="1" ht="15" customHeight="1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51"/>
      <c r="N25" s="51"/>
      <c r="O25" s="51"/>
      <c r="P25" s="51"/>
      <c r="Q25" s="51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7"/>
      <c r="AV25" s="8"/>
      <c r="AW25" s="8"/>
      <c r="AX25" s="8"/>
      <c r="AY25" s="8"/>
      <c r="AZ25" s="8"/>
      <c r="BA25" s="8"/>
      <c r="BB25" s="8"/>
      <c r="BC25" s="8"/>
      <c r="BD25" s="8"/>
      <c r="BE25" s="9"/>
      <c r="BF25" s="181" t="s">
        <v>143</v>
      </c>
      <c r="BG25" s="172"/>
      <c r="BH25" s="172"/>
      <c r="BI25" s="172"/>
      <c r="BJ25" s="172"/>
      <c r="BK25" s="173"/>
    </row>
    <row r="26" spans="1:63" s="46" customFormat="1" ht="15" customHeight="1" x14ac:dyDescent="0.25">
      <c r="A26" s="1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1"/>
      <c r="M26" s="51"/>
      <c r="N26" s="21" t="s">
        <v>147</v>
      </c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10"/>
      <c r="AV26" s="18"/>
      <c r="AW26" s="18"/>
      <c r="AX26" s="18"/>
      <c r="AY26" s="18"/>
      <c r="AZ26" s="18"/>
      <c r="BA26" s="18"/>
      <c r="BB26" s="18"/>
      <c r="BC26" s="18"/>
      <c r="BD26" s="18"/>
      <c r="BE26" s="11"/>
      <c r="BF26" s="174"/>
      <c r="BG26" s="175"/>
      <c r="BH26" s="175"/>
      <c r="BI26" s="175"/>
      <c r="BJ26" s="175"/>
      <c r="BK26" s="176"/>
    </row>
    <row r="27" spans="1:63" s="46" customFormat="1" ht="15" customHeight="1" x14ac:dyDescent="0.25">
      <c r="A27" s="1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1"/>
      <c r="M27" s="51"/>
      <c r="N27" s="21"/>
      <c r="O27" s="72" t="s">
        <v>148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10"/>
      <c r="AV27" s="18"/>
      <c r="AW27" s="18"/>
      <c r="AX27" s="18"/>
      <c r="AY27" s="18"/>
      <c r="AZ27" s="18"/>
      <c r="BA27" s="18"/>
      <c r="BB27" s="18"/>
      <c r="BC27" s="18"/>
      <c r="BD27" s="18"/>
      <c r="BE27" s="11"/>
      <c r="BF27" s="174"/>
      <c r="BG27" s="175"/>
      <c r="BH27" s="175"/>
      <c r="BI27" s="175"/>
      <c r="BJ27" s="175"/>
      <c r="BK27" s="176"/>
    </row>
    <row r="28" spans="1:63" s="46" customFormat="1" ht="1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1"/>
      <c r="M28" s="51"/>
      <c r="N28" s="2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10"/>
      <c r="AV28" s="18"/>
      <c r="AW28" s="18"/>
      <c r="AX28" s="18"/>
      <c r="AY28" s="18"/>
      <c r="AZ28" s="18"/>
      <c r="BA28" s="18"/>
      <c r="BB28" s="18"/>
      <c r="BC28" s="18"/>
      <c r="BD28" s="18"/>
      <c r="BE28" s="11"/>
      <c r="BF28" s="174"/>
      <c r="BG28" s="175"/>
      <c r="BH28" s="175"/>
      <c r="BI28" s="175"/>
      <c r="BJ28" s="175"/>
      <c r="BK28" s="176"/>
    </row>
    <row r="29" spans="1:63" s="46" customFormat="1" ht="15" customHeight="1" x14ac:dyDescent="0.25">
      <c r="A29" s="1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1"/>
      <c r="M29" s="53"/>
      <c r="N29" s="21"/>
      <c r="O29" s="54" t="s">
        <v>27</v>
      </c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10"/>
      <c r="AV29" s="18"/>
      <c r="AW29" s="18"/>
      <c r="AX29" s="18"/>
      <c r="AY29" s="18"/>
      <c r="AZ29" s="18"/>
      <c r="BA29" s="18"/>
      <c r="BB29" s="18"/>
      <c r="BC29" s="18"/>
      <c r="BD29" s="18"/>
      <c r="BE29" s="11"/>
      <c r="BF29" s="174"/>
      <c r="BG29" s="175"/>
      <c r="BH29" s="175"/>
      <c r="BI29" s="175"/>
      <c r="BJ29" s="175"/>
      <c r="BK29" s="176"/>
    </row>
    <row r="30" spans="1:63" s="46" customFormat="1" ht="15" customHeight="1" x14ac:dyDescent="0.25">
      <c r="A30" s="1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1"/>
      <c r="M30" s="51"/>
      <c r="O30" s="54"/>
      <c r="P30" s="26" t="s">
        <v>11</v>
      </c>
      <c r="Q30" s="27"/>
      <c r="R30" s="27"/>
      <c r="S30" s="27"/>
      <c r="T30" s="27"/>
      <c r="U30" s="27"/>
      <c r="V30" s="27"/>
      <c r="W30" s="26" t="s">
        <v>12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8"/>
      <c r="AN30" s="51"/>
      <c r="AO30" s="51"/>
      <c r="AP30" s="51"/>
      <c r="AQ30" s="51"/>
      <c r="AR30" s="51"/>
      <c r="AS30" s="51"/>
      <c r="AT30" s="51"/>
      <c r="AU30" s="10"/>
      <c r="AV30" s="18"/>
      <c r="AW30" s="18"/>
      <c r="AX30" s="18"/>
      <c r="AY30" s="18"/>
      <c r="AZ30" s="18"/>
      <c r="BA30" s="18"/>
      <c r="BB30" s="18"/>
      <c r="BC30" s="18"/>
      <c r="BD30" s="18"/>
      <c r="BE30" s="11"/>
      <c r="BF30" s="174"/>
      <c r="BG30" s="175"/>
      <c r="BH30" s="175"/>
      <c r="BI30" s="175"/>
      <c r="BJ30" s="175"/>
      <c r="BK30" s="176"/>
    </row>
    <row r="31" spans="1:63" s="46" customFormat="1" ht="15" customHeight="1" x14ac:dyDescent="0.25">
      <c r="A31" s="1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1"/>
      <c r="M31" s="51"/>
      <c r="N31" s="54"/>
      <c r="O31" s="54"/>
      <c r="P31" s="58" t="s">
        <v>28</v>
      </c>
      <c r="Q31" s="59"/>
      <c r="R31" s="59"/>
      <c r="S31" s="59"/>
      <c r="T31" s="59"/>
      <c r="U31" s="59"/>
      <c r="V31" s="59"/>
      <c r="W31" s="60" t="s">
        <v>30</v>
      </c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2"/>
      <c r="AN31" s="51"/>
      <c r="AO31" s="51"/>
      <c r="AP31" s="51"/>
      <c r="AQ31" s="51"/>
      <c r="AR31" s="51"/>
      <c r="AS31" s="51"/>
      <c r="AT31" s="51"/>
      <c r="AU31" s="10"/>
      <c r="AV31" s="18"/>
      <c r="AW31" s="18"/>
      <c r="AX31" s="18"/>
      <c r="AY31" s="18"/>
      <c r="AZ31" s="18"/>
      <c r="BA31" s="18"/>
      <c r="BB31" s="18"/>
      <c r="BC31" s="18"/>
      <c r="BD31" s="18"/>
      <c r="BE31" s="11"/>
      <c r="BF31" s="174"/>
      <c r="BG31" s="175"/>
      <c r="BH31" s="175"/>
      <c r="BI31" s="175"/>
      <c r="BJ31" s="175"/>
      <c r="BK31" s="176"/>
    </row>
    <row r="32" spans="1:63" s="46" customFormat="1" ht="15" customHeight="1" x14ac:dyDescent="0.25">
      <c r="A32" s="1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1"/>
      <c r="M32" s="51"/>
      <c r="N32" s="54"/>
      <c r="O32" s="54"/>
      <c r="P32" s="58" t="s">
        <v>29</v>
      </c>
      <c r="Q32" s="59"/>
      <c r="R32" s="59"/>
      <c r="S32" s="59"/>
      <c r="T32" s="59"/>
      <c r="U32" s="59"/>
      <c r="V32" s="59"/>
      <c r="W32" s="60" t="s">
        <v>31</v>
      </c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2"/>
      <c r="AN32" s="51"/>
      <c r="AO32" s="51"/>
      <c r="AP32" s="51"/>
      <c r="AQ32" s="51"/>
      <c r="AR32" s="51"/>
      <c r="AS32" s="51"/>
      <c r="AT32" s="51"/>
      <c r="AU32" s="10"/>
      <c r="AV32" s="18"/>
      <c r="AW32" s="18"/>
      <c r="AX32" s="18"/>
      <c r="AY32" s="18"/>
      <c r="AZ32" s="18"/>
      <c r="BA32" s="18"/>
      <c r="BB32" s="18"/>
      <c r="BC32" s="18"/>
      <c r="BD32" s="18"/>
      <c r="BE32" s="11"/>
      <c r="BF32" s="174"/>
      <c r="BG32" s="175"/>
      <c r="BH32" s="175"/>
      <c r="BI32" s="175"/>
      <c r="BJ32" s="175"/>
      <c r="BK32" s="176"/>
    </row>
    <row r="33" spans="1:63" s="46" customFormat="1" ht="15" customHeight="1" x14ac:dyDescent="0.2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1"/>
      <c r="M33" s="51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10"/>
      <c r="AV33" s="18"/>
      <c r="AW33" s="18"/>
      <c r="AX33" s="18"/>
      <c r="AY33" s="18"/>
      <c r="AZ33" s="18"/>
      <c r="BA33" s="18"/>
      <c r="BB33" s="18"/>
      <c r="BC33" s="18"/>
      <c r="BD33" s="18"/>
      <c r="BE33" s="11"/>
      <c r="BF33" s="174"/>
      <c r="BG33" s="175"/>
      <c r="BH33" s="175"/>
      <c r="BI33" s="175"/>
      <c r="BJ33" s="175"/>
      <c r="BK33" s="176"/>
    </row>
    <row r="34" spans="1:63" s="46" customFormat="1" ht="15" customHeight="1" x14ac:dyDescent="0.25">
      <c r="A34" s="1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1"/>
      <c r="M34" s="51"/>
      <c r="N34" s="54"/>
      <c r="O34" s="51" t="s">
        <v>19</v>
      </c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10"/>
      <c r="AV34" s="18"/>
      <c r="AW34" s="18"/>
      <c r="AX34" s="18"/>
      <c r="AY34" s="18"/>
      <c r="AZ34" s="18"/>
      <c r="BA34" s="18"/>
      <c r="BB34" s="18"/>
      <c r="BC34" s="18"/>
      <c r="BD34" s="18"/>
      <c r="BE34" s="11"/>
      <c r="BF34" s="174"/>
      <c r="BG34" s="175"/>
      <c r="BH34" s="175"/>
      <c r="BI34" s="175"/>
      <c r="BJ34" s="175"/>
      <c r="BK34" s="176"/>
    </row>
    <row r="35" spans="1:63" s="46" customFormat="1" ht="15" customHeight="1" x14ac:dyDescent="0.2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1"/>
      <c r="M35" s="51"/>
      <c r="N35" s="54"/>
      <c r="O35" s="54"/>
      <c r="P35" s="54" t="s">
        <v>89</v>
      </c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10"/>
      <c r="AV35" s="18"/>
      <c r="AW35" s="18"/>
      <c r="AX35" s="18"/>
      <c r="AY35" s="18"/>
      <c r="AZ35" s="18"/>
      <c r="BA35" s="18"/>
      <c r="BB35" s="18"/>
      <c r="BC35" s="18"/>
      <c r="BD35" s="18"/>
      <c r="BE35" s="11"/>
      <c r="BF35" s="174"/>
      <c r="BG35" s="175"/>
      <c r="BH35" s="175"/>
      <c r="BI35" s="175"/>
      <c r="BJ35" s="175"/>
      <c r="BK35" s="176"/>
    </row>
    <row r="36" spans="1:63" s="46" customFormat="1" ht="15" customHeight="1" x14ac:dyDescent="0.25">
      <c r="A36" s="1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1"/>
      <c r="M36" s="51"/>
      <c r="N36" s="54"/>
      <c r="O36" s="54"/>
      <c r="P36" s="54"/>
      <c r="Q36" s="26" t="s">
        <v>32</v>
      </c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8"/>
      <c r="AN36" s="51"/>
      <c r="AO36" s="51"/>
      <c r="AP36" s="51"/>
      <c r="AQ36" s="51"/>
      <c r="AR36" s="51"/>
      <c r="AS36" s="51"/>
      <c r="AT36" s="51"/>
      <c r="AU36" s="10"/>
      <c r="AV36" s="18"/>
      <c r="AW36" s="18"/>
      <c r="AX36" s="18"/>
      <c r="AY36" s="18"/>
      <c r="AZ36" s="18"/>
      <c r="BA36" s="18"/>
      <c r="BB36" s="18"/>
      <c r="BC36" s="18"/>
      <c r="BD36" s="18"/>
      <c r="BE36" s="11"/>
      <c r="BF36" s="174"/>
      <c r="BG36" s="175"/>
      <c r="BH36" s="175"/>
      <c r="BI36" s="175"/>
      <c r="BJ36" s="175"/>
      <c r="BK36" s="176"/>
    </row>
    <row r="37" spans="1:63" s="46" customFormat="1" ht="1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1"/>
      <c r="M37" s="51"/>
      <c r="N37" s="54"/>
      <c r="O37" s="54"/>
      <c r="P37" s="54"/>
      <c r="Q37" s="63" t="s">
        <v>33</v>
      </c>
      <c r="R37" s="52"/>
      <c r="S37" s="52"/>
      <c r="T37" s="52"/>
      <c r="U37" s="52"/>
      <c r="V37" s="64"/>
      <c r="W37" s="52"/>
      <c r="X37" s="52"/>
      <c r="Y37" s="52"/>
      <c r="Z37" s="52"/>
      <c r="AA37" s="52"/>
      <c r="AB37" s="63" t="s">
        <v>34</v>
      </c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65"/>
      <c r="AN37" s="51"/>
      <c r="AO37" s="51"/>
      <c r="AP37" s="51"/>
      <c r="AQ37" s="51"/>
      <c r="AR37" s="51"/>
      <c r="AS37" s="51"/>
      <c r="AT37" s="51"/>
      <c r="AU37" s="10"/>
      <c r="AV37" s="18"/>
      <c r="AW37" s="18"/>
      <c r="AX37" s="18"/>
      <c r="AY37" s="18"/>
      <c r="AZ37" s="18"/>
      <c r="BA37" s="18"/>
      <c r="BB37" s="18"/>
      <c r="BC37" s="18"/>
      <c r="BD37" s="18"/>
      <c r="BE37" s="11"/>
      <c r="BF37" s="174"/>
      <c r="BG37" s="175"/>
      <c r="BH37" s="175"/>
      <c r="BI37" s="175"/>
      <c r="BJ37" s="175"/>
      <c r="BK37" s="176"/>
    </row>
    <row r="38" spans="1:63" s="46" customFormat="1" ht="1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1"/>
      <c r="M38" s="51"/>
      <c r="N38" s="54"/>
      <c r="O38" s="54"/>
      <c r="P38" s="54"/>
      <c r="Q38" s="63" t="s">
        <v>35</v>
      </c>
      <c r="R38" s="52"/>
      <c r="S38" s="52"/>
      <c r="T38" s="52"/>
      <c r="U38" s="52"/>
      <c r="V38" s="66"/>
      <c r="W38" s="52"/>
      <c r="X38" s="52"/>
      <c r="Y38" s="52"/>
      <c r="Z38" s="52"/>
      <c r="AA38" s="52"/>
      <c r="AB38" s="67" t="s">
        <v>36</v>
      </c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65"/>
      <c r="AN38" s="51"/>
      <c r="AO38" s="51"/>
      <c r="AP38" s="51"/>
      <c r="AQ38" s="51"/>
      <c r="AR38" s="51"/>
      <c r="AS38" s="51"/>
      <c r="AT38" s="51"/>
      <c r="AU38" s="10"/>
      <c r="AV38" s="18"/>
      <c r="AW38" s="18"/>
      <c r="AX38" s="18"/>
      <c r="AY38" s="18"/>
      <c r="AZ38" s="18"/>
      <c r="BA38" s="18"/>
      <c r="BB38" s="18"/>
      <c r="BC38" s="18"/>
      <c r="BD38" s="18"/>
      <c r="BE38" s="11"/>
      <c r="BF38" s="174"/>
      <c r="BG38" s="175"/>
      <c r="BH38" s="175"/>
      <c r="BI38" s="175"/>
      <c r="BJ38" s="175"/>
      <c r="BK38" s="176"/>
    </row>
    <row r="39" spans="1:63" s="46" customFormat="1" ht="1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51"/>
      <c r="N39" s="54"/>
      <c r="O39" s="54"/>
      <c r="P39" s="54"/>
      <c r="Q39" s="68" t="s">
        <v>37</v>
      </c>
      <c r="R39" s="48"/>
      <c r="S39" s="48"/>
      <c r="T39" s="48"/>
      <c r="U39" s="48"/>
      <c r="V39" s="69"/>
      <c r="W39" s="48"/>
      <c r="X39" s="48"/>
      <c r="Y39" s="48"/>
      <c r="Z39" s="48"/>
      <c r="AA39" s="48"/>
      <c r="AB39" s="71" t="s">
        <v>146</v>
      </c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70"/>
      <c r="AN39" s="51"/>
      <c r="AO39" s="51"/>
      <c r="AP39" s="51"/>
      <c r="AQ39" s="51"/>
      <c r="AR39" s="51"/>
      <c r="AS39" s="51"/>
      <c r="AT39" s="51"/>
      <c r="AU39" s="10"/>
      <c r="AV39" s="18"/>
      <c r="AW39" s="18"/>
      <c r="AX39" s="18"/>
      <c r="AY39" s="18"/>
      <c r="AZ39" s="18"/>
      <c r="BA39" s="18"/>
      <c r="BB39" s="18"/>
      <c r="BC39" s="18"/>
      <c r="BD39" s="18"/>
      <c r="BE39" s="11"/>
      <c r="BF39" s="174"/>
      <c r="BG39" s="175"/>
      <c r="BH39" s="175"/>
      <c r="BI39" s="175"/>
      <c r="BJ39" s="175"/>
      <c r="BK39" s="176"/>
    </row>
    <row r="40" spans="1:63" s="46" customFormat="1" ht="15" customHeight="1" x14ac:dyDescent="0.25">
      <c r="A40" s="1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1"/>
      <c r="M40" s="51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10"/>
      <c r="AV40" s="18"/>
      <c r="AW40" s="18"/>
      <c r="AX40" s="18"/>
      <c r="AY40" s="18"/>
      <c r="AZ40" s="18"/>
      <c r="BA40" s="18"/>
      <c r="BB40" s="18"/>
      <c r="BC40" s="18"/>
      <c r="BD40" s="18"/>
      <c r="BE40" s="11"/>
      <c r="BF40" s="174"/>
      <c r="BG40" s="175"/>
      <c r="BH40" s="175"/>
      <c r="BI40" s="175"/>
      <c r="BJ40" s="175"/>
      <c r="BK40" s="176"/>
    </row>
    <row r="41" spans="1:63" s="46" customFormat="1" ht="15" customHeight="1" x14ac:dyDescent="0.25">
      <c r="A41" s="10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1"/>
      <c r="M41" s="51"/>
      <c r="N41" s="54"/>
      <c r="O41" s="54"/>
      <c r="P41" s="51" t="s">
        <v>38</v>
      </c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10"/>
      <c r="AV41" s="18"/>
      <c r="AW41" s="18"/>
      <c r="AX41" s="18"/>
      <c r="AY41" s="18"/>
      <c r="AZ41" s="18"/>
      <c r="BA41" s="18"/>
      <c r="BB41" s="18"/>
      <c r="BC41" s="18"/>
      <c r="BD41" s="18"/>
      <c r="BE41" s="11"/>
      <c r="BF41" s="174"/>
      <c r="BG41" s="175"/>
      <c r="BH41" s="175"/>
      <c r="BI41" s="175"/>
      <c r="BJ41" s="175"/>
      <c r="BK41" s="176"/>
    </row>
    <row r="42" spans="1:63" s="46" customFormat="1" ht="15" customHeight="1" x14ac:dyDescent="0.25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1"/>
      <c r="M42" s="51"/>
      <c r="N42" s="54"/>
      <c r="O42" s="54"/>
      <c r="P42" s="54"/>
      <c r="Q42" s="54" t="s">
        <v>125</v>
      </c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10"/>
      <c r="AV42" s="18"/>
      <c r="AW42" s="18"/>
      <c r="AX42" s="18"/>
      <c r="AY42" s="18"/>
      <c r="AZ42" s="18"/>
      <c r="BA42" s="18"/>
      <c r="BB42" s="18"/>
      <c r="BC42" s="18"/>
      <c r="BD42" s="18"/>
      <c r="BE42" s="11"/>
      <c r="BF42" s="174"/>
      <c r="BG42" s="175"/>
      <c r="BH42" s="175"/>
      <c r="BI42" s="175"/>
      <c r="BJ42" s="175"/>
      <c r="BK42" s="176"/>
    </row>
    <row r="43" spans="1:63" s="46" customFormat="1" ht="15" customHeight="1" x14ac:dyDescent="0.25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1"/>
      <c r="M43" s="51"/>
      <c r="N43" s="54"/>
      <c r="O43" s="54"/>
      <c r="P43" s="54"/>
      <c r="Q43" s="54" t="s">
        <v>51</v>
      </c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10"/>
      <c r="AV43" s="18"/>
      <c r="AW43" s="18"/>
      <c r="AX43" s="18"/>
      <c r="AY43" s="18"/>
      <c r="AZ43" s="18"/>
      <c r="BA43" s="18"/>
      <c r="BB43" s="18"/>
      <c r="BC43" s="18"/>
      <c r="BD43" s="18"/>
      <c r="BE43" s="11"/>
      <c r="BF43" s="174"/>
      <c r="BG43" s="175"/>
      <c r="BH43" s="175"/>
      <c r="BI43" s="175"/>
      <c r="BJ43" s="175"/>
      <c r="BK43" s="176"/>
    </row>
    <row r="44" spans="1:63" s="46" customFormat="1" ht="15" customHeight="1" x14ac:dyDescent="0.25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1"/>
      <c r="M44" s="51"/>
      <c r="N44" s="54"/>
      <c r="O44" s="54"/>
      <c r="P44" s="54"/>
      <c r="Q44" s="54" t="s">
        <v>126</v>
      </c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10"/>
      <c r="AV44" s="18"/>
      <c r="AW44" s="18"/>
      <c r="AX44" s="18"/>
      <c r="AY44" s="18"/>
      <c r="AZ44" s="18"/>
      <c r="BA44" s="18"/>
      <c r="BB44" s="18"/>
      <c r="BC44" s="18"/>
      <c r="BD44" s="18"/>
      <c r="BE44" s="11"/>
      <c r="BF44" s="174"/>
      <c r="BG44" s="175"/>
      <c r="BH44" s="175"/>
      <c r="BI44" s="175"/>
      <c r="BJ44" s="175"/>
      <c r="BK44" s="176"/>
    </row>
    <row r="45" spans="1:63" s="46" customFormat="1" ht="15" customHeight="1" x14ac:dyDescent="0.25">
      <c r="A45" s="10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1"/>
      <c r="M45" s="51"/>
      <c r="N45" s="21" t="s">
        <v>127</v>
      </c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10"/>
      <c r="AV45" s="18"/>
      <c r="AW45" s="18"/>
      <c r="AX45" s="18"/>
      <c r="AY45" s="18"/>
      <c r="AZ45" s="18"/>
      <c r="BA45" s="18"/>
      <c r="BB45" s="18"/>
      <c r="BC45" s="18"/>
      <c r="BD45" s="18"/>
      <c r="BE45" s="11"/>
      <c r="BF45" s="174"/>
      <c r="BG45" s="175"/>
      <c r="BH45" s="175"/>
      <c r="BI45" s="175"/>
      <c r="BJ45" s="175"/>
      <c r="BK45" s="176"/>
    </row>
    <row r="46" spans="1:63" s="46" customFormat="1" ht="15" customHeight="1" x14ac:dyDescent="0.25">
      <c r="A46" s="10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1"/>
      <c r="M46" s="51"/>
      <c r="O46" s="54" t="s">
        <v>24</v>
      </c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10"/>
      <c r="AV46" s="18"/>
      <c r="AW46" s="18"/>
      <c r="AX46" s="18"/>
      <c r="AY46" s="18"/>
      <c r="AZ46" s="18"/>
      <c r="BA46" s="18"/>
      <c r="BB46" s="18"/>
      <c r="BC46" s="18"/>
      <c r="BD46" s="18"/>
      <c r="BE46" s="11"/>
      <c r="BF46" s="174"/>
      <c r="BG46" s="175"/>
      <c r="BH46" s="175"/>
      <c r="BI46" s="175"/>
      <c r="BJ46" s="175"/>
      <c r="BK46" s="176"/>
    </row>
    <row r="47" spans="1:63" s="46" customFormat="1" ht="15" customHeight="1" x14ac:dyDescent="0.25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4"/>
      <c r="M47" s="55"/>
      <c r="N47" s="56"/>
      <c r="O47" s="56"/>
      <c r="P47" s="56"/>
      <c r="Q47" s="56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57"/>
      <c r="AQ47" s="57"/>
      <c r="AR47" s="57"/>
      <c r="AS47" s="57"/>
      <c r="AT47" s="57"/>
      <c r="AU47" s="12"/>
      <c r="AV47" s="13"/>
      <c r="AW47" s="13"/>
      <c r="AX47" s="13"/>
      <c r="AY47" s="13"/>
      <c r="AZ47" s="13"/>
      <c r="BA47" s="13"/>
      <c r="BB47" s="13"/>
      <c r="BC47" s="13"/>
      <c r="BD47" s="13"/>
      <c r="BE47" s="14"/>
      <c r="BF47" s="168"/>
      <c r="BG47" s="169"/>
      <c r="BH47" s="169"/>
      <c r="BI47" s="169"/>
      <c r="BJ47" s="169"/>
      <c r="BK47" s="170"/>
    </row>
    <row r="48" spans="1:63" ht="15" customHeight="1" x14ac:dyDescent="0.25">
      <c r="A48" s="20"/>
      <c r="BK48" s="5"/>
    </row>
    <row r="49" spans="1:63" ht="15" customHeight="1" x14ac:dyDescent="0.25">
      <c r="A49" s="20"/>
      <c r="BK49" s="5"/>
    </row>
    <row r="50" spans="1:63" ht="15" customHeight="1" x14ac:dyDescent="0.25">
      <c r="A50" s="20"/>
      <c r="BK50" s="5"/>
    </row>
    <row r="51" spans="1:63" s="46" customFormat="1" ht="15" customHeight="1" x14ac:dyDescent="0.25">
      <c r="A51" s="159" t="s">
        <v>3</v>
      </c>
      <c r="B51" s="160"/>
      <c r="C51" s="160"/>
      <c r="D51" s="160"/>
      <c r="E51" s="160"/>
      <c r="F51" s="161"/>
      <c r="G51" s="133" t="s">
        <v>90</v>
      </c>
      <c r="H51" s="133"/>
      <c r="I51" s="133"/>
      <c r="J51" s="133"/>
      <c r="K51" s="133"/>
      <c r="L51" s="133"/>
      <c r="M51" s="48" t="s">
        <v>39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49"/>
      <c r="BI51" s="49"/>
      <c r="BJ51" s="49"/>
      <c r="BK51" s="50"/>
    </row>
    <row r="52" spans="1:63" s="46" customFormat="1" ht="15" customHeight="1" x14ac:dyDescent="0.25">
      <c r="A52" s="162" t="s">
        <v>4</v>
      </c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4"/>
      <c r="M52" s="162" t="s">
        <v>5</v>
      </c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4"/>
      <c r="AU52" s="162" t="s">
        <v>6</v>
      </c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2" t="s">
        <v>7</v>
      </c>
      <c r="BG52" s="163"/>
      <c r="BH52" s="163"/>
      <c r="BI52" s="163"/>
      <c r="BJ52" s="163"/>
      <c r="BK52" s="164"/>
    </row>
    <row r="53" spans="1:63" s="46" customFormat="1" ht="15" customHeight="1" x14ac:dyDescent="0.25">
      <c r="A53" s="165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7"/>
      <c r="M53" s="165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7"/>
      <c r="AU53" s="165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5"/>
      <c r="BG53" s="166"/>
      <c r="BH53" s="166"/>
      <c r="BI53" s="166"/>
      <c r="BJ53" s="166"/>
      <c r="BK53" s="167"/>
    </row>
    <row r="54" spans="1:63" s="46" customFormat="1" ht="15" customHeight="1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9"/>
      <c r="M54" s="51"/>
      <c r="N54" s="51"/>
      <c r="O54" s="51"/>
      <c r="P54" s="51"/>
      <c r="Q54" s="51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7"/>
      <c r="AV54" s="8"/>
      <c r="AW54" s="8"/>
      <c r="AX54" s="8"/>
      <c r="AY54" s="8"/>
      <c r="AZ54" s="8"/>
      <c r="BA54" s="8"/>
      <c r="BB54" s="8"/>
      <c r="BC54" s="8"/>
      <c r="BD54" s="8"/>
      <c r="BE54" s="9"/>
      <c r="BF54" s="171" t="s">
        <v>153</v>
      </c>
      <c r="BG54" s="172"/>
      <c r="BH54" s="172"/>
      <c r="BI54" s="172"/>
      <c r="BJ54" s="172"/>
      <c r="BK54" s="173"/>
    </row>
    <row r="55" spans="1:63" s="46" customFormat="1" ht="15" customHeight="1" x14ac:dyDescent="0.25">
      <c r="A55" s="10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1"/>
      <c r="M55" s="51"/>
      <c r="N55" s="21" t="s">
        <v>128</v>
      </c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10"/>
      <c r="AV55" s="18"/>
      <c r="AW55" s="18"/>
      <c r="AX55" s="18"/>
      <c r="AY55" s="18"/>
      <c r="AZ55" s="18"/>
      <c r="BA55" s="18"/>
      <c r="BB55" s="18"/>
      <c r="BC55" s="18"/>
      <c r="BD55" s="18"/>
      <c r="BE55" s="11"/>
      <c r="BF55" s="174"/>
      <c r="BG55" s="175"/>
      <c r="BH55" s="175"/>
      <c r="BI55" s="175"/>
      <c r="BJ55" s="175"/>
      <c r="BK55" s="176"/>
    </row>
    <row r="56" spans="1:63" s="46" customFormat="1" ht="15" customHeight="1" x14ac:dyDescent="0.25">
      <c r="A56" s="10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1"/>
      <c r="M56" s="53"/>
      <c r="N56" s="51"/>
      <c r="O56" s="54" t="s">
        <v>14</v>
      </c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10"/>
      <c r="AV56" s="18"/>
      <c r="AW56" s="18"/>
      <c r="AX56" s="18"/>
      <c r="AY56" s="18"/>
      <c r="AZ56" s="18"/>
      <c r="BA56" s="18"/>
      <c r="BB56" s="18"/>
      <c r="BC56" s="18"/>
      <c r="BD56" s="18"/>
      <c r="BE56" s="11"/>
      <c r="BF56" s="174"/>
      <c r="BG56" s="175"/>
      <c r="BH56" s="175"/>
      <c r="BI56" s="175"/>
      <c r="BJ56" s="175"/>
      <c r="BK56" s="176"/>
    </row>
    <row r="57" spans="1:63" s="46" customFormat="1" ht="15" customHeight="1" x14ac:dyDescent="0.25">
      <c r="A57" s="10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1"/>
      <c r="M57" s="51"/>
      <c r="O57" s="54"/>
      <c r="P57" s="54" t="s">
        <v>129</v>
      </c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10"/>
      <c r="AV57" s="18"/>
      <c r="AW57" s="18"/>
      <c r="AX57" s="18"/>
      <c r="AY57" s="18"/>
      <c r="AZ57" s="18"/>
      <c r="BA57" s="18"/>
      <c r="BB57" s="18"/>
      <c r="BC57" s="18"/>
      <c r="BD57" s="18"/>
      <c r="BE57" s="11"/>
      <c r="BF57" s="174"/>
      <c r="BG57" s="175"/>
      <c r="BH57" s="175"/>
      <c r="BI57" s="175"/>
      <c r="BJ57" s="175"/>
      <c r="BK57" s="176"/>
    </row>
    <row r="58" spans="1:63" s="46" customFormat="1" ht="15" customHeight="1" x14ac:dyDescent="0.25">
      <c r="A58" s="10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1"/>
      <c r="M58" s="51"/>
      <c r="N58" s="51"/>
      <c r="O58" s="54"/>
      <c r="P58" s="54"/>
      <c r="Q58" s="54" t="s">
        <v>40</v>
      </c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10"/>
      <c r="AV58" s="18"/>
      <c r="AW58" s="18"/>
      <c r="AX58" s="18"/>
      <c r="AY58" s="18"/>
      <c r="AZ58" s="18"/>
      <c r="BA58" s="18"/>
      <c r="BB58" s="18"/>
      <c r="BC58" s="18"/>
      <c r="BD58" s="18"/>
      <c r="BE58" s="11"/>
      <c r="BF58" s="174"/>
      <c r="BG58" s="175"/>
      <c r="BH58" s="175"/>
      <c r="BI58" s="175"/>
      <c r="BJ58" s="175"/>
      <c r="BK58" s="176"/>
    </row>
    <row r="59" spans="1:63" s="46" customFormat="1" ht="15" customHeight="1" x14ac:dyDescent="0.25">
      <c r="A59" s="10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1"/>
      <c r="M59" s="51"/>
      <c r="N59" s="51"/>
      <c r="O59" s="54"/>
      <c r="P59" s="54"/>
      <c r="Q59" s="54" t="s">
        <v>42</v>
      </c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10"/>
      <c r="AV59" s="18"/>
      <c r="AW59" s="18"/>
      <c r="AX59" s="18"/>
      <c r="AY59" s="18"/>
      <c r="AZ59" s="18"/>
      <c r="BA59" s="18"/>
      <c r="BB59" s="18"/>
      <c r="BC59" s="18"/>
      <c r="BD59" s="18"/>
      <c r="BE59" s="11"/>
      <c r="BF59" s="174"/>
      <c r="BG59" s="175"/>
      <c r="BH59" s="175"/>
      <c r="BI59" s="175"/>
      <c r="BJ59" s="175"/>
      <c r="BK59" s="176"/>
    </row>
    <row r="60" spans="1:63" s="46" customFormat="1" ht="15" customHeight="1" x14ac:dyDescent="0.25">
      <c r="A60" s="10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1"/>
      <c r="M60" s="51"/>
      <c r="N60" s="51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10"/>
      <c r="AV60" s="18"/>
      <c r="AW60" s="18"/>
      <c r="AX60" s="18"/>
      <c r="AY60" s="18"/>
      <c r="AZ60" s="18"/>
      <c r="BA60" s="18"/>
      <c r="BB60" s="18"/>
      <c r="BC60" s="18"/>
      <c r="BD60" s="18"/>
      <c r="BE60" s="11"/>
      <c r="BF60" s="174"/>
      <c r="BG60" s="175"/>
      <c r="BH60" s="175"/>
      <c r="BI60" s="175"/>
      <c r="BJ60" s="175"/>
      <c r="BK60" s="176"/>
    </row>
    <row r="61" spans="1:63" s="46" customFormat="1" ht="15" customHeight="1" x14ac:dyDescent="0.25">
      <c r="A61" s="10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1"/>
      <c r="M61" s="51"/>
      <c r="N61" s="51"/>
      <c r="O61" s="54" t="s">
        <v>149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10"/>
      <c r="AV61" s="18"/>
      <c r="AW61" s="18"/>
      <c r="AX61" s="18"/>
      <c r="AY61" s="18"/>
      <c r="AZ61" s="18"/>
      <c r="BA61" s="18"/>
      <c r="BB61" s="18"/>
      <c r="BC61" s="18"/>
      <c r="BD61" s="18"/>
      <c r="BE61" s="11"/>
      <c r="BF61" s="174"/>
      <c r="BG61" s="175"/>
      <c r="BH61" s="175"/>
      <c r="BI61" s="175"/>
      <c r="BJ61" s="175"/>
      <c r="BK61" s="176"/>
    </row>
    <row r="62" spans="1:63" s="46" customFormat="1" ht="15" customHeight="1" x14ac:dyDescent="0.25">
      <c r="A62" s="10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1"/>
      <c r="M62" s="51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10"/>
      <c r="AV62" s="18"/>
      <c r="AW62" s="18"/>
      <c r="AX62" s="18"/>
      <c r="AY62" s="18"/>
      <c r="AZ62" s="18"/>
      <c r="BA62" s="18"/>
      <c r="BB62" s="18"/>
      <c r="BC62" s="18"/>
      <c r="BD62" s="18"/>
      <c r="BE62" s="11"/>
      <c r="BF62" s="174"/>
      <c r="BG62" s="175"/>
      <c r="BH62" s="175"/>
      <c r="BI62" s="175"/>
      <c r="BJ62" s="175"/>
      <c r="BK62" s="176"/>
    </row>
    <row r="63" spans="1:63" s="46" customFormat="1" ht="15" customHeight="1" x14ac:dyDescent="0.25">
      <c r="A63" s="10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1"/>
      <c r="M63" s="51"/>
      <c r="N63" s="25" t="s">
        <v>130</v>
      </c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10"/>
      <c r="AV63" s="18"/>
      <c r="AW63" s="18"/>
      <c r="AX63" s="18"/>
      <c r="AY63" s="18"/>
      <c r="AZ63" s="18"/>
      <c r="BA63" s="18"/>
      <c r="BB63" s="18"/>
      <c r="BC63" s="18"/>
      <c r="BD63" s="18"/>
      <c r="BE63" s="11"/>
      <c r="BF63" s="174"/>
      <c r="BG63" s="175"/>
      <c r="BH63" s="175"/>
      <c r="BI63" s="175"/>
      <c r="BJ63" s="175"/>
      <c r="BK63" s="176"/>
    </row>
    <row r="64" spans="1:63" s="46" customFormat="1" ht="15" customHeight="1" x14ac:dyDescent="0.25">
      <c r="A64" s="10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1"/>
      <c r="M64" s="51"/>
      <c r="N64" s="51"/>
      <c r="O64" s="54" t="s">
        <v>43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10"/>
      <c r="AV64" s="18"/>
      <c r="AW64" s="18"/>
      <c r="AX64" s="18"/>
      <c r="AY64" s="18"/>
      <c r="AZ64" s="18"/>
      <c r="BA64" s="18"/>
      <c r="BB64" s="18"/>
      <c r="BC64" s="18"/>
      <c r="BD64" s="18"/>
      <c r="BE64" s="11"/>
      <c r="BF64" s="174"/>
      <c r="BG64" s="175"/>
      <c r="BH64" s="175"/>
      <c r="BI64" s="175"/>
      <c r="BJ64" s="175"/>
      <c r="BK64" s="176"/>
    </row>
    <row r="65" spans="1:63" s="46" customFormat="1" ht="15" customHeight="1" x14ac:dyDescent="0.25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1"/>
      <c r="M65" s="51"/>
      <c r="N65" s="51"/>
      <c r="O65" s="54"/>
      <c r="P65" s="26" t="s">
        <v>11</v>
      </c>
      <c r="Q65" s="27"/>
      <c r="R65" s="27"/>
      <c r="S65" s="27"/>
      <c r="T65" s="27"/>
      <c r="U65" s="27"/>
      <c r="V65" s="27"/>
      <c r="W65" s="26" t="s">
        <v>12</v>
      </c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8"/>
      <c r="AN65" s="51"/>
      <c r="AO65" s="51"/>
      <c r="AP65" s="51"/>
      <c r="AQ65" s="51"/>
      <c r="AR65" s="51"/>
      <c r="AS65" s="51"/>
      <c r="AT65" s="51"/>
      <c r="AU65" s="10"/>
      <c r="AV65" s="18"/>
      <c r="AW65" s="18"/>
      <c r="AX65" s="18"/>
      <c r="AY65" s="18"/>
      <c r="AZ65" s="18"/>
      <c r="BA65" s="18"/>
      <c r="BB65" s="18"/>
      <c r="BC65" s="18"/>
      <c r="BD65" s="18"/>
      <c r="BE65" s="11"/>
      <c r="BF65" s="174"/>
      <c r="BG65" s="175"/>
      <c r="BH65" s="175"/>
      <c r="BI65" s="175"/>
      <c r="BJ65" s="175"/>
      <c r="BK65" s="176"/>
    </row>
    <row r="66" spans="1:63" s="46" customFormat="1" ht="15" customHeight="1" x14ac:dyDescent="0.25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1"/>
      <c r="M66" s="51"/>
      <c r="N66" s="51"/>
      <c r="O66" s="54"/>
      <c r="P66" s="58" t="s">
        <v>16</v>
      </c>
      <c r="Q66" s="59"/>
      <c r="R66" s="59"/>
      <c r="S66" s="59"/>
      <c r="T66" s="59"/>
      <c r="U66" s="59"/>
      <c r="V66" s="59"/>
      <c r="W66" s="177" t="s">
        <v>17</v>
      </c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9"/>
      <c r="AN66" s="51"/>
      <c r="AO66" s="51"/>
      <c r="AP66" s="51"/>
      <c r="AQ66" s="51"/>
      <c r="AR66" s="51"/>
      <c r="AS66" s="51"/>
      <c r="AT66" s="51"/>
      <c r="AU66" s="10"/>
      <c r="AV66" s="18"/>
      <c r="AW66" s="18"/>
      <c r="AX66" s="18"/>
      <c r="AY66" s="18"/>
      <c r="AZ66" s="18"/>
      <c r="BA66" s="18"/>
      <c r="BB66" s="18"/>
      <c r="BC66" s="18"/>
      <c r="BD66" s="18"/>
      <c r="BE66" s="11"/>
      <c r="BF66" s="174"/>
      <c r="BG66" s="175"/>
      <c r="BH66" s="175"/>
      <c r="BI66" s="175"/>
      <c r="BJ66" s="175"/>
      <c r="BK66" s="176"/>
    </row>
    <row r="67" spans="1:63" s="46" customFormat="1" ht="15" customHeight="1" x14ac:dyDescent="0.25">
      <c r="A67" s="10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1"/>
      <c r="M67" s="51"/>
      <c r="N67" s="51"/>
      <c r="O67" s="54"/>
      <c r="P67" s="58" t="s">
        <v>44</v>
      </c>
      <c r="Q67" s="59"/>
      <c r="R67" s="59"/>
      <c r="S67" s="59"/>
      <c r="T67" s="59"/>
      <c r="U67" s="59"/>
      <c r="V67" s="59"/>
      <c r="W67" s="177" t="s">
        <v>45</v>
      </c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9"/>
      <c r="AN67" s="51"/>
      <c r="AO67" s="51"/>
      <c r="AP67" s="51"/>
      <c r="AQ67" s="51"/>
      <c r="AR67" s="51"/>
      <c r="AS67" s="51"/>
      <c r="AT67" s="51"/>
      <c r="AU67" s="10"/>
      <c r="AV67" s="18"/>
      <c r="AW67" s="18"/>
      <c r="AX67" s="18"/>
      <c r="AY67" s="18"/>
      <c r="AZ67" s="18"/>
      <c r="BA67" s="18"/>
      <c r="BB67" s="18"/>
      <c r="BC67" s="18"/>
      <c r="BD67" s="18"/>
      <c r="BE67" s="11"/>
      <c r="BF67" s="174"/>
      <c r="BG67" s="175"/>
      <c r="BH67" s="175"/>
      <c r="BI67" s="175"/>
      <c r="BJ67" s="175"/>
      <c r="BK67" s="176"/>
    </row>
    <row r="68" spans="1:63" s="46" customFormat="1" ht="15" customHeight="1" x14ac:dyDescent="0.25">
      <c r="A68" s="10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1"/>
      <c r="M68" s="51"/>
      <c r="N68" s="51"/>
      <c r="O68" s="54"/>
      <c r="P68" s="58" t="s">
        <v>46</v>
      </c>
      <c r="Q68" s="59"/>
      <c r="R68" s="59"/>
      <c r="S68" s="59"/>
      <c r="T68" s="59"/>
      <c r="U68" s="59"/>
      <c r="V68" s="59"/>
      <c r="W68" s="177" t="s">
        <v>47</v>
      </c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  <c r="AM68" s="179"/>
      <c r="AN68" s="51"/>
      <c r="AO68" s="51"/>
      <c r="AP68" s="51"/>
      <c r="AQ68" s="51"/>
      <c r="AR68" s="51"/>
      <c r="AS68" s="51"/>
      <c r="AT68" s="51"/>
      <c r="AU68" s="10"/>
      <c r="AV68" s="18"/>
      <c r="AW68" s="18"/>
      <c r="AX68" s="18"/>
      <c r="AY68" s="18"/>
      <c r="AZ68" s="18"/>
      <c r="BA68" s="18"/>
      <c r="BB68" s="18"/>
      <c r="BC68" s="18"/>
      <c r="BD68" s="18"/>
      <c r="BE68" s="11"/>
      <c r="BF68" s="174"/>
      <c r="BG68" s="175"/>
      <c r="BH68" s="175"/>
      <c r="BI68" s="175"/>
      <c r="BJ68" s="175"/>
      <c r="BK68" s="176"/>
    </row>
    <row r="69" spans="1:63" s="46" customFormat="1" ht="33.75" customHeight="1" x14ac:dyDescent="0.25">
      <c r="A69" s="10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1"/>
      <c r="M69" s="51"/>
      <c r="N69" s="51"/>
      <c r="O69" s="54"/>
      <c r="P69" s="58" t="s">
        <v>48</v>
      </c>
      <c r="Q69" s="59"/>
      <c r="R69" s="59"/>
      <c r="S69" s="59"/>
      <c r="T69" s="59"/>
      <c r="U69" s="59"/>
      <c r="V69" s="59"/>
      <c r="W69" s="177" t="s">
        <v>131</v>
      </c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9"/>
      <c r="AN69" s="51"/>
      <c r="AO69" s="51"/>
      <c r="AP69" s="51"/>
      <c r="AQ69" s="51"/>
      <c r="AR69" s="51"/>
      <c r="AS69" s="51"/>
      <c r="AT69" s="51"/>
      <c r="AU69" s="10"/>
      <c r="AV69" s="18"/>
      <c r="AW69" s="18"/>
      <c r="AX69" s="18"/>
      <c r="AY69" s="18"/>
      <c r="AZ69" s="18"/>
      <c r="BA69" s="18"/>
      <c r="BB69" s="18"/>
      <c r="BC69" s="18"/>
      <c r="BD69" s="18"/>
      <c r="BE69" s="11"/>
      <c r="BF69" s="174"/>
      <c r="BG69" s="175"/>
      <c r="BH69" s="175"/>
      <c r="BI69" s="175"/>
      <c r="BJ69" s="175"/>
      <c r="BK69" s="176"/>
    </row>
    <row r="70" spans="1:63" s="46" customFormat="1" ht="15" customHeight="1" x14ac:dyDescent="0.25">
      <c r="A70" s="10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1"/>
      <c r="M70" s="51"/>
      <c r="N70" s="51"/>
      <c r="O70" s="54"/>
      <c r="P70" s="58" t="s">
        <v>49</v>
      </c>
      <c r="Q70" s="59"/>
      <c r="R70" s="59"/>
      <c r="S70" s="59"/>
      <c r="T70" s="59"/>
      <c r="U70" s="59"/>
      <c r="V70" s="59"/>
      <c r="W70" s="177" t="s">
        <v>50</v>
      </c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8"/>
      <c r="AM70" s="179"/>
      <c r="AN70" s="51"/>
      <c r="AO70" s="51"/>
      <c r="AP70" s="51"/>
      <c r="AQ70" s="51"/>
      <c r="AR70" s="51"/>
      <c r="AS70" s="51"/>
      <c r="AT70" s="51"/>
      <c r="AU70" s="10"/>
      <c r="AV70" s="18"/>
      <c r="AW70" s="18"/>
      <c r="AX70" s="18"/>
      <c r="AY70" s="18"/>
      <c r="AZ70" s="18"/>
      <c r="BA70" s="18"/>
      <c r="BB70" s="18"/>
      <c r="BC70" s="18"/>
      <c r="BD70" s="18"/>
      <c r="BE70" s="11"/>
      <c r="BF70" s="174"/>
      <c r="BG70" s="175"/>
      <c r="BH70" s="175"/>
      <c r="BI70" s="175"/>
      <c r="BJ70" s="175"/>
      <c r="BK70" s="176"/>
    </row>
    <row r="71" spans="1:63" s="46" customFormat="1" ht="15" customHeight="1" x14ac:dyDescent="0.25">
      <c r="A71" s="10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1"/>
      <c r="M71" s="51"/>
      <c r="N71" s="51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10"/>
      <c r="AV71" s="18"/>
      <c r="AW71" s="18"/>
      <c r="AX71" s="18"/>
      <c r="AY71" s="18"/>
      <c r="AZ71" s="18"/>
      <c r="BA71" s="18"/>
      <c r="BB71" s="18"/>
      <c r="BC71" s="18"/>
      <c r="BD71" s="18"/>
      <c r="BE71" s="11"/>
      <c r="BF71" s="174"/>
      <c r="BG71" s="175"/>
      <c r="BH71" s="175"/>
      <c r="BI71" s="175"/>
      <c r="BJ71" s="175"/>
      <c r="BK71" s="176"/>
    </row>
    <row r="72" spans="1:63" s="46" customFormat="1" ht="15" customHeight="1" x14ac:dyDescent="0.25">
      <c r="A72" s="10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1"/>
      <c r="M72" s="51"/>
      <c r="N72" s="51"/>
      <c r="O72" s="54"/>
      <c r="P72" s="54" t="s">
        <v>154</v>
      </c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10"/>
      <c r="AV72" s="18"/>
      <c r="AW72" s="18"/>
      <c r="AX72" s="18"/>
      <c r="AY72" s="18"/>
      <c r="AZ72" s="18"/>
      <c r="BA72" s="18"/>
      <c r="BB72" s="18"/>
      <c r="BC72" s="18"/>
      <c r="BD72" s="18"/>
      <c r="BE72" s="11"/>
      <c r="BF72" s="174"/>
      <c r="BG72" s="175"/>
      <c r="BH72" s="175"/>
      <c r="BI72" s="175"/>
      <c r="BJ72" s="175"/>
      <c r="BK72" s="176"/>
    </row>
    <row r="73" spans="1:63" s="46" customFormat="1" ht="15" customHeight="1" x14ac:dyDescent="0.25">
      <c r="A73" s="10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1"/>
      <c r="M73" s="51"/>
      <c r="N73" s="51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10"/>
      <c r="AV73" s="18"/>
      <c r="AW73" s="18"/>
      <c r="AX73" s="18"/>
      <c r="AY73" s="18"/>
      <c r="AZ73" s="18"/>
      <c r="BA73" s="18"/>
      <c r="BB73" s="18"/>
      <c r="BC73" s="18"/>
      <c r="BD73" s="18"/>
      <c r="BE73" s="11"/>
      <c r="BF73" s="174"/>
      <c r="BG73" s="175"/>
      <c r="BH73" s="175"/>
      <c r="BI73" s="175"/>
      <c r="BJ73" s="175"/>
      <c r="BK73" s="176"/>
    </row>
    <row r="74" spans="1:63" s="46" customFormat="1" ht="15" customHeight="1" x14ac:dyDescent="0.25">
      <c r="A74" s="10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1"/>
      <c r="M74" s="51"/>
      <c r="N74" s="51"/>
      <c r="O74" s="54" t="s">
        <v>13</v>
      </c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10"/>
      <c r="AV74" s="18"/>
      <c r="AW74" s="18"/>
      <c r="AX74" s="18"/>
      <c r="AY74" s="18"/>
      <c r="AZ74" s="18"/>
      <c r="BA74" s="18"/>
      <c r="BB74" s="18"/>
      <c r="BC74" s="18"/>
      <c r="BD74" s="18"/>
      <c r="BE74" s="11"/>
      <c r="BF74" s="174"/>
      <c r="BG74" s="175"/>
      <c r="BH74" s="175"/>
      <c r="BI74" s="175"/>
      <c r="BJ74" s="175"/>
      <c r="BK74" s="176"/>
    </row>
    <row r="75" spans="1:63" s="46" customFormat="1" ht="15" customHeight="1" x14ac:dyDescent="0.25">
      <c r="A75" s="10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1"/>
      <c r="M75" s="51"/>
      <c r="N75" s="51"/>
      <c r="O75" s="54"/>
      <c r="P75" s="54" t="s">
        <v>155</v>
      </c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10"/>
      <c r="AV75" s="18"/>
      <c r="AW75" s="18"/>
      <c r="AX75" s="18"/>
      <c r="AY75" s="18"/>
      <c r="AZ75" s="18"/>
      <c r="BA75" s="18"/>
      <c r="BB75" s="18"/>
      <c r="BC75" s="18"/>
      <c r="BD75" s="18"/>
      <c r="BE75" s="11"/>
      <c r="BF75" s="174"/>
      <c r="BG75" s="175"/>
      <c r="BH75" s="175"/>
      <c r="BI75" s="175"/>
      <c r="BJ75" s="175"/>
      <c r="BK75" s="176"/>
    </row>
    <row r="76" spans="1:63" s="46" customFormat="1" ht="15" customHeight="1" x14ac:dyDescent="0.25">
      <c r="A76" s="10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1"/>
      <c r="M76" s="51"/>
      <c r="N76" s="51"/>
      <c r="O76" s="54"/>
      <c r="P76" s="54"/>
      <c r="Q76" s="54" t="s">
        <v>156</v>
      </c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1"/>
      <c r="AO76" s="51"/>
      <c r="AP76" s="51"/>
      <c r="AQ76" s="51"/>
      <c r="AR76" s="51"/>
      <c r="AS76" s="51"/>
      <c r="AT76" s="51"/>
      <c r="AU76" s="10"/>
      <c r="AV76" s="18"/>
      <c r="AW76" s="18"/>
      <c r="AX76" s="18"/>
      <c r="AY76" s="18"/>
      <c r="AZ76" s="18"/>
      <c r="BA76" s="18"/>
      <c r="BB76" s="18"/>
      <c r="BC76" s="18"/>
      <c r="BD76" s="18"/>
      <c r="BE76" s="11"/>
      <c r="BF76" s="174"/>
      <c r="BG76" s="175"/>
      <c r="BH76" s="175"/>
      <c r="BI76" s="175"/>
      <c r="BJ76" s="175"/>
      <c r="BK76" s="176"/>
    </row>
    <row r="77" spans="1:63" s="46" customFormat="1" ht="15" customHeight="1" x14ac:dyDescent="0.25">
      <c r="A77" s="10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1"/>
      <c r="M77" s="51"/>
      <c r="N77" s="51"/>
      <c r="O77" s="54"/>
      <c r="P77" s="54"/>
      <c r="Q77" s="54" t="s">
        <v>150</v>
      </c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1"/>
      <c r="AO77" s="51"/>
      <c r="AP77" s="51"/>
      <c r="AQ77" s="51"/>
      <c r="AR77" s="51"/>
      <c r="AS77" s="51"/>
      <c r="AT77" s="51"/>
      <c r="AU77" s="10"/>
      <c r="AV77" s="18"/>
      <c r="AW77" s="18"/>
      <c r="AX77" s="18"/>
      <c r="AY77" s="18"/>
      <c r="AZ77" s="18"/>
      <c r="BA77" s="18"/>
      <c r="BB77" s="18"/>
      <c r="BC77" s="18"/>
      <c r="BD77" s="18"/>
      <c r="BE77" s="11"/>
      <c r="BF77" s="174"/>
      <c r="BG77" s="175"/>
      <c r="BH77" s="175"/>
      <c r="BI77" s="175"/>
      <c r="BJ77" s="175"/>
      <c r="BK77" s="176"/>
    </row>
    <row r="78" spans="1:63" s="46" customFormat="1" ht="15" customHeight="1" x14ac:dyDescent="0.25">
      <c r="A78" s="10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1"/>
      <c r="M78" s="51"/>
      <c r="N78" s="51"/>
      <c r="O78" s="54"/>
      <c r="P78" s="54"/>
      <c r="Q78" s="54"/>
      <c r="R78" s="54" t="s">
        <v>51</v>
      </c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1"/>
      <c r="AO78" s="51"/>
      <c r="AP78" s="51"/>
      <c r="AQ78" s="51"/>
      <c r="AR78" s="51"/>
      <c r="AS78" s="51"/>
      <c r="AT78" s="51"/>
      <c r="AU78" s="10"/>
      <c r="AV78" s="18"/>
      <c r="AW78" s="18"/>
      <c r="AX78" s="18"/>
      <c r="AY78" s="18"/>
      <c r="AZ78" s="18"/>
      <c r="BA78" s="18"/>
      <c r="BB78" s="18"/>
      <c r="BC78" s="18"/>
      <c r="BD78" s="18"/>
      <c r="BE78" s="11"/>
      <c r="BF78" s="174"/>
      <c r="BG78" s="175"/>
      <c r="BH78" s="175"/>
      <c r="BI78" s="175"/>
      <c r="BJ78" s="175"/>
      <c r="BK78" s="176"/>
    </row>
    <row r="79" spans="1:63" s="46" customFormat="1" ht="15" customHeight="1" x14ac:dyDescent="0.25">
      <c r="A79" s="10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1"/>
      <c r="M79" s="51"/>
      <c r="N79" s="51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1"/>
      <c r="AO79" s="51"/>
      <c r="AP79" s="51"/>
      <c r="AQ79" s="51"/>
      <c r="AR79" s="51"/>
      <c r="AS79" s="51"/>
      <c r="AT79" s="51"/>
      <c r="AU79" s="10"/>
      <c r="AV79" s="18"/>
      <c r="AW79" s="18"/>
      <c r="AX79" s="18"/>
      <c r="AY79" s="18"/>
      <c r="AZ79" s="18"/>
      <c r="BA79" s="18"/>
      <c r="BB79" s="18"/>
      <c r="BC79" s="18"/>
      <c r="BD79" s="18"/>
      <c r="BE79" s="11"/>
      <c r="BF79" s="174"/>
      <c r="BG79" s="175"/>
      <c r="BH79" s="175"/>
      <c r="BI79" s="175"/>
      <c r="BJ79" s="175"/>
      <c r="BK79" s="176"/>
    </row>
    <row r="80" spans="1:63" s="46" customFormat="1" ht="15" customHeight="1" x14ac:dyDescent="0.25">
      <c r="A80" s="10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1"/>
      <c r="M80" s="51"/>
      <c r="N80" s="51"/>
      <c r="O80" s="54"/>
      <c r="P80" s="51" t="s">
        <v>157</v>
      </c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1"/>
      <c r="AO80" s="51"/>
      <c r="AP80" s="51"/>
      <c r="AQ80" s="51"/>
      <c r="AR80" s="51"/>
      <c r="AS80" s="51"/>
      <c r="AT80" s="51"/>
      <c r="AU80" s="10"/>
      <c r="AV80" s="18"/>
      <c r="AW80" s="18"/>
      <c r="AX80" s="18"/>
      <c r="AY80" s="18"/>
      <c r="AZ80" s="18"/>
      <c r="BA80" s="18"/>
      <c r="BB80" s="18"/>
      <c r="BC80" s="18"/>
      <c r="BD80" s="18"/>
      <c r="BE80" s="11"/>
      <c r="BF80" s="174"/>
      <c r="BG80" s="175"/>
      <c r="BH80" s="175"/>
      <c r="BI80" s="175"/>
      <c r="BJ80" s="175"/>
      <c r="BK80" s="176"/>
    </row>
    <row r="81" spans="1:63" s="46" customFormat="1" ht="15" customHeight="1" x14ac:dyDescent="0.25">
      <c r="A81" s="10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1"/>
      <c r="M81" s="51"/>
      <c r="N81" s="51"/>
      <c r="O81" s="54"/>
      <c r="P81" s="54"/>
      <c r="Q81" s="54" t="s">
        <v>91</v>
      </c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1"/>
      <c r="AO81" s="51"/>
      <c r="AP81" s="51"/>
      <c r="AQ81" s="51"/>
      <c r="AR81" s="51"/>
      <c r="AS81" s="51"/>
      <c r="AT81" s="51"/>
      <c r="AU81" s="10"/>
      <c r="AV81" s="18"/>
      <c r="AW81" s="18"/>
      <c r="AX81" s="18"/>
      <c r="AY81" s="18"/>
      <c r="AZ81" s="18"/>
      <c r="BA81" s="18"/>
      <c r="BB81" s="18"/>
      <c r="BC81" s="18"/>
      <c r="BD81" s="18"/>
      <c r="BE81" s="11"/>
      <c r="BF81" s="174"/>
      <c r="BG81" s="175"/>
      <c r="BH81" s="175"/>
      <c r="BI81" s="175"/>
      <c r="BJ81" s="175"/>
      <c r="BK81" s="176"/>
    </row>
    <row r="82" spans="1:63" s="46" customFormat="1" ht="15" customHeight="1" x14ac:dyDescent="0.25">
      <c r="A82" s="10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1"/>
      <c r="M82" s="51"/>
      <c r="N82" s="51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10"/>
      <c r="AV82" s="18"/>
      <c r="AW82" s="18"/>
      <c r="AX82" s="18"/>
      <c r="AY82" s="18"/>
      <c r="AZ82" s="18"/>
      <c r="BA82" s="18"/>
      <c r="BB82" s="18"/>
      <c r="BC82" s="18"/>
      <c r="BD82" s="18"/>
      <c r="BE82" s="11"/>
      <c r="BF82" s="174"/>
      <c r="BG82" s="175"/>
      <c r="BH82" s="175"/>
      <c r="BI82" s="175"/>
      <c r="BJ82" s="175"/>
      <c r="BK82" s="176"/>
    </row>
    <row r="83" spans="1:63" s="46" customFormat="1" ht="15" customHeight="1" x14ac:dyDescent="0.25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4"/>
      <c r="M83" s="55"/>
      <c r="N83" s="56"/>
      <c r="O83" s="56"/>
      <c r="P83" s="56"/>
      <c r="Q83" s="56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57"/>
      <c r="AQ83" s="57"/>
      <c r="AR83" s="57"/>
      <c r="AS83" s="57"/>
      <c r="AT83" s="57"/>
      <c r="AU83" s="12"/>
      <c r="AV83" s="13"/>
      <c r="AW83" s="13"/>
      <c r="AX83" s="13"/>
      <c r="AY83" s="13"/>
      <c r="AZ83" s="13"/>
      <c r="BA83" s="13"/>
      <c r="BB83" s="13"/>
      <c r="BC83" s="13"/>
      <c r="BD83" s="13"/>
      <c r="BE83" s="14"/>
      <c r="BF83" s="168"/>
      <c r="BG83" s="169"/>
      <c r="BH83" s="169"/>
      <c r="BI83" s="169"/>
      <c r="BJ83" s="169"/>
      <c r="BK83" s="170"/>
    </row>
    <row r="84" spans="1:63" ht="15" customHeight="1" x14ac:dyDescent="0.25">
      <c r="A84" s="20"/>
      <c r="BK84" s="5"/>
    </row>
    <row r="85" spans="1:63" ht="15" customHeight="1" x14ac:dyDescent="0.25">
      <c r="A85" s="20"/>
      <c r="BK85" s="5"/>
    </row>
    <row r="86" spans="1:63" ht="15" customHeight="1" x14ac:dyDescent="0.25">
      <c r="A86" s="20"/>
      <c r="BK86" s="5"/>
    </row>
    <row r="87" spans="1:63" s="46" customFormat="1" ht="15" customHeight="1" x14ac:dyDescent="0.25">
      <c r="A87" s="159" t="s">
        <v>3</v>
      </c>
      <c r="B87" s="160"/>
      <c r="C87" s="160"/>
      <c r="D87" s="160"/>
      <c r="E87" s="160"/>
      <c r="F87" s="161"/>
      <c r="G87" s="133" t="s">
        <v>52</v>
      </c>
      <c r="H87" s="133"/>
      <c r="I87" s="133"/>
      <c r="J87" s="133"/>
      <c r="K87" s="133"/>
      <c r="L87" s="133"/>
      <c r="M87" s="48" t="s">
        <v>53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49"/>
      <c r="BI87" s="49"/>
      <c r="BJ87" s="49"/>
      <c r="BK87" s="50"/>
    </row>
    <row r="88" spans="1:63" s="46" customFormat="1" ht="15" customHeight="1" x14ac:dyDescent="0.25">
      <c r="A88" s="162" t="s">
        <v>4</v>
      </c>
      <c r="B88" s="163"/>
      <c r="C88" s="163"/>
      <c r="D88" s="163"/>
      <c r="E88" s="163"/>
      <c r="F88" s="163"/>
      <c r="G88" s="163"/>
      <c r="H88" s="163"/>
      <c r="I88" s="163"/>
      <c r="J88" s="163"/>
      <c r="K88" s="163"/>
      <c r="L88" s="164"/>
      <c r="M88" s="162" t="s">
        <v>5</v>
      </c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4"/>
      <c r="AU88" s="162" t="s">
        <v>6</v>
      </c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2" t="s">
        <v>7</v>
      </c>
      <c r="BG88" s="163"/>
      <c r="BH88" s="163"/>
      <c r="BI88" s="163"/>
      <c r="BJ88" s="163"/>
      <c r="BK88" s="164"/>
    </row>
    <row r="89" spans="1:63" s="46" customFormat="1" ht="15" customHeight="1" x14ac:dyDescent="0.25">
      <c r="A89" s="165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7"/>
      <c r="M89" s="165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166"/>
      <c r="AM89" s="166"/>
      <c r="AN89" s="166"/>
      <c r="AO89" s="166"/>
      <c r="AP89" s="166"/>
      <c r="AQ89" s="166"/>
      <c r="AR89" s="166"/>
      <c r="AS89" s="166"/>
      <c r="AT89" s="167"/>
      <c r="AU89" s="165"/>
      <c r="AV89" s="166"/>
      <c r="AW89" s="166"/>
      <c r="AX89" s="166"/>
      <c r="AY89" s="166"/>
      <c r="AZ89" s="166"/>
      <c r="BA89" s="166"/>
      <c r="BB89" s="166"/>
      <c r="BC89" s="166"/>
      <c r="BD89" s="166"/>
      <c r="BE89" s="166"/>
      <c r="BF89" s="165"/>
      <c r="BG89" s="166"/>
      <c r="BH89" s="166"/>
      <c r="BI89" s="166"/>
      <c r="BJ89" s="166"/>
      <c r="BK89" s="167"/>
    </row>
    <row r="90" spans="1:63" s="46" customFormat="1" ht="15" customHeight="1" x14ac:dyDescent="0.2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9"/>
      <c r="M90" s="51"/>
      <c r="N90" s="51"/>
      <c r="O90" s="51"/>
      <c r="P90" s="51"/>
      <c r="Q90" s="51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7"/>
      <c r="AV90" s="8"/>
      <c r="AW90" s="8"/>
      <c r="AX90" s="8"/>
      <c r="AY90" s="8"/>
      <c r="AZ90" s="8"/>
      <c r="BA90" s="8"/>
      <c r="BB90" s="8"/>
      <c r="BC90" s="8"/>
      <c r="BD90" s="8"/>
      <c r="BE90" s="9"/>
      <c r="BF90" s="171" t="s">
        <v>142</v>
      </c>
      <c r="BG90" s="172"/>
      <c r="BH90" s="172"/>
      <c r="BI90" s="172"/>
      <c r="BJ90" s="172"/>
      <c r="BK90" s="173"/>
    </row>
    <row r="91" spans="1:63" s="46" customFormat="1" ht="15" customHeight="1" x14ac:dyDescent="0.25">
      <c r="A91" s="10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1"/>
      <c r="M91" s="51"/>
      <c r="N91" s="21" t="s">
        <v>132</v>
      </c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10"/>
      <c r="AV91" s="18"/>
      <c r="AW91" s="18"/>
      <c r="AX91" s="18"/>
      <c r="AY91" s="18"/>
      <c r="AZ91" s="18"/>
      <c r="BA91" s="18"/>
      <c r="BB91" s="18"/>
      <c r="BC91" s="18"/>
      <c r="BD91" s="18"/>
      <c r="BE91" s="11"/>
      <c r="BF91" s="174"/>
      <c r="BG91" s="175"/>
      <c r="BH91" s="175"/>
      <c r="BI91" s="175"/>
      <c r="BJ91" s="175"/>
      <c r="BK91" s="176"/>
    </row>
    <row r="92" spans="1:63" s="46" customFormat="1" ht="15" customHeight="1" x14ac:dyDescent="0.25">
      <c r="A92" s="10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1"/>
      <c r="M92" s="53"/>
      <c r="N92" s="51"/>
      <c r="O92" s="54" t="s">
        <v>54</v>
      </c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10"/>
      <c r="AV92" s="18"/>
      <c r="AW92" s="18"/>
      <c r="AX92" s="18"/>
      <c r="AY92" s="18"/>
      <c r="AZ92" s="18"/>
      <c r="BA92" s="18"/>
      <c r="BB92" s="18"/>
      <c r="BC92" s="18"/>
      <c r="BD92" s="18"/>
      <c r="BE92" s="11"/>
      <c r="BF92" s="174"/>
      <c r="BG92" s="175"/>
      <c r="BH92" s="175"/>
      <c r="BI92" s="175"/>
      <c r="BJ92" s="175"/>
      <c r="BK92" s="176"/>
    </row>
    <row r="93" spans="1:63" s="46" customFormat="1" ht="15" customHeight="1" x14ac:dyDescent="0.25">
      <c r="A93" s="10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1"/>
      <c r="M93" s="51"/>
      <c r="N93" s="54"/>
      <c r="O93" s="54" t="s">
        <v>56</v>
      </c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10"/>
      <c r="AV93" s="18"/>
      <c r="AW93" s="18"/>
      <c r="AX93" s="18"/>
      <c r="AY93" s="18"/>
      <c r="AZ93" s="18"/>
      <c r="BA93" s="18"/>
      <c r="BB93" s="18"/>
      <c r="BC93" s="18"/>
      <c r="BD93" s="18"/>
      <c r="BE93" s="11"/>
      <c r="BF93" s="174"/>
      <c r="BG93" s="175"/>
      <c r="BH93" s="175"/>
      <c r="BI93" s="175"/>
      <c r="BJ93" s="175"/>
      <c r="BK93" s="176"/>
    </row>
    <row r="94" spans="1:63" s="46" customFormat="1" ht="15" customHeight="1" x14ac:dyDescent="0.25">
      <c r="A94" s="1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1"/>
      <c r="M94" s="51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10"/>
      <c r="AV94" s="18"/>
      <c r="AW94" s="18"/>
      <c r="AX94" s="18"/>
      <c r="AY94" s="18"/>
      <c r="AZ94" s="18"/>
      <c r="BA94" s="18"/>
      <c r="BB94" s="18"/>
      <c r="BC94" s="18"/>
      <c r="BD94" s="18"/>
      <c r="BE94" s="11"/>
      <c r="BF94" s="22"/>
      <c r="BG94" s="23"/>
      <c r="BH94" s="23"/>
      <c r="BI94" s="23"/>
      <c r="BJ94" s="23"/>
      <c r="BK94" s="24"/>
    </row>
    <row r="95" spans="1:63" s="46" customFormat="1" ht="15" customHeight="1" x14ac:dyDescent="0.25">
      <c r="A95" s="10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1"/>
      <c r="M95" s="51"/>
      <c r="N95" s="21" t="s">
        <v>133</v>
      </c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10"/>
      <c r="AV95" s="18"/>
      <c r="AW95" s="18"/>
      <c r="AX95" s="18"/>
      <c r="AY95" s="18"/>
      <c r="AZ95" s="18"/>
      <c r="BA95" s="18"/>
      <c r="BB95" s="18"/>
      <c r="BC95" s="18"/>
      <c r="BD95" s="18"/>
      <c r="BE95" s="11"/>
      <c r="BF95" s="22"/>
      <c r="BG95" s="23"/>
      <c r="BH95" s="23"/>
      <c r="BI95" s="23"/>
      <c r="BJ95" s="23"/>
      <c r="BK95" s="24"/>
    </row>
    <row r="96" spans="1:63" s="46" customFormat="1" ht="15" customHeight="1" x14ac:dyDescent="0.25">
      <c r="A96" s="10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1"/>
      <c r="M96" s="51"/>
      <c r="N96" s="54"/>
      <c r="O96" s="54" t="s">
        <v>92</v>
      </c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10"/>
      <c r="AV96" s="18"/>
      <c r="AW96" s="18"/>
      <c r="AX96" s="18"/>
      <c r="AY96" s="18"/>
      <c r="AZ96" s="18"/>
      <c r="BA96" s="18"/>
      <c r="BB96" s="18"/>
      <c r="BC96" s="18"/>
      <c r="BD96" s="18"/>
      <c r="BE96" s="11"/>
      <c r="BF96" s="22"/>
      <c r="BG96" s="23"/>
      <c r="BH96" s="23"/>
      <c r="BI96" s="23"/>
      <c r="BJ96" s="23"/>
      <c r="BK96" s="24"/>
    </row>
    <row r="97" spans="1:63" s="46" customFormat="1" ht="15" customHeight="1" x14ac:dyDescent="0.25">
      <c r="A97" s="10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1"/>
      <c r="M97" s="51"/>
      <c r="N97" s="54"/>
      <c r="O97" s="54" t="s">
        <v>55</v>
      </c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10"/>
      <c r="AV97" s="18"/>
      <c r="AW97" s="18"/>
      <c r="AX97" s="18"/>
      <c r="AY97" s="18"/>
      <c r="AZ97" s="18"/>
      <c r="BA97" s="18"/>
      <c r="BB97" s="18"/>
      <c r="BC97" s="18"/>
      <c r="BD97" s="18"/>
      <c r="BE97" s="11"/>
      <c r="BF97" s="22"/>
      <c r="BG97" s="23"/>
      <c r="BH97" s="23"/>
      <c r="BI97" s="23"/>
      <c r="BJ97" s="23"/>
      <c r="BK97" s="24"/>
    </row>
    <row r="98" spans="1:63" s="46" customFormat="1" ht="15" customHeight="1" x14ac:dyDescent="0.25">
      <c r="A98" s="10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1"/>
      <c r="M98" s="51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10"/>
      <c r="AV98" s="18"/>
      <c r="AW98" s="18"/>
      <c r="AX98" s="18"/>
      <c r="AY98" s="18"/>
      <c r="AZ98" s="18"/>
      <c r="BA98" s="18"/>
      <c r="BB98" s="18"/>
      <c r="BC98" s="18"/>
      <c r="BD98" s="18"/>
      <c r="BE98" s="11"/>
      <c r="BF98" s="22"/>
      <c r="BG98" s="23"/>
      <c r="BH98" s="23"/>
      <c r="BI98" s="23"/>
      <c r="BJ98" s="23"/>
      <c r="BK98" s="24"/>
    </row>
    <row r="99" spans="1:63" s="46" customFormat="1" ht="15" customHeight="1" x14ac:dyDescent="0.25">
      <c r="A99" s="10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1"/>
      <c r="M99" s="51"/>
      <c r="N99" s="54" t="s">
        <v>24</v>
      </c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10"/>
      <c r="AV99" s="18"/>
      <c r="AW99" s="18"/>
      <c r="AX99" s="18"/>
      <c r="AY99" s="18"/>
      <c r="AZ99" s="18"/>
      <c r="BA99" s="18"/>
      <c r="BB99" s="18"/>
      <c r="BC99" s="18"/>
      <c r="BD99" s="18"/>
      <c r="BE99" s="11"/>
      <c r="BF99" s="22"/>
      <c r="BG99" s="23"/>
      <c r="BH99" s="23"/>
      <c r="BI99" s="23"/>
      <c r="BJ99" s="23"/>
      <c r="BK99" s="24"/>
    </row>
    <row r="100" spans="1:63" s="46" customFormat="1" ht="15" customHeight="1" x14ac:dyDescent="0.25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4"/>
      <c r="M100" s="55"/>
      <c r="N100" s="56"/>
      <c r="O100" s="56"/>
      <c r="P100" s="56"/>
      <c r="Q100" s="56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57"/>
      <c r="AQ100" s="57"/>
      <c r="AR100" s="57"/>
      <c r="AS100" s="57"/>
      <c r="AT100" s="57"/>
      <c r="AU100" s="12"/>
      <c r="AV100" s="13"/>
      <c r="AW100" s="13"/>
      <c r="AX100" s="13"/>
      <c r="AY100" s="13"/>
      <c r="AZ100" s="13"/>
      <c r="BA100" s="13"/>
      <c r="BB100" s="13"/>
      <c r="BC100" s="13"/>
      <c r="BD100" s="13"/>
      <c r="BE100" s="14"/>
      <c r="BF100" s="168"/>
      <c r="BG100" s="169"/>
      <c r="BH100" s="169"/>
      <c r="BI100" s="169"/>
      <c r="BJ100" s="169"/>
      <c r="BK100" s="170"/>
    </row>
    <row r="101" spans="1:63" ht="15" customHeight="1" x14ac:dyDescent="0.25">
      <c r="A101" s="20"/>
      <c r="BK101" s="5"/>
    </row>
    <row r="102" spans="1:63" ht="15" customHeight="1" x14ac:dyDescent="0.25">
      <c r="A102" s="20"/>
      <c r="BK102" s="5"/>
    </row>
    <row r="103" spans="1:63" s="46" customFormat="1" ht="15" customHeight="1" x14ac:dyDescent="0.25">
      <c r="A103" s="159" t="s">
        <v>3</v>
      </c>
      <c r="B103" s="160"/>
      <c r="C103" s="160"/>
      <c r="D103" s="160"/>
      <c r="E103" s="160"/>
      <c r="F103" s="161"/>
      <c r="G103" s="133" t="s">
        <v>93</v>
      </c>
      <c r="H103" s="133"/>
      <c r="I103" s="133"/>
      <c r="J103" s="133"/>
      <c r="K103" s="133"/>
      <c r="L103" s="133"/>
      <c r="M103" s="48" t="s">
        <v>57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49"/>
      <c r="BI103" s="49"/>
      <c r="BJ103" s="49"/>
      <c r="BK103" s="50"/>
    </row>
    <row r="104" spans="1:63" s="46" customFormat="1" ht="15" customHeight="1" x14ac:dyDescent="0.25">
      <c r="A104" s="162" t="s">
        <v>4</v>
      </c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4"/>
      <c r="M104" s="162" t="s">
        <v>5</v>
      </c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4"/>
      <c r="AU104" s="162" t="s">
        <v>6</v>
      </c>
      <c r="AV104" s="163"/>
      <c r="AW104" s="163"/>
      <c r="AX104" s="163"/>
      <c r="AY104" s="163"/>
      <c r="AZ104" s="163"/>
      <c r="BA104" s="163"/>
      <c r="BB104" s="163"/>
      <c r="BC104" s="163"/>
      <c r="BD104" s="163"/>
      <c r="BE104" s="163"/>
      <c r="BF104" s="162" t="s">
        <v>7</v>
      </c>
      <c r="BG104" s="163"/>
      <c r="BH104" s="163"/>
      <c r="BI104" s="163"/>
      <c r="BJ104" s="163"/>
      <c r="BK104" s="164"/>
    </row>
    <row r="105" spans="1:63" s="46" customFormat="1" ht="15" customHeight="1" x14ac:dyDescent="0.25">
      <c r="A105" s="165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7"/>
      <c r="M105" s="165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166"/>
      <c r="AM105" s="166"/>
      <c r="AN105" s="166"/>
      <c r="AO105" s="166"/>
      <c r="AP105" s="166"/>
      <c r="AQ105" s="166"/>
      <c r="AR105" s="166"/>
      <c r="AS105" s="166"/>
      <c r="AT105" s="167"/>
      <c r="AU105" s="165"/>
      <c r="AV105" s="166"/>
      <c r="AW105" s="166"/>
      <c r="AX105" s="166"/>
      <c r="AY105" s="166"/>
      <c r="AZ105" s="166"/>
      <c r="BA105" s="166"/>
      <c r="BB105" s="166"/>
      <c r="BC105" s="166"/>
      <c r="BD105" s="166"/>
      <c r="BE105" s="166"/>
      <c r="BF105" s="165"/>
      <c r="BG105" s="166"/>
      <c r="BH105" s="166"/>
      <c r="BI105" s="166"/>
      <c r="BJ105" s="166"/>
      <c r="BK105" s="167"/>
    </row>
    <row r="106" spans="1:63" s="46" customFormat="1" ht="15" customHeight="1" x14ac:dyDescent="0.25">
      <c r="A106" s="10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1"/>
      <c r="M106" s="51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10"/>
      <c r="AV106" s="18"/>
      <c r="AW106" s="18"/>
      <c r="AX106" s="18"/>
      <c r="AY106" s="18"/>
      <c r="AZ106" s="18"/>
      <c r="BA106" s="18"/>
      <c r="BB106" s="18"/>
      <c r="BC106" s="18"/>
      <c r="BD106" s="18"/>
      <c r="BE106" s="11"/>
      <c r="BF106" s="174" t="s">
        <v>144</v>
      </c>
      <c r="BG106" s="175"/>
      <c r="BH106" s="175"/>
      <c r="BI106" s="175"/>
      <c r="BJ106" s="175"/>
      <c r="BK106" s="176"/>
    </row>
    <row r="107" spans="1:63" s="46" customFormat="1" ht="15" customHeight="1" x14ac:dyDescent="0.25">
      <c r="A107" s="10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1"/>
      <c r="M107" s="51"/>
      <c r="N107" s="25" t="s">
        <v>134</v>
      </c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10"/>
      <c r="AV107" s="18"/>
      <c r="AW107" s="18"/>
      <c r="AX107" s="18"/>
      <c r="AY107" s="18"/>
      <c r="AZ107" s="18"/>
      <c r="BA107" s="18"/>
      <c r="BB107" s="18"/>
      <c r="BC107" s="18"/>
      <c r="BD107" s="18"/>
      <c r="BE107" s="11"/>
      <c r="BF107" s="174"/>
      <c r="BG107" s="175"/>
      <c r="BH107" s="175"/>
      <c r="BI107" s="175"/>
      <c r="BJ107" s="175"/>
      <c r="BK107" s="176"/>
    </row>
    <row r="108" spans="1:63" s="46" customFormat="1" ht="15" customHeight="1" x14ac:dyDescent="0.25">
      <c r="A108" s="10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1"/>
      <c r="M108" s="51"/>
      <c r="N108" s="25"/>
      <c r="O108" s="54" t="s">
        <v>98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10"/>
      <c r="AV108" s="18"/>
      <c r="AW108" s="18"/>
      <c r="AX108" s="18"/>
      <c r="AY108" s="18"/>
      <c r="AZ108" s="18"/>
      <c r="BA108" s="18"/>
      <c r="BB108" s="18"/>
      <c r="BC108" s="18"/>
      <c r="BD108" s="18"/>
      <c r="BE108" s="11"/>
      <c r="BF108" s="174"/>
      <c r="BG108" s="175"/>
      <c r="BH108" s="175"/>
      <c r="BI108" s="175"/>
      <c r="BJ108" s="175"/>
      <c r="BK108" s="176"/>
    </row>
    <row r="109" spans="1:63" s="46" customFormat="1" ht="15" customHeight="1" x14ac:dyDescent="0.25">
      <c r="A109" s="10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1"/>
      <c r="M109" s="51"/>
      <c r="N109" s="25"/>
      <c r="O109" s="54"/>
      <c r="P109" s="54" t="s">
        <v>99</v>
      </c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10"/>
      <c r="AV109" s="18"/>
      <c r="AW109" s="18"/>
      <c r="AX109" s="18"/>
      <c r="AY109" s="18"/>
      <c r="AZ109" s="18"/>
      <c r="BA109" s="18"/>
      <c r="BB109" s="18"/>
      <c r="BC109" s="18"/>
      <c r="BD109" s="18"/>
      <c r="BE109" s="11"/>
      <c r="BF109" s="174"/>
      <c r="BG109" s="175"/>
      <c r="BH109" s="175"/>
      <c r="BI109" s="175"/>
      <c r="BJ109" s="175"/>
      <c r="BK109" s="176"/>
    </row>
    <row r="110" spans="1:63" s="46" customFormat="1" ht="15" customHeight="1" x14ac:dyDescent="0.25">
      <c r="A110" s="10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1"/>
      <c r="M110" s="51"/>
      <c r="N110" s="25"/>
      <c r="O110" s="54" t="s">
        <v>100</v>
      </c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10"/>
      <c r="AV110" s="18"/>
      <c r="AW110" s="18"/>
      <c r="AX110" s="18"/>
      <c r="AY110" s="18"/>
      <c r="AZ110" s="18"/>
      <c r="BA110" s="18"/>
      <c r="BB110" s="18"/>
      <c r="BC110" s="18"/>
      <c r="BD110" s="18"/>
      <c r="BE110" s="11"/>
      <c r="BF110" s="174"/>
      <c r="BG110" s="175"/>
      <c r="BH110" s="175"/>
      <c r="BI110" s="175"/>
      <c r="BJ110" s="175"/>
      <c r="BK110" s="176"/>
    </row>
    <row r="111" spans="1:63" s="46" customFormat="1" ht="15" customHeight="1" x14ac:dyDescent="0.25">
      <c r="A111" s="10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1"/>
      <c r="M111" s="51"/>
      <c r="N111" s="25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10"/>
      <c r="AV111" s="18"/>
      <c r="AW111" s="18"/>
      <c r="AX111" s="18"/>
      <c r="AY111" s="18"/>
      <c r="AZ111" s="18"/>
      <c r="BA111" s="18"/>
      <c r="BB111" s="18"/>
      <c r="BC111" s="18"/>
      <c r="BD111" s="18"/>
      <c r="BE111" s="11"/>
      <c r="BF111" s="174"/>
      <c r="BG111" s="175"/>
      <c r="BH111" s="175"/>
      <c r="BI111" s="175"/>
      <c r="BJ111" s="175"/>
      <c r="BK111" s="176"/>
    </row>
    <row r="112" spans="1:63" s="46" customFormat="1" ht="15" customHeight="1" x14ac:dyDescent="0.25">
      <c r="A112" s="10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1"/>
      <c r="M112" s="51"/>
      <c r="N112" s="51"/>
      <c r="O112" s="54" t="s">
        <v>58</v>
      </c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10"/>
      <c r="AV112" s="18"/>
      <c r="AW112" s="18"/>
      <c r="AX112" s="18"/>
      <c r="AY112" s="18"/>
      <c r="AZ112" s="18"/>
      <c r="BA112" s="18"/>
      <c r="BB112" s="18"/>
      <c r="BC112" s="18"/>
      <c r="BD112" s="18"/>
      <c r="BE112" s="11"/>
      <c r="BF112" s="174"/>
      <c r="BG112" s="175"/>
      <c r="BH112" s="175"/>
      <c r="BI112" s="175"/>
      <c r="BJ112" s="175"/>
      <c r="BK112" s="176"/>
    </row>
    <row r="113" spans="1:63" s="46" customFormat="1" ht="15" customHeight="1" x14ac:dyDescent="0.25">
      <c r="A113" s="10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1"/>
      <c r="M113" s="51"/>
      <c r="N113" s="51"/>
      <c r="O113" s="54"/>
      <c r="P113" s="26" t="s">
        <v>11</v>
      </c>
      <c r="Q113" s="27"/>
      <c r="R113" s="27"/>
      <c r="S113" s="27"/>
      <c r="T113" s="27"/>
      <c r="U113" s="27"/>
      <c r="V113" s="27"/>
      <c r="W113" s="26" t="s">
        <v>12</v>
      </c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8"/>
      <c r="AN113" s="51"/>
      <c r="AO113" s="51"/>
      <c r="AP113" s="51"/>
      <c r="AQ113" s="51"/>
      <c r="AR113" s="51"/>
      <c r="AS113" s="51"/>
      <c r="AT113" s="51"/>
      <c r="AU113" s="10"/>
      <c r="AV113" s="18"/>
      <c r="AW113" s="18"/>
      <c r="AX113" s="18"/>
      <c r="AY113" s="18"/>
      <c r="AZ113" s="18"/>
      <c r="BA113" s="18"/>
      <c r="BB113" s="18"/>
      <c r="BC113" s="18"/>
      <c r="BD113" s="18"/>
      <c r="BE113" s="11"/>
      <c r="BF113" s="174"/>
      <c r="BG113" s="175"/>
      <c r="BH113" s="175"/>
      <c r="BI113" s="175"/>
      <c r="BJ113" s="175"/>
      <c r="BK113" s="176"/>
    </row>
    <row r="114" spans="1:63" s="46" customFormat="1" ht="15" customHeight="1" x14ac:dyDescent="0.25">
      <c r="A114" s="10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1"/>
      <c r="M114" s="51"/>
      <c r="N114" s="51"/>
      <c r="O114" s="54"/>
      <c r="P114" s="58" t="s">
        <v>16</v>
      </c>
      <c r="Q114" s="59"/>
      <c r="R114" s="59"/>
      <c r="S114" s="59"/>
      <c r="T114" s="59"/>
      <c r="U114" s="59"/>
      <c r="V114" s="59"/>
      <c r="W114" s="177" t="s">
        <v>17</v>
      </c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9"/>
      <c r="AN114" s="51"/>
      <c r="AO114" s="51"/>
      <c r="AP114" s="51"/>
      <c r="AQ114" s="51"/>
      <c r="AR114" s="51"/>
      <c r="AS114" s="51"/>
      <c r="AT114" s="51"/>
      <c r="AU114" s="10"/>
      <c r="AV114" s="18"/>
      <c r="AW114" s="18"/>
      <c r="AX114" s="18"/>
      <c r="AY114" s="18"/>
      <c r="AZ114" s="18"/>
      <c r="BA114" s="18"/>
      <c r="BB114" s="18"/>
      <c r="BC114" s="18"/>
      <c r="BD114" s="18"/>
      <c r="BE114" s="11"/>
      <c r="BF114" s="174"/>
      <c r="BG114" s="175"/>
      <c r="BH114" s="175"/>
      <c r="BI114" s="175"/>
      <c r="BJ114" s="175"/>
      <c r="BK114" s="176"/>
    </row>
    <row r="115" spans="1:63" s="46" customFormat="1" ht="15" customHeight="1" x14ac:dyDescent="0.25">
      <c r="A115" s="10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1"/>
      <c r="M115" s="51"/>
      <c r="N115" s="51"/>
      <c r="O115" s="54"/>
      <c r="P115" s="58" t="s">
        <v>59</v>
      </c>
      <c r="Q115" s="59"/>
      <c r="R115" s="59"/>
      <c r="S115" s="59"/>
      <c r="T115" s="59"/>
      <c r="U115" s="59"/>
      <c r="V115" s="59"/>
      <c r="W115" s="177" t="s">
        <v>47</v>
      </c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9"/>
      <c r="AN115" s="51"/>
      <c r="AO115" s="51"/>
      <c r="AP115" s="51"/>
      <c r="AQ115" s="51"/>
      <c r="AR115" s="51"/>
      <c r="AS115" s="51"/>
      <c r="AT115" s="51"/>
      <c r="AU115" s="10"/>
      <c r="AV115" s="18"/>
      <c r="AW115" s="18"/>
      <c r="AX115" s="18"/>
      <c r="AY115" s="18"/>
      <c r="AZ115" s="18"/>
      <c r="BA115" s="18"/>
      <c r="BB115" s="18"/>
      <c r="BC115" s="18"/>
      <c r="BD115" s="18"/>
      <c r="BE115" s="11"/>
      <c r="BF115" s="174"/>
      <c r="BG115" s="175"/>
      <c r="BH115" s="175"/>
      <c r="BI115" s="175"/>
      <c r="BJ115" s="175"/>
      <c r="BK115" s="176"/>
    </row>
    <row r="116" spans="1:63" s="46" customFormat="1" ht="15" customHeight="1" x14ac:dyDescent="0.25">
      <c r="A116" s="10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1"/>
      <c r="M116" s="51"/>
      <c r="N116" s="51"/>
      <c r="O116" s="54"/>
      <c r="P116" s="58" t="s">
        <v>60</v>
      </c>
      <c r="Q116" s="59"/>
      <c r="R116" s="59"/>
      <c r="S116" s="59"/>
      <c r="T116" s="59"/>
      <c r="U116" s="59"/>
      <c r="V116" s="59"/>
      <c r="W116" s="177" t="s">
        <v>62</v>
      </c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9"/>
      <c r="AN116" s="51"/>
      <c r="AO116" s="51"/>
      <c r="AP116" s="51"/>
      <c r="AQ116" s="51"/>
      <c r="AR116" s="51"/>
      <c r="AS116" s="51"/>
      <c r="AT116" s="51"/>
      <c r="AU116" s="10"/>
      <c r="AV116" s="18"/>
      <c r="AW116" s="18"/>
      <c r="AX116" s="18"/>
      <c r="AY116" s="18"/>
      <c r="AZ116" s="18"/>
      <c r="BA116" s="18"/>
      <c r="BB116" s="18"/>
      <c r="BC116" s="18"/>
      <c r="BD116" s="18"/>
      <c r="BE116" s="11"/>
      <c r="BF116" s="174"/>
      <c r="BG116" s="175"/>
      <c r="BH116" s="175"/>
      <c r="BI116" s="175"/>
      <c r="BJ116" s="175"/>
      <c r="BK116" s="176"/>
    </row>
    <row r="117" spans="1:63" s="46" customFormat="1" ht="15" customHeight="1" x14ac:dyDescent="0.25">
      <c r="A117" s="10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1"/>
      <c r="M117" s="51"/>
      <c r="N117" s="51"/>
      <c r="O117" s="54"/>
      <c r="P117" s="58" t="s">
        <v>61</v>
      </c>
      <c r="Q117" s="59"/>
      <c r="R117" s="59"/>
      <c r="S117" s="59"/>
      <c r="T117" s="59"/>
      <c r="U117" s="59"/>
      <c r="V117" s="59"/>
      <c r="W117" s="177" t="s">
        <v>63</v>
      </c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9"/>
      <c r="AN117" s="51"/>
      <c r="AO117" s="51"/>
      <c r="AP117" s="51"/>
      <c r="AQ117" s="51"/>
      <c r="AR117" s="51"/>
      <c r="AS117" s="51"/>
      <c r="AT117" s="51"/>
      <c r="AU117" s="10"/>
      <c r="AV117" s="18"/>
      <c r="AW117" s="18"/>
      <c r="AX117" s="18"/>
      <c r="AY117" s="18"/>
      <c r="AZ117" s="18"/>
      <c r="BA117" s="18"/>
      <c r="BB117" s="18"/>
      <c r="BC117" s="18"/>
      <c r="BD117" s="18"/>
      <c r="BE117" s="11"/>
      <c r="BF117" s="174"/>
      <c r="BG117" s="175"/>
      <c r="BH117" s="175"/>
      <c r="BI117" s="175"/>
      <c r="BJ117" s="175"/>
      <c r="BK117" s="176"/>
    </row>
    <row r="118" spans="1:63" s="46" customFormat="1" ht="15" customHeight="1" x14ac:dyDescent="0.25">
      <c r="A118" s="10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1"/>
      <c r="M118" s="51"/>
      <c r="N118" s="51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10"/>
      <c r="AV118" s="18"/>
      <c r="AW118" s="18"/>
      <c r="AX118" s="18"/>
      <c r="AY118" s="18"/>
      <c r="AZ118" s="18"/>
      <c r="BA118" s="18"/>
      <c r="BB118" s="18"/>
      <c r="BC118" s="18"/>
      <c r="BD118" s="18"/>
      <c r="BE118" s="11"/>
      <c r="BF118" s="174"/>
      <c r="BG118" s="175"/>
      <c r="BH118" s="175"/>
      <c r="BI118" s="175"/>
      <c r="BJ118" s="175"/>
      <c r="BK118" s="176"/>
    </row>
    <row r="119" spans="1:63" s="46" customFormat="1" ht="15" customHeight="1" x14ac:dyDescent="0.25">
      <c r="A119" s="10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1"/>
      <c r="M119" s="51"/>
      <c r="N119" s="51"/>
      <c r="O119" s="54"/>
      <c r="P119" s="54" t="s">
        <v>64</v>
      </c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10"/>
      <c r="AV119" s="18"/>
      <c r="AW119" s="18"/>
      <c r="AX119" s="18"/>
      <c r="AY119" s="18"/>
      <c r="AZ119" s="18"/>
      <c r="BA119" s="18"/>
      <c r="BB119" s="18"/>
      <c r="BC119" s="18"/>
      <c r="BD119" s="18"/>
      <c r="BE119" s="11"/>
      <c r="BF119" s="174"/>
      <c r="BG119" s="175"/>
      <c r="BH119" s="175"/>
      <c r="BI119" s="175"/>
      <c r="BJ119" s="175"/>
      <c r="BK119" s="176"/>
    </row>
    <row r="120" spans="1:63" s="46" customFormat="1" ht="15" customHeight="1" x14ac:dyDescent="0.25">
      <c r="A120" s="10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1"/>
      <c r="M120" s="51"/>
      <c r="N120" s="51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10"/>
      <c r="AV120" s="18"/>
      <c r="AW120" s="18"/>
      <c r="AX120" s="18"/>
      <c r="AY120" s="18"/>
      <c r="AZ120" s="18"/>
      <c r="BA120" s="18"/>
      <c r="BB120" s="18"/>
      <c r="BC120" s="18"/>
      <c r="BD120" s="18"/>
      <c r="BE120" s="11"/>
      <c r="BF120" s="174"/>
      <c r="BG120" s="175"/>
      <c r="BH120" s="175"/>
      <c r="BI120" s="175"/>
      <c r="BJ120" s="175"/>
      <c r="BK120" s="176"/>
    </row>
    <row r="121" spans="1:63" s="46" customFormat="1" ht="15" customHeight="1" x14ac:dyDescent="0.25">
      <c r="A121" s="10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1"/>
      <c r="M121" s="51"/>
      <c r="N121" s="51"/>
      <c r="O121" s="54" t="s">
        <v>19</v>
      </c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10"/>
      <c r="AV121" s="18"/>
      <c r="AW121" s="18"/>
      <c r="AX121" s="18"/>
      <c r="AY121" s="18"/>
      <c r="AZ121" s="18"/>
      <c r="BA121" s="18"/>
      <c r="BB121" s="18"/>
      <c r="BC121" s="18"/>
      <c r="BD121" s="18"/>
      <c r="BE121" s="11"/>
      <c r="BF121" s="174"/>
      <c r="BG121" s="175"/>
      <c r="BH121" s="175"/>
      <c r="BI121" s="175"/>
      <c r="BJ121" s="175"/>
      <c r="BK121" s="176"/>
    </row>
    <row r="122" spans="1:63" s="46" customFormat="1" ht="15" customHeight="1" x14ac:dyDescent="0.25">
      <c r="A122" s="10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1"/>
      <c r="M122" s="51"/>
      <c r="N122" s="51"/>
      <c r="O122" s="54"/>
      <c r="P122" s="54" t="s">
        <v>70</v>
      </c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10"/>
      <c r="AV122" s="18"/>
      <c r="AW122" s="18"/>
      <c r="AX122" s="18"/>
      <c r="AY122" s="18"/>
      <c r="AZ122" s="18"/>
      <c r="BA122" s="18"/>
      <c r="BB122" s="18"/>
      <c r="BC122" s="18"/>
      <c r="BD122" s="18"/>
      <c r="BE122" s="11"/>
      <c r="BF122" s="174"/>
      <c r="BG122" s="175"/>
      <c r="BH122" s="175"/>
      <c r="BI122" s="175"/>
      <c r="BJ122" s="175"/>
      <c r="BK122" s="176"/>
    </row>
    <row r="123" spans="1:63" s="46" customFormat="1" ht="15" customHeight="1" x14ac:dyDescent="0.25">
      <c r="A123" s="10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1"/>
      <c r="M123" s="51"/>
      <c r="N123" s="51"/>
      <c r="O123" s="54"/>
      <c r="P123" s="54"/>
      <c r="Q123" s="54" t="s">
        <v>65</v>
      </c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1"/>
      <c r="AO123" s="51"/>
      <c r="AP123" s="51"/>
      <c r="AQ123" s="51"/>
      <c r="AR123" s="51"/>
      <c r="AS123" s="51"/>
      <c r="AT123" s="51"/>
      <c r="AU123" s="10"/>
      <c r="AV123" s="18"/>
      <c r="AW123" s="18"/>
      <c r="AX123" s="18"/>
      <c r="AY123" s="18"/>
      <c r="AZ123" s="18"/>
      <c r="BA123" s="18"/>
      <c r="BB123" s="18"/>
      <c r="BC123" s="18"/>
      <c r="BD123" s="18"/>
      <c r="BE123" s="11"/>
      <c r="BF123" s="174"/>
      <c r="BG123" s="175"/>
      <c r="BH123" s="175"/>
      <c r="BI123" s="175"/>
      <c r="BJ123" s="175"/>
      <c r="BK123" s="176"/>
    </row>
    <row r="124" spans="1:63" s="46" customFormat="1" ht="15" customHeight="1" x14ac:dyDescent="0.25">
      <c r="A124" s="10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1"/>
      <c r="M124" s="51"/>
      <c r="N124" s="51"/>
      <c r="O124" s="54"/>
      <c r="P124" s="54"/>
      <c r="Q124" s="54" t="s">
        <v>150</v>
      </c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1"/>
      <c r="AO124" s="51"/>
      <c r="AP124" s="51"/>
      <c r="AQ124" s="51"/>
      <c r="AR124" s="51"/>
      <c r="AS124" s="51"/>
      <c r="AT124" s="51"/>
      <c r="AU124" s="10"/>
      <c r="AV124" s="18"/>
      <c r="AW124" s="18"/>
      <c r="AX124" s="18"/>
      <c r="AY124" s="18"/>
      <c r="AZ124" s="18"/>
      <c r="BA124" s="18"/>
      <c r="BB124" s="18"/>
      <c r="BC124" s="18"/>
      <c r="BD124" s="18"/>
      <c r="BE124" s="11"/>
      <c r="BF124" s="174"/>
      <c r="BG124" s="175"/>
      <c r="BH124" s="175"/>
      <c r="BI124" s="175"/>
      <c r="BJ124" s="175"/>
      <c r="BK124" s="176"/>
    </row>
    <row r="125" spans="1:63" s="46" customFormat="1" ht="15" customHeight="1" x14ac:dyDescent="0.25">
      <c r="A125" s="10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1"/>
      <c r="M125" s="51"/>
      <c r="N125" s="51"/>
      <c r="O125" s="54"/>
      <c r="P125" s="54"/>
      <c r="Q125" s="54"/>
      <c r="R125" s="54" t="s">
        <v>51</v>
      </c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1"/>
      <c r="AO125" s="51"/>
      <c r="AP125" s="51"/>
      <c r="AQ125" s="51"/>
      <c r="AR125" s="51"/>
      <c r="AS125" s="51"/>
      <c r="AT125" s="51"/>
      <c r="AU125" s="10"/>
      <c r="AV125" s="18"/>
      <c r="AW125" s="18"/>
      <c r="AX125" s="18"/>
      <c r="AY125" s="18"/>
      <c r="AZ125" s="18"/>
      <c r="BA125" s="18"/>
      <c r="BB125" s="18"/>
      <c r="BC125" s="18"/>
      <c r="BD125" s="18"/>
      <c r="BE125" s="11"/>
      <c r="BF125" s="174"/>
      <c r="BG125" s="175"/>
      <c r="BH125" s="175"/>
      <c r="BI125" s="175"/>
      <c r="BJ125" s="175"/>
      <c r="BK125" s="176"/>
    </row>
    <row r="126" spans="1:63" s="46" customFormat="1" ht="15" customHeight="1" x14ac:dyDescent="0.25">
      <c r="A126" s="10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1"/>
      <c r="M126" s="51"/>
      <c r="N126" s="51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1"/>
      <c r="AO126" s="51"/>
      <c r="AP126" s="51"/>
      <c r="AQ126" s="51"/>
      <c r="AR126" s="51"/>
      <c r="AS126" s="51"/>
      <c r="AT126" s="51"/>
      <c r="AU126" s="10"/>
      <c r="AV126" s="18"/>
      <c r="AW126" s="18"/>
      <c r="AX126" s="18"/>
      <c r="AY126" s="18"/>
      <c r="AZ126" s="18"/>
      <c r="BA126" s="18"/>
      <c r="BB126" s="18"/>
      <c r="BC126" s="18"/>
      <c r="BD126" s="18"/>
      <c r="BE126" s="11"/>
      <c r="BF126" s="174"/>
      <c r="BG126" s="175"/>
      <c r="BH126" s="175"/>
      <c r="BI126" s="175"/>
      <c r="BJ126" s="175"/>
      <c r="BK126" s="176"/>
    </row>
    <row r="127" spans="1:63" s="46" customFormat="1" ht="15" customHeight="1" x14ac:dyDescent="0.25">
      <c r="A127" s="10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1"/>
      <c r="M127" s="51"/>
      <c r="N127" s="51"/>
      <c r="O127" s="54"/>
      <c r="P127" s="51" t="s">
        <v>71</v>
      </c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1"/>
      <c r="AO127" s="51"/>
      <c r="AP127" s="51"/>
      <c r="AQ127" s="51"/>
      <c r="AR127" s="51"/>
      <c r="AS127" s="51"/>
      <c r="AT127" s="51"/>
      <c r="AU127" s="10"/>
      <c r="AV127" s="18"/>
      <c r="AW127" s="18"/>
      <c r="AX127" s="18"/>
      <c r="AY127" s="18"/>
      <c r="AZ127" s="18"/>
      <c r="BA127" s="18"/>
      <c r="BB127" s="18"/>
      <c r="BC127" s="18"/>
      <c r="BD127" s="18"/>
      <c r="BE127" s="11"/>
      <c r="BF127" s="174"/>
      <c r="BG127" s="175"/>
      <c r="BH127" s="175"/>
      <c r="BI127" s="175"/>
      <c r="BJ127" s="175"/>
      <c r="BK127" s="176"/>
    </row>
    <row r="128" spans="1:63" s="46" customFormat="1" ht="15" customHeight="1" x14ac:dyDescent="0.25">
      <c r="A128" s="10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1"/>
      <c r="M128" s="51"/>
      <c r="N128" s="51"/>
      <c r="O128" s="54"/>
      <c r="P128" s="54"/>
      <c r="Q128" s="54" t="s">
        <v>65</v>
      </c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1"/>
      <c r="AO128" s="51"/>
      <c r="AP128" s="51"/>
      <c r="AQ128" s="51"/>
      <c r="AR128" s="51"/>
      <c r="AS128" s="51"/>
      <c r="AT128" s="51"/>
      <c r="AU128" s="10"/>
      <c r="AV128" s="18"/>
      <c r="AW128" s="18"/>
      <c r="AX128" s="18"/>
      <c r="AY128" s="18"/>
      <c r="AZ128" s="18"/>
      <c r="BA128" s="18"/>
      <c r="BB128" s="18"/>
      <c r="BC128" s="18"/>
      <c r="BD128" s="18"/>
      <c r="BE128" s="11"/>
      <c r="BF128" s="174"/>
      <c r="BG128" s="175"/>
      <c r="BH128" s="175"/>
      <c r="BI128" s="175"/>
      <c r="BJ128" s="175"/>
      <c r="BK128" s="176"/>
    </row>
    <row r="129" spans="1:63" s="46" customFormat="1" ht="15" customHeight="1" x14ac:dyDescent="0.25">
      <c r="A129" s="10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1"/>
      <c r="M129" s="51"/>
      <c r="N129" s="51"/>
      <c r="O129" s="54"/>
      <c r="P129" s="54"/>
      <c r="Q129" s="54" t="s">
        <v>101</v>
      </c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10"/>
      <c r="AV129" s="18"/>
      <c r="AW129" s="18"/>
      <c r="AX129" s="18"/>
      <c r="AY129" s="18"/>
      <c r="AZ129" s="18"/>
      <c r="BA129" s="18"/>
      <c r="BB129" s="18"/>
      <c r="BC129" s="18"/>
      <c r="BD129" s="18"/>
      <c r="BE129" s="11"/>
      <c r="BF129" s="174"/>
      <c r="BG129" s="175"/>
      <c r="BH129" s="175"/>
      <c r="BI129" s="175"/>
      <c r="BJ129" s="175"/>
      <c r="BK129" s="176"/>
    </row>
    <row r="130" spans="1:63" s="46" customFormat="1" ht="15" customHeight="1" x14ac:dyDescent="0.25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4"/>
      <c r="M130" s="55"/>
      <c r="N130" s="56"/>
      <c r="O130" s="56"/>
      <c r="P130" s="56"/>
      <c r="Q130" s="56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57"/>
      <c r="AQ130" s="57"/>
      <c r="AR130" s="57"/>
      <c r="AS130" s="57"/>
      <c r="AT130" s="57"/>
      <c r="AU130" s="12"/>
      <c r="AV130" s="13"/>
      <c r="AW130" s="13"/>
      <c r="AX130" s="13"/>
      <c r="AY130" s="13"/>
      <c r="AZ130" s="13"/>
      <c r="BA130" s="13"/>
      <c r="BB130" s="13"/>
      <c r="BC130" s="13"/>
      <c r="BD130" s="13"/>
      <c r="BE130" s="14"/>
      <c r="BF130" s="168"/>
      <c r="BG130" s="169"/>
      <c r="BH130" s="169"/>
      <c r="BI130" s="169"/>
      <c r="BJ130" s="169"/>
      <c r="BK130" s="170"/>
    </row>
    <row r="131" spans="1:63" ht="15" customHeight="1" x14ac:dyDescent="0.25">
      <c r="A131" s="20"/>
      <c r="BK131" s="5"/>
    </row>
    <row r="132" spans="1:63" ht="15" customHeight="1" x14ac:dyDescent="0.25">
      <c r="A132" s="20"/>
      <c r="BK132" s="5"/>
    </row>
    <row r="133" spans="1:63" ht="15" customHeight="1" x14ac:dyDescent="0.25">
      <c r="A133" s="20"/>
      <c r="BK133" s="5"/>
    </row>
    <row r="134" spans="1:63" s="46" customFormat="1" ht="15" customHeight="1" x14ac:dyDescent="0.25">
      <c r="A134" s="159" t="s">
        <v>3</v>
      </c>
      <c r="B134" s="160"/>
      <c r="C134" s="160"/>
      <c r="D134" s="160"/>
      <c r="E134" s="160"/>
      <c r="F134" s="161"/>
      <c r="G134" s="133" t="s">
        <v>94</v>
      </c>
      <c r="H134" s="133"/>
      <c r="I134" s="133"/>
      <c r="J134" s="133"/>
      <c r="K134" s="133"/>
      <c r="L134" s="133"/>
      <c r="M134" s="48" t="s">
        <v>66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49"/>
      <c r="BI134" s="49"/>
      <c r="BJ134" s="49"/>
      <c r="BK134" s="50"/>
    </row>
    <row r="135" spans="1:63" s="46" customFormat="1" ht="15" customHeight="1" x14ac:dyDescent="0.25">
      <c r="A135" s="162" t="s">
        <v>4</v>
      </c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4"/>
      <c r="M135" s="162" t="s">
        <v>5</v>
      </c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4"/>
      <c r="AU135" s="162" t="s">
        <v>6</v>
      </c>
      <c r="AV135" s="163"/>
      <c r="AW135" s="163"/>
      <c r="AX135" s="163"/>
      <c r="AY135" s="163"/>
      <c r="AZ135" s="163"/>
      <c r="BA135" s="163"/>
      <c r="BB135" s="163"/>
      <c r="BC135" s="163"/>
      <c r="BD135" s="163"/>
      <c r="BE135" s="163"/>
      <c r="BF135" s="162" t="s">
        <v>7</v>
      </c>
      <c r="BG135" s="163"/>
      <c r="BH135" s="163"/>
      <c r="BI135" s="163"/>
      <c r="BJ135" s="163"/>
      <c r="BK135" s="164"/>
    </row>
    <row r="136" spans="1:63" s="46" customFormat="1" ht="15" customHeight="1" x14ac:dyDescent="0.25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7"/>
      <c r="M136" s="165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7"/>
      <c r="AU136" s="165"/>
      <c r="AV136" s="166"/>
      <c r="AW136" s="166"/>
      <c r="AX136" s="166"/>
      <c r="AY136" s="166"/>
      <c r="AZ136" s="166"/>
      <c r="BA136" s="166"/>
      <c r="BB136" s="166"/>
      <c r="BC136" s="166"/>
      <c r="BD136" s="166"/>
      <c r="BE136" s="166"/>
      <c r="BF136" s="165"/>
      <c r="BG136" s="166"/>
      <c r="BH136" s="166"/>
      <c r="BI136" s="166"/>
      <c r="BJ136" s="166"/>
      <c r="BK136" s="167"/>
    </row>
    <row r="137" spans="1:63" s="46" customFormat="1" ht="15" customHeight="1" x14ac:dyDescent="0.2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9"/>
      <c r="M137" s="51"/>
      <c r="N137" s="51"/>
      <c r="O137" s="51"/>
      <c r="P137" s="51"/>
      <c r="Q137" s="51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7"/>
      <c r="AV137" s="8"/>
      <c r="AW137" s="8"/>
      <c r="AX137" s="8"/>
      <c r="AY137" s="8"/>
      <c r="AZ137" s="8"/>
      <c r="BA137" s="8"/>
      <c r="BB137" s="8"/>
      <c r="BC137" s="8"/>
      <c r="BD137" s="8"/>
      <c r="BE137" s="9"/>
      <c r="BF137" s="171" t="s">
        <v>67</v>
      </c>
      <c r="BG137" s="172"/>
      <c r="BH137" s="172"/>
      <c r="BI137" s="172"/>
      <c r="BJ137" s="172"/>
      <c r="BK137" s="173"/>
    </row>
    <row r="138" spans="1:63" s="46" customFormat="1" ht="15" customHeight="1" x14ac:dyDescent="0.25">
      <c r="A138" s="10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1"/>
      <c r="M138" s="51"/>
      <c r="N138" s="21" t="s">
        <v>135</v>
      </c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10"/>
      <c r="AV138" s="18"/>
      <c r="AW138" s="18"/>
      <c r="AX138" s="18"/>
      <c r="AY138" s="18"/>
      <c r="AZ138" s="18"/>
      <c r="BA138" s="18"/>
      <c r="BB138" s="18"/>
      <c r="BC138" s="18"/>
      <c r="BD138" s="18"/>
      <c r="BE138" s="11"/>
      <c r="BF138" s="174"/>
      <c r="BG138" s="175"/>
      <c r="BH138" s="175"/>
      <c r="BI138" s="175"/>
      <c r="BJ138" s="175"/>
      <c r="BK138" s="176"/>
    </row>
    <row r="139" spans="1:63" s="46" customFormat="1" ht="15" customHeight="1" x14ac:dyDescent="0.25">
      <c r="A139" s="10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1"/>
      <c r="M139" s="53"/>
      <c r="N139" s="51"/>
      <c r="O139" s="54" t="s">
        <v>136</v>
      </c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10"/>
      <c r="AV139" s="18"/>
      <c r="AW139" s="18"/>
      <c r="AX139" s="18"/>
      <c r="AY139" s="18"/>
      <c r="AZ139" s="18"/>
      <c r="BA139" s="18"/>
      <c r="BB139" s="18"/>
      <c r="BC139" s="18"/>
      <c r="BD139" s="18"/>
      <c r="BE139" s="11"/>
      <c r="BF139" s="174"/>
      <c r="BG139" s="175"/>
      <c r="BH139" s="175"/>
      <c r="BI139" s="175"/>
      <c r="BJ139" s="175"/>
      <c r="BK139" s="176"/>
    </row>
    <row r="140" spans="1:63" s="46" customFormat="1" ht="15" customHeight="1" x14ac:dyDescent="0.25">
      <c r="A140" s="10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1"/>
      <c r="M140" s="51"/>
      <c r="O140" s="54" t="s">
        <v>137</v>
      </c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10"/>
      <c r="AV140" s="18"/>
      <c r="AW140" s="18"/>
      <c r="AX140" s="18"/>
      <c r="AY140" s="18"/>
      <c r="AZ140" s="18"/>
      <c r="BA140" s="18"/>
      <c r="BB140" s="18"/>
      <c r="BC140" s="18"/>
      <c r="BD140" s="18"/>
      <c r="BE140" s="11"/>
      <c r="BF140" s="174"/>
      <c r="BG140" s="175"/>
      <c r="BH140" s="175"/>
      <c r="BI140" s="175"/>
      <c r="BJ140" s="175"/>
      <c r="BK140" s="176"/>
    </row>
    <row r="141" spans="1:63" s="46" customFormat="1" ht="15" customHeight="1" x14ac:dyDescent="0.25">
      <c r="A141" s="10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1"/>
      <c r="M141" s="51"/>
      <c r="N141" s="51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10"/>
      <c r="AV141" s="18"/>
      <c r="AW141" s="18"/>
      <c r="AX141" s="18"/>
      <c r="AY141" s="18"/>
      <c r="AZ141" s="18"/>
      <c r="BA141" s="18"/>
      <c r="BB141" s="18"/>
      <c r="BC141" s="18"/>
      <c r="BD141" s="18"/>
      <c r="BE141" s="11"/>
      <c r="BF141" s="174"/>
      <c r="BG141" s="175"/>
      <c r="BH141" s="175"/>
      <c r="BI141" s="175"/>
      <c r="BJ141" s="175"/>
      <c r="BK141" s="176"/>
    </row>
    <row r="142" spans="1:63" s="46" customFormat="1" ht="15" customHeight="1" x14ac:dyDescent="0.25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4"/>
      <c r="M142" s="55"/>
      <c r="N142" s="56"/>
      <c r="O142" s="56"/>
      <c r="P142" s="56"/>
      <c r="Q142" s="56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57"/>
      <c r="AQ142" s="57"/>
      <c r="AR142" s="57"/>
      <c r="AS142" s="57"/>
      <c r="AT142" s="57"/>
      <c r="AU142" s="12"/>
      <c r="AV142" s="13"/>
      <c r="AW142" s="13"/>
      <c r="AX142" s="13"/>
      <c r="AY142" s="13"/>
      <c r="AZ142" s="13"/>
      <c r="BA142" s="13"/>
      <c r="BB142" s="13"/>
      <c r="BC142" s="13"/>
      <c r="BD142" s="13"/>
      <c r="BE142" s="14"/>
      <c r="BF142" s="168"/>
      <c r="BG142" s="169"/>
      <c r="BH142" s="169"/>
      <c r="BI142" s="169"/>
      <c r="BJ142" s="169"/>
      <c r="BK142" s="170"/>
    </row>
    <row r="143" spans="1:63" ht="15" customHeight="1" x14ac:dyDescent="0.25">
      <c r="A143" s="20"/>
      <c r="BK143" s="5"/>
    </row>
    <row r="144" spans="1:63" ht="15" customHeight="1" x14ac:dyDescent="0.25">
      <c r="A144" s="20"/>
      <c r="BK144" s="5"/>
    </row>
    <row r="145" spans="1:63" ht="15" customHeight="1" x14ac:dyDescent="0.25">
      <c r="A145" s="20"/>
      <c r="BK145" s="5"/>
    </row>
    <row r="146" spans="1:63" s="46" customFormat="1" ht="15" customHeight="1" x14ac:dyDescent="0.25">
      <c r="A146" s="159" t="s">
        <v>3</v>
      </c>
      <c r="B146" s="160"/>
      <c r="C146" s="160"/>
      <c r="D146" s="160"/>
      <c r="E146" s="160"/>
      <c r="F146" s="161"/>
      <c r="G146" s="133" t="s">
        <v>95</v>
      </c>
      <c r="H146" s="133"/>
      <c r="I146" s="133"/>
      <c r="J146" s="133"/>
      <c r="K146" s="133"/>
      <c r="L146" s="133"/>
      <c r="M146" s="48" t="s">
        <v>158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49"/>
      <c r="BI146" s="49"/>
      <c r="BJ146" s="49"/>
      <c r="BK146" s="50"/>
    </row>
    <row r="147" spans="1:63" s="46" customFormat="1" ht="15" customHeight="1" x14ac:dyDescent="0.25">
      <c r="A147" s="162" t="s">
        <v>4</v>
      </c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4"/>
      <c r="M147" s="162" t="s">
        <v>5</v>
      </c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4"/>
      <c r="AU147" s="162" t="s">
        <v>6</v>
      </c>
      <c r="AV147" s="163"/>
      <c r="AW147" s="163"/>
      <c r="AX147" s="163"/>
      <c r="AY147" s="163"/>
      <c r="AZ147" s="163"/>
      <c r="BA147" s="163"/>
      <c r="BB147" s="163"/>
      <c r="BC147" s="163"/>
      <c r="BD147" s="163"/>
      <c r="BE147" s="163"/>
      <c r="BF147" s="162" t="s">
        <v>7</v>
      </c>
      <c r="BG147" s="163"/>
      <c r="BH147" s="163"/>
      <c r="BI147" s="163"/>
      <c r="BJ147" s="163"/>
      <c r="BK147" s="164"/>
    </row>
    <row r="148" spans="1:63" s="46" customFormat="1" ht="15" customHeight="1" x14ac:dyDescent="0.25">
      <c r="A148" s="165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7"/>
      <c r="M148" s="165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  <c r="AK148" s="166"/>
      <c r="AL148" s="166"/>
      <c r="AM148" s="166"/>
      <c r="AN148" s="166"/>
      <c r="AO148" s="166"/>
      <c r="AP148" s="166"/>
      <c r="AQ148" s="166"/>
      <c r="AR148" s="166"/>
      <c r="AS148" s="166"/>
      <c r="AT148" s="167"/>
      <c r="AU148" s="165"/>
      <c r="AV148" s="166"/>
      <c r="AW148" s="166"/>
      <c r="AX148" s="166"/>
      <c r="AY148" s="166"/>
      <c r="AZ148" s="166"/>
      <c r="BA148" s="166"/>
      <c r="BB148" s="166"/>
      <c r="BC148" s="166"/>
      <c r="BD148" s="166"/>
      <c r="BE148" s="166"/>
      <c r="BF148" s="165"/>
      <c r="BG148" s="166"/>
      <c r="BH148" s="166"/>
      <c r="BI148" s="166"/>
      <c r="BJ148" s="166"/>
      <c r="BK148" s="167"/>
    </row>
    <row r="149" spans="1:63" s="46" customFormat="1" ht="15" customHeight="1" x14ac:dyDescent="0.2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9"/>
      <c r="M149" s="51"/>
      <c r="N149" s="51"/>
      <c r="O149" s="51"/>
      <c r="P149" s="51"/>
      <c r="Q149" s="51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7"/>
      <c r="AV149" s="8"/>
      <c r="AW149" s="8"/>
      <c r="AX149" s="8"/>
      <c r="AY149" s="8"/>
      <c r="AZ149" s="8"/>
      <c r="BA149" s="8"/>
      <c r="BB149" s="8"/>
      <c r="BC149" s="8"/>
      <c r="BD149" s="8"/>
      <c r="BE149" s="9"/>
      <c r="BF149" s="171" t="s">
        <v>159</v>
      </c>
      <c r="BG149" s="172"/>
      <c r="BH149" s="172"/>
      <c r="BI149" s="172"/>
      <c r="BJ149" s="172"/>
      <c r="BK149" s="173"/>
    </row>
    <row r="150" spans="1:63" s="46" customFormat="1" ht="15" customHeight="1" x14ac:dyDescent="0.25">
      <c r="A150" s="10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1"/>
      <c r="M150" s="51"/>
      <c r="N150" s="21" t="s">
        <v>138</v>
      </c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10"/>
      <c r="AV150" s="18"/>
      <c r="AW150" s="18"/>
      <c r="AX150" s="18"/>
      <c r="AY150" s="18"/>
      <c r="AZ150" s="18"/>
      <c r="BA150" s="18"/>
      <c r="BB150" s="18"/>
      <c r="BC150" s="18"/>
      <c r="BD150" s="18"/>
      <c r="BE150" s="11"/>
      <c r="BF150" s="174"/>
      <c r="BG150" s="175"/>
      <c r="BH150" s="175"/>
      <c r="BI150" s="175"/>
      <c r="BJ150" s="175"/>
      <c r="BK150" s="176"/>
    </row>
    <row r="151" spans="1:63" s="46" customFormat="1" ht="15" customHeight="1" x14ac:dyDescent="0.25">
      <c r="A151" s="10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1"/>
      <c r="M151" s="53"/>
      <c r="N151" s="51"/>
      <c r="O151" s="54" t="s">
        <v>14</v>
      </c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10"/>
      <c r="AV151" s="18"/>
      <c r="AW151" s="18"/>
      <c r="AX151" s="18"/>
      <c r="AY151" s="18"/>
      <c r="AZ151" s="18"/>
      <c r="BA151" s="18"/>
      <c r="BB151" s="18"/>
      <c r="BC151" s="18"/>
      <c r="BD151" s="18"/>
      <c r="BE151" s="11"/>
      <c r="BF151" s="174"/>
      <c r="BG151" s="175"/>
      <c r="BH151" s="175"/>
      <c r="BI151" s="175"/>
      <c r="BJ151" s="175"/>
      <c r="BK151" s="176"/>
    </row>
    <row r="152" spans="1:63" s="46" customFormat="1" ht="15" customHeight="1" x14ac:dyDescent="0.25">
      <c r="A152" s="10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1"/>
      <c r="M152" s="51"/>
      <c r="O152" s="54"/>
      <c r="P152" s="54" t="s">
        <v>129</v>
      </c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10"/>
      <c r="AV152" s="18"/>
      <c r="AW152" s="18"/>
      <c r="AX152" s="18"/>
      <c r="AY152" s="18"/>
      <c r="AZ152" s="18"/>
      <c r="BA152" s="18"/>
      <c r="BB152" s="18"/>
      <c r="BC152" s="18"/>
      <c r="BD152" s="18"/>
      <c r="BE152" s="11"/>
      <c r="BF152" s="174"/>
      <c r="BG152" s="175"/>
      <c r="BH152" s="175"/>
      <c r="BI152" s="175"/>
      <c r="BJ152" s="175"/>
      <c r="BK152" s="176"/>
    </row>
    <row r="153" spans="1:63" s="46" customFormat="1" ht="15" customHeight="1" x14ac:dyDescent="0.25">
      <c r="A153" s="10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1"/>
      <c r="M153" s="51"/>
      <c r="N153" s="51"/>
      <c r="O153" s="54"/>
      <c r="P153" s="54"/>
      <c r="Q153" s="54" t="s">
        <v>41</v>
      </c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10"/>
      <c r="AV153" s="18"/>
      <c r="AW153" s="18"/>
      <c r="AX153" s="18"/>
      <c r="AY153" s="18"/>
      <c r="AZ153" s="18"/>
      <c r="BA153" s="18"/>
      <c r="BB153" s="18"/>
      <c r="BC153" s="18"/>
      <c r="BD153" s="18"/>
      <c r="BE153" s="11"/>
      <c r="BF153" s="174"/>
      <c r="BG153" s="175"/>
      <c r="BH153" s="175"/>
      <c r="BI153" s="175"/>
      <c r="BJ153" s="175"/>
      <c r="BK153" s="176"/>
    </row>
    <row r="154" spans="1:63" s="46" customFormat="1" ht="15" customHeight="1" x14ac:dyDescent="0.25">
      <c r="A154" s="10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1"/>
      <c r="M154" s="51"/>
      <c r="N154" s="51"/>
      <c r="O154" s="54"/>
      <c r="P154" s="54"/>
      <c r="Q154" s="54" t="s">
        <v>40</v>
      </c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10"/>
      <c r="AV154" s="18"/>
      <c r="AW154" s="18"/>
      <c r="AX154" s="18"/>
      <c r="AY154" s="18"/>
      <c r="AZ154" s="18"/>
      <c r="BA154" s="18"/>
      <c r="BB154" s="18"/>
      <c r="BC154" s="18"/>
      <c r="BD154" s="18"/>
      <c r="BE154" s="11"/>
      <c r="BF154" s="174"/>
      <c r="BG154" s="175"/>
      <c r="BH154" s="175"/>
      <c r="BI154" s="175"/>
      <c r="BJ154" s="175"/>
      <c r="BK154" s="176"/>
    </row>
    <row r="155" spans="1:63" s="46" customFormat="1" ht="15" customHeight="1" x14ac:dyDescent="0.25">
      <c r="A155" s="10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1"/>
      <c r="M155" s="51"/>
      <c r="N155" s="51"/>
      <c r="O155" s="54"/>
      <c r="P155" s="54"/>
      <c r="Q155" s="54" t="s">
        <v>42</v>
      </c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10"/>
      <c r="AV155" s="18"/>
      <c r="AW155" s="18"/>
      <c r="AX155" s="18"/>
      <c r="AY155" s="18"/>
      <c r="AZ155" s="18"/>
      <c r="BA155" s="18"/>
      <c r="BB155" s="18"/>
      <c r="BC155" s="18"/>
      <c r="BD155" s="18"/>
      <c r="BE155" s="11"/>
      <c r="BF155" s="174"/>
      <c r="BG155" s="175"/>
      <c r="BH155" s="175"/>
      <c r="BI155" s="175"/>
      <c r="BJ155" s="175"/>
      <c r="BK155" s="176"/>
    </row>
    <row r="156" spans="1:63" s="46" customFormat="1" ht="15" customHeight="1" x14ac:dyDescent="0.25">
      <c r="A156" s="10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1"/>
      <c r="M156" s="51"/>
      <c r="N156" s="51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10"/>
      <c r="AV156" s="18"/>
      <c r="AW156" s="18"/>
      <c r="AX156" s="18"/>
      <c r="AY156" s="18"/>
      <c r="AZ156" s="18"/>
      <c r="BA156" s="18"/>
      <c r="BB156" s="18"/>
      <c r="BC156" s="18"/>
      <c r="BD156" s="18"/>
      <c r="BE156" s="11"/>
      <c r="BF156" s="174"/>
      <c r="BG156" s="175"/>
      <c r="BH156" s="175"/>
      <c r="BI156" s="175"/>
      <c r="BJ156" s="175"/>
      <c r="BK156" s="176"/>
    </row>
    <row r="157" spans="1:63" s="46" customFormat="1" ht="15" customHeight="1" x14ac:dyDescent="0.25">
      <c r="A157" s="10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1"/>
      <c r="M157" s="51"/>
      <c r="N157" s="51"/>
      <c r="O157" s="54" t="s">
        <v>160</v>
      </c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10"/>
      <c r="AV157" s="18"/>
      <c r="AW157" s="18"/>
      <c r="AX157" s="18"/>
      <c r="AY157" s="18"/>
      <c r="AZ157" s="18"/>
      <c r="BA157" s="18"/>
      <c r="BB157" s="18"/>
      <c r="BC157" s="18"/>
      <c r="BD157" s="18"/>
      <c r="BE157" s="11"/>
      <c r="BF157" s="174"/>
      <c r="BG157" s="175"/>
      <c r="BH157" s="175"/>
      <c r="BI157" s="175"/>
      <c r="BJ157" s="175"/>
      <c r="BK157" s="176"/>
    </row>
    <row r="158" spans="1:63" s="46" customFormat="1" ht="15" customHeight="1" x14ac:dyDescent="0.25">
      <c r="A158" s="10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1"/>
      <c r="M158" s="51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10"/>
      <c r="AV158" s="18"/>
      <c r="AW158" s="18"/>
      <c r="AX158" s="18"/>
      <c r="AY158" s="18"/>
      <c r="AZ158" s="18"/>
      <c r="BA158" s="18"/>
      <c r="BB158" s="18"/>
      <c r="BC158" s="18"/>
      <c r="BD158" s="18"/>
      <c r="BE158" s="11"/>
      <c r="BF158" s="174"/>
      <c r="BG158" s="175"/>
      <c r="BH158" s="175"/>
      <c r="BI158" s="175"/>
      <c r="BJ158" s="175"/>
      <c r="BK158" s="176"/>
    </row>
    <row r="159" spans="1:63" s="46" customFormat="1" ht="15" customHeight="1" x14ac:dyDescent="0.25">
      <c r="A159" s="10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1"/>
      <c r="M159" s="51"/>
      <c r="N159" s="25" t="s">
        <v>161</v>
      </c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10"/>
      <c r="AV159" s="18"/>
      <c r="AW159" s="18"/>
      <c r="AX159" s="18"/>
      <c r="AY159" s="18"/>
      <c r="AZ159" s="18"/>
      <c r="BA159" s="18"/>
      <c r="BB159" s="18"/>
      <c r="BC159" s="18"/>
      <c r="BD159" s="18"/>
      <c r="BE159" s="11"/>
      <c r="BF159" s="174"/>
      <c r="BG159" s="175"/>
      <c r="BH159" s="175"/>
      <c r="BI159" s="175"/>
      <c r="BJ159" s="175"/>
      <c r="BK159" s="176"/>
    </row>
    <row r="160" spans="1:63" s="46" customFormat="1" ht="15" customHeight="1" x14ac:dyDescent="0.25">
      <c r="A160" s="10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1"/>
      <c r="M160" s="51"/>
      <c r="N160" s="51"/>
      <c r="O160" s="54" t="s">
        <v>68</v>
      </c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10"/>
      <c r="AV160" s="18"/>
      <c r="AW160" s="18"/>
      <c r="AX160" s="18"/>
      <c r="AY160" s="18"/>
      <c r="AZ160" s="18"/>
      <c r="BA160" s="18"/>
      <c r="BB160" s="18"/>
      <c r="BC160" s="18"/>
      <c r="BD160" s="18"/>
      <c r="BE160" s="11"/>
      <c r="BF160" s="174"/>
      <c r="BG160" s="175"/>
      <c r="BH160" s="175"/>
      <c r="BI160" s="175"/>
      <c r="BJ160" s="175"/>
      <c r="BK160" s="176"/>
    </row>
    <row r="161" spans="1:63" s="46" customFormat="1" ht="15" customHeight="1" x14ac:dyDescent="0.25">
      <c r="A161" s="10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1"/>
      <c r="M161" s="51"/>
      <c r="N161" s="51"/>
      <c r="O161" s="54"/>
      <c r="P161" s="26" t="s">
        <v>11</v>
      </c>
      <c r="Q161" s="27"/>
      <c r="R161" s="27"/>
      <c r="S161" s="27"/>
      <c r="T161" s="27"/>
      <c r="U161" s="27"/>
      <c r="V161" s="27"/>
      <c r="W161" s="26" t="s">
        <v>12</v>
      </c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8"/>
      <c r="AN161" s="51"/>
      <c r="AO161" s="51"/>
      <c r="AP161" s="51"/>
      <c r="AQ161" s="51"/>
      <c r="AR161" s="51"/>
      <c r="AS161" s="51"/>
      <c r="AT161" s="51"/>
      <c r="AU161" s="10"/>
      <c r="AV161" s="18"/>
      <c r="AW161" s="18"/>
      <c r="AX161" s="18"/>
      <c r="AY161" s="18"/>
      <c r="AZ161" s="18"/>
      <c r="BA161" s="18"/>
      <c r="BB161" s="18"/>
      <c r="BC161" s="18"/>
      <c r="BD161" s="18"/>
      <c r="BE161" s="11"/>
      <c r="BF161" s="174"/>
      <c r="BG161" s="175"/>
      <c r="BH161" s="175"/>
      <c r="BI161" s="175"/>
      <c r="BJ161" s="175"/>
      <c r="BK161" s="176"/>
    </row>
    <row r="162" spans="1:63" s="46" customFormat="1" ht="15" customHeight="1" x14ac:dyDescent="0.25">
      <c r="A162" s="10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1"/>
      <c r="M162" s="51"/>
      <c r="N162" s="51"/>
      <c r="O162" s="54"/>
      <c r="P162" s="58" t="s">
        <v>16</v>
      </c>
      <c r="Q162" s="59"/>
      <c r="R162" s="59"/>
      <c r="S162" s="59"/>
      <c r="T162" s="59"/>
      <c r="U162" s="59"/>
      <c r="V162" s="59"/>
      <c r="W162" s="177" t="s">
        <v>17</v>
      </c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78"/>
      <c r="AI162" s="178"/>
      <c r="AJ162" s="178"/>
      <c r="AK162" s="178"/>
      <c r="AL162" s="178"/>
      <c r="AM162" s="179"/>
      <c r="AN162" s="51"/>
      <c r="AO162" s="51"/>
      <c r="AP162" s="51"/>
      <c r="AQ162" s="51"/>
      <c r="AR162" s="51"/>
      <c r="AS162" s="51"/>
      <c r="AT162" s="51"/>
      <c r="AU162" s="10"/>
      <c r="AV162" s="18"/>
      <c r="AW162" s="18"/>
      <c r="AX162" s="18"/>
      <c r="AY162" s="18"/>
      <c r="AZ162" s="18"/>
      <c r="BA162" s="18"/>
      <c r="BB162" s="18"/>
      <c r="BC162" s="18"/>
      <c r="BD162" s="18"/>
      <c r="BE162" s="11"/>
      <c r="BF162" s="174"/>
      <c r="BG162" s="175"/>
      <c r="BH162" s="175"/>
      <c r="BI162" s="175"/>
      <c r="BJ162" s="175"/>
      <c r="BK162" s="176"/>
    </row>
    <row r="163" spans="1:63" s="46" customFormat="1" ht="15" customHeight="1" x14ac:dyDescent="0.25">
      <c r="A163" s="10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1"/>
      <c r="M163" s="51"/>
      <c r="N163" s="51"/>
      <c r="O163" s="54"/>
      <c r="P163" s="58" t="s">
        <v>44</v>
      </c>
      <c r="Q163" s="59"/>
      <c r="R163" s="59"/>
      <c r="S163" s="59"/>
      <c r="T163" s="59"/>
      <c r="U163" s="59"/>
      <c r="V163" s="59"/>
      <c r="W163" s="177" t="s">
        <v>45</v>
      </c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78"/>
      <c r="AI163" s="178"/>
      <c r="AJ163" s="178"/>
      <c r="AK163" s="178"/>
      <c r="AL163" s="178"/>
      <c r="AM163" s="179"/>
      <c r="AN163" s="51"/>
      <c r="AO163" s="51"/>
      <c r="AP163" s="51"/>
      <c r="AQ163" s="51"/>
      <c r="AR163" s="51"/>
      <c r="AS163" s="51"/>
      <c r="AT163" s="51"/>
      <c r="AU163" s="10"/>
      <c r="AV163" s="18"/>
      <c r="AW163" s="18"/>
      <c r="AX163" s="18"/>
      <c r="AY163" s="18"/>
      <c r="AZ163" s="18"/>
      <c r="BA163" s="18"/>
      <c r="BB163" s="18"/>
      <c r="BC163" s="18"/>
      <c r="BD163" s="18"/>
      <c r="BE163" s="11"/>
      <c r="BF163" s="174"/>
      <c r="BG163" s="175"/>
      <c r="BH163" s="175"/>
      <c r="BI163" s="175"/>
      <c r="BJ163" s="175"/>
      <c r="BK163" s="176"/>
    </row>
    <row r="164" spans="1:63" s="46" customFormat="1" ht="15" customHeight="1" x14ac:dyDescent="0.25">
      <c r="A164" s="10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1"/>
      <c r="M164" s="51"/>
      <c r="N164" s="51"/>
      <c r="O164" s="54"/>
      <c r="P164" s="58" t="s">
        <v>46</v>
      </c>
      <c r="Q164" s="59"/>
      <c r="R164" s="59"/>
      <c r="S164" s="59"/>
      <c r="T164" s="59"/>
      <c r="U164" s="59"/>
      <c r="V164" s="59"/>
      <c r="W164" s="177" t="s">
        <v>47</v>
      </c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78"/>
      <c r="AI164" s="178"/>
      <c r="AJ164" s="178"/>
      <c r="AK164" s="178"/>
      <c r="AL164" s="178"/>
      <c r="AM164" s="179"/>
      <c r="AN164" s="51"/>
      <c r="AO164" s="51"/>
      <c r="AP164" s="51"/>
      <c r="AQ164" s="51"/>
      <c r="AR164" s="51"/>
      <c r="AS164" s="51"/>
      <c r="AT164" s="51"/>
      <c r="AU164" s="10"/>
      <c r="AV164" s="18"/>
      <c r="AW164" s="18"/>
      <c r="AX164" s="18"/>
      <c r="AY164" s="18"/>
      <c r="AZ164" s="18"/>
      <c r="BA164" s="18"/>
      <c r="BB164" s="18"/>
      <c r="BC164" s="18"/>
      <c r="BD164" s="18"/>
      <c r="BE164" s="11"/>
      <c r="BF164" s="174"/>
      <c r="BG164" s="175"/>
      <c r="BH164" s="175"/>
      <c r="BI164" s="175"/>
      <c r="BJ164" s="175"/>
      <c r="BK164" s="176"/>
    </row>
    <row r="165" spans="1:63" s="46" customFormat="1" ht="15" customHeight="1" x14ac:dyDescent="0.25">
      <c r="A165" s="10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1"/>
      <c r="M165" s="51"/>
      <c r="N165" s="51"/>
      <c r="O165" s="54"/>
      <c r="P165" s="58" t="s">
        <v>69</v>
      </c>
      <c r="Q165" s="59"/>
      <c r="R165" s="59"/>
      <c r="S165" s="59"/>
      <c r="T165" s="59"/>
      <c r="U165" s="59"/>
      <c r="V165" s="59"/>
      <c r="W165" s="177" t="s">
        <v>96</v>
      </c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78"/>
      <c r="AI165" s="178"/>
      <c r="AJ165" s="178"/>
      <c r="AK165" s="178"/>
      <c r="AL165" s="178"/>
      <c r="AM165" s="179"/>
      <c r="AN165" s="51"/>
      <c r="AO165" s="51"/>
      <c r="AP165" s="51"/>
      <c r="AQ165" s="51"/>
      <c r="AR165" s="51"/>
      <c r="AS165" s="51"/>
      <c r="AT165" s="51"/>
      <c r="AU165" s="10"/>
      <c r="AV165" s="18"/>
      <c r="AW165" s="18"/>
      <c r="AX165" s="18"/>
      <c r="AY165" s="18"/>
      <c r="AZ165" s="18"/>
      <c r="BA165" s="18"/>
      <c r="BB165" s="18"/>
      <c r="BC165" s="18"/>
      <c r="BD165" s="18"/>
      <c r="BE165" s="11"/>
      <c r="BF165" s="174"/>
      <c r="BG165" s="175"/>
      <c r="BH165" s="175"/>
      <c r="BI165" s="175"/>
      <c r="BJ165" s="175"/>
      <c r="BK165" s="176"/>
    </row>
    <row r="166" spans="1:63" s="46" customFormat="1" ht="15" customHeight="1" x14ac:dyDescent="0.25">
      <c r="A166" s="10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1"/>
      <c r="M166" s="51"/>
      <c r="N166" s="51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10"/>
      <c r="AV166" s="18"/>
      <c r="AW166" s="18"/>
      <c r="AX166" s="18"/>
      <c r="AY166" s="18"/>
      <c r="AZ166" s="18"/>
      <c r="BA166" s="18"/>
      <c r="BB166" s="18"/>
      <c r="BC166" s="18"/>
      <c r="BD166" s="18"/>
      <c r="BE166" s="11"/>
      <c r="BF166" s="174"/>
      <c r="BG166" s="175"/>
      <c r="BH166" s="175"/>
      <c r="BI166" s="175"/>
      <c r="BJ166" s="175"/>
      <c r="BK166" s="176"/>
    </row>
    <row r="167" spans="1:63" s="46" customFormat="1" ht="15" customHeight="1" x14ac:dyDescent="0.25">
      <c r="A167" s="10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1"/>
      <c r="M167" s="51"/>
      <c r="N167" s="51"/>
      <c r="O167" s="54"/>
      <c r="P167" s="54" t="s">
        <v>162</v>
      </c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10"/>
      <c r="AV167" s="18"/>
      <c r="AW167" s="18"/>
      <c r="AX167" s="18"/>
      <c r="AY167" s="18"/>
      <c r="AZ167" s="18"/>
      <c r="BA167" s="18"/>
      <c r="BB167" s="18"/>
      <c r="BC167" s="18"/>
      <c r="BD167" s="18"/>
      <c r="BE167" s="11"/>
      <c r="BF167" s="174"/>
      <c r="BG167" s="175"/>
      <c r="BH167" s="175"/>
      <c r="BI167" s="175"/>
      <c r="BJ167" s="175"/>
      <c r="BK167" s="176"/>
    </row>
    <row r="168" spans="1:63" s="46" customFormat="1" ht="15" customHeight="1" x14ac:dyDescent="0.25">
      <c r="A168" s="10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1"/>
      <c r="M168" s="51"/>
      <c r="N168" s="51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10"/>
      <c r="AV168" s="18"/>
      <c r="AW168" s="18"/>
      <c r="AX168" s="18"/>
      <c r="AY168" s="18"/>
      <c r="AZ168" s="18"/>
      <c r="BA168" s="18"/>
      <c r="BB168" s="18"/>
      <c r="BC168" s="18"/>
      <c r="BD168" s="18"/>
      <c r="BE168" s="11"/>
      <c r="BF168" s="174"/>
      <c r="BG168" s="175"/>
      <c r="BH168" s="175"/>
      <c r="BI168" s="175"/>
      <c r="BJ168" s="175"/>
      <c r="BK168" s="176"/>
    </row>
    <row r="169" spans="1:63" s="46" customFormat="1" ht="15" customHeight="1" x14ac:dyDescent="0.25">
      <c r="A169" s="10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1"/>
      <c r="M169" s="51"/>
      <c r="N169" s="51"/>
      <c r="O169" s="54" t="s">
        <v>13</v>
      </c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10"/>
      <c r="AV169" s="18"/>
      <c r="AW169" s="18"/>
      <c r="AX169" s="18"/>
      <c r="AY169" s="18"/>
      <c r="AZ169" s="18"/>
      <c r="BA169" s="18"/>
      <c r="BB169" s="18"/>
      <c r="BC169" s="18"/>
      <c r="BD169" s="18"/>
      <c r="BE169" s="11"/>
      <c r="BF169" s="174"/>
      <c r="BG169" s="175"/>
      <c r="BH169" s="175"/>
      <c r="BI169" s="175"/>
      <c r="BJ169" s="175"/>
      <c r="BK169" s="176"/>
    </row>
    <row r="170" spans="1:63" s="46" customFormat="1" ht="15" customHeight="1" x14ac:dyDescent="0.25">
      <c r="A170" s="10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1"/>
      <c r="M170" s="51"/>
      <c r="N170" s="51"/>
      <c r="O170" s="54"/>
      <c r="P170" s="54" t="s">
        <v>74</v>
      </c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10"/>
      <c r="AV170" s="18"/>
      <c r="AW170" s="18"/>
      <c r="AX170" s="18"/>
      <c r="AY170" s="18"/>
      <c r="AZ170" s="18"/>
      <c r="BA170" s="18"/>
      <c r="BB170" s="18"/>
      <c r="BC170" s="18"/>
      <c r="BD170" s="18"/>
      <c r="BE170" s="11"/>
      <c r="BF170" s="174"/>
      <c r="BG170" s="175"/>
      <c r="BH170" s="175"/>
      <c r="BI170" s="175"/>
      <c r="BJ170" s="175"/>
      <c r="BK170" s="176"/>
    </row>
    <row r="171" spans="1:63" s="46" customFormat="1" ht="15" customHeight="1" x14ac:dyDescent="0.25">
      <c r="A171" s="10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1"/>
      <c r="M171" s="51"/>
      <c r="N171" s="51"/>
      <c r="O171" s="54"/>
      <c r="P171" s="54"/>
      <c r="Q171" s="54" t="s">
        <v>72</v>
      </c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10"/>
      <c r="AV171" s="18"/>
      <c r="AW171" s="18"/>
      <c r="AX171" s="18"/>
      <c r="AY171" s="18"/>
      <c r="AZ171" s="18"/>
      <c r="BA171" s="18"/>
      <c r="BB171" s="18"/>
      <c r="BC171" s="18"/>
      <c r="BD171" s="18"/>
      <c r="BE171" s="11"/>
      <c r="BF171" s="174"/>
      <c r="BG171" s="175"/>
      <c r="BH171" s="175"/>
      <c r="BI171" s="175"/>
      <c r="BJ171" s="175"/>
      <c r="BK171" s="176"/>
    </row>
    <row r="172" spans="1:63" s="46" customFormat="1" ht="15" customHeight="1" x14ac:dyDescent="0.25">
      <c r="A172" s="10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1"/>
      <c r="M172" s="51"/>
      <c r="N172" s="51"/>
      <c r="O172" s="54"/>
      <c r="P172" s="54"/>
      <c r="Q172" s="54" t="s">
        <v>73</v>
      </c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10"/>
      <c r="AV172" s="18"/>
      <c r="AW172" s="18"/>
      <c r="AX172" s="18"/>
      <c r="AY172" s="18"/>
      <c r="AZ172" s="18"/>
      <c r="BA172" s="18"/>
      <c r="BB172" s="18"/>
      <c r="BC172" s="18"/>
      <c r="BD172" s="18"/>
      <c r="BE172" s="11"/>
      <c r="BF172" s="174"/>
      <c r="BG172" s="175"/>
      <c r="BH172" s="175"/>
      <c r="BI172" s="175"/>
      <c r="BJ172" s="175"/>
      <c r="BK172" s="176"/>
    </row>
    <row r="173" spans="1:63" s="46" customFormat="1" ht="15" customHeight="1" x14ac:dyDescent="0.25">
      <c r="A173" s="10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1"/>
      <c r="M173" s="51"/>
      <c r="N173" s="51"/>
      <c r="O173" s="54"/>
      <c r="P173" s="54"/>
      <c r="Q173" s="54"/>
      <c r="R173" s="54" t="s">
        <v>163</v>
      </c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10"/>
      <c r="AV173" s="18"/>
      <c r="AW173" s="18"/>
      <c r="AX173" s="18"/>
      <c r="AY173" s="18"/>
      <c r="AZ173" s="18"/>
      <c r="BA173" s="18"/>
      <c r="BB173" s="18"/>
      <c r="BC173" s="18"/>
      <c r="BD173" s="18"/>
      <c r="BE173" s="11"/>
      <c r="BF173" s="174"/>
      <c r="BG173" s="175"/>
      <c r="BH173" s="175"/>
      <c r="BI173" s="175"/>
      <c r="BJ173" s="175"/>
      <c r="BK173" s="176"/>
    </row>
    <row r="174" spans="1:63" s="46" customFormat="1" ht="15" customHeight="1" x14ac:dyDescent="0.25">
      <c r="A174" s="10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1"/>
      <c r="M174" s="51"/>
      <c r="N174" s="51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10"/>
      <c r="AV174" s="18"/>
      <c r="AW174" s="18"/>
      <c r="AX174" s="18"/>
      <c r="AY174" s="18"/>
      <c r="AZ174" s="18"/>
      <c r="BA174" s="18"/>
      <c r="BB174" s="18"/>
      <c r="BC174" s="18"/>
      <c r="BD174" s="18"/>
      <c r="BE174" s="11"/>
      <c r="BF174" s="174"/>
      <c r="BG174" s="175"/>
      <c r="BH174" s="175"/>
      <c r="BI174" s="175"/>
      <c r="BJ174" s="175"/>
      <c r="BK174" s="176"/>
    </row>
    <row r="175" spans="1:63" s="46" customFormat="1" ht="15" customHeight="1" x14ac:dyDescent="0.25">
      <c r="A175" s="10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1"/>
      <c r="M175" s="51"/>
      <c r="N175" s="51"/>
      <c r="O175" s="54"/>
      <c r="P175" s="54" t="s">
        <v>75</v>
      </c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10"/>
      <c r="AV175" s="18"/>
      <c r="AW175" s="18"/>
      <c r="AX175" s="18"/>
      <c r="AY175" s="18"/>
      <c r="AZ175" s="18"/>
      <c r="BA175" s="18"/>
      <c r="BB175" s="18"/>
      <c r="BC175" s="18"/>
      <c r="BD175" s="18"/>
      <c r="BE175" s="11"/>
      <c r="BF175" s="174"/>
      <c r="BG175" s="175"/>
      <c r="BH175" s="175"/>
      <c r="BI175" s="175"/>
      <c r="BJ175" s="175"/>
      <c r="BK175" s="176"/>
    </row>
    <row r="176" spans="1:63" s="46" customFormat="1" ht="15" customHeight="1" x14ac:dyDescent="0.25">
      <c r="A176" s="10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1"/>
      <c r="M176" s="51"/>
      <c r="N176" s="51"/>
      <c r="O176" s="54"/>
      <c r="P176" s="54"/>
      <c r="Q176" s="54" t="s">
        <v>164</v>
      </c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10"/>
      <c r="AV176" s="18"/>
      <c r="AW176" s="18"/>
      <c r="AX176" s="18"/>
      <c r="AY176" s="18"/>
      <c r="AZ176" s="18"/>
      <c r="BA176" s="18"/>
      <c r="BB176" s="18"/>
      <c r="BC176" s="18"/>
      <c r="BD176" s="18"/>
      <c r="BE176" s="11"/>
      <c r="BF176" s="174"/>
      <c r="BG176" s="175"/>
      <c r="BH176" s="175"/>
      <c r="BI176" s="175"/>
      <c r="BJ176" s="175"/>
      <c r="BK176" s="176"/>
    </row>
    <row r="177" spans="1:63" s="46" customFormat="1" ht="15" customHeight="1" x14ac:dyDescent="0.25">
      <c r="A177" s="1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1"/>
      <c r="M177" s="51"/>
      <c r="N177" s="51"/>
      <c r="O177" s="54"/>
      <c r="P177" s="54"/>
      <c r="Q177" s="54" t="s">
        <v>102</v>
      </c>
      <c r="R177" s="54"/>
      <c r="S177" s="54"/>
      <c r="T177" s="54"/>
      <c r="U177" s="54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10"/>
      <c r="AV177" s="18"/>
      <c r="AW177" s="18"/>
      <c r="AX177" s="18"/>
      <c r="AY177" s="18"/>
      <c r="AZ177" s="18"/>
      <c r="BA177" s="18"/>
      <c r="BB177" s="18"/>
      <c r="BC177" s="18"/>
      <c r="BD177" s="18"/>
      <c r="BE177" s="11"/>
      <c r="BF177" s="174"/>
      <c r="BG177" s="175"/>
      <c r="BH177" s="175"/>
      <c r="BI177" s="175"/>
      <c r="BJ177" s="175"/>
      <c r="BK177" s="176"/>
    </row>
    <row r="178" spans="1:63" s="46" customFormat="1" ht="15" customHeight="1" x14ac:dyDescent="0.25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4"/>
      <c r="M178" s="55"/>
      <c r="N178" s="56"/>
      <c r="O178" s="56"/>
      <c r="P178" s="56"/>
      <c r="Q178" s="56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57"/>
      <c r="AQ178" s="57"/>
      <c r="AR178" s="57"/>
      <c r="AS178" s="57"/>
      <c r="AT178" s="57"/>
      <c r="AU178" s="12"/>
      <c r="AV178" s="13"/>
      <c r="AW178" s="13"/>
      <c r="AX178" s="13"/>
      <c r="AY178" s="13"/>
      <c r="AZ178" s="13"/>
      <c r="BA178" s="13"/>
      <c r="BB178" s="13"/>
      <c r="BC178" s="13"/>
      <c r="BD178" s="13"/>
      <c r="BE178" s="14"/>
      <c r="BF178" s="168"/>
      <c r="BG178" s="169"/>
      <c r="BH178" s="169"/>
      <c r="BI178" s="169"/>
      <c r="BJ178" s="169"/>
      <c r="BK178" s="170"/>
    </row>
    <row r="179" spans="1:63" ht="15" customHeight="1" x14ac:dyDescent="0.25">
      <c r="A179" s="20"/>
      <c r="BK179" s="5"/>
    </row>
    <row r="180" spans="1:63" ht="15" customHeight="1" x14ac:dyDescent="0.25">
      <c r="A180" s="20"/>
      <c r="BK180" s="5"/>
    </row>
    <row r="181" spans="1:63" ht="15" customHeight="1" x14ac:dyDescent="0.25">
      <c r="A181" s="20"/>
      <c r="BK181" s="5"/>
    </row>
    <row r="182" spans="1:63" ht="15" customHeight="1" x14ac:dyDescent="0.25">
      <c r="A182" s="20"/>
      <c r="BK182" s="5"/>
    </row>
    <row r="183" spans="1:63" s="46" customFormat="1" ht="15" customHeight="1" x14ac:dyDescent="0.25">
      <c r="A183" s="159" t="s">
        <v>3</v>
      </c>
      <c r="B183" s="160"/>
      <c r="C183" s="160"/>
      <c r="D183" s="160"/>
      <c r="E183" s="160"/>
      <c r="F183" s="161"/>
      <c r="G183" s="133" t="s">
        <v>97</v>
      </c>
      <c r="H183" s="133"/>
      <c r="I183" s="133"/>
      <c r="J183" s="133"/>
      <c r="K183" s="133"/>
      <c r="L183" s="133"/>
      <c r="M183" s="48" t="s">
        <v>88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49"/>
      <c r="BI183" s="49"/>
      <c r="BJ183" s="49"/>
      <c r="BK183" s="50"/>
    </row>
    <row r="184" spans="1:63" s="46" customFormat="1" ht="15" customHeight="1" x14ac:dyDescent="0.25">
      <c r="A184" s="162" t="s">
        <v>4</v>
      </c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4"/>
      <c r="M184" s="162" t="s">
        <v>5</v>
      </c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4"/>
      <c r="AU184" s="162" t="s">
        <v>6</v>
      </c>
      <c r="AV184" s="163"/>
      <c r="AW184" s="163"/>
      <c r="AX184" s="163"/>
      <c r="AY184" s="163"/>
      <c r="AZ184" s="163"/>
      <c r="BA184" s="163"/>
      <c r="BB184" s="163"/>
      <c r="BC184" s="163"/>
      <c r="BD184" s="163"/>
      <c r="BE184" s="163"/>
      <c r="BF184" s="162" t="s">
        <v>7</v>
      </c>
      <c r="BG184" s="163"/>
      <c r="BH184" s="163"/>
      <c r="BI184" s="163"/>
      <c r="BJ184" s="163"/>
      <c r="BK184" s="164"/>
    </row>
    <row r="185" spans="1:63" s="46" customFormat="1" ht="15" customHeight="1" x14ac:dyDescent="0.25">
      <c r="A185" s="165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7"/>
      <c r="M185" s="165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  <c r="AH185" s="166"/>
      <c r="AI185" s="166"/>
      <c r="AJ185" s="166"/>
      <c r="AK185" s="166"/>
      <c r="AL185" s="166"/>
      <c r="AM185" s="166"/>
      <c r="AN185" s="166"/>
      <c r="AO185" s="166"/>
      <c r="AP185" s="166"/>
      <c r="AQ185" s="166"/>
      <c r="AR185" s="166"/>
      <c r="AS185" s="166"/>
      <c r="AT185" s="167"/>
      <c r="AU185" s="165"/>
      <c r="AV185" s="166"/>
      <c r="AW185" s="166"/>
      <c r="AX185" s="166"/>
      <c r="AY185" s="166"/>
      <c r="AZ185" s="166"/>
      <c r="BA185" s="166"/>
      <c r="BB185" s="166"/>
      <c r="BC185" s="166"/>
      <c r="BD185" s="166"/>
      <c r="BE185" s="166"/>
      <c r="BF185" s="165"/>
      <c r="BG185" s="166"/>
      <c r="BH185" s="166"/>
      <c r="BI185" s="166"/>
      <c r="BJ185" s="166"/>
      <c r="BK185" s="167"/>
    </row>
    <row r="186" spans="1:63" s="46" customFormat="1" ht="15" customHeight="1" x14ac:dyDescent="0.2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9"/>
      <c r="M186" s="51"/>
      <c r="N186" s="51"/>
      <c r="O186" s="51"/>
      <c r="P186" s="51"/>
      <c r="Q186" s="51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7"/>
      <c r="AV186" s="8"/>
      <c r="AW186" s="8"/>
      <c r="AX186" s="8"/>
      <c r="AY186" s="8"/>
      <c r="AZ186" s="8"/>
      <c r="BA186" s="8"/>
      <c r="BB186" s="8"/>
      <c r="BC186" s="8"/>
      <c r="BD186" s="8"/>
      <c r="BE186" s="9"/>
      <c r="BF186" s="171" t="s">
        <v>145</v>
      </c>
      <c r="BG186" s="172"/>
      <c r="BH186" s="172"/>
      <c r="BI186" s="172"/>
      <c r="BJ186" s="172"/>
      <c r="BK186" s="173"/>
    </row>
    <row r="187" spans="1:63" s="46" customFormat="1" ht="15" customHeight="1" x14ac:dyDescent="0.25">
      <c r="A187" s="10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1"/>
      <c r="M187" s="51"/>
      <c r="N187" s="21" t="s">
        <v>139</v>
      </c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10"/>
      <c r="AV187" s="18"/>
      <c r="AW187" s="18"/>
      <c r="AX187" s="18"/>
      <c r="AY187" s="18"/>
      <c r="AZ187" s="18"/>
      <c r="BA187" s="18"/>
      <c r="BB187" s="18"/>
      <c r="BC187" s="18"/>
      <c r="BD187" s="18"/>
      <c r="BE187" s="11"/>
      <c r="BF187" s="174"/>
      <c r="BG187" s="175"/>
      <c r="BH187" s="175"/>
      <c r="BI187" s="175"/>
      <c r="BJ187" s="175"/>
      <c r="BK187" s="176"/>
    </row>
    <row r="188" spans="1:63" s="46" customFormat="1" ht="15" customHeight="1" x14ac:dyDescent="0.25">
      <c r="A188" s="10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1"/>
      <c r="M188" s="51"/>
      <c r="N188" s="51"/>
      <c r="O188" s="54" t="s">
        <v>14</v>
      </c>
      <c r="P188" s="54"/>
      <c r="Q188" s="54"/>
      <c r="R188" s="54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10"/>
      <c r="AV188" s="18"/>
      <c r="AW188" s="18"/>
      <c r="AX188" s="18"/>
      <c r="AY188" s="18"/>
      <c r="AZ188" s="18"/>
      <c r="BA188" s="18"/>
      <c r="BB188" s="18"/>
      <c r="BC188" s="18"/>
      <c r="BD188" s="18"/>
      <c r="BE188" s="11"/>
      <c r="BF188" s="174"/>
      <c r="BG188" s="175"/>
      <c r="BH188" s="175"/>
      <c r="BI188" s="175"/>
      <c r="BJ188" s="175"/>
      <c r="BK188" s="176"/>
    </row>
    <row r="189" spans="1:63" s="46" customFormat="1" ht="15" customHeight="1" x14ac:dyDescent="0.25">
      <c r="A189" s="10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1"/>
      <c r="M189" s="51"/>
      <c r="N189" s="51"/>
      <c r="O189" s="54"/>
      <c r="P189" s="54" t="s">
        <v>140</v>
      </c>
      <c r="Q189" s="54"/>
      <c r="R189" s="54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10"/>
      <c r="AV189" s="18"/>
      <c r="AW189" s="18"/>
      <c r="AX189" s="18"/>
      <c r="AY189" s="18"/>
      <c r="AZ189" s="18"/>
      <c r="BA189" s="18"/>
      <c r="BB189" s="18"/>
      <c r="BC189" s="18"/>
      <c r="BD189" s="18"/>
      <c r="BE189" s="11"/>
      <c r="BF189" s="174"/>
      <c r="BG189" s="175"/>
      <c r="BH189" s="175"/>
      <c r="BI189" s="175"/>
      <c r="BJ189" s="175"/>
      <c r="BK189" s="176"/>
    </row>
    <row r="190" spans="1:63" s="46" customFormat="1" ht="15" customHeight="1" x14ac:dyDescent="0.25">
      <c r="A190" s="10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1"/>
      <c r="M190" s="51"/>
      <c r="N190" s="51"/>
      <c r="O190" s="54"/>
      <c r="P190" s="54"/>
      <c r="Q190" s="54" t="s">
        <v>41</v>
      </c>
      <c r="R190" s="54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10"/>
      <c r="AV190" s="18"/>
      <c r="AW190" s="18"/>
      <c r="AX190" s="18"/>
      <c r="AY190" s="18"/>
      <c r="AZ190" s="18"/>
      <c r="BA190" s="18"/>
      <c r="BB190" s="18"/>
      <c r="BC190" s="18"/>
      <c r="BD190" s="18"/>
      <c r="BE190" s="11"/>
      <c r="BF190" s="174"/>
      <c r="BG190" s="175"/>
      <c r="BH190" s="175"/>
      <c r="BI190" s="175"/>
      <c r="BJ190" s="175"/>
      <c r="BK190" s="176"/>
    </row>
    <row r="191" spans="1:63" s="46" customFormat="1" ht="15" customHeight="1" x14ac:dyDescent="0.25">
      <c r="A191" s="10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1"/>
      <c r="M191" s="51"/>
      <c r="N191" s="51"/>
      <c r="O191" s="54"/>
      <c r="P191" s="54"/>
      <c r="Q191" s="54" t="s">
        <v>87</v>
      </c>
      <c r="R191" s="54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10"/>
      <c r="AV191" s="18"/>
      <c r="AW191" s="18"/>
      <c r="AX191" s="18"/>
      <c r="AY191" s="18"/>
      <c r="AZ191" s="18"/>
      <c r="BA191" s="18"/>
      <c r="BB191" s="18"/>
      <c r="BC191" s="18"/>
      <c r="BD191" s="18"/>
      <c r="BE191" s="11"/>
      <c r="BF191" s="174"/>
      <c r="BG191" s="175"/>
      <c r="BH191" s="175"/>
      <c r="BI191" s="175"/>
      <c r="BJ191" s="175"/>
      <c r="BK191" s="176"/>
    </row>
    <row r="192" spans="1:63" s="46" customFormat="1" ht="15" customHeight="1" x14ac:dyDescent="0.25">
      <c r="A192" s="10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1"/>
      <c r="M192" s="51"/>
      <c r="N192" s="51"/>
      <c r="O192" s="54"/>
      <c r="P192" s="54"/>
      <c r="Q192" s="54"/>
      <c r="R192" s="54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10"/>
      <c r="AV192" s="18"/>
      <c r="AW192" s="18"/>
      <c r="AX192" s="18"/>
      <c r="AY192" s="18"/>
      <c r="AZ192" s="18"/>
      <c r="BA192" s="18"/>
      <c r="BB192" s="18"/>
      <c r="BC192" s="18"/>
      <c r="BD192" s="18"/>
      <c r="BE192" s="11"/>
      <c r="BF192" s="174"/>
      <c r="BG192" s="175"/>
      <c r="BH192" s="175"/>
      <c r="BI192" s="175"/>
      <c r="BJ192" s="175"/>
      <c r="BK192" s="176"/>
    </row>
    <row r="193" spans="1:63" s="46" customFormat="1" ht="15" customHeight="1" x14ac:dyDescent="0.25">
      <c r="A193" s="10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1"/>
      <c r="M193" s="51"/>
      <c r="N193" s="51"/>
      <c r="O193" s="54" t="s">
        <v>151</v>
      </c>
      <c r="P193" s="54"/>
      <c r="Q193" s="54"/>
      <c r="R193" s="54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10"/>
      <c r="AV193" s="18"/>
      <c r="AW193" s="18"/>
      <c r="AX193" s="18"/>
      <c r="AY193" s="18"/>
      <c r="AZ193" s="18"/>
      <c r="BA193" s="18"/>
      <c r="BB193" s="18"/>
      <c r="BC193" s="18"/>
      <c r="BD193" s="18"/>
      <c r="BE193" s="11"/>
      <c r="BF193" s="174"/>
      <c r="BG193" s="175"/>
      <c r="BH193" s="175"/>
      <c r="BI193" s="175"/>
      <c r="BJ193" s="175"/>
      <c r="BK193" s="176"/>
    </row>
    <row r="194" spans="1:63" s="46" customFormat="1" ht="15" customHeight="1" x14ac:dyDescent="0.25">
      <c r="A194" s="10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1"/>
      <c r="M194" s="51"/>
      <c r="N194" s="21" t="s">
        <v>141</v>
      </c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10"/>
      <c r="AV194" s="18"/>
      <c r="AW194" s="18"/>
      <c r="AX194" s="18"/>
      <c r="AY194" s="18"/>
      <c r="AZ194" s="18"/>
      <c r="BA194" s="18"/>
      <c r="BB194" s="18"/>
      <c r="BC194" s="18"/>
      <c r="BD194" s="18"/>
      <c r="BE194" s="11"/>
      <c r="BF194" s="174"/>
      <c r="BG194" s="175"/>
      <c r="BH194" s="175"/>
      <c r="BI194" s="175"/>
      <c r="BJ194" s="175"/>
      <c r="BK194" s="176"/>
    </row>
    <row r="195" spans="1:63" s="46" customFormat="1" ht="15" customHeight="1" x14ac:dyDescent="0.25">
      <c r="A195" s="10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1"/>
      <c r="M195" s="53"/>
      <c r="N195" s="51"/>
      <c r="O195" s="54" t="s">
        <v>83</v>
      </c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10"/>
      <c r="AV195" s="18"/>
      <c r="AW195" s="18"/>
      <c r="AX195" s="18"/>
      <c r="AY195" s="18"/>
      <c r="AZ195" s="18"/>
      <c r="BA195" s="18"/>
      <c r="BB195" s="18"/>
      <c r="BC195" s="18"/>
      <c r="BD195" s="18"/>
      <c r="BE195" s="11"/>
      <c r="BF195" s="174"/>
      <c r="BG195" s="175"/>
      <c r="BH195" s="175"/>
      <c r="BI195" s="175"/>
      <c r="BJ195" s="175"/>
      <c r="BK195" s="176"/>
    </row>
    <row r="196" spans="1:63" s="46" customFormat="1" ht="15" customHeight="1" x14ac:dyDescent="0.25">
      <c r="A196" s="10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1"/>
      <c r="M196" s="51"/>
      <c r="O196" s="54"/>
      <c r="P196" s="26" t="s">
        <v>11</v>
      </c>
      <c r="Q196" s="27"/>
      <c r="R196" s="27"/>
      <c r="S196" s="27"/>
      <c r="T196" s="27"/>
      <c r="U196" s="27"/>
      <c r="V196" s="27"/>
      <c r="W196" s="26" t="s">
        <v>12</v>
      </c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8"/>
      <c r="AN196" s="51"/>
      <c r="AO196" s="51"/>
      <c r="AP196" s="51"/>
      <c r="AQ196" s="51"/>
      <c r="AR196" s="51"/>
      <c r="AS196" s="51"/>
      <c r="AT196" s="51"/>
      <c r="AU196" s="10"/>
      <c r="AV196" s="18"/>
      <c r="AW196" s="18"/>
      <c r="AX196" s="18"/>
      <c r="AY196" s="18"/>
      <c r="AZ196" s="18"/>
      <c r="BA196" s="18"/>
      <c r="BB196" s="18"/>
      <c r="BC196" s="18"/>
      <c r="BD196" s="18"/>
      <c r="BE196" s="11"/>
      <c r="BF196" s="174"/>
      <c r="BG196" s="175"/>
      <c r="BH196" s="175"/>
      <c r="BI196" s="175"/>
      <c r="BJ196" s="175"/>
      <c r="BK196" s="176"/>
    </row>
    <row r="197" spans="1:63" s="46" customFormat="1" ht="15" customHeight="1" x14ac:dyDescent="0.25">
      <c r="A197" s="10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1"/>
      <c r="M197" s="51"/>
      <c r="N197" s="51"/>
      <c r="O197" s="54"/>
      <c r="P197" s="58" t="s">
        <v>15</v>
      </c>
      <c r="Q197" s="59"/>
      <c r="R197" s="59"/>
      <c r="S197" s="59"/>
      <c r="T197" s="59"/>
      <c r="U197" s="59"/>
      <c r="V197" s="59"/>
      <c r="W197" s="177" t="s">
        <v>18</v>
      </c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8"/>
      <c r="AH197" s="178"/>
      <c r="AI197" s="178"/>
      <c r="AJ197" s="178"/>
      <c r="AK197" s="178"/>
      <c r="AL197" s="178"/>
      <c r="AM197" s="179"/>
      <c r="AN197" s="51"/>
      <c r="AO197" s="51"/>
      <c r="AP197" s="51"/>
      <c r="AQ197" s="51"/>
      <c r="AR197" s="51"/>
      <c r="AS197" s="51"/>
      <c r="AT197" s="51"/>
      <c r="AU197" s="10"/>
      <c r="AV197" s="18"/>
      <c r="AW197" s="18"/>
      <c r="AX197" s="18"/>
      <c r="AY197" s="18"/>
      <c r="AZ197" s="18"/>
      <c r="BA197" s="18"/>
      <c r="BB197" s="18"/>
      <c r="BC197" s="18"/>
      <c r="BD197" s="18"/>
      <c r="BE197" s="11"/>
      <c r="BF197" s="174"/>
      <c r="BG197" s="175"/>
      <c r="BH197" s="175"/>
      <c r="BI197" s="175"/>
      <c r="BJ197" s="175"/>
      <c r="BK197" s="176"/>
    </row>
    <row r="198" spans="1:63" s="46" customFormat="1" ht="15" customHeight="1" x14ac:dyDescent="0.25">
      <c r="A198" s="10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1"/>
      <c r="M198" s="51"/>
      <c r="N198" s="51"/>
      <c r="O198" s="54"/>
      <c r="P198" s="58" t="s">
        <v>16</v>
      </c>
      <c r="Q198" s="59"/>
      <c r="R198" s="59"/>
      <c r="S198" s="59"/>
      <c r="T198" s="59"/>
      <c r="U198" s="59"/>
      <c r="V198" s="59"/>
      <c r="W198" s="177" t="s">
        <v>17</v>
      </c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178"/>
      <c r="AK198" s="178"/>
      <c r="AL198" s="178"/>
      <c r="AM198" s="179"/>
      <c r="AN198" s="51"/>
      <c r="AO198" s="51"/>
      <c r="AP198" s="51"/>
      <c r="AQ198" s="51"/>
      <c r="AR198" s="51"/>
      <c r="AS198" s="51"/>
      <c r="AT198" s="51"/>
      <c r="AU198" s="10"/>
      <c r="AV198" s="18"/>
      <c r="AW198" s="18"/>
      <c r="AX198" s="18"/>
      <c r="AY198" s="18"/>
      <c r="AZ198" s="18"/>
      <c r="BA198" s="18"/>
      <c r="BB198" s="18"/>
      <c r="BC198" s="18"/>
      <c r="BD198" s="18"/>
      <c r="BE198" s="11"/>
      <c r="BF198" s="174"/>
      <c r="BG198" s="175"/>
      <c r="BH198" s="175"/>
      <c r="BI198" s="175"/>
      <c r="BJ198" s="175"/>
      <c r="BK198" s="176"/>
    </row>
    <row r="199" spans="1:63" s="46" customFormat="1" ht="15" customHeight="1" x14ac:dyDescent="0.25">
      <c r="A199" s="10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1"/>
      <c r="M199" s="51"/>
      <c r="O199" s="54"/>
      <c r="P199" s="58" t="s">
        <v>44</v>
      </c>
      <c r="Q199" s="59"/>
      <c r="R199" s="59"/>
      <c r="S199" s="59"/>
      <c r="T199" s="59"/>
      <c r="U199" s="59"/>
      <c r="V199" s="59"/>
      <c r="W199" s="177" t="s">
        <v>45</v>
      </c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78"/>
      <c r="AI199" s="178"/>
      <c r="AJ199" s="178"/>
      <c r="AK199" s="178"/>
      <c r="AL199" s="178"/>
      <c r="AM199" s="179"/>
      <c r="AN199" s="51"/>
      <c r="AO199" s="51"/>
      <c r="AP199" s="51"/>
      <c r="AQ199" s="51"/>
      <c r="AR199" s="51"/>
      <c r="AS199" s="51"/>
      <c r="AT199" s="51"/>
      <c r="AU199" s="10"/>
      <c r="AV199" s="18"/>
      <c r="AW199" s="18"/>
      <c r="AX199" s="18"/>
      <c r="AY199" s="18"/>
      <c r="AZ199" s="18"/>
      <c r="BA199" s="18"/>
      <c r="BB199" s="18"/>
      <c r="BC199" s="18"/>
      <c r="BD199" s="18"/>
      <c r="BE199" s="11"/>
      <c r="BF199" s="174"/>
      <c r="BG199" s="175"/>
      <c r="BH199" s="175"/>
      <c r="BI199" s="175"/>
      <c r="BJ199" s="175"/>
      <c r="BK199" s="176"/>
    </row>
    <row r="200" spans="1:63" s="46" customFormat="1" ht="15" customHeight="1" x14ac:dyDescent="0.25">
      <c r="A200" s="10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1"/>
      <c r="M200" s="51"/>
      <c r="N200" s="25"/>
      <c r="O200" s="54"/>
      <c r="P200" s="58" t="s">
        <v>76</v>
      </c>
      <c r="Q200" s="59"/>
      <c r="R200" s="59"/>
      <c r="S200" s="59"/>
      <c r="T200" s="59"/>
      <c r="U200" s="59"/>
      <c r="V200" s="59"/>
      <c r="W200" s="177" t="s">
        <v>77</v>
      </c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8"/>
      <c r="AH200" s="178"/>
      <c r="AI200" s="178"/>
      <c r="AJ200" s="178"/>
      <c r="AK200" s="178"/>
      <c r="AL200" s="178"/>
      <c r="AM200" s="179"/>
      <c r="AN200" s="51"/>
      <c r="AO200" s="51"/>
      <c r="AP200" s="51"/>
      <c r="AQ200" s="51"/>
      <c r="AR200" s="51"/>
      <c r="AS200" s="51"/>
      <c r="AT200" s="51"/>
      <c r="AU200" s="10"/>
      <c r="AV200" s="18"/>
      <c r="AW200" s="18"/>
      <c r="AX200" s="18"/>
      <c r="AY200" s="18"/>
      <c r="AZ200" s="18"/>
      <c r="BA200" s="18"/>
      <c r="BB200" s="18"/>
      <c r="BC200" s="18"/>
      <c r="BD200" s="18"/>
      <c r="BE200" s="11"/>
      <c r="BF200" s="174"/>
      <c r="BG200" s="175"/>
      <c r="BH200" s="175"/>
      <c r="BI200" s="175"/>
      <c r="BJ200" s="175"/>
      <c r="BK200" s="176"/>
    </row>
    <row r="201" spans="1:63" s="46" customFormat="1" ht="15" customHeight="1" x14ac:dyDescent="0.25">
      <c r="A201" s="10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1"/>
      <c r="M201" s="51"/>
      <c r="N201" s="51"/>
      <c r="O201" s="54"/>
      <c r="P201" s="58" t="s">
        <v>78</v>
      </c>
      <c r="Q201" s="59"/>
      <c r="R201" s="59"/>
      <c r="S201" s="59"/>
      <c r="T201" s="59"/>
      <c r="U201" s="59"/>
      <c r="V201" s="59"/>
      <c r="W201" s="177" t="s">
        <v>79</v>
      </c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78"/>
      <c r="AI201" s="178"/>
      <c r="AJ201" s="178"/>
      <c r="AK201" s="178"/>
      <c r="AL201" s="178"/>
      <c r="AM201" s="179"/>
      <c r="AN201" s="51"/>
      <c r="AO201" s="51"/>
      <c r="AP201" s="51"/>
      <c r="AQ201" s="51"/>
      <c r="AR201" s="51"/>
      <c r="AS201" s="51"/>
      <c r="AT201" s="51"/>
      <c r="AU201" s="10"/>
      <c r="AV201" s="18"/>
      <c r="AW201" s="18"/>
      <c r="AX201" s="18"/>
      <c r="AY201" s="18"/>
      <c r="AZ201" s="18"/>
      <c r="BA201" s="18"/>
      <c r="BB201" s="18"/>
      <c r="BC201" s="18"/>
      <c r="BD201" s="18"/>
      <c r="BE201" s="11"/>
      <c r="BF201" s="174"/>
      <c r="BG201" s="175"/>
      <c r="BH201" s="175"/>
      <c r="BI201" s="175"/>
      <c r="BJ201" s="175"/>
      <c r="BK201" s="176"/>
    </row>
    <row r="202" spans="1:63" s="46" customFormat="1" ht="15" customHeight="1" x14ac:dyDescent="0.25">
      <c r="A202" s="10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1"/>
      <c r="M202" s="51"/>
      <c r="N202" s="51"/>
      <c r="O202" s="54"/>
      <c r="P202" s="58" t="s">
        <v>80</v>
      </c>
      <c r="Q202" s="59"/>
      <c r="R202" s="59"/>
      <c r="S202" s="59"/>
      <c r="T202" s="59"/>
      <c r="U202" s="59"/>
      <c r="V202" s="59"/>
      <c r="W202" s="177" t="s">
        <v>81</v>
      </c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78"/>
      <c r="AI202" s="178"/>
      <c r="AJ202" s="178"/>
      <c r="AK202" s="178"/>
      <c r="AL202" s="178"/>
      <c r="AM202" s="179"/>
      <c r="AN202" s="54"/>
      <c r="AO202" s="51"/>
      <c r="AP202" s="51"/>
      <c r="AQ202" s="51"/>
      <c r="AR202" s="51"/>
      <c r="AS202" s="51"/>
      <c r="AT202" s="51"/>
      <c r="AU202" s="10"/>
      <c r="AV202" s="18"/>
      <c r="AW202" s="18"/>
      <c r="AX202" s="18"/>
      <c r="AY202" s="18"/>
      <c r="AZ202" s="18"/>
      <c r="BA202" s="18"/>
      <c r="BB202" s="18"/>
      <c r="BC202" s="18"/>
      <c r="BD202" s="18"/>
      <c r="BE202" s="11"/>
      <c r="BF202" s="174"/>
      <c r="BG202" s="175"/>
      <c r="BH202" s="175"/>
      <c r="BI202" s="175"/>
      <c r="BJ202" s="175"/>
      <c r="BK202" s="176"/>
    </row>
    <row r="203" spans="1:63" s="46" customFormat="1" ht="15" customHeight="1" x14ac:dyDescent="0.25">
      <c r="A203" s="10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1"/>
      <c r="M203" s="51"/>
      <c r="N203" s="51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1"/>
      <c r="AP203" s="51"/>
      <c r="AQ203" s="51"/>
      <c r="AR203" s="51"/>
      <c r="AS203" s="51"/>
      <c r="AT203" s="51"/>
      <c r="AU203" s="10"/>
      <c r="AV203" s="18"/>
      <c r="AW203" s="18"/>
      <c r="AX203" s="18"/>
      <c r="AY203" s="18"/>
      <c r="AZ203" s="18"/>
      <c r="BA203" s="18"/>
      <c r="BB203" s="18"/>
      <c r="BC203" s="18"/>
      <c r="BD203" s="18"/>
      <c r="BE203" s="11"/>
      <c r="BF203" s="174"/>
      <c r="BG203" s="175"/>
      <c r="BH203" s="175"/>
      <c r="BI203" s="175"/>
      <c r="BJ203" s="175"/>
      <c r="BK203" s="176"/>
    </row>
    <row r="204" spans="1:63" s="46" customFormat="1" ht="15" customHeight="1" x14ac:dyDescent="0.25">
      <c r="A204" s="10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1"/>
      <c r="M204" s="51"/>
      <c r="N204" s="51"/>
      <c r="O204" s="54"/>
      <c r="P204" s="54" t="s">
        <v>82</v>
      </c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1"/>
      <c r="AP204" s="51"/>
      <c r="AQ204" s="51"/>
      <c r="AR204" s="51"/>
      <c r="AS204" s="51"/>
      <c r="AT204" s="51"/>
      <c r="AU204" s="10"/>
      <c r="AV204" s="18"/>
      <c r="AW204" s="18"/>
      <c r="AX204" s="18"/>
      <c r="AY204" s="18"/>
      <c r="AZ204" s="18"/>
      <c r="BA204" s="18"/>
      <c r="BB204" s="18"/>
      <c r="BC204" s="18"/>
      <c r="BD204" s="18"/>
      <c r="BE204" s="11"/>
      <c r="BF204" s="174"/>
      <c r="BG204" s="175"/>
      <c r="BH204" s="175"/>
      <c r="BI204" s="175"/>
      <c r="BJ204" s="175"/>
      <c r="BK204" s="176"/>
    </row>
    <row r="205" spans="1:63" s="46" customFormat="1" ht="15" customHeight="1" x14ac:dyDescent="0.25">
      <c r="A205" s="10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1"/>
      <c r="M205" s="51"/>
      <c r="N205" s="51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1"/>
      <c r="AP205" s="51"/>
      <c r="AQ205" s="51"/>
      <c r="AR205" s="51"/>
      <c r="AS205" s="51"/>
      <c r="AT205" s="51"/>
      <c r="AU205" s="10"/>
      <c r="AV205" s="18"/>
      <c r="AW205" s="18"/>
      <c r="AX205" s="18"/>
      <c r="AY205" s="18"/>
      <c r="AZ205" s="18"/>
      <c r="BA205" s="18"/>
      <c r="BB205" s="18"/>
      <c r="BC205" s="18"/>
      <c r="BD205" s="18"/>
      <c r="BE205" s="11"/>
      <c r="BF205" s="174"/>
      <c r="BG205" s="175"/>
      <c r="BH205" s="175"/>
      <c r="BI205" s="175"/>
      <c r="BJ205" s="175"/>
      <c r="BK205" s="176"/>
    </row>
    <row r="206" spans="1:63" s="46" customFormat="1" ht="15" customHeight="1" x14ac:dyDescent="0.25">
      <c r="A206" s="10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1"/>
      <c r="M206" s="51"/>
      <c r="N206" s="51"/>
      <c r="O206" s="54" t="s">
        <v>19</v>
      </c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1"/>
      <c r="AP206" s="51"/>
      <c r="AQ206" s="51"/>
      <c r="AR206" s="51"/>
      <c r="AS206" s="51"/>
      <c r="AT206" s="51"/>
      <c r="AU206" s="10"/>
      <c r="AV206" s="18"/>
      <c r="AW206" s="18"/>
      <c r="AX206" s="18"/>
      <c r="AY206" s="18"/>
      <c r="AZ206" s="18"/>
      <c r="BA206" s="18"/>
      <c r="BB206" s="18"/>
      <c r="BC206" s="18"/>
      <c r="BD206" s="18"/>
      <c r="BE206" s="11"/>
      <c r="BF206" s="174"/>
      <c r="BG206" s="175"/>
      <c r="BH206" s="175"/>
      <c r="BI206" s="175"/>
      <c r="BJ206" s="175"/>
      <c r="BK206" s="176"/>
    </row>
    <row r="207" spans="1:63" s="46" customFormat="1" ht="15" customHeight="1" x14ac:dyDescent="0.25">
      <c r="A207" s="10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1"/>
      <c r="M207" s="51"/>
      <c r="N207" s="51"/>
      <c r="O207" s="54"/>
      <c r="P207" s="54" t="s">
        <v>84</v>
      </c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1"/>
      <c r="AP207" s="51"/>
      <c r="AQ207" s="51"/>
      <c r="AR207" s="51"/>
      <c r="AS207" s="51"/>
      <c r="AT207" s="51"/>
      <c r="AU207" s="10"/>
      <c r="AV207" s="18"/>
      <c r="AW207" s="18"/>
      <c r="AX207" s="18"/>
      <c r="AY207" s="18"/>
      <c r="AZ207" s="18"/>
      <c r="BA207" s="18"/>
      <c r="BB207" s="18"/>
      <c r="BC207" s="18"/>
      <c r="BD207" s="18"/>
      <c r="BE207" s="11"/>
      <c r="BF207" s="174"/>
      <c r="BG207" s="175"/>
      <c r="BH207" s="175"/>
      <c r="BI207" s="175"/>
      <c r="BJ207" s="175"/>
      <c r="BK207" s="176"/>
    </row>
    <row r="208" spans="1:63" s="46" customFormat="1" ht="15" customHeight="1" x14ac:dyDescent="0.25">
      <c r="A208" s="10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1"/>
      <c r="M208" s="51"/>
      <c r="N208" s="51"/>
      <c r="O208" s="54"/>
      <c r="P208" s="54"/>
      <c r="Q208" s="54" t="s">
        <v>86</v>
      </c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1"/>
      <c r="AP208" s="51"/>
      <c r="AQ208" s="51"/>
      <c r="AR208" s="51"/>
      <c r="AS208" s="51"/>
      <c r="AT208" s="51"/>
      <c r="AU208" s="10"/>
      <c r="AV208" s="18"/>
      <c r="AW208" s="18"/>
      <c r="AX208" s="18"/>
      <c r="AY208" s="18"/>
      <c r="AZ208" s="18"/>
      <c r="BA208" s="18"/>
      <c r="BB208" s="18"/>
      <c r="BC208" s="18"/>
      <c r="BD208" s="18"/>
      <c r="BE208" s="11"/>
      <c r="BF208" s="174"/>
      <c r="BG208" s="175"/>
      <c r="BH208" s="175"/>
      <c r="BI208" s="175"/>
      <c r="BJ208" s="175"/>
      <c r="BK208" s="176"/>
    </row>
    <row r="209" spans="1:63" s="46" customFormat="1" ht="15" customHeight="1" x14ac:dyDescent="0.25">
      <c r="A209" s="10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1"/>
      <c r="M209" s="51"/>
      <c r="N209" s="51"/>
      <c r="O209" s="54"/>
      <c r="P209" s="54"/>
      <c r="Q209" s="54" t="s">
        <v>152</v>
      </c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1"/>
      <c r="AP209" s="51"/>
      <c r="AQ209" s="51"/>
      <c r="AR209" s="51"/>
      <c r="AS209" s="51"/>
      <c r="AT209" s="51"/>
      <c r="AU209" s="10"/>
      <c r="AV209" s="18"/>
      <c r="AW209" s="18"/>
      <c r="AX209" s="18"/>
      <c r="AY209" s="18"/>
      <c r="AZ209" s="18"/>
      <c r="BA209" s="18"/>
      <c r="BB209" s="18"/>
      <c r="BC209" s="18"/>
      <c r="BD209" s="18"/>
      <c r="BE209" s="11"/>
      <c r="BF209" s="174"/>
      <c r="BG209" s="175"/>
      <c r="BH209" s="175"/>
      <c r="BI209" s="175"/>
      <c r="BJ209" s="175"/>
      <c r="BK209" s="176"/>
    </row>
    <row r="210" spans="1:63" s="46" customFormat="1" ht="15" customHeight="1" x14ac:dyDescent="0.25">
      <c r="A210" s="10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1"/>
      <c r="M210" s="51"/>
      <c r="N210" s="51"/>
      <c r="O210" s="54"/>
      <c r="P210" s="54"/>
      <c r="Q210" s="54"/>
      <c r="R210" s="54" t="s">
        <v>10</v>
      </c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1"/>
      <c r="AP210" s="51"/>
      <c r="AQ210" s="51"/>
      <c r="AR210" s="51"/>
      <c r="AS210" s="51"/>
      <c r="AT210" s="51"/>
      <c r="AU210" s="10"/>
      <c r="AV210" s="18"/>
      <c r="AW210" s="18"/>
      <c r="AX210" s="18"/>
      <c r="AY210" s="18"/>
      <c r="AZ210" s="18"/>
      <c r="BA210" s="18"/>
      <c r="BB210" s="18"/>
      <c r="BC210" s="18"/>
      <c r="BD210" s="18"/>
      <c r="BE210" s="11"/>
      <c r="BF210" s="174"/>
      <c r="BG210" s="175"/>
      <c r="BH210" s="175"/>
      <c r="BI210" s="175"/>
      <c r="BJ210" s="175"/>
      <c r="BK210" s="176"/>
    </row>
    <row r="211" spans="1:63" s="46" customFormat="1" ht="15" customHeight="1" x14ac:dyDescent="0.25">
      <c r="A211" s="10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1"/>
      <c r="M211" s="51"/>
      <c r="N211" s="51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1"/>
      <c r="AO211" s="51"/>
      <c r="AP211" s="51"/>
      <c r="AQ211" s="51"/>
      <c r="AR211" s="51"/>
      <c r="AS211" s="51"/>
      <c r="AT211" s="51"/>
      <c r="AU211" s="10"/>
      <c r="AV211" s="18"/>
      <c r="AW211" s="18"/>
      <c r="AX211" s="18"/>
      <c r="AY211" s="18"/>
      <c r="AZ211" s="18"/>
      <c r="BA211" s="18"/>
      <c r="BB211" s="18"/>
      <c r="BC211" s="18"/>
      <c r="BD211" s="18"/>
      <c r="BE211" s="11"/>
      <c r="BF211" s="174"/>
      <c r="BG211" s="175"/>
      <c r="BH211" s="175"/>
      <c r="BI211" s="175"/>
      <c r="BJ211" s="175"/>
      <c r="BK211" s="176"/>
    </row>
    <row r="212" spans="1:63" s="46" customFormat="1" ht="15" customHeight="1" x14ac:dyDescent="0.25">
      <c r="A212" s="10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1"/>
      <c r="M212" s="51"/>
      <c r="N212" s="51"/>
      <c r="O212" s="54"/>
      <c r="P212" s="51" t="s">
        <v>85</v>
      </c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1"/>
      <c r="AO212" s="51"/>
      <c r="AP212" s="51"/>
      <c r="AQ212" s="51"/>
      <c r="AR212" s="51"/>
      <c r="AS212" s="51"/>
      <c r="AT212" s="51"/>
      <c r="AU212" s="10"/>
      <c r="AV212" s="18"/>
      <c r="AW212" s="18"/>
      <c r="AX212" s="18"/>
      <c r="AY212" s="18"/>
      <c r="AZ212" s="18"/>
      <c r="BA212" s="18"/>
      <c r="BB212" s="18"/>
      <c r="BC212" s="18"/>
      <c r="BD212" s="18"/>
      <c r="BE212" s="11"/>
      <c r="BF212" s="174"/>
      <c r="BG212" s="175"/>
      <c r="BH212" s="175"/>
      <c r="BI212" s="175"/>
      <c r="BJ212" s="175"/>
      <c r="BK212" s="176"/>
    </row>
    <row r="213" spans="1:63" s="46" customFormat="1" ht="15" customHeight="1" x14ac:dyDescent="0.25">
      <c r="A213" s="10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1"/>
      <c r="M213" s="51"/>
      <c r="N213" s="51"/>
      <c r="O213" s="54"/>
      <c r="P213" s="54"/>
      <c r="Q213" s="54" t="s">
        <v>86</v>
      </c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1"/>
      <c r="AO213" s="51"/>
      <c r="AP213" s="51"/>
      <c r="AQ213" s="51"/>
      <c r="AR213" s="51"/>
      <c r="AS213" s="51"/>
      <c r="AT213" s="51"/>
      <c r="AU213" s="10"/>
      <c r="AV213" s="18"/>
      <c r="AW213" s="18"/>
      <c r="AX213" s="18"/>
      <c r="AY213" s="18"/>
      <c r="AZ213" s="18"/>
      <c r="BA213" s="18"/>
      <c r="BB213" s="18"/>
      <c r="BC213" s="18"/>
      <c r="BD213" s="18"/>
      <c r="BE213" s="11"/>
      <c r="BF213" s="174"/>
      <c r="BG213" s="175"/>
      <c r="BH213" s="175"/>
      <c r="BI213" s="175"/>
      <c r="BJ213" s="175"/>
      <c r="BK213" s="176"/>
    </row>
    <row r="214" spans="1:63" s="46" customFormat="1" ht="15" customHeight="1" x14ac:dyDescent="0.25">
      <c r="A214" s="1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1"/>
      <c r="M214" s="51"/>
      <c r="N214" s="51"/>
      <c r="O214" s="54"/>
      <c r="P214" s="54"/>
      <c r="Q214" s="54" t="s">
        <v>102</v>
      </c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1"/>
      <c r="AO214" s="51"/>
      <c r="AP214" s="51"/>
      <c r="AQ214" s="51"/>
      <c r="AR214" s="51"/>
      <c r="AS214" s="51"/>
      <c r="AT214" s="51"/>
      <c r="AU214" s="10"/>
      <c r="AV214" s="18"/>
      <c r="AW214" s="18"/>
      <c r="AX214" s="18"/>
      <c r="AY214" s="18"/>
      <c r="AZ214" s="18"/>
      <c r="BA214" s="18"/>
      <c r="BB214" s="18"/>
      <c r="BC214" s="18"/>
      <c r="BD214" s="18"/>
      <c r="BE214" s="11"/>
      <c r="BF214" s="174"/>
      <c r="BG214" s="175"/>
      <c r="BH214" s="175"/>
      <c r="BI214" s="175"/>
      <c r="BJ214" s="175"/>
      <c r="BK214" s="176"/>
    </row>
    <row r="215" spans="1:63" s="46" customFormat="1" ht="15" customHeight="1" x14ac:dyDescent="0.25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4"/>
      <c r="M215" s="55"/>
      <c r="N215" s="56"/>
      <c r="O215" s="56"/>
      <c r="P215" s="56"/>
      <c r="Q215" s="56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57"/>
      <c r="AQ215" s="57"/>
      <c r="AR215" s="57"/>
      <c r="AS215" s="57"/>
      <c r="AT215" s="57"/>
      <c r="AU215" s="12"/>
      <c r="AV215" s="13"/>
      <c r="AW215" s="13"/>
      <c r="AX215" s="13"/>
      <c r="AY215" s="13"/>
      <c r="AZ215" s="13"/>
      <c r="BA215" s="13"/>
      <c r="BB215" s="13"/>
      <c r="BC215" s="13"/>
      <c r="BD215" s="13"/>
      <c r="BE215" s="14"/>
      <c r="BF215" s="168"/>
      <c r="BG215" s="169"/>
      <c r="BH215" s="169"/>
      <c r="BI215" s="169"/>
      <c r="BJ215" s="169"/>
      <c r="BK215" s="170"/>
    </row>
    <row r="216" spans="1:63" ht="15" customHeight="1" x14ac:dyDescent="0.25"/>
    <row r="217" spans="1:63" ht="15" customHeight="1" x14ac:dyDescent="0.25"/>
    <row r="218" spans="1:63" ht="15" customHeight="1" x14ac:dyDescent="0.25"/>
    <row r="219" spans="1:63" ht="15" customHeight="1" x14ac:dyDescent="0.25"/>
    <row r="220" spans="1:63" ht="15" customHeight="1" x14ac:dyDescent="0.25"/>
    <row r="221" spans="1:63" ht="15" customHeight="1" x14ac:dyDescent="0.25"/>
    <row r="222" spans="1:63" ht="15" customHeight="1" x14ac:dyDescent="0.25"/>
    <row r="223" spans="1:63" ht="15" customHeight="1" x14ac:dyDescent="0.25"/>
    <row r="224" spans="1:63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</sheetData>
  <mergeCells count="107">
    <mergeCell ref="A87:F87"/>
    <mergeCell ref="G87:L87"/>
    <mergeCell ref="A88:L89"/>
    <mergeCell ref="M88:AT89"/>
    <mergeCell ref="AU88:BE89"/>
    <mergeCell ref="BF88:BK89"/>
    <mergeCell ref="BF130:BK130"/>
    <mergeCell ref="W162:AM162"/>
    <mergeCell ref="W163:AM163"/>
    <mergeCell ref="BF149:BK177"/>
    <mergeCell ref="BF106:BK129"/>
    <mergeCell ref="W114:AM114"/>
    <mergeCell ref="W115:AM115"/>
    <mergeCell ref="W116:AM116"/>
    <mergeCell ref="W117:AM117"/>
    <mergeCell ref="W165:AM165"/>
    <mergeCell ref="BF178:BK178"/>
    <mergeCell ref="BF142:BK142"/>
    <mergeCell ref="BF90:BK93"/>
    <mergeCell ref="BF100:BK100"/>
    <mergeCell ref="A103:F103"/>
    <mergeCell ref="G103:L103"/>
    <mergeCell ref="A104:L105"/>
    <mergeCell ref="M104:AT105"/>
    <mergeCell ref="AU104:BE105"/>
    <mergeCell ref="BF104:BK105"/>
    <mergeCell ref="W164:AM164"/>
    <mergeCell ref="A146:F146"/>
    <mergeCell ref="G146:L146"/>
    <mergeCell ref="A147:L148"/>
    <mergeCell ref="M147:AT148"/>
    <mergeCell ref="AU147:BE148"/>
    <mergeCell ref="BF147:BK148"/>
    <mergeCell ref="BF137:BK141"/>
    <mergeCell ref="A134:F134"/>
    <mergeCell ref="G134:L134"/>
    <mergeCell ref="A135:L136"/>
    <mergeCell ref="M135:AT136"/>
    <mergeCell ref="AU135:BE136"/>
    <mergeCell ref="BF135:BK136"/>
    <mergeCell ref="BF215:BK215"/>
    <mergeCell ref="W197:AM197"/>
    <mergeCell ref="W198:AM198"/>
    <mergeCell ref="W199:AM199"/>
    <mergeCell ref="W200:AM200"/>
    <mergeCell ref="W201:AM201"/>
    <mergeCell ref="W202:AM202"/>
    <mergeCell ref="BF186:BK214"/>
    <mergeCell ref="A183:F183"/>
    <mergeCell ref="G183:L183"/>
    <mergeCell ref="A184:L185"/>
    <mergeCell ref="M184:AT185"/>
    <mergeCell ref="AU184:BE185"/>
    <mergeCell ref="BF184:BK185"/>
    <mergeCell ref="BF83:BK83"/>
    <mergeCell ref="BF54:BK82"/>
    <mergeCell ref="W66:AM66"/>
    <mergeCell ref="W67:AM67"/>
    <mergeCell ref="W68:AM68"/>
    <mergeCell ref="W69:AM69"/>
    <mergeCell ref="W70:AM70"/>
    <mergeCell ref="AP4:BK4"/>
    <mergeCell ref="BF52:BK53"/>
    <mergeCell ref="BF14:BK17"/>
    <mergeCell ref="BF18:BK18"/>
    <mergeCell ref="BF47:BK47"/>
    <mergeCell ref="BF25:BK46"/>
    <mergeCell ref="M23:AT24"/>
    <mergeCell ref="AU23:BE24"/>
    <mergeCell ref="BF23:BK24"/>
    <mergeCell ref="A11:F11"/>
    <mergeCell ref="G11:L11"/>
    <mergeCell ref="A12:L13"/>
    <mergeCell ref="M12:AT13"/>
    <mergeCell ref="AU12:BE13"/>
    <mergeCell ref="BF12:BK13"/>
    <mergeCell ref="A51:F51"/>
    <mergeCell ref="G51:L51"/>
    <mergeCell ref="A52:L53"/>
    <mergeCell ref="M52:AT53"/>
    <mergeCell ref="AU52:BE53"/>
    <mergeCell ref="A22:F22"/>
    <mergeCell ref="G22:L22"/>
    <mergeCell ref="A23:L24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4:G4"/>
    <mergeCell ref="H4:T4"/>
    <mergeCell ref="U4:Y4"/>
    <mergeCell ref="Z4:AO4"/>
    <mergeCell ref="AP1:AS1"/>
    <mergeCell ref="AT1:AX1"/>
  </mergeCells>
  <pageMargins left="0.7" right="0.7" top="0.75" bottom="0.75" header="0.3" footer="0.3"/>
  <pageSetup scale="2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E07389-81EA-41DC-B4FC-E78235538217}"/>
</file>

<file path=customXml/itemProps2.xml><?xml version="1.0" encoding="utf-8"?>
<ds:datastoreItem xmlns:ds="http://schemas.openxmlformats.org/officeDocument/2006/customXml" ds:itemID="{735E55DA-1678-4FC4-BB71-77911E55C140}"/>
</file>

<file path=customXml/itemProps3.xml><?xml version="1.0" encoding="utf-8"?>
<ds:datastoreItem xmlns:ds="http://schemas.openxmlformats.org/officeDocument/2006/customXml" ds:itemID="{65394952-53F5-45A1-B8BA-D4304D91C5E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改訂履歴</vt:lpstr>
      <vt:lpstr>SC0201</vt:lpstr>
      <vt:lpstr>'SC0201'!Print_Area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2024-08-26T06:18:01Z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