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ACFF207F-BB74-4ECC-B4FE-3CD689973AA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0401" sheetId="7" r:id="rId3"/>
    <sheet name="テンプレート" sheetId="8" r:id="rId4"/>
  </sheets>
  <definedNames>
    <definedName name="_xlnm.Print_Area" localSheetId="2">'SC0401'!$A$1:$BK$112</definedName>
    <definedName name="_xlnm.Print_Area" localSheetId="3">テンプレート!$A$1:$BK$54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8" l="1"/>
  <c r="Z4" i="8"/>
  <c r="H4" i="8"/>
  <c r="AP2" i="8"/>
  <c r="K2" i="8"/>
  <c r="A2" i="8"/>
  <c r="W1" i="8"/>
  <c r="AP4" i="7"/>
  <c r="Z4" i="7"/>
  <c r="H4" i="7"/>
  <c r="BH2" i="7"/>
  <c r="AT2" i="7"/>
  <c r="AP2" i="7"/>
  <c r="K2" i="7"/>
  <c r="A2" i="7"/>
  <c r="W1" i="7"/>
  <c r="AP4" i="3" a="1"/>
  <c r="AP4" i="3" s="1"/>
  <c r="Z4" i="3"/>
  <c r="H4" i="3"/>
  <c r="BH2" i="3"/>
  <c r="AT2" i="3"/>
  <c r="AP2" i="3"/>
  <c r="K2" i="3"/>
  <c r="A2" i="3"/>
  <c r="W1" i="3"/>
  <c r="L24" i="4"/>
  <c r="AP4" i="4" a="1"/>
  <c r="AP4" i="4" s="1"/>
  <c r="BH2" i="4"/>
  <c r="BH2" i="8" s="1"/>
  <c r="BC2" i="4"/>
  <c r="BC2" i="8" s="1"/>
  <c r="AY2" i="4"/>
  <c r="AY2" i="7" s="1"/>
  <c r="AT2" i="4"/>
  <c r="AT2" i="8" s="1"/>
  <c r="AP2" i="4"/>
  <c r="BC2" i="3" l="1"/>
  <c r="BC2" i="7"/>
  <c r="AY2" i="8"/>
  <c r="AY2" i="3"/>
</calcChain>
</file>

<file path=xl/sharedStrings.xml><?xml version="1.0" encoding="utf-8"?>
<sst xmlns="http://schemas.openxmlformats.org/spreadsheetml/2006/main" count="157" uniqueCount="88">
  <si>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</si>
  <si>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</si>
  <si>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</si>
  <si>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イベントID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</si>
  <si>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</si>
  <si>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処理概要</t>
    </r>
  </si>
  <si>
    <r>
      <rPr>
        <sz val="11"/>
        <color rgb="FF000000"/>
        <rFont val="Meiryo UI"/>
        <family val="2"/>
      </rPr>
      <t>アウトプット</t>
    </r>
  </si>
  <si>
    <r>
      <rPr>
        <sz val="11"/>
        <color rgb="FF000000"/>
        <rFont val="Meiryo UI"/>
        <family val="2"/>
      </rPr>
      <t>参照情報</t>
    </r>
  </si>
  <si>
    <r>
      <rPr>
        <sz val="11"/>
        <color rgb="FF000000"/>
        <rFont val="Meiryo UI"/>
        <family val="2"/>
      </rPr>
      <t>■機能説明</t>
    </r>
  </si>
  <si>
    <r>
      <rPr>
        <sz val="11"/>
        <color rgb="FF000000"/>
        <rFont val="Meiryo UI"/>
        <family val="2"/>
      </rPr>
      <t>SC0401-01</t>
    </r>
  </si>
  <si>
    <r>
      <rPr>
        <sz val="11"/>
        <color rgb="FF000000"/>
        <rFont val="Meiryo UI"/>
        <family val="2"/>
      </rPr>
      <t>SC0401</t>
    </r>
  </si>
  <si>
    <r>
      <rPr>
        <sz val="11"/>
        <color rgb="FF000000"/>
        <rFont val="Meiryo UI"/>
        <family val="2"/>
      </rPr>
      <t>画面初期化</t>
    </r>
  </si>
  <si>
    <r>
      <rPr>
        <sz val="10"/>
        <color rgb="FF000000"/>
        <rFont val="Meiryo UI"/>
        <family val="2"/>
      </rPr>
      <t>20_画面設計書_04_商品採用店舗確認.xlsx</t>
    </r>
  </si>
  <si>
    <r>
      <rPr>
        <sz val="11"/>
        <color rgb="FF000000"/>
        <rFont val="Meiryo UI"/>
        <family val="2"/>
      </rPr>
      <t>・ウエルシアに連携されている場合、フローを続行する。</t>
    </r>
  </si>
  <si>
    <r>
      <rPr>
        <sz val="11"/>
        <color rgb="FF000000"/>
        <rFont val="Meiryo UI"/>
        <family val="2"/>
      </rPr>
      <t>入力情報クリア</t>
    </r>
  </si>
  <si>
    <r>
      <rPr>
        <sz val="11"/>
        <color rgb="FF000000"/>
        <rFont val="Meiryo UI"/>
        <family val="2"/>
      </rPr>
      <t>画面を初期状態で表示する。</t>
    </r>
  </si>
  <si>
    <r>
      <rPr>
        <sz val="11"/>
        <color rgb="FF000000"/>
        <rFont val="Meiryo UI"/>
        <family val="2"/>
      </rPr>
      <t>SC0401-03</t>
    </r>
  </si>
  <si>
    <r>
      <rPr>
        <sz val="11"/>
        <color rgb="FF000000"/>
        <rFont val="Meiryo UI"/>
        <family val="2"/>
      </rPr>
      <t>商品売上計算店舗対象変更情報保存</t>
    </r>
  </si>
  <si>
    <r>
      <rPr>
        <sz val="11"/>
        <color rgb="FF000000"/>
        <rFont val="Meiryo UI"/>
        <family val="2"/>
      </rPr>
      <t>SC0401-04</t>
    </r>
  </si>
  <si>
    <r>
      <rPr>
        <sz val="10"/>
        <color rgb="FF000000"/>
        <rFont val="Meiryo UI"/>
        <family val="2"/>
      </rPr>
      <t>40_API設計書_AP0401.xlsx</t>
    </r>
  </si>
  <si>
    <r>
      <rPr>
        <b/>
        <sz val="11"/>
        <color rgb="FF000000"/>
        <rFont val="Meiryo UI"/>
        <family val="2"/>
      </rPr>
      <t>APIのパラメータ</t>
    </r>
  </si>
  <si>
    <r>
      <rPr>
        <b/>
        <sz val="11"/>
        <color rgb="FF000000"/>
        <rFont val="Meiryo UI"/>
        <family val="2"/>
      </rPr>
      <t>パラメータの値</t>
    </r>
  </si>
  <si>
    <r>
      <rPr>
        <sz val="11"/>
        <color rgb="FF000000"/>
        <rFont val="Meiryo UI"/>
        <family val="2"/>
      </rPr>
      <t>1.1　「AP0401」API呼出処理を実行する。</t>
    </r>
  </si>
  <si>
    <r>
      <rPr>
        <sz val="11"/>
        <color rgb="FF000000"/>
        <rFont val="Meiryo UI"/>
        <family val="2"/>
      </rPr>
      <t>company_code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</si>
  <si>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</si>
  <si>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item_code</t>
    </r>
  </si>
  <si>
    <r>
      <rPr>
        <sz val="11"/>
        <color rgb="FF000000"/>
        <rFont val="Meiryo UI"/>
        <family val="2"/>
      </rPr>
      <t>belong_to</t>
    </r>
  </si>
  <si>
    <r>
      <rPr>
        <sz val="11"/>
        <color rgb="FF000000"/>
        <rFont val="Meiryo UI"/>
        <family val="2"/>
      </rPr>
      <t>ログインしているユーザーが所属する企業コード</t>
    </r>
  </si>
  <si>
    <r>
      <rPr>
        <sz val="11"/>
        <color rgb="FF000000"/>
        <rFont val="Meiryo UI"/>
        <family val="2"/>
      </rPr>
      <t>画面に表示されたPLUコード</t>
    </r>
  </si>
  <si>
    <r>
      <rPr>
        <sz val="11"/>
        <color rgb="FF000000"/>
        <rFont val="Meiryo UI"/>
        <family val="2"/>
      </rPr>
      <t>1.2 返却された結果情報</t>
    </r>
  </si>
  <si>
    <r>
      <rPr>
        <sz val="11"/>
        <color rgb="FF000000"/>
        <rFont val="Meiryo UI"/>
        <family val="2"/>
      </rPr>
      <t>①．「更新成功」の場合</t>
    </r>
  </si>
  <si>
    <r>
      <rPr>
        <b/>
        <sz val="11"/>
        <color rgb="FF000000"/>
        <rFont val="Meiryo UI"/>
        <family val="2"/>
      </rPr>
      <t>返却された結果</t>
    </r>
  </si>
  <si>
    <r>
      <rPr>
        <sz val="11"/>
        <color rgb="FF000000"/>
        <rFont val="Meiryo UI"/>
        <family val="2"/>
      </rPr>
      <t>②．エラーの場合、以下のように実行する。</t>
    </r>
  </si>
  <si>
    <r>
      <rPr>
        <sz val="11"/>
        <color rgb="FF000000"/>
        <rFont val="Meiryo UI"/>
        <family val="2"/>
      </rPr>
      <t>200 (OK)</t>
    </r>
  </si>
  <si>
    <r>
      <rPr>
        <sz val="11"/>
        <color rgb="FF000000"/>
        <rFont val="Meiryo UI"/>
        <family val="2"/>
      </rPr>
      <t>ブランク</t>
    </r>
  </si>
  <si>
    <r>
      <rPr>
        <sz val="11"/>
        <color rgb="FF000000"/>
        <rFont val="Meiryo UI"/>
        <family val="2"/>
      </rPr>
      <t>1. status_code</t>
    </r>
  </si>
  <si>
    <r>
      <rPr>
        <sz val="11"/>
        <color rgb="FF000000"/>
        <rFont val="Meiryo UI"/>
        <family val="2"/>
      </rPr>
      <t>2. message</t>
    </r>
  </si>
  <si>
    <r>
      <rPr>
        <sz val="11"/>
        <color rgb="FF000000"/>
        <rFont val="Meiryo UI"/>
        <family val="2"/>
      </rPr>
      <t>3. data</t>
    </r>
  </si>
  <si>
    <r>
      <rPr>
        <sz val="11"/>
        <color rgb="FF000000"/>
        <rFont val="Meiryo UI"/>
        <family val="2"/>
      </rPr>
      <t>APIエラーの共通表示処理を実行する。</t>
    </r>
  </si>
  <si>
    <r>
      <rPr>
        <sz val="11"/>
        <color rgb="FF000000"/>
        <rFont val="Meiryo UI"/>
        <family val="2"/>
      </rPr>
      <t>PLUコードの文字数が13文字足りない場合、PLUコードの前に「0」を自動的に追加する。</t>
    </r>
  </si>
  <si>
    <r>
      <rPr>
        <sz val="11"/>
        <color rgb="FF000000"/>
        <rFont val="Meiryo UI"/>
        <family val="2"/>
      </rPr>
      <t xml:space="preserve"> PLUコードの文字数が13文字の場合、KN1501_商品提案機能を実行する。</t>
    </r>
  </si>
  <si>
    <r>
      <rPr>
        <sz val="11"/>
        <color rgb="FF000000"/>
        <rFont val="Meiryo UI"/>
        <family val="2"/>
      </rPr>
      <t>1.1 AP1506API呼出処理を実行する。</t>
    </r>
  </si>
  <si>
    <r>
      <rPr>
        <sz val="11"/>
        <color rgb="FF000000"/>
        <rFont val="Meiryo UI"/>
        <family val="2"/>
      </rPr>
      <t>PLU</t>
    </r>
  </si>
  <si>
    <r>
      <rPr>
        <sz val="11"/>
        <color rgb="FF000000"/>
        <rFont val="Meiryo UI"/>
        <family val="2"/>
      </rPr>
      <t>ユーザーが画面上で入力した商品のPLU コード</t>
    </r>
  </si>
  <si>
    <r>
      <rPr>
        <sz val="11"/>
        <color rgb="FF000000"/>
        <rFont val="Meiryo UI"/>
        <family val="2"/>
      </rPr>
      <t>商品情報</t>
    </r>
  </si>
  <si>
    <r>
      <rPr>
        <sz val="11"/>
        <color rgb="FF000000"/>
        <rFont val="Meiryo UI"/>
        <family val="2"/>
      </rPr>
      <t>40_API設計書_AP1506.xlsxのレスポンスをご参照ください。</t>
    </r>
  </si>
  <si>
    <r>
      <rPr>
        <sz val="11"/>
        <color rgb="FF000000"/>
        <rFont val="Meiryo UI"/>
        <family val="2"/>
      </rPr>
      <t>20_画面設計書_04_商品採用店舗確認.xlsxのファイルに従って画面に返却されたAPIレスポンスのマッピングを行う。</t>
    </r>
  </si>
  <si>
    <r>
      <rPr>
        <sz val="11"/>
        <color rgb="FF000000"/>
        <rFont val="Meiryo UI"/>
        <family val="2"/>
      </rPr>
      <t>20_画面設計書_04_商品採用店舗確認.xlsxのファイルをご参照ください。</t>
    </r>
  </si>
  <si>
    <r>
      <rPr>
        <sz val="11"/>
        <color rgb="FF000000"/>
        <rFont val="Meiryo UI"/>
        <family val="2"/>
      </rPr>
      <t>04_商品採用店舗確認</t>
    </r>
  </si>
  <si>
    <r>
      <rPr>
        <sz val="11"/>
        <color rgb="FF000000"/>
        <rFont val="Meiryo UI"/>
        <family val="2"/>
      </rPr>
      <t>SCxxxxxx</t>
    </r>
  </si>
  <si>
    <t xml:space="preserve"> </t>
  </si>
  <si>
    <r>
      <rPr>
        <sz val="11"/>
        <color rgb="FF000000"/>
        <rFont val="Meiryo UI"/>
        <family val="2"/>
      </rPr>
      <t>KN1010201</t>
    </r>
  </si>
  <si>
    <r>
      <rPr>
        <sz val="11"/>
        <color rgb="FF000000"/>
        <rFont val="Meiryo UI"/>
        <family val="2"/>
      </rPr>
      <t>・ウエルシアに連携されていない場合、「選択された店舗はテナント連携が行われている店舗で はないため、当機能は利用できません。」エラーダイアログを表示する。</t>
    </r>
  </si>
  <si>
    <r>
      <rPr>
        <sz val="11"/>
        <color rgb="FF000000"/>
        <rFont val="Meiryo UI"/>
        <family val="2"/>
      </rPr>
      <t>SC0401-02</t>
    </r>
  </si>
  <si>
    <r>
      <rPr>
        <sz val="11"/>
        <color rgb="FF000000"/>
        <rFont val="Meiryo UI"/>
        <family val="2"/>
      </rPr>
      <t>商品採用店舗検索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</si>
  <si>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</si>
  <si>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</si>
  <si>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</si>
  <si>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</si>
  <si>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</si>
  <si>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</si>
  <si>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</si>
  <si>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</si>
  <si>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</si>
  <si>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</si>
  <si>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</si>
  <si>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機能設計書</t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</si>
  <si>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</si>
  <si>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</si>
  <si>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</si>
  <si>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</si>
  <si>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</si>
  <si>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機能カテゴリ</t>
  </si>
  <si>
    <r>
      <rPr>
        <sz val="11"/>
        <color rgb="FFFFFFFF"/>
        <rFont val="Meiryo UI"/>
        <family val="2"/>
      </rPr>
      <t>画面ID</t>
    </r>
  </si>
  <si>
    <r>
      <rPr>
        <sz val="11"/>
        <color rgb="FFFFFFFF"/>
        <rFont val="Meiryo UI"/>
        <family val="2"/>
      </rPr>
      <t>画面名</t>
    </r>
  </si>
  <si>
    <r>
      <rPr>
        <sz val="11"/>
        <color rgb="FF000000"/>
        <rFont val="Meiryo UI"/>
        <family val="2"/>
      </rPr>
      <t xml:space="preserve"> ■主な商品採用店舗画面</t>
    </r>
  </si>
  <si>
    <r>
      <rPr>
        <b/>
        <sz val="11"/>
        <color rgb="FF000000"/>
        <rFont val="Meiryo UI"/>
        <family val="2"/>
      </rPr>
      <t>1. 画面項目の初期化を実行する。</t>
    </r>
  </si>
  <si>
    <r>
      <rPr>
        <b/>
        <sz val="11"/>
        <color rgb="FF000000"/>
        <rFont val="Meiryo UI"/>
        <family val="2"/>
      </rPr>
      <t>2. 選択中の店舗がウエルシアに連携されているかを確認する。</t>
    </r>
  </si>
  <si>
    <r>
      <rPr>
        <sz val="10"/>
        <color rgb="FF000000"/>
        <rFont val="Meiryo UI"/>
        <family val="2"/>
      </rPr>
      <t>20_画面設計書_04_商品採用店舗確認.xlsx
40_API設計書_AP1506.xlsx</t>
    </r>
  </si>
  <si>
    <r>
      <rPr>
        <b/>
        <sz val="11"/>
        <color rgb="FF000000"/>
        <rFont val="Meiryo UI"/>
        <family val="2"/>
      </rPr>
      <t>1. PLUコード入力項目を確認する。</t>
    </r>
  </si>
  <si>
    <r>
      <rPr>
        <b/>
        <sz val="11"/>
        <color rgb="FF000000"/>
        <rFont val="Meiryo UI"/>
        <family val="2"/>
      </rPr>
      <t>2. KN1501_商品提案機能</t>
    </r>
  </si>
  <si>
    <r>
      <rPr>
        <sz val="11"/>
        <color rgb="FF000000"/>
        <rFont val="Meiryo UI"/>
        <family val="2"/>
      </rPr>
      <t>注意：商品に親PLUがある場合、ユーザーが入力した子PLUを親PLUに置き換えて画面に表示する。</t>
    </r>
  </si>
  <si>
    <r>
      <rPr>
        <b/>
        <sz val="11"/>
        <color rgb="FF000000"/>
        <rFont val="Meiryo UI"/>
        <family val="2"/>
      </rPr>
      <t>1. 画面に表示されている商品情報を全てクリアする。</t>
    </r>
  </si>
  <si>
    <r>
      <rPr>
        <b/>
        <sz val="11"/>
        <color rgb="FF000000"/>
        <rFont val="Meiryo UI"/>
        <family val="2"/>
      </rPr>
      <t>1. KN0401_商品採用店舗情報更新機能を実行する。</t>
    </r>
  </si>
  <si>
    <r>
      <rPr>
        <sz val="11"/>
        <color rgb="FF000000"/>
        <rFont val="Meiryo UI"/>
        <family val="2"/>
      </rPr>
      <t>店舗番号: ユーザーが操作している対象店舗</t>
    </r>
  </si>
  <si>
    <r>
      <rPr>
        <sz val="11"/>
        <color rgb="FF000000"/>
        <rFont val="Meiryo UI"/>
        <family val="2"/>
      </rPr>
      <t xml:space="preserve">追加された価値 </t>
    </r>
  </si>
  <si>
    <r>
      <rPr>
        <sz val="11"/>
        <color rgb="FF000000"/>
        <rFont val="Meiryo UI"/>
        <family val="2"/>
      </rPr>
      <t>1. ロジック1</t>
    </r>
  </si>
  <si>
    <r>
      <rPr>
        <sz val="11"/>
        <color rgb="FF000000"/>
        <rFont val="Meiryo UI"/>
        <family val="2"/>
      </rPr>
      <t>2. ロジック2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</si>
</sst>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9"/>
      <name val="Meiryo UI"/>
      <family val="2"/>
    </font>
    <font>
      <sz val="10"/>
      <name val="Meiryo UI"/>
      <family val="2"/>
    </font>
    <font>
      <sz val="11"/>
      <color theme="5"/>
      <name val="Meiryo UI"/>
      <family val="2"/>
    </font>
    <font>
      <b/>
      <sz val="11"/>
      <name val="Meiryo UI"/>
      <family val="2"/>
    </font>
    <font>
      <b/>
      <sz val="11"/>
      <color theme="1"/>
      <name val="Meiryo UI"/>
      <family val="2"/>
    </font>
    <font>
      <sz val="11"/>
      <color rgb="FFFF0000"/>
      <name val="Meiryo UI"/>
      <family val="2"/>
    </font>
    <font>
      <sz val="10"/>
      <color rgb="FF00000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3" fillId="0" borderId="0">
      <alignment vertical="center"/>
    </xf>
    <xf numFmtId="0" fontId="2" fillId="0" borderId="0">
      <alignment vertical="center"/>
    </xf>
  </cellStyleXfs>
  <cellXfs count="211">
    <xf numFmtId="0" fontId="0" fillId="0" borderId="0" xfId="0"/>
    <xf numFmtId="0" fontId="4" fillId="0" borderId="17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49" fontId="6" fillId="2" borderId="17" xfId="8" applyNumberFormat="1" applyFont="1" applyFill="1" applyBorder="1" applyAlignment="1">
      <alignment vertical="top" wrapText="1"/>
    </xf>
    <xf numFmtId="49" fontId="6" fillId="2" borderId="18" xfId="8" applyNumberFormat="1" applyFont="1" applyFill="1" applyBorder="1" applyAlignment="1">
      <alignment vertical="top" wrapText="1"/>
    </xf>
    <xf numFmtId="49" fontId="6" fillId="2" borderId="19" xfId="8" applyNumberFormat="1" applyFont="1" applyFill="1" applyBorder="1" applyAlignment="1">
      <alignment vertical="top" wrapText="1"/>
    </xf>
    <xf numFmtId="49" fontId="6" fillId="2" borderId="1" xfId="8" applyNumberFormat="1" applyFont="1" applyFill="1" applyBorder="1" applyAlignment="1">
      <alignment vertical="top" wrapText="1"/>
    </xf>
    <xf numFmtId="49" fontId="6" fillId="2" borderId="4" xfId="8" applyNumberFormat="1" applyFont="1" applyFill="1" applyBorder="1" applyAlignment="1">
      <alignment vertical="top" wrapText="1"/>
    </xf>
    <xf numFmtId="49" fontId="6" fillId="2" borderId="2" xfId="8" applyNumberFormat="1" applyFont="1" applyFill="1" applyBorder="1" applyAlignment="1">
      <alignment vertical="top" wrapText="1"/>
    </xf>
    <xf numFmtId="49" fontId="6" fillId="2" borderId="3" xfId="8" applyNumberFormat="1" applyFont="1" applyFill="1" applyBorder="1" applyAlignment="1">
      <alignment vertical="top" wrapText="1"/>
    </xf>
    <xf numFmtId="49" fontId="6" fillId="2" borderId="5" xfId="8" applyNumberFormat="1" applyFont="1" applyFill="1" applyBorder="1" applyAlignment="1">
      <alignment vertical="top" wrapText="1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49" fontId="6" fillId="2" borderId="0" xfId="8" applyNumberFormat="1" applyFont="1" applyFill="1" applyAlignment="1">
      <alignment vertical="top" wrapText="1"/>
    </xf>
    <xf numFmtId="0" fontId="3" fillId="2" borderId="0" xfId="0" quotePrefix="1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3" xfId="0" applyFont="1" applyFill="1" applyBorder="1" applyAlignment="1">
      <alignment vertical="center"/>
    </xf>
    <xf numFmtId="0" fontId="3" fillId="0" borderId="1" xfId="6" applyFont="1" applyBorder="1" applyAlignment="1">
      <alignment vertical="center"/>
    </xf>
    <xf numFmtId="0" fontId="9" fillId="3" borderId="21" xfId="0" applyFont="1" applyFill="1" applyBorder="1" applyAlignment="1">
      <alignment vertical="center"/>
    </xf>
    <xf numFmtId="0" fontId="9" fillId="3" borderId="16" xfId="0" applyFont="1" applyFill="1" applyBorder="1" applyAlignment="1">
      <alignment vertical="center"/>
    </xf>
    <xf numFmtId="0" fontId="9" fillId="3" borderId="20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quotePrefix="1" applyFont="1" applyFill="1" applyAlignment="1">
      <alignment vertical="center"/>
    </xf>
    <xf numFmtId="0" fontId="4" fillId="0" borderId="21" xfId="0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9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49" fontId="6" fillId="2" borderId="17" xfId="8" applyNumberFormat="1" applyFont="1" applyFill="1" applyBorder="1" applyAlignment="1">
      <alignment horizontal="left" vertical="top" wrapText="1"/>
    </xf>
    <xf numFmtId="49" fontId="6" fillId="2" borderId="18" xfId="8" applyNumberFormat="1" applyFont="1" applyFill="1" applyBorder="1" applyAlignment="1">
      <alignment horizontal="left" vertical="top" wrapText="1"/>
    </xf>
    <xf numFmtId="49" fontId="6" fillId="2" borderId="19" xfId="8" applyNumberFormat="1" applyFont="1" applyFill="1" applyBorder="1" applyAlignment="1">
      <alignment horizontal="left" vertical="top" wrapText="1"/>
    </xf>
    <xf numFmtId="49" fontId="6" fillId="2" borderId="1" xfId="8" applyNumberFormat="1" applyFont="1" applyFill="1" applyBorder="1" applyAlignment="1">
      <alignment horizontal="left" vertical="top" wrapText="1"/>
    </xf>
    <xf numFmtId="49" fontId="6" fillId="2" borderId="0" xfId="8" applyNumberFormat="1" applyFont="1" applyFill="1" applyAlignment="1">
      <alignment horizontal="left" vertical="top" wrapText="1"/>
    </xf>
    <xf numFmtId="49" fontId="6" fillId="2" borderId="4" xfId="8" applyNumberFormat="1" applyFont="1" applyFill="1" applyBorder="1" applyAlignment="1">
      <alignment horizontal="left" vertical="top" wrapText="1"/>
    </xf>
    <xf numFmtId="49" fontId="6" fillId="2" borderId="2" xfId="8" applyNumberFormat="1" applyFont="1" applyFill="1" applyBorder="1" applyAlignment="1">
      <alignment horizontal="left" vertical="top" wrapText="1"/>
    </xf>
    <xf numFmtId="49" fontId="6" fillId="2" borderId="3" xfId="8" applyNumberFormat="1" applyFont="1" applyFill="1" applyBorder="1" applyAlignment="1">
      <alignment horizontal="left" vertical="top" wrapText="1"/>
    </xf>
    <xf numFmtId="49" fontId="6" fillId="2" borderId="5" xfId="8" applyNumberFormat="1" applyFont="1" applyFill="1" applyBorder="1" applyAlignment="1">
      <alignment horizontal="left" vertical="top" wrapText="1"/>
    </xf>
    <xf numFmtId="49" fontId="6" fillId="2" borderId="17" xfId="8" applyNumberFormat="1" applyFont="1" applyFill="1" applyBorder="1" applyAlignment="1">
      <alignment horizontal="center" vertical="top" wrapText="1"/>
    </xf>
    <xf numFmtId="49" fontId="6" fillId="2" borderId="18" xfId="8" applyNumberFormat="1" applyFont="1" applyFill="1" applyBorder="1" applyAlignment="1">
      <alignment horizontal="center" vertical="top" wrapText="1"/>
    </xf>
    <xf numFmtId="49" fontId="6" fillId="2" borderId="19" xfId="8" applyNumberFormat="1" applyFont="1" applyFill="1" applyBorder="1" applyAlignment="1">
      <alignment horizontal="center" vertical="top" wrapText="1"/>
    </xf>
    <xf numFmtId="49" fontId="6" fillId="2" borderId="1" xfId="8" applyNumberFormat="1" applyFont="1" applyFill="1" applyBorder="1" applyAlignment="1">
      <alignment horizontal="center" vertical="top" wrapText="1"/>
    </xf>
    <xf numFmtId="49" fontId="6" fillId="2" borderId="0" xfId="8" applyNumberFormat="1" applyFont="1" applyFill="1" applyAlignment="1">
      <alignment horizontal="center" vertical="top" wrapText="1"/>
    </xf>
    <xf numFmtId="49" fontId="6" fillId="2" borderId="4" xfId="8" applyNumberFormat="1" applyFont="1" applyFill="1" applyBorder="1" applyAlignment="1">
      <alignment horizontal="center" vertical="top" wrapText="1"/>
    </xf>
    <xf numFmtId="49" fontId="6" fillId="2" borderId="2" xfId="8" applyNumberFormat="1" applyFont="1" applyFill="1" applyBorder="1" applyAlignment="1">
      <alignment horizontal="center" vertical="top" wrapText="1"/>
    </xf>
    <xf numFmtId="49" fontId="6" fillId="2" borderId="3" xfId="8" applyNumberFormat="1" applyFont="1" applyFill="1" applyBorder="1" applyAlignment="1">
      <alignment horizontal="center" vertical="top" wrapText="1"/>
    </xf>
    <xf numFmtId="49" fontId="6" fillId="2" borderId="5" xfId="8" applyNumberFormat="1" applyFont="1" applyFill="1" applyBorder="1" applyAlignment="1">
      <alignment horizontal="center" vertical="top" wrapText="1"/>
    </xf>
    <xf numFmtId="0" fontId="14" fillId="4" borderId="21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8" fillId="0" borderId="0" xfId="0" applyFont="1"/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14" fontId="18" fillId="0" borderId="17" xfId="0" applyNumberFormat="1" applyFont="1" applyBorder="1" applyAlignment="1">
      <alignment horizontal="center" vertical="center"/>
    </xf>
    <xf numFmtId="14" fontId="18" fillId="0" borderId="18" xfId="0" applyNumberFormat="1" applyFont="1" applyBorder="1" applyAlignment="1">
      <alignment horizontal="center" vertical="center"/>
    </xf>
    <xf numFmtId="14" fontId="18" fillId="0" borderId="19" xfId="0" applyNumberFormat="1" applyFont="1" applyBorder="1" applyAlignment="1">
      <alignment horizontal="center" vertical="center"/>
    </xf>
    <xf numFmtId="2" fontId="18" fillId="0" borderId="17" xfId="0" applyNumberFormat="1" applyFont="1" applyBorder="1" applyAlignment="1">
      <alignment horizontal="center" vertical="center"/>
    </xf>
    <xf numFmtId="2" fontId="18" fillId="0" borderId="18" xfId="0" applyNumberFormat="1" applyFont="1" applyBorder="1" applyAlignment="1">
      <alignment horizontal="center" vertical="center"/>
    </xf>
    <xf numFmtId="2" fontId="18" fillId="0" borderId="19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14" fontId="18" fillId="0" borderId="3" xfId="0" applyNumberFormat="1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2" fontId="18" fillId="0" borderId="2" xfId="0" applyNumberFormat="1" applyFont="1" applyBorder="1" applyAlignment="1">
      <alignment horizontal="center" vertical="center"/>
    </xf>
    <xf numFmtId="2" fontId="18" fillId="0" borderId="3" xfId="0" applyNumberFormat="1" applyFont="1" applyBorder="1" applyAlignment="1">
      <alignment horizontal="center" vertical="center"/>
    </xf>
    <xf numFmtId="2" fontId="18" fillId="0" borderId="5" xfId="0" applyNumberFormat="1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" xfId="0" applyFont="1" applyBorder="1"/>
    <xf numFmtId="0" fontId="18" fillId="0" borderId="4" xfId="0" applyFont="1" applyBorder="1"/>
    <xf numFmtId="0" fontId="18" fillId="0" borderId="7" xfId="0" applyFont="1" applyBorder="1"/>
    <xf numFmtId="0" fontId="18" fillId="0" borderId="8" xfId="0" applyFont="1" applyBorder="1"/>
    <xf numFmtId="0" fontId="18" fillId="0" borderId="11" xfId="0" applyFont="1" applyBorder="1"/>
    <xf numFmtId="0" fontId="18" fillId="0" borderId="6" xfId="0" applyFont="1" applyBorder="1"/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12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13" xfId="0" applyFont="1" applyBorder="1"/>
    <xf numFmtId="0" fontId="14" fillId="4" borderId="17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4" fillId="4" borderId="0" xfId="0" applyFont="1" applyFill="1"/>
    <xf numFmtId="0" fontId="18" fillId="0" borderId="22" xfId="0" applyFont="1" applyBorder="1"/>
    <xf numFmtId="0" fontId="18" fillId="0" borderId="23" xfId="0" applyFont="1" applyBorder="1"/>
    <xf numFmtId="0" fontId="18" fillId="0" borderId="24" xfId="0" applyFont="1" applyBorder="1"/>
    <xf numFmtId="0" fontId="18" fillId="0" borderId="18" xfId="0" applyFont="1" applyBorder="1"/>
    <xf numFmtId="0" fontId="18" fillId="0" borderId="19" xfId="0" applyFont="1" applyBorder="1"/>
    <xf numFmtId="0" fontId="18" fillId="0" borderId="17" xfId="0" applyFont="1" applyBorder="1"/>
    <xf numFmtId="0" fontId="18" fillId="0" borderId="25" xfId="0" applyFont="1" applyBorder="1"/>
    <xf numFmtId="0" fontId="18" fillId="0" borderId="26" xfId="0" applyFont="1" applyBorder="1"/>
    <xf numFmtId="0" fontId="18" fillId="0" borderId="27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2" xfId="0" applyFont="1" applyBorder="1"/>
    <xf numFmtId="0" fontId="14" fillId="4" borderId="21" xfId="6" applyFont="1" applyFill="1" applyBorder="1" applyAlignment="1">
      <alignment horizontal="center" vertical="center"/>
    </xf>
    <xf numFmtId="0" fontId="14" fillId="4" borderId="16" xfId="6" applyFont="1" applyFill="1" applyBorder="1" applyAlignment="1">
      <alignment horizontal="center" vertical="center"/>
    </xf>
    <xf numFmtId="0" fontId="14" fillId="4" borderId="20" xfId="6" applyFont="1" applyFill="1" applyBorder="1" applyAlignment="1">
      <alignment horizontal="center" vertical="center"/>
    </xf>
    <xf numFmtId="0" fontId="17" fillId="0" borderId="17" xfId="6" applyFont="1" applyBorder="1" applyAlignment="1">
      <alignment horizontal="center" vertical="center"/>
    </xf>
    <xf numFmtId="0" fontId="17" fillId="0" borderId="18" xfId="6" applyFont="1" applyBorder="1" applyAlignment="1">
      <alignment horizontal="center" vertical="center"/>
    </xf>
    <xf numFmtId="0" fontId="17" fillId="0" borderId="19" xfId="6" applyFont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7" fillId="0" borderId="4" xfId="6" applyFont="1" applyBorder="1" applyAlignment="1">
      <alignment horizontal="center" vertical="center"/>
    </xf>
    <xf numFmtId="0" fontId="17" fillId="0" borderId="2" xfId="6" applyFont="1" applyBorder="1" applyAlignment="1">
      <alignment horizontal="center" vertical="center"/>
    </xf>
    <xf numFmtId="0" fontId="17" fillId="0" borderId="3" xfId="6" applyFont="1" applyBorder="1" applyAlignment="1">
      <alignment horizontal="center" vertical="center"/>
    </xf>
    <xf numFmtId="0" fontId="17" fillId="0" borderId="5" xfId="6" applyFont="1" applyBorder="1" applyAlignment="1">
      <alignment horizontal="center" vertical="center"/>
    </xf>
    <xf numFmtId="0" fontId="15" fillId="4" borderId="21" xfId="6" applyFont="1" applyFill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28" xfId="0" applyFont="1" applyBorder="1" applyAlignment="1">
      <alignment horizontal="left" vertical="top"/>
    </xf>
    <xf numFmtId="0" fontId="18" fillId="0" borderId="21" xfId="0" applyFont="1" applyBorder="1" applyAlignment="1">
      <alignment horizontal="left" vertical="top"/>
    </xf>
    <xf numFmtId="0" fontId="18" fillId="0" borderId="16" xfId="0" applyFont="1" applyBorder="1" applyAlignment="1">
      <alignment horizontal="left" vertical="top"/>
    </xf>
    <xf numFmtId="0" fontId="18" fillId="0" borderId="20" xfId="0" applyFont="1" applyBorder="1" applyAlignment="1">
      <alignment horizontal="left" vertical="top"/>
    </xf>
    <xf numFmtId="0" fontId="18" fillId="2" borderId="21" xfId="0" applyFont="1" applyFill="1" applyBorder="1" applyAlignment="1">
      <alignment horizontal="center" vertical="top" wrapText="1" shrinkToFit="1"/>
    </xf>
    <xf numFmtId="0" fontId="18" fillId="2" borderId="0" xfId="0" applyFont="1" applyFill="1" applyAlignment="1">
      <alignment horizontal="center" vertical="top" wrapText="1" shrinkToFit="1"/>
    </xf>
    <xf numFmtId="0" fontId="18" fillId="2" borderId="0" xfId="0" applyFont="1" applyFill="1" applyAlignment="1">
      <alignment horizontal="left" vertical="top" wrapText="1" shrinkToFit="1"/>
    </xf>
    <xf numFmtId="0" fontId="18" fillId="2" borderId="0" xfId="0" applyFont="1" applyFill="1" applyAlignment="1">
      <alignment horizontal="center" vertical="top"/>
    </xf>
    <xf numFmtId="0" fontId="18" fillId="2" borderId="0" xfId="0" applyFont="1" applyFill="1" applyAlignment="1">
      <alignment horizontal="left" vertical="top"/>
    </xf>
    <xf numFmtId="0" fontId="18" fillId="2" borderId="0" xfId="0" quotePrefix="1" applyFont="1" applyFill="1" applyAlignment="1">
      <alignment vertical="top" wrapText="1" shrinkToFit="1"/>
    </xf>
    <xf numFmtId="0" fontId="18" fillId="2" borderId="0" xfId="0" applyFont="1" applyFill="1" applyAlignment="1">
      <alignment vertical="top" wrapText="1" shrinkToFit="1"/>
    </xf>
    <xf numFmtId="0" fontId="18" fillId="2" borderId="4" xfId="0" applyFont="1" applyFill="1" applyBorder="1" applyAlignment="1">
      <alignment horizontal="left" vertical="top" wrapText="1" shrinkToFit="1"/>
    </xf>
    <xf numFmtId="0" fontId="18" fillId="5" borderId="21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vertical="center"/>
    </xf>
    <xf numFmtId="0" fontId="18" fillId="2" borderId="16" xfId="0" applyFont="1" applyFill="1" applyBorder="1" applyAlignment="1">
      <alignment horizontal="left" vertical="top" wrapText="1" shrinkToFit="1"/>
    </xf>
    <xf numFmtId="0" fontId="18" fillId="2" borderId="20" xfId="0" applyFont="1" applyFill="1" applyBorder="1" applyAlignment="1">
      <alignment horizontal="left" vertical="top" wrapText="1" shrinkToFit="1"/>
    </xf>
    <xf numFmtId="0" fontId="18" fillId="5" borderId="17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vertical="center"/>
    </xf>
    <xf numFmtId="0" fontId="18" fillId="2" borderId="18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0" fontId="18" fillId="2" borderId="0" xfId="0" quotePrefix="1" applyFont="1" applyFill="1" applyAlignment="1">
      <alignment vertical="center"/>
    </xf>
    <xf numFmtId="0" fontId="18" fillId="2" borderId="0" xfId="0" quotePrefix="1" applyFont="1" applyFill="1" applyAlignment="1">
      <alignment horizontal="left" vertical="center" wrapText="1"/>
    </xf>
    <xf numFmtId="0" fontId="18" fillId="2" borderId="2" xfId="0" applyFont="1" applyFill="1" applyBorder="1" applyAlignment="1">
      <alignment vertical="center"/>
    </xf>
    <xf numFmtId="49" fontId="18" fillId="2" borderId="3" xfId="8" applyNumberFormat="1" applyFont="1" applyFill="1" applyBorder="1" applyAlignment="1">
      <alignment horizontal="left" vertical="center"/>
    </xf>
    <xf numFmtId="0" fontId="18" fillId="2" borderId="3" xfId="0" applyFont="1" applyFill="1" applyBorder="1" applyAlignment="1">
      <alignment vertical="center"/>
    </xf>
    <xf numFmtId="49" fontId="18" fillId="2" borderId="21" xfId="8" applyNumberFormat="1" applyFont="1" applyFill="1" applyBorder="1">
      <alignment vertical="center"/>
    </xf>
    <xf numFmtId="49" fontId="18" fillId="2" borderId="16" xfId="8" applyNumberFormat="1" applyFont="1" applyFill="1" applyBorder="1">
      <alignment vertical="center"/>
    </xf>
    <xf numFmtId="49" fontId="18" fillId="2" borderId="21" xfId="8" quotePrefix="1" applyNumberFormat="1" applyFont="1" applyFill="1" applyBorder="1" applyAlignment="1">
      <alignment horizontal="left" vertical="top" wrapText="1"/>
    </xf>
    <xf numFmtId="49" fontId="18" fillId="2" borderId="16" xfId="8" quotePrefix="1" applyNumberFormat="1" applyFont="1" applyFill="1" applyBorder="1" applyAlignment="1">
      <alignment horizontal="left" vertical="top" wrapText="1"/>
    </xf>
    <xf numFmtId="49" fontId="18" fillId="2" borderId="20" xfId="8" quotePrefix="1" applyNumberFormat="1" applyFont="1" applyFill="1" applyBorder="1" applyAlignment="1">
      <alignment horizontal="left" vertical="top" wrapText="1"/>
    </xf>
    <xf numFmtId="0" fontId="18" fillId="2" borderId="17" xfId="0" quotePrefix="1" applyFont="1" applyFill="1" applyBorder="1" applyAlignment="1">
      <alignment horizontal="left" vertical="center"/>
    </xf>
    <xf numFmtId="0" fontId="18" fillId="2" borderId="18" xfId="0" quotePrefix="1" applyFont="1" applyFill="1" applyBorder="1" applyAlignment="1">
      <alignment horizontal="left" vertical="center" indent="1"/>
    </xf>
    <xf numFmtId="0" fontId="18" fillId="2" borderId="19" xfId="0" applyFont="1" applyFill="1" applyBorder="1" applyAlignment="1">
      <alignment vertical="center"/>
    </xf>
    <xf numFmtId="0" fontId="18" fillId="2" borderId="18" xfId="0" applyFont="1" applyFill="1" applyBorder="1" applyAlignment="1">
      <alignment horizontal="left" vertical="center" indent="1"/>
    </xf>
    <xf numFmtId="0" fontId="18" fillId="2" borderId="17" xfId="0" applyFont="1" applyFill="1" applyBorder="1" applyAlignment="1">
      <alignment horizontal="left" vertical="center"/>
    </xf>
    <xf numFmtId="0" fontId="18" fillId="2" borderId="21" xfId="0" quotePrefix="1" applyFont="1" applyFill="1" applyBorder="1" applyAlignment="1">
      <alignment horizontal="left" vertical="center"/>
    </xf>
    <xf numFmtId="0" fontId="18" fillId="2" borderId="16" xfId="0" applyFont="1" applyFill="1" applyBorder="1" applyAlignment="1">
      <alignment horizontal="left" vertical="center" indent="1"/>
    </xf>
    <xf numFmtId="0" fontId="18" fillId="2" borderId="21" xfId="0" applyFont="1" applyFill="1" applyBorder="1" applyAlignment="1">
      <alignment horizontal="left" vertical="center"/>
    </xf>
    <xf numFmtId="0" fontId="18" fillId="2" borderId="20" xfId="0" applyFont="1" applyFill="1" applyBorder="1" applyAlignment="1">
      <alignment vertical="center"/>
    </xf>
    <xf numFmtId="0" fontId="18" fillId="2" borderId="0" xfId="0" applyFont="1" applyFill="1" applyAlignment="1">
      <alignment horizontal="left" vertical="top" wrapText="1"/>
    </xf>
    <xf numFmtId="0" fontId="18" fillId="2" borderId="4" xfId="0" applyFont="1" applyFill="1" applyBorder="1" applyAlignment="1">
      <alignment horizontal="left" vertical="top" wrapText="1"/>
    </xf>
    <xf numFmtId="0" fontId="18" fillId="2" borderId="0" xfId="0" quotePrefix="1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49" fontId="18" fillId="2" borderId="17" xfId="8" applyNumberFormat="1" applyFont="1" applyFill="1" applyBorder="1">
      <alignment vertical="center"/>
    </xf>
    <xf numFmtId="49" fontId="18" fillId="2" borderId="18" xfId="8" applyNumberFormat="1" applyFont="1" applyFill="1" applyBorder="1">
      <alignment vertical="center"/>
    </xf>
    <xf numFmtId="49" fontId="18" fillId="2" borderId="17" xfId="8" quotePrefix="1" applyNumberFormat="1" applyFont="1" applyFill="1" applyBorder="1" applyAlignment="1">
      <alignment horizontal="left" vertical="top" wrapText="1"/>
    </xf>
    <xf numFmtId="49" fontId="18" fillId="2" borderId="18" xfId="8" quotePrefix="1" applyNumberFormat="1" applyFont="1" applyFill="1" applyBorder="1" applyAlignment="1">
      <alignment horizontal="left" vertical="top" wrapText="1"/>
    </xf>
    <xf numFmtId="49" fontId="18" fillId="2" borderId="19" xfId="8" quotePrefix="1" applyNumberFormat="1" applyFont="1" applyFill="1" applyBorder="1" applyAlignment="1">
      <alignment horizontal="left" vertical="top" wrapText="1"/>
    </xf>
    <xf numFmtId="49" fontId="18" fillId="2" borderId="17" xfId="8" quotePrefix="1" applyNumberFormat="1" applyFont="1" applyFill="1" applyBorder="1">
      <alignment vertical="center"/>
    </xf>
    <xf numFmtId="0" fontId="18" fillId="2" borderId="18" xfId="0" quotePrefix="1" applyFont="1" applyFill="1" applyBorder="1" applyAlignment="1">
      <alignment vertical="top"/>
    </xf>
    <xf numFmtId="0" fontId="18" fillId="2" borderId="21" xfId="0" applyFont="1" applyFill="1" applyBorder="1" applyAlignment="1">
      <alignment vertical="center"/>
    </xf>
    <xf numFmtId="0" fontId="18" fillId="2" borderId="21" xfId="0" quotePrefix="1" applyFont="1" applyFill="1" applyBorder="1" applyAlignment="1">
      <alignment vertical="top"/>
    </xf>
    <xf numFmtId="0" fontId="18" fillId="2" borderId="16" xfId="0" quotePrefix="1" applyFont="1" applyFill="1" applyBorder="1" applyAlignment="1">
      <alignment vertical="top"/>
    </xf>
    <xf numFmtId="0" fontId="18" fillId="2" borderId="20" xfId="0" quotePrefix="1" applyFont="1" applyFill="1" applyBorder="1" applyAlignment="1">
      <alignment vertical="top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56030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61925" y="2790825"/>
          <a:ext cx="2505075" cy="6191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04 商品採用店舗確認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15</xdr:row>
      <xdr:rowOff>0</xdr:rowOff>
    </xdr:from>
    <xdr:to>
      <xdr:col>13</xdr:col>
      <xdr:colOff>0</xdr:colOff>
      <xdr:row>15</xdr:row>
      <xdr:rowOff>125647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>
          <a:stCxn id="2" idx="3"/>
        </xdr:cNvCxnSpPr>
      </xdr:nvCxnSpPr>
      <xdr:spPr>
        <a:xfrm flipV="1">
          <a:off x="2667000" y="2971800"/>
          <a:ext cx="800100" cy="1238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123267</xdr:colOff>
      <xdr:row>16</xdr:row>
      <xdr:rowOff>33618</xdr:rowOff>
    </xdr:from>
    <xdr:to>
      <xdr:col>54</xdr:col>
      <xdr:colOff>20620</xdr:colOff>
      <xdr:row>18</xdr:row>
      <xdr:rowOff>22412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>
          <a:grpSpLocks/>
        </xdr:cNvGrpSpPr>
      </xdr:nvGrpSpPr>
      <xdr:grpSpPr>
        <a:xfrm>
          <a:off x="10477502" y="3193677"/>
          <a:ext cx="2250589" cy="369794"/>
          <a:chOff x="9350988" y="-1771293"/>
          <a:chExt cx="2234552" cy="777600"/>
        </a:xfrm>
      </xdr:grpSpPr>
      <xdr:sp macro="" textlink="" fLocksText="0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9929737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3" name="直線矢印コネクタ 4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>
            <a:endCxn id="9" idx="1"/>
          </xdr:cNvCxnSpPr>
        </xdr:nvCxnSpPr>
        <xdr:spPr>
          <a:xfrm>
            <a:off x="9350988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200152</xdr:colOff>
      <xdr:row>71</xdr:row>
      <xdr:rowOff>112059</xdr:rowOff>
    </xdr:from>
    <xdr:to>
      <xdr:col>6</xdr:col>
      <xdr:colOff>33618</xdr:colOff>
      <xdr:row>73</xdr:row>
      <xdr:rowOff>107295</xdr:rowOff>
    </xdr:to>
    <xdr:sp macro="" textlink="" fLocksText="0">
      <xdr:nvSpPr>
        <xdr:cNvPr id="16" name="フローチャート: 代替処理 27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200025" y="13754100"/>
          <a:ext cx="1438275" cy="3714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F04: クリア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33618</xdr:colOff>
      <xdr:row>72</xdr:row>
      <xdr:rowOff>109677</xdr:rowOff>
    </xdr:from>
    <xdr:to>
      <xdr:col>13</xdr:col>
      <xdr:colOff>0</xdr:colOff>
      <xdr:row>72</xdr:row>
      <xdr:rowOff>109677</xdr:rowOff>
    </xdr:to>
    <xdr:cxnSp macro="">
      <xdr:nvCxnSpPr>
        <xdr:cNvPr id="17" name="直線矢印コネクタ 4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CxnSpPr>
          <a:stCxn id="16" idx="3"/>
        </xdr:cNvCxnSpPr>
      </xdr:nvCxnSpPr>
      <xdr:spPr>
        <a:xfrm>
          <a:off x="1638300" y="13944600"/>
          <a:ext cx="18288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200152</xdr:colOff>
      <xdr:row>83</xdr:row>
      <xdr:rowOff>112059</xdr:rowOff>
    </xdr:from>
    <xdr:to>
      <xdr:col>6</xdr:col>
      <xdr:colOff>33618</xdr:colOff>
      <xdr:row>85</xdr:row>
      <xdr:rowOff>107295</xdr:rowOff>
    </xdr:to>
    <xdr:sp macro="" textlink="" fLocksText="0">
      <xdr:nvSpPr>
        <xdr:cNvPr id="24" name="フローチャート: 代替処理 27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200025" y="16040100"/>
          <a:ext cx="1438275" cy="3714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F09: 確定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33618</xdr:colOff>
      <xdr:row>84</xdr:row>
      <xdr:rowOff>109677</xdr:rowOff>
    </xdr:from>
    <xdr:to>
      <xdr:col>13</xdr:col>
      <xdr:colOff>0</xdr:colOff>
      <xdr:row>84</xdr:row>
      <xdr:rowOff>109677</xdr:rowOff>
    </xdr:to>
    <xdr:cxnSp macro="">
      <xdr:nvCxnSpPr>
        <xdr:cNvPr id="25" name="直線矢印コネクタ 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>
          <a:stCxn id="24" idx="3"/>
        </xdr:cNvCxnSpPr>
      </xdr:nvCxnSpPr>
      <xdr:spPr>
        <a:xfrm>
          <a:off x="1638300" y="16230600"/>
          <a:ext cx="18288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30</xdr:row>
      <xdr:rowOff>116824</xdr:rowOff>
    </xdr:from>
    <xdr:to>
      <xdr:col>7</xdr:col>
      <xdr:colOff>0</xdr:colOff>
      <xdr:row>34</xdr:row>
      <xdr:rowOff>0</xdr:rowOff>
    </xdr:to>
    <xdr:sp macro="" textlink="" fLocksText="0">
      <xdr:nvSpPr>
        <xdr:cNvPr id="26" name="フローチャート: 代替処理 27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700" y="5943600"/>
          <a:ext cx="1600200" cy="6477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フォーカスアウト/Enterキー押下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31</xdr:row>
      <xdr:rowOff>58412</xdr:rowOff>
    </xdr:from>
    <xdr:to>
      <xdr:col>13</xdr:col>
      <xdr:colOff>0</xdr:colOff>
      <xdr:row>32</xdr:row>
      <xdr:rowOff>58412</xdr:rowOff>
    </xdr:to>
    <xdr:cxnSp macro="">
      <xdr:nvCxnSpPr>
        <xdr:cNvPr id="27" name="直線矢印コネクタ 4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CxnSpPr>
          <a:stCxn id="26" idx="3"/>
        </xdr:cNvCxnSpPr>
      </xdr:nvCxnSpPr>
      <xdr:spPr>
        <a:xfrm flipV="1">
          <a:off x="1866900" y="6076950"/>
          <a:ext cx="160020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102647</xdr:colOff>
      <xdr:row>55</xdr:row>
      <xdr:rowOff>0</xdr:rowOff>
    </xdr:from>
    <xdr:to>
      <xdr:col>54</xdr:col>
      <xdr:colOff>0</xdr:colOff>
      <xdr:row>56</xdr:row>
      <xdr:rowOff>179294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GrpSpPr>
          <a:grpSpLocks/>
        </xdr:cNvGrpSpPr>
      </xdr:nvGrpSpPr>
      <xdr:grpSpPr>
        <a:xfrm>
          <a:off x="10456882" y="10589559"/>
          <a:ext cx="2250589" cy="369794"/>
          <a:chOff x="8994954" y="-1771293"/>
          <a:chExt cx="2234552" cy="777600"/>
        </a:xfrm>
      </xdr:grpSpPr>
      <xdr:sp macro="" textlink="" fLocksText="0">
        <xdr:nvSpPr>
          <xdr:cNvPr id="41" name="Rectangle 40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2" name="直線矢印コネクタ 4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CxnSpPr>
            <a:endCxn id="41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235321</xdr:colOff>
      <xdr:row>49</xdr:row>
      <xdr:rowOff>0</xdr:rowOff>
    </xdr:from>
    <xdr:to>
      <xdr:col>55</xdr:col>
      <xdr:colOff>235323</xdr:colOff>
      <xdr:row>52</xdr:row>
      <xdr:rowOff>179294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GrpSpPr>
          <a:grpSpLocks/>
        </xdr:cNvGrpSpPr>
      </xdr:nvGrpSpPr>
      <xdr:grpSpPr>
        <a:xfrm>
          <a:off x="10354233" y="9446559"/>
          <a:ext cx="2823884" cy="750794"/>
          <a:chOff x="8681644" y="-2596021"/>
          <a:chExt cx="2803762" cy="1578764"/>
        </a:xfrm>
      </xdr:grpSpPr>
      <xdr:sp macro="" textlink="" fLocksText="0">
        <xdr:nvSpPr>
          <xdr:cNvPr id="44" name="Rectangle 43">
            <a:extLst>
              <a:ext uri="{FF2B5EF4-FFF2-40B4-BE49-F238E27FC236}">
                <a16:creationId xmlns:a16="http://schemas.microsoft.com/office/drawing/2014/main" id="{00000000-0008-0000-0200-00002C000000}"/>
              </a:ext>
            </a:extLst>
          </xdr:cNvPr>
          <xdr:cNvSpPr/>
        </xdr:nvSpPr>
        <xdr:spPr>
          <a:xfrm>
            <a:off x="9362257" y="-2596021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SC0401_ 主な商品採用店舗画面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5" name="直線矢印コネクタ 4">
            <a:extLst>
              <a:ext uri="{FF2B5EF4-FFF2-40B4-BE49-F238E27FC236}">
                <a16:creationId xmlns:a16="http://schemas.microsoft.com/office/drawing/2014/main" id="{00000000-0008-0000-0200-00002D000000}"/>
              </a:ext>
            </a:extLst>
          </xdr:cNvPr>
          <xdr:cNvCxnSpPr>
            <a:endCxn id="44" idx="1"/>
          </xdr:cNvCxnSpPr>
        </xdr:nvCxnSpPr>
        <xdr:spPr>
          <a:xfrm>
            <a:off x="8681644" y="-1806639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224117</xdr:colOff>
      <xdr:row>71</xdr:row>
      <xdr:rowOff>11206</xdr:rowOff>
    </xdr:from>
    <xdr:to>
      <xdr:col>56</xdr:col>
      <xdr:colOff>0</xdr:colOff>
      <xdr:row>75</xdr:row>
      <xdr:rowOff>0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>
          <a:grpSpLocks/>
        </xdr:cNvGrpSpPr>
      </xdr:nvGrpSpPr>
      <xdr:grpSpPr>
        <a:xfrm>
          <a:off x="10343029" y="13648765"/>
          <a:ext cx="2835089" cy="750794"/>
          <a:chOff x="8670518" y="-2572457"/>
          <a:chExt cx="2814887" cy="1578764"/>
        </a:xfrm>
      </xdr:grpSpPr>
      <xdr:sp macro="" textlink="" fLocksText="0">
        <xdr:nvSpPr>
          <xdr:cNvPr id="49" name="Rectangle 48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/>
        </xdr:nvSpPr>
        <xdr:spPr>
          <a:xfrm>
            <a:off x="9351017" y="-2572457"/>
            <a:ext cx="2134388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SC0401_ 主な商品採用店舗画面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0" name="直線矢印コネクタ 4">
            <a:extLst>
              <a:ext uri="{FF2B5EF4-FFF2-40B4-BE49-F238E27FC236}">
                <a16:creationId xmlns:a16="http://schemas.microsoft.com/office/drawing/2014/main" id="{00000000-0008-0000-0200-000032000000}"/>
              </a:ext>
            </a:extLst>
          </xdr:cNvPr>
          <xdr:cNvCxnSpPr>
            <a:endCxn id="49" idx="1"/>
          </xdr:cNvCxnSpPr>
        </xdr:nvCxnSpPr>
        <xdr:spPr>
          <a:xfrm>
            <a:off x="8670518" y="-1783075"/>
            <a:ext cx="68049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102647</xdr:colOff>
      <xdr:row>100</xdr:row>
      <xdr:rowOff>179294</xdr:rowOff>
    </xdr:from>
    <xdr:to>
      <xdr:col>54</xdr:col>
      <xdr:colOff>0</xdr:colOff>
      <xdr:row>102</xdr:row>
      <xdr:rowOff>168088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GrpSpPr>
          <a:grpSpLocks/>
        </xdr:cNvGrpSpPr>
      </xdr:nvGrpSpPr>
      <xdr:grpSpPr>
        <a:xfrm>
          <a:off x="10456882" y="19341353"/>
          <a:ext cx="2250589" cy="369794"/>
          <a:chOff x="8994954" y="-1771293"/>
          <a:chExt cx="2234552" cy="777600"/>
        </a:xfrm>
      </xdr:grpSpPr>
      <xdr:sp macro="" textlink="" fLocksText="0">
        <xdr:nvSpPr>
          <xdr:cNvPr id="53" name="Rectangle 52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4" name="直線矢印コネクタ 4">
            <a:extLst>
              <a:ext uri="{FF2B5EF4-FFF2-40B4-BE49-F238E27FC236}">
                <a16:creationId xmlns:a16="http://schemas.microsoft.com/office/drawing/2014/main" id="{00000000-0008-0000-0200-000036000000}"/>
              </a:ext>
            </a:extLst>
          </xdr:cNvPr>
          <xdr:cNvCxnSpPr>
            <a:endCxn id="53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224117</xdr:colOff>
      <xdr:row>95</xdr:row>
      <xdr:rowOff>0</xdr:rowOff>
    </xdr:from>
    <xdr:to>
      <xdr:col>56</xdr:col>
      <xdr:colOff>0</xdr:colOff>
      <xdr:row>98</xdr:row>
      <xdr:rowOff>179294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GrpSpPr>
          <a:grpSpLocks/>
        </xdr:cNvGrpSpPr>
      </xdr:nvGrpSpPr>
      <xdr:grpSpPr>
        <a:xfrm>
          <a:off x="10343029" y="18209559"/>
          <a:ext cx="2835089" cy="750794"/>
          <a:chOff x="8670518" y="-2572457"/>
          <a:chExt cx="2814887" cy="1578764"/>
        </a:xfrm>
      </xdr:grpSpPr>
      <xdr:sp macro="" textlink="" fLocksText="0">
        <xdr:nvSpPr>
          <xdr:cNvPr id="56" name="Rectangle 55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SpPr/>
        </xdr:nvSpPr>
        <xdr:spPr>
          <a:xfrm>
            <a:off x="9351017" y="-2572457"/>
            <a:ext cx="2134388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SC0401_ 主な商品採用店舗画面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7" name="直線矢印コネクタ 4">
            <a:extLst>
              <a:ext uri="{FF2B5EF4-FFF2-40B4-BE49-F238E27FC236}">
                <a16:creationId xmlns:a16="http://schemas.microsoft.com/office/drawing/2014/main" id="{00000000-0008-0000-0200-000039000000}"/>
              </a:ext>
            </a:extLst>
          </xdr:cNvPr>
          <xdr:cNvCxnSpPr>
            <a:endCxn id="56" idx="1"/>
          </xdr:cNvCxnSpPr>
        </xdr:nvCxnSpPr>
        <xdr:spPr>
          <a:xfrm>
            <a:off x="8670518" y="-1783075"/>
            <a:ext cx="68049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56030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61925" y="2790825"/>
          <a:ext cx="2505075" cy="61912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アクション (例: 画面初期化、SCxxxxx画面でボタンを押下など)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>
          <a:stCxn id="2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39782</xdr:colOff>
      <xdr:row>23</xdr:row>
      <xdr:rowOff>67235</xdr:rowOff>
    </xdr:from>
    <xdr:to>
      <xdr:col>55</xdr:col>
      <xdr:colOff>0</xdr:colOff>
      <xdr:row>25</xdr:row>
      <xdr:rowOff>121022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>
          <a:grpSpLocks/>
        </xdr:cNvGrpSpPr>
      </xdr:nvGrpSpPr>
      <xdr:grpSpPr>
        <a:xfrm>
          <a:off x="9217400" y="4560794"/>
          <a:ext cx="3725394" cy="434787"/>
          <a:chOff x="8080531" y="514467"/>
          <a:chExt cx="2042145" cy="777600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SCxxxxxx画面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CxnSpPr>
            <a:endCxn id="5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39</xdr:col>
      <xdr:colOff>39782</xdr:colOff>
      <xdr:row>31</xdr:row>
      <xdr:rowOff>0</xdr:rowOff>
    </xdr:from>
    <xdr:to>
      <xdr:col>55</xdr:col>
      <xdr:colOff>0</xdr:colOff>
      <xdr:row>33</xdr:row>
      <xdr:rowOff>53787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pSpPr>
          <a:grpSpLocks/>
        </xdr:cNvGrpSpPr>
      </xdr:nvGrpSpPr>
      <xdr:grpSpPr>
        <a:xfrm>
          <a:off x="9217400" y="6017559"/>
          <a:ext cx="3725394" cy="434787"/>
          <a:chOff x="8080531" y="514467"/>
          <a:chExt cx="2042145" cy="777600"/>
        </a:xfrm>
      </xdr:grpSpPr>
      <xdr:sp macro="" textlink="" fLocksText="0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SCxxxxxx画面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9" name="直線矢印コネクタ 4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CxnSpPr>
            <a:endCxn id="8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66" customWidth="1"/>
    <col min="61" max="16384" width="2.77734375" style="66"/>
  </cols>
  <sheetData>
    <row r="1" spans="1:63" ht="24.95" customHeight="1" x14ac:dyDescent="0.25">
      <c r="A1" s="60" t="s">
        <v>55</v>
      </c>
      <c r="B1" s="61"/>
      <c r="C1" s="61"/>
      <c r="D1" s="61"/>
      <c r="E1" s="61"/>
      <c r="F1" s="61"/>
      <c r="G1" s="61"/>
      <c r="H1" s="61"/>
      <c r="I1" s="61"/>
      <c r="J1" s="62"/>
      <c r="K1" s="60" t="s">
        <v>56</v>
      </c>
      <c r="L1" s="61"/>
      <c r="M1" s="61"/>
      <c r="N1" s="61"/>
      <c r="O1" s="61"/>
      <c r="P1" s="61"/>
      <c r="Q1" s="61"/>
      <c r="R1" s="61"/>
      <c r="S1" s="61"/>
      <c r="T1" s="61"/>
      <c r="U1" s="61"/>
      <c r="V1" s="62"/>
      <c r="W1" s="63" t="s">
        <v>57</v>
      </c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5"/>
      <c r="AP1" s="60" t="s">
        <v>58</v>
      </c>
      <c r="AQ1" s="61"/>
      <c r="AR1" s="61"/>
      <c r="AS1" s="62"/>
      <c r="AT1" s="60" t="s">
        <v>59</v>
      </c>
      <c r="AU1" s="61"/>
      <c r="AV1" s="61"/>
      <c r="AW1" s="61"/>
      <c r="AX1" s="62"/>
      <c r="AY1" s="60" t="s">
        <v>60</v>
      </c>
      <c r="AZ1" s="61"/>
      <c r="BA1" s="61"/>
      <c r="BB1" s="62"/>
      <c r="BC1" s="60" t="s">
        <v>61</v>
      </c>
      <c r="BD1" s="61"/>
      <c r="BE1" s="61"/>
      <c r="BF1" s="61"/>
      <c r="BG1" s="62"/>
      <c r="BH1" s="60" t="s">
        <v>62</v>
      </c>
      <c r="BI1" s="61"/>
      <c r="BJ1" s="61"/>
      <c r="BK1" s="62"/>
    </row>
    <row r="2" spans="1:63" ht="15" customHeight="1" x14ac:dyDescent="0.25">
      <c r="A2" s="1" t="s">
        <v>63</v>
      </c>
      <c r="B2" s="67"/>
      <c r="C2" s="67"/>
      <c r="D2" s="67"/>
      <c r="E2" s="67"/>
      <c r="F2" s="67"/>
      <c r="G2" s="67"/>
      <c r="H2" s="67"/>
      <c r="I2" s="67"/>
      <c r="J2" s="68"/>
      <c r="K2" s="69" t="s">
        <v>1</v>
      </c>
      <c r="L2" s="67"/>
      <c r="M2" s="67"/>
      <c r="N2" s="67"/>
      <c r="O2" s="67"/>
      <c r="P2" s="67"/>
      <c r="Q2" s="67"/>
      <c r="R2" s="67"/>
      <c r="S2" s="67"/>
      <c r="T2" s="67"/>
      <c r="U2" s="67"/>
      <c r="V2" s="68"/>
      <c r="W2" s="70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2"/>
      <c r="AP2" s="69" t="str">
        <f>改訂履歴!$H$11</f>
        <v>DuNT</v>
      </c>
      <c r="AQ2" s="67"/>
      <c r="AR2" s="67"/>
      <c r="AS2" s="68"/>
      <c r="AT2" s="73">
        <f>改訂履歴!$B$11</f>
        <v>45448</v>
      </c>
      <c r="AU2" s="74"/>
      <c r="AV2" s="74"/>
      <c r="AW2" s="74"/>
      <c r="AX2" s="75"/>
      <c r="AY2" s="69" t="str">
        <f>LOOKUP(2,1/(改訂履歴!H11:H30000&lt;&gt;""),改訂履歴!H11:H30000)</f>
        <v>DuNT</v>
      </c>
      <c r="AZ2" s="67"/>
      <c r="BA2" s="67"/>
      <c r="BB2" s="68"/>
      <c r="BC2" s="73">
        <f>LOOKUP(2,1/(改訂履歴!B11:B30000&lt;&gt;""),改訂履歴!B11:B30000)</f>
        <v>45448</v>
      </c>
      <c r="BD2" s="74"/>
      <c r="BE2" s="74"/>
      <c r="BF2" s="74"/>
      <c r="BG2" s="75"/>
      <c r="BH2" s="76">
        <f>LOOKUP(2,1/(改訂履歴!O11:O30000&lt;&gt;""),改訂履歴!O11:O30000)</f>
        <v>0.1</v>
      </c>
      <c r="BI2" s="77"/>
      <c r="BJ2" s="77"/>
      <c r="BK2" s="78"/>
    </row>
    <row r="3" spans="1:63" ht="15" customHeight="1" x14ac:dyDescent="0.25">
      <c r="A3" s="79"/>
      <c r="B3" s="80"/>
      <c r="C3" s="80"/>
      <c r="D3" s="80"/>
      <c r="E3" s="80"/>
      <c r="F3" s="80"/>
      <c r="G3" s="80"/>
      <c r="H3" s="80"/>
      <c r="I3" s="80"/>
      <c r="J3" s="81"/>
      <c r="K3" s="79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 s="82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4"/>
      <c r="AP3" s="79"/>
      <c r="AQ3" s="80"/>
      <c r="AR3" s="80"/>
      <c r="AS3" s="81"/>
      <c r="AT3" s="85"/>
      <c r="AU3" s="86"/>
      <c r="AV3" s="86"/>
      <c r="AW3" s="86"/>
      <c r="AX3" s="87"/>
      <c r="AY3" s="79"/>
      <c r="AZ3" s="80"/>
      <c r="BA3" s="80"/>
      <c r="BB3" s="81"/>
      <c r="BC3" s="85"/>
      <c r="BD3" s="86"/>
      <c r="BE3" s="86"/>
      <c r="BF3" s="86"/>
      <c r="BG3" s="87"/>
      <c r="BH3" s="88"/>
      <c r="BI3" s="89"/>
      <c r="BJ3" s="89"/>
      <c r="BK3" s="90"/>
    </row>
    <row r="4" spans="1:63" ht="24.95" customHeight="1" x14ac:dyDescent="0.25">
      <c r="A4" s="60" t="s">
        <v>64</v>
      </c>
      <c r="B4" s="61"/>
      <c r="C4" s="61"/>
      <c r="D4" s="61"/>
      <c r="E4" s="61"/>
      <c r="F4" s="61"/>
      <c r="G4" s="62"/>
      <c r="H4" s="91" t="s">
        <v>48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3"/>
      <c r="U4" s="60" t="s">
        <v>65</v>
      </c>
      <c r="V4" s="61"/>
      <c r="W4" s="61"/>
      <c r="X4" s="61"/>
      <c r="Y4" s="62"/>
      <c r="Z4" s="31" t="s">
        <v>66</v>
      </c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3"/>
      <c r="AP4" s="91" t="str">
        <f t="array" aca="1" ref="AP4" ca="1">RIGHT(CELL("filename",$A$1),LEN(CELL("filename",$A$1))-FIND("]",CELL("filename",$A$1)))</f>
        <v>表紙</v>
      </c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3"/>
    </row>
    <row r="5" spans="1:63" ht="5.0999999999999996" customHeight="1" x14ac:dyDescent="0.25">
      <c r="A5" s="94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6"/>
    </row>
    <row r="6" spans="1:63" ht="15" customHeight="1" x14ac:dyDescent="0.25">
      <c r="A6" s="97"/>
      <c r="BK6" s="98"/>
    </row>
    <row r="7" spans="1:63" ht="15" customHeight="1" x14ac:dyDescent="0.25">
      <c r="A7" s="97"/>
      <c r="BK7" s="98"/>
    </row>
    <row r="8" spans="1:63" ht="15" customHeight="1" x14ac:dyDescent="0.25">
      <c r="A8" s="97"/>
      <c r="BK8" s="98"/>
    </row>
    <row r="9" spans="1:63" ht="15" customHeight="1" x14ac:dyDescent="0.25">
      <c r="A9" s="97"/>
      <c r="BK9" s="98"/>
    </row>
    <row r="10" spans="1:63" ht="15" customHeight="1" x14ac:dyDescent="0.25">
      <c r="A10" s="97"/>
      <c r="BK10" s="98"/>
    </row>
    <row r="11" spans="1:63" ht="15" customHeight="1" x14ac:dyDescent="0.25">
      <c r="A11" s="97"/>
      <c r="BK11" s="98"/>
    </row>
    <row r="12" spans="1:63" ht="15" customHeight="1" x14ac:dyDescent="0.25">
      <c r="A12" s="97"/>
      <c r="BK12" s="98"/>
    </row>
    <row r="13" spans="1:63" ht="15" customHeight="1" x14ac:dyDescent="0.25">
      <c r="A13" s="97"/>
      <c r="BK13" s="98"/>
    </row>
    <row r="14" spans="1:63" ht="15" customHeight="1" thickBot="1" x14ac:dyDescent="0.3">
      <c r="A14" s="97"/>
      <c r="BK14" s="98"/>
    </row>
    <row r="15" spans="1:63" ht="15" customHeight="1" thickTop="1" x14ac:dyDescent="0.25">
      <c r="A15" s="97"/>
      <c r="K15" s="99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1"/>
      <c r="BK15" s="98"/>
    </row>
    <row r="16" spans="1:63" ht="15" customHeight="1" x14ac:dyDescent="0.25">
      <c r="A16" s="97"/>
      <c r="K16" s="102"/>
      <c r="L16" s="103" t="s">
        <v>67</v>
      </c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5"/>
      <c r="BK16" s="98"/>
    </row>
    <row r="17" spans="1:63" ht="15" customHeight="1" x14ac:dyDescent="0.25">
      <c r="A17" s="97"/>
      <c r="K17" s="102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5"/>
      <c r="BK17" s="98"/>
    </row>
    <row r="18" spans="1:63" ht="15" customHeight="1" x14ac:dyDescent="0.25">
      <c r="A18" s="97"/>
      <c r="K18" s="102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5"/>
      <c r="BK18" s="98"/>
    </row>
    <row r="19" spans="1:63" ht="15" customHeight="1" x14ac:dyDescent="0.25">
      <c r="A19" s="97"/>
      <c r="K19" s="102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5"/>
      <c r="BK19" s="98"/>
    </row>
    <row r="20" spans="1:63" ht="15" customHeight="1" x14ac:dyDescent="0.25">
      <c r="A20" s="97"/>
      <c r="K20" s="102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5"/>
      <c r="BK20" s="98"/>
    </row>
    <row r="21" spans="1:63" ht="15" customHeight="1" x14ac:dyDescent="0.25">
      <c r="A21" s="97"/>
      <c r="K21" s="102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5"/>
      <c r="BK21" s="98"/>
    </row>
    <row r="22" spans="1:63" ht="15" customHeight="1" thickBot="1" x14ac:dyDescent="0.3">
      <c r="A22" s="97"/>
      <c r="K22" s="102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5"/>
      <c r="BK22" s="98"/>
    </row>
    <row r="23" spans="1:63" ht="15" customHeight="1" x14ac:dyDescent="0.25">
      <c r="A23" s="97"/>
      <c r="K23" s="102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5"/>
      <c r="BK23" s="98"/>
    </row>
    <row r="24" spans="1:63" ht="15" customHeight="1" x14ac:dyDescent="0.25">
      <c r="A24" s="97"/>
      <c r="K24" s="102"/>
      <c r="L24" s="104" t="str">
        <f>K2&amp;"/"&amp;H4&amp;"/"&amp;Z4</f>
        <v>POSサーバー/04_商品採用店舗確認/機能設計書</v>
      </c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5"/>
      <c r="BK24" s="98"/>
    </row>
    <row r="25" spans="1:63" ht="15" customHeight="1" x14ac:dyDescent="0.25">
      <c r="A25" s="97"/>
      <c r="K25" s="102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5"/>
      <c r="BK25" s="98"/>
    </row>
    <row r="26" spans="1:63" ht="15" customHeight="1" x14ac:dyDescent="0.25">
      <c r="A26" s="97"/>
      <c r="K26" s="102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5"/>
      <c r="BK26" s="98"/>
    </row>
    <row r="27" spans="1:63" ht="15" customHeight="1" x14ac:dyDescent="0.25">
      <c r="A27" s="97"/>
      <c r="K27" s="102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5"/>
      <c r="BK27" s="98"/>
    </row>
    <row r="28" spans="1:63" ht="15" customHeight="1" x14ac:dyDescent="0.25">
      <c r="A28" s="97"/>
      <c r="K28" s="102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5"/>
      <c r="BK28" s="98"/>
    </row>
    <row r="29" spans="1:63" ht="15" customHeight="1" x14ac:dyDescent="0.25">
      <c r="A29" s="97"/>
      <c r="K29" s="102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5"/>
      <c r="BK29" s="98"/>
    </row>
    <row r="30" spans="1:63" ht="15" customHeight="1" x14ac:dyDescent="0.25">
      <c r="A30" s="97"/>
      <c r="K30" s="102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5"/>
      <c r="BK30" s="98"/>
    </row>
    <row r="31" spans="1:63" ht="15" customHeight="1" x14ac:dyDescent="0.25">
      <c r="A31" s="97"/>
      <c r="K31" s="102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5"/>
      <c r="BK31" s="98"/>
    </row>
    <row r="32" spans="1:63" ht="15" customHeight="1" x14ac:dyDescent="0.25">
      <c r="A32" s="97"/>
      <c r="K32" s="102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5"/>
      <c r="BK32" s="98"/>
    </row>
    <row r="33" spans="1:63" ht="15" customHeight="1" x14ac:dyDescent="0.25">
      <c r="A33" s="97"/>
      <c r="K33" s="102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5"/>
      <c r="BK33" s="98"/>
    </row>
    <row r="34" spans="1:63" ht="15" customHeight="1" x14ac:dyDescent="0.25">
      <c r="A34" s="97"/>
      <c r="K34" s="102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5"/>
      <c r="BK34" s="98"/>
    </row>
    <row r="35" spans="1:63" ht="15" customHeight="1" x14ac:dyDescent="0.25">
      <c r="A35" s="97"/>
      <c r="K35" s="102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5"/>
      <c r="BK35" s="98"/>
    </row>
    <row r="36" spans="1:63" ht="15" customHeight="1" x14ac:dyDescent="0.25">
      <c r="A36" s="97"/>
      <c r="K36" s="102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04"/>
      <c r="AZ36" s="104"/>
      <c r="BA36" s="105"/>
      <c r="BK36" s="98"/>
    </row>
    <row r="37" spans="1:63" ht="15" customHeight="1" thickBot="1" x14ac:dyDescent="0.3">
      <c r="A37" s="97"/>
      <c r="K37" s="108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  <c r="AZ37" s="109"/>
      <c r="BA37" s="110"/>
      <c r="BK37" s="98"/>
    </row>
    <row r="38" spans="1:63" ht="15" customHeight="1" thickTop="1" x14ac:dyDescent="0.25">
      <c r="A38" s="97"/>
      <c r="BK38" s="98"/>
    </row>
    <row r="39" spans="1:63" ht="15" customHeight="1" x14ac:dyDescent="0.25">
      <c r="A39" s="97"/>
      <c r="BK39" s="98"/>
    </row>
    <row r="40" spans="1:63" ht="15" customHeight="1" x14ac:dyDescent="0.25">
      <c r="A40" s="97"/>
      <c r="BK40" s="98"/>
    </row>
    <row r="41" spans="1:63" ht="15" customHeight="1" x14ac:dyDescent="0.25">
      <c r="A41" s="97"/>
      <c r="BK41" s="98"/>
    </row>
    <row r="42" spans="1:63" ht="15" customHeight="1" x14ac:dyDescent="0.25">
      <c r="A42" s="97"/>
      <c r="BK42" s="98"/>
    </row>
    <row r="43" spans="1:63" ht="15" customHeight="1" x14ac:dyDescent="0.25">
      <c r="A43" s="97"/>
      <c r="BK43" s="98"/>
    </row>
    <row r="44" spans="1:63" ht="15" customHeight="1" x14ac:dyDescent="0.25">
      <c r="A44" s="97"/>
      <c r="Q44" s="111" t="s">
        <v>68</v>
      </c>
      <c r="R44" s="112"/>
      <c r="S44" s="112"/>
      <c r="T44" s="112"/>
      <c r="U44" s="112"/>
      <c r="V44" s="112"/>
      <c r="W44" s="112"/>
      <c r="X44" s="112"/>
      <c r="Y44" s="112"/>
      <c r="Z44" s="113"/>
      <c r="AA44" s="111" t="s">
        <v>69</v>
      </c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3"/>
      <c r="AQ44" s="111" t="s">
        <v>62</v>
      </c>
      <c r="AR44" s="112"/>
      <c r="AS44" s="112"/>
      <c r="AT44" s="112"/>
      <c r="AU44" s="113"/>
      <c r="BK44" s="98"/>
    </row>
    <row r="45" spans="1:63" ht="15" customHeight="1" x14ac:dyDescent="0.25">
      <c r="A45" s="97"/>
      <c r="Q45" s="114"/>
      <c r="R45" s="115"/>
      <c r="S45" s="115"/>
      <c r="T45" s="115"/>
      <c r="U45" s="115"/>
      <c r="V45" s="115"/>
      <c r="W45" s="115"/>
      <c r="X45" s="115"/>
      <c r="Y45" s="115"/>
      <c r="Z45" s="116"/>
      <c r="AA45" s="114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6"/>
      <c r="AQ45" s="114"/>
      <c r="AR45" s="115"/>
      <c r="AS45" s="115"/>
      <c r="AT45" s="115"/>
      <c r="AU45" s="116"/>
      <c r="BK45" s="98"/>
    </row>
    <row r="46" spans="1:63" ht="15" customHeight="1" x14ac:dyDescent="0.25">
      <c r="A46" s="97"/>
      <c r="Q46" s="69"/>
      <c r="R46" s="67"/>
      <c r="S46" s="67"/>
      <c r="T46" s="67"/>
      <c r="U46" s="67"/>
      <c r="V46" s="67"/>
      <c r="W46" s="67"/>
      <c r="X46" s="67"/>
      <c r="Y46" s="67"/>
      <c r="Z46" s="68"/>
      <c r="AA46" s="69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8"/>
      <c r="AQ46" s="69"/>
      <c r="AR46" s="67"/>
      <c r="AS46" s="67"/>
      <c r="AT46" s="67"/>
      <c r="AU46" s="68"/>
      <c r="BK46" s="98"/>
    </row>
    <row r="47" spans="1:63" ht="15" customHeight="1" x14ac:dyDescent="0.25">
      <c r="A47" s="97"/>
      <c r="Q47" s="117"/>
      <c r="R47" s="118"/>
      <c r="S47" s="118"/>
      <c r="T47" s="118"/>
      <c r="U47" s="118"/>
      <c r="V47" s="118"/>
      <c r="W47" s="118"/>
      <c r="X47" s="118"/>
      <c r="Y47" s="118"/>
      <c r="Z47" s="119"/>
      <c r="AA47" s="117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9"/>
      <c r="AQ47" s="117"/>
      <c r="AR47" s="118"/>
      <c r="AS47" s="118"/>
      <c r="AT47" s="118"/>
      <c r="AU47" s="119"/>
      <c r="BK47" s="98"/>
    </row>
    <row r="48" spans="1:63" ht="15" customHeight="1" x14ac:dyDescent="0.25">
      <c r="A48" s="97"/>
      <c r="Q48" s="117"/>
      <c r="R48" s="118"/>
      <c r="S48" s="118"/>
      <c r="T48" s="118"/>
      <c r="U48" s="118"/>
      <c r="V48" s="118"/>
      <c r="W48" s="118"/>
      <c r="X48" s="118"/>
      <c r="Y48" s="118"/>
      <c r="Z48" s="119"/>
      <c r="AA48" s="117"/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18"/>
      <c r="AM48" s="118"/>
      <c r="AN48" s="118"/>
      <c r="AO48" s="118"/>
      <c r="AP48" s="119"/>
      <c r="AQ48" s="117"/>
      <c r="AR48" s="118"/>
      <c r="AS48" s="118"/>
      <c r="AT48" s="118"/>
      <c r="AU48" s="119"/>
      <c r="BK48" s="98"/>
    </row>
    <row r="49" spans="1:63" ht="15" customHeight="1" x14ac:dyDescent="0.25">
      <c r="A49" s="97"/>
      <c r="Q49" s="79"/>
      <c r="R49" s="80"/>
      <c r="S49" s="80"/>
      <c r="T49" s="80"/>
      <c r="U49" s="80"/>
      <c r="V49" s="80"/>
      <c r="W49" s="80"/>
      <c r="X49" s="80"/>
      <c r="Y49" s="80"/>
      <c r="Z49" s="81"/>
      <c r="AA49" s="79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1"/>
      <c r="AQ49" s="79"/>
      <c r="AR49" s="80"/>
      <c r="AS49" s="80"/>
      <c r="AT49" s="80"/>
      <c r="AU49" s="81"/>
      <c r="BK49" s="98"/>
    </row>
    <row r="50" spans="1:63" ht="15" customHeight="1" x14ac:dyDescent="0.25">
      <c r="A50" s="97"/>
      <c r="BK50" s="98"/>
    </row>
    <row r="51" spans="1:63" ht="15" customHeight="1" x14ac:dyDescent="0.25">
      <c r="A51" s="97"/>
      <c r="BK51" s="98"/>
    </row>
    <row r="52" spans="1:63" ht="15" customHeight="1" x14ac:dyDescent="0.25">
      <c r="A52" s="97"/>
      <c r="BK52" s="98"/>
    </row>
    <row r="53" spans="1:63" ht="15" customHeight="1" x14ac:dyDescent="0.25">
      <c r="A53" s="97"/>
      <c r="BK53" s="98"/>
    </row>
    <row r="54" spans="1:63" ht="15" customHeight="1" x14ac:dyDescent="0.25">
      <c r="A54" s="97"/>
      <c r="BK54" s="98"/>
    </row>
    <row r="55" spans="1:63" ht="15" customHeight="1" x14ac:dyDescent="0.25">
      <c r="A55" s="94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95"/>
      <c r="AY55" s="95"/>
      <c r="AZ55" s="95"/>
      <c r="BA55" s="95"/>
      <c r="BB55" s="95"/>
      <c r="BC55" s="95"/>
      <c r="BD55" s="95"/>
      <c r="BE55" s="95"/>
      <c r="BF55" s="95"/>
      <c r="BG55" s="95"/>
      <c r="BH55" s="95"/>
      <c r="BI55" s="95"/>
      <c r="BJ55" s="95"/>
      <c r="BK55" s="96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66" customWidth="1"/>
    <col min="61" max="16384" width="2.77734375" style="66"/>
  </cols>
  <sheetData>
    <row r="1" spans="1:63" ht="24.95" customHeight="1" x14ac:dyDescent="0.25">
      <c r="A1" s="60" t="s">
        <v>55</v>
      </c>
      <c r="B1" s="61"/>
      <c r="C1" s="61"/>
      <c r="D1" s="61"/>
      <c r="E1" s="61"/>
      <c r="F1" s="61"/>
      <c r="G1" s="61"/>
      <c r="H1" s="61"/>
      <c r="I1" s="61"/>
      <c r="J1" s="62"/>
      <c r="K1" s="60" t="s">
        <v>56</v>
      </c>
      <c r="L1" s="61"/>
      <c r="M1" s="61"/>
      <c r="N1" s="61"/>
      <c r="O1" s="61"/>
      <c r="P1" s="61"/>
      <c r="Q1" s="61"/>
      <c r="R1" s="61"/>
      <c r="S1" s="61"/>
      <c r="T1" s="61"/>
      <c r="U1" s="61"/>
      <c r="V1" s="62"/>
      <c r="W1" s="120" t="str">
        <f>IF(表紙!W1="","",表紙!W1)</f>
        <v>詳細設計書</v>
      </c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5"/>
      <c r="AP1" s="60" t="s">
        <v>58</v>
      </c>
      <c r="AQ1" s="61"/>
      <c r="AR1" s="61"/>
      <c r="AS1" s="62"/>
      <c r="AT1" s="60" t="s">
        <v>59</v>
      </c>
      <c r="AU1" s="61"/>
      <c r="AV1" s="61"/>
      <c r="AW1" s="61"/>
      <c r="AX1" s="62"/>
      <c r="AY1" s="60" t="s">
        <v>60</v>
      </c>
      <c r="AZ1" s="61"/>
      <c r="BA1" s="61"/>
      <c r="BB1" s="62"/>
      <c r="BC1" s="60" t="s">
        <v>61</v>
      </c>
      <c r="BD1" s="61"/>
      <c r="BE1" s="61"/>
      <c r="BF1" s="61"/>
      <c r="BG1" s="62"/>
      <c r="BH1" s="60" t="s">
        <v>62</v>
      </c>
      <c r="BI1" s="61"/>
      <c r="BJ1" s="61"/>
      <c r="BK1" s="62"/>
    </row>
    <row r="2" spans="1:63" ht="15" customHeight="1" x14ac:dyDescent="0.25">
      <c r="A2" s="69" t="str">
        <f>IF(表紙!A2="","",表紙!A2)</f>
        <v>POSサーバー</v>
      </c>
      <c r="B2" s="67"/>
      <c r="C2" s="67"/>
      <c r="D2" s="67"/>
      <c r="E2" s="67"/>
      <c r="F2" s="67"/>
      <c r="G2" s="67"/>
      <c r="H2" s="67"/>
      <c r="I2" s="67"/>
      <c r="J2" s="68"/>
      <c r="K2" s="69" t="str">
        <f>IF(表紙!K2="","",表紙!K2)</f>
        <v>POSサーバー</v>
      </c>
      <c r="L2" s="67"/>
      <c r="M2" s="67"/>
      <c r="N2" s="67"/>
      <c r="O2" s="67"/>
      <c r="P2" s="67"/>
      <c r="Q2" s="67"/>
      <c r="R2" s="67"/>
      <c r="S2" s="67"/>
      <c r="T2" s="67"/>
      <c r="U2" s="67"/>
      <c r="V2" s="68"/>
      <c r="W2" s="70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2"/>
      <c r="AP2" s="69" t="str">
        <f>IF(表紙!AP2="","",表紙!AP2)</f>
        <v>DuNT</v>
      </c>
      <c r="AQ2" s="67"/>
      <c r="AR2" s="67"/>
      <c r="AS2" s="68"/>
      <c r="AT2" s="73">
        <f>IF(表紙!AT2="","",表紙!AT2)</f>
        <v>45448</v>
      </c>
      <c r="AU2" s="74"/>
      <c r="AV2" s="74"/>
      <c r="AW2" s="74"/>
      <c r="AX2" s="75"/>
      <c r="AY2" s="69" t="str">
        <f>IF(表紙!AY2="","",表紙!AY2)</f>
        <v>DuNT</v>
      </c>
      <c r="AZ2" s="67"/>
      <c r="BA2" s="67"/>
      <c r="BB2" s="68"/>
      <c r="BC2" s="73">
        <f>IF(表紙!BC2="","",表紙!BC2)</f>
        <v>45448</v>
      </c>
      <c r="BD2" s="74"/>
      <c r="BE2" s="74"/>
      <c r="BF2" s="74"/>
      <c r="BG2" s="75"/>
      <c r="BH2" s="69">
        <f>IF(表紙!BH2="","",表紙!BH2)</f>
        <v>0.1</v>
      </c>
      <c r="BI2" s="67"/>
      <c r="BJ2" s="67"/>
      <c r="BK2" s="68"/>
    </row>
    <row r="3" spans="1:63" ht="15" customHeight="1" x14ac:dyDescent="0.25">
      <c r="A3" s="79"/>
      <c r="B3" s="80"/>
      <c r="C3" s="80"/>
      <c r="D3" s="80"/>
      <c r="E3" s="80"/>
      <c r="F3" s="80"/>
      <c r="G3" s="80"/>
      <c r="H3" s="80"/>
      <c r="I3" s="80"/>
      <c r="J3" s="81"/>
      <c r="K3" s="79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 s="82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4"/>
      <c r="AP3" s="79"/>
      <c r="AQ3" s="80"/>
      <c r="AR3" s="80"/>
      <c r="AS3" s="81"/>
      <c r="AT3" s="85"/>
      <c r="AU3" s="86"/>
      <c r="AV3" s="86"/>
      <c r="AW3" s="86"/>
      <c r="AX3" s="87"/>
      <c r="AY3" s="79"/>
      <c r="AZ3" s="80"/>
      <c r="BA3" s="80"/>
      <c r="BB3" s="81"/>
      <c r="BC3" s="85"/>
      <c r="BD3" s="86"/>
      <c r="BE3" s="86"/>
      <c r="BF3" s="86"/>
      <c r="BG3" s="87"/>
      <c r="BH3" s="79"/>
      <c r="BI3" s="80"/>
      <c r="BJ3" s="80"/>
      <c r="BK3" s="81"/>
    </row>
    <row r="4" spans="1:63" ht="24.95" customHeight="1" x14ac:dyDescent="0.25">
      <c r="A4" s="60" t="s">
        <v>64</v>
      </c>
      <c r="B4" s="61"/>
      <c r="C4" s="61"/>
      <c r="D4" s="61"/>
      <c r="E4" s="61"/>
      <c r="F4" s="61"/>
      <c r="G4" s="62"/>
      <c r="H4" s="91" t="str">
        <f>IF(表紙!H4="","",表紙!H4)</f>
        <v>04_商品採用店舗確認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3"/>
      <c r="U4" s="60" t="s">
        <v>65</v>
      </c>
      <c r="V4" s="61"/>
      <c r="W4" s="61"/>
      <c r="X4" s="61"/>
      <c r="Y4" s="62"/>
      <c r="Z4" s="91" t="str">
        <f>IF(表紙!Z4="","",表紙!Z4)</f>
        <v>機能設計書</v>
      </c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3"/>
      <c r="AP4" s="91" t="str">
        <f t="array" aca="1" ref="AP4" ca="1">RIGHT(CELL("filename",$A$1),LEN(CELL("filename",$A$1))-FIND("]",CELL("filename",$A$1)))</f>
        <v>改訂履歴</v>
      </c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3"/>
    </row>
    <row r="5" spans="1:63" ht="5.0999999999999996" customHeight="1" x14ac:dyDescent="0.25">
      <c r="A5" s="94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6"/>
    </row>
    <row r="6" spans="1:63" ht="15" customHeight="1" x14ac:dyDescent="0.25">
      <c r="A6" s="97"/>
      <c r="BK6" s="98"/>
    </row>
    <row r="7" spans="1:63" ht="15" customHeight="1" x14ac:dyDescent="0.25">
      <c r="A7" s="97"/>
      <c r="BK7" s="98"/>
    </row>
    <row r="8" spans="1:63" ht="15" customHeight="1" x14ac:dyDescent="0.25">
      <c r="A8" s="97"/>
      <c r="B8" s="66" t="s">
        <v>0</v>
      </c>
      <c r="BK8" s="98"/>
    </row>
    <row r="9" spans="1:63" ht="15" customHeight="1" x14ac:dyDescent="0.25">
      <c r="A9" s="97"/>
      <c r="BK9" s="98"/>
    </row>
    <row r="10" spans="1:63" ht="15" customHeight="1" x14ac:dyDescent="0.25">
      <c r="A10" s="97"/>
      <c r="B10" s="121" t="s">
        <v>61</v>
      </c>
      <c r="C10" s="121"/>
      <c r="D10" s="121"/>
      <c r="E10" s="121"/>
      <c r="F10" s="121"/>
      <c r="G10" s="121"/>
      <c r="H10" s="121" t="s">
        <v>60</v>
      </c>
      <c r="I10" s="121"/>
      <c r="J10" s="121"/>
      <c r="K10" s="121"/>
      <c r="L10" s="121"/>
      <c r="M10" s="121"/>
      <c r="N10" s="121"/>
      <c r="O10" s="121" t="s">
        <v>62</v>
      </c>
      <c r="P10" s="121"/>
      <c r="Q10" s="121"/>
      <c r="R10" s="121"/>
      <c r="S10" s="121" t="s">
        <v>70</v>
      </c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 t="s">
        <v>68</v>
      </c>
      <c r="AY10" s="121"/>
      <c r="AZ10" s="121"/>
      <c r="BA10" s="121"/>
      <c r="BB10" s="121"/>
      <c r="BC10" s="121"/>
      <c r="BD10" s="121" t="s">
        <v>69</v>
      </c>
      <c r="BE10" s="121"/>
      <c r="BF10" s="121"/>
      <c r="BG10" s="121"/>
      <c r="BH10" s="121"/>
      <c r="BI10" s="121"/>
      <c r="BJ10" s="121"/>
      <c r="BK10" s="98"/>
    </row>
    <row r="11" spans="1:63" ht="15" customHeight="1" x14ac:dyDescent="0.25">
      <c r="A11" s="97"/>
      <c r="B11" s="73">
        <v>45448</v>
      </c>
      <c r="C11" s="67"/>
      <c r="D11" s="67"/>
      <c r="E11" s="67"/>
      <c r="F11" s="67"/>
      <c r="G11" s="68"/>
      <c r="H11" s="1" t="s">
        <v>71</v>
      </c>
      <c r="I11" s="67"/>
      <c r="J11" s="67"/>
      <c r="K11" s="67"/>
      <c r="L11" s="67"/>
      <c r="M11" s="67"/>
      <c r="N11" s="68"/>
      <c r="O11" s="69">
        <v>0.1</v>
      </c>
      <c r="P11" s="67"/>
      <c r="Q11" s="67"/>
      <c r="R11" s="67"/>
      <c r="S11" s="122" t="s">
        <v>2</v>
      </c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4"/>
      <c r="AX11" s="125"/>
      <c r="AY11" s="125"/>
      <c r="AZ11" s="125"/>
      <c r="BA11" s="125"/>
      <c r="BB11" s="125"/>
      <c r="BC11" s="126"/>
      <c r="BD11" s="127"/>
      <c r="BE11" s="125"/>
      <c r="BF11" s="125"/>
      <c r="BG11" s="125"/>
      <c r="BH11" s="125"/>
      <c r="BI11" s="125"/>
      <c r="BJ11" s="126"/>
      <c r="BK11" s="98"/>
    </row>
    <row r="12" spans="1:63" ht="15" customHeight="1" x14ac:dyDescent="0.25">
      <c r="A12" s="97"/>
      <c r="B12" s="79"/>
      <c r="C12" s="80"/>
      <c r="D12" s="80"/>
      <c r="E12" s="80"/>
      <c r="F12" s="80"/>
      <c r="G12" s="81"/>
      <c r="H12" s="79"/>
      <c r="I12" s="80"/>
      <c r="J12" s="80"/>
      <c r="K12" s="80"/>
      <c r="L12" s="80"/>
      <c r="M12" s="80"/>
      <c r="N12" s="81"/>
      <c r="O12" s="79"/>
      <c r="P12" s="80"/>
      <c r="Q12" s="80"/>
      <c r="R12" s="80"/>
      <c r="S12" s="128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30"/>
      <c r="AX12" s="131"/>
      <c r="AY12" s="131"/>
      <c r="AZ12" s="131"/>
      <c r="BA12" s="131"/>
      <c r="BB12" s="131"/>
      <c r="BC12" s="132"/>
      <c r="BD12" s="133"/>
      <c r="BE12" s="131"/>
      <c r="BF12" s="131"/>
      <c r="BG12" s="131"/>
      <c r="BH12" s="131"/>
      <c r="BI12" s="131"/>
      <c r="BJ12" s="132"/>
      <c r="BK12" s="98"/>
    </row>
    <row r="13" spans="1:63" ht="15" customHeight="1" x14ac:dyDescent="0.25">
      <c r="A13" s="97"/>
      <c r="B13" s="73"/>
      <c r="C13" s="67"/>
      <c r="D13" s="67"/>
      <c r="E13" s="67"/>
      <c r="F13" s="67"/>
      <c r="G13" s="68"/>
      <c r="H13" s="69"/>
      <c r="I13" s="67"/>
      <c r="J13" s="67"/>
      <c r="K13" s="67"/>
      <c r="L13" s="67"/>
      <c r="M13" s="67"/>
      <c r="N13" s="68"/>
      <c r="O13" s="69"/>
      <c r="P13" s="67"/>
      <c r="Q13" s="67"/>
      <c r="R13" s="67"/>
      <c r="S13" s="122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4"/>
      <c r="AX13" s="125"/>
      <c r="AY13" s="125"/>
      <c r="AZ13" s="125"/>
      <c r="BA13" s="125"/>
      <c r="BB13" s="125"/>
      <c r="BC13" s="126"/>
      <c r="BD13" s="127"/>
      <c r="BE13" s="125"/>
      <c r="BF13" s="125"/>
      <c r="BG13" s="125"/>
      <c r="BH13" s="125"/>
      <c r="BI13" s="125"/>
      <c r="BJ13" s="126"/>
      <c r="BK13" s="98"/>
    </row>
    <row r="14" spans="1:63" ht="15" customHeight="1" x14ac:dyDescent="0.25">
      <c r="A14" s="97"/>
      <c r="B14" s="79"/>
      <c r="C14" s="80"/>
      <c r="D14" s="80"/>
      <c r="E14" s="80"/>
      <c r="F14" s="80"/>
      <c r="G14" s="81"/>
      <c r="H14" s="79"/>
      <c r="I14" s="80"/>
      <c r="J14" s="80"/>
      <c r="K14" s="80"/>
      <c r="L14" s="80"/>
      <c r="M14" s="80"/>
      <c r="N14" s="81"/>
      <c r="O14" s="79"/>
      <c r="P14" s="80"/>
      <c r="Q14" s="80"/>
      <c r="R14" s="80"/>
      <c r="S14" s="128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30"/>
      <c r="AX14" s="131"/>
      <c r="AY14" s="131"/>
      <c r="AZ14" s="131"/>
      <c r="BA14" s="131"/>
      <c r="BB14" s="131"/>
      <c r="BC14" s="132"/>
      <c r="BD14" s="133"/>
      <c r="BE14" s="131"/>
      <c r="BF14" s="131"/>
      <c r="BG14" s="131"/>
      <c r="BH14" s="131"/>
      <c r="BI14" s="131"/>
      <c r="BJ14" s="132"/>
      <c r="BK14" s="98"/>
    </row>
    <row r="15" spans="1:63" ht="15" customHeight="1" x14ac:dyDescent="0.25">
      <c r="A15" s="97"/>
      <c r="B15" s="69"/>
      <c r="C15" s="67"/>
      <c r="D15" s="67"/>
      <c r="E15" s="67"/>
      <c r="F15" s="67"/>
      <c r="G15" s="68"/>
      <c r="H15" s="69"/>
      <c r="I15" s="67"/>
      <c r="J15" s="67"/>
      <c r="K15" s="67"/>
      <c r="L15" s="67"/>
      <c r="M15" s="67"/>
      <c r="N15" s="68"/>
      <c r="O15" s="69"/>
      <c r="P15" s="67"/>
      <c r="Q15" s="67"/>
      <c r="R15" s="67"/>
      <c r="S15" s="122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4"/>
      <c r="AX15" s="125"/>
      <c r="AY15" s="125"/>
      <c r="AZ15" s="125"/>
      <c r="BA15" s="125"/>
      <c r="BB15" s="125"/>
      <c r="BC15" s="126"/>
      <c r="BD15" s="127"/>
      <c r="BE15" s="125"/>
      <c r="BF15" s="125"/>
      <c r="BG15" s="125"/>
      <c r="BH15" s="125"/>
      <c r="BI15" s="125"/>
      <c r="BJ15" s="126"/>
      <c r="BK15" s="98"/>
    </row>
    <row r="16" spans="1:63" ht="15" customHeight="1" x14ac:dyDescent="0.25">
      <c r="A16" s="97"/>
      <c r="B16" s="79"/>
      <c r="C16" s="80"/>
      <c r="D16" s="80"/>
      <c r="E16" s="80"/>
      <c r="F16" s="80"/>
      <c r="G16" s="81"/>
      <c r="H16" s="79"/>
      <c r="I16" s="80"/>
      <c r="J16" s="80"/>
      <c r="K16" s="80"/>
      <c r="L16" s="80"/>
      <c r="M16" s="80"/>
      <c r="N16" s="81"/>
      <c r="O16" s="79"/>
      <c r="P16" s="80"/>
      <c r="Q16" s="80"/>
      <c r="R16" s="80"/>
      <c r="S16" s="128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30"/>
      <c r="AX16" s="131"/>
      <c r="AY16" s="131"/>
      <c r="AZ16" s="131"/>
      <c r="BA16" s="131"/>
      <c r="BB16" s="131"/>
      <c r="BC16" s="132"/>
      <c r="BD16" s="133"/>
      <c r="BE16" s="131"/>
      <c r="BF16" s="131"/>
      <c r="BG16" s="131"/>
      <c r="BH16" s="131"/>
      <c r="BI16" s="131"/>
      <c r="BJ16" s="132"/>
      <c r="BK16" s="98"/>
    </row>
    <row r="17" spans="1:63" ht="15" customHeight="1" x14ac:dyDescent="0.25">
      <c r="A17" s="97"/>
      <c r="B17" s="69"/>
      <c r="C17" s="67"/>
      <c r="D17" s="67"/>
      <c r="E17" s="67"/>
      <c r="F17" s="67"/>
      <c r="G17" s="68"/>
      <c r="H17" s="69"/>
      <c r="I17" s="67"/>
      <c r="J17" s="67"/>
      <c r="K17" s="67"/>
      <c r="L17" s="67"/>
      <c r="M17" s="67"/>
      <c r="N17" s="68"/>
      <c r="O17" s="69"/>
      <c r="P17" s="67"/>
      <c r="Q17" s="67"/>
      <c r="R17" s="67"/>
      <c r="S17" s="122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4"/>
      <c r="AX17" s="125"/>
      <c r="AY17" s="125"/>
      <c r="AZ17" s="125"/>
      <c r="BA17" s="125"/>
      <c r="BB17" s="125"/>
      <c r="BC17" s="126"/>
      <c r="BD17" s="127"/>
      <c r="BE17" s="125"/>
      <c r="BF17" s="125"/>
      <c r="BG17" s="125"/>
      <c r="BH17" s="125"/>
      <c r="BI17" s="125"/>
      <c r="BJ17" s="126"/>
      <c r="BK17" s="98"/>
    </row>
    <row r="18" spans="1:63" ht="15" customHeight="1" x14ac:dyDescent="0.25">
      <c r="A18" s="97"/>
      <c r="B18" s="79"/>
      <c r="C18" s="80"/>
      <c r="D18" s="80"/>
      <c r="E18" s="80"/>
      <c r="F18" s="80"/>
      <c r="G18" s="81"/>
      <c r="H18" s="79"/>
      <c r="I18" s="80"/>
      <c r="J18" s="80"/>
      <c r="K18" s="80"/>
      <c r="L18" s="80"/>
      <c r="M18" s="80"/>
      <c r="N18" s="81"/>
      <c r="O18" s="79"/>
      <c r="P18" s="80"/>
      <c r="Q18" s="80"/>
      <c r="R18" s="80"/>
      <c r="S18" s="128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30"/>
      <c r="AX18" s="131"/>
      <c r="AY18" s="131"/>
      <c r="AZ18" s="131"/>
      <c r="BA18" s="131"/>
      <c r="BB18" s="131"/>
      <c r="BC18" s="132"/>
      <c r="BD18" s="133"/>
      <c r="BE18" s="131"/>
      <c r="BF18" s="131"/>
      <c r="BG18" s="131"/>
      <c r="BH18" s="131"/>
      <c r="BI18" s="131"/>
      <c r="BJ18" s="132"/>
      <c r="BK18" s="98"/>
    </row>
    <row r="19" spans="1:63" ht="15" customHeight="1" x14ac:dyDescent="0.25">
      <c r="A19" s="97"/>
      <c r="B19" s="69"/>
      <c r="C19" s="67"/>
      <c r="D19" s="67"/>
      <c r="E19" s="67"/>
      <c r="F19" s="67"/>
      <c r="G19" s="68"/>
      <c r="H19" s="69"/>
      <c r="I19" s="67"/>
      <c r="J19" s="67"/>
      <c r="K19" s="67"/>
      <c r="L19" s="67"/>
      <c r="M19" s="67"/>
      <c r="N19" s="68"/>
      <c r="O19" s="69"/>
      <c r="P19" s="67"/>
      <c r="Q19" s="67"/>
      <c r="R19" s="67"/>
      <c r="S19" s="122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4"/>
      <c r="AX19" s="125"/>
      <c r="AY19" s="125"/>
      <c r="AZ19" s="125"/>
      <c r="BA19" s="125"/>
      <c r="BB19" s="125"/>
      <c r="BC19" s="126"/>
      <c r="BD19" s="127"/>
      <c r="BE19" s="125"/>
      <c r="BF19" s="125"/>
      <c r="BG19" s="125"/>
      <c r="BH19" s="125"/>
      <c r="BI19" s="125"/>
      <c r="BJ19" s="126"/>
      <c r="BK19" s="98"/>
    </row>
    <row r="20" spans="1:63" ht="15" customHeight="1" x14ac:dyDescent="0.25">
      <c r="A20" s="97"/>
      <c r="B20" s="79"/>
      <c r="C20" s="80"/>
      <c r="D20" s="80"/>
      <c r="E20" s="80"/>
      <c r="F20" s="80"/>
      <c r="G20" s="81"/>
      <c r="H20" s="79"/>
      <c r="I20" s="80"/>
      <c r="J20" s="80"/>
      <c r="K20" s="80"/>
      <c r="L20" s="80"/>
      <c r="M20" s="80"/>
      <c r="N20" s="81"/>
      <c r="O20" s="79"/>
      <c r="P20" s="80"/>
      <c r="Q20" s="80"/>
      <c r="R20" s="80"/>
      <c r="S20" s="128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29"/>
      <c r="AV20" s="129"/>
      <c r="AW20" s="130"/>
      <c r="AX20" s="131"/>
      <c r="AY20" s="131"/>
      <c r="AZ20" s="131"/>
      <c r="BA20" s="131"/>
      <c r="BB20" s="131"/>
      <c r="BC20" s="132"/>
      <c r="BD20" s="133"/>
      <c r="BE20" s="131"/>
      <c r="BF20" s="131"/>
      <c r="BG20" s="131"/>
      <c r="BH20" s="131"/>
      <c r="BI20" s="131"/>
      <c r="BJ20" s="132"/>
      <c r="BK20" s="98"/>
    </row>
    <row r="21" spans="1:63" ht="15" customHeight="1" x14ac:dyDescent="0.25">
      <c r="A21" s="97"/>
      <c r="B21" s="69"/>
      <c r="C21" s="67"/>
      <c r="D21" s="67"/>
      <c r="E21" s="67"/>
      <c r="F21" s="67"/>
      <c r="G21" s="68"/>
      <c r="H21" s="69"/>
      <c r="I21" s="67"/>
      <c r="J21" s="67"/>
      <c r="K21" s="67"/>
      <c r="L21" s="67"/>
      <c r="M21" s="67"/>
      <c r="N21" s="68"/>
      <c r="O21" s="69"/>
      <c r="P21" s="67"/>
      <c r="Q21" s="67"/>
      <c r="R21" s="67"/>
      <c r="S21" s="122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4"/>
      <c r="AX21" s="125"/>
      <c r="AY21" s="125"/>
      <c r="AZ21" s="125"/>
      <c r="BA21" s="125"/>
      <c r="BB21" s="125"/>
      <c r="BC21" s="126"/>
      <c r="BD21" s="127"/>
      <c r="BE21" s="125"/>
      <c r="BF21" s="125"/>
      <c r="BG21" s="125"/>
      <c r="BH21" s="125"/>
      <c r="BI21" s="125"/>
      <c r="BJ21" s="126"/>
      <c r="BK21" s="98"/>
    </row>
    <row r="22" spans="1:63" ht="15" customHeight="1" x14ac:dyDescent="0.25">
      <c r="A22" s="97"/>
      <c r="B22" s="79"/>
      <c r="C22" s="80"/>
      <c r="D22" s="80"/>
      <c r="E22" s="80"/>
      <c r="F22" s="80"/>
      <c r="G22" s="81"/>
      <c r="H22" s="79"/>
      <c r="I22" s="80"/>
      <c r="J22" s="80"/>
      <c r="K22" s="80"/>
      <c r="L22" s="80"/>
      <c r="M22" s="80"/>
      <c r="N22" s="81"/>
      <c r="O22" s="79"/>
      <c r="P22" s="80"/>
      <c r="Q22" s="80"/>
      <c r="R22" s="80"/>
      <c r="S22" s="128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30"/>
      <c r="AX22" s="131"/>
      <c r="AY22" s="131"/>
      <c r="AZ22" s="131"/>
      <c r="BA22" s="131"/>
      <c r="BB22" s="131"/>
      <c r="BC22" s="132"/>
      <c r="BD22" s="133"/>
      <c r="BE22" s="131"/>
      <c r="BF22" s="131"/>
      <c r="BG22" s="131"/>
      <c r="BH22" s="131"/>
      <c r="BI22" s="131"/>
      <c r="BJ22" s="132"/>
      <c r="BK22" s="98"/>
    </row>
    <row r="23" spans="1:63" ht="15" customHeight="1" x14ac:dyDescent="0.25">
      <c r="A23" s="97"/>
      <c r="B23" s="69"/>
      <c r="C23" s="67"/>
      <c r="D23" s="67"/>
      <c r="E23" s="67"/>
      <c r="F23" s="67"/>
      <c r="G23" s="68"/>
      <c r="H23" s="69"/>
      <c r="I23" s="67"/>
      <c r="J23" s="67"/>
      <c r="K23" s="67"/>
      <c r="L23" s="67"/>
      <c r="M23" s="67"/>
      <c r="N23" s="68"/>
      <c r="O23" s="69"/>
      <c r="P23" s="67"/>
      <c r="Q23" s="67"/>
      <c r="R23" s="67"/>
      <c r="S23" s="122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4"/>
      <c r="AX23" s="125"/>
      <c r="AY23" s="125"/>
      <c r="AZ23" s="125"/>
      <c r="BA23" s="125"/>
      <c r="BB23" s="125"/>
      <c r="BC23" s="126"/>
      <c r="BD23" s="127"/>
      <c r="BE23" s="125"/>
      <c r="BF23" s="125"/>
      <c r="BG23" s="125"/>
      <c r="BH23" s="125"/>
      <c r="BI23" s="125"/>
      <c r="BJ23" s="126"/>
      <c r="BK23" s="98"/>
    </row>
    <row r="24" spans="1:63" ht="15" customHeight="1" x14ac:dyDescent="0.25">
      <c r="A24" s="97"/>
      <c r="B24" s="79"/>
      <c r="C24" s="80"/>
      <c r="D24" s="80"/>
      <c r="E24" s="80"/>
      <c r="F24" s="80"/>
      <c r="G24" s="81"/>
      <c r="H24" s="79"/>
      <c r="I24" s="80"/>
      <c r="J24" s="80"/>
      <c r="K24" s="80"/>
      <c r="L24" s="80"/>
      <c r="M24" s="80"/>
      <c r="N24" s="81"/>
      <c r="O24" s="79"/>
      <c r="P24" s="80"/>
      <c r="Q24" s="80"/>
      <c r="R24" s="80"/>
      <c r="S24" s="128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30"/>
      <c r="AX24" s="131"/>
      <c r="AY24" s="131"/>
      <c r="AZ24" s="131"/>
      <c r="BA24" s="131"/>
      <c r="BB24" s="131"/>
      <c r="BC24" s="132"/>
      <c r="BD24" s="133"/>
      <c r="BE24" s="131"/>
      <c r="BF24" s="131"/>
      <c r="BG24" s="131"/>
      <c r="BH24" s="131"/>
      <c r="BI24" s="131"/>
      <c r="BJ24" s="132"/>
      <c r="BK24" s="98"/>
    </row>
    <row r="25" spans="1:63" ht="15" customHeight="1" x14ac:dyDescent="0.25">
      <c r="A25" s="97"/>
      <c r="B25" s="69"/>
      <c r="C25" s="67"/>
      <c r="D25" s="67"/>
      <c r="E25" s="67"/>
      <c r="F25" s="67"/>
      <c r="G25" s="68"/>
      <c r="H25" s="69"/>
      <c r="I25" s="67"/>
      <c r="J25" s="67"/>
      <c r="K25" s="67"/>
      <c r="L25" s="67"/>
      <c r="M25" s="67"/>
      <c r="N25" s="68"/>
      <c r="O25" s="69"/>
      <c r="P25" s="67"/>
      <c r="Q25" s="67"/>
      <c r="R25" s="67"/>
      <c r="S25" s="122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4"/>
      <c r="AX25" s="125"/>
      <c r="AY25" s="125"/>
      <c r="AZ25" s="125"/>
      <c r="BA25" s="125"/>
      <c r="BB25" s="125"/>
      <c r="BC25" s="126"/>
      <c r="BD25" s="127"/>
      <c r="BE25" s="125"/>
      <c r="BF25" s="125"/>
      <c r="BG25" s="125"/>
      <c r="BH25" s="125"/>
      <c r="BI25" s="125"/>
      <c r="BJ25" s="126"/>
      <c r="BK25" s="98"/>
    </row>
    <row r="26" spans="1:63" ht="15" customHeight="1" x14ac:dyDescent="0.25">
      <c r="A26" s="97"/>
      <c r="B26" s="79"/>
      <c r="C26" s="80"/>
      <c r="D26" s="80"/>
      <c r="E26" s="80"/>
      <c r="F26" s="80"/>
      <c r="G26" s="81"/>
      <c r="H26" s="79"/>
      <c r="I26" s="80"/>
      <c r="J26" s="80"/>
      <c r="K26" s="80"/>
      <c r="L26" s="80"/>
      <c r="M26" s="80"/>
      <c r="N26" s="81"/>
      <c r="O26" s="79"/>
      <c r="P26" s="80"/>
      <c r="Q26" s="80"/>
      <c r="R26" s="80"/>
      <c r="S26" s="128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30"/>
      <c r="AX26" s="131"/>
      <c r="AY26" s="131"/>
      <c r="AZ26" s="131"/>
      <c r="BA26" s="131"/>
      <c r="BB26" s="131"/>
      <c r="BC26" s="132"/>
      <c r="BD26" s="133"/>
      <c r="BE26" s="131"/>
      <c r="BF26" s="131"/>
      <c r="BG26" s="131"/>
      <c r="BH26" s="131"/>
      <c r="BI26" s="131"/>
      <c r="BJ26" s="132"/>
      <c r="BK26" s="98"/>
    </row>
    <row r="27" spans="1:63" ht="15" customHeight="1" x14ac:dyDescent="0.25">
      <c r="A27" s="97"/>
      <c r="B27" s="69"/>
      <c r="C27" s="67"/>
      <c r="D27" s="67"/>
      <c r="E27" s="67"/>
      <c r="F27" s="67"/>
      <c r="G27" s="68"/>
      <c r="H27" s="69"/>
      <c r="I27" s="67"/>
      <c r="J27" s="67"/>
      <c r="K27" s="67"/>
      <c r="L27" s="67"/>
      <c r="M27" s="67"/>
      <c r="N27" s="68"/>
      <c r="O27" s="69"/>
      <c r="P27" s="67"/>
      <c r="Q27" s="67"/>
      <c r="R27" s="67"/>
      <c r="S27" s="122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3"/>
      <c r="AQ27" s="123"/>
      <c r="AR27" s="123"/>
      <c r="AS27" s="123"/>
      <c r="AT27" s="123"/>
      <c r="AU27" s="123"/>
      <c r="AV27" s="123"/>
      <c r="AW27" s="124"/>
      <c r="AX27" s="125"/>
      <c r="AY27" s="125"/>
      <c r="AZ27" s="125"/>
      <c r="BA27" s="125"/>
      <c r="BB27" s="125"/>
      <c r="BC27" s="126"/>
      <c r="BD27" s="127"/>
      <c r="BE27" s="125"/>
      <c r="BF27" s="125"/>
      <c r="BG27" s="125"/>
      <c r="BH27" s="125"/>
      <c r="BI27" s="125"/>
      <c r="BJ27" s="126"/>
      <c r="BK27" s="98"/>
    </row>
    <row r="28" spans="1:63" ht="15" customHeight="1" x14ac:dyDescent="0.25">
      <c r="A28" s="97"/>
      <c r="B28" s="79"/>
      <c r="C28" s="80"/>
      <c r="D28" s="80"/>
      <c r="E28" s="80"/>
      <c r="F28" s="80"/>
      <c r="G28" s="81"/>
      <c r="H28" s="79"/>
      <c r="I28" s="80"/>
      <c r="J28" s="80"/>
      <c r="K28" s="80"/>
      <c r="L28" s="80"/>
      <c r="M28" s="80"/>
      <c r="N28" s="81"/>
      <c r="O28" s="79"/>
      <c r="P28" s="80"/>
      <c r="Q28" s="80"/>
      <c r="R28" s="80"/>
      <c r="S28" s="128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30"/>
      <c r="AX28" s="131"/>
      <c r="AY28" s="131"/>
      <c r="AZ28" s="131"/>
      <c r="BA28" s="131"/>
      <c r="BB28" s="131"/>
      <c r="BC28" s="132"/>
      <c r="BD28" s="133"/>
      <c r="BE28" s="131"/>
      <c r="BF28" s="131"/>
      <c r="BG28" s="131"/>
      <c r="BH28" s="131"/>
      <c r="BI28" s="131"/>
      <c r="BJ28" s="132"/>
      <c r="BK28" s="98"/>
    </row>
    <row r="29" spans="1:63" ht="15" customHeight="1" x14ac:dyDescent="0.25">
      <c r="A29" s="97"/>
      <c r="B29" s="69"/>
      <c r="C29" s="67"/>
      <c r="D29" s="67"/>
      <c r="E29" s="67"/>
      <c r="F29" s="67"/>
      <c r="G29" s="68"/>
      <c r="H29" s="69"/>
      <c r="I29" s="67"/>
      <c r="J29" s="67"/>
      <c r="K29" s="67"/>
      <c r="L29" s="67"/>
      <c r="M29" s="67"/>
      <c r="N29" s="68"/>
      <c r="O29" s="69"/>
      <c r="P29" s="67"/>
      <c r="Q29" s="67"/>
      <c r="R29" s="67"/>
      <c r="S29" s="122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  <c r="AU29" s="123"/>
      <c r="AV29" s="123"/>
      <c r="AW29" s="124"/>
      <c r="AX29" s="125"/>
      <c r="AY29" s="125"/>
      <c r="AZ29" s="125"/>
      <c r="BA29" s="125"/>
      <c r="BB29" s="125"/>
      <c r="BC29" s="126"/>
      <c r="BD29" s="127"/>
      <c r="BE29" s="125"/>
      <c r="BF29" s="125"/>
      <c r="BG29" s="125"/>
      <c r="BH29" s="125"/>
      <c r="BI29" s="125"/>
      <c r="BJ29" s="126"/>
      <c r="BK29" s="98"/>
    </row>
    <row r="30" spans="1:63" ht="15" customHeight="1" x14ac:dyDescent="0.25">
      <c r="A30" s="97"/>
      <c r="B30" s="79"/>
      <c r="C30" s="80"/>
      <c r="D30" s="80"/>
      <c r="E30" s="80"/>
      <c r="F30" s="80"/>
      <c r="G30" s="81"/>
      <c r="H30" s="79"/>
      <c r="I30" s="80"/>
      <c r="J30" s="80"/>
      <c r="K30" s="80"/>
      <c r="L30" s="80"/>
      <c r="M30" s="80"/>
      <c r="N30" s="81"/>
      <c r="O30" s="79"/>
      <c r="P30" s="80"/>
      <c r="Q30" s="80"/>
      <c r="R30" s="80"/>
      <c r="S30" s="128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30"/>
      <c r="AX30" s="131"/>
      <c r="AY30" s="131"/>
      <c r="AZ30" s="131"/>
      <c r="BA30" s="131"/>
      <c r="BB30" s="131"/>
      <c r="BC30" s="132"/>
      <c r="BD30" s="133"/>
      <c r="BE30" s="131"/>
      <c r="BF30" s="131"/>
      <c r="BG30" s="131"/>
      <c r="BH30" s="131"/>
      <c r="BI30" s="131"/>
      <c r="BJ30" s="132"/>
      <c r="BK30" s="98"/>
    </row>
    <row r="31" spans="1:63" ht="15" customHeight="1" x14ac:dyDescent="0.25">
      <c r="A31" s="97"/>
      <c r="B31" s="69"/>
      <c r="C31" s="67"/>
      <c r="D31" s="67"/>
      <c r="E31" s="67"/>
      <c r="F31" s="67"/>
      <c r="G31" s="68"/>
      <c r="H31" s="69"/>
      <c r="I31" s="67"/>
      <c r="J31" s="67"/>
      <c r="K31" s="67"/>
      <c r="L31" s="67"/>
      <c r="M31" s="67"/>
      <c r="N31" s="68"/>
      <c r="O31" s="69"/>
      <c r="P31" s="67"/>
      <c r="Q31" s="67"/>
      <c r="R31" s="67"/>
      <c r="S31" s="122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  <c r="AO31" s="123"/>
      <c r="AP31" s="123"/>
      <c r="AQ31" s="123"/>
      <c r="AR31" s="123"/>
      <c r="AS31" s="123"/>
      <c r="AT31" s="123"/>
      <c r="AU31" s="123"/>
      <c r="AV31" s="123"/>
      <c r="AW31" s="124"/>
      <c r="AX31" s="125"/>
      <c r="AY31" s="125"/>
      <c r="AZ31" s="125"/>
      <c r="BA31" s="125"/>
      <c r="BB31" s="125"/>
      <c r="BC31" s="126"/>
      <c r="BD31" s="127"/>
      <c r="BE31" s="125"/>
      <c r="BF31" s="125"/>
      <c r="BG31" s="125"/>
      <c r="BH31" s="125"/>
      <c r="BI31" s="125"/>
      <c r="BJ31" s="126"/>
      <c r="BK31" s="98"/>
    </row>
    <row r="32" spans="1:63" ht="15" customHeight="1" x14ac:dyDescent="0.25">
      <c r="A32" s="97"/>
      <c r="B32" s="79"/>
      <c r="C32" s="80"/>
      <c r="D32" s="80"/>
      <c r="E32" s="80"/>
      <c r="F32" s="80"/>
      <c r="G32" s="81"/>
      <c r="H32" s="79"/>
      <c r="I32" s="80"/>
      <c r="J32" s="80"/>
      <c r="K32" s="80"/>
      <c r="L32" s="80"/>
      <c r="M32" s="80"/>
      <c r="N32" s="81"/>
      <c r="O32" s="79"/>
      <c r="P32" s="80"/>
      <c r="Q32" s="80"/>
      <c r="R32" s="80"/>
      <c r="S32" s="128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  <c r="AN32" s="129"/>
      <c r="AO32" s="129"/>
      <c r="AP32" s="129"/>
      <c r="AQ32" s="129"/>
      <c r="AR32" s="129"/>
      <c r="AS32" s="129"/>
      <c r="AT32" s="129"/>
      <c r="AU32" s="129"/>
      <c r="AV32" s="129"/>
      <c r="AW32" s="130"/>
      <c r="AX32" s="131"/>
      <c r="AY32" s="131"/>
      <c r="AZ32" s="131"/>
      <c r="BA32" s="131"/>
      <c r="BB32" s="131"/>
      <c r="BC32" s="132"/>
      <c r="BD32" s="133"/>
      <c r="BE32" s="131"/>
      <c r="BF32" s="131"/>
      <c r="BG32" s="131"/>
      <c r="BH32" s="131"/>
      <c r="BI32" s="131"/>
      <c r="BJ32" s="132"/>
      <c r="BK32" s="98"/>
    </row>
    <row r="33" spans="1:63" ht="15" customHeight="1" x14ac:dyDescent="0.25">
      <c r="A33" s="97"/>
      <c r="B33" s="69"/>
      <c r="C33" s="67"/>
      <c r="D33" s="67"/>
      <c r="E33" s="67"/>
      <c r="F33" s="67"/>
      <c r="G33" s="68"/>
      <c r="H33" s="69"/>
      <c r="I33" s="67"/>
      <c r="J33" s="67"/>
      <c r="K33" s="67"/>
      <c r="L33" s="67"/>
      <c r="M33" s="67"/>
      <c r="N33" s="68"/>
      <c r="O33" s="69"/>
      <c r="P33" s="67"/>
      <c r="Q33" s="67"/>
      <c r="R33" s="67"/>
      <c r="S33" s="122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3"/>
      <c r="AQ33" s="123"/>
      <c r="AR33" s="123"/>
      <c r="AS33" s="123"/>
      <c r="AT33" s="123"/>
      <c r="AU33" s="123"/>
      <c r="AV33" s="123"/>
      <c r="AW33" s="124"/>
      <c r="AX33" s="125"/>
      <c r="AY33" s="125"/>
      <c r="AZ33" s="125"/>
      <c r="BA33" s="125"/>
      <c r="BB33" s="125"/>
      <c r="BC33" s="126"/>
      <c r="BD33" s="127"/>
      <c r="BE33" s="125"/>
      <c r="BF33" s="125"/>
      <c r="BG33" s="125"/>
      <c r="BH33" s="125"/>
      <c r="BI33" s="125"/>
      <c r="BJ33" s="126"/>
      <c r="BK33" s="98"/>
    </row>
    <row r="34" spans="1:63" ht="15" customHeight="1" x14ac:dyDescent="0.25">
      <c r="A34" s="97"/>
      <c r="B34" s="79"/>
      <c r="C34" s="80"/>
      <c r="D34" s="80"/>
      <c r="E34" s="80"/>
      <c r="F34" s="80"/>
      <c r="G34" s="81"/>
      <c r="H34" s="79"/>
      <c r="I34" s="80"/>
      <c r="J34" s="80"/>
      <c r="K34" s="80"/>
      <c r="L34" s="80"/>
      <c r="M34" s="80"/>
      <c r="N34" s="81"/>
      <c r="O34" s="79"/>
      <c r="P34" s="80"/>
      <c r="Q34" s="80"/>
      <c r="R34" s="80"/>
      <c r="S34" s="128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30"/>
      <c r="AX34" s="131"/>
      <c r="AY34" s="131"/>
      <c r="AZ34" s="131"/>
      <c r="BA34" s="131"/>
      <c r="BB34" s="131"/>
      <c r="BC34" s="132"/>
      <c r="BD34" s="133"/>
      <c r="BE34" s="131"/>
      <c r="BF34" s="131"/>
      <c r="BG34" s="131"/>
      <c r="BH34" s="131"/>
      <c r="BI34" s="131"/>
      <c r="BJ34" s="132"/>
      <c r="BK34" s="98"/>
    </row>
    <row r="35" spans="1:63" ht="15" customHeight="1" x14ac:dyDescent="0.25">
      <c r="A35" s="97"/>
      <c r="B35" s="69"/>
      <c r="C35" s="67"/>
      <c r="D35" s="67"/>
      <c r="E35" s="67"/>
      <c r="F35" s="67"/>
      <c r="G35" s="68"/>
      <c r="H35" s="69"/>
      <c r="I35" s="67"/>
      <c r="J35" s="67"/>
      <c r="K35" s="67"/>
      <c r="L35" s="67"/>
      <c r="M35" s="67"/>
      <c r="N35" s="68"/>
      <c r="O35" s="69"/>
      <c r="P35" s="67"/>
      <c r="Q35" s="67"/>
      <c r="R35" s="67"/>
      <c r="S35" s="122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4"/>
      <c r="AX35" s="125"/>
      <c r="AY35" s="125"/>
      <c r="AZ35" s="125"/>
      <c r="BA35" s="125"/>
      <c r="BB35" s="125"/>
      <c r="BC35" s="126"/>
      <c r="BD35" s="127"/>
      <c r="BE35" s="125"/>
      <c r="BF35" s="125"/>
      <c r="BG35" s="125"/>
      <c r="BH35" s="125"/>
      <c r="BI35" s="125"/>
      <c r="BJ35" s="126"/>
      <c r="BK35" s="98"/>
    </row>
    <row r="36" spans="1:63" ht="15" customHeight="1" x14ac:dyDescent="0.25">
      <c r="A36" s="97"/>
      <c r="B36" s="79"/>
      <c r="C36" s="80"/>
      <c r="D36" s="80"/>
      <c r="E36" s="80"/>
      <c r="F36" s="80"/>
      <c r="G36" s="81"/>
      <c r="H36" s="79"/>
      <c r="I36" s="80"/>
      <c r="J36" s="80"/>
      <c r="K36" s="80"/>
      <c r="L36" s="80"/>
      <c r="M36" s="80"/>
      <c r="N36" s="81"/>
      <c r="O36" s="79"/>
      <c r="P36" s="80"/>
      <c r="Q36" s="80"/>
      <c r="R36" s="80"/>
      <c r="S36" s="128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29"/>
      <c r="AM36" s="129"/>
      <c r="AN36" s="129"/>
      <c r="AO36" s="129"/>
      <c r="AP36" s="129"/>
      <c r="AQ36" s="129"/>
      <c r="AR36" s="129"/>
      <c r="AS36" s="129"/>
      <c r="AT36" s="129"/>
      <c r="AU36" s="129"/>
      <c r="AV36" s="129"/>
      <c r="AW36" s="130"/>
      <c r="AX36" s="131"/>
      <c r="AY36" s="131"/>
      <c r="AZ36" s="131"/>
      <c r="BA36" s="131"/>
      <c r="BB36" s="131"/>
      <c r="BC36" s="132"/>
      <c r="BD36" s="133"/>
      <c r="BE36" s="131"/>
      <c r="BF36" s="131"/>
      <c r="BG36" s="131"/>
      <c r="BH36" s="131"/>
      <c r="BI36" s="131"/>
      <c r="BJ36" s="132"/>
      <c r="BK36" s="98"/>
    </row>
    <row r="37" spans="1:63" ht="15" customHeight="1" x14ac:dyDescent="0.25">
      <c r="A37" s="97"/>
      <c r="B37" s="69"/>
      <c r="C37" s="67"/>
      <c r="D37" s="67"/>
      <c r="E37" s="67"/>
      <c r="F37" s="67"/>
      <c r="G37" s="68"/>
      <c r="H37" s="69"/>
      <c r="I37" s="67"/>
      <c r="J37" s="67"/>
      <c r="K37" s="67"/>
      <c r="L37" s="67"/>
      <c r="M37" s="67"/>
      <c r="N37" s="68"/>
      <c r="O37" s="69"/>
      <c r="P37" s="67"/>
      <c r="Q37" s="67"/>
      <c r="R37" s="67"/>
      <c r="S37" s="122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4"/>
      <c r="AX37" s="125"/>
      <c r="AY37" s="125"/>
      <c r="AZ37" s="125"/>
      <c r="BA37" s="125"/>
      <c r="BB37" s="125"/>
      <c r="BC37" s="126"/>
      <c r="BD37" s="127"/>
      <c r="BE37" s="125"/>
      <c r="BF37" s="125"/>
      <c r="BG37" s="125"/>
      <c r="BH37" s="125"/>
      <c r="BI37" s="125"/>
      <c r="BJ37" s="126"/>
      <c r="BK37" s="98"/>
    </row>
    <row r="38" spans="1:63" ht="15" customHeight="1" x14ac:dyDescent="0.25">
      <c r="A38" s="97"/>
      <c r="B38" s="79"/>
      <c r="C38" s="80"/>
      <c r="D38" s="80"/>
      <c r="E38" s="80"/>
      <c r="F38" s="80"/>
      <c r="G38" s="81"/>
      <c r="H38" s="79"/>
      <c r="I38" s="80"/>
      <c r="J38" s="80"/>
      <c r="K38" s="80"/>
      <c r="L38" s="80"/>
      <c r="M38" s="80"/>
      <c r="N38" s="81"/>
      <c r="O38" s="79"/>
      <c r="P38" s="80"/>
      <c r="Q38" s="80"/>
      <c r="R38" s="80"/>
      <c r="S38" s="128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30"/>
      <c r="AX38" s="131"/>
      <c r="AY38" s="131"/>
      <c r="AZ38" s="131"/>
      <c r="BA38" s="131"/>
      <c r="BB38" s="131"/>
      <c r="BC38" s="132"/>
      <c r="BD38" s="133"/>
      <c r="BE38" s="131"/>
      <c r="BF38" s="131"/>
      <c r="BG38" s="131"/>
      <c r="BH38" s="131"/>
      <c r="BI38" s="131"/>
      <c r="BJ38" s="132"/>
      <c r="BK38" s="98"/>
    </row>
    <row r="39" spans="1:63" ht="15" customHeight="1" x14ac:dyDescent="0.25">
      <c r="A39" s="97"/>
      <c r="B39" s="69"/>
      <c r="C39" s="67"/>
      <c r="D39" s="67"/>
      <c r="E39" s="67"/>
      <c r="F39" s="67"/>
      <c r="G39" s="68"/>
      <c r="H39" s="69"/>
      <c r="I39" s="67"/>
      <c r="J39" s="67"/>
      <c r="K39" s="67"/>
      <c r="L39" s="67"/>
      <c r="M39" s="67"/>
      <c r="N39" s="68"/>
      <c r="O39" s="69"/>
      <c r="P39" s="67"/>
      <c r="Q39" s="67"/>
      <c r="R39" s="67"/>
      <c r="S39" s="122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4"/>
      <c r="AX39" s="125"/>
      <c r="AY39" s="125"/>
      <c r="AZ39" s="125"/>
      <c r="BA39" s="125"/>
      <c r="BB39" s="125"/>
      <c r="BC39" s="126"/>
      <c r="BD39" s="127"/>
      <c r="BE39" s="125"/>
      <c r="BF39" s="125"/>
      <c r="BG39" s="125"/>
      <c r="BH39" s="125"/>
      <c r="BI39" s="125"/>
      <c r="BJ39" s="126"/>
      <c r="BK39" s="98"/>
    </row>
    <row r="40" spans="1:63" ht="15" customHeight="1" x14ac:dyDescent="0.25">
      <c r="A40" s="97"/>
      <c r="B40" s="79"/>
      <c r="C40" s="80"/>
      <c r="D40" s="80"/>
      <c r="E40" s="80"/>
      <c r="F40" s="80"/>
      <c r="G40" s="81"/>
      <c r="H40" s="79"/>
      <c r="I40" s="80"/>
      <c r="J40" s="80"/>
      <c r="K40" s="80"/>
      <c r="L40" s="80"/>
      <c r="M40" s="80"/>
      <c r="N40" s="81"/>
      <c r="O40" s="79"/>
      <c r="P40" s="80"/>
      <c r="Q40" s="80"/>
      <c r="R40" s="80"/>
      <c r="S40" s="128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30"/>
      <c r="AX40" s="131"/>
      <c r="AY40" s="131"/>
      <c r="AZ40" s="131"/>
      <c r="BA40" s="131"/>
      <c r="BB40" s="131"/>
      <c r="BC40" s="132"/>
      <c r="BD40" s="133"/>
      <c r="BE40" s="131"/>
      <c r="BF40" s="131"/>
      <c r="BG40" s="131"/>
      <c r="BH40" s="131"/>
      <c r="BI40" s="131"/>
      <c r="BJ40" s="132"/>
      <c r="BK40" s="98"/>
    </row>
    <row r="41" spans="1:63" ht="15" customHeight="1" x14ac:dyDescent="0.25">
      <c r="A41" s="97"/>
      <c r="B41" s="69"/>
      <c r="C41" s="67"/>
      <c r="D41" s="67"/>
      <c r="E41" s="67"/>
      <c r="F41" s="67"/>
      <c r="G41" s="68"/>
      <c r="H41" s="69"/>
      <c r="I41" s="67"/>
      <c r="J41" s="67"/>
      <c r="K41" s="67"/>
      <c r="L41" s="67"/>
      <c r="M41" s="67"/>
      <c r="N41" s="68"/>
      <c r="O41" s="69"/>
      <c r="P41" s="67"/>
      <c r="Q41" s="67"/>
      <c r="R41" s="67"/>
      <c r="S41" s="122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4"/>
      <c r="AX41" s="125"/>
      <c r="AY41" s="125"/>
      <c r="AZ41" s="125"/>
      <c r="BA41" s="125"/>
      <c r="BB41" s="125"/>
      <c r="BC41" s="126"/>
      <c r="BD41" s="127"/>
      <c r="BE41" s="125"/>
      <c r="BF41" s="125"/>
      <c r="BG41" s="125"/>
      <c r="BH41" s="125"/>
      <c r="BI41" s="125"/>
      <c r="BJ41" s="126"/>
      <c r="BK41" s="98"/>
    </row>
    <row r="42" spans="1:63" ht="15" customHeight="1" x14ac:dyDescent="0.25">
      <c r="A42" s="97"/>
      <c r="B42" s="79"/>
      <c r="C42" s="80"/>
      <c r="D42" s="80"/>
      <c r="E42" s="80"/>
      <c r="F42" s="80"/>
      <c r="G42" s="81"/>
      <c r="H42" s="79"/>
      <c r="I42" s="80"/>
      <c r="J42" s="80"/>
      <c r="K42" s="80"/>
      <c r="L42" s="80"/>
      <c r="M42" s="80"/>
      <c r="N42" s="81"/>
      <c r="O42" s="79"/>
      <c r="P42" s="80"/>
      <c r="Q42" s="80"/>
      <c r="R42" s="80"/>
      <c r="S42" s="128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29"/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30"/>
      <c r="AX42" s="131"/>
      <c r="AY42" s="131"/>
      <c r="AZ42" s="131"/>
      <c r="BA42" s="131"/>
      <c r="BB42" s="131"/>
      <c r="BC42" s="132"/>
      <c r="BD42" s="133"/>
      <c r="BE42" s="131"/>
      <c r="BF42" s="131"/>
      <c r="BG42" s="131"/>
      <c r="BH42" s="131"/>
      <c r="BI42" s="131"/>
      <c r="BJ42" s="132"/>
      <c r="BK42" s="98"/>
    </row>
    <row r="43" spans="1:63" ht="15" customHeight="1" x14ac:dyDescent="0.25">
      <c r="A43" s="97"/>
      <c r="B43" s="69"/>
      <c r="C43" s="67"/>
      <c r="D43" s="67"/>
      <c r="E43" s="67"/>
      <c r="F43" s="67"/>
      <c r="G43" s="68"/>
      <c r="H43" s="69"/>
      <c r="I43" s="67"/>
      <c r="J43" s="67"/>
      <c r="K43" s="67"/>
      <c r="L43" s="67"/>
      <c r="M43" s="67"/>
      <c r="N43" s="68"/>
      <c r="O43" s="69"/>
      <c r="P43" s="67"/>
      <c r="Q43" s="67"/>
      <c r="R43" s="67"/>
      <c r="S43" s="122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4"/>
      <c r="AX43" s="125"/>
      <c r="AY43" s="125"/>
      <c r="AZ43" s="125"/>
      <c r="BA43" s="125"/>
      <c r="BB43" s="125"/>
      <c r="BC43" s="126"/>
      <c r="BD43" s="127"/>
      <c r="BE43" s="125"/>
      <c r="BF43" s="125"/>
      <c r="BG43" s="125"/>
      <c r="BH43" s="125"/>
      <c r="BI43" s="125"/>
      <c r="BJ43" s="126"/>
      <c r="BK43" s="98"/>
    </row>
    <row r="44" spans="1:63" ht="15" customHeight="1" x14ac:dyDescent="0.25">
      <c r="A44" s="97"/>
      <c r="B44" s="79"/>
      <c r="C44" s="80"/>
      <c r="D44" s="80"/>
      <c r="E44" s="80"/>
      <c r="F44" s="80"/>
      <c r="G44" s="81"/>
      <c r="H44" s="79"/>
      <c r="I44" s="80"/>
      <c r="J44" s="80"/>
      <c r="K44" s="80"/>
      <c r="L44" s="80"/>
      <c r="M44" s="80"/>
      <c r="N44" s="81"/>
      <c r="O44" s="79"/>
      <c r="P44" s="80"/>
      <c r="Q44" s="80"/>
      <c r="R44" s="80"/>
      <c r="S44" s="128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30"/>
      <c r="AX44" s="131"/>
      <c r="AY44" s="131"/>
      <c r="AZ44" s="131"/>
      <c r="BA44" s="131"/>
      <c r="BB44" s="131"/>
      <c r="BC44" s="132"/>
      <c r="BD44" s="133"/>
      <c r="BE44" s="131"/>
      <c r="BF44" s="131"/>
      <c r="BG44" s="131"/>
      <c r="BH44" s="131"/>
      <c r="BI44" s="131"/>
      <c r="BJ44" s="132"/>
      <c r="BK44" s="98"/>
    </row>
    <row r="45" spans="1:63" ht="15" customHeight="1" x14ac:dyDescent="0.25">
      <c r="A45" s="97"/>
      <c r="B45" s="69"/>
      <c r="C45" s="67"/>
      <c r="D45" s="67"/>
      <c r="E45" s="67"/>
      <c r="F45" s="67"/>
      <c r="G45" s="68"/>
      <c r="H45" s="69"/>
      <c r="I45" s="67"/>
      <c r="J45" s="67"/>
      <c r="K45" s="67"/>
      <c r="L45" s="67"/>
      <c r="M45" s="67"/>
      <c r="N45" s="68"/>
      <c r="O45" s="69"/>
      <c r="P45" s="67"/>
      <c r="Q45" s="67"/>
      <c r="R45" s="67"/>
      <c r="S45" s="122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4"/>
      <c r="AX45" s="125"/>
      <c r="AY45" s="125"/>
      <c r="AZ45" s="125"/>
      <c r="BA45" s="125"/>
      <c r="BB45" s="125"/>
      <c r="BC45" s="126"/>
      <c r="BD45" s="127"/>
      <c r="BE45" s="125"/>
      <c r="BF45" s="125"/>
      <c r="BG45" s="125"/>
      <c r="BH45" s="125"/>
      <c r="BI45" s="125"/>
      <c r="BJ45" s="126"/>
      <c r="BK45" s="98"/>
    </row>
    <row r="46" spans="1:63" ht="15" customHeight="1" x14ac:dyDescent="0.25">
      <c r="A46" s="97"/>
      <c r="B46" s="79"/>
      <c r="C46" s="80"/>
      <c r="D46" s="80"/>
      <c r="E46" s="80"/>
      <c r="F46" s="80"/>
      <c r="G46" s="81"/>
      <c r="H46" s="79"/>
      <c r="I46" s="80"/>
      <c r="J46" s="80"/>
      <c r="K46" s="80"/>
      <c r="L46" s="80"/>
      <c r="M46" s="80"/>
      <c r="N46" s="81"/>
      <c r="O46" s="79"/>
      <c r="P46" s="80"/>
      <c r="Q46" s="80"/>
      <c r="R46" s="80"/>
      <c r="S46" s="128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  <c r="AE46" s="129"/>
      <c r="AF46" s="129"/>
      <c r="AG46" s="129"/>
      <c r="AH46" s="129"/>
      <c r="AI46" s="129"/>
      <c r="AJ46" s="129"/>
      <c r="AK46" s="129"/>
      <c r="AL46" s="129"/>
      <c r="AM46" s="129"/>
      <c r="AN46" s="129"/>
      <c r="AO46" s="129"/>
      <c r="AP46" s="129"/>
      <c r="AQ46" s="129"/>
      <c r="AR46" s="129"/>
      <c r="AS46" s="129"/>
      <c r="AT46" s="129"/>
      <c r="AU46" s="129"/>
      <c r="AV46" s="129"/>
      <c r="AW46" s="130"/>
      <c r="AX46" s="131"/>
      <c r="AY46" s="131"/>
      <c r="AZ46" s="131"/>
      <c r="BA46" s="131"/>
      <c r="BB46" s="131"/>
      <c r="BC46" s="132"/>
      <c r="BD46" s="133"/>
      <c r="BE46" s="131"/>
      <c r="BF46" s="131"/>
      <c r="BG46" s="131"/>
      <c r="BH46" s="131"/>
      <c r="BI46" s="131"/>
      <c r="BJ46" s="132"/>
      <c r="BK46" s="98"/>
    </row>
    <row r="47" spans="1:63" ht="15" customHeight="1" x14ac:dyDescent="0.25">
      <c r="A47" s="97"/>
      <c r="B47" s="69"/>
      <c r="C47" s="67"/>
      <c r="D47" s="67"/>
      <c r="E47" s="67"/>
      <c r="F47" s="67"/>
      <c r="G47" s="68"/>
      <c r="H47" s="69"/>
      <c r="I47" s="67"/>
      <c r="J47" s="67"/>
      <c r="K47" s="67"/>
      <c r="L47" s="67"/>
      <c r="M47" s="67"/>
      <c r="N47" s="68"/>
      <c r="O47" s="69"/>
      <c r="P47" s="67"/>
      <c r="Q47" s="67"/>
      <c r="R47" s="67"/>
      <c r="S47" s="122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4"/>
      <c r="AX47" s="125"/>
      <c r="AY47" s="125"/>
      <c r="AZ47" s="125"/>
      <c r="BA47" s="125"/>
      <c r="BB47" s="125"/>
      <c r="BC47" s="126"/>
      <c r="BD47" s="127"/>
      <c r="BE47" s="125"/>
      <c r="BF47" s="125"/>
      <c r="BG47" s="125"/>
      <c r="BH47" s="125"/>
      <c r="BI47" s="125"/>
      <c r="BJ47" s="126"/>
      <c r="BK47" s="98"/>
    </row>
    <row r="48" spans="1:63" ht="15" customHeight="1" x14ac:dyDescent="0.25">
      <c r="A48" s="97"/>
      <c r="B48" s="79"/>
      <c r="C48" s="80"/>
      <c r="D48" s="80"/>
      <c r="E48" s="80"/>
      <c r="F48" s="80"/>
      <c r="G48" s="81"/>
      <c r="H48" s="79"/>
      <c r="I48" s="80"/>
      <c r="J48" s="80"/>
      <c r="K48" s="80"/>
      <c r="L48" s="80"/>
      <c r="M48" s="80"/>
      <c r="N48" s="81"/>
      <c r="O48" s="79"/>
      <c r="P48" s="80"/>
      <c r="Q48" s="80"/>
      <c r="R48" s="80"/>
      <c r="S48" s="128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30"/>
      <c r="AX48" s="131"/>
      <c r="AY48" s="131"/>
      <c r="AZ48" s="131"/>
      <c r="BA48" s="131"/>
      <c r="BB48" s="131"/>
      <c r="BC48" s="132"/>
      <c r="BD48" s="133"/>
      <c r="BE48" s="131"/>
      <c r="BF48" s="131"/>
      <c r="BG48" s="131"/>
      <c r="BH48" s="131"/>
      <c r="BI48" s="131"/>
      <c r="BJ48" s="132"/>
      <c r="BK48" s="98"/>
    </row>
    <row r="49" spans="1:63" ht="15" customHeight="1" x14ac:dyDescent="0.25">
      <c r="A49" s="97"/>
      <c r="B49" s="69"/>
      <c r="C49" s="67"/>
      <c r="D49" s="67"/>
      <c r="E49" s="67"/>
      <c r="F49" s="67"/>
      <c r="G49" s="68"/>
      <c r="H49" s="69"/>
      <c r="I49" s="67"/>
      <c r="J49" s="67"/>
      <c r="K49" s="67"/>
      <c r="L49" s="67"/>
      <c r="M49" s="67"/>
      <c r="N49" s="68"/>
      <c r="O49" s="69"/>
      <c r="P49" s="67"/>
      <c r="Q49" s="67"/>
      <c r="R49" s="67"/>
      <c r="S49" s="122"/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4"/>
      <c r="AX49" s="125"/>
      <c r="AY49" s="125"/>
      <c r="AZ49" s="125"/>
      <c r="BA49" s="125"/>
      <c r="BB49" s="125"/>
      <c r="BC49" s="126"/>
      <c r="BD49" s="127"/>
      <c r="BE49" s="125"/>
      <c r="BF49" s="125"/>
      <c r="BG49" s="125"/>
      <c r="BH49" s="125"/>
      <c r="BI49" s="125"/>
      <c r="BJ49" s="126"/>
      <c r="BK49" s="98"/>
    </row>
    <row r="50" spans="1:63" ht="15" customHeight="1" x14ac:dyDescent="0.25">
      <c r="A50" s="97"/>
      <c r="B50" s="79"/>
      <c r="C50" s="80"/>
      <c r="D50" s="80"/>
      <c r="E50" s="80"/>
      <c r="F50" s="80"/>
      <c r="G50" s="81"/>
      <c r="H50" s="79"/>
      <c r="I50" s="80"/>
      <c r="J50" s="80"/>
      <c r="K50" s="80"/>
      <c r="L50" s="80"/>
      <c r="M50" s="80"/>
      <c r="N50" s="81"/>
      <c r="O50" s="79"/>
      <c r="P50" s="80"/>
      <c r="Q50" s="80"/>
      <c r="R50" s="80"/>
      <c r="S50" s="128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30"/>
      <c r="AX50" s="131"/>
      <c r="AY50" s="131"/>
      <c r="AZ50" s="131"/>
      <c r="BA50" s="131"/>
      <c r="BB50" s="131"/>
      <c r="BC50" s="132"/>
      <c r="BD50" s="133"/>
      <c r="BE50" s="131"/>
      <c r="BF50" s="131"/>
      <c r="BG50" s="131"/>
      <c r="BH50" s="131"/>
      <c r="BI50" s="131"/>
      <c r="BJ50" s="132"/>
      <c r="BK50" s="98"/>
    </row>
    <row r="51" spans="1:63" ht="15" customHeight="1" x14ac:dyDescent="0.25">
      <c r="A51" s="97"/>
      <c r="B51" s="69"/>
      <c r="C51" s="67"/>
      <c r="D51" s="67"/>
      <c r="E51" s="67"/>
      <c r="F51" s="67"/>
      <c r="G51" s="68"/>
      <c r="H51" s="69"/>
      <c r="I51" s="67"/>
      <c r="J51" s="67"/>
      <c r="K51" s="67"/>
      <c r="L51" s="67"/>
      <c r="M51" s="67"/>
      <c r="N51" s="68"/>
      <c r="O51" s="69"/>
      <c r="P51" s="67"/>
      <c r="Q51" s="67"/>
      <c r="R51" s="67"/>
      <c r="S51" s="122"/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4"/>
      <c r="AX51" s="125"/>
      <c r="AY51" s="125"/>
      <c r="AZ51" s="125"/>
      <c r="BA51" s="125"/>
      <c r="BB51" s="125"/>
      <c r="BC51" s="126"/>
      <c r="BD51" s="127"/>
      <c r="BE51" s="125"/>
      <c r="BF51" s="125"/>
      <c r="BG51" s="125"/>
      <c r="BH51" s="125"/>
      <c r="BI51" s="125"/>
      <c r="BJ51" s="126"/>
      <c r="BK51" s="98"/>
    </row>
    <row r="52" spans="1:63" ht="15" customHeight="1" x14ac:dyDescent="0.25">
      <c r="A52" s="97"/>
      <c r="B52" s="79"/>
      <c r="C52" s="80"/>
      <c r="D52" s="80"/>
      <c r="E52" s="80"/>
      <c r="F52" s="80"/>
      <c r="G52" s="81"/>
      <c r="H52" s="79"/>
      <c r="I52" s="80"/>
      <c r="J52" s="80"/>
      <c r="K52" s="80"/>
      <c r="L52" s="80"/>
      <c r="M52" s="80"/>
      <c r="N52" s="81"/>
      <c r="O52" s="79"/>
      <c r="P52" s="80"/>
      <c r="Q52" s="80"/>
      <c r="R52" s="80"/>
      <c r="S52" s="128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30"/>
      <c r="AX52" s="131"/>
      <c r="AY52" s="131"/>
      <c r="AZ52" s="131"/>
      <c r="BA52" s="131"/>
      <c r="BB52" s="131"/>
      <c r="BC52" s="132"/>
      <c r="BD52" s="133"/>
      <c r="BE52" s="131"/>
      <c r="BF52" s="131"/>
      <c r="BG52" s="131"/>
      <c r="BH52" s="131"/>
      <c r="BI52" s="131"/>
      <c r="BJ52" s="132"/>
      <c r="BK52" s="98"/>
    </row>
    <row r="53" spans="1:63" ht="15" customHeight="1" x14ac:dyDescent="0.25">
      <c r="A53" s="97"/>
      <c r="B53" s="69"/>
      <c r="C53" s="67"/>
      <c r="D53" s="67"/>
      <c r="E53" s="67"/>
      <c r="F53" s="67"/>
      <c r="G53" s="68"/>
      <c r="H53" s="69"/>
      <c r="I53" s="67"/>
      <c r="J53" s="67"/>
      <c r="K53" s="67"/>
      <c r="L53" s="67"/>
      <c r="M53" s="67"/>
      <c r="N53" s="68"/>
      <c r="O53" s="69"/>
      <c r="P53" s="67"/>
      <c r="Q53" s="67"/>
      <c r="R53" s="67"/>
      <c r="S53" s="122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4"/>
      <c r="AX53" s="125"/>
      <c r="AY53" s="125"/>
      <c r="AZ53" s="125"/>
      <c r="BA53" s="125"/>
      <c r="BB53" s="125"/>
      <c r="BC53" s="126"/>
      <c r="BD53" s="127"/>
      <c r="BE53" s="125"/>
      <c r="BF53" s="125"/>
      <c r="BG53" s="125"/>
      <c r="BH53" s="125"/>
      <c r="BI53" s="125"/>
      <c r="BJ53" s="126"/>
      <c r="BK53" s="98"/>
    </row>
    <row r="54" spans="1:63" ht="15" customHeight="1" x14ac:dyDescent="0.25">
      <c r="A54" s="97"/>
      <c r="B54" s="79"/>
      <c r="C54" s="80"/>
      <c r="D54" s="80"/>
      <c r="E54" s="80"/>
      <c r="F54" s="80"/>
      <c r="G54" s="81"/>
      <c r="H54" s="79"/>
      <c r="I54" s="80"/>
      <c r="J54" s="80"/>
      <c r="K54" s="80"/>
      <c r="L54" s="80"/>
      <c r="M54" s="80"/>
      <c r="N54" s="81"/>
      <c r="O54" s="79"/>
      <c r="P54" s="80"/>
      <c r="Q54" s="80"/>
      <c r="R54" s="80"/>
      <c r="S54" s="128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30"/>
      <c r="AX54" s="131"/>
      <c r="AY54" s="131"/>
      <c r="AZ54" s="131"/>
      <c r="BA54" s="131"/>
      <c r="BB54" s="131"/>
      <c r="BC54" s="132"/>
      <c r="BD54" s="133"/>
      <c r="BE54" s="131"/>
      <c r="BF54" s="131"/>
      <c r="BG54" s="131"/>
      <c r="BH54" s="131"/>
      <c r="BI54" s="131"/>
      <c r="BJ54" s="132"/>
      <c r="BK54" s="98"/>
    </row>
    <row r="55" spans="1:63" ht="15" customHeight="1" x14ac:dyDescent="0.25">
      <c r="A55" s="94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95"/>
      <c r="AY55" s="95"/>
      <c r="AZ55" s="95"/>
      <c r="BA55" s="95"/>
      <c r="BB55" s="95"/>
      <c r="BC55" s="95"/>
      <c r="BD55" s="95"/>
      <c r="BE55" s="95"/>
      <c r="BF55" s="95"/>
      <c r="BG55" s="95"/>
      <c r="BH55" s="95"/>
      <c r="BI55" s="95"/>
      <c r="BJ55" s="95"/>
      <c r="BK55" s="96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455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34" t="s">
        <v>55</v>
      </c>
      <c r="B1" s="135"/>
      <c r="C1" s="135"/>
      <c r="D1" s="135"/>
      <c r="E1" s="135"/>
      <c r="F1" s="135"/>
      <c r="G1" s="135"/>
      <c r="H1" s="135"/>
      <c r="I1" s="135"/>
      <c r="J1" s="136"/>
      <c r="K1" s="134" t="s">
        <v>56</v>
      </c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6"/>
      <c r="W1" s="137" t="str">
        <f>IF(表紙!W1="","",表紙!W1)</f>
        <v>詳細設計書</v>
      </c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9"/>
      <c r="AP1" s="60" t="s">
        <v>58</v>
      </c>
      <c r="AQ1" s="61"/>
      <c r="AR1" s="61"/>
      <c r="AS1" s="62"/>
      <c r="AT1" s="60" t="s">
        <v>59</v>
      </c>
      <c r="AU1" s="61"/>
      <c r="AV1" s="61"/>
      <c r="AW1" s="61"/>
      <c r="AX1" s="62"/>
      <c r="AY1" s="60" t="s">
        <v>60</v>
      </c>
      <c r="AZ1" s="61"/>
      <c r="BA1" s="61"/>
      <c r="BB1" s="62"/>
      <c r="BC1" s="60" t="s">
        <v>61</v>
      </c>
      <c r="BD1" s="61"/>
      <c r="BE1" s="61"/>
      <c r="BF1" s="61"/>
      <c r="BG1" s="62"/>
      <c r="BH1" s="60" t="s">
        <v>62</v>
      </c>
      <c r="BI1" s="61"/>
      <c r="BJ1" s="61"/>
      <c r="BK1" s="62"/>
    </row>
    <row r="2" spans="1:63" ht="15" customHeight="1" x14ac:dyDescent="0.25">
      <c r="A2" s="36" t="str">
        <f>IF(表紙!A2="","",表紙!A2)</f>
        <v>POSサーバー</v>
      </c>
      <c r="B2" s="37"/>
      <c r="C2" s="37"/>
      <c r="D2" s="37"/>
      <c r="E2" s="37"/>
      <c r="F2" s="37"/>
      <c r="G2" s="37"/>
      <c r="H2" s="37"/>
      <c r="I2" s="37"/>
      <c r="J2" s="38"/>
      <c r="K2" s="36" t="str">
        <f>IF(表紙!K2="","",表紙!K2)</f>
        <v>POSサーバー</v>
      </c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  <c r="W2" s="140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2"/>
      <c r="AP2" s="69" t="str">
        <f>IF(表紙!AP2="","",表紙!AP2)</f>
        <v>DuNT</v>
      </c>
      <c r="AQ2" s="67"/>
      <c r="AR2" s="67"/>
      <c r="AS2" s="68"/>
      <c r="AT2" s="73">
        <f>IF(表紙!AT2="","",表紙!AT2)</f>
        <v>45448</v>
      </c>
      <c r="AU2" s="74"/>
      <c r="AV2" s="74"/>
      <c r="AW2" s="74"/>
      <c r="AX2" s="75"/>
      <c r="AY2" s="69" t="str">
        <f>IF(表紙!AY2="","",表紙!AY2)</f>
        <v>DuNT</v>
      </c>
      <c r="AZ2" s="67"/>
      <c r="BA2" s="67"/>
      <c r="BB2" s="68"/>
      <c r="BC2" s="73">
        <f>IF(表紙!BC2="","",表紙!BC2)</f>
        <v>45448</v>
      </c>
      <c r="BD2" s="74"/>
      <c r="BE2" s="74"/>
      <c r="BF2" s="74"/>
      <c r="BG2" s="75"/>
      <c r="BH2" s="69">
        <f>IF(表紙!BH2="","",表紙!BH2)</f>
        <v>0.1</v>
      </c>
      <c r="BI2" s="67"/>
      <c r="BJ2" s="67"/>
      <c r="BK2" s="68"/>
    </row>
    <row r="3" spans="1:63" ht="15" customHeight="1" x14ac:dyDescent="0.25">
      <c r="A3" s="39"/>
      <c r="B3" s="40"/>
      <c r="C3" s="40"/>
      <c r="D3" s="40"/>
      <c r="E3" s="40"/>
      <c r="F3" s="40"/>
      <c r="G3" s="40"/>
      <c r="H3" s="40"/>
      <c r="I3" s="40"/>
      <c r="J3" s="41"/>
      <c r="K3" s="39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  <c r="W3" s="143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5"/>
      <c r="AP3" s="79"/>
      <c r="AQ3" s="80"/>
      <c r="AR3" s="80"/>
      <c r="AS3" s="81"/>
      <c r="AT3" s="85"/>
      <c r="AU3" s="86"/>
      <c r="AV3" s="86"/>
      <c r="AW3" s="86"/>
      <c r="AX3" s="87"/>
      <c r="AY3" s="79"/>
      <c r="AZ3" s="80"/>
      <c r="BA3" s="80"/>
      <c r="BB3" s="81"/>
      <c r="BC3" s="85"/>
      <c r="BD3" s="86"/>
      <c r="BE3" s="86"/>
      <c r="BF3" s="86"/>
      <c r="BG3" s="87"/>
      <c r="BH3" s="79"/>
      <c r="BI3" s="80"/>
      <c r="BJ3" s="80"/>
      <c r="BK3" s="81"/>
    </row>
    <row r="4" spans="1:63" ht="24.95" customHeight="1" x14ac:dyDescent="0.25">
      <c r="A4" s="146" t="s">
        <v>72</v>
      </c>
      <c r="B4" s="135"/>
      <c r="C4" s="135"/>
      <c r="D4" s="135"/>
      <c r="E4" s="135"/>
      <c r="F4" s="135"/>
      <c r="G4" s="136"/>
      <c r="H4" s="32" t="str">
        <f>IF(表紙!H4="","",表紙!H4)</f>
        <v>04_商品採用店舗確認</v>
      </c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4"/>
      <c r="U4" s="134" t="s">
        <v>65</v>
      </c>
      <c r="V4" s="135"/>
      <c r="W4" s="135"/>
      <c r="X4" s="135"/>
      <c r="Y4" s="136"/>
      <c r="Z4" s="32" t="str">
        <f>IF(表紙!Z4="","",表紙!Z4)</f>
        <v>機能設計書</v>
      </c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4"/>
      <c r="AP4" s="35" t="str">
        <f ca="1">MID(CELL("filename",A1),FIND("]",CELL("filename",A1))+1,255)</f>
        <v>SC0401</v>
      </c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8"/>
    </row>
    <row r="7" spans="1:63" s="148" customFormat="1" ht="15" customHeight="1" x14ac:dyDescent="0.25">
      <c r="A7" s="147" t="s">
        <v>8</v>
      </c>
      <c r="BK7" s="149"/>
    </row>
    <row r="8" spans="1:63" s="148" customFormat="1" ht="15" customHeight="1" x14ac:dyDescent="0.25">
      <c r="A8" s="147"/>
      <c r="BK8" s="149"/>
    </row>
    <row r="9" spans="1:63" s="148" customFormat="1" ht="15" customHeight="1" x14ac:dyDescent="0.25">
      <c r="A9" s="60" t="s">
        <v>73</v>
      </c>
      <c r="B9" s="61"/>
      <c r="C9" s="61"/>
      <c r="D9" s="61"/>
      <c r="E9" s="150" t="s">
        <v>10</v>
      </c>
      <c r="F9" s="150"/>
      <c r="G9" s="150"/>
      <c r="H9" s="150"/>
      <c r="I9" s="150"/>
      <c r="J9" s="150"/>
      <c r="K9" s="150"/>
      <c r="L9" s="150"/>
      <c r="M9" s="150"/>
      <c r="N9" s="150"/>
      <c r="O9" s="60" t="s">
        <v>74</v>
      </c>
      <c r="P9" s="61"/>
      <c r="Q9" s="61"/>
      <c r="R9" s="61"/>
      <c r="S9" s="61"/>
      <c r="T9" s="62"/>
      <c r="U9" s="151" t="s">
        <v>75</v>
      </c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2"/>
      <c r="BG9" s="152"/>
      <c r="BH9" s="152"/>
      <c r="BI9" s="152"/>
      <c r="BJ9" s="152"/>
      <c r="BK9" s="153"/>
    </row>
    <row r="10" spans="1:63" s="148" customFormat="1" ht="15" customHeight="1" x14ac:dyDescent="0.25">
      <c r="A10" s="154"/>
      <c r="B10" s="155"/>
      <c r="C10" s="155"/>
      <c r="D10" s="155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7"/>
      <c r="P10" s="157"/>
      <c r="Q10" s="157"/>
      <c r="R10" s="157"/>
      <c r="S10" s="157"/>
      <c r="T10" s="157"/>
      <c r="U10" s="158"/>
      <c r="V10" s="158"/>
      <c r="W10" s="155"/>
      <c r="X10" s="155"/>
      <c r="Y10" s="159"/>
      <c r="Z10" s="160"/>
      <c r="AA10" s="160"/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  <c r="AX10" s="160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61"/>
    </row>
    <row r="11" spans="1:63" s="148" customFormat="1" ht="15" customHeight="1" x14ac:dyDescent="0.25">
      <c r="A11" s="162" t="s">
        <v>3</v>
      </c>
      <c r="B11" s="163"/>
      <c r="C11" s="163"/>
      <c r="D11" s="163"/>
      <c r="E11" s="163"/>
      <c r="F11" s="164"/>
      <c r="G11" s="150" t="s">
        <v>9</v>
      </c>
      <c r="H11" s="150"/>
      <c r="I11" s="150"/>
      <c r="J11" s="150"/>
      <c r="K11" s="150"/>
      <c r="L11" s="150"/>
      <c r="M11" s="165" t="s">
        <v>11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166"/>
      <c r="BI11" s="166"/>
      <c r="BJ11" s="166"/>
      <c r="BK11" s="167"/>
    </row>
    <row r="12" spans="1:63" s="148" customFormat="1" ht="15" customHeight="1" x14ac:dyDescent="0.25">
      <c r="A12" s="168" t="s">
        <v>4</v>
      </c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70"/>
      <c r="M12" s="168" t="s">
        <v>5</v>
      </c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70"/>
      <c r="AU12" s="168" t="s">
        <v>6</v>
      </c>
      <c r="AV12" s="169"/>
      <c r="AW12" s="169"/>
      <c r="AX12" s="169"/>
      <c r="AY12" s="169"/>
      <c r="AZ12" s="169"/>
      <c r="BA12" s="169"/>
      <c r="BB12" s="169"/>
      <c r="BC12" s="169"/>
      <c r="BD12" s="169"/>
      <c r="BE12" s="169"/>
      <c r="BF12" s="168" t="s">
        <v>7</v>
      </c>
      <c r="BG12" s="169"/>
      <c r="BH12" s="169"/>
      <c r="BI12" s="169"/>
      <c r="BJ12" s="169"/>
      <c r="BK12" s="170"/>
    </row>
    <row r="13" spans="1:63" s="148" customFormat="1" ht="15" customHeight="1" x14ac:dyDescent="0.25">
      <c r="A13" s="171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3"/>
      <c r="M13" s="171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2"/>
      <c r="AS13" s="172"/>
      <c r="AT13" s="173"/>
      <c r="AU13" s="171"/>
      <c r="AV13" s="172"/>
      <c r="AW13" s="172"/>
      <c r="AX13" s="172"/>
      <c r="AY13" s="172"/>
      <c r="AZ13" s="172"/>
      <c r="BA13" s="172"/>
      <c r="BB13" s="172"/>
      <c r="BC13" s="172"/>
      <c r="BD13" s="172"/>
      <c r="BE13" s="172"/>
      <c r="BF13" s="171"/>
      <c r="BG13" s="172"/>
      <c r="BH13" s="172"/>
      <c r="BI13" s="172"/>
      <c r="BJ13" s="172"/>
      <c r="BK13" s="173"/>
    </row>
    <row r="14" spans="1:63" s="148" customFormat="1" ht="15" customHeight="1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  <c r="M14" s="174"/>
      <c r="N14" s="174"/>
      <c r="O14" s="174"/>
      <c r="P14" s="174"/>
      <c r="Q14" s="174"/>
      <c r="R14" s="175"/>
      <c r="S14" s="175"/>
      <c r="T14" s="175"/>
      <c r="U14" s="175"/>
      <c r="V14" s="175"/>
      <c r="W14" s="175"/>
      <c r="X14" s="175"/>
      <c r="Y14" s="175"/>
      <c r="Z14" s="175"/>
      <c r="AA14" s="175"/>
      <c r="AB14" s="175"/>
      <c r="AC14" s="175"/>
      <c r="AD14" s="175"/>
      <c r="AE14" s="175"/>
      <c r="AF14" s="175"/>
      <c r="AG14" s="175"/>
      <c r="AH14" s="175"/>
      <c r="AI14" s="175"/>
      <c r="AJ14" s="175"/>
      <c r="AK14" s="175"/>
      <c r="AL14" s="175"/>
      <c r="AM14" s="175"/>
      <c r="AN14" s="175"/>
      <c r="AO14" s="175"/>
      <c r="AP14" s="175"/>
      <c r="AQ14" s="175"/>
      <c r="AR14" s="175"/>
      <c r="AS14" s="175"/>
      <c r="AT14" s="175"/>
      <c r="AU14" s="8"/>
      <c r="AV14" s="9"/>
      <c r="AW14" s="9"/>
      <c r="AX14" s="9"/>
      <c r="AY14" s="9"/>
      <c r="AZ14" s="9"/>
      <c r="BA14" s="9"/>
      <c r="BB14" s="9"/>
      <c r="BC14" s="9"/>
      <c r="BD14" s="9"/>
      <c r="BE14" s="10"/>
      <c r="BF14" s="42" t="s">
        <v>12</v>
      </c>
      <c r="BG14" s="43"/>
      <c r="BH14" s="43"/>
      <c r="BI14" s="43"/>
      <c r="BJ14" s="43"/>
      <c r="BK14" s="44"/>
    </row>
    <row r="15" spans="1:63" s="148" customFormat="1" ht="15" customHeight="1" x14ac:dyDescent="0.25">
      <c r="A15" s="11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2"/>
      <c r="M15" s="174"/>
      <c r="N15" s="30" t="s">
        <v>76</v>
      </c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1"/>
      <c r="AV15" s="19"/>
      <c r="AW15" s="19"/>
      <c r="AX15" s="19"/>
      <c r="AY15" s="19"/>
      <c r="AZ15" s="19"/>
      <c r="BA15" s="19"/>
      <c r="BB15" s="19"/>
      <c r="BC15" s="19"/>
      <c r="BD15" s="19"/>
      <c r="BE15" s="12"/>
      <c r="BF15" s="45"/>
      <c r="BG15" s="46"/>
      <c r="BH15" s="46"/>
      <c r="BI15" s="46"/>
      <c r="BJ15" s="46"/>
      <c r="BK15" s="47"/>
    </row>
    <row r="16" spans="1:63" s="148" customFormat="1" ht="15" customHeight="1" x14ac:dyDescent="0.25">
      <c r="A16" s="11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2"/>
      <c r="M16" s="176"/>
      <c r="N16" s="174"/>
      <c r="O16" s="177" t="s">
        <v>47</v>
      </c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4"/>
      <c r="AK16" s="174"/>
      <c r="AL16" s="174"/>
      <c r="AM16" s="174"/>
      <c r="AN16" s="174"/>
      <c r="AO16" s="174"/>
      <c r="AP16" s="174"/>
      <c r="AQ16" s="174"/>
      <c r="AR16" s="174"/>
      <c r="AS16" s="174"/>
      <c r="AT16" s="174"/>
      <c r="AU16" s="11"/>
      <c r="AV16" s="19"/>
      <c r="AW16" s="19"/>
      <c r="AX16" s="19"/>
      <c r="AY16" s="19"/>
      <c r="AZ16" s="19"/>
      <c r="BA16" s="19"/>
      <c r="BB16" s="19"/>
      <c r="BC16" s="19"/>
      <c r="BD16" s="19"/>
      <c r="BE16" s="12"/>
      <c r="BF16" s="45"/>
      <c r="BG16" s="46"/>
      <c r="BH16" s="46"/>
      <c r="BI16" s="46"/>
      <c r="BJ16" s="46"/>
      <c r="BK16" s="47"/>
    </row>
    <row r="17" spans="1:63" s="148" customFormat="1" ht="15" customHeight="1" x14ac:dyDescent="0.25">
      <c r="A17" s="11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2"/>
      <c r="M17" s="174"/>
      <c r="N17" s="27" t="s">
        <v>77</v>
      </c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1"/>
      <c r="AV17" s="19"/>
      <c r="AW17" s="19"/>
      <c r="AX17" s="19"/>
      <c r="AY17" s="19"/>
      <c r="AZ17" s="19"/>
      <c r="BA17" s="19"/>
      <c r="BB17" s="19"/>
      <c r="BC17" s="19"/>
      <c r="BD17" s="19"/>
      <c r="BE17" s="12"/>
      <c r="BF17" s="45"/>
      <c r="BG17" s="46"/>
      <c r="BH17" s="46"/>
      <c r="BI17" s="46"/>
      <c r="BJ17" s="46"/>
      <c r="BK17" s="47"/>
    </row>
    <row r="18" spans="1:63" s="148" customFormat="1" ht="15" customHeight="1" x14ac:dyDescent="0.25">
      <c r="A18" s="1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2"/>
      <c r="M18" s="174"/>
      <c r="N18" s="174"/>
      <c r="O18" s="178" t="s">
        <v>52</v>
      </c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4"/>
      <c r="AU18" s="11"/>
      <c r="AV18" s="19"/>
      <c r="AW18" s="19"/>
      <c r="AX18" s="19"/>
      <c r="AY18" s="19"/>
      <c r="AZ18" s="19"/>
      <c r="BA18" s="19"/>
      <c r="BB18" s="19"/>
      <c r="BC18" s="19"/>
      <c r="BD18" s="19"/>
      <c r="BE18" s="12"/>
      <c r="BF18" s="45"/>
      <c r="BG18" s="46"/>
      <c r="BH18" s="46"/>
      <c r="BI18" s="46"/>
      <c r="BJ18" s="46"/>
      <c r="BK18" s="47"/>
    </row>
    <row r="19" spans="1:63" s="148" customFormat="1" ht="15" customHeight="1" x14ac:dyDescent="0.25">
      <c r="A19" s="11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2"/>
      <c r="M19" s="174"/>
      <c r="N19" s="174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4"/>
      <c r="AU19" s="11"/>
      <c r="AV19" s="19"/>
      <c r="AW19" s="19"/>
      <c r="AX19" s="19"/>
      <c r="AY19" s="19"/>
      <c r="AZ19" s="19"/>
      <c r="BA19" s="19"/>
      <c r="BB19" s="19"/>
      <c r="BC19" s="19"/>
      <c r="BD19" s="19"/>
      <c r="BE19" s="12"/>
      <c r="BF19" s="45"/>
      <c r="BG19" s="46"/>
      <c r="BH19" s="46"/>
      <c r="BI19" s="46"/>
      <c r="BJ19" s="46"/>
      <c r="BK19" s="47"/>
    </row>
    <row r="20" spans="1:63" s="148" customFormat="1" ht="15" customHeight="1" x14ac:dyDescent="0.25">
      <c r="A20" s="11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2"/>
      <c r="M20" s="174"/>
      <c r="N20" s="174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178"/>
      <c r="AQ20" s="178"/>
      <c r="AR20" s="178"/>
      <c r="AS20" s="178"/>
      <c r="AT20" s="174"/>
      <c r="AU20" s="11"/>
      <c r="AV20" s="19"/>
      <c r="AW20" s="19"/>
      <c r="AX20" s="19"/>
      <c r="AY20" s="19"/>
      <c r="AZ20" s="19"/>
      <c r="BA20" s="19"/>
      <c r="BB20" s="19"/>
      <c r="BC20" s="19"/>
      <c r="BD20" s="19"/>
      <c r="BE20" s="12"/>
      <c r="BF20" s="45"/>
      <c r="BG20" s="46"/>
      <c r="BH20" s="46"/>
      <c r="BI20" s="46"/>
      <c r="BJ20" s="46"/>
      <c r="BK20" s="47"/>
    </row>
    <row r="21" spans="1:63" s="148" customFormat="1" ht="15" customHeight="1" x14ac:dyDescent="0.25">
      <c r="A21" s="11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2"/>
      <c r="M21" s="174"/>
      <c r="N21" s="174"/>
      <c r="O21" s="177" t="s">
        <v>13</v>
      </c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1"/>
      <c r="AV21" s="19"/>
      <c r="AW21" s="19"/>
      <c r="AX21" s="19"/>
      <c r="AY21" s="19"/>
      <c r="AZ21" s="19"/>
      <c r="BA21" s="19"/>
      <c r="BB21" s="19"/>
      <c r="BC21" s="19"/>
      <c r="BD21" s="19"/>
      <c r="BE21" s="12"/>
      <c r="BF21" s="45"/>
      <c r="BG21" s="46"/>
      <c r="BH21" s="46"/>
      <c r="BI21" s="46"/>
      <c r="BJ21" s="46"/>
      <c r="BK21" s="47"/>
    </row>
    <row r="22" spans="1:63" s="148" customFormat="1" ht="15" customHeight="1" x14ac:dyDescent="0.25">
      <c r="A22" s="11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2"/>
      <c r="M22" s="174"/>
      <c r="N22" s="174"/>
      <c r="O22" s="177"/>
      <c r="P22" s="177"/>
      <c r="Q22" s="177"/>
      <c r="R22" s="20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  <c r="AJ22" s="174"/>
      <c r="AK22" s="174"/>
      <c r="AL22" s="174"/>
      <c r="AM22" s="174"/>
      <c r="AN22" s="174"/>
      <c r="AO22" s="174"/>
      <c r="AP22" s="174"/>
      <c r="AQ22" s="174"/>
      <c r="AR22" s="174"/>
      <c r="AS22" s="174"/>
      <c r="AT22" s="174"/>
      <c r="AU22" s="11"/>
      <c r="AV22" s="19"/>
      <c r="AW22" s="19"/>
      <c r="AX22" s="19"/>
      <c r="AY22" s="19"/>
      <c r="AZ22" s="19"/>
      <c r="BA22" s="19"/>
      <c r="BB22" s="19"/>
      <c r="BC22" s="19"/>
      <c r="BD22" s="19"/>
      <c r="BE22" s="12"/>
      <c r="BF22" s="45"/>
      <c r="BG22" s="46"/>
      <c r="BH22" s="46"/>
      <c r="BI22" s="46"/>
      <c r="BJ22" s="46"/>
      <c r="BK22" s="47"/>
    </row>
    <row r="23" spans="1:63" s="148" customFormat="1" ht="15" customHeight="1" x14ac:dyDescent="0.25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5"/>
      <c r="M23" s="179"/>
      <c r="N23" s="180"/>
      <c r="O23" s="180"/>
      <c r="P23" s="180"/>
      <c r="Q23" s="180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181"/>
      <c r="AQ23" s="181"/>
      <c r="AR23" s="181"/>
      <c r="AS23" s="181"/>
      <c r="AT23" s="181"/>
      <c r="AU23" s="13"/>
      <c r="AV23" s="14"/>
      <c r="AW23" s="14"/>
      <c r="AX23" s="14"/>
      <c r="AY23" s="14"/>
      <c r="AZ23" s="14"/>
      <c r="BA23" s="14"/>
      <c r="BB23" s="14"/>
      <c r="BC23" s="14"/>
      <c r="BD23" s="14"/>
      <c r="BE23" s="15"/>
      <c r="BF23" s="48"/>
      <c r="BG23" s="49"/>
      <c r="BH23" s="49"/>
      <c r="BI23" s="49"/>
      <c r="BJ23" s="49"/>
      <c r="BK23" s="50"/>
    </row>
    <row r="24" spans="1:63" ht="15" customHeight="1" x14ac:dyDescent="0.25">
      <c r="A24" s="16"/>
      <c r="BK24" s="6"/>
    </row>
    <row r="25" spans="1:63" ht="15" customHeight="1" x14ac:dyDescent="0.25">
      <c r="A25" s="23"/>
      <c r="BK25" s="6"/>
    </row>
    <row r="26" spans="1:63" ht="15" customHeight="1" x14ac:dyDescent="0.25">
      <c r="A26" s="23"/>
      <c r="BK26" s="6"/>
    </row>
    <row r="27" spans="1:63" ht="15" customHeight="1" x14ac:dyDescent="0.25">
      <c r="A27" s="23"/>
      <c r="BK27" s="6"/>
    </row>
    <row r="28" spans="1:63" s="148" customFormat="1" ht="15" customHeight="1" x14ac:dyDescent="0.25">
      <c r="A28" s="162" t="s">
        <v>3</v>
      </c>
      <c r="B28" s="163"/>
      <c r="C28" s="163"/>
      <c r="D28" s="163"/>
      <c r="E28" s="163"/>
      <c r="F28" s="164"/>
      <c r="G28" s="150" t="s">
        <v>53</v>
      </c>
      <c r="H28" s="150"/>
      <c r="I28" s="150"/>
      <c r="J28" s="150"/>
      <c r="K28" s="150"/>
      <c r="L28" s="150"/>
      <c r="M28" s="165" t="s">
        <v>54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166"/>
      <c r="BI28" s="166"/>
      <c r="BJ28" s="166"/>
      <c r="BK28" s="167"/>
    </row>
    <row r="29" spans="1:63" s="148" customFormat="1" ht="15" customHeight="1" x14ac:dyDescent="0.25">
      <c r="A29" s="168" t="s">
        <v>4</v>
      </c>
      <c r="B29" s="169"/>
      <c r="C29" s="169"/>
      <c r="D29" s="169"/>
      <c r="E29" s="169"/>
      <c r="F29" s="169"/>
      <c r="G29" s="169"/>
      <c r="H29" s="169"/>
      <c r="I29" s="169"/>
      <c r="J29" s="169"/>
      <c r="K29" s="169"/>
      <c r="L29" s="170"/>
      <c r="M29" s="168" t="s">
        <v>5</v>
      </c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  <c r="AA29" s="169"/>
      <c r="AB29" s="169"/>
      <c r="AC29" s="169"/>
      <c r="AD29" s="169"/>
      <c r="AE29" s="169"/>
      <c r="AF29" s="169"/>
      <c r="AG29" s="169"/>
      <c r="AH29" s="169"/>
      <c r="AI29" s="169"/>
      <c r="AJ29" s="169"/>
      <c r="AK29" s="169"/>
      <c r="AL29" s="169"/>
      <c r="AM29" s="169"/>
      <c r="AN29" s="169"/>
      <c r="AO29" s="169"/>
      <c r="AP29" s="169"/>
      <c r="AQ29" s="169"/>
      <c r="AR29" s="169"/>
      <c r="AS29" s="169"/>
      <c r="AT29" s="170"/>
      <c r="AU29" s="168" t="s">
        <v>6</v>
      </c>
      <c r="AV29" s="169"/>
      <c r="AW29" s="169"/>
      <c r="AX29" s="169"/>
      <c r="AY29" s="169"/>
      <c r="AZ29" s="169"/>
      <c r="BA29" s="169"/>
      <c r="BB29" s="169"/>
      <c r="BC29" s="169"/>
      <c r="BD29" s="169"/>
      <c r="BE29" s="169"/>
      <c r="BF29" s="168" t="s">
        <v>7</v>
      </c>
      <c r="BG29" s="169"/>
      <c r="BH29" s="169"/>
      <c r="BI29" s="169"/>
      <c r="BJ29" s="169"/>
      <c r="BK29" s="170"/>
    </row>
    <row r="30" spans="1:63" s="148" customFormat="1" ht="15" customHeight="1" x14ac:dyDescent="0.25">
      <c r="A30" s="171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3"/>
      <c r="M30" s="171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3"/>
      <c r="AU30" s="171"/>
      <c r="AV30" s="172"/>
      <c r="AW30" s="172"/>
      <c r="AX30" s="172"/>
      <c r="AY30" s="172"/>
      <c r="AZ30" s="172"/>
      <c r="BA30" s="172"/>
      <c r="BB30" s="172"/>
      <c r="BC30" s="172"/>
      <c r="BD30" s="172"/>
      <c r="BE30" s="172"/>
      <c r="BF30" s="171"/>
      <c r="BG30" s="172"/>
      <c r="BH30" s="172"/>
      <c r="BI30" s="172"/>
      <c r="BJ30" s="172"/>
      <c r="BK30" s="173"/>
    </row>
    <row r="31" spans="1:63" s="148" customFormat="1" ht="15" customHeight="1" x14ac:dyDescent="0.25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10"/>
      <c r="M31" s="174"/>
      <c r="N31" s="174"/>
      <c r="O31" s="174"/>
      <c r="P31" s="174"/>
      <c r="Q31" s="174"/>
      <c r="R31" s="175"/>
      <c r="S31" s="175"/>
      <c r="T31" s="175"/>
      <c r="U31" s="175"/>
      <c r="V31" s="175"/>
      <c r="W31" s="175"/>
      <c r="X31" s="175"/>
      <c r="Y31" s="175"/>
      <c r="Z31" s="175"/>
      <c r="AA31" s="175"/>
      <c r="AB31" s="175"/>
      <c r="AC31" s="175"/>
      <c r="AD31" s="175"/>
      <c r="AE31" s="175"/>
      <c r="AF31" s="175"/>
      <c r="AG31" s="175"/>
      <c r="AH31" s="175"/>
      <c r="AI31" s="175"/>
      <c r="AJ31" s="175"/>
      <c r="AK31" s="175"/>
      <c r="AL31" s="175"/>
      <c r="AM31" s="175"/>
      <c r="AN31" s="175"/>
      <c r="AO31" s="175"/>
      <c r="AP31" s="175"/>
      <c r="AQ31" s="175"/>
      <c r="AR31" s="175"/>
      <c r="AS31" s="175"/>
      <c r="AT31" s="175"/>
      <c r="AU31" s="8"/>
      <c r="AV31" s="9"/>
      <c r="AW31" s="9"/>
      <c r="AX31" s="9"/>
      <c r="AY31" s="9"/>
      <c r="AZ31" s="9"/>
      <c r="BA31" s="9"/>
      <c r="BB31" s="9"/>
      <c r="BC31" s="9"/>
      <c r="BD31" s="9"/>
      <c r="BE31" s="10"/>
      <c r="BF31" s="42" t="s">
        <v>78</v>
      </c>
      <c r="BG31" s="43"/>
      <c r="BH31" s="43"/>
      <c r="BI31" s="43"/>
      <c r="BJ31" s="43"/>
      <c r="BK31" s="44"/>
    </row>
    <row r="32" spans="1:63" s="148" customFormat="1" ht="15" customHeight="1" x14ac:dyDescent="0.25">
      <c r="A32" s="11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2"/>
      <c r="M32" s="174"/>
      <c r="N32" s="30" t="s">
        <v>79</v>
      </c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/>
      <c r="AD32" s="174"/>
      <c r="AE32" s="174"/>
      <c r="AF32" s="174"/>
      <c r="AG32" s="174"/>
      <c r="AH32" s="174"/>
      <c r="AI32" s="174"/>
      <c r="AJ32" s="174"/>
      <c r="AK32" s="174"/>
      <c r="AL32" s="174"/>
      <c r="AM32" s="174"/>
      <c r="AN32" s="174"/>
      <c r="AO32" s="174"/>
      <c r="AP32" s="174"/>
      <c r="AQ32" s="174"/>
      <c r="AR32" s="174"/>
      <c r="AS32" s="174"/>
      <c r="AT32" s="174"/>
      <c r="AU32" s="11"/>
      <c r="AV32" s="19"/>
      <c r="AW32" s="19"/>
      <c r="AX32" s="19"/>
      <c r="AY32" s="19"/>
      <c r="AZ32" s="19"/>
      <c r="BA32" s="19"/>
      <c r="BB32" s="19"/>
      <c r="BC32" s="19"/>
      <c r="BD32" s="19"/>
      <c r="BE32" s="12"/>
      <c r="BF32" s="45"/>
      <c r="BG32" s="46"/>
      <c r="BH32" s="46"/>
      <c r="BI32" s="46"/>
      <c r="BJ32" s="46"/>
      <c r="BK32" s="47"/>
    </row>
    <row r="33" spans="1:63" s="148" customFormat="1" ht="15" customHeight="1" x14ac:dyDescent="0.25">
      <c r="A33" s="11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2"/>
      <c r="M33" s="176"/>
      <c r="N33" s="174"/>
      <c r="O33" s="177" t="s">
        <v>39</v>
      </c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  <c r="AH33" s="177"/>
      <c r="AI33" s="177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1"/>
      <c r="AV33" s="19"/>
      <c r="AW33" s="19"/>
      <c r="AX33" s="19"/>
      <c r="AY33" s="19"/>
      <c r="AZ33" s="19"/>
      <c r="BA33" s="19"/>
      <c r="BB33" s="19"/>
      <c r="BC33" s="19"/>
      <c r="BD33" s="19"/>
      <c r="BE33" s="12"/>
      <c r="BF33" s="45"/>
      <c r="BG33" s="46"/>
      <c r="BH33" s="46"/>
      <c r="BI33" s="46"/>
      <c r="BJ33" s="46"/>
      <c r="BK33" s="47"/>
    </row>
    <row r="34" spans="1:63" s="148" customFormat="1" ht="15" customHeight="1" x14ac:dyDescent="0.25">
      <c r="A34" s="11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2"/>
      <c r="M34" s="174"/>
      <c r="O34" s="177" t="s">
        <v>40</v>
      </c>
      <c r="P34" s="177"/>
      <c r="Q34" s="177"/>
      <c r="R34" s="177"/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  <c r="AH34" s="177"/>
      <c r="AI34" s="177"/>
      <c r="AJ34" s="174"/>
      <c r="AK34" s="174"/>
      <c r="AL34" s="174"/>
      <c r="AM34" s="174"/>
      <c r="AN34" s="174"/>
      <c r="AO34" s="174"/>
      <c r="AP34" s="174"/>
      <c r="AQ34" s="174"/>
      <c r="AR34" s="174"/>
      <c r="AS34" s="174"/>
      <c r="AT34" s="174"/>
      <c r="AU34" s="11"/>
      <c r="AV34" s="19"/>
      <c r="AW34" s="19"/>
      <c r="AX34" s="19"/>
      <c r="AY34" s="19"/>
      <c r="AZ34" s="19"/>
      <c r="BA34" s="19"/>
      <c r="BB34" s="19"/>
      <c r="BC34" s="19"/>
      <c r="BD34" s="19"/>
      <c r="BE34" s="12"/>
      <c r="BF34" s="45"/>
      <c r="BG34" s="46"/>
      <c r="BH34" s="46"/>
      <c r="BI34" s="46"/>
      <c r="BJ34" s="46"/>
      <c r="BK34" s="47"/>
    </row>
    <row r="35" spans="1:63" s="148" customFormat="1" ht="15" customHeight="1" x14ac:dyDescent="0.25">
      <c r="A35" s="11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2"/>
      <c r="M35" s="174"/>
      <c r="N35" s="29" t="s">
        <v>80</v>
      </c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77"/>
      <c r="AI35" s="177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1"/>
      <c r="AV35" s="19"/>
      <c r="AW35" s="19"/>
      <c r="AX35" s="19"/>
      <c r="AY35" s="19"/>
      <c r="AZ35" s="19"/>
      <c r="BA35" s="19"/>
      <c r="BB35" s="19"/>
      <c r="BC35" s="19"/>
      <c r="BD35" s="19"/>
      <c r="BE35" s="12"/>
      <c r="BF35" s="45"/>
      <c r="BG35" s="46"/>
      <c r="BH35" s="46"/>
      <c r="BI35" s="46"/>
      <c r="BJ35" s="46"/>
      <c r="BK35" s="47"/>
    </row>
    <row r="36" spans="1:63" s="148" customFormat="1" ht="15" customHeight="1" x14ac:dyDescent="0.25">
      <c r="A36" s="11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2"/>
      <c r="M36" s="174"/>
      <c r="N36" s="174"/>
      <c r="O36" s="174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  <c r="AH36" s="177"/>
      <c r="AI36" s="177"/>
      <c r="AJ36" s="174"/>
      <c r="AK36" s="174"/>
      <c r="AL36" s="174"/>
      <c r="AM36" s="174"/>
      <c r="AN36" s="174"/>
      <c r="AO36" s="174"/>
      <c r="AP36" s="174"/>
      <c r="AQ36" s="174"/>
      <c r="AR36" s="174"/>
      <c r="AS36" s="174"/>
      <c r="AT36" s="174"/>
      <c r="AU36" s="11"/>
      <c r="AV36" s="19"/>
      <c r="AW36" s="19"/>
      <c r="AX36" s="19"/>
      <c r="AY36" s="19"/>
      <c r="AZ36" s="19"/>
      <c r="BA36" s="19"/>
      <c r="BB36" s="19"/>
      <c r="BC36" s="19"/>
      <c r="BD36" s="19"/>
      <c r="BE36" s="12"/>
      <c r="BF36" s="45"/>
      <c r="BG36" s="46"/>
      <c r="BH36" s="46"/>
      <c r="BI36" s="46"/>
      <c r="BJ36" s="46"/>
      <c r="BK36" s="47"/>
    </row>
    <row r="37" spans="1:63" s="148" customFormat="1" ht="15" customHeight="1" x14ac:dyDescent="0.25">
      <c r="A37" s="11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2"/>
      <c r="M37" s="176"/>
      <c r="N37" s="174"/>
      <c r="O37" s="177" t="s">
        <v>41</v>
      </c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4"/>
      <c r="AK37" s="174"/>
      <c r="AL37" s="174"/>
      <c r="AM37" s="174"/>
      <c r="AN37" s="174"/>
      <c r="AO37" s="174"/>
      <c r="AP37" s="174"/>
      <c r="AQ37" s="174"/>
      <c r="AR37" s="174"/>
      <c r="AS37" s="174"/>
      <c r="AT37" s="174"/>
      <c r="AU37" s="11"/>
      <c r="AV37" s="19"/>
      <c r="AW37" s="19"/>
      <c r="AX37" s="19"/>
      <c r="AY37" s="19"/>
      <c r="AZ37" s="19"/>
      <c r="BA37" s="19"/>
      <c r="BB37" s="19"/>
      <c r="BC37" s="19"/>
      <c r="BD37" s="19"/>
      <c r="BE37" s="12"/>
      <c r="BF37" s="45"/>
      <c r="BG37" s="46"/>
      <c r="BH37" s="46"/>
      <c r="BI37" s="46"/>
      <c r="BJ37" s="46"/>
      <c r="BK37" s="47"/>
    </row>
    <row r="38" spans="1:63" s="148" customFormat="1" ht="15" customHeight="1" x14ac:dyDescent="0.25">
      <c r="A38" s="11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2"/>
      <c r="M38" s="174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4"/>
      <c r="AK38" s="174"/>
      <c r="AL38" s="174"/>
      <c r="AM38" s="174"/>
      <c r="AN38" s="174"/>
      <c r="AO38" s="174"/>
      <c r="AP38" s="174"/>
      <c r="AQ38" s="174"/>
      <c r="AR38" s="174"/>
      <c r="AS38" s="174"/>
      <c r="AT38" s="174"/>
      <c r="AU38" s="11"/>
      <c r="AV38" s="19"/>
      <c r="AW38" s="19"/>
      <c r="AX38" s="19"/>
      <c r="AY38" s="19"/>
      <c r="AZ38" s="19"/>
      <c r="BA38" s="19"/>
      <c r="BB38" s="19"/>
      <c r="BC38" s="19"/>
      <c r="BD38" s="19"/>
      <c r="BE38" s="12"/>
      <c r="BF38" s="45"/>
      <c r="BG38" s="46"/>
      <c r="BH38" s="46"/>
      <c r="BI38" s="46"/>
      <c r="BJ38" s="46"/>
      <c r="BK38" s="47"/>
    </row>
    <row r="39" spans="1:63" s="148" customFormat="1" ht="15" customHeight="1" x14ac:dyDescent="0.25">
      <c r="A39" s="11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2"/>
      <c r="M39" s="176"/>
      <c r="N39" s="174"/>
      <c r="O39" s="24" t="s">
        <v>20</v>
      </c>
      <c r="P39" s="25"/>
      <c r="Q39" s="25"/>
      <c r="R39" s="25"/>
      <c r="S39" s="25"/>
      <c r="T39" s="25"/>
      <c r="U39" s="25"/>
      <c r="V39" s="24" t="s">
        <v>21</v>
      </c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6"/>
      <c r="AM39" s="174"/>
      <c r="AN39" s="174"/>
      <c r="AO39" s="174"/>
      <c r="AP39" s="174"/>
      <c r="AQ39" s="174"/>
      <c r="AR39" s="174"/>
      <c r="AS39" s="174"/>
      <c r="AT39" s="174"/>
      <c r="AU39" s="11"/>
      <c r="AV39" s="19"/>
      <c r="AW39" s="19"/>
      <c r="AX39" s="19"/>
      <c r="AY39" s="19"/>
      <c r="AZ39" s="19"/>
      <c r="BA39" s="19"/>
      <c r="BB39" s="19"/>
      <c r="BC39" s="19"/>
      <c r="BD39" s="19"/>
      <c r="BE39" s="12"/>
      <c r="BF39" s="45"/>
      <c r="BG39" s="46"/>
      <c r="BH39" s="46"/>
      <c r="BI39" s="46"/>
      <c r="BJ39" s="46"/>
      <c r="BK39" s="47"/>
    </row>
    <row r="40" spans="1:63" s="148" customFormat="1" ht="15" customHeight="1" x14ac:dyDescent="0.25">
      <c r="A40" s="11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2"/>
      <c r="M40" s="174"/>
      <c r="O40" s="182" t="s">
        <v>42</v>
      </c>
      <c r="P40" s="183"/>
      <c r="Q40" s="183"/>
      <c r="R40" s="183"/>
      <c r="S40" s="183"/>
      <c r="T40" s="183"/>
      <c r="U40" s="183"/>
      <c r="V40" s="184" t="s">
        <v>43</v>
      </c>
      <c r="W40" s="185"/>
      <c r="X40" s="185"/>
      <c r="Y40" s="185"/>
      <c r="Z40" s="185"/>
      <c r="AA40" s="185"/>
      <c r="AB40" s="185"/>
      <c r="AC40" s="185"/>
      <c r="AD40" s="185"/>
      <c r="AE40" s="185"/>
      <c r="AF40" s="185"/>
      <c r="AG40" s="185"/>
      <c r="AH40" s="185"/>
      <c r="AI40" s="185"/>
      <c r="AJ40" s="185"/>
      <c r="AK40" s="185"/>
      <c r="AL40" s="186"/>
      <c r="AM40" s="174"/>
      <c r="AN40" s="174"/>
      <c r="AO40" s="174"/>
      <c r="AP40" s="174"/>
      <c r="AQ40" s="174"/>
      <c r="AR40" s="174"/>
      <c r="AS40" s="174"/>
      <c r="AT40" s="174"/>
      <c r="AU40" s="11"/>
      <c r="AV40" s="19"/>
      <c r="AW40" s="19"/>
      <c r="AX40" s="19"/>
      <c r="AY40" s="19"/>
      <c r="AZ40" s="19"/>
      <c r="BA40" s="19"/>
      <c r="BB40" s="19"/>
      <c r="BC40" s="19"/>
      <c r="BD40" s="19"/>
      <c r="BE40" s="12"/>
      <c r="BF40" s="45"/>
      <c r="BG40" s="46"/>
      <c r="BH40" s="46"/>
      <c r="BI40" s="46"/>
      <c r="BJ40" s="46"/>
      <c r="BK40" s="47"/>
    </row>
    <row r="41" spans="1:63" s="148" customFormat="1" ht="15" customHeight="1" x14ac:dyDescent="0.25">
      <c r="A41" s="11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2"/>
      <c r="M41" s="174"/>
      <c r="N41" s="174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  <c r="AH41" s="177"/>
      <c r="AI41" s="177"/>
      <c r="AJ41" s="174"/>
      <c r="AK41" s="174"/>
      <c r="AL41" s="174"/>
      <c r="AM41" s="174"/>
      <c r="AN41" s="174"/>
      <c r="AO41" s="174"/>
      <c r="AP41" s="174"/>
      <c r="AQ41" s="174"/>
      <c r="AR41" s="174"/>
      <c r="AS41" s="174"/>
      <c r="AT41" s="174"/>
      <c r="AU41" s="11"/>
      <c r="AV41" s="19"/>
      <c r="AW41" s="19"/>
      <c r="AX41" s="19"/>
      <c r="AY41" s="19"/>
      <c r="AZ41" s="19"/>
      <c r="BA41" s="19"/>
      <c r="BB41" s="19"/>
      <c r="BC41" s="19"/>
      <c r="BD41" s="19"/>
      <c r="BE41" s="12"/>
      <c r="BF41" s="45"/>
      <c r="BG41" s="46"/>
      <c r="BH41" s="46"/>
      <c r="BI41" s="46"/>
      <c r="BJ41" s="46"/>
      <c r="BK41" s="47"/>
    </row>
    <row r="42" spans="1:63" s="148" customFormat="1" ht="15" customHeight="1" x14ac:dyDescent="0.25">
      <c r="A42" s="11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2"/>
      <c r="M42" s="174"/>
      <c r="N42" s="174"/>
      <c r="O42" s="174" t="s">
        <v>29</v>
      </c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  <c r="AH42" s="177"/>
      <c r="AI42" s="177"/>
      <c r="AJ42" s="174"/>
      <c r="AK42" s="174"/>
      <c r="AL42" s="174"/>
      <c r="AM42" s="174"/>
      <c r="AN42" s="174"/>
      <c r="AO42" s="174"/>
      <c r="AP42" s="174"/>
      <c r="AQ42" s="174"/>
      <c r="AR42" s="174"/>
      <c r="AS42" s="174"/>
      <c r="AT42" s="174"/>
      <c r="AU42" s="11"/>
      <c r="AV42" s="19"/>
      <c r="AW42" s="19"/>
      <c r="AX42" s="19"/>
      <c r="AY42" s="19"/>
      <c r="AZ42" s="19"/>
      <c r="BA42" s="19"/>
      <c r="BB42" s="19"/>
      <c r="BC42" s="19"/>
      <c r="BD42" s="19"/>
      <c r="BE42" s="12"/>
      <c r="BF42" s="45"/>
      <c r="BG42" s="46"/>
      <c r="BH42" s="46"/>
      <c r="BI42" s="46"/>
      <c r="BJ42" s="46"/>
      <c r="BK42" s="47"/>
    </row>
    <row r="43" spans="1:63" s="148" customFormat="1" ht="15" customHeight="1" x14ac:dyDescent="0.25">
      <c r="A43" s="11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2"/>
      <c r="M43" s="174"/>
      <c r="N43" s="174"/>
      <c r="O43" s="177" t="s">
        <v>30</v>
      </c>
      <c r="P43" s="174"/>
      <c r="Q43" s="174"/>
      <c r="R43" s="174"/>
      <c r="S43" s="174"/>
      <c r="T43" s="174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  <c r="AH43" s="177"/>
      <c r="AI43" s="177"/>
      <c r="AJ43" s="174"/>
      <c r="AK43" s="174"/>
      <c r="AL43" s="174"/>
      <c r="AM43" s="174"/>
      <c r="AN43" s="174"/>
      <c r="AO43" s="174"/>
      <c r="AP43" s="174"/>
      <c r="AQ43" s="174"/>
      <c r="AR43" s="174"/>
      <c r="AS43" s="174"/>
      <c r="AT43" s="174"/>
      <c r="AU43" s="11"/>
      <c r="AV43" s="19"/>
      <c r="AW43" s="19"/>
      <c r="AX43" s="19"/>
      <c r="AY43" s="19"/>
      <c r="AZ43" s="19"/>
      <c r="BA43" s="19"/>
      <c r="BB43" s="19"/>
      <c r="BC43" s="19"/>
      <c r="BD43" s="19"/>
      <c r="BE43" s="12"/>
      <c r="BF43" s="45"/>
      <c r="BG43" s="46"/>
      <c r="BH43" s="46"/>
      <c r="BI43" s="46"/>
      <c r="BJ43" s="46"/>
      <c r="BK43" s="47"/>
    </row>
    <row r="44" spans="1:63" s="148" customFormat="1" ht="15" customHeight="1" x14ac:dyDescent="0.25">
      <c r="A44" s="11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2"/>
      <c r="M44" s="174"/>
      <c r="N44" s="174"/>
      <c r="O44" s="174"/>
      <c r="P44" s="24" t="s">
        <v>31</v>
      </c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6"/>
      <c r="AM44" s="174"/>
      <c r="AN44" s="174"/>
      <c r="AO44" s="174"/>
      <c r="AP44" s="174"/>
      <c r="AQ44" s="174"/>
      <c r="AR44" s="174"/>
      <c r="AS44" s="174"/>
      <c r="AT44" s="174"/>
      <c r="AU44" s="11"/>
      <c r="AV44" s="19"/>
      <c r="AW44" s="19"/>
      <c r="AX44" s="19"/>
      <c r="AY44" s="19"/>
      <c r="AZ44" s="19"/>
      <c r="BA44" s="19"/>
      <c r="BB44" s="19"/>
      <c r="BC44" s="19"/>
      <c r="BD44" s="19"/>
      <c r="BE44" s="12"/>
      <c r="BF44" s="45"/>
      <c r="BG44" s="46"/>
      <c r="BH44" s="46"/>
      <c r="BI44" s="46"/>
      <c r="BJ44" s="46"/>
      <c r="BK44" s="47"/>
    </row>
    <row r="45" spans="1:63" s="148" customFormat="1" ht="15" customHeight="1" x14ac:dyDescent="0.25">
      <c r="A45" s="11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2"/>
      <c r="M45" s="174"/>
      <c r="N45" s="174"/>
      <c r="O45" s="174"/>
      <c r="P45" s="187" t="s">
        <v>35</v>
      </c>
      <c r="Q45" s="175"/>
      <c r="R45" s="175"/>
      <c r="S45" s="175"/>
      <c r="T45" s="175"/>
      <c r="U45" s="188"/>
      <c r="V45" s="175"/>
      <c r="W45" s="175"/>
      <c r="X45" s="175"/>
      <c r="Y45" s="175"/>
      <c r="Z45" s="175"/>
      <c r="AA45" s="187" t="s">
        <v>33</v>
      </c>
      <c r="AB45" s="175"/>
      <c r="AC45" s="175"/>
      <c r="AD45" s="175"/>
      <c r="AE45" s="175"/>
      <c r="AF45" s="175"/>
      <c r="AG45" s="175"/>
      <c r="AH45" s="175"/>
      <c r="AI45" s="175"/>
      <c r="AJ45" s="175"/>
      <c r="AK45" s="175"/>
      <c r="AL45" s="189"/>
      <c r="AM45" s="174"/>
      <c r="AN45" s="174"/>
      <c r="AO45" s="174"/>
      <c r="AP45" s="174"/>
      <c r="AQ45" s="174"/>
      <c r="AR45" s="174"/>
      <c r="AS45" s="174"/>
      <c r="AT45" s="174"/>
      <c r="AU45" s="11"/>
      <c r="AV45" s="19"/>
      <c r="AW45" s="19"/>
      <c r="AX45" s="19"/>
      <c r="AY45" s="19"/>
      <c r="AZ45" s="19"/>
      <c r="BA45" s="19"/>
      <c r="BB45" s="19"/>
      <c r="BC45" s="19"/>
      <c r="BD45" s="19"/>
      <c r="BE45" s="12"/>
      <c r="BF45" s="45"/>
      <c r="BG45" s="46"/>
      <c r="BH45" s="46"/>
      <c r="BI45" s="46"/>
      <c r="BJ45" s="46"/>
      <c r="BK45" s="47"/>
    </row>
    <row r="46" spans="1:63" s="148" customFormat="1" ht="15" customHeight="1" x14ac:dyDescent="0.25">
      <c r="A46" s="11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2"/>
      <c r="M46" s="174"/>
      <c r="N46" s="174"/>
      <c r="O46" s="174"/>
      <c r="P46" s="187" t="s">
        <v>36</v>
      </c>
      <c r="Q46" s="175"/>
      <c r="R46" s="175"/>
      <c r="S46" s="175"/>
      <c r="T46" s="175"/>
      <c r="U46" s="190"/>
      <c r="V46" s="175"/>
      <c r="W46" s="175"/>
      <c r="X46" s="175"/>
      <c r="Y46" s="175"/>
      <c r="Z46" s="175"/>
      <c r="AA46" s="191" t="s">
        <v>34</v>
      </c>
      <c r="AB46" s="175"/>
      <c r="AC46" s="175"/>
      <c r="AD46" s="175"/>
      <c r="AE46" s="175"/>
      <c r="AF46" s="175"/>
      <c r="AG46" s="175"/>
      <c r="AH46" s="175"/>
      <c r="AI46" s="175"/>
      <c r="AJ46" s="175"/>
      <c r="AK46" s="175"/>
      <c r="AL46" s="189"/>
      <c r="AM46" s="174"/>
      <c r="AN46" s="174"/>
      <c r="AO46" s="174"/>
      <c r="AP46" s="174"/>
      <c r="AQ46" s="174"/>
      <c r="AR46" s="174"/>
      <c r="AS46" s="174"/>
      <c r="AT46" s="174"/>
      <c r="AU46" s="11"/>
      <c r="AV46" s="19"/>
      <c r="AW46" s="19"/>
      <c r="AX46" s="19"/>
      <c r="AY46" s="19"/>
      <c r="AZ46" s="19"/>
      <c r="BA46" s="19"/>
      <c r="BB46" s="19"/>
      <c r="BC46" s="19"/>
      <c r="BD46" s="19"/>
      <c r="BE46" s="12"/>
      <c r="BF46" s="45"/>
      <c r="BG46" s="46"/>
      <c r="BH46" s="46"/>
      <c r="BI46" s="46"/>
      <c r="BJ46" s="46"/>
      <c r="BK46" s="47"/>
    </row>
    <row r="47" spans="1:63" s="148" customFormat="1" ht="15" customHeight="1" x14ac:dyDescent="0.25">
      <c r="A47" s="11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2"/>
      <c r="M47" s="174"/>
      <c r="N47" s="174"/>
      <c r="O47" s="174"/>
      <c r="P47" s="192" t="s">
        <v>37</v>
      </c>
      <c r="Q47" s="165"/>
      <c r="R47" s="165"/>
      <c r="S47" s="165"/>
      <c r="T47" s="165"/>
      <c r="U47" s="193"/>
      <c r="V47" s="165"/>
      <c r="W47" s="165"/>
      <c r="X47" s="165"/>
      <c r="Y47" s="165"/>
      <c r="Z47" s="165"/>
      <c r="AA47" s="194" t="s">
        <v>44</v>
      </c>
      <c r="AB47" s="165"/>
      <c r="AC47" s="165"/>
      <c r="AD47" s="165"/>
      <c r="AE47" s="165"/>
      <c r="AF47" s="165"/>
      <c r="AG47" s="165"/>
      <c r="AH47" s="165"/>
      <c r="AI47" s="165"/>
      <c r="AJ47" s="165"/>
      <c r="AK47" s="165"/>
      <c r="AL47" s="195"/>
      <c r="AM47" s="174"/>
      <c r="AN47" s="174"/>
      <c r="AO47" s="174"/>
      <c r="AP47" s="174"/>
      <c r="AQ47" s="174"/>
      <c r="AR47" s="174"/>
      <c r="AS47" s="174"/>
      <c r="AT47" s="174"/>
      <c r="AU47" s="11"/>
      <c r="AV47" s="19"/>
      <c r="AW47" s="19"/>
      <c r="AX47" s="19"/>
      <c r="AY47" s="19"/>
      <c r="AZ47" s="19"/>
      <c r="BA47" s="19"/>
      <c r="BB47" s="19"/>
      <c r="BC47" s="19"/>
      <c r="BD47" s="19"/>
      <c r="BE47" s="12"/>
      <c r="BF47" s="45"/>
      <c r="BG47" s="46"/>
      <c r="BH47" s="46"/>
      <c r="BI47" s="46"/>
      <c r="BJ47" s="46"/>
      <c r="BK47" s="47"/>
    </row>
    <row r="48" spans="1:63" s="148" customFormat="1" ht="15" customHeight="1" x14ac:dyDescent="0.25">
      <c r="A48" s="11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2"/>
      <c r="M48" s="174"/>
      <c r="N48" s="174"/>
      <c r="O48" s="174"/>
      <c r="P48" s="177"/>
      <c r="Q48" s="177"/>
      <c r="R48" s="174"/>
      <c r="S48" s="174"/>
      <c r="T48" s="174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  <c r="AH48" s="177"/>
      <c r="AI48" s="177"/>
      <c r="AJ48" s="174"/>
      <c r="AK48" s="174"/>
      <c r="AL48" s="174"/>
      <c r="AM48" s="174"/>
      <c r="AN48" s="174"/>
      <c r="AO48" s="174"/>
      <c r="AP48" s="174"/>
      <c r="AQ48" s="174"/>
      <c r="AR48" s="174"/>
      <c r="AS48" s="174"/>
      <c r="AT48" s="174"/>
      <c r="AU48" s="11"/>
      <c r="AV48" s="19"/>
      <c r="AW48" s="19"/>
      <c r="AX48" s="19"/>
      <c r="AY48" s="19"/>
      <c r="AZ48" s="19"/>
      <c r="BA48" s="19"/>
      <c r="BB48" s="19"/>
      <c r="BC48" s="19"/>
      <c r="BD48" s="19"/>
      <c r="BE48" s="12"/>
      <c r="BF48" s="45"/>
      <c r="BG48" s="46"/>
      <c r="BH48" s="46"/>
      <c r="BI48" s="46"/>
      <c r="BJ48" s="46"/>
      <c r="BK48" s="47"/>
    </row>
    <row r="49" spans="1:63" s="148" customFormat="1" ht="15" customHeight="1" x14ac:dyDescent="0.25">
      <c r="A49" s="11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2"/>
      <c r="M49" s="174"/>
      <c r="N49" s="174"/>
      <c r="O49" s="174"/>
      <c r="P49" s="174" t="s">
        <v>45</v>
      </c>
      <c r="Q49" s="174"/>
      <c r="R49" s="174"/>
      <c r="S49" s="174"/>
      <c r="T49" s="174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  <c r="AH49" s="177"/>
      <c r="AI49" s="177"/>
      <c r="AJ49" s="174"/>
      <c r="AK49" s="174"/>
      <c r="AL49" s="174"/>
      <c r="AM49" s="174"/>
      <c r="AN49" s="174"/>
      <c r="AO49" s="174"/>
      <c r="AP49" s="174"/>
      <c r="AQ49" s="174"/>
      <c r="AR49" s="174"/>
      <c r="AS49" s="174"/>
      <c r="AT49" s="174"/>
      <c r="AU49" s="11"/>
      <c r="AV49" s="19"/>
      <c r="AW49" s="19"/>
      <c r="AX49" s="19"/>
      <c r="AY49" s="19"/>
      <c r="AZ49" s="19"/>
      <c r="BA49" s="19"/>
      <c r="BB49" s="19"/>
      <c r="BC49" s="19"/>
      <c r="BD49" s="19"/>
      <c r="BE49" s="12"/>
      <c r="BF49" s="45"/>
      <c r="BG49" s="46"/>
      <c r="BH49" s="46"/>
      <c r="BI49" s="46"/>
      <c r="BJ49" s="46"/>
      <c r="BK49" s="47"/>
    </row>
    <row r="50" spans="1:63" s="148" customFormat="1" ht="15" customHeight="1" x14ac:dyDescent="0.25">
      <c r="A50" s="11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2"/>
      <c r="M50" s="174"/>
      <c r="N50" s="174"/>
      <c r="O50" s="174"/>
      <c r="P50" s="174"/>
      <c r="Q50" s="174"/>
      <c r="R50" s="174"/>
      <c r="S50" s="174"/>
      <c r="T50" s="28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  <c r="AH50" s="177"/>
      <c r="AI50" s="177"/>
      <c r="AJ50" s="174"/>
      <c r="AK50" s="174"/>
      <c r="AL50" s="174"/>
      <c r="AM50" s="174"/>
      <c r="AN50" s="174"/>
      <c r="AO50" s="174"/>
      <c r="AP50" s="174"/>
      <c r="AQ50" s="174"/>
      <c r="AR50" s="174"/>
      <c r="AS50" s="174"/>
      <c r="AT50" s="174"/>
      <c r="AU50" s="11"/>
      <c r="AV50" s="19"/>
      <c r="AW50" s="19"/>
      <c r="AX50" s="19"/>
      <c r="AY50" s="19"/>
      <c r="AZ50" s="19"/>
      <c r="BA50" s="19"/>
      <c r="BB50" s="19"/>
      <c r="BC50" s="19"/>
      <c r="BD50" s="19"/>
      <c r="BE50" s="12"/>
      <c r="BF50" s="45"/>
      <c r="BG50" s="46"/>
      <c r="BH50" s="46"/>
      <c r="BI50" s="46"/>
      <c r="BJ50" s="46"/>
      <c r="BK50" s="47"/>
    </row>
    <row r="51" spans="1:63" s="148" customFormat="1" ht="15" customHeight="1" x14ac:dyDescent="0.25">
      <c r="A51" s="11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2"/>
      <c r="M51" s="174"/>
      <c r="N51" s="174"/>
      <c r="O51" s="174"/>
      <c r="P51" s="196" t="s">
        <v>46</v>
      </c>
      <c r="Q51" s="196"/>
      <c r="R51" s="196"/>
      <c r="S51" s="196"/>
      <c r="T51" s="196"/>
      <c r="U51" s="196"/>
      <c r="V51" s="196"/>
      <c r="W51" s="196"/>
      <c r="X51" s="196"/>
      <c r="Y51" s="196"/>
      <c r="Z51" s="196"/>
      <c r="AA51" s="196"/>
      <c r="AB51" s="196"/>
      <c r="AC51" s="196"/>
      <c r="AD51" s="196"/>
      <c r="AE51" s="196"/>
      <c r="AF51" s="196"/>
      <c r="AG51" s="196"/>
      <c r="AH51" s="196"/>
      <c r="AI51" s="196"/>
      <c r="AJ51" s="196"/>
      <c r="AK51" s="196"/>
      <c r="AL51" s="196"/>
      <c r="AM51" s="196"/>
      <c r="AN51" s="196"/>
      <c r="AO51" s="196"/>
      <c r="AP51" s="196"/>
      <c r="AQ51" s="196"/>
      <c r="AR51" s="196"/>
      <c r="AS51" s="196"/>
      <c r="AT51" s="197"/>
      <c r="AU51" s="11"/>
      <c r="AV51" s="19"/>
      <c r="AW51" s="19"/>
      <c r="AX51" s="19"/>
      <c r="AY51" s="19"/>
      <c r="AZ51" s="19"/>
      <c r="BA51" s="19"/>
      <c r="BB51" s="19"/>
      <c r="BC51" s="19"/>
      <c r="BD51" s="19"/>
      <c r="BE51" s="12"/>
      <c r="BF51" s="45"/>
      <c r="BG51" s="46"/>
      <c r="BH51" s="46"/>
      <c r="BI51" s="46"/>
      <c r="BJ51" s="46"/>
      <c r="BK51" s="47"/>
    </row>
    <row r="52" spans="1:63" s="148" customFormat="1" ht="15" customHeight="1" x14ac:dyDescent="0.25">
      <c r="A52" s="11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2"/>
      <c r="M52" s="174"/>
      <c r="N52" s="174"/>
      <c r="O52" s="177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  <c r="AA52" s="196"/>
      <c r="AB52" s="196"/>
      <c r="AC52" s="196"/>
      <c r="AD52" s="196"/>
      <c r="AE52" s="196"/>
      <c r="AF52" s="196"/>
      <c r="AG52" s="196"/>
      <c r="AH52" s="196"/>
      <c r="AI52" s="196"/>
      <c r="AJ52" s="196"/>
      <c r="AK52" s="196"/>
      <c r="AL52" s="196"/>
      <c r="AM52" s="196"/>
      <c r="AN52" s="196"/>
      <c r="AO52" s="196"/>
      <c r="AP52" s="196"/>
      <c r="AQ52" s="196"/>
      <c r="AR52" s="196"/>
      <c r="AS52" s="196"/>
      <c r="AT52" s="197"/>
      <c r="AU52" s="11"/>
      <c r="AV52" s="19"/>
      <c r="AW52" s="19"/>
      <c r="AX52" s="19"/>
      <c r="AY52" s="19"/>
      <c r="AZ52" s="19"/>
      <c r="BA52" s="19"/>
      <c r="BB52" s="19"/>
      <c r="BC52" s="19"/>
      <c r="BD52" s="19"/>
      <c r="BE52" s="12"/>
      <c r="BF52" s="45"/>
      <c r="BG52" s="46"/>
      <c r="BH52" s="46"/>
      <c r="BI52" s="46"/>
      <c r="BJ52" s="46"/>
      <c r="BK52" s="47"/>
    </row>
    <row r="53" spans="1:63" s="148" customFormat="1" ht="15" customHeight="1" x14ac:dyDescent="0.25">
      <c r="A53" s="11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2"/>
      <c r="M53" s="174"/>
      <c r="N53" s="174"/>
      <c r="O53" s="174"/>
      <c r="P53" s="174" t="s">
        <v>81</v>
      </c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  <c r="AH53" s="177"/>
      <c r="AI53" s="177"/>
      <c r="AJ53" s="174"/>
      <c r="AK53" s="174"/>
      <c r="AL53" s="174"/>
      <c r="AM53" s="174"/>
      <c r="AN53" s="174"/>
      <c r="AO53" s="174"/>
      <c r="AP53" s="174"/>
      <c r="AQ53" s="174"/>
      <c r="AR53" s="174"/>
      <c r="AS53" s="174"/>
      <c r="AT53" s="174"/>
      <c r="AU53" s="11"/>
      <c r="AV53" s="19"/>
      <c r="AW53" s="19"/>
      <c r="AX53" s="19"/>
      <c r="AY53" s="19"/>
      <c r="AZ53" s="19"/>
      <c r="BA53" s="19"/>
      <c r="BB53" s="19"/>
      <c r="BC53" s="19"/>
      <c r="BD53" s="19"/>
      <c r="BE53" s="12"/>
      <c r="BF53" s="45"/>
      <c r="BG53" s="46"/>
      <c r="BH53" s="46"/>
      <c r="BI53" s="46"/>
      <c r="BJ53" s="46"/>
      <c r="BK53" s="47"/>
    </row>
    <row r="54" spans="1:63" s="148" customFormat="1" ht="15" customHeight="1" x14ac:dyDescent="0.25">
      <c r="A54" s="11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2"/>
      <c r="M54" s="174"/>
      <c r="N54" s="174"/>
      <c r="O54" s="174"/>
      <c r="P54" s="174"/>
      <c r="Q54" s="174"/>
      <c r="R54" s="174"/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  <c r="AH54" s="177"/>
      <c r="AI54" s="177"/>
      <c r="AJ54" s="174"/>
      <c r="AK54" s="174"/>
      <c r="AL54" s="174"/>
      <c r="AM54" s="174"/>
      <c r="AN54" s="174"/>
      <c r="AO54" s="174"/>
      <c r="AP54" s="174"/>
      <c r="AQ54" s="174"/>
      <c r="AR54" s="174"/>
      <c r="AS54" s="174"/>
      <c r="AT54" s="174"/>
      <c r="AU54" s="11"/>
      <c r="AV54" s="19"/>
      <c r="AW54" s="19"/>
      <c r="AX54" s="19"/>
      <c r="AY54" s="19"/>
      <c r="AZ54" s="19"/>
      <c r="BA54" s="19"/>
      <c r="BB54" s="19"/>
      <c r="BC54" s="19"/>
      <c r="BD54" s="19"/>
      <c r="BE54" s="12"/>
      <c r="BF54" s="45"/>
      <c r="BG54" s="46"/>
      <c r="BH54" s="46"/>
      <c r="BI54" s="46"/>
      <c r="BJ54" s="46"/>
      <c r="BK54" s="47"/>
    </row>
    <row r="55" spans="1:63" s="148" customFormat="1" ht="15" customHeight="1" x14ac:dyDescent="0.25">
      <c r="A55" s="11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2"/>
      <c r="M55" s="174"/>
      <c r="N55" s="174"/>
      <c r="O55" s="174" t="s">
        <v>32</v>
      </c>
      <c r="P55" s="198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  <c r="AH55" s="177"/>
      <c r="AI55" s="177"/>
      <c r="AJ55" s="174"/>
      <c r="AK55" s="174"/>
      <c r="AL55" s="174"/>
      <c r="AM55" s="174"/>
      <c r="AN55" s="174"/>
      <c r="AO55" s="174"/>
      <c r="AP55" s="174"/>
      <c r="AQ55" s="174"/>
      <c r="AR55" s="174"/>
      <c r="AS55" s="174"/>
      <c r="AT55" s="174"/>
      <c r="AU55" s="11"/>
      <c r="AV55" s="19"/>
      <c r="AW55" s="19"/>
      <c r="AX55" s="19"/>
      <c r="AY55" s="19"/>
      <c r="AZ55" s="19"/>
      <c r="BA55" s="19"/>
      <c r="BB55" s="19"/>
      <c r="BC55" s="19"/>
      <c r="BD55" s="19"/>
      <c r="BE55" s="12"/>
      <c r="BF55" s="45"/>
      <c r="BG55" s="46"/>
      <c r="BH55" s="46"/>
      <c r="BI55" s="46"/>
      <c r="BJ55" s="46"/>
      <c r="BK55" s="47"/>
    </row>
    <row r="56" spans="1:63" s="148" customFormat="1" ht="15" customHeight="1" x14ac:dyDescent="0.25">
      <c r="A56" s="11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2"/>
      <c r="M56" s="174"/>
      <c r="N56" s="174"/>
      <c r="O56" s="174"/>
      <c r="P56" s="177" t="s">
        <v>38</v>
      </c>
      <c r="Q56" s="177"/>
      <c r="R56" s="177"/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4"/>
      <c r="AK56" s="174"/>
      <c r="AL56" s="174"/>
      <c r="AM56" s="174"/>
      <c r="AN56" s="174"/>
      <c r="AO56" s="174"/>
      <c r="AP56" s="174"/>
      <c r="AQ56" s="174"/>
      <c r="AR56" s="174"/>
      <c r="AS56" s="174"/>
      <c r="AT56" s="174"/>
      <c r="AU56" s="11"/>
      <c r="AV56" s="19"/>
      <c r="AW56" s="19"/>
      <c r="AX56" s="19"/>
      <c r="AY56" s="19"/>
      <c r="AZ56" s="19"/>
      <c r="BA56" s="19"/>
      <c r="BB56" s="19"/>
      <c r="BC56" s="19"/>
      <c r="BD56" s="19"/>
      <c r="BE56" s="12"/>
      <c r="BF56" s="45"/>
      <c r="BG56" s="46"/>
      <c r="BH56" s="46"/>
      <c r="BI56" s="46"/>
      <c r="BJ56" s="46"/>
      <c r="BK56" s="47"/>
    </row>
    <row r="57" spans="1:63" s="148" customFormat="1" ht="15" customHeight="1" x14ac:dyDescent="0.25">
      <c r="A57" s="11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2"/>
      <c r="M57" s="174"/>
      <c r="N57" s="174"/>
      <c r="O57" s="199"/>
      <c r="P57" s="177"/>
      <c r="Q57" s="177"/>
      <c r="R57" s="177"/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1"/>
      <c r="AV57" s="19"/>
      <c r="AW57" s="19"/>
      <c r="AX57" s="19"/>
      <c r="AY57" s="19"/>
      <c r="AZ57" s="19"/>
      <c r="BA57" s="19"/>
      <c r="BB57" s="19"/>
      <c r="BC57" s="19"/>
      <c r="BD57" s="19"/>
      <c r="BE57" s="12"/>
      <c r="BF57" s="45"/>
      <c r="BG57" s="46"/>
      <c r="BH57" s="46"/>
      <c r="BI57" s="46"/>
      <c r="BJ57" s="46"/>
      <c r="BK57" s="47"/>
    </row>
    <row r="58" spans="1:63" s="148" customFormat="1" ht="15" customHeight="1" x14ac:dyDescent="0.25">
      <c r="A58" s="11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2"/>
      <c r="M58" s="174"/>
      <c r="N58" s="174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77"/>
      <c r="AI58" s="177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1"/>
      <c r="AV58" s="19"/>
      <c r="AW58" s="19"/>
      <c r="AX58" s="19"/>
      <c r="AY58" s="19"/>
      <c r="AZ58" s="19"/>
      <c r="BA58" s="19"/>
      <c r="BB58" s="19"/>
      <c r="BC58" s="19"/>
      <c r="BD58" s="19"/>
      <c r="BE58" s="12"/>
      <c r="BF58" s="45"/>
      <c r="BG58" s="46"/>
      <c r="BH58" s="46"/>
      <c r="BI58" s="46"/>
      <c r="BJ58" s="46"/>
      <c r="BK58" s="47"/>
    </row>
    <row r="59" spans="1:63" s="148" customFormat="1" ht="15" customHeight="1" x14ac:dyDescent="0.25">
      <c r="A59" s="11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2"/>
      <c r="M59" s="174"/>
      <c r="N59" s="174"/>
      <c r="O59" s="177"/>
      <c r="P59" s="177"/>
      <c r="Q59" s="177"/>
      <c r="R59" s="20"/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  <c r="AH59" s="177"/>
      <c r="AI59" s="177"/>
      <c r="AJ59" s="174"/>
      <c r="AK59" s="174"/>
      <c r="AL59" s="174"/>
      <c r="AM59" s="174"/>
      <c r="AN59" s="174"/>
      <c r="AO59" s="174"/>
      <c r="AP59" s="174"/>
      <c r="AQ59" s="174"/>
      <c r="AR59" s="174"/>
      <c r="AS59" s="174"/>
      <c r="AT59" s="174"/>
      <c r="AU59" s="11"/>
      <c r="AV59" s="19"/>
      <c r="AW59" s="19"/>
      <c r="AX59" s="19"/>
      <c r="AY59" s="19"/>
      <c r="AZ59" s="19"/>
      <c r="BA59" s="19"/>
      <c r="BB59" s="19"/>
      <c r="BC59" s="19"/>
      <c r="BD59" s="19"/>
      <c r="BE59" s="12"/>
      <c r="BF59" s="45"/>
      <c r="BG59" s="46"/>
      <c r="BH59" s="46"/>
      <c r="BI59" s="46"/>
      <c r="BJ59" s="46"/>
      <c r="BK59" s="47"/>
    </row>
    <row r="60" spans="1:63" s="148" customFormat="1" ht="15" customHeight="1" x14ac:dyDescent="0.25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5"/>
      <c r="M60" s="179"/>
      <c r="N60" s="180"/>
      <c r="O60" s="180"/>
      <c r="P60" s="180"/>
      <c r="Q60" s="180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181"/>
      <c r="AQ60" s="181"/>
      <c r="AR60" s="181"/>
      <c r="AS60" s="181"/>
      <c r="AT60" s="181"/>
      <c r="AU60" s="13"/>
      <c r="AV60" s="14"/>
      <c r="AW60" s="14"/>
      <c r="AX60" s="14"/>
      <c r="AY60" s="14"/>
      <c r="AZ60" s="14"/>
      <c r="BA60" s="14"/>
      <c r="BB60" s="14"/>
      <c r="BC60" s="14"/>
      <c r="BD60" s="14"/>
      <c r="BE60" s="15"/>
      <c r="BF60" s="48"/>
      <c r="BG60" s="49"/>
      <c r="BH60" s="49"/>
      <c r="BI60" s="49"/>
      <c r="BJ60" s="49"/>
      <c r="BK60" s="50"/>
    </row>
    <row r="61" spans="1:63" ht="15" customHeight="1" x14ac:dyDescent="0.25">
      <c r="A61" s="23"/>
      <c r="BK61" s="6"/>
    </row>
    <row r="62" spans="1:63" ht="15" customHeight="1" x14ac:dyDescent="0.25">
      <c r="A62" s="23"/>
      <c r="BK62" s="6"/>
    </row>
    <row r="63" spans="1:63" ht="15" customHeight="1" x14ac:dyDescent="0.25">
      <c r="A63" s="23"/>
      <c r="BK63" s="6"/>
    </row>
    <row r="64" spans="1:63" ht="15" customHeight="1" x14ac:dyDescent="0.25">
      <c r="A64" s="23"/>
      <c r="BK64" s="6"/>
    </row>
    <row r="65" spans="1:63" ht="15" customHeight="1" x14ac:dyDescent="0.25">
      <c r="A65" s="23"/>
      <c r="BK65" s="6"/>
    </row>
    <row r="66" spans="1:63" ht="15" customHeight="1" x14ac:dyDescent="0.25">
      <c r="A66" s="23"/>
      <c r="BK66" s="6"/>
    </row>
    <row r="67" spans="1:63" ht="15" customHeight="1" x14ac:dyDescent="0.25">
      <c r="A67" s="23"/>
      <c r="BK67" s="6"/>
    </row>
    <row r="68" spans="1:63" ht="15" customHeight="1" x14ac:dyDescent="0.25">
      <c r="A68" s="23"/>
      <c r="BK68" s="6"/>
    </row>
    <row r="69" spans="1:63" s="148" customFormat="1" ht="15" customHeight="1" x14ac:dyDescent="0.25">
      <c r="A69" s="162" t="s">
        <v>3</v>
      </c>
      <c r="B69" s="163"/>
      <c r="C69" s="163"/>
      <c r="D69" s="163"/>
      <c r="E69" s="163"/>
      <c r="F69" s="164"/>
      <c r="G69" s="150" t="s">
        <v>16</v>
      </c>
      <c r="H69" s="150"/>
      <c r="I69" s="150"/>
      <c r="J69" s="150"/>
      <c r="K69" s="150"/>
      <c r="L69" s="150"/>
      <c r="M69" s="165" t="s">
        <v>14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166"/>
      <c r="BI69" s="166"/>
      <c r="BJ69" s="166"/>
      <c r="BK69" s="167"/>
    </row>
    <row r="70" spans="1:63" s="148" customFormat="1" ht="15" customHeight="1" x14ac:dyDescent="0.25">
      <c r="A70" s="168" t="s">
        <v>4</v>
      </c>
      <c r="B70" s="169"/>
      <c r="C70" s="169"/>
      <c r="D70" s="169"/>
      <c r="E70" s="169"/>
      <c r="F70" s="169"/>
      <c r="G70" s="169"/>
      <c r="H70" s="169"/>
      <c r="I70" s="169"/>
      <c r="J70" s="169"/>
      <c r="K70" s="169"/>
      <c r="L70" s="170"/>
      <c r="M70" s="168" t="s">
        <v>5</v>
      </c>
      <c r="N70" s="169"/>
      <c r="O70" s="169"/>
      <c r="P70" s="169"/>
      <c r="Q70" s="169"/>
      <c r="R70" s="169"/>
      <c r="S70" s="169"/>
      <c r="T70" s="169"/>
      <c r="U70" s="169"/>
      <c r="V70" s="169"/>
      <c r="W70" s="169"/>
      <c r="X70" s="169"/>
      <c r="Y70" s="169"/>
      <c r="Z70" s="169"/>
      <c r="AA70" s="169"/>
      <c r="AB70" s="169"/>
      <c r="AC70" s="169"/>
      <c r="AD70" s="169"/>
      <c r="AE70" s="169"/>
      <c r="AF70" s="169"/>
      <c r="AG70" s="169"/>
      <c r="AH70" s="169"/>
      <c r="AI70" s="169"/>
      <c r="AJ70" s="169"/>
      <c r="AK70" s="169"/>
      <c r="AL70" s="169"/>
      <c r="AM70" s="169"/>
      <c r="AN70" s="169"/>
      <c r="AO70" s="169"/>
      <c r="AP70" s="169"/>
      <c r="AQ70" s="169"/>
      <c r="AR70" s="169"/>
      <c r="AS70" s="169"/>
      <c r="AT70" s="170"/>
      <c r="AU70" s="168" t="s">
        <v>6</v>
      </c>
      <c r="AV70" s="169"/>
      <c r="AW70" s="169"/>
      <c r="AX70" s="169"/>
      <c r="AY70" s="169"/>
      <c r="AZ70" s="169"/>
      <c r="BA70" s="169"/>
      <c r="BB70" s="169"/>
      <c r="BC70" s="169"/>
      <c r="BD70" s="169"/>
      <c r="BE70" s="169"/>
      <c r="BF70" s="168" t="s">
        <v>7</v>
      </c>
      <c r="BG70" s="169"/>
      <c r="BH70" s="169"/>
      <c r="BI70" s="169"/>
      <c r="BJ70" s="169"/>
      <c r="BK70" s="170"/>
    </row>
    <row r="71" spans="1:63" s="148" customFormat="1" ht="15" customHeight="1" x14ac:dyDescent="0.25">
      <c r="A71" s="171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3"/>
      <c r="M71" s="171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2"/>
      <c r="AB71" s="172"/>
      <c r="AC71" s="172"/>
      <c r="AD71" s="172"/>
      <c r="AE71" s="172"/>
      <c r="AF71" s="172"/>
      <c r="AG71" s="172"/>
      <c r="AH71" s="172"/>
      <c r="AI71" s="172"/>
      <c r="AJ71" s="172"/>
      <c r="AK71" s="172"/>
      <c r="AL71" s="172"/>
      <c r="AM71" s="172"/>
      <c r="AN71" s="172"/>
      <c r="AO71" s="172"/>
      <c r="AP71" s="172"/>
      <c r="AQ71" s="172"/>
      <c r="AR71" s="172"/>
      <c r="AS71" s="172"/>
      <c r="AT71" s="173"/>
      <c r="AU71" s="171"/>
      <c r="AV71" s="172"/>
      <c r="AW71" s="172"/>
      <c r="AX71" s="172"/>
      <c r="AY71" s="172"/>
      <c r="AZ71" s="172"/>
      <c r="BA71" s="172"/>
      <c r="BB71" s="172"/>
      <c r="BC71" s="172"/>
      <c r="BD71" s="172"/>
      <c r="BE71" s="172"/>
      <c r="BF71" s="171"/>
      <c r="BG71" s="172"/>
      <c r="BH71" s="172"/>
      <c r="BI71" s="172"/>
      <c r="BJ71" s="172"/>
      <c r="BK71" s="173"/>
    </row>
    <row r="72" spans="1:63" s="148" customFormat="1" ht="15" customHeight="1" x14ac:dyDescent="0.25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10"/>
      <c r="M72" s="174"/>
      <c r="N72" s="174"/>
      <c r="O72" s="174"/>
      <c r="P72" s="174"/>
      <c r="Q72" s="174"/>
      <c r="R72" s="175"/>
      <c r="S72" s="175"/>
      <c r="T72" s="175"/>
      <c r="U72" s="175"/>
      <c r="V72" s="175"/>
      <c r="W72" s="175"/>
      <c r="X72" s="175"/>
      <c r="Y72" s="175"/>
      <c r="Z72" s="175"/>
      <c r="AA72" s="175"/>
      <c r="AB72" s="175"/>
      <c r="AC72" s="175"/>
      <c r="AD72" s="175"/>
      <c r="AE72" s="175"/>
      <c r="AF72" s="175"/>
      <c r="AG72" s="175"/>
      <c r="AH72" s="175"/>
      <c r="AI72" s="175"/>
      <c r="AJ72" s="175"/>
      <c r="AK72" s="175"/>
      <c r="AL72" s="175"/>
      <c r="AM72" s="175"/>
      <c r="AN72" s="175"/>
      <c r="AO72" s="175"/>
      <c r="AP72" s="175"/>
      <c r="AQ72" s="175"/>
      <c r="AR72" s="175"/>
      <c r="AS72" s="175"/>
      <c r="AT72" s="175"/>
      <c r="AU72" s="8"/>
      <c r="AV72" s="9"/>
      <c r="AW72" s="9"/>
      <c r="AX72" s="9"/>
      <c r="AY72" s="9"/>
      <c r="AZ72" s="9"/>
      <c r="BA72" s="9"/>
      <c r="BB72" s="9"/>
      <c r="BC72" s="9"/>
      <c r="BD72" s="9"/>
      <c r="BE72" s="10"/>
      <c r="BF72" s="42" t="s">
        <v>12</v>
      </c>
      <c r="BG72" s="43"/>
      <c r="BH72" s="43"/>
      <c r="BI72" s="43"/>
      <c r="BJ72" s="43"/>
      <c r="BK72" s="44"/>
    </row>
    <row r="73" spans="1:63" s="148" customFormat="1" ht="15" customHeight="1" x14ac:dyDescent="0.25">
      <c r="A73" s="11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2"/>
      <c r="M73" s="174"/>
      <c r="N73" s="30" t="s">
        <v>82</v>
      </c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  <c r="AA73" s="174"/>
      <c r="AB73" s="174"/>
      <c r="AC73" s="174"/>
      <c r="AD73" s="174"/>
      <c r="AE73" s="174"/>
      <c r="AF73" s="174"/>
      <c r="AG73" s="174"/>
      <c r="AH73" s="174"/>
      <c r="AI73" s="174"/>
      <c r="AJ73" s="174"/>
      <c r="AK73" s="174"/>
      <c r="AL73" s="174"/>
      <c r="AM73" s="174"/>
      <c r="AN73" s="174"/>
      <c r="AO73" s="174"/>
      <c r="AP73" s="174"/>
      <c r="AQ73" s="174"/>
      <c r="AR73" s="174"/>
      <c r="AS73" s="174"/>
      <c r="AT73" s="174"/>
      <c r="AU73" s="11"/>
      <c r="AV73" s="19"/>
      <c r="AW73" s="19"/>
      <c r="AX73" s="19"/>
      <c r="AY73" s="19"/>
      <c r="AZ73" s="19"/>
      <c r="BA73" s="19"/>
      <c r="BB73" s="19"/>
      <c r="BC73" s="19"/>
      <c r="BD73" s="19"/>
      <c r="BE73" s="12"/>
      <c r="BF73" s="45"/>
      <c r="BG73" s="46"/>
      <c r="BH73" s="46"/>
      <c r="BI73" s="46"/>
      <c r="BJ73" s="46"/>
      <c r="BK73" s="47"/>
    </row>
    <row r="74" spans="1:63" s="148" customFormat="1" ht="15" customHeight="1" x14ac:dyDescent="0.25">
      <c r="A74" s="11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2"/>
      <c r="M74" s="176"/>
      <c r="N74" s="174" t="s">
        <v>15</v>
      </c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  <c r="AH74" s="177"/>
      <c r="AI74" s="177"/>
      <c r="AJ74" s="174"/>
      <c r="AK74" s="174"/>
      <c r="AL74" s="174"/>
      <c r="AM74" s="174"/>
      <c r="AN74" s="174"/>
      <c r="AO74" s="174"/>
      <c r="AP74" s="174"/>
      <c r="AQ74" s="174"/>
      <c r="AR74" s="174"/>
      <c r="AS74" s="174"/>
      <c r="AT74" s="174"/>
      <c r="AU74" s="11"/>
      <c r="AV74" s="19"/>
      <c r="AW74" s="19"/>
      <c r="AX74" s="19"/>
      <c r="AY74" s="19"/>
      <c r="AZ74" s="19"/>
      <c r="BA74" s="19"/>
      <c r="BB74" s="19"/>
      <c r="BC74" s="19"/>
      <c r="BD74" s="19"/>
      <c r="BE74" s="12"/>
      <c r="BF74" s="45"/>
      <c r="BG74" s="46"/>
      <c r="BH74" s="46"/>
      <c r="BI74" s="46"/>
      <c r="BJ74" s="46"/>
      <c r="BK74" s="47"/>
    </row>
    <row r="75" spans="1:63" s="148" customFormat="1" ht="15" customHeight="1" x14ac:dyDescent="0.25">
      <c r="A75" s="11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2"/>
      <c r="M75" s="174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  <c r="AH75" s="177"/>
      <c r="AI75" s="177"/>
      <c r="AJ75" s="174"/>
      <c r="AK75" s="174"/>
      <c r="AL75" s="174"/>
      <c r="AM75" s="174"/>
      <c r="AN75" s="174"/>
      <c r="AO75" s="174"/>
      <c r="AP75" s="174"/>
      <c r="AQ75" s="174"/>
      <c r="AR75" s="174"/>
      <c r="AS75" s="174"/>
      <c r="AT75" s="174"/>
      <c r="AU75" s="11"/>
      <c r="AV75" s="19"/>
      <c r="AW75" s="19"/>
      <c r="AX75" s="19"/>
      <c r="AY75" s="19"/>
      <c r="AZ75" s="19"/>
      <c r="BA75" s="19"/>
      <c r="BB75" s="19"/>
      <c r="BC75" s="19"/>
      <c r="BD75" s="19"/>
      <c r="BE75" s="12"/>
      <c r="BF75" s="45"/>
      <c r="BG75" s="46"/>
      <c r="BH75" s="46"/>
      <c r="BI75" s="46"/>
      <c r="BJ75" s="46"/>
      <c r="BK75" s="47"/>
    </row>
    <row r="76" spans="1:63" s="148" customFormat="1" ht="15" customHeight="1" x14ac:dyDescent="0.25">
      <c r="A76" s="13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5"/>
      <c r="M76" s="179"/>
      <c r="N76" s="180"/>
      <c r="O76" s="180"/>
      <c r="P76" s="180"/>
      <c r="Q76" s="180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181"/>
      <c r="AQ76" s="181"/>
      <c r="AR76" s="181"/>
      <c r="AS76" s="181"/>
      <c r="AT76" s="181"/>
      <c r="AU76" s="13"/>
      <c r="AV76" s="14"/>
      <c r="AW76" s="14"/>
      <c r="AX76" s="14"/>
      <c r="AY76" s="14"/>
      <c r="AZ76" s="14"/>
      <c r="BA76" s="14"/>
      <c r="BB76" s="14"/>
      <c r="BC76" s="14"/>
      <c r="BD76" s="14"/>
      <c r="BE76" s="15"/>
      <c r="BF76" s="48"/>
      <c r="BG76" s="49"/>
      <c r="BH76" s="49"/>
      <c r="BI76" s="49"/>
      <c r="BJ76" s="49"/>
      <c r="BK76" s="50"/>
    </row>
    <row r="77" spans="1:63" ht="15" customHeight="1" x14ac:dyDescent="0.25">
      <c r="A77" s="23"/>
      <c r="BK77" s="6"/>
    </row>
    <row r="78" spans="1:63" ht="15" customHeight="1" x14ac:dyDescent="0.25">
      <c r="A78" s="23"/>
      <c r="BK78" s="6"/>
    </row>
    <row r="79" spans="1:63" ht="15" customHeight="1" x14ac:dyDescent="0.25">
      <c r="A79" s="23"/>
      <c r="BK79" s="6"/>
    </row>
    <row r="80" spans="1:63" ht="15" customHeight="1" x14ac:dyDescent="0.25">
      <c r="A80" s="23"/>
      <c r="BK80" s="6"/>
    </row>
    <row r="81" spans="1:63" s="148" customFormat="1" ht="15" customHeight="1" x14ac:dyDescent="0.25">
      <c r="A81" s="162" t="s">
        <v>3</v>
      </c>
      <c r="B81" s="163"/>
      <c r="C81" s="163"/>
      <c r="D81" s="163"/>
      <c r="E81" s="163"/>
      <c r="F81" s="164"/>
      <c r="G81" s="150" t="s">
        <v>18</v>
      </c>
      <c r="H81" s="150"/>
      <c r="I81" s="150"/>
      <c r="J81" s="150"/>
      <c r="K81" s="150"/>
      <c r="L81" s="150"/>
      <c r="M81" s="165" t="s">
        <v>17</v>
      </c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166"/>
      <c r="BI81" s="166"/>
      <c r="BJ81" s="166"/>
      <c r="BK81" s="167"/>
    </row>
    <row r="82" spans="1:63" s="148" customFormat="1" ht="15" customHeight="1" x14ac:dyDescent="0.25">
      <c r="A82" s="168" t="s">
        <v>4</v>
      </c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70"/>
      <c r="M82" s="168" t="s">
        <v>5</v>
      </c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70"/>
      <c r="AU82" s="168" t="s">
        <v>6</v>
      </c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8" t="s">
        <v>7</v>
      </c>
      <c r="BG82" s="169"/>
      <c r="BH82" s="169"/>
      <c r="BI82" s="169"/>
      <c r="BJ82" s="169"/>
      <c r="BK82" s="170"/>
    </row>
    <row r="83" spans="1:63" s="148" customFormat="1" ht="15" customHeight="1" x14ac:dyDescent="0.25">
      <c r="A83" s="171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3"/>
      <c r="M83" s="171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Z83" s="172"/>
      <c r="AA83" s="172"/>
      <c r="AB83" s="172"/>
      <c r="AC83" s="172"/>
      <c r="AD83" s="172"/>
      <c r="AE83" s="172"/>
      <c r="AF83" s="172"/>
      <c r="AG83" s="172"/>
      <c r="AH83" s="172"/>
      <c r="AI83" s="172"/>
      <c r="AJ83" s="172"/>
      <c r="AK83" s="172"/>
      <c r="AL83" s="172"/>
      <c r="AM83" s="172"/>
      <c r="AN83" s="172"/>
      <c r="AO83" s="172"/>
      <c r="AP83" s="172"/>
      <c r="AQ83" s="172"/>
      <c r="AR83" s="172"/>
      <c r="AS83" s="172"/>
      <c r="AT83" s="173"/>
      <c r="AU83" s="171"/>
      <c r="AV83" s="172"/>
      <c r="AW83" s="172"/>
      <c r="AX83" s="172"/>
      <c r="AY83" s="172"/>
      <c r="AZ83" s="172"/>
      <c r="BA83" s="172"/>
      <c r="BB83" s="172"/>
      <c r="BC83" s="172"/>
      <c r="BD83" s="172"/>
      <c r="BE83" s="172"/>
      <c r="BF83" s="171"/>
      <c r="BG83" s="172"/>
      <c r="BH83" s="172"/>
      <c r="BI83" s="172"/>
      <c r="BJ83" s="172"/>
      <c r="BK83" s="173"/>
    </row>
    <row r="84" spans="1:63" s="148" customFormat="1" ht="15" customHeight="1" x14ac:dyDescent="0.25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10"/>
      <c r="M84" s="174"/>
      <c r="N84" s="174"/>
      <c r="O84" s="174"/>
      <c r="P84" s="174"/>
      <c r="Q84" s="174"/>
      <c r="R84" s="175"/>
      <c r="S84" s="175"/>
      <c r="T84" s="175"/>
      <c r="U84" s="175"/>
      <c r="V84" s="175"/>
      <c r="W84" s="175"/>
      <c r="X84" s="175"/>
      <c r="Y84" s="175"/>
      <c r="Z84" s="175"/>
      <c r="AA84" s="175"/>
      <c r="AB84" s="175"/>
      <c r="AC84" s="175"/>
      <c r="AD84" s="175"/>
      <c r="AE84" s="175"/>
      <c r="AF84" s="175"/>
      <c r="AG84" s="175"/>
      <c r="AH84" s="175"/>
      <c r="AI84" s="175"/>
      <c r="AJ84" s="175"/>
      <c r="AK84" s="175"/>
      <c r="AL84" s="175"/>
      <c r="AM84" s="175"/>
      <c r="AN84" s="175"/>
      <c r="AO84" s="175"/>
      <c r="AP84" s="175"/>
      <c r="AQ84" s="175"/>
      <c r="AR84" s="175"/>
      <c r="AS84" s="175"/>
      <c r="AT84" s="175"/>
      <c r="AU84" s="8"/>
      <c r="AV84" s="9"/>
      <c r="AW84" s="9"/>
      <c r="AX84" s="9"/>
      <c r="AY84" s="9"/>
      <c r="AZ84" s="9"/>
      <c r="BA84" s="9"/>
      <c r="BB84" s="9"/>
      <c r="BC84" s="9"/>
      <c r="BD84" s="9"/>
      <c r="BE84" s="10"/>
      <c r="BF84" s="42" t="s">
        <v>19</v>
      </c>
      <c r="BG84" s="43"/>
      <c r="BH84" s="43"/>
      <c r="BI84" s="43"/>
      <c r="BJ84" s="43"/>
      <c r="BK84" s="44"/>
    </row>
    <row r="85" spans="1:63" s="148" customFormat="1" ht="15" customHeight="1" x14ac:dyDescent="0.25">
      <c r="A85" s="11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2"/>
      <c r="M85" s="174"/>
      <c r="N85" s="30" t="s">
        <v>83</v>
      </c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Z85" s="174"/>
      <c r="AA85" s="174"/>
      <c r="AB85" s="174"/>
      <c r="AC85" s="174"/>
      <c r="AD85" s="174"/>
      <c r="AE85" s="174"/>
      <c r="AF85" s="174"/>
      <c r="AG85" s="174"/>
      <c r="AH85" s="174"/>
      <c r="AI85" s="174"/>
      <c r="AJ85" s="174"/>
      <c r="AK85" s="174"/>
      <c r="AL85" s="174"/>
      <c r="AM85" s="174"/>
      <c r="AN85" s="174"/>
      <c r="AO85" s="174"/>
      <c r="AP85" s="174"/>
      <c r="AQ85" s="174"/>
      <c r="AR85" s="174"/>
      <c r="AS85" s="174"/>
      <c r="AT85" s="174"/>
      <c r="AU85" s="11"/>
      <c r="AV85" s="19"/>
      <c r="AW85" s="19"/>
      <c r="AX85" s="19"/>
      <c r="AY85" s="19"/>
      <c r="AZ85" s="19"/>
      <c r="BA85" s="19"/>
      <c r="BB85" s="19"/>
      <c r="BC85" s="19"/>
      <c r="BD85" s="19"/>
      <c r="BE85" s="12"/>
      <c r="BF85" s="45"/>
      <c r="BG85" s="46"/>
      <c r="BH85" s="46"/>
      <c r="BI85" s="46"/>
      <c r="BJ85" s="46"/>
      <c r="BK85" s="47"/>
    </row>
    <row r="86" spans="1:63" s="148" customFormat="1" ht="15" customHeight="1" x14ac:dyDescent="0.25">
      <c r="A86" s="11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2"/>
      <c r="M86" s="176"/>
      <c r="N86" s="174"/>
      <c r="O86" s="177" t="s">
        <v>22</v>
      </c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  <c r="AH86" s="177"/>
      <c r="AI86" s="177"/>
      <c r="AJ86" s="174"/>
      <c r="AK86" s="174"/>
      <c r="AL86" s="174"/>
      <c r="AM86" s="174"/>
      <c r="AN86" s="174"/>
      <c r="AO86" s="174"/>
      <c r="AP86" s="174"/>
      <c r="AQ86" s="174"/>
      <c r="AR86" s="174"/>
      <c r="AS86" s="174"/>
      <c r="AT86" s="174"/>
      <c r="AU86" s="11"/>
      <c r="AV86" s="19"/>
      <c r="AW86" s="19"/>
      <c r="AX86" s="19"/>
      <c r="AY86" s="19"/>
      <c r="AZ86" s="19"/>
      <c r="BA86" s="19"/>
      <c r="BB86" s="19"/>
      <c r="BC86" s="19"/>
      <c r="BD86" s="19"/>
      <c r="BE86" s="12"/>
      <c r="BF86" s="45"/>
      <c r="BG86" s="46"/>
      <c r="BH86" s="46"/>
      <c r="BI86" s="46"/>
      <c r="BJ86" s="46"/>
      <c r="BK86" s="47"/>
    </row>
    <row r="87" spans="1:63" s="148" customFormat="1" ht="15" customHeight="1" x14ac:dyDescent="0.25">
      <c r="A87" s="11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2"/>
      <c r="M87" s="174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  <c r="AH87" s="177"/>
      <c r="AI87" s="177"/>
      <c r="AJ87" s="174"/>
      <c r="AK87" s="174"/>
      <c r="AL87" s="174"/>
      <c r="AM87" s="174"/>
      <c r="AN87" s="174"/>
      <c r="AO87" s="174"/>
      <c r="AP87" s="174"/>
      <c r="AQ87" s="174"/>
      <c r="AR87" s="174"/>
      <c r="AS87" s="174"/>
      <c r="AT87" s="174"/>
      <c r="AU87" s="11"/>
      <c r="AV87" s="19"/>
      <c r="AW87" s="19"/>
      <c r="AX87" s="19"/>
      <c r="AY87" s="19"/>
      <c r="AZ87" s="19"/>
      <c r="BA87" s="19"/>
      <c r="BB87" s="19"/>
      <c r="BC87" s="19"/>
      <c r="BD87" s="19"/>
      <c r="BE87" s="12"/>
      <c r="BF87" s="45"/>
      <c r="BG87" s="46"/>
      <c r="BH87" s="46"/>
      <c r="BI87" s="46"/>
      <c r="BJ87" s="46"/>
      <c r="BK87" s="47"/>
    </row>
    <row r="88" spans="1:63" s="148" customFormat="1" ht="15" customHeight="1" x14ac:dyDescent="0.25">
      <c r="A88" s="11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2"/>
      <c r="M88" s="176"/>
      <c r="N88" s="174"/>
      <c r="O88" s="24" t="s">
        <v>20</v>
      </c>
      <c r="P88" s="25"/>
      <c r="Q88" s="25"/>
      <c r="R88" s="25"/>
      <c r="S88" s="25"/>
      <c r="T88" s="25"/>
      <c r="U88" s="25"/>
      <c r="V88" s="24" t="s">
        <v>21</v>
      </c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6"/>
      <c r="AM88" s="174"/>
      <c r="AN88" s="174"/>
      <c r="AO88" s="174"/>
      <c r="AP88" s="174"/>
      <c r="AQ88" s="174"/>
      <c r="AR88" s="174"/>
      <c r="AS88" s="174"/>
      <c r="AT88" s="174"/>
      <c r="AU88" s="11"/>
      <c r="AV88" s="19"/>
      <c r="AW88" s="19"/>
      <c r="AX88" s="19"/>
      <c r="AY88" s="19"/>
      <c r="AZ88" s="19"/>
      <c r="BA88" s="19"/>
      <c r="BB88" s="19"/>
      <c r="BC88" s="19"/>
      <c r="BD88" s="19"/>
      <c r="BE88" s="12"/>
      <c r="BF88" s="45"/>
      <c r="BG88" s="46"/>
      <c r="BH88" s="46"/>
      <c r="BI88" s="46"/>
      <c r="BJ88" s="46"/>
      <c r="BK88" s="47"/>
    </row>
    <row r="89" spans="1:63" s="148" customFormat="1" ht="15" customHeight="1" x14ac:dyDescent="0.25">
      <c r="A89" s="11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2"/>
      <c r="M89" s="174"/>
      <c r="O89" s="200" t="s">
        <v>23</v>
      </c>
      <c r="P89" s="201"/>
      <c r="Q89" s="201"/>
      <c r="R89" s="201"/>
      <c r="S89" s="201"/>
      <c r="T89" s="201"/>
      <c r="U89" s="201"/>
      <c r="V89" s="202" t="s">
        <v>27</v>
      </c>
      <c r="W89" s="203"/>
      <c r="X89" s="203"/>
      <c r="Y89" s="203"/>
      <c r="Z89" s="203"/>
      <c r="AA89" s="203"/>
      <c r="AB89" s="203"/>
      <c r="AC89" s="203"/>
      <c r="AD89" s="203"/>
      <c r="AE89" s="203"/>
      <c r="AF89" s="203"/>
      <c r="AG89" s="203"/>
      <c r="AH89" s="203"/>
      <c r="AI89" s="203"/>
      <c r="AJ89" s="203"/>
      <c r="AK89" s="203"/>
      <c r="AL89" s="204"/>
      <c r="AM89" s="174"/>
      <c r="AN89" s="174"/>
      <c r="AO89" s="174"/>
      <c r="AP89" s="174"/>
      <c r="AQ89" s="174"/>
      <c r="AR89" s="174"/>
      <c r="AS89" s="174"/>
      <c r="AT89" s="174"/>
      <c r="AU89" s="11"/>
      <c r="AV89" s="19"/>
      <c r="AW89" s="19"/>
      <c r="AX89" s="19"/>
      <c r="AY89" s="19"/>
      <c r="AZ89" s="19"/>
      <c r="BA89" s="19"/>
      <c r="BB89" s="19"/>
      <c r="BC89" s="19"/>
      <c r="BD89" s="19"/>
      <c r="BE89" s="12"/>
      <c r="BF89" s="45"/>
      <c r="BG89" s="46"/>
      <c r="BH89" s="46"/>
      <c r="BI89" s="46"/>
      <c r="BJ89" s="46"/>
      <c r="BK89" s="47"/>
    </row>
    <row r="90" spans="1:63" s="148" customFormat="1" ht="15" customHeight="1" x14ac:dyDescent="0.25">
      <c r="A90" s="11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2"/>
      <c r="M90" s="174"/>
      <c r="N90" s="174"/>
      <c r="O90" s="200" t="s">
        <v>24</v>
      </c>
      <c r="P90" s="201"/>
      <c r="Q90" s="201"/>
      <c r="R90" s="201"/>
      <c r="S90" s="201"/>
      <c r="T90" s="201"/>
      <c r="U90" s="201"/>
      <c r="V90" s="205" t="s">
        <v>84</v>
      </c>
      <c r="W90" s="201"/>
      <c r="X90" s="201"/>
      <c r="Y90" s="201"/>
      <c r="Z90" s="206"/>
      <c r="AA90" s="206"/>
      <c r="AB90" s="206"/>
      <c r="AC90" s="206"/>
      <c r="AD90" s="206"/>
      <c r="AE90" s="206"/>
      <c r="AF90" s="206"/>
      <c r="AG90" s="206"/>
      <c r="AH90" s="206"/>
      <c r="AI90" s="175"/>
      <c r="AJ90" s="175"/>
      <c r="AK90" s="175"/>
      <c r="AL90" s="189"/>
      <c r="AM90" s="174"/>
      <c r="AN90" s="174"/>
      <c r="AO90" s="174"/>
      <c r="AP90" s="174"/>
      <c r="AQ90" s="174"/>
      <c r="AR90" s="174"/>
      <c r="AS90" s="174"/>
      <c r="AT90" s="174"/>
      <c r="AU90" s="11"/>
      <c r="AV90" s="19"/>
      <c r="AW90" s="19"/>
      <c r="AX90" s="19"/>
      <c r="AY90" s="19"/>
      <c r="AZ90" s="19"/>
      <c r="BA90" s="19"/>
      <c r="BB90" s="19"/>
      <c r="BC90" s="19"/>
      <c r="BD90" s="19"/>
      <c r="BE90" s="12"/>
      <c r="BF90" s="45"/>
      <c r="BG90" s="46"/>
      <c r="BH90" s="46"/>
      <c r="BI90" s="46"/>
      <c r="BJ90" s="46"/>
      <c r="BK90" s="47"/>
    </row>
    <row r="91" spans="1:63" s="148" customFormat="1" ht="15" customHeight="1" x14ac:dyDescent="0.25">
      <c r="A91" s="11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2"/>
      <c r="M91" s="174"/>
      <c r="N91" s="174"/>
      <c r="O91" s="200" t="s">
        <v>25</v>
      </c>
      <c r="P91" s="201"/>
      <c r="Q91" s="201"/>
      <c r="R91" s="201"/>
      <c r="S91" s="201"/>
      <c r="T91" s="201"/>
      <c r="U91" s="201"/>
      <c r="V91" s="205" t="s">
        <v>28</v>
      </c>
      <c r="W91" s="201"/>
      <c r="X91" s="201"/>
      <c r="Y91" s="201"/>
      <c r="Z91" s="206"/>
      <c r="AA91" s="206"/>
      <c r="AB91" s="206"/>
      <c r="AC91" s="206"/>
      <c r="AD91" s="206"/>
      <c r="AE91" s="206"/>
      <c r="AF91" s="206"/>
      <c r="AG91" s="206"/>
      <c r="AH91" s="206"/>
      <c r="AI91" s="175"/>
      <c r="AJ91" s="175"/>
      <c r="AK91" s="175"/>
      <c r="AL91" s="189"/>
      <c r="AM91" s="174"/>
      <c r="AN91" s="174"/>
      <c r="AO91" s="174"/>
      <c r="AP91" s="174"/>
      <c r="AQ91" s="174"/>
      <c r="AR91" s="174"/>
      <c r="AS91" s="174"/>
      <c r="AT91" s="174"/>
      <c r="AU91" s="11"/>
      <c r="AV91" s="19"/>
      <c r="AW91" s="19"/>
      <c r="AX91" s="19"/>
      <c r="AY91" s="19"/>
      <c r="AZ91" s="19"/>
      <c r="BA91" s="19"/>
      <c r="BB91" s="19"/>
      <c r="BC91" s="19"/>
      <c r="BD91" s="19"/>
      <c r="BE91" s="12"/>
      <c r="BF91" s="45"/>
      <c r="BG91" s="46"/>
      <c r="BH91" s="46"/>
      <c r="BI91" s="46"/>
      <c r="BJ91" s="46"/>
      <c r="BK91" s="47"/>
    </row>
    <row r="92" spans="1:63" s="148" customFormat="1" ht="15" customHeight="1" x14ac:dyDescent="0.25">
      <c r="A92" s="11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2"/>
      <c r="M92" s="174"/>
      <c r="N92" s="174"/>
      <c r="O92" s="207" t="s">
        <v>26</v>
      </c>
      <c r="P92" s="165"/>
      <c r="Q92" s="165"/>
      <c r="R92" s="165"/>
      <c r="S92" s="165"/>
      <c r="T92" s="165"/>
      <c r="U92" s="195"/>
      <c r="V92" s="208" t="s">
        <v>85</v>
      </c>
      <c r="W92" s="209"/>
      <c r="X92" s="209"/>
      <c r="Y92" s="209"/>
      <c r="Z92" s="209"/>
      <c r="AA92" s="209"/>
      <c r="AB92" s="209"/>
      <c r="AC92" s="209"/>
      <c r="AD92" s="209"/>
      <c r="AE92" s="209"/>
      <c r="AF92" s="209"/>
      <c r="AG92" s="209"/>
      <c r="AH92" s="209"/>
      <c r="AI92" s="209"/>
      <c r="AJ92" s="209"/>
      <c r="AK92" s="209"/>
      <c r="AL92" s="210"/>
      <c r="AM92" s="174"/>
      <c r="AN92" s="174"/>
      <c r="AO92" s="174"/>
      <c r="AP92" s="174"/>
      <c r="AQ92" s="174"/>
      <c r="AR92" s="174"/>
      <c r="AS92" s="174"/>
      <c r="AT92" s="174"/>
      <c r="AU92" s="11"/>
      <c r="AV92" s="19"/>
      <c r="AW92" s="19"/>
      <c r="AX92" s="19"/>
      <c r="AY92" s="19"/>
      <c r="AZ92" s="19"/>
      <c r="BA92" s="19"/>
      <c r="BB92" s="19"/>
      <c r="BC92" s="19"/>
      <c r="BD92" s="19"/>
      <c r="BE92" s="12"/>
      <c r="BF92" s="45"/>
      <c r="BG92" s="46"/>
      <c r="BH92" s="46"/>
      <c r="BI92" s="46"/>
      <c r="BJ92" s="46"/>
      <c r="BK92" s="47"/>
    </row>
    <row r="93" spans="1:63" s="148" customFormat="1" ht="15" customHeight="1" x14ac:dyDescent="0.25">
      <c r="A93" s="11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2"/>
      <c r="M93" s="174"/>
      <c r="N93" s="174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  <c r="AH93" s="177"/>
      <c r="AI93" s="177"/>
      <c r="AJ93" s="174"/>
      <c r="AK93" s="174"/>
      <c r="AL93" s="174"/>
      <c r="AM93" s="174"/>
      <c r="AN93" s="174"/>
      <c r="AO93" s="174"/>
      <c r="AP93" s="174"/>
      <c r="AQ93" s="174"/>
      <c r="AR93" s="174"/>
      <c r="AS93" s="174"/>
      <c r="AT93" s="174"/>
      <c r="AU93" s="11"/>
      <c r="AV93" s="19"/>
      <c r="AW93" s="19"/>
      <c r="AX93" s="19"/>
      <c r="AY93" s="19"/>
      <c r="AZ93" s="19"/>
      <c r="BA93" s="19"/>
      <c r="BB93" s="19"/>
      <c r="BC93" s="19"/>
      <c r="BD93" s="19"/>
      <c r="BE93" s="12"/>
      <c r="BF93" s="45"/>
      <c r="BG93" s="46"/>
      <c r="BH93" s="46"/>
      <c r="BI93" s="46"/>
      <c r="BJ93" s="46"/>
      <c r="BK93" s="47"/>
    </row>
    <row r="94" spans="1:63" s="148" customFormat="1" ht="15" customHeight="1" x14ac:dyDescent="0.25">
      <c r="A94" s="11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2"/>
      <c r="M94" s="174"/>
      <c r="N94" s="174"/>
      <c r="O94" s="174" t="s">
        <v>29</v>
      </c>
      <c r="P94" s="177"/>
      <c r="Q94" s="177"/>
      <c r="R94" s="177"/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  <c r="AH94" s="177"/>
      <c r="AI94" s="177"/>
      <c r="AJ94" s="174"/>
      <c r="AK94" s="174"/>
      <c r="AL94" s="174"/>
      <c r="AM94" s="174"/>
      <c r="AN94" s="174"/>
      <c r="AO94" s="174"/>
      <c r="AP94" s="174"/>
      <c r="AQ94" s="174"/>
      <c r="AR94" s="174"/>
      <c r="AS94" s="174"/>
      <c r="AT94" s="174"/>
      <c r="AU94" s="11"/>
      <c r="AV94" s="19"/>
      <c r="AW94" s="19"/>
      <c r="AX94" s="19"/>
      <c r="AY94" s="19"/>
      <c r="AZ94" s="19"/>
      <c r="BA94" s="19"/>
      <c r="BB94" s="19"/>
      <c r="BC94" s="19"/>
      <c r="BD94" s="19"/>
      <c r="BE94" s="12"/>
      <c r="BF94" s="45"/>
      <c r="BG94" s="46"/>
      <c r="BH94" s="46"/>
      <c r="BI94" s="46"/>
      <c r="BJ94" s="46"/>
      <c r="BK94" s="47"/>
    </row>
    <row r="95" spans="1:63" s="148" customFormat="1" ht="15" customHeight="1" x14ac:dyDescent="0.25">
      <c r="A95" s="11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2"/>
      <c r="M95" s="174"/>
      <c r="N95" s="174"/>
      <c r="O95" s="177" t="s">
        <v>30</v>
      </c>
      <c r="P95" s="174"/>
      <c r="Q95" s="174"/>
      <c r="R95" s="174"/>
      <c r="S95" s="174"/>
      <c r="T95" s="174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  <c r="AH95" s="177"/>
      <c r="AI95" s="177"/>
      <c r="AJ95" s="174"/>
      <c r="AK95" s="174"/>
      <c r="AL95" s="174"/>
      <c r="AM95" s="174"/>
      <c r="AN95" s="174"/>
      <c r="AO95" s="174"/>
      <c r="AP95" s="174"/>
      <c r="AQ95" s="174"/>
      <c r="AR95" s="174"/>
      <c r="AS95" s="174"/>
      <c r="AT95" s="174"/>
      <c r="AU95" s="11"/>
      <c r="AV95" s="19"/>
      <c r="AW95" s="19"/>
      <c r="AX95" s="19"/>
      <c r="AY95" s="19"/>
      <c r="AZ95" s="19"/>
      <c r="BA95" s="19"/>
      <c r="BB95" s="19"/>
      <c r="BC95" s="19"/>
      <c r="BD95" s="19"/>
      <c r="BE95" s="12"/>
      <c r="BF95" s="45"/>
      <c r="BG95" s="46"/>
      <c r="BH95" s="46"/>
      <c r="BI95" s="46"/>
      <c r="BJ95" s="46"/>
      <c r="BK95" s="47"/>
    </row>
    <row r="96" spans="1:63" s="148" customFormat="1" ht="15" customHeight="1" x14ac:dyDescent="0.25">
      <c r="A96" s="11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2"/>
      <c r="M96" s="174"/>
      <c r="N96" s="174"/>
      <c r="O96" s="174"/>
      <c r="P96" s="24" t="s">
        <v>31</v>
      </c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6"/>
      <c r="AM96" s="174"/>
      <c r="AN96" s="174"/>
      <c r="AO96" s="174"/>
      <c r="AP96" s="174"/>
      <c r="AQ96" s="174"/>
      <c r="AR96" s="174"/>
      <c r="AS96" s="174"/>
      <c r="AT96" s="174"/>
      <c r="AU96" s="11"/>
      <c r="AV96" s="19"/>
      <c r="AW96" s="19"/>
      <c r="AX96" s="19"/>
      <c r="AY96" s="19"/>
      <c r="AZ96" s="19"/>
      <c r="BA96" s="19"/>
      <c r="BB96" s="19"/>
      <c r="BC96" s="19"/>
      <c r="BD96" s="19"/>
      <c r="BE96" s="12"/>
      <c r="BF96" s="45"/>
      <c r="BG96" s="46"/>
      <c r="BH96" s="46"/>
      <c r="BI96" s="46"/>
      <c r="BJ96" s="46"/>
      <c r="BK96" s="47"/>
    </row>
    <row r="97" spans="1:63" s="148" customFormat="1" ht="15" customHeight="1" x14ac:dyDescent="0.25">
      <c r="A97" s="11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2"/>
      <c r="M97" s="174"/>
      <c r="N97" s="174"/>
      <c r="O97" s="174"/>
      <c r="P97" s="187" t="s">
        <v>35</v>
      </c>
      <c r="Q97" s="175"/>
      <c r="R97" s="175"/>
      <c r="S97" s="175"/>
      <c r="T97" s="175"/>
      <c r="U97" s="188"/>
      <c r="V97" s="175"/>
      <c r="W97" s="175"/>
      <c r="X97" s="175"/>
      <c r="Y97" s="175"/>
      <c r="Z97" s="175"/>
      <c r="AA97" s="187" t="s">
        <v>33</v>
      </c>
      <c r="AB97" s="175"/>
      <c r="AC97" s="175"/>
      <c r="AD97" s="175"/>
      <c r="AE97" s="175"/>
      <c r="AF97" s="175"/>
      <c r="AG97" s="175"/>
      <c r="AH97" s="175"/>
      <c r="AI97" s="175"/>
      <c r="AJ97" s="175"/>
      <c r="AK97" s="175"/>
      <c r="AL97" s="189"/>
      <c r="AM97" s="174"/>
      <c r="AN97" s="174"/>
      <c r="AO97" s="174"/>
      <c r="AP97" s="174"/>
      <c r="AQ97" s="174"/>
      <c r="AR97" s="174"/>
      <c r="AS97" s="174"/>
      <c r="AT97" s="174"/>
      <c r="AU97" s="11"/>
      <c r="AV97" s="19"/>
      <c r="AW97" s="19"/>
      <c r="AX97" s="19"/>
      <c r="AY97" s="19"/>
      <c r="AZ97" s="19"/>
      <c r="BA97" s="19"/>
      <c r="BB97" s="19"/>
      <c r="BC97" s="19"/>
      <c r="BD97" s="19"/>
      <c r="BE97" s="12"/>
      <c r="BF97" s="45"/>
      <c r="BG97" s="46"/>
      <c r="BH97" s="46"/>
      <c r="BI97" s="46"/>
      <c r="BJ97" s="46"/>
      <c r="BK97" s="47"/>
    </row>
    <row r="98" spans="1:63" s="148" customFormat="1" ht="15" customHeight="1" x14ac:dyDescent="0.25">
      <c r="A98" s="11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2"/>
      <c r="M98" s="174"/>
      <c r="N98" s="174"/>
      <c r="O98" s="174"/>
      <c r="P98" s="187" t="s">
        <v>36</v>
      </c>
      <c r="Q98" s="175"/>
      <c r="R98" s="175"/>
      <c r="S98" s="175"/>
      <c r="T98" s="175"/>
      <c r="U98" s="190"/>
      <c r="V98" s="175"/>
      <c r="W98" s="175"/>
      <c r="X98" s="175"/>
      <c r="Y98" s="175"/>
      <c r="Z98" s="175"/>
      <c r="AA98" s="191" t="s">
        <v>34</v>
      </c>
      <c r="AB98" s="175"/>
      <c r="AC98" s="175"/>
      <c r="AD98" s="175"/>
      <c r="AE98" s="175"/>
      <c r="AF98" s="175"/>
      <c r="AG98" s="175"/>
      <c r="AH98" s="175"/>
      <c r="AI98" s="175"/>
      <c r="AJ98" s="175"/>
      <c r="AK98" s="175"/>
      <c r="AL98" s="189"/>
      <c r="AM98" s="174"/>
      <c r="AN98" s="174"/>
      <c r="AO98" s="174"/>
      <c r="AP98" s="174"/>
      <c r="AQ98" s="174"/>
      <c r="AR98" s="174"/>
      <c r="AS98" s="174"/>
      <c r="AT98" s="174"/>
      <c r="AU98" s="11"/>
      <c r="AV98" s="19"/>
      <c r="AW98" s="19"/>
      <c r="AX98" s="19"/>
      <c r="AY98" s="19"/>
      <c r="AZ98" s="19"/>
      <c r="BA98" s="19"/>
      <c r="BB98" s="19"/>
      <c r="BC98" s="19"/>
      <c r="BD98" s="19"/>
      <c r="BE98" s="12"/>
      <c r="BF98" s="45"/>
      <c r="BG98" s="46"/>
      <c r="BH98" s="46"/>
      <c r="BI98" s="46"/>
      <c r="BJ98" s="46"/>
      <c r="BK98" s="47"/>
    </row>
    <row r="99" spans="1:63" s="148" customFormat="1" ht="15" customHeight="1" x14ac:dyDescent="0.25">
      <c r="A99" s="11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2"/>
      <c r="M99" s="174"/>
      <c r="N99" s="174"/>
      <c r="O99" s="174"/>
      <c r="P99" s="192" t="s">
        <v>37</v>
      </c>
      <c r="Q99" s="165"/>
      <c r="R99" s="165"/>
      <c r="S99" s="165"/>
      <c r="T99" s="165"/>
      <c r="U99" s="193"/>
      <c r="V99" s="165"/>
      <c r="W99" s="165"/>
      <c r="X99" s="165"/>
      <c r="Y99" s="165"/>
      <c r="Z99" s="165"/>
      <c r="AA99" s="194" t="s">
        <v>34</v>
      </c>
      <c r="AB99" s="165"/>
      <c r="AC99" s="165"/>
      <c r="AD99" s="165"/>
      <c r="AE99" s="165"/>
      <c r="AF99" s="165"/>
      <c r="AG99" s="165"/>
      <c r="AH99" s="165"/>
      <c r="AI99" s="165"/>
      <c r="AJ99" s="165"/>
      <c r="AK99" s="165"/>
      <c r="AL99" s="195"/>
      <c r="AM99" s="174"/>
      <c r="AN99" s="174"/>
      <c r="AO99" s="174"/>
      <c r="AP99" s="174"/>
      <c r="AQ99" s="174"/>
      <c r="AR99" s="174"/>
      <c r="AS99" s="174"/>
      <c r="AT99" s="174"/>
      <c r="AU99" s="11"/>
      <c r="AV99" s="19"/>
      <c r="AW99" s="19"/>
      <c r="AX99" s="19"/>
      <c r="AY99" s="19"/>
      <c r="AZ99" s="19"/>
      <c r="BA99" s="19"/>
      <c r="BB99" s="19"/>
      <c r="BC99" s="19"/>
      <c r="BD99" s="19"/>
      <c r="BE99" s="12"/>
      <c r="BF99" s="45"/>
      <c r="BG99" s="46"/>
      <c r="BH99" s="46"/>
      <c r="BI99" s="46"/>
      <c r="BJ99" s="46"/>
      <c r="BK99" s="47"/>
    </row>
    <row r="100" spans="1:63" s="148" customFormat="1" ht="15" customHeight="1" x14ac:dyDescent="0.25">
      <c r="A100" s="11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2"/>
      <c r="M100" s="174"/>
      <c r="N100" s="174"/>
      <c r="O100" s="174"/>
      <c r="P100" s="177"/>
      <c r="Q100" s="177"/>
      <c r="R100" s="174"/>
      <c r="S100" s="174"/>
      <c r="T100" s="174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  <c r="AH100" s="177"/>
      <c r="AI100" s="177"/>
      <c r="AJ100" s="174"/>
      <c r="AK100" s="174"/>
      <c r="AL100" s="174"/>
      <c r="AM100" s="174"/>
      <c r="AN100" s="174"/>
      <c r="AO100" s="174"/>
      <c r="AP100" s="174"/>
      <c r="AQ100" s="174"/>
      <c r="AR100" s="174"/>
      <c r="AS100" s="174"/>
      <c r="AT100" s="174"/>
      <c r="AU100" s="11"/>
      <c r="AV100" s="19"/>
      <c r="AW100" s="19"/>
      <c r="AX100" s="19"/>
      <c r="AY100" s="19"/>
      <c r="AZ100" s="19"/>
      <c r="BA100" s="19"/>
      <c r="BB100" s="19"/>
      <c r="BC100" s="19"/>
      <c r="BD100" s="19"/>
      <c r="BE100" s="12"/>
      <c r="BF100" s="45"/>
      <c r="BG100" s="46"/>
      <c r="BH100" s="46"/>
      <c r="BI100" s="46"/>
      <c r="BJ100" s="46"/>
      <c r="BK100" s="47"/>
    </row>
    <row r="101" spans="1:63" s="148" customFormat="1" ht="15" customHeight="1" x14ac:dyDescent="0.25">
      <c r="A101" s="11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2"/>
      <c r="M101" s="174"/>
      <c r="N101" s="174"/>
      <c r="O101" s="174" t="s">
        <v>32</v>
      </c>
      <c r="P101" s="198"/>
      <c r="Q101" s="174"/>
      <c r="R101" s="174"/>
      <c r="S101" s="174"/>
      <c r="T101" s="174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  <c r="AH101" s="177"/>
      <c r="AI101" s="177"/>
      <c r="AJ101" s="174"/>
      <c r="AK101" s="174"/>
      <c r="AL101" s="174"/>
      <c r="AM101" s="174"/>
      <c r="AN101" s="174"/>
      <c r="AO101" s="174"/>
      <c r="AP101" s="174"/>
      <c r="AQ101" s="174"/>
      <c r="AR101" s="174"/>
      <c r="AS101" s="174"/>
      <c r="AT101" s="174"/>
      <c r="AU101" s="11"/>
      <c r="AV101" s="19"/>
      <c r="AW101" s="19"/>
      <c r="AX101" s="19"/>
      <c r="AY101" s="19"/>
      <c r="AZ101" s="19"/>
      <c r="BA101" s="19"/>
      <c r="BB101" s="19"/>
      <c r="BC101" s="19"/>
      <c r="BD101" s="19"/>
      <c r="BE101" s="12"/>
      <c r="BF101" s="45"/>
      <c r="BG101" s="46"/>
      <c r="BH101" s="46"/>
      <c r="BI101" s="46"/>
      <c r="BJ101" s="46"/>
      <c r="BK101" s="47"/>
    </row>
    <row r="102" spans="1:63" s="148" customFormat="1" ht="15" customHeight="1" x14ac:dyDescent="0.25">
      <c r="A102" s="11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2"/>
      <c r="M102" s="174"/>
      <c r="N102" s="174"/>
      <c r="O102" s="174"/>
      <c r="P102" s="177" t="s">
        <v>38</v>
      </c>
      <c r="Q102" s="174"/>
      <c r="R102" s="174"/>
      <c r="S102" s="28"/>
      <c r="T102" s="28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  <c r="AH102" s="177"/>
      <c r="AI102" s="177"/>
      <c r="AJ102" s="174"/>
      <c r="AK102" s="174"/>
      <c r="AL102" s="174"/>
      <c r="AM102" s="174"/>
      <c r="AN102" s="174"/>
      <c r="AO102" s="174"/>
      <c r="AP102" s="174"/>
      <c r="AQ102" s="174"/>
      <c r="AR102" s="174"/>
      <c r="AS102" s="174"/>
      <c r="AT102" s="174"/>
      <c r="AU102" s="11"/>
      <c r="AV102" s="19"/>
      <c r="AW102" s="19"/>
      <c r="AX102" s="19"/>
      <c r="AY102" s="19"/>
      <c r="AZ102" s="19"/>
      <c r="BA102" s="19"/>
      <c r="BB102" s="19"/>
      <c r="BC102" s="19"/>
      <c r="BD102" s="19"/>
      <c r="BE102" s="12"/>
      <c r="BF102" s="45"/>
      <c r="BG102" s="46"/>
      <c r="BH102" s="46"/>
      <c r="BI102" s="46"/>
      <c r="BJ102" s="46"/>
      <c r="BK102" s="47"/>
    </row>
    <row r="103" spans="1:63" s="148" customFormat="1" ht="15" customHeight="1" x14ac:dyDescent="0.25">
      <c r="A103" s="11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2"/>
      <c r="M103" s="174"/>
      <c r="N103" s="174"/>
      <c r="O103" s="199"/>
      <c r="P103" s="177"/>
      <c r="Q103" s="177"/>
      <c r="R103" s="177"/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  <c r="AH103" s="177"/>
      <c r="AI103" s="177"/>
      <c r="AJ103" s="174"/>
      <c r="AK103" s="174"/>
      <c r="AL103" s="174"/>
      <c r="AM103" s="174"/>
      <c r="AN103" s="174"/>
      <c r="AO103" s="174"/>
      <c r="AP103" s="174"/>
      <c r="AQ103" s="174"/>
      <c r="AR103" s="174"/>
      <c r="AS103" s="174"/>
      <c r="AT103" s="174"/>
      <c r="AU103" s="11"/>
      <c r="AV103" s="19"/>
      <c r="AW103" s="19"/>
      <c r="AX103" s="19"/>
      <c r="AY103" s="19"/>
      <c r="AZ103" s="19"/>
      <c r="BA103" s="19"/>
      <c r="BB103" s="19"/>
      <c r="BC103" s="19"/>
      <c r="BD103" s="19"/>
      <c r="BE103" s="12"/>
      <c r="BF103" s="45"/>
      <c r="BG103" s="46"/>
      <c r="BH103" s="46"/>
      <c r="BI103" s="46"/>
      <c r="BJ103" s="46"/>
      <c r="BK103" s="47"/>
    </row>
    <row r="104" spans="1:63" s="148" customFormat="1" ht="15" customHeight="1" x14ac:dyDescent="0.25">
      <c r="A104" s="11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2"/>
      <c r="M104" s="174"/>
      <c r="N104" s="174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  <c r="AH104" s="177"/>
      <c r="AI104" s="177"/>
      <c r="AJ104" s="174"/>
      <c r="AK104" s="174"/>
      <c r="AL104" s="174"/>
      <c r="AM104" s="174"/>
      <c r="AN104" s="174"/>
      <c r="AO104" s="174"/>
      <c r="AP104" s="174"/>
      <c r="AQ104" s="174"/>
      <c r="AR104" s="174"/>
      <c r="AS104" s="174"/>
      <c r="AT104" s="174"/>
      <c r="AU104" s="11"/>
      <c r="AV104" s="19"/>
      <c r="AW104" s="19"/>
      <c r="AX104" s="19"/>
      <c r="AY104" s="19"/>
      <c r="AZ104" s="19"/>
      <c r="BA104" s="19"/>
      <c r="BB104" s="19"/>
      <c r="BC104" s="19"/>
      <c r="BD104" s="19"/>
      <c r="BE104" s="12"/>
      <c r="BF104" s="45"/>
      <c r="BG104" s="46"/>
      <c r="BH104" s="46"/>
      <c r="BI104" s="46"/>
      <c r="BJ104" s="46"/>
      <c r="BK104" s="47"/>
    </row>
    <row r="105" spans="1:63" s="148" customFormat="1" ht="15" customHeight="1" x14ac:dyDescent="0.25">
      <c r="A105" s="11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2"/>
      <c r="M105" s="174"/>
      <c r="N105" s="174"/>
      <c r="O105" s="177"/>
      <c r="P105" s="177"/>
      <c r="Q105" s="177"/>
      <c r="R105" s="20"/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  <c r="AH105" s="177"/>
      <c r="AI105" s="177"/>
      <c r="AJ105" s="174"/>
      <c r="AK105" s="174"/>
      <c r="AL105" s="174"/>
      <c r="AM105" s="174"/>
      <c r="AN105" s="174"/>
      <c r="AO105" s="174"/>
      <c r="AP105" s="174"/>
      <c r="AQ105" s="174"/>
      <c r="AR105" s="174"/>
      <c r="AS105" s="174"/>
      <c r="AT105" s="174"/>
      <c r="AU105" s="11"/>
      <c r="AV105" s="19"/>
      <c r="AW105" s="19"/>
      <c r="AX105" s="19"/>
      <c r="AY105" s="19"/>
      <c r="AZ105" s="19"/>
      <c r="BA105" s="19"/>
      <c r="BB105" s="19"/>
      <c r="BC105" s="19"/>
      <c r="BD105" s="19"/>
      <c r="BE105" s="12"/>
      <c r="BF105" s="45"/>
      <c r="BG105" s="46"/>
      <c r="BH105" s="46"/>
      <c r="BI105" s="46"/>
      <c r="BJ105" s="46"/>
      <c r="BK105" s="47"/>
    </row>
    <row r="106" spans="1:63" s="148" customFormat="1" ht="15" customHeight="1" x14ac:dyDescent="0.25">
      <c r="A106" s="13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5"/>
      <c r="M106" s="179"/>
      <c r="N106" s="180"/>
      <c r="O106" s="180"/>
      <c r="P106" s="180"/>
      <c r="Q106" s="180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181"/>
      <c r="AQ106" s="181"/>
      <c r="AR106" s="181"/>
      <c r="AS106" s="181"/>
      <c r="AT106" s="181"/>
      <c r="AU106" s="13"/>
      <c r="AV106" s="14"/>
      <c r="AW106" s="14"/>
      <c r="AX106" s="14"/>
      <c r="AY106" s="14"/>
      <c r="AZ106" s="14"/>
      <c r="BA106" s="14"/>
      <c r="BB106" s="14"/>
      <c r="BC106" s="14"/>
      <c r="BD106" s="14"/>
      <c r="BE106" s="15"/>
      <c r="BF106" s="48"/>
      <c r="BG106" s="49"/>
      <c r="BH106" s="49"/>
      <c r="BI106" s="49"/>
      <c r="BJ106" s="49"/>
      <c r="BK106" s="50"/>
    </row>
    <row r="107" spans="1:63" ht="15" customHeight="1" x14ac:dyDescent="0.25">
      <c r="A107" s="23"/>
      <c r="BK107" s="6"/>
    </row>
    <row r="108" spans="1:63" ht="15" customHeight="1" x14ac:dyDescent="0.25">
      <c r="A108" s="23"/>
      <c r="BK108" s="6"/>
    </row>
    <row r="109" spans="1:63" ht="15" customHeight="1" x14ac:dyDescent="0.25">
      <c r="A109" s="23"/>
      <c r="BK109" s="6"/>
    </row>
    <row r="110" spans="1:63" ht="15" customHeight="1" x14ac:dyDescent="0.25">
      <c r="A110" s="23"/>
      <c r="BK110" s="6"/>
    </row>
    <row r="111" spans="1:63" ht="15" customHeight="1" x14ac:dyDescent="0.25">
      <c r="A111" s="23"/>
      <c r="BK111" s="6"/>
    </row>
    <row r="112" spans="1:63" ht="15" customHeight="1" x14ac:dyDescent="0.25">
      <c r="A112" s="23"/>
      <c r="BK112" s="6"/>
    </row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</sheetData>
  <mergeCells count="56">
    <mergeCell ref="BF84:BK106"/>
    <mergeCell ref="BF72:BK76"/>
    <mergeCell ref="BF14:BK23"/>
    <mergeCell ref="A28:F28"/>
    <mergeCell ref="G28:L28"/>
    <mergeCell ref="A29:L30"/>
    <mergeCell ref="M29:AT30"/>
    <mergeCell ref="AU29:BE30"/>
    <mergeCell ref="BF29:BK30"/>
    <mergeCell ref="BF31:BK60"/>
    <mergeCell ref="V89:AL89"/>
    <mergeCell ref="V40:AL40"/>
    <mergeCell ref="P51:AT52"/>
    <mergeCell ref="A82:L83"/>
    <mergeCell ref="M82:AT83"/>
    <mergeCell ref="AU82:BE83"/>
    <mergeCell ref="BF82:BK83"/>
    <mergeCell ref="BF70:BK71"/>
    <mergeCell ref="A81:F81"/>
    <mergeCell ref="G81:L81"/>
    <mergeCell ref="A69:F69"/>
    <mergeCell ref="G69:L69"/>
    <mergeCell ref="A70:L71"/>
    <mergeCell ref="M70:AT71"/>
    <mergeCell ref="AU70:BE71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BF12:BK13"/>
    <mergeCell ref="O18:AS20"/>
  </mergeCells>
  <dataValidations count="2">
    <dataValidation type="list" allowBlank="1" showInputMessage="1" showErrorMessage="1" sqref="O10" xr:uid="{00000000-0002-0000-0200-000000000000}">
      <formula1>"初期処理,ボタン押下,リンク押下,タブ押下,選択時,選択解除,変更時,イメージリンク押下,フォーカスイン,フォーカスアウト,タイマー"</formula1>
    </dataValidation>
    <dataValidation type="list" showInputMessage="1" sqref="U10" xr:uid="{00000000-0002-0000-0200-000001000000}">
      <formula1>"同期,非同期"</formula1>
    </dataValidation>
  </dataValidations>
  <pageMargins left="0.7" right="0.7" top="0.75" bottom="0.75" header="0.3" footer="0.3"/>
  <pageSetup scale="4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DE1D-A680-4637-A45D-4CC975036424}">
  <sheetPr>
    <pageSetUpPr fitToPage="1"/>
  </sheetPr>
  <dimension ref="A1:BK444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34" t="s">
        <v>55</v>
      </c>
      <c r="B1" s="135"/>
      <c r="C1" s="135"/>
      <c r="D1" s="135"/>
      <c r="E1" s="135"/>
      <c r="F1" s="135"/>
      <c r="G1" s="135"/>
      <c r="H1" s="135"/>
      <c r="I1" s="135"/>
      <c r="J1" s="136"/>
      <c r="K1" s="134" t="s">
        <v>56</v>
      </c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6"/>
      <c r="W1" s="137" t="str">
        <f>IF(表紙!W1="","",表紙!W1)</f>
        <v>詳細設計書</v>
      </c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9"/>
      <c r="AP1" s="60" t="s">
        <v>58</v>
      </c>
      <c r="AQ1" s="61"/>
      <c r="AR1" s="61"/>
      <c r="AS1" s="62"/>
      <c r="AT1" s="60" t="s">
        <v>59</v>
      </c>
      <c r="AU1" s="61"/>
      <c r="AV1" s="61"/>
      <c r="AW1" s="61"/>
      <c r="AX1" s="62"/>
      <c r="AY1" s="60" t="s">
        <v>60</v>
      </c>
      <c r="AZ1" s="61"/>
      <c r="BA1" s="61"/>
      <c r="BB1" s="62"/>
      <c r="BC1" s="60" t="s">
        <v>61</v>
      </c>
      <c r="BD1" s="61"/>
      <c r="BE1" s="61"/>
      <c r="BF1" s="61"/>
      <c r="BG1" s="62"/>
      <c r="BH1" s="60" t="s">
        <v>62</v>
      </c>
      <c r="BI1" s="61"/>
      <c r="BJ1" s="61"/>
      <c r="BK1" s="62"/>
    </row>
    <row r="2" spans="1:63" ht="15" customHeight="1" x14ac:dyDescent="0.25">
      <c r="A2" s="36" t="str">
        <f>IF(表紙!A2="","",表紙!A2)</f>
        <v>POSサーバー</v>
      </c>
      <c r="B2" s="37"/>
      <c r="C2" s="37"/>
      <c r="D2" s="37"/>
      <c r="E2" s="37"/>
      <c r="F2" s="37"/>
      <c r="G2" s="37"/>
      <c r="H2" s="37"/>
      <c r="I2" s="37"/>
      <c r="J2" s="38"/>
      <c r="K2" s="36" t="str">
        <f>IF(表紙!K2="","",表紙!K2)</f>
        <v>POSサーバー</v>
      </c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  <c r="W2" s="140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2"/>
      <c r="AP2" s="69" t="str">
        <f>IF(表紙!AP2="","",表紙!AP2)</f>
        <v>DuNT</v>
      </c>
      <c r="AQ2" s="67"/>
      <c r="AR2" s="67"/>
      <c r="AS2" s="68"/>
      <c r="AT2" s="73">
        <f>IF(表紙!AT2="","",表紙!AT2)</f>
        <v>45448</v>
      </c>
      <c r="AU2" s="74"/>
      <c r="AV2" s="74"/>
      <c r="AW2" s="74"/>
      <c r="AX2" s="75"/>
      <c r="AY2" s="69" t="str">
        <f>IF(表紙!AY2="","",表紙!AY2)</f>
        <v>DuNT</v>
      </c>
      <c r="AZ2" s="67"/>
      <c r="BA2" s="67"/>
      <c r="BB2" s="68"/>
      <c r="BC2" s="73">
        <f>IF(表紙!BC2="","",表紙!BC2)</f>
        <v>45448</v>
      </c>
      <c r="BD2" s="74"/>
      <c r="BE2" s="74"/>
      <c r="BF2" s="74"/>
      <c r="BG2" s="75"/>
      <c r="BH2" s="69">
        <f>IF(表紙!BH2="","",表紙!BH2)</f>
        <v>0.1</v>
      </c>
      <c r="BI2" s="67"/>
      <c r="BJ2" s="67"/>
      <c r="BK2" s="68"/>
    </row>
    <row r="3" spans="1:63" ht="15" customHeight="1" x14ac:dyDescent="0.25">
      <c r="A3" s="39"/>
      <c r="B3" s="40"/>
      <c r="C3" s="40"/>
      <c r="D3" s="40"/>
      <c r="E3" s="40"/>
      <c r="F3" s="40"/>
      <c r="G3" s="40"/>
      <c r="H3" s="40"/>
      <c r="I3" s="40"/>
      <c r="J3" s="41"/>
      <c r="K3" s="39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  <c r="W3" s="143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5"/>
      <c r="AP3" s="79"/>
      <c r="AQ3" s="80"/>
      <c r="AR3" s="80"/>
      <c r="AS3" s="81"/>
      <c r="AT3" s="85"/>
      <c r="AU3" s="86"/>
      <c r="AV3" s="86"/>
      <c r="AW3" s="86"/>
      <c r="AX3" s="87"/>
      <c r="AY3" s="79"/>
      <c r="AZ3" s="80"/>
      <c r="BA3" s="80"/>
      <c r="BB3" s="81"/>
      <c r="BC3" s="85"/>
      <c r="BD3" s="86"/>
      <c r="BE3" s="86"/>
      <c r="BF3" s="86"/>
      <c r="BG3" s="87"/>
      <c r="BH3" s="79"/>
      <c r="BI3" s="80"/>
      <c r="BJ3" s="80"/>
      <c r="BK3" s="81"/>
    </row>
    <row r="4" spans="1:63" ht="24.95" customHeight="1" x14ac:dyDescent="0.25">
      <c r="A4" s="146" t="s">
        <v>72</v>
      </c>
      <c r="B4" s="135"/>
      <c r="C4" s="135"/>
      <c r="D4" s="135"/>
      <c r="E4" s="135"/>
      <c r="F4" s="135"/>
      <c r="G4" s="136"/>
      <c r="H4" s="32" t="str">
        <f>IF(表紙!H4="","",表紙!H4)</f>
        <v>04_商品採用店舗確認</v>
      </c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4"/>
      <c r="U4" s="134" t="s">
        <v>65</v>
      </c>
      <c r="V4" s="135"/>
      <c r="W4" s="135"/>
      <c r="X4" s="135"/>
      <c r="Y4" s="136"/>
      <c r="Z4" s="32" t="str">
        <f>IF(表紙!Z4="","",表紙!Z4)</f>
        <v>機能設計書</v>
      </c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4"/>
      <c r="AP4" s="35" t="str">
        <f ca="1">MID(CELL("filename",A1),FIND("]",CELL("filename",A1))+1,255)</f>
        <v>テンプレート</v>
      </c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8"/>
    </row>
    <row r="7" spans="1:63" s="148" customFormat="1" ht="15" customHeight="1" x14ac:dyDescent="0.25">
      <c r="A7" s="147" t="s">
        <v>8</v>
      </c>
      <c r="BK7" s="149"/>
    </row>
    <row r="8" spans="1:63" s="148" customFormat="1" ht="15" customHeight="1" x14ac:dyDescent="0.25">
      <c r="A8" s="147"/>
      <c r="BK8" s="149"/>
    </row>
    <row r="9" spans="1:63" s="148" customFormat="1" ht="15" customHeight="1" x14ac:dyDescent="0.25">
      <c r="A9" s="60" t="s">
        <v>73</v>
      </c>
      <c r="B9" s="61"/>
      <c r="C9" s="61"/>
      <c r="D9" s="61"/>
      <c r="E9" s="150" t="s">
        <v>49</v>
      </c>
      <c r="F9" s="150"/>
      <c r="G9" s="150"/>
      <c r="H9" s="150"/>
      <c r="I9" s="150"/>
      <c r="J9" s="150"/>
      <c r="K9" s="150"/>
      <c r="L9" s="150"/>
      <c r="M9" s="150"/>
      <c r="N9" s="150"/>
      <c r="O9" s="60" t="s">
        <v>74</v>
      </c>
      <c r="P9" s="61"/>
      <c r="Q9" s="61"/>
      <c r="R9" s="61"/>
      <c r="S9" s="61"/>
      <c r="T9" s="62"/>
      <c r="U9" s="151" t="s">
        <v>50</v>
      </c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2"/>
      <c r="BG9" s="152"/>
      <c r="BH9" s="152"/>
      <c r="BI9" s="152"/>
      <c r="BJ9" s="152"/>
      <c r="BK9" s="153"/>
    </row>
    <row r="10" spans="1:63" s="148" customFormat="1" ht="15" customHeight="1" x14ac:dyDescent="0.25">
      <c r="A10" s="154"/>
      <c r="B10" s="155"/>
      <c r="C10" s="155"/>
      <c r="D10" s="155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7"/>
      <c r="P10" s="157"/>
      <c r="Q10" s="157"/>
      <c r="R10" s="157"/>
      <c r="S10" s="157"/>
      <c r="T10" s="157"/>
      <c r="U10" s="158"/>
      <c r="V10" s="158"/>
      <c r="W10" s="155"/>
      <c r="X10" s="155"/>
      <c r="Y10" s="159"/>
      <c r="Z10" s="160"/>
      <c r="AA10" s="160"/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  <c r="AX10" s="160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61"/>
    </row>
    <row r="11" spans="1:63" s="148" customFormat="1" ht="15" customHeight="1" x14ac:dyDescent="0.25">
      <c r="A11" s="162" t="s">
        <v>3</v>
      </c>
      <c r="B11" s="163"/>
      <c r="C11" s="163"/>
      <c r="D11" s="163"/>
      <c r="E11" s="163"/>
      <c r="F11" s="164"/>
      <c r="G11" s="150" t="s">
        <v>51</v>
      </c>
      <c r="H11" s="150"/>
      <c r="I11" s="150"/>
      <c r="J11" s="150"/>
      <c r="K11" s="150"/>
      <c r="L11" s="150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166"/>
      <c r="BI11" s="166"/>
      <c r="BJ11" s="166"/>
      <c r="BK11" s="167"/>
    </row>
    <row r="12" spans="1:63" s="148" customFormat="1" ht="15" customHeight="1" x14ac:dyDescent="0.25">
      <c r="A12" s="168" t="s">
        <v>4</v>
      </c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70"/>
      <c r="M12" s="168" t="s">
        <v>5</v>
      </c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70"/>
      <c r="AU12" s="168" t="s">
        <v>6</v>
      </c>
      <c r="AV12" s="169"/>
      <c r="AW12" s="169"/>
      <c r="AX12" s="169"/>
      <c r="AY12" s="169"/>
      <c r="AZ12" s="169"/>
      <c r="BA12" s="169"/>
      <c r="BB12" s="169"/>
      <c r="BC12" s="169"/>
      <c r="BD12" s="169"/>
      <c r="BE12" s="169"/>
      <c r="BF12" s="168" t="s">
        <v>7</v>
      </c>
      <c r="BG12" s="169"/>
      <c r="BH12" s="169"/>
      <c r="BI12" s="169"/>
      <c r="BJ12" s="169"/>
      <c r="BK12" s="170"/>
    </row>
    <row r="13" spans="1:63" s="148" customFormat="1" ht="15" customHeight="1" x14ac:dyDescent="0.25">
      <c r="A13" s="171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3"/>
      <c r="M13" s="171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2"/>
      <c r="AS13" s="172"/>
      <c r="AT13" s="173"/>
      <c r="AU13" s="171"/>
      <c r="AV13" s="172"/>
      <c r="AW13" s="172"/>
      <c r="AX13" s="172"/>
      <c r="AY13" s="172"/>
      <c r="AZ13" s="172"/>
      <c r="BA13" s="172"/>
      <c r="BB13" s="172"/>
      <c r="BC13" s="172"/>
      <c r="BD13" s="172"/>
      <c r="BE13" s="172"/>
      <c r="BF13" s="171"/>
      <c r="BG13" s="172"/>
      <c r="BH13" s="172"/>
      <c r="BI13" s="172"/>
      <c r="BJ13" s="172"/>
      <c r="BK13" s="173"/>
    </row>
    <row r="14" spans="1:63" s="148" customFormat="1" ht="15" customHeight="1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  <c r="M14" s="174"/>
      <c r="N14" s="174"/>
      <c r="O14" s="174"/>
      <c r="P14" s="174"/>
      <c r="Q14" s="174"/>
      <c r="R14" s="175"/>
      <c r="S14" s="175"/>
      <c r="T14" s="175"/>
      <c r="U14" s="175"/>
      <c r="V14" s="175"/>
      <c r="W14" s="175"/>
      <c r="X14" s="175"/>
      <c r="Y14" s="175"/>
      <c r="Z14" s="175"/>
      <c r="AA14" s="175"/>
      <c r="AB14" s="175"/>
      <c r="AC14" s="175"/>
      <c r="AD14" s="175"/>
      <c r="AE14" s="175"/>
      <c r="AF14" s="175"/>
      <c r="AG14" s="175"/>
      <c r="AH14" s="175"/>
      <c r="AI14" s="175"/>
      <c r="AJ14" s="175"/>
      <c r="AK14" s="175"/>
      <c r="AL14" s="175"/>
      <c r="AM14" s="175"/>
      <c r="AN14" s="175"/>
      <c r="AO14" s="175"/>
      <c r="AP14" s="175"/>
      <c r="AQ14" s="175"/>
      <c r="AR14" s="175"/>
      <c r="AS14" s="175"/>
      <c r="AT14" s="175"/>
      <c r="AU14" s="8"/>
      <c r="AV14" s="9"/>
      <c r="AW14" s="9"/>
      <c r="AX14" s="9"/>
      <c r="AY14" s="9"/>
      <c r="AZ14" s="9"/>
      <c r="BA14" s="9"/>
      <c r="BB14" s="9"/>
      <c r="BC14" s="9"/>
      <c r="BD14" s="9"/>
      <c r="BE14" s="10"/>
      <c r="BF14" s="51"/>
      <c r="BG14" s="52"/>
      <c r="BH14" s="52"/>
      <c r="BI14" s="52"/>
      <c r="BJ14" s="52"/>
      <c r="BK14" s="53"/>
    </row>
    <row r="15" spans="1:63" s="148" customFormat="1" ht="15" customHeight="1" x14ac:dyDescent="0.25">
      <c r="A15" s="11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2"/>
      <c r="M15" s="174"/>
      <c r="N15" s="177" t="s">
        <v>86</v>
      </c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1"/>
      <c r="AV15" s="19"/>
      <c r="AW15" s="19"/>
      <c r="AX15" s="19"/>
      <c r="AY15" s="19"/>
      <c r="AZ15" s="19"/>
      <c r="BA15" s="19"/>
      <c r="BB15" s="19"/>
      <c r="BC15" s="19"/>
      <c r="BD15" s="19"/>
      <c r="BE15" s="12"/>
      <c r="BF15" s="54"/>
      <c r="BG15" s="55"/>
      <c r="BH15" s="55"/>
      <c r="BI15" s="55"/>
      <c r="BJ15" s="55"/>
      <c r="BK15" s="56"/>
    </row>
    <row r="16" spans="1:63" s="148" customFormat="1" ht="15" customHeight="1" x14ac:dyDescent="0.25">
      <c r="A16" s="11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2"/>
      <c r="M16" s="176"/>
      <c r="N16" s="174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4"/>
      <c r="AK16" s="174"/>
      <c r="AL16" s="174"/>
      <c r="AM16" s="174"/>
      <c r="AN16" s="174"/>
      <c r="AO16" s="174"/>
      <c r="AP16" s="174"/>
      <c r="AQ16" s="174"/>
      <c r="AR16" s="174"/>
      <c r="AS16" s="174"/>
      <c r="AT16" s="174"/>
      <c r="AU16" s="11"/>
      <c r="AV16" s="19"/>
      <c r="AW16" s="19"/>
      <c r="AX16" s="19"/>
      <c r="AY16" s="19"/>
      <c r="AZ16" s="19"/>
      <c r="BA16" s="19"/>
      <c r="BB16" s="19"/>
      <c r="BC16" s="19"/>
      <c r="BD16" s="19"/>
      <c r="BE16" s="12"/>
      <c r="BF16" s="54"/>
      <c r="BG16" s="55"/>
      <c r="BH16" s="55"/>
      <c r="BI16" s="55"/>
      <c r="BJ16" s="55"/>
      <c r="BK16" s="56"/>
    </row>
    <row r="17" spans="1:63" s="148" customFormat="1" ht="15" customHeight="1" x14ac:dyDescent="0.25">
      <c r="A17" s="11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2"/>
      <c r="M17" s="174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1"/>
      <c r="AV17" s="19"/>
      <c r="AW17" s="19"/>
      <c r="AX17" s="19"/>
      <c r="AY17" s="19"/>
      <c r="AZ17" s="19"/>
      <c r="BA17" s="19"/>
      <c r="BB17" s="19"/>
      <c r="BC17" s="19"/>
      <c r="BD17" s="19"/>
      <c r="BE17" s="12"/>
      <c r="BF17" s="54"/>
      <c r="BG17" s="55"/>
      <c r="BH17" s="55"/>
      <c r="BI17" s="55"/>
      <c r="BJ17" s="55"/>
      <c r="BK17" s="56"/>
    </row>
    <row r="18" spans="1:63" s="148" customFormat="1" ht="15" customHeight="1" x14ac:dyDescent="0.25">
      <c r="A18" s="1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2"/>
      <c r="M18" s="174"/>
      <c r="N18" s="174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4"/>
      <c r="AK18" s="174"/>
      <c r="AL18" s="174"/>
      <c r="AM18" s="174"/>
      <c r="AN18" s="174"/>
      <c r="AO18" s="174"/>
      <c r="AP18" s="174"/>
      <c r="AQ18" s="174"/>
      <c r="AR18" s="174"/>
      <c r="AS18" s="174"/>
      <c r="AT18" s="174"/>
      <c r="AU18" s="11"/>
      <c r="AV18" s="19"/>
      <c r="AW18" s="19"/>
      <c r="AX18" s="19"/>
      <c r="AY18" s="19"/>
      <c r="AZ18" s="19"/>
      <c r="BA18" s="19"/>
      <c r="BB18" s="19"/>
      <c r="BC18" s="19"/>
      <c r="BD18" s="19"/>
      <c r="BE18" s="12"/>
      <c r="BF18" s="54"/>
      <c r="BG18" s="55"/>
      <c r="BH18" s="55"/>
      <c r="BI18" s="55"/>
      <c r="BJ18" s="55"/>
      <c r="BK18" s="56"/>
    </row>
    <row r="19" spans="1:63" s="148" customFormat="1" ht="15" customHeight="1" x14ac:dyDescent="0.25">
      <c r="A19" s="11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2"/>
      <c r="M19" s="174"/>
      <c r="N19" s="174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1"/>
      <c r="AV19" s="19"/>
      <c r="AW19" s="19"/>
      <c r="AX19" s="19"/>
      <c r="AY19" s="19"/>
      <c r="AZ19" s="19"/>
      <c r="BA19" s="19"/>
      <c r="BB19" s="19"/>
      <c r="BC19" s="19"/>
      <c r="BD19" s="19"/>
      <c r="BE19" s="12"/>
      <c r="BF19" s="54"/>
      <c r="BG19" s="55"/>
      <c r="BH19" s="55"/>
      <c r="BI19" s="55"/>
      <c r="BJ19" s="55"/>
      <c r="BK19" s="56"/>
    </row>
    <row r="20" spans="1:63" s="148" customFormat="1" ht="15" customHeight="1" x14ac:dyDescent="0.25">
      <c r="A20" s="11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2"/>
      <c r="M20" s="174"/>
      <c r="N20" s="174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  <c r="AH20" s="177"/>
      <c r="AI20" s="177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1"/>
      <c r="AV20" s="19"/>
      <c r="AW20" s="19"/>
      <c r="AX20" s="19"/>
      <c r="AY20" s="19"/>
      <c r="AZ20" s="19"/>
      <c r="BA20" s="19"/>
      <c r="BB20" s="19"/>
      <c r="BC20" s="19"/>
      <c r="BD20" s="19"/>
      <c r="BE20" s="12"/>
      <c r="BF20" s="54"/>
      <c r="BG20" s="55"/>
      <c r="BH20" s="55"/>
      <c r="BI20" s="55"/>
      <c r="BJ20" s="55"/>
      <c r="BK20" s="56"/>
    </row>
    <row r="21" spans="1:63" s="148" customFormat="1" ht="15" customHeight="1" x14ac:dyDescent="0.25">
      <c r="A21" s="11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2"/>
      <c r="M21" s="174"/>
      <c r="N21" s="174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1"/>
      <c r="AV21" s="19"/>
      <c r="AW21" s="19"/>
      <c r="AX21" s="19"/>
      <c r="AY21" s="19"/>
      <c r="AZ21" s="19"/>
      <c r="BA21" s="19"/>
      <c r="BB21" s="19"/>
      <c r="BC21" s="19"/>
      <c r="BD21" s="19"/>
      <c r="BE21" s="12"/>
      <c r="BF21" s="54"/>
      <c r="BG21" s="55"/>
      <c r="BH21" s="55"/>
      <c r="BI21" s="55"/>
      <c r="BJ21" s="55"/>
      <c r="BK21" s="56"/>
    </row>
    <row r="22" spans="1:63" s="148" customFormat="1" ht="15" customHeight="1" x14ac:dyDescent="0.25">
      <c r="A22" s="11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2"/>
      <c r="M22" s="174"/>
      <c r="N22" s="174"/>
      <c r="O22" s="177"/>
      <c r="P22" s="177"/>
      <c r="Q22" s="177"/>
      <c r="R22" s="20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  <c r="AJ22" s="174"/>
      <c r="AK22" s="174"/>
      <c r="AL22" s="174"/>
      <c r="AM22" s="174"/>
      <c r="AN22" s="174"/>
      <c r="AO22" s="174"/>
      <c r="AP22" s="174"/>
      <c r="AQ22" s="174"/>
      <c r="AR22" s="174"/>
      <c r="AS22" s="174"/>
      <c r="AT22" s="174"/>
      <c r="AU22" s="11"/>
      <c r="AV22" s="19"/>
      <c r="AW22" s="19"/>
      <c r="AX22" s="19"/>
      <c r="AY22" s="19"/>
      <c r="AZ22" s="19"/>
      <c r="BA22" s="19"/>
      <c r="BB22" s="19"/>
      <c r="BC22" s="19"/>
      <c r="BD22" s="19"/>
      <c r="BE22" s="12"/>
      <c r="BF22" s="54"/>
      <c r="BG22" s="55"/>
      <c r="BH22" s="55"/>
      <c r="BI22" s="55"/>
      <c r="BJ22" s="55"/>
      <c r="BK22" s="56"/>
    </row>
    <row r="23" spans="1:63" s="148" customFormat="1" ht="15" customHeight="1" x14ac:dyDescent="0.25">
      <c r="A23" s="1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2"/>
      <c r="M23" s="174"/>
      <c r="N23" s="174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1"/>
      <c r="AV23" s="19"/>
      <c r="AW23" s="19"/>
      <c r="AX23" s="19"/>
      <c r="AY23" s="19"/>
      <c r="AZ23" s="19"/>
      <c r="BA23" s="19"/>
      <c r="BB23" s="19"/>
      <c r="BC23" s="19"/>
      <c r="BD23" s="19"/>
      <c r="BE23" s="12"/>
      <c r="BF23" s="54"/>
      <c r="BG23" s="55"/>
      <c r="BH23" s="55"/>
      <c r="BI23" s="55"/>
      <c r="BJ23" s="55"/>
      <c r="BK23" s="56"/>
    </row>
    <row r="24" spans="1:63" s="148" customFormat="1" ht="15" customHeight="1" x14ac:dyDescent="0.25">
      <c r="A24" s="11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2"/>
      <c r="M24" s="174"/>
      <c r="N24" s="174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  <c r="AH24" s="177"/>
      <c r="AI24" s="177"/>
      <c r="AJ24" s="174"/>
      <c r="AK24" s="174"/>
      <c r="AL24" s="174"/>
      <c r="AM24" s="174"/>
      <c r="AN24" s="174"/>
      <c r="AO24" s="174"/>
      <c r="AP24" s="174"/>
      <c r="AQ24" s="174"/>
      <c r="AR24" s="174"/>
      <c r="AS24" s="174"/>
      <c r="AT24" s="174"/>
      <c r="AU24" s="11"/>
      <c r="AV24" s="19"/>
      <c r="AW24" s="19"/>
      <c r="AX24" s="19"/>
      <c r="AY24" s="19"/>
      <c r="AZ24" s="19"/>
      <c r="BA24" s="19"/>
      <c r="BB24" s="19"/>
      <c r="BC24" s="19"/>
      <c r="BD24" s="19"/>
      <c r="BE24" s="12"/>
      <c r="BF24" s="54"/>
      <c r="BG24" s="55"/>
      <c r="BH24" s="55"/>
      <c r="BI24" s="55"/>
      <c r="BJ24" s="55"/>
      <c r="BK24" s="56"/>
    </row>
    <row r="25" spans="1:63" s="148" customFormat="1" ht="15" customHeight="1" x14ac:dyDescent="0.25">
      <c r="A25" s="11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2"/>
      <c r="M25" s="174"/>
      <c r="N25" s="174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  <c r="AJ25" s="174"/>
      <c r="AK25" s="174"/>
      <c r="AL25" s="174"/>
      <c r="AM25" s="174"/>
      <c r="AN25" s="174"/>
      <c r="AO25" s="174"/>
      <c r="AP25" s="174"/>
      <c r="AQ25" s="174"/>
      <c r="AR25" s="174"/>
      <c r="AS25" s="174"/>
      <c r="AT25" s="174"/>
      <c r="AU25" s="11"/>
      <c r="AV25" s="19"/>
      <c r="AW25" s="19"/>
      <c r="AX25" s="19"/>
      <c r="AY25" s="19"/>
      <c r="AZ25" s="19"/>
      <c r="BA25" s="19"/>
      <c r="BB25" s="19"/>
      <c r="BC25" s="19"/>
      <c r="BD25" s="19"/>
      <c r="BE25" s="12"/>
      <c r="BF25" s="54"/>
      <c r="BG25" s="55"/>
      <c r="BH25" s="55"/>
      <c r="BI25" s="55"/>
      <c r="BJ25" s="55"/>
      <c r="BK25" s="56"/>
    </row>
    <row r="26" spans="1:63" s="148" customFormat="1" ht="15" customHeight="1" x14ac:dyDescent="0.25">
      <c r="A26" s="11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2"/>
      <c r="M26" s="174"/>
      <c r="N26" s="174" t="s">
        <v>87</v>
      </c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4"/>
      <c r="AK26" s="174"/>
      <c r="AL26" s="174"/>
      <c r="AM26" s="174"/>
      <c r="AN26" s="174"/>
      <c r="AO26" s="174"/>
      <c r="AP26" s="174"/>
      <c r="AQ26" s="174"/>
      <c r="AR26" s="174"/>
      <c r="AS26" s="174"/>
      <c r="AT26" s="174"/>
      <c r="AU26" s="11"/>
      <c r="AV26" s="19"/>
      <c r="AW26" s="19"/>
      <c r="AX26" s="19"/>
      <c r="AY26" s="19"/>
      <c r="AZ26" s="19"/>
      <c r="BA26" s="19"/>
      <c r="BB26" s="19"/>
      <c r="BC26" s="19"/>
      <c r="BD26" s="19"/>
      <c r="BE26" s="12"/>
      <c r="BF26" s="54"/>
      <c r="BG26" s="55"/>
      <c r="BH26" s="55"/>
      <c r="BI26" s="55"/>
      <c r="BJ26" s="55"/>
      <c r="BK26" s="56"/>
    </row>
    <row r="27" spans="1:63" s="148" customFormat="1" ht="15" customHeight="1" x14ac:dyDescent="0.25">
      <c r="A27" s="11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2"/>
      <c r="M27" s="174"/>
      <c r="N27" s="174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  <c r="AJ27" s="174"/>
      <c r="AK27" s="174"/>
      <c r="AL27" s="174"/>
      <c r="AM27" s="174"/>
      <c r="AN27" s="174"/>
      <c r="AO27" s="174"/>
      <c r="AP27" s="174"/>
      <c r="AQ27" s="174"/>
      <c r="AR27" s="174"/>
      <c r="AS27" s="174"/>
      <c r="AT27" s="174"/>
      <c r="AU27" s="11"/>
      <c r="AV27" s="19"/>
      <c r="AW27" s="19"/>
      <c r="AX27" s="19"/>
      <c r="AY27" s="19"/>
      <c r="AZ27" s="19"/>
      <c r="BA27" s="19"/>
      <c r="BB27" s="19"/>
      <c r="BC27" s="19"/>
      <c r="BD27" s="19"/>
      <c r="BE27" s="12"/>
      <c r="BF27" s="54"/>
      <c r="BG27" s="55"/>
      <c r="BH27" s="55"/>
      <c r="BI27" s="55"/>
      <c r="BJ27" s="55"/>
      <c r="BK27" s="56"/>
    </row>
    <row r="28" spans="1:63" s="148" customFormat="1" ht="15" customHeight="1" x14ac:dyDescent="0.25">
      <c r="A28" s="11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2"/>
      <c r="M28" s="174"/>
      <c r="N28" s="174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  <c r="AH28" s="177"/>
      <c r="AI28" s="177"/>
      <c r="AJ28" s="174"/>
      <c r="AK28" s="174"/>
      <c r="AL28" s="174"/>
      <c r="AM28" s="174"/>
      <c r="AN28" s="174"/>
      <c r="AO28" s="174"/>
      <c r="AP28" s="174"/>
      <c r="AQ28" s="174"/>
      <c r="AR28" s="174"/>
      <c r="AS28" s="174"/>
      <c r="AT28" s="174"/>
      <c r="AU28" s="11"/>
      <c r="AV28" s="19"/>
      <c r="AW28" s="19"/>
      <c r="AX28" s="19"/>
      <c r="AY28" s="19"/>
      <c r="AZ28" s="19"/>
      <c r="BA28" s="19"/>
      <c r="BB28" s="19"/>
      <c r="BC28" s="19"/>
      <c r="BD28" s="19"/>
      <c r="BE28" s="12"/>
      <c r="BF28" s="54"/>
      <c r="BG28" s="55"/>
      <c r="BH28" s="55"/>
      <c r="BI28" s="55"/>
      <c r="BJ28" s="55"/>
      <c r="BK28" s="56"/>
    </row>
    <row r="29" spans="1:63" s="148" customFormat="1" ht="15" customHeight="1" x14ac:dyDescent="0.25">
      <c r="A29" s="1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2"/>
      <c r="M29" s="174"/>
      <c r="N29" s="174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4"/>
      <c r="AK29" s="174"/>
      <c r="AL29" s="174"/>
      <c r="AM29" s="174"/>
      <c r="AN29" s="174"/>
      <c r="AO29" s="174"/>
      <c r="AP29" s="174"/>
      <c r="AQ29" s="174"/>
      <c r="AR29" s="174"/>
      <c r="AS29" s="174"/>
      <c r="AT29" s="174"/>
      <c r="AU29" s="11"/>
      <c r="AV29" s="19"/>
      <c r="AW29" s="19"/>
      <c r="AX29" s="19"/>
      <c r="AY29" s="19"/>
      <c r="AZ29" s="19"/>
      <c r="BA29" s="19"/>
      <c r="BB29" s="19"/>
      <c r="BC29" s="19"/>
      <c r="BD29" s="19"/>
      <c r="BE29" s="12"/>
      <c r="BF29" s="54"/>
      <c r="BG29" s="55"/>
      <c r="BH29" s="55"/>
      <c r="BI29" s="55"/>
      <c r="BJ29" s="55"/>
      <c r="BK29" s="56"/>
    </row>
    <row r="30" spans="1:63" s="148" customFormat="1" ht="15" customHeight="1" x14ac:dyDescent="0.25">
      <c r="A30" s="1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2"/>
      <c r="M30" s="174"/>
      <c r="N30" s="174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  <c r="AH30" s="177"/>
      <c r="AI30" s="177"/>
      <c r="AJ30" s="174"/>
      <c r="AK30" s="174"/>
      <c r="AL30" s="174"/>
      <c r="AM30" s="174"/>
      <c r="AN30" s="174"/>
      <c r="AO30" s="174"/>
      <c r="AP30" s="174"/>
      <c r="AQ30" s="174"/>
      <c r="AR30" s="174"/>
      <c r="AS30" s="174"/>
      <c r="AT30" s="174"/>
      <c r="AU30" s="11"/>
      <c r="AV30" s="19"/>
      <c r="AW30" s="19"/>
      <c r="AX30" s="19"/>
      <c r="AY30" s="19"/>
      <c r="AZ30" s="19"/>
      <c r="BA30" s="19"/>
      <c r="BB30" s="19"/>
      <c r="BC30" s="19"/>
      <c r="BD30" s="19"/>
      <c r="BE30" s="12"/>
      <c r="BF30" s="54"/>
      <c r="BG30" s="55"/>
      <c r="BH30" s="55"/>
      <c r="BI30" s="55"/>
      <c r="BJ30" s="55"/>
      <c r="BK30" s="56"/>
    </row>
    <row r="31" spans="1:63" s="148" customFormat="1" ht="15" customHeight="1" x14ac:dyDescent="0.25">
      <c r="A31" s="1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2"/>
      <c r="M31" s="174"/>
      <c r="N31" s="174"/>
      <c r="O31" s="177"/>
      <c r="P31" s="177"/>
      <c r="Q31" s="177"/>
      <c r="R31" s="21"/>
      <c r="S31" s="21"/>
      <c r="T31" s="174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4"/>
      <c r="AK31" s="174"/>
      <c r="AL31" s="174"/>
      <c r="AM31" s="174"/>
      <c r="AN31" s="174"/>
      <c r="AO31" s="174"/>
      <c r="AP31" s="174"/>
      <c r="AQ31" s="174"/>
      <c r="AR31" s="174"/>
      <c r="AS31" s="174"/>
      <c r="AT31" s="174"/>
      <c r="AU31" s="11"/>
      <c r="AV31" s="19"/>
      <c r="AW31" s="19"/>
      <c r="AX31" s="19"/>
      <c r="AY31" s="19"/>
      <c r="AZ31" s="19"/>
      <c r="BA31" s="19"/>
      <c r="BB31" s="19"/>
      <c r="BC31" s="19"/>
      <c r="BD31" s="19"/>
      <c r="BE31" s="12"/>
      <c r="BF31" s="54"/>
      <c r="BG31" s="55"/>
      <c r="BH31" s="55"/>
      <c r="BI31" s="55"/>
      <c r="BJ31" s="55"/>
      <c r="BK31" s="56"/>
    </row>
    <row r="32" spans="1:63" s="148" customFormat="1" ht="15" customHeight="1" x14ac:dyDescent="0.25">
      <c r="A32" s="11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2"/>
      <c r="M32" s="174"/>
      <c r="N32" s="174"/>
      <c r="O32" s="177"/>
      <c r="P32" s="177"/>
      <c r="Q32" s="177"/>
      <c r="R32" s="21"/>
      <c r="S32" s="21"/>
      <c r="T32" s="174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/>
      <c r="AI32" s="177"/>
      <c r="AJ32" s="174"/>
      <c r="AK32" s="174"/>
      <c r="AL32" s="174"/>
      <c r="AM32" s="174"/>
      <c r="AN32" s="174"/>
      <c r="AO32" s="174"/>
      <c r="AP32" s="174"/>
      <c r="AQ32" s="174"/>
      <c r="AR32" s="174"/>
      <c r="AS32" s="174"/>
      <c r="AT32" s="174"/>
      <c r="AU32" s="11"/>
      <c r="AV32" s="19"/>
      <c r="AW32" s="19"/>
      <c r="AX32" s="19"/>
      <c r="AY32" s="19"/>
      <c r="AZ32" s="19"/>
      <c r="BA32" s="19"/>
      <c r="BB32" s="19"/>
      <c r="BC32" s="19"/>
      <c r="BD32" s="19"/>
      <c r="BE32" s="12"/>
      <c r="BF32" s="54"/>
      <c r="BG32" s="55"/>
      <c r="BH32" s="55"/>
      <c r="BI32" s="55"/>
      <c r="BJ32" s="55"/>
      <c r="BK32" s="56"/>
    </row>
    <row r="33" spans="1:63" s="148" customFormat="1" ht="15" customHeight="1" x14ac:dyDescent="0.25">
      <c r="A33" s="11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2"/>
      <c r="M33" s="174"/>
      <c r="N33" s="174"/>
      <c r="O33" s="177"/>
      <c r="P33" s="177"/>
      <c r="Q33" s="177"/>
      <c r="R33" s="174"/>
      <c r="S33" s="21"/>
      <c r="T33" s="174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  <c r="AH33" s="177"/>
      <c r="AI33" s="177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1"/>
      <c r="AV33" s="19"/>
      <c r="AW33" s="19"/>
      <c r="AX33" s="19"/>
      <c r="AY33" s="19"/>
      <c r="AZ33" s="19"/>
      <c r="BA33" s="19"/>
      <c r="BB33" s="19"/>
      <c r="BC33" s="19"/>
      <c r="BD33" s="19"/>
      <c r="BE33" s="12"/>
      <c r="BF33" s="54"/>
      <c r="BG33" s="55"/>
      <c r="BH33" s="55"/>
      <c r="BI33" s="55"/>
      <c r="BJ33" s="55"/>
      <c r="BK33" s="56"/>
    </row>
    <row r="34" spans="1:63" s="148" customFormat="1" ht="15" customHeight="1" x14ac:dyDescent="0.25">
      <c r="A34" s="11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2"/>
      <c r="M34" s="174"/>
      <c r="N34" s="174"/>
      <c r="O34" s="177"/>
      <c r="P34" s="177"/>
      <c r="Q34" s="177"/>
      <c r="R34" s="174"/>
      <c r="S34" s="21"/>
      <c r="T34" s="174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  <c r="AH34" s="177"/>
      <c r="AI34" s="177"/>
      <c r="AJ34" s="174"/>
      <c r="AK34" s="174"/>
      <c r="AL34" s="174"/>
      <c r="AM34" s="174"/>
      <c r="AN34" s="174"/>
      <c r="AO34" s="174"/>
      <c r="AP34" s="174"/>
      <c r="AQ34" s="174"/>
      <c r="AR34" s="174"/>
      <c r="AS34" s="174"/>
      <c r="AT34" s="174"/>
      <c r="AU34" s="11"/>
      <c r="AV34" s="19"/>
      <c r="AW34" s="19"/>
      <c r="AX34" s="19"/>
      <c r="AY34" s="19"/>
      <c r="AZ34" s="19"/>
      <c r="BA34" s="19"/>
      <c r="BB34" s="19"/>
      <c r="BC34" s="19"/>
      <c r="BD34" s="19"/>
      <c r="BE34" s="12"/>
      <c r="BF34" s="54"/>
      <c r="BG34" s="55"/>
      <c r="BH34" s="55"/>
      <c r="BI34" s="55"/>
      <c r="BJ34" s="55"/>
      <c r="BK34" s="56"/>
    </row>
    <row r="35" spans="1:63" s="148" customFormat="1" ht="15" customHeight="1" x14ac:dyDescent="0.25">
      <c r="A35" s="11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2"/>
      <c r="M35" s="174"/>
      <c r="N35" s="174"/>
      <c r="O35" s="177"/>
      <c r="P35" s="177"/>
      <c r="Q35" s="177"/>
      <c r="R35" s="174"/>
      <c r="S35" s="21"/>
      <c r="T35" s="174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77"/>
      <c r="AI35" s="177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1"/>
      <c r="AV35" s="19"/>
      <c r="AW35" s="19"/>
      <c r="AX35" s="19"/>
      <c r="AY35" s="19"/>
      <c r="AZ35" s="19"/>
      <c r="BA35" s="19"/>
      <c r="BB35" s="19"/>
      <c r="BC35" s="19"/>
      <c r="BD35" s="19"/>
      <c r="BE35" s="12"/>
      <c r="BF35" s="54"/>
      <c r="BG35" s="55"/>
      <c r="BH35" s="55"/>
      <c r="BI35" s="55"/>
      <c r="BJ35" s="55"/>
      <c r="BK35" s="56"/>
    </row>
    <row r="36" spans="1:63" s="148" customFormat="1" ht="15" customHeight="1" x14ac:dyDescent="0.25">
      <c r="A36" s="11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2"/>
      <c r="M36" s="174"/>
      <c r="N36" s="174"/>
      <c r="O36" s="177"/>
      <c r="P36" s="177"/>
      <c r="R36" s="21"/>
      <c r="S36" s="21"/>
      <c r="T36" s="174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  <c r="AH36" s="177"/>
      <c r="AI36" s="177"/>
      <c r="AJ36" s="174"/>
      <c r="AK36" s="174"/>
      <c r="AL36" s="174"/>
      <c r="AM36" s="174"/>
      <c r="AN36" s="174"/>
      <c r="AO36" s="174"/>
      <c r="AP36" s="174"/>
      <c r="AQ36" s="174"/>
      <c r="AR36" s="174"/>
      <c r="AS36" s="174"/>
      <c r="AT36" s="174"/>
      <c r="AU36" s="11"/>
      <c r="AV36" s="19"/>
      <c r="AW36" s="19"/>
      <c r="AX36" s="19"/>
      <c r="AY36" s="19"/>
      <c r="AZ36" s="19"/>
      <c r="BA36" s="19"/>
      <c r="BB36" s="19"/>
      <c r="BC36" s="19"/>
      <c r="BD36" s="19"/>
      <c r="BE36" s="12"/>
      <c r="BF36" s="54"/>
      <c r="BG36" s="55"/>
      <c r="BH36" s="55"/>
      <c r="BI36" s="55"/>
      <c r="BJ36" s="55"/>
      <c r="BK36" s="56"/>
    </row>
    <row r="37" spans="1:63" s="148" customFormat="1" ht="15" customHeight="1" x14ac:dyDescent="0.25">
      <c r="A37" s="11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2"/>
      <c r="M37" s="174"/>
      <c r="N37" s="174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4"/>
      <c r="AK37" s="174"/>
      <c r="AL37" s="174"/>
      <c r="AM37" s="174"/>
      <c r="AN37" s="174"/>
      <c r="AO37" s="174"/>
      <c r="AP37" s="174"/>
      <c r="AQ37" s="174"/>
      <c r="AR37" s="174"/>
      <c r="AS37" s="174"/>
      <c r="AT37" s="174"/>
      <c r="AU37" s="11"/>
      <c r="AV37" s="19"/>
      <c r="AW37" s="19"/>
      <c r="AX37" s="19"/>
      <c r="AY37" s="19"/>
      <c r="AZ37" s="19"/>
      <c r="BA37" s="19"/>
      <c r="BB37" s="19"/>
      <c r="BC37" s="19"/>
      <c r="BD37" s="19"/>
      <c r="BE37" s="12"/>
      <c r="BF37" s="54"/>
      <c r="BG37" s="55"/>
      <c r="BH37" s="55"/>
      <c r="BI37" s="55"/>
      <c r="BJ37" s="55"/>
      <c r="BK37" s="56"/>
    </row>
    <row r="38" spans="1:63" s="148" customFormat="1" ht="15" customHeight="1" x14ac:dyDescent="0.25">
      <c r="A38" s="11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2"/>
      <c r="M38" s="174"/>
      <c r="N38" s="174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4"/>
      <c r="AK38" s="174"/>
      <c r="AL38" s="174"/>
      <c r="AM38" s="174"/>
      <c r="AN38" s="174"/>
      <c r="AO38" s="174"/>
      <c r="AP38" s="174"/>
      <c r="AQ38" s="174"/>
      <c r="AR38" s="174"/>
      <c r="AS38" s="174"/>
      <c r="AT38" s="174"/>
      <c r="AU38" s="11"/>
      <c r="AV38" s="19"/>
      <c r="AW38" s="19"/>
      <c r="AX38" s="19"/>
      <c r="AY38" s="19"/>
      <c r="AZ38" s="19"/>
      <c r="BA38" s="19"/>
      <c r="BB38" s="19"/>
      <c r="BC38" s="19"/>
      <c r="BD38" s="19"/>
      <c r="BE38" s="12"/>
      <c r="BF38" s="54"/>
      <c r="BG38" s="55"/>
      <c r="BH38" s="55"/>
      <c r="BI38" s="55"/>
      <c r="BJ38" s="55"/>
      <c r="BK38" s="56"/>
    </row>
    <row r="39" spans="1:63" s="148" customFormat="1" ht="15" customHeight="1" x14ac:dyDescent="0.25">
      <c r="A39" s="11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2"/>
      <c r="M39" s="174"/>
      <c r="N39" s="174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4"/>
      <c r="AK39" s="174"/>
      <c r="AL39" s="174"/>
      <c r="AM39" s="174"/>
      <c r="AN39" s="174"/>
      <c r="AO39" s="174"/>
      <c r="AP39" s="174"/>
      <c r="AQ39" s="174"/>
      <c r="AR39" s="174"/>
      <c r="AS39" s="174"/>
      <c r="AT39" s="174"/>
      <c r="AU39" s="11"/>
      <c r="AV39" s="19"/>
      <c r="AW39" s="19"/>
      <c r="AX39" s="19"/>
      <c r="AY39" s="19"/>
      <c r="AZ39" s="19"/>
      <c r="BA39" s="19"/>
      <c r="BB39" s="19"/>
      <c r="BC39" s="19"/>
      <c r="BD39" s="19"/>
      <c r="BE39" s="12"/>
      <c r="BF39" s="54"/>
      <c r="BG39" s="55"/>
      <c r="BH39" s="55"/>
      <c r="BI39" s="55"/>
      <c r="BJ39" s="55"/>
      <c r="BK39" s="56"/>
    </row>
    <row r="40" spans="1:63" s="148" customFormat="1" ht="15" customHeight="1" x14ac:dyDescent="0.25">
      <c r="A40" s="11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2"/>
      <c r="M40" s="174"/>
      <c r="N40" s="174"/>
      <c r="O40" s="177"/>
      <c r="P40" s="177"/>
      <c r="Q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  <c r="AJ40" s="174"/>
      <c r="AK40" s="174"/>
      <c r="AL40" s="174"/>
      <c r="AM40" s="174"/>
      <c r="AN40" s="174"/>
      <c r="AO40" s="174"/>
      <c r="AP40" s="174"/>
      <c r="AQ40" s="174"/>
      <c r="AR40" s="174"/>
      <c r="AS40" s="174"/>
      <c r="AT40" s="174"/>
      <c r="AU40" s="11"/>
      <c r="AV40" s="19"/>
      <c r="AW40" s="19"/>
      <c r="AX40" s="19"/>
      <c r="AY40" s="19"/>
      <c r="AZ40" s="19"/>
      <c r="BA40" s="19"/>
      <c r="BB40" s="19"/>
      <c r="BC40" s="19"/>
      <c r="BD40" s="19"/>
      <c r="BE40" s="12"/>
      <c r="BF40" s="54"/>
      <c r="BG40" s="55"/>
      <c r="BH40" s="55"/>
      <c r="BI40" s="55"/>
      <c r="BJ40" s="55"/>
      <c r="BK40" s="56"/>
    </row>
    <row r="41" spans="1:63" s="148" customFormat="1" ht="15" customHeight="1" x14ac:dyDescent="0.25">
      <c r="A41" s="11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2"/>
      <c r="M41" s="174"/>
      <c r="N41" s="174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  <c r="AH41" s="177"/>
      <c r="AI41" s="177"/>
      <c r="AJ41" s="174"/>
      <c r="AK41" s="174"/>
      <c r="AL41" s="174"/>
      <c r="AM41" s="174"/>
      <c r="AN41" s="174"/>
      <c r="AO41" s="174"/>
      <c r="AP41" s="174"/>
      <c r="AQ41" s="174"/>
      <c r="AR41" s="174"/>
      <c r="AS41" s="174"/>
      <c r="AT41" s="174"/>
      <c r="AU41" s="11"/>
      <c r="AV41" s="19"/>
      <c r="AW41" s="19"/>
      <c r="AX41" s="19"/>
      <c r="AY41" s="19"/>
      <c r="AZ41" s="19"/>
      <c r="BA41" s="19"/>
      <c r="BB41" s="19"/>
      <c r="BC41" s="19"/>
      <c r="BD41" s="19"/>
      <c r="BE41" s="12"/>
      <c r="BF41" s="54"/>
      <c r="BG41" s="55"/>
      <c r="BH41" s="55"/>
      <c r="BI41" s="55"/>
      <c r="BJ41" s="55"/>
      <c r="BK41" s="56"/>
    </row>
    <row r="42" spans="1:63" s="148" customFormat="1" ht="15" customHeight="1" x14ac:dyDescent="0.25">
      <c r="A42" s="11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2"/>
      <c r="M42" s="174"/>
      <c r="N42" s="174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  <c r="AH42" s="177"/>
      <c r="AI42" s="177"/>
      <c r="AJ42" s="174"/>
      <c r="AK42" s="174"/>
      <c r="AL42" s="174"/>
      <c r="AM42" s="174"/>
      <c r="AN42" s="174"/>
      <c r="AO42" s="174"/>
      <c r="AP42" s="174"/>
      <c r="AQ42" s="174"/>
      <c r="AR42" s="174"/>
      <c r="AS42" s="174"/>
      <c r="AT42" s="174"/>
      <c r="AU42" s="11"/>
      <c r="AV42" s="19"/>
      <c r="AW42" s="19"/>
      <c r="AX42" s="19"/>
      <c r="AY42" s="19"/>
      <c r="AZ42" s="19"/>
      <c r="BA42" s="19"/>
      <c r="BB42" s="19"/>
      <c r="BC42" s="19"/>
      <c r="BD42" s="19"/>
      <c r="BE42" s="12"/>
      <c r="BF42" s="54"/>
      <c r="BG42" s="55"/>
      <c r="BH42" s="55"/>
      <c r="BI42" s="55"/>
      <c r="BJ42" s="55"/>
      <c r="BK42" s="56"/>
    </row>
    <row r="43" spans="1:63" s="148" customFormat="1" ht="15" customHeight="1" x14ac:dyDescent="0.25">
      <c r="A43" s="11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2"/>
      <c r="M43" s="174"/>
      <c r="N43" s="174"/>
      <c r="O43" s="177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  <c r="AA43" s="174"/>
      <c r="AB43" s="174"/>
      <c r="AC43" s="174"/>
      <c r="AD43" s="174"/>
      <c r="AE43" s="174"/>
      <c r="AF43" s="174"/>
      <c r="AG43" s="174"/>
      <c r="AH43" s="174"/>
      <c r="AI43" s="174"/>
      <c r="AJ43" s="174"/>
      <c r="AK43" s="174"/>
      <c r="AL43" s="174"/>
      <c r="AM43" s="174"/>
      <c r="AN43" s="174"/>
      <c r="AO43" s="174"/>
      <c r="AP43" s="174"/>
      <c r="AQ43" s="174"/>
      <c r="AR43" s="174"/>
      <c r="AS43" s="174"/>
      <c r="AT43" s="174"/>
      <c r="AU43" s="11"/>
      <c r="AV43" s="19"/>
      <c r="AW43" s="19"/>
      <c r="AX43" s="19"/>
      <c r="AY43" s="19"/>
      <c r="AZ43" s="19"/>
      <c r="BA43" s="19"/>
      <c r="BB43" s="19"/>
      <c r="BC43" s="19"/>
      <c r="BD43" s="19"/>
      <c r="BE43" s="12"/>
      <c r="BF43" s="54"/>
      <c r="BG43" s="55"/>
      <c r="BH43" s="55"/>
      <c r="BI43" s="55"/>
      <c r="BJ43" s="55"/>
      <c r="BK43" s="56"/>
    </row>
    <row r="44" spans="1:63" s="148" customFormat="1" ht="15" customHeight="1" x14ac:dyDescent="0.25">
      <c r="A44" s="11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2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  <c r="AA44" s="174"/>
      <c r="AB44" s="174"/>
      <c r="AC44" s="174"/>
      <c r="AD44" s="174"/>
      <c r="AE44" s="174"/>
      <c r="AF44" s="174"/>
      <c r="AG44" s="174"/>
      <c r="AH44" s="174"/>
      <c r="AI44" s="174"/>
      <c r="AJ44" s="174"/>
      <c r="AK44" s="174"/>
      <c r="AL44" s="174"/>
      <c r="AM44" s="174"/>
      <c r="AN44" s="174"/>
      <c r="AO44" s="174"/>
      <c r="AP44" s="174"/>
      <c r="AQ44" s="174"/>
      <c r="AR44" s="174"/>
      <c r="AS44" s="174"/>
      <c r="AT44" s="174"/>
      <c r="AU44" s="11"/>
      <c r="AV44" s="19"/>
      <c r="AW44" s="19"/>
      <c r="AX44" s="19"/>
      <c r="AY44" s="19"/>
      <c r="AZ44" s="19"/>
      <c r="BA44" s="19"/>
      <c r="BB44" s="19"/>
      <c r="BC44" s="19"/>
      <c r="BD44" s="19"/>
      <c r="BE44" s="12"/>
      <c r="BF44" s="54"/>
      <c r="BG44" s="55"/>
      <c r="BH44" s="55"/>
      <c r="BI44" s="55"/>
      <c r="BJ44" s="55"/>
      <c r="BK44" s="56"/>
    </row>
    <row r="45" spans="1:63" s="148" customFormat="1" ht="15" customHeight="1" x14ac:dyDescent="0.2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5"/>
      <c r="M45" s="179"/>
      <c r="N45" s="180"/>
      <c r="O45" s="180"/>
      <c r="P45" s="180"/>
      <c r="Q45" s="180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181"/>
      <c r="AQ45" s="181"/>
      <c r="AR45" s="181"/>
      <c r="AS45" s="181"/>
      <c r="AT45" s="181"/>
      <c r="AU45" s="13"/>
      <c r="AV45" s="14"/>
      <c r="AW45" s="14"/>
      <c r="AX45" s="14"/>
      <c r="AY45" s="14"/>
      <c r="AZ45" s="14"/>
      <c r="BA45" s="14"/>
      <c r="BB45" s="14"/>
      <c r="BC45" s="14"/>
      <c r="BD45" s="14"/>
      <c r="BE45" s="15"/>
      <c r="BF45" s="57"/>
      <c r="BG45" s="58"/>
      <c r="BH45" s="58"/>
      <c r="BI45" s="58"/>
      <c r="BJ45" s="58"/>
      <c r="BK45" s="59"/>
    </row>
    <row r="46" spans="1:63" ht="15" customHeight="1" x14ac:dyDescent="0.25">
      <c r="A46" s="16"/>
      <c r="BK46" s="6"/>
    </row>
    <row r="47" spans="1:63" ht="15" customHeight="1" x14ac:dyDescent="0.25">
      <c r="A47" s="23"/>
      <c r="BK47" s="6"/>
    </row>
    <row r="48" spans="1:63" ht="15" customHeight="1" x14ac:dyDescent="0.25">
      <c r="A48" s="23"/>
      <c r="BK48" s="6"/>
    </row>
    <row r="49" spans="1:63" ht="15" customHeight="1" x14ac:dyDescent="0.25">
      <c r="A49" s="23"/>
      <c r="BK49" s="6"/>
    </row>
    <row r="50" spans="1:63" ht="15" customHeight="1" x14ac:dyDescent="0.25">
      <c r="A50" s="23"/>
      <c r="BK50" s="6"/>
    </row>
    <row r="51" spans="1:63" ht="15" customHeight="1" x14ac:dyDescent="0.25">
      <c r="A51" s="23"/>
      <c r="BK51" s="6"/>
    </row>
    <row r="52" spans="1:63" ht="15" customHeight="1" x14ac:dyDescent="0.25">
      <c r="A52" s="23"/>
      <c r="BK52" s="6"/>
    </row>
    <row r="53" spans="1:63" ht="15" customHeight="1" x14ac:dyDescent="0.25">
      <c r="A53" s="23"/>
      <c r="BK53" s="6"/>
    </row>
    <row r="54" spans="1:63" ht="15" customHeight="1" x14ac:dyDescent="0.25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  <row r="55" spans="1:63" ht="15" customHeight="1" x14ac:dyDescent="0.25"/>
    <row r="56" spans="1:63" ht="15" customHeight="1" x14ac:dyDescent="0.25"/>
    <row r="57" spans="1:63" ht="15" customHeight="1" x14ac:dyDescent="0.25"/>
    <row r="58" spans="1:63" ht="15" customHeight="1" x14ac:dyDescent="0.25"/>
    <row r="59" spans="1:63" ht="15" customHeight="1" x14ac:dyDescent="0.25"/>
    <row r="60" spans="1:63" ht="15" customHeight="1" x14ac:dyDescent="0.25"/>
    <row r="61" spans="1:63" ht="15" customHeight="1" x14ac:dyDescent="0.25"/>
    <row r="62" spans="1:63" ht="15" customHeight="1" x14ac:dyDescent="0.25"/>
    <row r="63" spans="1:63" ht="15" customHeight="1" x14ac:dyDescent="0.25"/>
    <row r="64" spans="1:6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</sheetData>
  <mergeCells count="32">
    <mergeCell ref="AP4:BK4"/>
    <mergeCell ref="BF14:BK40"/>
    <mergeCell ref="BF41:BK45"/>
    <mergeCell ref="A11:F11"/>
    <mergeCell ref="G11:L11"/>
    <mergeCell ref="A12:L13"/>
    <mergeCell ref="M12:AT13"/>
    <mergeCell ref="AU12:BE13"/>
    <mergeCell ref="BF12:BK13"/>
    <mergeCell ref="A1:J1"/>
    <mergeCell ref="K1:V1"/>
    <mergeCell ref="W1:AO3"/>
    <mergeCell ref="A4:G4"/>
    <mergeCell ref="H4:T4"/>
    <mergeCell ref="U4:Y4"/>
    <mergeCell ref="Z4:AO4"/>
    <mergeCell ref="AP1:AS1"/>
    <mergeCell ref="AT1:AX1"/>
    <mergeCell ref="AY1:BB1"/>
    <mergeCell ref="A9:D9"/>
    <mergeCell ref="E9:N9"/>
    <mergeCell ref="O9:T9"/>
    <mergeCell ref="U9:BK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</mergeCells>
  <dataValidations count="2">
    <dataValidation type="list" showInputMessage="1" sqref="U10" xr:uid="{00000000-0002-0000-0300-000000000000}">
      <formula1>"同期,非同期"</formula1>
    </dataValidation>
    <dataValidation type="list" allowBlank="1" showInputMessage="1" showErrorMessage="1" sqref="O10" xr:uid="{00000000-0002-0000-0300-000001000000}">
      <formula1>"初期処理,ボタン押下,リンク押下,タブ押下,選択時,選択解除,変更時,イメージリンク押下,フォーカスイン,フォーカスアウト,タイマー"</formula1>
    </dataValidation>
  </dataValidations>
  <pageMargins left="0.7" right="0.7" top="0.75" bottom="0.75" header="0.3" footer="0.3"/>
  <pageSetup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134787-617A-48E1-B97C-26B9339DE2D9}"/>
</file>

<file path=customXml/itemProps2.xml><?xml version="1.0" encoding="utf-8"?>
<ds:datastoreItem xmlns:ds="http://schemas.openxmlformats.org/officeDocument/2006/customXml" ds:itemID="{B59BE53C-52D7-4593-A5C0-9D5294CFCC80}"/>
</file>

<file path=customXml/itemProps3.xml><?xml version="1.0" encoding="utf-8"?>
<ds:datastoreItem xmlns:ds="http://schemas.openxmlformats.org/officeDocument/2006/customXml" ds:itemID="{3373D36F-98F3-42DC-AF3C-66AB44CB3967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表紙</vt:lpstr>
      <vt:lpstr>改訂履歴</vt:lpstr>
      <vt:lpstr>SC0401</vt:lpstr>
      <vt:lpstr>テンプレート</vt:lpstr>
      <vt:lpstr>'SC0401'!Print_Area</vt:lpstr>
      <vt:lpstr>テンプレート!Print_Area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</cp:lastModifiedBy>
  <dcterms:created xsi:type="dcterms:W3CDTF">2015-06-05T18:19:34Z</dcterms:created>
  <dcterms:modified xsi:type="dcterms:W3CDTF">2024-06-18T07:19:50Z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