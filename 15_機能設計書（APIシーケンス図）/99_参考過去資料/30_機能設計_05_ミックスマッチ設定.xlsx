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xmlns:mc="http://schemas.openxmlformats.org/markup-compatibility/2006">
    <mc:Choice Requires="x15">
      <x15ac:absPath xmlns:x15ac="http://schemas.microsoft.com/office/spreadsheetml/2010/11/ac" url="C:\Users\lethinhatle\Downloads\"/>
    </mc:Choice>
  </mc:AlternateContent>
  <xr:revisionPtr revIDLastSave="0" documentId="13_ncr:1_{F00256DE-C5E4-4231-8EFC-271CBC89E607}"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0501" sheetId="11" r:id="rId3"/>
    <sheet name="MD0501" sheetId="13" r:id="rId4"/>
    <sheet name="MD0502" sheetId="12" r:id="rId5"/>
  </sheets>
  <definedNames>
    <definedName name="_xlnm.Print_Area" localSheetId="3">'MD0501'!$A$1:$BK$73</definedName>
    <definedName name="_xlnm.Print_Area" localSheetId="4">'MD0502'!$A$1:$BK$49</definedName>
    <definedName name="_xlnm.Print_Area" localSheetId="2">'SC0501'!$A$1:$BK$289</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12" l="1"/>
  <c r="Z4" i="12"/>
  <c r="H4" i="12"/>
  <c r="AT2" i="12"/>
  <c r="K2" i="12"/>
  <c r="A2" i="12"/>
  <c r="W1" i="12"/>
  <c r="AP4" i="13"/>
  <c r="Z4" i="13"/>
  <c r="H4" i="13"/>
  <c r="AT2" i="13"/>
  <c r="AP2" i="13"/>
  <c r="K2" i="13"/>
  <c r="A2" i="13"/>
  <c r="W1" i="13"/>
  <c r="AP4" i="11"/>
  <c r="Z4" i="11"/>
  <c r="H4" i="11"/>
  <c r="AT2" i="11"/>
  <c r="AP2" i="11"/>
  <c r="K2" i="11"/>
  <c r="A2" i="11"/>
  <c r="W1" i="11"/>
  <c r="AP4" i="3" a="1"/>
  <c r="AP4" i="3" s="1"/>
  <c r="Z4" i="3"/>
  <c r="H4" i="3"/>
  <c r="AT2" i="3"/>
  <c r="AP2" i="3"/>
  <c r="K2" i="3"/>
  <c r="A2" i="3"/>
  <c r="W1" i="3"/>
  <c r="L24" i="4"/>
  <c r="AP4" i="4" a="1"/>
  <c r="AP4" i="4" s="1"/>
  <c r="BH2" i="4"/>
  <c r="BH2" i="11" s="1"/>
  <c r="BC2" i="4"/>
  <c r="BC2" i="11" s="1"/>
  <c r="AY2" i="4"/>
  <c r="AY2" i="12" s="1"/>
  <c r="AT2" i="4"/>
  <c r="AP2" i="4"/>
  <c r="AP2" i="12" s="1"/>
  <c r="AY2" i="13" l="1"/>
  <c r="BC2" i="12"/>
  <c r="AY2" i="3"/>
  <c r="AY2" i="11"/>
  <c r="BC2" i="13"/>
  <c r="BH2" i="12"/>
  <c r="BC2" i="3"/>
  <c r="BH2" i="13"/>
  <c r="BH2" i="3"/>
</calcChain>
</file>

<file path=xl/sharedStrings.xml><?xml version="1.0" encoding="utf-8"?>
<sst xmlns="http://schemas.openxmlformats.org/spreadsheetml/2006/main" count="432" uniqueCount="231">
  <si>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</si>
  <si>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</si>
  <si>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</si>
  <si>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イベントID</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</si>
  <si>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</si>
  <si>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</si>
  <si>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</si>
  <si>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</si>
  <si>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</si>
  <si>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画面初期化</t>
    </r>
  </si>
  <si>
    <r>
      <rPr>
        <b/>
        <sz val="11"/>
        <color rgb="FF000000"/>
        <rFont val="Meiryo UI"/>
        <family val="2"/>
      </rPr>
      <t>APIのパラメータ</t>
    </r>
  </si>
  <si>
    <r>
      <rPr>
        <b/>
        <sz val="11"/>
        <color rgb="FF000000"/>
        <rFont val="Meiryo UI"/>
        <family val="2"/>
      </rPr>
      <t>パラメータの値</t>
    </r>
  </si>
  <si>
    <r>
      <rPr>
        <sz val="11"/>
        <color rgb="FF000000"/>
        <rFont val="Meiryo UI"/>
        <family val="2"/>
      </rPr>
      <t>2.2 返却された結果情報</t>
    </r>
  </si>
  <si>
    <r>
      <rPr>
        <sz val="11"/>
        <color rgb="FF000000"/>
        <rFont val="Meiryo UI"/>
        <family val="2"/>
      </rPr>
      <t>▪バリデーションチェックのエラーがある：</t>
    </r>
  </si>
  <si>
    <r>
      <rPr>
        <sz val="11"/>
        <color rgb="FF000000"/>
        <rFont val="Meiryo UI"/>
        <family val="2"/>
      </rPr>
      <t>record_id</t>
    </r>
  </si>
  <si>
    <r>
      <rPr>
        <sz val="11"/>
        <color rgb="FF000000"/>
        <rFont val="Meiryo UI"/>
        <family val="2"/>
      </rPr>
      <t>selected_store</t>
    </r>
  </si>
  <si>
    <r>
      <rPr>
        <sz val="11"/>
        <color rgb="FF000000"/>
        <rFont val="Meiryo UI"/>
        <family val="2"/>
      </rPr>
      <t>1.2 返却された結果情報</t>
    </r>
  </si>
  <si>
    <r>
      <rPr>
        <sz val="11"/>
        <color rgb="FF000000"/>
        <rFont val="Meiryo UI"/>
        <family val="2"/>
      </rPr>
      <t>選択された店舗</t>
    </r>
  </si>
  <si>
    <r>
      <rPr>
        <sz val="11"/>
        <color rgb="FF000000"/>
        <rFont val="Meiryo UI"/>
        <family val="2"/>
      </rPr>
      <t>「部門コード（値）」、「商品コード」項目を無効にする。</t>
    </r>
  </si>
  <si>
    <r>
      <rPr>
        <sz val="11"/>
        <color rgb="FF000000"/>
        <rFont val="Meiryo UI"/>
        <family val="2"/>
      </rPr>
      <t>「PLUコード」項目を無効にする。</t>
    </r>
  </si>
  <si>
    <r>
      <rPr>
        <sz val="11"/>
        <color rgb="FF000000"/>
        <rFont val="Meiryo UI"/>
        <family val="2"/>
      </rPr>
      <t>1.1 API「AP1506」: 商品提案呼出処理を実行する。</t>
    </r>
  </si>
  <si>
    <r>
      <rPr>
        <sz val="11"/>
        <color rgb="FF000000"/>
        <rFont val="Meiryo UI"/>
        <family val="2"/>
      </rPr>
      <t>group_code</t>
    </r>
  </si>
  <si>
    <r>
      <rPr>
        <sz val="11"/>
        <color rgb="FF000000"/>
        <rFont val="Meiryo UI"/>
        <family val="2"/>
      </rPr>
      <t>product_code</t>
    </r>
  </si>
  <si>
    <r>
      <rPr>
        <sz val="11"/>
        <color rgb="FF000000"/>
        <rFont val="Meiryo UI"/>
        <family val="2"/>
      </rPr>
      <t>画面に入力された部門コード</t>
    </r>
  </si>
  <si>
    <r>
      <rPr>
        <sz val="11"/>
        <color rgb="FF000000"/>
        <rFont val="Meiryo UI"/>
        <family val="2"/>
      </rPr>
      <t>画面に入力された商品コード</t>
    </r>
  </si>
  <si>
    <r>
      <rPr>
        <sz val="11"/>
        <color rgb="FF000000"/>
        <rFont val="Meiryo UI"/>
        <family val="2"/>
      </rPr>
      <t>画面に入力されたPLUコード</t>
    </r>
  </si>
  <si>
    <r>
      <rPr>
        <sz val="11"/>
        <color rgb="FF000000"/>
        <rFont val="Meiryo UI"/>
        <family val="2"/>
      </rPr>
      <t>40_API設計_AP1506_商品提案.xlsxをご参照ください。</t>
    </r>
  </si>
  <si>
    <r>
      <rPr>
        <sz val="11"/>
        <color rgb="FF000000"/>
        <rFont val="Meiryo UI"/>
        <family val="2"/>
      </rPr>
      <t>画面に入力された情報をクリアする。</t>
    </r>
  </si>
  <si>
    <r>
      <rPr>
        <sz val="11"/>
        <color rgb="FF000000"/>
        <rFont val="Meiryo UI"/>
        <family val="2"/>
      </rPr>
      <t>▪商品情報取得が成功した場合、</t>
    </r>
  </si>
  <si>
    <r>
      <rPr>
        <sz val="11"/>
        <color rgb="FF000000"/>
        <rFont val="Meiryo UI"/>
        <family val="2"/>
      </rPr>
      <t>▪商品情報取得が失敗した場合、</t>
    </r>
  </si>
  <si>
    <r>
      <rPr>
        <sz val="11"/>
        <color rgb="FF000000"/>
        <rFont val="Meiryo UI"/>
        <family val="2"/>
      </rPr>
      <t>入力されていない場合、MSG_VAL_001を表示する。</t>
    </r>
  </si>
  <si>
    <r>
      <rPr>
        <sz val="11"/>
        <color rgb="FF000000"/>
        <rFont val="Meiryo UI"/>
        <family val="2"/>
      </rPr>
      <t>入力された数値 &lt;=0の場合、MSG_VAL_038を表示する。</t>
    </r>
  </si>
  <si>
    <r>
      <rPr>
        <sz val="11"/>
        <color rgb="FF000000"/>
        <rFont val="Meiryo UI"/>
        <family val="2"/>
      </rPr>
      <t>・APIエラーの共通表示処理を実行する。</t>
    </r>
  </si>
  <si>
    <r>
      <rPr>
        <sz val="11"/>
        <color rgb="FF000000"/>
        <rFont val="Meiryo UI"/>
        <family val="2"/>
      </rPr>
      <t>入力されたPLUコードが13未満の場合、「0」を追加して、API 「AP1506：商品提案」を呼び出す。</t>
    </r>
  </si>
  <si>
    <r>
      <rPr>
        <sz val="11"/>
        <color rgb="FF000000"/>
        <rFont val="Meiryo UI"/>
        <family val="2"/>
      </rPr>
      <t>plu</t>
    </r>
  </si>
  <si>
    <r>
      <rPr>
        <sz val="11"/>
        <color rgb="FF000000"/>
        <rFont val="Meiryo UI"/>
        <family val="2"/>
      </rPr>
      <t>promotion_code</t>
    </r>
  </si>
  <si>
    <r>
      <rPr>
        <sz val="11"/>
        <color rgb="FF000000"/>
        <rFont val="Meiryo UI"/>
        <family val="2"/>
      </rPr>
      <t>画面で入力されたプロモーションコード</t>
    </r>
  </si>
  <si>
    <r>
      <rPr>
        <sz val="11"/>
        <color rgb="FF000000"/>
        <rFont val="Meiryo UI"/>
        <family val="2"/>
      </rPr>
      <t>40_API設計_AP0106_ プロモーション情報取得.xlsxをご参照ください。</t>
    </r>
  </si>
  <si>
    <r>
      <rPr>
        <sz val="11"/>
        <color rgb="FF000000"/>
        <rFont val="Meiryo UI"/>
        <family val="2"/>
      </rPr>
      <t>・返却レスポンスは40_API設計_AP0106_プロモーション情報取得.xlsxをご参照ください。</t>
    </r>
  </si>
  <si>
    <r>
      <rPr>
        <sz val="11"/>
        <color rgb="FF000000"/>
        <rFont val="Meiryo UI"/>
        <family val="2"/>
      </rPr>
      <t>プロモーション情報検索</t>
    </r>
  </si>
  <si>
    <r>
      <rPr>
        <sz val="11"/>
        <color rgb="FF000000"/>
        <rFont val="Meiryo UI"/>
        <family val="2"/>
      </rPr>
      <t>MD0102_プロモーション一覧モーダルに遷移する。</t>
    </r>
  </si>
  <si>
    <r>
      <rPr>
        <sz val="11"/>
        <color rgb="FF000000"/>
        <rFont val="Meiryo UI"/>
        <family val="2"/>
      </rPr>
      <t>ボタンの名称を「商品コード切替」に切り替える。</t>
    </r>
  </si>
  <si>
    <r>
      <rPr>
        <sz val="11"/>
        <color rgb="FF000000"/>
        <rFont val="Meiryo UI"/>
        <family val="2"/>
      </rPr>
      <t>ボタンの名称を「PLUコード切替」に切り替える。</t>
    </r>
  </si>
  <si>
    <r>
      <rPr>
        <sz val="11"/>
        <color rgb="FF000000"/>
        <rFont val="Meiryo UI"/>
        <family val="2"/>
      </rPr>
      <t>05_ミックスマッチ設定</t>
    </r>
  </si>
  <si>
    <r>
      <rPr>
        <sz val="11"/>
        <color rgb="FF000000"/>
        <rFont val="Meiryo UI"/>
        <family val="2"/>
      </rPr>
      <t>SC0501</t>
    </r>
  </si>
  <si>
    <r>
      <rPr>
        <sz val="11"/>
        <color rgb="FF000000"/>
        <rFont val="Meiryo UI"/>
        <family val="2"/>
      </rPr>
      <t>ミックスマッチ設定</t>
    </r>
  </si>
  <si>
    <r>
      <rPr>
        <sz val="11"/>
        <color rgb="FF000000"/>
        <rFont val="Meiryo UI"/>
        <family val="2"/>
      </rPr>
      <t>20_画面設計_05_ミックスマッチ設定.xlsxをご参照ください。</t>
    </r>
  </si>
  <si>
    <r>
      <rPr>
        <sz val="11"/>
        <color rgb="FF000000"/>
        <rFont val="Meiryo UI"/>
        <family val="2"/>
      </rPr>
      <t>プロモーション提案</t>
    </r>
  </si>
  <si>
    <r>
      <rPr>
        <sz val="11"/>
        <color rgb="FF000000"/>
        <rFont val="Meiryo UI"/>
        <family val="2"/>
      </rPr>
      <t>1.1 「AP0106_プロモーション情報取得」呼出処理を実行する。</t>
    </r>
  </si>
  <si>
    <r>
      <rPr>
        <sz val="10"/>
        <color rgb="FF000000"/>
        <rFont val="Meiryo UI"/>
        <family val="2"/>
      </rPr>
      <t>20_画面設計_05_ミックスマッチ設定.xlsx</t>
    </r>
  </si>
  <si>
    <r>
      <rPr>
        <sz val="11"/>
        <color rgb="FF000000"/>
        <rFont val="Meiryo UI"/>
        <family val="2"/>
      </rPr>
      <t>・20_画面設計_05_ミックスマッチ設定.xlsxの説明に従って、エラーメッセージを画面に表示する。</t>
    </r>
  </si>
  <si>
    <r>
      <rPr>
        <sz val="11"/>
        <color rgb="FF000000"/>
        <rFont val="Meiryo UI"/>
        <family val="2"/>
      </rPr>
      <t>▪ プロモーションが存在していない場合 (response code = 404)</t>
    </r>
  </si>
  <si>
    <r>
      <rPr>
        <sz val="11"/>
        <color rgb="FF000000"/>
        <rFont val="Meiryo UI"/>
        <family val="2"/>
      </rPr>
      <t>MD0102でプロモーションを選択した場合、モーダルを閉じ、以下のファイルの説明に従って選択されたプロモーション情報を表示する。</t>
    </r>
  </si>
  <si>
    <r>
      <rPr>
        <sz val="11"/>
        <color rgb="FF000000"/>
        <rFont val="Meiryo UI"/>
        <family val="2"/>
      </rPr>
      <t>ミックスマッチ検索</t>
    </r>
  </si>
  <si>
    <r>
      <rPr>
        <sz val="11"/>
        <color rgb="FF000000"/>
        <rFont val="Meiryo UI"/>
        <family val="2"/>
      </rPr>
      <t>有効なプロモーションが選択された場合、プロモーション検索ボタンを無効にする。</t>
    </r>
  </si>
  <si>
    <r>
      <rPr>
        <sz val="11"/>
        <color rgb="FF000000"/>
        <rFont val="Meiryo UI"/>
        <family val="2"/>
      </rPr>
      <t>mix_match_code</t>
    </r>
  </si>
  <si>
    <r>
      <rPr>
        <sz val="11"/>
        <color rgb="FF000000"/>
        <rFont val="Meiryo UI"/>
        <family val="2"/>
      </rPr>
      <t>40_API設計_AP0501_ミックスマッチ詳細情報.xlsxをご参照ください。</t>
    </r>
  </si>
  <si>
    <r>
      <rPr>
        <sz val="11"/>
        <color rgb="FF000000"/>
        <rFont val="Meiryo UI"/>
        <family val="2"/>
      </rPr>
      <t>2.1 「AP0501」API呼出処理を実行する。</t>
    </r>
  </si>
  <si>
    <r>
      <rPr>
        <sz val="11"/>
        <color rgb="FF000000"/>
        <rFont val="Meiryo UI"/>
        <family val="2"/>
      </rPr>
      <t>・返却レスポンスは40_API設計_AP0501_ミックスマッチ詳細情報.xlsxをご参照ください。</t>
    </r>
  </si>
  <si>
    <r>
      <rPr>
        <sz val="11"/>
        <color rgb="FF000000"/>
        <rFont val="Meiryo UI"/>
        <family val="2"/>
      </rPr>
      <t>▪ミックスマッチコードに該当するミックスマッチ情報がある場合</t>
    </r>
  </si>
  <si>
    <r>
      <rPr>
        <sz val="11"/>
        <color rgb="FF000000"/>
        <rFont val="Meiryo UI"/>
        <family val="2"/>
      </rPr>
      <t>ミックスマッチ新規作成</t>
    </r>
  </si>
  <si>
    <r>
      <rPr>
        <sz val="11"/>
        <color rgb="FF000000"/>
        <rFont val="Meiryo UI"/>
        <family val="2"/>
      </rPr>
      <t>20_画面設計_03_店舗特売入力.xlsxの説明に従って画面上のデフォルト値を設定する。</t>
    </r>
  </si>
  <si>
    <r>
      <rPr>
        <sz val="11"/>
        <color rgb="FF000000"/>
        <rFont val="Meiryo UI"/>
        <family val="2"/>
      </rPr>
      <t>会員価格（S&amp;G）、会員価格（カスミカード）、ミックスマッチ区分、状態、</t>
    </r>
  </si>
  <si>
    <r>
      <rPr>
        <sz val="11"/>
        <color rgb="FF000000"/>
        <rFont val="Meiryo UI"/>
        <family val="2"/>
      </rPr>
      <t>ミックスマッチオプション列などを含む。</t>
    </r>
  </si>
  <si>
    <r>
      <rPr>
        <sz val="11"/>
        <color rgb="FF000000"/>
        <rFont val="Meiryo UI"/>
        <family val="2"/>
      </rPr>
      <t>▪ミックスマッチIDの生成が成功した場合</t>
    </r>
  </si>
  <si>
    <r>
      <rPr>
        <sz val="11"/>
        <color rgb="FF000000"/>
        <rFont val="Meiryo UI"/>
        <family val="2"/>
      </rPr>
      <t>▪ミックスマッチIDの生成が失敗した場合</t>
    </r>
  </si>
  <si>
    <r>
      <rPr>
        <sz val="11"/>
        <color rgb="FF000000"/>
        <rFont val="Meiryo UI"/>
        <family val="2"/>
      </rPr>
      <t>・APIのレスポンスを画面にマッピングし、以下の画面設計に従って入力項目を有効にする。</t>
    </r>
  </si>
  <si>
    <r>
      <rPr>
        <sz val="11"/>
        <color rgb="FF000000"/>
        <rFont val="Meiryo UI"/>
        <family val="2"/>
      </rPr>
      <t>商品入力モード切替</t>
    </r>
  </si>
  <si>
    <r>
      <rPr>
        <sz val="11"/>
        <color rgb="FF000000"/>
        <rFont val="Meiryo UI"/>
        <family val="2"/>
      </rPr>
      <t>商品提案</t>
    </r>
  </si>
  <si>
    <r>
      <rPr>
        <sz val="11"/>
        <color rgb="FF000000"/>
        <rFont val="Meiryo UI"/>
        <family val="2"/>
      </rPr>
      <t>フォーカスアウト後に「0」を追加して「AP1506：商品提案」APIを呼び出す。</t>
    </r>
  </si>
  <si>
    <r>
      <rPr>
        <b/>
        <sz val="11"/>
        <color rgb="FF000000"/>
        <rFont val="Meiryo UI"/>
        <family val="2"/>
      </rPr>
      <t>+新規作成中の場合、作成中のミックスマッチを削除する。</t>
    </r>
  </si>
  <si>
    <r>
      <rPr>
        <b/>
        <sz val="11"/>
        <color rgb="FF000000"/>
        <rFont val="Meiryo UI"/>
        <family val="2"/>
      </rPr>
      <t>+編集の場合、ステップ2を実行する。</t>
    </r>
  </si>
  <si>
    <r>
      <rPr>
        <sz val="11"/>
        <color rgb="FF000000"/>
        <rFont val="Meiryo UI"/>
        <family val="2"/>
      </rPr>
      <t>画面に表示されているミックスマッチの店舗</t>
    </r>
  </si>
  <si>
    <r>
      <rPr>
        <sz val="11"/>
        <color rgb="FF000000"/>
        <rFont val="Meiryo UI"/>
        <family val="2"/>
      </rPr>
      <t>ステップ2を実行する。</t>
    </r>
  </si>
  <si>
    <r>
      <rPr>
        <sz val="11"/>
        <color rgb="FF000000"/>
        <rFont val="Meiryo UI"/>
        <family val="2"/>
      </rPr>
      <t>▪削除が成功した場合、</t>
    </r>
  </si>
  <si>
    <r>
      <rPr>
        <sz val="11"/>
        <color rgb="FF000000"/>
        <rFont val="Meiryo UI"/>
        <family val="2"/>
      </rPr>
      <t>▪削除が失敗した場合、</t>
    </r>
  </si>
  <si>
    <r>
      <rPr>
        <sz val="11"/>
        <color rgb="FF000000"/>
        <rFont val="Meiryo UI"/>
        <family val="2"/>
      </rPr>
      <t>サーバーから返されたエラーメッセージを含むエラーモーダルを表示する。</t>
    </r>
  </si>
  <si>
    <r>
      <rPr>
        <sz val="11"/>
        <color rgb="FF000000"/>
        <rFont val="Meiryo UI"/>
        <family val="2"/>
      </rPr>
      <t>ミックスマッチ情報保存</t>
    </r>
  </si>
  <si>
    <r>
      <rPr>
        <sz val="11"/>
        <color rgb="FF000000"/>
        <rFont val="Meiryo UI"/>
        <family val="2"/>
      </rPr>
      <t>40_API設計_AP0502_ミックスマッチID自動生成.xlsxをご参照ください。</t>
    </r>
  </si>
  <si>
    <r>
      <rPr>
        <sz val="11"/>
        <color rgb="FF000000"/>
        <rFont val="Meiryo UI"/>
        <family val="2"/>
      </rPr>
      <t>2.1 「AP0502」API呼出処理を実行する。</t>
    </r>
  </si>
  <si>
    <r>
      <rPr>
        <sz val="11"/>
        <color rgb="FF000000"/>
        <rFont val="Meiryo UI"/>
        <family val="2"/>
      </rPr>
      <t>・返却レスポンスは40_API設計_AP0502_ミックスマッチID自動生成.xlsxをご参照ください。</t>
    </r>
  </si>
  <si>
    <r>
      <rPr>
        <sz val="11"/>
        <color rgb="FF000000"/>
        <rFont val="Meiryo UI"/>
        <family val="2"/>
      </rPr>
      <t>40_API設計_AP0503_ミックスマッチ削除をご参照ください。</t>
    </r>
  </si>
  <si>
    <r>
      <rPr>
        <sz val="11"/>
        <color rgb="FF000000"/>
        <rFont val="Meiryo UI"/>
        <family val="2"/>
      </rPr>
      <t>1.1 「AP0503: ミックスマッチ削除」API呼出処理を実行する。</t>
    </r>
  </si>
  <si>
    <r>
      <rPr>
        <sz val="11"/>
        <color rgb="FF000000"/>
        <rFont val="Meiryo UI"/>
        <family val="2"/>
      </rPr>
      <t>・オプション1の成立個数：</t>
    </r>
  </si>
  <si>
    <r>
      <rPr>
        <sz val="11"/>
        <color rgb="FF000000"/>
        <rFont val="Meiryo UI"/>
        <family val="2"/>
      </rPr>
      <t>・オプション1の成立：</t>
    </r>
  </si>
  <si>
    <r>
      <rPr>
        <sz val="11"/>
        <color rgb="FF000000"/>
        <rFont val="Meiryo UI"/>
        <family val="2"/>
      </rPr>
      <t>・開始日 &gt; 終了日の場合、MSG_VAL_004を表示する。</t>
    </r>
  </si>
  <si>
    <r>
      <rPr>
        <sz val="11"/>
        <color rgb="FF000000"/>
        <rFont val="Meiryo UI"/>
        <family val="2"/>
      </rPr>
      <t>・開始日 = 終了日、かつ開始時間 &gt;=  終了時間の場合、MSG_VAL_019を表示する。</t>
    </r>
  </si>
  <si>
    <r>
      <rPr>
        <sz val="11"/>
        <color rgb="FF000000"/>
        <rFont val="Meiryo UI"/>
        <family val="2"/>
      </rPr>
      <t>（その中に：{0} = 開始時間、終了時間）</t>
    </r>
  </si>
  <si>
    <r>
      <rPr>
        <sz val="11"/>
        <color rgb="FF000000"/>
        <rFont val="Meiryo UI"/>
        <family val="2"/>
      </rPr>
      <t>・開始日 &lt; 終了日、開始時間 &gt; 終了時間、かつタイムサービスが適用されている場合、</t>
    </r>
  </si>
  <si>
    <r>
      <rPr>
        <sz val="11"/>
        <color rgb="FF000000"/>
        <rFont val="Meiryo UI"/>
        <family val="2"/>
      </rPr>
      <t>・ミックスマッチに商品がない場合、</t>
    </r>
  </si>
  <si>
    <r>
      <rPr>
        <sz val="11"/>
        <color rgb="FF000000"/>
        <rFont val="Meiryo UI"/>
        <family val="2"/>
      </rPr>
      <t>MSG_VAL_001エラーモーダルを表示する（その中に：{0} = Product）</t>
    </r>
  </si>
  <si>
    <r>
      <rPr>
        <sz val="11"/>
        <color rgb="FF000000"/>
        <rFont val="Meiryo UI"/>
        <family val="2"/>
      </rPr>
      <t>2.1「AP0504」APIを呼び出す。</t>
    </r>
  </si>
  <si>
    <r>
      <rPr>
        <sz val="11"/>
        <color rgb="FF000000"/>
        <rFont val="Meiryo UI"/>
        <family val="2"/>
      </rPr>
      <t>40_API設計_AP0504_ミックスマッチ更新.xlsxの説明に従ってレスポンスを作成する。</t>
    </r>
  </si>
  <si>
    <r>
      <rPr>
        <sz val="11"/>
        <color rgb="FF000000"/>
        <rFont val="Meiryo UI"/>
        <family val="2"/>
      </rPr>
      <t>▪ミックスマッチ情報の保存が成功した場合、</t>
    </r>
  </si>
  <si>
    <r>
      <rPr>
        <sz val="11"/>
        <color rgb="FF000000"/>
        <rFont val="Meiryo UI"/>
        <family val="2"/>
      </rPr>
      <t>▪ミックスマッチ情報の保存が失敗した場合、</t>
    </r>
  </si>
  <si>
    <r>
      <rPr>
        <sz val="11"/>
        <color rgb="FF000000"/>
        <rFont val="Meiryo UI"/>
        <family val="2"/>
      </rPr>
      <t>・返却レスポンスは40_API設計_AP0504_ミックスマッチ更新.xlsxをご参照ください。</t>
    </r>
  </si>
  <si>
    <r>
      <rPr>
        <sz val="11"/>
        <color rgb="FF000000"/>
        <rFont val="Meiryo UI"/>
        <family val="2"/>
      </rPr>
      <t>・画面を初期モードで表示する。</t>
    </r>
  </si>
  <si>
    <r>
      <rPr>
        <sz val="11"/>
        <color rgb="FF000000"/>
        <rFont val="Meiryo UI"/>
        <family val="2"/>
      </rPr>
      <t>・サーバーから返されたエラーメッセージを含むモーダルエラーを表示する。</t>
    </r>
  </si>
  <si>
    <r>
      <rPr>
        <sz val="11"/>
        <color rgb="FF000000"/>
        <rFont val="Meiryo UI"/>
        <family val="2"/>
      </rPr>
      <t>SC0501-10</t>
    </r>
  </si>
  <si>
    <r>
      <rPr>
        <sz val="11"/>
        <color rgb="FF000000"/>
        <rFont val="Meiryo UI"/>
        <family val="2"/>
      </rPr>
      <t>SC0501-09</t>
    </r>
  </si>
  <si>
    <r>
      <rPr>
        <sz val="11"/>
        <color rgb="FF000000"/>
        <rFont val="Meiryo UI"/>
        <family val="2"/>
      </rPr>
      <t>SC0501-08</t>
    </r>
  </si>
  <si>
    <r>
      <rPr>
        <sz val="11"/>
        <color rgb="FF000000"/>
        <rFont val="Meiryo UI"/>
        <family val="2"/>
      </rPr>
      <t>SC0501-07</t>
    </r>
  </si>
  <si>
    <r>
      <rPr>
        <sz val="11"/>
        <color rgb="FF000000"/>
        <rFont val="Meiryo UI"/>
        <family val="2"/>
      </rPr>
      <t>SC0501-06</t>
    </r>
  </si>
  <si>
    <r>
      <rPr>
        <sz val="11"/>
        <color rgb="FF000000"/>
        <rFont val="Meiryo UI"/>
        <family val="2"/>
      </rPr>
      <t>SC0501-05</t>
    </r>
  </si>
  <si>
    <r>
      <rPr>
        <sz val="11"/>
        <color rgb="FF000000"/>
        <rFont val="Meiryo UI"/>
        <family val="2"/>
      </rPr>
      <t>SC0501-04</t>
    </r>
  </si>
  <si>
    <r>
      <rPr>
        <sz val="11"/>
        <color rgb="FF000000"/>
        <rFont val="Meiryo UI"/>
        <family val="2"/>
      </rPr>
      <t>SC0501-03</t>
    </r>
  </si>
  <si>
    <r>
      <rPr>
        <sz val="11"/>
        <color rgb="FF000000"/>
        <rFont val="Meiryo UI"/>
        <family val="2"/>
      </rPr>
      <t>SC0501-02</t>
    </r>
  </si>
  <si>
    <r>
      <rPr>
        <sz val="11"/>
        <color rgb="FF000000"/>
        <rFont val="Meiryo UI"/>
        <family val="2"/>
      </rPr>
      <t>SC0501-01</t>
    </r>
  </si>
  <si>
    <r>
      <rPr>
        <sz val="11"/>
        <color rgb="FF000000"/>
        <rFont val="Meiryo UI"/>
        <family val="2"/>
      </rPr>
      <t>画面退出の共通処理を実行する。</t>
    </r>
  </si>
  <si>
    <r>
      <rPr>
        <b/>
        <sz val="11"/>
        <color rgb="FF000000"/>
        <rFont val="Meiryo UI"/>
        <family val="2"/>
      </rPr>
      <t>イベントSC0501-08のステップ1をご参照ください。</t>
    </r>
  </si>
  <si>
    <r>
      <rPr>
        <sz val="11"/>
        <color rgb="FF000000"/>
        <rFont val="Meiryo UI"/>
        <family val="2"/>
      </rPr>
      <t>SC0501-11</t>
    </r>
  </si>
  <si>
    <r>
      <rPr>
        <sz val="11"/>
        <color rgb="FF000000"/>
        <rFont val="Meiryo UI"/>
        <family val="2"/>
      </rPr>
      <t>汎用マスタ設定</t>
    </r>
  </si>
  <si>
    <r>
      <rPr>
        <sz val="11"/>
        <color rgb="FF000000"/>
        <rFont val="Meiryo UI"/>
        <family val="2"/>
      </rPr>
      <t>MD0501</t>
    </r>
  </si>
  <si>
    <r>
      <rPr>
        <sz val="11"/>
        <color rgb="FF000000"/>
        <rFont val="Meiryo UI"/>
        <family val="2"/>
      </rPr>
      <t>汎用マスタ設定モーダル</t>
    </r>
  </si>
  <si>
    <r>
      <rPr>
        <sz val="11"/>
        <color rgb="FF000000"/>
        <rFont val="Meiryo UI"/>
        <family val="2"/>
      </rPr>
      <t>MD0501-01</t>
    </r>
  </si>
  <si>
    <r>
      <rPr>
        <sz val="11"/>
        <color rgb="FF000000"/>
        <rFont val="Meiryo UI"/>
        <family val="2"/>
      </rPr>
      <t>20_画面設計_05_ミックスマッチ設定.xlsxのMD0501シートをご参照ください。</t>
    </r>
  </si>
  <si>
    <r>
      <rPr>
        <sz val="11"/>
        <color rgb="FF000000"/>
        <rFont val="Meiryo UI"/>
        <family val="2"/>
      </rPr>
      <t>MD0501-02</t>
    </r>
  </si>
  <si>
    <r>
      <rPr>
        <sz val="11"/>
        <color rgb="FF000000"/>
        <rFont val="Meiryo UI"/>
        <family val="2"/>
      </rPr>
      <t>SC0501画面に戻る</t>
    </r>
  </si>
  <si>
    <r>
      <rPr>
        <b/>
        <sz val="11"/>
        <color rgb="FF000000"/>
        <rFont val="Meiryo UI"/>
        <family val="2"/>
      </rPr>
      <t>SC0501_ミックスマッチ設定画面を表示する。</t>
    </r>
  </si>
  <si>
    <r>
      <rPr>
        <sz val="11"/>
        <color rgb="FF000000"/>
        <rFont val="Meiryo UI"/>
        <family val="2"/>
      </rPr>
      <t>MD0501-03</t>
    </r>
  </si>
  <si>
    <r>
      <rPr>
        <sz val="11"/>
        <color rgb="FF000000"/>
        <rFont val="Meiryo UI"/>
        <family val="2"/>
      </rPr>
      <t>ミックスマッチオプションに設定を適用する。</t>
    </r>
  </si>
  <si>
    <r>
      <rPr>
        <sz val="11"/>
        <color rgb="FF000000"/>
        <rFont val="Meiryo UI"/>
        <family val="2"/>
      </rPr>
      <t>MD0502-03</t>
    </r>
  </si>
  <si>
    <r>
      <rPr>
        <sz val="11"/>
        <color rgb="FF000000"/>
        <rFont val="Meiryo UI"/>
        <family val="2"/>
      </rPr>
      <t>MD0502-01</t>
    </r>
  </si>
  <si>
    <r>
      <rPr>
        <sz val="11"/>
        <color rgb="FF000000"/>
        <rFont val="Meiryo UI"/>
        <family val="2"/>
      </rPr>
      <t>MD0502-02</t>
    </r>
  </si>
  <si>
    <r>
      <rPr>
        <sz val="11"/>
        <color rgb="FF000000"/>
        <rFont val="Meiryo UI"/>
        <family val="2"/>
      </rPr>
      <t>MD0502</t>
    </r>
  </si>
  <si>
    <r>
      <rPr>
        <sz val="11"/>
        <color rgb="FF000000"/>
        <rFont val="Meiryo UI"/>
        <family val="2"/>
      </rPr>
      <t>ミックスマッチ検索モーダル</t>
    </r>
  </si>
  <si>
    <r>
      <rPr>
        <sz val="11"/>
        <color rgb="FF000000"/>
        <rFont val="Meiryo UI"/>
        <family val="2"/>
      </rPr>
      <t>20_画面設計_05_ミックスマッチ設定.xlsxのMD0502シートをご参照ください。</t>
    </r>
  </si>
  <si>
    <r>
      <rPr>
        <sz val="11"/>
        <color rgb="FF000000"/>
        <rFont val="Meiryo UI"/>
        <family val="2"/>
      </rPr>
      <t>MD0502-04</t>
    </r>
  </si>
  <si>
    <r>
      <rPr>
        <sz val="11"/>
        <color rgb="FF000000"/>
        <rFont val="Meiryo UI"/>
        <family val="2"/>
      </rPr>
      <t>対象ミックスマッチ選択</t>
    </r>
  </si>
  <si>
    <r>
      <rPr>
        <sz val="11"/>
        <color rgb="FF000000"/>
        <rFont val="Meiryo UI"/>
        <family val="2"/>
      </rPr>
      <t>code_level_one</t>
    </r>
  </si>
  <si>
    <r>
      <rPr>
        <sz val="11"/>
        <color rgb="FF000000"/>
        <rFont val="Meiryo UI"/>
        <family val="2"/>
      </rPr>
      <t>duration</t>
    </r>
  </si>
  <si>
    <r>
      <rPr>
        <sz val="11"/>
        <color rgb="FF000000"/>
        <rFont val="Meiryo UI"/>
        <family val="2"/>
      </rPr>
      <t>date</t>
    </r>
  </si>
  <si>
    <r>
      <rPr>
        <sz val="11"/>
        <color rgb="FF000000"/>
        <rFont val="Meiryo UI"/>
        <family val="2"/>
      </rPr>
      <t>画面に入力した日付の値</t>
    </r>
  </si>
  <si>
    <r>
      <rPr>
        <sz val="11"/>
        <color rgb="FF000000"/>
        <rFont val="Meiryo UI"/>
        <family val="2"/>
      </rPr>
      <t>40_API設計_AP0505_ミックスマッチ一覧取得.xlsxをご参照ください。</t>
    </r>
  </si>
  <si>
    <r>
      <rPr>
        <sz val="11"/>
        <color rgb="FF000000"/>
        <rFont val="Meiryo UI"/>
        <family val="2"/>
      </rPr>
      <t>▪ミックスマッチ一覧取得が成功した場合、</t>
    </r>
  </si>
  <si>
    <r>
      <rPr>
        <sz val="11"/>
        <color rgb="FF000000"/>
        <rFont val="Meiryo UI"/>
        <family val="2"/>
      </rPr>
      <t>・返却レスポンスは40_API設計_AP0505_ミックスマッチ一覧取得.xlsxをご参照ください。</t>
    </r>
  </si>
  <si>
    <r>
      <rPr>
        <sz val="11"/>
        <color rgb="FF000000"/>
        <rFont val="Meiryo UI"/>
        <family val="2"/>
      </rPr>
      <t>1000件を超えた場合、MSG_INFO_001（その中に、{0} = 1000）を表示する。</t>
    </r>
  </si>
  <si>
    <r>
      <rPr>
        <sz val="11"/>
        <color rgb="FF000000"/>
        <rFont val="Meiryo UI"/>
        <family val="2"/>
      </rPr>
      <t>▪ミックスマッチが存在しない場合（レスポンスコード = 404）</t>
    </r>
  </si>
  <si>
    <r>
      <rPr>
        <sz val="11"/>
        <color rgb="FF000000"/>
        <rFont val="Meiryo UI"/>
        <family val="2"/>
      </rPr>
      <t>▪他のエラーの場合、エラーモーダルを表示する（サーバーから返されたメッセージ）</t>
    </r>
  </si>
  <si>
    <r>
      <rPr>
        <sz val="11"/>
        <color rgb="FF000000"/>
        <rFont val="Meiryo UI"/>
        <family val="2"/>
      </rPr>
      <t>ミックスマッチのテーブルの列名の行の下に、サーバーから返されたエラーメッセージを表示する。</t>
    </r>
  </si>
  <si>
    <r>
      <rPr>
        <sz val="11"/>
        <color rgb="FF000000"/>
        <rFont val="Meiryo UI"/>
        <family val="2"/>
      </rPr>
      <t>・以下の画面設計に従ってモーダルに返されるAPIレスポンスのマッピングを実行する。</t>
    </r>
  </si>
  <si>
    <r>
      <rPr>
        <sz val="11"/>
        <color rgb="FF000000"/>
        <rFont val="Meiryo UI"/>
        <family val="2"/>
      </rPr>
      <t>アクションSC0501-04のステップ2を実行する。</t>
    </r>
  </si>
  <si>
    <r>
      <rPr>
        <sz val="11"/>
        <color rgb="FF000000"/>
        <rFont val="Meiryo UI"/>
        <family val="2"/>
      </rPr>
      <t>画面に入力されたプロモーションコード/MD0501から渡されたプロモーションコード</t>
    </r>
  </si>
  <si>
    <r>
      <rPr>
        <sz val="11"/>
        <color rgb="FF000000"/>
        <rFont val="Meiryo UI"/>
        <family val="2"/>
      </rPr>
      <t>画面に入力された値/MD0501から渡された値</t>
    </r>
  </si>
  <si>
    <r>
      <rPr>
        <sz val="11"/>
        <color rgb="FF000000"/>
        <rFont val="Meiryo UI"/>
        <family val="2"/>
      </rPr>
      <t>画面に入力したプロモーションコードの値 (5桁未満の場合は「0」を追加する)</t>
    </r>
  </si>
  <si>
    <r>
      <rPr>
        <sz val="11"/>
        <color rgb="FF000000"/>
        <rFont val="Meiryo UI"/>
        <family val="2"/>
      </rPr>
      <t>画面に入力したミックスマッチコードの値（5桁未満の場合は「0」を追加する）</t>
    </r>
  </si>
  <si>
    <r>
      <rPr>
        <sz val="11"/>
        <color rgb="FF000000"/>
        <rFont val="Meiryo UI"/>
        <family val="2"/>
      </rPr>
      <t>画面に入力した部門コードの値 (2桁未満の場合は「0」を追加する)</t>
    </r>
  </si>
  <si>
    <r>
      <rPr>
        <sz val="11"/>
        <color rgb="FF000000"/>
        <rFont val="Meiryo UI"/>
        <family val="2"/>
      </rPr>
      <t>選択中の対象店舗</t>
    </r>
  </si>
  <si>
    <r>
      <rPr>
        <sz val="11"/>
        <color rgb="FF000000"/>
        <rFont val="Meiryo UI"/>
        <family val="2"/>
      </rPr>
      <t>画面で選択しているアイテムのインデックス</t>
    </r>
  </si>
  <si>
    <r>
      <rPr>
        <sz val="11"/>
        <color rgb="FF000000"/>
        <rFont val="Meiryo UI"/>
        <family val="2"/>
      </rPr>
      <t>画面に表示されている有効なプロモーションコード</t>
    </r>
  </si>
  <si>
    <r>
      <rPr>
        <sz val="11"/>
        <color rgb="FF000000"/>
        <rFont val="Meiryo UI"/>
        <family val="2"/>
      </rPr>
      <t>画面に表示されているプロモーションコード</t>
    </r>
  </si>
  <si>
    <r>
      <rPr>
        <sz val="11"/>
        <color rgb="FF000000"/>
        <rFont val="Meiryo UI"/>
        <family val="2"/>
      </rPr>
      <t>SC0501-12</t>
    </r>
  </si>
  <si>
    <r>
      <rPr>
        <sz val="11"/>
        <color rgb="FF000000"/>
        <rFont val="Meiryo UI"/>
        <family val="2"/>
      </rPr>
      <t>ミックスマッチ区分変更</t>
    </r>
  </si>
  <si>
    <r>
      <rPr>
        <sz val="11"/>
        <color rgb="FF000000"/>
        <rFont val="Meiryo UI"/>
        <family val="2"/>
      </rPr>
      <t>値がない場合、MD0501_ミックスマッチ検索に遷移する（画面に表示されている</t>
    </r>
  </si>
  <si>
    <r>
      <rPr>
        <sz val="11"/>
        <color rgb="FF000000"/>
        <rFont val="Meiryo UI"/>
        <family val="2"/>
      </rPr>
      <t>値がある場合、ステップ2を実行する。</t>
    </r>
  </si>
  <si>
    <r>
      <rPr>
        <sz val="11"/>
        <color rgb="FF000000"/>
        <rFont val="Meiryo UI"/>
        <family val="2"/>
      </rPr>
      <t>promotion_codeの値を渡す（もしあれば））</t>
    </r>
  </si>
  <si>
    <r>
      <rPr>
        <sz val="11"/>
        <color rgb="FF000000"/>
        <rFont val="Meiryo UI"/>
        <family val="2"/>
      </rPr>
      <t>▪ミックスマッチコードに該当するミックスマッチがない場合（レスポンスコード 404）</t>
    </r>
  </si>
  <si>
    <r>
      <rPr>
        <sz val="11"/>
        <color rgb="FF000000"/>
        <rFont val="Meiryo UI"/>
        <family val="2"/>
      </rPr>
      <t>▪他のエラーの場合</t>
    </r>
  </si>
  <si>
    <r>
      <rPr>
        <sz val="11"/>
        <color rgb="FF000000"/>
        <rFont val="Meiryo UI"/>
        <family val="2"/>
      </rPr>
      <t>・MD0501_ミックスマッチ検索に遷移する（画面に表示されている</t>
    </r>
  </si>
  <si>
    <r>
      <rPr>
        <b/>
        <sz val="11"/>
        <color rgb="FF000000"/>
        <rFont val="Meiryo UI"/>
        <family val="2"/>
      </rPr>
      <t>各区分の設定に従ってオプション数を作成し、各項目は20_画面設計_05_ミックスマッチ設定.xlsxの説明に従って</t>
    </r>
  </si>
  <si>
    <r>
      <rPr>
        <sz val="11"/>
        <color rgb="FF000000"/>
        <rFont val="Meiryo UI"/>
        <family val="2"/>
      </rPr>
      <t>デフォルト値が設定される。</t>
    </r>
  </si>
  <si>
    <r>
      <rPr>
        <sz val="11"/>
        <color rgb="FF000000"/>
        <rFont val="Meiryo UI"/>
        <family val="2"/>
      </rPr>
      <t>オプションを追加する場合、オプションを昇順に追加する。</t>
    </r>
  </si>
  <si>
    <r>
      <rPr>
        <sz val="11"/>
        <color rgb="FF000000"/>
        <rFont val="Meiryo UI"/>
        <family val="2"/>
      </rPr>
      <t>20_画面設計_05_ミックスマッチ設定.xlsx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</si>
  <si>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</si>
  <si>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</si>
  <si>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</si>
  <si>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</si>
  <si>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</si>
  <si>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</si>
  <si>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</si>
  <si>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</si>
  <si>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</si>
  <si>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</si>
  <si>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</si>
  <si>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</si>
  <si>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</si>
  <si>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</si>
  <si>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</si>
  <si>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</si>
  <si>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</si>
  <si>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DuNT</t>
  </si>
  <si>
    <t>機能カテゴリ</t>
  </si>
  <si>
    <r>
      <rPr>
        <sz val="11"/>
        <color rgb="FFFFFFFF"/>
        <rFont val="Meiryo UI"/>
        <family val="2"/>
      </rPr>
      <t>画面ID</t>
    </r>
  </si>
  <si>
    <r>
      <rPr>
        <sz val="11"/>
        <color rgb="FFFFFFFF"/>
        <rFont val="Meiryo UI"/>
        <family val="2"/>
      </rPr>
      <t>画面名</t>
    </r>
  </si>
  <si>
    <r>
      <rPr>
        <sz val="10"/>
        <color rgb="FF000000"/>
        <rFont val="Meiryo UI"/>
        <family val="2"/>
      </rPr>
      <t xml:space="preserve"> 20_画面設計_05_ミックスマッチ設定.xlsx</t>
    </r>
  </si>
  <si>
    <r>
      <rPr>
        <b/>
        <sz val="11"/>
        <color rgb="FF000000"/>
        <rFont val="Meiryo UI"/>
        <family val="2"/>
      </rPr>
      <t>1. 画面項目の初期化を実行する。</t>
    </r>
  </si>
  <si>
    <r>
      <rPr>
        <b/>
        <sz val="11"/>
        <color rgb="FF000000"/>
        <rFont val="Meiryo UI"/>
        <family val="2"/>
      </rPr>
      <t>1. KN0106_プロモーション情報取得機能</t>
    </r>
  </si>
  <si>
    <r>
      <rPr>
        <sz val="10"/>
        <color rgb="FF000000"/>
        <rFont val="Meiryo UI"/>
        <family val="2"/>
      </rPr>
      <t>20_画面設計_05_ミックスマッチ設定.xlsx
40_API設計_AP0501_ミックスマッチ詳細情報.xlsx</t>
    </r>
  </si>
  <si>
    <r>
      <rPr>
        <b/>
        <sz val="11"/>
        <color rgb="FF000000"/>
        <rFont val="Meiryo UI"/>
        <family val="2"/>
      </rPr>
      <t>1. ミックスマッチコード入力必須のバリデーションチェックを行う。</t>
    </r>
  </si>
  <si>
    <r>
      <rPr>
        <b/>
        <sz val="11"/>
        <color rgb="FF000000"/>
        <rFont val="Meiryo UI"/>
        <family val="2"/>
      </rPr>
      <t>2. AP0501_ミックスマッチ詳細を使用してミックスマッチを検索する。</t>
    </r>
  </si>
  <si>
    <r>
      <rPr>
        <sz val="10"/>
        <color rgb="FF000000"/>
        <rFont val="Meiryo UI"/>
        <family val="2"/>
      </rPr>
      <t>40_API設計_AP0502_ミックスマッチID自動生成.xlsx
20_画面設計_05_ミックスマッチ設定.xlsx</t>
    </r>
  </si>
  <si>
    <r>
      <rPr>
        <b/>
        <sz val="11"/>
        <color rgb="FF000000"/>
        <rFont val="Meiryo UI"/>
        <family val="2"/>
      </rPr>
      <t>1. 画面をミックスマッチ新規作成モードに切り替える。</t>
    </r>
  </si>
  <si>
    <r>
      <rPr>
        <b/>
        <sz val="11"/>
        <color rgb="FF000000"/>
        <rFont val="Meiryo UI"/>
        <family val="2"/>
      </rPr>
      <t>2. ミックスマッチコードを自動的に作成する。</t>
    </r>
  </si>
  <si>
    <r>
      <rPr>
        <b/>
        <sz val="11"/>
        <color rgb="FF000000"/>
        <rFont val="Meiryo UI"/>
        <family val="2"/>
      </rPr>
      <t>1. 「商品コード切替」ボタンをタッチする。</t>
    </r>
  </si>
  <si>
    <r>
      <rPr>
        <b/>
        <sz val="11"/>
        <color rgb="FF000000"/>
        <rFont val="Meiryo UI"/>
        <family val="2"/>
      </rPr>
      <t>2. 「PLUコード切替」ボタンをタッチする。</t>
    </r>
  </si>
  <si>
    <r>
      <rPr>
        <b/>
        <sz val="11"/>
        <color rgb="FF000000"/>
        <rFont val="Meiryo UI"/>
        <family val="2"/>
      </rPr>
      <t xml:space="preserve">1. 商品提案機能を実行する。 </t>
    </r>
  </si>
  <si>
    <r>
      <rPr>
        <sz val="11"/>
        <color rgb="FF000000"/>
        <rFont val="Meiryo UI"/>
        <family val="2"/>
      </rPr>
      <t>入力されたgroup_codeが2未満の場合、フォーカスアウト時に「0」を追加して2桁になる。product_codeが6桁未満の場合、</t>
    </r>
  </si>
  <si>
    <r>
      <rPr>
        <b/>
        <sz val="11"/>
        <color rgb="FF000000"/>
        <rFont val="Meiryo UI"/>
        <family val="2"/>
      </rPr>
      <t>1. 実行中のフローを確認する。</t>
    </r>
  </si>
  <si>
    <t>備考: 新規作成モードでSC0501画面から退出する場合、必ず作成中のミックスマッチを削除する必要がある（ステップ1.1を参照）</t>
  </si>
  <si>
    <r>
      <rPr>
        <b/>
        <sz val="11"/>
        <color rgb="FF000000"/>
        <rFont val="Meiryo UI"/>
        <family val="2"/>
      </rPr>
      <t>2. 画面に入力された情報をクリアする。</t>
    </r>
  </si>
  <si>
    <r>
      <rPr>
        <sz val="11"/>
        <color rgb="FF000000"/>
        <rFont val="Meiryo UI"/>
        <family val="2"/>
      </rPr>
      <t>画面を初期状態にする。「SC0501_01」イベントをご参照ください。</t>
    </r>
  </si>
  <si>
    <r>
      <rPr>
        <sz val="11"/>
        <color rgb="FF000000"/>
        <rFont val="Meiryo UI"/>
        <family val="2"/>
      </rPr>
      <t>注意：画面の検索項目と検索結果をクリアする。選択中の対象店舗をクリアしない。</t>
    </r>
  </si>
  <si>
    <r>
      <rPr>
        <b/>
        <sz val="11"/>
        <color rgb="FF000000"/>
        <rFont val="Meiryo UI"/>
        <family val="2"/>
      </rPr>
      <t>1. ミックスマッチ情報のバリデーションチェックを行う。</t>
    </r>
  </si>
  <si>
    <r>
      <rPr>
        <sz val="11"/>
        <color rgb="FF000000"/>
        <rFont val="Meiryo UI"/>
        <family val="2"/>
      </rPr>
      <t>・会員価格（S&amp;G）：会員価格（S&amp;G）が適用されている場合（sg_member_included = 1）、</t>
    </r>
  </si>
  <si>
    <r>
      <rPr>
        <sz val="11"/>
        <color rgb="FF000000"/>
        <rFont val="Meiryo UI"/>
        <family val="2"/>
      </rPr>
      <t>・会員価格（カスミカード）：会員価格（カスミカード）が適用されている場合 (kasumi_card_member_included = 1)、</t>
    </r>
  </si>
  <si>
    <r>
      <rPr>
        <sz val="11"/>
        <color rgb="FF000000"/>
        <rFont val="Meiryo UI"/>
        <family val="2"/>
      </rPr>
      <t xml:space="preserve"> MSG_VAL_019を表示する（ その中に：{0} = 開始時間、終了時間）</t>
    </r>
  </si>
  <si>
    <r>
      <rPr>
        <sz val="11"/>
        <color rgb="FF000000"/>
        <rFont val="Meiryo UI"/>
        <family val="2"/>
      </rPr>
      <t>▪バリデーションチェックのエラーがない：ミックスマッチ更新機能を実行する。</t>
    </r>
  </si>
  <si>
    <r>
      <rPr>
        <b/>
        <sz val="11"/>
        <color rgb="FF000000"/>
        <rFont val="Meiryo UI"/>
        <family val="2"/>
      </rPr>
      <t>2. ミックスマッチ更新機能を実行する。</t>
    </r>
  </si>
  <si>
    <r>
      <rPr>
        <sz val="10"/>
        <color rgb="FF000000"/>
        <rFont val="Meiryo UI"/>
        <family val="2"/>
      </rPr>
      <t xml:space="preserve">▪イベントSC0501-08
</t>
    </r>
  </si>
  <si>
    <r>
      <rPr>
        <b/>
        <sz val="11"/>
        <color rgb="FF000000"/>
        <rFont val="Meiryo UI"/>
        <family val="2"/>
      </rPr>
      <t>2. 画面から退出する。</t>
    </r>
  </si>
  <si>
    <r>
      <rPr>
        <b/>
        <sz val="11"/>
        <color rgb="FF000000"/>
        <rFont val="Meiryo UI"/>
        <family val="2"/>
      </rPr>
      <t>1. MD0502_汎用マスタ設定モーダルに遷移する。</t>
    </r>
  </si>
  <si>
    <r>
      <rPr>
        <b/>
        <sz val="11"/>
        <color rgb="FF000000"/>
        <rFont val="Meiryo UI"/>
        <family val="2"/>
      </rPr>
      <t>1. ミックスマッチ区分値が現在の値と異なる値に変更された場合</t>
    </r>
  </si>
  <si>
    <r>
      <rPr>
        <sz val="11"/>
        <color rgb="FF000000"/>
        <rFont val="Meiryo UI"/>
        <family val="2"/>
      </rPr>
      <t>・以下の画面設計に従って画面に返されるAPIレスポンスのマッピングを実行する。</t>
    </r>
  </si>
  <si>
    <t xml:space="preserve">ミックスマッチを新規作成する時、開始日時、終了日時のデフォルト値は選択されているプロモーションの開始日時、終了日時とする。 </t>
  </si>
  <si>
    <t>▪ 40_API設計_AP0504_ミックスマッチ更新.xlsx
▪20_画面設計_05_ミックスマッチ設定.xlsx</t>
  </si>
  <si>
    <t>▪20_画面設計_05_ミックスマッチ設定.xlsx</t>
  </si>
  <si>
    <t>▪20_画面設計_05_ミックスマッチ設定.xlsx
▪40_API設計_AP1506_商品提案.xlsx</t>
  </si>
  <si>
    <r>
      <t>・</t>
    </r>
    <r>
      <rPr>
        <sz val="11"/>
        <color rgb="FF000000"/>
        <rFont val="Meiryo UI"/>
        <family val="2"/>
      </rPr>
      <t>返却レスポンスは40_API設計_AP1506_商品提案.xlsxをご参照ください。</t>
    </r>
  </si>
  <si>
    <t>▪イベントSC0501-01
▪40_API設計_AP0503_ミックスマッチ削除</t>
  </si>
  <si>
    <t/>
  </si>
  <si>
    <r>
      <rPr>
        <sz val="10"/>
        <color rgb="FF000000"/>
        <rFont val="Meiryo UI"/>
        <family val="2"/>
      </rPr>
      <t xml:space="preserve"> 40_API設計_AP0505_ミックスマッチ一覧取得.xlsx</t>
    </r>
  </si>
  <si>
    <r>
      <rPr>
        <b/>
        <sz val="11"/>
        <color rgb="FF000000"/>
        <rFont val="Meiryo UI"/>
        <family val="2"/>
      </rPr>
      <t>1. AP0505を使用してミックスマッチを検索する。</t>
    </r>
  </si>
  <si>
    <r>
      <rPr>
        <b/>
        <sz val="11"/>
        <color rgb="FF000000"/>
        <rFont val="Meiryo UI"/>
        <family val="2"/>
      </rPr>
      <t>1. MD0501_汎用マスタ設定モーダルを閉じ、</t>
    </r>
  </si>
  <si>
    <r>
      <rPr>
        <sz val="10"/>
        <color rgb="FF000000"/>
        <rFont val="Meiryo UI"/>
        <family val="2"/>
      </rPr>
      <t>イベントID：SC0501-04</t>
    </r>
  </si>
  <si>
    <r>
      <rPr>
        <b/>
        <sz val="11"/>
        <color rgb="FF000000"/>
        <rFont val="Meiryo UI"/>
        <family val="2"/>
      </rPr>
      <t>1. モーダルを閉じ、同時にミックスマッチコードとプロモーションコードをSC0501_ミックスマッチ設定画面に渡し、</t>
    </r>
  </si>
  <si>
    <r>
      <rPr>
        <b/>
        <sz val="11"/>
        <color rgb="FF000000"/>
        <rFont val="Meiryo UI"/>
        <family val="2"/>
      </rPr>
      <t>1. 3オプションの設定値の重複のバリデーションチェックを行う。</t>
    </r>
  </si>
  <si>
    <r>
      <rPr>
        <sz val="11"/>
        <color rgb="FF000000"/>
        <rFont val="Meiryo UI"/>
        <family val="2"/>
      </rPr>
      <t>・重複している設定値がない場合：ステップ2とステップ3を実行する。</t>
    </r>
  </si>
  <si>
    <r>
      <rPr>
        <sz val="11"/>
        <color rgb="FF000000"/>
        <rFont val="Meiryo UI"/>
        <family val="2"/>
      </rPr>
      <t>・重複している設定値がある場合：MSG_VAL_050を表示する。</t>
    </r>
  </si>
  <si>
    <r>
      <rPr>
        <b/>
        <sz val="11"/>
        <color rgb="FF000000"/>
        <rFont val="Meiryo UI"/>
        <family val="2"/>
      </rPr>
      <t>2. モーダルを閉じる</t>
    </r>
  </si>
  <si>
    <t>3. SC0501_ミックスマッチ設定画面のミックスマッチオプションの成立個数に設定値を更新する。</t>
  </si>
  <si>
    <t>オプションを減らす場合、末尾のオプションを削除する。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</si>
</sst>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b/>
      <sz val="11"/>
      <name val="Meiryo UI"/>
      <family val="2"/>
    </font>
    <font>
      <b/>
      <sz val="11"/>
      <color theme="1"/>
      <name val="Meiryo UI"/>
      <family val="2"/>
    </font>
    <font>
      <sz val="11"/>
      <color rgb="FFFF0000"/>
      <name val="Meiryo UI"/>
      <family val="2"/>
    </font>
    <font>
      <sz val="10"/>
      <color rgb="FF000000"/>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theme="5"/>
      <name val="Meiryo UI"/>
      <family val="2"/>
    </font>
  </fonts>
  <fills count="6">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rgb="FF333399"/>
        <bgColor indexed="64"/>
      </patternFill>
    </fill>
    <fill>
      <patternFill patternType="solid">
        <fgColor rgb="FF99CCFF"/>
        <bgColor indexed="64"/>
      </patternFill>
    </fill>
  </fills>
  <borders count="2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2" fillId="0" borderId="0">
      <alignment vertical="center"/>
    </xf>
    <xf numFmtId="0" fontId="2" fillId="0" borderId="0">
      <alignment vertical="center"/>
    </xf>
  </cellStyleXfs>
  <cellXfs count="196">
    <xf numFmtId="0" fontId="0" fillId="0" borderId="0" xfId="0"/>
    <xf numFmtId="0" fontId="4" fillId="0" borderId="17" xfId="0" applyFont="1" applyBorder="1" applyAlignment="1">
      <alignment horizontal="center" vertical="center"/>
    </xf>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5" fillId="2" borderId="16" xfId="0" applyFont="1" applyFill="1" applyBorder="1" applyAlignment="1">
      <alignment vertical="center"/>
    </xf>
    <xf numFmtId="49" fontId="6" fillId="2" borderId="17" xfId="8" applyNumberFormat="1" applyFont="1" applyFill="1" applyBorder="1" applyAlignment="1">
      <alignment vertical="top" wrapText="1"/>
    </xf>
    <xf numFmtId="49" fontId="6" fillId="2" borderId="18" xfId="8" applyNumberFormat="1" applyFont="1" applyFill="1" applyBorder="1" applyAlignment="1">
      <alignment vertical="top" wrapText="1"/>
    </xf>
    <xf numFmtId="49" fontId="6" fillId="2" borderId="19" xfId="8" applyNumberFormat="1" applyFont="1" applyFill="1" applyBorder="1" applyAlignment="1">
      <alignment vertical="top" wrapText="1"/>
    </xf>
    <xf numFmtId="49" fontId="6" fillId="2" borderId="1" xfId="8" applyNumberFormat="1" applyFont="1" applyFill="1" applyBorder="1" applyAlignment="1">
      <alignment vertical="top" wrapText="1"/>
    </xf>
    <xf numFmtId="49" fontId="6" fillId="2" borderId="4" xfId="8" applyNumberFormat="1" applyFont="1" applyFill="1" applyBorder="1" applyAlignment="1">
      <alignment vertical="top" wrapText="1"/>
    </xf>
    <xf numFmtId="49" fontId="6" fillId="2" borderId="2" xfId="8" applyNumberFormat="1" applyFont="1" applyFill="1" applyBorder="1" applyAlignment="1">
      <alignment vertical="top" wrapText="1"/>
    </xf>
    <xf numFmtId="49" fontId="6" fillId="2" borderId="3" xfId="8" applyNumberFormat="1" applyFont="1" applyFill="1" applyBorder="1" applyAlignment="1">
      <alignment vertical="top" wrapText="1"/>
    </xf>
    <xf numFmtId="49" fontId="6" fillId="2" borderId="5" xfId="8" applyNumberFormat="1" applyFont="1" applyFill="1" applyBorder="1" applyAlignment="1">
      <alignment vertical="top" wrapText="1"/>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49" fontId="6" fillId="2" borderId="0" xfId="8" applyNumberFormat="1" applyFont="1" applyFill="1" applyAlignment="1">
      <alignment vertical="top" wrapText="1"/>
    </xf>
    <xf numFmtId="0" fontId="7" fillId="2" borderId="3" xfId="0" applyFont="1" applyFill="1" applyBorder="1" applyAlignment="1">
      <alignment vertical="center"/>
    </xf>
    <xf numFmtId="0" fontId="3" fillId="0" borderId="1" xfId="6" applyFont="1" applyBorder="1" applyAlignment="1">
      <alignment vertical="center"/>
    </xf>
    <xf numFmtId="0" fontId="7" fillId="2" borderId="0" xfId="0" quotePrefix="1" applyFont="1" applyFill="1" applyAlignment="1">
      <alignment vertical="center"/>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0" fontId="7" fillId="2" borderId="0" xfId="0" applyFont="1" applyFill="1" applyAlignment="1">
      <alignment vertical="center"/>
    </xf>
    <xf numFmtId="0" fontId="8" fillId="3" borderId="21" xfId="0" applyFont="1" applyFill="1" applyBorder="1" applyAlignment="1">
      <alignment vertical="center"/>
    </xf>
    <xf numFmtId="0" fontId="8" fillId="3" borderId="16" xfId="0" applyFont="1" applyFill="1" applyBorder="1" applyAlignment="1">
      <alignment vertical="center"/>
    </xf>
    <xf numFmtId="0" fontId="8" fillId="3" borderId="20" xfId="0" applyFont="1" applyFill="1" applyBorder="1" applyAlignment="1">
      <alignment vertical="center"/>
    </xf>
    <xf numFmtId="0" fontId="7" fillId="0" borderId="0" xfId="0" applyFont="1" applyAlignment="1">
      <alignment vertical="center"/>
    </xf>
    <xf numFmtId="0" fontId="7" fillId="0" borderId="0" xfId="0" quotePrefix="1" applyFont="1" applyAlignment="1">
      <alignment vertical="center"/>
    </xf>
    <xf numFmtId="0" fontId="9" fillId="2" borderId="0" xfId="0" quotePrefix="1" applyFont="1" applyFill="1" applyAlignment="1">
      <alignment vertical="center"/>
    </xf>
    <xf numFmtId="0" fontId="4" fillId="0" borderId="21" xfId="0" applyFont="1" applyBorder="1" applyAlignment="1">
      <alignment horizontal="center" vertical="center"/>
    </xf>
    <xf numFmtId="49" fontId="6" fillId="2" borderId="17" xfId="8" applyNumberFormat="1" applyFont="1" applyFill="1" applyBorder="1" applyAlignment="1">
      <alignment horizontal="left" vertical="top" wrapText="1"/>
    </xf>
    <xf numFmtId="49" fontId="6" fillId="2" borderId="18" xfId="8" applyNumberFormat="1" applyFont="1" applyFill="1" applyBorder="1" applyAlignment="1">
      <alignment horizontal="left" vertical="top" wrapText="1"/>
    </xf>
    <xf numFmtId="49" fontId="6" fillId="2" borderId="19" xfId="8" applyNumberFormat="1" applyFont="1" applyFill="1" applyBorder="1" applyAlignment="1">
      <alignment horizontal="left" vertical="top" wrapText="1"/>
    </xf>
    <xf numFmtId="49" fontId="6" fillId="2" borderId="1" xfId="8" applyNumberFormat="1" applyFont="1" applyFill="1" applyBorder="1" applyAlignment="1">
      <alignment horizontal="left" vertical="top" wrapText="1"/>
    </xf>
    <xf numFmtId="49" fontId="6" fillId="2" borderId="0" xfId="8" applyNumberFormat="1" applyFont="1" applyFill="1" applyAlignment="1">
      <alignment horizontal="left" vertical="top" wrapText="1"/>
    </xf>
    <xf numFmtId="49" fontId="6" fillId="2" borderId="4" xfId="8" applyNumberFormat="1" applyFont="1" applyFill="1" applyBorder="1" applyAlignment="1">
      <alignment horizontal="left" vertical="top" wrapText="1"/>
    </xf>
    <xf numFmtId="49" fontId="6" fillId="2" borderId="2" xfId="8" applyNumberFormat="1" applyFont="1" applyFill="1" applyBorder="1" applyAlignment="1">
      <alignment horizontal="center" vertical="top" wrapText="1"/>
    </xf>
    <xf numFmtId="49" fontId="6" fillId="2" borderId="3" xfId="8" applyNumberFormat="1" applyFont="1" applyFill="1" applyBorder="1" applyAlignment="1">
      <alignment horizontal="center" vertical="top" wrapText="1"/>
    </xf>
    <xf numFmtId="49" fontId="6" fillId="2" borderId="5" xfId="8" applyNumberFormat="1" applyFont="1" applyFill="1" applyBorder="1" applyAlignment="1">
      <alignment horizontal="center" vertical="top" wrapText="1"/>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3" fillId="0" borderId="21" xfId="6" applyFont="1" applyBorder="1" applyAlignment="1">
      <alignment horizontal="center" vertical="center"/>
    </xf>
    <xf numFmtId="0" fontId="3" fillId="0" borderId="16" xfId="6" applyFont="1" applyBorder="1" applyAlignment="1">
      <alignment horizontal="center" vertical="center"/>
    </xf>
    <xf numFmtId="0" fontId="3" fillId="0" borderId="20" xfId="6" applyFont="1" applyBorder="1" applyAlignment="1">
      <alignment horizontal="center" vertical="center"/>
    </xf>
    <xf numFmtId="0" fontId="4" fillId="0" borderId="21" xfId="6" applyFont="1" applyBorder="1" applyAlignment="1">
      <alignment horizontal="center" vertical="center"/>
    </xf>
    <xf numFmtId="0" fontId="13" fillId="4" borderId="21" xfId="0" applyFont="1" applyFill="1" applyBorder="1" applyAlignment="1">
      <alignment horizontal="center" vertical="center"/>
    </xf>
    <xf numFmtId="0" fontId="13" fillId="4" borderId="16" xfId="0" applyFont="1" applyFill="1" applyBorder="1" applyAlignment="1">
      <alignment horizontal="center" vertical="center"/>
    </xf>
    <xf numFmtId="0" fontId="13" fillId="4" borderId="20" xfId="0" applyFont="1" applyFill="1" applyBorder="1" applyAlignment="1">
      <alignment horizontal="center" vertical="center"/>
    </xf>
    <xf numFmtId="0" fontId="15"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19" xfId="0" applyFont="1" applyBorder="1" applyAlignment="1">
      <alignment horizontal="center" vertical="center"/>
    </xf>
    <xf numFmtId="0" fontId="17" fillId="0" borderId="0" xfId="0" applyFont="1"/>
    <xf numFmtId="0" fontId="17" fillId="0" borderId="18" xfId="0" applyFont="1" applyBorder="1" applyAlignment="1">
      <alignment horizontal="center" vertical="center"/>
    </xf>
    <xf numFmtId="0" fontId="17" fillId="0" borderId="19" xfId="0" applyFont="1" applyBorder="1" applyAlignment="1">
      <alignment horizontal="center" vertical="center"/>
    </xf>
    <xf numFmtId="0" fontId="17" fillId="0" borderId="17"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14" fontId="17" fillId="0" borderId="17" xfId="0" applyNumberFormat="1" applyFont="1" applyBorder="1" applyAlignment="1">
      <alignment horizontal="center" vertical="center"/>
    </xf>
    <xf numFmtId="14" fontId="17" fillId="0" borderId="18" xfId="0" applyNumberFormat="1" applyFont="1" applyBorder="1" applyAlignment="1">
      <alignment horizontal="center" vertical="center"/>
    </xf>
    <xf numFmtId="14" fontId="17" fillId="0" borderId="19" xfId="0" applyNumberFormat="1" applyFont="1" applyBorder="1" applyAlignment="1">
      <alignment horizontal="center" vertical="center"/>
    </xf>
    <xf numFmtId="2" fontId="17" fillId="0" borderId="17" xfId="0" applyNumberFormat="1" applyFont="1" applyBorder="1" applyAlignment="1">
      <alignment horizontal="center" vertical="center"/>
    </xf>
    <xf numFmtId="2" fontId="17" fillId="0" borderId="18" xfId="0" applyNumberFormat="1" applyFont="1" applyBorder="1" applyAlignment="1">
      <alignment horizontal="center" vertical="center"/>
    </xf>
    <xf numFmtId="2" fontId="17" fillId="0" borderId="19" xfId="0" applyNumberFormat="1"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0" fontId="17" fillId="0" borderId="21" xfId="0" applyFont="1" applyBorder="1" applyAlignment="1">
      <alignment horizontal="center" vertical="center"/>
    </xf>
    <xf numFmtId="0" fontId="17" fillId="0" borderId="16" xfId="0" applyFont="1" applyBorder="1" applyAlignment="1">
      <alignment horizontal="center" vertical="center"/>
    </xf>
    <xf numFmtId="0" fontId="17" fillId="0" borderId="20" xfId="0" applyFont="1" applyBorder="1" applyAlignment="1">
      <alignment horizontal="center" vertical="center"/>
    </xf>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8" fillId="0" borderId="0" xfId="0" applyFont="1" applyAlignment="1">
      <alignment horizontal="center" vertical="center"/>
    </xf>
    <xf numFmtId="0" fontId="19" fillId="0" borderId="0" xfId="0" applyFont="1" applyAlignment="1">
      <alignment horizontal="center" vertical="center"/>
    </xf>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13" fillId="4" borderId="17" xfId="0" applyFont="1" applyFill="1" applyBorder="1" applyAlignment="1">
      <alignment horizontal="center" vertical="center"/>
    </xf>
    <xf numFmtId="0" fontId="13" fillId="4" borderId="18" xfId="0" applyFont="1" applyFill="1" applyBorder="1" applyAlignment="1">
      <alignment horizontal="center" vertical="center"/>
    </xf>
    <xf numFmtId="0" fontId="13" fillId="4" borderId="19"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5" xfId="0" applyFont="1" applyFill="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6" fillId="0" borderId="17" xfId="0" applyFont="1" applyBorder="1" applyAlignment="1">
      <alignment horizontal="center" vertical="center"/>
    </xf>
    <xf numFmtId="0" fontId="13" fillId="4" borderId="0" xfId="0" applyFont="1" applyFill="1"/>
    <xf numFmtId="0" fontId="17" fillId="0" borderId="22" xfId="0" applyFont="1" applyBorder="1"/>
    <xf numFmtId="0" fontId="17" fillId="0" borderId="23" xfId="0" applyFont="1" applyBorder="1"/>
    <xf numFmtId="0" fontId="17" fillId="0" borderId="24" xfId="0" applyFont="1" applyBorder="1"/>
    <xf numFmtId="0" fontId="17" fillId="0" borderId="18" xfId="0" applyFont="1" applyBorder="1"/>
    <xf numFmtId="0" fontId="17" fillId="0" borderId="19" xfId="0" applyFont="1" applyBorder="1"/>
    <xf numFmtId="0" fontId="17" fillId="0" borderId="17" xfId="0" applyFont="1" applyBorder="1"/>
    <xf numFmtId="0" fontId="17" fillId="0" borderId="25" xfId="0" applyFont="1" applyBorder="1"/>
    <xf numFmtId="0" fontId="17" fillId="0" borderId="26" xfId="0" applyFont="1" applyBorder="1"/>
    <xf numFmtId="0" fontId="17" fillId="0" borderId="27" xfId="0" applyFont="1" applyBorder="1"/>
    <xf numFmtId="0" fontId="17" fillId="0" borderId="3" xfId="0" applyFont="1" applyBorder="1"/>
    <xf numFmtId="0" fontId="17" fillId="0" borderId="5" xfId="0" applyFont="1" applyBorder="1"/>
    <xf numFmtId="0" fontId="17" fillId="0" borderId="2" xfId="0" applyFont="1" applyBorder="1"/>
    <xf numFmtId="14" fontId="20" fillId="0" borderId="17" xfId="0" applyNumberFormat="1"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0" fillId="0" borderId="17" xfId="0" applyFont="1" applyBorder="1" applyAlignment="1">
      <alignment horizontal="center" vertical="center"/>
    </xf>
    <xf numFmtId="0" fontId="20" fillId="0" borderId="22" xfId="0" applyFont="1" applyBorder="1"/>
    <xf numFmtId="0" fontId="20" fillId="0" borderId="23" xfId="0" applyFont="1" applyBorder="1"/>
    <xf numFmtId="0" fontId="20" fillId="0" borderId="24"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25" xfId="0" applyFont="1" applyBorder="1"/>
    <xf numFmtId="0" fontId="20" fillId="0" borderId="26" xfId="0" applyFont="1" applyBorder="1"/>
    <xf numFmtId="0" fontId="20" fillId="0" borderId="27" xfId="0" applyFont="1" applyBorder="1"/>
    <xf numFmtId="0" fontId="13" fillId="4" borderId="21" xfId="6" applyFont="1" applyFill="1" applyBorder="1" applyAlignment="1">
      <alignment horizontal="center" vertical="center"/>
    </xf>
    <xf numFmtId="0" fontId="13" fillId="4" borderId="16" xfId="6" applyFont="1" applyFill="1" applyBorder="1" applyAlignment="1">
      <alignment horizontal="center" vertical="center"/>
    </xf>
    <xf numFmtId="0" fontId="13" fillId="4" borderId="20" xfId="6" applyFont="1" applyFill="1" applyBorder="1" applyAlignment="1">
      <alignment horizontal="center" vertical="center"/>
    </xf>
    <xf numFmtId="0" fontId="16" fillId="0" borderId="17" xfId="6" applyFont="1" applyBorder="1" applyAlignment="1">
      <alignment horizontal="center" vertical="center"/>
    </xf>
    <xf numFmtId="0" fontId="16" fillId="0" borderId="18" xfId="6" applyFont="1" applyBorder="1" applyAlignment="1">
      <alignment horizontal="center" vertical="center"/>
    </xf>
    <xf numFmtId="0" fontId="16" fillId="0" borderId="19"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14" fillId="4" borderId="21" xfId="6" applyFont="1" applyFill="1" applyBorder="1" applyAlignment="1">
      <alignment horizontal="center" vertical="center"/>
    </xf>
    <xf numFmtId="0" fontId="17" fillId="0" borderId="1" xfId="0" applyFont="1" applyBorder="1" applyAlignment="1">
      <alignment vertical="center"/>
    </xf>
    <xf numFmtId="0" fontId="17" fillId="0" borderId="0" xfId="0" applyFont="1" applyAlignment="1">
      <alignment vertical="center"/>
    </xf>
    <xf numFmtId="0" fontId="17" fillId="0" borderId="4" xfId="0" applyFont="1" applyBorder="1" applyAlignment="1">
      <alignment vertical="center"/>
    </xf>
    <xf numFmtId="0" fontId="17" fillId="0" borderId="28" xfId="0" applyFont="1" applyBorder="1" applyAlignment="1">
      <alignment horizontal="left" vertical="top"/>
    </xf>
    <xf numFmtId="0" fontId="17" fillId="0" borderId="21" xfId="0" applyFont="1" applyBorder="1" applyAlignment="1">
      <alignment horizontal="left" vertical="top"/>
    </xf>
    <xf numFmtId="0" fontId="17" fillId="0" borderId="16" xfId="0" applyFont="1" applyBorder="1" applyAlignment="1">
      <alignment horizontal="left" vertical="top"/>
    </xf>
    <xf numFmtId="0" fontId="17" fillId="0" borderId="20" xfId="0" applyFont="1" applyBorder="1" applyAlignment="1">
      <alignment horizontal="left" vertical="top"/>
    </xf>
    <xf numFmtId="0" fontId="17" fillId="5" borderId="21"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7" fillId="2" borderId="16" xfId="0" applyFont="1" applyFill="1" applyBorder="1" applyAlignment="1">
      <alignment vertical="center"/>
    </xf>
    <xf numFmtId="0" fontId="17" fillId="2" borderId="16" xfId="0" applyFont="1" applyFill="1" applyBorder="1" applyAlignment="1">
      <alignment horizontal="left" vertical="top" wrapText="1" shrinkToFit="1"/>
    </xf>
    <xf numFmtId="0" fontId="17" fillId="2" borderId="20" xfId="0" applyFont="1" applyFill="1" applyBorder="1" applyAlignment="1">
      <alignment horizontal="left" vertical="top" wrapText="1" shrinkToFit="1"/>
    </xf>
    <xf numFmtId="0" fontId="17" fillId="5" borderId="17" xfId="0" applyFont="1" applyFill="1" applyBorder="1" applyAlignment="1">
      <alignment horizontal="center" vertical="center" wrapText="1"/>
    </xf>
    <xf numFmtId="0" fontId="17" fillId="5" borderId="18"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2" borderId="0" xfId="0" applyFont="1" applyFill="1" applyAlignment="1">
      <alignment vertical="center"/>
    </xf>
    <xf numFmtId="0" fontId="17" fillId="2" borderId="18" xfId="0" applyFont="1" applyFill="1" applyBorder="1" applyAlignment="1">
      <alignment vertical="center"/>
    </xf>
    <xf numFmtId="0" fontId="17" fillId="2" borderId="1" xfId="0" applyFont="1" applyFill="1" applyBorder="1" applyAlignment="1">
      <alignment vertical="center"/>
    </xf>
    <xf numFmtId="0" fontId="17" fillId="2" borderId="0" xfId="0" quotePrefix="1" applyFont="1" applyFill="1" applyAlignment="1">
      <alignment vertical="center"/>
    </xf>
    <xf numFmtId="0" fontId="17" fillId="2" borderId="2" xfId="0" applyFont="1" applyFill="1" applyBorder="1" applyAlignment="1">
      <alignment vertical="center"/>
    </xf>
    <xf numFmtId="49" fontId="17" fillId="2" borderId="3" xfId="8" applyNumberFormat="1" applyFont="1" applyFill="1" applyBorder="1" applyAlignment="1">
      <alignment horizontal="left" vertical="center"/>
    </xf>
    <xf numFmtId="0" fontId="17" fillId="2" borderId="3" xfId="0" applyFont="1" applyFill="1" applyBorder="1" applyAlignment="1">
      <alignment vertical="center"/>
    </xf>
    <xf numFmtId="49" fontId="17" fillId="2" borderId="21" xfId="8" applyNumberFormat="1" applyFont="1" applyFill="1" applyBorder="1">
      <alignment vertical="center"/>
    </xf>
    <xf numFmtId="49" fontId="17" fillId="2" borderId="16" xfId="8" applyNumberFormat="1" applyFont="1" applyFill="1" applyBorder="1">
      <alignment vertical="center"/>
    </xf>
    <xf numFmtId="49" fontId="17" fillId="2" borderId="21" xfId="8" quotePrefix="1" applyNumberFormat="1" applyFont="1" applyFill="1" applyBorder="1" applyAlignment="1">
      <alignment horizontal="left" vertical="top"/>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17" fillId="0" borderId="0" xfId="0" quotePrefix="1" applyFont="1" applyAlignment="1">
      <alignment vertical="center"/>
    </xf>
    <xf numFmtId="49" fontId="17" fillId="2" borderId="21" xfId="8" quotePrefix="1" applyNumberFormat="1" applyFont="1" applyFill="1" applyBorder="1" applyAlignment="1">
      <alignment horizontal="left" vertical="top" wrapText="1"/>
    </xf>
    <xf numFmtId="49" fontId="17" fillId="2" borderId="16" xfId="8" quotePrefix="1" applyNumberFormat="1" applyFont="1" applyFill="1" applyBorder="1" applyAlignment="1">
      <alignment horizontal="left" vertical="top" wrapText="1"/>
    </xf>
    <xf numFmtId="49" fontId="17" fillId="2" borderId="20" xfId="8" quotePrefix="1" applyNumberFormat="1" applyFont="1" applyFill="1" applyBorder="1" applyAlignment="1">
      <alignment horizontal="left" vertical="top" wrapText="1"/>
    </xf>
    <xf numFmtId="0" fontId="4" fillId="0" borderId="0" xfId="0" applyFont="1" applyAlignment="1">
      <alignment vertical="center"/>
    </xf>
    <xf numFmtId="49" fontId="10" fillId="2" borderId="1" xfId="8" applyNumberFormat="1" applyFont="1" applyFill="1" applyBorder="1" applyAlignment="1">
      <alignment horizontal="left" vertical="top" wrapText="1"/>
    </xf>
    <xf numFmtId="49" fontId="10" fillId="2" borderId="17" xfId="8" applyNumberFormat="1" applyFont="1" applyFill="1" applyBorder="1" applyAlignment="1">
      <alignment horizontal="left" vertical="top" wrapText="1"/>
    </xf>
    <xf numFmtId="49" fontId="17" fillId="2" borderId="0" xfId="8" applyNumberFormat="1" applyFont="1" applyFill="1">
      <alignment vertical="center"/>
    </xf>
    <xf numFmtId="49" fontId="17" fillId="2" borderId="0" xfId="8" quotePrefix="1" applyNumberFormat="1" applyFont="1" applyFill="1" applyAlignment="1">
      <alignment horizontal="left" vertical="top"/>
    </xf>
    <xf numFmtId="49" fontId="17" fillId="2" borderId="0" xfId="8" quotePrefix="1" applyNumberFormat="1" applyFont="1" applyFill="1" applyAlignment="1">
      <alignment horizontal="left" vertical="top" wrapText="1"/>
    </xf>
    <xf numFmtId="0" fontId="11" fillId="2" borderId="0" xfId="0" applyFont="1" applyFill="1" applyAlignment="1">
      <alignment vertical="center"/>
    </xf>
    <xf numFmtId="49" fontId="4" fillId="2" borderId="3" xfId="8" applyNumberFormat="1" applyFont="1" applyFill="1" applyBorder="1" applyAlignment="1">
      <alignment horizontal="lef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61925" y="2790825"/>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16</xdr:row>
      <xdr:rowOff>179294</xdr:rowOff>
    </xdr:to>
    <xdr:grpSp>
      <xdr:nvGrpSpPr>
        <xdr:cNvPr id="11" name="Group 10">
          <a:extLst>
            <a:ext uri="{FF2B5EF4-FFF2-40B4-BE49-F238E27FC236}">
              <a16:creationId xmlns:a16="http://schemas.microsoft.com/office/drawing/2014/main" id="{00000000-0008-0000-0200-00000B000000}"/>
            </a:ext>
          </a:extLst>
        </xdr:cNvPr>
        <xdr:cNvGrpSpPr>
          <a:grpSpLocks/>
        </xdr:cNvGrpSpPr>
      </xdr:nvGrpSpPr>
      <xdr:grpSpPr>
        <a:xfrm>
          <a:off x="10298206" y="2745441"/>
          <a:ext cx="2823883" cy="593912"/>
          <a:chOff x="8681645" y="-2596021"/>
          <a:chExt cx="2803761" cy="2324291"/>
        </a:xfrm>
      </xdr:grpSpPr>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3" name="直線矢印コネクタ 4">
            <a:extLst>
              <a:ext uri="{FF2B5EF4-FFF2-40B4-BE49-F238E27FC236}">
                <a16:creationId xmlns:a16="http://schemas.microsoft.com/office/drawing/2014/main" id="{00000000-0008-0000-0200-00000D000000}"/>
              </a:ext>
            </a:extLst>
          </xdr:cNvPr>
          <xdr:cNvCxnSpPr>
            <a:endCxn id="1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171</xdr:row>
      <xdr:rowOff>4764</xdr:rowOff>
    </xdr:from>
    <xdr:to>
      <xdr:col>10</xdr:col>
      <xdr:colOff>0</xdr:colOff>
      <xdr:row>173</xdr:row>
      <xdr:rowOff>11206</xdr:rowOff>
    </xdr:to>
    <xdr:sp macro="" textlink="" fLocksText="0">
      <xdr:nvSpPr>
        <xdr:cNvPr id="32" name="フローチャート: 代替処理 27">
          <a:extLst>
            <a:ext uri="{FF2B5EF4-FFF2-40B4-BE49-F238E27FC236}">
              <a16:creationId xmlns:a16="http://schemas.microsoft.com/office/drawing/2014/main" id="{00000000-0008-0000-0200-000020000000}"/>
            </a:ext>
          </a:extLst>
        </xdr:cNvPr>
        <xdr:cNvSpPr/>
      </xdr:nvSpPr>
      <xdr:spPr>
        <a:xfrm>
          <a:off x="161925" y="32699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F04：クリア</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172</xdr:row>
      <xdr:rowOff>7985</xdr:rowOff>
    </xdr:from>
    <xdr:to>
      <xdr:col>13</xdr:col>
      <xdr:colOff>56029</xdr:colOff>
      <xdr:row>172</xdr:row>
      <xdr:rowOff>33617</xdr:rowOff>
    </xdr:to>
    <xdr:cxnSp macro="">
      <xdr:nvCxnSpPr>
        <xdr:cNvPr id="33" name="直線矢印コネクタ 4">
          <a:extLst>
            <a:ext uri="{FF2B5EF4-FFF2-40B4-BE49-F238E27FC236}">
              <a16:creationId xmlns:a16="http://schemas.microsoft.com/office/drawing/2014/main" id="{00000000-0008-0000-0200-000021000000}"/>
            </a:ext>
          </a:extLst>
        </xdr:cNvPr>
        <xdr:cNvCxnSpPr>
          <a:stCxn id="32" idx="3"/>
        </xdr:cNvCxnSpPr>
      </xdr:nvCxnSpPr>
      <xdr:spPr>
        <a:xfrm>
          <a:off x="2667000" y="32889825"/>
          <a:ext cx="857250" cy="285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203</xdr:row>
      <xdr:rowOff>134470</xdr:rowOff>
    </xdr:from>
    <xdr:to>
      <xdr:col>10</xdr:col>
      <xdr:colOff>0</xdr:colOff>
      <xdr:row>205</xdr:row>
      <xdr:rowOff>145676</xdr:rowOff>
    </xdr:to>
    <xdr:sp macro="" textlink="" fLocksText="0">
      <xdr:nvSpPr>
        <xdr:cNvPr id="76" name="フローチャート: 代替処理 27">
          <a:extLst>
            <a:ext uri="{FF2B5EF4-FFF2-40B4-BE49-F238E27FC236}">
              <a16:creationId xmlns:a16="http://schemas.microsoft.com/office/drawing/2014/main" id="{00000000-0008-0000-0200-00004C000000}"/>
            </a:ext>
          </a:extLst>
        </xdr:cNvPr>
        <xdr:cNvSpPr/>
      </xdr:nvSpPr>
      <xdr:spPr>
        <a:xfrm>
          <a:off x="161925" y="38919150"/>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F09:確認</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204</xdr:row>
      <xdr:rowOff>140073</xdr:rowOff>
    </xdr:from>
    <xdr:to>
      <xdr:col>13</xdr:col>
      <xdr:colOff>78441</xdr:colOff>
      <xdr:row>204</xdr:row>
      <xdr:rowOff>145676</xdr:rowOff>
    </xdr:to>
    <xdr:cxnSp macro="">
      <xdr:nvCxnSpPr>
        <xdr:cNvPr id="77" name="直線矢印コネクタ 4">
          <a:extLst>
            <a:ext uri="{FF2B5EF4-FFF2-40B4-BE49-F238E27FC236}">
              <a16:creationId xmlns:a16="http://schemas.microsoft.com/office/drawing/2014/main" id="{00000000-0008-0000-0200-00004D000000}"/>
            </a:ext>
          </a:extLst>
        </xdr:cNvPr>
        <xdr:cNvCxnSpPr>
          <a:stCxn id="76" idx="3"/>
        </xdr:cNvCxnSpPr>
      </xdr:nvCxnSpPr>
      <xdr:spPr>
        <a:xfrm>
          <a:off x="2667000" y="39119175"/>
          <a:ext cx="8763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224120</xdr:colOff>
      <xdr:row>234</xdr:row>
      <xdr:rowOff>22412</xdr:rowOff>
    </xdr:from>
    <xdr:to>
      <xdr:col>53</xdr:col>
      <xdr:colOff>121474</xdr:colOff>
      <xdr:row>236</xdr:row>
      <xdr:rowOff>11206</xdr:rowOff>
    </xdr:to>
    <xdr:grpSp>
      <xdr:nvGrpSpPr>
        <xdr:cNvPr id="84" name="Group 83">
          <a:extLst>
            <a:ext uri="{FF2B5EF4-FFF2-40B4-BE49-F238E27FC236}">
              <a16:creationId xmlns:a16="http://schemas.microsoft.com/office/drawing/2014/main" id="{00000000-0008-0000-0200-000054000000}"/>
            </a:ext>
          </a:extLst>
        </xdr:cNvPr>
        <xdr:cNvGrpSpPr>
          <a:grpSpLocks/>
        </xdr:cNvGrpSpPr>
      </xdr:nvGrpSpPr>
      <xdr:grpSpPr>
        <a:xfrm>
          <a:off x="10343032" y="44711471"/>
          <a:ext cx="2250589" cy="369794"/>
          <a:chOff x="8870788" y="-2171875"/>
          <a:chExt cx="2234552" cy="777600"/>
        </a:xfrm>
      </xdr:grpSpPr>
      <xdr:sp macro="" textlink="" fLocksText="0">
        <xdr:nvSpPr>
          <xdr:cNvPr id="85" name="Rectangle 84">
            <a:extLst>
              <a:ext uri="{FF2B5EF4-FFF2-40B4-BE49-F238E27FC236}">
                <a16:creationId xmlns:a16="http://schemas.microsoft.com/office/drawing/2014/main" id="{00000000-0008-0000-0200-000055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6" name="直線矢印コネクタ 4">
            <a:extLst>
              <a:ext uri="{FF2B5EF4-FFF2-40B4-BE49-F238E27FC236}">
                <a16:creationId xmlns:a16="http://schemas.microsoft.com/office/drawing/2014/main" id="{00000000-0008-0000-0200-000056000000}"/>
              </a:ext>
            </a:extLst>
          </xdr:cNvPr>
          <xdr:cNvCxnSpPr>
            <a:endCxn id="85"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99299</xdr:colOff>
      <xdr:row>140</xdr:row>
      <xdr:rowOff>89647</xdr:rowOff>
    </xdr:from>
    <xdr:to>
      <xdr:col>9</xdr:col>
      <xdr:colOff>168088</xdr:colOff>
      <xdr:row>145</xdr:row>
      <xdr:rowOff>100853</xdr:rowOff>
    </xdr:to>
    <xdr:sp macro="" textlink="" fLocksText="0">
      <xdr:nvSpPr>
        <xdr:cNvPr id="47" name="フローチャート: 代替処理 27">
          <a:extLst>
            <a:ext uri="{FF2B5EF4-FFF2-40B4-BE49-F238E27FC236}">
              <a16:creationId xmlns:a16="http://schemas.microsoft.com/office/drawing/2014/main" id="{00000000-0008-0000-0200-00002F000000}"/>
            </a:ext>
          </a:extLst>
        </xdr:cNvPr>
        <xdr:cNvSpPr/>
      </xdr:nvSpPr>
      <xdr:spPr>
        <a:xfrm>
          <a:off x="95250" y="26870025"/>
          <a:ext cx="2476500" cy="9715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商品コード入力項目からフォーカスを外したか、商品コードの6桁を入力した場合、</a:t>
          </a:r>
        </a:p>
      </xdr:txBody>
    </xdr:sp>
    <xdr:clientData/>
  </xdr:twoCellAnchor>
  <xdr:twoCellAnchor>
    <xdr:from>
      <xdr:col>9</xdr:col>
      <xdr:colOff>168088</xdr:colOff>
      <xdr:row>140</xdr:row>
      <xdr:rowOff>168088</xdr:rowOff>
    </xdr:from>
    <xdr:to>
      <xdr:col>13</xdr:col>
      <xdr:colOff>67235</xdr:colOff>
      <xdr:row>143</xdr:row>
      <xdr:rowOff>0</xdr:rowOff>
    </xdr:to>
    <xdr:cxnSp macro="">
      <xdr:nvCxnSpPr>
        <xdr:cNvPr id="51" name="直線矢印コネクタ 4">
          <a:extLst>
            <a:ext uri="{FF2B5EF4-FFF2-40B4-BE49-F238E27FC236}">
              <a16:creationId xmlns:a16="http://schemas.microsoft.com/office/drawing/2014/main" id="{00000000-0008-0000-0200-000033000000}"/>
            </a:ext>
          </a:extLst>
        </xdr:cNvPr>
        <xdr:cNvCxnSpPr>
          <a:stCxn id="47" idx="3"/>
        </xdr:cNvCxnSpPr>
      </xdr:nvCxnSpPr>
      <xdr:spPr>
        <a:xfrm flipV="1">
          <a:off x="2571750" y="26955750"/>
          <a:ext cx="962025" cy="400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143883</xdr:colOff>
      <xdr:row>154</xdr:row>
      <xdr:rowOff>168088</xdr:rowOff>
    </xdr:from>
    <xdr:to>
      <xdr:col>55</xdr:col>
      <xdr:colOff>143885</xdr:colOff>
      <xdr:row>158</xdr:row>
      <xdr:rowOff>0</xdr:rowOff>
    </xdr:to>
    <xdr:grpSp>
      <xdr:nvGrpSpPr>
        <xdr:cNvPr id="52" name="Group 51">
          <a:extLst>
            <a:ext uri="{FF2B5EF4-FFF2-40B4-BE49-F238E27FC236}">
              <a16:creationId xmlns:a16="http://schemas.microsoft.com/office/drawing/2014/main" id="{00000000-0008-0000-0200-000034000000}"/>
            </a:ext>
          </a:extLst>
        </xdr:cNvPr>
        <xdr:cNvGrpSpPr>
          <a:grpSpLocks/>
        </xdr:cNvGrpSpPr>
      </xdr:nvGrpSpPr>
      <xdr:grpSpPr>
        <a:xfrm>
          <a:off x="10262795" y="29617147"/>
          <a:ext cx="2823884" cy="593912"/>
          <a:chOff x="8357211" y="12314519"/>
          <a:chExt cx="2803762" cy="2324291"/>
        </a:xfrm>
      </xdr:grpSpPr>
      <xdr:sp macro="" textlink="" fLocksText="0">
        <xdr:nvSpPr>
          <xdr:cNvPr id="53" name="Rectangle 52">
            <a:extLst>
              <a:ext uri="{FF2B5EF4-FFF2-40B4-BE49-F238E27FC236}">
                <a16:creationId xmlns:a16="http://schemas.microsoft.com/office/drawing/2014/main" id="{00000000-0008-0000-0200-00003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70" name="直線矢印コネクタ 4">
            <a:extLst>
              <a:ext uri="{FF2B5EF4-FFF2-40B4-BE49-F238E27FC236}">
                <a16:creationId xmlns:a16="http://schemas.microsoft.com/office/drawing/2014/main" id="{00000000-0008-0000-0200-000046000000}"/>
              </a:ext>
            </a:extLst>
          </xdr:cNvPr>
          <xdr:cNvCxnSpPr>
            <a:endCxn id="5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160</xdr:row>
      <xdr:rowOff>0</xdr:rowOff>
    </xdr:from>
    <xdr:to>
      <xdr:col>53</xdr:col>
      <xdr:colOff>132677</xdr:colOff>
      <xdr:row>161</xdr:row>
      <xdr:rowOff>179294</xdr:rowOff>
    </xdr:to>
    <xdr:grpSp>
      <xdr:nvGrpSpPr>
        <xdr:cNvPr id="82" name="Group 81">
          <a:extLst>
            <a:ext uri="{FF2B5EF4-FFF2-40B4-BE49-F238E27FC236}">
              <a16:creationId xmlns:a16="http://schemas.microsoft.com/office/drawing/2014/main" id="{00000000-0008-0000-0200-000052000000}"/>
            </a:ext>
          </a:extLst>
        </xdr:cNvPr>
        <xdr:cNvGrpSpPr>
          <a:grpSpLocks/>
        </xdr:cNvGrpSpPr>
      </xdr:nvGrpSpPr>
      <xdr:grpSpPr>
        <a:xfrm>
          <a:off x="10354235" y="30592059"/>
          <a:ext cx="2250589" cy="369794"/>
          <a:chOff x="8994954" y="-1771293"/>
          <a:chExt cx="2234552" cy="777600"/>
        </a:xfrm>
      </xdr:grpSpPr>
      <xdr:sp macro="" textlink="" fLocksText="0">
        <xdr:nvSpPr>
          <xdr:cNvPr id="83" name="Rectangle 82">
            <a:extLst>
              <a:ext uri="{FF2B5EF4-FFF2-40B4-BE49-F238E27FC236}">
                <a16:creationId xmlns:a16="http://schemas.microsoft.com/office/drawing/2014/main" id="{00000000-0008-0000-0200-00005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7" name="直線矢印コネクタ 4">
            <a:extLst>
              <a:ext uri="{FF2B5EF4-FFF2-40B4-BE49-F238E27FC236}">
                <a16:creationId xmlns:a16="http://schemas.microsoft.com/office/drawing/2014/main" id="{00000000-0008-0000-0200-000057000000}"/>
              </a:ext>
            </a:extLst>
          </xdr:cNvPr>
          <xdr:cNvCxnSpPr>
            <a:endCxn id="83"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217</xdr:row>
      <xdr:rowOff>123265</xdr:rowOff>
    </xdr:from>
    <xdr:to>
      <xdr:col>53</xdr:col>
      <xdr:colOff>132677</xdr:colOff>
      <xdr:row>219</xdr:row>
      <xdr:rowOff>145677</xdr:rowOff>
    </xdr:to>
    <xdr:grpSp>
      <xdr:nvGrpSpPr>
        <xdr:cNvPr id="103" name="Group 102">
          <a:extLst>
            <a:ext uri="{FF2B5EF4-FFF2-40B4-BE49-F238E27FC236}">
              <a16:creationId xmlns:a16="http://schemas.microsoft.com/office/drawing/2014/main" id="{00000000-0008-0000-0200-000067000000}"/>
            </a:ext>
          </a:extLst>
        </xdr:cNvPr>
        <xdr:cNvGrpSpPr>
          <a:grpSpLocks/>
        </xdr:cNvGrpSpPr>
      </xdr:nvGrpSpPr>
      <xdr:grpSpPr>
        <a:xfrm>
          <a:off x="10354235" y="41573824"/>
          <a:ext cx="2250589" cy="403412"/>
          <a:chOff x="8870788" y="-2171875"/>
          <a:chExt cx="2234552" cy="777600"/>
        </a:xfrm>
      </xdr:grpSpPr>
      <xdr:sp macro="" textlink="" fLocksText="0">
        <xdr:nvSpPr>
          <xdr:cNvPr id="104" name="Rectangle 103">
            <a:extLst>
              <a:ext uri="{FF2B5EF4-FFF2-40B4-BE49-F238E27FC236}">
                <a16:creationId xmlns:a16="http://schemas.microsoft.com/office/drawing/2014/main" id="{00000000-0008-0000-0200-000068000000}"/>
              </a:ext>
            </a:extLst>
          </xdr:cNvPr>
          <xdr:cNvSpPr/>
        </xdr:nvSpPr>
        <xdr:spPr>
          <a:xfrm>
            <a:off x="9449537" y="-2171875"/>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5" name="直線矢印コネクタ 4">
            <a:extLst>
              <a:ext uri="{FF2B5EF4-FFF2-40B4-BE49-F238E27FC236}">
                <a16:creationId xmlns:a16="http://schemas.microsoft.com/office/drawing/2014/main" id="{00000000-0008-0000-0200-000069000000}"/>
              </a:ext>
            </a:extLst>
          </xdr:cNvPr>
          <xdr:cNvCxnSpPr>
            <a:endCxn id="104" idx="1"/>
          </xdr:cNvCxnSpPr>
        </xdr:nvCxnSpPr>
        <xdr:spPr>
          <a:xfrm>
            <a:off x="8870788" y="-1783075"/>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143883</xdr:colOff>
      <xdr:row>32</xdr:row>
      <xdr:rowOff>168088</xdr:rowOff>
    </xdr:from>
    <xdr:to>
      <xdr:col>55</xdr:col>
      <xdr:colOff>143885</xdr:colOff>
      <xdr:row>36</xdr:row>
      <xdr:rowOff>0</xdr:rowOff>
    </xdr:to>
    <xdr:grpSp>
      <xdr:nvGrpSpPr>
        <xdr:cNvPr id="17" name="Group 16">
          <a:extLst>
            <a:ext uri="{FF2B5EF4-FFF2-40B4-BE49-F238E27FC236}">
              <a16:creationId xmlns:a16="http://schemas.microsoft.com/office/drawing/2014/main" id="{00000000-0008-0000-0200-000011000000}"/>
            </a:ext>
          </a:extLst>
        </xdr:cNvPr>
        <xdr:cNvGrpSpPr>
          <a:grpSpLocks/>
        </xdr:cNvGrpSpPr>
      </xdr:nvGrpSpPr>
      <xdr:grpSpPr>
        <a:xfrm>
          <a:off x="10262795" y="6376147"/>
          <a:ext cx="2823884" cy="593912"/>
          <a:chOff x="8357211" y="12314519"/>
          <a:chExt cx="2803762" cy="2324291"/>
        </a:xfrm>
      </xdr:grpSpPr>
      <xdr:sp macro="" textlink="" fLocksText="0">
        <xdr:nvSpPr>
          <xdr:cNvPr id="18" name="Rectangle 17">
            <a:extLst>
              <a:ext uri="{FF2B5EF4-FFF2-40B4-BE49-F238E27FC236}">
                <a16:creationId xmlns:a16="http://schemas.microsoft.com/office/drawing/2014/main" id="{00000000-0008-0000-0200-000012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34" name="直線矢印コネクタ 4">
            <a:extLst>
              <a:ext uri="{FF2B5EF4-FFF2-40B4-BE49-F238E27FC236}">
                <a16:creationId xmlns:a16="http://schemas.microsoft.com/office/drawing/2014/main" id="{00000000-0008-0000-0200-000022000000}"/>
              </a:ext>
            </a:extLst>
          </xdr:cNvPr>
          <xdr:cNvCxnSpPr>
            <a:endCxn id="1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38</xdr:row>
      <xdr:rowOff>0</xdr:rowOff>
    </xdr:from>
    <xdr:to>
      <xdr:col>53</xdr:col>
      <xdr:colOff>132677</xdr:colOff>
      <xdr:row>39</xdr:row>
      <xdr:rowOff>179294</xdr:rowOff>
    </xdr:to>
    <xdr:grpSp>
      <xdr:nvGrpSpPr>
        <xdr:cNvPr id="35" name="Group 34">
          <a:extLst>
            <a:ext uri="{FF2B5EF4-FFF2-40B4-BE49-F238E27FC236}">
              <a16:creationId xmlns:a16="http://schemas.microsoft.com/office/drawing/2014/main" id="{00000000-0008-0000-0200-000023000000}"/>
            </a:ext>
          </a:extLst>
        </xdr:cNvPr>
        <xdr:cNvGrpSpPr>
          <a:grpSpLocks/>
        </xdr:cNvGrpSpPr>
      </xdr:nvGrpSpPr>
      <xdr:grpSpPr>
        <a:xfrm>
          <a:off x="10354235" y="7351059"/>
          <a:ext cx="2250589" cy="369794"/>
          <a:chOff x="8994954" y="-1771293"/>
          <a:chExt cx="2234552" cy="777600"/>
        </a:xfrm>
      </xdr:grpSpPr>
      <xdr:sp macro="" textlink="" fLocksText="0">
        <xdr:nvSpPr>
          <xdr:cNvPr id="36" name="Rectangle 35">
            <a:extLst>
              <a:ext uri="{FF2B5EF4-FFF2-40B4-BE49-F238E27FC236}">
                <a16:creationId xmlns:a16="http://schemas.microsoft.com/office/drawing/2014/main" id="{00000000-0008-0000-0200-000024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200-000025000000}"/>
              </a:ext>
            </a:extLst>
          </xdr:cNvPr>
          <xdr:cNvCxnSpPr>
            <a:endCxn id="3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134467</xdr:colOff>
      <xdr:row>26</xdr:row>
      <xdr:rowOff>4764</xdr:rowOff>
    </xdr:from>
    <xdr:to>
      <xdr:col>9</xdr:col>
      <xdr:colOff>203256</xdr:colOff>
      <xdr:row>31</xdr:row>
      <xdr:rowOff>0</xdr:rowOff>
    </xdr:to>
    <xdr:sp macro="" textlink="" fLocksText="0">
      <xdr:nvSpPr>
        <xdr:cNvPr id="55" name="フローチャート: 代替処理 27">
          <a:extLst>
            <a:ext uri="{FF2B5EF4-FFF2-40B4-BE49-F238E27FC236}">
              <a16:creationId xmlns:a16="http://schemas.microsoft.com/office/drawing/2014/main" id="{00000000-0008-0000-0200-000037000000}"/>
            </a:ext>
          </a:extLst>
        </xdr:cNvPr>
        <xdr:cNvSpPr/>
      </xdr:nvSpPr>
      <xdr:spPr>
        <a:xfrm>
          <a:off x="133350" y="5076825"/>
          <a:ext cx="2466975" cy="942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プロモーションコードを入力してフォーカスアウトした場合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203256</xdr:colOff>
      <xdr:row>28</xdr:row>
      <xdr:rowOff>97632</xdr:rowOff>
    </xdr:from>
    <xdr:to>
      <xdr:col>13</xdr:col>
      <xdr:colOff>203256</xdr:colOff>
      <xdr:row>28</xdr:row>
      <xdr:rowOff>97632</xdr:rowOff>
    </xdr:to>
    <xdr:cxnSp macro="">
      <xdr:nvCxnSpPr>
        <xdr:cNvPr id="56" name="直線矢印コネクタ 4">
          <a:extLst>
            <a:ext uri="{FF2B5EF4-FFF2-40B4-BE49-F238E27FC236}">
              <a16:creationId xmlns:a16="http://schemas.microsoft.com/office/drawing/2014/main" id="{00000000-0008-0000-0200-000038000000}"/>
            </a:ext>
          </a:extLst>
        </xdr:cNvPr>
        <xdr:cNvCxnSpPr>
          <a:stCxn id="55" idx="3"/>
        </xdr:cNvCxnSpPr>
      </xdr:nvCxnSpPr>
      <xdr:spPr>
        <a:xfrm>
          <a:off x="2600325" y="55435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50</xdr:row>
      <xdr:rowOff>4763</xdr:rowOff>
    </xdr:from>
    <xdr:to>
      <xdr:col>10</xdr:col>
      <xdr:colOff>0</xdr:colOff>
      <xdr:row>52</xdr:row>
      <xdr:rowOff>168088</xdr:rowOff>
    </xdr:to>
    <xdr:sp macro="" textlink="" fLocksText="0">
      <xdr:nvSpPr>
        <xdr:cNvPr id="68" name="フローチャート: 代替処理 27">
          <a:extLst>
            <a:ext uri="{FF2B5EF4-FFF2-40B4-BE49-F238E27FC236}">
              <a16:creationId xmlns:a16="http://schemas.microsoft.com/office/drawing/2014/main" id="{00000000-0008-0000-0200-000044000000}"/>
            </a:ext>
          </a:extLst>
        </xdr:cNvPr>
        <xdr:cNvSpPr/>
      </xdr:nvSpPr>
      <xdr:spPr>
        <a:xfrm>
          <a:off x="161925" y="9648825"/>
          <a:ext cx="2505075" cy="5429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プロモーション検索ボタンをタッチした場合、</a:t>
          </a:r>
        </a:p>
      </xdr:txBody>
    </xdr:sp>
    <xdr:clientData/>
  </xdr:twoCellAnchor>
  <xdr:twoCellAnchor>
    <xdr:from>
      <xdr:col>10</xdr:col>
      <xdr:colOff>0</xdr:colOff>
      <xdr:row>50</xdr:row>
      <xdr:rowOff>156882</xdr:rowOff>
    </xdr:from>
    <xdr:to>
      <xdr:col>13</xdr:col>
      <xdr:colOff>56029</xdr:colOff>
      <xdr:row>51</xdr:row>
      <xdr:rowOff>86426</xdr:rowOff>
    </xdr:to>
    <xdr:cxnSp macro="">
      <xdr:nvCxnSpPr>
        <xdr:cNvPr id="69" name="直線矢印コネクタ 4">
          <a:extLst>
            <a:ext uri="{FF2B5EF4-FFF2-40B4-BE49-F238E27FC236}">
              <a16:creationId xmlns:a16="http://schemas.microsoft.com/office/drawing/2014/main" id="{00000000-0008-0000-0200-000045000000}"/>
            </a:ext>
          </a:extLst>
        </xdr:cNvPr>
        <xdr:cNvCxnSpPr>
          <a:stCxn id="68" idx="3"/>
        </xdr:cNvCxnSpPr>
      </xdr:nvCxnSpPr>
      <xdr:spPr>
        <a:xfrm flipV="1">
          <a:off x="2667000" y="9791700"/>
          <a:ext cx="857250" cy="1238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49</xdr:row>
      <xdr:rowOff>156882</xdr:rowOff>
    </xdr:from>
    <xdr:to>
      <xdr:col>55</xdr:col>
      <xdr:colOff>179295</xdr:colOff>
      <xdr:row>52</xdr:row>
      <xdr:rowOff>179294</xdr:rowOff>
    </xdr:to>
    <xdr:grpSp>
      <xdr:nvGrpSpPr>
        <xdr:cNvPr id="71" name="Group 70">
          <a:extLst>
            <a:ext uri="{FF2B5EF4-FFF2-40B4-BE49-F238E27FC236}">
              <a16:creationId xmlns:a16="http://schemas.microsoft.com/office/drawing/2014/main" id="{00000000-0008-0000-0200-000047000000}"/>
            </a:ext>
          </a:extLst>
        </xdr:cNvPr>
        <xdr:cNvGrpSpPr>
          <a:grpSpLocks/>
        </xdr:cNvGrpSpPr>
      </xdr:nvGrpSpPr>
      <xdr:grpSpPr>
        <a:xfrm>
          <a:off x="10298206" y="9603441"/>
          <a:ext cx="2823883" cy="593912"/>
          <a:chOff x="8681645" y="-2596021"/>
          <a:chExt cx="2803761" cy="2324291"/>
        </a:xfrm>
      </xdr:grpSpPr>
      <xdr:sp macro="" textlink="" fLocksText="0">
        <xdr:nvSpPr>
          <xdr:cNvPr id="72" name="Rectangle 71">
            <a:extLst>
              <a:ext uri="{FF2B5EF4-FFF2-40B4-BE49-F238E27FC236}">
                <a16:creationId xmlns:a16="http://schemas.microsoft.com/office/drawing/2014/main" id="{00000000-0008-0000-0200-000048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MD0102_プロモーション一覧モーダル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3" name="直線矢印コネクタ 4">
            <a:extLst>
              <a:ext uri="{FF2B5EF4-FFF2-40B4-BE49-F238E27FC236}">
                <a16:creationId xmlns:a16="http://schemas.microsoft.com/office/drawing/2014/main" id="{00000000-0008-0000-0200-000049000000}"/>
              </a:ext>
            </a:extLst>
          </xdr:cNvPr>
          <xdr:cNvCxnSpPr>
            <a:endCxn id="72"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121711</xdr:colOff>
      <xdr:row>61</xdr:row>
      <xdr:rowOff>71998</xdr:rowOff>
    </xdr:from>
    <xdr:to>
      <xdr:col>9</xdr:col>
      <xdr:colOff>190500</xdr:colOff>
      <xdr:row>64</xdr:row>
      <xdr:rowOff>67234</xdr:rowOff>
    </xdr:to>
    <xdr:sp macro="" textlink="" fLocksText="0">
      <xdr:nvSpPr>
        <xdr:cNvPr id="74" name="フローチャート: 代替処理 27">
          <a:extLst>
            <a:ext uri="{FF2B5EF4-FFF2-40B4-BE49-F238E27FC236}">
              <a16:creationId xmlns:a16="http://schemas.microsoft.com/office/drawing/2014/main" id="{00000000-0008-0000-0200-00004A000000}"/>
            </a:ext>
          </a:extLst>
        </xdr:cNvPr>
        <xdr:cNvSpPr/>
      </xdr:nvSpPr>
      <xdr:spPr>
        <a:xfrm>
          <a:off x="123825" y="11811000"/>
          <a:ext cx="24669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ミックスマッチ検索ボタンをタッチした場合、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190500</xdr:colOff>
      <xdr:row>63</xdr:row>
      <xdr:rowOff>7984</xdr:rowOff>
    </xdr:from>
    <xdr:to>
      <xdr:col>13</xdr:col>
      <xdr:colOff>44825</xdr:colOff>
      <xdr:row>63</xdr:row>
      <xdr:rowOff>7984</xdr:rowOff>
    </xdr:to>
    <xdr:cxnSp macro="">
      <xdr:nvCxnSpPr>
        <xdr:cNvPr id="75" name="直線矢印コネクタ 4">
          <a:extLst>
            <a:ext uri="{FF2B5EF4-FFF2-40B4-BE49-F238E27FC236}">
              <a16:creationId xmlns:a16="http://schemas.microsoft.com/office/drawing/2014/main" id="{00000000-0008-0000-0200-00004B000000}"/>
            </a:ext>
          </a:extLst>
        </xdr:cNvPr>
        <xdr:cNvCxnSpPr>
          <a:stCxn id="74" idx="3"/>
        </xdr:cNvCxnSpPr>
      </xdr:nvCxnSpPr>
      <xdr:spPr>
        <a:xfrm>
          <a:off x="2590800" y="12125325"/>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121710</xdr:colOff>
      <xdr:row>92</xdr:row>
      <xdr:rowOff>150440</xdr:rowOff>
    </xdr:from>
    <xdr:to>
      <xdr:col>9</xdr:col>
      <xdr:colOff>190499</xdr:colOff>
      <xdr:row>94</xdr:row>
      <xdr:rowOff>56029</xdr:rowOff>
    </xdr:to>
    <xdr:sp macro="" textlink="" fLocksText="0">
      <xdr:nvSpPr>
        <xdr:cNvPr id="81" name="フローチャート: 代替処理 27">
          <a:extLst>
            <a:ext uri="{FF2B5EF4-FFF2-40B4-BE49-F238E27FC236}">
              <a16:creationId xmlns:a16="http://schemas.microsoft.com/office/drawing/2014/main" id="{00000000-0008-0000-0200-000051000000}"/>
            </a:ext>
          </a:extLst>
        </xdr:cNvPr>
        <xdr:cNvSpPr/>
      </xdr:nvSpPr>
      <xdr:spPr>
        <a:xfrm>
          <a:off x="123825" y="17792700"/>
          <a:ext cx="2466975" cy="2857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・新規ボタンをタッチした場合、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190499</xdr:colOff>
      <xdr:row>93</xdr:row>
      <xdr:rowOff>100852</xdr:rowOff>
    </xdr:from>
    <xdr:to>
      <xdr:col>13</xdr:col>
      <xdr:colOff>44823</xdr:colOff>
      <xdr:row>93</xdr:row>
      <xdr:rowOff>103235</xdr:rowOff>
    </xdr:to>
    <xdr:cxnSp macro="">
      <xdr:nvCxnSpPr>
        <xdr:cNvPr id="106" name="直線矢印コネクタ 4">
          <a:extLst>
            <a:ext uri="{FF2B5EF4-FFF2-40B4-BE49-F238E27FC236}">
              <a16:creationId xmlns:a16="http://schemas.microsoft.com/office/drawing/2014/main" id="{00000000-0008-0000-0200-00006A000000}"/>
            </a:ext>
          </a:extLst>
        </xdr:cNvPr>
        <xdr:cNvCxnSpPr>
          <a:stCxn id="81" idx="3"/>
        </xdr:cNvCxnSpPr>
      </xdr:nvCxnSpPr>
      <xdr:spPr>
        <a:xfrm flipV="1">
          <a:off x="2590800" y="17935575"/>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123</xdr:row>
      <xdr:rowOff>4764</xdr:rowOff>
    </xdr:from>
    <xdr:to>
      <xdr:col>10</xdr:col>
      <xdr:colOff>0</xdr:colOff>
      <xdr:row>127</xdr:row>
      <xdr:rowOff>0</xdr:rowOff>
    </xdr:to>
    <xdr:sp macro="" textlink="" fLocksText="0">
      <xdr:nvSpPr>
        <xdr:cNvPr id="115" name="フローチャート: 代替処理 27">
          <a:extLst>
            <a:ext uri="{FF2B5EF4-FFF2-40B4-BE49-F238E27FC236}">
              <a16:creationId xmlns:a16="http://schemas.microsoft.com/office/drawing/2014/main" id="{00000000-0008-0000-0200-000073000000}"/>
            </a:ext>
          </a:extLst>
        </xdr:cNvPr>
        <xdr:cNvSpPr/>
      </xdr:nvSpPr>
      <xdr:spPr>
        <a:xfrm>
          <a:off x="161925" y="23555325"/>
          <a:ext cx="2505075" cy="752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vi-VN" altLang="ja-JP" sz="1100" b="0" i="0" u="none" baseline="0">
              <a:solidFill>
                <a:srgbClr val="FFFFFF"/>
              </a:solidFill>
              <a:latin typeface="Meiryo UI"/>
              <a:ea typeface="Meiryo UI" panose="020B0604030504040204" pitchFamily="34" charset="-128"/>
            </a:rPr>
            <a:t>商品コード切替/PLUコード切替</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125</xdr:row>
      <xdr:rowOff>2382</xdr:rowOff>
    </xdr:from>
    <xdr:to>
      <xdr:col>13</xdr:col>
      <xdr:colOff>0</xdr:colOff>
      <xdr:row>125</xdr:row>
      <xdr:rowOff>2382</xdr:rowOff>
    </xdr:to>
    <xdr:cxnSp macro="">
      <xdr:nvCxnSpPr>
        <xdr:cNvPr id="116" name="直線矢印コネクタ 4">
          <a:extLst>
            <a:ext uri="{FF2B5EF4-FFF2-40B4-BE49-F238E27FC236}">
              <a16:creationId xmlns:a16="http://schemas.microsoft.com/office/drawing/2014/main" id="{00000000-0008-0000-0200-000074000000}"/>
            </a:ext>
          </a:extLst>
        </xdr:cNvPr>
        <xdr:cNvCxnSpPr>
          <a:stCxn id="115" idx="3"/>
        </xdr:cNvCxnSpPr>
      </xdr:nvCxnSpPr>
      <xdr:spPr>
        <a:xfrm>
          <a:off x="2667000" y="23926800"/>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11206</xdr:colOff>
      <xdr:row>123</xdr:row>
      <xdr:rowOff>134471</xdr:rowOff>
    </xdr:from>
    <xdr:to>
      <xdr:col>56</xdr:col>
      <xdr:colOff>11206</xdr:colOff>
      <xdr:row>126</xdr:row>
      <xdr:rowOff>156883</xdr:rowOff>
    </xdr:to>
    <xdr:grpSp>
      <xdr:nvGrpSpPr>
        <xdr:cNvPr id="117" name="Group 116">
          <a:extLst>
            <a:ext uri="{FF2B5EF4-FFF2-40B4-BE49-F238E27FC236}">
              <a16:creationId xmlns:a16="http://schemas.microsoft.com/office/drawing/2014/main" id="{00000000-0008-0000-0200-000075000000}"/>
            </a:ext>
          </a:extLst>
        </xdr:cNvPr>
        <xdr:cNvGrpSpPr>
          <a:grpSpLocks/>
        </xdr:cNvGrpSpPr>
      </xdr:nvGrpSpPr>
      <xdr:grpSpPr>
        <a:xfrm>
          <a:off x="10365441" y="23678030"/>
          <a:ext cx="2823883" cy="593912"/>
          <a:chOff x="8681645" y="-2596021"/>
          <a:chExt cx="2803761" cy="2324291"/>
        </a:xfrm>
      </xdr:grpSpPr>
      <xdr:sp macro="" textlink="" fLocksText="0">
        <xdr:nvSpPr>
          <xdr:cNvPr id="118" name="Rectangle 117">
            <a:extLst>
              <a:ext uri="{FF2B5EF4-FFF2-40B4-BE49-F238E27FC236}">
                <a16:creationId xmlns:a16="http://schemas.microsoft.com/office/drawing/2014/main" id="{00000000-0008-0000-0200-000076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119" name="直線矢印コネクタ 4">
            <a:extLst>
              <a:ext uri="{FF2B5EF4-FFF2-40B4-BE49-F238E27FC236}">
                <a16:creationId xmlns:a16="http://schemas.microsoft.com/office/drawing/2014/main" id="{00000000-0008-0000-0200-000077000000}"/>
              </a:ext>
            </a:extLst>
          </xdr:cNvPr>
          <xdr:cNvCxnSpPr>
            <a:endCxn id="118"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121472</xdr:colOff>
      <xdr:row>75</xdr:row>
      <xdr:rowOff>44824</xdr:rowOff>
    </xdr:from>
    <xdr:to>
      <xdr:col>55</xdr:col>
      <xdr:colOff>121474</xdr:colOff>
      <xdr:row>78</xdr:row>
      <xdr:rowOff>67236</xdr:rowOff>
    </xdr:to>
    <xdr:grpSp>
      <xdr:nvGrpSpPr>
        <xdr:cNvPr id="4" name="Group 3">
          <a:extLst>
            <a:ext uri="{FF2B5EF4-FFF2-40B4-BE49-F238E27FC236}">
              <a16:creationId xmlns:a16="http://schemas.microsoft.com/office/drawing/2014/main" id="{00000000-0008-0000-0200-000004000000}"/>
            </a:ext>
          </a:extLst>
        </xdr:cNvPr>
        <xdr:cNvGrpSpPr>
          <a:grpSpLocks/>
        </xdr:cNvGrpSpPr>
      </xdr:nvGrpSpPr>
      <xdr:grpSpPr>
        <a:xfrm>
          <a:off x="10240384" y="14444383"/>
          <a:ext cx="2823884" cy="593912"/>
          <a:chOff x="8357211" y="12314519"/>
          <a:chExt cx="2803762" cy="2324291"/>
        </a:xfrm>
      </xdr:grpSpPr>
      <xdr:sp macro="" textlink="" fLocksText="0">
        <xdr:nvSpPr>
          <xdr:cNvPr id="5" name="Rectangle 4">
            <a:extLst>
              <a:ext uri="{FF2B5EF4-FFF2-40B4-BE49-F238E27FC236}">
                <a16:creationId xmlns:a16="http://schemas.microsoft.com/office/drawing/2014/main" id="{00000000-0008-0000-0200-000005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6" name="直線矢印コネクタ 4">
            <a:extLst>
              <a:ext uri="{FF2B5EF4-FFF2-40B4-BE49-F238E27FC236}">
                <a16:creationId xmlns:a16="http://schemas.microsoft.com/office/drawing/2014/main" id="{00000000-0008-0000-0200-000006000000}"/>
              </a:ext>
            </a:extLst>
          </xdr:cNvPr>
          <xdr:cNvCxnSpPr>
            <a:endCxn id="5"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235322</xdr:colOff>
      <xdr:row>83</xdr:row>
      <xdr:rowOff>33617</xdr:rowOff>
    </xdr:from>
    <xdr:to>
      <xdr:col>53</xdr:col>
      <xdr:colOff>132676</xdr:colOff>
      <xdr:row>84</xdr:row>
      <xdr:rowOff>156882</xdr:rowOff>
    </xdr:to>
    <xdr:grpSp>
      <xdr:nvGrpSpPr>
        <xdr:cNvPr id="7" name="Group 6">
          <a:extLst>
            <a:ext uri="{FF2B5EF4-FFF2-40B4-BE49-F238E27FC236}">
              <a16:creationId xmlns:a16="http://schemas.microsoft.com/office/drawing/2014/main" id="{00000000-0008-0000-0200-000007000000}"/>
            </a:ext>
          </a:extLst>
        </xdr:cNvPr>
        <xdr:cNvGrpSpPr>
          <a:grpSpLocks/>
        </xdr:cNvGrpSpPr>
      </xdr:nvGrpSpPr>
      <xdr:grpSpPr>
        <a:xfrm>
          <a:off x="10354234" y="15957176"/>
          <a:ext cx="2250589" cy="313765"/>
          <a:chOff x="8994954" y="-1771293"/>
          <a:chExt cx="2234552" cy="777600"/>
        </a:xfrm>
      </xdr:grpSpPr>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 name="直線矢印コネクタ 4">
            <a:extLst>
              <a:ext uri="{FF2B5EF4-FFF2-40B4-BE49-F238E27FC236}">
                <a16:creationId xmlns:a16="http://schemas.microsoft.com/office/drawing/2014/main" id="{00000000-0008-0000-0200-000009000000}"/>
              </a:ext>
            </a:extLst>
          </xdr:cNvPr>
          <xdr:cNvCxnSpPr>
            <a:endCxn id="8"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76647</xdr:colOff>
      <xdr:row>105</xdr:row>
      <xdr:rowOff>168088</xdr:rowOff>
    </xdr:from>
    <xdr:to>
      <xdr:col>55</xdr:col>
      <xdr:colOff>76649</xdr:colOff>
      <xdr:row>109</xdr:row>
      <xdr:rowOff>0</xdr:rowOff>
    </xdr:to>
    <xdr:grpSp>
      <xdr:nvGrpSpPr>
        <xdr:cNvPr id="27" name="Group 26">
          <a:extLst>
            <a:ext uri="{FF2B5EF4-FFF2-40B4-BE49-F238E27FC236}">
              <a16:creationId xmlns:a16="http://schemas.microsoft.com/office/drawing/2014/main" id="{00000000-0008-0000-0200-00001B000000}"/>
            </a:ext>
          </a:extLst>
        </xdr:cNvPr>
        <xdr:cNvGrpSpPr>
          <a:grpSpLocks/>
        </xdr:cNvGrpSpPr>
      </xdr:nvGrpSpPr>
      <xdr:grpSpPr>
        <a:xfrm>
          <a:off x="10195559" y="20282647"/>
          <a:ext cx="2823884" cy="593912"/>
          <a:chOff x="8357211" y="12314519"/>
          <a:chExt cx="2803762" cy="2324291"/>
        </a:xfrm>
      </xdr:grpSpPr>
      <xdr:sp macro="" textlink="" fLocksText="0">
        <xdr:nvSpPr>
          <xdr:cNvPr id="28" name="Rectangle 27">
            <a:extLst>
              <a:ext uri="{FF2B5EF4-FFF2-40B4-BE49-F238E27FC236}">
                <a16:creationId xmlns:a16="http://schemas.microsoft.com/office/drawing/2014/main" id="{00000000-0008-0000-0200-00001C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9" name="直線矢印コネクタ 4">
            <a:extLst>
              <a:ext uri="{FF2B5EF4-FFF2-40B4-BE49-F238E27FC236}">
                <a16:creationId xmlns:a16="http://schemas.microsoft.com/office/drawing/2014/main" id="{00000000-0008-0000-0200-00001D000000}"/>
              </a:ext>
            </a:extLst>
          </xdr:cNvPr>
          <xdr:cNvCxnSpPr>
            <a:endCxn id="2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112</xdr:row>
      <xdr:rowOff>11206</xdr:rowOff>
    </xdr:from>
    <xdr:to>
      <xdr:col>53</xdr:col>
      <xdr:colOff>132677</xdr:colOff>
      <xdr:row>114</xdr:row>
      <xdr:rowOff>0</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10354235" y="21459265"/>
          <a:ext cx="2250589" cy="369794"/>
          <a:chOff x="8994954" y="-1771293"/>
          <a:chExt cx="2234552"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8" name="直線矢印コネクタ 4">
            <a:extLst>
              <a:ext uri="{FF2B5EF4-FFF2-40B4-BE49-F238E27FC236}">
                <a16:creationId xmlns:a16="http://schemas.microsoft.com/office/drawing/2014/main" id="{00000000-0008-0000-0200-000026000000}"/>
              </a:ext>
            </a:extLst>
          </xdr:cNvPr>
          <xdr:cNvCxnSpPr>
            <a:endCxn id="31"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94817</xdr:colOff>
      <xdr:row>146</xdr:row>
      <xdr:rowOff>174812</xdr:rowOff>
    </xdr:from>
    <xdr:to>
      <xdr:col>9</xdr:col>
      <xdr:colOff>163606</xdr:colOff>
      <xdr:row>151</xdr:row>
      <xdr:rowOff>186018</xdr:rowOff>
    </xdr:to>
    <xdr:sp macro="" textlink="" fLocksText="0">
      <xdr:nvSpPr>
        <xdr:cNvPr id="41" name="フローチャート: 代替処理 27">
          <a:extLst>
            <a:ext uri="{FF2B5EF4-FFF2-40B4-BE49-F238E27FC236}">
              <a16:creationId xmlns:a16="http://schemas.microsoft.com/office/drawing/2014/main" id="{00000000-0008-0000-0200-000029000000}"/>
            </a:ext>
          </a:extLst>
        </xdr:cNvPr>
        <xdr:cNvSpPr/>
      </xdr:nvSpPr>
      <xdr:spPr>
        <a:xfrm>
          <a:off x="95250" y="28098750"/>
          <a:ext cx="2466975" cy="9715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PLUコード入力項目からフォーカスを外したか、PLUコードの13桁を入力した場合</a:t>
          </a:r>
        </a:p>
      </xdr:txBody>
    </xdr:sp>
    <xdr:clientData/>
  </xdr:twoCellAnchor>
  <xdr:twoCellAnchor>
    <xdr:from>
      <xdr:col>9</xdr:col>
      <xdr:colOff>163606</xdr:colOff>
      <xdr:row>141</xdr:row>
      <xdr:rowOff>89647</xdr:rowOff>
    </xdr:from>
    <xdr:to>
      <xdr:col>13</xdr:col>
      <xdr:colOff>33618</xdr:colOff>
      <xdr:row>149</xdr:row>
      <xdr:rowOff>85165</xdr:rowOff>
    </xdr:to>
    <xdr:cxnSp macro="">
      <xdr:nvCxnSpPr>
        <xdr:cNvPr id="42" name="直線矢印コネクタ 4">
          <a:extLst>
            <a:ext uri="{FF2B5EF4-FFF2-40B4-BE49-F238E27FC236}">
              <a16:creationId xmlns:a16="http://schemas.microsoft.com/office/drawing/2014/main" id="{00000000-0008-0000-0200-00002A000000}"/>
            </a:ext>
          </a:extLst>
        </xdr:cNvPr>
        <xdr:cNvCxnSpPr>
          <a:stCxn id="41" idx="3"/>
        </xdr:cNvCxnSpPr>
      </xdr:nvCxnSpPr>
      <xdr:spPr>
        <a:xfrm flipV="1">
          <a:off x="2562225" y="27060525"/>
          <a:ext cx="942975" cy="15240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134471</xdr:colOff>
      <xdr:row>171</xdr:row>
      <xdr:rowOff>44823</xdr:rowOff>
    </xdr:from>
    <xdr:to>
      <xdr:col>55</xdr:col>
      <xdr:colOff>134473</xdr:colOff>
      <xdr:row>174</xdr:row>
      <xdr:rowOff>100853</xdr:rowOff>
    </xdr:to>
    <xdr:grpSp>
      <xdr:nvGrpSpPr>
        <xdr:cNvPr id="16" name="Group 15">
          <a:extLst>
            <a:ext uri="{FF2B5EF4-FFF2-40B4-BE49-F238E27FC236}">
              <a16:creationId xmlns:a16="http://schemas.microsoft.com/office/drawing/2014/main" id="{00000000-0008-0000-0200-000010000000}"/>
            </a:ext>
          </a:extLst>
        </xdr:cNvPr>
        <xdr:cNvGrpSpPr>
          <a:grpSpLocks/>
        </xdr:cNvGrpSpPr>
      </xdr:nvGrpSpPr>
      <xdr:grpSpPr>
        <a:xfrm>
          <a:off x="10253383" y="32732382"/>
          <a:ext cx="2823884" cy="627530"/>
          <a:chOff x="8357211" y="12314519"/>
          <a:chExt cx="2803762" cy="2324291"/>
        </a:xfrm>
      </xdr:grpSpPr>
      <xdr:sp macro="" textlink="" fLocksText="0">
        <xdr:nvSpPr>
          <xdr:cNvPr id="19" name="Rectangle 18">
            <a:extLst>
              <a:ext uri="{FF2B5EF4-FFF2-40B4-BE49-F238E27FC236}">
                <a16:creationId xmlns:a16="http://schemas.microsoft.com/office/drawing/2014/main" id="{00000000-0008-0000-0200-000013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0" name="直線矢印コネクタ 4">
            <a:extLst>
              <a:ext uri="{FF2B5EF4-FFF2-40B4-BE49-F238E27FC236}">
                <a16:creationId xmlns:a16="http://schemas.microsoft.com/office/drawing/2014/main" id="{00000000-0008-0000-0200-000014000000}"/>
              </a:ext>
            </a:extLst>
          </xdr:cNvPr>
          <xdr:cNvCxnSpPr>
            <a:endCxn id="19"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121471</xdr:colOff>
      <xdr:row>181</xdr:row>
      <xdr:rowOff>168088</xdr:rowOff>
    </xdr:from>
    <xdr:to>
      <xdr:col>55</xdr:col>
      <xdr:colOff>121473</xdr:colOff>
      <xdr:row>185</xdr:row>
      <xdr:rowOff>0</xdr:rowOff>
    </xdr:to>
    <xdr:grpSp>
      <xdr:nvGrpSpPr>
        <xdr:cNvPr id="23" name="Group 22">
          <a:extLst>
            <a:ext uri="{FF2B5EF4-FFF2-40B4-BE49-F238E27FC236}">
              <a16:creationId xmlns:a16="http://schemas.microsoft.com/office/drawing/2014/main" id="{00000000-0008-0000-0200-000017000000}"/>
            </a:ext>
          </a:extLst>
        </xdr:cNvPr>
        <xdr:cNvGrpSpPr>
          <a:grpSpLocks/>
        </xdr:cNvGrpSpPr>
      </xdr:nvGrpSpPr>
      <xdr:grpSpPr>
        <a:xfrm>
          <a:off x="10240383" y="34760647"/>
          <a:ext cx="2823884" cy="593912"/>
          <a:chOff x="8357211" y="12314519"/>
          <a:chExt cx="2803762" cy="2324291"/>
        </a:xfrm>
      </xdr:grpSpPr>
      <xdr:sp macro="" textlink="" fLocksText="0">
        <xdr:nvSpPr>
          <xdr:cNvPr id="24" name="Rectangle 23">
            <a:extLst>
              <a:ext uri="{FF2B5EF4-FFF2-40B4-BE49-F238E27FC236}">
                <a16:creationId xmlns:a16="http://schemas.microsoft.com/office/drawing/2014/main" id="{00000000-0008-0000-0200-000018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25" name="直線矢印コネクタ 4">
            <a:extLst>
              <a:ext uri="{FF2B5EF4-FFF2-40B4-BE49-F238E27FC236}">
                <a16:creationId xmlns:a16="http://schemas.microsoft.com/office/drawing/2014/main" id="{00000000-0008-0000-0200-000019000000}"/>
              </a:ext>
            </a:extLst>
          </xdr:cNvPr>
          <xdr:cNvCxnSpPr>
            <a:endCxn id="24"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186</xdr:row>
      <xdr:rowOff>0</xdr:rowOff>
    </xdr:from>
    <xdr:to>
      <xdr:col>53</xdr:col>
      <xdr:colOff>132677</xdr:colOff>
      <xdr:row>187</xdr:row>
      <xdr:rowOff>179294</xdr:rowOff>
    </xdr:to>
    <xdr:grpSp>
      <xdr:nvGrpSpPr>
        <xdr:cNvPr id="26" name="Group 25">
          <a:extLst>
            <a:ext uri="{FF2B5EF4-FFF2-40B4-BE49-F238E27FC236}">
              <a16:creationId xmlns:a16="http://schemas.microsoft.com/office/drawing/2014/main" id="{00000000-0008-0000-0200-00001A000000}"/>
            </a:ext>
          </a:extLst>
        </xdr:cNvPr>
        <xdr:cNvGrpSpPr>
          <a:grpSpLocks/>
        </xdr:cNvGrpSpPr>
      </xdr:nvGrpSpPr>
      <xdr:grpSpPr>
        <a:xfrm>
          <a:off x="10354235" y="35545059"/>
          <a:ext cx="2250589" cy="369794"/>
          <a:chOff x="8994954" y="-1771293"/>
          <a:chExt cx="2234552" cy="777600"/>
        </a:xfrm>
      </xdr:grpSpPr>
      <xdr:sp macro="" textlink="" fLocksText="0">
        <xdr:nvSpPr>
          <xdr:cNvPr id="39" name="Rectangle 38">
            <a:extLst>
              <a:ext uri="{FF2B5EF4-FFF2-40B4-BE49-F238E27FC236}">
                <a16:creationId xmlns:a16="http://schemas.microsoft.com/office/drawing/2014/main" id="{00000000-0008-0000-0200-000027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0" name="直線矢印コネクタ 4">
            <a:extLst>
              <a:ext uri="{FF2B5EF4-FFF2-40B4-BE49-F238E27FC236}">
                <a16:creationId xmlns:a16="http://schemas.microsoft.com/office/drawing/2014/main" id="{00000000-0008-0000-0200-000028000000}"/>
              </a:ext>
            </a:extLst>
          </xdr:cNvPr>
          <xdr:cNvCxnSpPr>
            <a:endCxn id="39"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112059</xdr:colOff>
      <xdr:row>229</xdr:row>
      <xdr:rowOff>33618</xdr:rowOff>
    </xdr:from>
    <xdr:to>
      <xdr:col>55</xdr:col>
      <xdr:colOff>112061</xdr:colOff>
      <xdr:row>232</xdr:row>
      <xdr:rowOff>56030</xdr:rowOff>
    </xdr:to>
    <xdr:grpSp>
      <xdr:nvGrpSpPr>
        <xdr:cNvPr id="46" name="Group 45">
          <a:extLst>
            <a:ext uri="{FF2B5EF4-FFF2-40B4-BE49-F238E27FC236}">
              <a16:creationId xmlns:a16="http://schemas.microsoft.com/office/drawing/2014/main" id="{00000000-0008-0000-0200-00002E000000}"/>
            </a:ext>
          </a:extLst>
        </xdr:cNvPr>
        <xdr:cNvGrpSpPr>
          <a:grpSpLocks/>
        </xdr:cNvGrpSpPr>
      </xdr:nvGrpSpPr>
      <xdr:grpSpPr>
        <a:xfrm>
          <a:off x="10230971" y="43770177"/>
          <a:ext cx="2823884" cy="593912"/>
          <a:chOff x="8357211" y="12314519"/>
          <a:chExt cx="2803762" cy="2324291"/>
        </a:xfrm>
      </xdr:grpSpPr>
      <xdr:sp macro="" textlink="" fLocksText="0">
        <xdr:nvSpPr>
          <xdr:cNvPr id="48" name="Rectangle 47">
            <a:extLst>
              <a:ext uri="{FF2B5EF4-FFF2-40B4-BE49-F238E27FC236}">
                <a16:creationId xmlns:a16="http://schemas.microsoft.com/office/drawing/2014/main" id="{00000000-0008-0000-0200-000030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49" name="直線矢印コネクタ 4">
            <a:extLst>
              <a:ext uri="{FF2B5EF4-FFF2-40B4-BE49-F238E27FC236}">
                <a16:creationId xmlns:a16="http://schemas.microsoft.com/office/drawing/2014/main" id="{00000000-0008-0000-0200-000031000000}"/>
              </a:ext>
            </a:extLst>
          </xdr:cNvPr>
          <xdr:cNvCxnSpPr>
            <a:endCxn id="48"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123265</xdr:colOff>
      <xdr:row>245</xdr:row>
      <xdr:rowOff>60794</xdr:rowOff>
    </xdr:from>
    <xdr:to>
      <xdr:col>9</xdr:col>
      <xdr:colOff>192054</xdr:colOff>
      <xdr:row>251</xdr:row>
      <xdr:rowOff>56030</xdr:rowOff>
    </xdr:to>
    <xdr:sp macro="" textlink="" fLocksText="0">
      <xdr:nvSpPr>
        <xdr:cNvPr id="50" name="フローチャート: 代替処理 27">
          <a:extLst>
            <a:ext uri="{FF2B5EF4-FFF2-40B4-BE49-F238E27FC236}">
              <a16:creationId xmlns:a16="http://schemas.microsoft.com/office/drawing/2014/main" id="{00000000-0008-0000-0200-000032000000}"/>
            </a:ext>
          </a:extLst>
        </xdr:cNvPr>
        <xdr:cNvSpPr/>
      </xdr:nvSpPr>
      <xdr:spPr>
        <a:xfrm>
          <a:off x="123825" y="46843950"/>
          <a:ext cx="2466975" cy="1143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新規作成モードでの画面から退出アクション：ブラウザのタブを閉じる、ESCボタンをクリックする...</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192054</xdr:colOff>
      <xdr:row>246</xdr:row>
      <xdr:rowOff>89647</xdr:rowOff>
    </xdr:from>
    <xdr:to>
      <xdr:col>13</xdr:col>
      <xdr:colOff>12760</xdr:colOff>
      <xdr:row>248</xdr:row>
      <xdr:rowOff>58412</xdr:rowOff>
    </xdr:to>
    <xdr:cxnSp macro="">
      <xdr:nvCxnSpPr>
        <xdr:cNvPr id="54" name="直線矢印コネクタ 4">
          <a:extLst>
            <a:ext uri="{FF2B5EF4-FFF2-40B4-BE49-F238E27FC236}">
              <a16:creationId xmlns:a16="http://schemas.microsoft.com/office/drawing/2014/main" id="{00000000-0008-0000-0200-000036000000}"/>
            </a:ext>
          </a:extLst>
        </xdr:cNvPr>
        <xdr:cNvCxnSpPr>
          <a:stCxn id="50" idx="3"/>
        </xdr:cNvCxnSpPr>
      </xdr:nvCxnSpPr>
      <xdr:spPr>
        <a:xfrm flipV="1">
          <a:off x="2590800" y="47063025"/>
          <a:ext cx="885825" cy="3524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123265</xdr:colOff>
      <xdr:row>260</xdr:row>
      <xdr:rowOff>60794</xdr:rowOff>
    </xdr:from>
    <xdr:to>
      <xdr:col>9</xdr:col>
      <xdr:colOff>192054</xdr:colOff>
      <xdr:row>262</xdr:row>
      <xdr:rowOff>11206</xdr:rowOff>
    </xdr:to>
    <xdr:sp macro="" textlink="" fLocksText="0">
      <xdr:nvSpPr>
        <xdr:cNvPr id="21" name="フローチャート: 代替処理 27">
          <a:extLst>
            <a:ext uri="{FF2B5EF4-FFF2-40B4-BE49-F238E27FC236}">
              <a16:creationId xmlns:a16="http://schemas.microsoft.com/office/drawing/2014/main" id="{00000000-0008-0000-0200-000015000000}"/>
            </a:ext>
          </a:extLst>
        </xdr:cNvPr>
        <xdr:cNvSpPr/>
      </xdr:nvSpPr>
      <xdr:spPr>
        <a:xfrm>
          <a:off x="123825" y="49701450"/>
          <a:ext cx="2466975" cy="3333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ボタン </a:t>
          </a:r>
        </a:p>
      </xdr:txBody>
    </xdr:sp>
    <xdr:clientData/>
  </xdr:twoCellAnchor>
  <xdr:twoCellAnchor>
    <xdr:from>
      <xdr:col>9</xdr:col>
      <xdr:colOff>192054</xdr:colOff>
      <xdr:row>261</xdr:row>
      <xdr:rowOff>33617</xdr:rowOff>
    </xdr:from>
    <xdr:to>
      <xdr:col>12</xdr:col>
      <xdr:colOff>145677</xdr:colOff>
      <xdr:row>261</xdr:row>
      <xdr:rowOff>36000</xdr:rowOff>
    </xdr:to>
    <xdr:cxnSp macro="">
      <xdr:nvCxnSpPr>
        <xdr:cNvPr id="22" name="直線矢印コネクタ 4">
          <a:extLst>
            <a:ext uri="{FF2B5EF4-FFF2-40B4-BE49-F238E27FC236}">
              <a16:creationId xmlns:a16="http://schemas.microsoft.com/office/drawing/2014/main" id="{00000000-0008-0000-0200-000016000000}"/>
            </a:ext>
          </a:extLst>
        </xdr:cNvPr>
        <xdr:cNvCxnSpPr>
          <a:stCxn id="21" idx="3"/>
        </xdr:cNvCxnSpPr>
      </xdr:nvCxnSpPr>
      <xdr:spPr>
        <a:xfrm flipV="1">
          <a:off x="2590800" y="49872900"/>
          <a:ext cx="7524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259</xdr:row>
      <xdr:rowOff>123265</xdr:rowOff>
    </xdr:from>
    <xdr:to>
      <xdr:col>55</xdr:col>
      <xdr:colOff>123267</xdr:colOff>
      <xdr:row>262</xdr:row>
      <xdr:rowOff>145677</xdr:rowOff>
    </xdr:to>
    <xdr:grpSp>
      <xdr:nvGrpSpPr>
        <xdr:cNvPr id="44" name="Group 43">
          <a:extLst>
            <a:ext uri="{FF2B5EF4-FFF2-40B4-BE49-F238E27FC236}">
              <a16:creationId xmlns:a16="http://schemas.microsoft.com/office/drawing/2014/main" id="{00000000-0008-0000-0200-00002C000000}"/>
            </a:ext>
          </a:extLst>
        </xdr:cNvPr>
        <xdr:cNvGrpSpPr>
          <a:grpSpLocks/>
        </xdr:cNvGrpSpPr>
      </xdr:nvGrpSpPr>
      <xdr:grpSpPr>
        <a:xfrm>
          <a:off x="10242177" y="49574824"/>
          <a:ext cx="2823884" cy="593912"/>
          <a:chOff x="8357211" y="12314519"/>
          <a:chExt cx="2803762" cy="2324291"/>
        </a:xfrm>
      </xdr:grpSpPr>
      <xdr:sp macro="" textlink="" fLocksText="0">
        <xdr:nvSpPr>
          <xdr:cNvPr id="45" name="Rectangle 44">
            <a:extLst>
              <a:ext uri="{FF2B5EF4-FFF2-40B4-BE49-F238E27FC236}">
                <a16:creationId xmlns:a16="http://schemas.microsoft.com/office/drawing/2014/main" id="{00000000-0008-0000-0200-00002D000000}"/>
              </a:ext>
            </a:extLst>
          </xdr:cNvPr>
          <xdr:cNvSpPr/>
        </xdr:nvSpPr>
        <xdr:spPr>
          <a:xfrm>
            <a:off x="9037824"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■MD0501_汎用マスタ設定モーダル</a:t>
            </a:r>
          </a:p>
        </xdr:txBody>
      </xdr:sp>
      <xdr:cxnSp macro="">
        <xdr:nvCxnSpPr>
          <xdr:cNvPr id="57" name="直線矢印コネクタ 4">
            <a:extLst>
              <a:ext uri="{FF2B5EF4-FFF2-40B4-BE49-F238E27FC236}">
                <a16:creationId xmlns:a16="http://schemas.microsoft.com/office/drawing/2014/main" id="{00000000-0008-0000-0200-000039000000}"/>
              </a:ext>
            </a:extLst>
          </xdr:cNvPr>
          <xdr:cNvCxnSpPr>
            <a:endCxn id="45"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128434</xdr:colOff>
      <xdr:row>66</xdr:row>
      <xdr:rowOff>67515</xdr:rowOff>
    </xdr:from>
    <xdr:to>
      <xdr:col>9</xdr:col>
      <xdr:colOff>197223</xdr:colOff>
      <xdr:row>69</xdr:row>
      <xdr:rowOff>62751</xdr:rowOff>
    </xdr:to>
    <xdr:sp macro="" textlink="" fLocksText="0">
      <xdr:nvSpPr>
        <xdr:cNvPr id="43" name="フローチャート: 代替処理 27">
          <a:extLst>
            <a:ext uri="{FF2B5EF4-FFF2-40B4-BE49-F238E27FC236}">
              <a16:creationId xmlns:a16="http://schemas.microsoft.com/office/drawing/2014/main" id="{00000000-0008-0000-0200-00002B000000}"/>
            </a:ext>
          </a:extLst>
        </xdr:cNvPr>
        <xdr:cNvSpPr/>
      </xdr:nvSpPr>
      <xdr:spPr>
        <a:xfrm>
          <a:off x="123825" y="12753975"/>
          <a:ext cx="2476500"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MD0501モーダルのミックスマッチを選択した場合 </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197223</xdr:colOff>
      <xdr:row>66</xdr:row>
      <xdr:rowOff>134470</xdr:rowOff>
    </xdr:from>
    <xdr:to>
      <xdr:col>12</xdr:col>
      <xdr:colOff>201706</xdr:colOff>
      <xdr:row>67</xdr:row>
      <xdr:rowOff>160383</xdr:rowOff>
    </xdr:to>
    <xdr:cxnSp macro="">
      <xdr:nvCxnSpPr>
        <xdr:cNvPr id="58" name="直線矢印コネクタ 4">
          <a:extLst>
            <a:ext uri="{FF2B5EF4-FFF2-40B4-BE49-F238E27FC236}">
              <a16:creationId xmlns:a16="http://schemas.microsoft.com/office/drawing/2014/main" id="{00000000-0008-0000-0200-00003A000000}"/>
            </a:ext>
          </a:extLst>
        </xdr:cNvPr>
        <xdr:cNvCxnSpPr>
          <a:stCxn id="43" idx="3"/>
        </xdr:cNvCxnSpPr>
      </xdr:nvCxnSpPr>
      <xdr:spPr>
        <a:xfrm flipV="1">
          <a:off x="2600325" y="12820650"/>
          <a:ext cx="800100" cy="2190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123265</xdr:colOff>
      <xdr:row>271</xdr:row>
      <xdr:rowOff>60794</xdr:rowOff>
    </xdr:from>
    <xdr:to>
      <xdr:col>9</xdr:col>
      <xdr:colOff>192054</xdr:colOff>
      <xdr:row>275</xdr:row>
      <xdr:rowOff>0</xdr:rowOff>
    </xdr:to>
    <xdr:sp macro="" textlink="" fLocksText="0">
      <xdr:nvSpPr>
        <xdr:cNvPr id="59" name="フローチャート: 代替処理 27">
          <a:extLst>
            <a:ext uri="{FF2B5EF4-FFF2-40B4-BE49-F238E27FC236}">
              <a16:creationId xmlns:a16="http://schemas.microsoft.com/office/drawing/2014/main" id="{00000000-0008-0000-0200-00003B000000}"/>
            </a:ext>
          </a:extLst>
        </xdr:cNvPr>
        <xdr:cNvSpPr/>
      </xdr:nvSpPr>
      <xdr:spPr>
        <a:xfrm>
          <a:off x="123265" y="51798353"/>
          <a:ext cx="2186701" cy="701206"/>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ミックスマッチ区分の値を変更した場合 </a:t>
          </a:r>
        </a:p>
      </xdr:txBody>
    </xdr:sp>
    <xdr:clientData/>
  </xdr:twoCellAnchor>
  <xdr:twoCellAnchor>
    <xdr:from>
      <xdr:col>9</xdr:col>
      <xdr:colOff>192054</xdr:colOff>
      <xdr:row>272</xdr:row>
      <xdr:rowOff>33617</xdr:rowOff>
    </xdr:from>
    <xdr:to>
      <xdr:col>12</xdr:col>
      <xdr:colOff>145677</xdr:colOff>
      <xdr:row>273</xdr:row>
      <xdr:rowOff>30397</xdr:rowOff>
    </xdr:to>
    <xdr:cxnSp macro="">
      <xdr:nvCxnSpPr>
        <xdr:cNvPr id="60" name="直線矢印コネクタ 4">
          <a:extLst>
            <a:ext uri="{FF2B5EF4-FFF2-40B4-BE49-F238E27FC236}">
              <a16:creationId xmlns:a16="http://schemas.microsoft.com/office/drawing/2014/main" id="{00000000-0008-0000-0200-00003C000000}"/>
            </a:ext>
          </a:extLst>
        </xdr:cNvPr>
        <xdr:cNvCxnSpPr>
          <a:stCxn id="59" idx="3"/>
        </xdr:cNvCxnSpPr>
      </xdr:nvCxnSpPr>
      <xdr:spPr>
        <a:xfrm flipV="1">
          <a:off x="2309966" y="51961676"/>
          <a:ext cx="659593" cy="1872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123265</xdr:colOff>
      <xdr:row>270</xdr:row>
      <xdr:rowOff>156883</xdr:rowOff>
    </xdr:from>
    <xdr:to>
      <xdr:col>55</xdr:col>
      <xdr:colOff>123267</xdr:colOff>
      <xdr:row>273</xdr:row>
      <xdr:rowOff>179295</xdr:rowOff>
    </xdr:to>
    <xdr:grpSp>
      <xdr:nvGrpSpPr>
        <xdr:cNvPr id="65" name="Group 64">
          <a:extLst>
            <a:ext uri="{FF2B5EF4-FFF2-40B4-BE49-F238E27FC236}">
              <a16:creationId xmlns:a16="http://schemas.microsoft.com/office/drawing/2014/main" id="{00000000-0008-0000-0200-000041000000}"/>
            </a:ext>
          </a:extLst>
        </xdr:cNvPr>
        <xdr:cNvGrpSpPr>
          <a:grpSpLocks/>
        </xdr:cNvGrpSpPr>
      </xdr:nvGrpSpPr>
      <xdr:grpSpPr>
        <a:xfrm>
          <a:off x="10242177" y="51703942"/>
          <a:ext cx="2823884" cy="593912"/>
          <a:chOff x="14554412" y="3236634"/>
          <a:chExt cx="2803762" cy="2324291"/>
        </a:xfrm>
      </xdr:grpSpPr>
      <xdr:sp macro="" textlink="" fLocksText="0">
        <xdr:nvSpPr>
          <xdr:cNvPr id="66" name="Rectangle 65">
            <a:extLst>
              <a:ext uri="{FF2B5EF4-FFF2-40B4-BE49-F238E27FC236}">
                <a16:creationId xmlns:a16="http://schemas.microsoft.com/office/drawing/2014/main" id="{00000000-0008-0000-0200-000042000000}"/>
              </a:ext>
            </a:extLst>
          </xdr:cNvPr>
          <xdr:cNvSpPr/>
        </xdr:nvSpPr>
        <xdr:spPr>
          <a:xfrm>
            <a:off x="15235025" y="3236634"/>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kern="0" spc="0" baseline="0">
                <a:ln>
                  <a:noFill/>
                </a:ln>
                <a:solidFill>
                  <a:srgbClr val="000000"/>
                </a:solidFill>
                <a:latin typeface="Meiryo UI" panose="020B0604030504040204" pitchFamily="34" charset="-128"/>
                <a:ea typeface="Meiryo UI" panose="020B0604030504040204" pitchFamily="34" charset="-128"/>
              </a:rPr>
              <a:t>SC0501_ミックスマッチ設定画面</a:t>
            </a:r>
          </a:p>
        </xdr:txBody>
      </xdr:sp>
      <xdr:cxnSp macro="">
        <xdr:nvCxnSpPr>
          <xdr:cNvPr id="67" name="直線矢印コネクタ 4">
            <a:extLst>
              <a:ext uri="{FF2B5EF4-FFF2-40B4-BE49-F238E27FC236}">
                <a16:creationId xmlns:a16="http://schemas.microsoft.com/office/drawing/2014/main" id="{00000000-0008-0000-0200-000043000000}"/>
              </a:ext>
            </a:extLst>
          </xdr:cNvPr>
          <xdr:cNvCxnSpPr>
            <a:endCxn id="66" idx="1"/>
          </xdr:cNvCxnSpPr>
        </xdr:nvCxnSpPr>
        <xdr:spPr>
          <a:xfrm>
            <a:off x="14554412" y="4398780"/>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179294</xdr:colOff>
      <xdr:row>63</xdr:row>
      <xdr:rowOff>56030</xdr:rowOff>
    </xdr:from>
    <xdr:to>
      <xdr:col>55</xdr:col>
      <xdr:colOff>179295</xdr:colOff>
      <xdr:row>66</xdr:row>
      <xdr:rowOff>78442</xdr:rowOff>
    </xdr:to>
    <xdr:grpSp>
      <xdr:nvGrpSpPr>
        <xdr:cNvPr id="78" name="Group 77">
          <a:extLst>
            <a:ext uri="{FF2B5EF4-FFF2-40B4-BE49-F238E27FC236}">
              <a16:creationId xmlns:a16="http://schemas.microsoft.com/office/drawing/2014/main" id="{00000000-0008-0000-0200-00004E000000}"/>
            </a:ext>
          </a:extLst>
        </xdr:cNvPr>
        <xdr:cNvGrpSpPr>
          <a:grpSpLocks/>
        </xdr:cNvGrpSpPr>
      </xdr:nvGrpSpPr>
      <xdr:grpSpPr>
        <a:xfrm>
          <a:off x="10298206" y="12169589"/>
          <a:ext cx="2823883" cy="593912"/>
          <a:chOff x="8804032" y="-2727582"/>
          <a:chExt cx="2803761" cy="2324291"/>
        </a:xfrm>
      </xdr:grpSpPr>
      <xdr:sp macro="" textlink="" fLocksText="0">
        <xdr:nvSpPr>
          <xdr:cNvPr id="79" name="Rectangle 78">
            <a:extLst>
              <a:ext uri="{FF2B5EF4-FFF2-40B4-BE49-F238E27FC236}">
                <a16:creationId xmlns:a16="http://schemas.microsoft.com/office/drawing/2014/main" id="{00000000-0008-0000-0200-00004F000000}"/>
              </a:ext>
            </a:extLst>
          </xdr:cNvPr>
          <xdr:cNvSpPr/>
        </xdr:nvSpPr>
        <xdr:spPr>
          <a:xfrm>
            <a:off x="9484645" y="-2727582"/>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0" name="直線矢印コネクタ 4">
            <a:extLst>
              <a:ext uri="{FF2B5EF4-FFF2-40B4-BE49-F238E27FC236}">
                <a16:creationId xmlns:a16="http://schemas.microsoft.com/office/drawing/2014/main" id="{00000000-0008-0000-0200-000050000000}"/>
              </a:ext>
            </a:extLst>
          </xdr:cNvPr>
          <xdr:cNvCxnSpPr>
            <a:endCxn id="79" idx="1"/>
          </xdr:cNvCxnSpPr>
        </xdr:nvCxnSpPr>
        <xdr:spPr>
          <a:xfrm>
            <a:off x="8804032" y="-1565436"/>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123265</xdr:colOff>
      <xdr:row>79</xdr:row>
      <xdr:rowOff>33619</xdr:rowOff>
    </xdr:from>
    <xdr:to>
      <xdr:col>55</xdr:col>
      <xdr:colOff>123266</xdr:colOff>
      <xdr:row>82</xdr:row>
      <xdr:rowOff>56031</xdr:rowOff>
    </xdr:to>
    <xdr:grpSp>
      <xdr:nvGrpSpPr>
        <xdr:cNvPr id="88" name="Group 87">
          <a:extLst>
            <a:ext uri="{FF2B5EF4-FFF2-40B4-BE49-F238E27FC236}">
              <a16:creationId xmlns:a16="http://schemas.microsoft.com/office/drawing/2014/main" id="{00000000-0008-0000-0200-000058000000}"/>
            </a:ext>
          </a:extLst>
        </xdr:cNvPr>
        <xdr:cNvGrpSpPr>
          <a:grpSpLocks/>
        </xdr:cNvGrpSpPr>
      </xdr:nvGrpSpPr>
      <xdr:grpSpPr>
        <a:xfrm>
          <a:off x="10242177" y="15195178"/>
          <a:ext cx="2823883" cy="593912"/>
          <a:chOff x="8804032" y="-2727582"/>
          <a:chExt cx="2803761" cy="2324291"/>
        </a:xfrm>
      </xdr:grpSpPr>
      <xdr:sp macro="" textlink="" fLocksText="0">
        <xdr:nvSpPr>
          <xdr:cNvPr id="89" name="Rectangle 88">
            <a:extLst>
              <a:ext uri="{FF2B5EF4-FFF2-40B4-BE49-F238E27FC236}">
                <a16:creationId xmlns:a16="http://schemas.microsoft.com/office/drawing/2014/main" id="{00000000-0008-0000-0200-000059000000}"/>
              </a:ext>
            </a:extLst>
          </xdr:cNvPr>
          <xdr:cNvSpPr/>
        </xdr:nvSpPr>
        <xdr:spPr>
          <a:xfrm>
            <a:off x="9484645" y="-2727582"/>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0" name="直線矢印コネクタ 4">
            <a:extLst>
              <a:ext uri="{FF2B5EF4-FFF2-40B4-BE49-F238E27FC236}">
                <a16:creationId xmlns:a16="http://schemas.microsoft.com/office/drawing/2014/main" id="{00000000-0008-0000-0200-00005A000000}"/>
              </a:ext>
            </a:extLst>
          </xdr:cNvPr>
          <xdr:cNvCxnSpPr>
            <a:endCxn id="89" idx="1"/>
          </xdr:cNvCxnSpPr>
        </xdr:nvCxnSpPr>
        <xdr:spPr>
          <a:xfrm>
            <a:off x="8804032" y="-1565436"/>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15</xdr:row>
      <xdr:rowOff>179294</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161925" y="279082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187279</xdr:rowOff>
    </xdr:from>
    <xdr:to>
      <xdr:col>13</xdr:col>
      <xdr:colOff>89647</xdr:colOff>
      <xdr:row>15</xdr:row>
      <xdr:rowOff>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a:off x="2667000" y="297180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17</xdr:row>
      <xdr:rowOff>123265</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10298206" y="2745441"/>
          <a:ext cx="2823883" cy="728383"/>
          <a:chOff x="8681645" y="-2596021"/>
          <a:chExt cx="2803761" cy="2324291"/>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54</xdr:row>
      <xdr:rowOff>4764</xdr:rowOff>
    </xdr:from>
    <xdr:to>
      <xdr:col>10</xdr:col>
      <xdr:colOff>0</xdr:colOff>
      <xdr:row>57</xdr:row>
      <xdr:rowOff>56030</xdr:rowOff>
    </xdr:to>
    <xdr:sp macro="" textlink="" fLocksText="0">
      <xdr:nvSpPr>
        <xdr:cNvPr id="7" name="フローチャート: 代替処理 27">
          <a:extLst>
            <a:ext uri="{FF2B5EF4-FFF2-40B4-BE49-F238E27FC236}">
              <a16:creationId xmlns:a16="http://schemas.microsoft.com/office/drawing/2014/main" id="{00000000-0008-0000-0300-000007000000}"/>
            </a:ext>
          </a:extLst>
        </xdr:cNvPr>
        <xdr:cNvSpPr/>
      </xdr:nvSpPr>
      <xdr:spPr>
        <a:xfrm>
          <a:off x="161925" y="104108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「ESC:前画面」ボタンをタッチした場合、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55</xdr:row>
      <xdr:rowOff>131250</xdr:rowOff>
    </xdr:from>
    <xdr:to>
      <xdr:col>13</xdr:col>
      <xdr:colOff>89648</xdr:colOff>
      <xdr:row>55</xdr:row>
      <xdr:rowOff>131250</xdr:rowOff>
    </xdr:to>
    <xdr:cxnSp macro="">
      <xdr:nvCxnSpPr>
        <xdr:cNvPr id="8" name="直線矢印コネクタ 4">
          <a:extLst>
            <a:ext uri="{FF2B5EF4-FFF2-40B4-BE49-F238E27FC236}">
              <a16:creationId xmlns:a16="http://schemas.microsoft.com/office/drawing/2014/main" id="{00000000-0008-0000-0300-000008000000}"/>
            </a:ext>
          </a:extLst>
        </xdr:cNvPr>
        <xdr:cNvCxnSpPr>
          <a:stCxn id="7" idx="3"/>
        </xdr:cNvCxnSpPr>
      </xdr:nvCxnSpPr>
      <xdr:spPr>
        <a:xfrm>
          <a:off x="2667000" y="1072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112059</xdr:colOff>
      <xdr:row>54</xdr:row>
      <xdr:rowOff>0</xdr:rowOff>
    </xdr:from>
    <xdr:to>
      <xdr:col>55</xdr:col>
      <xdr:colOff>112060</xdr:colOff>
      <xdr:row>57</xdr:row>
      <xdr:rowOff>22412</xdr:rowOff>
    </xdr:to>
    <xdr:grpSp>
      <xdr:nvGrpSpPr>
        <xdr:cNvPr id="9" name="Group 8">
          <a:extLst>
            <a:ext uri="{FF2B5EF4-FFF2-40B4-BE49-F238E27FC236}">
              <a16:creationId xmlns:a16="http://schemas.microsoft.com/office/drawing/2014/main" id="{00000000-0008-0000-0300-000009000000}"/>
            </a:ext>
          </a:extLst>
        </xdr:cNvPr>
        <xdr:cNvGrpSpPr>
          <a:grpSpLocks/>
        </xdr:cNvGrpSpPr>
      </xdr:nvGrpSpPr>
      <xdr:grpSpPr>
        <a:xfrm>
          <a:off x="10230971" y="10399059"/>
          <a:ext cx="2823883" cy="593912"/>
          <a:chOff x="8357213" y="12314519"/>
          <a:chExt cx="2803762" cy="2324291"/>
        </a:xfrm>
      </xdr:grpSpPr>
      <xdr:sp macro="" textlink="" fLocksText="0">
        <xdr:nvSpPr>
          <xdr:cNvPr id="10" name="Rectangle 9">
            <a:extLst>
              <a:ext uri="{FF2B5EF4-FFF2-40B4-BE49-F238E27FC236}">
                <a16:creationId xmlns:a16="http://schemas.microsoft.com/office/drawing/2014/main" id="{00000000-0008-0000-0300-00000A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1" name="直線矢印コネクタ 4">
            <a:extLst>
              <a:ext uri="{FF2B5EF4-FFF2-40B4-BE49-F238E27FC236}">
                <a16:creationId xmlns:a16="http://schemas.microsoft.com/office/drawing/2014/main" id="{00000000-0008-0000-0300-00000B000000}"/>
              </a:ext>
            </a:extLst>
          </xdr:cNvPr>
          <xdr:cNvCxnSpPr>
            <a:endCxn id="10"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99060</xdr:colOff>
      <xdr:row>65</xdr:row>
      <xdr:rowOff>134471</xdr:rowOff>
    </xdr:from>
    <xdr:to>
      <xdr:col>55</xdr:col>
      <xdr:colOff>99060</xdr:colOff>
      <xdr:row>68</xdr:row>
      <xdr:rowOff>156883</xdr:rowOff>
    </xdr:to>
    <xdr:grpSp>
      <xdr:nvGrpSpPr>
        <xdr:cNvPr id="12" name="Group 11">
          <a:extLst>
            <a:ext uri="{FF2B5EF4-FFF2-40B4-BE49-F238E27FC236}">
              <a16:creationId xmlns:a16="http://schemas.microsoft.com/office/drawing/2014/main" id="{00000000-0008-0000-0300-00000C000000}"/>
            </a:ext>
          </a:extLst>
        </xdr:cNvPr>
        <xdr:cNvGrpSpPr>
          <a:grpSpLocks/>
        </xdr:cNvGrpSpPr>
      </xdr:nvGrpSpPr>
      <xdr:grpSpPr>
        <a:xfrm>
          <a:off x="10217972" y="12629030"/>
          <a:ext cx="2823882" cy="593912"/>
          <a:chOff x="8357211" y="12314519"/>
          <a:chExt cx="2803760" cy="2324291"/>
        </a:xfrm>
      </xdr:grpSpPr>
      <xdr:sp macro="" textlink="" fLocksText="0">
        <xdr:nvSpPr>
          <xdr:cNvPr id="13" name="Rectangle 12">
            <a:extLst>
              <a:ext uri="{FF2B5EF4-FFF2-40B4-BE49-F238E27FC236}">
                <a16:creationId xmlns:a16="http://schemas.microsoft.com/office/drawing/2014/main" id="{00000000-0008-0000-0300-00000D000000}"/>
              </a:ext>
            </a:extLst>
          </xdr:cNvPr>
          <xdr:cNvSpPr/>
        </xdr:nvSpPr>
        <xdr:spPr>
          <a:xfrm>
            <a:off x="9037824" y="12314519"/>
            <a:ext cx="2123147"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300-00000E000000}"/>
              </a:ext>
            </a:extLst>
          </xdr:cNvPr>
          <xdr:cNvCxnSpPr>
            <a:endCxn id="13"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177740</xdr:colOff>
      <xdr:row>65</xdr:row>
      <xdr:rowOff>112059</xdr:rowOff>
    </xdr:from>
    <xdr:to>
      <xdr:col>10</xdr:col>
      <xdr:colOff>11206</xdr:colOff>
      <xdr:row>68</xdr:row>
      <xdr:rowOff>112059</xdr:rowOff>
    </xdr:to>
    <xdr:sp macro="" textlink="" fLocksText="0">
      <xdr:nvSpPr>
        <xdr:cNvPr id="18" name="フローチャート: 代替処理 27">
          <a:extLst>
            <a:ext uri="{FF2B5EF4-FFF2-40B4-BE49-F238E27FC236}">
              <a16:creationId xmlns:a16="http://schemas.microsoft.com/office/drawing/2014/main" id="{00000000-0008-0000-0300-000012000000}"/>
            </a:ext>
          </a:extLst>
        </xdr:cNvPr>
        <xdr:cNvSpPr/>
      </xdr:nvSpPr>
      <xdr:spPr>
        <a:xfrm>
          <a:off x="180975" y="12611100"/>
          <a:ext cx="2495550"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選択ボタンをタッチした場合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11206</xdr:colOff>
      <xdr:row>67</xdr:row>
      <xdr:rowOff>16809</xdr:rowOff>
    </xdr:from>
    <xdr:to>
      <xdr:col>14</xdr:col>
      <xdr:colOff>11206</xdr:colOff>
      <xdr:row>67</xdr:row>
      <xdr:rowOff>16809</xdr:rowOff>
    </xdr:to>
    <xdr:cxnSp macro="">
      <xdr:nvCxnSpPr>
        <xdr:cNvPr id="19" name="直線矢印コネクタ 4">
          <a:extLst>
            <a:ext uri="{FF2B5EF4-FFF2-40B4-BE49-F238E27FC236}">
              <a16:creationId xmlns:a16="http://schemas.microsoft.com/office/drawing/2014/main" id="{00000000-0008-0000-0300-000013000000}"/>
            </a:ext>
          </a:extLst>
        </xdr:cNvPr>
        <xdr:cNvCxnSpPr>
          <a:stCxn id="18" idx="3"/>
        </xdr:cNvCxnSpPr>
      </xdr:nvCxnSpPr>
      <xdr:spPr>
        <a:xfrm>
          <a:off x="2676525" y="128968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121710</xdr:colOff>
      <xdr:row>29</xdr:row>
      <xdr:rowOff>105617</xdr:rowOff>
    </xdr:from>
    <xdr:to>
      <xdr:col>9</xdr:col>
      <xdr:colOff>190499</xdr:colOff>
      <xdr:row>32</xdr:row>
      <xdr:rowOff>156883</xdr:rowOff>
    </xdr:to>
    <xdr:sp macro="" textlink="" fLocksText="0">
      <xdr:nvSpPr>
        <xdr:cNvPr id="20" name="フローチャート: 代替処理 27">
          <a:extLst>
            <a:ext uri="{FF2B5EF4-FFF2-40B4-BE49-F238E27FC236}">
              <a16:creationId xmlns:a16="http://schemas.microsoft.com/office/drawing/2014/main" id="{00000000-0008-0000-0300-000014000000}"/>
            </a:ext>
          </a:extLst>
        </xdr:cNvPr>
        <xdr:cNvSpPr/>
      </xdr:nvSpPr>
      <xdr:spPr>
        <a:xfrm>
          <a:off x="123825" y="5743575"/>
          <a:ext cx="24669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190499</xdr:colOff>
      <xdr:row>31</xdr:row>
      <xdr:rowOff>41603</xdr:rowOff>
    </xdr:from>
    <xdr:to>
      <xdr:col>13</xdr:col>
      <xdr:colOff>44824</xdr:colOff>
      <xdr:row>31</xdr:row>
      <xdr:rowOff>41603</xdr:rowOff>
    </xdr:to>
    <xdr:cxnSp macro="">
      <xdr:nvCxnSpPr>
        <xdr:cNvPr id="21" name="直線矢印コネクタ 4">
          <a:extLst>
            <a:ext uri="{FF2B5EF4-FFF2-40B4-BE49-F238E27FC236}">
              <a16:creationId xmlns:a16="http://schemas.microsoft.com/office/drawing/2014/main" id="{00000000-0008-0000-0300-000015000000}"/>
            </a:ext>
          </a:extLst>
        </xdr:cNvPr>
        <xdr:cNvCxnSpPr>
          <a:stCxn id="20" idx="3"/>
        </xdr:cNvCxnSpPr>
      </xdr:nvCxnSpPr>
      <xdr:spPr>
        <a:xfrm>
          <a:off x="2590800" y="6057900"/>
          <a:ext cx="9239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145677</xdr:colOff>
      <xdr:row>37</xdr:row>
      <xdr:rowOff>78441</xdr:rowOff>
    </xdr:from>
    <xdr:to>
      <xdr:col>55</xdr:col>
      <xdr:colOff>145678</xdr:colOff>
      <xdr:row>40</xdr:row>
      <xdr:rowOff>100853</xdr:rowOff>
    </xdr:to>
    <xdr:grpSp>
      <xdr:nvGrpSpPr>
        <xdr:cNvPr id="22" name="Group 21">
          <a:extLst>
            <a:ext uri="{FF2B5EF4-FFF2-40B4-BE49-F238E27FC236}">
              <a16:creationId xmlns:a16="http://schemas.microsoft.com/office/drawing/2014/main" id="{00000000-0008-0000-0300-000016000000}"/>
            </a:ext>
          </a:extLst>
        </xdr:cNvPr>
        <xdr:cNvGrpSpPr>
          <a:grpSpLocks/>
        </xdr:cNvGrpSpPr>
      </xdr:nvGrpSpPr>
      <xdr:grpSpPr>
        <a:xfrm>
          <a:off x="10264589" y="7239000"/>
          <a:ext cx="2823883" cy="593912"/>
          <a:chOff x="8357213" y="12314519"/>
          <a:chExt cx="2803762" cy="2324291"/>
        </a:xfrm>
      </xdr:grpSpPr>
      <xdr:sp macro="" textlink="" fLocksText="0">
        <xdr:nvSpPr>
          <xdr:cNvPr id="23" name="Rectangle 22">
            <a:extLst>
              <a:ext uri="{FF2B5EF4-FFF2-40B4-BE49-F238E27FC236}">
                <a16:creationId xmlns:a16="http://schemas.microsoft.com/office/drawing/2014/main" id="{00000000-0008-0000-0300-00001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MD0501_ミックスマッチ検索モーダル</a:t>
            </a:r>
          </a:p>
        </xdr:txBody>
      </xdr:sp>
      <xdr:cxnSp macro="">
        <xdr:nvCxnSpPr>
          <xdr:cNvPr id="24" name="直線矢印コネクタ 4">
            <a:extLst>
              <a:ext uri="{FF2B5EF4-FFF2-40B4-BE49-F238E27FC236}">
                <a16:creationId xmlns:a16="http://schemas.microsoft.com/office/drawing/2014/main" id="{00000000-0008-0000-0300-000018000000}"/>
              </a:ext>
            </a:extLst>
          </xdr:cNvPr>
          <xdr:cNvCxnSpPr>
            <a:endCxn id="23"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143888</xdr:colOff>
      <xdr:row>91</xdr:row>
      <xdr:rowOff>20598</xdr:rowOff>
    </xdr:from>
    <xdr:to>
      <xdr:col>46</xdr:col>
      <xdr:colOff>123270</xdr:colOff>
      <xdr:row>91</xdr:row>
      <xdr:rowOff>20598</xdr:rowOff>
    </xdr:to>
    <xdr:cxnSp macro="">
      <xdr:nvCxnSpPr>
        <xdr:cNvPr id="17" name="直線矢印コネクタ 4">
          <a:extLst>
            <a:ext uri="{FF2B5EF4-FFF2-40B4-BE49-F238E27FC236}">
              <a16:creationId xmlns:a16="http://schemas.microsoft.com/office/drawing/2014/main" id="{00000000-0008-0000-0300-000011000000}"/>
            </a:ext>
          </a:extLst>
        </xdr:cNvPr>
        <xdr:cNvCxnSpPr/>
      </xdr:nvCxnSpPr>
      <xdr:spPr>
        <a:xfrm>
          <a:off x="11610975" y="17468850"/>
          <a:ext cx="7810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22412</xdr:colOff>
      <xdr:row>43</xdr:row>
      <xdr:rowOff>123264</xdr:rowOff>
    </xdr:from>
    <xdr:to>
      <xdr:col>53</xdr:col>
      <xdr:colOff>155089</xdr:colOff>
      <xdr:row>45</xdr:row>
      <xdr:rowOff>112058</xdr:rowOff>
    </xdr:to>
    <xdr:grpSp>
      <xdr:nvGrpSpPr>
        <xdr:cNvPr id="25" name="Group 24">
          <a:extLst>
            <a:ext uri="{FF2B5EF4-FFF2-40B4-BE49-F238E27FC236}">
              <a16:creationId xmlns:a16="http://schemas.microsoft.com/office/drawing/2014/main" id="{00000000-0008-0000-0300-000019000000}"/>
            </a:ext>
          </a:extLst>
        </xdr:cNvPr>
        <xdr:cNvGrpSpPr>
          <a:grpSpLocks/>
        </xdr:cNvGrpSpPr>
      </xdr:nvGrpSpPr>
      <xdr:grpSpPr>
        <a:xfrm>
          <a:off x="10376647" y="8426823"/>
          <a:ext cx="2250589" cy="369794"/>
          <a:chOff x="8994954" y="-1771293"/>
          <a:chExt cx="2234552" cy="777600"/>
        </a:xfrm>
      </xdr:grpSpPr>
      <xdr:sp macro="" textlink="" fLocksText="0">
        <xdr:nvSpPr>
          <xdr:cNvPr id="26" name="Rectangle 25">
            <a:extLst>
              <a:ext uri="{FF2B5EF4-FFF2-40B4-BE49-F238E27FC236}">
                <a16:creationId xmlns:a16="http://schemas.microsoft.com/office/drawing/2014/main" id="{00000000-0008-0000-0300-00001A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7" name="直線矢印コネクタ 4">
            <a:extLst>
              <a:ext uri="{FF2B5EF4-FFF2-40B4-BE49-F238E27FC236}">
                <a16:creationId xmlns:a16="http://schemas.microsoft.com/office/drawing/2014/main" id="{00000000-0008-0000-0300-00001B000000}"/>
              </a:ext>
            </a:extLst>
          </xdr:cNvPr>
          <xdr:cNvCxnSpPr>
            <a:endCxn id="26"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15</xdr:row>
      <xdr:rowOff>179294</xdr:rowOff>
    </xdr:to>
    <xdr:sp macro="" textlink="" fLocksText="0">
      <xdr:nvSpPr>
        <xdr:cNvPr id="2" name="フローチャート: 代替処理 27">
          <a:extLst>
            <a:ext uri="{FF2B5EF4-FFF2-40B4-BE49-F238E27FC236}">
              <a16:creationId xmlns:a16="http://schemas.microsoft.com/office/drawing/2014/main" id="{00000000-0008-0000-0400-000002000000}"/>
            </a:ext>
          </a:extLst>
        </xdr:cNvPr>
        <xdr:cNvSpPr/>
      </xdr:nvSpPr>
      <xdr:spPr>
        <a:xfrm>
          <a:off x="161925" y="279082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187279</xdr:rowOff>
    </xdr:from>
    <xdr:to>
      <xdr:col>13</xdr:col>
      <xdr:colOff>89647</xdr:colOff>
      <xdr:row>15</xdr:row>
      <xdr:rowOff>0</xdr:rowOff>
    </xdr:to>
    <xdr:cxnSp macro="">
      <xdr:nvCxnSpPr>
        <xdr:cNvPr id="3" name="直線矢印コネクタ 4">
          <a:extLst>
            <a:ext uri="{FF2B5EF4-FFF2-40B4-BE49-F238E27FC236}">
              <a16:creationId xmlns:a16="http://schemas.microsoft.com/office/drawing/2014/main" id="{00000000-0008-0000-0400-000003000000}"/>
            </a:ext>
          </a:extLst>
        </xdr:cNvPr>
        <xdr:cNvCxnSpPr>
          <a:stCxn id="2" idx="3"/>
        </xdr:cNvCxnSpPr>
      </xdr:nvCxnSpPr>
      <xdr:spPr>
        <a:xfrm>
          <a:off x="2667000" y="297180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179294</xdr:colOff>
      <xdr:row>13</xdr:row>
      <xdr:rowOff>156882</xdr:rowOff>
    </xdr:from>
    <xdr:to>
      <xdr:col>55</xdr:col>
      <xdr:colOff>179295</xdr:colOff>
      <xdr:row>17</xdr:row>
      <xdr:rowOff>123265</xdr:rowOff>
    </xdr:to>
    <xdr:grpSp>
      <xdr:nvGrpSpPr>
        <xdr:cNvPr id="4" name="Group 3">
          <a:extLst>
            <a:ext uri="{FF2B5EF4-FFF2-40B4-BE49-F238E27FC236}">
              <a16:creationId xmlns:a16="http://schemas.microsoft.com/office/drawing/2014/main" id="{00000000-0008-0000-0400-000004000000}"/>
            </a:ext>
          </a:extLst>
        </xdr:cNvPr>
        <xdr:cNvGrpSpPr>
          <a:grpSpLocks/>
        </xdr:cNvGrpSpPr>
      </xdr:nvGrpSpPr>
      <xdr:grpSpPr>
        <a:xfrm>
          <a:off x="10298206" y="2745441"/>
          <a:ext cx="2823883" cy="728383"/>
          <a:chOff x="8681645" y="-2596021"/>
          <a:chExt cx="2803761" cy="2324291"/>
        </a:xfrm>
      </xdr:grpSpPr>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9362258" y="-2596021"/>
            <a:ext cx="2123148"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MD0502_汎用マスタ設定モーダル</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400-000006000000}"/>
              </a:ext>
            </a:extLst>
          </xdr:cNvPr>
          <xdr:cNvCxnSpPr>
            <a:endCxn id="5" idx="1"/>
          </xdr:cNvCxnSpPr>
        </xdr:nvCxnSpPr>
        <xdr:spPr>
          <a:xfrm>
            <a:off x="8681645" y="-143387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29</xdr:row>
      <xdr:rowOff>56030</xdr:rowOff>
    </xdr:to>
    <xdr:sp macro="" textlink="" fLocksText="0">
      <xdr:nvSpPr>
        <xdr:cNvPr id="7" name="フローチャート: 代替処理 27">
          <a:extLst>
            <a:ext uri="{FF2B5EF4-FFF2-40B4-BE49-F238E27FC236}">
              <a16:creationId xmlns:a16="http://schemas.microsoft.com/office/drawing/2014/main" id="{00000000-0008-0000-0400-000007000000}"/>
            </a:ext>
          </a:extLst>
        </xdr:cNvPr>
        <xdr:cNvSpPr/>
      </xdr:nvSpPr>
      <xdr:spPr>
        <a:xfrm>
          <a:off x="161925" y="5076825"/>
          <a:ext cx="2505075" cy="6191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panose="020B0604030504040204" pitchFamily="34" charset="-128"/>
              <a:ea typeface="Meiryo UI" panose="020B0604030504040204" pitchFamily="34" charset="-128"/>
            </a:rPr>
            <a:t>「ESC:前画面」ボタンをタッチした場合、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27</xdr:row>
      <xdr:rowOff>131250</xdr:rowOff>
    </xdr:from>
    <xdr:to>
      <xdr:col>13</xdr:col>
      <xdr:colOff>89648</xdr:colOff>
      <xdr:row>27</xdr:row>
      <xdr:rowOff>131250</xdr:rowOff>
    </xdr:to>
    <xdr:cxnSp macro="">
      <xdr:nvCxnSpPr>
        <xdr:cNvPr id="8" name="直線矢印コネクタ 4">
          <a:extLst>
            <a:ext uri="{FF2B5EF4-FFF2-40B4-BE49-F238E27FC236}">
              <a16:creationId xmlns:a16="http://schemas.microsoft.com/office/drawing/2014/main" id="{00000000-0008-0000-0400-000008000000}"/>
            </a:ext>
          </a:extLst>
        </xdr:cNvPr>
        <xdr:cNvCxnSpPr>
          <a:stCxn id="7" idx="3"/>
        </xdr:cNvCxnSpPr>
      </xdr:nvCxnSpPr>
      <xdr:spPr>
        <a:xfrm>
          <a:off x="2667000" y="5391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112059</xdr:colOff>
      <xdr:row>26</xdr:row>
      <xdr:rowOff>0</xdr:rowOff>
    </xdr:from>
    <xdr:to>
      <xdr:col>55</xdr:col>
      <xdr:colOff>112060</xdr:colOff>
      <xdr:row>29</xdr:row>
      <xdr:rowOff>22412</xdr:rowOff>
    </xdr:to>
    <xdr:grpSp>
      <xdr:nvGrpSpPr>
        <xdr:cNvPr id="22" name="Group 21">
          <a:extLst>
            <a:ext uri="{FF2B5EF4-FFF2-40B4-BE49-F238E27FC236}">
              <a16:creationId xmlns:a16="http://schemas.microsoft.com/office/drawing/2014/main" id="{00000000-0008-0000-0400-000016000000}"/>
            </a:ext>
          </a:extLst>
        </xdr:cNvPr>
        <xdr:cNvGrpSpPr>
          <a:grpSpLocks/>
        </xdr:cNvGrpSpPr>
      </xdr:nvGrpSpPr>
      <xdr:grpSpPr>
        <a:xfrm>
          <a:off x="10230971" y="5065059"/>
          <a:ext cx="2823883" cy="593912"/>
          <a:chOff x="8357213" y="12314519"/>
          <a:chExt cx="2803762" cy="2324291"/>
        </a:xfrm>
      </xdr:grpSpPr>
      <xdr:sp macro="" textlink="" fLocksText="0">
        <xdr:nvSpPr>
          <xdr:cNvPr id="23" name="Rectangle 22">
            <a:extLst>
              <a:ext uri="{FF2B5EF4-FFF2-40B4-BE49-F238E27FC236}">
                <a16:creationId xmlns:a16="http://schemas.microsoft.com/office/drawing/2014/main" id="{00000000-0008-0000-0400-000017000000}"/>
              </a:ext>
            </a:extLst>
          </xdr:cNvPr>
          <xdr:cNvSpPr/>
        </xdr:nvSpPr>
        <xdr:spPr>
          <a:xfrm>
            <a:off x="9037826" y="12314519"/>
            <a:ext cx="2123149"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400-000018000000}"/>
              </a:ext>
            </a:extLst>
          </xdr:cNvPr>
          <xdr:cNvCxnSpPr>
            <a:endCxn id="23" idx="1"/>
          </xdr:cNvCxnSpPr>
        </xdr:nvCxnSpPr>
        <xdr:spPr>
          <a:xfrm>
            <a:off x="8357213"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132677</xdr:colOff>
      <xdr:row>43</xdr:row>
      <xdr:rowOff>78441</xdr:rowOff>
    </xdr:from>
    <xdr:to>
      <xdr:col>55</xdr:col>
      <xdr:colOff>132677</xdr:colOff>
      <xdr:row>45</xdr:row>
      <xdr:rowOff>100853</xdr:rowOff>
    </xdr:to>
    <xdr:grpSp>
      <xdr:nvGrpSpPr>
        <xdr:cNvPr id="31" name="Group 30">
          <a:extLst>
            <a:ext uri="{FF2B5EF4-FFF2-40B4-BE49-F238E27FC236}">
              <a16:creationId xmlns:a16="http://schemas.microsoft.com/office/drawing/2014/main" id="{00000000-0008-0000-0400-00001F000000}"/>
            </a:ext>
          </a:extLst>
        </xdr:cNvPr>
        <xdr:cNvGrpSpPr>
          <a:grpSpLocks/>
        </xdr:cNvGrpSpPr>
      </xdr:nvGrpSpPr>
      <xdr:grpSpPr>
        <a:xfrm>
          <a:off x="10251589" y="8382000"/>
          <a:ext cx="2823882" cy="403412"/>
          <a:chOff x="8357211" y="12314519"/>
          <a:chExt cx="2803760" cy="2324291"/>
        </a:xfrm>
      </xdr:grpSpPr>
      <xdr:sp macro="" textlink="" fLocksText="0">
        <xdr:nvSpPr>
          <xdr:cNvPr id="32" name="Rectangle 31">
            <a:extLst>
              <a:ext uri="{FF2B5EF4-FFF2-40B4-BE49-F238E27FC236}">
                <a16:creationId xmlns:a16="http://schemas.microsoft.com/office/drawing/2014/main" id="{00000000-0008-0000-0400-000020000000}"/>
              </a:ext>
            </a:extLst>
          </xdr:cNvPr>
          <xdr:cNvSpPr/>
        </xdr:nvSpPr>
        <xdr:spPr>
          <a:xfrm>
            <a:off x="9037824" y="12314519"/>
            <a:ext cx="2123147" cy="2324291"/>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SC0501_ミックスマッチ設定画面</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3" name="直線矢印コネクタ 4">
            <a:extLst>
              <a:ext uri="{FF2B5EF4-FFF2-40B4-BE49-F238E27FC236}">
                <a16:creationId xmlns:a16="http://schemas.microsoft.com/office/drawing/2014/main" id="{00000000-0008-0000-0400-000021000000}"/>
              </a:ext>
            </a:extLst>
          </xdr:cNvPr>
          <xdr:cNvCxnSpPr>
            <a:endCxn id="32" idx="1"/>
          </xdr:cNvCxnSpPr>
        </xdr:nvCxnSpPr>
        <xdr:spPr>
          <a:xfrm>
            <a:off x="8357211" y="13476665"/>
            <a:ext cx="68061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11206</xdr:colOff>
      <xdr:row>39</xdr:row>
      <xdr:rowOff>123265</xdr:rowOff>
    </xdr:from>
    <xdr:to>
      <xdr:col>53</xdr:col>
      <xdr:colOff>143883</xdr:colOff>
      <xdr:row>41</xdr:row>
      <xdr:rowOff>112059</xdr:rowOff>
    </xdr:to>
    <xdr:grpSp>
      <xdr:nvGrpSpPr>
        <xdr:cNvPr id="34" name="Group 33">
          <a:extLst>
            <a:ext uri="{FF2B5EF4-FFF2-40B4-BE49-F238E27FC236}">
              <a16:creationId xmlns:a16="http://schemas.microsoft.com/office/drawing/2014/main" id="{00000000-0008-0000-0400-000022000000}"/>
            </a:ext>
          </a:extLst>
        </xdr:cNvPr>
        <xdr:cNvGrpSpPr>
          <a:grpSpLocks/>
        </xdr:cNvGrpSpPr>
      </xdr:nvGrpSpPr>
      <xdr:grpSpPr>
        <a:xfrm>
          <a:off x="10365441" y="7664824"/>
          <a:ext cx="2250589" cy="369794"/>
          <a:chOff x="8994954" y="-1771293"/>
          <a:chExt cx="2234552" cy="777600"/>
        </a:xfrm>
      </xdr:grpSpPr>
      <xdr:sp macro="" textlink="" fLocksText="0">
        <xdr:nvSpPr>
          <xdr:cNvPr id="35" name="Rectangle 34">
            <a:extLst>
              <a:ext uri="{FF2B5EF4-FFF2-40B4-BE49-F238E27FC236}">
                <a16:creationId xmlns:a16="http://schemas.microsoft.com/office/drawing/2014/main" id="{00000000-0008-0000-0400-000023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6" name="直線矢印コネクタ 4">
            <a:extLst>
              <a:ext uri="{FF2B5EF4-FFF2-40B4-BE49-F238E27FC236}">
                <a16:creationId xmlns:a16="http://schemas.microsoft.com/office/drawing/2014/main" id="{00000000-0008-0000-0400-000024000000}"/>
              </a:ext>
            </a:extLst>
          </xdr:cNvPr>
          <xdr:cNvCxnSpPr>
            <a:endCxn id="35"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39</xdr:row>
      <xdr:rowOff>0</xdr:rowOff>
    </xdr:from>
    <xdr:to>
      <xdr:col>10</xdr:col>
      <xdr:colOff>0</xdr:colOff>
      <xdr:row>42</xdr:row>
      <xdr:rowOff>0</xdr:rowOff>
    </xdr:to>
    <xdr:sp macro="" textlink="" fLocksText="0">
      <xdr:nvSpPr>
        <xdr:cNvPr id="37" name="フローチャート: 代替処理 27">
          <a:extLst>
            <a:ext uri="{FF2B5EF4-FFF2-40B4-BE49-F238E27FC236}">
              <a16:creationId xmlns:a16="http://schemas.microsoft.com/office/drawing/2014/main" id="{00000000-0008-0000-0400-000025000000}"/>
            </a:ext>
          </a:extLst>
        </xdr:cNvPr>
        <xdr:cNvSpPr/>
      </xdr:nvSpPr>
      <xdr:spPr>
        <a:xfrm>
          <a:off x="161925" y="7543800"/>
          <a:ext cx="2505075"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確定ボタンをタッチした場合</a:t>
          </a:r>
          <a:endParaRPr lang="en-US">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40</xdr:row>
      <xdr:rowOff>95250</xdr:rowOff>
    </xdr:from>
    <xdr:to>
      <xdr:col>14</xdr:col>
      <xdr:colOff>0</xdr:colOff>
      <xdr:row>40</xdr:row>
      <xdr:rowOff>95250</xdr:rowOff>
    </xdr:to>
    <xdr:cxnSp macro="">
      <xdr:nvCxnSpPr>
        <xdr:cNvPr id="38" name="直線矢印コネクタ 4">
          <a:extLst>
            <a:ext uri="{FF2B5EF4-FFF2-40B4-BE49-F238E27FC236}">
              <a16:creationId xmlns:a16="http://schemas.microsoft.com/office/drawing/2014/main" id="{00000000-0008-0000-0400-000026000000}"/>
            </a:ext>
          </a:extLst>
        </xdr:cNvPr>
        <xdr:cNvCxnSpPr>
          <a:stCxn id="37" idx="3"/>
        </xdr:cNvCxnSpPr>
      </xdr:nvCxnSpPr>
      <xdr:spPr>
        <a:xfrm>
          <a:off x="2667000" y="7829550"/>
          <a:ext cx="10668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codeName="Sheet1">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59" customWidth="1"/>
    <col min="61" max="16384" width="2.77734375" style="59"/>
  </cols>
  <sheetData>
    <row r="1" spans="1:63" ht="24.95" customHeight="1" x14ac:dyDescent="0.25">
      <c r="A1" s="53" t="s">
        <v>163</v>
      </c>
      <c r="B1" s="54"/>
      <c r="C1" s="54"/>
      <c r="D1" s="54"/>
      <c r="E1" s="54"/>
      <c r="F1" s="54"/>
      <c r="G1" s="54"/>
      <c r="H1" s="54"/>
      <c r="I1" s="54"/>
      <c r="J1" s="55"/>
      <c r="K1" s="53" t="s">
        <v>164</v>
      </c>
      <c r="L1" s="54"/>
      <c r="M1" s="54"/>
      <c r="N1" s="54"/>
      <c r="O1" s="54"/>
      <c r="P1" s="54"/>
      <c r="Q1" s="54"/>
      <c r="R1" s="54"/>
      <c r="S1" s="54"/>
      <c r="T1" s="54"/>
      <c r="U1" s="54"/>
      <c r="V1" s="55"/>
      <c r="W1" s="56" t="s">
        <v>165</v>
      </c>
      <c r="X1" s="57"/>
      <c r="Y1" s="57"/>
      <c r="Z1" s="57"/>
      <c r="AA1" s="57"/>
      <c r="AB1" s="57"/>
      <c r="AC1" s="57"/>
      <c r="AD1" s="57"/>
      <c r="AE1" s="57"/>
      <c r="AF1" s="57"/>
      <c r="AG1" s="57"/>
      <c r="AH1" s="57"/>
      <c r="AI1" s="57"/>
      <c r="AJ1" s="57"/>
      <c r="AK1" s="57"/>
      <c r="AL1" s="57"/>
      <c r="AM1" s="57"/>
      <c r="AN1" s="57"/>
      <c r="AO1" s="58"/>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1" t="s">
        <v>171</v>
      </c>
      <c r="B2" s="60"/>
      <c r="C2" s="60"/>
      <c r="D2" s="60"/>
      <c r="E2" s="60"/>
      <c r="F2" s="60"/>
      <c r="G2" s="60"/>
      <c r="H2" s="60"/>
      <c r="I2" s="60"/>
      <c r="J2" s="61"/>
      <c r="K2" s="62" t="s">
        <v>1</v>
      </c>
      <c r="L2" s="60"/>
      <c r="M2" s="60"/>
      <c r="N2" s="60"/>
      <c r="O2" s="60"/>
      <c r="P2" s="60"/>
      <c r="Q2" s="60"/>
      <c r="R2" s="60"/>
      <c r="S2" s="60"/>
      <c r="T2" s="60"/>
      <c r="U2" s="60"/>
      <c r="V2" s="61"/>
      <c r="W2" s="63"/>
      <c r="X2" s="64"/>
      <c r="Y2" s="64"/>
      <c r="Z2" s="64"/>
      <c r="AA2" s="64"/>
      <c r="AB2" s="64"/>
      <c r="AC2" s="64"/>
      <c r="AD2" s="64"/>
      <c r="AE2" s="64"/>
      <c r="AF2" s="64"/>
      <c r="AG2" s="64"/>
      <c r="AH2" s="64"/>
      <c r="AI2" s="64"/>
      <c r="AJ2" s="64"/>
      <c r="AK2" s="64"/>
      <c r="AL2" s="64"/>
      <c r="AM2" s="64"/>
      <c r="AN2" s="64"/>
      <c r="AO2" s="65"/>
      <c r="AP2" s="62" t="str">
        <f>改訂履歴!$H$11</f>
        <v>DuNT</v>
      </c>
      <c r="AQ2" s="60"/>
      <c r="AR2" s="60"/>
      <c r="AS2" s="61"/>
      <c r="AT2" s="66">
        <f>改訂履歴!$B$11</f>
        <v>45582</v>
      </c>
      <c r="AU2" s="67"/>
      <c r="AV2" s="67"/>
      <c r="AW2" s="67"/>
      <c r="AX2" s="68"/>
      <c r="AY2" s="62" t="str">
        <f>LOOKUP(2,1/(改訂履歴!H11:H30000&lt;&gt;""),改訂履歴!H11:H30000)</f>
        <v>DuNT</v>
      </c>
      <c r="AZ2" s="60"/>
      <c r="BA2" s="60"/>
      <c r="BB2" s="61"/>
      <c r="BC2" s="66">
        <f>LOOKUP(2,1/(改訂履歴!B11:B30000&lt;&gt;""),改訂履歴!B11:B30000)</f>
        <v>45582</v>
      </c>
      <c r="BD2" s="67"/>
      <c r="BE2" s="67"/>
      <c r="BF2" s="67"/>
      <c r="BG2" s="68"/>
      <c r="BH2" s="69">
        <f>LOOKUP(2,1/(改訂履歴!O11:O30000&lt;&gt;""),改訂履歴!O11:O30000)</f>
        <v>0.1</v>
      </c>
      <c r="BI2" s="70"/>
      <c r="BJ2" s="70"/>
      <c r="BK2" s="7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75"/>
      <c r="X3" s="76"/>
      <c r="Y3" s="76"/>
      <c r="Z3" s="76"/>
      <c r="AA3" s="76"/>
      <c r="AB3" s="76"/>
      <c r="AC3" s="76"/>
      <c r="AD3" s="76"/>
      <c r="AE3" s="76"/>
      <c r="AF3" s="76"/>
      <c r="AG3" s="76"/>
      <c r="AH3" s="76"/>
      <c r="AI3" s="76"/>
      <c r="AJ3" s="76"/>
      <c r="AK3" s="76"/>
      <c r="AL3" s="76"/>
      <c r="AM3" s="76"/>
      <c r="AN3" s="76"/>
      <c r="AO3" s="77"/>
      <c r="AP3" s="72"/>
      <c r="AQ3" s="73"/>
      <c r="AR3" s="73"/>
      <c r="AS3" s="74"/>
      <c r="AT3" s="78"/>
      <c r="AU3" s="79"/>
      <c r="AV3" s="79"/>
      <c r="AW3" s="79"/>
      <c r="AX3" s="80"/>
      <c r="AY3" s="72"/>
      <c r="AZ3" s="73"/>
      <c r="BA3" s="73"/>
      <c r="BB3" s="74"/>
      <c r="BC3" s="78"/>
      <c r="BD3" s="79"/>
      <c r="BE3" s="79"/>
      <c r="BF3" s="79"/>
      <c r="BG3" s="80"/>
      <c r="BH3" s="81"/>
      <c r="BI3" s="82"/>
      <c r="BJ3" s="82"/>
      <c r="BK3" s="83"/>
    </row>
    <row r="4" spans="1:63" ht="24.95" customHeight="1" x14ac:dyDescent="0.25">
      <c r="A4" s="53" t="s">
        <v>172</v>
      </c>
      <c r="B4" s="54"/>
      <c r="C4" s="54"/>
      <c r="D4" s="54"/>
      <c r="E4" s="54"/>
      <c r="F4" s="54"/>
      <c r="G4" s="55"/>
      <c r="H4" s="84" t="s">
        <v>43</v>
      </c>
      <c r="I4" s="85"/>
      <c r="J4" s="85"/>
      <c r="K4" s="85"/>
      <c r="L4" s="85"/>
      <c r="M4" s="85"/>
      <c r="N4" s="85"/>
      <c r="O4" s="85"/>
      <c r="P4" s="85"/>
      <c r="Q4" s="85"/>
      <c r="R4" s="85"/>
      <c r="S4" s="85"/>
      <c r="T4" s="86"/>
      <c r="U4" s="53" t="s">
        <v>173</v>
      </c>
      <c r="V4" s="54"/>
      <c r="W4" s="54"/>
      <c r="X4" s="54"/>
      <c r="Y4" s="55"/>
      <c r="Z4" s="33" t="s">
        <v>174</v>
      </c>
      <c r="AA4" s="85"/>
      <c r="AB4" s="85"/>
      <c r="AC4" s="85"/>
      <c r="AD4" s="85"/>
      <c r="AE4" s="85"/>
      <c r="AF4" s="85"/>
      <c r="AG4" s="85"/>
      <c r="AH4" s="85"/>
      <c r="AI4" s="85"/>
      <c r="AJ4" s="85"/>
      <c r="AK4" s="85"/>
      <c r="AL4" s="85"/>
      <c r="AM4" s="85"/>
      <c r="AN4" s="85"/>
      <c r="AO4" s="86"/>
      <c r="AP4" s="84" t="str">
        <f t="array" aca="1" ref="AP4" ca="1">RIGHT(CELL("filename",$A$1),LEN(CELL("filename",$A$1))-FIND("]",CELL("filename",$A$1)))</f>
        <v>表紙</v>
      </c>
      <c r="AQ4" s="85"/>
      <c r="AR4" s="85"/>
      <c r="AS4" s="85"/>
      <c r="AT4" s="85"/>
      <c r="AU4" s="85"/>
      <c r="AV4" s="85"/>
      <c r="AW4" s="85"/>
      <c r="AX4" s="85"/>
      <c r="AY4" s="85"/>
      <c r="AZ4" s="85"/>
      <c r="BA4" s="85"/>
      <c r="BB4" s="85"/>
      <c r="BC4" s="85"/>
      <c r="BD4" s="85"/>
      <c r="BE4" s="85"/>
      <c r="BF4" s="85"/>
      <c r="BG4" s="85"/>
      <c r="BH4" s="85"/>
      <c r="BI4" s="85"/>
      <c r="BJ4" s="85"/>
      <c r="BK4" s="86"/>
    </row>
    <row r="5" spans="1:63" ht="5.0999999999999996" customHeight="1" x14ac:dyDescent="0.25">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9"/>
    </row>
    <row r="6" spans="1:63" ht="15" customHeight="1" x14ac:dyDescent="0.25">
      <c r="A6" s="90"/>
      <c r="BK6" s="91"/>
    </row>
    <row r="7" spans="1:63" ht="15" customHeight="1" x14ac:dyDescent="0.25">
      <c r="A7" s="90"/>
      <c r="BK7" s="91"/>
    </row>
    <row r="8" spans="1:63" ht="15" customHeight="1" x14ac:dyDescent="0.25">
      <c r="A8" s="90"/>
      <c r="BK8" s="91"/>
    </row>
    <row r="9" spans="1:63" ht="15" customHeight="1" x14ac:dyDescent="0.25">
      <c r="A9" s="90"/>
      <c r="BK9" s="91"/>
    </row>
    <row r="10" spans="1:63" ht="15" customHeight="1" x14ac:dyDescent="0.25">
      <c r="A10" s="90"/>
      <c r="BK10" s="91"/>
    </row>
    <row r="11" spans="1:63" ht="15" customHeight="1" x14ac:dyDescent="0.25">
      <c r="A11" s="90"/>
      <c r="BK11" s="91"/>
    </row>
    <row r="12" spans="1:63" ht="15" customHeight="1" x14ac:dyDescent="0.25">
      <c r="A12" s="90"/>
      <c r="BK12" s="91"/>
    </row>
    <row r="13" spans="1:63" ht="15" customHeight="1" x14ac:dyDescent="0.25">
      <c r="A13" s="90"/>
      <c r="BK13" s="91"/>
    </row>
    <row r="14" spans="1:63" ht="15" customHeight="1" thickBot="1" x14ac:dyDescent="0.3">
      <c r="A14" s="90"/>
      <c r="BK14" s="91"/>
    </row>
    <row r="15" spans="1:63" ht="15" customHeight="1" thickTop="1" x14ac:dyDescent="0.25">
      <c r="A15" s="90"/>
      <c r="K15" s="92"/>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4"/>
      <c r="BK15" s="91"/>
    </row>
    <row r="16" spans="1:63" ht="15" customHeight="1" x14ac:dyDescent="0.25">
      <c r="A16" s="90"/>
      <c r="K16" s="95"/>
      <c r="L16" s="96" t="s">
        <v>175</v>
      </c>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8"/>
      <c r="BK16" s="91"/>
    </row>
    <row r="17" spans="1:63" ht="15" customHeight="1" x14ac:dyDescent="0.25">
      <c r="A17" s="90"/>
      <c r="K17" s="95"/>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8"/>
      <c r="BK17" s="91"/>
    </row>
    <row r="18" spans="1:63" ht="15" customHeight="1" x14ac:dyDescent="0.25">
      <c r="A18" s="90"/>
      <c r="K18" s="95"/>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8"/>
      <c r="BK18" s="91"/>
    </row>
    <row r="19" spans="1:63" ht="15" customHeight="1" x14ac:dyDescent="0.25">
      <c r="A19" s="90"/>
      <c r="K19" s="95"/>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8"/>
      <c r="BK19" s="91"/>
    </row>
    <row r="20" spans="1:63" ht="15" customHeight="1" x14ac:dyDescent="0.25">
      <c r="A20" s="90"/>
      <c r="K20" s="95"/>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8"/>
      <c r="BK20" s="91"/>
    </row>
    <row r="21" spans="1:63" ht="15" customHeight="1" x14ac:dyDescent="0.25">
      <c r="A21" s="90"/>
      <c r="K21" s="95"/>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8"/>
      <c r="BK21" s="91"/>
    </row>
    <row r="22" spans="1:63" ht="15" customHeight="1" thickBot="1" x14ac:dyDescent="0.3">
      <c r="A22" s="90"/>
      <c r="K22" s="95"/>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8"/>
      <c r="BK22" s="91"/>
    </row>
    <row r="23" spans="1:63" ht="15" customHeight="1" x14ac:dyDescent="0.25">
      <c r="A23" s="90"/>
      <c r="K23" s="95"/>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98"/>
      <c r="BK23" s="91"/>
    </row>
    <row r="24" spans="1:63" ht="15" customHeight="1" x14ac:dyDescent="0.25">
      <c r="A24" s="90"/>
      <c r="K24" s="95"/>
      <c r="L24" s="97" t="str">
        <f>K2&amp;"/"&amp;H4&amp;"/"&amp;Z4</f>
        <v>POSサーバ/05_ミックスマッチ設定/機能設計書</v>
      </c>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8"/>
      <c r="BK24" s="91"/>
    </row>
    <row r="25" spans="1:63" ht="15" customHeight="1" x14ac:dyDescent="0.25">
      <c r="A25" s="90"/>
      <c r="K25" s="95"/>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8"/>
      <c r="BK25" s="91"/>
    </row>
    <row r="26" spans="1:63" ht="15" customHeight="1" x14ac:dyDescent="0.25">
      <c r="A26" s="90"/>
      <c r="K26" s="95"/>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8"/>
      <c r="BK26" s="91"/>
    </row>
    <row r="27" spans="1:63" ht="15" customHeight="1" x14ac:dyDescent="0.25">
      <c r="A27" s="90"/>
      <c r="K27" s="95"/>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8"/>
      <c r="BK27" s="91"/>
    </row>
    <row r="28" spans="1:63" ht="15" customHeight="1" x14ac:dyDescent="0.25">
      <c r="A28" s="90"/>
      <c r="K28" s="95"/>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8"/>
      <c r="BK28" s="91"/>
    </row>
    <row r="29" spans="1:63" ht="15" customHeight="1" x14ac:dyDescent="0.25">
      <c r="A29" s="90"/>
      <c r="K29" s="95"/>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8"/>
      <c r="BK29" s="91"/>
    </row>
    <row r="30" spans="1:63" ht="15" customHeight="1" x14ac:dyDescent="0.25">
      <c r="A30" s="90"/>
      <c r="K30" s="95"/>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8"/>
      <c r="BK30" s="91"/>
    </row>
    <row r="31" spans="1:63" ht="15" customHeight="1" x14ac:dyDescent="0.25">
      <c r="A31" s="90"/>
      <c r="K31" s="95"/>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8"/>
      <c r="BK31" s="91"/>
    </row>
    <row r="32" spans="1:63" ht="15" customHeight="1" x14ac:dyDescent="0.25">
      <c r="A32" s="90"/>
      <c r="K32" s="95"/>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8"/>
      <c r="BK32" s="91"/>
    </row>
    <row r="33" spans="1:63" ht="15" customHeight="1" x14ac:dyDescent="0.25">
      <c r="A33" s="90"/>
      <c r="K33" s="95"/>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8"/>
      <c r="BK33" s="91"/>
    </row>
    <row r="34" spans="1:63" ht="15" customHeight="1" x14ac:dyDescent="0.25">
      <c r="A34" s="90"/>
      <c r="K34" s="95"/>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8"/>
      <c r="BK34" s="91"/>
    </row>
    <row r="35" spans="1:63" ht="15" customHeight="1" x14ac:dyDescent="0.25">
      <c r="A35" s="90"/>
      <c r="K35" s="95"/>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8"/>
      <c r="BK35" s="91"/>
    </row>
    <row r="36" spans="1:63" ht="15" customHeight="1" x14ac:dyDescent="0.25">
      <c r="A36" s="90"/>
      <c r="K36" s="95"/>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8"/>
      <c r="BK36" s="91"/>
    </row>
    <row r="37" spans="1:63" ht="15" customHeight="1" thickBot="1" x14ac:dyDescent="0.3">
      <c r="A37" s="90"/>
      <c r="K37" s="101"/>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3"/>
      <c r="BK37" s="91"/>
    </row>
    <row r="38" spans="1:63" ht="15" customHeight="1" thickTop="1" x14ac:dyDescent="0.25">
      <c r="A38" s="90"/>
      <c r="BK38" s="91"/>
    </row>
    <row r="39" spans="1:63" ht="15" customHeight="1" x14ac:dyDescent="0.25">
      <c r="A39" s="90"/>
      <c r="BK39" s="91"/>
    </row>
    <row r="40" spans="1:63" ht="15" customHeight="1" x14ac:dyDescent="0.25">
      <c r="A40" s="90"/>
      <c r="BK40" s="91"/>
    </row>
    <row r="41" spans="1:63" ht="15" customHeight="1" x14ac:dyDescent="0.25">
      <c r="A41" s="90"/>
      <c r="BK41" s="91"/>
    </row>
    <row r="42" spans="1:63" ht="15" customHeight="1" x14ac:dyDescent="0.25">
      <c r="A42" s="90"/>
      <c r="BK42" s="91"/>
    </row>
    <row r="43" spans="1:63" ht="15" customHeight="1" x14ac:dyDescent="0.25">
      <c r="A43" s="90"/>
      <c r="BK43" s="91"/>
    </row>
    <row r="44" spans="1:63" ht="15" customHeight="1" x14ac:dyDescent="0.25">
      <c r="A44" s="90"/>
      <c r="Q44" s="104" t="s">
        <v>176</v>
      </c>
      <c r="R44" s="105"/>
      <c r="S44" s="105"/>
      <c r="T44" s="105"/>
      <c r="U44" s="105"/>
      <c r="V44" s="105"/>
      <c r="W44" s="105"/>
      <c r="X44" s="105"/>
      <c r="Y44" s="105"/>
      <c r="Z44" s="106"/>
      <c r="AA44" s="104" t="s">
        <v>177</v>
      </c>
      <c r="AB44" s="105"/>
      <c r="AC44" s="105"/>
      <c r="AD44" s="105"/>
      <c r="AE44" s="105"/>
      <c r="AF44" s="105"/>
      <c r="AG44" s="105"/>
      <c r="AH44" s="105"/>
      <c r="AI44" s="105"/>
      <c r="AJ44" s="105"/>
      <c r="AK44" s="105"/>
      <c r="AL44" s="105"/>
      <c r="AM44" s="105"/>
      <c r="AN44" s="105"/>
      <c r="AO44" s="105"/>
      <c r="AP44" s="106"/>
      <c r="AQ44" s="104" t="s">
        <v>170</v>
      </c>
      <c r="AR44" s="105"/>
      <c r="AS44" s="105"/>
      <c r="AT44" s="105"/>
      <c r="AU44" s="106"/>
      <c r="BK44" s="91"/>
    </row>
    <row r="45" spans="1:63" ht="15" customHeight="1" x14ac:dyDescent="0.25">
      <c r="A45" s="90"/>
      <c r="Q45" s="107"/>
      <c r="R45" s="108"/>
      <c r="S45" s="108"/>
      <c r="T45" s="108"/>
      <c r="U45" s="108"/>
      <c r="V45" s="108"/>
      <c r="W45" s="108"/>
      <c r="X45" s="108"/>
      <c r="Y45" s="108"/>
      <c r="Z45" s="109"/>
      <c r="AA45" s="107"/>
      <c r="AB45" s="108"/>
      <c r="AC45" s="108"/>
      <c r="AD45" s="108"/>
      <c r="AE45" s="108"/>
      <c r="AF45" s="108"/>
      <c r="AG45" s="108"/>
      <c r="AH45" s="108"/>
      <c r="AI45" s="108"/>
      <c r="AJ45" s="108"/>
      <c r="AK45" s="108"/>
      <c r="AL45" s="108"/>
      <c r="AM45" s="108"/>
      <c r="AN45" s="108"/>
      <c r="AO45" s="108"/>
      <c r="AP45" s="109"/>
      <c r="AQ45" s="107"/>
      <c r="AR45" s="108"/>
      <c r="AS45" s="108"/>
      <c r="AT45" s="108"/>
      <c r="AU45" s="109"/>
      <c r="BK45" s="91"/>
    </row>
    <row r="46" spans="1:63" ht="15" customHeight="1" x14ac:dyDescent="0.25">
      <c r="A46" s="90"/>
      <c r="Q46" s="62"/>
      <c r="R46" s="60"/>
      <c r="S46" s="60"/>
      <c r="T46" s="60"/>
      <c r="U46" s="60"/>
      <c r="V46" s="60"/>
      <c r="W46" s="60"/>
      <c r="X46" s="60"/>
      <c r="Y46" s="60"/>
      <c r="Z46" s="61"/>
      <c r="AA46" s="62"/>
      <c r="AB46" s="60"/>
      <c r="AC46" s="60"/>
      <c r="AD46" s="60"/>
      <c r="AE46" s="60"/>
      <c r="AF46" s="60"/>
      <c r="AG46" s="60"/>
      <c r="AH46" s="60"/>
      <c r="AI46" s="60"/>
      <c r="AJ46" s="60"/>
      <c r="AK46" s="60"/>
      <c r="AL46" s="60"/>
      <c r="AM46" s="60"/>
      <c r="AN46" s="60"/>
      <c r="AO46" s="60"/>
      <c r="AP46" s="61"/>
      <c r="AQ46" s="62"/>
      <c r="AR46" s="60"/>
      <c r="AS46" s="60"/>
      <c r="AT46" s="60"/>
      <c r="AU46" s="61"/>
      <c r="BK46" s="91"/>
    </row>
    <row r="47" spans="1:63" ht="15" customHeight="1" x14ac:dyDescent="0.25">
      <c r="A47" s="90"/>
      <c r="Q47" s="110"/>
      <c r="R47" s="111"/>
      <c r="S47" s="111"/>
      <c r="T47" s="111"/>
      <c r="U47" s="111"/>
      <c r="V47" s="111"/>
      <c r="W47" s="111"/>
      <c r="X47" s="111"/>
      <c r="Y47" s="111"/>
      <c r="Z47" s="112"/>
      <c r="AA47" s="110"/>
      <c r="AB47" s="111"/>
      <c r="AC47" s="111"/>
      <c r="AD47" s="111"/>
      <c r="AE47" s="111"/>
      <c r="AF47" s="111"/>
      <c r="AG47" s="111"/>
      <c r="AH47" s="111"/>
      <c r="AI47" s="111"/>
      <c r="AJ47" s="111"/>
      <c r="AK47" s="111"/>
      <c r="AL47" s="111"/>
      <c r="AM47" s="111"/>
      <c r="AN47" s="111"/>
      <c r="AO47" s="111"/>
      <c r="AP47" s="112"/>
      <c r="AQ47" s="110"/>
      <c r="AR47" s="111"/>
      <c r="AS47" s="111"/>
      <c r="AT47" s="111"/>
      <c r="AU47" s="112"/>
      <c r="BK47" s="91"/>
    </row>
    <row r="48" spans="1:63" ht="15" customHeight="1" x14ac:dyDescent="0.25">
      <c r="A48" s="90"/>
      <c r="Q48" s="110"/>
      <c r="R48" s="111"/>
      <c r="S48" s="111"/>
      <c r="T48" s="111"/>
      <c r="U48" s="111"/>
      <c r="V48" s="111"/>
      <c r="W48" s="111"/>
      <c r="X48" s="111"/>
      <c r="Y48" s="111"/>
      <c r="Z48" s="112"/>
      <c r="AA48" s="110"/>
      <c r="AB48" s="111"/>
      <c r="AC48" s="111"/>
      <c r="AD48" s="111"/>
      <c r="AE48" s="111"/>
      <c r="AF48" s="111"/>
      <c r="AG48" s="111"/>
      <c r="AH48" s="111"/>
      <c r="AI48" s="111"/>
      <c r="AJ48" s="111"/>
      <c r="AK48" s="111"/>
      <c r="AL48" s="111"/>
      <c r="AM48" s="111"/>
      <c r="AN48" s="111"/>
      <c r="AO48" s="111"/>
      <c r="AP48" s="112"/>
      <c r="AQ48" s="110"/>
      <c r="AR48" s="111"/>
      <c r="AS48" s="111"/>
      <c r="AT48" s="111"/>
      <c r="AU48" s="112"/>
      <c r="BK48" s="91"/>
    </row>
    <row r="49" spans="1:63" ht="15" customHeight="1" x14ac:dyDescent="0.25">
      <c r="A49" s="90"/>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91"/>
    </row>
    <row r="50" spans="1:63" ht="15" customHeight="1" x14ac:dyDescent="0.25">
      <c r="A50" s="90"/>
      <c r="BK50" s="91"/>
    </row>
    <row r="51" spans="1:63" ht="15" customHeight="1" x14ac:dyDescent="0.25">
      <c r="A51" s="90"/>
      <c r="BK51" s="91"/>
    </row>
    <row r="52" spans="1:63" ht="15" customHeight="1" x14ac:dyDescent="0.25">
      <c r="A52" s="90"/>
      <c r="BK52" s="91"/>
    </row>
    <row r="53" spans="1:63" ht="15" customHeight="1" x14ac:dyDescent="0.25">
      <c r="A53" s="90"/>
      <c r="BK53" s="91"/>
    </row>
    <row r="54" spans="1:63" ht="15" customHeight="1" x14ac:dyDescent="0.25">
      <c r="A54" s="90"/>
      <c r="BK54" s="91"/>
    </row>
    <row r="55" spans="1:63" ht="15" customHeight="1" x14ac:dyDescent="0.25">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9"/>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codeName="Sheet2">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59" customWidth="1"/>
    <col min="61" max="16384" width="2.77734375" style="59"/>
  </cols>
  <sheetData>
    <row r="1" spans="1:63" ht="24.95" customHeight="1" x14ac:dyDescent="0.25">
      <c r="A1" s="53" t="s">
        <v>163</v>
      </c>
      <c r="B1" s="54"/>
      <c r="C1" s="54"/>
      <c r="D1" s="54"/>
      <c r="E1" s="54"/>
      <c r="F1" s="54"/>
      <c r="G1" s="54"/>
      <c r="H1" s="54"/>
      <c r="I1" s="54"/>
      <c r="J1" s="55"/>
      <c r="K1" s="53" t="s">
        <v>164</v>
      </c>
      <c r="L1" s="54"/>
      <c r="M1" s="54"/>
      <c r="N1" s="54"/>
      <c r="O1" s="54"/>
      <c r="P1" s="54"/>
      <c r="Q1" s="54"/>
      <c r="R1" s="54"/>
      <c r="S1" s="54"/>
      <c r="T1" s="54"/>
      <c r="U1" s="54"/>
      <c r="V1" s="55"/>
      <c r="W1" s="113" t="str">
        <f>IF(表紙!W1="","",表紙!W1)</f>
        <v>詳細設計書</v>
      </c>
      <c r="X1" s="57"/>
      <c r="Y1" s="57"/>
      <c r="Z1" s="57"/>
      <c r="AA1" s="57"/>
      <c r="AB1" s="57"/>
      <c r="AC1" s="57"/>
      <c r="AD1" s="57"/>
      <c r="AE1" s="57"/>
      <c r="AF1" s="57"/>
      <c r="AG1" s="57"/>
      <c r="AH1" s="57"/>
      <c r="AI1" s="57"/>
      <c r="AJ1" s="57"/>
      <c r="AK1" s="57"/>
      <c r="AL1" s="57"/>
      <c r="AM1" s="57"/>
      <c r="AN1" s="57"/>
      <c r="AO1" s="58"/>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62" t="str">
        <f>IF(表紙!A2="","",表紙!A2)</f>
        <v>POSサーバー</v>
      </c>
      <c r="B2" s="60"/>
      <c r="C2" s="60"/>
      <c r="D2" s="60"/>
      <c r="E2" s="60"/>
      <c r="F2" s="60"/>
      <c r="G2" s="60"/>
      <c r="H2" s="60"/>
      <c r="I2" s="60"/>
      <c r="J2" s="61"/>
      <c r="K2" s="62" t="str">
        <f>IF(表紙!K2="","",表紙!K2)</f>
        <v>POSサーバ</v>
      </c>
      <c r="L2" s="60"/>
      <c r="M2" s="60"/>
      <c r="N2" s="60"/>
      <c r="O2" s="60"/>
      <c r="P2" s="60"/>
      <c r="Q2" s="60"/>
      <c r="R2" s="60"/>
      <c r="S2" s="60"/>
      <c r="T2" s="60"/>
      <c r="U2" s="60"/>
      <c r="V2" s="61"/>
      <c r="W2" s="63"/>
      <c r="X2" s="64"/>
      <c r="Y2" s="64"/>
      <c r="Z2" s="64"/>
      <c r="AA2" s="64"/>
      <c r="AB2" s="64"/>
      <c r="AC2" s="64"/>
      <c r="AD2" s="64"/>
      <c r="AE2" s="64"/>
      <c r="AF2" s="64"/>
      <c r="AG2" s="64"/>
      <c r="AH2" s="64"/>
      <c r="AI2" s="64"/>
      <c r="AJ2" s="64"/>
      <c r="AK2" s="64"/>
      <c r="AL2" s="64"/>
      <c r="AM2" s="64"/>
      <c r="AN2" s="64"/>
      <c r="AO2" s="65"/>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75"/>
      <c r="X3" s="76"/>
      <c r="Y3" s="76"/>
      <c r="Z3" s="76"/>
      <c r="AA3" s="76"/>
      <c r="AB3" s="76"/>
      <c r="AC3" s="76"/>
      <c r="AD3" s="76"/>
      <c r="AE3" s="76"/>
      <c r="AF3" s="76"/>
      <c r="AG3" s="76"/>
      <c r="AH3" s="76"/>
      <c r="AI3" s="76"/>
      <c r="AJ3" s="76"/>
      <c r="AK3" s="76"/>
      <c r="AL3" s="76"/>
      <c r="AM3" s="76"/>
      <c r="AN3" s="76"/>
      <c r="AO3" s="77"/>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53" t="s">
        <v>178</v>
      </c>
      <c r="B4" s="54"/>
      <c r="C4" s="54"/>
      <c r="D4" s="54"/>
      <c r="E4" s="54"/>
      <c r="F4" s="54"/>
      <c r="G4" s="55"/>
      <c r="H4" s="84" t="str">
        <f>IF(表紙!H4="","",表紙!H4)</f>
        <v>05_ミックスマッチ設定</v>
      </c>
      <c r="I4" s="85"/>
      <c r="J4" s="85"/>
      <c r="K4" s="85"/>
      <c r="L4" s="85"/>
      <c r="M4" s="85"/>
      <c r="N4" s="85"/>
      <c r="O4" s="85"/>
      <c r="P4" s="85"/>
      <c r="Q4" s="85"/>
      <c r="R4" s="85"/>
      <c r="S4" s="85"/>
      <c r="T4" s="86"/>
      <c r="U4" s="53" t="s">
        <v>173</v>
      </c>
      <c r="V4" s="54"/>
      <c r="W4" s="54"/>
      <c r="X4" s="54"/>
      <c r="Y4" s="55"/>
      <c r="Z4" s="84" t="str">
        <f>IF(表紙!Z4="","",表紙!Z4)</f>
        <v>機能設計書</v>
      </c>
      <c r="AA4" s="85"/>
      <c r="AB4" s="85"/>
      <c r="AC4" s="85"/>
      <c r="AD4" s="85"/>
      <c r="AE4" s="85"/>
      <c r="AF4" s="85"/>
      <c r="AG4" s="85"/>
      <c r="AH4" s="85"/>
      <c r="AI4" s="85"/>
      <c r="AJ4" s="85"/>
      <c r="AK4" s="85"/>
      <c r="AL4" s="85"/>
      <c r="AM4" s="85"/>
      <c r="AN4" s="85"/>
      <c r="AO4" s="86"/>
      <c r="AP4" s="84" t="str">
        <f t="array" aca="1" ref="AP4" ca="1">RIGHT(CELL("filename",$A$1),LEN(CELL("filename",$A$1))-FIND("]",CELL("filename",$A$1)))</f>
        <v>改訂履歴</v>
      </c>
      <c r="AQ4" s="85"/>
      <c r="AR4" s="85"/>
      <c r="AS4" s="85"/>
      <c r="AT4" s="85"/>
      <c r="AU4" s="85"/>
      <c r="AV4" s="85"/>
      <c r="AW4" s="85"/>
      <c r="AX4" s="85"/>
      <c r="AY4" s="85"/>
      <c r="AZ4" s="85"/>
      <c r="BA4" s="85"/>
      <c r="BB4" s="85"/>
      <c r="BC4" s="85"/>
      <c r="BD4" s="85"/>
      <c r="BE4" s="85"/>
      <c r="BF4" s="85"/>
      <c r="BG4" s="85"/>
      <c r="BH4" s="85"/>
      <c r="BI4" s="85"/>
      <c r="BJ4" s="85"/>
      <c r="BK4" s="86"/>
    </row>
    <row r="5" spans="1:63" ht="5.0999999999999996" customHeight="1" x14ac:dyDescent="0.25">
      <c r="A5" s="87"/>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c r="BC5" s="88"/>
      <c r="BD5" s="88"/>
      <c r="BE5" s="88"/>
      <c r="BF5" s="88"/>
      <c r="BG5" s="88"/>
      <c r="BH5" s="88"/>
      <c r="BI5" s="88"/>
      <c r="BJ5" s="88"/>
      <c r="BK5" s="89"/>
    </row>
    <row r="6" spans="1:63" ht="15" customHeight="1" x14ac:dyDescent="0.25">
      <c r="A6" s="90"/>
      <c r="BK6" s="91"/>
    </row>
    <row r="7" spans="1:63" ht="15" customHeight="1" x14ac:dyDescent="0.25">
      <c r="A7" s="90"/>
      <c r="BK7" s="91"/>
    </row>
    <row r="8" spans="1:63" ht="15" customHeight="1" x14ac:dyDescent="0.25">
      <c r="A8" s="90"/>
      <c r="B8" s="59" t="s">
        <v>0</v>
      </c>
      <c r="BK8" s="91"/>
    </row>
    <row r="9" spans="1:63" ht="15" customHeight="1" x14ac:dyDescent="0.25">
      <c r="A9" s="90"/>
      <c r="BK9" s="91"/>
    </row>
    <row r="10" spans="1:63" ht="15" customHeight="1" x14ac:dyDescent="0.25">
      <c r="A10" s="90"/>
      <c r="B10" s="114" t="s">
        <v>169</v>
      </c>
      <c r="C10" s="114"/>
      <c r="D10" s="114"/>
      <c r="E10" s="114"/>
      <c r="F10" s="114"/>
      <c r="G10" s="114"/>
      <c r="H10" s="114" t="s">
        <v>168</v>
      </c>
      <c r="I10" s="114"/>
      <c r="J10" s="114"/>
      <c r="K10" s="114"/>
      <c r="L10" s="114"/>
      <c r="M10" s="114"/>
      <c r="N10" s="114"/>
      <c r="O10" s="114" t="s">
        <v>170</v>
      </c>
      <c r="P10" s="114"/>
      <c r="Q10" s="114"/>
      <c r="R10" s="114"/>
      <c r="S10" s="114" t="s">
        <v>179</v>
      </c>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t="s">
        <v>176</v>
      </c>
      <c r="AY10" s="114"/>
      <c r="AZ10" s="114"/>
      <c r="BA10" s="114"/>
      <c r="BB10" s="114"/>
      <c r="BC10" s="114"/>
      <c r="BD10" s="114" t="s">
        <v>177</v>
      </c>
      <c r="BE10" s="114"/>
      <c r="BF10" s="114"/>
      <c r="BG10" s="114"/>
      <c r="BH10" s="114"/>
      <c r="BI10" s="114"/>
      <c r="BJ10" s="114"/>
      <c r="BK10" s="91"/>
    </row>
    <row r="11" spans="1:63" ht="15" customHeight="1" x14ac:dyDescent="0.25">
      <c r="A11" s="90"/>
      <c r="B11" s="66">
        <v>45582</v>
      </c>
      <c r="C11" s="60"/>
      <c r="D11" s="60"/>
      <c r="E11" s="60"/>
      <c r="F11" s="60"/>
      <c r="G11" s="61"/>
      <c r="H11" s="1" t="s">
        <v>180</v>
      </c>
      <c r="I11" s="60"/>
      <c r="J11" s="60"/>
      <c r="K11" s="60"/>
      <c r="L11" s="60"/>
      <c r="M11" s="60"/>
      <c r="N11" s="61"/>
      <c r="O11" s="62">
        <v>0.1</v>
      </c>
      <c r="P11" s="60"/>
      <c r="Q11" s="60"/>
      <c r="R11" s="60"/>
      <c r="S11" s="115" t="s">
        <v>2</v>
      </c>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7"/>
      <c r="AX11" s="118"/>
      <c r="AY11" s="118"/>
      <c r="AZ11" s="118"/>
      <c r="BA11" s="118"/>
      <c r="BB11" s="118"/>
      <c r="BC11" s="119"/>
      <c r="BD11" s="120"/>
      <c r="BE11" s="118"/>
      <c r="BF11" s="118"/>
      <c r="BG11" s="118"/>
      <c r="BH11" s="118"/>
      <c r="BI11" s="118"/>
      <c r="BJ11" s="119"/>
      <c r="BK11" s="91"/>
    </row>
    <row r="12" spans="1:63" ht="15" customHeight="1" x14ac:dyDescent="0.25">
      <c r="A12" s="90"/>
      <c r="B12" s="72"/>
      <c r="C12" s="73"/>
      <c r="D12" s="73"/>
      <c r="E12" s="73"/>
      <c r="F12" s="73"/>
      <c r="G12" s="74"/>
      <c r="H12" s="72"/>
      <c r="I12" s="73"/>
      <c r="J12" s="73"/>
      <c r="K12" s="73"/>
      <c r="L12" s="73"/>
      <c r="M12" s="73"/>
      <c r="N12" s="74"/>
      <c r="O12" s="72"/>
      <c r="P12" s="73"/>
      <c r="Q12" s="73"/>
      <c r="R12" s="73"/>
      <c r="S12" s="121"/>
      <c r="T12" s="122"/>
      <c r="U12" s="122"/>
      <c r="V12" s="122"/>
      <c r="W12" s="122"/>
      <c r="X12" s="122"/>
      <c r="Y12" s="122"/>
      <c r="Z12" s="122"/>
      <c r="AA12" s="122"/>
      <c r="AB12" s="122"/>
      <c r="AC12" s="122"/>
      <c r="AD12" s="122"/>
      <c r="AE12" s="122"/>
      <c r="AF12" s="122"/>
      <c r="AG12" s="122"/>
      <c r="AH12" s="122"/>
      <c r="AI12" s="122"/>
      <c r="AJ12" s="122"/>
      <c r="AK12" s="122"/>
      <c r="AL12" s="122"/>
      <c r="AM12" s="122"/>
      <c r="AN12" s="122"/>
      <c r="AO12" s="122"/>
      <c r="AP12" s="122"/>
      <c r="AQ12" s="122"/>
      <c r="AR12" s="122"/>
      <c r="AS12" s="122"/>
      <c r="AT12" s="122"/>
      <c r="AU12" s="122"/>
      <c r="AV12" s="122"/>
      <c r="AW12" s="123"/>
      <c r="AX12" s="124"/>
      <c r="AY12" s="124"/>
      <c r="AZ12" s="124"/>
      <c r="BA12" s="124"/>
      <c r="BB12" s="124"/>
      <c r="BC12" s="125"/>
      <c r="BD12" s="126"/>
      <c r="BE12" s="124"/>
      <c r="BF12" s="124"/>
      <c r="BG12" s="124"/>
      <c r="BH12" s="124"/>
      <c r="BI12" s="124"/>
      <c r="BJ12" s="125"/>
      <c r="BK12" s="91"/>
    </row>
    <row r="13" spans="1:63" ht="15" customHeight="1" x14ac:dyDescent="0.25">
      <c r="A13" s="90"/>
      <c r="B13" s="127"/>
      <c r="C13" s="128"/>
      <c r="D13" s="128"/>
      <c r="E13" s="128"/>
      <c r="F13" s="128"/>
      <c r="G13" s="129"/>
      <c r="H13" s="130"/>
      <c r="I13" s="128"/>
      <c r="J13" s="128"/>
      <c r="K13" s="128"/>
      <c r="L13" s="128"/>
      <c r="M13" s="128"/>
      <c r="N13" s="129"/>
      <c r="O13" s="130"/>
      <c r="P13" s="128"/>
      <c r="Q13" s="128"/>
      <c r="R13" s="128"/>
      <c r="S13" s="131"/>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3"/>
      <c r="AX13" s="118"/>
      <c r="AY13" s="118"/>
      <c r="AZ13" s="118"/>
      <c r="BA13" s="118"/>
      <c r="BB13" s="118"/>
      <c r="BC13" s="119"/>
      <c r="BD13" s="120"/>
      <c r="BE13" s="118"/>
      <c r="BF13" s="118"/>
      <c r="BG13" s="118"/>
      <c r="BH13" s="118"/>
      <c r="BI13" s="118"/>
      <c r="BJ13" s="119"/>
      <c r="BK13" s="91"/>
    </row>
    <row r="14" spans="1:63" ht="15" customHeight="1" x14ac:dyDescent="0.25">
      <c r="A14" s="90"/>
      <c r="B14" s="134"/>
      <c r="C14" s="135"/>
      <c r="D14" s="135"/>
      <c r="E14" s="135"/>
      <c r="F14" s="135"/>
      <c r="G14" s="136"/>
      <c r="H14" s="134"/>
      <c r="I14" s="135"/>
      <c r="J14" s="135"/>
      <c r="K14" s="135"/>
      <c r="L14" s="135"/>
      <c r="M14" s="135"/>
      <c r="N14" s="136"/>
      <c r="O14" s="134"/>
      <c r="P14" s="135"/>
      <c r="Q14" s="135"/>
      <c r="R14" s="135"/>
      <c r="S14" s="137"/>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9"/>
      <c r="AX14" s="124"/>
      <c r="AY14" s="124"/>
      <c r="AZ14" s="124"/>
      <c r="BA14" s="124"/>
      <c r="BB14" s="124"/>
      <c r="BC14" s="125"/>
      <c r="BD14" s="126"/>
      <c r="BE14" s="124"/>
      <c r="BF14" s="124"/>
      <c r="BG14" s="124"/>
      <c r="BH14" s="124"/>
      <c r="BI14" s="124"/>
      <c r="BJ14" s="125"/>
      <c r="BK14" s="91"/>
    </row>
    <row r="15" spans="1:63" ht="15" customHeight="1" x14ac:dyDescent="0.25">
      <c r="A15" s="90"/>
      <c r="B15" s="62"/>
      <c r="C15" s="60"/>
      <c r="D15" s="60"/>
      <c r="E15" s="60"/>
      <c r="F15" s="60"/>
      <c r="G15" s="61"/>
      <c r="H15" s="62"/>
      <c r="I15" s="60"/>
      <c r="J15" s="60"/>
      <c r="K15" s="60"/>
      <c r="L15" s="60"/>
      <c r="M15" s="60"/>
      <c r="N15" s="61"/>
      <c r="O15" s="62"/>
      <c r="P15" s="60"/>
      <c r="Q15" s="60"/>
      <c r="R15" s="60"/>
      <c r="S15" s="115"/>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7"/>
      <c r="AX15" s="118"/>
      <c r="AY15" s="118"/>
      <c r="AZ15" s="118"/>
      <c r="BA15" s="118"/>
      <c r="BB15" s="118"/>
      <c r="BC15" s="119"/>
      <c r="BD15" s="120"/>
      <c r="BE15" s="118"/>
      <c r="BF15" s="118"/>
      <c r="BG15" s="118"/>
      <c r="BH15" s="118"/>
      <c r="BI15" s="118"/>
      <c r="BJ15" s="119"/>
      <c r="BK15" s="91"/>
    </row>
    <row r="16" spans="1:63" ht="15" customHeight="1" x14ac:dyDescent="0.25">
      <c r="A16" s="90"/>
      <c r="B16" s="72"/>
      <c r="C16" s="73"/>
      <c r="D16" s="73"/>
      <c r="E16" s="73"/>
      <c r="F16" s="73"/>
      <c r="G16" s="74"/>
      <c r="H16" s="72"/>
      <c r="I16" s="73"/>
      <c r="J16" s="73"/>
      <c r="K16" s="73"/>
      <c r="L16" s="73"/>
      <c r="M16" s="73"/>
      <c r="N16" s="74"/>
      <c r="O16" s="72"/>
      <c r="P16" s="73"/>
      <c r="Q16" s="73"/>
      <c r="R16" s="73"/>
      <c r="S16" s="121"/>
      <c r="T16" s="122"/>
      <c r="U16" s="122"/>
      <c r="V16" s="122"/>
      <c r="W16" s="122"/>
      <c r="X16" s="122"/>
      <c r="Y16" s="122"/>
      <c r="Z16" s="122"/>
      <c r="AA16" s="122"/>
      <c r="AB16" s="122"/>
      <c r="AC16" s="122"/>
      <c r="AD16" s="122"/>
      <c r="AE16" s="122"/>
      <c r="AF16" s="122"/>
      <c r="AG16" s="122"/>
      <c r="AH16" s="122"/>
      <c r="AI16" s="122"/>
      <c r="AJ16" s="122"/>
      <c r="AK16" s="122"/>
      <c r="AL16" s="122"/>
      <c r="AM16" s="122"/>
      <c r="AN16" s="122"/>
      <c r="AO16" s="122"/>
      <c r="AP16" s="122"/>
      <c r="AQ16" s="122"/>
      <c r="AR16" s="122"/>
      <c r="AS16" s="122"/>
      <c r="AT16" s="122"/>
      <c r="AU16" s="122"/>
      <c r="AV16" s="122"/>
      <c r="AW16" s="123"/>
      <c r="AX16" s="124"/>
      <c r="AY16" s="124"/>
      <c r="AZ16" s="124"/>
      <c r="BA16" s="124"/>
      <c r="BB16" s="124"/>
      <c r="BC16" s="125"/>
      <c r="BD16" s="126"/>
      <c r="BE16" s="124"/>
      <c r="BF16" s="124"/>
      <c r="BG16" s="124"/>
      <c r="BH16" s="124"/>
      <c r="BI16" s="124"/>
      <c r="BJ16" s="125"/>
      <c r="BK16" s="91"/>
    </row>
    <row r="17" spans="1:63" ht="15" customHeight="1" x14ac:dyDescent="0.25">
      <c r="A17" s="90"/>
      <c r="B17" s="62"/>
      <c r="C17" s="60"/>
      <c r="D17" s="60"/>
      <c r="E17" s="60"/>
      <c r="F17" s="60"/>
      <c r="G17" s="61"/>
      <c r="H17" s="62"/>
      <c r="I17" s="60"/>
      <c r="J17" s="60"/>
      <c r="K17" s="60"/>
      <c r="L17" s="60"/>
      <c r="M17" s="60"/>
      <c r="N17" s="61"/>
      <c r="O17" s="62"/>
      <c r="P17" s="60"/>
      <c r="Q17" s="60"/>
      <c r="R17" s="60"/>
      <c r="S17" s="115"/>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7"/>
      <c r="AX17" s="118"/>
      <c r="AY17" s="118"/>
      <c r="AZ17" s="118"/>
      <c r="BA17" s="118"/>
      <c r="BB17" s="118"/>
      <c r="BC17" s="119"/>
      <c r="BD17" s="120"/>
      <c r="BE17" s="118"/>
      <c r="BF17" s="118"/>
      <c r="BG17" s="118"/>
      <c r="BH17" s="118"/>
      <c r="BI17" s="118"/>
      <c r="BJ17" s="119"/>
      <c r="BK17" s="91"/>
    </row>
    <row r="18" spans="1:63" ht="15" customHeight="1" x14ac:dyDescent="0.25">
      <c r="A18" s="90"/>
      <c r="B18" s="72"/>
      <c r="C18" s="73"/>
      <c r="D18" s="73"/>
      <c r="E18" s="73"/>
      <c r="F18" s="73"/>
      <c r="G18" s="74"/>
      <c r="H18" s="72"/>
      <c r="I18" s="73"/>
      <c r="J18" s="73"/>
      <c r="K18" s="73"/>
      <c r="L18" s="73"/>
      <c r="M18" s="73"/>
      <c r="N18" s="74"/>
      <c r="O18" s="72"/>
      <c r="P18" s="73"/>
      <c r="Q18" s="73"/>
      <c r="R18" s="73"/>
      <c r="S18" s="121"/>
      <c r="T18" s="122"/>
      <c r="U18" s="122"/>
      <c r="V18" s="122"/>
      <c r="W18" s="122"/>
      <c r="X18" s="122"/>
      <c r="Y18" s="122"/>
      <c r="Z18" s="122"/>
      <c r="AA18" s="122"/>
      <c r="AB18" s="122"/>
      <c r="AC18" s="122"/>
      <c r="AD18" s="122"/>
      <c r="AE18" s="122"/>
      <c r="AF18" s="122"/>
      <c r="AG18" s="122"/>
      <c r="AH18" s="122"/>
      <c r="AI18" s="122"/>
      <c r="AJ18" s="122"/>
      <c r="AK18" s="122"/>
      <c r="AL18" s="122"/>
      <c r="AM18" s="122"/>
      <c r="AN18" s="122"/>
      <c r="AO18" s="122"/>
      <c r="AP18" s="122"/>
      <c r="AQ18" s="122"/>
      <c r="AR18" s="122"/>
      <c r="AS18" s="122"/>
      <c r="AT18" s="122"/>
      <c r="AU18" s="122"/>
      <c r="AV18" s="122"/>
      <c r="AW18" s="123"/>
      <c r="AX18" s="124"/>
      <c r="AY18" s="124"/>
      <c r="AZ18" s="124"/>
      <c r="BA18" s="124"/>
      <c r="BB18" s="124"/>
      <c r="BC18" s="125"/>
      <c r="BD18" s="126"/>
      <c r="BE18" s="124"/>
      <c r="BF18" s="124"/>
      <c r="BG18" s="124"/>
      <c r="BH18" s="124"/>
      <c r="BI18" s="124"/>
      <c r="BJ18" s="125"/>
      <c r="BK18" s="91"/>
    </row>
    <row r="19" spans="1:63" ht="15" customHeight="1" x14ac:dyDescent="0.25">
      <c r="A19" s="90"/>
      <c r="B19" s="62"/>
      <c r="C19" s="60"/>
      <c r="D19" s="60"/>
      <c r="E19" s="60"/>
      <c r="F19" s="60"/>
      <c r="G19" s="61"/>
      <c r="H19" s="62"/>
      <c r="I19" s="60"/>
      <c r="J19" s="60"/>
      <c r="K19" s="60"/>
      <c r="L19" s="60"/>
      <c r="M19" s="60"/>
      <c r="N19" s="61"/>
      <c r="O19" s="62"/>
      <c r="P19" s="60"/>
      <c r="Q19" s="60"/>
      <c r="R19" s="60"/>
      <c r="S19" s="115"/>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7"/>
      <c r="AX19" s="118"/>
      <c r="AY19" s="118"/>
      <c r="AZ19" s="118"/>
      <c r="BA19" s="118"/>
      <c r="BB19" s="118"/>
      <c r="BC19" s="119"/>
      <c r="BD19" s="120"/>
      <c r="BE19" s="118"/>
      <c r="BF19" s="118"/>
      <c r="BG19" s="118"/>
      <c r="BH19" s="118"/>
      <c r="BI19" s="118"/>
      <c r="BJ19" s="119"/>
      <c r="BK19" s="91"/>
    </row>
    <row r="20" spans="1:63" ht="15" customHeight="1" x14ac:dyDescent="0.25">
      <c r="A20" s="90"/>
      <c r="B20" s="72"/>
      <c r="C20" s="73"/>
      <c r="D20" s="73"/>
      <c r="E20" s="73"/>
      <c r="F20" s="73"/>
      <c r="G20" s="74"/>
      <c r="H20" s="72"/>
      <c r="I20" s="73"/>
      <c r="J20" s="73"/>
      <c r="K20" s="73"/>
      <c r="L20" s="73"/>
      <c r="M20" s="73"/>
      <c r="N20" s="74"/>
      <c r="O20" s="72"/>
      <c r="P20" s="73"/>
      <c r="Q20" s="73"/>
      <c r="R20" s="73"/>
      <c r="S20" s="121"/>
      <c r="T20" s="122"/>
      <c r="U20" s="122"/>
      <c r="V20" s="122"/>
      <c r="W20" s="122"/>
      <c r="X20" s="122"/>
      <c r="Y20" s="122"/>
      <c r="Z20" s="122"/>
      <c r="AA20" s="122"/>
      <c r="AB20" s="122"/>
      <c r="AC20" s="122"/>
      <c r="AD20" s="122"/>
      <c r="AE20" s="122"/>
      <c r="AF20" s="122"/>
      <c r="AG20" s="122"/>
      <c r="AH20" s="122"/>
      <c r="AI20" s="122"/>
      <c r="AJ20" s="122"/>
      <c r="AK20" s="122"/>
      <c r="AL20" s="122"/>
      <c r="AM20" s="122"/>
      <c r="AN20" s="122"/>
      <c r="AO20" s="122"/>
      <c r="AP20" s="122"/>
      <c r="AQ20" s="122"/>
      <c r="AR20" s="122"/>
      <c r="AS20" s="122"/>
      <c r="AT20" s="122"/>
      <c r="AU20" s="122"/>
      <c r="AV20" s="122"/>
      <c r="AW20" s="123"/>
      <c r="AX20" s="124"/>
      <c r="AY20" s="124"/>
      <c r="AZ20" s="124"/>
      <c r="BA20" s="124"/>
      <c r="BB20" s="124"/>
      <c r="BC20" s="125"/>
      <c r="BD20" s="126"/>
      <c r="BE20" s="124"/>
      <c r="BF20" s="124"/>
      <c r="BG20" s="124"/>
      <c r="BH20" s="124"/>
      <c r="BI20" s="124"/>
      <c r="BJ20" s="125"/>
      <c r="BK20" s="91"/>
    </row>
    <row r="21" spans="1:63" ht="15" customHeight="1" x14ac:dyDescent="0.25">
      <c r="A21" s="90"/>
      <c r="B21" s="62"/>
      <c r="C21" s="60"/>
      <c r="D21" s="60"/>
      <c r="E21" s="60"/>
      <c r="F21" s="60"/>
      <c r="G21" s="61"/>
      <c r="H21" s="62"/>
      <c r="I21" s="60"/>
      <c r="J21" s="60"/>
      <c r="K21" s="60"/>
      <c r="L21" s="60"/>
      <c r="M21" s="60"/>
      <c r="N21" s="61"/>
      <c r="O21" s="62"/>
      <c r="P21" s="60"/>
      <c r="Q21" s="60"/>
      <c r="R21" s="60"/>
      <c r="S21" s="115"/>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7"/>
      <c r="AX21" s="118"/>
      <c r="AY21" s="118"/>
      <c r="AZ21" s="118"/>
      <c r="BA21" s="118"/>
      <c r="BB21" s="118"/>
      <c r="BC21" s="119"/>
      <c r="BD21" s="120"/>
      <c r="BE21" s="118"/>
      <c r="BF21" s="118"/>
      <c r="BG21" s="118"/>
      <c r="BH21" s="118"/>
      <c r="BI21" s="118"/>
      <c r="BJ21" s="119"/>
      <c r="BK21" s="91"/>
    </row>
    <row r="22" spans="1:63" ht="15" customHeight="1" x14ac:dyDescent="0.25">
      <c r="A22" s="90"/>
      <c r="B22" s="72"/>
      <c r="C22" s="73"/>
      <c r="D22" s="73"/>
      <c r="E22" s="73"/>
      <c r="F22" s="73"/>
      <c r="G22" s="74"/>
      <c r="H22" s="72"/>
      <c r="I22" s="73"/>
      <c r="J22" s="73"/>
      <c r="K22" s="73"/>
      <c r="L22" s="73"/>
      <c r="M22" s="73"/>
      <c r="N22" s="74"/>
      <c r="O22" s="72"/>
      <c r="P22" s="73"/>
      <c r="Q22" s="73"/>
      <c r="R22" s="73"/>
      <c r="S22" s="121"/>
      <c r="T22" s="122"/>
      <c r="U22" s="122"/>
      <c r="V22" s="122"/>
      <c r="W22" s="122"/>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c r="AW22" s="123"/>
      <c r="AX22" s="124"/>
      <c r="AY22" s="124"/>
      <c r="AZ22" s="124"/>
      <c r="BA22" s="124"/>
      <c r="BB22" s="124"/>
      <c r="BC22" s="125"/>
      <c r="BD22" s="126"/>
      <c r="BE22" s="124"/>
      <c r="BF22" s="124"/>
      <c r="BG22" s="124"/>
      <c r="BH22" s="124"/>
      <c r="BI22" s="124"/>
      <c r="BJ22" s="125"/>
      <c r="BK22" s="91"/>
    </row>
    <row r="23" spans="1:63" ht="15" customHeight="1" x14ac:dyDescent="0.25">
      <c r="A23" s="90"/>
      <c r="B23" s="62"/>
      <c r="C23" s="60"/>
      <c r="D23" s="60"/>
      <c r="E23" s="60"/>
      <c r="F23" s="60"/>
      <c r="G23" s="61"/>
      <c r="H23" s="62"/>
      <c r="I23" s="60"/>
      <c r="J23" s="60"/>
      <c r="K23" s="60"/>
      <c r="L23" s="60"/>
      <c r="M23" s="60"/>
      <c r="N23" s="61"/>
      <c r="O23" s="62"/>
      <c r="P23" s="60"/>
      <c r="Q23" s="60"/>
      <c r="R23" s="60"/>
      <c r="S23" s="115"/>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7"/>
      <c r="AX23" s="118"/>
      <c r="AY23" s="118"/>
      <c r="AZ23" s="118"/>
      <c r="BA23" s="118"/>
      <c r="BB23" s="118"/>
      <c r="BC23" s="119"/>
      <c r="BD23" s="120"/>
      <c r="BE23" s="118"/>
      <c r="BF23" s="118"/>
      <c r="BG23" s="118"/>
      <c r="BH23" s="118"/>
      <c r="BI23" s="118"/>
      <c r="BJ23" s="119"/>
      <c r="BK23" s="91"/>
    </row>
    <row r="24" spans="1:63" ht="15" customHeight="1" x14ac:dyDescent="0.25">
      <c r="A24" s="90"/>
      <c r="B24" s="72"/>
      <c r="C24" s="73"/>
      <c r="D24" s="73"/>
      <c r="E24" s="73"/>
      <c r="F24" s="73"/>
      <c r="G24" s="74"/>
      <c r="H24" s="72"/>
      <c r="I24" s="73"/>
      <c r="J24" s="73"/>
      <c r="K24" s="73"/>
      <c r="L24" s="73"/>
      <c r="M24" s="73"/>
      <c r="N24" s="74"/>
      <c r="O24" s="72"/>
      <c r="P24" s="73"/>
      <c r="Q24" s="73"/>
      <c r="R24" s="73"/>
      <c r="S24" s="121"/>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3"/>
      <c r="AX24" s="124"/>
      <c r="AY24" s="124"/>
      <c r="AZ24" s="124"/>
      <c r="BA24" s="124"/>
      <c r="BB24" s="124"/>
      <c r="BC24" s="125"/>
      <c r="BD24" s="126"/>
      <c r="BE24" s="124"/>
      <c r="BF24" s="124"/>
      <c r="BG24" s="124"/>
      <c r="BH24" s="124"/>
      <c r="BI24" s="124"/>
      <c r="BJ24" s="125"/>
      <c r="BK24" s="91"/>
    </row>
    <row r="25" spans="1:63" ht="15" customHeight="1" x14ac:dyDescent="0.25">
      <c r="A25" s="90"/>
      <c r="B25" s="62"/>
      <c r="C25" s="60"/>
      <c r="D25" s="60"/>
      <c r="E25" s="60"/>
      <c r="F25" s="60"/>
      <c r="G25" s="61"/>
      <c r="H25" s="62"/>
      <c r="I25" s="60"/>
      <c r="J25" s="60"/>
      <c r="K25" s="60"/>
      <c r="L25" s="60"/>
      <c r="M25" s="60"/>
      <c r="N25" s="61"/>
      <c r="O25" s="62"/>
      <c r="P25" s="60"/>
      <c r="Q25" s="60"/>
      <c r="R25" s="60"/>
      <c r="S25" s="115"/>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7"/>
      <c r="AX25" s="118"/>
      <c r="AY25" s="118"/>
      <c r="AZ25" s="118"/>
      <c r="BA25" s="118"/>
      <c r="BB25" s="118"/>
      <c r="BC25" s="119"/>
      <c r="BD25" s="120"/>
      <c r="BE25" s="118"/>
      <c r="BF25" s="118"/>
      <c r="BG25" s="118"/>
      <c r="BH25" s="118"/>
      <c r="BI25" s="118"/>
      <c r="BJ25" s="119"/>
      <c r="BK25" s="91"/>
    </row>
    <row r="26" spans="1:63" ht="15" customHeight="1" x14ac:dyDescent="0.25">
      <c r="A26" s="90"/>
      <c r="B26" s="72"/>
      <c r="C26" s="73"/>
      <c r="D26" s="73"/>
      <c r="E26" s="73"/>
      <c r="F26" s="73"/>
      <c r="G26" s="74"/>
      <c r="H26" s="72"/>
      <c r="I26" s="73"/>
      <c r="J26" s="73"/>
      <c r="K26" s="73"/>
      <c r="L26" s="73"/>
      <c r="M26" s="73"/>
      <c r="N26" s="74"/>
      <c r="O26" s="72"/>
      <c r="P26" s="73"/>
      <c r="Q26" s="73"/>
      <c r="R26" s="73"/>
      <c r="S26" s="121"/>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3"/>
      <c r="AX26" s="124"/>
      <c r="AY26" s="124"/>
      <c r="AZ26" s="124"/>
      <c r="BA26" s="124"/>
      <c r="BB26" s="124"/>
      <c r="BC26" s="125"/>
      <c r="BD26" s="126"/>
      <c r="BE26" s="124"/>
      <c r="BF26" s="124"/>
      <c r="BG26" s="124"/>
      <c r="BH26" s="124"/>
      <c r="BI26" s="124"/>
      <c r="BJ26" s="125"/>
      <c r="BK26" s="91"/>
    </row>
    <row r="27" spans="1:63" ht="15" customHeight="1" x14ac:dyDescent="0.25">
      <c r="A27" s="90"/>
      <c r="B27" s="62"/>
      <c r="C27" s="60"/>
      <c r="D27" s="60"/>
      <c r="E27" s="60"/>
      <c r="F27" s="60"/>
      <c r="G27" s="61"/>
      <c r="H27" s="62"/>
      <c r="I27" s="60"/>
      <c r="J27" s="60"/>
      <c r="K27" s="60"/>
      <c r="L27" s="60"/>
      <c r="M27" s="60"/>
      <c r="N27" s="61"/>
      <c r="O27" s="62"/>
      <c r="P27" s="60"/>
      <c r="Q27" s="60"/>
      <c r="R27" s="60"/>
      <c r="S27" s="115"/>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7"/>
      <c r="AX27" s="118"/>
      <c r="AY27" s="118"/>
      <c r="AZ27" s="118"/>
      <c r="BA27" s="118"/>
      <c r="BB27" s="118"/>
      <c r="BC27" s="119"/>
      <c r="BD27" s="120"/>
      <c r="BE27" s="118"/>
      <c r="BF27" s="118"/>
      <c r="BG27" s="118"/>
      <c r="BH27" s="118"/>
      <c r="BI27" s="118"/>
      <c r="BJ27" s="119"/>
      <c r="BK27" s="91"/>
    </row>
    <row r="28" spans="1:63" ht="15" customHeight="1" x14ac:dyDescent="0.25">
      <c r="A28" s="90"/>
      <c r="B28" s="72"/>
      <c r="C28" s="73"/>
      <c r="D28" s="73"/>
      <c r="E28" s="73"/>
      <c r="F28" s="73"/>
      <c r="G28" s="74"/>
      <c r="H28" s="72"/>
      <c r="I28" s="73"/>
      <c r="J28" s="73"/>
      <c r="K28" s="73"/>
      <c r="L28" s="73"/>
      <c r="M28" s="73"/>
      <c r="N28" s="74"/>
      <c r="O28" s="72"/>
      <c r="P28" s="73"/>
      <c r="Q28" s="73"/>
      <c r="R28" s="73"/>
      <c r="S28" s="121"/>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3"/>
      <c r="AX28" s="124"/>
      <c r="AY28" s="124"/>
      <c r="AZ28" s="124"/>
      <c r="BA28" s="124"/>
      <c r="BB28" s="124"/>
      <c r="BC28" s="125"/>
      <c r="BD28" s="126"/>
      <c r="BE28" s="124"/>
      <c r="BF28" s="124"/>
      <c r="BG28" s="124"/>
      <c r="BH28" s="124"/>
      <c r="BI28" s="124"/>
      <c r="BJ28" s="125"/>
      <c r="BK28" s="91"/>
    </row>
    <row r="29" spans="1:63" ht="15" customHeight="1" x14ac:dyDescent="0.25">
      <c r="A29" s="90"/>
      <c r="B29" s="62"/>
      <c r="C29" s="60"/>
      <c r="D29" s="60"/>
      <c r="E29" s="60"/>
      <c r="F29" s="60"/>
      <c r="G29" s="61"/>
      <c r="H29" s="62"/>
      <c r="I29" s="60"/>
      <c r="J29" s="60"/>
      <c r="K29" s="60"/>
      <c r="L29" s="60"/>
      <c r="M29" s="60"/>
      <c r="N29" s="61"/>
      <c r="O29" s="62"/>
      <c r="P29" s="60"/>
      <c r="Q29" s="60"/>
      <c r="R29" s="60"/>
      <c r="S29" s="115"/>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7"/>
      <c r="AX29" s="118"/>
      <c r="AY29" s="118"/>
      <c r="AZ29" s="118"/>
      <c r="BA29" s="118"/>
      <c r="BB29" s="118"/>
      <c r="BC29" s="119"/>
      <c r="BD29" s="120"/>
      <c r="BE29" s="118"/>
      <c r="BF29" s="118"/>
      <c r="BG29" s="118"/>
      <c r="BH29" s="118"/>
      <c r="BI29" s="118"/>
      <c r="BJ29" s="119"/>
      <c r="BK29" s="91"/>
    </row>
    <row r="30" spans="1:63" ht="15" customHeight="1" x14ac:dyDescent="0.25">
      <c r="A30" s="90"/>
      <c r="B30" s="72"/>
      <c r="C30" s="73"/>
      <c r="D30" s="73"/>
      <c r="E30" s="73"/>
      <c r="F30" s="73"/>
      <c r="G30" s="74"/>
      <c r="H30" s="72"/>
      <c r="I30" s="73"/>
      <c r="J30" s="73"/>
      <c r="K30" s="73"/>
      <c r="L30" s="73"/>
      <c r="M30" s="73"/>
      <c r="N30" s="74"/>
      <c r="O30" s="72"/>
      <c r="P30" s="73"/>
      <c r="Q30" s="73"/>
      <c r="R30" s="73"/>
      <c r="S30" s="121"/>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3"/>
      <c r="AX30" s="124"/>
      <c r="AY30" s="124"/>
      <c r="AZ30" s="124"/>
      <c r="BA30" s="124"/>
      <c r="BB30" s="124"/>
      <c r="BC30" s="125"/>
      <c r="BD30" s="126"/>
      <c r="BE30" s="124"/>
      <c r="BF30" s="124"/>
      <c r="BG30" s="124"/>
      <c r="BH30" s="124"/>
      <c r="BI30" s="124"/>
      <c r="BJ30" s="125"/>
      <c r="BK30" s="91"/>
    </row>
    <row r="31" spans="1:63" ht="15" customHeight="1" x14ac:dyDescent="0.25">
      <c r="A31" s="90"/>
      <c r="B31" s="62"/>
      <c r="C31" s="60"/>
      <c r="D31" s="60"/>
      <c r="E31" s="60"/>
      <c r="F31" s="60"/>
      <c r="G31" s="61"/>
      <c r="H31" s="62"/>
      <c r="I31" s="60"/>
      <c r="J31" s="60"/>
      <c r="K31" s="60"/>
      <c r="L31" s="60"/>
      <c r="M31" s="60"/>
      <c r="N31" s="61"/>
      <c r="O31" s="62"/>
      <c r="P31" s="60"/>
      <c r="Q31" s="60"/>
      <c r="R31" s="60"/>
      <c r="S31" s="115"/>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7"/>
      <c r="AX31" s="118"/>
      <c r="AY31" s="118"/>
      <c r="AZ31" s="118"/>
      <c r="BA31" s="118"/>
      <c r="BB31" s="118"/>
      <c r="BC31" s="119"/>
      <c r="BD31" s="120"/>
      <c r="BE31" s="118"/>
      <c r="BF31" s="118"/>
      <c r="BG31" s="118"/>
      <c r="BH31" s="118"/>
      <c r="BI31" s="118"/>
      <c r="BJ31" s="119"/>
      <c r="BK31" s="91"/>
    </row>
    <row r="32" spans="1:63" ht="15" customHeight="1" x14ac:dyDescent="0.25">
      <c r="A32" s="90"/>
      <c r="B32" s="72"/>
      <c r="C32" s="73"/>
      <c r="D32" s="73"/>
      <c r="E32" s="73"/>
      <c r="F32" s="73"/>
      <c r="G32" s="74"/>
      <c r="H32" s="72"/>
      <c r="I32" s="73"/>
      <c r="J32" s="73"/>
      <c r="K32" s="73"/>
      <c r="L32" s="73"/>
      <c r="M32" s="73"/>
      <c r="N32" s="74"/>
      <c r="O32" s="72"/>
      <c r="P32" s="73"/>
      <c r="Q32" s="73"/>
      <c r="R32" s="73"/>
      <c r="S32" s="121"/>
      <c r="T32" s="122"/>
      <c r="U32" s="122"/>
      <c r="V32" s="122"/>
      <c r="W32" s="122"/>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c r="AW32" s="123"/>
      <c r="AX32" s="124"/>
      <c r="AY32" s="124"/>
      <c r="AZ32" s="124"/>
      <c r="BA32" s="124"/>
      <c r="BB32" s="124"/>
      <c r="BC32" s="125"/>
      <c r="BD32" s="126"/>
      <c r="BE32" s="124"/>
      <c r="BF32" s="124"/>
      <c r="BG32" s="124"/>
      <c r="BH32" s="124"/>
      <c r="BI32" s="124"/>
      <c r="BJ32" s="125"/>
      <c r="BK32" s="91"/>
    </row>
    <row r="33" spans="1:63" ht="15" customHeight="1" x14ac:dyDescent="0.25">
      <c r="A33" s="90"/>
      <c r="B33" s="62"/>
      <c r="C33" s="60"/>
      <c r="D33" s="60"/>
      <c r="E33" s="60"/>
      <c r="F33" s="60"/>
      <c r="G33" s="61"/>
      <c r="H33" s="62"/>
      <c r="I33" s="60"/>
      <c r="J33" s="60"/>
      <c r="K33" s="60"/>
      <c r="L33" s="60"/>
      <c r="M33" s="60"/>
      <c r="N33" s="61"/>
      <c r="O33" s="62"/>
      <c r="P33" s="60"/>
      <c r="Q33" s="60"/>
      <c r="R33" s="60"/>
      <c r="S33" s="115"/>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7"/>
      <c r="AX33" s="118"/>
      <c r="AY33" s="118"/>
      <c r="AZ33" s="118"/>
      <c r="BA33" s="118"/>
      <c r="BB33" s="118"/>
      <c r="BC33" s="119"/>
      <c r="BD33" s="120"/>
      <c r="BE33" s="118"/>
      <c r="BF33" s="118"/>
      <c r="BG33" s="118"/>
      <c r="BH33" s="118"/>
      <c r="BI33" s="118"/>
      <c r="BJ33" s="119"/>
      <c r="BK33" s="91"/>
    </row>
    <row r="34" spans="1:63" ht="15" customHeight="1" x14ac:dyDescent="0.25">
      <c r="A34" s="90"/>
      <c r="B34" s="72"/>
      <c r="C34" s="73"/>
      <c r="D34" s="73"/>
      <c r="E34" s="73"/>
      <c r="F34" s="73"/>
      <c r="G34" s="74"/>
      <c r="H34" s="72"/>
      <c r="I34" s="73"/>
      <c r="J34" s="73"/>
      <c r="K34" s="73"/>
      <c r="L34" s="73"/>
      <c r="M34" s="73"/>
      <c r="N34" s="74"/>
      <c r="O34" s="72"/>
      <c r="P34" s="73"/>
      <c r="Q34" s="73"/>
      <c r="R34" s="73"/>
      <c r="S34" s="121"/>
      <c r="T34" s="122"/>
      <c r="U34" s="122"/>
      <c r="V34" s="122"/>
      <c r="W34" s="122"/>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c r="AW34" s="123"/>
      <c r="AX34" s="124"/>
      <c r="AY34" s="124"/>
      <c r="AZ34" s="124"/>
      <c r="BA34" s="124"/>
      <c r="BB34" s="124"/>
      <c r="BC34" s="125"/>
      <c r="BD34" s="126"/>
      <c r="BE34" s="124"/>
      <c r="BF34" s="124"/>
      <c r="BG34" s="124"/>
      <c r="BH34" s="124"/>
      <c r="BI34" s="124"/>
      <c r="BJ34" s="125"/>
      <c r="BK34" s="91"/>
    </row>
    <row r="35" spans="1:63" ht="15" customHeight="1" x14ac:dyDescent="0.25">
      <c r="A35" s="90"/>
      <c r="B35" s="62"/>
      <c r="C35" s="60"/>
      <c r="D35" s="60"/>
      <c r="E35" s="60"/>
      <c r="F35" s="60"/>
      <c r="G35" s="61"/>
      <c r="H35" s="62"/>
      <c r="I35" s="60"/>
      <c r="J35" s="60"/>
      <c r="K35" s="60"/>
      <c r="L35" s="60"/>
      <c r="M35" s="60"/>
      <c r="N35" s="61"/>
      <c r="O35" s="62"/>
      <c r="P35" s="60"/>
      <c r="Q35" s="60"/>
      <c r="R35" s="60"/>
      <c r="S35" s="115"/>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7"/>
      <c r="AX35" s="118"/>
      <c r="AY35" s="118"/>
      <c r="AZ35" s="118"/>
      <c r="BA35" s="118"/>
      <c r="BB35" s="118"/>
      <c r="BC35" s="119"/>
      <c r="BD35" s="120"/>
      <c r="BE35" s="118"/>
      <c r="BF35" s="118"/>
      <c r="BG35" s="118"/>
      <c r="BH35" s="118"/>
      <c r="BI35" s="118"/>
      <c r="BJ35" s="119"/>
      <c r="BK35" s="91"/>
    </row>
    <row r="36" spans="1:63" ht="15" customHeight="1" x14ac:dyDescent="0.25">
      <c r="A36" s="90"/>
      <c r="B36" s="72"/>
      <c r="C36" s="73"/>
      <c r="D36" s="73"/>
      <c r="E36" s="73"/>
      <c r="F36" s="73"/>
      <c r="G36" s="74"/>
      <c r="H36" s="72"/>
      <c r="I36" s="73"/>
      <c r="J36" s="73"/>
      <c r="K36" s="73"/>
      <c r="L36" s="73"/>
      <c r="M36" s="73"/>
      <c r="N36" s="74"/>
      <c r="O36" s="72"/>
      <c r="P36" s="73"/>
      <c r="Q36" s="73"/>
      <c r="R36" s="73"/>
      <c r="S36" s="121"/>
      <c r="T36" s="122"/>
      <c r="U36" s="122"/>
      <c r="V36" s="122"/>
      <c r="W36" s="122"/>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c r="AW36" s="123"/>
      <c r="AX36" s="124"/>
      <c r="AY36" s="124"/>
      <c r="AZ36" s="124"/>
      <c r="BA36" s="124"/>
      <c r="BB36" s="124"/>
      <c r="BC36" s="125"/>
      <c r="BD36" s="126"/>
      <c r="BE36" s="124"/>
      <c r="BF36" s="124"/>
      <c r="BG36" s="124"/>
      <c r="BH36" s="124"/>
      <c r="BI36" s="124"/>
      <c r="BJ36" s="125"/>
      <c r="BK36" s="91"/>
    </row>
    <row r="37" spans="1:63" ht="15" customHeight="1" x14ac:dyDescent="0.25">
      <c r="A37" s="90"/>
      <c r="B37" s="62"/>
      <c r="C37" s="60"/>
      <c r="D37" s="60"/>
      <c r="E37" s="60"/>
      <c r="F37" s="60"/>
      <c r="G37" s="61"/>
      <c r="H37" s="62"/>
      <c r="I37" s="60"/>
      <c r="J37" s="60"/>
      <c r="K37" s="60"/>
      <c r="L37" s="60"/>
      <c r="M37" s="60"/>
      <c r="N37" s="61"/>
      <c r="O37" s="62"/>
      <c r="P37" s="60"/>
      <c r="Q37" s="60"/>
      <c r="R37" s="60"/>
      <c r="S37" s="115"/>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7"/>
      <c r="AX37" s="118"/>
      <c r="AY37" s="118"/>
      <c r="AZ37" s="118"/>
      <c r="BA37" s="118"/>
      <c r="BB37" s="118"/>
      <c r="BC37" s="119"/>
      <c r="BD37" s="120"/>
      <c r="BE37" s="118"/>
      <c r="BF37" s="118"/>
      <c r="BG37" s="118"/>
      <c r="BH37" s="118"/>
      <c r="BI37" s="118"/>
      <c r="BJ37" s="119"/>
      <c r="BK37" s="91"/>
    </row>
    <row r="38" spans="1:63" ht="15" customHeight="1" x14ac:dyDescent="0.25">
      <c r="A38" s="90"/>
      <c r="B38" s="72"/>
      <c r="C38" s="73"/>
      <c r="D38" s="73"/>
      <c r="E38" s="73"/>
      <c r="F38" s="73"/>
      <c r="G38" s="74"/>
      <c r="H38" s="72"/>
      <c r="I38" s="73"/>
      <c r="J38" s="73"/>
      <c r="K38" s="73"/>
      <c r="L38" s="73"/>
      <c r="M38" s="73"/>
      <c r="N38" s="74"/>
      <c r="O38" s="72"/>
      <c r="P38" s="73"/>
      <c r="Q38" s="73"/>
      <c r="R38" s="73"/>
      <c r="S38" s="121"/>
      <c r="T38" s="122"/>
      <c r="U38" s="122"/>
      <c r="V38" s="122"/>
      <c r="W38" s="122"/>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c r="AW38" s="123"/>
      <c r="AX38" s="124"/>
      <c r="AY38" s="124"/>
      <c r="AZ38" s="124"/>
      <c r="BA38" s="124"/>
      <c r="BB38" s="124"/>
      <c r="BC38" s="125"/>
      <c r="BD38" s="126"/>
      <c r="BE38" s="124"/>
      <c r="BF38" s="124"/>
      <c r="BG38" s="124"/>
      <c r="BH38" s="124"/>
      <c r="BI38" s="124"/>
      <c r="BJ38" s="125"/>
      <c r="BK38" s="91"/>
    </row>
    <row r="39" spans="1:63" ht="15" customHeight="1" x14ac:dyDescent="0.25">
      <c r="A39" s="90"/>
      <c r="B39" s="62"/>
      <c r="C39" s="60"/>
      <c r="D39" s="60"/>
      <c r="E39" s="60"/>
      <c r="F39" s="60"/>
      <c r="G39" s="61"/>
      <c r="H39" s="62"/>
      <c r="I39" s="60"/>
      <c r="J39" s="60"/>
      <c r="K39" s="60"/>
      <c r="L39" s="60"/>
      <c r="M39" s="60"/>
      <c r="N39" s="61"/>
      <c r="O39" s="62"/>
      <c r="P39" s="60"/>
      <c r="Q39" s="60"/>
      <c r="R39" s="60"/>
      <c r="S39" s="115"/>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7"/>
      <c r="AX39" s="118"/>
      <c r="AY39" s="118"/>
      <c r="AZ39" s="118"/>
      <c r="BA39" s="118"/>
      <c r="BB39" s="118"/>
      <c r="BC39" s="119"/>
      <c r="BD39" s="120"/>
      <c r="BE39" s="118"/>
      <c r="BF39" s="118"/>
      <c r="BG39" s="118"/>
      <c r="BH39" s="118"/>
      <c r="BI39" s="118"/>
      <c r="BJ39" s="119"/>
      <c r="BK39" s="91"/>
    </row>
    <row r="40" spans="1:63" ht="15" customHeight="1" x14ac:dyDescent="0.25">
      <c r="A40" s="90"/>
      <c r="B40" s="72"/>
      <c r="C40" s="73"/>
      <c r="D40" s="73"/>
      <c r="E40" s="73"/>
      <c r="F40" s="73"/>
      <c r="G40" s="74"/>
      <c r="H40" s="72"/>
      <c r="I40" s="73"/>
      <c r="J40" s="73"/>
      <c r="K40" s="73"/>
      <c r="L40" s="73"/>
      <c r="M40" s="73"/>
      <c r="N40" s="74"/>
      <c r="O40" s="72"/>
      <c r="P40" s="73"/>
      <c r="Q40" s="73"/>
      <c r="R40" s="73"/>
      <c r="S40" s="121"/>
      <c r="T40" s="122"/>
      <c r="U40" s="122"/>
      <c r="V40" s="122"/>
      <c r="W40" s="122"/>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c r="AW40" s="123"/>
      <c r="AX40" s="124"/>
      <c r="AY40" s="124"/>
      <c r="AZ40" s="124"/>
      <c r="BA40" s="124"/>
      <c r="BB40" s="124"/>
      <c r="BC40" s="125"/>
      <c r="BD40" s="126"/>
      <c r="BE40" s="124"/>
      <c r="BF40" s="124"/>
      <c r="BG40" s="124"/>
      <c r="BH40" s="124"/>
      <c r="BI40" s="124"/>
      <c r="BJ40" s="125"/>
      <c r="BK40" s="91"/>
    </row>
    <row r="41" spans="1:63" ht="15" customHeight="1" x14ac:dyDescent="0.25">
      <c r="A41" s="90"/>
      <c r="B41" s="62"/>
      <c r="C41" s="60"/>
      <c r="D41" s="60"/>
      <c r="E41" s="60"/>
      <c r="F41" s="60"/>
      <c r="G41" s="61"/>
      <c r="H41" s="62"/>
      <c r="I41" s="60"/>
      <c r="J41" s="60"/>
      <c r="K41" s="60"/>
      <c r="L41" s="60"/>
      <c r="M41" s="60"/>
      <c r="N41" s="61"/>
      <c r="O41" s="62"/>
      <c r="P41" s="60"/>
      <c r="Q41" s="60"/>
      <c r="R41" s="60"/>
      <c r="S41" s="115"/>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7"/>
      <c r="AX41" s="118"/>
      <c r="AY41" s="118"/>
      <c r="AZ41" s="118"/>
      <c r="BA41" s="118"/>
      <c r="BB41" s="118"/>
      <c r="BC41" s="119"/>
      <c r="BD41" s="120"/>
      <c r="BE41" s="118"/>
      <c r="BF41" s="118"/>
      <c r="BG41" s="118"/>
      <c r="BH41" s="118"/>
      <c r="BI41" s="118"/>
      <c r="BJ41" s="119"/>
      <c r="BK41" s="91"/>
    </row>
    <row r="42" spans="1:63" ht="15" customHeight="1" x14ac:dyDescent="0.25">
      <c r="A42" s="90"/>
      <c r="B42" s="72"/>
      <c r="C42" s="73"/>
      <c r="D42" s="73"/>
      <c r="E42" s="73"/>
      <c r="F42" s="73"/>
      <c r="G42" s="74"/>
      <c r="H42" s="72"/>
      <c r="I42" s="73"/>
      <c r="J42" s="73"/>
      <c r="K42" s="73"/>
      <c r="L42" s="73"/>
      <c r="M42" s="73"/>
      <c r="N42" s="74"/>
      <c r="O42" s="72"/>
      <c r="P42" s="73"/>
      <c r="Q42" s="73"/>
      <c r="R42" s="73"/>
      <c r="S42" s="121"/>
      <c r="T42" s="122"/>
      <c r="U42" s="122"/>
      <c r="V42" s="122"/>
      <c r="W42" s="122"/>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c r="AW42" s="123"/>
      <c r="AX42" s="124"/>
      <c r="AY42" s="124"/>
      <c r="AZ42" s="124"/>
      <c r="BA42" s="124"/>
      <c r="BB42" s="124"/>
      <c r="BC42" s="125"/>
      <c r="BD42" s="126"/>
      <c r="BE42" s="124"/>
      <c r="BF42" s="124"/>
      <c r="BG42" s="124"/>
      <c r="BH42" s="124"/>
      <c r="BI42" s="124"/>
      <c r="BJ42" s="125"/>
      <c r="BK42" s="91"/>
    </row>
    <row r="43" spans="1:63" ht="15" customHeight="1" x14ac:dyDescent="0.25">
      <c r="A43" s="90"/>
      <c r="B43" s="62"/>
      <c r="C43" s="60"/>
      <c r="D43" s="60"/>
      <c r="E43" s="60"/>
      <c r="F43" s="60"/>
      <c r="G43" s="61"/>
      <c r="H43" s="62"/>
      <c r="I43" s="60"/>
      <c r="J43" s="60"/>
      <c r="K43" s="60"/>
      <c r="L43" s="60"/>
      <c r="M43" s="60"/>
      <c r="N43" s="61"/>
      <c r="O43" s="62"/>
      <c r="P43" s="60"/>
      <c r="Q43" s="60"/>
      <c r="R43" s="60"/>
      <c r="S43" s="115"/>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7"/>
      <c r="AX43" s="118"/>
      <c r="AY43" s="118"/>
      <c r="AZ43" s="118"/>
      <c r="BA43" s="118"/>
      <c r="BB43" s="118"/>
      <c r="BC43" s="119"/>
      <c r="BD43" s="120"/>
      <c r="BE43" s="118"/>
      <c r="BF43" s="118"/>
      <c r="BG43" s="118"/>
      <c r="BH43" s="118"/>
      <c r="BI43" s="118"/>
      <c r="BJ43" s="119"/>
      <c r="BK43" s="91"/>
    </row>
    <row r="44" spans="1:63" ht="15" customHeight="1" x14ac:dyDescent="0.25">
      <c r="A44" s="90"/>
      <c r="B44" s="72"/>
      <c r="C44" s="73"/>
      <c r="D44" s="73"/>
      <c r="E44" s="73"/>
      <c r="F44" s="73"/>
      <c r="G44" s="74"/>
      <c r="H44" s="72"/>
      <c r="I44" s="73"/>
      <c r="J44" s="73"/>
      <c r="K44" s="73"/>
      <c r="L44" s="73"/>
      <c r="M44" s="73"/>
      <c r="N44" s="74"/>
      <c r="O44" s="72"/>
      <c r="P44" s="73"/>
      <c r="Q44" s="73"/>
      <c r="R44" s="73"/>
      <c r="S44" s="121"/>
      <c r="T44" s="122"/>
      <c r="U44" s="122"/>
      <c r="V44" s="122"/>
      <c r="W44" s="122"/>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c r="AW44" s="123"/>
      <c r="AX44" s="124"/>
      <c r="AY44" s="124"/>
      <c r="AZ44" s="124"/>
      <c r="BA44" s="124"/>
      <c r="BB44" s="124"/>
      <c r="BC44" s="125"/>
      <c r="BD44" s="126"/>
      <c r="BE44" s="124"/>
      <c r="BF44" s="124"/>
      <c r="BG44" s="124"/>
      <c r="BH44" s="124"/>
      <c r="BI44" s="124"/>
      <c r="BJ44" s="125"/>
      <c r="BK44" s="91"/>
    </row>
    <row r="45" spans="1:63" ht="15" customHeight="1" x14ac:dyDescent="0.25">
      <c r="A45" s="90"/>
      <c r="B45" s="62"/>
      <c r="C45" s="60"/>
      <c r="D45" s="60"/>
      <c r="E45" s="60"/>
      <c r="F45" s="60"/>
      <c r="G45" s="61"/>
      <c r="H45" s="62"/>
      <c r="I45" s="60"/>
      <c r="J45" s="60"/>
      <c r="K45" s="60"/>
      <c r="L45" s="60"/>
      <c r="M45" s="60"/>
      <c r="N45" s="61"/>
      <c r="O45" s="62"/>
      <c r="P45" s="60"/>
      <c r="Q45" s="60"/>
      <c r="R45" s="60"/>
      <c r="S45" s="115"/>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7"/>
      <c r="AX45" s="118"/>
      <c r="AY45" s="118"/>
      <c r="AZ45" s="118"/>
      <c r="BA45" s="118"/>
      <c r="BB45" s="118"/>
      <c r="BC45" s="119"/>
      <c r="BD45" s="120"/>
      <c r="BE45" s="118"/>
      <c r="BF45" s="118"/>
      <c r="BG45" s="118"/>
      <c r="BH45" s="118"/>
      <c r="BI45" s="118"/>
      <c r="BJ45" s="119"/>
      <c r="BK45" s="91"/>
    </row>
    <row r="46" spans="1:63" ht="15" customHeight="1" x14ac:dyDescent="0.25">
      <c r="A46" s="90"/>
      <c r="B46" s="72"/>
      <c r="C46" s="73"/>
      <c r="D46" s="73"/>
      <c r="E46" s="73"/>
      <c r="F46" s="73"/>
      <c r="G46" s="74"/>
      <c r="H46" s="72"/>
      <c r="I46" s="73"/>
      <c r="J46" s="73"/>
      <c r="K46" s="73"/>
      <c r="L46" s="73"/>
      <c r="M46" s="73"/>
      <c r="N46" s="74"/>
      <c r="O46" s="72"/>
      <c r="P46" s="73"/>
      <c r="Q46" s="73"/>
      <c r="R46" s="73"/>
      <c r="S46" s="121"/>
      <c r="T46" s="122"/>
      <c r="U46" s="122"/>
      <c r="V46" s="122"/>
      <c r="W46" s="122"/>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c r="AW46" s="123"/>
      <c r="AX46" s="124"/>
      <c r="AY46" s="124"/>
      <c r="AZ46" s="124"/>
      <c r="BA46" s="124"/>
      <c r="BB46" s="124"/>
      <c r="BC46" s="125"/>
      <c r="BD46" s="126"/>
      <c r="BE46" s="124"/>
      <c r="BF46" s="124"/>
      <c r="BG46" s="124"/>
      <c r="BH46" s="124"/>
      <c r="BI46" s="124"/>
      <c r="BJ46" s="125"/>
      <c r="BK46" s="91"/>
    </row>
    <row r="47" spans="1:63" ht="15" customHeight="1" x14ac:dyDescent="0.25">
      <c r="A47" s="90"/>
      <c r="B47" s="62"/>
      <c r="C47" s="60"/>
      <c r="D47" s="60"/>
      <c r="E47" s="60"/>
      <c r="F47" s="60"/>
      <c r="G47" s="61"/>
      <c r="H47" s="62"/>
      <c r="I47" s="60"/>
      <c r="J47" s="60"/>
      <c r="K47" s="60"/>
      <c r="L47" s="60"/>
      <c r="M47" s="60"/>
      <c r="N47" s="61"/>
      <c r="O47" s="62"/>
      <c r="P47" s="60"/>
      <c r="Q47" s="60"/>
      <c r="R47" s="60"/>
      <c r="S47" s="115"/>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7"/>
      <c r="AX47" s="118"/>
      <c r="AY47" s="118"/>
      <c r="AZ47" s="118"/>
      <c r="BA47" s="118"/>
      <c r="BB47" s="118"/>
      <c r="BC47" s="119"/>
      <c r="BD47" s="120"/>
      <c r="BE47" s="118"/>
      <c r="BF47" s="118"/>
      <c r="BG47" s="118"/>
      <c r="BH47" s="118"/>
      <c r="BI47" s="118"/>
      <c r="BJ47" s="119"/>
      <c r="BK47" s="91"/>
    </row>
    <row r="48" spans="1:63" ht="15" customHeight="1" x14ac:dyDescent="0.25">
      <c r="A48" s="90"/>
      <c r="B48" s="72"/>
      <c r="C48" s="73"/>
      <c r="D48" s="73"/>
      <c r="E48" s="73"/>
      <c r="F48" s="73"/>
      <c r="G48" s="74"/>
      <c r="H48" s="72"/>
      <c r="I48" s="73"/>
      <c r="J48" s="73"/>
      <c r="K48" s="73"/>
      <c r="L48" s="73"/>
      <c r="M48" s="73"/>
      <c r="N48" s="74"/>
      <c r="O48" s="72"/>
      <c r="P48" s="73"/>
      <c r="Q48" s="73"/>
      <c r="R48" s="73"/>
      <c r="S48" s="121"/>
      <c r="T48" s="122"/>
      <c r="U48" s="122"/>
      <c r="V48" s="122"/>
      <c r="W48" s="122"/>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c r="AW48" s="123"/>
      <c r="AX48" s="124"/>
      <c r="AY48" s="124"/>
      <c r="AZ48" s="124"/>
      <c r="BA48" s="124"/>
      <c r="BB48" s="124"/>
      <c r="BC48" s="125"/>
      <c r="BD48" s="126"/>
      <c r="BE48" s="124"/>
      <c r="BF48" s="124"/>
      <c r="BG48" s="124"/>
      <c r="BH48" s="124"/>
      <c r="BI48" s="124"/>
      <c r="BJ48" s="125"/>
      <c r="BK48" s="91"/>
    </row>
    <row r="49" spans="1:63" ht="15" customHeight="1" x14ac:dyDescent="0.25">
      <c r="A49" s="90"/>
      <c r="B49" s="62"/>
      <c r="C49" s="60"/>
      <c r="D49" s="60"/>
      <c r="E49" s="60"/>
      <c r="F49" s="60"/>
      <c r="G49" s="61"/>
      <c r="H49" s="62"/>
      <c r="I49" s="60"/>
      <c r="J49" s="60"/>
      <c r="K49" s="60"/>
      <c r="L49" s="60"/>
      <c r="M49" s="60"/>
      <c r="N49" s="61"/>
      <c r="O49" s="62"/>
      <c r="P49" s="60"/>
      <c r="Q49" s="60"/>
      <c r="R49" s="60"/>
      <c r="S49" s="115"/>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7"/>
      <c r="AX49" s="118"/>
      <c r="AY49" s="118"/>
      <c r="AZ49" s="118"/>
      <c r="BA49" s="118"/>
      <c r="BB49" s="118"/>
      <c r="BC49" s="119"/>
      <c r="BD49" s="120"/>
      <c r="BE49" s="118"/>
      <c r="BF49" s="118"/>
      <c r="BG49" s="118"/>
      <c r="BH49" s="118"/>
      <c r="BI49" s="118"/>
      <c r="BJ49" s="119"/>
      <c r="BK49" s="91"/>
    </row>
    <row r="50" spans="1:63" ht="15" customHeight="1" x14ac:dyDescent="0.25">
      <c r="A50" s="90"/>
      <c r="B50" s="72"/>
      <c r="C50" s="73"/>
      <c r="D50" s="73"/>
      <c r="E50" s="73"/>
      <c r="F50" s="73"/>
      <c r="G50" s="74"/>
      <c r="H50" s="72"/>
      <c r="I50" s="73"/>
      <c r="J50" s="73"/>
      <c r="K50" s="73"/>
      <c r="L50" s="73"/>
      <c r="M50" s="73"/>
      <c r="N50" s="74"/>
      <c r="O50" s="72"/>
      <c r="P50" s="73"/>
      <c r="Q50" s="73"/>
      <c r="R50" s="73"/>
      <c r="S50" s="121"/>
      <c r="T50" s="122"/>
      <c r="U50" s="122"/>
      <c r="V50" s="122"/>
      <c r="W50" s="122"/>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c r="AW50" s="123"/>
      <c r="AX50" s="124"/>
      <c r="AY50" s="124"/>
      <c r="AZ50" s="124"/>
      <c r="BA50" s="124"/>
      <c r="BB50" s="124"/>
      <c r="BC50" s="125"/>
      <c r="BD50" s="126"/>
      <c r="BE50" s="124"/>
      <c r="BF50" s="124"/>
      <c r="BG50" s="124"/>
      <c r="BH50" s="124"/>
      <c r="BI50" s="124"/>
      <c r="BJ50" s="125"/>
      <c r="BK50" s="91"/>
    </row>
    <row r="51" spans="1:63" ht="15" customHeight="1" x14ac:dyDescent="0.25">
      <c r="A51" s="90"/>
      <c r="B51" s="62"/>
      <c r="C51" s="60"/>
      <c r="D51" s="60"/>
      <c r="E51" s="60"/>
      <c r="F51" s="60"/>
      <c r="G51" s="61"/>
      <c r="H51" s="62"/>
      <c r="I51" s="60"/>
      <c r="J51" s="60"/>
      <c r="K51" s="60"/>
      <c r="L51" s="60"/>
      <c r="M51" s="60"/>
      <c r="N51" s="61"/>
      <c r="O51" s="62"/>
      <c r="P51" s="60"/>
      <c r="Q51" s="60"/>
      <c r="R51" s="60"/>
      <c r="S51" s="115"/>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7"/>
      <c r="AX51" s="118"/>
      <c r="AY51" s="118"/>
      <c r="AZ51" s="118"/>
      <c r="BA51" s="118"/>
      <c r="BB51" s="118"/>
      <c r="BC51" s="119"/>
      <c r="BD51" s="120"/>
      <c r="BE51" s="118"/>
      <c r="BF51" s="118"/>
      <c r="BG51" s="118"/>
      <c r="BH51" s="118"/>
      <c r="BI51" s="118"/>
      <c r="BJ51" s="119"/>
      <c r="BK51" s="91"/>
    </row>
    <row r="52" spans="1:63" ht="15" customHeight="1" x14ac:dyDescent="0.25">
      <c r="A52" s="90"/>
      <c r="B52" s="72"/>
      <c r="C52" s="73"/>
      <c r="D52" s="73"/>
      <c r="E52" s="73"/>
      <c r="F52" s="73"/>
      <c r="G52" s="74"/>
      <c r="H52" s="72"/>
      <c r="I52" s="73"/>
      <c r="J52" s="73"/>
      <c r="K52" s="73"/>
      <c r="L52" s="73"/>
      <c r="M52" s="73"/>
      <c r="N52" s="74"/>
      <c r="O52" s="72"/>
      <c r="P52" s="73"/>
      <c r="Q52" s="73"/>
      <c r="R52" s="73"/>
      <c r="S52" s="121"/>
      <c r="T52" s="122"/>
      <c r="U52" s="122"/>
      <c r="V52" s="122"/>
      <c r="W52" s="122"/>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c r="AW52" s="123"/>
      <c r="AX52" s="124"/>
      <c r="AY52" s="124"/>
      <c r="AZ52" s="124"/>
      <c r="BA52" s="124"/>
      <c r="BB52" s="124"/>
      <c r="BC52" s="125"/>
      <c r="BD52" s="126"/>
      <c r="BE52" s="124"/>
      <c r="BF52" s="124"/>
      <c r="BG52" s="124"/>
      <c r="BH52" s="124"/>
      <c r="BI52" s="124"/>
      <c r="BJ52" s="125"/>
      <c r="BK52" s="91"/>
    </row>
    <row r="53" spans="1:63" ht="15" customHeight="1" x14ac:dyDescent="0.25">
      <c r="A53" s="90"/>
      <c r="B53" s="62"/>
      <c r="C53" s="60"/>
      <c r="D53" s="60"/>
      <c r="E53" s="60"/>
      <c r="F53" s="60"/>
      <c r="G53" s="61"/>
      <c r="H53" s="62"/>
      <c r="I53" s="60"/>
      <c r="J53" s="60"/>
      <c r="K53" s="60"/>
      <c r="L53" s="60"/>
      <c r="M53" s="60"/>
      <c r="N53" s="61"/>
      <c r="O53" s="62"/>
      <c r="P53" s="60"/>
      <c r="Q53" s="60"/>
      <c r="R53" s="60"/>
      <c r="S53" s="115"/>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7"/>
      <c r="AX53" s="118"/>
      <c r="AY53" s="118"/>
      <c r="AZ53" s="118"/>
      <c r="BA53" s="118"/>
      <c r="BB53" s="118"/>
      <c r="BC53" s="119"/>
      <c r="BD53" s="120"/>
      <c r="BE53" s="118"/>
      <c r="BF53" s="118"/>
      <c r="BG53" s="118"/>
      <c r="BH53" s="118"/>
      <c r="BI53" s="118"/>
      <c r="BJ53" s="119"/>
      <c r="BK53" s="91"/>
    </row>
    <row r="54" spans="1:63" ht="15" customHeight="1" x14ac:dyDescent="0.25">
      <c r="A54" s="90"/>
      <c r="B54" s="72"/>
      <c r="C54" s="73"/>
      <c r="D54" s="73"/>
      <c r="E54" s="73"/>
      <c r="F54" s="73"/>
      <c r="G54" s="74"/>
      <c r="H54" s="72"/>
      <c r="I54" s="73"/>
      <c r="J54" s="73"/>
      <c r="K54" s="73"/>
      <c r="L54" s="73"/>
      <c r="M54" s="73"/>
      <c r="N54" s="74"/>
      <c r="O54" s="72"/>
      <c r="P54" s="73"/>
      <c r="Q54" s="73"/>
      <c r="R54" s="73"/>
      <c r="S54" s="121"/>
      <c r="T54" s="122"/>
      <c r="U54" s="122"/>
      <c r="V54" s="122"/>
      <c r="W54" s="122"/>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c r="AW54" s="123"/>
      <c r="AX54" s="124"/>
      <c r="AY54" s="124"/>
      <c r="AZ54" s="124"/>
      <c r="BA54" s="124"/>
      <c r="BB54" s="124"/>
      <c r="BC54" s="125"/>
      <c r="BD54" s="126"/>
      <c r="BE54" s="124"/>
      <c r="BF54" s="124"/>
      <c r="BG54" s="124"/>
      <c r="BH54" s="124"/>
      <c r="BI54" s="124"/>
      <c r="BJ54" s="125"/>
      <c r="BK54" s="91"/>
    </row>
    <row r="55" spans="1:63" ht="15" customHeight="1" x14ac:dyDescent="0.25">
      <c r="A55" s="87"/>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9"/>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D249-BF9F-4572-AF05-C562D8E6D11A}">
  <sheetPr>
    <pageSetUpPr fitToPage="1"/>
  </sheetPr>
  <dimension ref="A1:BK589"/>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SC0501</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44</v>
      </c>
      <c r="F9" s="156"/>
      <c r="G9" s="156"/>
      <c r="H9" s="156"/>
      <c r="I9" s="156"/>
      <c r="J9" s="156"/>
      <c r="K9" s="156"/>
      <c r="L9" s="156"/>
      <c r="M9" s="156"/>
      <c r="N9" s="156"/>
      <c r="O9" s="53" t="s">
        <v>183</v>
      </c>
      <c r="P9" s="54"/>
      <c r="Q9" s="54"/>
      <c r="R9" s="54"/>
      <c r="S9" s="54"/>
      <c r="T9" s="55"/>
      <c r="U9" s="157" t="s">
        <v>45</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107</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184</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46</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3"/>
      <c r="B18" s="14"/>
      <c r="C18" s="14"/>
      <c r="D18" s="14"/>
      <c r="E18" s="14"/>
      <c r="F18" s="14"/>
      <c r="G18" s="14"/>
      <c r="H18" s="14"/>
      <c r="I18" s="14"/>
      <c r="J18" s="14"/>
      <c r="K18" s="14"/>
      <c r="L18" s="15"/>
      <c r="M18" s="176"/>
      <c r="N18" s="177"/>
      <c r="O18" s="177"/>
      <c r="P18" s="177"/>
      <c r="Q18" s="177"/>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178"/>
      <c r="AQ18" s="178"/>
      <c r="AR18" s="178"/>
      <c r="AS18" s="178"/>
      <c r="AT18" s="178"/>
      <c r="AU18" s="13"/>
      <c r="AV18" s="14"/>
      <c r="AW18" s="14"/>
      <c r="AX18" s="14"/>
      <c r="AY18" s="14"/>
      <c r="AZ18" s="14"/>
      <c r="BA18" s="14"/>
      <c r="BB18" s="14"/>
      <c r="BC18" s="14"/>
      <c r="BD18" s="14"/>
      <c r="BE18" s="15"/>
      <c r="BF18" s="40"/>
      <c r="BG18" s="41"/>
      <c r="BH18" s="41"/>
      <c r="BI18" s="41"/>
      <c r="BJ18" s="41"/>
      <c r="BK18" s="42"/>
    </row>
    <row r="19" spans="1:63" ht="15" customHeight="1" x14ac:dyDescent="0.25">
      <c r="A19" s="16"/>
      <c r="BK19" s="6"/>
    </row>
    <row r="20" spans="1:63" ht="15" customHeight="1" x14ac:dyDescent="0.25">
      <c r="BK20" s="6"/>
    </row>
    <row r="21" spans="1:63" ht="15" customHeight="1" x14ac:dyDescent="0.25">
      <c r="A21" s="21"/>
      <c r="BK21" s="6"/>
    </row>
    <row r="22" spans="1:63" s="154" customFormat="1" ht="15" customHeight="1" x14ac:dyDescent="0.25">
      <c r="A22" s="160" t="s">
        <v>3</v>
      </c>
      <c r="B22" s="161"/>
      <c r="C22" s="161"/>
      <c r="D22" s="161"/>
      <c r="E22" s="161"/>
      <c r="F22" s="162"/>
      <c r="G22" s="156" t="s">
        <v>106</v>
      </c>
      <c r="H22" s="156"/>
      <c r="I22" s="156"/>
      <c r="J22" s="156"/>
      <c r="K22" s="156"/>
      <c r="L22" s="156"/>
      <c r="M22" s="163" t="s">
        <v>47</v>
      </c>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164"/>
      <c r="BI22" s="164"/>
      <c r="BJ22" s="164"/>
      <c r="BK22" s="165"/>
    </row>
    <row r="23" spans="1:63" s="154" customFormat="1" ht="15" customHeight="1" x14ac:dyDescent="0.25">
      <c r="A23" s="166" t="s">
        <v>4</v>
      </c>
      <c r="B23" s="167"/>
      <c r="C23" s="167"/>
      <c r="D23" s="167"/>
      <c r="E23" s="167"/>
      <c r="F23" s="167"/>
      <c r="G23" s="167"/>
      <c r="H23" s="167"/>
      <c r="I23" s="167"/>
      <c r="J23" s="167"/>
      <c r="K23" s="167"/>
      <c r="L23" s="168"/>
      <c r="M23" s="166" t="s">
        <v>5</v>
      </c>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67"/>
      <c r="AP23" s="167"/>
      <c r="AQ23" s="167"/>
      <c r="AR23" s="167"/>
      <c r="AS23" s="167"/>
      <c r="AT23" s="168"/>
      <c r="AU23" s="166" t="s">
        <v>6</v>
      </c>
      <c r="AV23" s="167"/>
      <c r="AW23" s="167"/>
      <c r="AX23" s="167"/>
      <c r="AY23" s="167"/>
      <c r="AZ23" s="167"/>
      <c r="BA23" s="167"/>
      <c r="BB23" s="167"/>
      <c r="BC23" s="167"/>
      <c r="BD23" s="167"/>
      <c r="BE23" s="167"/>
      <c r="BF23" s="166" t="s">
        <v>7</v>
      </c>
      <c r="BG23" s="167"/>
      <c r="BH23" s="167"/>
      <c r="BI23" s="167"/>
      <c r="BJ23" s="167"/>
      <c r="BK23" s="168"/>
    </row>
    <row r="24" spans="1:63" s="154" customFormat="1" ht="15" customHeight="1" x14ac:dyDescent="0.25">
      <c r="A24" s="169"/>
      <c r="B24" s="170"/>
      <c r="C24" s="170"/>
      <c r="D24" s="170"/>
      <c r="E24" s="170"/>
      <c r="F24" s="170"/>
      <c r="G24" s="170"/>
      <c r="H24" s="170"/>
      <c r="I24" s="170"/>
      <c r="J24" s="170"/>
      <c r="K24" s="170"/>
      <c r="L24" s="171"/>
      <c r="M24" s="169"/>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1"/>
      <c r="AU24" s="169"/>
      <c r="AV24" s="170"/>
      <c r="AW24" s="170"/>
      <c r="AX24" s="170"/>
      <c r="AY24" s="170"/>
      <c r="AZ24" s="170"/>
      <c r="BA24" s="170"/>
      <c r="BB24" s="170"/>
      <c r="BC24" s="170"/>
      <c r="BD24" s="170"/>
      <c r="BE24" s="170"/>
      <c r="BF24" s="169"/>
      <c r="BG24" s="170"/>
      <c r="BH24" s="170"/>
      <c r="BI24" s="170"/>
      <c r="BJ24" s="170"/>
      <c r="BK24" s="171"/>
    </row>
    <row r="25" spans="1:63" s="154" customFormat="1" ht="15" customHeight="1" x14ac:dyDescent="0.25">
      <c r="A25" s="11"/>
      <c r="B25" s="19"/>
      <c r="C25" s="19"/>
      <c r="D25" s="19"/>
      <c r="E25" s="19"/>
      <c r="F25" s="19"/>
      <c r="G25" s="19"/>
      <c r="H25" s="19"/>
      <c r="I25" s="19"/>
      <c r="J25" s="19"/>
      <c r="K25" s="19"/>
      <c r="L25" s="12"/>
      <c r="M25" s="172"/>
      <c r="O25" s="175"/>
      <c r="P25" s="175"/>
      <c r="Q25" s="175"/>
      <c r="R25" s="175"/>
      <c r="S25" s="175"/>
      <c r="T25" s="175"/>
      <c r="U25" s="175"/>
      <c r="V25" s="175"/>
      <c r="W25" s="175"/>
      <c r="X25" s="175"/>
      <c r="Y25" s="175"/>
      <c r="Z25" s="175"/>
      <c r="AA25" s="175"/>
      <c r="AB25" s="175"/>
      <c r="AC25" s="175"/>
      <c r="AD25" s="175"/>
      <c r="AE25" s="175"/>
      <c r="AF25" s="175"/>
      <c r="AG25" s="175"/>
      <c r="AH25" s="175"/>
      <c r="AI25" s="175"/>
      <c r="AJ25" s="172"/>
      <c r="AK25" s="172"/>
      <c r="AL25" s="172"/>
      <c r="AM25" s="172"/>
      <c r="AN25" s="172"/>
      <c r="AO25" s="172"/>
      <c r="AP25" s="172"/>
      <c r="AQ25" s="172"/>
      <c r="AR25" s="172"/>
      <c r="AS25" s="172"/>
      <c r="AT25" s="172"/>
      <c r="AU25" s="11"/>
      <c r="AV25" s="19"/>
      <c r="AW25" s="19"/>
      <c r="AX25" s="19"/>
      <c r="AY25" s="19"/>
      <c r="AZ25" s="19"/>
      <c r="BA25" s="19"/>
      <c r="BB25" s="19"/>
      <c r="BC25" s="19"/>
      <c r="BD25" s="19"/>
      <c r="BE25" s="12"/>
      <c r="BF25" s="37" t="s">
        <v>49</v>
      </c>
      <c r="BG25" s="38"/>
      <c r="BH25" s="38"/>
      <c r="BI25" s="38"/>
      <c r="BJ25" s="38"/>
      <c r="BK25" s="39"/>
    </row>
    <row r="26" spans="1:63" s="154" customFormat="1" ht="15" customHeight="1" x14ac:dyDescent="0.25">
      <c r="A26" s="11"/>
      <c r="B26" s="19"/>
      <c r="C26" s="19"/>
      <c r="D26" s="19"/>
      <c r="E26" s="19"/>
      <c r="F26" s="19"/>
      <c r="G26" s="19"/>
      <c r="H26" s="19"/>
      <c r="I26" s="19"/>
      <c r="J26" s="19"/>
      <c r="K26" s="19"/>
      <c r="L26" s="12"/>
      <c r="M26" s="172"/>
      <c r="N26" s="26" t="s">
        <v>186</v>
      </c>
      <c r="O26" s="175"/>
      <c r="P26" s="175"/>
      <c r="Q26" s="175"/>
      <c r="R26" s="175"/>
      <c r="S26" s="175"/>
      <c r="T26" s="175"/>
      <c r="U26" s="175"/>
      <c r="V26" s="175"/>
      <c r="W26" s="175"/>
      <c r="X26" s="175"/>
      <c r="Y26" s="175"/>
      <c r="Z26" s="175"/>
      <c r="AA26" s="175"/>
      <c r="AB26" s="175"/>
      <c r="AC26" s="175"/>
      <c r="AD26" s="175"/>
      <c r="AE26" s="175"/>
      <c r="AF26" s="175"/>
      <c r="AG26" s="175"/>
      <c r="AH26" s="175"/>
      <c r="AI26" s="175"/>
      <c r="AJ26" s="172"/>
      <c r="AK26" s="172"/>
      <c r="AL26" s="172"/>
      <c r="AM26" s="172"/>
      <c r="AN26" s="172"/>
      <c r="AO26" s="172"/>
      <c r="AP26" s="172"/>
      <c r="AQ26" s="172"/>
      <c r="AR26" s="172"/>
      <c r="AS26" s="172"/>
      <c r="AT26" s="172"/>
      <c r="AU26" s="11"/>
      <c r="AV26" s="19"/>
      <c r="AW26" s="19"/>
      <c r="AX26" s="19"/>
      <c r="AY26" s="19"/>
      <c r="AZ26" s="19"/>
      <c r="BA26" s="19"/>
      <c r="BB26" s="19"/>
      <c r="BC26" s="19"/>
      <c r="BD26" s="19"/>
      <c r="BE26" s="12"/>
      <c r="BF26" s="37"/>
      <c r="BG26" s="38"/>
      <c r="BH26" s="38"/>
      <c r="BI26" s="38"/>
      <c r="BJ26" s="38"/>
      <c r="BK26" s="39"/>
    </row>
    <row r="27" spans="1:63" s="154" customFormat="1" ht="15" customHeight="1" x14ac:dyDescent="0.25">
      <c r="A27" s="11"/>
      <c r="B27" s="19"/>
      <c r="C27" s="19"/>
      <c r="D27" s="19"/>
      <c r="E27" s="19"/>
      <c r="F27" s="19"/>
      <c r="G27" s="19"/>
      <c r="H27" s="19"/>
      <c r="I27" s="19"/>
      <c r="J27" s="19"/>
      <c r="K27" s="19"/>
      <c r="L27" s="12"/>
      <c r="M27" s="172"/>
      <c r="N27" s="26"/>
      <c r="O27" s="175" t="s">
        <v>48</v>
      </c>
      <c r="P27" s="175"/>
      <c r="Q27" s="175"/>
      <c r="R27" s="175"/>
      <c r="S27" s="175"/>
      <c r="T27" s="175"/>
      <c r="U27" s="175"/>
      <c r="V27" s="175"/>
      <c r="W27" s="175"/>
      <c r="X27" s="175"/>
      <c r="Y27" s="175"/>
      <c r="Z27" s="175"/>
      <c r="AA27" s="175"/>
      <c r="AB27" s="175"/>
      <c r="AC27" s="175"/>
      <c r="AD27" s="175"/>
      <c r="AE27" s="175"/>
      <c r="AF27" s="175"/>
      <c r="AG27" s="175"/>
      <c r="AH27" s="175"/>
      <c r="AI27" s="175"/>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2"/>
      <c r="N28" s="26"/>
      <c r="O28" s="175"/>
      <c r="P28" s="27" t="s">
        <v>10</v>
      </c>
      <c r="Q28" s="28"/>
      <c r="R28" s="28"/>
      <c r="S28" s="28"/>
      <c r="T28" s="28"/>
      <c r="U28" s="28"/>
      <c r="V28" s="28"/>
      <c r="W28" s="27" t="s">
        <v>11</v>
      </c>
      <c r="X28" s="28"/>
      <c r="Y28" s="28"/>
      <c r="Z28" s="28"/>
      <c r="AA28" s="28"/>
      <c r="AB28" s="28"/>
      <c r="AC28" s="28"/>
      <c r="AD28" s="28"/>
      <c r="AE28" s="28"/>
      <c r="AF28" s="28"/>
      <c r="AG28" s="28"/>
      <c r="AH28" s="28"/>
      <c r="AI28" s="28"/>
      <c r="AJ28" s="28"/>
      <c r="AK28" s="28"/>
      <c r="AL28" s="28"/>
      <c r="AM28" s="29"/>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N29" s="172"/>
      <c r="O29" s="175"/>
      <c r="P29" s="179" t="s">
        <v>15</v>
      </c>
      <c r="Q29" s="180"/>
      <c r="R29" s="180"/>
      <c r="S29" s="180"/>
      <c r="T29" s="180"/>
      <c r="U29" s="180"/>
      <c r="V29" s="180"/>
      <c r="W29" s="181" t="s">
        <v>17</v>
      </c>
      <c r="X29" s="182"/>
      <c r="Y29" s="182"/>
      <c r="Z29" s="182"/>
      <c r="AA29" s="182"/>
      <c r="AB29" s="182"/>
      <c r="AC29" s="182"/>
      <c r="AD29" s="182"/>
      <c r="AE29" s="182"/>
      <c r="AF29" s="182"/>
      <c r="AG29" s="182"/>
      <c r="AH29" s="182"/>
      <c r="AI29" s="182"/>
      <c r="AJ29" s="182"/>
      <c r="AK29" s="182"/>
      <c r="AL29" s="182"/>
      <c r="AM29" s="183"/>
      <c r="AN29" s="172"/>
      <c r="AO29" s="172"/>
      <c r="AP29" s="172"/>
      <c r="AQ29" s="172"/>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9" t="s">
        <v>35</v>
      </c>
      <c r="Q30" s="180"/>
      <c r="R30" s="180"/>
      <c r="S30" s="180"/>
      <c r="T30" s="180"/>
      <c r="U30" s="180"/>
      <c r="V30" s="180"/>
      <c r="W30" s="181" t="s">
        <v>36</v>
      </c>
      <c r="X30" s="182"/>
      <c r="Y30" s="182"/>
      <c r="Z30" s="182"/>
      <c r="AA30" s="182"/>
      <c r="AB30" s="182"/>
      <c r="AC30" s="182"/>
      <c r="AD30" s="182"/>
      <c r="AE30" s="182"/>
      <c r="AF30" s="182"/>
      <c r="AG30" s="182"/>
      <c r="AH30" s="182"/>
      <c r="AI30" s="182"/>
      <c r="AJ30" s="182"/>
      <c r="AK30" s="182"/>
      <c r="AL30" s="182"/>
      <c r="AM30" s="183"/>
      <c r="AN30" s="172"/>
      <c r="AO30" s="172"/>
      <c r="AP30" s="172"/>
      <c r="AQ30" s="172"/>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1"/>
      <c r="B31" s="19"/>
      <c r="C31" s="19"/>
      <c r="D31" s="19"/>
      <c r="E31" s="19"/>
      <c r="F31" s="19"/>
      <c r="G31" s="19"/>
      <c r="H31" s="19"/>
      <c r="I31" s="19"/>
      <c r="J31" s="19"/>
      <c r="K31" s="19"/>
      <c r="L31" s="12"/>
      <c r="M31" s="172"/>
      <c r="N31" s="172"/>
      <c r="O31" s="175"/>
      <c r="P31" s="175"/>
      <c r="Q31" s="175"/>
      <c r="R31" s="175"/>
      <c r="S31" s="175"/>
      <c r="T31" s="175"/>
      <c r="U31" s="175"/>
      <c r="V31" s="175"/>
      <c r="W31" s="175"/>
      <c r="X31" s="175"/>
      <c r="Y31" s="175"/>
      <c r="Z31" s="175"/>
      <c r="AA31" s="175"/>
      <c r="AB31" s="175"/>
      <c r="AC31" s="175"/>
      <c r="AD31" s="175"/>
      <c r="AE31" s="175"/>
      <c r="AF31" s="175"/>
      <c r="AG31" s="175"/>
      <c r="AH31" s="175"/>
      <c r="AI31" s="175"/>
      <c r="AJ31" s="172"/>
      <c r="AK31" s="172"/>
      <c r="AL31" s="172"/>
      <c r="AM31" s="172"/>
      <c r="AN31" s="172"/>
      <c r="AO31" s="172"/>
      <c r="AP31" s="172"/>
      <c r="AQ31" s="172"/>
      <c r="AR31" s="172"/>
      <c r="AS31" s="172"/>
      <c r="AT31" s="172"/>
      <c r="AU31" s="11"/>
      <c r="AV31" s="19"/>
      <c r="AW31" s="19"/>
      <c r="AX31" s="19"/>
      <c r="AY31" s="19"/>
      <c r="AZ31" s="19"/>
      <c r="BA31" s="19"/>
      <c r="BB31" s="19"/>
      <c r="BC31" s="19"/>
      <c r="BD31" s="19"/>
      <c r="BE31" s="12"/>
      <c r="BF31" s="37"/>
      <c r="BG31" s="38"/>
      <c r="BH31" s="38"/>
      <c r="BI31" s="38"/>
      <c r="BJ31" s="38"/>
      <c r="BK31" s="39"/>
    </row>
    <row r="32" spans="1:63" s="154" customFormat="1" ht="15" customHeight="1" x14ac:dyDescent="0.25">
      <c r="A32" s="11"/>
      <c r="B32" s="19"/>
      <c r="C32" s="19"/>
      <c r="D32" s="19"/>
      <c r="E32" s="19"/>
      <c r="F32" s="19"/>
      <c r="G32" s="19"/>
      <c r="H32" s="19"/>
      <c r="I32" s="19"/>
      <c r="J32" s="19"/>
      <c r="K32" s="19"/>
      <c r="L32" s="12"/>
      <c r="M32" s="172"/>
      <c r="N32" s="172"/>
      <c r="O32" s="175"/>
      <c r="P32" s="175" t="s">
        <v>37</v>
      </c>
      <c r="Q32" s="175"/>
      <c r="R32" s="175"/>
      <c r="S32" s="175"/>
      <c r="T32" s="175"/>
      <c r="U32" s="175"/>
      <c r="V32" s="175"/>
      <c r="W32" s="175"/>
      <c r="X32" s="175"/>
      <c r="Y32" s="175"/>
      <c r="Z32" s="175"/>
      <c r="AA32" s="175"/>
      <c r="AB32" s="175"/>
      <c r="AC32" s="175"/>
      <c r="AD32" s="175"/>
      <c r="AE32" s="175"/>
      <c r="AF32" s="175"/>
      <c r="AG32" s="175"/>
      <c r="AH32" s="175"/>
      <c r="AI32" s="175"/>
      <c r="AJ32" s="172"/>
      <c r="AK32" s="172"/>
      <c r="AL32" s="172"/>
      <c r="AM32" s="172"/>
      <c r="AN32" s="172"/>
      <c r="AO32" s="172"/>
      <c r="AP32" s="172"/>
      <c r="AQ32" s="172"/>
      <c r="AR32" s="172"/>
      <c r="AS32" s="172"/>
      <c r="AT32" s="172"/>
      <c r="AU32" s="11"/>
      <c r="AV32" s="19"/>
      <c r="AW32" s="19"/>
      <c r="AX32" s="19"/>
      <c r="AY32" s="19"/>
      <c r="AZ32" s="19"/>
      <c r="BA32" s="19"/>
      <c r="BB32" s="19"/>
      <c r="BC32" s="19"/>
      <c r="BD32" s="19"/>
      <c r="BE32" s="12"/>
      <c r="BF32" s="37"/>
      <c r="BG32" s="38"/>
      <c r="BH32" s="38"/>
      <c r="BI32" s="38"/>
      <c r="BJ32" s="38"/>
      <c r="BK32" s="39"/>
    </row>
    <row r="33" spans="1:63" s="154" customFormat="1" ht="15" customHeight="1" x14ac:dyDescent="0.25">
      <c r="A33" s="11"/>
      <c r="B33" s="19"/>
      <c r="C33" s="19"/>
      <c r="D33" s="19"/>
      <c r="E33" s="19"/>
      <c r="F33" s="19"/>
      <c r="G33" s="19"/>
      <c r="H33" s="19"/>
      <c r="I33" s="19"/>
      <c r="J33" s="19"/>
      <c r="K33" s="19"/>
      <c r="L33" s="12"/>
      <c r="M33" s="172"/>
      <c r="N33" s="172"/>
      <c r="O33" s="175" t="s">
        <v>16</v>
      </c>
      <c r="P33" s="175"/>
      <c r="Q33" s="175"/>
      <c r="R33" s="175"/>
      <c r="S33" s="175"/>
      <c r="T33" s="175"/>
      <c r="U33" s="175"/>
      <c r="V33" s="175"/>
      <c r="W33" s="175"/>
      <c r="X33" s="175"/>
      <c r="Y33" s="175"/>
      <c r="Z33" s="175"/>
      <c r="AA33" s="175"/>
      <c r="AB33" s="175"/>
      <c r="AC33" s="175"/>
      <c r="AD33" s="175"/>
      <c r="AE33" s="175"/>
      <c r="AF33" s="175"/>
      <c r="AG33" s="175"/>
      <c r="AH33" s="175"/>
      <c r="AI33" s="175"/>
      <c r="AJ33" s="172"/>
      <c r="AK33" s="172"/>
      <c r="AL33" s="172"/>
      <c r="AM33" s="172"/>
      <c r="AN33" s="172"/>
      <c r="AO33" s="172"/>
      <c r="AP33" s="172"/>
      <c r="AQ33" s="172"/>
      <c r="AR33" s="172"/>
      <c r="AS33" s="172"/>
      <c r="AT33" s="172"/>
      <c r="AU33" s="11"/>
      <c r="AV33" s="19"/>
      <c r="AW33" s="19"/>
      <c r="AX33" s="19"/>
      <c r="AY33" s="19"/>
      <c r="AZ33" s="19"/>
      <c r="BA33" s="19"/>
      <c r="BB33" s="19"/>
      <c r="BC33" s="19"/>
      <c r="BD33" s="19"/>
      <c r="BE33" s="12"/>
      <c r="BF33" s="37"/>
      <c r="BG33" s="38"/>
      <c r="BH33" s="38"/>
      <c r="BI33" s="38"/>
      <c r="BJ33" s="38"/>
      <c r="BK33" s="39"/>
    </row>
    <row r="34" spans="1:63" s="154" customFormat="1" ht="15" customHeight="1" x14ac:dyDescent="0.25">
      <c r="A34" s="11"/>
      <c r="B34" s="19"/>
      <c r="C34" s="19"/>
      <c r="D34" s="19"/>
      <c r="E34" s="19"/>
      <c r="F34" s="19"/>
      <c r="G34" s="19"/>
      <c r="H34" s="19"/>
      <c r="I34" s="19"/>
      <c r="J34" s="19"/>
      <c r="K34" s="19"/>
      <c r="L34" s="12"/>
      <c r="M34" s="172"/>
      <c r="N34" s="172"/>
      <c r="O34" s="175"/>
      <c r="P34" s="175" t="s">
        <v>28</v>
      </c>
      <c r="Q34" s="175"/>
      <c r="R34" s="175"/>
      <c r="S34" s="175"/>
      <c r="T34" s="175"/>
      <c r="U34" s="175"/>
      <c r="V34" s="175"/>
      <c r="W34" s="175"/>
      <c r="X34" s="175"/>
      <c r="Y34" s="175"/>
      <c r="Z34" s="175"/>
      <c r="AA34" s="175"/>
      <c r="AB34" s="175"/>
      <c r="AC34" s="175"/>
      <c r="AD34" s="175"/>
      <c r="AE34" s="175"/>
      <c r="AF34" s="175"/>
      <c r="AG34" s="175"/>
      <c r="AH34" s="175"/>
      <c r="AI34" s="175"/>
      <c r="AJ34" s="172"/>
      <c r="AK34" s="172"/>
      <c r="AL34" s="172"/>
      <c r="AM34" s="172"/>
      <c r="AN34" s="172"/>
      <c r="AO34" s="172"/>
      <c r="AP34" s="172"/>
      <c r="AQ34" s="172"/>
      <c r="AR34" s="172"/>
      <c r="AS34" s="172"/>
      <c r="AT34" s="172"/>
      <c r="AU34" s="11"/>
      <c r="AV34" s="19"/>
      <c r="AW34" s="19"/>
      <c r="AX34" s="19"/>
      <c r="AY34" s="19"/>
      <c r="AZ34" s="19"/>
      <c r="BA34" s="19"/>
      <c r="BB34" s="19"/>
      <c r="BC34" s="19"/>
      <c r="BD34" s="19"/>
      <c r="BE34" s="12"/>
      <c r="BF34" s="37"/>
      <c r="BG34" s="38"/>
      <c r="BH34" s="38"/>
      <c r="BI34" s="38"/>
      <c r="BJ34" s="38"/>
      <c r="BK34" s="39"/>
    </row>
    <row r="35" spans="1:63" s="154" customFormat="1" ht="15" customHeight="1" x14ac:dyDescent="0.25">
      <c r="A35" s="11"/>
      <c r="B35" s="19"/>
      <c r="C35" s="19"/>
      <c r="D35" s="19"/>
      <c r="E35" s="19"/>
      <c r="F35" s="19"/>
      <c r="G35" s="19"/>
      <c r="H35" s="19"/>
      <c r="I35" s="19"/>
      <c r="J35" s="19"/>
      <c r="K35" s="19"/>
      <c r="L35" s="12"/>
      <c r="M35" s="172"/>
      <c r="N35" s="172"/>
      <c r="O35" s="175"/>
      <c r="P35" s="175"/>
      <c r="Q35" s="175" t="s">
        <v>38</v>
      </c>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2"/>
      <c r="AO35" s="172"/>
      <c r="AP35" s="172"/>
      <c r="AQ35" s="172"/>
      <c r="AR35" s="172"/>
      <c r="AS35" s="172"/>
      <c r="AT35" s="172"/>
      <c r="AU35" s="11"/>
      <c r="AV35" s="19"/>
      <c r="AW35" s="19"/>
      <c r="AX35" s="19"/>
      <c r="AY35" s="19"/>
      <c r="AZ35" s="19"/>
      <c r="BA35" s="19"/>
      <c r="BB35" s="19"/>
      <c r="BC35" s="19"/>
      <c r="BD35" s="19"/>
      <c r="BE35" s="12"/>
      <c r="BF35" s="37"/>
      <c r="BG35" s="38"/>
      <c r="BH35" s="38"/>
      <c r="BI35" s="38"/>
      <c r="BJ35" s="38"/>
      <c r="BK35" s="39"/>
    </row>
    <row r="36" spans="1:63" s="154" customFormat="1" ht="15" customHeight="1" x14ac:dyDescent="0.25">
      <c r="A36" s="11"/>
      <c r="B36" s="19"/>
      <c r="C36" s="19"/>
      <c r="D36" s="19"/>
      <c r="E36" s="19"/>
      <c r="F36" s="19"/>
      <c r="G36" s="19"/>
      <c r="H36" s="19"/>
      <c r="I36" s="19"/>
      <c r="J36" s="19"/>
      <c r="K36" s="19"/>
      <c r="L36" s="12"/>
      <c r="M36" s="172"/>
      <c r="N36" s="172"/>
      <c r="O36" s="175"/>
      <c r="P36" s="175"/>
      <c r="Q36" s="175" t="s">
        <v>212</v>
      </c>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2"/>
      <c r="AO36" s="172"/>
      <c r="AP36" s="172"/>
      <c r="AQ36" s="172"/>
      <c r="AR36" s="172"/>
      <c r="AS36" s="172"/>
      <c r="AT36" s="172"/>
      <c r="AU36" s="11"/>
      <c r="AV36" s="19"/>
      <c r="AW36" s="19"/>
      <c r="AX36" s="19"/>
      <c r="AY36" s="19"/>
      <c r="AZ36" s="19"/>
      <c r="BA36" s="19"/>
      <c r="BB36" s="19"/>
      <c r="BC36" s="19"/>
      <c r="BD36" s="19"/>
      <c r="BE36" s="12"/>
      <c r="BF36" s="37"/>
      <c r="BG36" s="38"/>
      <c r="BH36" s="38"/>
      <c r="BI36" s="38"/>
      <c r="BJ36" s="38"/>
      <c r="BK36" s="39"/>
    </row>
    <row r="37" spans="1:63" s="154" customFormat="1" ht="15" customHeight="1" x14ac:dyDescent="0.25">
      <c r="A37" s="11"/>
      <c r="B37" s="19"/>
      <c r="C37" s="19"/>
      <c r="D37" s="19"/>
      <c r="E37" s="19"/>
      <c r="F37" s="19"/>
      <c r="G37" s="19"/>
      <c r="H37" s="19"/>
      <c r="I37" s="19"/>
      <c r="J37" s="19"/>
      <c r="K37" s="19"/>
      <c r="L37" s="12"/>
      <c r="M37" s="172"/>
      <c r="N37" s="172"/>
      <c r="O37" s="175"/>
      <c r="P37" s="175"/>
      <c r="Q37" s="175"/>
      <c r="R37" s="175" t="s">
        <v>162</v>
      </c>
      <c r="S37" s="175"/>
      <c r="T37" s="175"/>
      <c r="U37" s="175"/>
      <c r="V37" s="175"/>
      <c r="W37" s="175"/>
      <c r="X37" s="175"/>
      <c r="Y37" s="175"/>
      <c r="Z37" s="175"/>
      <c r="AA37" s="175"/>
      <c r="AB37" s="175"/>
      <c r="AC37" s="175"/>
      <c r="AD37" s="175"/>
      <c r="AE37" s="175"/>
      <c r="AF37" s="175"/>
      <c r="AG37" s="175"/>
      <c r="AH37" s="175"/>
      <c r="AI37" s="175"/>
      <c r="AJ37" s="175"/>
      <c r="AK37" s="175"/>
      <c r="AL37" s="175"/>
      <c r="AM37" s="175"/>
      <c r="AN37" s="172"/>
      <c r="AO37" s="172"/>
      <c r="AP37" s="172"/>
      <c r="AQ37" s="172"/>
      <c r="AR37" s="172"/>
      <c r="AS37" s="172"/>
      <c r="AT37" s="172"/>
      <c r="AU37" s="11"/>
      <c r="AV37" s="19"/>
      <c r="AW37" s="19"/>
      <c r="AX37" s="19"/>
      <c r="AY37" s="19"/>
      <c r="AZ37" s="19"/>
      <c r="BA37" s="19"/>
      <c r="BB37" s="19"/>
      <c r="BC37" s="19"/>
      <c r="BD37" s="19"/>
      <c r="BE37" s="12"/>
      <c r="BF37" s="37"/>
      <c r="BG37" s="38"/>
      <c r="BH37" s="38"/>
      <c r="BI37" s="38"/>
      <c r="BJ37" s="38"/>
      <c r="BK37" s="39"/>
    </row>
    <row r="38" spans="1:63" s="154" customFormat="1" ht="15" customHeight="1" x14ac:dyDescent="0.25">
      <c r="A38" s="11"/>
      <c r="B38" s="19"/>
      <c r="C38" s="19"/>
      <c r="D38" s="19"/>
      <c r="E38" s="19"/>
      <c r="F38" s="19"/>
      <c r="G38" s="19"/>
      <c r="H38" s="19"/>
      <c r="I38" s="19"/>
      <c r="J38" s="19"/>
      <c r="K38" s="19"/>
      <c r="L38" s="12"/>
      <c r="M38" s="172"/>
      <c r="N38" s="172"/>
      <c r="O38" s="175"/>
      <c r="P38" s="175"/>
      <c r="Q38" s="154" t="s">
        <v>54</v>
      </c>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2"/>
      <c r="AO38" s="172"/>
      <c r="AP38" s="172"/>
      <c r="AQ38" s="172"/>
      <c r="AR38" s="172"/>
      <c r="AS38" s="172"/>
      <c r="AT38" s="172"/>
      <c r="AU38" s="11"/>
      <c r="AV38" s="19"/>
      <c r="AW38" s="19"/>
      <c r="AX38" s="19"/>
      <c r="AY38" s="19"/>
      <c r="AZ38" s="19"/>
      <c r="BA38" s="19"/>
      <c r="BB38" s="19"/>
      <c r="BC38" s="19"/>
      <c r="BD38" s="19"/>
      <c r="BE38" s="12"/>
      <c r="BF38" s="37"/>
      <c r="BG38" s="38"/>
      <c r="BH38" s="38"/>
      <c r="BI38" s="38"/>
      <c r="BJ38" s="38"/>
      <c r="BK38" s="39"/>
    </row>
    <row r="39" spans="1:63" s="154" customFormat="1" ht="15" customHeight="1" x14ac:dyDescent="0.25">
      <c r="A39" s="11"/>
      <c r="B39" s="19"/>
      <c r="C39" s="19"/>
      <c r="D39" s="19"/>
      <c r="E39" s="19"/>
      <c r="F39" s="19"/>
      <c r="G39" s="19"/>
      <c r="H39" s="19"/>
      <c r="I39" s="19"/>
      <c r="J39" s="19"/>
      <c r="K39" s="19"/>
      <c r="L39" s="12"/>
      <c r="M39" s="172"/>
      <c r="N39" s="172"/>
      <c r="O39" s="175"/>
      <c r="P39" s="172" t="s">
        <v>51</v>
      </c>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2"/>
      <c r="AO39" s="172"/>
      <c r="AP39" s="172"/>
      <c r="AQ39" s="172"/>
      <c r="AR39" s="172"/>
      <c r="AS39" s="172"/>
      <c r="AT39" s="172"/>
      <c r="AU39" s="11"/>
      <c r="AV39" s="19"/>
      <c r="AW39" s="19"/>
      <c r="AX39" s="19"/>
      <c r="AY39" s="19"/>
      <c r="AZ39" s="19"/>
      <c r="BA39" s="19"/>
      <c r="BB39" s="19"/>
      <c r="BC39" s="19"/>
      <c r="BD39" s="19"/>
      <c r="BE39" s="12"/>
      <c r="BF39" s="37"/>
      <c r="BG39" s="38"/>
      <c r="BH39" s="38"/>
      <c r="BI39" s="38"/>
      <c r="BJ39" s="38"/>
      <c r="BK39" s="39"/>
    </row>
    <row r="40" spans="1:63" s="154" customFormat="1" ht="15" customHeight="1" x14ac:dyDescent="0.25">
      <c r="A40" s="11"/>
      <c r="B40" s="19"/>
      <c r="C40" s="19"/>
      <c r="D40" s="19"/>
      <c r="E40" s="19"/>
      <c r="F40" s="19"/>
      <c r="G40" s="19"/>
      <c r="H40" s="19"/>
      <c r="I40" s="19"/>
      <c r="J40" s="19"/>
      <c r="K40" s="19"/>
      <c r="L40" s="12"/>
      <c r="M40" s="172"/>
      <c r="N40" s="172"/>
      <c r="O40" s="175"/>
      <c r="P40" s="175"/>
      <c r="Q40" s="175" t="s">
        <v>38</v>
      </c>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2"/>
      <c r="AO40" s="172"/>
      <c r="AP40" s="172"/>
      <c r="AQ40" s="172"/>
      <c r="AR40" s="172"/>
      <c r="AS40" s="172"/>
      <c r="AT40" s="172"/>
      <c r="AU40" s="11"/>
      <c r="AV40" s="19"/>
      <c r="AW40" s="19"/>
      <c r="AX40" s="19"/>
      <c r="AY40" s="19"/>
      <c r="AZ40" s="19"/>
      <c r="BA40" s="19"/>
      <c r="BB40" s="19"/>
      <c r="BC40" s="19"/>
      <c r="BD40" s="19"/>
      <c r="BE40" s="12"/>
      <c r="BF40" s="37"/>
      <c r="BG40" s="38"/>
      <c r="BH40" s="38"/>
      <c r="BI40" s="38"/>
      <c r="BJ40" s="38"/>
      <c r="BK40" s="39"/>
    </row>
    <row r="41" spans="1:63" s="154" customFormat="1" ht="15" customHeight="1" x14ac:dyDescent="0.25">
      <c r="A41" s="11"/>
      <c r="B41" s="19"/>
      <c r="C41" s="19"/>
      <c r="D41" s="19"/>
      <c r="E41" s="19"/>
      <c r="F41" s="19"/>
      <c r="G41" s="19"/>
      <c r="H41" s="19"/>
      <c r="I41" s="19"/>
      <c r="J41" s="19"/>
      <c r="K41" s="19"/>
      <c r="L41" s="12"/>
      <c r="M41" s="172"/>
      <c r="N41" s="172"/>
      <c r="O41" s="175"/>
      <c r="P41" s="175"/>
      <c r="Q41" s="175" t="s">
        <v>50</v>
      </c>
      <c r="R41" s="175"/>
      <c r="S41" s="175"/>
      <c r="T41" s="175"/>
      <c r="U41" s="175"/>
      <c r="V41" s="175"/>
      <c r="W41" s="175"/>
      <c r="X41" s="175"/>
      <c r="Y41" s="175"/>
      <c r="Z41" s="175"/>
      <c r="AA41" s="175"/>
      <c r="AB41" s="175"/>
      <c r="AC41" s="175"/>
      <c r="AD41" s="175"/>
      <c r="AE41" s="175"/>
      <c r="AF41" s="175"/>
      <c r="AG41" s="175"/>
      <c r="AH41" s="175"/>
      <c r="AI41" s="175"/>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37"/>
      <c r="BG41" s="38"/>
      <c r="BH41" s="38"/>
      <c r="BI41" s="38"/>
      <c r="BJ41" s="38"/>
      <c r="BK41" s="39"/>
    </row>
    <row r="42" spans="1:63" s="154" customFormat="1" ht="15" customHeight="1" x14ac:dyDescent="0.25">
      <c r="A42" s="11"/>
      <c r="B42" s="19"/>
      <c r="C42" s="19"/>
      <c r="D42" s="19"/>
      <c r="E42" s="19"/>
      <c r="F42" s="19"/>
      <c r="G42" s="19"/>
      <c r="H42" s="19"/>
      <c r="I42" s="19"/>
      <c r="J42" s="19"/>
      <c r="K42" s="19"/>
      <c r="L42" s="12"/>
      <c r="M42" s="172"/>
      <c r="N42" s="172"/>
      <c r="O42" s="175"/>
      <c r="P42" s="175"/>
      <c r="Q42" s="175"/>
      <c r="R42" s="175"/>
      <c r="S42" s="175"/>
      <c r="T42" s="175"/>
      <c r="U42" s="175"/>
      <c r="V42" s="175"/>
      <c r="W42" s="175"/>
      <c r="X42" s="175"/>
      <c r="Y42" s="175"/>
      <c r="Z42" s="175"/>
      <c r="AA42" s="175"/>
      <c r="AB42" s="175"/>
      <c r="AC42" s="175"/>
      <c r="AD42" s="175"/>
      <c r="AE42" s="175"/>
      <c r="AF42" s="175"/>
      <c r="AG42" s="175"/>
      <c r="AH42" s="175"/>
      <c r="AI42" s="175"/>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23"/>
      <c r="BG42" s="24"/>
      <c r="BH42" s="24"/>
      <c r="BI42" s="24"/>
      <c r="BJ42" s="24"/>
      <c r="BK42" s="25"/>
    </row>
    <row r="43" spans="1:63" s="154" customFormat="1" ht="15" customHeight="1" x14ac:dyDescent="0.25">
      <c r="A43" s="13"/>
      <c r="B43" s="14"/>
      <c r="C43" s="14"/>
      <c r="D43" s="14"/>
      <c r="E43" s="14"/>
      <c r="F43" s="14"/>
      <c r="G43" s="14"/>
      <c r="H43" s="14"/>
      <c r="I43" s="14"/>
      <c r="J43" s="14"/>
      <c r="K43" s="14"/>
      <c r="L43" s="15"/>
      <c r="M43" s="176"/>
      <c r="N43" s="177"/>
      <c r="O43" s="177"/>
      <c r="P43" s="177"/>
      <c r="Q43" s="177"/>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178"/>
      <c r="AQ43" s="178"/>
      <c r="AR43" s="178"/>
      <c r="AS43" s="178"/>
      <c r="AT43" s="178"/>
      <c r="AU43" s="13"/>
      <c r="AV43" s="14"/>
      <c r="AW43" s="14"/>
      <c r="AX43" s="14"/>
      <c r="AY43" s="14"/>
      <c r="AZ43" s="14"/>
      <c r="BA43" s="14"/>
      <c r="BB43" s="14"/>
      <c r="BC43" s="14"/>
      <c r="BD43" s="14"/>
      <c r="BE43" s="15"/>
      <c r="BF43" s="40"/>
      <c r="BG43" s="41"/>
      <c r="BH43" s="41"/>
      <c r="BI43" s="41"/>
      <c r="BJ43" s="41"/>
      <c r="BK43" s="42"/>
    </row>
    <row r="44" spans="1:63" ht="15" customHeight="1" x14ac:dyDescent="0.25">
      <c r="A44" s="21"/>
      <c r="BK44" s="6"/>
    </row>
    <row r="45" spans="1:63" ht="15" customHeight="1" x14ac:dyDescent="0.25">
      <c r="A45" s="21"/>
      <c r="BK45" s="6"/>
    </row>
    <row r="46" spans="1:63" ht="15" customHeight="1" x14ac:dyDescent="0.25">
      <c r="A46" s="21"/>
      <c r="BK46" s="6"/>
    </row>
    <row r="47" spans="1:63" s="154" customFormat="1" ht="15" customHeight="1" x14ac:dyDescent="0.25">
      <c r="A47" s="160" t="s">
        <v>3</v>
      </c>
      <c r="B47" s="161"/>
      <c r="C47" s="161"/>
      <c r="D47" s="161"/>
      <c r="E47" s="161"/>
      <c r="F47" s="162"/>
      <c r="G47" s="156" t="s">
        <v>105</v>
      </c>
      <c r="H47" s="156"/>
      <c r="I47" s="156"/>
      <c r="J47" s="156"/>
      <c r="K47" s="156"/>
      <c r="L47" s="156"/>
      <c r="M47" s="163" t="s">
        <v>39</v>
      </c>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164"/>
      <c r="BI47" s="164"/>
      <c r="BJ47" s="164"/>
      <c r="BK47" s="165"/>
    </row>
    <row r="48" spans="1:63" s="154" customFormat="1" ht="15" customHeight="1" x14ac:dyDescent="0.25">
      <c r="A48" s="166" t="s">
        <v>4</v>
      </c>
      <c r="B48" s="167"/>
      <c r="C48" s="167"/>
      <c r="D48" s="167"/>
      <c r="E48" s="167"/>
      <c r="F48" s="167"/>
      <c r="G48" s="167"/>
      <c r="H48" s="167"/>
      <c r="I48" s="167"/>
      <c r="J48" s="167"/>
      <c r="K48" s="167"/>
      <c r="L48" s="168"/>
      <c r="M48" s="166" t="s">
        <v>5</v>
      </c>
      <c r="N48" s="167"/>
      <c r="O48" s="167"/>
      <c r="P48" s="167"/>
      <c r="Q48" s="167"/>
      <c r="R48" s="167"/>
      <c r="S48" s="167"/>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8"/>
      <c r="AU48" s="166" t="s">
        <v>6</v>
      </c>
      <c r="AV48" s="167"/>
      <c r="AW48" s="167"/>
      <c r="AX48" s="167"/>
      <c r="AY48" s="167"/>
      <c r="AZ48" s="167"/>
      <c r="BA48" s="167"/>
      <c r="BB48" s="167"/>
      <c r="BC48" s="167"/>
      <c r="BD48" s="167"/>
      <c r="BE48" s="167"/>
      <c r="BF48" s="166" t="s">
        <v>7</v>
      </c>
      <c r="BG48" s="167"/>
      <c r="BH48" s="167"/>
      <c r="BI48" s="167"/>
      <c r="BJ48" s="167"/>
      <c r="BK48" s="168"/>
    </row>
    <row r="49" spans="1:63" s="154" customFormat="1" ht="15" customHeight="1" x14ac:dyDescent="0.25">
      <c r="A49" s="169"/>
      <c r="B49" s="170"/>
      <c r="C49" s="170"/>
      <c r="D49" s="170"/>
      <c r="E49" s="170"/>
      <c r="F49" s="170"/>
      <c r="G49" s="170"/>
      <c r="H49" s="170"/>
      <c r="I49" s="170"/>
      <c r="J49" s="170"/>
      <c r="K49" s="170"/>
      <c r="L49" s="171"/>
      <c r="M49" s="169"/>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1"/>
      <c r="AU49" s="169"/>
      <c r="AV49" s="170"/>
      <c r="AW49" s="170"/>
      <c r="AX49" s="170"/>
      <c r="AY49" s="170"/>
      <c r="AZ49" s="170"/>
      <c r="BA49" s="170"/>
      <c r="BB49" s="170"/>
      <c r="BC49" s="170"/>
      <c r="BD49" s="170"/>
      <c r="BE49" s="170"/>
      <c r="BF49" s="169"/>
      <c r="BG49" s="170"/>
      <c r="BH49" s="170"/>
      <c r="BI49" s="170"/>
      <c r="BJ49" s="170"/>
      <c r="BK49" s="171"/>
    </row>
    <row r="50" spans="1:63" s="154" customFormat="1" ht="15" customHeight="1" x14ac:dyDescent="0.25">
      <c r="A50" s="8"/>
      <c r="B50" s="9"/>
      <c r="C50" s="9"/>
      <c r="D50" s="9"/>
      <c r="E50" s="9"/>
      <c r="F50" s="9"/>
      <c r="G50" s="9"/>
      <c r="H50" s="9"/>
      <c r="I50" s="9"/>
      <c r="J50" s="9"/>
      <c r="K50" s="9"/>
      <c r="L50" s="10"/>
      <c r="M50" s="172"/>
      <c r="N50" s="172"/>
      <c r="O50" s="172"/>
      <c r="P50" s="172"/>
      <c r="Q50" s="172"/>
      <c r="R50" s="173"/>
      <c r="S50" s="173"/>
      <c r="T50" s="173"/>
      <c r="U50" s="173"/>
      <c r="V50" s="173"/>
      <c r="W50" s="173"/>
      <c r="X50" s="173"/>
      <c r="Y50" s="173"/>
      <c r="Z50" s="173"/>
      <c r="AA50" s="173"/>
      <c r="AB50" s="173"/>
      <c r="AC50" s="173"/>
      <c r="AD50" s="173"/>
      <c r="AE50" s="173"/>
      <c r="AF50" s="173"/>
      <c r="AG50" s="173"/>
      <c r="AH50" s="173"/>
      <c r="AI50" s="173"/>
      <c r="AJ50" s="173"/>
      <c r="AK50" s="173"/>
      <c r="AL50" s="173"/>
      <c r="AM50" s="173"/>
      <c r="AN50" s="173"/>
      <c r="AO50" s="173"/>
      <c r="AP50" s="173"/>
      <c r="AQ50" s="173"/>
      <c r="AR50" s="173"/>
      <c r="AS50" s="173"/>
      <c r="AT50" s="173"/>
      <c r="AU50" s="8"/>
      <c r="AV50" s="9"/>
      <c r="AW50" s="9"/>
      <c r="AX50" s="9"/>
      <c r="AY50" s="9"/>
      <c r="AZ50" s="9"/>
      <c r="BA50" s="9"/>
      <c r="BB50" s="9"/>
      <c r="BC50" s="9"/>
      <c r="BD50" s="9"/>
      <c r="BE50" s="10"/>
      <c r="BF50" s="34" t="s">
        <v>49</v>
      </c>
      <c r="BG50" s="35"/>
      <c r="BH50" s="35"/>
      <c r="BI50" s="35"/>
      <c r="BJ50" s="35"/>
      <c r="BK50" s="36"/>
    </row>
    <row r="51" spans="1:63" s="154" customFormat="1" ht="15" customHeight="1" x14ac:dyDescent="0.25">
      <c r="A51" s="11"/>
      <c r="B51" s="19"/>
      <c r="C51" s="19"/>
      <c r="D51" s="19"/>
      <c r="E51" s="19"/>
      <c r="F51" s="19"/>
      <c r="G51" s="19"/>
      <c r="H51" s="19"/>
      <c r="I51" s="19"/>
      <c r="J51" s="19"/>
      <c r="K51" s="19"/>
      <c r="L51" s="12"/>
      <c r="M51" s="172"/>
      <c r="N51" s="175" t="s">
        <v>40</v>
      </c>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1"/>
      <c r="AV51" s="19"/>
      <c r="AW51" s="19"/>
      <c r="AX51" s="19"/>
      <c r="AY51" s="19"/>
      <c r="AZ51" s="19"/>
      <c r="BA51" s="19"/>
      <c r="BB51" s="19"/>
      <c r="BC51" s="19"/>
      <c r="BD51" s="19"/>
      <c r="BE51" s="12"/>
      <c r="BF51" s="37"/>
      <c r="BG51" s="38"/>
      <c r="BH51" s="38"/>
      <c r="BI51" s="38"/>
      <c r="BJ51" s="38"/>
      <c r="BK51" s="39"/>
    </row>
    <row r="52" spans="1:63" s="154" customFormat="1" ht="15" customHeight="1" x14ac:dyDescent="0.25">
      <c r="A52" s="11"/>
      <c r="B52" s="19"/>
      <c r="C52" s="19"/>
      <c r="D52" s="19"/>
      <c r="E52" s="19"/>
      <c r="F52" s="19"/>
      <c r="G52" s="19"/>
      <c r="H52" s="19"/>
      <c r="I52" s="19"/>
      <c r="J52" s="19"/>
      <c r="K52" s="19"/>
      <c r="L52" s="12"/>
      <c r="M52" s="174"/>
      <c r="N52" s="172" t="s">
        <v>52</v>
      </c>
      <c r="O52" s="175"/>
      <c r="P52" s="175"/>
      <c r="Q52" s="175"/>
      <c r="R52" s="175"/>
      <c r="S52" s="175"/>
      <c r="T52" s="175"/>
      <c r="U52" s="175"/>
      <c r="V52" s="175"/>
      <c r="W52" s="175"/>
      <c r="X52" s="175"/>
      <c r="Y52" s="175"/>
      <c r="Z52" s="175"/>
      <c r="AA52" s="175"/>
      <c r="AB52" s="175"/>
      <c r="AC52" s="175"/>
      <c r="AD52" s="175"/>
      <c r="AE52" s="175"/>
      <c r="AF52" s="175"/>
      <c r="AG52" s="175"/>
      <c r="AH52" s="175"/>
      <c r="AI52" s="175"/>
      <c r="AJ52" s="172"/>
      <c r="AK52" s="172"/>
      <c r="AL52" s="172"/>
      <c r="AM52" s="172"/>
      <c r="AN52" s="172"/>
      <c r="AO52" s="172"/>
      <c r="AP52" s="172"/>
      <c r="AQ52" s="172"/>
      <c r="AR52" s="172"/>
      <c r="AS52" s="172"/>
      <c r="AT52" s="172"/>
      <c r="AU52" s="11"/>
      <c r="AV52" s="19"/>
      <c r="AW52" s="19"/>
      <c r="AX52" s="19"/>
      <c r="AY52" s="19"/>
      <c r="AZ52" s="19"/>
      <c r="BA52" s="19"/>
      <c r="BB52" s="19"/>
      <c r="BC52" s="19"/>
      <c r="BD52" s="19"/>
      <c r="BE52" s="12"/>
      <c r="BF52" s="37"/>
      <c r="BG52" s="38"/>
      <c r="BH52" s="38"/>
      <c r="BI52" s="38"/>
      <c r="BJ52" s="38"/>
      <c r="BK52" s="39"/>
    </row>
    <row r="53" spans="1:63" s="154" customFormat="1" ht="15" customHeight="1" x14ac:dyDescent="0.25">
      <c r="A53" s="11"/>
      <c r="B53" s="19"/>
      <c r="C53" s="19"/>
      <c r="D53" s="19"/>
      <c r="E53" s="19"/>
      <c r="F53" s="19"/>
      <c r="G53" s="19"/>
      <c r="H53" s="19"/>
      <c r="I53" s="19"/>
      <c r="J53" s="19"/>
      <c r="K53" s="19"/>
      <c r="L53" s="12"/>
      <c r="M53" s="172"/>
      <c r="N53" s="154" t="s">
        <v>162</v>
      </c>
      <c r="O53" s="175"/>
      <c r="P53" s="175"/>
      <c r="Q53" s="175"/>
      <c r="R53" s="175"/>
      <c r="S53" s="175"/>
      <c r="T53" s="175"/>
      <c r="U53" s="175"/>
      <c r="V53" s="175"/>
      <c r="W53" s="175"/>
      <c r="X53" s="175"/>
      <c r="Y53" s="175"/>
      <c r="Z53" s="175"/>
      <c r="AA53" s="175"/>
      <c r="AB53" s="175"/>
      <c r="AC53" s="175"/>
      <c r="AD53" s="175"/>
      <c r="AE53" s="175"/>
      <c r="AF53" s="175"/>
      <c r="AG53" s="175"/>
      <c r="AH53" s="175"/>
      <c r="AI53" s="175"/>
      <c r="AJ53" s="172"/>
      <c r="AK53" s="172"/>
      <c r="AL53" s="172"/>
      <c r="AM53" s="172"/>
      <c r="AN53" s="172"/>
      <c r="AO53" s="172"/>
      <c r="AP53" s="172"/>
      <c r="AQ53" s="172"/>
      <c r="AR53" s="172"/>
      <c r="AS53" s="172"/>
      <c r="AT53" s="172"/>
      <c r="AU53" s="11"/>
      <c r="AV53" s="19"/>
      <c r="AW53" s="19"/>
      <c r="AX53" s="19"/>
      <c r="AY53" s="19"/>
      <c r="AZ53" s="19"/>
      <c r="BA53" s="19"/>
      <c r="BB53" s="19"/>
      <c r="BC53" s="19"/>
      <c r="BD53" s="19"/>
      <c r="BE53" s="12"/>
      <c r="BF53" s="37"/>
      <c r="BG53" s="38"/>
      <c r="BH53" s="38"/>
      <c r="BI53" s="38"/>
      <c r="BJ53" s="38"/>
      <c r="BK53" s="39"/>
    </row>
    <row r="54" spans="1:63" s="154" customFormat="1" ht="15" customHeight="1" x14ac:dyDescent="0.25">
      <c r="A54" s="11"/>
      <c r="B54" s="19"/>
      <c r="C54" s="19"/>
      <c r="D54" s="19"/>
      <c r="E54" s="19"/>
      <c r="F54" s="19"/>
      <c r="G54" s="19"/>
      <c r="H54" s="19"/>
      <c r="I54" s="19"/>
      <c r="J54" s="19"/>
      <c r="K54" s="19"/>
      <c r="L54" s="12"/>
      <c r="M54" s="172"/>
      <c r="N54" s="154" t="s">
        <v>54</v>
      </c>
      <c r="O54" s="175"/>
      <c r="P54" s="175"/>
      <c r="Q54" s="175"/>
      <c r="R54" s="175"/>
      <c r="S54" s="175"/>
      <c r="T54" s="175"/>
      <c r="U54" s="175"/>
      <c r="V54" s="175"/>
      <c r="W54" s="175"/>
      <c r="X54" s="175"/>
      <c r="Y54" s="175"/>
      <c r="Z54" s="175"/>
      <c r="AA54" s="175"/>
      <c r="AB54" s="175"/>
      <c r="AC54" s="175"/>
      <c r="AD54" s="175"/>
      <c r="AE54" s="175"/>
      <c r="AF54" s="175"/>
      <c r="AG54" s="175"/>
      <c r="AH54" s="175"/>
      <c r="AI54" s="175"/>
      <c r="AJ54" s="172"/>
      <c r="AK54" s="172"/>
      <c r="AL54" s="172"/>
      <c r="AM54" s="172"/>
      <c r="AN54" s="172"/>
      <c r="AO54" s="172"/>
      <c r="AP54" s="172"/>
      <c r="AQ54" s="172"/>
      <c r="AR54" s="172"/>
      <c r="AS54" s="172"/>
      <c r="AT54" s="172"/>
      <c r="AU54" s="11"/>
      <c r="AV54" s="19"/>
      <c r="AW54" s="19"/>
      <c r="AX54" s="19"/>
      <c r="AY54" s="19"/>
      <c r="AZ54" s="19"/>
      <c r="BA54" s="19"/>
      <c r="BB54" s="19"/>
      <c r="BC54" s="19"/>
      <c r="BD54" s="19"/>
      <c r="BE54" s="12"/>
      <c r="BF54" s="23"/>
      <c r="BG54" s="24"/>
      <c r="BH54" s="24"/>
      <c r="BI54" s="24"/>
      <c r="BJ54" s="24"/>
      <c r="BK54" s="25"/>
    </row>
    <row r="55" spans="1:63" s="154" customFormat="1" ht="15" customHeight="1" x14ac:dyDescent="0.25">
      <c r="A55" s="13"/>
      <c r="B55" s="14"/>
      <c r="C55" s="14"/>
      <c r="D55" s="14"/>
      <c r="E55" s="14"/>
      <c r="F55" s="14"/>
      <c r="G55" s="14"/>
      <c r="H55" s="14"/>
      <c r="I55" s="14"/>
      <c r="J55" s="14"/>
      <c r="K55" s="14"/>
      <c r="L55" s="15"/>
      <c r="M55" s="176"/>
      <c r="N55" s="177"/>
      <c r="O55" s="177"/>
      <c r="P55" s="177"/>
      <c r="Q55" s="177"/>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178"/>
      <c r="AQ55" s="178"/>
      <c r="AR55" s="178"/>
      <c r="AS55" s="178"/>
      <c r="AT55" s="178"/>
      <c r="AU55" s="13"/>
      <c r="AV55" s="14"/>
      <c r="AW55" s="14"/>
      <c r="AX55" s="14"/>
      <c r="AY55" s="14"/>
      <c r="AZ55" s="14"/>
      <c r="BA55" s="14"/>
      <c r="BB55" s="14"/>
      <c r="BC55" s="14"/>
      <c r="BD55" s="14"/>
      <c r="BE55" s="15"/>
      <c r="BF55" s="40"/>
      <c r="BG55" s="41"/>
      <c r="BH55" s="41"/>
      <c r="BI55" s="41"/>
      <c r="BJ55" s="41"/>
      <c r="BK55" s="42"/>
    </row>
    <row r="56" spans="1:63" ht="15" customHeight="1" x14ac:dyDescent="0.25">
      <c r="A56" s="21"/>
      <c r="BK56" s="6"/>
    </row>
    <row r="57" spans="1:63" ht="15" customHeight="1" x14ac:dyDescent="0.25">
      <c r="A57" s="21"/>
      <c r="BK57" s="6"/>
    </row>
    <row r="58" spans="1:63" ht="15" customHeight="1" x14ac:dyDescent="0.25">
      <c r="A58" s="21"/>
      <c r="BK58" s="6"/>
    </row>
    <row r="59" spans="1:63" s="154" customFormat="1" ht="15" customHeight="1" x14ac:dyDescent="0.25">
      <c r="A59" s="160" t="s">
        <v>3</v>
      </c>
      <c r="B59" s="161"/>
      <c r="C59" s="161"/>
      <c r="D59" s="161"/>
      <c r="E59" s="161"/>
      <c r="F59" s="162"/>
      <c r="G59" s="156" t="s">
        <v>104</v>
      </c>
      <c r="H59" s="156"/>
      <c r="I59" s="156"/>
      <c r="J59" s="156"/>
      <c r="K59" s="156"/>
      <c r="L59" s="156"/>
      <c r="M59" s="163" t="s">
        <v>53</v>
      </c>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164"/>
      <c r="BI59" s="164"/>
      <c r="BJ59" s="164"/>
      <c r="BK59" s="165"/>
    </row>
    <row r="60" spans="1:63" s="154" customFormat="1" ht="15" customHeight="1" x14ac:dyDescent="0.25">
      <c r="A60" s="166" t="s">
        <v>4</v>
      </c>
      <c r="B60" s="167"/>
      <c r="C60" s="167"/>
      <c r="D60" s="167"/>
      <c r="E60" s="167"/>
      <c r="F60" s="167"/>
      <c r="G60" s="167"/>
      <c r="H60" s="167"/>
      <c r="I60" s="167"/>
      <c r="J60" s="167"/>
      <c r="K60" s="167"/>
      <c r="L60" s="168"/>
      <c r="M60" s="166" t="s">
        <v>5</v>
      </c>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8"/>
      <c r="AU60" s="166" t="s">
        <v>6</v>
      </c>
      <c r="AV60" s="167"/>
      <c r="AW60" s="167"/>
      <c r="AX60" s="167"/>
      <c r="AY60" s="167"/>
      <c r="AZ60" s="167"/>
      <c r="BA60" s="167"/>
      <c r="BB60" s="167"/>
      <c r="BC60" s="167"/>
      <c r="BD60" s="167"/>
      <c r="BE60" s="167"/>
      <c r="BF60" s="166" t="s">
        <v>7</v>
      </c>
      <c r="BG60" s="167"/>
      <c r="BH60" s="167"/>
      <c r="BI60" s="167"/>
      <c r="BJ60" s="167"/>
      <c r="BK60" s="168"/>
    </row>
    <row r="61" spans="1:63" s="154" customFormat="1" ht="15" customHeight="1" x14ac:dyDescent="0.25">
      <c r="A61" s="169"/>
      <c r="B61" s="170"/>
      <c r="C61" s="170"/>
      <c r="D61" s="170"/>
      <c r="E61" s="170"/>
      <c r="F61" s="170"/>
      <c r="G61" s="170"/>
      <c r="H61" s="170"/>
      <c r="I61" s="170"/>
      <c r="J61" s="170"/>
      <c r="K61" s="170"/>
      <c r="L61" s="171"/>
      <c r="M61" s="169"/>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1"/>
      <c r="AU61" s="169"/>
      <c r="AV61" s="170"/>
      <c r="AW61" s="170"/>
      <c r="AX61" s="170"/>
      <c r="AY61" s="170"/>
      <c r="AZ61" s="170"/>
      <c r="BA61" s="170"/>
      <c r="BB61" s="170"/>
      <c r="BC61" s="170"/>
      <c r="BD61" s="170"/>
      <c r="BE61" s="170"/>
      <c r="BF61" s="169"/>
      <c r="BG61" s="170"/>
      <c r="BH61" s="170"/>
      <c r="BI61" s="170"/>
      <c r="BJ61" s="170"/>
      <c r="BK61" s="171"/>
    </row>
    <row r="62" spans="1:63" s="154" customFormat="1" ht="15" customHeight="1" x14ac:dyDescent="0.25">
      <c r="A62" s="8"/>
      <c r="B62" s="9"/>
      <c r="C62" s="9"/>
      <c r="D62" s="9"/>
      <c r="E62" s="9"/>
      <c r="F62" s="9"/>
      <c r="G62" s="9"/>
      <c r="H62" s="9"/>
      <c r="I62" s="9"/>
      <c r="J62" s="9"/>
      <c r="K62" s="9"/>
      <c r="L62" s="10"/>
      <c r="M62" s="172"/>
      <c r="N62" s="172"/>
      <c r="O62" s="172"/>
      <c r="P62" s="172"/>
      <c r="Q62" s="172"/>
      <c r="R62" s="173"/>
      <c r="S62" s="173"/>
      <c r="T62" s="173"/>
      <c r="U62" s="173"/>
      <c r="V62" s="173"/>
      <c r="W62" s="173"/>
      <c r="X62" s="173"/>
      <c r="Y62" s="173"/>
      <c r="Z62" s="173"/>
      <c r="AA62" s="173"/>
      <c r="AB62" s="173"/>
      <c r="AC62" s="173"/>
      <c r="AD62" s="173"/>
      <c r="AE62" s="173"/>
      <c r="AF62" s="173"/>
      <c r="AG62" s="173"/>
      <c r="AH62" s="173"/>
      <c r="AI62" s="173"/>
      <c r="AJ62" s="173"/>
      <c r="AK62" s="173"/>
      <c r="AL62" s="173"/>
      <c r="AM62" s="173"/>
      <c r="AN62" s="173"/>
      <c r="AO62" s="173"/>
      <c r="AP62" s="173"/>
      <c r="AQ62" s="173"/>
      <c r="AR62" s="173"/>
      <c r="AS62" s="173"/>
      <c r="AT62" s="173"/>
      <c r="AU62" s="8"/>
      <c r="AV62" s="9"/>
      <c r="AW62" s="9"/>
      <c r="AX62" s="9"/>
      <c r="AY62" s="9"/>
      <c r="AZ62" s="9"/>
      <c r="BA62" s="9"/>
      <c r="BB62" s="9"/>
      <c r="BC62" s="9"/>
      <c r="BD62" s="9"/>
      <c r="BE62" s="10"/>
      <c r="BF62" s="34" t="s">
        <v>187</v>
      </c>
      <c r="BG62" s="35"/>
      <c r="BH62" s="35"/>
      <c r="BI62" s="35"/>
      <c r="BJ62" s="35"/>
      <c r="BK62" s="36"/>
    </row>
    <row r="63" spans="1:63" s="154" customFormat="1" ht="15" customHeight="1" x14ac:dyDescent="0.25">
      <c r="A63" s="11"/>
      <c r="B63" s="19"/>
      <c r="C63" s="19"/>
      <c r="D63" s="19"/>
      <c r="E63" s="19"/>
      <c r="F63" s="19"/>
      <c r="G63" s="19"/>
      <c r="H63" s="19"/>
      <c r="I63" s="19"/>
      <c r="J63" s="19"/>
      <c r="K63" s="19"/>
      <c r="L63" s="12"/>
      <c r="M63" s="172"/>
      <c r="N63" s="26" t="s">
        <v>188</v>
      </c>
      <c r="O63" s="175"/>
      <c r="P63" s="175"/>
      <c r="Q63" s="175"/>
      <c r="R63" s="175"/>
      <c r="S63" s="175"/>
      <c r="T63" s="175"/>
      <c r="U63" s="175"/>
      <c r="V63" s="175"/>
      <c r="W63" s="175"/>
      <c r="X63" s="175"/>
      <c r="Y63" s="175"/>
      <c r="Z63" s="175"/>
      <c r="AA63" s="175"/>
      <c r="AB63" s="175"/>
      <c r="AC63" s="175"/>
      <c r="AD63" s="175"/>
      <c r="AE63" s="175"/>
      <c r="AF63" s="175"/>
      <c r="AG63" s="175"/>
      <c r="AH63" s="175"/>
      <c r="AI63" s="175"/>
      <c r="AJ63" s="172"/>
      <c r="AK63" s="172"/>
      <c r="AL63" s="172"/>
      <c r="AM63" s="172"/>
      <c r="AN63" s="172"/>
      <c r="AO63" s="172"/>
      <c r="AP63" s="172"/>
      <c r="AQ63" s="172"/>
      <c r="AR63" s="172"/>
      <c r="AS63" s="172"/>
      <c r="AT63" s="172"/>
      <c r="AU63" s="11"/>
      <c r="AV63" s="19"/>
      <c r="AW63" s="19"/>
      <c r="AX63" s="19"/>
      <c r="AY63" s="19"/>
      <c r="AZ63" s="19"/>
      <c r="BA63" s="19"/>
      <c r="BB63" s="19"/>
      <c r="BC63" s="19"/>
      <c r="BD63" s="19"/>
      <c r="BE63" s="12"/>
      <c r="BF63" s="37"/>
      <c r="BG63" s="38"/>
      <c r="BH63" s="38"/>
      <c r="BI63" s="38"/>
      <c r="BJ63" s="38"/>
      <c r="BK63" s="39"/>
    </row>
    <row r="64" spans="1:63" s="154" customFormat="1" ht="15" customHeight="1" x14ac:dyDescent="0.25">
      <c r="A64" s="11"/>
      <c r="B64" s="19"/>
      <c r="C64" s="19"/>
      <c r="D64" s="19"/>
      <c r="E64" s="19"/>
      <c r="F64" s="19"/>
      <c r="G64" s="19"/>
      <c r="H64" s="19"/>
      <c r="I64" s="19"/>
      <c r="J64" s="19"/>
      <c r="K64" s="19"/>
      <c r="L64" s="12"/>
      <c r="M64" s="172"/>
      <c r="N64" s="175"/>
      <c r="O64" s="172" t="s">
        <v>154</v>
      </c>
      <c r="P64" s="172"/>
      <c r="Q64" s="172"/>
      <c r="R64" s="172"/>
      <c r="S64" s="172"/>
      <c r="T64" s="172"/>
      <c r="U64" s="172"/>
      <c r="V64" s="172"/>
      <c r="W64" s="172"/>
      <c r="X64" s="172"/>
      <c r="Y64" s="172"/>
      <c r="Z64" s="172"/>
      <c r="AA64" s="172"/>
      <c r="AB64" s="172"/>
      <c r="AC64" s="172"/>
      <c r="AD64" s="172"/>
      <c r="AE64" s="172"/>
      <c r="AF64" s="172"/>
      <c r="AG64" s="172"/>
      <c r="AH64" s="172"/>
      <c r="AI64" s="172"/>
      <c r="AJ64" s="172"/>
      <c r="AK64" s="172"/>
      <c r="AL64" s="172"/>
      <c r="AM64" s="172"/>
      <c r="AN64" s="172"/>
      <c r="AO64" s="172"/>
      <c r="AP64" s="172"/>
      <c r="AQ64" s="172"/>
      <c r="AR64" s="172"/>
      <c r="AS64" s="172"/>
      <c r="AT64" s="172"/>
      <c r="AU64" s="11"/>
      <c r="AV64" s="19"/>
      <c r="AW64" s="19"/>
      <c r="AX64" s="19"/>
      <c r="AY64" s="19"/>
      <c r="AZ64" s="19"/>
      <c r="BA64" s="19"/>
      <c r="BB64" s="19"/>
      <c r="BC64" s="19"/>
      <c r="BD64" s="19"/>
      <c r="BE64" s="12"/>
      <c r="BF64" s="37"/>
      <c r="BG64" s="38"/>
      <c r="BH64" s="38"/>
      <c r="BI64" s="38"/>
      <c r="BJ64" s="38"/>
      <c r="BK64" s="39"/>
    </row>
    <row r="65" spans="1:63" s="154" customFormat="1" ht="15" customHeight="1" x14ac:dyDescent="0.25">
      <c r="A65" s="11"/>
      <c r="B65" s="19"/>
      <c r="C65" s="19"/>
      <c r="D65" s="19"/>
      <c r="E65" s="19"/>
      <c r="F65" s="19"/>
      <c r="G65" s="19"/>
      <c r="H65" s="19"/>
      <c r="I65" s="19"/>
      <c r="J65" s="19"/>
      <c r="K65" s="19"/>
      <c r="L65" s="12"/>
      <c r="M65" s="174"/>
      <c r="N65" s="172"/>
      <c r="O65" s="175" t="s">
        <v>153</v>
      </c>
      <c r="P65" s="175"/>
      <c r="Q65" s="175"/>
      <c r="R65" s="175"/>
      <c r="S65" s="175"/>
      <c r="T65" s="175"/>
      <c r="U65" s="175"/>
      <c r="V65" s="175"/>
      <c r="W65" s="175"/>
      <c r="X65" s="175"/>
      <c r="Y65" s="175"/>
      <c r="Z65" s="175"/>
      <c r="AA65" s="175"/>
      <c r="AB65" s="175"/>
      <c r="AC65" s="175"/>
      <c r="AD65" s="175"/>
      <c r="AE65" s="175"/>
      <c r="AF65" s="175"/>
      <c r="AG65" s="175"/>
      <c r="AH65" s="175"/>
      <c r="AI65" s="175"/>
      <c r="AJ65" s="172"/>
      <c r="AK65" s="172"/>
      <c r="AL65" s="172"/>
      <c r="AM65" s="172"/>
      <c r="AN65" s="172"/>
      <c r="AO65" s="172"/>
      <c r="AP65" s="172"/>
      <c r="AQ65" s="172"/>
      <c r="AR65" s="172"/>
      <c r="AS65" s="172"/>
      <c r="AT65" s="172"/>
      <c r="AU65" s="11"/>
      <c r="AV65" s="19"/>
      <c r="AW65" s="19"/>
      <c r="AX65" s="19"/>
      <c r="AY65" s="19"/>
      <c r="AZ65" s="19"/>
      <c r="BA65" s="19"/>
      <c r="BB65" s="19"/>
      <c r="BC65" s="19"/>
      <c r="BD65" s="19"/>
      <c r="BE65" s="12"/>
      <c r="BF65" s="37"/>
      <c r="BG65" s="38"/>
      <c r="BH65" s="38"/>
      <c r="BI65" s="38"/>
      <c r="BJ65" s="38"/>
      <c r="BK65" s="39"/>
    </row>
    <row r="66" spans="1:63" s="154" customFormat="1" ht="15" customHeight="1" x14ac:dyDescent="0.25">
      <c r="A66" s="11"/>
      <c r="B66" s="19"/>
      <c r="C66" s="19"/>
      <c r="D66" s="19"/>
      <c r="E66" s="19"/>
      <c r="F66" s="19"/>
      <c r="G66" s="19"/>
      <c r="H66" s="19"/>
      <c r="I66" s="19"/>
      <c r="J66" s="19"/>
      <c r="K66" s="19"/>
      <c r="L66" s="12"/>
      <c r="M66" s="172"/>
      <c r="N66" s="184"/>
      <c r="O66" s="175" t="s">
        <v>155</v>
      </c>
      <c r="P66" s="175"/>
      <c r="Q66" s="175"/>
      <c r="R66" s="175"/>
      <c r="S66" s="175"/>
      <c r="T66" s="175"/>
      <c r="U66" s="175"/>
      <c r="V66" s="175"/>
      <c r="W66" s="175"/>
      <c r="X66" s="175"/>
      <c r="Y66" s="175"/>
      <c r="Z66" s="175"/>
      <c r="AA66" s="175"/>
      <c r="AB66" s="175"/>
      <c r="AC66" s="175"/>
      <c r="AD66" s="175"/>
      <c r="AE66" s="175"/>
      <c r="AF66" s="175"/>
      <c r="AG66" s="175"/>
      <c r="AH66" s="175"/>
      <c r="AI66" s="175"/>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37"/>
      <c r="BG66" s="38"/>
      <c r="BH66" s="38"/>
      <c r="BI66" s="38"/>
      <c r="BJ66" s="38"/>
      <c r="BK66" s="39"/>
    </row>
    <row r="67" spans="1:63" s="154" customFormat="1" ht="15" customHeight="1" x14ac:dyDescent="0.25">
      <c r="A67" s="11"/>
      <c r="B67" s="19"/>
      <c r="C67" s="19"/>
      <c r="D67" s="19"/>
      <c r="E67" s="19"/>
      <c r="F67" s="19"/>
      <c r="G67" s="19"/>
      <c r="H67" s="19"/>
      <c r="I67" s="19"/>
      <c r="J67" s="19"/>
      <c r="K67" s="19"/>
      <c r="L67" s="12"/>
      <c r="M67" s="172"/>
      <c r="N67" s="26" t="s">
        <v>189</v>
      </c>
      <c r="O67" s="172"/>
      <c r="P67" s="172"/>
      <c r="Q67" s="172"/>
      <c r="R67" s="172"/>
      <c r="S67" s="172"/>
      <c r="T67" s="172"/>
      <c r="U67" s="172"/>
      <c r="V67" s="172"/>
      <c r="W67" s="172"/>
      <c r="X67" s="172"/>
      <c r="Y67" s="172"/>
      <c r="Z67" s="172"/>
      <c r="AA67" s="172"/>
      <c r="AB67" s="172"/>
      <c r="AC67" s="172"/>
      <c r="AD67" s="172"/>
      <c r="AE67" s="172"/>
      <c r="AF67" s="172"/>
      <c r="AG67" s="172"/>
      <c r="AH67" s="172"/>
      <c r="AI67" s="172"/>
      <c r="AJ67" s="172"/>
      <c r="AK67" s="172"/>
      <c r="AL67" s="172"/>
      <c r="AM67" s="172"/>
      <c r="AN67" s="172"/>
      <c r="AO67" s="172"/>
      <c r="AP67" s="172"/>
      <c r="AQ67" s="172"/>
      <c r="AR67" s="172"/>
      <c r="AS67" s="172"/>
      <c r="AT67" s="172"/>
      <c r="AU67" s="11"/>
      <c r="AV67" s="19"/>
      <c r="AW67" s="19"/>
      <c r="AX67" s="19"/>
      <c r="AY67" s="19"/>
      <c r="AZ67" s="19"/>
      <c r="BA67" s="19"/>
      <c r="BB67" s="19"/>
      <c r="BC67" s="19"/>
      <c r="BD67" s="19"/>
      <c r="BE67" s="12"/>
      <c r="BF67" s="37"/>
      <c r="BG67" s="38"/>
      <c r="BH67" s="38"/>
      <c r="BI67" s="38"/>
      <c r="BJ67" s="38"/>
      <c r="BK67" s="39"/>
    </row>
    <row r="68" spans="1:63" s="154" customFormat="1" ht="15" customHeight="1" x14ac:dyDescent="0.25">
      <c r="A68" s="11"/>
      <c r="B68" s="19"/>
      <c r="C68" s="19"/>
      <c r="D68" s="19"/>
      <c r="E68" s="19"/>
      <c r="F68" s="19"/>
      <c r="G68" s="19"/>
      <c r="H68" s="19"/>
      <c r="I68" s="19"/>
      <c r="J68" s="19"/>
      <c r="K68" s="19"/>
      <c r="L68" s="12"/>
      <c r="M68" s="172"/>
      <c r="N68" s="172"/>
      <c r="O68" s="175" t="s">
        <v>57</v>
      </c>
      <c r="P68" s="175"/>
      <c r="Q68" s="175"/>
      <c r="R68" s="175"/>
      <c r="S68" s="175"/>
      <c r="T68" s="175"/>
      <c r="U68" s="175"/>
      <c r="V68" s="175"/>
      <c r="W68" s="175"/>
      <c r="X68" s="175"/>
      <c r="Y68" s="175"/>
      <c r="Z68" s="175"/>
      <c r="AA68" s="175"/>
      <c r="AB68" s="175"/>
      <c r="AC68" s="175"/>
      <c r="AD68" s="175"/>
      <c r="AE68" s="175"/>
      <c r="AF68" s="175"/>
      <c r="AG68" s="175"/>
      <c r="AH68" s="175"/>
      <c r="AI68" s="175"/>
      <c r="AJ68" s="172"/>
      <c r="AK68" s="172"/>
      <c r="AL68" s="172"/>
      <c r="AM68" s="172"/>
      <c r="AN68" s="172"/>
      <c r="AO68" s="172"/>
      <c r="AP68" s="172"/>
      <c r="AQ68" s="172"/>
      <c r="AR68" s="172"/>
      <c r="AS68" s="172"/>
      <c r="AT68" s="172"/>
      <c r="AU68" s="11"/>
      <c r="AV68" s="19"/>
      <c r="AW68" s="19"/>
      <c r="AX68" s="19"/>
      <c r="AY68" s="19"/>
      <c r="AZ68" s="19"/>
      <c r="BA68" s="19"/>
      <c r="BB68" s="19"/>
      <c r="BC68" s="19"/>
      <c r="BD68" s="19"/>
      <c r="BE68" s="12"/>
      <c r="BF68" s="37"/>
      <c r="BG68" s="38"/>
      <c r="BH68" s="38"/>
      <c r="BI68" s="38"/>
      <c r="BJ68" s="38"/>
      <c r="BK68" s="39"/>
    </row>
    <row r="69" spans="1:63" s="154" customFormat="1" ht="15" customHeight="1" x14ac:dyDescent="0.25">
      <c r="A69" s="11"/>
      <c r="B69" s="19"/>
      <c r="C69" s="19"/>
      <c r="D69" s="19"/>
      <c r="E69" s="19"/>
      <c r="F69" s="19"/>
      <c r="G69" s="19"/>
      <c r="H69" s="19"/>
      <c r="I69" s="19"/>
      <c r="J69" s="19"/>
      <c r="K69" s="19"/>
      <c r="L69" s="12"/>
      <c r="M69" s="172"/>
      <c r="N69" s="172"/>
      <c r="O69" s="175"/>
      <c r="P69" s="27" t="s">
        <v>10</v>
      </c>
      <c r="Q69" s="28"/>
      <c r="R69" s="28"/>
      <c r="S69" s="28"/>
      <c r="T69" s="28"/>
      <c r="U69" s="28"/>
      <c r="V69" s="28"/>
      <c r="W69" s="27" t="s">
        <v>11</v>
      </c>
      <c r="X69" s="28"/>
      <c r="Y69" s="28"/>
      <c r="Z69" s="28"/>
      <c r="AA69" s="28"/>
      <c r="AB69" s="28"/>
      <c r="AC69" s="28"/>
      <c r="AD69" s="28"/>
      <c r="AE69" s="28"/>
      <c r="AF69" s="28"/>
      <c r="AG69" s="28"/>
      <c r="AH69" s="28"/>
      <c r="AI69" s="28"/>
      <c r="AJ69" s="28"/>
      <c r="AK69" s="28"/>
      <c r="AL69" s="28"/>
      <c r="AM69" s="29"/>
      <c r="AN69" s="172"/>
      <c r="AO69" s="172"/>
      <c r="AP69" s="172"/>
      <c r="AQ69" s="172"/>
      <c r="AR69" s="172"/>
      <c r="AS69" s="172"/>
      <c r="AT69" s="172"/>
      <c r="AU69" s="11"/>
      <c r="AV69" s="19"/>
      <c r="AW69" s="19"/>
      <c r="AX69" s="19"/>
      <c r="AY69" s="19"/>
      <c r="AZ69" s="19"/>
      <c r="BA69" s="19"/>
      <c r="BB69" s="19"/>
      <c r="BC69" s="19"/>
      <c r="BD69" s="19"/>
      <c r="BE69" s="12"/>
      <c r="BF69" s="37"/>
      <c r="BG69" s="38"/>
      <c r="BH69" s="38"/>
      <c r="BI69" s="38"/>
      <c r="BJ69" s="38"/>
      <c r="BK69" s="39"/>
    </row>
    <row r="70" spans="1:63" s="154" customFormat="1" ht="15" customHeight="1" x14ac:dyDescent="0.25">
      <c r="A70" s="11"/>
      <c r="B70" s="19"/>
      <c r="C70" s="19"/>
      <c r="D70" s="19"/>
      <c r="E70" s="19"/>
      <c r="F70" s="19"/>
      <c r="G70" s="19"/>
      <c r="H70" s="19"/>
      <c r="I70" s="19"/>
      <c r="J70" s="19"/>
      <c r="K70" s="19"/>
      <c r="L70" s="12"/>
      <c r="M70" s="172"/>
      <c r="N70" s="172"/>
      <c r="O70" s="175"/>
      <c r="P70" s="179" t="s">
        <v>15</v>
      </c>
      <c r="Q70" s="180"/>
      <c r="R70" s="180"/>
      <c r="S70" s="180"/>
      <c r="T70" s="180"/>
      <c r="U70" s="180"/>
      <c r="V70" s="180"/>
      <c r="W70" s="185" t="s">
        <v>17</v>
      </c>
      <c r="X70" s="186"/>
      <c r="Y70" s="186"/>
      <c r="Z70" s="186"/>
      <c r="AA70" s="186"/>
      <c r="AB70" s="186"/>
      <c r="AC70" s="186"/>
      <c r="AD70" s="186"/>
      <c r="AE70" s="186"/>
      <c r="AF70" s="186"/>
      <c r="AG70" s="186"/>
      <c r="AH70" s="186"/>
      <c r="AI70" s="186"/>
      <c r="AJ70" s="186"/>
      <c r="AK70" s="186"/>
      <c r="AL70" s="186"/>
      <c r="AM70" s="187"/>
      <c r="AN70" s="172"/>
      <c r="AO70" s="172"/>
      <c r="AP70" s="172"/>
      <c r="AQ70" s="172"/>
      <c r="AR70" s="172"/>
      <c r="AS70" s="172"/>
      <c r="AT70" s="172"/>
      <c r="AU70" s="11"/>
      <c r="AV70" s="19"/>
      <c r="AW70" s="19"/>
      <c r="AX70" s="19"/>
      <c r="AY70" s="19"/>
      <c r="AZ70" s="19"/>
      <c r="BA70" s="19"/>
      <c r="BB70" s="19"/>
      <c r="BC70" s="19"/>
      <c r="BD70" s="19"/>
      <c r="BE70" s="12"/>
      <c r="BF70" s="37"/>
      <c r="BG70" s="38"/>
      <c r="BH70" s="38"/>
      <c r="BI70" s="38"/>
      <c r="BJ70" s="38"/>
      <c r="BK70" s="39"/>
    </row>
    <row r="71" spans="1:63" s="154" customFormat="1" ht="15" customHeight="1" x14ac:dyDescent="0.25">
      <c r="A71" s="11"/>
      <c r="B71" s="19"/>
      <c r="C71" s="19"/>
      <c r="D71" s="19"/>
      <c r="E71" s="19"/>
      <c r="F71" s="19"/>
      <c r="G71" s="19"/>
      <c r="H71" s="19"/>
      <c r="I71" s="19"/>
      <c r="J71" s="19"/>
      <c r="K71" s="19"/>
      <c r="L71" s="12"/>
      <c r="M71" s="172"/>
      <c r="N71" s="172"/>
      <c r="O71" s="175"/>
      <c r="P71" s="179" t="s">
        <v>35</v>
      </c>
      <c r="Q71" s="180"/>
      <c r="R71" s="180"/>
      <c r="S71" s="180"/>
      <c r="T71" s="180"/>
      <c r="U71" s="180"/>
      <c r="V71" s="180"/>
      <c r="W71" s="185" t="s">
        <v>142</v>
      </c>
      <c r="X71" s="186"/>
      <c r="Y71" s="186"/>
      <c r="Z71" s="186"/>
      <c r="AA71" s="186"/>
      <c r="AB71" s="186"/>
      <c r="AC71" s="186"/>
      <c r="AD71" s="186"/>
      <c r="AE71" s="186"/>
      <c r="AF71" s="186"/>
      <c r="AG71" s="186"/>
      <c r="AH71" s="186"/>
      <c r="AI71" s="186"/>
      <c r="AJ71" s="186"/>
      <c r="AK71" s="186"/>
      <c r="AL71" s="186"/>
      <c r="AM71" s="187"/>
      <c r="AN71" s="172"/>
      <c r="AO71" s="172"/>
      <c r="AP71" s="172"/>
      <c r="AQ71" s="172"/>
      <c r="AR71" s="172"/>
      <c r="AS71" s="172"/>
      <c r="AT71" s="172"/>
      <c r="AU71" s="11"/>
      <c r="AV71" s="19"/>
      <c r="AW71" s="19"/>
      <c r="AX71" s="19"/>
      <c r="AY71" s="19"/>
      <c r="AZ71" s="19"/>
      <c r="BA71" s="19"/>
      <c r="BB71" s="19"/>
      <c r="BC71" s="19"/>
      <c r="BD71" s="19"/>
      <c r="BE71" s="12"/>
      <c r="BF71" s="37"/>
      <c r="BG71" s="38"/>
      <c r="BH71" s="38"/>
      <c r="BI71" s="38"/>
      <c r="BJ71" s="38"/>
      <c r="BK71" s="39"/>
    </row>
    <row r="72" spans="1:63" s="154" customFormat="1" ht="15" customHeight="1" x14ac:dyDescent="0.25">
      <c r="A72" s="11"/>
      <c r="B72" s="19"/>
      <c r="C72" s="19"/>
      <c r="D72" s="19"/>
      <c r="E72" s="19"/>
      <c r="F72" s="19"/>
      <c r="G72" s="19"/>
      <c r="H72" s="19"/>
      <c r="I72" s="19"/>
      <c r="J72" s="19"/>
      <c r="K72" s="19"/>
      <c r="L72" s="12"/>
      <c r="M72" s="172"/>
      <c r="N72" s="172"/>
      <c r="O72" s="175"/>
      <c r="P72" s="179" t="s">
        <v>55</v>
      </c>
      <c r="Q72" s="180"/>
      <c r="R72" s="180"/>
      <c r="S72" s="180"/>
      <c r="T72" s="180"/>
      <c r="U72" s="180"/>
      <c r="V72" s="180"/>
      <c r="W72" s="185" t="s">
        <v>143</v>
      </c>
      <c r="X72" s="186"/>
      <c r="Y72" s="186"/>
      <c r="Z72" s="186"/>
      <c r="AA72" s="186"/>
      <c r="AB72" s="186"/>
      <c r="AC72" s="186"/>
      <c r="AD72" s="186"/>
      <c r="AE72" s="186"/>
      <c r="AF72" s="186"/>
      <c r="AG72" s="186"/>
      <c r="AH72" s="186"/>
      <c r="AI72" s="186"/>
      <c r="AJ72" s="186"/>
      <c r="AK72" s="186"/>
      <c r="AL72" s="186"/>
      <c r="AM72" s="187"/>
      <c r="AN72" s="172"/>
      <c r="AO72" s="172"/>
      <c r="AP72" s="172"/>
      <c r="AQ72" s="172"/>
      <c r="AR72" s="172"/>
      <c r="AS72" s="172"/>
      <c r="AT72" s="172"/>
      <c r="AU72" s="11"/>
      <c r="AV72" s="19"/>
      <c r="AW72" s="19"/>
      <c r="AX72" s="19"/>
      <c r="AY72" s="19"/>
      <c r="AZ72" s="19"/>
      <c r="BA72" s="19"/>
      <c r="BB72" s="19"/>
      <c r="BC72" s="19"/>
      <c r="BD72" s="19"/>
      <c r="BE72" s="12"/>
      <c r="BF72" s="37"/>
      <c r="BG72" s="38"/>
      <c r="BH72" s="38"/>
      <c r="BI72" s="38"/>
      <c r="BJ72" s="38"/>
      <c r="BK72" s="39"/>
    </row>
    <row r="73" spans="1:63" s="154" customFormat="1" ht="15" customHeight="1" x14ac:dyDescent="0.25">
      <c r="A73" s="11"/>
      <c r="B73" s="19"/>
      <c r="C73" s="19"/>
      <c r="D73" s="19"/>
      <c r="E73" s="19"/>
      <c r="F73" s="19"/>
      <c r="G73" s="19"/>
      <c r="H73" s="19"/>
      <c r="I73" s="19"/>
      <c r="J73" s="19"/>
      <c r="K73" s="19"/>
      <c r="L73" s="12"/>
      <c r="M73" s="172"/>
      <c r="N73" s="172"/>
      <c r="O73" s="175"/>
      <c r="P73" s="175"/>
      <c r="Q73" s="175"/>
      <c r="R73" s="175"/>
      <c r="S73" s="175"/>
      <c r="T73" s="175"/>
      <c r="U73" s="175"/>
      <c r="V73" s="175"/>
      <c r="W73" s="175"/>
      <c r="X73" s="175"/>
      <c r="Y73" s="175"/>
      <c r="Z73" s="175"/>
      <c r="AA73" s="175"/>
      <c r="AB73" s="175"/>
      <c r="AC73" s="175"/>
      <c r="AD73" s="175"/>
      <c r="AE73" s="175"/>
      <c r="AF73" s="175"/>
      <c r="AG73" s="175"/>
      <c r="AH73" s="175"/>
      <c r="AI73" s="175"/>
      <c r="AJ73" s="172"/>
      <c r="AK73" s="172"/>
      <c r="AL73" s="172"/>
      <c r="AM73" s="172"/>
      <c r="AN73" s="172"/>
      <c r="AO73" s="172"/>
      <c r="AP73" s="172"/>
      <c r="AQ73" s="172"/>
      <c r="AR73" s="172"/>
      <c r="AS73" s="172"/>
      <c r="AT73" s="172"/>
      <c r="AU73" s="11"/>
      <c r="AV73" s="19"/>
      <c r="AW73" s="19"/>
      <c r="AX73" s="19"/>
      <c r="AY73" s="19"/>
      <c r="AZ73" s="19"/>
      <c r="BA73" s="19"/>
      <c r="BB73" s="19"/>
      <c r="BC73" s="19"/>
      <c r="BD73" s="19"/>
      <c r="BE73" s="12"/>
      <c r="BF73" s="37"/>
      <c r="BG73" s="38"/>
      <c r="BH73" s="38"/>
      <c r="BI73" s="38"/>
      <c r="BJ73" s="38"/>
      <c r="BK73" s="39"/>
    </row>
    <row r="74" spans="1:63" s="154" customFormat="1" ht="15" customHeight="1" x14ac:dyDescent="0.25">
      <c r="A74" s="11"/>
      <c r="B74" s="19"/>
      <c r="C74" s="19"/>
      <c r="D74" s="19"/>
      <c r="E74" s="19"/>
      <c r="F74" s="19"/>
      <c r="G74" s="19"/>
      <c r="H74" s="19"/>
      <c r="I74" s="19"/>
      <c r="J74" s="19"/>
      <c r="K74" s="19"/>
      <c r="L74" s="12"/>
      <c r="M74" s="172"/>
      <c r="N74" s="172"/>
      <c r="O74" s="175"/>
      <c r="P74" s="175" t="s">
        <v>56</v>
      </c>
      <c r="Q74" s="175"/>
      <c r="R74" s="175"/>
      <c r="S74" s="175"/>
      <c r="T74" s="175"/>
      <c r="U74" s="175"/>
      <c r="V74" s="175"/>
      <c r="W74" s="175"/>
      <c r="X74" s="175"/>
      <c r="Y74" s="175"/>
      <c r="Z74" s="175"/>
      <c r="AA74" s="175"/>
      <c r="AB74" s="175"/>
      <c r="AC74" s="175"/>
      <c r="AD74" s="175"/>
      <c r="AE74" s="175"/>
      <c r="AF74" s="175"/>
      <c r="AG74" s="175"/>
      <c r="AH74" s="175"/>
      <c r="AI74" s="175"/>
      <c r="AJ74" s="172"/>
      <c r="AK74" s="172"/>
      <c r="AL74" s="172"/>
      <c r="AM74" s="172"/>
      <c r="AN74" s="172"/>
      <c r="AO74" s="172"/>
      <c r="AP74" s="172"/>
      <c r="AQ74" s="172"/>
      <c r="AR74" s="172"/>
      <c r="AS74" s="172"/>
      <c r="AT74" s="172"/>
      <c r="AU74" s="11"/>
      <c r="AV74" s="19"/>
      <c r="AW74" s="19"/>
      <c r="AX74" s="19"/>
      <c r="AY74" s="19"/>
      <c r="AZ74" s="19"/>
      <c r="BA74" s="19"/>
      <c r="BB74" s="19"/>
      <c r="BC74" s="19"/>
      <c r="BD74" s="19"/>
      <c r="BE74" s="12"/>
      <c r="BF74" s="37"/>
      <c r="BG74" s="38"/>
      <c r="BH74" s="38"/>
      <c r="BI74" s="38"/>
      <c r="BJ74" s="38"/>
      <c r="BK74" s="39"/>
    </row>
    <row r="75" spans="1:63" s="154" customFormat="1" ht="15" customHeight="1" x14ac:dyDescent="0.25">
      <c r="A75" s="11"/>
      <c r="B75" s="19"/>
      <c r="C75" s="19"/>
      <c r="D75" s="19"/>
      <c r="E75" s="19"/>
      <c r="F75" s="19"/>
      <c r="G75" s="19"/>
      <c r="H75" s="19"/>
      <c r="I75" s="19"/>
      <c r="J75" s="19"/>
      <c r="K75" s="19"/>
      <c r="L75" s="12"/>
      <c r="M75" s="172"/>
      <c r="N75" s="172"/>
      <c r="O75" s="175"/>
      <c r="P75" s="175"/>
      <c r="Q75" s="175"/>
      <c r="R75" s="175"/>
      <c r="S75" s="175"/>
      <c r="T75" s="175"/>
      <c r="U75" s="175"/>
      <c r="V75" s="175"/>
      <c r="W75" s="175"/>
      <c r="X75" s="175"/>
      <c r="Y75" s="175"/>
      <c r="Z75" s="175"/>
      <c r="AA75" s="175"/>
      <c r="AB75" s="175"/>
      <c r="AC75" s="175"/>
      <c r="AD75" s="175"/>
      <c r="AE75" s="175"/>
      <c r="AF75" s="175"/>
      <c r="AG75" s="175"/>
      <c r="AH75" s="175"/>
      <c r="AI75" s="175"/>
      <c r="AJ75" s="172"/>
      <c r="AK75" s="172"/>
      <c r="AL75" s="172"/>
      <c r="AM75" s="172"/>
      <c r="AN75" s="172"/>
      <c r="AO75" s="172"/>
      <c r="AP75" s="172"/>
      <c r="AQ75" s="172"/>
      <c r="AR75" s="172"/>
      <c r="AS75" s="172"/>
      <c r="AT75" s="172"/>
      <c r="AU75" s="11"/>
      <c r="AV75" s="19"/>
      <c r="AW75" s="19"/>
      <c r="AX75" s="19"/>
      <c r="AY75" s="19"/>
      <c r="AZ75" s="19"/>
      <c r="BA75" s="19"/>
      <c r="BB75" s="19"/>
      <c r="BC75" s="19"/>
      <c r="BD75" s="19"/>
      <c r="BE75" s="12"/>
      <c r="BF75" s="37"/>
      <c r="BG75" s="38"/>
      <c r="BH75" s="38"/>
      <c r="BI75" s="38"/>
      <c r="BJ75" s="38"/>
      <c r="BK75" s="39"/>
    </row>
    <row r="76" spans="1:63" s="154" customFormat="1" ht="15" customHeight="1" x14ac:dyDescent="0.25">
      <c r="A76" s="11"/>
      <c r="B76" s="19"/>
      <c r="C76" s="19"/>
      <c r="D76" s="19"/>
      <c r="E76" s="19"/>
      <c r="F76" s="19"/>
      <c r="G76" s="19"/>
      <c r="H76" s="19"/>
      <c r="I76" s="19"/>
      <c r="J76" s="19"/>
      <c r="K76" s="19"/>
      <c r="L76" s="12"/>
      <c r="M76" s="172"/>
      <c r="N76" s="172"/>
      <c r="O76" s="175" t="s">
        <v>12</v>
      </c>
      <c r="P76" s="175"/>
      <c r="Q76" s="175"/>
      <c r="R76" s="175"/>
      <c r="S76" s="175"/>
      <c r="T76" s="175"/>
      <c r="U76" s="175"/>
      <c r="V76" s="175"/>
      <c r="W76" s="175"/>
      <c r="X76" s="175"/>
      <c r="Y76" s="175"/>
      <c r="Z76" s="175"/>
      <c r="AA76" s="175"/>
      <c r="AB76" s="175"/>
      <c r="AC76" s="175"/>
      <c r="AD76" s="175"/>
      <c r="AE76" s="175"/>
      <c r="AF76" s="175"/>
      <c r="AG76" s="175"/>
      <c r="AH76" s="175"/>
      <c r="AI76" s="175"/>
      <c r="AJ76" s="172"/>
      <c r="AK76" s="172"/>
      <c r="AL76" s="172"/>
      <c r="AM76" s="172"/>
      <c r="AN76" s="172"/>
      <c r="AO76" s="172"/>
      <c r="AP76" s="172"/>
      <c r="AQ76" s="172"/>
      <c r="AR76" s="172"/>
      <c r="AS76" s="172"/>
      <c r="AT76" s="172"/>
      <c r="AU76" s="11"/>
      <c r="AV76" s="19"/>
      <c r="AW76" s="19"/>
      <c r="AX76" s="19"/>
      <c r="AY76" s="19"/>
      <c r="AZ76" s="19"/>
      <c r="BA76" s="19"/>
      <c r="BB76" s="19"/>
      <c r="BC76" s="19"/>
      <c r="BD76" s="19"/>
      <c r="BE76" s="12"/>
      <c r="BF76" s="37"/>
      <c r="BG76" s="38"/>
      <c r="BH76" s="38"/>
      <c r="BI76" s="38"/>
      <c r="BJ76" s="38"/>
      <c r="BK76" s="39"/>
    </row>
    <row r="77" spans="1:63" s="154" customFormat="1" ht="15" customHeight="1" x14ac:dyDescent="0.25">
      <c r="A77" s="11"/>
      <c r="B77" s="19"/>
      <c r="C77" s="19"/>
      <c r="D77" s="19"/>
      <c r="E77" s="19"/>
      <c r="F77" s="19"/>
      <c r="G77" s="19"/>
      <c r="H77" s="19"/>
      <c r="I77" s="19"/>
      <c r="J77" s="19"/>
      <c r="K77" s="19"/>
      <c r="L77" s="12"/>
      <c r="M77" s="172"/>
      <c r="N77" s="172"/>
      <c r="O77" s="175"/>
      <c r="P77" s="175" t="s">
        <v>59</v>
      </c>
      <c r="Q77" s="175"/>
      <c r="R77" s="175"/>
      <c r="S77" s="175"/>
      <c r="T77" s="175"/>
      <c r="U77" s="175"/>
      <c r="V77" s="175"/>
      <c r="W77" s="175"/>
      <c r="X77" s="175"/>
      <c r="Y77" s="175"/>
      <c r="Z77" s="175"/>
      <c r="AA77" s="175"/>
      <c r="AB77" s="175"/>
      <c r="AC77" s="175"/>
      <c r="AD77" s="175"/>
      <c r="AE77" s="175"/>
      <c r="AF77" s="175"/>
      <c r="AG77" s="175"/>
      <c r="AH77" s="175"/>
      <c r="AI77" s="175"/>
      <c r="AJ77" s="172"/>
      <c r="AK77" s="172"/>
      <c r="AL77" s="172"/>
      <c r="AM77" s="172"/>
      <c r="AN77" s="172"/>
      <c r="AO77" s="172"/>
      <c r="AP77" s="172"/>
      <c r="AQ77" s="172"/>
      <c r="AR77" s="172"/>
      <c r="AS77" s="172"/>
      <c r="AT77" s="172"/>
      <c r="AU77" s="11"/>
      <c r="AV77" s="19"/>
      <c r="AW77" s="19"/>
      <c r="AX77" s="19"/>
      <c r="AY77" s="19"/>
      <c r="AZ77" s="19"/>
      <c r="BA77" s="19"/>
      <c r="BB77" s="19"/>
      <c r="BC77" s="19"/>
      <c r="BD77" s="19"/>
      <c r="BE77" s="12"/>
      <c r="BF77" s="37"/>
      <c r="BG77" s="38"/>
      <c r="BH77" s="38"/>
      <c r="BI77" s="38"/>
      <c r="BJ77" s="38"/>
      <c r="BK77" s="39"/>
    </row>
    <row r="78" spans="1:63" s="154" customFormat="1" ht="15" customHeight="1" x14ac:dyDescent="0.25">
      <c r="A78" s="11"/>
      <c r="B78" s="19"/>
      <c r="C78" s="19"/>
      <c r="D78" s="19"/>
      <c r="E78" s="19"/>
      <c r="F78" s="19"/>
      <c r="G78" s="19"/>
      <c r="H78" s="19"/>
      <c r="I78" s="19"/>
      <c r="J78" s="19"/>
      <c r="K78" s="19"/>
      <c r="L78" s="12"/>
      <c r="M78" s="172"/>
      <c r="N78" s="172"/>
      <c r="O78" s="175"/>
      <c r="P78" s="175"/>
      <c r="Q78" s="175" t="s">
        <v>58</v>
      </c>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2"/>
      <c r="AO78" s="172"/>
      <c r="AP78" s="172"/>
      <c r="AQ78" s="172"/>
      <c r="AR78" s="172"/>
      <c r="AS78" s="172"/>
      <c r="AT78" s="172"/>
      <c r="AU78" s="11"/>
      <c r="AV78" s="19"/>
      <c r="AW78" s="19"/>
      <c r="AX78" s="19"/>
      <c r="AY78" s="19"/>
      <c r="AZ78" s="19"/>
      <c r="BA78" s="19"/>
      <c r="BB78" s="19"/>
      <c r="BC78" s="19"/>
      <c r="BD78" s="19"/>
      <c r="BE78" s="12"/>
      <c r="BF78" s="37"/>
      <c r="BG78" s="38"/>
      <c r="BH78" s="38"/>
      <c r="BI78" s="38"/>
      <c r="BJ78" s="38"/>
      <c r="BK78" s="39"/>
    </row>
    <row r="79" spans="1:63" s="154" customFormat="1" ht="15" customHeight="1" x14ac:dyDescent="0.25">
      <c r="A79" s="11"/>
      <c r="B79" s="19"/>
      <c r="C79" s="19"/>
      <c r="D79" s="19"/>
      <c r="E79" s="19"/>
      <c r="F79" s="19"/>
      <c r="G79" s="19"/>
      <c r="H79" s="19"/>
      <c r="I79" s="19"/>
      <c r="J79" s="19"/>
      <c r="K79" s="19"/>
      <c r="L79" s="12"/>
      <c r="M79" s="172"/>
      <c r="N79" s="172"/>
      <c r="O79" s="175"/>
      <c r="P79" s="175"/>
      <c r="Q79" s="175" t="s">
        <v>212</v>
      </c>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2"/>
      <c r="AO79" s="172"/>
      <c r="AP79" s="172"/>
      <c r="AQ79" s="172"/>
      <c r="AR79" s="172"/>
      <c r="AS79" s="172"/>
      <c r="AT79" s="172"/>
      <c r="AU79" s="11"/>
      <c r="AV79" s="19"/>
      <c r="AW79" s="19"/>
      <c r="AX79" s="19"/>
      <c r="AY79" s="19"/>
      <c r="AZ79" s="19"/>
      <c r="BA79" s="19"/>
      <c r="BB79" s="19"/>
      <c r="BC79" s="19"/>
      <c r="BD79" s="19"/>
      <c r="BE79" s="12"/>
      <c r="BF79" s="37"/>
      <c r="BG79" s="38"/>
      <c r="BH79" s="38"/>
      <c r="BI79" s="38"/>
      <c r="BJ79" s="38"/>
      <c r="BK79" s="39"/>
    </row>
    <row r="80" spans="1:63" s="154" customFormat="1" ht="15" customHeight="1" x14ac:dyDescent="0.25">
      <c r="A80" s="11"/>
      <c r="B80" s="19"/>
      <c r="C80" s="19"/>
      <c r="D80" s="19"/>
      <c r="E80" s="19"/>
      <c r="F80" s="19"/>
      <c r="G80" s="19"/>
      <c r="H80" s="19"/>
      <c r="I80" s="19"/>
      <c r="J80" s="19"/>
      <c r="K80" s="19"/>
      <c r="L80" s="12"/>
      <c r="M80" s="172"/>
      <c r="N80" s="172"/>
      <c r="O80" s="175"/>
      <c r="P80" s="175"/>
      <c r="Q80" s="175"/>
      <c r="R80" s="175" t="s">
        <v>162</v>
      </c>
      <c r="S80" s="175"/>
      <c r="T80" s="175"/>
      <c r="U80" s="175"/>
      <c r="V80" s="175"/>
      <c r="W80" s="175"/>
      <c r="X80" s="175"/>
      <c r="Y80" s="175"/>
      <c r="Z80" s="175"/>
      <c r="AA80" s="175"/>
      <c r="AB80" s="175"/>
      <c r="AC80" s="175"/>
      <c r="AD80" s="175"/>
      <c r="AE80" s="175"/>
      <c r="AF80" s="175"/>
      <c r="AG80" s="175"/>
      <c r="AH80" s="175"/>
      <c r="AI80" s="175"/>
      <c r="AJ80" s="175"/>
      <c r="AK80" s="175"/>
      <c r="AL80" s="175"/>
      <c r="AM80" s="175"/>
      <c r="AN80" s="172"/>
      <c r="AO80" s="172"/>
      <c r="AP80" s="172"/>
      <c r="AQ80" s="172"/>
      <c r="AR80" s="172"/>
      <c r="AS80" s="172"/>
      <c r="AT80" s="172"/>
      <c r="AU80" s="11"/>
      <c r="AV80" s="19"/>
      <c r="AW80" s="19"/>
      <c r="AX80" s="19"/>
      <c r="AY80" s="19"/>
      <c r="AZ80" s="19"/>
      <c r="BA80" s="19"/>
      <c r="BB80" s="19"/>
      <c r="BC80" s="19"/>
      <c r="BD80" s="19"/>
      <c r="BE80" s="12"/>
      <c r="BF80" s="37"/>
      <c r="BG80" s="38"/>
      <c r="BH80" s="38"/>
      <c r="BI80" s="38"/>
      <c r="BJ80" s="38"/>
      <c r="BK80" s="39"/>
    </row>
    <row r="81" spans="1:63" s="154" customFormat="1" ht="15" customHeight="1" x14ac:dyDescent="0.25">
      <c r="A81" s="11"/>
      <c r="B81" s="19"/>
      <c r="C81" s="19"/>
      <c r="D81" s="19"/>
      <c r="E81" s="19"/>
      <c r="F81" s="19"/>
      <c r="G81" s="19"/>
      <c r="H81" s="19"/>
      <c r="I81" s="19"/>
      <c r="J81" s="19"/>
      <c r="K81" s="19"/>
      <c r="L81" s="12"/>
      <c r="M81" s="172"/>
      <c r="N81" s="172"/>
      <c r="O81" s="175"/>
      <c r="P81" s="172" t="s">
        <v>156</v>
      </c>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2"/>
      <c r="AO81" s="172"/>
      <c r="AP81" s="172"/>
      <c r="AQ81" s="172"/>
      <c r="AR81" s="172"/>
      <c r="AS81" s="172"/>
      <c r="AT81" s="172"/>
      <c r="AU81" s="11"/>
      <c r="AV81" s="19"/>
      <c r="AW81" s="19"/>
      <c r="AX81" s="19"/>
      <c r="AY81" s="19"/>
      <c r="AZ81" s="19"/>
      <c r="BA81" s="19"/>
      <c r="BB81" s="19"/>
      <c r="BC81" s="19"/>
      <c r="BD81" s="19"/>
      <c r="BE81" s="12"/>
      <c r="BF81" s="37"/>
      <c r="BG81" s="38"/>
      <c r="BH81" s="38"/>
      <c r="BI81" s="38"/>
      <c r="BJ81" s="38"/>
      <c r="BK81" s="39"/>
    </row>
    <row r="82" spans="1:63" s="154" customFormat="1" ht="15" customHeight="1" x14ac:dyDescent="0.25">
      <c r="A82" s="11"/>
      <c r="B82" s="19"/>
      <c r="C82" s="19"/>
      <c r="D82" s="19"/>
      <c r="E82" s="19"/>
      <c r="F82" s="19"/>
      <c r="G82" s="19"/>
      <c r="H82" s="19"/>
      <c r="I82" s="19"/>
      <c r="J82" s="19"/>
      <c r="K82" s="19"/>
      <c r="L82" s="12"/>
      <c r="M82" s="172"/>
      <c r="N82" s="172"/>
      <c r="O82" s="175"/>
      <c r="P82" s="175"/>
      <c r="Q82" s="175" t="s">
        <v>158</v>
      </c>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2"/>
      <c r="AO82" s="172"/>
      <c r="AP82" s="172"/>
      <c r="AQ82" s="172"/>
      <c r="AR82" s="172"/>
      <c r="AS82" s="172"/>
      <c r="AT82" s="172"/>
      <c r="AU82" s="11"/>
      <c r="AV82" s="19"/>
      <c r="AW82" s="19"/>
      <c r="AX82" s="19"/>
      <c r="AY82" s="19"/>
      <c r="AZ82" s="19"/>
      <c r="BA82" s="19"/>
      <c r="BB82" s="19"/>
      <c r="BC82" s="19"/>
      <c r="BD82" s="19"/>
      <c r="BE82" s="12"/>
      <c r="BF82" s="37"/>
      <c r="BG82" s="38"/>
      <c r="BH82" s="38"/>
      <c r="BI82" s="38"/>
      <c r="BJ82" s="38"/>
      <c r="BK82" s="39"/>
    </row>
    <row r="83" spans="1:63" s="154" customFormat="1" ht="15" customHeight="1" x14ac:dyDescent="0.25">
      <c r="A83" s="11"/>
      <c r="B83" s="19"/>
      <c r="C83" s="19"/>
      <c r="D83" s="19"/>
      <c r="E83" s="19"/>
      <c r="F83" s="19"/>
      <c r="G83" s="19"/>
      <c r="H83" s="19"/>
      <c r="I83" s="19"/>
      <c r="J83" s="19"/>
      <c r="K83" s="19"/>
      <c r="L83" s="12"/>
      <c r="M83" s="172"/>
      <c r="N83" s="172"/>
      <c r="O83" s="175"/>
      <c r="P83" s="175"/>
      <c r="Q83" s="175" t="s">
        <v>155</v>
      </c>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2"/>
      <c r="AO83" s="172"/>
      <c r="AP83" s="172"/>
      <c r="AQ83" s="172"/>
      <c r="AR83" s="172"/>
      <c r="AS83" s="172"/>
      <c r="AT83" s="172"/>
      <c r="AU83" s="11"/>
      <c r="AV83" s="19"/>
      <c r="AW83" s="19"/>
      <c r="AX83" s="19"/>
      <c r="AY83" s="19"/>
      <c r="AZ83" s="19"/>
      <c r="BA83" s="19"/>
      <c r="BB83" s="19"/>
      <c r="BC83" s="19"/>
      <c r="BD83" s="19"/>
      <c r="BE83" s="12"/>
      <c r="BF83" s="37"/>
      <c r="BG83" s="38"/>
      <c r="BH83" s="38"/>
      <c r="BI83" s="38"/>
      <c r="BJ83" s="38"/>
      <c r="BK83" s="39"/>
    </row>
    <row r="84" spans="1:63" s="154" customFormat="1" ht="15" customHeight="1" x14ac:dyDescent="0.25">
      <c r="A84" s="11"/>
      <c r="B84" s="19"/>
      <c r="C84" s="19"/>
      <c r="D84" s="19"/>
      <c r="E84" s="19"/>
      <c r="F84" s="19"/>
      <c r="G84" s="19"/>
      <c r="H84" s="19"/>
      <c r="I84" s="19"/>
      <c r="J84" s="19"/>
      <c r="K84" s="19"/>
      <c r="L84" s="12"/>
      <c r="M84" s="172"/>
      <c r="N84" s="184"/>
      <c r="P84" s="172" t="s">
        <v>157</v>
      </c>
      <c r="Q84" s="175"/>
      <c r="R84" s="175"/>
      <c r="S84" s="175"/>
      <c r="T84" s="175"/>
      <c r="U84" s="175"/>
      <c r="V84" s="175"/>
      <c r="W84" s="175"/>
      <c r="X84" s="175"/>
      <c r="Y84" s="175"/>
      <c r="Z84" s="175"/>
      <c r="AA84" s="175"/>
      <c r="AB84" s="175"/>
      <c r="AC84" s="175"/>
      <c r="AD84" s="175"/>
      <c r="AE84" s="175"/>
      <c r="AF84" s="175"/>
      <c r="AG84" s="175"/>
      <c r="AH84" s="175"/>
      <c r="AI84" s="175"/>
      <c r="AJ84" s="172"/>
      <c r="AK84" s="172"/>
      <c r="AL84" s="172"/>
      <c r="AM84" s="172"/>
      <c r="AN84" s="172"/>
      <c r="AO84" s="172"/>
      <c r="AP84" s="172"/>
      <c r="AQ84" s="172"/>
      <c r="AR84" s="172"/>
      <c r="AS84" s="172"/>
      <c r="AT84" s="172"/>
      <c r="AU84" s="11"/>
      <c r="AV84" s="19"/>
      <c r="AW84" s="19"/>
      <c r="AX84" s="19"/>
      <c r="AY84" s="19"/>
      <c r="AZ84" s="19"/>
      <c r="BA84" s="19"/>
      <c r="BB84" s="19"/>
      <c r="BC84" s="19"/>
      <c r="BD84" s="19"/>
      <c r="BE84" s="12"/>
      <c r="BF84" s="37"/>
      <c r="BG84" s="38"/>
      <c r="BH84" s="38"/>
      <c r="BI84" s="38"/>
      <c r="BJ84" s="38"/>
      <c r="BK84" s="39"/>
    </row>
    <row r="85" spans="1:63" s="154" customFormat="1" ht="15" customHeight="1" x14ac:dyDescent="0.25">
      <c r="A85" s="11"/>
      <c r="B85" s="19"/>
      <c r="C85" s="19"/>
      <c r="D85" s="19"/>
      <c r="E85" s="19"/>
      <c r="F85" s="19"/>
      <c r="G85" s="19"/>
      <c r="H85" s="19"/>
      <c r="I85" s="19"/>
      <c r="J85" s="19"/>
      <c r="K85" s="19"/>
      <c r="L85" s="12"/>
      <c r="M85" s="172"/>
      <c r="N85" s="172"/>
      <c r="O85" s="175"/>
      <c r="P85" s="175"/>
      <c r="Q85" s="175" t="s">
        <v>32</v>
      </c>
      <c r="R85" s="175"/>
      <c r="S85" s="175"/>
      <c r="T85" s="175"/>
      <c r="U85" s="175"/>
      <c r="V85" s="175"/>
      <c r="W85" s="175"/>
      <c r="X85" s="175"/>
      <c r="Y85" s="175"/>
      <c r="Z85" s="175"/>
      <c r="AA85" s="175"/>
      <c r="AB85" s="175"/>
      <c r="AC85" s="175"/>
      <c r="AD85" s="175"/>
      <c r="AE85" s="175"/>
      <c r="AF85" s="175"/>
      <c r="AG85" s="175"/>
      <c r="AH85" s="175"/>
      <c r="AI85" s="175"/>
      <c r="AJ85" s="172"/>
      <c r="AK85" s="172"/>
      <c r="AL85" s="172"/>
      <c r="AM85" s="172"/>
      <c r="AN85" s="172"/>
      <c r="AO85" s="172"/>
      <c r="AP85" s="172"/>
      <c r="AQ85" s="172"/>
      <c r="AR85" s="172"/>
      <c r="AS85" s="172"/>
      <c r="AT85" s="172"/>
      <c r="AU85" s="11"/>
      <c r="AV85" s="19"/>
      <c r="AW85" s="19"/>
      <c r="AX85" s="19"/>
      <c r="AY85" s="19"/>
      <c r="AZ85" s="19"/>
      <c r="BA85" s="19"/>
      <c r="BB85" s="19"/>
      <c r="BC85" s="19"/>
      <c r="BD85" s="19"/>
      <c r="BE85" s="12"/>
      <c r="BF85" s="37"/>
      <c r="BG85" s="38"/>
      <c r="BH85" s="38"/>
      <c r="BI85" s="38"/>
      <c r="BJ85" s="38"/>
      <c r="BK85" s="39"/>
    </row>
    <row r="86" spans="1:63" s="154" customFormat="1" ht="15" customHeight="1" x14ac:dyDescent="0.25">
      <c r="A86" s="13"/>
      <c r="B86" s="14"/>
      <c r="C86" s="14"/>
      <c r="D86" s="14"/>
      <c r="E86" s="14"/>
      <c r="F86" s="14"/>
      <c r="G86" s="14"/>
      <c r="H86" s="14"/>
      <c r="I86" s="14"/>
      <c r="J86" s="14"/>
      <c r="K86" s="14"/>
      <c r="L86" s="15"/>
      <c r="M86" s="176"/>
      <c r="N86" s="177"/>
      <c r="O86" s="177"/>
      <c r="P86" s="177"/>
      <c r="Q86" s="177"/>
      <c r="R86" s="177"/>
      <c r="S86" s="177"/>
      <c r="T86" s="20"/>
      <c r="U86" s="20"/>
      <c r="V86" s="20"/>
      <c r="W86" s="20"/>
      <c r="X86" s="20"/>
      <c r="Y86" s="20"/>
      <c r="Z86" s="20"/>
      <c r="AA86" s="20"/>
      <c r="AB86" s="20"/>
      <c r="AC86" s="20"/>
      <c r="AD86" s="20"/>
      <c r="AE86" s="20"/>
      <c r="AF86" s="20"/>
      <c r="AG86" s="20"/>
      <c r="AH86" s="20"/>
      <c r="AI86" s="20"/>
      <c r="AJ86" s="20"/>
      <c r="AK86" s="20"/>
      <c r="AL86" s="20"/>
      <c r="AM86" s="20"/>
      <c r="AN86" s="20"/>
      <c r="AO86" s="20"/>
      <c r="AP86" s="178"/>
      <c r="AQ86" s="178"/>
      <c r="AR86" s="178"/>
      <c r="AS86" s="178"/>
      <c r="AT86" s="178"/>
      <c r="AU86" s="13"/>
      <c r="AV86" s="14"/>
      <c r="AW86" s="14"/>
      <c r="AX86" s="14"/>
      <c r="AY86" s="14"/>
      <c r="AZ86" s="14"/>
      <c r="BA86" s="14"/>
      <c r="BB86" s="14"/>
      <c r="BC86" s="14"/>
      <c r="BD86" s="14"/>
      <c r="BE86" s="15"/>
      <c r="BF86" s="40"/>
      <c r="BG86" s="41"/>
      <c r="BH86" s="41"/>
      <c r="BI86" s="41"/>
      <c r="BJ86" s="41"/>
      <c r="BK86" s="42"/>
    </row>
    <row r="87" spans="1:63" ht="15" customHeight="1" x14ac:dyDescent="0.25">
      <c r="A87" s="21"/>
      <c r="BK87" s="6"/>
    </row>
    <row r="88" spans="1:63" ht="15" customHeight="1" x14ac:dyDescent="0.25">
      <c r="A88" s="21"/>
      <c r="BK88" s="6"/>
    </row>
    <row r="89" spans="1:63" ht="15" customHeight="1" x14ac:dyDescent="0.25">
      <c r="A89" s="21"/>
      <c r="BK89" s="6"/>
    </row>
    <row r="90" spans="1:63" s="154" customFormat="1" ht="15" customHeight="1" x14ac:dyDescent="0.25">
      <c r="A90" s="160" t="s">
        <v>3</v>
      </c>
      <c r="B90" s="161"/>
      <c r="C90" s="161"/>
      <c r="D90" s="161"/>
      <c r="E90" s="161"/>
      <c r="F90" s="162"/>
      <c r="G90" s="156" t="s">
        <v>103</v>
      </c>
      <c r="H90" s="156"/>
      <c r="I90" s="156"/>
      <c r="J90" s="156"/>
      <c r="K90" s="156"/>
      <c r="L90" s="156"/>
      <c r="M90" s="163" t="s">
        <v>60</v>
      </c>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164"/>
      <c r="BI90" s="164"/>
      <c r="BJ90" s="164"/>
      <c r="BK90" s="165"/>
    </row>
    <row r="91" spans="1:63" s="154" customFormat="1" ht="15" customHeight="1" x14ac:dyDescent="0.25">
      <c r="A91" s="166" t="s">
        <v>4</v>
      </c>
      <c r="B91" s="167"/>
      <c r="C91" s="167"/>
      <c r="D91" s="167"/>
      <c r="E91" s="167"/>
      <c r="F91" s="167"/>
      <c r="G91" s="167"/>
      <c r="H91" s="167"/>
      <c r="I91" s="167"/>
      <c r="J91" s="167"/>
      <c r="K91" s="167"/>
      <c r="L91" s="168"/>
      <c r="M91" s="166" t="s">
        <v>5</v>
      </c>
      <c r="N91" s="167"/>
      <c r="O91" s="167"/>
      <c r="P91" s="167"/>
      <c r="Q91" s="167"/>
      <c r="R91" s="167"/>
      <c r="S91" s="167"/>
      <c r="T91" s="167"/>
      <c r="U91" s="167"/>
      <c r="V91" s="167"/>
      <c r="W91" s="167"/>
      <c r="X91" s="167"/>
      <c r="Y91" s="167"/>
      <c r="Z91" s="167"/>
      <c r="AA91" s="167"/>
      <c r="AB91" s="167"/>
      <c r="AC91" s="167"/>
      <c r="AD91" s="167"/>
      <c r="AE91" s="167"/>
      <c r="AF91" s="167"/>
      <c r="AG91" s="167"/>
      <c r="AH91" s="167"/>
      <c r="AI91" s="167"/>
      <c r="AJ91" s="167"/>
      <c r="AK91" s="167"/>
      <c r="AL91" s="167"/>
      <c r="AM91" s="167"/>
      <c r="AN91" s="167"/>
      <c r="AO91" s="167"/>
      <c r="AP91" s="167"/>
      <c r="AQ91" s="167"/>
      <c r="AR91" s="167"/>
      <c r="AS91" s="167"/>
      <c r="AT91" s="168"/>
      <c r="AU91" s="166" t="s">
        <v>6</v>
      </c>
      <c r="AV91" s="167"/>
      <c r="AW91" s="167"/>
      <c r="AX91" s="167"/>
      <c r="AY91" s="167"/>
      <c r="AZ91" s="167"/>
      <c r="BA91" s="167"/>
      <c r="BB91" s="167"/>
      <c r="BC91" s="167"/>
      <c r="BD91" s="167"/>
      <c r="BE91" s="167"/>
      <c r="BF91" s="166" t="s">
        <v>7</v>
      </c>
      <c r="BG91" s="167"/>
      <c r="BH91" s="167"/>
      <c r="BI91" s="167"/>
      <c r="BJ91" s="167"/>
      <c r="BK91" s="168"/>
    </row>
    <row r="92" spans="1:63" s="154" customFormat="1" ht="15" customHeight="1" x14ac:dyDescent="0.25">
      <c r="A92" s="169"/>
      <c r="B92" s="170"/>
      <c r="C92" s="170"/>
      <c r="D92" s="170"/>
      <c r="E92" s="170"/>
      <c r="F92" s="170"/>
      <c r="G92" s="170"/>
      <c r="H92" s="170"/>
      <c r="I92" s="170"/>
      <c r="J92" s="170"/>
      <c r="K92" s="170"/>
      <c r="L92" s="171"/>
      <c r="M92" s="169"/>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1"/>
      <c r="AU92" s="169"/>
      <c r="AV92" s="170"/>
      <c r="AW92" s="170"/>
      <c r="AX92" s="170"/>
      <c r="AY92" s="170"/>
      <c r="AZ92" s="170"/>
      <c r="BA92" s="170"/>
      <c r="BB92" s="170"/>
      <c r="BC92" s="170"/>
      <c r="BD92" s="170"/>
      <c r="BE92" s="170"/>
      <c r="BF92" s="169"/>
      <c r="BG92" s="170"/>
      <c r="BH92" s="170"/>
      <c r="BI92" s="170"/>
      <c r="BJ92" s="170"/>
      <c r="BK92" s="171"/>
    </row>
    <row r="93" spans="1:63" s="154" customFormat="1" ht="15" customHeight="1" x14ac:dyDescent="0.25">
      <c r="A93" s="8"/>
      <c r="B93" s="9"/>
      <c r="C93" s="9"/>
      <c r="D93" s="9"/>
      <c r="E93" s="9"/>
      <c r="F93" s="9"/>
      <c r="G93" s="9"/>
      <c r="H93" s="9"/>
      <c r="I93" s="9"/>
      <c r="J93" s="9"/>
      <c r="K93" s="9"/>
      <c r="L93" s="10"/>
      <c r="M93" s="172"/>
      <c r="N93" s="172"/>
      <c r="O93" s="172"/>
      <c r="P93" s="172"/>
      <c r="Q93" s="172"/>
      <c r="R93" s="173"/>
      <c r="S93" s="173"/>
      <c r="T93" s="173"/>
      <c r="U93" s="173"/>
      <c r="V93" s="173"/>
      <c r="W93" s="173"/>
      <c r="X93" s="173"/>
      <c r="Y93" s="173"/>
      <c r="Z93" s="173"/>
      <c r="AA93" s="173"/>
      <c r="AB93" s="173"/>
      <c r="AC93" s="173"/>
      <c r="AD93" s="173"/>
      <c r="AE93" s="173"/>
      <c r="AF93" s="173"/>
      <c r="AG93" s="173"/>
      <c r="AH93" s="173"/>
      <c r="AI93" s="173"/>
      <c r="AJ93" s="173"/>
      <c r="AK93" s="173"/>
      <c r="AL93" s="173"/>
      <c r="AM93" s="173"/>
      <c r="AN93" s="173"/>
      <c r="AO93" s="173"/>
      <c r="AP93" s="173"/>
      <c r="AQ93" s="173"/>
      <c r="AR93" s="173"/>
      <c r="AS93" s="173"/>
      <c r="AT93" s="173"/>
      <c r="AU93" s="8"/>
      <c r="AV93" s="9"/>
      <c r="AW93" s="9"/>
      <c r="AX93" s="9"/>
      <c r="AY93" s="9"/>
      <c r="AZ93" s="9"/>
      <c r="BA93" s="9"/>
      <c r="BB93" s="9"/>
      <c r="BC93" s="9"/>
      <c r="BD93" s="9"/>
      <c r="BE93" s="10"/>
      <c r="BF93" s="34" t="s">
        <v>190</v>
      </c>
      <c r="BG93" s="35"/>
      <c r="BH93" s="35"/>
      <c r="BI93" s="35"/>
      <c r="BJ93" s="35"/>
      <c r="BK93" s="36"/>
    </row>
    <row r="94" spans="1:63" s="154" customFormat="1" ht="15" customHeight="1" x14ac:dyDescent="0.25">
      <c r="A94" s="11"/>
      <c r="B94" s="19"/>
      <c r="C94" s="19"/>
      <c r="D94" s="19"/>
      <c r="E94" s="19"/>
      <c r="F94" s="19"/>
      <c r="G94" s="19"/>
      <c r="H94" s="19"/>
      <c r="I94" s="19"/>
      <c r="J94" s="19"/>
      <c r="K94" s="19"/>
      <c r="L94" s="12"/>
      <c r="M94" s="172"/>
      <c r="N94" s="22" t="s">
        <v>191</v>
      </c>
      <c r="O94" s="172"/>
      <c r="P94" s="172"/>
      <c r="Q94" s="172"/>
      <c r="R94" s="172"/>
      <c r="S94" s="172"/>
      <c r="T94" s="172"/>
      <c r="U94" s="172"/>
      <c r="V94" s="172"/>
      <c r="W94" s="172"/>
      <c r="X94" s="172"/>
      <c r="Y94" s="172"/>
      <c r="Z94" s="172"/>
      <c r="AA94" s="172"/>
      <c r="AB94" s="172"/>
      <c r="AC94" s="172"/>
      <c r="AD94" s="172"/>
      <c r="AE94" s="172"/>
      <c r="AF94" s="172"/>
      <c r="AG94" s="172"/>
      <c r="AH94" s="172"/>
      <c r="AI94" s="172"/>
      <c r="AJ94" s="172"/>
      <c r="AK94" s="172"/>
      <c r="AL94" s="172"/>
      <c r="AM94" s="172"/>
      <c r="AN94" s="172"/>
      <c r="AO94" s="172"/>
      <c r="AP94" s="172"/>
      <c r="AQ94" s="172"/>
      <c r="AR94" s="172"/>
      <c r="AS94" s="172"/>
      <c r="AT94" s="172"/>
      <c r="AU94" s="11"/>
      <c r="AV94" s="19"/>
      <c r="AW94" s="19"/>
      <c r="AX94" s="19"/>
      <c r="AY94" s="19"/>
      <c r="AZ94" s="19"/>
      <c r="BA94" s="19"/>
      <c r="BB94" s="19"/>
      <c r="BC94" s="19"/>
      <c r="BD94" s="19"/>
      <c r="BE94" s="12"/>
      <c r="BF94" s="37"/>
      <c r="BG94" s="38"/>
      <c r="BH94" s="38"/>
      <c r="BI94" s="38"/>
      <c r="BJ94" s="38"/>
      <c r="BK94" s="39"/>
    </row>
    <row r="95" spans="1:63" s="154" customFormat="1" ht="15" customHeight="1" x14ac:dyDescent="0.25">
      <c r="A95" s="11"/>
      <c r="B95" s="19"/>
      <c r="C95" s="19"/>
      <c r="D95" s="19"/>
      <c r="E95" s="19"/>
      <c r="F95" s="19"/>
      <c r="G95" s="19"/>
      <c r="H95" s="19"/>
      <c r="I95" s="19"/>
      <c r="J95" s="19"/>
      <c r="K95" s="19"/>
      <c r="L95" s="12"/>
      <c r="M95" s="172"/>
      <c r="N95" s="175" t="s">
        <v>61</v>
      </c>
      <c r="O95" s="172"/>
      <c r="P95" s="172"/>
      <c r="Q95" s="172"/>
      <c r="R95" s="172"/>
      <c r="S95" s="172"/>
      <c r="T95" s="172"/>
      <c r="U95" s="172"/>
      <c r="V95" s="172"/>
      <c r="W95" s="172"/>
      <c r="X95" s="172"/>
      <c r="Y95" s="172"/>
      <c r="Z95" s="172"/>
      <c r="AA95" s="172"/>
      <c r="AB95" s="172"/>
      <c r="AC95" s="172"/>
      <c r="AD95" s="172"/>
      <c r="AE95" s="172"/>
      <c r="AF95" s="172"/>
      <c r="AG95" s="172"/>
      <c r="AH95" s="172"/>
      <c r="AI95" s="172"/>
      <c r="AJ95" s="172"/>
      <c r="AK95" s="172"/>
      <c r="AL95" s="172"/>
      <c r="AM95" s="172"/>
      <c r="AN95" s="172"/>
      <c r="AO95" s="172"/>
      <c r="AP95" s="172"/>
      <c r="AQ95" s="172"/>
      <c r="AR95" s="172"/>
      <c r="AS95" s="172"/>
      <c r="AT95" s="172"/>
      <c r="AU95" s="11"/>
      <c r="AV95" s="19"/>
      <c r="AW95" s="19"/>
      <c r="AX95" s="19"/>
      <c r="AY95" s="19"/>
      <c r="AZ95" s="19"/>
      <c r="BA95" s="19"/>
      <c r="BB95" s="19"/>
      <c r="BC95" s="19"/>
      <c r="BD95" s="19"/>
      <c r="BE95" s="12"/>
      <c r="BF95" s="37"/>
      <c r="BG95" s="38"/>
      <c r="BH95" s="38"/>
      <c r="BI95" s="38"/>
      <c r="BJ95" s="38"/>
      <c r="BK95" s="39"/>
    </row>
    <row r="96" spans="1:63" s="154" customFormat="1" ht="15" customHeight="1" x14ac:dyDescent="0.25">
      <c r="A96" s="11"/>
      <c r="B96" s="19"/>
      <c r="C96" s="19"/>
      <c r="D96" s="19"/>
      <c r="E96" s="19"/>
      <c r="F96" s="19"/>
      <c r="G96" s="19"/>
      <c r="H96" s="19"/>
      <c r="I96" s="19"/>
      <c r="J96" s="19"/>
      <c r="K96" s="19"/>
      <c r="L96" s="12"/>
      <c r="M96" s="172"/>
      <c r="N96" s="175" t="s">
        <v>62</v>
      </c>
      <c r="O96" s="172"/>
      <c r="P96" s="172"/>
      <c r="Q96" s="172"/>
      <c r="R96" s="172"/>
      <c r="S96" s="172"/>
      <c r="T96" s="172"/>
      <c r="U96" s="172"/>
      <c r="V96" s="172"/>
      <c r="W96" s="172"/>
      <c r="X96" s="172"/>
      <c r="Y96" s="172"/>
      <c r="Z96" s="172"/>
      <c r="AA96" s="172"/>
      <c r="AB96" s="172"/>
      <c r="AC96" s="172"/>
      <c r="AD96" s="172"/>
      <c r="AE96" s="172"/>
      <c r="AF96" s="172"/>
      <c r="AG96" s="172"/>
      <c r="AH96" s="172"/>
      <c r="AI96" s="172"/>
      <c r="AJ96" s="172"/>
      <c r="AK96" s="172"/>
      <c r="AL96" s="172"/>
      <c r="AM96" s="172"/>
      <c r="AN96" s="172"/>
      <c r="AO96" s="172"/>
      <c r="AP96" s="172"/>
      <c r="AQ96" s="172"/>
      <c r="AR96" s="172"/>
      <c r="AS96" s="172"/>
      <c r="AT96" s="172"/>
      <c r="AU96" s="11"/>
      <c r="AV96" s="19"/>
      <c r="AW96" s="19"/>
      <c r="AX96" s="19"/>
      <c r="AY96" s="19"/>
      <c r="AZ96" s="19"/>
      <c r="BA96" s="19"/>
      <c r="BB96" s="19"/>
      <c r="BC96" s="19"/>
      <c r="BD96" s="19"/>
      <c r="BE96" s="12"/>
      <c r="BF96" s="37"/>
      <c r="BG96" s="38"/>
      <c r="BH96" s="38"/>
      <c r="BI96" s="38"/>
      <c r="BJ96" s="38"/>
      <c r="BK96" s="39"/>
    </row>
    <row r="97" spans="1:63" s="154" customFormat="1" ht="15" customHeight="1" x14ac:dyDescent="0.25">
      <c r="A97" s="11"/>
      <c r="B97" s="19"/>
      <c r="C97" s="19"/>
      <c r="D97" s="19"/>
      <c r="E97" s="19"/>
      <c r="F97" s="19"/>
      <c r="G97" s="19"/>
      <c r="H97" s="19"/>
      <c r="I97" s="19"/>
      <c r="J97" s="19"/>
      <c r="K97" s="19"/>
      <c r="L97" s="12"/>
      <c r="M97" s="174"/>
      <c r="N97" s="172" t="s">
        <v>63</v>
      </c>
      <c r="O97" s="175"/>
      <c r="P97" s="175"/>
      <c r="Q97" s="175"/>
      <c r="R97" s="175"/>
      <c r="S97" s="175"/>
      <c r="T97" s="175"/>
      <c r="U97" s="175"/>
      <c r="V97" s="175"/>
      <c r="W97" s="175"/>
      <c r="X97" s="175"/>
      <c r="Y97" s="175"/>
      <c r="Z97" s="175"/>
      <c r="AA97" s="175"/>
      <c r="AB97" s="175"/>
      <c r="AC97" s="175"/>
      <c r="AD97" s="175"/>
      <c r="AE97" s="175"/>
      <c r="AF97" s="175"/>
      <c r="AG97" s="175"/>
      <c r="AH97" s="175"/>
      <c r="AI97" s="175"/>
      <c r="AJ97" s="172"/>
      <c r="AK97" s="172"/>
      <c r="AL97" s="172"/>
      <c r="AM97" s="172"/>
      <c r="AN97" s="172"/>
      <c r="AO97" s="172"/>
      <c r="AP97" s="172"/>
      <c r="AQ97" s="172"/>
      <c r="AR97" s="172"/>
      <c r="AS97" s="172"/>
      <c r="AT97" s="172"/>
      <c r="AU97" s="11"/>
      <c r="AV97" s="19"/>
      <c r="AW97" s="19"/>
      <c r="AX97" s="19"/>
      <c r="AY97" s="19"/>
      <c r="AZ97" s="19"/>
      <c r="BA97" s="19"/>
      <c r="BB97" s="19"/>
      <c r="BC97" s="19"/>
      <c r="BD97" s="19"/>
      <c r="BE97" s="12"/>
      <c r="BF97" s="37"/>
      <c r="BG97" s="38"/>
      <c r="BH97" s="38"/>
      <c r="BI97" s="38"/>
      <c r="BJ97" s="38"/>
      <c r="BK97" s="39"/>
    </row>
    <row r="98" spans="1:63" s="154" customFormat="1" ht="15" customHeight="1" x14ac:dyDescent="0.25">
      <c r="A98" s="11"/>
      <c r="B98" s="19"/>
      <c r="C98" s="19"/>
      <c r="D98" s="19"/>
      <c r="E98" s="19"/>
      <c r="F98" s="19"/>
      <c r="G98" s="19"/>
      <c r="H98" s="19"/>
      <c r="I98" s="19"/>
      <c r="J98" s="19"/>
      <c r="K98" s="19"/>
      <c r="L98" s="12"/>
      <c r="M98" s="172"/>
      <c r="N98" s="188" t="s">
        <v>213</v>
      </c>
      <c r="AQ98" s="172"/>
      <c r="AR98" s="172"/>
      <c r="AS98" s="172"/>
      <c r="AT98" s="172"/>
      <c r="AU98" s="11"/>
      <c r="AV98" s="19"/>
      <c r="AW98" s="19"/>
      <c r="AX98" s="19"/>
      <c r="AY98" s="19"/>
      <c r="AZ98" s="19"/>
      <c r="BA98" s="19"/>
      <c r="BB98" s="19"/>
      <c r="BC98" s="19"/>
      <c r="BD98" s="19"/>
      <c r="BE98" s="12"/>
      <c r="BF98" s="37"/>
      <c r="BG98" s="38"/>
      <c r="BH98" s="38"/>
      <c r="BI98" s="38"/>
      <c r="BJ98" s="38"/>
      <c r="BK98" s="39"/>
    </row>
    <row r="99" spans="1:63" s="154" customFormat="1" ht="15" customHeight="1" x14ac:dyDescent="0.25">
      <c r="A99" s="11"/>
      <c r="B99" s="19"/>
      <c r="C99" s="19"/>
      <c r="D99" s="19"/>
      <c r="E99" s="19"/>
      <c r="F99" s="19"/>
      <c r="G99" s="19"/>
      <c r="H99" s="19"/>
      <c r="I99" s="19"/>
      <c r="J99" s="19"/>
      <c r="K99" s="19"/>
      <c r="L99" s="12"/>
      <c r="M99" s="172"/>
      <c r="AQ99" s="172"/>
      <c r="AR99" s="172"/>
      <c r="AS99" s="172"/>
      <c r="AT99" s="172"/>
      <c r="AU99" s="11"/>
      <c r="AV99" s="19"/>
      <c r="AW99" s="19"/>
      <c r="AX99" s="19"/>
      <c r="AY99" s="19"/>
      <c r="AZ99" s="19"/>
      <c r="BA99" s="19"/>
      <c r="BB99" s="19"/>
      <c r="BC99" s="19"/>
      <c r="BD99" s="19"/>
      <c r="BE99" s="12"/>
      <c r="BF99" s="37"/>
      <c r="BG99" s="38"/>
      <c r="BH99" s="38"/>
      <c r="BI99" s="38"/>
      <c r="BJ99" s="38"/>
      <c r="BK99" s="39"/>
    </row>
    <row r="100" spans="1:63" s="154" customFormat="1" ht="15" customHeight="1" x14ac:dyDescent="0.25">
      <c r="A100" s="11"/>
      <c r="B100" s="19"/>
      <c r="C100" s="19"/>
      <c r="D100" s="19"/>
      <c r="E100" s="19"/>
      <c r="F100" s="19"/>
      <c r="G100" s="19"/>
      <c r="H100" s="19"/>
      <c r="I100" s="19"/>
      <c r="J100" s="19"/>
      <c r="K100" s="19"/>
      <c r="L100" s="12"/>
      <c r="M100" s="172"/>
      <c r="N100" s="26" t="s">
        <v>192</v>
      </c>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2"/>
      <c r="AK100" s="172"/>
      <c r="AL100" s="172"/>
      <c r="AM100" s="172"/>
      <c r="AN100" s="172"/>
      <c r="AO100" s="172"/>
      <c r="AP100" s="172"/>
      <c r="AQ100" s="172"/>
      <c r="AR100" s="172"/>
      <c r="AS100" s="172"/>
      <c r="AT100" s="172"/>
      <c r="AU100" s="11"/>
      <c r="AV100" s="19"/>
      <c r="AW100" s="19"/>
      <c r="AX100" s="19"/>
      <c r="AY100" s="19"/>
      <c r="AZ100" s="19"/>
      <c r="BA100" s="19"/>
      <c r="BB100" s="19"/>
      <c r="BC100" s="19"/>
      <c r="BD100" s="19"/>
      <c r="BE100" s="12"/>
      <c r="BF100" s="37"/>
      <c r="BG100" s="38"/>
      <c r="BH100" s="38"/>
      <c r="BI100" s="38"/>
      <c r="BJ100" s="38"/>
      <c r="BK100" s="39"/>
    </row>
    <row r="101" spans="1:63" s="154" customFormat="1" ht="15" customHeight="1" x14ac:dyDescent="0.25">
      <c r="A101" s="11"/>
      <c r="B101" s="19"/>
      <c r="C101" s="19"/>
      <c r="D101" s="19"/>
      <c r="E101" s="19"/>
      <c r="F101" s="19"/>
      <c r="G101" s="19"/>
      <c r="H101" s="19"/>
      <c r="I101" s="19"/>
      <c r="J101" s="19"/>
      <c r="K101" s="19"/>
      <c r="L101" s="12"/>
      <c r="M101" s="172"/>
      <c r="N101" s="172"/>
      <c r="O101" s="175" t="s">
        <v>79</v>
      </c>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2"/>
      <c r="AK101" s="172"/>
      <c r="AL101" s="172"/>
      <c r="AM101" s="172"/>
      <c r="AN101" s="172"/>
      <c r="AO101" s="172"/>
      <c r="AP101" s="172"/>
      <c r="AQ101" s="172"/>
      <c r="AR101" s="172"/>
      <c r="AS101" s="172"/>
      <c r="AT101" s="172"/>
      <c r="AU101" s="11"/>
      <c r="AV101" s="19"/>
      <c r="AW101" s="19"/>
      <c r="AX101" s="19"/>
      <c r="AY101" s="19"/>
      <c r="AZ101" s="19"/>
      <c r="BA101" s="19"/>
      <c r="BB101" s="19"/>
      <c r="BC101" s="19"/>
      <c r="BD101" s="19"/>
      <c r="BE101" s="12"/>
      <c r="BF101" s="37"/>
      <c r="BG101" s="38"/>
      <c r="BH101" s="38"/>
      <c r="BI101" s="38"/>
      <c r="BJ101" s="38"/>
      <c r="BK101" s="39"/>
    </row>
    <row r="102" spans="1:63" s="154" customFormat="1" ht="15" customHeight="1" x14ac:dyDescent="0.25">
      <c r="A102" s="11"/>
      <c r="B102" s="19"/>
      <c r="C102" s="19"/>
      <c r="D102" s="19"/>
      <c r="E102" s="19"/>
      <c r="F102" s="19"/>
      <c r="G102" s="19"/>
      <c r="H102" s="19"/>
      <c r="I102" s="19"/>
      <c r="J102" s="19"/>
      <c r="K102" s="19"/>
      <c r="L102" s="12"/>
      <c r="M102" s="172"/>
      <c r="N102" s="172"/>
      <c r="O102" s="175"/>
      <c r="P102" s="27" t="s">
        <v>10</v>
      </c>
      <c r="Q102" s="28"/>
      <c r="R102" s="28"/>
      <c r="S102" s="28"/>
      <c r="T102" s="28"/>
      <c r="U102" s="28"/>
      <c r="V102" s="28"/>
      <c r="W102" s="27" t="s">
        <v>11</v>
      </c>
      <c r="X102" s="28"/>
      <c r="Y102" s="28"/>
      <c r="Z102" s="28"/>
      <c r="AA102" s="28"/>
      <c r="AB102" s="28"/>
      <c r="AC102" s="28"/>
      <c r="AD102" s="28"/>
      <c r="AE102" s="28"/>
      <c r="AF102" s="28"/>
      <c r="AG102" s="28"/>
      <c r="AH102" s="28"/>
      <c r="AI102" s="28"/>
      <c r="AJ102" s="28"/>
      <c r="AK102" s="28"/>
      <c r="AL102" s="28"/>
      <c r="AM102" s="29"/>
      <c r="AN102" s="172"/>
      <c r="AO102" s="172"/>
      <c r="AP102" s="172"/>
      <c r="AQ102" s="172"/>
      <c r="AR102" s="172"/>
      <c r="AS102" s="172"/>
      <c r="AT102" s="172"/>
      <c r="AU102" s="11"/>
      <c r="AV102" s="19"/>
      <c r="AW102" s="19"/>
      <c r="AX102" s="19"/>
      <c r="AY102" s="19"/>
      <c r="AZ102" s="19"/>
      <c r="BA102" s="19"/>
      <c r="BB102" s="19"/>
      <c r="BC102" s="19"/>
      <c r="BD102" s="19"/>
      <c r="BE102" s="12"/>
      <c r="BF102" s="37"/>
      <c r="BG102" s="38"/>
      <c r="BH102" s="38"/>
      <c r="BI102" s="38"/>
      <c r="BJ102" s="38"/>
      <c r="BK102" s="39"/>
    </row>
    <row r="103" spans="1:63" s="154" customFormat="1" ht="15" customHeight="1" x14ac:dyDescent="0.25">
      <c r="A103" s="11"/>
      <c r="B103" s="19"/>
      <c r="C103" s="19"/>
      <c r="D103" s="19"/>
      <c r="E103" s="19"/>
      <c r="F103" s="19"/>
      <c r="G103" s="19"/>
      <c r="H103" s="19"/>
      <c r="I103" s="19"/>
      <c r="J103" s="19"/>
      <c r="K103" s="19"/>
      <c r="L103" s="12"/>
      <c r="M103" s="172"/>
      <c r="N103" s="172"/>
      <c r="O103" s="175"/>
      <c r="P103" s="179" t="s">
        <v>15</v>
      </c>
      <c r="Q103" s="180"/>
      <c r="R103" s="180"/>
      <c r="S103" s="180"/>
      <c r="T103" s="180"/>
      <c r="U103" s="180"/>
      <c r="V103" s="180"/>
      <c r="W103" s="181" t="s">
        <v>17</v>
      </c>
      <c r="X103" s="182"/>
      <c r="Y103" s="182"/>
      <c r="Z103" s="182"/>
      <c r="AA103" s="182"/>
      <c r="AB103" s="182"/>
      <c r="AC103" s="182"/>
      <c r="AD103" s="182"/>
      <c r="AE103" s="182"/>
      <c r="AF103" s="182"/>
      <c r="AG103" s="182"/>
      <c r="AH103" s="182"/>
      <c r="AI103" s="182"/>
      <c r="AJ103" s="182"/>
      <c r="AK103" s="182"/>
      <c r="AL103" s="182"/>
      <c r="AM103" s="183"/>
      <c r="AN103" s="172"/>
      <c r="AO103" s="172"/>
      <c r="AP103" s="172"/>
      <c r="AQ103" s="172"/>
      <c r="AR103" s="172"/>
      <c r="AS103" s="172"/>
      <c r="AT103" s="172"/>
      <c r="AU103" s="11"/>
      <c r="AV103" s="19"/>
      <c r="AW103" s="19"/>
      <c r="AX103" s="19"/>
      <c r="AY103" s="19"/>
      <c r="AZ103" s="19"/>
      <c r="BA103" s="19"/>
      <c r="BB103" s="19"/>
      <c r="BC103" s="19"/>
      <c r="BD103" s="19"/>
      <c r="BE103" s="12"/>
      <c r="BF103" s="37"/>
      <c r="BG103" s="38"/>
      <c r="BH103" s="38"/>
      <c r="BI103" s="38"/>
      <c r="BJ103" s="38"/>
      <c r="BK103" s="39"/>
    </row>
    <row r="104" spans="1:63" s="154" customFormat="1" ht="15" customHeight="1" x14ac:dyDescent="0.25">
      <c r="A104" s="11"/>
      <c r="B104" s="19"/>
      <c r="C104" s="19"/>
      <c r="D104" s="19"/>
      <c r="E104" s="19"/>
      <c r="F104" s="19"/>
      <c r="G104" s="19"/>
      <c r="H104" s="19"/>
      <c r="I104" s="19"/>
      <c r="J104" s="19"/>
      <c r="K104" s="19"/>
      <c r="L104" s="12"/>
      <c r="M104" s="172"/>
      <c r="N104" s="172"/>
      <c r="O104" s="175"/>
      <c r="P104" s="179" t="s">
        <v>35</v>
      </c>
      <c r="Q104" s="180"/>
      <c r="R104" s="180"/>
      <c r="S104" s="180"/>
      <c r="T104" s="180"/>
      <c r="U104" s="180"/>
      <c r="V104" s="180"/>
      <c r="W104" s="181" t="s">
        <v>149</v>
      </c>
      <c r="X104" s="182"/>
      <c r="Y104" s="182"/>
      <c r="Z104" s="182"/>
      <c r="AA104" s="182"/>
      <c r="AB104" s="182"/>
      <c r="AC104" s="182"/>
      <c r="AD104" s="182"/>
      <c r="AE104" s="182"/>
      <c r="AF104" s="182"/>
      <c r="AG104" s="182"/>
      <c r="AH104" s="182"/>
      <c r="AI104" s="182"/>
      <c r="AJ104" s="182"/>
      <c r="AK104" s="182"/>
      <c r="AL104" s="182"/>
      <c r="AM104" s="183"/>
      <c r="AN104" s="172"/>
      <c r="AO104" s="172"/>
      <c r="AP104" s="172"/>
      <c r="AQ104" s="172"/>
      <c r="AR104" s="172"/>
      <c r="AS104" s="172"/>
      <c r="AT104" s="172"/>
      <c r="AU104" s="11"/>
      <c r="AV104" s="19"/>
      <c r="AW104" s="19"/>
      <c r="AX104" s="19"/>
      <c r="AY104" s="19"/>
      <c r="AZ104" s="19"/>
      <c r="BA104" s="19"/>
      <c r="BB104" s="19"/>
      <c r="BC104" s="19"/>
      <c r="BD104" s="19"/>
      <c r="BE104" s="12"/>
      <c r="BF104" s="37"/>
      <c r="BG104" s="38"/>
      <c r="BH104" s="38"/>
      <c r="BI104" s="38"/>
      <c r="BJ104" s="38"/>
      <c r="BK104" s="39"/>
    </row>
    <row r="105" spans="1:63" s="154" customFormat="1" ht="15" customHeight="1" x14ac:dyDescent="0.25">
      <c r="A105" s="11"/>
      <c r="B105" s="19"/>
      <c r="C105" s="19"/>
      <c r="D105" s="19"/>
      <c r="E105" s="19"/>
      <c r="F105" s="19"/>
      <c r="G105" s="19"/>
      <c r="H105" s="19"/>
      <c r="I105" s="19"/>
      <c r="J105" s="19"/>
      <c r="K105" s="19"/>
      <c r="L105" s="12"/>
      <c r="M105" s="172"/>
      <c r="N105" s="172"/>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2"/>
      <c r="AK105" s="172"/>
      <c r="AL105" s="172"/>
      <c r="AM105" s="172"/>
      <c r="AN105" s="172"/>
      <c r="AO105" s="172"/>
      <c r="AP105" s="172"/>
      <c r="AQ105" s="172"/>
      <c r="AR105" s="172"/>
      <c r="AS105" s="172"/>
      <c r="AT105" s="172"/>
      <c r="AU105" s="11"/>
      <c r="AV105" s="19"/>
      <c r="AW105" s="19"/>
      <c r="AX105" s="19"/>
      <c r="AY105" s="19"/>
      <c r="AZ105" s="19"/>
      <c r="BA105" s="19"/>
      <c r="BB105" s="19"/>
      <c r="BC105" s="19"/>
      <c r="BD105" s="19"/>
      <c r="BE105" s="12"/>
      <c r="BF105" s="37"/>
      <c r="BG105" s="38"/>
      <c r="BH105" s="38"/>
      <c r="BI105" s="38"/>
      <c r="BJ105" s="38"/>
      <c r="BK105" s="39"/>
    </row>
    <row r="106" spans="1:63" s="154" customFormat="1" ht="15" customHeight="1" x14ac:dyDescent="0.25">
      <c r="A106" s="11"/>
      <c r="B106" s="19"/>
      <c r="C106" s="19"/>
      <c r="D106" s="19"/>
      <c r="E106" s="19"/>
      <c r="F106" s="19"/>
      <c r="G106" s="19"/>
      <c r="H106" s="19"/>
      <c r="I106" s="19"/>
      <c r="J106" s="19"/>
      <c r="K106" s="19"/>
      <c r="L106" s="12"/>
      <c r="M106" s="172"/>
      <c r="N106" s="172"/>
      <c r="O106" s="175"/>
      <c r="P106" s="175" t="s">
        <v>78</v>
      </c>
      <c r="Q106" s="175"/>
      <c r="R106" s="175"/>
      <c r="S106" s="175"/>
      <c r="T106" s="175"/>
      <c r="U106" s="175"/>
      <c r="V106" s="175"/>
      <c r="W106" s="175"/>
      <c r="X106" s="175"/>
      <c r="Y106" s="175"/>
      <c r="Z106" s="175"/>
      <c r="AA106" s="175"/>
      <c r="AB106" s="175"/>
      <c r="AC106" s="175"/>
      <c r="AD106" s="175"/>
      <c r="AE106" s="175"/>
      <c r="AF106" s="175"/>
      <c r="AG106" s="175"/>
      <c r="AH106" s="175"/>
      <c r="AI106" s="175"/>
      <c r="AJ106" s="172"/>
      <c r="AK106" s="172"/>
      <c r="AL106" s="172"/>
      <c r="AM106" s="172"/>
      <c r="AN106" s="172"/>
      <c r="AO106" s="172"/>
      <c r="AP106" s="172"/>
      <c r="AQ106" s="172"/>
      <c r="AR106" s="172"/>
      <c r="AS106" s="172"/>
      <c r="AT106" s="172"/>
      <c r="AU106" s="11"/>
      <c r="AV106" s="19"/>
      <c r="AW106" s="19"/>
      <c r="AX106" s="19"/>
      <c r="AY106" s="19"/>
      <c r="AZ106" s="19"/>
      <c r="BA106" s="19"/>
      <c r="BB106" s="19"/>
      <c r="BC106" s="19"/>
      <c r="BD106" s="19"/>
      <c r="BE106" s="12"/>
      <c r="BF106" s="37"/>
      <c r="BG106" s="38"/>
      <c r="BH106" s="38"/>
      <c r="BI106" s="38"/>
      <c r="BJ106" s="38"/>
      <c r="BK106" s="39"/>
    </row>
    <row r="107" spans="1:63" s="154" customFormat="1" ht="15" customHeight="1" x14ac:dyDescent="0.25">
      <c r="A107" s="11"/>
      <c r="B107" s="19"/>
      <c r="C107" s="19"/>
      <c r="D107" s="19"/>
      <c r="E107" s="19"/>
      <c r="F107" s="19"/>
      <c r="G107" s="19"/>
      <c r="H107" s="19"/>
      <c r="I107" s="19"/>
      <c r="J107" s="19"/>
      <c r="K107" s="19"/>
      <c r="L107" s="12"/>
      <c r="M107" s="172"/>
      <c r="N107" s="172"/>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2"/>
      <c r="AK107" s="172"/>
      <c r="AL107" s="172"/>
      <c r="AM107" s="172"/>
      <c r="AN107" s="172"/>
      <c r="AO107" s="172"/>
      <c r="AP107" s="172"/>
      <c r="AQ107" s="172"/>
      <c r="AR107" s="172"/>
      <c r="AS107" s="172"/>
      <c r="AT107" s="172"/>
      <c r="AU107" s="11"/>
      <c r="AV107" s="19"/>
      <c r="AW107" s="19"/>
      <c r="AX107" s="19"/>
      <c r="AY107" s="19"/>
      <c r="AZ107" s="19"/>
      <c r="BA107" s="19"/>
      <c r="BB107" s="19"/>
      <c r="BC107" s="19"/>
      <c r="BD107" s="19"/>
      <c r="BE107" s="12"/>
      <c r="BF107" s="37"/>
      <c r="BG107" s="38"/>
      <c r="BH107" s="38"/>
      <c r="BI107" s="38"/>
      <c r="BJ107" s="38"/>
      <c r="BK107" s="39"/>
    </row>
    <row r="108" spans="1:63" s="154" customFormat="1" ht="15" customHeight="1" x14ac:dyDescent="0.25">
      <c r="A108" s="11"/>
      <c r="B108" s="19"/>
      <c r="C108" s="19"/>
      <c r="D108" s="19"/>
      <c r="E108" s="19"/>
      <c r="F108" s="19"/>
      <c r="G108" s="19"/>
      <c r="H108" s="19"/>
      <c r="I108" s="19"/>
      <c r="J108" s="19"/>
      <c r="K108" s="19"/>
      <c r="L108" s="12"/>
      <c r="M108" s="172"/>
      <c r="N108" s="172"/>
      <c r="O108" s="175" t="s">
        <v>12</v>
      </c>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2"/>
      <c r="AK108" s="172"/>
      <c r="AL108" s="172"/>
      <c r="AM108" s="172"/>
      <c r="AN108" s="172"/>
      <c r="AO108" s="172"/>
      <c r="AP108" s="172"/>
      <c r="AQ108" s="172"/>
      <c r="AR108" s="172"/>
      <c r="AS108" s="172"/>
      <c r="AT108" s="172"/>
      <c r="AU108" s="11"/>
      <c r="AV108" s="19"/>
      <c r="AW108" s="19"/>
      <c r="AX108" s="19"/>
      <c r="AY108" s="19"/>
      <c r="AZ108" s="19"/>
      <c r="BA108" s="19"/>
      <c r="BB108" s="19"/>
      <c r="BC108" s="19"/>
      <c r="BD108" s="19"/>
      <c r="BE108" s="12"/>
      <c r="BF108" s="37"/>
      <c r="BG108" s="38"/>
      <c r="BH108" s="38"/>
      <c r="BI108" s="38"/>
      <c r="BJ108" s="38"/>
      <c r="BK108" s="39"/>
    </row>
    <row r="109" spans="1:63" s="154" customFormat="1" ht="15" customHeight="1" x14ac:dyDescent="0.25">
      <c r="A109" s="11"/>
      <c r="B109" s="19"/>
      <c r="C109" s="19"/>
      <c r="D109" s="19"/>
      <c r="E109" s="19"/>
      <c r="F109" s="19"/>
      <c r="G109" s="19"/>
      <c r="H109" s="19"/>
      <c r="I109" s="19"/>
      <c r="J109" s="19"/>
      <c r="K109" s="19"/>
      <c r="L109" s="12"/>
      <c r="M109" s="172"/>
      <c r="N109" s="172"/>
      <c r="O109" s="175"/>
      <c r="P109" s="175" t="s">
        <v>64</v>
      </c>
      <c r="Q109" s="175"/>
      <c r="R109" s="175"/>
      <c r="S109" s="175"/>
      <c r="T109" s="175"/>
      <c r="U109" s="175"/>
      <c r="V109" s="175"/>
      <c r="W109" s="175"/>
      <c r="X109" s="175"/>
      <c r="Y109" s="175"/>
      <c r="Z109" s="175"/>
      <c r="AA109" s="175"/>
      <c r="AB109" s="175"/>
      <c r="AC109" s="175"/>
      <c r="AD109" s="175"/>
      <c r="AE109" s="175"/>
      <c r="AF109" s="175"/>
      <c r="AG109" s="175"/>
      <c r="AH109" s="175"/>
      <c r="AI109" s="175"/>
      <c r="AJ109" s="172"/>
      <c r="AK109" s="172"/>
      <c r="AL109" s="172"/>
      <c r="AM109" s="172"/>
      <c r="AN109" s="172"/>
      <c r="AO109" s="172"/>
      <c r="AP109" s="172"/>
      <c r="AQ109" s="172"/>
      <c r="AR109" s="172"/>
      <c r="AS109" s="172"/>
      <c r="AT109" s="172"/>
      <c r="AU109" s="11"/>
      <c r="AV109" s="19"/>
      <c r="AW109" s="19"/>
      <c r="AX109" s="19"/>
      <c r="AY109" s="19"/>
      <c r="AZ109" s="19"/>
      <c r="BA109" s="19"/>
      <c r="BB109" s="19"/>
      <c r="BC109" s="19"/>
      <c r="BD109" s="19"/>
      <c r="BE109" s="12"/>
      <c r="BF109" s="37"/>
      <c r="BG109" s="38"/>
      <c r="BH109" s="38"/>
      <c r="BI109" s="38"/>
      <c r="BJ109" s="38"/>
      <c r="BK109" s="39"/>
    </row>
    <row r="110" spans="1:63" s="154" customFormat="1" ht="15" customHeight="1" x14ac:dyDescent="0.25">
      <c r="A110" s="11"/>
      <c r="B110" s="19"/>
      <c r="C110" s="19"/>
      <c r="D110" s="19"/>
      <c r="E110" s="19"/>
      <c r="F110" s="19"/>
      <c r="G110" s="19"/>
      <c r="H110" s="19"/>
      <c r="I110" s="19"/>
      <c r="J110" s="19"/>
      <c r="K110" s="19"/>
      <c r="L110" s="12"/>
      <c r="M110" s="172"/>
      <c r="N110" s="172"/>
      <c r="O110" s="175"/>
      <c r="P110" s="175"/>
      <c r="Q110" s="175" t="s">
        <v>80</v>
      </c>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2"/>
      <c r="AO110" s="172"/>
      <c r="AP110" s="172"/>
      <c r="AQ110" s="172"/>
      <c r="AR110" s="172"/>
      <c r="AS110" s="172"/>
      <c r="AT110" s="172"/>
      <c r="AU110" s="11"/>
      <c r="AV110" s="19"/>
      <c r="AW110" s="19"/>
      <c r="AX110" s="19"/>
      <c r="AY110" s="19"/>
      <c r="AZ110" s="19"/>
      <c r="BA110" s="19"/>
      <c r="BB110" s="19"/>
      <c r="BC110" s="19"/>
      <c r="BD110" s="19"/>
      <c r="BE110" s="12"/>
      <c r="BF110" s="37"/>
      <c r="BG110" s="38"/>
      <c r="BH110" s="38"/>
      <c r="BI110" s="38"/>
      <c r="BJ110" s="38"/>
      <c r="BK110" s="39"/>
    </row>
    <row r="111" spans="1:63" s="154" customFormat="1" ht="15" customHeight="1" x14ac:dyDescent="0.25">
      <c r="A111" s="11"/>
      <c r="B111" s="19"/>
      <c r="C111" s="19"/>
      <c r="D111" s="19"/>
      <c r="E111" s="19"/>
      <c r="F111" s="19"/>
      <c r="G111" s="19"/>
      <c r="H111" s="19"/>
      <c r="I111" s="19"/>
      <c r="J111" s="19"/>
      <c r="K111" s="19"/>
      <c r="L111" s="12"/>
      <c r="M111" s="172"/>
      <c r="N111" s="172"/>
      <c r="O111" s="175"/>
      <c r="P111" s="175"/>
      <c r="Q111" s="175" t="s">
        <v>66</v>
      </c>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2"/>
      <c r="AO111" s="172"/>
      <c r="AP111" s="172"/>
      <c r="AQ111" s="172"/>
      <c r="AR111" s="172"/>
      <c r="AS111" s="172"/>
      <c r="AT111" s="172"/>
      <c r="AU111" s="11"/>
      <c r="AV111" s="19"/>
      <c r="AW111" s="19"/>
      <c r="AX111" s="19"/>
      <c r="AY111" s="19"/>
      <c r="AZ111" s="19"/>
      <c r="BA111" s="19"/>
      <c r="BB111" s="19"/>
      <c r="BC111" s="19"/>
      <c r="BD111" s="19"/>
      <c r="BE111" s="12"/>
      <c r="BF111" s="37"/>
      <c r="BG111" s="38"/>
      <c r="BH111" s="38"/>
      <c r="BI111" s="38"/>
      <c r="BJ111" s="38"/>
      <c r="BK111" s="39"/>
    </row>
    <row r="112" spans="1:63" s="154" customFormat="1" ht="15" customHeight="1" x14ac:dyDescent="0.25">
      <c r="A112" s="11"/>
      <c r="B112" s="19"/>
      <c r="C112" s="19"/>
      <c r="D112" s="19"/>
      <c r="E112" s="19"/>
      <c r="F112" s="19"/>
      <c r="G112" s="19"/>
      <c r="H112" s="19"/>
      <c r="I112" s="19"/>
      <c r="J112" s="19"/>
      <c r="K112" s="19"/>
      <c r="L112" s="12"/>
      <c r="M112" s="172"/>
      <c r="N112" s="172"/>
      <c r="O112" s="175"/>
      <c r="P112" s="175"/>
      <c r="Q112" s="175"/>
      <c r="R112" s="175" t="s">
        <v>162</v>
      </c>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2"/>
      <c r="AO112" s="172"/>
      <c r="AP112" s="172"/>
      <c r="AQ112" s="172"/>
      <c r="AR112" s="172"/>
      <c r="AS112" s="172"/>
      <c r="AT112" s="172"/>
      <c r="AU112" s="11"/>
      <c r="AV112" s="19"/>
      <c r="AW112" s="19"/>
      <c r="AX112" s="19"/>
      <c r="AY112" s="19"/>
      <c r="AZ112" s="19"/>
      <c r="BA112" s="19"/>
      <c r="BB112" s="19"/>
      <c r="BC112" s="19"/>
      <c r="BD112" s="19"/>
      <c r="BE112" s="12"/>
      <c r="BF112" s="37"/>
      <c r="BG112" s="38"/>
      <c r="BH112" s="38"/>
      <c r="BI112" s="38"/>
      <c r="BJ112" s="38"/>
      <c r="BK112" s="39"/>
    </row>
    <row r="113" spans="1:63" s="154" customFormat="1" ht="15" customHeight="1" x14ac:dyDescent="0.25">
      <c r="A113" s="11"/>
      <c r="B113" s="19"/>
      <c r="C113" s="19"/>
      <c r="D113" s="19"/>
      <c r="E113" s="19"/>
      <c r="F113" s="19"/>
      <c r="G113" s="19"/>
      <c r="H113" s="19"/>
      <c r="I113" s="19"/>
      <c r="J113" s="19"/>
      <c r="K113" s="19"/>
      <c r="L113" s="12"/>
      <c r="M113" s="172"/>
      <c r="N113" s="172"/>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2"/>
      <c r="AO113" s="172"/>
      <c r="AP113" s="172"/>
      <c r="AQ113" s="172"/>
      <c r="AR113" s="172"/>
      <c r="AS113" s="172"/>
      <c r="AT113" s="172"/>
      <c r="AU113" s="11"/>
      <c r="AV113" s="19"/>
      <c r="AW113" s="19"/>
      <c r="AX113" s="19"/>
      <c r="AY113" s="19"/>
      <c r="AZ113" s="19"/>
      <c r="BA113" s="19"/>
      <c r="BB113" s="19"/>
      <c r="BC113" s="19"/>
      <c r="BD113" s="19"/>
      <c r="BE113" s="12"/>
      <c r="BF113" s="37"/>
      <c r="BG113" s="38"/>
      <c r="BH113" s="38"/>
      <c r="BI113" s="38"/>
      <c r="BJ113" s="38"/>
      <c r="BK113" s="39"/>
    </row>
    <row r="114" spans="1:63" s="154" customFormat="1" ht="15" customHeight="1" x14ac:dyDescent="0.25">
      <c r="A114" s="11"/>
      <c r="B114" s="19"/>
      <c r="C114" s="19"/>
      <c r="D114" s="19"/>
      <c r="E114" s="19"/>
      <c r="F114" s="19"/>
      <c r="G114" s="19"/>
      <c r="H114" s="19"/>
      <c r="I114" s="19"/>
      <c r="J114" s="19"/>
      <c r="K114" s="19"/>
      <c r="L114" s="12"/>
      <c r="M114" s="172"/>
      <c r="N114" s="172"/>
      <c r="O114" s="175"/>
      <c r="P114" s="172" t="s">
        <v>65</v>
      </c>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2"/>
      <c r="AO114" s="172"/>
      <c r="AP114" s="172"/>
      <c r="AQ114" s="172"/>
      <c r="AR114" s="172"/>
      <c r="AS114" s="172"/>
      <c r="AT114" s="172"/>
      <c r="AU114" s="11"/>
      <c r="AV114" s="19"/>
      <c r="AW114" s="19"/>
      <c r="AX114" s="19"/>
      <c r="AY114" s="19"/>
      <c r="AZ114" s="19"/>
      <c r="BA114" s="19"/>
      <c r="BB114" s="19"/>
      <c r="BC114" s="19"/>
      <c r="BD114" s="19"/>
      <c r="BE114" s="12"/>
      <c r="BF114" s="37"/>
      <c r="BG114" s="38"/>
      <c r="BH114" s="38"/>
      <c r="BI114" s="38"/>
      <c r="BJ114" s="38"/>
      <c r="BK114" s="39"/>
    </row>
    <row r="115" spans="1:63" s="154" customFormat="1" ht="15" customHeight="1" x14ac:dyDescent="0.25">
      <c r="A115" s="11"/>
      <c r="B115" s="19"/>
      <c r="C115" s="19"/>
      <c r="D115" s="19"/>
      <c r="E115" s="19"/>
      <c r="F115" s="19"/>
      <c r="G115" s="19"/>
      <c r="H115" s="19"/>
      <c r="I115" s="19"/>
      <c r="J115" s="19"/>
      <c r="K115" s="19"/>
      <c r="L115" s="12"/>
      <c r="M115" s="172"/>
      <c r="N115" s="172"/>
      <c r="O115" s="175"/>
      <c r="P115" s="175"/>
      <c r="Q115" s="175" t="s">
        <v>32</v>
      </c>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2"/>
      <c r="AO115" s="172"/>
      <c r="AP115" s="172"/>
      <c r="AQ115" s="172"/>
      <c r="AR115" s="172"/>
      <c r="AS115" s="172"/>
      <c r="AT115" s="172"/>
      <c r="AU115" s="11"/>
      <c r="AV115" s="19"/>
      <c r="AW115" s="19"/>
      <c r="AX115" s="19"/>
      <c r="AY115" s="19"/>
      <c r="AZ115" s="19"/>
      <c r="BA115" s="19"/>
      <c r="BB115" s="19"/>
      <c r="BC115" s="19"/>
      <c r="BD115" s="19"/>
      <c r="BE115" s="12"/>
      <c r="BF115" s="37"/>
      <c r="BG115" s="38"/>
      <c r="BH115" s="38"/>
      <c r="BI115" s="38"/>
      <c r="BJ115" s="38"/>
      <c r="BK115" s="39"/>
    </row>
    <row r="116" spans="1:63" s="154" customFormat="1" ht="15" customHeight="1" x14ac:dyDescent="0.25">
      <c r="A116" s="13"/>
      <c r="B116" s="14"/>
      <c r="C116" s="14"/>
      <c r="D116" s="14"/>
      <c r="E116" s="14"/>
      <c r="F116" s="14"/>
      <c r="G116" s="14"/>
      <c r="H116" s="14"/>
      <c r="I116" s="14"/>
      <c r="J116" s="14"/>
      <c r="K116" s="14"/>
      <c r="L116" s="15"/>
      <c r="M116" s="176"/>
      <c r="N116" s="177"/>
      <c r="O116" s="177"/>
      <c r="P116" s="177"/>
      <c r="Q116" s="177"/>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178"/>
      <c r="AQ116" s="178"/>
      <c r="AR116" s="178"/>
      <c r="AS116" s="178"/>
      <c r="AT116" s="178"/>
      <c r="AU116" s="13"/>
      <c r="AV116" s="14"/>
      <c r="AW116" s="14"/>
      <c r="AX116" s="14"/>
      <c r="AY116" s="14"/>
      <c r="AZ116" s="14"/>
      <c r="BA116" s="14"/>
      <c r="BB116" s="14"/>
      <c r="BC116" s="14"/>
      <c r="BD116" s="14"/>
      <c r="BE116" s="15"/>
      <c r="BF116" s="40"/>
      <c r="BG116" s="41"/>
      <c r="BH116" s="41"/>
      <c r="BI116" s="41"/>
      <c r="BJ116" s="41"/>
      <c r="BK116" s="42"/>
    </row>
    <row r="117" spans="1:63" ht="15" customHeight="1" x14ac:dyDescent="0.25">
      <c r="A117" s="21"/>
      <c r="BK117" s="6"/>
    </row>
    <row r="118" spans="1:63" ht="15" customHeight="1" x14ac:dyDescent="0.25">
      <c r="A118" s="21"/>
      <c r="BK118" s="6"/>
    </row>
    <row r="119" spans="1:63" ht="15" customHeight="1" x14ac:dyDescent="0.25">
      <c r="A119" s="21"/>
      <c r="BK119" s="6"/>
    </row>
    <row r="120" spans="1:63" s="154" customFormat="1" ht="15" customHeight="1" x14ac:dyDescent="0.25">
      <c r="A120" s="160" t="s">
        <v>3</v>
      </c>
      <c r="B120" s="161"/>
      <c r="C120" s="161"/>
      <c r="D120" s="161"/>
      <c r="E120" s="161"/>
      <c r="F120" s="162"/>
      <c r="G120" s="156" t="s">
        <v>102</v>
      </c>
      <c r="H120" s="156"/>
      <c r="I120" s="156"/>
      <c r="J120" s="156"/>
      <c r="K120" s="156"/>
      <c r="L120" s="156"/>
      <c r="M120" s="163" t="s">
        <v>67</v>
      </c>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164"/>
      <c r="BI120" s="164"/>
      <c r="BJ120" s="164"/>
      <c r="BK120" s="165"/>
    </row>
    <row r="121" spans="1:63" s="154" customFormat="1" ht="15" customHeight="1" x14ac:dyDescent="0.25">
      <c r="A121" s="166" t="s">
        <v>4</v>
      </c>
      <c r="B121" s="167"/>
      <c r="C121" s="167"/>
      <c r="D121" s="167"/>
      <c r="E121" s="167"/>
      <c r="F121" s="167"/>
      <c r="G121" s="167"/>
      <c r="H121" s="167"/>
      <c r="I121" s="167"/>
      <c r="J121" s="167"/>
      <c r="K121" s="167"/>
      <c r="L121" s="168"/>
      <c r="M121" s="166" t="s">
        <v>5</v>
      </c>
      <c r="N121" s="167"/>
      <c r="O121" s="167"/>
      <c r="P121" s="167"/>
      <c r="Q121" s="167"/>
      <c r="R121" s="167"/>
      <c r="S121" s="167"/>
      <c r="T121" s="167"/>
      <c r="U121" s="167"/>
      <c r="V121" s="167"/>
      <c r="W121" s="167"/>
      <c r="X121" s="167"/>
      <c r="Y121" s="167"/>
      <c r="Z121" s="167"/>
      <c r="AA121" s="167"/>
      <c r="AB121" s="167"/>
      <c r="AC121" s="167"/>
      <c r="AD121" s="167"/>
      <c r="AE121" s="167"/>
      <c r="AF121" s="167"/>
      <c r="AG121" s="167"/>
      <c r="AH121" s="167"/>
      <c r="AI121" s="167"/>
      <c r="AJ121" s="167"/>
      <c r="AK121" s="167"/>
      <c r="AL121" s="167"/>
      <c r="AM121" s="167"/>
      <c r="AN121" s="167"/>
      <c r="AO121" s="167"/>
      <c r="AP121" s="167"/>
      <c r="AQ121" s="167"/>
      <c r="AR121" s="167"/>
      <c r="AS121" s="167"/>
      <c r="AT121" s="168"/>
      <c r="AU121" s="166" t="s">
        <v>6</v>
      </c>
      <c r="AV121" s="167"/>
      <c r="AW121" s="167"/>
      <c r="AX121" s="167"/>
      <c r="AY121" s="167"/>
      <c r="AZ121" s="167"/>
      <c r="BA121" s="167"/>
      <c r="BB121" s="167"/>
      <c r="BC121" s="167"/>
      <c r="BD121" s="167"/>
      <c r="BE121" s="167"/>
      <c r="BF121" s="166" t="s">
        <v>7</v>
      </c>
      <c r="BG121" s="167"/>
      <c r="BH121" s="167"/>
      <c r="BI121" s="167"/>
      <c r="BJ121" s="167"/>
      <c r="BK121" s="168"/>
    </row>
    <row r="122" spans="1:63" s="154" customFormat="1" ht="15" customHeight="1" x14ac:dyDescent="0.25">
      <c r="A122" s="169"/>
      <c r="B122" s="170"/>
      <c r="C122" s="170"/>
      <c r="D122" s="170"/>
      <c r="E122" s="170"/>
      <c r="F122" s="170"/>
      <c r="G122" s="170"/>
      <c r="H122" s="170"/>
      <c r="I122" s="170"/>
      <c r="J122" s="170"/>
      <c r="K122" s="170"/>
      <c r="L122" s="171"/>
      <c r="M122" s="169"/>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1"/>
      <c r="AU122" s="169"/>
      <c r="AV122" s="170"/>
      <c r="AW122" s="170"/>
      <c r="AX122" s="170"/>
      <c r="AY122" s="170"/>
      <c r="AZ122" s="170"/>
      <c r="BA122" s="170"/>
      <c r="BB122" s="170"/>
      <c r="BC122" s="170"/>
      <c r="BD122" s="170"/>
      <c r="BE122" s="170"/>
      <c r="BF122" s="169"/>
      <c r="BG122" s="170"/>
      <c r="BH122" s="170"/>
      <c r="BI122" s="170"/>
      <c r="BJ122" s="170"/>
      <c r="BK122" s="171"/>
    </row>
    <row r="123" spans="1:63" s="154" customFormat="1" ht="15" customHeight="1" x14ac:dyDescent="0.25">
      <c r="A123" s="8"/>
      <c r="B123" s="9"/>
      <c r="C123" s="9"/>
      <c r="D123" s="9"/>
      <c r="E123" s="9"/>
      <c r="F123" s="9"/>
      <c r="G123" s="9"/>
      <c r="H123" s="9"/>
      <c r="I123" s="9"/>
      <c r="J123" s="9"/>
      <c r="K123" s="9"/>
      <c r="L123" s="10"/>
      <c r="M123" s="172"/>
      <c r="N123" s="172"/>
      <c r="O123" s="172"/>
      <c r="P123" s="172"/>
      <c r="Q123" s="172"/>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8"/>
      <c r="AV123" s="9"/>
      <c r="AW123" s="9"/>
      <c r="AX123" s="9"/>
      <c r="AY123" s="9"/>
      <c r="AZ123" s="9"/>
      <c r="BA123" s="9"/>
      <c r="BB123" s="9"/>
      <c r="BC123" s="9"/>
      <c r="BD123" s="9"/>
      <c r="BE123" s="10"/>
      <c r="BF123" s="34" t="s">
        <v>49</v>
      </c>
      <c r="BG123" s="35"/>
      <c r="BH123" s="35"/>
      <c r="BI123" s="35"/>
      <c r="BJ123" s="35"/>
      <c r="BK123" s="36"/>
    </row>
    <row r="124" spans="1:63" s="154" customFormat="1" ht="15" customHeight="1" x14ac:dyDescent="0.25">
      <c r="A124" s="11"/>
      <c r="B124" s="19"/>
      <c r="C124" s="19"/>
      <c r="D124" s="19"/>
      <c r="E124" s="19"/>
      <c r="F124" s="19"/>
      <c r="G124" s="19"/>
      <c r="H124" s="19"/>
      <c r="I124" s="19"/>
      <c r="J124" s="19"/>
      <c r="K124" s="19"/>
      <c r="L124" s="12"/>
      <c r="M124" s="172"/>
      <c r="N124" s="22" t="s">
        <v>193</v>
      </c>
      <c r="O124" s="172"/>
      <c r="P124" s="172"/>
      <c r="Q124" s="172"/>
      <c r="R124" s="172"/>
      <c r="S124" s="172"/>
      <c r="T124" s="172"/>
      <c r="U124" s="172"/>
      <c r="V124" s="172"/>
      <c r="W124" s="172"/>
      <c r="X124" s="172"/>
      <c r="Y124" s="172"/>
      <c r="Z124" s="172"/>
      <c r="AA124" s="172"/>
      <c r="AB124" s="172"/>
      <c r="AC124" s="172"/>
      <c r="AD124" s="172"/>
      <c r="AE124" s="172"/>
      <c r="AF124" s="172"/>
      <c r="AG124" s="172"/>
      <c r="AH124" s="172"/>
      <c r="AI124" s="172"/>
      <c r="AJ124" s="172"/>
      <c r="AK124" s="172"/>
      <c r="AL124" s="172"/>
      <c r="AM124" s="172"/>
      <c r="AN124" s="172"/>
      <c r="AO124" s="172"/>
      <c r="AP124" s="172"/>
      <c r="AQ124" s="172"/>
      <c r="AR124" s="172"/>
      <c r="AS124" s="172"/>
      <c r="AT124" s="172"/>
      <c r="AU124" s="11"/>
      <c r="AV124" s="19"/>
      <c r="AW124" s="19"/>
      <c r="AX124" s="19"/>
      <c r="AY124" s="19"/>
      <c r="AZ124" s="19"/>
      <c r="BA124" s="19"/>
      <c r="BB124" s="19"/>
      <c r="BC124" s="19"/>
      <c r="BD124" s="19"/>
      <c r="BE124" s="12"/>
      <c r="BF124" s="37"/>
      <c r="BG124" s="38"/>
      <c r="BH124" s="38"/>
      <c r="BI124" s="38"/>
      <c r="BJ124" s="38"/>
      <c r="BK124" s="39"/>
    </row>
    <row r="125" spans="1:63" s="154" customFormat="1" ht="15" customHeight="1" x14ac:dyDescent="0.25">
      <c r="A125" s="11"/>
      <c r="B125" s="19"/>
      <c r="C125" s="19"/>
      <c r="D125" s="19"/>
      <c r="E125" s="19"/>
      <c r="F125" s="19"/>
      <c r="G125" s="19"/>
      <c r="H125" s="19"/>
      <c r="I125" s="19"/>
      <c r="J125" s="19"/>
      <c r="K125" s="19"/>
      <c r="L125" s="12"/>
      <c r="M125" s="174"/>
      <c r="N125" s="172"/>
      <c r="O125" s="175" t="s">
        <v>42</v>
      </c>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2"/>
      <c r="AK125" s="172"/>
      <c r="AL125" s="172"/>
      <c r="AM125" s="172"/>
      <c r="AN125" s="172"/>
      <c r="AO125" s="172"/>
      <c r="AP125" s="172"/>
      <c r="AQ125" s="172"/>
      <c r="AR125" s="172"/>
      <c r="AS125" s="172"/>
      <c r="AT125" s="172"/>
      <c r="AU125" s="11"/>
      <c r="AV125" s="19"/>
      <c r="AW125" s="19"/>
      <c r="AX125" s="19"/>
      <c r="AY125" s="19"/>
      <c r="AZ125" s="19"/>
      <c r="BA125" s="19"/>
      <c r="BB125" s="19"/>
      <c r="BC125" s="19"/>
      <c r="BD125" s="19"/>
      <c r="BE125" s="12"/>
      <c r="BF125" s="37"/>
      <c r="BG125" s="38"/>
      <c r="BH125" s="38"/>
      <c r="BI125" s="38"/>
      <c r="BJ125" s="38"/>
      <c r="BK125" s="39"/>
    </row>
    <row r="126" spans="1:63" s="154" customFormat="1" ht="15" customHeight="1" x14ac:dyDescent="0.25">
      <c r="A126" s="11"/>
      <c r="B126" s="19"/>
      <c r="C126" s="19"/>
      <c r="D126" s="19"/>
      <c r="E126" s="19"/>
      <c r="F126" s="19"/>
      <c r="G126" s="19"/>
      <c r="H126" s="19"/>
      <c r="I126" s="19"/>
      <c r="J126" s="19"/>
      <c r="K126" s="19"/>
      <c r="L126" s="12"/>
      <c r="M126" s="172"/>
      <c r="N126" s="175"/>
      <c r="O126" s="175" t="s">
        <v>19</v>
      </c>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2"/>
      <c r="AK126" s="172"/>
      <c r="AL126" s="172"/>
      <c r="AM126" s="172"/>
      <c r="AN126" s="172"/>
      <c r="AO126" s="172"/>
      <c r="AP126" s="172"/>
      <c r="AQ126" s="172"/>
      <c r="AR126" s="172"/>
      <c r="AS126" s="172"/>
      <c r="AT126" s="172"/>
      <c r="AU126" s="11"/>
      <c r="AV126" s="19"/>
      <c r="AW126" s="19"/>
      <c r="AX126" s="19"/>
      <c r="AY126" s="19"/>
      <c r="AZ126" s="19"/>
      <c r="BA126" s="19"/>
      <c r="BB126" s="19"/>
      <c r="BC126" s="19"/>
      <c r="BD126" s="19"/>
      <c r="BE126" s="12"/>
      <c r="BF126" s="37"/>
      <c r="BG126" s="38"/>
      <c r="BH126" s="38"/>
      <c r="BI126" s="38"/>
      <c r="BJ126" s="38"/>
      <c r="BK126" s="39"/>
    </row>
    <row r="127" spans="1:63" s="154" customFormat="1" ht="15" customHeight="1" x14ac:dyDescent="0.25">
      <c r="A127" s="11"/>
      <c r="B127" s="19"/>
      <c r="C127" s="19"/>
      <c r="D127" s="19"/>
      <c r="E127" s="19"/>
      <c r="F127" s="19"/>
      <c r="G127" s="19"/>
      <c r="H127" s="19"/>
      <c r="I127" s="19"/>
      <c r="J127" s="19"/>
      <c r="K127" s="19"/>
      <c r="L127" s="12"/>
      <c r="M127" s="172"/>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2"/>
      <c r="AK127" s="172"/>
      <c r="AL127" s="172"/>
      <c r="AM127" s="172"/>
      <c r="AN127" s="172"/>
      <c r="AO127" s="172"/>
      <c r="AP127" s="172"/>
      <c r="AQ127" s="172"/>
      <c r="AR127" s="172"/>
      <c r="AS127" s="172"/>
      <c r="AT127" s="172"/>
      <c r="AU127" s="11"/>
      <c r="AV127" s="19"/>
      <c r="AW127" s="19"/>
      <c r="AX127" s="19"/>
      <c r="AY127" s="19"/>
      <c r="AZ127" s="19"/>
      <c r="BA127" s="19"/>
      <c r="BB127" s="19"/>
      <c r="BC127" s="19"/>
      <c r="BD127" s="19"/>
      <c r="BE127" s="12"/>
      <c r="BF127" s="23"/>
      <c r="BG127" s="24"/>
      <c r="BH127" s="24"/>
      <c r="BI127" s="24"/>
      <c r="BJ127" s="24"/>
      <c r="BK127" s="25"/>
    </row>
    <row r="128" spans="1:63" s="154" customFormat="1" ht="15" customHeight="1" x14ac:dyDescent="0.25">
      <c r="A128" s="11"/>
      <c r="B128" s="19"/>
      <c r="C128" s="19"/>
      <c r="D128" s="19"/>
      <c r="E128" s="19"/>
      <c r="F128" s="19"/>
      <c r="G128" s="19"/>
      <c r="H128" s="19"/>
      <c r="I128" s="19"/>
      <c r="J128" s="19"/>
      <c r="K128" s="19"/>
      <c r="L128" s="12"/>
      <c r="M128" s="172"/>
      <c r="N128" s="22" t="s">
        <v>194</v>
      </c>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2"/>
      <c r="AK128" s="172"/>
      <c r="AL128" s="172"/>
      <c r="AM128" s="172"/>
      <c r="AN128" s="172"/>
      <c r="AO128" s="172"/>
      <c r="AP128" s="172"/>
      <c r="AQ128" s="172"/>
      <c r="AR128" s="172"/>
      <c r="AS128" s="172"/>
      <c r="AT128" s="172"/>
      <c r="AU128" s="11"/>
      <c r="AV128" s="19"/>
      <c r="AW128" s="19"/>
      <c r="AX128" s="19"/>
      <c r="AY128" s="19"/>
      <c r="AZ128" s="19"/>
      <c r="BA128" s="19"/>
      <c r="BB128" s="19"/>
      <c r="BC128" s="19"/>
      <c r="BD128" s="19"/>
      <c r="BE128" s="12"/>
      <c r="BF128" s="23"/>
      <c r="BG128" s="24"/>
      <c r="BH128" s="24"/>
      <c r="BI128" s="24"/>
      <c r="BJ128" s="24"/>
      <c r="BK128" s="25"/>
    </row>
    <row r="129" spans="1:63" s="154" customFormat="1" ht="15" customHeight="1" x14ac:dyDescent="0.25">
      <c r="A129" s="11"/>
      <c r="B129" s="19"/>
      <c r="C129" s="19"/>
      <c r="D129" s="19"/>
      <c r="E129" s="19"/>
      <c r="F129" s="19"/>
      <c r="G129" s="19"/>
      <c r="H129" s="19"/>
      <c r="I129" s="19"/>
      <c r="J129" s="19"/>
      <c r="K129" s="19"/>
      <c r="L129" s="12"/>
      <c r="M129" s="172"/>
      <c r="N129" s="175"/>
      <c r="O129" s="175" t="s">
        <v>41</v>
      </c>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2"/>
      <c r="AK129" s="172"/>
      <c r="AL129" s="172"/>
      <c r="AM129" s="172"/>
      <c r="AN129" s="172"/>
      <c r="AO129" s="172"/>
      <c r="AP129" s="172"/>
      <c r="AQ129" s="172"/>
      <c r="AR129" s="172"/>
      <c r="AS129" s="172"/>
      <c r="AT129" s="172"/>
      <c r="AU129" s="11"/>
      <c r="AV129" s="19"/>
      <c r="AW129" s="19"/>
      <c r="AX129" s="19"/>
      <c r="AY129" s="19"/>
      <c r="AZ129" s="19"/>
      <c r="BA129" s="19"/>
      <c r="BB129" s="19"/>
      <c r="BC129" s="19"/>
      <c r="BD129" s="19"/>
      <c r="BE129" s="12"/>
      <c r="BF129" s="23"/>
      <c r="BG129" s="24"/>
      <c r="BH129" s="24"/>
      <c r="BI129" s="24"/>
      <c r="BJ129" s="24"/>
      <c r="BK129" s="25"/>
    </row>
    <row r="130" spans="1:63" s="154" customFormat="1" ht="15" customHeight="1" x14ac:dyDescent="0.25">
      <c r="A130" s="11"/>
      <c r="B130" s="19"/>
      <c r="C130" s="19"/>
      <c r="D130" s="19"/>
      <c r="E130" s="19"/>
      <c r="F130" s="19"/>
      <c r="G130" s="19"/>
      <c r="H130" s="19"/>
      <c r="I130" s="19"/>
      <c r="J130" s="19"/>
      <c r="K130" s="19"/>
      <c r="L130" s="12"/>
      <c r="M130" s="172"/>
      <c r="N130" s="175"/>
      <c r="O130" s="175" t="s">
        <v>18</v>
      </c>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2"/>
      <c r="AK130" s="172"/>
      <c r="AL130" s="172"/>
      <c r="AM130" s="172"/>
      <c r="AN130" s="172"/>
      <c r="AO130" s="172"/>
      <c r="AP130" s="172"/>
      <c r="AQ130" s="172"/>
      <c r="AR130" s="172"/>
      <c r="AS130" s="172"/>
      <c r="AT130" s="172"/>
      <c r="AU130" s="11"/>
      <c r="AV130" s="19"/>
      <c r="AW130" s="19"/>
      <c r="AX130" s="19"/>
      <c r="AY130" s="19"/>
      <c r="AZ130" s="19"/>
      <c r="BA130" s="19"/>
      <c r="BB130" s="19"/>
      <c r="BC130" s="19"/>
      <c r="BD130" s="19"/>
      <c r="BE130" s="12"/>
      <c r="BF130" s="23"/>
      <c r="BG130" s="24"/>
      <c r="BH130" s="24"/>
      <c r="BI130" s="24"/>
      <c r="BJ130" s="24"/>
      <c r="BK130" s="25"/>
    </row>
    <row r="131" spans="1:63" s="154" customFormat="1" ht="15" customHeight="1" x14ac:dyDescent="0.25">
      <c r="A131" s="11"/>
      <c r="B131" s="19"/>
      <c r="C131" s="19"/>
      <c r="D131" s="19"/>
      <c r="E131" s="19"/>
      <c r="F131" s="19"/>
      <c r="G131" s="19"/>
      <c r="H131" s="19"/>
      <c r="I131" s="19"/>
      <c r="J131" s="19"/>
      <c r="K131" s="19"/>
      <c r="L131" s="12"/>
      <c r="M131" s="172"/>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2"/>
      <c r="AK131" s="172"/>
      <c r="AL131" s="172"/>
      <c r="AM131" s="172"/>
      <c r="AN131" s="172"/>
      <c r="AO131" s="172"/>
      <c r="AP131" s="172"/>
      <c r="AQ131" s="172"/>
      <c r="AR131" s="172"/>
      <c r="AS131" s="172"/>
      <c r="AT131" s="172"/>
      <c r="AU131" s="11"/>
      <c r="AV131" s="19"/>
      <c r="AW131" s="19"/>
      <c r="AX131" s="19"/>
      <c r="AY131" s="19"/>
      <c r="AZ131" s="19"/>
      <c r="BA131" s="19"/>
      <c r="BB131" s="19"/>
      <c r="BC131" s="19"/>
      <c r="BD131" s="19"/>
      <c r="BE131" s="12"/>
      <c r="BF131" s="23"/>
      <c r="BG131" s="24"/>
      <c r="BH131" s="24"/>
      <c r="BI131" s="24"/>
      <c r="BJ131" s="24"/>
      <c r="BK131" s="25"/>
    </row>
    <row r="132" spans="1:63" s="154" customFormat="1" ht="15" customHeight="1" x14ac:dyDescent="0.25">
      <c r="A132" s="11"/>
      <c r="B132" s="19"/>
      <c r="C132" s="19"/>
      <c r="D132" s="19"/>
      <c r="E132" s="19"/>
      <c r="F132" s="19"/>
      <c r="G132" s="19"/>
      <c r="H132" s="19"/>
      <c r="I132" s="19"/>
      <c r="J132" s="19"/>
      <c r="K132" s="19"/>
      <c r="L132" s="12"/>
      <c r="M132" s="172"/>
      <c r="N132" s="175" t="s">
        <v>46</v>
      </c>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2"/>
      <c r="AK132" s="172"/>
      <c r="AL132" s="172"/>
      <c r="AM132" s="172"/>
      <c r="AN132" s="172"/>
      <c r="AO132" s="172"/>
      <c r="AP132" s="172"/>
      <c r="AQ132" s="172"/>
      <c r="AR132" s="172"/>
      <c r="AS132" s="172"/>
      <c r="AT132" s="172"/>
      <c r="AU132" s="11"/>
      <c r="AV132" s="19"/>
      <c r="AW132" s="19"/>
      <c r="AX132" s="19"/>
      <c r="AY132" s="19"/>
      <c r="AZ132" s="19"/>
      <c r="BA132" s="19"/>
      <c r="BB132" s="19"/>
      <c r="BC132" s="19"/>
      <c r="BD132" s="19"/>
      <c r="BE132" s="12"/>
      <c r="BF132" s="23"/>
      <c r="BG132" s="24"/>
      <c r="BH132" s="24"/>
      <c r="BI132" s="24"/>
      <c r="BJ132" s="24"/>
      <c r="BK132" s="25"/>
    </row>
    <row r="133" spans="1:63" s="154" customFormat="1" ht="15" customHeight="1" x14ac:dyDescent="0.25">
      <c r="A133" s="13"/>
      <c r="B133" s="14"/>
      <c r="C133" s="14"/>
      <c r="D133" s="14"/>
      <c r="E133" s="14"/>
      <c r="F133" s="14"/>
      <c r="G133" s="14"/>
      <c r="H133" s="14"/>
      <c r="I133" s="14"/>
      <c r="J133" s="14"/>
      <c r="K133" s="14"/>
      <c r="L133" s="15"/>
      <c r="M133" s="176"/>
      <c r="N133" s="177"/>
      <c r="O133" s="177"/>
      <c r="P133" s="177"/>
      <c r="Q133" s="177"/>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178"/>
      <c r="AQ133" s="178"/>
      <c r="AR133" s="178"/>
      <c r="AS133" s="178"/>
      <c r="AT133" s="178"/>
      <c r="AU133" s="13"/>
      <c r="AV133" s="14"/>
      <c r="AW133" s="14"/>
      <c r="AX133" s="14"/>
      <c r="AY133" s="14"/>
      <c r="AZ133" s="14"/>
      <c r="BA133" s="14"/>
      <c r="BB133" s="14"/>
      <c r="BC133" s="14"/>
      <c r="BD133" s="14"/>
      <c r="BE133" s="15"/>
      <c r="BF133" s="40"/>
      <c r="BG133" s="41"/>
      <c r="BH133" s="41"/>
      <c r="BI133" s="41"/>
      <c r="BJ133" s="41"/>
      <c r="BK133" s="42"/>
    </row>
    <row r="134" spans="1:63" ht="15" customHeight="1" x14ac:dyDescent="0.25">
      <c r="A134" s="21"/>
      <c r="BK134" s="6"/>
    </row>
    <row r="135" spans="1:63" ht="15" customHeight="1" x14ac:dyDescent="0.25">
      <c r="A135" s="21"/>
      <c r="BK135" s="6"/>
    </row>
    <row r="136" spans="1:63" ht="15" customHeight="1" x14ac:dyDescent="0.25">
      <c r="A136" s="21"/>
      <c r="BK136" s="6"/>
    </row>
    <row r="137" spans="1:63" s="154" customFormat="1" ht="15" customHeight="1" x14ac:dyDescent="0.25">
      <c r="A137" s="160" t="s">
        <v>3</v>
      </c>
      <c r="B137" s="161"/>
      <c r="C137" s="161"/>
      <c r="D137" s="161"/>
      <c r="E137" s="161"/>
      <c r="F137" s="162"/>
      <c r="G137" s="156" t="s">
        <v>101</v>
      </c>
      <c r="H137" s="156"/>
      <c r="I137" s="156"/>
      <c r="J137" s="156"/>
      <c r="K137" s="156"/>
      <c r="L137" s="156"/>
      <c r="M137" s="163" t="s">
        <v>68</v>
      </c>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164"/>
      <c r="BI137" s="164"/>
      <c r="BJ137" s="164"/>
      <c r="BK137" s="165"/>
    </row>
    <row r="138" spans="1:63" s="154" customFormat="1" ht="15" customHeight="1" x14ac:dyDescent="0.25">
      <c r="A138" s="166" t="s">
        <v>4</v>
      </c>
      <c r="B138" s="167"/>
      <c r="C138" s="167"/>
      <c r="D138" s="167"/>
      <c r="E138" s="167"/>
      <c r="F138" s="167"/>
      <c r="G138" s="167"/>
      <c r="H138" s="167"/>
      <c r="I138" s="167"/>
      <c r="J138" s="167"/>
      <c r="K138" s="167"/>
      <c r="L138" s="168"/>
      <c r="M138" s="166" t="s">
        <v>5</v>
      </c>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8"/>
      <c r="AU138" s="166" t="s">
        <v>6</v>
      </c>
      <c r="AV138" s="167"/>
      <c r="AW138" s="167"/>
      <c r="AX138" s="167"/>
      <c r="AY138" s="167"/>
      <c r="AZ138" s="167"/>
      <c r="BA138" s="167"/>
      <c r="BB138" s="167"/>
      <c r="BC138" s="167"/>
      <c r="BD138" s="167"/>
      <c r="BE138" s="167"/>
      <c r="BF138" s="166" t="s">
        <v>7</v>
      </c>
      <c r="BG138" s="167"/>
      <c r="BH138" s="167"/>
      <c r="BI138" s="167"/>
      <c r="BJ138" s="167"/>
      <c r="BK138" s="168"/>
    </row>
    <row r="139" spans="1:63" s="154" customFormat="1" ht="15" customHeight="1" x14ac:dyDescent="0.25">
      <c r="A139" s="169"/>
      <c r="B139" s="170"/>
      <c r="C139" s="170"/>
      <c r="D139" s="170"/>
      <c r="E139" s="170"/>
      <c r="F139" s="170"/>
      <c r="G139" s="170"/>
      <c r="H139" s="170"/>
      <c r="I139" s="170"/>
      <c r="J139" s="170"/>
      <c r="K139" s="170"/>
      <c r="L139" s="171"/>
      <c r="M139" s="169"/>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1"/>
      <c r="AU139" s="169"/>
      <c r="AV139" s="170"/>
      <c r="AW139" s="170"/>
      <c r="AX139" s="170"/>
      <c r="AY139" s="170"/>
      <c r="AZ139" s="170"/>
      <c r="BA139" s="170"/>
      <c r="BB139" s="170"/>
      <c r="BC139" s="170"/>
      <c r="BD139" s="170"/>
      <c r="BE139" s="170"/>
      <c r="BF139" s="169"/>
      <c r="BG139" s="170"/>
      <c r="BH139" s="170"/>
      <c r="BI139" s="170"/>
      <c r="BJ139" s="170"/>
      <c r="BK139" s="171"/>
    </row>
    <row r="140" spans="1:63" s="154" customFormat="1" ht="15" customHeight="1" x14ac:dyDescent="0.25">
      <c r="A140" s="11"/>
      <c r="B140" s="19"/>
      <c r="C140" s="19"/>
      <c r="D140" s="19"/>
      <c r="E140" s="19"/>
      <c r="F140" s="19"/>
      <c r="G140" s="19"/>
      <c r="H140" s="19"/>
      <c r="I140" s="19"/>
      <c r="J140" s="19"/>
      <c r="K140" s="19"/>
      <c r="L140" s="12"/>
      <c r="M140" s="172"/>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2"/>
      <c r="AK140" s="172"/>
      <c r="AL140" s="172"/>
      <c r="AM140" s="172"/>
      <c r="AN140" s="172"/>
      <c r="AO140" s="172"/>
      <c r="AP140" s="172"/>
      <c r="AQ140" s="172"/>
      <c r="AR140" s="172"/>
      <c r="AS140" s="172"/>
      <c r="AT140" s="172"/>
      <c r="AU140" s="11"/>
      <c r="AV140" s="19"/>
      <c r="AW140" s="19"/>
      <c r="AX140" s="19"/>
      <c r="AY140" s="19"/>
      <c r="AZ140" s="19"/>
      <c r="BA140" s="19"/>
      <c r="BB140" s="19"/>
      <c r="BC140" s="19"/>
      <c r="BD140" s="19"/>
      <c r="BE140" s="12"/>
      <c r="BF140" s="189" t="s">
        <v>216</v>
      </c>
      <c r="BG140" s="38"/>
      <c r="BH140" s="38"/>
      <c r="BI140" s="38"/>
      <c r="BJ140" s="38"/>
      <c r="BK140" s="39"/>
    </row>
    <row r="141" spans="1:63" s="154" customFormat="1" ht="15" customHeight="1" x14ac:dyDescent="0.25">
      <c r="A141" s="11"/>
      <c r="B141" s="19"/>
      <c r="C141" s="19"/>
      <c r="D141" s="19"/>
      <c r="E141" s="19"/>
      <c r="F141" s="19"/>
      <c r="G141" s="19"/>
      <c r="H141" s="19"/>
      <c r="I141" s="19"/>
      <c r="J141" s="19"/>
      <c r="K141" s="19"/>
      <c r="L141" s="12"/>
      <c r="M141" s="172"/>
      <c r="N141" s="26" t="s">
        <v>195</v>
      </c>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2"/>
      <c r="AK141" s="172"/>
      <c r="AL141" s="172"/>
      <c r="AM141" s="172"/>
      <c r="AN141" s="172"/>
      <c r="AO141" s="172"/>
      <c r="AP141" s="172"/>
      <c r="AQ141" s="172"/>
      <c r="AR141" s="172"/>
      <c r="AS141" s="172"/>
      <c r="AT141" s="172"/>
      <c r="AU141" s="11"/>
      <c r="AV141" s="19"/>
      <c r="AW141" s="19"/>
      <c r="AX141" s="19"/>
      <c r="AY141" s="19"/>
      <c r="AZ141" s="19"/>
      <c r="BA141" s="19"/>
      <c r="BB141" s="19"/>
      <c r="BC141" s="19"/>
      <c r="BD141" s="19"/>
      <c r="BE141" s="12"/>
      <c r="BF141" s="37"/>
      <c r="BG141" s="38"/>
      <c r="BH141" s="38"/>
      <c r="BI141" s="38"/>
      <c r="BJ141" s="38"/>
      <c r="BK141" s="39"/>
    </row>
    <row r="142" spans="1:63" s="154" customFormat="1" ht="15" customHeight="1" x14ac:dyDescent="0.25">
      <c r="A142" s="11"/>
      <c r="B142" s="19"/>
      <c r="C142" s="19"/>
      <c r="D142" s="19"/>
      <c r="E142" s="19"/>
      <c r="F142" s="19"/>
      <c r="G142" s="19"/>
      <c r="H142" s="19"/>
      <c r="I142" s="19"/>
      <c r="J142" s="19"/>
      <c r="K142" s="19"/>
      <c r="L142" s="12"/>
      <c r="M142" s="172"/>
      <c r="N142" s="26"/>
      <c r="O142" s="175" t="s">
        <v>196</v>
      </c>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2"/>
      <c r="AK142" s="172"/>
      <c r="AL142" s="172"/>
      <c r="AM142" s="172"/>
      <c r="AN142" s="172"/>
      <c r="AO142" s="172"/>
      <c r="AP142" s="172"/>
      <c r="AQ142" s="172"/>
      <c r="AR142" s="172"/>
      <c r="AS142" s="172"/>
      <c r="AT142" s="172"/>
      <c r="AU142" s="11"/>
      <c r="AV142" s="19"/>
      <c r="AW142" s="19"/>
      <c r="AX142" s="19"/>
      <c r="AY142" s="19"/>
      <c r="AZ142" s="19"/>
      <c r="BA142" s="19"/>
      <c r="BB142" s="19"/>
      <c r="BC142" s="19"/>
      <c r="BD142" s="19"/>
      <c r="BE142" s="12"/>
      <c r="BF142" s="37"/>
      <c r="BG142" s="38"/>
      <c r="BH142" s="38"/>
      <c r="BI142" s="38"/>
      <c r="BJ142" s="38"/>
      <c r="BK142" s="39"/>
    </row>
    <row r="143" spans="1:63" s="154" customFormat="1" ht="15" customHeight="1" x14ac:dyDescent="0.25">
      <c r="A143" s="11"/>
      <c r="B143" s="19"/>
      <c r="C143" s="19"/>
      <c r="D143" s="19"/>
      <c r="E143" s="19"/>
      <c r="F143" s="19"/>
      <c r="G143" s="19"/>
      <c r="H143" s="19"/>
      <c r="I143" s="19"/>
      <c r="J143" s="19"/>
      <c r="K143" s="19"/>
      <c r="L143" s="12"/>
      <c r="M143" s="172"/>
      <c r="N143" s="26"/>
      <c r="O143" s="175" t="s">
        <v>69</v>
      </c>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2"/>
      <c r="AK143" s="172"/>
      <c r="AL143" s="172"/>
      <c r="AM143" s="172"/>
      <c r="AN143" s="172"/>
      <c r="AO143" s="172"/>
      <c r="AP143" s="172"/>
      <c r="AQ143" s="172"/>
      <c r="AR143" s="172"/>
      <c r="AS143" s="172"/>
      <c r="AT143" s="172"/>
      <c r="AU143" s="11"/>
      <c r="AV143" s="19"/>
      <c r="AW143" s="19"/>
      <c r="AX143" s="19"/>
      <c r="AY143" s="19"/>
      <c r="AZ143" s="19"/>
      <c r="BA143" s="19"/>
      <c r="BB143" s="19"/>
      <c r="BC143" s="19"/>
      <c r="BD143" s="19"/>
      <c r="BE143" s="12"/>
      <c r="BF143" s="37"/>
      <c r="BG143" s="38"/>
      <c r="BH143" s="38"/>
      <c r="BI143" s="38"/>
      <c r="BJ143" s="38"/>
      <c r="BK143" s="39"/>
    </row>
    <row r="144" spans="1:63" s="154" customFormat="1" ht="15" customHeight="1" x14ac:dyDescent="0.25">
      <c r="A144" s="11"/>
      <c r="B144" s="19"/>
      <c r="C144" s="19"/>
      <c r="D144" s="19"/>
      <c r="E144" s="19"/>
      <c r="F144" s="19"/>
      <c r="G144" s="19"/>
      <c r="H144" s="19"/>
      <c r="I144" s="19"/>
      <c r="J144" s="19"/>
      <c r="K144" s="19"/>
      <c r="L144" s="12"/>
      <c r="M144" s="172"/>
      <c r="N144" s="26"/>
      <c r="O144" s="175" t="s">
        <v>33</v>
      </c>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2"/>
      <c r="AK144" s="172"/>
      <c r="AL144" s="172"/>
      <c r="AM144" s="172"/>
      <c r="AN144" s="172"/>
      <c r="AO144" s="172"/>
      <c r="AP144" s="172"/>
      <c r="AQ144" s="172"/>
      <c r="AR144" s="172"/>
      <c r="AS144" s="172"/>
      <c r="AT144" s="172"/>
      <c r="AU144" s="11"/>
      <c r="AV144" s="19"/>
      <c r="AW144" s="19"/>
      <c r="AX144" s="19"/>
      <c r="AY144" s="19"/>
      <c r="AZ144" s="19"/>
      <c r="BA144" s="19"/>
      <c r="BB144" s="19"/>
      <c r="BC144" s="19"/>
      <c r="BD144" s="19"/>
      <c r="BE144" s="12"/>
      <c r="BF144" s="37"/>
      <c r="BG144" s="38"/>
      <c r="BH144" s="38"/>
      <c r="BI144" s="38"/>
      <c r="BJ144" s="38"/>
      <c r="BK144" s="39"/>
    </row>
    <row r="145" spans="1:63" s="154" customFormat="1" ht="15" customHeight="1" x14ac:dyDescent="0.25">
      <c r="A145" s="11"/>
      <c r="B145" s="19"/>
      <c r="C145" s="19"/>
      <c r="D145" s="19"/>
      <c r="E145" s="19"/>
      <c r="F145" s="19"/>
      <c r="G145" s="19"/>
      <c r="H145" s="19"/>
      <c r="I145" s="19"/>
      <c r="J145" s="19"/>
      <c r="K145" s="19"/>
      <c r="L145" s="12"/>
      <c r="M145" s="172"/>
      <c r="N145" s="26"/>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2"/>
      <c r="AK145" s="172"/>
      <c r="AL145" s="172"/>
      <c r="AM145" s="172"/>
      <c r="AN145" s="172"/>
      <c r="AO145" s="172"/>
      <c r="AP145" s="172"/>
      <c r="AQ145" s="172"/>
      <c r="AR145" s="172"/>
      <c r="AS145" s="172"/>
      <c r="AT145" s="172"/>
      <c r="AU145" s="11"/>
      <c r="AV145" s="19"/>
      <c r="AW145" s="19"/>
      <c r="AX145" s="19"/>
      <c r="AY145" s="19"/>
      <c r="AZ145" s="19"/>
      <c r="BA145" s="19"/>
      <c r="BB145" s="19"/>
      <c r="BC145" s="19"/>
      <c r="BD145" s="19"/>
      <c r="BE145" s="12"/>
      <c r="BF145" s="37"/>
      <c r="BG145" s="38"/>
      <c r="BH145" s="38"/>
      <c r="BI145" s="38"/>
      <c r="BJ145" s="38"/>
      <c r="BK145" s="39"/>
    </row>
    <row r="146" spans="1:63" s="154" customFormat="1" ht="15" customHeight="1" x14ac:dyDescent="0.25">
      <c r="A146" s="11"/>
      <c r="B146" s="19"/>
      <c r="C146" s="19"/>
      <c r="D146" s="19"/>
      <c r="E146" s="19"/>
      <c r="F146" s="19"/>
      <c r="G146" s="19"/>
      <c r="H146" s="19"/>
      <c r="I146" s="19"/>
      <c r="J146" s="19"/>
      <c r="K146" s="19"/>
      <c r="L146" s="12"/>
      <c r="M146" s="172"/>
      <c r="N146" s="172"/>
      <c r="O146" s="175" t="s">
        <v>20</v>
      </c>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2"/>
      <c r="AK146" s="172"/>
      <c r="AL146" s="172"/>
      <c r="AM146" s="172"/>
      <c r="AN146" s="172"/>
      <c r="AO146" s="172"/>
      <c r="AP146" s="172"/>
      <c r="AQ146" s="172"/>
      <c r="AR146" s="172"/>
      <c r="AS146" s="172"/>
      <c r="AT146" s="172"/>
      <c r="AU146" s="11"/>
      <c r="AV146" s="19"/>
      <c r="AW146" s="19"/>
      <c r="AX146" s="19"/>
      <c r="AY146" s="19"/>
      <c r="AZ146" s="19"/>
      <c r="BA146" s="19"/>
      <c r="BB146" s="19"/>
      <c r="BC146" s="19"/>
      <c r="BD146" s="19"/>
      <c r="BE146" s="12"/>
      <c r="BF146" s="37"/>
      <c r="BG146" s="38"/>
      <c r="BH146" s="38"/>
      <c r="BI146" s="38"/>
      <c r="BJ146" s="38"/>
      <c r="BK146" s="39"/>
    </row>
    <row r="147" spans="1:63" s="154" customFormat="1" ht="15" customHeight="1" x14ac:dyDescent="0.25">
      <c r="A147" s="11"/>
      <c r="B147" s="19"/>
      <c r="C147" s="19"/>
      <c r="D147" s="19"/>
      <c r="E147" s="19"/>
      <c r="F147" s="19"/>
      <c r="G147" s="19"/>
      <c r="H147" s="19"/>
      <c r="I147" s="19"/>
      <c r="J147" s="19"/>
      <c r="K147" s="19"/>
      <c r="L147" s="12"/>
      <c r="M147" s="172"/>
      <c r="N147" s="172"/>
      <c r="O147" s="175"/>
      <c r="P147" s="27" t="s">
        <v>10</v>
      </c>
      <c r="Q147" s="28"/>
      <c r="R147" s="28"/>
      <c r="S147" s="28"/>
      <c r="T147" s="28"/>
      <c r="U147" s="28"/>
      <c r="V147" s="28"/>
      <c r="W147" s="27" t="s">
        <v>11</v>
      </c>
      <c r="X147" s="28"/>
      <c r="Y147" s="28"/>
      <c r="Z147" s="28"/>
      <c r="AA147" s="28"/>
      <c r="AB147" s="28"/>
      <c r="AC147" s="28"/>
      <c r="AD147" s="28"/>
      <c r="AE147" s="28"/>
      <c r="AF147" s="28"/>
      <c r="AG147" s="28"/>
      <c r="AH147" s="28"/>
      <c r="AI147" s="28"/>
      <c r="AJ147" s="28"/>
      <c r="AK147" s="28"/>
      <c r="AL147" s="28"/>
      <c r="AM147" s="29"/>
      <c r="AN147" s="172"/>
      <c r="AO147" s="172"/>
      <c r="AP147" s="172"/>
      <c r="AQ147" s="172"/>
      <c r="AR147" s="172"/>
      <c r="AS147" s="172"/>
      <c r="AT147" s="172"/>
      <c r="AU147" s="11"/>
      <c r="AV147" s="19"/>
      <c r="AW147" s="19"/>
      <c r="AX147" s="19"/>
      <c r="AY147" s="19"/>
      <c r="AZ147" s="19"/>
      <c r="BA147" s="19"/>
      <c r="BB147" s="19"/>
      <c r="BC147" s="19"/>
      <c r="BD147" s="19"/>
      <c r="BE147" s="12"/>
      <c r="BF147" s="37"/>
      <c r="BG147" s="38"/>
      <c r="BH147" s="38"/>
      <c r="BI147" s="38"/>
      <c r="BJ147" s="38"/>
      <c r="BK147" s="39"/>
    </row>
    <row r="148" spans="1:63" s="154" customFormat="1" ht="15" customHeight="1" x14ac:dyDescent="0.25">
      <c r="A148" s="11"/>
      <c r="B148" s="19"/>
      <c r="C148" s="19"/>
      <c r="D148" s="19"/>
      <c r="E148" s="19"/>
      <c r="F148" s="19"/>
      <c r="G148" s="19"/>
      <c r="H148" s="19"/>
      <c r="I148" s="19"/>
      <c r="J148" s="19"/>
      <c r="K148" s="19"/>
      <c r="L148" s="12"/>
      <c r="M148" s="172"/>
      <c r="N148" s="172"/>
      <c r="O148" s="175"/>
      <c r="P148" s="179" t="s">
        <v>15</v>
      </c>
      <c r="Q148" s="180"/>
      <c r="R148" s="180"/>
      <c r="S148" s="180"/>
      <c r="T148" s="180"/>
      <c r="U148" s="180"/>
      <c r="V148" s="180"/>
      <c r="W148" s="185" t="s">
        <v>17</v>
      </c>
      <c r="X148" s="186"/>
      <c r="Y148" s="186"/>
      <c r="Z148" s="186"/>
      <c r="AA148" s="186"/>
      <c r="AB148" s="186"/>
      <c r="AC148" s="186"/>
      <c r="AD148" s="186"/>
      <c r="AE148" s="186"/>
      <c r="AF148" s="186"/>
      <c r="AG148" s="186"/>
      <c r="AH148" s="186"/>
      <c r="AI148" s="186"/>
      <c r="AJ148" s="186"/>
      <c r="AK148" s="186"/>
      <c r="AL148" s="186"/>
      <c r="AM148" s="187"/>
      <c r="AN148" s="172"/>
      <c r="AO148" s="172"/>
      <c r="AP148" s="172"/>
      <c r="AQ148" s="172"/>
      <c r="AR148" s="172"/>
      <c r="AS148" s="172"/>
      <c r="AT148" s="172"/>
      <c r="AU148" s="11"/>
      <c r="AV148" s="19"/>
      <c r="AW148" s="19"/>
      <c r="AX148" s="19"/>
      <c r="AY148" s="19"/>
      <c r="AZ148" s="19"/>
      <c r="BA148" s="19"/>
      <c r="BB148" s="19"/>
      <c r="BC148" s="19"/>
      <c r="BD148" s="19"/>
      <c r="BE148" s="12"/>
      <c r="BF148" s="37"/>
      <c r="BG148" s="38"/>
      <c r="BH148" s="38"/>
      <c r="BI148" s="38"/>
      <c r="BJ148" s="38"/>
      <c r="BK148" s="39"/>
    </row>
    <row r="149" spans="1:63" s="154" customFormat="1" ht="15" customHeight="1" x14ac:dyDescent="0.25">
      <c r="A149" s="11"/>
      <c r="B149" s="19"/>
      <c r="C149" s="19"/>
      <c r="D149" s="19"/>
      <c r="E149" s="19"/>
      <c r="F149" s="19"/>
      <c r="G149" s="19"/>
      <c r="H149" s="19"/>
      <c r="I149" s="19"/>
      <c r="J149" s="19"/>
      <c r="K149" s="19"/>
      <c r="L149" s="12"/>
      <c r="M149" s="172"/>
      <c r="N149" s="172"/>
      <c r="O149" s="175"/>
      <c r="P149" s="179" t="s">
        <v>21</v>
      </c>
      <c r="Q149" s="180"/>
      <c r="R149" s="180"/>
      <c r="S149" s="180"/>
      <c r="T149" s="180"/>
      <c r="U149" s="180"/>
      <c r="V149" s="180"/>
      <c r="W149" s="185" t="s">
        <v>23</v>
      </c>
      <c r="X149" s="186"/>
      <c r="Y149" s="186"/>
      <c r="Z149" s="186"/>
      <c r="AA149" s="186"/>
      <c r="AB149" s="186"/>
      <c r="AC149" s="186"/>
      <c r="AD149" s="186"/>
      <c r="AE149" s="186"/>
      <c r="AF149" s="186"/>
      <c r="AG149" s="186"/>
      <c r="AH149" s="186"/>
      <c r="AI149" s="186"/>
      <c r="AJ149" s="186"/>
      <c r="AK149" s="186"/>
      <c r="AL149" s="186"/>
      <c r="AM149" s="187"/>
      <c r="AN149" s="172"/>
      <c r="AO149" s="172"/>
      <c r="AP149" s="172"/>
      <c r="AQ149" s="172"/>
      <c r="AR149" s="172"/>
      <c r="AS149" s="172"/>
      <c r="AT149" s="172"/>
      <c r="AU149" s="11"/>
      <c r="AV149" s="19"/>
      <c r="AW149" s="19"/>
      <c r="AX149" s="19"/>
      <c r="AY149" s="19"/>
      <c r="AZ149" s="19"/>
      <c r="BA149" s="19"/>
      <c r="BB149" s="19"/>
      <c r="BC149" s="19"/>
      <c r="BD149" s="19"/>
      <c r="BE149" s="12"/>
      <c r="BF149" s="37"/>
      <c r="BG149" s="38"/>
      <c r="BH149" s="38"/>
      <c r="BI149" s="38"/>
      <c r="BJ149" s="38"/>
      <c r="BK149" s="39"/>
    </row>
    <row r="150" spans="1:63" s="154" customFormat="1" ht="15" customHeight="1" x14ac:dyDescent="0.25">
      <c r="A150" s="11"/>
      <c r="B150" s="19"/>
      <c r="C150" s="19"/>
      <c r="D150" s="19"/>
      <c r="E150" s="19"/>
      <c r="F150" s="19"/>
      <c r="G150" s="19"/>
      <c r="H150" s="19"/>
      <c r="I150" s="19"/>
      <c r="J150" s="19"/>
      <c r="K150" s="19"/>
      <c r="L150" s="12"/>
      <c r="M150" s="172"/>
      <c r="N150" s="172"/>
      <c r="O150" s="175"/>
      <c r="P150" s="179" t="s">
        <v>22</v>
      </c>
      <c r="Q150" s="180"/>
      <c r="R150" s="180"/>
      <c r="S150" s="180"/>
      <c r="T150" s="180"/>
      <c r="U150" s="180"/>
      <c r="V150" s="180"/>
      <c r="W150" s="185" t="s">
        <v>24</v>
      </c>
      <c r="X150" s="186"/>
      <c r="Y150" s="186"/>
      <c r="Z150" s="186"/>
      <c r="AA150" s="186"/>
      <c r="AB150" s="186"/>
      <c r="AC150" s="186"/>
      <c r="AD150" s="186"/>
      <c r="AE150" s="186"/>
      <c r="AF150" s="186"/>
      <c r="AG150" s="186"/>
      <c r="AH150" s="186"/>
      <c r="AI150" s="186"/>
      <c r="AJ150" s="186"/>
      <c r="AK150" s="186"/>
      <c r="AL150" s="186"/>
      <c r="AM150" s="187"/>
      <c r="AN150" s="172"/>
      <c r="AO150" s="172"/>
      <c r="AP150" s="172"/>
      <c r="AQ150" s="172"/>
      <c r="AR150" s="172"/>
      <c r="AS150" s="172"/>
      <c r="AT150" s="172"/>
      <c r="AU150" s="11"/>
      <c r="AV150" s="19"/>
      <c r="AW150" s="19"/>
      <c r="AX150" s="19"/>
      <c r="AY150" s="19"/>
      <c r="AZ150" s="19"/>
      <c r="BA150" s="19"/>
      <c r="BB150" s="19"/>
      <c r="BC150" s="19"/>
      <c r="BD150" s="19"/>
      <c r="BE150" s="12"/>
      <c r="BF150" s="37"/>
      <c r="BG150" s="38"/>
      <c r="BH150" s="38"/>
      <c r="BI150" s="38"/>
      <c r="BJ150" s="38"/>
      <c r="BK150" s="39"/>
    </row>
    <row r="151" spans="1:63" s="154" customFormat="1" ht="15" customHeight="1" x14ac:dyDescent="0.25">
      <c r="A151" s="11"/>
      <c r="B151" s="19"/>
      <c r="C151" s="19"/>
      <c r="D151" s="19"/>
      <c r="E151" s="19"/>
      <c r="F151" s="19"/>
      <c r="G151" s="19"/>
      <c r="H151" s="19"/>
      <c r="I151" s="19"/>
      <c r="J151" s="19"/>
      <c r="K151" s="19"/>
      <c r="L151" s="12"/>
      <c r="M151" s="172"/>
      <c r="N151" s="172"/>
      <c r="O151" s="175"/>
      <c r="P151" s="179" t="s">
        <v>34</v>
      </c>
      <c r="Q151" s="180"/>
      <c r="R151" s="180"/>
      <c r="S151" s="180"/>
      <c r="T151" s="180"/>
      <c r="U151" s="180"/>
      <c r="V151" s="180"/>
      <c r="W151" s="185" t="s">
        <v>25</v>
      </c>
      <c r="X151" s="186"/>
      <c r="Y151" s="186"/>
      <c r="Z151" s="186"/>
      <c r="AA151" s="186"/>
      <c r="AB151" s="186"/>
      <c r="AC151" s="186"/>
      <c r="AD151" s="186"/>
      <c r="AE151" s="186"/>
      <c r="AF151" s="186"/>
      <c r="AG151" s="186"/>
      <c r="AH151" s="186"/>
      <c r="AI151" s="186"/>
      <c r="AJ151" s="186"/>
      <c r="AK151" s="186"/>
      <c r="AL151" s="186"/>
      <c r="AM151" s="187"/>
      <c r="AN151" s="172"/>
      <c r="AO151" s="172"/>
      <c r="AP151" s="172"/>
      <c r="AQ151" s="172"/>
      <c r="AR151" s="172"/>
      <c r="AS151" s="172"/>
      <c r="AT151" s="172"/>
      <c r="AU151" s="11"/>
      <c r="AV151" s="19"/>
      <c r="AW151" s="19"/>
      <c r="AX151" s="19"/>
      <c r="AY151" s="19"/>
      <c r="AZ151" s="19"/>
      <c r="BA151" s="19"/>
      <c r="BB151" s="19"/>
      <c r="BC151" s="19"/>
      <c r="BD151" s="19"/>
      <c r="BE151" s="12"/>
      <c r="BF151" s="37"/>
      <c r="BG151" s="38"/>
      <c r="BH151" s="38"/>
      <c r="BI151" s="38"/>
      <c r="BJ151" s="38"/>
      <c r="BK151" s="39"/>
    </row>
    <row r="152" spans="1:63" s="154" customFormat="1" ht="15" customHeight="1" x14ac:dyDescent="0.25">
      <c r="A152" s="11"/>
      <c r="B152" s="19"/>
      <c r="C152" s="19"/>
      <c r="D152" s="19"/>
      <c r="E152" s="19"/>
      <c r="F152" s="19"/>
      <c r="G152" s="19"/>
      <c r="H152" s="19"/>
      <c r="I152" s="19"/>
      <c r="J152" s="19"/>
      <c r="K152" s="19"/>
      <c r="L152" s="12"/>
      <c r="M152" s="172"/>
      <c r="N152" s="172"/>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2"/>
      <c r="AK152" s="172"/>
      <c r="AL152" s="172"/>
      <c r="AM152" s="172"/>
      <c r="AN152" s="172"/>
      <c r="AO152" s="172"/>
      <c r="AP152" s="172"/>
      <c r="AQ152" s="172"/>
      <c r="AR152" s="172"/>
      <c r="AS152" s="172"/>
      <c r="AT152" s="172"/>
      <c r="AU152" s="11"/>
      <c r="AV152" s="19"/>
      <c r="AW152" s="19"/>
      <c r="AX152" s="19"/>
      <c r="AY152" s="19"/>
      <c r="AZ152" s="19"/>
      <c r="BA152" s="19"/>
      <c r="BB152" s="19"/>
      <c r="BC152" s="19"/>
      <c r="BD152" s="19"/>
      <c r="BE152" s="12"/>
      <c r="BF152" s="37"/>
      <c r="BG152" s="38"/>
      <c r="BH152" s="38"/>
      <c r="BI152" s="38"/>
      <c r="BJ152" s="38"/>
      <c r="BK152" s="39"/>
    </row>
    <row r="153" spans="1:63" s="154" customFormat="1" ht="15" customHeight="1" x14ac:dyDescent="0.25">
      <c r="A153" s="11"/>
      <c r="B153" s="19"/>
      <c r="C153" s="19"/>
      <c r="D153" s="19"/>
      <c r="E153" s="19"/>
      <c r="F153" s="19"/>
      <c r="G153" s="19"/>
      <c r="H153" s="19"/>
      <c r="I153" s="19"/>
      <c r="J153" s="19"/>
      <c r="K153" s="19"/>
      <c r="L153" s="12"/>
      <c r="M153" s="172"/>
      <c r="N153" s="172"/>
      <c r="O153" s="175"/>
      <c r="P153" s="175" t="s">
        <v>26</v>
      </c>
      <c r="Q153" s="175"/>
      <c r="R153" s="175"/>
      <c r="S153" s="175"/>
      <c r="T153" s="175"/>
      <c r="U153" s="175"/>
      <c r="V153" s="175"/>
      <c r="W153" s="175"/>
      <c r="X153" s="175"/>
      <c r="Y153" s="175"/>
      <c r="Z153" s="175"/>
      <c r="AA153" s="175"/>
      <c r="AB153" s="175"/>
      <c r="AC153" s="175"/>
      <c r="AD153" s="175"/>
      <c r="AE153" s="175"/>
      <c r="AF153" s="175"/>
      <c r="AG153" s="175"/>
      <c r="AH153" s="175"/>
      <c r="AI153" s="175"/>
      <c r="AJ153" s="172"/>
      <c r="AK153" s="172"/>
      <c r="AL153" s="172"/>
      <c r="AM153" s="172"/>
      <c r="AN153" s="172"/>
      <c r="AO153" s="172"/>
      <c r="AP153" s="172"/>
      <c r="AQ153" s="172"/>
      <c r="AR153" s="172"/>
      <c r="AS153" s="172"/>
      <c r="AT153" s="172"/>
      <c r="AU153" s="11"/>
      <c r="AV153" s="19"/>
      <c r="AW153" s="19"/>
      <c r="AX153" s="19"/>
      <c r="AY153" s="19"/>
      <c r="AZ153" s="19"/>
      <c r="BA153" s="19"/>
      <c r="BB153" s="19"/>
      <c r="BC153" s="19"/>
      <c r="BD153" s="19"/>
      <c r="BE153" s="12"/>
      <c r="BF153" s="37"/>
      <c r="BG153" s="38"/>
      <c r="BH153" s="38"/>
      <c r="BI153" s="38"/>
      <c r="BJ153" s="38"/>
      <c r="BK153" s="39"/>
    </row>
    <row r="154" spans="1:63" s="154" customFormat="1" ht="15" customHeight="1" x14ac:dyDescent="0.25">
      <c r="A154" s="11"/>
      <c r="B154" s="19"/>
      <c r="C154" s="19"/>
      <c r="D154" s="19"/>
      <c r="E154" s="19"/>
      <c r="F154" s="19"/>
      <c r="G154" s="19"/>
      <c r="H154" s="19"/>
      <c r="I154" s="19"/>
      <c r="J154" s="19"/>
      <c r="K154" s="19"/>
      <c r="L154" s="12"/>
      <c r="M154" s="172"/>
      <c r="N154" s="172"/>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2"/>
      <c r="AK154" s="172"/>
      <c r="AL154" s="172"/>
      <c r="AM154" s="172"/>
      <c r="AN154" s="172"/>
      <c r="AO154" s="172"/>
      <c r="AP154" s="172"/>
      <c r="AQ154" s="172"/>
      <c r="AR154" s="172"/>
      <c r="AS154" s="172"/>
      <c r="AT154" s="172"/>
      <c r="AU154" s="11"/>
      <c r="AV154" s="19"/>
      <c r="AW154" s="19"/>
      <c r="AX154" s="19"/>
      <c r="AY154" s="19"/>
      <c r="AZ154" s="19"/>
      <c r="BA154" s="19"/>
      <c r="BB154" s="19"/>
      <c r="BC154" s="19"/>
      <c r="BD154" s="19"/>
      <c r="BE154" s="12"/>
      <c r="BF154" s="37"/>
      <c r="BG154" s="38"/>
      <c r="BH154" s="38"/>
      <c r="BI154" s="38"/>
      <c r="BJ154" s="38"/>
      <c r="BK154" s="39"/>
    </row>
    <row r="155" spans="1:63" s="154" customFormat="1" ht="15" customHeight="1" x14ac:dyDescent="0.25">
      <c r="A155" s="11"/>
      <c r="B155" s="19"/>
      <c r="C155" s="19"/>
      <c r="D155" s="19"/>
      <c r="E155" s="19"/>
      <c r="F155" s="19"/>
      <c r="G155" s="19"/>
      <c r="H155" s="19"/>
      <c r="I155" s="19"/>
      <c r="J155" s="19"/>
      <c r="K155" s="19"/>
      <c r="L155" s="12"/>
      <c r="M155" s="172"/>
      <c r="N155" s="172"/>
      <c r="O155" s="175" t="s">
        <v>16</v>
      </c>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2"/>
      <c r="AK155" s="172"/>
      <c r="AL155" s="172"/>
      <c r="AM155" s="172"/>
      <c r="AN155" s="172"/>
      <c r="AO155" s="172"/>
      <c r="AP155" s="172"/>
      <c r="AQ155" s="172"/>
      <c r="AR155" s="172"/>
      <c r="AS155" s="172"/>
      <c r="AT155" s="172"/>
      <c r="AU155" s="11"/>
      <c r="AV155" s="19"/>
      <c r="AW155" s="19"/>
      <c r="AX155" s="19"/>
      <c r="AY155" s="19"/>
      <c r="AZ155" s="19"/>
      <c r="BA155" s="19"/>
      <c r="BB155" s="19"/>
      <c r="BC155" s="19"/>
      <c r="BD155" s="19"/>
      <c r="BE155" s="12"/>
      <c r="BF155" s="37"/>
      <c r="BG155" s="38"/>
      <c r="BH155" s="38"/>
      <c r="BI155" s="38"/>
      <c r="BJ155" s="38"/>
      <c r="BK155" s="39"/>
    </row>
    <row r="156" spans="1:63" s="154" customFormat="1" ht="15" customHeight="1" x14ac:dyDescent="0.25">
      <c r="A156" s="11"/>
      <c r="B156" s="19"/>
      <c r="C156" s="19"/>
      <c r="D156" s="19"/>
      <c r="E156" s="19"/>
      <c r="F156" s="19"/>
      <c r="G156" s="19"/>
      <c r="H156" s="19"/>
      <c r="I156" s="19"/>
      <c r="J156" s="19"/>
      <c r="K156" s="19"/>
      <c r="L156" s="12"/>
      <c r="M156" s="172"/>
      <c r="N156" s="172"/>
      <c r="O156" s="175"/>
      <c r="P156" s="175" t="s">
        <v>28</v>
      </c>
      <c r="Q156" s="175"/>
      <c r="R156" s="175"/>
      <c r="S156" s="175"/>
      <c r="T156" s="175"/>
      <c r="U156" s="175"/>
      <c r="V156" s="175"/>
      <c r="W156" s="175"/>
      <c r="X156" s="175"/>
      <c r="Y156" s="175"/>
      <c r="Z156" s="175"/>
      <c r="AA156" s="175"/>
      <c r="AB156" s="175"/>
      <c r="AC156" s="175"/>
      <c r="AD156" s="175"/>
      <c r="AE156" s="175"/>
      <c r="AF156" s="175"/>
      <c r="AG156" s="175"/>
      <c r="AH156" s="175"/>
      <c r="AI156" s="175"/>
      <c r="AJ156" s="172"/>
      <c r="AK156" s="172"/>
      <c r="AL156" s="172"/>
      <c r="AM156" s="172"/>
      <c r="AN156" s="172"/>
      <c r="AO156" s="172"/>
      <c r="AP156" s="172"/>
      <c r="AQ156" s="172"/>
      <c r="AR156" s="172"/>
      <c r="AS156" s="172"/>
      <c r="AT156" s="172"/>
      <c r="AU156" s="11"/>
      <c r="AV156" s="19"/>
      <c r="AW156" s="19"/>
      <c r="AX156" s="19"/>
      <c r="AY156" s="19"/>
      <c r="AZ156" s="19"/>
      <c r="BA156" s="19"/>
      <c r="BB156" s="19"/>
      <c r="BC156" s="19"/>
      <c r="BD156" s="19"/>
      <c r="BE156" s="12"/>
      <c r="BF156" s="37"/>
      <c r="BG156" s="38"/>
      <c r="BH156" s="38"/>
      <c r="BI156" s="38"/>
      <c r="BJ156" s="38"/>
      <c r="BK156" s="39"/>
    </row>
    <row r="157" spans="1:63" s="154" customFormat="1" ht="15" customHeight="1" x14ac:dyDescent="0.25">
      <c r="A157" s="11"/>
      <c r="B157" s="19"/>
      <c r="C157" s="19"/>
      <c r="D157" s="19"/>
      <c r="E157" s="19"/>
      <c r="F157" s="19"/>
      <c r="G157" s="19"/>
      <c r="H157" s="19"/>
      <c r="I157" s="19"/>
      <c r="J157" s="19"/>
      <c r="K157" s="19"/>
      <c r="L157" s="12"/>
      <c r="M157" s="172"/>
      <c r="N157" s="172"/>
      <c r="O157" s="175"/>
      <c r="P157" s="175"/>
      <c r="Q157" s="175" t="s">
        <v>217</v>
      </c>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2"/>
      <c r="AO157" s="172"/>
      <c r="AP157" s="172"/>
      <c r="AQ157" s="172"/>
      <c r="AR157" s="172"/>
      <c r="AS157" s="172"/>
      <c r="AT157" s="172"/>
      <c r="AU157" s="11"/>
      <c r="AV157" s="19"/>
      <c r="AW157" s="19"/>
      <c r="AX157" s="19"/>
      <c r="AY157" s="19"/>
      <c r="AZ157" s="19"/>
      <c r="BA157" s="19"/>
      <c r="BB157" s="19"/>
      <c r="BC157" s="19"/>
      <c r="BD157" s="19"/>
      <c r="BE157" s="12"/>
      <c r="BF157" s="37"/>
      <c r="BG157" s="38"/>
      <c r="BH157" s="38"/>
      <c r="BI157" s="38"/>
      <c r="BJ157" s="38"/>
      <c r="BK157" s="39"/>
    </row>
    <row r="158" spans="1:63" s="154" customFormat="1" ht="15" customHeight="1" x14ac:dyDescent="0.25">
      <c r="A158" s="11"/>
      <c r="B158" s="19"/>
      <c r="C158" s="19"/>
      <c r="D158" s="19"/>
      <c r="E158" s="19"/>
      <c r="F158" s="19"/>
      <c r="G158" s="19"/>
      <c r="H158" s="19"/>
      <c r="I158" s="19"/>
      <c r="J158" s="19"/>
      <c r="K158" s="19"/>
      <c r="L158" s="12"/>
      <c r="M158" s="172"/>
      <c r="N158" s="172"/>
      <c r="O158" s="175"/>
      <c r="P158" s="175"/>
      <c r="Q158" s="175" t="s">
        <v>212</v>
      </c>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2"/>
      <c r="AO158" s="172"/>
      <c r="AP158" s="172"/>
      <c r="AQ158" s="172"/>
      <c r="AR158" s="172"/>
      <c r="AS158" s="172"/>
      <c r="AT158" s="172"/>
      <c r="AU158" s="11"/>
      <c r="AV158" s="19"/>
      <c r="AW158" s="19"/>
      <c r="AX158" s="19"/>
      <c r="AY158" s="19"/>
      <c r="AZ158" s="19"/>
      <c r="BA158" s="19"/>
      <c r="BB158" s="19"/>
      <c r="BC158" s="19"/>
      <c r="BD158" s="19"/>
      <c r="BE158" s="12"/>
      <c r="BF158" s="37"/>
      <c r="BG158" s="38"/>
      <c r="BH158" s="38"/>
      <c r="BI158" s="38"/>
      <c r="BJ158" s="38"/>
      <c r="BK158" s="39"/>
    </row>
    <row r="159" spans="1:63" s="154" customFormat="1" ht="15" customHeight="1" x14ac:dyDescent="0.25">
      <c r="A159" s="11"/>
      <c r="B159" s="19"/>
      <c r="C159" s="19"/>
      <c r="D159" s="19"/>
      <c r="E159" s="19"/>
      <c r="F159" s="19"/>
      <c r="G159" s="19"/>
      <c r="H159" s="19"/>
      <c r="I159" s="19"/>
      <c r="J159" s="19"/>
      <c r="K159" s="19"/>
      <c r="L159" s="12"/>
      <c r="M159" s="172"/>
      <c r="N159" s="172"/>
      <c r="O159" s="175"/>
      <c r="P159" s="175"/>
      <c r="Q159" s="175"/>
      <c r="R159" s="175" t="s">
        <v>162</v>
      </c>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2"/>
      <c r="AO159" s="172"/>
      <c r="AP159" s="172"/>
      <c r="AQ159" s="172"/>
      <c r="AR159" s="172"/>
      <c r="AS159" s="172"/>
      <c r="AT159" s="172"/>
      <c r="AU159" s="11"/>
      <c r="AV159" s="19"/>
      <c r="AW159" s="19"/>
      <c r="AX159" s="19"/>
      <c r="AY159" s="19"/>
      <c r="AZ159" s="19"/>
      <c r="BA159" s="19"/>
      <c r="BB159" s="19"/>
      <c r="BC159" s="19"/>
      <c r="BD159" s="19"/>
      <c r="BE159" s="12"/>
      <c r="BF159" s="37"/>
      <c r="BG159" s="38"/>
      <c r="BH159" s="38"/>
      <c r="BI159" s="38"/>
      <c r="BJ159" s="38"/>
      <c r="BK159" s="39"/>
    </row>
    <row r="160" spans="1:63" s="154" customFormat="1" ht="15" customHeight="1" x14ac:dyDescent="0.25">
      <c r="A160" s="11"/>
      <c r="B160" s="19"/>
      <c r="C160" s="19"/>
      <c r="D160" s="19"/>
      <c r="E160" s="19"/>
      <c r="F160" s="19"/>
      <c r="G160" s="19"/>
      <c r="H160" s="19"/>
      <c r="I160" s="19"/>
      <c r="J160" s="19"/>
      <c r="K160" s="19"/>
      <c r="L160" s="12"/>
      <c r="M160" s="172"/>
      <c r="N160" s="172"/>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2"/>
      <c r="AO160" s="172"/>
      <c r="AP160" s="172"/>
      <c r="AQ160" s="172"/>
      <c r="AR160" s="172"/>
      <c r="AS160" s="172"/>
      <c r="AT160" s="172"/>
      <c r="AU160" s="11"/>
      <c r="AV160" s="19"/>
      <c r="AW160" s="19"/>
      <c r="AX160" s="19"/>
      <c r="AY160" s="19"/>
      <c r="AZ160" s="19"/>
      <c r="BA160" s="19"/>
      <c r="BB160" s="19"/>
      <c r="BC160" s="19"/>
      <c r="BD160" s="19"/>
      <c r="BE160" s="12"/>
      <c r="BF160" s="37"/>
      <c r="BG160" s="38"/>
      <c r="BH160" s="38"/>
      <c r="BI160" s="38"/>
      <c r="BJ160" s="38"/>
      <c r="BK160" s="39"/>
    </row>
    <row r="161" spans="1:63" s="154" customFormat="1" ht="15" customHeight="1" x14ac:dyDescent="0.25">
      <c r="A161" s="11"/>
      <c r="B161" s="19"/>
      <c r="C161" s="19"/>
      <c r="D161" s="19"/>
      <c r="E161" s="19"/>
      <c r="F161" s="19"/>
      <c r="G161" s="19"/>
      <c r="H161" s="19"/>
      <c r="I161" s="19"/>
      <c r="J161" s="19"/>
      <c r="K161" s="19"/>
      <c r="L161" s="12"/>
      <c r="M161" s="172"/>
      <c r="N161" s="172"/>
      <c r="O161" s="175"/>
      <c r="P161" s="172" t="s">
        <v>29</v>
      </c>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2"/>
      <c r="AO161" s="172"/>
      <c r="AP161" s="172"/>
      <c r="AQ161" s="172"/>
      <c r="AR161" s="172"/>
      <c r="AS161" s="172"/>
      <c r="AT161" s="172"/>
      <c r="AU161" s="11"/>
      <c r="AV161" s="19"/>
      <c r="AW161" s="19"/>
      <c r="AX161" s="19"/>
      <c r="AY161" s="19"/>
      <c r="AZ161" s="19"/>
      <c r="BA161" s="19"/>
      <c r="BB161" s="19"/>
      <c r="BC161" s="19"/>
      <c r="BD161" s="19"/>
      <c r="BE161" s="12"/>
      <c r="BF161" s="37"/>
      <c r="BG161" s="38"/>
      <c r="BH161" s="38"/>
      <c r="BI161" s="38"/>
      <c r="BJ161" s="38"/>
      <c r="BK161" s="39"/>
    </row>
    <row r="162" spans="1:63" s="154" customFormat="1" ht="15" customHeight="1" x14ac:dyDescent="0.25">
      <c r="A162" s="11"/>
      <c r="B162" s="19"/>
      <c r="C162" s="19"/>
      <c r="D162" s="19"/>
      <c r="E162" s="19"/>
      <c r="F162" s="19"/>
      <c r="G162" s="19"/>
      <c r="H162" s="19"/>
      <c r="I162" s="19"/>
      <c r="J162" s="19"/>
      <c r="K162" s="19"/>
      <c r="L162" s="12"/>
      <c r="M162" s="172"/>
      <c r="N162" s="172"/>
      <c r="O162" s="175"/>
      <c r="P162" s="175"/>
      <c r="Q162" s="175" t="s">
        <v>217</v>
      </c>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2"/>
      <c r="AO162" s="172"/>
      <c r="AP162" s="172"/>
      <c r="AQ162" s="172"/>
      <c r="AR162" s="172"/>
      <c r="AS162" s="172"/>
      <c r="AT162" s="172"/>
      <c r="AU162" s="11"/>
      <c r="AV162" s="19"/>
      <c r="AW162" s="19"/>
      <c r="AX162" s="19"/>
      <c r="AY162" s="19"/>
      <c r="AZ162" s="19"/>
      <c r="BA162" s="19"/>
      <c r="BB162" s="19"/>
      <c r="BC162" s="19"/>
      <c r="BD162" s="19"/>
      <c r="BE162" s="12"/>
      <c r="BF162" s="37"/>
      <c r="BG162" s="38"/>
      <c r="BH162" s="38"/>
      <c r="BI162" s="38"/>
      <c r="BJ162" s="38"/>
      <c r="BK162" s="39"/>
    </row>
    <row r="163" spans="1:63" s="154" customFormat="1" ht="15" customHeight="1" x14ac:dyDescent="0.25">
      <c r="A163" s="11"/>
      <c r="B163" s="19"/>
      <c r="C163" s="19"/>
      <c r="D163" s="19"/>
      <c r="E163" s="19"/>
      <c r="F163" s="19"/>
      <c r="G163" s="19"/>
      <c r="H163" s="19"/>
      <c r="I163" s="19"/>
      <c r="J163" s="19"/>
      <c r="K163" s="19"/>
      <c r="L163" s="12"/>
      <c r="M163" s="172"/>
      <c r="N163" s="172"/>
      <c r="O163" s="175"/>
      <c r="P163" s="175"/>
      <c r="Q163" s="175" t="s">
        <v>50</v>
      </c>
      <c r="R163" s="175"/>
      <c r="S163" s="175"/>
      <c r="T163" s="175"/>
      <c r="U163" s="175"/>
      <c r="V163" s="175"/>
      <c r="W163" s="175"/>
      <c r="X163" s="175"/>
      <c r="Y163" s="175"/>
      <c r="Z163" s="175"/>
      <c r="AA163" s="175"/>
      <c r="AB163" s="175"/>
      <c r="AC163" s="175"/>
      <c r="AD163" s="175"/>
      <c r="AE163" s="175"/>
      <c r="AF163" s="175"/>
      <c r="AG163" s="175"/>
      <c r="AH163" s="175"/>
      <c r="AI163" s="175"/>
      <c r="AJ163" s="172"/>
      <c r="AK163" s="172"/>
      <c r="AL163" s="172"/>
      <c r="AM163" s="172"/>
      <c r="AN163" s="172"/>
      <c r="AO163" s="172"/>
      <c r="AP163" s="172"/>
      <c r="AQ163" s="172"/>
      <c r="AR163" s="172"/>
      <c r="AS163" s="172"/>
      <c r="AT163" s="172"/>
      <c r="AU163" s="11"/>
      <c r="AV163" s="19"/>
      <c r="AW163" s="19"/>
      <c r="AX163" s="19"/>
      <c r="AY163" s="19"/>
      <c r="AZ163" s="19"/>
      <c r="BA163" s="19"/>
      <c r="BB163" s="19"/>
      <c r="BC163" s="19"/>
      <c r="BD163" s="19"/>
      <c r="BE163" s="12"/>
      <c r="BF163" s="37"/>
      <c r="BG163" s="38"/>
      <c r="BH163" s="38"/>
      <c r="BI163" s="38"/>
      <c r="BJ163" s="38"/>
      <c r="BK163" s="39"/>
    </row>
    <row r="164" spans="1:63" s="154" customFormat="1" ht="15" customHeight="1" x14ac:dyDescent="0.25">
      <c r="A164" s="13"/>
      <c r="B164" s="14"/>
      <c r="C164" s="14"/>
      <c r="D164" s="14"/>
      <c r="E164" s="14"/>
      <c r="F164" s="14"/>
      <c r="G164" s="14"/>
      <c r="H164" s="14"/>
      <c r="I164" s="14"/>
      <c r="J164" s="14"/>
      <c r="K164" s="14"/>
      <c r="L164" s="15"/>
      <c r="M164" s="176"/>
      <c r="N164" s="177"/>
      <c r="O164" s="177"/>
      <c r="P164" s="177"/>
      <c r="Q164" s="177"/>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178"/>
      <c r="AQ164" s="178"/>
      <c r="AR164" s="178"/>
      <c r="AS164" s="178"/>
      <c r="AT164" s="178"/>
      <c r="AU164" s="13"/>
      <c r="AV164" s="14"/>
      <c r="AW164" s="14"/>
      <c r="AX164" s="14"/>
      <c r="AY164" s="14"/>
      <c r="AZ164" s="14"/>
      <c r="BA164" s="14"/>
      <c r="BB164" s="14"/>
      <c r="BC164" s="14"/>
      <c r="BD164" s="14"/>
      <c r="BE164" s="15"/>
      <c r="BF164" s="40"/>
      <c r="BG164" s="41"/>
      <c r="BH164" s="41"/>
      <c r="BI164" s="41"/>
      <c r="BJ164" s="41"/>
      <c r="BK164" s="42"/>
    </row>
    <row r="165" spans="1:63" ht="15" customHeight="1" x14ac:dyDescent="0.25">
      <c r="A165" s="21"/>
      <c r="BK165" s="6"/>
    </row>
    <row r="166" spans="1:63" ht="15" customHeight="1" x14ac:dyDescent="0.25">
      <c r="A166" s="21"/>
      <c r="BK166" s="6"/>
    </row>
    <row r="167" spans="1:63" ht="15" customHeight="1" x14ac:dyDescent="0.25">
      <c r="A167" s="21"/>
      <c r="BK167" s="6"/>
    </row>
    <row r="168" spans="1:63" s="154" customFormat="1" ht="15" customHeight="1" x14ac:dyDescent="0.25">
      <c r="A168" s="160" t="s">
        <v>3</v>
      </c>
      <c r="B168" s="161"/>
      <c r="C168" s="161"/>
      <c r="D168" s="161"/>
      <c r="E168" s="161"/>
      <c r="F168" s="162"/>
      <c r="G168" s="156" t="s">
        <v>100</v>
      </c>
      <c r="H168" s="156"/>
      <c r="I168" s="156"/>
      <c r="J168" s="156"/>
      <c r="K168" s="156"/>
      <c r="L168" s="156"/>
      <c r="M168" s="163" t="s">
        <v>27</v>
      </c>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164"/>
      <c r="BI168" s="164"/>
      <c r="BJ168" s="164"/>
      <c r="BK168" s="165"/>
    </row>
    <row r="169" spans="1:63" s="154" customFormat="1" ht="15" customHeight="1" x14ac:dyDescent="0.25">
      <c r="A169" s="166" t="s">
        <v>4</v>
      </c>
      <c r="B169" s="167"/>
      <c r="C169" s="167"/>
      <c r="D169" s="167"/>
      <c r="E169" s="167"/>
      <c r="F169" s="167"/>
      <c r="G169" s="167"/>
      <c r="H169" s="167"/>
      <c r="I169" s="167"/>
      <c r="J169" s="167"/>
      <c r="K169" s="167"/>
      <c r="L169" s="168"/>
      <c r="M169" s="166" t="s">
        <v>5</v>
      </c>
      <c r="N169" s="167"/>
      <c r="O169" s="167"/>
      <c r="P169" s="167"/>
      <c r="Q169" s="167"/>
      <c r="R169" s="167"/>
      <c r="S169" s="167"/>
      <c r="T169" s="167"/>
      <c r="U169" s="167"/>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8"/>
      <c r="AU169" s="166" t="s">
        <v>6</v>
      </c>
      <c r="AV169" s="167"/>
      <c r="AW169" s="167"/>
      <c r="AX169" s="167"/>
      <c r="AY169" s="167"/>
      <c r="AZ169" s="167"/>
      <c r="BA169" s="167"/>
      <c r="BB169" s="167"/>
      <c r="BC169" s="167"/>
      <c r="BD169" s="167"/>
      <c r="BE169" s="167"/>
      <c r="BF169" s="166" t="s">
        <v>7</v>
      </c>
      <c r="BG169" s="167"/>
      <c r="BH169" s="167"/>
      <c r="BI169" s="167"/>
      <c r="BJ169" s="167"/>
      <c r="BK169" s="168"/>
    </row>
    <row r="170" spans="1:63" s="154" customFormat="1" ht="15" customHeight="1" x14ac:dyDescent="0.25">
      <c r="A170" s="169"/>
      <c r="B170" s="170"/>
      <c r="C170" s="170"/>
      <c r="D170" s="170"/>
      <c r="E170" s="170"/>
      <c r="F170" s="170"/>
      <c r="G170" s="170"/>
      <c r="H170" s="170"/>
      <c r="I170" s="170"/>
      <c r="J170" s="170"/>
      <c r="K170" s="170"/>
      <c r="L170" s="171"/>
      <c r="M170" s="169"/>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1"/>
      <c r="AU170" s="169"/>
      <c r="AV170" s="170"/>
      <c r="AW170" s="170"/>
      <c r="AX170" s="170"/>
      <c r="AY170" s="170"/>
      <c r="AZ170" s="170"/>
      <c r="BA170" s="170"/>
      <c r="BB170" s="170"/>
      <c r="BC170" s="170"/>
      <c r="BD170" s="170"/>
      <c r="BE170" s="170"/>
      <c r="BF170" s="169"/>
      <c r="BG170" s="170"/>
      <c r="BH170" s="170"/>
      <c r="BI170" s="170"/>
      <c r="BJ170" s="170"/>
      <c r="BK170" s="171"/>
    </row>
    <row r="171" spans="1:63" s="154" customFormat="1" ht="15" customHeight="1" x14ac:dyDescent="0.25">
      <c r="A171" s="8"/>
      <c r="B171" s="9"/>
      <c r="C171" s="9"/>
      <c r="D171" s="9"/>
      <c r="E171" s="9"/>
      <c r="F171" s="9"/>
      <c r="G171" s="9"/>
      <c r="H171" s="9"/>
      <c r="I171" s="9"/>
      <c r="J171" s="9"/>
      <c r="K171" s="9"/>
      <c r="L171" s="10"/>
      <c r="M171" s="172"/>
      <c r="N171" s="172"/>
      <c r="O171" s="172"/>
      <c r="P171" s="172"/>
      <c r="Q171" s="172"/>
      <c r="R171" s="173"/>
      <c r="S171" s="173"/>
      <c r="T171" s="173"/>
      <c r="U171" s="173"/>
      <c r="V171" s="173"/>
      <c r="W171" s="173"/>
      <c r="X171" s="173"/>
      <c r="Y171" s="173"/>
      <c r="Z171" s="173"/>
      <c r="AA171" s="173"/>
      <c r="AB171" s="173"/>
      <c r="AC171" s="173"/>
      <c r="AD171" s="173"/>
      <c r="AE171" s="173"/>
      <c r="AF171" s="173"/>
      <c r="AG171" s="173"/>
      <c r="AH171" s="173"/>
      <c r="AI171" s="173"/>
      <c r="AJ171" s="173"/>
      <c r="AK171" s="173"/>
      <c r="AL171" s="173"/>
      <c r="AM171" s="173"/>
      <c r="AN171" s="173"/>
      <c r="AO171" s="173"/>
      <c r="AP171" s="173"/>
      <c r="AQ171" s="173"/>
      <c r="AR171" s="173"/>
      <c r="AS171" s="173"/>
      <c r="AT171" s="173"/>
      <c r="AU171" s="8"/>
      <c r="AV171" s="9"/>
      <c r="AW171" s="9"/>
      <c r="AX171" s="9"/>
      <c r="AY171" s="9"/>
      <c r="AZ171" s="9"/>
      <c r="BA171" s="9"/>
      <c r="BB171" s="9"/>
      <c r="BC171" s="9"/>
      <c r="BD171" s="9"/>
      <c r="BE171" s="10"/>
      <c r="BF171" s="190" t="s">
        <v>218</v>
      </c>
      <c r="BG171" s="35"/>
      <c r="BH171" s="35"/>
      <c r="BI171" s="35"/>
      <c r="BJ171" s="35"/>
      <c r="BK171" s="36"/>
    </row>
    <row r="172" spans="1:63" s="154" customFormat="1" ht="15" customHeight="1" x14ac:dyDescent="0.25">
      <c r="A172" s="11"/>
      <c r="B172" s="19"/>
      <c r="C172" s="19"/>
      <c r="D172" s="19"/>
      <c r="E172" s="19"/>
      <c r="F172" s="19"/>
      <c r="G172" s="19"/>
      <c r="H172" s="19"/>
      <c r="I172" s="19"/>
      <c r="J172" s="19"/>
      <c r="K172" s="19"/>
      <c r="L172" s="12"/>
      <c r="M172" s="172"/>
      <c r="N172" s="30" t="s">
        <v>197</v>
      </c>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1"/>
      <c r="AV172" s="19"/>
      <c r="AW172" s="19"/>
      <c r="AX172" s="19"/>
      <c r="AY172" s="19"/>
      <c r="AZ172" s="19"/>
      <c r="BA172" s="19"/>
      <c r="BB172" s="19"/>
      <c r="BC172" s="19"/>
      <c r="BD172" s="19"/>
      <c r="BE172" s="12"/>
      <c r="BF172" s="37"/>
      <c r="BG172" s="38"/>
      <c r="BH172" s="38"/>
      <c r="BI172" s="38"/>
      <c r="BJ172" s="38"/>
      <c r="BK172" s="39"/>
    </row>
    <row r="173" spans="1:63" s="154" customFormat="1" ht="15" customHeight="1" x14ac:dyDescent="0.25">
      <c r="A173" s="11"/>
      <c r="B173" s="19"/>
      <c r="C173" s="19"/>
      <c r="D173" s="19"/>
      <c r="E173" s="19"/>
      <c r="F173" s="19"/>
      <c r="G173" s="19"/>
      <c r="H173" s="19"/>
      <c r="I173" s="19"/>
      <c r="J173" s="19"/>
      <c r="K173" s="19"/>
      <c r="L173" s="12"/>
      <c r="M173" s="174"/>
      <c r="O173" s="31" t="s">
        <v>70</v>
      </c>
      <c r="Q173" s="175"/>
      <c r="R173" s="175"/>
      <c r="S173" s="175"/>
      <c r="T173" s="175"/>
      <c r="U173" s="175"/>
      <c r="V173" s="175"/>
      <c r="W173" s="175"/>
      <c r="X173" s="175"/>
      <c r="Y173" s="175"/>
      <c r="Z173" s="175"/>
      <c r="AA173" s="175"/>
      <c r="AB173" s="175"/>
      <c r="AC173" s="175"/>
      <c r="AD173" s="175"/>
      <c r="AE173" s="175"/>
      <c r="AF173" s="175"/>
      <c r="AG173" s="175"/>
      <c r="AH173" s="175"/>
      <c r="AI173" s="175"/>
      <c r="AJ173" s="172"/>
      <c r="AK173" s="172"/>
      <c r="AL173" s="172"/>
      <c r="AM173" s="172"/>
      <c r="AN173" s="172"/>
      <c r="AO173" s="172"/>
      <c r="AP173" s="172"/>
      <c r="AQ173" s="172"/>
      <c r="AR173" s="172"/>
      <c r="AS173" s="172"/>
      <c r="AT173" s="172"/>
      <c r="AU173" s="11"/>
      <c r="AV173" s="19"/>
      <c r="AW173" s="19"/>
      <c r="AX173" s="19"/>
      <c r="AY173" s="19"/>
      <c r="AZ173" s="19"/>
      <c r="BA173" s="19"/>
      <c r="BB173" s="19"/>
      <c r="BC173" s="19"/>
      <c r="BD173" s="19"/>
      <c r="BE173" s="12"/>
      <c r="BF173" s="37"/>
      <c r="BG173" s="38"/>
      <c r="BH173" s="38"/>
      <c r="BI173" s="38"/>
      <c r="BJ173" s="38"/>
      <c r="BK173" s="39"/>
    </row>
    <row r="174" spans="1:63" s="154" customFormat="1" ht="15" customHeight="1" x14ac:dyDescent="0.25">
      <c r="A174" s="11"/>
      <c r="B174" s="19"/>
      <c r="C174" s="19"/>
      <c r="D174" s="19"/>
      <c r="E174" s="19"/>
      <c r="F174" s="19"/>
      <c r="G174" s="19"/>
      <c r="H174" s="19"/>
      <c r="I174" s="19"/>
      <c r="J174" s="19"/>
      <c r="K174" s="19"/>
      <c r="L174" s="12"/>
      <c r="M174" s="172"/>
      <c r="N174" s="172"/>
      <c r="O174" s="175" t="s">
        <v>82</v>
      </c>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2"/>
      <c r="AK174" s="172"/>
      <c r="AL174" s="172"/>
      <c r="AM174" s="172"/>
      <c r="AN174" s="172"/>
      <c r="AO174" s="172"/>
      <c r="AP174" s="172"/>
      <c r="AQ174" s="172"/>
      <c r="AR174" s="172"/>
      <c r="AS174" s="172"/>
      <c r="AT174" s="172"/>
      <c r="AU174" s="11"/>
      <c r="AV174" s="19"/>
      <c r="AW174" s="19"/>
      <c r="AX174" s="19"/>
      <c r="AY174" s="19"/>
      <c r="AZ174" s="19"/>
      <c r="BA174" s="19"/>
      <c r="BB174" s="19"/>
      <c r="BC174" s="19"/>
      <c r="BD174" s="19"/>
      <c r="BE174" s="12"/>
      <c r="BF174" s="37"/>
      <c r="BG174" s="38"/>
      <c r="BH174" s="38"/>
      <c r="BI174" s="38"/>
      <c r="BJ174" s="38"/>
      <c r="BK174" s="39"/>
    </row>
    <row r="175" spans="1:63" s="154" customFormat="1" ht="15" customHeight="1" x14ac:dyDescent="0.25">
      <c r="A175" s="11"/>
      <c r="B175" s="19"/>
      <c r="C175" s="19"/>
      <c r="D175" s="19"/>
      <c r="E175" s="19"/>
      <c r="F175" s="19"/>
      <c r="G175" s="19"/>
      <c r="H175" s="19"/>
      <c r="I175" s="19"/>
      <c r="J175" s="19"/>
      <c r="K175" s="19"/>
      <c r="L175" s="12"/>
      <c r="M175" s="172"/>
      <c r="N175" s="172"/>
      <c r="O175" s="175"/>
      <c r="P175" s="27" t="s">
        <v>10</v>
      </c>
      <c r="Q175" s="28"/>
      <c r="R175" s="28"/>
      <c r="S175" s="28"/>
      <c r="T175" s="28"/>
      <c r="U175" s="28"/>
      <c r="V175" s="28"/>
      <c r="W175" s="27" t="s">
        <v>11</v>
      </c>
      <c r="X175" s="28"/>
      <c r="Y175" s="28"/>
      <c r="Z175" s="28"/>
      <c r="AA175" s="28"/>
      <c r="AB175" s="28"/>
      <c r="AC175" s="28"/>
      <c r="AD175" s="28"/>
      <c r="AE175" s="28"/>
      <c r="AF175" s="28"/>
      <c r="AG175" s="28"/>
      <c r="AH175" s="28"/>
      <c r="AI175" s="28"/>
      <c r="AJ175" s="28"/>
      <c r="AK175" s="28"/>
      <c r="AL175" s="28"/>
      <c r="AM175" s="29"/>
      <c r="AN175" s="172"/>
      <c r="AO175" s="172"/>
      <c r="AP175" s="172"/>
      <c r="AQ175" s="172"/>
      <c r="AR175" s="172"/>
      <c r="AS175" s="172"/>
      <c r="AT175" s="172"/>
      <c r="AU175" s="11"/>
      <c r="AV175" s="19"/>
      <c r="AW175" s="19"/>
      <c r="AX175" s="19"/>
      <c r="AY175" s="19"/>
      <c r="AZ175" s="19"/>
      <c r="BA175" s="19"/>
      <c r="BB175" s="19"/>
      <c r="BC175" s="19"/>
      <c r="BD175" s="19"/>
      <c r="BE175" s="12"/>
      <c r="BF175" s="37"/>
      <c r="BG175" s="38"/>
      <c r="BH175" s="38"/>
      <c r="BI175" s="38"/>
      <c r="BJ175" s="38"/>
      <c r="BK175" s="39"/>
    </row>
    <row r="176" spans="1:63" s="154" customFormat="1" ht="15" customHeight="1" x14ac:dyDescent="0.25">
      <c r="A176" s="11"/>
      <c r="B176" s="19"/>
      <c r="C176" s="19"/>
      <c r="D176" s="19"/>
      <c r="E176" s="19"/>
      <c r="F176" s="19"/>
      <c r="G176" s="19"/>
      <c r="H176" s="19"/>
      <c r="I176" s="19"/>
      <c r="J176" s="19"/>
      <c r="K176" s="19"/>
      <c r="L176" s="12"/>
      <c r="M176" s="172"/>
      <c r="N176" s="172"/>
      <c r="O176" s="175"/>
      <c r="P176" s="179" t="s">
        <v>15</v>
      </c>
      <c r="Q176" s="180"/>
      <c r="R176" s="180"/>
      <c r="S176" s="180"/>
      <c r="T176" s="180"/>
      <c r="U176" s="180"/>
      <c r="V176" s="180"/>
      <c r="W176" s="185" t="s">
        <v>72</v>
      </c>
      <c r="X176" s="186"/>
      <c r="Y176" s="186"/>
      <c r="Z176" s="186"/>
      <c r="AA176" s="186"/>
      <c r="AB176" s="186"/>
      <c r="AC176" s="186"/>
      <c r="AD176" s="186"/>
      <c r="AE176" s="186"/>
      <c r="AF176" s="186"/>
      <c r="AG176" s="186"/>
      <c r="AH176" s="186"/>
      <c r="AI176" s="186"/>
      <c r="AJ176" s="186"/>
      <c r="AK176" s="186"/>
      <c r="AL176" s="186"/>
      <c r="AM176" s="187"/>
      <c r="AN176" s="172"/>
      <c r="AO176" s="172"/>
      <c r="AP176" s="172"/>
      <c r="AQ176" s="172"/>
      <c r="AR176" s="172"/>
      <c r="AS176" s="172"/>
      <c r="AT176" s="172"/>
      <c r="AU176" s="11"/>
      <c r="AV176" s="19"/>
      <c r="AW176" s="19"/>
      <c r="AX176" s="19"/>
      <c r="AY176" s="19"/>
      <c r="AZ176" s="19"/>
      <c r="BA176" s="19"/>
      <c r="BB176" s="19"/>
      <c r="BC176" s="19"/>
      <c r="BD176" s="19"/>
      <c r="BE176" s="12"/>
      <c r="BF176" s="37"/>
      <c r="BG176" s="38"/>
      <c r="BH176" s="38"/>
      <c r="BI176" s="38"/>
      <c r="BJ176" s="38"/>
      <c r="BK176" s="39"/>
    </row>
    <row r="177" spans="1:63" s="154" customFormat="1" ht="15" customHeight="1" x14ac:dyDescent="0.25">
      <c r="A177" s="11"/>
      <c r="B177" s="19"/>
      <c r="C177" s="19"/>
      <c r="D177" s="19"/>
      <c r="E177" s="19"/>
      <c r="F177" s="19"/>
      <c r="G177" s="19"/>
      <c r="H177" s="19"/>
      <c r="I177" s="19"/>
      <c r="J177" s="19"/>
      <c r="K177" s="19"/>
      <c r="L177" s="12"/>
      <c r="M177" s="172"/>
      <c r="N177" s="172"/>
      <c r="O177" s="175"/>
      <c r="P177" s="179" t="s">
        <v>14</v>
      </c>
      <c r="Q177" s="180"/>
      <c r="R177" s="180"/>
      <c r="S177" s="180"/>
      <c r="T177" s="180"/>
      <c r="U177" s="180"/>
      <c r="V177" s="180"/>
      <c r="W177" s="185"/>
      <c r="X177" s="186"/>
      <c r="Y177" s="186"/>
      <c r="Z177" s="186"/>
      <c r="AA177" s="186"/>
      <c r="AB177" s="186"/>
      <c r="AC177" s="186"/>
      <c r="AD177" s="186"/>
      <c r="AE177" s="186"/>
      <c r="AF177" s="186"/>
      <c r="AG177" s="186"/>
      <c r="AH177" s="186"/>
      <c r="AI177" s="186"/>
      <c r="AJ177" s="186"/>
      <c r="AK177" s="186"/>
      <c r="AL177" s="186"/>
      <c r="AM177" s="187"/>
      <c r="AN177" s="172"/>
      <c r="AO177" s="172"/>
      <c r="AP177" s="172"/>
      <c r="AQ177" s="172"/>
      <c r="AR177" s="172"/>
      <c r="AS177" s="172"/>
      <c r="AT177" s="172"/>
      <c r="AU177" s="11"/>
      <c r="AV177" s="19"/>
      <c r="AW177" s="19"/>
      <c r="AX177" s="19"/>
      <c r="AY177" s="19"/>
      <c r="AZ177" s="19"/>
      <c r="BA177" s="19"/>
      <c r="BB177" s="19"/>
      <c r="BC177" s="19"/>
      <c r="BD177" s="19"/>
      <c r="BE177" s="12"/>
      <c r="BF177" s="37"/>
      <c r="BG177" s="38"/>
      <c r="BH177" s="38"/>
      <c r="BI177" s="38"/>
      <c r="BJ177" s="38"/>
      <c r="BK177" s="39"/>
    </row>
    <row r="178" spans="1:63" s="154" customFormat="1" ht="15" customHeight="1" x14ac:dyDescent="0.25">
      <c r="A178" s="11"/>
      <c r="B178" s="19"/>
      <c r="C178" s="19"/>
      <c r="D178" s="19"/>
      <c r="E178" s="19"/>
      <c r="F178" s="19"/>
      <c r="G178" s="19"/>
      <c r="H178" s="19"/>
      <c r="I178" s="19"/>
      <c r="J178" s="19"/>
      <c r="K178" s="19"/>
      <c r="L178" s="12"/>
      <c r="M178" s="172"/>
      <c r="N178" s="172"/>
      <c r="O178" s="175"/>
      <c r="P178" s="179" t="s">
        <v>35</v>
      </c>
      <c r="Q178" s="180"/>
      <c r="R178" s="180"/>
      <c r="S178" s="180"/>
      <c r="T178" s="180"/>
      <c r="U178" s="180"/>
      <c r="V178" s="180"/>
      <c r="W178" s="185" t="s">
        <v>150</v>
      </c>
      <c r="X178" s="186"/>
      <c r="Y178" s="186"/>
      <c r="Z178" s="186"/>
      <c r="AA178" s="186"/>
      <c r="AB178" s="186"/>
      <c r="AC178" s="186"/>
      <c r="AD178" s="186"/>
      <c r="AE178" s="186"/>
      <c r="AF178" s="186"/>
      <c r="AG178" s="186"/>
      <c r="AH178" s="186"/>
      <c r="AI178" s="186"/>
      <c r="AJ178" s="186"/>
      <c r="AK178" s="186"/>
      <c r="AL178" s="186"/>
      <c r="AM178" s="187"/>
      <c r="AN178" s="172"/>
      <c r="AO178" s="172"/>
      <c r="AP178" s="172"/>
      <c r="AQ178" s="172"/>
      <c r="AR178" s="172"/>
      <c r="AS178" s="172"/>
      <c r="AT178" s="172"/>
      <c r="AU178" s="11"/>
      <c r="AV178" s="19"/>
      <c r="AW178" s="19"/>
      <c r="AX178" s="19"/>
      <c r="AY178" s="19"/>
      <c r="AZ178" s="19"/>
      <c r="BA178" s="19"/>
      <c r="BB178" s="19"/>
      <c r="BC178" s="19"/>
      <c r="BD178" s="19"/>
      <c r="BE178" s="12"/>
      <c r="BF178" s="37"/>
      <c r="BG178" s="38"/>
      <c r="BH178" s="38"/>
      <c r="BI178" s="38"/>
      <c r="BJ178" s="38"/>
      <c r="BK178" s="39"/>
    </row>
    <row r="179" spans="1:63" s="154" customFormat="1" ht="15" customHeight="1" x14ac:dyDescent="0.25">
      <c r="A179" s="11"/>
      <c r="B179" s="19"/>
      <c r="C179" s="19"/>
      <c r="D179" s="19"/>
      <c r="E179" s="19"/>
      <c r="F179" s="19"/>
      <c r="G179" s="19"/>
      <c r="H179" s="19"/>
      <c r="I179" s="19"/>
      <c r="J179" s="19"/>
      <c r="K179" s="19"/>
      <c r="L179" s="12"/>
      <c r="M179" s="172"/>
      <c r="N179" s="172"/>
      <c r="O179" s="175"/>
      <c r="P179" s="179" t="s">
        <v>55</v>
      </c>
      <c r="Q179" s="180"/>
      <c r="R179" s="180"/>
      <c r="S179" s="180"/>
      <c r="T179" s="180"/>
      <c r="U179" s="180"/>
      <c r="V179" s="180"/>
      <c r="W179" s="185" t="s">
        <v>24</v>
      </c>
      <c r="X179" s="186"/>
      <c r="Y179" s="186"/>
      <c r="Z179" s="186"/>
      <c r="AA179" s="186"/>
      <c r="AB179" s="186"/>
      <c r="AC179" s="186"/>
      <c r="AD179" s="186"/>
      <c r="AE179" s="186"/>
      <c r="AF179" s="186"/>
      <c r="AG179" s="186"/>
      <c r="AH179" s="186"/>
      <c r="AI179" s="186"/>
      <c r="AJ179" s="186"/>
      <c r="AK179" s="186"/>
      <c r="AL179" s="186"/>
      <c r="AM179" s="187"/>
      <c r="AN179" s="172"/>
      <c r="AO179" s="172"/>
      <c r="AP179" s="172"/>
      <c r="AQ179" s="172"/>
      <c r="AR179" s="172"/>
      <c r="AS179" s="172"/>
      <c r="AT179" s="172"/>
      <c r="AU179" s="11"/>
      <c r="AV179" s="19"/>
      <c r="AW179" s="19"/>
      <c r="AX179" s="19"/>
      <c r="AY179" s="19"/>
      <c r="AZ179" s="19"/>
      <c r="BA179" s="19"/>
      <c r="BB179" s="19"/>
      <c r="BC179" s="19"/>
      <c r="BD179" s="19"/>
      <c r="BE179" s="12"/>
      <c r="BF179" s="37"/>
      <c r="BG179" s="38"/>
      <c r="BH179" s="38"/>
      <c r="BI179" s="38"/>
      <c r="BJ179" s="38"/>
      <c r="BK179" s="39"/>
    </row>
    <row r="180" spans="1:63" s="154" customFormat="1" ht="15" customHeight="1" x14ac:dyDescent="0.25">
      <c r="A180" s="11"/>
      <c r="B180" s="19"/>
      <c r="C180" s="19"/>
      <c r="D180" s="19"/>
      <c r="E180" s="19"/>
      <c r="F180" s="19"/>
      <c r="G180" s="19"/>
      <c r="H180" s="19"/>
      <c r="I180" s="19"/>
      <c r="J180" s="19"/>
      <c r="K180" s="19"/>
      <c r="L180" s="12"/>
      <c r="M180" s="172"/>
      <c r="N180" s="172"/>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2"/>
      <c r="AK180" s="172"/>
      <c r="AL180" s="172"/>
      <c r="AM180" s="172"/>
      <c r="AN180" s="172"/>
      <c r="AO180" s="172"/>
      <c r="AP180" s="172"/>
      <c r="AQ180" s="172"/>
      <c r="AR180" s="172"/>
      <c r="AS180" s="172"/>
      <c r="AT180" s="172"/>
      <c r="AU180" s="11"/>
      <c r="AV180" s="19"/>
      <c r="AW180" s="19"/>
      <c r="AX180" s="19"/>
      <c r="AY180" s="19"/>
      <c r="AZ180" s="19"/>
      <c r="BA180" s="19"/>
      <c r="BB180" s="19"/>
      <c r="BC180" s="19"/>
      <c r="BD180" s="19"/>
      <c r="BE180" s="12"/>
      <c r="BF180" s="37"/>
      <c r="BG180" s="38"/>
      <c r="BH180" s="38"/>
      <c r="BI180" s="38"/>
      <c r="BJ180" s="38"/>
      <c r="BK180" s="39"/>
    </row>
    <row r="181" spans="1:63" s="154" customFormat="1" ht="15" customHeight="1" x14ac:dyDescent="0.25">
      <c r="A181" s="11"/>
      <c r="B181" s="19"/>
      <c r="C181" s="19"/>
      <c r="D181" s="19"/>
      <c r="E181" s="19"/>
      <c r="F181" s="19"/>
      <c r="G181" s="19"/>
      <c r="H181" s="19"/>
      <c r="I181" s="19"/>
      <c r="J181" s="19"/>
      <c r="K181" s="19"/>
      <c r="L181" s="12"/>
      <c r="M181" s="172"/>
      <c r="N181" s="172"/>
      <c r="O181" s="175"/>
      <c r="P181" s="175" t="s">
        <v>81</v>
      </c>
      <c r="Q181" s="175"/>
      <c r="R181" s="175"/>
      <c r="S181" s="175"/>
      <c r="T181" s="175"/>
      <c r="U181" s="175"/>
      <c r="V181" s="175"/>
      <c r="W181" s="175"/>
      <c r="X181" s="175"/>
      <c r="Y181" s="175"/>
      <c r="Z181" s="175"/>
      <c r="AA181" s="175"/>
      <c r="AB181" s="175"/>
      <c r="AC181" s="175"/>
      <c r="AD181" s="175"/>
      <c r="AE181" s="175"/>
      <c r="AF181" s="175"/>
      <c r="AG181" s="175"/>
      <c r="AH181" s="175"/>
      <c r="AI181" s="175"/>
      <c r="AJ181" s="172"/>
      <c r="AK181" s="172"/>
      <c r="AL181" s="172"/>
      <c r="AM181" s="172"/>
      <c r="AN181" s="172"/>
      <c r="AO181" s="172"/>
      <c r="AP181" s="172"/>
      <c r="AQ181" s="172"/>
      <c r="AR181" s="172"/>
      <c r="AS181" s="172"/>
      <c r="AT181" s="172"/>
      <c r="AU181" s="11"/>
      <c r="AV181" s="19"/>
      <c r="AW181" s="19"/>
      <c r="AX181" s="19"/>
      <c r="AY181" s="19"/>
      <c r="AZ181" s="19"/>
      <c r="BA181" s="19"/>
      <c r="BB181" s="19"/>
      <c r="BC181" s="19"/>
      <c r="BD181" s="19"/>
      <c r="BE181" s="12"/>
      <c r="BF181" s="37"/>
      <c r="BG181" s="38"/>
      <c r="BH181" s="38"/>
      <c r="BI181" s="38"/>
      <c r="BJ181" s="38"/>
      <c r="BK181" s="39"/>
    </row>
    <row r="182" spans="1:63" s="154" customFormat="1" ht="15" customHeight="1" x14ac:dyDescent="0.25">
      <c r="A182" s="11"/>
      <c r="B182" s="19"/>
      <c r="C182" s="19"/>
      <c r="D182" s="19"/>
      <c r="E182" s="19"/>
      <c r="F182" s="19"/>
      <c r="G182" s="19"/>
      <c r="H182" s="19"/>
      <c r="I182" s="19"/>
      <c r="J182" s="19"/>
      <c r="K182" s="19"/>
      <c r="L182" s="12"/>
      <c r="M182" s="172"/>
      <c r="N182" s="172"/>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2"/>
      <c r="AK182" s="172"/>
      <c r="AL182" s="172"/>
      <c r="AM182" s="172"/>
      <c r="AN182" s="172"/>
      <c r="AO182" s="172"/>
      <c r="AP182" s="172"/>
      <c r="AQ182" s="172"/>
      <c r="AR182" s="172"/>
      <c r="AS182" s="172"/>
      <c r="AT182" s="172"/>
      <c r="AU182" s="11"/>
      <c r="AV182" s="19"/>
      <c r="AW182" s="19"/>
      <c r="AX182" s="19"/>
      <c r="AY182" s="19"/>
      <c r="AZ182" s="19"/>
      <c r="BA182" s="19"/>
      <c r="BB182" s="19"/>
      <c r="BC182" s="19"/>
      <c r="BD182" s="19"/>
      <c r="BE182" s="12"/>
      <c r="BF182" s="37"/>
      <c r="BG182" s="38"/>
      <c r="BH182" s="38"/>
      <c r="BI182" s="38"/>
      <c r="BJ182" s="38"/>
      <c r="BK182" s="39"/>
    </row>
    <row r="183" spans="1:63" s="154" customFormat="1" ht="15" customHeight="1" x14ac:dyDescent="0.25">
      <c r="A183" s="11"/>
      <c r="B183" s="19"/>
      <c r="C183" s="19"/>
      <c r="D183" s="19"/>
      <c r="E183" s="19"/>
      <c r="F183" s="19"/>
      <c r="G183" s="19"/>
      <c r="H183" s="19"/>
      <c r="I183" s="19"/>
      <c r="J183" s="19"/>
      <c r="K183" s="19"/>
      <c r="L183" s="12"/>
      <c r="M183" s="172"/>
      <c r="N183" s="172"/>
      <c r="O183" s="175" t="s">
        <v>16</v>
      </c>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2"/>
      <c r="AK183" s="172"/>
      <c r="AL183" s="172"/>
      <c r="AM183" s="172"/>
      <c r="AN183" s="172"/>
      <c r="AO183" s="172"/>
      <c r="AP183" s="172"/>
      <c r="AQ183" s="172"/>
      <c r="AR183" s="172"/>
      <c r="AS183" s="172"/>
      <c r="AT183" s="172"/>
      <c r="AU183" s="11"/>
      <c r="AV183" s="19"/>
      <c r="AW183" s="19"/>
      <c r="AX183" s="19"/>
      <c r="AY183" s="19"/>
      <c r="AZ183" s="19"/>
      <c r="BA183" s="19"/>
      <c r="BB183" s="19"/>
      <c r="BC183" s="19"/>
      <c r="BD183" s="19"/>
      <c r="BE183" s="12"/>
      <c r="BF183" s="37"/>
      <c r="BG183" s="38"/>
      <c r="BH183" s="38"/>
      <c r="BI183" s="38"/>
      <c r="BJ183" s="38"/>
      <c r="BK183" s="39"/>
    </row>
    <row r="184" spans="1:63" s="154" customFormat="1" ht="15" customHeight="1" x14ac:dyDescent="0.25">
      <c r="A184" s="11"/>
      <c r="B184" s="19"/>
      <c r="C184" s="19"/>
      <c r="D184" s="19"/>
      <c r="E184" s="19"/>
      <c r="F184" s="19"/>
      <c r="G184" s="19"/>
      <c r="H184" s="19"/>
      <c r="I184" s="19"/>
      <c r="J184" s="19"/>
      <c r="K184" s="19"/>
      <c r="L184" s="12"/>
      <c r="M184" s="172"/>
      <c r="N184" s="172"/>
      <c r="O184" s="175"/>
      <c r="P184" s="175" t="s">
        <v>74</v>
      </c>
      <c r="Q184" s="175"/>
      <c r="R184" s="175"/>
      <c r="S184" s="175"/>
      <c r="T184" s="175"/>
      <c r="U184" s="175"/>
      <c r="V184" s="175"/>
      <c r="W184" s="175"/>
      <c r="X184" s="175"/>
      <c r="Y184" s="175"/>
      <c r="Z184" s="175"/>
      <c r="AA184" s="175"/>
      <c r="AB184" s="175"/>
      <c r="AC184" s="175"/>
      <c r="AD184" s="175"/>
      <c r="AE184" s="175"/>
      <c r="AF184" s="175"/>
      <c r="AG184" s="175"/>
      <c r="AH184" s="175"/>
      <c r="AI184" s="175"/>
      <c r="AJ184" s="172"/>
      <c r="AK184" s="172"/>
      <c r="AL184" s="172"/>
      <c r="AM184" s="172"/>
      <c r="AN184" s="172"/>
      <c r="AO184" s="172"/>
      <c r="AP184" s="172"/>
      <c r="AQ184" s="172"/>
      <c r="AR184" s="172"/>
      <c r="AS184" s="172"/>
      <c r="AT184" s="172"/>
      <c r="AU184" s="11"/>
      <c r="AV184" s="19"/>
      <c r="AW184" s="19"/>
      <c r="AX184" s="19"/>
      <c r="AY184" s="19"/>
      <c r="AZ184" s="19"/>
      <c r="BA184" s="19"/>
      <c r="BB184" s="19"/>
      <c r="BC184" s="19"/>
      <c r="BD184" s="19"/>
      <c r="BE184" s="12"/>
      <c r="BF184" s="37"/>
      <c r="BG184" s="38"/>
      <c r="BH184" s="38"/>
      <c r="BI184" s="38"/>
      <c r="BJ184" s="38"/>
      <c r="BK184" s="39"/>
    </row>
    <row r="185" spans="1:63" s="154" customFormat="1" ht="15" customHeight="1" x14ac:dyDescent="0.25">
      <c r="A185" s="11"/>
      <c r="B185" s="19"/>
      <c r="C185" s="19"/>
      <c r="D185" s="19"/>
      <c r="E185" s="19"/>
      <c r="F185" s="19"/>
      <c r="G185" s="19"/>
      <c r="H185" s="19"/>
      <c r="I185" s="19"/>
      <c r="J185" s="19"/>
      <c r="K185" s="19"/>
      <c r="L185" s="12"/>
      <c r="M185" s="172"/>
      <c r="N185" s="172"/>
      <c r="O185" s="175"/>
      <c r="P185" s="175"/>
      <c r="Q185" s="175" t="s">
        <v>73</v>
      </c>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2"/>
      <c r="AO185" s="172"/>
      <c r="AP185" s="172"/>
      <c r="AQ185" s="172"/>
      <c r="AR185" s="172"/>
      <c r="AS185" s="172"/>
      <c r="AT185" s="172"/>
      <c r="AU185" s="11"/>
      <c r="AV185" s="19"/>
      <c r="AW185" s="19"/>
      <c r="AX185" s="19"/>
      <c r="AY185" s="19"/>
      <c r="AZ185" s="19"/>
      <c r="BA185" s="19"/>
      <c r="BB185" s="19"/>
      <c r="BC185" s="19"/>
      <c r="BD185" s="19"/>
      <c r="BE185" s="12"/>
      <c r="BF185" s="37"/>
      <c r="BG185" s="38"/>
      <c r="BH185" s="38"/>
      <c r="BI185" s="38"/>
      <c r="BJ185" s="38"/>
      <c r="BK185" s="39"/>
    </row>
    <row r="186" spans="1:63" s="154" customFormat="1" ht="15" customHeight="1" x14ac:dyDescent="0.25">
      <c r="A186" s="11"/>
      <c r="B186" s="19"/>
      <c r="C186" s="19"/>
      <c r="D186" s="19"/>
      <c r="E186" s="19"/>
      <c r="F186" s="19"/>
      <c r="G186" s="19"/>
      <c r="H186" s="19"/>
      <c r="I186" s="19"/>
      <c r="J186" s="19"/>
      <c r="K186" s="19"/>
      <c r="L186" s="12"/>
      <c r="M186" s="172"/>
      <c r="N186" s="172"/>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2"/>
      <c r="AO186" s="172"/>
      <c r="AP186" s="172"/>
      <c r="AQ186" s="172"/>
      <c r="AR186" s="172"/>
      <c r="AS186" s="172"/>
      <c r="AT186" s="172"/>
      <c r="AU186" s="11"/>
      <c r="AV186" s="19"/>
      <c r="AW186" s="19"/>
      <c r="AX186" s="19"/>
      <c r="AY186" s="19"/>
      <c r="AZ186" s="19"/>
      <c r="BA186" s="19"/>
      <c r="BB186" s="19"/>
      <c r="BC186" s="19"/>
      <c r="BD186" s="19"/>
      <c r="BE186" s="12"/>
      <c r="BF186" s="37"/>
      <c r="BG186" s="38"/>
      <c r="BH186" s="38"/>
      <c r="BI186" s="38"/>
      <c r="BJ186" s="38"/>
      <c r="BK186" s="39"/>
    </row>
    <row r="187" spans="1:63" s="154" customFormat="1" ht="15" customHeight="1" x14ac:dyDescent="0.25">
      <c r="A187" s="11"/>
      <c r="B187" s="19"/>
      <c r="C187" s="19"/>
      <c r="D187" s="19"/>
      <c r="E187" s="19"/>
      <c r="F187" s="19"/>
      <c r="G187" s="19"/>
      <c r="H187" s="19"/>
      <c r="I187" s="19"/>
      <c r="J187" s="19"/>
      <c r="K187" s="19"/>
      <c r="L187" s="12"/>
      <c r="M187" s="172"/>
      <c r="N187" s="172"/>
      <c r="O187" s="175"/>
      <c r="P187" s="172" t="s">
        <v>75</v>
      </c>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2"/>
      <c r="AO187" s="172"/>
      <c r="AP187" s="172"/>
      <c r="AQ187" s="172"/>
      <c r="AR187" s="172"/>
      <c r="AS187" s="172"/>
      <c r="AT187" s="172"/>
      <c r="AU187" s="11"/>
      <c r="AV187" s="19"/>
      <c r="AW187" s="19"/>
      <c r="AX187" s="19"/>
      <c r="AY187" s="19"/>
      <c r="AZ187" s="19"/>
      <c r="BA187" s="19"/>
      <c r="BB187" s="19"/>
      <c r="BC187" s="19"/>
      <c r="BD187" s="19"/>
      <c r="BE187" s="12"/>
      <c r="BF187" s="37"/>
      <c r="BG187" s="38"/>
      <c r="BH187" s="38"/>
      <c r="BI187" s="38"/>
      <c r="BJ187" s="38"/>
      <c r="BK187" s="39"/>
    </row>
    <row r="188" spans="1:63" s="154" customFormat="1" ht="15" customHeight="1" x14ac:dyDescent="0.25">
      <c r="A188" s="11"/>
      <c r="B188" s="19"/>
      <c r="C188" s="19"/>
      <c r="D188" s="19"/>
      <c r="E188" s="19"/>
      <c r="F188" s="19"/>
      <c r="G188" s="19"/>
      <c r="H188" s="19"/>
      <c r="I188" s="19"/>
      <c r="J188" s="19"/>
      <c r="K188" s="19"/>
      <c r="L188" s="12"/>
      <c r="M188" s="172"/>
      <c r="N188" s="172"/>
      <c r="O188" s="175"/>
      <c r="P188" s="175"/>
      <c r="Q188" s="175" t="s">
        <v>76</v>
      </c>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2"/>
      <c r="AO188" s="172"/>
      <c r="AP188" s="172"/>
      <c r="AQ188" s="172"/>
      <c r="AR188" s="172"/>
      <c r="AS188" s="172"/>
      <c r="AT188" s="172"/>
      <c r="AU188" s="11"/>
      <c r="AV188" s="19"/>
      <c r="AW188" s="19"/>
      <c r="AX188" s="19"/>
      <c r="AY188" s="19"/>
      <c r="AZ188" s="19"/>
      <c r="BA188" s="19"/>
      <c r="BB188" s="19"/>
      <c r="BC188" s="19"/>
      <c r="BD188" s="19"/>
      <c r="BE188" s="12"/>
      <c r="BF188" s="37"/>
      <c r="BG188" s="38"/>
      <c r="BH188" s="38"/>
      <c r="BI188" s="38"/>
      <c r="BJ188" s="38"/>
      <c r="BK188" s="39"/>
    </row>
    <row r="189" spans="1:63" s="154" customFormat="1" ht="15" customHeight="1" x14ac:dyDescent="0.25">
      <c r="A189" s="11"/>
      <c r="B189" s="19"/>
      <c r="C189" s="19"/>
      <c r="D189" s="19"/>
      <c r="E189" s="19"/>
      <c r="F189" s="19"/>
      <c r="G189" s="19"/>
      <c r="H189" s="19"/>
      <c r="I189" s="19"/>
      <c r="J189" s="19"/>
      <c r="K189" s="19"/>
      <c r="L189" s="12"/>
      <c r="M189" s="172"/>
      <c r="O189" s="32" t="s">
        <v>198</v>
      </c>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2"/>
      <c r="AK189" s="172"/>
      <c r="AL189" s="172"/>
      <c r="AM189" s="172"/>
      <c r="AN189" s="172"/>
      <c r="AO189" s="172"/>
      <c r="AP189" s="172"/>
      <c r="AQ189" s="172"/>
      <c r="AR189" s="172"/>
      <c r="AS189" s="172"/>
      <c r="AT189" s="172"/>
      <c r="AU189" s="11"/>
      <c r="AV189" s="19"/>
      <c r="AW189" s="19"/>
      <c r="AX189" s="19"/>
      <c r="AY189" s="19"/>
      <c r="AZ189" s="19"/>
      <c r="BA189" s="19"/>
      <c r="BB189" s="19"/>
      <c r="BC189" s="19"/>
      <c r="BD189" s="19"/>
      <c r="BE189" s="12"/>
      <c r="BF189" s="37"/>
      <c r="BG189" s="38"/>
      <c r="BH189" s="38"/>
      <c r="BI189" s="38"/>
      <c r="BJ189" s="38"/>
      <c r="BK189" s="39"/>
    </row>
    <row r="190" spans="1:63" s="154" customFormat="1" ht="15" customHeight="1" x14ac:dyDescent="0.25">
      <c r="A190" s="11"/>
      <c r="B190" s="19"/>
      <c r="C190" s="19"/>
      <c r="D190" s="19"/>
      <c r="E190" s="19"/>
      <c r="F190" s="19"/>
      <c r="G190" s="19"/>
      <c r="H190" s="19"/>
      <c r="I190" s="19"/>
      <c r="J190" s="19"/>
      <c r="K190" s="19"/>
      <c r="L190" s="12"/>
      <c r="M190" s="172"/>
      <c r="O190" s="32"/>
      <c r="P190" s="175"/>
      <c r="Q190" s="32" t="s">
        <v>219</v>
      </c>
      <c r="R190" s="175"/>
      <c r="S190" s="175"/>
      <c r="T190" s="175"/>
      <c r="U190" s="175"/>
      <c r="V190" s="175"/>
      <c r="W190" s="175"/>
      <c r="X190" s="175"/>
      <c r="Y190" s="175"/>
      <c r="Z190" s="175"/>
      <c r="AA190" s="175"/>
      <c r="AB190" s="175"/>
      <c r="AC190" s="175"/>
      <c r="AD190" s="175"/>
      <c r="AE190" s="175"/>
      <c r="AF190" s="175"/>
      <c r="AG190" s="175"/>
      <c r="AH190" s="175"/>
      <c r="AI190" s="175"/>
      <c r="AJ190" s="172"/>
      <c r="AK190" s="172"/>
      <c r="AL190" s="172"/>
      <c r="AM190" s="172"/>
      <c r="AN190" s="172"/>
      <c r="AO190" s="172"/>
      <c r="AP190" s="172"/>
      <c r="AQ190" s="172"/>
      <c r="AR190" s="172"/>
      <c r="AS190" s="172"/>
      <c r="AT190" s="172"/>
      <c r="AU190" s="11"/>
      <c r="AV190" s="19"/>
      <c r="AW190" s="19"/>
      <c r="AX190" s="19"/>
      <c r="AY190" s="19"/>
      <c r="AZ190" s="19"/>
      <c r="BA190" s="19"/>
      <c r="BB190" s="19"/>
      <c r="BC190" s="19"/>
      <c r="BD190" s="19"/>
      <c r="BE190" s="12"/>
      <c r="BF190" s="37"/>
      <c r="BG190" s="38"/>
      <c r="BH190" s="38"/>
      <c r="BI190" s="38"/>
      <c r="BJ190" s="38"/>
      <c r="BK190" s="39"/>
    </row>
    <row r="191" spans="1:63" s="154" customFormat="1" ht="15" customHeight="1" x14ac:dyDescent="0.25">
      <c r="A191" s="11"/>
      <c r="B191" s="19"/>
      <c r="C191" s="19"/>
      <c r="D191" s="19"/>
      <c r="E191" s="19"/>
      <c r="F191" s="19"/>
      <c r="G191" s="19"/>
      <c r="H191" s="19"/>
      <c r="I191" s="19"/>
      <c r="J191" s="19"/>
      <c r="K191" s="19"/>
      <c r="L191" s="12"/>
      <c r="M191" s="172"/>
      <c r="O191" s="22" t="s">
        <v>71</v>
      </c>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2"/>
      <c r="AK191" s="172"/>
      <c r="AL191" s="172"/>
      <c r="AM191" s="172"/>
      <c r="AN191" s="172"/>
      <c r="AO191" s="172"/>
      <c r="AP191" s="172"/>
      <c r="AQ191" s="172"/>
      <c r="AR191" s="172"/>
      <c r="AS191" s="172"/>
      <c r="AT191" s="172"/>
      <c r="AU191" s="11"/>
      <c r="AV191" s="19"/>
      <c r="AW191" s="19"/>
      <c r="AX191" s="19"/>
      <c r="AY191" s="19"/>
      <c r="AZ191" s="19"/>
      <c r="BA191" s="19"/>
      <c r="BB191" s="19"/>
      <c r="BC191" s="19"/>
      <c r="BD191" s="19"/>
      <c r="BE191" s="12"/>
      <c r="BF191" s="37"/>
      <c r="BG191" s="38"/>
      <c r="BH191" s="38"/>
      <c r="BI191" s="38"/>
      <c r="BJ191" s="38"/>
      <c r="BK191" s="39"/>
    </row>
    <row r="192" spans="1:63" s="154" customFormat="1" ht="15" customHeight="1" x14ac:dyDescent="0.25">
      <c r="A192" s="11"/>
      <c r="B192" s="19"/>
      <c r="C192" s="19"/>
      <c r="D192" s="19"/>
      <c r="E192" s="19"/>
      <c r="F192" s="19"/>
      <c r="G192" s="19"/>
      <c r="H192" s="19"/>
      <c r="I192" s="19"/>
      <c r="J192" s="19"/>
      <c r="K192" s="19"/>
      <c r="L192" s="12"/>
      <c r="M192" s="172"/>
      <c r="O192" s="22"/>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2"/>
      <c r="AK192" s="172"/>
      <c r="AL192" s="172"/>
      <c r="AM192" s="172"/>
      <c r="AN192" s="172"/>
      <c r="AO192" s="172"/>
      <c r="AP192" s="172"/>
      <c r="AQ192" s="172"/>
      <c r="AR192" s="172"/>
      <c r="AS192" s="172"/>
      <c r="AT192" s="172"/>
      <c r="AU192" s="11"/>
      <c r="AV192" s="19"/>
      <c r="AW192" s="19"/>
      <c r="AX192" s="19"/>
      <c r="AY192" s="19"/>
      <c r="AZ192" s="19"/>
      <c r="BA192" s="19"/>
      <c r="BB192" s="19"/>
      <c r="BC192" s="19"/>
      <c r="BD192" s="19"/>
      <c r="BE192" s="12"/>
      <c r="BF192" s="37"/>
      <c r="BG192" s="38"/>
      <c r="BH192" s="38"/>
      <c r="BI192" s="38"/>
      <c r="BJ192" s="38"/>
      <c r="BK192" s="39"/>
    </row>
    <row r="193" spans="1:63" s="154" customFormat="1" ht="15" customHeight="1" x14ac:dyDescent="0.25">
      <c r="A193" s="11"/>
      <c r="B193" s="19"/>
      <c r="C193" s="19"/>
      <c r="D193" s="19"/>
      <c r="E193" s="19"/>
      <c r="F193" s="19"/>
      <c r="G193" s="19"/>
      <c r="H193" s="19"/>
      <c r="I193" s="19"/>
      <c r="J193" s="19"/>
      <c r="K193" s="19"/>
      <c r="L193" s="12"/>
      <c r="M193" s="172"/>
      <c r="N193" s="22" t="s">
        <v>199</v>
      </c>
      <c r="O193" s="172"/>
      <c r="P193" s="172"/>
      <c r="Q193" s="175"/>
      <c r="R193" s="175"/>
      <c r="S193" s="175"/>
      <c r="T193" s="175"/>
      <c r="U193" s="175"/>
      <c r="V193" s="175"/>
      <c r="W193" s="175"/>
      <c r="X193" s="175"/>
      <c r="Y193" s="175"/>
      <c r="Z193" s="175"/>
      <c r="AA193" s="175"/>
      <c r="AB193" s="175"/>
      <c r="AC193" s="175"/>
      <c r="AD193" s="175"/>
      <c r="AE193" s="175"/>
      <c r="AF193" s="175"/>
      <c r="AG193" s="175"/>
      <c r="AH193" s="175"/>
      <c r="AI193" s="175"/>
      <c r="AJ193" s="172"/>
      <c r="AK193" s="172"/>
      <c r="AL193" s="172"/>
      <c r="AM193" s="172"/>
      <c r="AN193" s="172"/>
      <c r="AO193" s="172"/>
      <c r="AP193" s="172"/>
      <c r="AQ193" s="172"/>
      <c r="AR193" s="172"/>
      <c r="AS193" s="172"/>
      <c r="AT193" s="172"/>
      <c r="AU193" s="11"/>
      <c r="AV193" s="19"/>
      <c r="AW193" s="19"/>
      <c r="AX193" s="19"/>
      <c r="AY193" s="19"/>
      <c r="AZ193" s="19"/>
      <c r="BA193" s="19"/>
      <c r="BB193" s="19"/>
      <c r="BC193" s="19"/>
      <c r="BD193" s="19"/>
      <c r="BE193" s="12"/>
      <c r="BF193" s="37"/>
      <c r="BG193" s="38"/>
      <c r="BH193" s="38"/>
      <c r="BI193" s="38"/>
      <c r="BJ193" s="38"/>
      <c r="BK193" s="39"/>
    </row>
    <row r="194" spans="1:63" s="154" customFormat="1" ht="15" customHeight="1" x14ac:dyDescent="0.25">
      <c r="A194" s="11"/>
      <c r="B194" s="19"/>
      <c r="C194" s="19"/>
      <c r="D194" s="19"/>
      <c r="E194" s="19"/>
      <c r="F194" s="19"/>
      <c r="G194" s="19"/>
      <c r="H194" s="19"/>
      <c r="I194" s="19"/>
      <c r="J194" s="19"/>
      <c r="K194" s="19"/>
      <c r="L194" s="12"/>
      <c r="M194" s="172"/>
      <c r="N194" s="172"/>
      <c r="O194" s="175" t="s">
        <v>200</v>
      </c>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2"/>
      <c r="AK194" s="172"/>
      <c r="AL194" s="172"/>
      <c r="AM194" s="172"/>
      <c r="AN194" s="172"/>
      <c r="AO194" s="172"/>
      <c r="AP194" s="172"/>
      <c r="AQ194" s="172"/>
      <c r="AR194" s="172"/>
      <c r="AS194" s="172"/>
      <c r="AT194" s="172"/>
      <c r="AU194" s="11"/>
      <c r="AV194" s="19"/>
      <c r="AW194" s="19"/>
      <c r="AX194" s="19"/>
      <c r="AY194" s="19"/>
      <c r="AZ194" s="19"/>
      <c r="BA194" s="19"/>
      <c r="BB194" s="19"/>
      <c r="BC194" s="19"/>
      <c r="BD194" s="19"/>
      <c r="BE194" s="12"/>
      <c r="BF194" s="37"/>
      <c r="BG194" s="38"/>
      <c r="BH194" s="38"/>
      <c r="BI194" s="38"/>
      <c r="BJ194" s="38"/>
      <c r="BK194" s="39"/>
    </row>
    <row r="195" spans="1:63" s="154" customFormat="1" ht="15" customHeight="1" x14ac:dyDescent="0.25">
      <c r="A195" s="11"/>
      <c r="B195" s="19"/>
      <c r="C195" s="19"/>
      <c r="D195" s="19"/>
      <c r="E195" s="19"/>
      <c r="F195" s="19"/>
      <c r="G195" s="19"/>
      <c r="H195" s="19"/>
      <c r="I195" s="19"/>
      <c r="J195" s="19"/>
      <c r="K195" s="19"/>
      <c r="L195" s="12"/>
      <c r="M195" s="172"/>
      <c r="O195" s="175" t="s">
        <v>201</v>
      </c>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2"/>
      <c r="AK195" s="172"/>
      <c r="AL195" s="172"/>
      <c r="AM195" s="172"/>
      <c r="AN195" s="172"/>
      <c r="AO195" s="172"/>
      <c r="AP195" s="172"/>
      <c r="AQ195" s="172"/>
      <c r="AR195" s="172"/>
      <c r="AS195" s="172"/>
      <c r="AT195" s="172"/>
      <c r="AU195" s="11"/>
      <c r="AV195" s="19"/>
      <c r="AW195" s="19"/>
      <c r="AX195" s="19"/>
      <c r="AY195" s="19"/>
      <c r="AZ195" s="19"/>
      <c r="BA195" s="19"/>
      <c r="BB195" s="19"/>
      <c r="BC195" s="19"/>
      <c r="BD195" s="19"/>
      <c r="BE195" s="12"/>
      <c r="BF195" s="37"/>
      <c r="BG195" s="38"/>
      <c r="BH195" s="38"/>
      <c r="BI195" s="38"/>
      <c r="BJ195" s="38"/>
      <c r="BK195" s="39"/>
    </row>
    <row r="196" spans="1:63" s="154" customFormat="1" ht="15" customHeight="1" x14ac:dyDescent="0.25">
      <c r="A196" s="11"/>
      <c r="B196" s="19"/>
      <c r="C196" s="19"/>
      <c r="D196" s="19"/>
      <c r="E196" s="19"/>
      <c r="F196" s="19"/>
      <c r="G196" s="19"/>
      <c r="H196" s="19"/>
      <c r="I196" s="19"/>
      <c r="J196" s="19"/>
      <c r="K196" s="19"/>
      <c r="L196" s="12"/>
      <c r="M196" s="172"/>
      <c r="N196" s="172"/>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2"/>
      <c r="AK196" s="172"/>
      <c r="AL196" s="172"/>
      <c r="AM196" s="172"/>
      <c r="AN196" s="172"/>
      <c r="AO196" s="172"/>
      <c r="AP196" s="172"/>
      <c r="AQ196" s="172"/>
      <c r="AR196" s="172"/>
      <c r="AS196" s="172"/>
      <c r="AT196" s="172"/>
      <c r="AU196" s="11"/>
      <c r="AV196" s="19"/>
      <c r="AW196" s="19"/>
      <c r="AX196" s="19"/>
      <c r="AY196" s="19"/>
      <c r="AZ196" s="19"/>
      <c r="BA196" s="19"/>
      <c r="BB196" s="19"/>
      <c r="BC196" s="19"/>
      <c r="BD196" s="19"/>
      <c r="BE196" s="12"/>
      <c r="BF196" s="37"/>
      <c r="BG196" s="38"/>
      <c r="BH196" s="38"/>
      <c r="BI196" s="38"/>
      <c r="BJ196" s="38"/>
      <c r="BK196" s="39"/>
    </row>
    <row r="197" spans="1:63" s="154" customFormat="1" ht="15" customHeight="1" x14ac:dyDescent="0.25">
      <c r="A197" s="13"/>
      <c r="B197" s="14"/>
      <c r="C197" s="14"/>
      <c r="D197" s="14"/>
      <c r="E197" s="14"/>
      <c r="F197" s="14"/>
      <c r="G197" s="14"/>
      <c r="H197" s="14"/>
      <c r="I197" s="14"/>
      <c r="J197" s="14"/>
      <c r="K197" s="14"/>
      <c r="L197" s="15"/>
      <c r="M197" s="176"/>
      <c r="N197" s="177"/>
      <c r="O197" s="177"/>
      <c r="P197" s="177"/>
      <c r="Q197" s="177"/>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178"/>
      <c r="AQ197" s="178"/>
      <c r="AR197" s="178"/>
      <c r="AS197" s="178"/>
      <c r="AT197" s="178"/>
      <c r="AU197" s="13"/>
      <c r="AV197" s="14"/>
      <c r="AW197" s="14"/>
      <c r="AX197" s="14"/>
      <c r="AY197" s="14"/>
      <c r="AZ197" s="14"/>
      <c r="BA197" s="14"/>
      <c r="BB197" s="14"/>
      <c r="BC197" s="14"/>
      <c r="BD197" s="14"/>
      <c r="BE197" s="15"/>
      <c r="BF197" s="40"/>
      <c r="BG197" s="41"/>
      <c r="BH197" s="41"/>
      <c r="BI197" s="41"/>
      <c r="BJ197" s="41"/>
      <c r="BK197" s="42"/>
    </row>
    <row r="198" spans="1:63" ht="15" customHeight="1" x14ac:dyDescent="0.25">
      <c r="A198" s="21"/>
      <c r="BK198" s="6"/>
    </row>
    <row r="199" spans="1:63" ht="15" customHeight="1" x14ac:dyDescent="0.25">
      <c r="A199" s="21"/>
      <c r="BK199" s="6"/>
    </row>
    <row r="200" spans="1:63" ht="15" customHeight="1" x14ac:dyDescent="0.25">
      <c r="A200" s="21"/>
      <c r="BK200" s="6"/>
    </row>
    <row r="201" spans="1:63" s="154" customFormat="1" ht="15" customHeight="1" x14ac:dyDescent="0.25">
      <c r="A201" s="160" t="s">
        <v>3</v>
      </c>
      <c r="B201" s="161"/>
      <c r="C201" s="161"/>
      <c r="D201" s="161"/>
      <c r="E201" s="161"/>
      <c r="F201" s="162"/>
      <c r="G201" s="156" t="s">
        <v>99</v>
      </c>
      <c r="H201" s="156"/>
      <c r="I201" s="156"/>
      <c r="J201" s="156"/>
      <c r="K201" s="156"/>
      <c r="L201" s="156"/>
      <c r="M201" s="163" t="s">
        <v>77</v>
      </c>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164"/>
      <c r="BI201" s="164"/>
      <c r="BJ201" s="164"/>
      <c r="BK201" s="165"/>
    </row>
    <row r="202" spans="1:63" s="154" customFormat="1" ht="15" customHeight="1" x14ac:dyDescent="0.25">
      <c r="A202" s="166" t="s">
        <v>4</v>
      </c>
      <c r="B202" s="167"/>
      <c r="C202" s="167"/>
      <c r="D202" s="167"/>
      <c r="E202" s="167"/>
      <c r="F202" s="167"/>
      <c r="G202" s="167"/>
      <c r="H202" s="167"/>
      <c r="I202" s="167"/>
      <c r="J202" s="167"/>
      <c r="K202" s="167"/>
      <c r="L202" s="168"/>
      <c r="M202" s="166" t="s">
        <v>5</v>
      </c>
      <c r="N202" s="167"/>
      <c r="O202" s="167"/>
      <c r="P202" s="167"/>
      <c r="Q202" s="167"/>
      <c r="R202" s="167"/>
      <c r="S202" s="167"/>
      <c r="T202" s="167"/>
      <c r="U202" s="167"/>
      <c r="V202" s="167"/>
      <c r="W202" s="167"/>
      <c r="X202" s="167"/>
      <c r="Y202" s="167"/>
      <c r="Z202" s="167"/>
      <c r="AA202" s="167"/>
      <c r="AB202" s="167"/>
      <c r="AC202" s="167"/>
      <c r="AD202" s="167"/>
      <c r="AE202" s="167"/>
      <c r="AF202" s="167"/>
      <c r="AG202" s="167"/>
      <c r="AH202" s="167"/>
      <c r="AI202" s="167"/>
      <c r="AJ202" s="167"/>
      <c r="AK202" s="167"/>
      <c r="AL202" s="167"/>
      <c r="AM202" s="167"/>
      <c r="AN202" s="167"/>
      <c r="AO202" s="167"/>
      <c r="AP202" s="167"/>
      <c r="AQ202" s="167"/>
      <c r="AR202" s="167"/>
      <c r="AS202" s="167"/>
      <c r="AT202" s="168"/>
      <c r="AU202" s="166" t="s">
        <v>6</v>
      </c>
      <c r="AV202" s="167"/>
      <c r="AW202" s="167"/>
      <c r="AX202" s="167"/>
      <c r="AY202" s="167"/>
      <c r="AZ202" s="167"/>
      <c r="BA202" s="167"/>
      <c r="BB202" s="167"/>
      <c r="BC202" s="167"/>
      <c r="BD202" s="167"/>
      <c r="BE202" s="167"/>
      <c r="BF202" s="166" t="s">
        <v>7</v>
      </c>
      <c r="BG202" s="167"/>
      <c r="BH202" s="167"/>
      <c r="BI202" s="167"/>
      <c r="BJ202" s="167"/>
      <c r="BK202" s="168"/>
    </row>
    <row r="203" spans="1:63" s="154" customFormat="1" ht="15" customHeight="1" x14ac:dyDescent="0.25">
      <c r="A203" s="169"/>
      <c r="B203" s="170"/>
      <c r="C203" s="170"/>
      <c r="D203" s="170"/>
      <c r="E203" s="170"/>
      <c r="F203" s="170"/>
      <c r="G203" s="170"/>
      <c r="H203" s="170"/>
      <c r="I203" s="170"/>
      <c r="J203" s="170"/>
      <c r="K203" s="170"/>
      <c r="L203" s="171"/>
      <c r="M203" s="169"/>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c r="AT203" s="171"/>
      <c r="AU203" s="169"/>
      <c r="AV203" s="170"/>
      <c r="AW203" s="170"/>
      <c r="AX203" s="170"/>
      <c r="AY203" s="170"/>
      <c r="AZ203" s="170"/>
      <c r="BA203" s="170"/>
      <c r="BB203" s="170"/>
      <c r="BC203" s="170"/>
      <c r="BD203" s="170"/>
      <c r="BE203" s="170"/>
      <c r="BF203" s="169"/>
      <c r="BG203" s="170"/>
      <c r="BH203" s="170"/>
      <c r="BI203" s="170"/>
      <c r="BJ203" s="170"/>
      <c r="BK203" s="171"/>
    </row>
    <row r="204" spans="1:63" s="154" customFormat="1" ht="15" customHeight="1" x14ac:dyDescent="0.25">
      <c r="A204" s="8"/>
      <c r="B204" s="9"/>
      <c r="C204" s="9"/>
      <c r="D204" s="9"/>
      <c r="E204" s="9"/>
      <c r="F204" s="9"/>
      <c r="G204" s="9"/>
      <c r="H204" s="9"/>
      <c r="I204" s="9"/>
      <c r="J204" s="9"/>
      <c r="K204" s="9"/>
      <c r="L204" s="10"/>
      <c r="M204" s="172"/>
      <c r="N204" s="172"/>
      <c r="O204" s="172"/>
      <c r="P204" s="172"/>
      <c r="Q204" s="172"/>
      <c r="R204" s="173"/>
      <c r="S204" s="173"/>
      <c r="T204" s="173"/>
      <c r="U204" s="173"/>
      <c r="V204" s="173"/>
      <c r="W204" s="173"/>
      <c r="X204" s="173"/>
      <c r="Y204" s="173"/>
      <c r="Z204" s="173"/>
      <c r="AA204" s="173"/>
      <c r="AB204" s="173"/>
      <c r="AC204" s="173"/>
      <c r="AD204" s="173"/>
      <c r="AE204" s="173"/>
      <c r="AF204" s="173"/>
      <c r="AG204" s="173"/>
      <c r="AH204" s="173"/>
      <c r="AI204" s="173"/>
      <c r="AJ204" s="173"/>
      <c r="AK204" s="173"/>
      <c r="AL204" s="173"/>
      <c r="AM204" s="173"/>
      <c r="AN204" s="173"/>
      <c r="AO204" s="173"/>
      <c r="AP204" s="173"/>
      <c r="AQ204" s="173"/>
      <c r="AR204" s="173"/>
      <c r="AS204" s="173"/>
      <c r="AT204" s="173"/>
      <c r="AU204" s="8"/>
      <c r="AV204" s="9"/>
      <c r="AW204" s="9"/>
      <c r="AX204" s="9"/>
      <c r="AY204" s="9"/>
      <c r="AZ204" s="9"/>
      <c r="BA204" s="9"/>
      <c r="BB204" s="9"/>
      <c r="BC204" s="9"/>
      <c r="BD204" s="9"/>
      <c r="BE204" s="10"/>
      <c r="BF204" s="34" t="s">
        <v>214</v>
      </c>
      <c r="BG204" s="35"/>
      <c r="BH204" s="35"/>
      <c r="BI204" s="35"/>
      <c r="BJ204" s="35"/>
      <c r="BK204" s="36"/>
    </row>
    <row r="205" spans="1:63" s="154" customFormat="1" ht="15" customHeight="1" x14ac:dyDescent="0.25">
      <c r="A205" s="11"/>
      <c r="B205" s="19"/>
      <c r="C205" s="19"/>
      <c r="D205" s="19"/>
      <c r="E205" s="19"/>
      <c r="F205" s="19"/>
      <c r="G205" s="19"/>
      <c r="H205" s="19"/>
      <c r="I205" s="19"/>
      <c r="J205" s="19"/>
      <c r="K205" s="19"/>
      <c r="L205" s="12"/>
      <c r="M205" s="172"/>
      <c r="N205" s="22" t="s">
        <v>202</v>
      </c>
      <c r="O205" s="172"/>
      <c r="P205" s="172"/>
      <c r="Q205" s="172"/>
      <c r="R205" s="172"/>
      <c r="S205" s="172"/>
      <c r="T205" s="172"/>
      <c r="U205" s="172"/>
      <c r="V205" s="172"/>
      <c r="W205" s="172"/>
      <c r="X205" s="172"/>
      <c r="Y205" s="172"/>
      <c r="Z205" s="172"/>
      <c r="AA205" s="172"/>
      <c r="AB205" s="172"/>
      <c r="AC205" s="172"/>
      <c r="AD205" s="172"/>
      <c r="AE205" s="172"/>
      <c r="AF205" s="172"/>
      <c r="AG205" s="172"/>
      <c r="AH205" s="172"/>
      <c r="AI205" s="172"/>
      <c r="AJ205" s="172"/>
      <c r="AK205" s="172"/>
      <c r="AL205" s="172"/>
      <c r="AM205" s="172"/>
      <c r="AN205" s="172"/>
      <c r="AO205" s="172"/>
      <c r="AP205" s="172"/>
      <c r="AQ205" s="172"/>
      <c r="AR205" s="172"/>
      <c r="AS205" s="172"/>
      <c r="AT205" s="172"/>
      <c r="AU205" s="11"/>
      <c r="AV205" s="19"/>
      <c r="AW205" s="19"/>
      <c r="AX205" s="19"/>
      <c r="AY205" s="19"/>
      <c r="AZ205" s="19"/>
      <c r="BA205" s="19"/>
      <c r="BB205" s="19"/>
      <c r="BC205" s="19"/>
      <c r="BD205" s="19"/>
      <c r="BE205" s="12"/>
      <c r="BF205" s="37"/>
      <c r="BG205" s="38"/>
      <c r="BH205" s="38"/>
      <c r="BI205" s="38"/>
      <c r="BJ205" s="38"/>
      <c r="BK205" s="39"/>
    </row>
    <row r="206" spans="1:63" s="154" customFormat="1" ht="15" customHeight="1" x14ac:dyDescent="0.25">
      <c r="A206" s="11"/>
      <c r="B206" s="19"/>
      <c r="C206" s="19"/>
      <c r="D206" s="19"/>
      <c r="E206" s="19"/>
      <c r="F206" s="19"/>
      <c r="G206" s="19"/>
      <c r="H206" s="19"/>
      <c r="I206" s="19"/>
      <c r="J206" s="19"/>
      <c r="K206" s="19"/>
      <c r="L206" s="12"/>
      <c r="M206" s="172"/>
      <c r="N206" s="172"/>
      <c r="O206" s="175" t="s">
        <v>13</v>
      </c>
      <c r="P206" s="175"/>
      <c r="Q206" s="175"/>
      <c r="R206" s="175"/>
      <c r="S206" s="172"/>
      <c r="T206" s="172"/>
      <c r="U206" s="172"/>
      <c r="V206" s="172"/>
      <c r="W206" s="172"/>
      <c r="X206" s="172"/>
      <c r="Y206" s="172"/>
      <c r="Z206" s="172"/>
      <c r="AA206" s="172"/>
      <c r="AB206" s="172"/>
      <c r="AC206" s="172"/>
      <c r="AD206" s="172"/>
      <c r="AE206" s="172"/>
      <c r="AF206" s="172"/>
      <c r="AG206" s="172"/>
      <c r="AH206" s="172"/>
      <c r="AI206" s="172"/>
      <c r="AJ206" s="172"/>
      <c r="AK206" s="172"/>
      <c r="AL206" s="172"/>
      <c r="AM206" s="172"/>
      <c r="AN206" s="172"/>
      <c r="AO206" s="172"/>
      <c r="AP206" s="172"/>
      <c r="AQ206" s="172"/>
      <c r="AR206" s="172"/>
      <c r="AS206" s="172"/>
      <c r="AT206" s="172"/>
      <c r="AU206" s="11"/>
      <c r="AV206" s="19"/>
      <c r="AW206" s="19"/>
      <c r="AX206" s="19"/>
      <c r="AY206" s="19"/>
      <c r="AZ206" s="19"/>
      <c r="BA206" s="19"/>
      <c r="BB206" s="19"/>
      <c r="BC206" s="19"/>
      <c r="BD206" s="19"/>
      <c r="BE206" s="12"/>
      <c r="BF206" s="37"/>
      <c r="BG206" s="38"/>
      <c r="BH206" s="38"/>
      <c r="BI206" s="38"/>
      <c r="BJ206" s="38"/>
      <c r="BK206" s="39"/>
    </row>
    <row r="207" spans="1:63" s="154" customFormat="1" ht="15" customHeight="1" x14ac:dyDescent="0.25">
      <c r="A207" s="11"/>
      <c r="B207" s="19"/>
      <c r="C207" s="19"/>
      <c r="D207" s="19"/>
      <c r="E207" s="19"/>
      <c r="F207" s="19"/>
      <c r="G207" s="19"/>
      <c r="H207" s="19"/>
      <c r="I207" s="19"/>
      <c r="J207" s="19"/>
      <c r="K207" s="19"/>
      <c r="L207" s="12"/>
      <c r="M207" s="172"/>
      <c r="N207" s="172"/>
      <c r="O207" s="175"/>
      <c r="P207" s="175" t="s">
        <v>83</v>
      </c>
      <c r="Q207" s="175"/>
      <c r="R207" s="175"/>
      <c r="S207" s="172"/>
      <c r="T207" s="172"/>
      <c r="U207" s="172"/>
      <c r="V207" s="172"/>
      <c r="W207" s="172"/>
      <c r="X207" s="172"/>
      <c r="Y207" s="172"/>
      <c r="Z207" s="172"/>
      <c r="AA207" s="172"/>
      <c r="AB207" s="172"/>
      <c r="AC207" s="172"/>
      <c r="AD207" s="172"/>
      <c r="AE207" s="172"/>
      <c r="AF207" s="172"/>
      <c r="AG207" s="172"/>
      <c r="AH207" s="172"/>
      <c r="AI207" s="172"/>
      <c r="AJ207" s="172"/>
      <c r="AK207" s="172"/>
      <c r="AL207" s="172"/>
      <c r="AM207" s="172"/>
      <c r="AN207" s="172"/>
      <c r="AO207" s="172"/>
      <c r="AP207" s="172"/>
      <c r="AQ207" s="172"/>
      <c r="AR207" s="172"/>
      <c r="AS207" s="172"/>
      <c r="AT207" s="172"/>
      <c r="AU207" s="11"/>
      <c r="AV207" s="19"/>
      <c r="AW207" s="19"/>
      <c r="AX207" s="19"/>
      <c r="AY207" s="19"/>
      <c r="AZ207" s="19"/>
      <c r="BA207" s="19"/>
      <c r="BB207" s="19"/>
      <c r="BC207" s="19"/>
      <c r="BD207" s="19"/>
      <c r="BE207" s="12"/>
      <c r="BF207" s="37"/>
      <c r="BG207" s="38"/>
      <c r="BH207" s="38"/>
      <c r="BI207" s="38"/>
      <c r="BJ207" s="38"/>
      <c r="BK207" s="39"/>
    </row>
    <row r="208" spans="1:63" s="154" customFormat="1" ht="15" customHeight="1" x14ac:dyDescent="0.25">
      <c r="A208" s="11"/>
      <c r="B208" s="19"/>
      <c r="C208" s="19"/>
      <c r="D208" s="19"/>
      <c r="E208" s="19"/>
      <c r="F208" s="19"/>
      <c r="G208" s="19"/>
      <c r="H208" s="19"/>
      <c r="I208" s="19"/>
      <c r="J208" s="19"/>
      <c r="K208" s="19"/>
      <c r="L208" s="12"/>
      <c r="M208" s="172"/>
      <c r="N208" s="172"/>
      <c r="O208" s="175"/>
      <c r="P208" s="175"/>
      <c r="Q208" s="175" t="s">
        <v>30</v>
      </c>
      <c r="R208" s="175"/>
      <c r="S208" s="172"/>
      <c r="T208" s="172"/>
      <c r="U208" s="172"/>
      <c r="V208" s="172"/>
      <c r="W208" s="172"/>
      <c r="X208" s="172"/>
      <c r="Y208" s="172"/>
      <c r="Z208" s="172"/>
      <c r="AA208" s="172"/>
      <c r="AB208" s="172"/>
      <c r="AC208" s="172"/>
      <c r="AD208" s="172"/>
      <c r="AE208" s="172"/>
      <c r="AF208" s="172"/>
      <c r="AG208" s="172"/>
      <c r="AH208" s="172"/>
      <c r="AI208" s="172"/>
      <c r="AJ208" s="172"/>
      <c r="AK208" s="172"/>
      <c r="AL208" s="172"/>
      <c r="AM208" s="172"/>
      <c r="AN208" s="172"/>
      <c r="AO208" s="172"/>
      <c r="AP208" s="172"/>
      <c r="AQ208" s="172"/>
      <c r="AR208" s="172"/>
      <c r="AS208" s="172"/>
      <c r="AT208" s="172"/>
      <c r="AU208" s="11"/>
      <c r="AV208" s="19"/>
      <c r="AW208" s="19"/>
      <c r="AX208" s="19"/>
      <c r="AY208" s="19"/>
      <c r="AZ208" s="19"/>
      <c r="BA208" s="19"/>
      <c r="BB208" s="19"/>
      <c r="BC208" s="19"/>
      <c r="BD208" s="19"/>
      <c r="BE208" s="12"/>
      <c r="BF208" s="37"/>
      <c r="BG208" s="38"/>
      <c r="BH208" s="38"/>
      <c r="BI208" s="38"/>
      <c r="BJ208" s="38"/>
      <c r="BK208" s="39"/>
    </row>
    <row r="209" spans="1:63" s="154" customFormat="1" ht="15" customHeight="1" x14ac:dyDescent="0.25">
      <c r="A209" s="11"/>
      <c r="B209" s="19"/>
      <c r="C209" s="19"/>
      <c r="D209" s="19"/>
      <c r="E209" s="19"/>
      <c r="F209" s="19"/>
      <c r="G209" s="19"/>
      <c r="H209" s="19"/>
      <c r="I209" s="19"/>
      <c r="J209" s="19"/>
      <c r="K209" s="19"/>
      <c r="L209" s="12"/>
      <c r="M209" s="172"/>
      <c r="N209" s="172"/>
      <c r="O209" s="175"/>
      <c r="P209" s="175" t="s">
        <v>84</v>
      </c>
      <c r="Q209" s="175"/>
      <c r="R209" s="175"/>
      <c r="S209" s="172"/>
      <c r="T209" s="172"/>
      <c r="U209" s="172"/>
      <c r="V209" s="172"/>
      <c r="W209" s="172"/>
      <c r="X209" s="172"/>
      <c r="Y209" s="172"/>
      <c r="Z209" s="172"/>
      <c r="AA209" s="172"/>
      <c r="AB209" s="172"/>
      <c r="AC209" s="172"/>
      <c r="AD209" s="172"/>
      <c r="AE209" s="172"/>
      <c r="AF209" s="172"/>
      <c r="AG209" s="172"/>
      <c r="AH209" s="172"/>
      <c r="AI209" s="172"/>
      <c r="AJ209" s="172"/>
      <c r="AK209" s="172"/>
      <c r="AL209" s="172"/>
      <c r="AM209" s="172"/>
      <c r="AN209" s="172"/>
      <c r="AO209" s="172"/>
      <c r="AP209" s="172"/>
      <c r="AQ209" s="172"/>
      <c r="AR209" s="172"/>
      <c r="AS209" s="172"/>
      <c r="AT209" s="172"/>
      <c r="AU209" s="11"/>
      <c r="AV209" s="19"/>
      <c r="AW209" s="19"/>
      <c r="AX209" s="19"/>
      <c r="AY209" s="19"/>
      <c r="AZ209" s="19"/>
      <c r="BA209" s="19"/>
      <c r="BB209" s="19"/>
      <c r="BC209" s="19"/>
      <c r="BD209" s="19"/>
      <c r="BE209" s="12"/>
      <c r="BF209" s="37"/>
      <c r="BG209" s="38"/>
      <c r="BH209" s="38"/>
      <c r="BI209" s="38"/>
      <c r="BJ209" s="38"/>
      <c r="BK209" s="39"/>
    </row>
    <row r="210" spans="1:63" s="154" customFormat="1" ht="15" customHeight="1" x14ac:dyDescent="0.25">
      <c r="A210" s="11"/>
      <c r="B210" s="19"/>
      <c r="C210" s="19"/>
      <c r="D210" s="19"/>
      <c r="E210" s="19"/>
      <c r="F210" s="19"/>
      <c r="G210" s="19"/>
      <c r="H210" s="19"/>
      <c r="I210" s="19"/>
      <c r="J210" s="19"/>
      <c r="K210" s="19"/>
      <c r="L210" s="12"/>
      <c r="M210" s="172"/>
      <c r="N210" s="172"/>
      <c r="O210" s="175"/>
      <c r="P210" s="175"/>
      <c r="Q210" s="175" t="s">
        <v>30</v>
      </c>
      <c r="R210" s="175"/>
      <c r="S210" s="172"/>
      <c r="T210" s="172"/>
      <c r="U210" s="172"/>
      <c r="V210" s="172"/>
      <c r="W210" s="172"/>
      <c r="X210" s="172"/>
      <c r="Y210" s="172"/>
      <c r="Z210" s="172"/>
      <c r="AA210" s="172"/>
      <c r="AB210" s="172"/>
      <c r="AC210" s="172"/>
      <c r="AD210" s="172"/>
      <c r="AE210" s="172"/>
      <c r="AF210" s="172"/>
      <c r="AG210" s="172"/>
      <c r="AH210" s="172"/>
      <c r="AI210" s="172"/>
      <c r="AJ210" s="172"/>
      <c r="AK210" s="172"/>
      <c r="AL210" s="172"/>
      <c r="AM210" s="172"/>
      <c r="AN210" s="172"/>
      <c r="AO210" s="172"/>
      <c r="AP210" s="172"/>
      <c r="AQ210" s="172"/>
      <c r="AR210" s="172"/>
      <c r="AS210" s="172"/>
      <c r="AT210" s="172"/>
      <c r="AU210" s="11"/>
      <c r="AV210" s="19"/>
      <c r="AW210" s="19"/>
      <c r="AX210" s="19"/>
      <c r="AY210" s="19"/>
      <c r="AZ210" s="19"/>
      <c r="BA210" s="19"/>
      <c r="BB210" s="19"/>
      <c r="BC210" s="19"/>
      <c r="BD210" s="19"/>
      <c r="BE210" s="12"/>
      <c r="BF210" s="37"/>
      <c r="BG210" s="38"/>
      <c r="BH210" s="38"/>
      <c r="BI210" s="38"/>
      <c r="BJ210" s="38"/>
      <c r="BK210" s="39"/>
    </row>
    <row r="211" spans="1:63" s="154" customFormat="1" ht="15" customHeight="1" x14ac:dyDescent="0.25">
      <c r="A211" s="11"/>
      <c r="B211" s="19"/>
      <c r="C211" s="19"/>
      <c r="D211" s="19"/>
      <c r="E211" s="19"/>
      <c r="F211" s="19"/>
      <c r="G211" s="19"/>
      <c r="H211" s="19"/>
      <c r="I211" s="19"/>
      <c r="J211" s="19"/>
      <c r="K211" s="19"/>
      <c r="L211" s="12"/>
      <c r="M211" s="172"/>
      <c r="N211" s="172"/>
      <c r="O211" s="175"/>
      <c r="P211" s="175"/>
      <c r="Q211" s="175" t="s">
        <v>31</v>
      </c>
      <c r="R211" s="175"/>
      <c r="S211" s="172"/>
      <c r="T211" s="172"/>
      <c r="U211" s="172"/>
      <c r="V211" s="172"/>
      <c r="W211" s="172"/>
      <c r="X211" s="172"/>
      <c r="Y211" s="172"/>
      <c r="Z211" s="172"/>
      <c r="AA211" s="172"/>
      <c r="AB211" s="172"/>
      <c r="AC211" s="172"/>
      <c r="AD211" s="172"/>
      <c r="AE211" s="172"/>
      <c r="AF211" s="172"/>
      <c r="AG211" s="172"/>
      <c r="AH211" s="172"/>
      <c r="AI211" s="172"/>
      <c r="AJ211" s="172"/>
      <c r="AK211" s="172"/>
      <c r="AL211" s="172"/>
      <c r="AM211" s="172"/>
      <c r="AN211" s="172"/>
      <c r="AO211" s="172"/>
      <c r="AP211" s="172"/>
      <c r="AQ211" s="172"/>
      <c r="AR211" s="172"/>
      <c r="AS211" s="172"/>
      <c r="AT211" s="172"/>
      <c r="AU211" s="11"/>
      <c r="AV211" s="19"/>
      <c r="AW211" s="19"/>
      <c r="AX211" s="19"/>
      <c r="AY211" s="19"/>
      <c r="AZ211" s="19"/>
      <c r="BA211" s="19"/>
      <c r="BB211" s="19"/>
      <c r="BC211" s="19"/>
      <c r="BD211" s="19"/>
      <c r="BE211" s="12"/>
      <c r="BF211" s="37"/>
      <c r="BG211" s="38"/>
      <c r="BH211" s="38"/>
      <c r="BI211" s="38"/>
      <c r="BJ211" s="38"/>
      <c r="BK211" s="39"/>
    </row>
    <row r="212" spans="1:63" s="154" customFormat="1" ht="15" customHeight="1" x14ac:dyDescent="0.25">
      <c r="A212" s="11"/>
      <c r="B212" s="19"/>
      <c r="C212" s="19"/>
      <c r="D212" s="19"/>
      <c r="E212" s="19"/>
      <c r="F212" s="19"/>
      <c r="G212" s="19"/>
      <c r="H212" s="19"/>
      <c r="I212" s="19"/>
      <c r="J212" s="19"/>
      <c r="K212" s="19"/>
      <c r="L212" s="12"/>
      <c r="M212" s="172"/>
      <c r="N212" s="172"/>
      <c r="O212" s="175"/>
      <c r="P212" s="175" t="s">
        <v>203</v>
      </c>
      <c r="Q212" s="175"/>
      <c r="R212" s="175"/>
      <c r="S212" s="172"/>
      <c r="T212" s="172"/>
      <c r="U212" s="172"/>
      <c r="V212" s="172"/>
      <c r="W212" s="172"/>
      <c r="X212" s="172"/>
      <c r="Y212" s="172"/>
      <c r="Z212" s="172"/>
      <c r="AA212" s="172"/>
      <c r="AB212" s="172"/>
      <c r="AC212" s="172"/>
      <c r="AD212" s="172"/>
      <c r="AE212" s="172"/>
      <c r="AF212" s="172"/>
      <c r="AG212" s="172"/>
      <c r="AH212" s="172"/>
      <c r="AI212" s="172"/>
      <c r="AJ212" s="172"/>
      <c r="AK212" s="172"/>
      <c r="AL212" s="172"/>
      <c r="AM212" s="172"/>
      <c r="AN212" s="172"/>
      <c r="AO212" s="172"/>
      <c r="AP212" s="172"/>
      <c r="AQ212" s="172"/>
      <c r="AR212" s="172"/>
      <c r="AS212" s="172"/>
      <c r="AT212" s="172"/>
      <c r="AU212" s="11"/>
      <c r="AV212" s="19"/>
      <c r="AW212" s="19"/>
      <c r="AX212" s="19"/>
      <c r="AY212" s="19"/>
      <c r="AZ212" s="19"/>
      <c r="BA212" s="19"/>
      <c r="BB212" s="19"/>
      <c r="BC212" s="19"/>
      <c r="BD212" s="19"/>
      <c r="BE212" s="12"/>
      <c r="BF212" s="37"/>
      <c r="BG212" s="38"/>
      <c r="BH212" s="38"/>
      <c r="BI212" s="38"/>
      <c r="BJ212" s="38"/>
      <c r="BK212" s="39"/>
    </row>
    <row r="213" spans="1:63" s="154" customFormat="1" ht="15" customHeight="1" x14ac:dyDescent="0.25">
      <c r="A213" s="11"/>
      <c r="B213" s="19"/>
      <c r="C213" s="19"/>
      <c r="D213" s="19"/>
      <c r="E213" s="19"/>
      <c r="F213" s="19"/>
      <c r="G213" s="19"/>
      <c r="H213" s="19"/>
      <c r="I213" s="19"/>
      <c r="J213" s="19"/>
      <c r="K213" s="19"/>
      <c r="L213" s="12"/>
      <c r="M213" s="172"/>
      <c r="N213" s="172"/>
      <c r="O213" s="175"/>
      <c r="P213" s="175"/>
      <c r="Q213" s="175" t="s">
        <v>30</v>
      </c>
      <c r="R213" s="175"/>
      <c r="S213" s="172"/>
      <c r="T213" s="172"/>
      <c r="U213" s="172"/>
      <c r="V213" s="172"/>
      <c r="W213" s="172"/>
      <c r="X213" s="172"/>
      <c r="Y213" s="172"/>
      <c r="Z213" s="172"/>
      <c r="AA213" s="172"/>
      <c r="AB213" s="172"/>
      <c r="AC213" s="172"/>
      <c r="AD213" s="172"/>
      <c r="AE213" s="172"/>
      <c r="AF213" s="172"/>
      <c r="AG213" s="172"/>
      <c r="AH213" s="172"/>
      <c r="AI213" s="172"/>
      <c r="AJ213" s="172"/>
      <c r="AK213" s="172"/>
      <c r="AL213" s="172"/>
      <c r="AM213" s="172"/>
      <c r="AN213" s="172"/>
      <c r="AO213" s="172"/>
      <c r="AP213" s="172"/>
      <c r="AQ213" s="172"/>
      <c r="AR213" s="172"/>
      <c r="AS213" s="172"/>
      <c r="AT213" s="172"/>
      <c r="AU213" s="11"/>
      <c r="AV213" s="19"/>
      <c r="AW213" s="19"/>
      <c r="AX213" s="19"/>
      <c r="AY213" s="19"/>
      <c r="AZ213" s="19"/>
      <c r="BA213" s="19"/>
      <c r="BB213" s="19"/>
      <c r="BC213" s="19"/>
      <c r="BD213" s="19"/>
      <c r="BE213" s="12"/>
      <c r="BF213" s="37"/>
      <c r="BG213" s="38"/>
      <c r="BH213" s="38"/>
      <c r="BI213" s="38"/>
      <c r="BJ213" s="38"/>
      <c r="BK213" s="39"/>
    </row>
    <row r="214" spans="1:63" s="154" customFormat="1" ht="15" customHeight="1" x14ac:dyDescent="0.25">
      <c r="A214" s="11"/>
      <c r="B214" s="19"/>
      <c r="C214" s="19"/>
      <c r="D214" s="19"/>
      <c r="E214" s="19"/>
      <c r="F214" s="19"/>
      <c r="G214" s="19"/>
      <c r="H214" s="19"/>
      <c r="I214" s="19"/>
      <c r="J214" s="19"/>
      <c r="K214" s="19"/>
      <c r="L214" s="12"/>
      <c r="M214" s="172"/>
      <c r="N214" s="172"/>
      <c r="O214" s="175"/>
      <c r="P214" s="175"/>
      <c r="Q214" s="175" t="s">
        <v>31</v>
      </c>
      <c r="R214" s="175"/>
      <c r="S214" s="172"/>
      <c r="T214" s="172"/>
      <c r="U214" s="172"/>
      <c r="V214" s="172"/>
      <c r="W214" s="172"/>
      <c r="X214" s="172"/>
      <c r="Y214" s="172"/>
      <c r="Z214" s="172"/>
      <c r="AA214" s="172"/>
      <c r="AB214" s="172"/>
      <c r="AC214" s="172"/>
      <c r="AD214" s="172"/>
      <c r="AE214" s="172"/>
      <c r="AF214" s="172"/>
      <c r="AG214" s="172"/>
      <c r="AH214" s="172"/>
      <c r="AI214" s="172"/>
      <c r="AJ214" s="172"/>
      <c r="AK214" s="172"/>
      <c r="AL214" s="172"/>
      <c r="AM214" s="172"/>
      <c r="AN214" s="172"/>
      <c r="AO214" s="172"/>
      <c r="AP214" s="172"/>
      <c r="AQ214" s="172"/>
      <c r="AR214" s="172"/>
      <c r="AS214" s="172"/>
      <c r="AT214" s="172"/>
      <c r="AU214" s="11"/>
      <c r="AV214" s="19"/>
      <c r="AW214" s="19"/>
      <c r="AX214" s="19"/>
      <c r="AY214" s="19"/>
      <c r="AZ214" s="19"/>
      <c r="BA214" s="19"/>
      <c r="BB214" s="19"/>
      <c r="BC214" s="19"/>
      <c r="BD214" s="19"/>
      <c r="BE214" s="12"/>
      <c r="BF214" s="37"/>
      <c r="BG214" s="38"/>
      <c r="BH214" s="38"/>
      <c r="BI214" s="38"/>
      <c r="BJ214" s="38"/>
      <c r="BK214" s="39"/>
    </row>
    <row r="215" spans="1:63" s="154" customFormat="1" ht="15" customHeight="1" x14ac:dyDescent="0.25">
      <c r="A215" s="11"/>
      <c r="B215" s="19"/>
      <c r="C215" s="19"/>
      <c r="D215" s="19"/>
      <c r="E215" s="19"/>
      <c r="F215" s="19"/>
      <c r="G215" s="19"/>
      <c r="H215" s="19"/>
      <c r="I215" s="19"/>
      <c r="J215" s="19"/>
      <c r="K215" s="19"/>
      <c r="L215" s="12"/>
      <c r="M215" s="172"/>
      <c r="N215" s="172"/>
      <c r="O215" s="175"/>
      <c r="P215" s="175" t="s">
        <v>204</v>
      </c>
      <c r="Q215" s="175"/>
      <c r="R215" s="175"/>
      <c r="S215" s="172"/>
      <c r="T215" s="172"/>
      <c r="U215" s="172"/>
      <c r="V215" s="172"/>
      <c r="W215" s="172"/>
      <c r="X215" s="172"/>
      <c r="Y215" s="172"/>
      <c r="Z215" s="172"/>
      <c r="AA215" s="172"/>
      <c r="AB215" s="172"/>
      <c r="AC215" s="172"/>
      <c r="AD215" s="172"/>
      <c r="AE215" s="172"/>
      <c r="AF215" s="172"/>
      <c r="AG215" s="172"/>
      <c r="AH215" s="172"/>
      <c r="AI215" s="172"/>
      <c r="AJ215" s="172"/>
      <c r="AK215" s="172"/>
      <c r="AL215" s="172"/>
      <c r="AM215" s="172"/>
      <c r="AN215" s="172"/>
      <c r="AO215" s="172"/>
      <c r="AP215" s="172"/>
      <c r="AQ215" s="172"/>
      <c r="AR215" s="172"/>
      <c r="AS215" s="172"/>
      <c r="AT215" s="172"/>
      <c r="AU215" s="11"/>
      <c r="AV215" s="19"/>
      <c r="AW215" s="19"/>
      <c r="AX215" s="19"/>
      <c r="AY215" s="19"/>
      <c r="AZ215" s="19"/>
      <c r="BA215" s="19"/>
      <c r="BB215" s="19"/>
      <c r="BC215" s="19"/>
      <c r="BD215" s="19"/>
      <c r="BE215" s="12"/>
      <c r="BF215" s="37"/>
      <c r="BG215" s="38"/>
      <c r="BH215" s="38"/>
      <c r="BI215" s="38"/>
      <c r="BJ215" s="38"/>
      <c r="BK215" s="39"/>
    </row>
    <row r="216" spans="1:63" s="154" customFormat="1" ht="15" customHeight="1" x14ac:dyDescent="0.25">
      <c r="A216" s="11"/>
      <c r="B216" s="19"/>
      <c r="C216" s="19"/>
      <c r="D216" s="19"/>
      <c r="E216" s="19"/>
      <c r="F216" s="19"/>
      <c r="G216" s="19"/>
      <c r="H216" s="19"/>
      <c r="I216" s="19"/>
      <c r="J216" s="19"/>
      <c r="K216" s="19"/>
      <c r="L216" s="12"/>
      <c r="M216" s="172"/>
      <c r="N216" s="172"/>
      <c r="O216" s="175"/>
      <c r="P216" s="175"/>
      <c r="Q216" s="175" t="s">
        <v>30</v>
      </c>
      <c r="R216" s="175"/>
      <c r="S216" s="172"/>
      <c r="T216" s="172"/>
      <c r="U216" s="172"/>
      <c r="V216" s="172"/>
      <c r="W216" s="172"/>
      <c r="X216" s="172"/>
      <c r="Y216" s="172"/>
      <c r="Z216" s="172"/>
      <c r="AA216" s="172"/>
      <c r="AB216" s="172"/>
      <c r="AC216" s="172"/>
      <c r="AD216" s="172"/>
      <c r="AE216" s="172"/>
      <c r="AF216" s="172"/>
      <c r="AG216" s="172"/>
      <c r="AH216" s="172"/>
      <c r="AI216" s="172"/>
      <c r="AJ216" s="172"/>
      <c r="AK216" s="172"/>
      <c r="AL216" s="172"/>
      <c r="AM216" s="172"/>
      <c r="AN216" s="172"/>
      <c r="AO216" s="172"/>
      <c r="AP216" s="172"/>
      <c r="AQ216" s="172"/>
      <c r="AR216" s="172"/>
      <c r="AS216" s="172"/>
      <c r="AT216" s="172"/>
      <c r="AU216" s="11"/>
      <c r="AV216" s="19"/>
      <c r="AW216" s="19"/>
      <c r="AX216" s="19"/>
      <c r="AY216" s="19"/>
      <c r="AZ216" s="19"/>
      <c r="BA216" s="19"/>
      <c r="BB216" s="19"/>
      <c r="BC216" s="19"/>
      <c r="BD216" s="19"/>
      <c r="BE216" s="12"/>
      <c r="BF216" s="37"/>
      <c r="BG216" s="38"/>
      <c r="BH216" s="38"/>
      <c r="BI216" s="38"/>
      <c r="BJ216" s="38"/>
      <c r="BK216" s="39"/>
    </row>
    <row r="217" spans="1:63" s="154" customFormat="1" ht="15" customHeight="1" x14ac:dyDescent="0.25">
      <c r="A217" s="11"/>
      <c r="B217" s="19"/>
      <c r="C217" s="19"/>
      <c r="D217" s="19"/>
      <c r="E217" s="19"/>
      <c r="F217" s="19"/>
      <c r="G217" s="19"/>
      <c r="H217" s="19"/>
      <c r="I217" s="19"/>
      <c r="J217" s="19"/>
      <c r="K217" s="19"/>
      <c r="L217" s="12"/>
      <c r="M217" s="172"/>
      <c r="N217" s="172"/>
      <c r="O217" s="175"/>
      <c r="P217" s="175"/>
      <c r="Q217" s="175" t="s">
        <v>31</v>
      </c>
      <c r="R217" s="175"/>
      <c r="S217" s="172"/>
      <c r="T217" s="172"/>
      <c r="U217" s="172"/>
      <c r="V217" s="172"/>
      <c r="W217" s="172"/>
      <c r="X217" s="172"/>
      <c r="Y217" s="172"/>
      <c r="Z217" s="172"/>
      <c r="AA217" s="172"/>
      <c r="AB217" s="172"/>
      <c r="AC217" s="172"/>
      <c r="AD217" s="172"/>
      <c r="AE217" s="172"/>
      <c r="AF217" s="172"/>
      <c r="AG217" s="172"/>
      <c r="AH217" s="172"/>
      <c r="AI217" s="172"/>
      <c r="AJ217" s="172"/>
      <c r="AK217" s="172"/>
      <c r="AL217" s="172"/>
      <c r="AM217" s="172"/>
      <c r="AN217" s="172"/>
      <c r="AO217" s="172"/>
      <c r="AP217" s="172"/>
      <c r="AQ217" s="172"/>
      <c r="AR217" s="172"/>
      <c r="AS217" s="172"/>
      <c r="AT217" s="172"/>
      <c r="AU217" s="11"/>
      <c r="AV217" s="19"/>
      <c r="AW217" s="19"/>
      <c r="AX217" s="19"/>
      <c r="AY217" s="19"/>
      <c r="AZ217" s="19"/>
      <c r="BA217" s="19"/>
      <c r="BB217" s="19"/>
      <c r="BC217" s="19"/>
      <c r="BD217" s="19"/>
      <c r="BE217" s="12"/>
      <c r="BF217" s="37"/>
      <c r="BG217" s="38"/>
      <c r="BH217" s="38"/>
      <c r="BI217" s="38"/>
      <c r="BJ217" s="38"/>
      <c r="BK217" s="39"/>
    </row>
    <row r="218" spans="1:63" s="154" customFormat="1" ht="15" customHeight="1" x14ac:dyDescent="0.25">
      <c r="A218" s="11"/>
      <c r="B218" s="19"/>
      <c r="C218" s="19"/>
      <c r="D218" s="19"/>
      <c r="E218" s="19"/>
      <c r="F218" s="19"/>
      <c r="G218" s="19"/>
      <c r="H218" s="19"/>
      <c r="I218" s="19"/>
      <c r="J218" s="19"/>
      <c r="K218" s="19"/>
      <c r="L218" s="12"/>
      <c r="M218" s="172"/>
      <c r="N218" s="172"/>
      <c r="O218" s="175"/>
      <c r="P218" s="175" t="s">
        <v>85</v>
      </c>
      <c r="Q218" s="175"/>
      <c r="R218" s="175"/>
      <c r="S218" s="172"/>
      <c r="T218" s="172"/>
      <c r="U218" s="172"/>
      <c r="V218" s="172"/>
      <c r="W218" s="172"/>
      <c r="X218" s="172"/>
      <c r="Y218" s="172"/>
      <c r="Z218" s="172"/>
      <c r="AA218" s="172"/>
      <c r="AB218" s="172"/>
      <c r="AC218" s="172"/>
      <c r="AD218" s="172"/>
      <c r="AE218" s="172"/>
      <c r="AF218" s="172"/>
      <c r="AG218" s="172"/>
      <c r="AH218" s="172"/>
      <c r="AI218" s="172"/>
      <c r="AJ218" s="172"/>
      <c r="AK218" s="172"/>
      <c r="AL218" s="172"/>
      <c r="AM218" s="172"/>
      <c r="AN218" s="172"/>
      <c r="AO218" s="172"/>
      <c r="AP218" s="172"/>
      <c r="AQ218" s="172"/>
      <c r="AR218" s="172"/>
      <c r="AS218" s="172"/>
      <c r="AT218" s="172"/>
      <c r="AU218" s="11"/>
      <c r="AV218" s="19"/>
      <c r="AW218" s="19"/>
      <c r="AX218" s="19"/>
      <c r="AY218" s="19"/>
      <c r="AZ218" s="19"/>
      <c r="BA218" s="19"/>
      <c r="BB218" s="19"/>
      <c r="BC218" s="19"/>
      <c r="BD218" s="19"/>
      <c r="BE218" s="12"/>
      <c r="BF218" s="37"/>
      <c r="BG218" s="38"/>
      <c r="BH218" s="38"/>
      <c r="BI218" s="38"/>
      <c r="BJ218" s="38"/>
      <c r="BK218" s="39"/>
    </row>
    <row r="219" spans="1:63" s="154" customFormat="1" ht="15" customHeight="1" x14ac:dyDescent="0.25">
      <c r="A219" s="11"/>
      <c r="B219" s="19"/>
      <c r="C219" s="19"/>
      <c r="D219" s="19"/>
      <c r="E219" s="19"/>
      <c r="F219" s="19"/>
      <c r="G219" s="19"/>
      <c r="H219" s="19"/>
      <c r="I219" s="19"/>
      <c r="J219" s="19"/>
      <c r="K219" s="19"/>
      <c r="L219" s="12"/>
      <c r="M219" s="172"/>
      <c r="N219" s="172"/>
      <c r="O219" s="175"/>
      <c r="P219" s="175" t="s">
        <v>86</v>
      </c>
      <c r="Q219" s="175"/>
      <c r="R219" s="175"/>
      <c r="S219" s="172"/>
      <c r="T219" s="172"/>
      <c r="U219" s="172"/>
      <c r="V219" s="172"/>
      <c r="W219" s="172"/>
      <c r="X219" s="172"/>
      <c r="Y219" s="172"/>
      <c r="Z219" s="172"/>
      <c r="AA219" s="172"/>
      <c r="AB219" s="172"/>
      <c r="AC219" s="172"/>
      <c r="AD219" s="172"/>
      <c r="AE219" s="172"/>
      <c r="AF219" s="172"/>
      <c r="AG219" s="172"/>
      <c r="AH219" s="172"/>
      <c r="AI219" s="172"/>
      <c r="AJ219" s="172"/>
      <c r="AK219" s="172"/>
      <c r="AL219" s="172"/>
      <c r="AM219" s="172"/>
      <c r="AN219" s="172"/>
      <c r="AO219" s="172"/>
      <c r="AP219" s="172"/>
      <c r="AQ219" s="172"/>
      <c r="AR219" s="172"/>
      <c r="AS219" s="172"/>
      <c r="AT219" s="172"/>
      <c r="AU219" s="11"/>
      <c r="AV219" s="19"/>
      <c r="AW219" s="19"/>
      <c r="AX219" s="19"/>
      <c r="AY219" s="19"/>
      <c r="AZ219" s="19"/>
      <c r="BA219" s="19"/>
      <c r="BB219" s="19"/>
      <c r="BC219" s="19"/>
      <c r="BD219" s="19"/>
      <c r="BE219" s="12"/>
      <c r="BF219" s="37"/>
      <c r="BG219" s="38"/>
      <c r="BH219" s="38"/>
      <c r="BI219" s="38"/>
      <c r="BJ219" s="38"/>
      <c r="BK219" s="39"/>
    </row>
    <row r="220" spans="1:63" s="154" customFormat="1" ht="15" customHeight="1" x14ac:dyDescent="0.25">
      <c r="A220" s="11"/>
      <c r="B220" s="19"/>
      <c r="C220" s="19"/>
      <c r="D220" s="19"/>
      <c r="E220" s="19"/>
      <c r="F220" s="19"/>
      <c r="G220" s="19"/>
      <c r="H220" s="19"/>
      <c r="I220" s="19"/>
      <c r="J220" s="19"/>
      <c r="K220" s="19"/>
      <c r="L220" s="12"/>
      <c r="M220" s="172"/>
      <c r="N220" s="172"/>
      <c r="O220" s="175"/>
      <c r="P220" s="175"/>
      <c r="Q220" s="175" t="s">
        <v>87</v>
      </c>
      <c r="R220" s="175"/>
      <c r="S220" s="172"/>
      <c r="T220" s="172"/>
      <c r="U220" s="172"/>
      <c r="V220" s="172"/>
      <c r="W220" s="172"/>
      <c r="X220" s="172"/>
      <c r="Y220" s="172"/>
      <c r="Z220" s="172"/>
      <c r="AA220" s="172"/>
      <c r="AB220" s="172"/>
      <c r="AC220" s="172"/>
      <c r="AD220" s="172"/>
      <c r="AE220" s="172"/>
      <c r="AF220" s="172"/>
      <c r="AG220" s="172"/>
      <c r="AH220" s="172"/>
      <c r="AI220" s="172"/>
      <c r="AJ220" s="172"/>
      <c r="AK220" s="172"/>
      <c r="AL220" s="172"/>
      <c r="AM220" s="172"/>
      <c r="AN220" s="172"/>
      <c r="AO220" s="172"/>
      <c r="AP220" s="172"/>
      <c r="AQ220" s="172"/>
      <c r="AR220" s="172"/>
      <c r="AS220" s="172"/>
      <c r="AT220" s="172"/>
      <c r="AU220" s="11"/>
      <c r="AV220" s="19"/>
      <c r="AW220" s="19"/>
      <c r="AX220" s="19"/>
      <c r="AY220" s="19"/>
      <c r="AZ220" s="19"/>
      <c r="BA220" s="19"/>
      <c r="BB220" s="19"/>
      <c r="BC220" s="19"/>
      <c r="BD220" s="19"/>
      <c r="BE220" s="12"/>
      <c r="BF220" s="37"/>
      <c r="BG220" s="38"/>
      <c r="BH220" s="38"/>
      <c r="BI220" s="38"/>
      <c r="BJ220" s="38"/>
      <c r="BK220" s="39"/>
    </row>
    <row r="221" spans="1:63" s="154" customFormat="1" ht="15" customHeight="1" x14ac:dyDescent="0.25">
      <c r="A221" s="11"/>
      <c r="B221" s="19"/>
      <c r="C221" s="19"/>
      <c r="D221" s="19"/>
      <c r="E221" s="19"/>
      <c r="F221" s="19"/>
      <c r="G221" s="19"/>
      <c r="H221" s="19"/>
      <c r="I221" s="19"/>
      <c r="J221" s="19"/>
      <c r="K221" s="19"/>
      <c r="L221" s="12"/>
      <c r="M221" s="172"/>
      <c r="N221" s="172"/>
      <c r="O221" s="175"/>
      <c r="P221" s="175" t="s">
        <v>88</v>
      </c>
      <c r="Q221" s="175"/>
      <c r="R221" s="175"/>
      <c r="S221" s="172"/>
      <c r="T221" s="172"/>
      <c r="U221" s="172"/>
      <c r="V221" s="172"/>
      <c r="W221" s="172"/>
      <c r="X221" s="172"/>
      <c r="Y221" s="172"/>
      <c r="Z221" s="172"/>
      <c r="AA221" s="172"/>
      <c r="AB221" s="172"/>
      <c r="AC221" s="172"/>
      <c r="AD221" s="172"/>
      <c r="AE221" s="172"/>
      <c r="AF221" s="172"/>
      <c r="AG221" s="172"/>
      <c r="AH221" s="172"/>
      <c r="AI221" s="172"/>
      <c r="AJ221" s="172"/>
      <c r="AK221" s="172"/>
      <c r="AL221" s="172"/>
      <c r="AM221" s="172"/>
      <c r="AN221" s="172"/>
      <c r="AO221" s="172"/>
      <c r="AP221" s="172"/>
      <c r="AQ221" s="172"/>
      <c r="AR221" s="172"/>
      <c r="AS221" s="172"/>
      <c r="AT221" s="172"/>
      <c r="AU221" s="11"/>
      <c r="AV221" s="19"/>
      <c r="AW221" s="19"/>
      <c r="AX221" s="19"/>
      <c r="AY221" s="19"/>
      <c r="AZ221" s="19"/>
      <c r="BA221" s="19"/>
      <c r="BB221" s="19"/>
      <c r="BC221" s="19"/>
      <c r="BD221" s="19"/>
      <c r="BE221" s="12"/>
      <c r="BF221" s="37"/>
      <c r="BG221" s="38"/>
      <c r="BH221" s="38"/>
      <c r="BI221" s="38"/>
      <c r="BJ221" s="38"/>
      <c r="BK221" s="39"/>
    </row>
    <row r="222" spans="1:63" s="154" customFormat="1" ht="15" customHeight="1" x14ac:dyDescent="0.25">
      <c r="A222" s="11"/>
      <c r="B222" s="19"/>
      <c r="C222" s="19"/>
      <c r="D222" s="19"/>
      <c r="E222" s="19"/>
      <c r="F222" s="19"/>
      <c r="G222" s="19"/>
      <c r="H222" s="19"/>
      <c r="I222" s="19"/>
      <c r="J222" s="19"/>
      <c r="K222" s="19"/>
      <c r="L222" s="12"/>
      <c r="M222" s="172"/>
      <c r="N222" s="172"/>
      <c r="O222" s="175"/>
      <c r="P222" s="175"/>
      <c r="Q222" s="175" t="s">
        <v>205</v>
      </c>
      <c r="R222" s="175"/>
      <c r="S222" s="172"/>
      <c r="T222" s="172"/>
      <c r="U222" s="172"/>
      <c r="V222" s="172"/>
      <c r="W222" s="172"/>
      <c r="X222" s="172"/>
      <c r="Y222" s="172"/>
      <c r="Z222" s="172"/>
      <c r="AA222" s="172"/>
      <c r="AB222" s="172"/>
      <c r="AC222" s="172"/>
      <c r="AD222" s="172"/>
      <c r="AE222" s="172"/>
      <c r="AF222" s="172"/>
      <c r="AG222" s="172"/>
      <c r="AH222" s="172"/>
      <c r="AI222" s="172"/>
      <c r="AJ222" s="172"/>
      <c r="AK222" s="172"/>
      <c r="AL222" s="172"/>
      <c r="AM222" s="172"/>
      <c r="AN222" s="172"/>
      <c r="AO222" s="172"/>
      <c r="AP222" s="172"/>
      <c r="AQ222" s="172"/>
      <c r="AR222" s="172"/>
      <c r="AS222" s="172"/>
      <c r="AT222" s="172"/>
      <c r="AU222" s="11"/>
      <c r="AV222" s="19"/>
      <c r="AW222" s="19"/>
      <c r="AX222" s="19"/>
      <c r="AY222" s="19"/>
      <c r="AZ222" s="19"/>
      <c r="BA222" s="19"/>
      <c r="BB222" s="19"/>
      <c r="BC222" s="19"/>
      <c r="BD222" s="19"/>
      <c r="BE222" s="12"/>
      <c r="BF222" s="37"/>
      <c r="BG222" s="38"/>
      <c r="BH222" s="38"/>
      <c r="BI222" s="38"/>
      <c r="BJ222" s="38"/>
      <c r="BK222" s="39"/>
    </row>
    <row r="223" spans="1:63" s="154" customFormat="1" ht="15" customHeight="1" x14ac:dyDescent="0.25">
      <c r="A223" s="11"/>
      <c r="B223" s="19"/>
      <c r="C223" s="19"/>
      <c r="D223" s="19"/>
      <c r="E223" s="19"/>
      <c r="F223" s="19"/>
      <c r="G223" s="19"/>
      <c r="H223" s="19"/>
      <c r="I223" s="19"/>
      <c r="J223" s="19"/>
      <c r="K223" s="19"/>
      <c r="L223" s="12"/>
      <c r="M223" s="172"/>
      <c r="N223" s="172"/>
      <c r="O223" s="175"/>
      <c r="P223" s="184" t="s">
        <v>89</v>
      </c>
      <c r="S223" s="172"/>
      <c r="T223" s="172"/>
      <c r="U223" s="172"/>
      <c r="V223" s="172"/>
      <c r="W223" s="172"/>
      <c r="X223" s="172"/>
      <c r="Y223" s="172"/>
      <c r="Z223" s="172"/>
      <c r="AA223" s="172"/>
      <c r="AB223" s="172"/>
      <c r="AC223" s="172"/>
      <c r="AD223" s="172"/>
      <c r="AE223" s="172"/>
      <c r="AF223" s="172"/>
      <c r="AG223" s="172"/>
      <c r="AH223" s="172"/>
      <c r="AI223" s="172"/>
      <c r="AJ223" s="172"/>
      <c r="AK223" s="172"/>
      <c r="AL223" s="172"/>
      <c r="AM223" s="172"/>
      <c r="AN223" s="172"/>
      <c r="AO223" s="172"/>
      <c r="AP223" s="172"/>
      <c r="AQ223" s="172"/>
      <c r="AR223" s="172"/>
      <c r="AS223" s="172"/>
      <c r="AT223" s="172"/>
      <c r="AU223" s="11"/>
      <c r="AV223" s="19"/>
      <c r="AW223" s="19"/>
      <c r="AX223" s="19"/>
      <c r="AY223" s="19"/>
      <c r="AZ223" s="19"/>
      <c r="BA223" s="19"/>
      <c r="BB223" s="19"/>
      <c r="BC223" s="19"/>
      <c r="BD223" s="19"/>
      <c r="BE223" s="12"/>
      <c r="BF223" s="37"/>
      <c r="BG223" s="38"/>
      <c r="BH223" s="38"/>
      <c r="BI223" s="38"/>
      <c r="BJ223" s="38"/>
      <c r="BK223" s="39"/>
    </row>
    <row r="224" spans="1:63" s="154" customFormat="1" ht="15" customHeight="1" x14ac:dyDescent="0.25">
      <c r="A224" s="11"/>
      <c r="B224" s="19"/>
      <c r="C224" s="19"/>
      <c r="D224" s="19"/>
      <c r="E224" s="19"/>
      <c r="F224" s="19"/>
      <c r="G224" s="19"/>
      <c r="H224" s="19"/>
      <c r="I224" s="19"/>
      <c r="J224" s="19"/>
      <c r="K224" s="19"/>
      <c r="L224" s="12"/>
      <c r="M224" s="172"/>
      <c r="N224" s="172"/>
      <c r="O224" s="175"/>
      <c r="Q224" s="154" t="s">
        <v>90</v>
      </c>
      <c r="S224" s="172"/>
      <c r="T224" s="172"/>
      <c r="U224" s="172"/>
      <c r="V224" s="172"/>
      <c r="W224" s="172"/>
      <c r="X224" s="172"/>
      <c r="Y224" s="172"/>
      <c r="Z224" s="172"/>
      <c r="AA224" s="172"/>
      <c r="AB224" s="172"/>
      <c r="AC224" s="172"/>
      <c r="AD224" s="172"/>
      <c r="AE224" s="172"/>
      <c r="AF224" s="172"/>
      <c r="AG224" s="172"/>
      <c r="AH224" s="172"/>
      <c r="AI224" s="172"/>
      <c r="AJ224" s="172"/>
      <c r="AK224" s="172"/>
      <c r="AL224" s="172"/>
      <c r="AM224" s="172"/>
      <c r="AN224" s="172"/>
      <c r="AO224" s="172"/>
      <c r="AP224" s="172"/>
      <c r="AQ224" s="172"/>
      <c r="AR224" s="172"/>
      <c r="AS224" s="172"/>
      <c r="AT224" s="172"/>
      <c r="AU224" s="11"/>
      <c r="AV224" s="19"/>
      <c r="AW224" s="19"/>
      <c r="AX224" s="19"/>
      <c r="AY224" s="19"/>
      <c r="AZ224" s="19"/>
      <c r="BA224" s="19"/>
      <c r="BB224" s="19"/>
      <c r="BC224" s="19"/>
      <c r="BD224" s="19"/>
      <c r="BE224" s="12"/>
      <c r="BF224" s="37"/>
      <c r="BG224" s="38"/>
      <c r="BH224" s="38"/>
      <c r="BI224" s="38"/>
      <c r="BJ224" s="38"/>
      <c r="BK224" s="39"/>
    </row>
    <row r="225" spans="1:63" s="154" customFormat="1" ht="15" customHeight="1" x14ac:dyDescent="0.25">
      <c r="A225" s="11"/>
      <c r="B225" s="19"/>
      <c r="C225" s="19"/>
      <c r="D225" s="19"/>
      <c r="E225" s="19"/>
      <c r="F225" s="19"/>
      <c r="G225" s="19"/>
      <c r="H225" s="19"/>
      <c r="I225" s="19"/>
      <c r="J225" s="19"/>
      <c r="K225" s="19"/>
      <c r="L225" s="12"/>
      <c r="M225" s="172"/>
      <c r="N225" s="172"/>
      <c r="O225" s="175" t="s">
        <v>206</v>
      </c>
      <c r="P225" s="175"/>
      <c r="Q225" s="175"/>
      <c r="R225" s="175"/>
      <c r="S225" s="172"/>
      <c r="T225" s="172"/>
      <c r="U225" s="172"/>
      <c r="V225" s="172"/>
      <c r="W225" s="172"/>
      <c r="X225" s="172"/>
      <c r="Y225" s="172"/>
      <c r="Z225" s="172"/>
      <c r="AA225" s="172"/>
      <c r="AB225" s="172"/>
      <c r="AC225" s="172"/>
      <c r="AD225" s="172"/>
      <c r="AE225" s="172"/>
      <c r="AF225" s="172"/>
      <c r="AG225" s="172"/>
      <c r="AH225" s="172"/>
      <c r="AI225" s="172"/>
      <c r="AJ225" s="172"/>
      <c r="AK225" s="172"/>
      <c r="AL225" s="172"/>
      <c r="AM225" s="172"/>
      <c r="AN225" s="172"/>
      <c r="AO225" s="172"/>
      <c r="AP225" s="172"/>
      <c r="AQ225" s="172"/>
      <c r="AR225" s="172"/>
      <c r="AS225" s="172"/>
      <c r="AT225" s="172"/>
      <c r="AU225" s="11"/>
      <c r="AV225" s="19"/>
      <c r="AW225" s="19"/>
      <c r="AX225" s="19"/>
      <c r="AY225" s="19"/>
      <c r="AZ225" s="19"/>
      <c r="BA225" s="19"/>
      <c r="BB225" s="19"/>
      <c r="BC225" s="19"/>
      <c r="BD225" s="19"/>
      <c r="BE225" s="12"/>
      <c r="BF225" s="37"/>
      <c r="BG225" s="38"/>
      <c r="BH225" s="38"/>
      <c r="BI225" s="38"/>
      <c r="BJ225" s="38"/>
      <c r="BK225" s="39"/>
    </row>
    <row r="226" spans="1:63" s="154" customFormat="1" ht="15" customHeight="1" x14ac:dyDescent="0.25">
      <c r="A226" s="11"/>
      <c r="B226" s="19"/>
      <c r="C226" s="19"/>
      <c r="D226" s="19"/>
      <c r="E226" s="19"/>
      <c r="F226" s="19"/>
      <c r="G226" s="19"/>
      <c r="H226" s="19"/>
      <c r="I226" s="19"/>
      <c r="J226" s="19"/>
      <c r="K226" s="19"/>
      <c r="L226" s="12"/>
      <c r="M226" s="172"/>
      <c r="N226" s="22" t="s">
        <v>207</v>
      </c>
      <c r="O226" s="172"/>
      <c r="P226" s="172"/>
      <c r="Q226" s="172"/>
      <c r="R226" s="172"/>
      <c r="S226" s="172"/>
      <c r="T226" s="172"/>
      <c r="U226" s="172"/>
      <c r="V226" s="172"/>
      <c r="W226" s="172"/>
      <c r="X226" s="172"/>
      <c r="Y226" s="172"/>
      <c r="Z226" s="172"/>
      <c r="AA226" s="172"/>
      <c r="AB226" s="172"/>
      <c r="AC226" s="172"/>
      <c r="AD226" s="172"/>
      <c r="AE226" s="172"/>
      <c r="AF226" s="172"/>
      <c r="AG226" s="172"/>
      <c r="AH226" s="172"/>
      <c r="AI226" s="172"/>
      <c r="AJ226" s="172"/>
      <c r="AK226" s="172"/>
      <c r="AL226" s="172"/>
      <c r="AM226" s="172"/>
      <c r="AN226" s="172"/>
      <c r="AO226" s="172"/>
      <c r="AP226" s="172"/>
      <c r="AQ226" s="172"/>
      <c r="AR226" s="172"/>
      <c r="AS226" s="172"/>
      <c r="AT226" s="172"/>
      <c r="AU226" s="11"/>
      <c r="AV226" s="19"/>
      <c r="AW226" s="19"/>
      <c r="AX226" s="19"/>
      <c r="AY226" s="19"/>
      <c r="AZ226" s="19"/>
      <c r="BA226" s="19"/>
      <c r="BB226" s="19"/>
      <c r="BC226" s="19"/>
      <c r="BD226" s="19"/>
      <c r="BE226" s="12"/>
      <c r="BF226" s="37"/>
      <c r="BG226" s="38"/>
      <c r="BH226" s="38"/>
      <c r="BI226" s="38"/>
      <c r="BJ226" s="38"/>
      <c r="BK226" s="39"/>
    </row>
    <row r="227" spans="1:63" s="154" customFormat="1" ht="15" customHeight="1" x14ac:dyDescent="0.25">
      <c r="A227" s="11"/>
      <c r="B227" s="19"/>
      <c r="C227" s="19"/>
      <c r="D227" s="19"/>
      <c r="E227" s="19"/>
      <c r="F227" s="19"/>
      <c r="G227" s="19"/>
      <c r="H227" s="19"/>
      <c r="I227" s="19"/>
      <c r="J227" s="19"/>
      <c r="K227" s="19"/>
      <c r="L227" s="12"/>
      <c r="M227" s="174"/>
      <c r="N227" s="172"/>
      <c r="O227" s="175" t="s">
        <v>91</v>
      </c>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2"/>
      <c r="AK227" s="172"/>
      <c r="AL227" s="172"/>
      <c r="AM227" s="172"/>
      <c r="AN227" s="172"/>
      <c r="AO227" s="172"/>
      <c r="AP227" s="172"/>
      <c r="AQ227" s="172"/>
      <c r="AR227" s="172"/>
      <c r="AS227" s="172"/>
      <c r="AT227" s="172"/>
      <c r="AU227" s="11"/>
      <c r="AV227" s="19"/>
      <c r="AW227" s="19"/>
      <c r="AX227" s="19"/>
      <c r="AY227" s="19"/>
      <c r="AZ227" s="19"/>
      <c r="BA227" s="19"/>
      <c r="BB227" s="19"/>
      <c r="BC227" s="19"/>
      <c r="BD227" s="19"/>
      <c r="BE227" s="12"/>
      <c r="BF227" s="37"/>
      <c r="BG227" s="38"/>
      <c r="BH227" s="38"/>
      <c r="BI227" s="38"/>
      <c r="BJ227" s="38"/>
      <c r="BK227" s="39"/>
    </row>
    <row r="228" spans="1:63" s="154" customFormat="1" ht="15" customHeight="1" x14ac:dyDescent="0.25">
      <c r="A228" s="11"/>
      <c r="B228" s="19"/>
      <c r="C228" s="19"/>
      <c r="D228" s="19"/>
      <c r="E228" s="19"/>
      <c r="F228" s="19"/>
      <c r="G228" s="19"/>
      <c r="H228" s="19"/>
      <c r="I228" s="19"/>
      <c r="J228" s="19"/>
      <c r="K228" s="19"/>
      <c r="L228" s="12"/>
      <c r="M228" s="172"/>
      <c r="N228" s="172"/>
      <c r="O228" s="175"/>
      <c r="P228" s="175" t="s">
        <v>92</v>
      </c>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2"/>
      <c r="AP228" s="172"/>
      <c r="AQ228" s="172"/>
      <c r="AR228" s="172"/>
      <c r="AS228" s="172"/>
      <c r="AT228" s="172"/>
      <c r="AU228" s="11"/>
      <c r="AV228" s="19"/>
      <c r="AW228" s="19"/>
      <c r="AX228" s="19"/>
      <c r="AY228" s="19"/>
      <c r="AZ228" s="19"/>
      <c r="BA228" s="19"/>
      <c r="BB228" s="19"/>
      <c r="BC228" s="19"/>
      <c r="BD228" s="19"/>
      <c r="BE228" s="12"/>
      <c r="BF228" s="37"/>
      <c r="BG228" s="38"/>
      <c r="BH228" s="38"/>
      <c r="BI228" s="38"/>
      <c r="BJ228" s="38"/>
      <c r="BK228" s="39"/>
    </row>
    <row r="229" spans="1:63" s="154" customFormat="1" ht="15" customHeight="1" x14ac:dyDescent="0.25">
      <c r="A229" s="11"/>
      <c r="B229" s="19"/>
      <c r="C229" s="19"/>
      <c r="D229" s="19"/>
      <c r="E229" s="19"/>
      <c r="F229" s="19"/>
      <c r="G229" s="19"/>
      <c r="H229" s="19"/>
      <c r="I229" s="19"/>
      <c r="J229" s="19"/>
      <c r="K229" s="19"/>
      <c r="L229" s="12"/>
      <c r="M229" s="172"/>
      <c r="N229" s="172"/>
      <c r="O229" s="175" t="s">
        <v>12</v>
      </c>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2"/>
      <c r="AP229" s="172"/>
      <c r="AQ229" s="172"/>
      <c r="AR229" s="172"/>
      <c r="AS229" s="172"/>
      <c r="AT229" s="172"/>
      <c r="AU229" s="11"/>
      <c r="AV229" s="19"/>
      <c r="AW229" s="19"/>
      <c r="AX229" s="19"/>
      <c r="AY229" s="19"/>
      <c r="AZ229" s="19"/>
      <c r="BA229" s="19"/>
      <c r="BB229" s="19"/>
      <c r="BC229" s="19"/>
      <c r="BD229" s="19"/>
      <c r="BE229" s="12"/>
      <c r="BF229" s="37"/>
      <c r="BG229" s="38"/>
      <c r="BH229" s="38"/>
      <c r="BI229" s="38"/>
      <c r="BJ229" s="38"/>
      <c r="BK229" s="39"/>
    </row>
    <row r="230" spans="1:63" s="154" customFormat="1" ht="15" customHeight="1" x14ac:dyDescent="0.25">
      <c r="A230" s="11"/>
      <c r="B230" s="19"/>
      <c r="C230" s="19"/>
      <c r="D230" s="19"/>
      <c r="E230" s="19"/>
      <c r="F230" s="19"/>
      <c r="G230" s="19"/>
      <c r="H230" s="19"/>
      <c r="I230" s="19"/>
      <c r="J230" s="19"/>
      <c r="K230" s="19"/>
      <c r="L230" s="12"/>
      <c r="M230" s="172"/>
      <c r="N230" s="172"/>
      <c r="O230" s="175"/>
      <c r="P230" s="175" t="s">
        <v>93</v>
      </c>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2"/>
      <c r="AP230" s="172"/>
      <c r="AQ230" s="172"/>
      <c r="AR230" s="172"/>
      <c r="AS230" s="172"/>
      <c r="AT230" s="172"/>
      <c r="AU230" s="11"/>
      <c r="AV230" s="19"/>
      <c r="AW230" s="19"/>
      <c r="AX230" s="19"/>
      <c r="AY230" s="19"/>
      <c r="AZ230" s="19"/>
      <c r="BA230" s="19"/>
      <c r="BB230" s="19"/>
      <c r="BC230" s="19"/>
      <c r="BD230" s="19"/>
      <c r="BE230" s="12"/>
      <c r="BF230" s="37"/>
      <c r="BG230" s="38"/>
      <c r="BH230" s="38"/>
      <c r="BI230" s="38"/>
      <c r="BJ230" s="38"/>
      <c r="BK230" s="39"/>
    </row>
    <row r="231" spans="1:63" s="154" customFormat="1" ht="15" customHeight="1" x14ac:dyDescent="0.25">
      <c r="A231" s="11"/>
      <c r="B231" s="19"/>
      <c r="C231" s="19"/>
      <c r="D231" s="19"/>
      <c r="E231" s="19"/>
      <c r="F231" s="19"/>
      <c r="G231" s="19"/>
      <c r="H231" s="19"/>
      <c r="I231" s="19"/>
      <c r="J231" s="19"/>
      <c r="K231" s="19"/>
      <c r="L231" s="12"/>
      <c r="M231" s="172"/>
      <c r="N231" s="172"/>
      <c r="O231" s="175"/>
      <c r="P231" s="175"/>
      <c r="Q231" s="175" t="s">
        <v>95</v>
      </c>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2"/>
      <c r="AP231" s="172"/>
      <c r="AQ231" s="172"/>
      <c r="AR231" s="172"/>
      <c r="AS231" s="172"/>
      <c r="AT231" s="172"/>
      <c r="AU231" s="11"/>
      <c r="AV231" s="19"/>
      <c r="AW231" s="19"/>
      <c r="AX231" s="19"/>
      <c r="AY231" s="19"/>
      <c r="AZ231" s="19"/>
      <c r="BA231" s="19"/>
      <c r="BB231" s="19"/>
      <c r="BC231" s="19"/>
      <c r="BD231" s="19"/>
      <c r="BE231" s="12"/>
      <c r="BF231" s="37"/>
      <c r="BG231" s="38"/>
      <c r="BH231" s="38"/>
      <c r="BI231" s="38"/>
      <c r="BJ231" s="38"/>
      <c r="BK231" s="39"/>
    </row>
    <row r="232" spans="1:63" s="154" customFormat="1" ht="15" customHeight="1" x14ac:dyDescent="0.25">
      <c r="A232" s="11"/>
      <c r="B232" s="19"/>
      <c r="C232" s="19"/>
      <c r="D232" s="19"/>
      <c r="E232" s="19"/>
      <c r="F232" s="19"/>
      <c r="G232" s="19"/>
      <c r="H232" s="19"/>
      <c r="I232" s="19"/>
      <c r="J232" s="19"/>
      <c r="K232" s="19"/>
      <c r="L232" s="12"/>
      <c r="M232" s="172"/>
      <c r="N232" s="172"/>
      <c r="O232" s="175"/>
      <c r="P232" s="175"/>
      <c r="Q232" s="175" t="s">
        <v>96</v>
      </c>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2"/>
      <c r="AP232" s="172"/>
      <c r="AQ232" s="172"/>
      <c r="AR232" s="172"/>
      <c r="AS232" s="172"/>
      <c r="AT232" s="172"/>
      <c r="AU232" s="11"/>
      <c r="AV232" s="19"/>
      <c r="AW232" s="19"/>
      <c r="AX232" s="19"/>
      <c r="AY232" s="19"/>
      <c r="AZ232" s="19"/>
      <c r="BA232" s="19"/>
      <c r="BB232" s="19"/>
      <c r="BC232" s="19"/>
      <c r="BD232" s="19"/>
      <c r="BE232" s="12"/>
      <c r="BF232" s="37"/>
      <c r="BG232" s="38"/>
      <c r="BH232" s="38"/>
      <c r="BI232" s="38"/>
      <c r="BJ232" s="38"/>
      <c r="BK232" s="39"/>
    </row>
    <row r="233" spans="1:63" s="154" customFormat="1" ht="15" customHeight="1" x14ac:dyDescent="0.25">
      <c r="A233" s="11"/>
      <c r="B233" s="19"/>
      <c r="C233" s="19"/>
      <c r="D233" s="19"/>
      <c r="E233" s="19"/>
      <c r="F233" s="19"/>
      <c r="G233" s="19"/>
      <c r="H233" s="19"/>
      <c r="I233" s="19"/>
      <c r="J233" s="19"/>
      <c r="K233" s="19"/>
      <c r="L233" s="12"/>
      <c r="M233" s="172"/>
      <c r="N233" s="172"/>
      <c r="O233" s="175"/>
      <c r="P233" s="175"/>
      <c r="Q233" s="175"/>
      <c r="R233" s="175" t="s">
        <v>215</v>
      </c>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2"/>
      <c r="AP233" s="172"/>
      <c r="AQ233" s="172"/>
      <c r="AR233" s="172"/>
      <c r="AS233" s="172"/>
      <c r="AT233" s="172"/>
      <c r="AU233" s="11"/>
      <c r="AV233" s="19"/>
      <c r="AW233" s="19"/>
      <c r="AX233" s="19"/>
      <c r="AY233" s="19"/>
      <c r="AZ233" s="19"/>
      <c r="BA233" s="19"/>
      <c r="BB233" s="19"/>
      <c r="BC233" s="19"/>
      <c r="BD233" s="19"/>
      <c r="BE233" s="12"/>
      <c r="BF233" s="37"/>
      <c r="BG233" s="38"/>
      <c r="BH233" s="38"/>
      <c r="BI233" s="38"/>
      <c r="BJ233" s="38"/>
      <c r="BK233" s="39"/>
    </row>
    <row r="234" spans="1:63" s="154" customFormat="1" ht="15" customHeight="1" x14ac:dyDescent="0.25">
      <c r="A234" s="11"/>
      <c r="B234" s="19"/>
      <c r="C234" s="19"/>
      <c r="D234" s="19"/>
      <c r="E234" s="19"/>
      <c r="F234" s="19"/>
      <c r="G234" s="19"/>
      <c r="H234" s="19"/>
      <c r="I234" s="19"/>
      <c r="J234" s="19"/>
      <c r="K234" s="19"/>
      <c r="L234" s="12"/>
      <c r="M234" s="172"/>
      <c r="N234" s="172"/>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2"/>
      <c r="AO234" s="172"/>
      <c r="AP234" s="172"/>
      <c r="AQ234" s="172"/>
      <c r="AR234" s="172"/>
      <c r="AS234" s="172"/>
      <c r="AT234" s="172"/>
      <c r="AU234" s="11"/>
      <c r="AV234" s="19"/>
      <c r="AW234" s="19"/>
      <c r="AX234" s="19"/>
      <c r="AY234" s="19"/>
      <c r="AZ234" s="19"/>
      <c r="BA234" s="19"/>
      <c r="BB234" s="19"/>
      <c r="BC234" s="19"/>
      <c r="BD234" s="19"/>
      <c r="BE234" s="12"/>
      <c r="BF234" s="37"/>
      <c r="BG234" s="38"/>
      <c r="BH234" s="38"/>
      <c r="BI234" s="38"/>
      <c r="BJ234" s="38"/>
      <c r="BK234" s="39"/>
    </row>
    <row r="235" spans="1:63" s="154" customFormat="1" ht="15" customHeight="1" x14ac:dyDescent="0.25">
      <c r="A235" s="11"/>
      <c r="B235" s="19"/>
      <c r="C235" s="19"/>
      <c r="D235" s="19"/>
      <c r="E235" s="19"/>
      <c r="F235" s="19"/>
      <c r="G235" s="19"/>
      <c r="H235" s="19"/>
      <c r="I235" s="19"/>
      <c r="J235" s="19"/>
      <c r="K235" s="19"/>
      <c r="L235" s="12"/>
      <c r="M235" s="172"/>
      <c r="N235" s="172"/>
      <c r="O235" s="175"/>
      <c r="P235" s="172" t="s">
        <v>94</v>
      </c>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2"/>
      <c r="AO235" s="172"/>
      <c r="AP235" s="172"/>
      <c r="AQ235" s="172"/>
      <c r="AR235" s="172"/>
      <c r="AS235" s="172"/>
      <c r="AT235" s="172"/>
      <c r="AU235" s="11"/>
      <c r="AV235" s="19"/>
      <c r="AW235" s="19"/>
      <c r="AX235" s="19"/>
      <c r="AY235" s="19"/>
      <c r="AZ235" s="19"/>
      <c r="BA235" s="19"/>
      <c r="BB235" s="19"/>
      <c r="BC235" s="19"/>
      <c r="BD235" s="19"/>
      <c r="BE235" s="12"/>
      <c r="BF235" s="37"/>
      <c r="BG235" s="38"/>
      <c r="BH235" s="38"/>
      <c r="BI235" s="38"/>
      <c r="BJ235" s="38"/>
      <c r="BK235" s="39"/>
    </row>
    <row r="236" spans="1:63" s="154" customFormat="1" ht="15" customHeight="1" x14ac:dyDescent="0.25">
      <c r="A236" s="11"/>
      <c r="B236" s="19"/>
      <c r="C236" s="19"/>
      <c r="D236" s="19"/>
      <c r="E236" s="19"/>
      <c r="F236" s="19"/>
      <c r="G236" s="19"/>
      <c r="H236" s="19"/>
      <c r="I236" s="19"/>
      <c r="J236" s="19"/>
      <c r="K236" s="19"/>
      <c r="L236" s="12"/>
      <c r="M236" s="172"/>
      <c r="N236" s="172"/>
      <c r="O236" s="175"/>
      <c r="P236" s="175"/>
      <c r="Q236" s="175" t="s">
        <v>97</v>
      </c>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2"/>
      <c r="AO236" s="172"/>
      <c r="AP236" s="172"/>
      <c r="AQ236" s="172"/>
      <c r="AR236" s="172"/>
      <c r="AS236" s="172"/>
      <c r="AT236" s="172"/>
      <c r="AU236" s="11"/>
      <c r="AV236" s="19"/>
      <c r="AW236" s="19"/>
      <c r="AX236" s="19"/>
      <c r="AY236" s="19"/>
      <c r="AZ236" s="19"/>
      <c r="BA236" s="19"/>
      <c r="BB236" s="19"/>
      <c r="BC236" s="19"/>
      <c r="BD236" s="19"/>
      <c r="BE236" s="12"/>
      <c r="BF236" s="37"/>
      <c r="BG236" s="38"/>
      <c r="BH236" s="38"/>
      <c r="BI236" s="38"/>
      <c r="BJ236" s="38"/>
      <c r="BK236" s="39"/>
    </row>
    <row r="237" spans="1:63" s="154" customFormat="1" ht="15" customHeight="1" x14ac:dyDescent="0.25">
      <c r="A237" s="11"/>
      <c r="B237" s="19"/>
      <c r="C237" s="19"/>
      <c r="D237" s="19"/>
      <c r="E237" s="19"/>
      <c r="F237" s="19"/>
      <c r="G237" s="19"/>
      <c r="H237" s="19"/>
      <c r="I237" s="19"/>
      <c r="J237" s="19"/>
      <c r="K237" s="19"/>
      <c r="L237" s="12"/>
      <c r="M237" s="172"/>
      <c r="N237" s="172"/>
      <c r="O237" s="175"/>
      <c r="P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2"/>
      <c r="AO237" s="172"/>
      <c r="AP237" s="172"/>
      <c r="AQ237" s="172"/>
      <c r="AR237" s="172"/>
      <c r="AS237" s="172"/>
      <c r="AT237" s="172"/>
      <c r="AU237" s="11"/>
      <c r="AV237" s="19"/>
      <c r="AW237" s="19"/>
      <c r="AX237" s="19"/>
      <c r="AY237" s="19"/>
      <c r="AZ237" s="19"/>
      <c r="BA237" s="19"/>
      <c r="BB237" s="19"/>
      <c r="BC237" s="19"/>
      <c r="BD237" s="19"/>
      <c r="BE237" s="12"/>
      <c r="BF237" s="37"/>
      <c r="BG237" s="38"/>
      <c r="BH237" s="38"/>
      <c r="BI237" s="38"/>
      <c r="BJ237" s="38"/>
      <c r="BK237" s="39"/>
    </row>
    <row r="238" spans="1:63" s="154" customFormat="1" ht="15" customHeight="1" x14ac:dyDescent="0.25">
      <c r="A238" s="13"/>
      <c r="B238" s="14"/>
      <c r="C238" s="14"/>
      <c r="D238" s="14"/>
      <c r="E238" s="14"/>
      <c r="F238" s="14"/>
      <c r="G238" s="14"/>
      <c r="H238" s="14"/>
      <c r="I238" s="14"/>
      <c r="J238" s="14"/>
      <c r="K238" s="14"/>
      <c r="L238" s="15"/>
      <c r="M238" s="176"/>
      <c r="N238" s="177"/>
      <c r="O238" s="177"/>
      <c r="P238" s="177"/>
      <c r="Q238" s="177"/>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178"/>
      <c r="AQ238" s="178"/>
      <c r="AR238" s="178"/>
      <c r="AS238" s="178"/>
      <c r="AT238" s="178"/>
      <c r="AU238" s="13"/>
      <c r="AV238" s="14"/>
      <c r="AW238" s="14"/>
      <c r="AX238" s="14"/>
      <c r="AY238" s="14"/>
      <c r="AZ238" s="14"/>
      <c r="BA238" s="14"/>
      <c r="BB238" s="14"/>
      <c r="BC238" s="14"/>
      <c r="BD238" s="14"/>
      <c r="BE238" s="15"/>
      <c r="BF238" s="40"/>
      <c r="BG238" s="41"/>
      <c r="BH238" s="41"/>
      <c r="BI238" s="41"/>
      <c r="BJ238" s="41"/>
      <c r="BK238" s="42"/>
    </row>
    <row r="239" spans="1:63" ht="15" customHeight="1" x14ac:dyDescent="0.25"/>
    <row r="240" spans="1:63" ht="15" customHeight="1" x14ac:dyDescent="0.25"/>
    <row r="241" spans="1:63" ht="15" customHeight="1" x14ac:dyDescent="0.25"/>
    <row r="242" spans="1:63" s="154" customFormat="1" ht="15" customHeight="1" x14ac:dyDescent="0.25">
      <c r="A242" s="160" t="s">
        <v>3</v>
      </c>
      <c r="B242" s="161"/>
      <c r="C242" s="161"/>
      <c r="D242" s="161"/>
      <c r="E242" s="161"/>
      <c r="F242" s="162"/>
      <c r="G242" s="156" t="s">
        <v>98</v>
      </c>
      <c r="H242" s="156"/>
      <c r="I242" s="156"/>
      <c r="J242" s="156"/>
      <c r="K242" s="156"/>
      <c r="L242" s="156"/>
      <c r="M242" s="163" t="s">
        <v>27</v>
      </c>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164"/>
      <c r="BI242" s="164"/>
      <c r="BJ242" s="164"/>
      <c r="BK242" s="165"/>
    </row>
    <row r="243" spans="1:63" s="154" customFormat="1" ht="15" customHeight="1" x14ac:dyDescent="0.25">
      <c r="A243" s="166" t="s">
        <v>4</v>
      </c>
      <c r="B243" s="167"/>
      <c r="C243" s="167"/>
      <c r="D243" s="167"/>
      <c r="E243" s="167"/>
      <c r="F243" s="167"/>
      <c r="G243" s="167"/>
      <c r="H243" s="167"/>
      <c r="I243" s="167"/>
      <c r="J243" s="167"/>
      <c r="K243" s="167"/>
      <c r="L243" s="168"/>
      <c r="M243" s="166" t="s">
        <v>5</v>
      </c>
      <c r="N243" s="167"/>
      <c r="O243" s="167"/>
      <c r="P243" s="167"/>
      <c r="Q243" s="167"/>
      <c r="R243" s="167"/>
      <c r="S243" s="167"/>
      <c r="T243" s="167"/>
      <c r="U243" s="167"/>
      <c r="V243" s="167"/>
      <c r="W243" s="167"/>
      <c r="X243" s="167"/>
      <c r="Y243" s="167"/>
      <c r="Z243" s="167"/>
      <c r="AA243" s="167"/>
      <c r="AB243" s="167"/>
      <c r="AC243" s="167"/>
      <c r="AD243" s="167"/>
      <c r="AE243" s="167"/>
      <c r="AF243" s="167"/>
      <c r="AG243" s="167"/>
      <c r="AH243" s="167"/>
      <c r="AI243" s="167"/>
      <c r="AJ243" s="167"/>
      <c r="AK243" s="167"/>
      <c r="AL243" s="167"/>
      <c r="AM243" s="167"/>
      <c r="AN243" s="167"/>
      <c r="AO243" s="167"/>
      <c r="AP243" s="167"/>
      <c r="AQ243" s="167"/>
      <c r="AR243" s="167"/>
      <c r="AS243" s="167"/>
      <c r="AT243" s="168"/>
      <c r="AU243" s="166" t="s">
        <v>6</v>
      </c>
      <c r="AV243" s="167"/>
      <c r="AW243" s="167"/>
      <c r="AX243" s="167"/>
      <c r="AY243" s="167"/>
      <c r="AZ243" s="167"/>
      <c r="BA243" s="167"/>
      <c r="BB243" s="167"/>
      <c r="BC243" s="167"/>
      <c r="BD243" s="167"/>
      <c r="BE243" s="167"/>
      <c r="BF243" s="166" t="s">
        <v>7</v>
      </c>
      <c r="BG243" s="167"/>
      <c r="BH243" s="167"/>
      <c r="BI243" s="167"/>
      <c r="BJ243" s="167"/>
      <c r="BK243" s="168"/>
    </row>
    <row r="244" spans="1:63" s="154" customFormat="1" ht="15" customHeight="1" x14ac:dyDescent="0.25">
      <c r="A244" s="169"/>
      <c r="B244" s="170"/>
      <c r="C244" s="170"/>
      <c r="D244" s="170"/>
      <c r="E244" s="170"/>
      <c r="F244" s="170"/>
      <c r="G244" s="170"/>
      <c r="H244" s="170"/>
      <c r="I244" s="170"/>
      <c r="J244" s="170"/>
      <c r="K244" s="170"/>
      <c r="L244" s="171"/>
      <c r="M244" s="169"/>
      <c r="N244" s="170"/>
      <c r="O244" s="170"/>
      <c r="P244" s="170"/>
      <c r="Q244" s="170"/>
      <c r="R244" s="170"/>
      <c r="S244" s="170"/>
      <c r="T244" s="170"/>
      <c r="U244" s="170"/>
      <c r="V244" s="170"/>
      <c r="W244" s="170"/>
      <c r="X244" s="170"/>
      <c r="Y244" s="170"/>
      <c r="Z244" s="170"/>
      <c r="AA244" s="170"/>
      <c r="AB244" s="170"/>
      <c r="AC244" s="170"/>
      <c r="AD244" s="170"/>
      <c r="AE244" s="170"/>
      <c r="AF244" s="170"/>
      <c r="AG244" s="170"/>
      <c r="AH244" s="170"/>
      <c r="AI244" s="170"/>
      <c r="AJ244" s="170"/>
      <c r="AK244" s="170"/>
      <c r="AL244" s="170"/>
      <c r="AM244" s="170"/>
      <c r="AN244" s="170"/>
      <c r="AO244" s="170"/>
      <c r="AP244" s="170"/>
      <c r="AQ244" s="170"/>
      <c r="AR244" s="170"/>
      <c r="AS244" s="170"/>
      <c r="AT244" s="171"/>
      <c r="AU244" s="169"/>
      <c r="AV244" s="170"/>
      <c r="AW244" s="170"/>
      <c r="AX244" s="170"/>
      <c r="AY244" s="170"/>
      <c r="AZ244" s="170"/>
      <c r="BA244" s="170"/>
      <c r="BB244" s="170"/>
      <c r="BC244" s="170"/>
      <c r="BD244" s="170"/>
      <c r="BE244" s="170"/>
      <c r="BF244" s="169"/>
      <c r="BG244" s="170"/>
      <c r="BH244" s="170"/>
      <c r="BI244" s="170"/>
      <c r="BJ244" s="170"/>
      <c r="BK244" s="171"/>
    </row>
    <row r="245" spans="1:63" s="154" customFormat="1" ht="15" customHeight="1" x14ac:dyDescent="0.25">
      <c r="A245" s="8"/>
      <c r="B245" s="9"/>
      <c r="C245" s="9"/>
      <c r="D245" s="9"/>
      <c r="E245" s="9"/>
      <c r="F245" s="9"/>
      <c r="G245" s="9"/>
      <c r="H245" s="9"/>
      <c r="I245" s="9"/>
      <c r="J245" s="9"/>
      <c r="K245" s="9"/>
      <c r="L245" s="10"/>
      <c r="M245" s="172"/>
      <c r="N245" s="172"/>
      <c r="O245" s="172"/>
      <c r="P245" s="172"/>
      <c r="Q245" s="172"/>
      <c r="R245" s="173"/>
      <c r="S245" s="173"/>
      <c r="T245" s="173"/>
      <c r="U245" s="173"/>
      <c r="V245" s="173"/>
      <c r="W245" s="173"/>
      <c r="X245" s="173"/>
      <c r="Y245" s="173"/>
      <c r="Z245" s="173"/>
      <c r="AA245" s="173"/>
      <c r="AB245" s="173"/>
      <c r="AC245" s="173"/>
      <c r="AD245" s="173"/>
      <c r="AE245" s="173"/>
      <c r="AF245" s="173"/>
      <c r="AG245" s="173"/>
      <c r="AH245" s="173"/>
      <c r="AI245" s="173"/>
      <c r="AJ245" s="173"/>
      <c r="AK245" s="173"/>
      <c r="AL245" s="173"/>
      <c r="AM245" s="173"/>
      <c r="AN245" s="173"/>
      <c r="AO245" s="173"/>
      <c r="AP245" s="173"/>
      <c r="AQ245" s="173"/>
      <c r="AR245" s="173"/>
      <c r="AS245" s="173"/>
      <c r="AT245" s="173"/>
      <c r="AU245" s="8"/>
      <c r="AV245" s="9"/>
      <c r="AW245" s="9"/>
      <c r="AX245" s="9"/>
      <c r="AY245" s="9"/>
      <c r="AZ245" s="9"/>
      <c r="BA245" s="9"/>
      <c r="BB245" s="9"/>
      <c r="BC245" s="9"/>
      <c r="BD245" s="9"/>
      <c r="BE245" s="10"/>
      <c r="BF245" s="34" t="s">
        <v>208</v>
      </c>
      <c r="BG245" s="35"/>
      <c r="BH245" s="35"/>
      <c r="BI245" s="35"/>
      <c r="BJ245" s="35"/>
      <c r="BK245" s="36"/>
    </row>
    <row r="246" spans="1:63" s="154" customFormat="1" ht="15" customHeight="1" x14ac:dyDescent="0.25">
      <c r="A246" s="11"/>
      <c r="B246" s="19"/>
      <c r="C246" s="19"/>
      <c r="D246" s="19"/>
      <c r="E246" s="19"/>
      <c r="F246" s="19"/>
      <c r="G246" s="19"/>
      <c r="H246" s="19"/>
      <c r="I246" s="19"/>
      <c r="J246" s="19"/>
      <c r="K246" s="19"/>
      <c r="L246" s="12"/>
      <c r="M246" s="172"/>
      <c r="N246" s="30" t="s">
        <v>197</v>
      </c>
      <c r="Q246" s="172"/>
      <c r="R246" s="172"/>
      <c r="S246" s="172"/>
      <c r="T246" s="172"/>
      <c r="U246" s="172"/>
      <c r="V246" s="172"/>
      <c r="W246" s="172"/>
      <c r="X246" s="172"/>
      <c r="Y246" s="172"/>
      <c r="Z246" s="172"/>
      <c r="AA246" s="172"/>
      <c r="AB246" s="172"/>
      <c r="AC246" s="172"/>
      <c r="AD246" s="172"/>
      <c r="AE246" s="172"/>
      <c r="AF246" s="172"/>
      <c r="AG246" s="172"/>
      <c r="AH246" s="172"/>
      <c r="AI246" s="172"/>
      <c r="AJ246" s="172"/>
      <c r="AK246" s="172"/>
      <c r="AL246" s="172"/>
      <c r="AM246" s="172"/>
      <c r="AN246" s="172"/>
      <c r="AO246" s="172"/>
      <c r="AP246" s="172"/>
      <c r="AQ246" s="172"/>
      <c r="AR246" s="172"/>
      <c r="AS246" s="172"/>
      <c r="AT246" s="172"/>
      <c r="AU246" s="11"/>
      <c r="AV246" s="19"/>
      <c r="AW246" s="19"/>
      <c r="AX246" s="19"/>
      <c r="AY246" s="19"/>
      <c r="AZ246" s="19"/>
      <c r="BA246" s="19"/>
      <c r="BB246" s="19"/>
      <c r="BC246" s="19"/>
      <c r="BD246" s="19"/>
      <c r="BE246" s="12"/>
      <c r="BF246" s="37"/>
      <c r="BG246" s="38"/>
      <c r="BH246" s="38"/>
      <c r="BI246" s="38"/>
      <c r="BJ246" s="38"/>
      <c r="BK246" s="39"/>
    </row>
    <row r="247" spans="1:63" s="154" customFormat="1" ht="15" customHeight="1" x14ac:dyDescent="0.25">
      <c r="A247" s="11"/>
      <c r="B247" s="19"/>
      <c r="C247" s="19"/>
      <c r="D247" s="19"/>
      <c r="E247" s="19"/>
      <c r="F247" s="19"/>
      <c r="G247" s="19"/>
      <c r="H247" s="19"/>
      <c r="I247" s="19"/>
      <c r="J247" s="19"/>
      <c r="K247" s="19"/>
      <c r="L247" s="12"/>
      <c r="M247" s="174"/>
      <c r="O247" s="31" t="s">
        <v>109</v>
      </c>
      <c r="Q247" s="175"/>
      <c r="R247" s="175"/>
      <c r="S247" s="175"/>
      <c r="T247" s="175"/>
      <c r="U247" s="175"/>
      <c r="V247" s="175"/>
      <c r="W247" s="175"/>
      <c r="X247" s="175"/>
      <c r="Y247" s="175"/>
      <c r="Z247" s="175"/>
      <c r="AA247" s="175"/>
      <c r="AB247" s="175"/>
      <c r="AC247" s="175"/>
      <c r="AD247" s="175"/>
      <c r="AE247" s="175"/>
      <c r="AF247" s="175"/>
      <c r="AG247" s="175"/>
      <c r="AH247" s="175"/>
      <c r="AI247" s="175"/>
      <c r="AJ247" s="172"/>
      <c r="AK247" s="172"/>
      <c r="AL247" s="172"/>
      <c r="AM247" s="172"/>
      <c r="AN247" s="172"/>
      <c r="AO247" s="172"/>
      <c r="AP247" s="172"/>
      <c r="AQ247" s="172"/>
      <c r="AR247" s="172"/>
      <c r="AS247" s="172"/>
      <c r="AT247" s="172"/>
      <c r="AU247" s="11"/>
      <c r="AV247" s="19"/>
      <c r="AW247" s="19"/>
      <c r="AX247" s="19"/>
      <c r="AY247" s="19"/>
      <c r="AZ247" s="19"/>
      <c r="BA247" s="19"/>
      <c r="BB247" s="19"/>
      <c r="BC247" s="19"/>
      <c r="BD247" s="19"/>
      <c r="BE247" s="12"/>
      <c r="BF247" s="37"/>
      <c r="BG247" s="38"/>
      <c r="BH247" s="38"/>
      <c r="BI247" s="38"/>
      <c r="BJ247" s="38"/>
      <c r="BK247" s="39"/>
    </row>
    <row r="248" spans="1:63" s="154" customFormat="1" ht="15" customHeight="1" x14ac:dyDescent="0.25">
      <c r="A248" s="11"/>
      <c r="B248" s="19"/>
      <c r="C248" s="19"/>
      <c r="D248" s="19"/>
      <c r="E248" s="19"/>
      <c r="F248" s="19"/>
      <c r="G248" s="19"/>
      <c r="H248" s="19"/>
      <c r="I248" s="19"/>
      <c r="J248" s="19"/>
      <c r="K248" s="19"/>
      <c r="L248" s="12"/>
      <c r="M248" s="172"/>
      <c r="N248" s="172"/>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2"/>
      <c r="AO248" s="172"/>
      <c r="AP248" s="172"/>
      <c r="AQ248" s="172"/>
      <c r="AR248" s="172"/>
      <c r="AS248" s="172"/>
      <c r="AT248" s="172"/>
      <c r="AU248" s="11"/>
      <c r="AV248" s="19"/>
      <c r="AW248" s="19"/>
      <c r="AX248" s="19"/>
      <c r="AY248" s="19"/>
      <c r="AZ248" s="19"/>
      <c r="BA248" s="19"/>
      <c r="BB248" s="19"/>
      <c r="BC248" s="19"/>
      <c r="BD248" s="19"/>
      <c r="BE248" s="12"/>
      <c r="BF248" s="37"/>
      <c r="BG248" s="38"/>
      <c r="BH248" s="38"/>
      <c r="BI248" s="38"/>
      <c r="BJ248" s="38"/>
      <c r="BK248" s="39"/>
    </row>
    <row r="249" spans="1:63" s="154" customFormat="1" ht="15" customHeight="1" x14ac:dyDescent="0.25">
      <c r="A249" s="11"/>
      <c r="B249" s="19"/>
      <c r="C249" s="19"/>
      <c r="D249" s="19"/>
      <c r="E249" s="19"/>
      <c r="F249" s="19"/>
      <c r="G249" s="19"/>
      <c r="H249" s="19"/>
      <c r="I249" s="19"/>
      <c r="J249" s="19"/>
      <c r="K249" s="19"/>
      <c r="L249" s="12"/>
      <c r="M249" s="172"/>
      <c r="N249" s="22" t="s">
        <v>209</v>
      </c>
      <c r="O249" s="175"/>
      <c r="P249" s="172"/>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2"/>
      <c r="AO249" s="172"/>
      <c r="AP249" s="172"/>
      <c r="AQ249" s="172"/>
      <c r="AR249" s="172"/>
      <c r="AS249" s="172"/>
      <c r="AT249" s="172"/>
      <c r="AU249" s="11"/>
      <c r="AV249" s="19"/>
      <c r="AW249" s="19"/>
      <c r="AX249" s="19"/>
      <c r="AY249" s="19"/>
      <c r="AZ249" s="19"/>
      <c r="BA249" s="19"/>
      <c r="BB249" s="19"/>
      <c r="BC249" s="19"/>
      <c r="BD249" s="19"/>
      <c r="BE249" s="12"/>
      <c r="BF249" s="37"/>
      <c r="BG249" s="38"/>
      <c r="BH249" s="38"/>
      <c r="BI249" s="38"/>
      <c r="BJ249" s="38"/>
      <c r="BK249" s="39"/>
    </row>
    <row r="250" spans="1:63" s="154" customFormat="1" ht="15" customHeight="1" x14ac:dyDescent="0.25">
      <c r="A250" s="11"/>
      <c r="B250" s="19"/>
      <c r="C250" s="19"/>
      <c r="D250" s="19"/>
      <c r="E250" s="19"/>
      <c r="F250" s="19"/>
      <c r="G250" s="19"/>
      <c r="H250" s="19"/>
      <c r="I250" s="19"/>
      <c r="J250" s="19"/>
      <c r="K250" s="19"/>
      <c r="L250" s="12"/>
      <c r="M250" s="172"/>
      <c r="N250" s="172"/>
      <c r="O250" s="175" t="s">
        <v>108</v>
      </c>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2"/>
      <c r="AO250" s="172"/>
      <c r="AP250" s="172"/>
      <c r="AQ250" s="172"/>
      <c r="AR250" s="172"/>
      <c r="AS250" s="172"/>
      <c r="AT250" s="172"/>
      <c r="AU250" s="11"/>
      <c r="AV250" s="19"/>
      <c r="AW250" s="19"/>
      <c r="AX250" s="19"/>
      <c r="AY250" s="19"/>
      <c r="AZ250" s="19"/>
      <c r="BA250" s="19"/>
      <c r="BB250" s="19"/>
      <c r="BC250" s="19"/>
      <c r="BD250" s="19"/>
      <c r="BE250" s="12"/>
      <c r="BF250" s="37"/>
      <c r="BG250" s="38"/>
      <c r="BH250" s="38"/>
      <c r="BI250" s="38"/>
      <c r="BJ250" s="38"/>
      <c r="BK250" s="39"/>
    </row>
    <row r="251" spans="1:63" s="154" customFormat="1" ht="15" customHeight="1" x14ac:dyDescent="0.25">
      <c r="A251" s="11"/>
      <c r="B251" s="19"/>
      <c r="C251" s="19"/>
      <c r="D251" s="19"/>
      <c r="E251" s="19"/>
      <c r="F251" s="19"/>
      <c r="G251" s="19"/>
      <c r="H251" s="19"/>
      <c r="I251" s="19"/>
      <c r="J251" s="19"/>
      <c r="K251" s="19"/>
      <c r="L251" s="12"/>
      <c r="M251" s="172"/>
      <c r="O251" s="32"/>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2"/>
      <c r="AK251" s="172"/>
      <c r="AL251" s="172"/>
      <c r="AM251" s="172"/>
      <c r="AN251" s="172"/>
      <c r="AO251" s="172"/>
      <c r="AP251" s="172"/>
      <c r="AQ251" s="172"/>
      <c r="AR251" s="172"/>
      <c r="AS251" s="172"/>
      <c r="AT251" s="172"/>
      <c r="AU251" s="11"/>
      <c r="AV251" s="19"/>
      <c r="AW251" s="19"/>
      <c r="AX251" s="19"/>
      <c r="AY251" s="19"/>
      <c r="AZ251" s="19"/>
      <c r="BA251" s="19"/>
      <c r="BB251" s="19"/>
      <c r="BC251" s="19"/>
      <c r="BD251" s="19"/>
      <c r="BE251" s="12"/>
      <c r="BF251" s="37"/>
      <c r="BG251" s="38"/>
      <c r="BH251" s="38"/>
      <c r="BI251" s="38"/>
      <c r="BJ251" s="38"/>
      <c r="BK251" s="39"/>
    </row>
    <row r="252" spans="1:63" s="154" customFormat="1" ht="15" customHeight="1" x14ac:dyDescent="0.25">
      <c r="A252" s="11"/>
      <c r="B252" s="19"/>
      <c r="C252" s="19"/>
      <c r="D252" s="19"/>
      <c r="E252" s="19"/>
      <c r="F252" s="19"/>
      <c r="G252" s="19"/>
      <c r="H252" s="19"/>
      <c r="I252" s="19"/>
      <c r="J252" s="19"/>
      <c r="K252" s="19"/>
      <c r="L252" s="12"/>
      <c r="M252" s="172"/>
      <c r="O252" s="32"/>
      <c r="P252" s="175"/>
      <c r="Q252" s="32"/>
      <c r="R252" s="175"/>
      <c r="S252" s="175"/>
      <c r="T252" s="175"/>
      <c r="U252" s="175"/>
      <c r="V252" s="175"/>
      <c r="W252" s="175"/>
      <c r="X252" s="175"/>
      <c r="Y252" s="175"/>
      <c r="Z252" s="175"/>
      <c r="AA252" s="175"/>
      <c r="AB252" s="175"/>
      <c r="AC252" s="175"/>
      <c r="AD252" s="175"/>
      <c r="AE252" s="175"/>
      <c r="AF252" s="175"/>
      <c r="AG252" s="175"/>
      <c r="AH252" s="175"/>
      <c r="AI252" s="175"/>
      <c r="AJ252" s="172"/>
      <c r="AK252" s="172"/>
      <c r="AL252" s="172"/>
      <c r="AM252" s="172"/>
      <c r="AN252" s="172"/>
      <c r="AO252" s="172"/>
      <c r="AP252" s="172"/>
      <c r="AQ252" s="172"/>
      <c r="AR252" s="172"/>
      <c r="AS252" s="172"/>
      <c r="AT252" s="172"/>
      <c r="AU252" s="11"/>
      <c r="AV252" s="19"/>
      <c r="AW252" s="19"/>
      <c r="AX252" s="19"/>
      <c r="AY252" s="19"/>
      <c r="AZ252" s="19"/>
      <c r="BA252" s="19"/>
      <c r="BB252" s="19"/>
      <c r="BC252" s="19"/>
      <c r="BD252" s="19"/>
      <c r="BE252" s="12"/>
      <c r="BF252" s="37"/>
      <c r="BG252" s="38"/>
      <c r="BH252" s="38"/>
      <c r="BI252" s="38"/>
      <c r="BJ252" s="38"/>
      <c r="BK252" s="39"/>
    </row>
    <row r="253" spans="1:63" s="154" customFormat="1" ht="15" customHeight="1" x14ac:dyDescent="0.25">
      <c r="A253" s="13"/>
      <c r="B253" s="14"/>
      <c r="C253" s="14"/>
      <c r="D253" s="14"/>
      <c r="E253" s="14"/>
      <c r="F253" s="14"/>
      <c r="G253" s="14"/>
      <c r="H253" s="14"/>
      <c r="I253" s="14"/>
      <c r="J253" s="14"/>
      <c r="K253" s="14"/>
      <c r="L253" s="15"/>
      <c r="M253" s="176"/>
      <c r="N253" s="177"/>
      <c r="O253" s="177"/>
      <c r="P253" s="177"/>
      <c r="Q253" s="177"/>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178"/>
      <c r="AQ253" s="178"/>
      <c r="AR253" s="178"/>
      <c r="AS253" s="178"/>
      <c r="AT253" s="178"/>
      <c r="AU253" s="13"/>
      <c r="AV253" s="14"/>
      <c r="AW253" s="14"/>
      <c r="AX253" s="14"/>
      <c r="AY253" s="14"/>
      <c r="AZ253" s="14"/>
      <c r="BA253" s="14"/>
      <c r="BB253" s="14"/>
      <c r="BC253" s="14"/>
      <c r="BD253" s="14"/>
      <c r="BE253" s="15"/>
      <c r="BF253" s="40"/>
      <c r="BG253" s="41"/>
      <c r="BH253" s="41"/>
      <c r="BI253" s="41"/>
      <c r="BJ253" s="41"/>
      <c r="BK253" s="42"/>
    </row>
    <row r="254" spans="1:63" ht="15" customHeight="1" x14ac:dyDescent="0.25"/>
    <row r="255" spans="1:63" ht="15" customHeight="1" x14ac:dyDescent="0.25"/>
    <row r="256" spans="1:63" ht="15" customHeight="1" x14ac:dyDescent="0.25"/>
    <row r="257" spans="1:63" s="154" customFormat="1" ht="15" customHeight="1" x14ac:dyDescent="0.25">
      <c r="A257" s="160" t="s">
        <v>3</v>
      </c>
      <c r="B257" s="161"/>
      <c r="C257" s="161"/>
      <c r="D257" s="161"/>
      <c r="E257" s="161"/>
      <c r="F257" s="162"/>
      <c r="G257" s="156" t="s">
        <v>110</v>
      </c>
      <c r="H257" s="156"/>
      <c r="I257" s="156"/>
      <c r="J257" s="156"/>
      <c r="K257" s="156"/>
      <c r="L257" s="156"/>
      <c r="M257" s="163" t="s">
        <v>111</v>
      </c>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164"/>
      <c r="BI257" s="164"/>
      <c r="BJ257" s="164"/>
      <c r="BK257" s="165"/>
    </row>
    <row r="258" spans="1:63" s="154" customFormat="1" ht="15" customHeight="1" x14ac:dyDescent="0.25">
      <c r="A258" s="166" t="s">
        <v>4</v>
      </c>
      <c r="B258" s="167"/>
      <c r="C258" s="167"/>
      <c r="D258" s="167"/>
      <c r="E258" s="167"/>
      <c r="F258" s="167"/>
      <c r="G258" s="167"/>
      <c r="H258" s="167"/>
      <c r="I258" s="167"/>
      <c r="J258" s="167"/>
      <c r="K258" s="167"/>
      <c r="L258" s="168"/>
      <c r="M258" s="166" t="s">
        <v>5</v>
      </c>
      <c r="N258" s="167"/>
      <c r="O258" s="167"/>
      <c r="P258" s="167"/>
      <c r="Q258" s="167"/>
      <c r="R258" s="167"/>
      <c r="S258" s="167"/>
      <c r="T258" s="167"/>
      <c r="U258" s="167"/>
      <c r="V258" s="167"/>
      <c r="W258" s="167"/>
      <c r="X258" s="167"/>
      <c r="Y258" s="167"/>
      <c r="Z258" s="167"/>
      <c r="AA258" s="167"/>
      <c r="AB258" s="167"/>
      <c r="AC258" s="167"/>
      <c r="AD258" s="167"/>
      <c r="AE258" s="167"/>
      <c r="AF258" s="167"/>
      <c r="AG258" s="167"/>
      <c r="AH258" s="167"/>
      <c r="AI258" s="167"/>
      <c r="AJ258" s="167"/>
      <c r="AK258" s="167"/>
      <c r="AL258" s="167"/>
      <c r="AM258" s="167"/>
      <c r="AN258" s="167"/>
      <c r="AO258" s="167"/>
      <c r="AP258" s="167"/>
      <c r="AQ258" s="167"/>
      <c r="AR258" s="167"/>
      <c r="AS258" s="167"/>
      <c r="AT258" s="168"/>
      <c r="AU258" s="166" t="s">
        <v>6</v>
      </c>
      <c r="AV258" s="167"/>
      <c r="AW258" s="167"/>
      <c r="AX258" s="167"/>
      <c r="AY258" s="167"/>
      <c r="AZ258" s="167"/>
      <c r="BA258" s="167"/>
      <c r="BB258" s="167"/>
      <c r="BC258" s="167"/>
      <c r="BD258" s="167"/>
      <c r="BE258" s="167"/>
      <c r="BF258" s="166" t="s">
        <v>7</v>
      </c>
      <c r="BG258" s="167"/>
      <c r="BH258" s="167"/>
      <c r="BI258" s="167"/>
      <c r="BJ258" s="167"/>
      <c r="BK258" s="168"/>
    </row>
    <row r="259" spans="1:63" s="154" customFormat="1" ht="15" customHeight="1" x14ac:dyDescent="0.25">
      <c r="A259" s="169"/>
      <c r="B259" s="170"/>
      <c r="C259" s="170"/>
      <c r="D259" s="170"/>
      <c r="E259" s="170"/>
      <c r="F259" s="170"/>
      <c r="G259" s="170"/>
      <c r="H259" s="170"/>
      <c r="I259" s="170"/>
      <c r="J259" s="170"/>
      <c r="K259" s="170"/>
      <c r="L259" s="171"/>
      <c r="M259" s="169"/>
      <c r="N259" s="170"/>
      <c r="O259" s="170"/>
      <c r="P259" s="170"/>
      <c r="Q259" s="170"/>
      <c r="R259" s="170"/>
      <c r="S259" s="170"/>
      <c r="T259" s="170"/>
      <c r="U259" s="170"/>
      <c r="V259" s="170"/>
      <c r="W259" s="170"/>
      <c r="X259" s="170"/>
      <c r="Y259" s="170"/>
      <c r="Z259" s="170"/>
      <c r="AA259" s="170"/>
      <c r="AB259" s="170"/>
      <c r="AC259" s="170"/>
      <c r="AD259" s="170"/>
      <c r="AE259" s="170"/>
      <c r="AF259" s="170"/>
      <c r="AG259" s="170"/>
      <c r="AH259" s="170"/>
      <c r="AI259" s="170"/>
      <c r="AJ259" s="170"/>
      <c r="AK259" s="170"/>
      <c r="AL259" s="170"/>
      <c r="AM259" s="170"/>
      <c r="AN259" s="170"/>
      <c r="AO259" s="170"/>
      <c r="AP259" s="170"/>
      <c r="AQ259" s="170"/>
      <c r="AR259" s="170"/>
      <c r="AS259" s="170"/>
      <c r="AT259" s="171"/>
      <c r="AU259" s="169"/>
      <c r="AV259" s="170"/>
      <c r="AW259" s="170"/>
      <c r="AX259" s="170"/>
      <c r="AY259" s="170"/>
      <c r="AZ259" s="170"/>
      <c r="BA259" s="170"/>
      <c r="BB259" s="170"/>
      <c r="BC259" s="170"/>
      <c r="BD259" s="170"/>
      <c r="BE259" s="170"/>
      <c r="BF259" s="169"/>
      <c r="BG259" s="170"/>
      <c r="BH259" s="170"/>
      <c r="BI259" s="170"/>
      <c r="BJ259" s="170"/>
      <c r="BK259" s="171"/>
    </row>
    <row r="260" spans="1:63" s="154" customFormat="1" ht="15" customHeight="1" x14ac:dyDescent="0.25">
      <c r="A260" s="8"/>
      <c r="B260" s="9"/>
      <c r="C260" s="9"/>
      <c r="D260" s="9"/>
      <c r="E260" s="9"/>
      <c r="F260" s="9"/>
      <c r="G260" s="9"/>
      <c r="H260" s="9"/>
      <c r="I260" s="9"/>
      <c r="J260" s="9"/>
      <c r="K260" s="9"/>
      <c r="L260" s="10"/>
      <c r="M260" s="172"/>
      <c r="N260" s="172"/>
      <c r="O260" s="172"/>
      <c r="P260" s="172"/>
      <c r="Q260" s="172"/>
      <c r="R260" s="173"/>
      <c r="S260" s="173"/>
      <c r="T260" s="173"/>
      <c r="U260" s="173"/>
      <c r="V260" s="173"/>
      <c r="W260" s="173"/>
      <c r="X260" s="173"/>
      <c r="Y260" s="173"/>
      <c r="Z260" s="173"/>
      <c r="AA260" s="173"/>
      <c r="AB260" s="173"/>
      <c r="AC260" s="173"/>
      <c r="AD260" s="173"/>
      <c r="AE260" s="173"/>
      <c r="AF260" s="173"/>
      <c r="AG260" s="173"/>
      <c r="AH260" s="173"/>
      <c r="AI260" s="173"/>
      <c r="AJ260" s="173"/>
      <c r="AK260" s="173"/>
      <c r="AL260" s="173"/>
      <c r="AM260" s="173"/>
      <c r="AN260" s="173"/>
      <c r="AO260" s="173"/>
      <c r="AP260" s="173"/>
      <c r="AQ260" s="173"/>
      <c r="AR260" s="173"/>
      <c r="AS260" s="173"/>
      <c r="AT260" s="173"/>
      <c r="AU260" s="8"/>
      <c r="AV260" s="9"/>
      <c r="AW260" s="9"/>
      <c r="AX260" s="9"/>
      <c r="AY260" s="9"/>
      <c r="AZ260" s="9"/>
      <c r="BA260" s="9"/>
      <c r="BB260" s="9"/>
      <c r="BC260" s="9"/>
      <c r="BD260" s="9"/>
      <c r="BE260" s="10"/>
      <c r="BF260" s="34"/>
      <c r="BG260" s="35"/>
      <c r="BH260" s="35"/>
      <c r="BI260" s="35"/>
      <c r="BJ260" s="35"/>
      <c r="BK260" s="36"/>
    </row>
    <row r="261" spans="1:63" s="154" customFormat="1" ht="15" customHeight="1" x14ac:dyDescent="0.25">
      <c r="A261" s="11"/>
      <c r="B261" s="19"/>
      <c r="C261" s="19"/>
      <c r="D261" s="19"/>
      <c r="E261" s="19"/>
      <c r="F261" s="19"/>
      <c r="G261" s="19"/>
      <c r="H261" s="19"/>
      <c r="I261" s="19"/>
      <c r="J261" s="19"/>
      <c r="K261" s="19"/>
      <c r="L261" s="12"/>
      <c r="M261" s="172"/>
      <c r="N261" s="30" t="s">
        <v>210</v>
      </c>
      <c r="Q261" s="172"/>
      <c r="R261" s="172"/>
      <c r="S261" s="172"/>
      <c r="T261" s="172"/>
      <c r="U261" s="172"/>
      <c r="V261" s="172"/>
      <c r="W261" s="172"/>
      <c r="X261" s="172"/>
      <c r="Y261" s="172"/>
      <c r="Z261" s="172"/>
      <c r="AA261" s="172"/>
      <c r="AB261" s="172"/>
      <c r="AC261" s="172"/>
      <c r="AD261" s="172"/>
      <c r="AE261" s="172"/>
      <c r="AF261" s="172"/>
      <c r="AG261" s="172"/>
      <c r="AH261" s="172"/>
      <c r="AI261" s="172"/>
      <c r="AJ261" s="172"/>
      <c r="AK261" s="172"/>
      <c r="AL261" s="172"/>
      <c r="AM261" s="172"/>
      <c r="AN261" s="172"/>
      <c r="AO261" s="172"/>
      <c r="AP261" s="172"/>
      <c r="AQ261" s="172"/>
      <c r="AR261" s="172"/>
      <c r="AS261" s="172"/>
      <c r="AT261" s="172"/>
      <c r="AU261" s="11"/>
      <c r="AV261" s="19"/>
      <c r="AW261" s="19"/>
      <c r="AX261" s="19"/>
      <c r="AY261" s="19"/>
      <c r="AZ261" s="19"/>
      <c r="BA261" s="19"/>
      <c r="BB261" s="19"/>
      <c r="BC261" s="19"/>
      <c r="BD261" s="19"/>
      <c r="BE261" s="12"/>
      <c r="BF261" s="37"/>
      <c r="BG261" s="38"/>
      <c r="BH261" s="38"/>
      <c r="BI261" s="38"/>
      <c r="BJ261" s="38"/>
      <c r="BK261" s="39"/>
    </row>
    <row r="262" spans="1:63" s="154" customFormat="1" ht="15" customHeight="1" x14ac:dyDescent="0.25">
      <c r="A262" s="11"/>
      <c r="B262" s="19"/>
      <c r="C262" s="19"/>
      <c r="D262" s="19"/>
      <c r="E262" s="19"/>
      <c r="F262" s="19"/>
      <c r="G262" s="19"/>
      <c r="H262" s="19"/>
      <c r="I262" s="19"/>
      <c r="J262" s="19"/>
      <c r="K262" s="19"/>
      <c r="L262" s="12"/>
      <c r="M262" s="174"/>
      <c r="O262" s="31"/>
      <c r="Q262" s="175"/>
      <c r="R262" s="175"/>
      <c r="S262" s="175"/>
      <c r="T262" s="175"/>
      <c r="U262" s="175"/>
      <c r="V262" s="175"/>
      <c r="W262" s="175"/>
      <c r="X262" s="175"/>
      <c r="Y262" s="175"/>
      <c r="Z262" s="175"/>
      <c r="AA262" s="175"/>
      <c r="AB262" s="175"/>
      <c r="AC262" s="175"/>
      <c r="AD262" s="175"/>
      <c r="AE262" s="175"/>
      <c r="AF262" s="175"/>
      <c r="AG262" s="175"/>
      <c r="AH262" s="175"/>
      <c r="AI262" s="175"/>
      <c r="AJ262" s="172"/>
      <c r="AK262" s="172"/>
      <c r="AL262" s="172"/>
      <c r="AM262" s="172"/>
      <c r="AN262" s="172"/>
      <c r="AO262" s="172"/>
      <c r="AP262" s="172"/>
      <c r="AQ262" s="172"/>
      <c r="AR262" s="172"/>
      <c r="AS262" s="172"/>
      <c r="AT262" s="172"/>
      <c r="AU262" s="11"/>
      <c r="AV262" s="19"/>
      <c r="AW262" s="19"/>
      <c r="AX262" s="19"/>
      <c r="AY262" s="19"/>
      <c r="AZ262" s="19"/>
      <c r="BA262" s="19"/>
      <c r="BB262" s="19"/>
      <c r="BC262" s="19"/>
      <c r="BD262" s="19"/>
      <c r="BE262" s="12"/>
      <c r="BF262" s="37"/>
      <c r="BG262" s="38"/>
      <c r="BH262" s="38"/>
      <c r="BI262" s="38"/>
      <c r="BJ262" s="38"/>
      <c r="BK262" s="39"/>
    </row>
    <row r="263" spans="1:63" s="154" customFormat="1" ht="15" customHeight="1" x14ac:dyDescent="0.25">
      <c r="A263" s="11"/>
      <c r="B263" s="19"/>
      <c r="C263" s="19"/>
      <c r="D263" s="19"/>
      <c r="E263" s="19"/>
      <c r="F263" s="19"/>
      <c r="G263" s="19"/>
      <c r="H263" s="19"/>
      <c r="I263" s="19"/>
      <c r="J263" s="19"/>
      <c r="K263" s="19"/>
      <c r="L263" s="12"/>
      <c r="M263" s="172"/>
      <c r="N263" s="172"/>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2"/>
      <c r="AO263" s="172"/>
      <c r="AP263" s="172"/>
      <c r="AQ263" s="172"/>
      <c r="AR263" s="172"/>
      <c r="AS263" s="172"/>
      <c r="AT263" s="172"/>
      <c r="AU263" s="11"/>
      <c r="AV263" s="19"/>
      <c r="AW263" s="19"/>
      <c r="AX263" s="19"/>
      <c r="AY263" s="19"/>
      <c r="AZ263" s="19"/>
      <c r="BA263" s="19"/>
      <c r="BB263" s="19"/>
      <c r="BC263" s="19"/>
      <c r="BD263" s="19"/>
      <c r="BE263" s="12"/>
      <c r="BF263" s="37"/>
      <c r="BG263" s="38"/>
      <c r="BH263" s="38"/>
      <c r="BI263" s="38"/>
      <c r="BJ263" s="38"/>
      <c r="BK263" s="39"/>
    </row>
    <row r="264" spans="1:63" s="154" customFormat="1" ht="15" customHeight="1" x14ac:dyDescent="0.25">
      <c r="A264" s="13"/>
      <c r="B264" s="14"/>
      <c r="C264" s="14"/>
      <c r="D264" s="14"/>
      <c r="E264" s="14"/>
      <c r="F264" s="14"/>
      <c r="G264" s="14"/>
      <c r="H264" s="14"/>
      <c r="I264" s="14"/>
      <c r="J264" s="14"/>
      <c r="K264" s="14"/>
      <c r="L264" s="15"/>
      <c r="M264" s="176"/>
      <c r="N264" s="177"/>
      <c r="O264" s="177"/>
      <c r="P264" s="177"/>
      <c r="Q264" s="177"/>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178"/>
      <c r="AQ264" s="178"/>
      <c r="AR264" s="178"/>
      <c r="AS264" s="178"/>
      <c r="AT264" s="178"/>
      <c r="AU264" s="13"/>
      <c r="AV264" s="14"/>
      <c r="AW264" s="14"/>
      <c r="AX264" s="14"/>
      <c r="AY264" s="14"/>
      <c r="AZ264" s="14"/>
      <c r="BA264" s="14"/>
      <c r="BB264" s="14"/>
      <c r="BC264" s="14"/>
      <c r="BD264" s="14"/>
      <c r="BE264" s="15"/>
      <c r="BF264" s="40"/>
      <c r="BG264" s="41"/>
      <c r="BH264" s="41"/>
      <c r="BI264" s="41"/>
      <c r="BJ264" s="41"/>
      <c r="BK264" s="42"/>
    </row>
    <row r="265" spans="1:63" ht="15" customHeight="1" x14ac:dyDescent="0.25"/>
    <row r="266" spans="1:63" ht="15" customHeight="1" x14ac:dyDescent="0.25"/>
    <row r="267" spans="1:63" ht="15" customHeight="1" x14ac:dyDescent="0.25"/>
    <row r="268" spans="1:63" s="154" customFormat="1" ht="15" customHeight="1" x14ac:dyDescent="0.25">
      <c r="A268" s="160" t="s">
        <v>3</v>
      </c>
      <c r="B268" s="161"/>
      <c r="C268" s="161"/>
      <c r="D268" s="161"/>
      <c r="E268" s="161"/>
      <c r="F268" s="162"/>
      <c r="G268" s="156" t="s">
        <v>151</v>
      </c>
      <c r="H268" s="156"/>
      <c r="I268" s="156"/>
      <c r="J268" s="156"/>
      <c r="K268" s="156"/>
      <c r="L268" s="156"/>
      <c r="M268" s="163" t="s">
        <v>152</v>
      </c>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164"/>
      <c r="BI268" s="164"/>
      <c r="BJ268" s="164"/>
      <c r="BK268" s="165"/>
    </row>
    <row r="269" spans="1:63" s="154" customFormat="1" ht="15" customHeight="1" x14ac:dyDescent="0.25">
      <c r="A269" s="166" t="s">
        <v>4</v>
      </c>
      <c r="B269" s="167"/>
      <c r="C269" s="167"/>
      <c r="D269" s="167"/>
      <c r="E269" s="167"/>
      <c r="F269" s="167"/>
      <c r="G269" s="167"/>
      <c r="H269" s="167"/>
      <c r="I269" s="167"/>
      <c r="J269" s="167"/>
      <c r="K269" s="167"/>
      <c r="L269" s="168"/>
      <c r="M269" s="166" t="s">
        <v>5</v>
      </c>
      <c r="N269" s="167"/>
      <c r="O269" s="167"/>
      <c r="P269" s="167"/>
      <c r="Q269" s="167"/>
      <c r="R269" s="167"/>
      <c r="S269" s="167"/>
      <c r="T269" s="167"/>
      <c r="U269" s="167"/>
      <c r="V269" s="167"/>
      <c r="W269" s="167"/>
      <c r="X269" s="167"/>
      <c r="Y269" s="167"/>
      <c r="Z269" s="167"/>
      <c r="AA269" s="167"/>
      <c r="AB269" s="167"/>
      <c r="AC269" s="167"/>
      <c r="AD269" s="167"/>
      <c r="AE269" s="167"/>
      <c r="AF269" s="167"/>
      <c r="AG269" s="167"/>
      <c r="AH269" s="167"/>
      <c r="AI269" s="167"/>
      <c r="AJ269" s="167"/>
      <c r="AK269" s="167"/>
      <c r="AL269" s="167"/>
      <c r="AM269" s="167"/>
      <c r="AN269" s="167"/>
      <c r="AO269" s="167"/>
      <c r="AP269" s="167"/>
      <c r="AQ269" s="167"/>
      <c r="AR269" s="167"/>
      <c r="AS269" s="167"/>
      <c r="AT269" s="168"/>
      <c r="AU269" s="166" t="s">
        <v>6</v>
      </c>
      <c r="AV269" s="167"/>
      <c r="AW269" s="167"/>
      <c r="AX269" s="167"/>
      <c r="AY269" s="167"/>
      <c r="AZ269" s="167"/>
      <c r="BA269" s="167"/>
      <c r="BB269" s="167"/>
      <c r="BC269" s="167"/>
      <c r="BD269" s="167"/>
      <c r="BE269" s="167"/>
      <c r="BF269" s="166" t="s">
        <v>7</v>
      </c>
      <c r="BG269" s="167"/>
      <c r="BH269" s="167"/>
      <c r="BI269" s="167"/>
      <c r="BJ269" s="167"/>
      <c r="BK269" s="168"/>
    </row>
    <row r="270" spans="1:63" s="154" customFormat="1" ht="15" customHeight="1" x14ac:dyDescent="0.25">
      <c r="A270" s="169"/>
      <c r="B270" s="170"/>
      <c r="C270" s="170"/>
      <c r="D270" s="170"/>
      <c r="E270" s="170"/>
      <c r="F270" s="170"/>
      <c r="G270" s="170"/>
      <c r="H270" s="170"/>
      <c r="I270" s="170"/>
      <c r="J270" s="170"/>
      <c r="K270" s="170"/>
      <c r="L270" s="171"/>
      <c r="M270" s="169"/>
      <c r="N270" s="170"/>
      <c r="O270" s="170"/>
      <c r="P270" s="170"/>
      <c r="Q270" s="170"/>
      <c r="R270" s="170"/>
      <c r="S270" s="170"/>
      <c r="T270" s="170"/>
      <c r="U270" s="170"/>
      <c r="V270" s="170"/>
      <c r="W270" s="170"/>
      <c r="X270" s="170"/>
      <c r="Y270" s="170"/>
      <c r="Z270" s="170"/>
      <c r="AA270" s="170"/>
      <c r="AB270" s="170"/>
      <c r="AC270" s="170"/>
      <c r="AD270" s="170"/>
      <c r="AE270" s="170"/>
      <c r="AF270" s="170"/>
      <c r="AG270" s="170"/>
      <c r="AH270" s="170"/>
      <c r="AI270" s="170"/>
      <c r="AJ270" s="170"/>
      <c r="AK270" s="170"/>
      <c r="AL270" s="170"/>
      <c r="AM270" s="170"/>
      <c r="AN270" s="170"/>
      <c r="AO270" s="170"/>
      <c r="AP270" s="170"/>
      <c r="AQ270" s="170"/>
      <c r="AR270" s="170"/>
      <c r="AS270" s="170"/>
      <c r="AT270" s="171"/>
      <c r="AU270" s="169"/>
      <c r="AV270" s="170"/>
      <c r="AW270" s="170"/>
      <c r="AX270" s="170"/>
      <c r="AY270" s="170"/>
      <c r="AZ270" s="170"/>
      <c r="BA270" s="170"/>
      <c r="BB270" s="170"/>
      <c r="BC270" s="170"/>
      <c r="BD270" s="170"/>
      <c r="BE270" s="170"/>
      <c r="BF270" s="169"/>
      <c r="BG270" s="170"/>
      <c r="BH270" s="170"/>
      <c r="BI270" s="170"/>
      <c r="BJ270" s="170"/>
      <c r="BK270" s="171"/>
    </row>
    <row r="271" spans="1:63" s="154" customFormat="1" ht="15" customHeight="1" x14ac:dyDescent="0.25">
      <c r="A271" s="8"/>
      <c r="B271" s="9"/>
      <c r="C271" s="9"/>
      <c r="D271" s="9"/>
      <c r="E271" s="9"/>
      <c r="F271" s="9"/>
      <c r="G271" s="9"/>
      <c r="H271" s="9"/>
      <c r="I271" s="9"/>
      <c r="J271" s="9"/>
      <c r="K271" s="9"/>
      <c r="L271" s="10"/>
      <c r="M271" s="172"/>
      <c r="N271" s="172"/>
      <c r="O271" s="172"/>
      <c r="P271" s="172"/>
      <c r="Q271" s="172"/>
      <c r="R271" s="173"/>
      <c r="S271" s="173"/>
      <c r="T271" s="173"/>
      <c r="U271" s="173"/>
      <c r="V271" s="173"/>
      <c r="W271" s="173"/>
      <c r="X271" s="173"/>
      <c r="Y271" s="173"/>
      <c r="Z271" s="173"/>
      <c r="AA271" s="173"/>
      <c r="AB271" s="173"/>
      <c r="AC271" s="173"/>
      <c r="AD271" s="173"/>
      <c r="AE271" s="173"/>
      <c r="AF271" s="173"/>
      <c r="AG271" s="173"/>
      <c r="AH271" s="173"/>
      <c r="AI271" s="173"/>
      <c r="AJ271" s="173"/>
      <c r="AK271" s="173"/>
      <c r="AL271" s="173"/>
      <c r="AM271" s="173"/>
      <c r="AN271" s="173"/>
      <c r="AO271" s="173"/>
      <c r="AP271" s="173"/>
      <c r="AQ271" s="173"/>
      <c r="AR271" s="173"/>
      <c r="AS271" s="173"/>
      <c r="AT271" s="173"/>
      <c r="AU271" s="8"/>
      <c r="AV271" s="9"/>
      <c r="AW271" s="9"/>
      <c r="AX271" s="9"/>
      <c r="AY271" s="9"/>
      <c r="AZ271" s="9"/>
      <c r="BA271" s="9"/>
      <c r="BB271" s="9"/>
      <c r="BC271" s="9"/>
      <c r="BD271" s="9"/>
      <c r="BE271" s="10"/>
      <c r="BF271" s="34"/>
      <c r="BG271" s="35"/>
      <c r="BH271" s="35"/>
      <c r="BI271" s="35"/>
      <c r="BJ271" s="35"/>
      <c r="BK271" s="36"/>
    </row>
    <row r="272" spans="1:63" s="154" customFormat="1" ht="15" customHeight="1" x14ac:dyDescent="0.25">
      <c r="A272" s="11"/>
      <c r="B272" s="19"/>
      <c r="C272" s="19"/>
      <c r="D272" s="19"/>
      <c r="E272" s="19"/>
      <c r="F272" s="19"/>
      <c r="G272" s="19"/>
      <c r="H272" s="19"/>
      <c r="I272" s="19"/>
      <c r="J272" s="19"/>
      <c r="K272" s="19"/>
      <c r="L272" s="12"/>
      <c r="M272" s="172"/>
      <c r="N272" s="30" t="s">
        <v>211</v>
      </c>
      <c r="Q272" s="172"/>
      <c r="R272" s="172"/>
      <c r="S272" s="172"/>
      <c r="T272" s="172"/>
      <c r="U272" s="172"/>
      <c r="V272" s="172"/>
      <c r="W272" s="172"/>
      <c r="X272" s="172"/>
      <c r="Y272" s="172"/>
      <c r="Z272" s="172"/>
      <c r="AA272" s="172"/>
      <c r="AB272" s="172"/>
      <c r="AC272" s="172"/>
      <c r="AD272" s="172"/>
      <c r="AE272" s="172"/>
      <c r="AF272" s="172"/>
      <c r="AG272" s="172"/>
      <c r="AH272" s="172"/>
      <c r="AI272" s="172"/>
      <c r="AJ272" s="172"/>
      <c r="AK272" s="172"/>
      <c r="AL272" s="172"/>
      <c r="AM272" s="172"/>
      <c r="AN272" s="172"/>
      <c r="AO272" s="172"/>
      <c r="AP272" s="172"/>
      <c r="AQ272" s="172"/>
      <c r="AR272" s="172"/>
      <c r="AS272" s="172"/>
      <c r="AT272" s="172"/>
      <c r="AU272" s="11"/>
      <c r="AV272" s="19"/>
      <c r="AW272" s="19"/>
      <c r="AX272" s="19"/>
      <c r="AY272" s="19"/>
      <c r="AZ272" s="19"/>
      <c r="BA272" s="19"/>
      <c r="BB272" s="19"/>
      <c r="BC272" s="19"/>
      <c r="BD272" s="19"/>
      <c r="BE272" s="12"/>
      <c r="BF272" s="37"/>
      <c r="BG272" s="38"/>
      <c r="BH272" s="38"/>
      <c r="BI272" s="38"/>
      <c r="BJ272" s="38"/>
      <c r="BK272" s="39"/>
    </row>
    <row r="273" spans="1:63" s="154" customFormat="1" ht="15" customHeight="1" x14ac:dyDescent="0.25">
      <c r="A273" s="11"/>
      <c r="B273" s="19"/>
      <c r="C273" s="19"/>
      <c r="D273" s="19"/>
      <c r="E273" s="19"/>
      <c r="F273" s="19"/>
      <c r="G273" s="19"/>
      <c r="H273" s="19"/>
      <c r="I273" s="19"/>
      <c r="J273" s="19"/>
      <c r="K273" s="19"/>
      <c r="L273" s="12"/>
      <c r="M273" s="174"/>
      <c r="O273" s="31" t="s">
        <v>159</v>
      </c>
      <c r="Q273" s="175"/>
      <c r="R273" s="175"/>
      <c r="S273" s="175"/>
      <c r="T273" s="175"/>
      <c r="U273" s="175"/>
      <c r="V273" s="175"/>
      <c r="W273" s="175"/>
      <c r="X273" s="175"/>
      <c r="Y273" s="175"/>
      <c r="Z273" s="175"/>
      <c r="AA273" s="175"/>
      <c r="AB273" s="175"/>
      <c r="AC273" s="175"/>
      <c r="AD273" s="175"/>
      <c r="AE273" s="175"/>
      <c r="AF273" s="175"/>
      <c r="AG273" s="175"/>
      <c r="AH273" s="175"/>
      <c r="AI273" s="175"/>
      <c r="AJ273" s="172"/>
      <c r="AK273" s="172"/>
      <c r="AL273" s="172"/>
      <c r="AM273" s="172"/>
      <c r="AN273" s="172"/>
      <c r="AO273" s="172"/>
      <c r="AP273" s="172"/>
      <c r="AQ273" s="172"/>
      <c r="AR273" s="172"/>
      <c r="AS273" s="172"/>
      <c r="AT273" s="172"/>
      <c r="AU273" s="11"/>
      <c r="AV273" s="19"/>
      <c r="AW273" s="19"/>
      <c r="AX273" s="19"/>
      <c r="AY273" s="19"/>
      <c r="AZ273" s="19"/>
      <c r="BA273" s="19"/>
      <c r="BB273" s="19"/>
      <c r="BC273" s="19"/>
      <c r="BD273" s="19"/>
      <c r="BE273" s="12"/>
      <c r="BF273" s="37"/>
      <c r="BG273" s="38"/>
      <c r="BH273" s="38"/>
      <c r="BI273" s="38"/>
      <c r="BJ273" s="38"/>
      <c r="BK273" s="39"/>
    </row>
    <row r="274" spans="1:63" s="154" customFormat="1" ht="15" customHeight="1" x14ac:dyDescent="0.25">
      <c r="A274" s="11"/>
      <c r="B274" s="19"/>
      <c r="C274" s="19"/>
      <c r="D274" s="19"/>
      <c r="E274" s="19"/>
      <c r="F274" s="19"/>
      <c r="G274" s="19"/>
      <c r="H274" s="19"/>
      <c r="I274" s="19"/>
      <c r="J274" s="19"/>
      <c r="K274" s="19"/>
      <c r="L274" s="12"/>
      <c r="M274" s="172"/>
      <c r="N274" s="172"/>
      <c r="O274" s="175" t="s">
        <v>160</v>
      </c>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2"/>
      <c r="AO274" s="172"/>
      <c r="AP274" s="172"/>
      <c r="AQ274" s="172"/>
      <c r="AR274" s="172"/>
      <c r="AS274" s="172"/>
      <c r="AT274" s="172"/>
      <c r="AU274" s="11"/>
      <c r="AV274" s="19"/>
      <c r="AW274" s="19"/>
      <c r="AX274" s="19"/>
      <c r="AY274" s="19"/>
      <c r="AZ274" s="19"/>
      <c r="BA274" s="19"/>
      <c r="BB274" s="19"/>
      <c r="BC274" s="19"/>
      <c r="BD274" s="19"/>
      <c r="BE274" s="12"/>
      <c r="BF274" s="37"/>
      <c r="BG274" s="38"/>
      <c r="BH274" s="38"/>
      <c r="BI274" s="38"/>
      <c r="BJ274" s="38"/>
      <c r="BK274" s="39"/>
    </row>
    <row r="275" spans="1:63" s="154" customFormat="1" ht="15" customHeight="1" x14ac:dyDescent="0.25">
      <c r="A275" s="13"/>
      <c r="B275" s="14"/>
      <c r="C275" s="14"/>
      <c r="D275" s="14"/>
      <c r="E275" s="14"/>
      <c r="F275" s="14"/>
      <c r="G275" s="14"/>
      <c r="H275" s="14"/>
      <c r="I275" s="14"/>
      <c r="J275" s="14"/>
      <c r="K275" s="14"/>
      <c r="L275" s="15"/>
      <c r="M275" s="176"/>
      <c r="N275" s="177"/>
      <c r="O275" s="177"/>
      <c r="P275" s="177"/>
      <c r="Q275" s="177"/>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178"/>
      <c r="AQ275" s="178"/>
      <c r="AR275" s="178"/>
      <c r="AS275" s="178"/>
      <c r="AT275" s="178"/>
      <c r="AU275" s="13"/>
      <c r="AV275" s="14"/>
      <c r="AW275" s="14"/>
      <c r="AX275" s="14"/>
      <c r="AY275" s="14"/>
      <c r="AZ275" s="14"/>
      <c r="BA275" s="14"/>
      <c r="BB275" s="14"/>
      <c r="BC275" s="14"/>
      <c r="BD275" s="14"/>
      <c r="BE275" s="15"/>
      <c r="BF275" s="40"/>
      <c r="BG275" s="41"/>
      <c r="BH275" s="41"/>
      <c r="BI275" s="41"/>
      <c r="BJ275" s="41"/>
      <c r="BK275" s="42"/>
    </row>
    <row r="276" spans="1:63" ht="15" customHeight="1" x14ac:dyDescent="0.25"/>
    <row r="277" spans="1:63" ht="15" customHeight="1" x14ac:dyDescent="0.25"/>
    <row r="278" spans="1:63" ht="15" customHeight="1" x14ac:dyDescent="0.25"/>
    <row r="279" spans="1:63" ht="15" customHeight="1" x14ac:dyDescent="0.25"/>
    <row r="280" spans="1:63" ht="15" customHeight="1" x14ac:dyDescent="0.25"/>
    <row r="281" spans="1:63" ht="15" customHeight="1" x14ac:dyDescent="0.25"/>
    <row r="282" spans="1:63" ht="15" customHeight="1" x14ac:dyDescent="0.25"/>
    <row r="283" spans="1:63" ht="15" customHeight="1" x14ac:dyDescent="0.25"/>
    <row r="284" spans="1:63" ht="15" customHeight="1" x14ac:dyDescent="0.25"/>
    <row r="285" spans="1:63" ht="15" customHeight="1" x14ac:dyDescent="0.25"/>
    <row r="286" spans="1:63" ht="15" customHeight="1" x14ac:dyDescent="0.25"/>
    <row r="287" spans="1:63" ht="15" customHeight="1" x14ac:dyDescent="0.25"/>
    <row r="288" spans="1:63"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sheetData>
  <mergeCells count="131">
    <mergeCell ref="A268:F268"/>
    <mergeCell ref="G268:L268"/>
    <mergeCell ref="A269:L270"/>
    <mergeCell ref="M269:AT270"/>
    <mergeCell ref="AU269:BE270"/>
    <mergeCell ref="BF269:BK270"/>
    <mergeCell ref="BF271:BK274"/>
    <mergeCell ref="BF275:BK275"/>
    <mergeCell ref="A242:F242"/>
    <mergeCell ref="G242:L242"/>
    <mergeCell ref="A243:L244"/>
    <mergeCell ref="M243:AT244"/>
    <mergeCell ref="AU243:BE244"/>
    <mergeCell ref="BF243:BK244"/>
    <mergeCell ref="BF245:BK252"/>
    <mergeCell ref="BF253:BK253"/>
    <mergeCell ref="A257:F257"/>
    <mergeCell ref="G257:L257"/>
    <mergeCell ref="A258:L259"/>
    <mergeCell ref="M258:AT259"/>
    <mergeCell ref="AU258:BE259"/>
    <mergeCell ref="BF258:BK259"/>
    <mergeCell ref="BF260:BK263"/>
    <mergeCell ref="BF264:BK264"/>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1:AS1"/>
    <mergeCell ref="AT1:AX1"/>
    <mergeCell ref="AP4:BK4"/>
    <mergeCell ref="BF14:BK17"/>
    <mergeCell ref="BF18:BK18"/>
    <mergeCell ref="BF43:BK43"/>
    <mergeCell ref="BF93:BK115"/>
    <mergeCell ref="BF116:BK116"/>
    <mergeCell ref="A11:F11"/>
    <mergeCell ref="G11:L11"/>
    <mergeCell ref="A12:L13"/>
    <mergeCell ref="M12:AT13"/>
    <mergeCell ref="AU12:BE13"/>
    <mergeCell ref="BF12:BK13"/>
    <mergeCell ref="A22:F22"/>
    <mergeCell ref="G22:L22"/>
    <mergeCell ref="A23:L24"/>
    <mergeCell ref="M23:AT24"/>
    <mergeCell ref="AU23:BE24"/>
    <mergeCell ref="BF23:BK24"/>
    <mergeCell ref="BF25:BK41"/>
    <mergeCell ref="A47:F47"/>
    <mergeCell ref="G47:L47"/>
    <mergeCell ref="A48:L49"/>
    <mergeCell ref="M48:AT49"/>
    <mergeCell ref="AU48:BE49"/>
    <mergeCell ref="BF86:BK86"/>
    <mergeCell ref="BF238:BK238"/>
    <mergeCell ref="BF204:BK237"/>
    <mergeCell ref="A201:F201"/>
    <mergeCell ref="G201:L201"/>
    <mergeCell ref="A202:L203"/>
    <mergeCell ref="M202:AT203"/>
    <mergeCell ref="AU202:BE203"/>
    <mergeCell ref="BF202:BK203"/>
    <mergeCell ref="A120:F120"/>
    <mergeCell ref="G120:L120"/>
    <mergeCell ref="A121:L122"/>
    <mergeCell ref="M121:AT122"/>
    <mergeCell ref="AU121:BE122"/>
    <mergeCell ref="BF121:BK122"/>
    <mergeCell ref="BF133:BK133"/>
    <mergeCell ref="BF164:BK164"/>
    <mergeCell ref="BF140:BK163"/>
    <mergeCell ref="W148:AM148"/>
    <mergeCell ref="W149:AM149"/>
    <mergeCell ref="W150:AM150"/>
    <mergeCell ref="W151:AM151"/>
    <mergeCell ref="BF197:BK197"/>
    <mergeCell ref="BF48:BK49"/>
    <mergeCell ref="BF50:BK53"/>
    <mergeCell ref="BF55:BK55"/>
    <mergeCell ref="A59:F59"/>
    <mergeCell ref="G59:L59"/>
    <mergeCell ref="A60:L61"/>
    <mergeCell ref="M60:AT61"/>
    <mergeCell ref="AU60:BE61"/>
    <mergeCell ref="BF60:BK61"/>
    <mergeCell ref="BF62:BK85"/>
    <mergeCell ref="A91:L92"/>
    <mergeCell ref="M91:AT92"/>
    <mergeCell ref="AU91:BE92"/>
    <mergeCell ref="BF91:BK92"/>
    <mergeCell ref="W70:AM70"/>
    <mergeCell ref="W71:AM71"/>
    <mergeCell ref="W72:AM72"/>
    <mergeCell ref="BF123:BK126"/>
    <mergeCell ref="A90:F90"/>
    <mergeCell ref="G90:L90"/>
    <mergeCell ref="A137:F137"/>
    <mergeCell ref="G137:L137"/>
    <mergeCell ref="A138:L139"/>
    <mergeCell ref="M138:AT139"/>
    <mergeCell ref="AU138:BE139"/>
    <mergeCell ref="BF138:BK139"/>
    <mergeCell ref="BF171:BK196"/>
    <mergeCell ref="A168:F168"/>
    <mergeCell ref="G168:L168"/>
    <mergeCell ref="A169:L170"/>
    <mergeCell ref="M169:AT170"/>
    <mergeCell ref="AU169:BE170"/>
    <mergeCell ref="BF169:BK170"/>
    <mergeCell ref="W176:AM176"/>
    <mergeCell ref="W177:AM177"/>
    <mergeCell ref="W179:AM179"/>
    <mergeCell ref="W178:AM178"/>
  </mergeCells>
  <pageMargins left="0.7" right="0.7" top="0.75" bottom="0.75" header="0.3" footer="0.3"/>
  <pageSetup scale="1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CA52-73BB-46B3-BD2A-D76DC5A2564A}">
  <sheetPr>
    <pageSetUpPr fitToPage="1"/>
  </sheetPr>
  <dimension ref="A1:BK442"/>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MD0501</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112</v>
      </c>
      <c r="F9" s="156"/>
      <c r="G9" s="156"/>
      <c r="H9" s="156"/>
      <c r="I9" s="156"/>
      <c r="J9" s="156"/>
      <c r="K9" s="156"/>
      <c r="L9" s="156"/>
      <c r="M9" s="156"/>
      <c r="N9" s="156"/>
      <c r="O9" s="53" t="s">
        <v>183</v>
      </c>
      <c r="P9" s="54"/>
      <c r="Q9" s="54"/>
      <c r="R9" s="54"/>
      <c r="S9" s="54"/>
      <c r="T9" s="55"/>
      <c r="U9" s="157" t="s">
        <v>125</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114</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49</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115</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N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1"/>
      <c r="B18" s="19"/>
      <c r="C18" s="19"/>
      <c r="D18" s="19"/>
      <c r="E18" s="19"/>
      <c r="F18" s="19"/>
      <c r="G18" s="19"/>
      <c r="H18" s="19"/>
      <c r="I18" s="19"/>
      <c r="J18" s="19"/>
      <c r="K18" s="19"/>
      <c r="L18" s="12"/>
      <c r="M18" s="172"/>
      <c r="N18" s="172"/>
      <c r="O18" s="175"/>
      <c r="P18" s="175"/>
      <c r="Q18" s="175"/>
      <c r="R18" s="175"/>
      <c r="S18" s="175"/>
      <c r="T18" s="175"/>
      <c r="U18" s="175"/>
      <c r="V18" s="175"/>
      <c r="W18" s="175"/>
      <c r="X18" s="175"/>
      <c r="Y18" s="175"/>
      <c r="Z18" s="175"/>
      <c r="AA18" s="175"/>
      <c r="AB18" s="175"/>
      <c r="AC18" s="175"/>
      <c r="AD18" s="175"/>
      <c r="AE18" s="175"/>
      <c r="AF18" s="175"/>
      <c r="AG18" s="175"/>
      <c r="AH18" s="175"/>
      <c r="AI18" s="175"/>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7"/>
      <c r="BG18" s="38"/>
      <c r="BH18" s="38"/>
      <c r="BI18" s="38"/>
      <c r="BJ18" s="38"/>
      <c r="BK18" s="39"/>
    </row>
    <row r="19" spans="1:63" s="154" customFormat="1" ht="15" customHeight="1" x14ac:dyDescent="0.25">
      <c r="A19" s="13"/>
      <c r="B19" s="14"/>
      <c r="C19" s="14"/>
      <c r="D19" s="14"/>
      <c r="E19" s="14"/>
      <c r="F19" s="14"/>
      <c r="G19" s="14"/>
      <c r="H19" s="14"/>
      <c r="I19" s="14"/>
      <c r="J19" s="14"/>
      <c r="K19" s="14"/>
      <c r="L19" s="15"/>
      <c r="M19" s="176"/>
      <c r="N19" s="177"/>
      <c r="O19" s="177"/>
      <c r="P19" s="177"/>
      <c r="Q19" s="177"/>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178"/>
      <c r="AQ19" s="178"/>
      <c r="AR19" s="178"/>
      <c r="AS19" s="178"/>
      <c r="AT19" s="178"/>
      <c r="AU19" s="13"/>
      <c r="AV19" s="14"/>
      <c r="AW19" s="14"/>
      <c r="AX19" s="14"/>
      <c r="AY19" s="14"/>
      <c r="AZ19" s="14"/>
      <c r="BA19" s="14"/>
      <c r="BB19" s="14"/>
      <c r="BC19" s="14"/>
      <c r="BD19" s="14"/>
      <c r="BE19" s="15"/>
      <c r="BF19" s="40"/>
      <c r="BG19" s="41"/>
      <c r="BH19" s="41"/>
      <c r="BI19" s="41"/>
      <c r="BJ19" s="41"/>
      <c r="BK19" s="42"/>
    </row>
    <row r="20" spans="1:63" ht="15" customHeight="1" x14ac:dyDescent="0.25">
      <c r="A20" s="16"/>
      <c r="BK20" s="6"/>
    </row>
    <row r="21" spans="1:63" ht="15" customHeight="1" x14ac:dyDescent="0.25">
      <c r="A21" s="21"/>
      <c r="BK21" s="6"/>
    </row>
    <row r="22" spans="1:63" ht="15" customHeight="1" x14ac:dyDescent="0.25">
      <c r="A22" s="21"/>
      <c r="BK22" s="6"/>
    </row>
    <row r="23" spans="1:63" s="154" customFormat="1" ht="15" customHeight="1" x14ac:dyDescent="0.25">
      <c r="A23" s="160" t="s">
        <v>3</v>
      </c>
      <c r="B23" s="161"/>
      <c r="C23" s="161"/>
      <c r="D23" s="161"/>
      <c r="E23" s="161"/>
      <c r="F23" s="162"/>
      <c r="G23" s="156" t="s">
        <v>116</v>
      </c>
      <c r="H23" s="156"/>
      <c r="I23" s="156"/>
      <c r="J23" s="156"/>
      <c r="K23" s="156"/>
      <c r="L23" s="156"/>
      <c r="M23" s="163" t="s">
        <v>53</v>
      </c>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164"/>
      <c r="BI23" s="164"/>
      <c r="BJ23" s="164"/>
      <c r="BK23" s="165"/>
    </row>
    <row r="24" spans="1:63" s="154" customFormat="1" ht="15" customHeight="1" x14ac:dyDescent="0.25">
      <c r="A24" s="166" t="s">
        <v>4</v>
      </c>
      <c r="B24" s="167"/>
      <c r="C24" s="167"/>
      <c r="D24" s="167"/>
      <c r="E24" s="167"/>
      <c r="F24" s="167"/>
      <c r="G24" s="167"/>
      <c r="H24" s="167"/>
      <c r="I24" s="167"/>
      <c r="J24" s="167"/>
      <c r="K24" s="167"/>
      <c r="L24" s="168"/>
      <c r="M24" s="166" t="s">
        <v>5</v>
      </c>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8"/>
      <c r="AU24" s="166" t="s">
        <v>6</v>
      </c>
      <c r="AV24" s="167"/>
      <c r="AW24" s="167"/>
      <c r="AX24" s="167"/>
      <c r="AY24" s="167"/>
      <c r="AZ24" s="167"/>
      <c r="BA24" s="167"/>
      <c r="BB24" s="167"/>
      <c r="BC24" s="167"/>
      <c r="BD24" s="167"/>
      <c r="BE24" s="167"/>
      <c r="BF24" s="166" t="s">
        <v>7</v>
      </c>
      <c r="BG24" s="167"/>
      <c r="BH24" s="167"/>
      <c r="BI24" s="167"/>
      <c r="BJ24" s="167"/>
      <c r="BK24" s="168"/>
    </row>
    <row r="25" spans="1:63" s="154" customFormat="1" ht="15" customHeight="1" x14ac:dyDescent="0.25">
      <c r="A25" s="169"/>
      <c r="B25" s="170"/>
      <c r="C25" s="170"/>
      <c r="D25" s="170"/>
      <c r="E25" s="170"/>
      <c r="F25" s="170"/>
      <c r="G25" s="170"/>
      <c r="H25" s="170"/>
      <c r="I25" s="170"/>
      <c r="J25" s="170"/>
      <c r="K25" s="170"/>
      <c r="L25" s="171"/>
      <c r="M25" s="169"/>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1"/>
      <c r="AU25" s="169"/>
      <c r="AV25" s="170"/>
      <c r="AW25" s="170"/>
      <c r="AX25" s="170"/>
      <c r="AY25" s="170"/>
      <c r="AZ25" s="170"/>
      <c r="BA25" s="170"/>
      <c r="BB25" s="170"/>
      <c r="BC25" s="170"/>
      <c r="BD25" s="170"/>
      <c r="BE25" s="170"/>
      <c r="BF25" s="169"/>
      <c r="BG25" s="170"/>
      <c r="BH25" s="170"/>
      <c r="BI25" s="170"/>
      <c r="BJ25" s="170"/>
      <c r="BK25" s="171"/>
    </row>
    <row r="26" spans="1:63" s="154" customFormat="1" ht="15" customHeight="1" x14ac:dyDescent="0.25">
      <c r="A26" s="8"/>
      <c r="B26" s="9"/>
      <c r="C26" s="9"/>
      <c r="D26" s="9"/>
      <c r="E26" s="9"/>
      <c r="F26" s="9"/>
      <c r="G26" s="9"/>
      <c r="H26" s="9"/>
      <c r="I26" s="9"/>
      <c r="J26" s="9"/>
      <c r="K26" s="9"/>
      <c r="L26" s="10"/>
      <c r="M26" s="172"/>
      <c r="N26" s="172"/>
      <c r="O26" s="172"/>
      <c r="P26" s="172"/>
      <c r="Q26" s="172"/>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8"/>
      <c r="AV26" s="9"/>
      <c r="AW26" s="9"/>
      <c r="AX26" s="9"/>
      <c r="AY26" s="9"/>
      <c r="AZ26" s="9"/>
      <c r="BA26" s="9"/>
      <c r="BB26" s="9"/>
      <c r="BC26" s="9"/>
      <c r="BD26" s="9"/>
      <c r="BE26" s="10"/>
      <c r="BF26" s="34" t="s">
        <v>220</v>
      </c>
      <c r="BG26" s="35"/>
      <c r="BH26" s="35"/>
      <c r="BI26" s="35"/>
      <c r="BJ26" s="35"/>
      <c r="BK26" s="36"/>
    </row>
    <row r="27" spans="1:63" s="154" customFormat="1" ht="15" customHeight="1" x14ac:dyDescent="0.25">
      <c r="A27" s="11"/>
      <c r="B27" s="19"/>
      <c r="C27" s="19"/>
      <c r="D27" s="19"/>
      <c r="E27" s="19"/>
      <c r="F27" s="19"/>
      <c r="G27" s="19"/>
      <c r="H27" s="19"/>
      <c r="I27" s="19"/>
      <c r="J27" s="19"/>
      <c r="K27" s="19"/>
      <c r="L27" s="12"/>
      <c r="M27" s="172"/>
      <c r="N27" s="22" t="s">
        <v>221</v>
      </c>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2"/>
      <c r="N28" s="26"/>
      <c r="O28" s="175" t="s">
        <v>48</v>
      </c>
      <c r="P28" s="175"/>
      <c r="Q28" s="175"/>
      <c r="R28" s="175"/>
      <c r="S28" s="175"/>
      <c r="T28" s="175"/>
      <c r="U28" s="175"/>
      <c r="V28" s="175"/>
      <c r="W28" s="175"/>
      <c r="X28" s="175"/>
      <c r="Y28" s="175"/>
      <c r="Z28" s="175"/>
      <c r="AA28" s="175"/>
      <c r="AB28" s="175"/>
      <c r="AC28" s="175"/>
      <c r="AD28" s="175"/>
      <c r="AE28" s="175"/>
      <c r="AF28" s="175"/>
      <c r="AG28" s="175"/>
      <c r="AH28" s="175"/>
      <c r="AI28" s="175"/>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N29" s="26"/>
      <c r="O29" s="175"/>
      <c r="P29" s="27" t="s">
        <v>10</v>
      </c>
      <c r="Q29" s="28"/>
      <c r="R29" s="28"/>
      <c r="S29" s="28"/>
      <c r="T29" s="28"/>
      <c r="U29" s="28"/>
      <c r="V29" s="28"/>
      <c r="W29" s="27" t="s">
        <v>11</v>
      </c>
      <c r="X29" s="28"/>
      <c r="Y29" s="28"/>
      <c r="Z29" s="28"/>
      <c r="AA29" s="28"/>
      <c r="AB29" s="28"/>
      <c r="AC29" s="28"/>
      <c r="AD29" s="28"/>
      <c r="AE29" s="28"/>
      <c r="AF29" s="28"/>
      <c r="AG29" s="28"/>
      <c r="AH29" s="28"/>
      <c r="AI29" s="28"/>
      <c r="AJ29" s="28"/>
      <c r="AK29" s="28"/>
      <c r="AL29" s="28"/>
      <c r="AM29" s="28"/>
      <c r="AN29" s="28"/>
      <c r="AO29" s="28"/>
      <c r="AP29" s="28"/>
      <c r="AQ29" s="29"/>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9" t="s">
        <v>15</v>
      </c>
      <c r="Q30" s="180"/>
      <c r="R30" s="180"/>
      <c r="S30" s="180"/>
      <c r="T30" s="180"/>
      <c r="U30" s="180"/>
      <c r="V30" s="180"/>
      <c r="W30" s="181" t="s">
        <v>147</v>
      </c>
      <c r="X30" s="182"/>
      <c r="Y30" s="182"/>
      <c r="Z30" s="182"/>
      <c r="AA30" s="182"/>
      <c r="AB30" s="182"/>
      <c r="AC30" s="182"/>
      <c r="AD30" s="182"/>
      <c r="AE30" s="182"/>
      <c r="AF30" s="182"/>
      <c r="AG30" s="182"/>
      <c r="AH30" s="182"/>
      <c r="AI30" s="182"/>
      <c r="AJ30" s="182"/>
      <c r="AK30" s="182"/>
      <c r="AL30" s="182"/>
      <c r="AM30" s="182"/>
      <c r="AN30" s="182"/>
      <c r="AO30" s="182"/>
      <c r="AP30" s="182"/>
      <c r="AQ30" s="183"/>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1"/>
      <c r="B31" s="19"/>
      <c r="C31" s="19"/>
      <c r="D31" s="19"/>
      <c r="E31" s="19"/>
      <c r="F31" s="19"/>
      <c r="G31" s="19"/>
      <c r="H31" s="19"/>
      <c r="I31" s="19"/>
      <c r="J31" s="19"/>
      <c r="K31" s="19"/>
      <c r="L31" s="12"/>
      <c r="M31" s="172"/>
      <c r="N31" s="172"/>
      <c r="O31" s="175"/>
      <c r="P31" s="179" t="s">
        <v>35</v>
      </c>
      <c r="Q31" s="180"/>
      <c r="R31" s="180"/>
      <c r="S31" s="180"/>
      <c r="T31" s="180"/>
      <c r="U31" s="180"/>
      <c r="V31" s="180"/>
      <c r="W31" s="181" t="s">
        <v>144</v>
      </c>
      <c r="X31" s="182"/>
      <c r="Y31" s="182"/>
      <c r="Z31" s="182"/>
      <c r="AA31" s="182"/>
      <c r="AB31" s="182"/>
      <c r="AC31" s="182"/>
      <c r="AD31" s="182"/>
      <c r="AE31" s="182"/>
      <c r="AF31" s="182"/>
      <c r="AG31" s="182"/>
      <c r="AH31" s="182"/>
      <c r="AI31" s="182"/>
      <c r="AJ31" s="182"/>
      <c r="AK31" s="182"/>
      <c r="AL31" s="182"/>
      <c r="AM31" s="182"/>
      <c r="AN31" s="182"/>
      <c r="AO31" s="182"/>
      <c r="AP31" s="182"/>
      <c r="AQ31" s="183"/>
      <c r="AR31" s="172"/>
      <c r="AS31" s="172"/>
      <c r="AT31" s="172"/>
      <c r="AU31" s="11"/>
      <c r="AV31" s="19"/>
      <c r="AW31" s="19"/>
      <c r="AX31" s="19"/>
      <c r="AY31" s="19"/>
      <c r="AZ31" s="19"/>
      <c r="BA31" s="19"/>
      <c r="BB31" s="19"/>
      <c r="BC31" s="19"/>
      <c r="BD31" s="19"/>
      <c r="BE31" s="12"/>
      <c r="BF31" s="23"/>
      <c r="BG31" s="24"/>
      <c r="BH31" s="24"/>
      <c r="BI31" s="24"/>
      <c r="BJ31" s="24"/>
      <c r="BK31" s="25"/>
    </row>
    <row r="32" spans="1:63" s="154" customFormat="1" ht="15" customHeight="1" x14ac:dyDescent="0.25">
      <c r="A32" s="11"/>
      <c r="B32" s="19"/>
      <c r="C32" s="19"/>
      <c r="D32" s="19"/>
      <c r="E32" s="19"/>
      <c r="F32" s="19"/>
      <c r="G32" s="19"/>
      <c r="H32" s="19"/>
      <c r="I32" s="19"/>
      <c r="J32" s="19"/>
      <c r="K32" s="19"/>
      <c r="L32" s="12"/>
      <c r="M32" s="172"/>
      <c r="N32" s="172"/>
      <c r="O32" s="175"/>
      <c r="P32" s="179" t="s">
        <v>55</v>
      </c>
      <c r="Q32" s="180"/>
      <c r="R32" s="180"/>
      <c r="S32" s="180"/>
      <c r="T32" s="180"/>
      <c r="U32" s="180"/>
      <c r="V32" s="180"/>
      <c r="W32" s="181" t="s">
        <v>145</v>
      </c>
      <c r="X32" s="182"/>
      <c r="Y32" s="182"/>
      <c r="Z32" s="182"/>
      <c r="AA32" s="182"/>
      <c r="AB32" s="182"/>
      <c r="AC32" s="182"/>
      <c r="AD32" s="182"/>
      <c r="AE32" s="182"/>
      <c r="AF32" s="182"/>
      <c r="AG32" s="182"/>
      <c r="AH32" s="182"/>
      <c r="AI32" s="182"/>
      <c r="AJ32" s="182"/>
      <c r="AK32" s="182"/>
      <c r="AL32" s="182"/>
      <c r="AM32" s="182"/>
      <c r="AN32" s="182"/>
      <c r="AO32" s="182"/>
      <c r="AP32" s="182"/>
      <c r="AQ32" s="183"/>
      <c r="AR32" s="172"/>
      <c r="AS32" s="172"/>
      <c r="AT32" s="172"/>
      <c r="AU32" s="11"/>
      <c r="AV32" s="19"/>
      <c r="AW32" s="19"/>
      <c r="AX32" s="19"/>
      <c r="AY32" s="19"/>
      <c r="AZ32" s="19"/>
      <c r="BA32" s="19"/>
      <c r="BB32" s="19"/>
      <c r="BC32" s="19"/>
      <c r="BD32" s="19"/>
      <c r="BE32" s="12"/>
      <c r="BF32" s="23"/>
      <c r="BG32" s="24"/>
      <c r="BH32" s="24"/>
      <c r="BI32" s="24"/>
      <c r="BJ32" s="24"/>
      <c r="BK32" s="25"/>
    </row>
    <row r="33" spans="1:63" s="154" customFormat="1" ht="15" customHeight="1" x14ac:dyDescent="0.25">
      <c r="A33" s="11"/>
      <c r="B33" s="19"/>
      <c r="C33" s="19"/>
      <c r="D33" s="19"/>
      <c r="E33" s="19"/>
      <c r="F33" s="19"/>
      <c r="G33" s="19"/>
      <c r="H33" s="19"/>
      <c r="I33" s="19"/>
      <c r="J33" s="19"/>
      <c r="K33" s="19"/>
      <c r="L33" s="12"/>
      <c r="M33" s="172"/>
      <c r="N33" s="172"/>
      <c r="O33" s="175"/>
      <c r="P33" s="179" t="s">
        <v>129</v>
      </c>
      <c r="Q33" s="180"/>
      <c r="R33" s="180"/>
      <c r="S33" s="180"/>
      <c r="T33" s="180"/>
      <c r="U33" s="180"/>
      <c r="V33" s="180"/>
      <c r="W33" s="181" t="s">
        <v>146</v>
      </c>
      <c r="X33" s="182"/>
      <c r="Y33" s="182"/>
      <c r="Z33" s="182"/>
      <c r="AA33" s="182"/>
      <c r="AB33" s="182"/>
      <c r="AC33" s="182"/>
      <c r="AD33" s="182"/>
      <c r="AE33" s="182"/>
      <c r="AF33" s="182"/>
      <c r="AG33" s="182"/>
      <c r="AH33" s="182"/>
      <c r="AI33" s="182"/>
      <c r="AJ33" s="182"/>
      <c r="AK33" s="182"/>
      <c r="AL33" s="182"/>
      <c r="AM33" s="182"/>
      <c r="AN33" s="182"/>
      <c r="AO33" s="182"/>
      <c r="AP33" s="182"/>
      <c r="AQ33" s="183"/>
      <c r="AR33" s="172"/>
      <c r="AS33" s="172"/>
      <c r="AT33" s="172"/>
      <c r="AU33" s="11"/>
      <c r="AV33" s="19"/>
      <c r="AW33" s="19"/>
      <c r="AX33" s="19"/>
      <c r="AY33" s="19"/>
      <c r="AZ33" s="19"/>
      <c r="BA33" s="19"/>
      <c r="BB33" s="19"/>
      <c r="BC33" s="19"/>
      <c r="BD33" s="19"/>
      <c r="BE33" s="12"/>
      <c r="BF33" s="23"/>
      <c r="BG33" s="24"/>
      <c r="BH33" s="24"/>
      <c r="BI33" s="24"/>
      <c r="BJ33" s="24"/>
      <c r="BK33" s="25"/>
    </row>
    <row r="34" spans="1:63" s="154" customFormat="1" ht="15" customHeight="1" x14ac:dyDescent="0.25">
      <c r="A34" s="11"/>
      <c r="B34" s="19"/>
      <c r="C34" s="19"/>
      <c r="D34" s="19"/>
      <c r="E34" s="19"/>
      <c r="F34" s="19"/>
      <c r="G34" s="19"/>
      <c r="H34" s="19"/>
      <c r="I34" s="19"/>
      <c r="J34" s="19"/>
      <c r="K34" s="19"/>
      <c r="L34" s="12"/>
      <c r="M34" s="172"/>
      <c r="N34" s="172"/>
      <c r="O34" s="175"/>
      <c r="P34" s="179" t="s">
        <v>130</v>
      </c>
      <c r="Q34" s="180"/>
      <c r="R34" s="180"/>
      <c r="S34" s="180"/>
      <c r="T34" s="180"/>
      <c r="U34" s="180"/>
      <c r="V34" s="180"/>
      <c r="W34" s="181" t="s">
        <v>148</v>
      </c>
      <c r="X34" s="182"/>
      <c r="Y34" s="182"/>
      <c r="Z34" s="182"/>
      <c r="AA34" s="182"/>
      <c r="AB34" s="182"/>
      <c r="AC34" s="182"/>
      <c r="AD34" s="182"/>
      <c r="AE34" s="182"/>
      <c r="AF34" s="182"/>
      <c r="AG34" s="182"/>
      <c r="AH34" s="182"/>
      <c r="AI34" s="182"/>
      <c r="AJ34" s="182"/>
      <c r="AK34" s="182"/>
      <c r="AL34" s="182"/>
      <c r="AM34" s="182"/>
      <c r="AN34" s="182"/>
      <c r="AO34" s="182"/>
      <c r="AP34" s="182"/>
      <c r="AQ34" s="183"/>
      <c r="AR34" s="172"/>
      <c r="AS34" s="172"/>
      <c r="AT34" s="172"/>
      <c r="AU34" s="11"/>
      <c r="AV34" s="19"/>
      <c r="AW34" s="19"/>
      <c r="AX34" s="19"/>
      <c r="AY34" s="19"/>
      <c r="AZ34" s="19"/>
      <c r="BA34" s="19"/>
      <c r="BB34" s="19"/>
      <c r="BC34" s="19"/>
      <c r="BD34" s="19"/>
      <c r="BE34" s="12"/>
      <c r="BF34" s="23"/>
      <c r="BG34" s="24"/>
      <c r="BH34" s="24"/>
      <c r="BI34" s="24"/>
      <c r="BJ34" s="24"/>
      <c r="BK34" s="25"/>
    </row>
    <row r="35" spans="1:63" s="154" customFormat="1" ht="15" customHeight="1" x14ac:dyDescent="0.25">
      <c r="A35" s="11"/>
      <c r="B35" s="19"/>
      <c r="C35" s="19"/>
      <c r="D35" s="19"/>
      <c r="E35" s="19"/>
      <c r="F35" s="19"/>
      <c r="G35" s="19"/>
      <c r="H35" s="19"/>
      <c r="I35" s="19"/>
      <c r="J35" s="19"/>
      <c r="K35" s="19"/>
      <c r="L35" s="12"/>
      <c r="M35" s="172"/>
      <c r="N35" s="172"/>
      <c r="O35" s="175"/>
      <c r="P35" s="179" t="s">
        <v>131</v>
      </c>
      <c r="Q35" s="180"/>
      <c r="R35" s="180"/>
      <c r="S35" s="180"/>
      <c r="T35" s="180"/>
      <c r="U35" s="180"/>
      <c r="V35" s="180"/>
      <c r="W35" s="181" t="s">
        <v>132</v>
      </c>
      <c r="X35" s="182"/>
      <c r="Y35" s="182"/>
      <c r="Z35" s="182"/>
      <c r="AA35" s="182"/>
      <c r="AB35" s="182"/>
      <c r="AC35" s="182"/>
      <c r="AD35" s="182"/>
      <c r="AE35" s="182"/>
      <c r="AF35" s="182"/>
      <c r="AG35" s="182"/>
      <c r="AH35" s="182"/>
      <c r="AI35" s="182"/>
      <c r="AJ35" s="182"/>
      <c r="AK35" s="182"/>
      <c r="AL35" s="182"/>
      <c r="AM35" s="182"/>
      <c r="AN35" s="182"/>
      <c r="AO35" s="182"/>
      <c r="AP35" s="182"/>
      <c r="AQ35" s="183"/>
      <c r="AR35" s="172"/>
      <c r="AS35" s="172"/>
      <c r="AT35" s="172"/>
      <c r="AU35" s="11"/>
      <c r="AV35" s="19"/>
      <c r="AW35" s="19"/>
      <c r="AX35" s="19"/>
      <c r="AY35" s="19"/>
      <c r="AZ35" s="19"/>
      <c r="BA35" s="19"/>
      <c r="BB35" s="19"/>
      <c r="BC35" s="19"/>
      <c r="BD35" s="19"/>
      <c r="BE35" s="12"/>
      <c r="BF35" s="23"/>
      <c r="BG35" s="24"/>
      <c r="BH35" s="24"/>
      <c r="BI35" s="24"/>
      <c r="BJ35" s="24"/>
      <c r="BK35" s="25"/>
    </row>
    <row r="36" spans="1:63" s="154" customFormat="1" ht="15" customHeight="1" x14ac:dyDescent="0.25">
      <c r="A36" s="11"/>
      <c r="B36" s="19"/>
      <c r="C36" s="19"/>
      <c r="D36" s="19"/>
      <c r="E36" s="19"/>
      <c r="F36" s="19"/>
      <c r="G36" s="19"/>
      <c r="H36" s="19"/>
      <c r="I36" s="19"/>
      <c r="J36" s="19"/>
      <c r="K36" s="19"/>
      <c r="L36" s="12"/>
      <c r="M36" s="172"/>
      <c r="N36" s="172"/>
      <c r="O36" s="175"/>
      <c r="P36" s="175" t="s">
        <v>133</v>
      </c>
      <c r="Q36" s="191"/>
      <c r="R36" s="191"/>
      <c r="S36" s="191"/>
      <c r="T36" s="191"/>
      <c r="U36" s="191"/>
      <c r="V36" s="191"/>
      <c r="W36" s="192"/>
      <c r="X36" s="193"/>
      <c r="Y36" s="193"/>
      <c r="Z36" s="193"/>
      <c r="AA36" s="193"/>
      <c r="AB36" s="193"/>
      <c r="AC36" s="193"/>
      <c r="AD36" s="193"/>
      <c r="AE36" s="193"/>
      <c r="AF36" s="193"/>
      <c r="AG36" s="193"/>
      <c r="AH36" s="193"/>
      <c r="AI36" s="193"/>
      <c r="AJ36" s="193"/>
      <c r="AK36" s="193"/>
      <c r="AL36" s="193"/>
      <c r="AM36" s="193"/>
      <c r="AN36" s="172"/>
      <c r="AO36" s="172"/>
      <c r="AP36" s="172"/>
      <c r="AQ36" s="172"/>
      <c r="AR36" s="172"/>
      <c r="AS36" s="172"/>
      <c r="AT36" s="172"/>
      <c r="AU36" s="11"/>
      <c r="AV36" s="19"/>
      <c r="AW36" s="19"/>
      <c r="AX36" s="19"/>
      <c r="AY36" s="19"/>
      <c r="AZ36" s="19"/>
      <c r="BA36" s="19"/>
      <c r="BB36" s="19"/>
      <c r="BC36" s="19"/>
      <c r="BD36" s="19"/>
      <c r="BE36" s="12"/>
      <c r="BF36" s="23"/>
      <c r="BG36" s="24"/>
      <c r="BH36" s="24"/>
      <c r="BI36" s="24"/>
      <c r="BJ36" s="24"/>
      <c r="BK36" s="25"/>
    </row>
    <row r="37" spans="1:63" s="154" customFormat="1" ht="15" customHeight="1" x14ac:dyDescent="0.25">
      <c r="A37" s="11"/>
      <c r="B37" s="19"/>
      <c r="C37" s="19"/>
      <c r="D37" s="19"/>
      <c r="E37" s="19"/>
      <c r="F37" s="19"/>
      <c r="G37" s="19"/>
      <c r="H37" s="19"/>
      <c r="I37" s="19"/>
      <c r="J37" s="19"/>
      <c r="K37" s="19"/>
      <c r="L37" s="12"/>
      <c r="M37" s="172"/>
      <c r="N37" s="172"/>
      <c r="O37" s="175" t="s">
        <v>16</v>
      </c>
      <c r="P37" s="175"/>
      <c r="Q37" s="175"/>
      <c r="R37" s="175"/>
      <c r="S37" s="175"/>
      <c r="T37" s="175"/>
      <c r="U37" s="175"/>
      <c r="V37" s="175"/>
      <c r="W37" s="175"/>
      <c r="X37" s="175"/>
      <c r="Y37" s="175"/>
      <c r="Z37" s="175"/>
      <c r="AA37" s="175"/>
      <c r="AB37" s="175"/>
      <c r="AC37" s="175"/>
      <c r="AD37" s="175"/>
      <c r="AE37" s="175"/>
      <c r="AF37" s="175"/>
      <c r="AG37" s="175"/>
      <c r="AH37" s="175"/>
      <c r="AI37" s="175"/>
      <c r="AJ37" s="172"/>
      <c r="AK37" s="172"/>
      <c r="AL37" s="172"/>
      <c r="AM37" s="172"/>
      <c r="AN37" s="172"/>
      <c r="AO37" s="172"/>
      <c r="AP37" s="172"/>
      <c r="AQ37" s="172"/>
      <c r="AR37" s="172"/>
      <c r="AS37" s="172"/>
      <c r="AT37" s="172"/>
      <c r="AU37" s="11"/>
      <c r="AV37" s="19"/>
      <c r="AW37" s="19"/>
      <c r="AX37" s="19"/>
      <c r="AY37" s="19"/>
      <c r="AZ37" s="19"/>
      <c r="BA37" s="19"/>
      <c r="BB37" s="19"/>
      <c r="BC37" s="19"/>
      <c r="BD37" s="19"/>
      <c r="BE37" s="12"/>
      <c r="BF37" s="23"/>
      <c r="BG37" s="24"/>
      <c r="BH37" s="24"/>
      <c r="BI37" s="24"/>
      <c r="BJ37" s="24"/>
      <c r="BK37" s="25"/>
    </row>
    <row r="38" spans="1:63" s="154" customFormat="1" ht="15" customHeight="1" x14ac:dyDescent="0.25">
      <c r="A38" s="11"/>
      <c r="B38" s="19"/>
      <c r="C38" s="19"/>
      <c r="D38" s="19"/>
      <c r="E38" s="19"/>
      <c r="F38" s="19"/>
      <c r="G38" s="19"/>
      <c r="H38" s="19"/>
      <c r="I38" s="19"/>
      <c r="J38" s="19"/>
      <c r="K38" s="19"/>
      <c r="L38" s="12"/>
      <c r="M38" s="172"/>
      <c r="N38" s="172"/>
      <c r="O38" s="175"/>
      <c r="P38" s="175" t="s">
        <v>134</v>
      </c>
      <c r="Q38" s="175"/>
      <c r="R38" s="175"/>
      <c r="S38" s="175"/>
      <c r="T38" s="175"/>
      <c r="U38" s="175"/>
      <c r="V38" s="175"/>
      <c r="W38" s="175"/>
      <c r="X38" s="175"/>
      <c r="Y38" s="175"/>
      <c r="Z38" s="175"/>
      <c r="AA38" s="175"/>
      <c r="AB38" s="175"/>
      <c r="AC38" s="175"/>
      <c r="AD38" s="175"/>
      <c r="AE38" s="175"/>
      <c r="AF38" s="175"/>
      <c r="AG38" s="175"/>
      <c r="AH38" s="175"/>
      <c r="AI38" s="175"/>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23"/>
      <c r="BG38" s="24"/>
      <c r="BH38" s="24"/>
      <c r="BI38" s="24"/>
      <c r="BJ38" s="24"/>
      <c r="BK38" s="25"/>
    </row>
    <row r="39" spans="1:63" s="154" customFormat="1" ht="15" customHeight="1" x14ac:dyDescent="0.25">
      <c r="A39" s="11"/>
      <c r="B39" s="19"/>
      <c r="C39" s="19"/>
      <c r="D39" s="19"/>
      <c r="E39" s="19"/>
      <c r="F39" s="19"/>
      <c r="G39" s="19"/>
      <c r="H39" s="19"/>
      <c r="I39" s="19"/>
      <c r="J39" s="19"/>
      <c r="K39" s="19"/>
      <c r="L39" s="12"/>
      <c r="M39" s="172"/>
      <c r="N39" s="172"/>
      <c r="O39" s="175"/>
      <c r="P39" s="175"/>
      <c r="Q39" s="175" t="s">
        <v>135</v>
      </c>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2"/>
      <c r="AO39" s="172"/>
      <c r="AP39" s="172"/>
      <c r="AQ39" s="172"/>
      <c r="AR39" s="172"/>
      <c r="AS39" s="172"/>
      <c r="AT39" s="172"/>
      <c r="AU39" s="11"/>
      <c r="AV39" s="19"/>
      <c r="AW39" s="19"/>
      <c r="AX39" s="19"/>
      <c r="AY39" s="19"/>
      <c r="AZ39" s="19"/>
      <c r="BA39" s="19"/>
      <c r="BB39" s="19"/>
      <c r="BC39" s="19"/>
      <c r="BD39" s="19"/>
      <c r="BE39" s="12"/>
      <c r="BF39" s="23"/>
      <c r="BG39" s="24"/>
      <c r="BH39" s="24"/>
      <c r="BI39" s="24"/>
      <c r="BJ39" s="24"/>
      <c r="BK39" s="25"/>
    </row>
    <row r="40" spans="1:63" s="154" customFormat="1" ht="15" customHeight="1" x14ac:dyDescent="0.25">
      <c r="A40" s="11"/>
      <c r="B40" s="19"/>
      <c r="C40" s="19"/>
      <c r="D40" s="19"/>
      <c r="E40" s="19"/>
      <c r="F40" s="19"/>
      <c r="G40" s="19"/>
      <c r="H40" s="19"/>
      <c r="I40" s="19"/>
      <c r="J40" s="19"/>
      <c r="K40" s="19"/>
      <c r="L40" s="12"/>
      <c r="M40" s="172"/>
      <c r="N40" s="172"/>
      <c r="O40" s="175"/>
      <c r="P40" s="175"/>
      <c r="Q40" s="175" t="s">
        <v>140</v>
      </c>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2"/>
      <c r="AO40" s="172"/>
      <c r="AP40" s="172"/>
      <c r="AQ40" s="172"/>
      <c r="AR40" s="172"/>
      <c r="AS40" s="172"/>
      <c r="AT40" s="172"/>
      <c r="AU40" s="11"/>
      <c r="AV40" s="19"/>
      <c r="AW40" s="19"/>
      <c r="AX40" s="19"/>
      <c r="AY40" s="19"/>
      <c r="AZ40" s="19"/>
      <c r="BA40" s="19"/>
      <c r="BB40" s="19"/>
      <c r="BC40" s="19"/>
      <c r="BD40" s="19"/>
      <c r="BE40" s="12"/>
      <c r="BF40" s="23"/>
      <c r="BG40" s="24"/>
      <c r="BH40" s="24"/>
      <c r="BI40" s="24"/>
      <c r="BJ40" s="24"/>
      <c r="BK40" s="25"/>
    </row>
    <row r="41" spans="1:63" s="154" customFormat="1" ht="15" customHeight="1" x14ac:dyDescent="0.25">
      <c r="A41" s="11"/>
      <c r="B41" s="19"/>
      <c r="C41" s="19"/>
      <c r="D41" s="19"/>
      <c r="E41" s="19"/>
      <c r="F41" s="19"/>
      <c r="G41" s="19"/>
      <c r="H41" s="19"/>
      <c r="I41" s="19"/>
      <c r="J41" s="19"/>
      <c r="K41" s="19"/>
      <c r="L41" s="12"/>
      <c r="M41" s="172"/>
      <c r="N41" s="172"/>
      <c r="O41" s="175"/>
      <c r="P41" s="175"/>
      <c r="Q41" s="175"/>
      <c r="R41" s="175" t="s">
        <v>162</v>
      </c>
      <c r="S41" s="175"/>
      <c r="T41" s="175"/>
      <c r="U41" s="175"/>
      <c r="V41" s="175"/>
      <c r="W41" s="175"/>
      <c r="X41" s="175"/>
      <c r="Y41" s="175"/>
      <c r="Z41" s="175"/>
      <c r="AA41" s="175"/>
      <c r="AB41" s="175"/>
      <c r="AC41" s="175"/>
      <c r="AD41" s="175"/>
      <c r="AE41" s="175"/>
      <c r="AF41" s="175"/>
      <c r="AG41" s="175"/>
      <c r="AH41" s="175"/>
      <c r="AI41" s="175"/>
      <c r="AJ41" s="175"/>
      <c r="AK41" s="175"/>
      <c r="AL41" s="175"/>
      <c r="AM41" s="175"/>
      <c r="AN41" s="172"/>
      <c r="AO41" s="172"/>
      <c r="AP41" s="172"/>
      <c r="AQ41" s="172"/>
      <c r="AR41" s="172"/>
      <c r="AS41" s="172"/>
      <c r="AT41" s="172"/>
      <c r="AU41" s="11"/>
      <c r="AV41" s="19"/>
      <c r="AW41" s="19"/>
      <c r="AX41" s="19"/>
      <c r="AY41" s="19"/>
      <c r="AZ41" s="19"/>
      <c r="BA41" s="19"/>
      <c r="BB41" s="19"/>
      <c r="BC41" s="19"/>
      <c r="BD41" s="19"/>
      <c r="BE41" s="12"/>
      <c r="BF41" s="23"/>
      <c r="BG41" s="24"/>
      <c r="BH41" s="24"/>
      <c r="BI41" s="24"/>
      <c r="BJ41" s="24"/>
      <c r="BK41" s="25"/>
    </row>
    <row r="42" spans="1:63" s="154" customFormat="1" ht="15" customHeight="1" x14ac:dyDescent="0.25">
      <c r="A42" s="11"/>
      <c r="B42" s="19"/>
      <c r="C42" s="19"/>
      <c r="D42" s="19"/>
      <c r="E42" s="19"/>
      <c r="F42" s="19"/>
      <c r="G42" s="19"/>
      <c r="H42" s="19"/>
      <c r="I42" s="19"/>
      <c r="J42" s="19"/>
      <c r="K42" s="19"/>
      <c r="L42" s="12"/>
      <c r="M42" s="172"/>
      <c r="N42" s="172"/>
      <c r="O42" s="175"/>
      <c r="P42" s="175"/>
      <c r="R42" s="175" t="s">
        <v>136</v>
      </c>
      <c r="S42" s="175"/>
      <c r="T42" s="175"/>
      <c r="U42" s="175"/>
      <c r="V42" s="175"/>
      <c r="W42" s="175"/>
      <c r="X42" s="175"/>
      <c r="Y42" s="175"/>
      <c r="Z42" s="175"/>
      <c r="AA42" s="175"/>
      <c r="AB42" s="175"/>
      <c r="AC42" s="175"/>
      <c r="AD42" s="175"/>
      <c r="AE42" s="175"/>
      <c r="AF42" s="175"/>
      <c r="AG42" s="175"/>
      <c r="AH42" s="175"/>
      <c r="AI42" s="175"/>
      <c r="AJ42" s="175"/>
      <c r="AK42" s="175"/>
      <c r="AL42" s="175"/>
      <c r="AM42" s="175"/>
      <c r="AN42" s="172"/>
      <c r="AO42" s="172"/>
      <c r="AP42" s="172"/>
      <c r="AQ42" s="172"/>
      <c r="AR42" s="172"/>
      <c r="AS42" s="172"/>
      <c r="AT42" s="172"/>
      <c r="AU42" s="11"/>
      <c r="AV42" s="19"/>
      <c r="AW42" s="19"/>
      <c r="AX42" s="19"/>
      <c r="AY42" s="19"/>
      <c r="AZ42" s="19"/>
      <c r="BA42" s="19"/>
      <c r="BB42" s="19"/>
      <c r="BC42" s="19"/>
      <c r="BD42" s="19"/>
      <c r="BE42" s="12"/>
      <c r="BF42" s="23"/>
      <c r="BG42" s="24"/>
      <c r="BH42" s="24"/>
      <c r="BI42" s="24"/>
      <c r="BJ42" s="24"/>
      <c r="BK42" s="25"/>
    </row>
    <row r="43" spans="1:63" s="154" customFormat="1" ht="15" customHeight="1" x14ac:dyDescent="0.25">
      <c r="A43" s="11"/>
      <c r="B43" s="19"/>
      <c r="C43" s="19"/>
      <c r="D43" s="19"/>
      <c r="E43" s="19"/>
      <c r="F43" s="19"/>
      <c r="G43" s="19"/>
      <c r="H43" s="19"/>
      <c r="I43" s="19"/>
      <c r="J43" s="19"/>
      <c r="K43" s="19"/>
      <c r="L43" s="12"/>
      <c r="M43" s="172"/>
      <c r="N43" s="172"/>
      <c r="O43" s="175"/>
      <c r="P43" s="172" t="s">
        <v>137</v>
      </c>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2"/>
      <c r="AO43" s="172"/>
      <c r="AP43" s="172"/>
      <c r="AQ43" s="172"/>
      <c r="AR43" s="172"/>
      <c r="AS43" s="172"/>
      <c r="AT43" s="172"/>
      <c r="AU43" s="11"/>
      <c r="AV43" s="19"/>
      <c r="AW43" s="19"/>
      <c r="AX43" s="19"/>
      <c r="AY43" s="19"/>
      <c r="AZ43" s="19"/>
      <c r="BA43" s="19"/>
      <c r="BB43" s="19"/>
      <c r="BC43" s="19"/>
      <c r="BD43" s="19"/>
      <c r="BE43" s="12"/>
      <c r="BF43" s="23"/>
      <c r="BG43" s="24"/>
      <c r="BH43" s="24"/>
      <c r="BI43" s="24"/>
      <c r="BJ43" s="24"/>
      <c r="BK43" s="25"/>
    </row>
    <row r="44" spans="1:63" s="154" customFormat="1" ht="15" customHeight="1" x14ac:dyDescent="0.25">
      <c r="A44" s="11"/>
      <c r="B44" s="19"/>
      <c r="C44" s="19"/>
      <c r="D44" s="19"/>
      <c r="E44" s="19"/>
      <c r="F44" s="19"/>
      <c r="G44" s="19"/>
      <c r="H44" s="19"/>
      <c r="I44" s="19"/>
      <c r="J44" s="19"/>
      <c r="K44" s="19"/>
      <c r="L44" s="12"/>
      <c r="M44" s="172"/>
      <c r="N44" s="172"/>
      <c r="O44" s="175"/>
      <c r="P44" s="175"/>
      <c r="Q44" s="175" t="s">
        <v>139</v>
      </c>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2"/>
      <c r="AO44" s="172"/>
      <c r="AP44" s="172"/>
      <c r="AQ44" s="172"/>
      <c r="AR44" s="172"/>
      <c r="AS44" s="172"/>
      <c r="AT44" s="172"/>
      <c r="AU44" s="11"/>
      <c r="AV44" s="19"/>
      <c r="AW44" s="19"/>
      <c r="AX44" s="19"/>
      <c r="AY44" s="19"/>
      <c r="AZ44" s="19"/>
      <c r="BA44" s="19"/>
      <c r="BB44" s="19"/>
      <c r="BC44" s="19"/>
      <c r="BD44" s="19"/>
      <c r="BE44" s="12"/>
      <c r="BF44" s="23"/>
      <c r="BG44" s="24"/>
      <c r="BH44" s="24"/>
      <c r="BI44" s="24"/>
      <c r="BJ44" s="24"/>
      <c r="BK44" s="25"/>
    </row>
    <row r="45" spans="1:63" s="154" customFormat="1" ht="15" customHeight="1" x14ac:dyDescent="0.25">
      <c r="A45" s="11"/>
      <c r="B45" s="19"/>
      <c r="C45" s="19"/>
      <c r="D45" s="19"/>
      <c r="E45" s="19"/>
      <c r="F45" s="19"/>
      <c r="G45" s="19"/>
      <c r="H45" s="19"/>
      <c r="I45" s="19"/>
      <c r="J45" s="19"/>
      <c r="K45" s="19"/>
      <c r="L45" s="12"/>
      <c r="M45" s="172"/>
      <c r="N45" s="172"/>
      <c r="O45" s="175"/>
      <c r="P45" s="172" t="s">
        <v>138</v>
      </c>
      <c r="Q45" s="175"/>
      <c r="R45" s="175"/>
      <c r="S45" s="175"/>
      <c r="T45" s="175"/>
      <c r="U45" s="175"/>
      <c r="V45" s="175"/>
      <c r="W45" s="175"/>
      <c r="X45" s="175"/>
      <c r="Y45" s="175"/>
      <c r="Z45" s="175"/>
      <c r="AA45" s="175"/>
      <c r="AB45" s="175"/>
      <c r="AC45" s="175"/>
      <c r="AD45" s="175"/>
      <c r="AE45" s="175"/>
      <c r="AF45" s="175"/>
      <c r="AG45" s="175"/>
      <c r="AH45" s="175"/>
      <c r="AI45" s="175"/>
      <c r="AJ45" s="172"/>
      <c r="AK45" s="172"/>
      <c r="AL45" s="172"/>
      <c r="AM45" s="172"/>
      <c r="AN45" s="172"/>
      <c r="AO45" s="172"/>
      <c r="AP45" s="172"/>
      <c r="AQ45" s="172"/>
      <c r="AR45" s="172"/>
      <c r="AS45" s="172"/>
      <c r="AT45" s="172"/>
      <c r="AU45" s="11"/>
      <c r="AV45" s="19"/>
      <c r="AW45" s="19"/>
      <c r="AX45" s="19"/>
      <c r="AY45" s="19"/>
      <c r="AZ45" s="19"/>
      <c r="BA45" s="19"/>
      <c r="BB45" s="19"/>
      <c r="BC45" s="19"/>
      <c r="BD45" s="19"/>
      <c r="BE45" s="12"/>
      <c r="BF45" s="23"/>
      <c r="BG45" s="24"/>
      <c r="BH45" s="24"/>
      <c r="BI45" s="24"/>
      <c r="BJ45" s="24"/>
      <c r="BK45" s="25"/>
    </row>
    <row r="46" spans="1:63" s="154" customFormat="1" ht="15" customHeight="1" x14ac:dyDescent="0.25">
      <c r="A46" s="11"/>
      <c r="B46" s="19"/>
      <c r="C46" s="19"/>
      <c r="D46" s="19"/>
      <c r="E46" s="19"/>
      <c r="F46" s="19"/>
      <c r="G46" s="19"/>
      <c r="H46" s="19"/>
      <c r="I46" s="19"/>
      <c r="J46" s="19"/>
      <c r="K46" s="19"/>
      <c r="L46" s="12"/>
      <c r="M46" s="172"/>
      <c r="N46" s="172"/>
      <c r="O46" s="175"/>
      <c r="P46" s="175"/>
      <c r="Q46" s="175"/>
      <c r="R46" s="175"/>
      <c r="S46" s="175"/>
      <c r="T46" s="175"/>
      <c r="U46" s="175"/>
      <c r="V46" s="175"/>
      <c r="W46" s="175"/>
      <c r="X46" s="175"/>
      <c r="Y46" s="175"/>
      <c r="Z46" s="175"/>
      <c r="AA46" s="175"/>
      <c r="AB46" s="175"/>
      <c r="AC46" s="175"/>
      <c r="AD46" s="175"/>
      <c r="AE46" s="175"/>
      <c r="AF46" s="175"/>
      <c r="AG46" s="175"/>
      <c r="AH46" s="175"/>
      <c r="AI46" s="175"/>
      <c r="AJ46" s="172"/>
      <c r="AK46" s="172"/>
      <c r="AL46" s="172"/>
      <c r="AM46" s="172"/>
      <c r="AN46" s="172"/>
      <c r="AO46" s="172"/>
      <c r="AP46" s="172"/>
      <c r="AQ46" s="172"/>
      <c r="AR46" s="172"/>
      <c r="AS46" s="172"/>
      <c r="AT46" s="172"/>
      <c r="AU46" s="11"/>
      <c r="AV46" s="19"/>
      <c r="AW46" s="19"/>
      <c r="AX46" s="19"/>
      <c r="AY46" s="19"/>
      <c r="AZ46" s="19"/>
      <c r="BA46" s="19"/>
      <c r="BB46" s="19"/>
      <c r="BC46" s="19"/>
      <c r="BD46" s="19"/>
      <c r="BE46" s="12"/>
      <c r="BF46" s="23"/>
      <c r="BG46" s="24"/>
      <c r="BH46" s="24"/>
      <c r="BI46" s="24"/>
      <c r="BJ46" s="24"/>
      <c r="BK46" s="25"/>
    </row>
    <row r="47" spans="1:63" s="154" customFormat="1" ht="15" customHeight="1" x14ac:dyDescent="0.25">
      <c r="A47" s="13"/>
      <c r="B47" s="14"/>
      <c r="C47" s="14"/>
      <c r="D47" s="14"/>
      <c r="E47" s="14"/>
      <c r="F47" s="14"/>
      <c r="G47" s="14"/>
      <c r="H47" s="14"/>
      <c r="I47" s="14"/>
      <c r="J47" s="14"/>
      <c r="K47" s="14"/>
      <c r="L47" s="15"/>
      <c r="M47" s="176"/>
      <c r="N47" s="177"/>
      <c r="O47" s="177"/>
      <c r="P47" s="177"/>
      <c r="Q47" s="177"/>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178"/>
      <c r="AQ47" s="178"/>
      <c r="AR47" s="178"/>
      <c r="AS47" s="178"/>
      <c r="AT47" s="178"/>
      <c r="AU47" s="13"/>
      <c r="AV47" s="14"/>
      <c r="AW47" s="14"/>
      <c r="AX47" s="14"/>
      <c r="AY47" s="14"/>
      <c r="AZ47" s="14"/>
      <c r="BA47" s="14"/>
      <c r="BB47" s="14"/>
      <c r="BC47" s="14"/>
      <c r="BD47" s="14"/>
      <c r="BE47" s="15"/>
      <c r="BF47" s="40"/>
      <c r="BG47" s="41"/>
      <c r="BH47" s="41"/>
      <c r="BI47" s="41"/>
      <c r="BJ47" s="41"/>
      <c r="BK47" s="42"/>
    </row>
    <row r="48" spans="1:63" ht="15" customHeight="1" x14ac:dyDescent="0.25">
      <c r="A48" s="16"/>
      <c r="BK48" s="6"/>
    </row>
    <row r="49" spans="1:63" ht="15" customHeight="1" x14ac:dyDescent="0.25">
      <c r="A49" s="21"/>
      <c r="BK49" s="6"/>
    </row>
    <row r="50" spans="1:63" ht="15" customHeight="1" x14ac:dyDescent="0.25">
      <c r="A50" s="21"/>
      <c r="BK50" s="6"/>
    </row>
    <row r="51" spans="1:63" s="154" customFormat="1" ht="15" customHeight="1" x14ac:dyDescent="0.25">
      <c r="A51" s="160" t="s">
        <v>3</v>
      </c>
      <c r="B51" s="161"/>
      <c r="C51" s="161"/>
      <c r="D51" s="161"/>
      <c r="E51" s="161"/>
      <c r="F51" s="162"/>
      <c r="G51" s="156" t="s">
        <v>119</v>
      </c>
      <c r="H51" s="156"/>
      <c r="I51" s="156"/>
      <c r="J51" s="156"/>
      <c r="K51" s="156"/>
      <c r="L51" s="156"/>
      <c r="M51" s="163" t="s">
        <v>117</v>
      </c>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164"/>
      <c r="BI51" s="164"/>
      <c r="BJ51" s="164"/>
      <c r="BK51" s="165"/>
    </row>
    <row r="52" spans="1:63" s="154" customFormat="1" ht="15" customHeight="1" x14ac:dyDescent="0.25">
      <c r="A52" s="166" t="s">
        <v>4</v>
      </c>
      <c r="B52" s="167"/>
      <c r="C52" s="167"/>
      <c r="D52" s="167"/>
      <c r="E52" s="167"/>
      <c r="F52" s="167"/>
      <c r="G52" s="167"/>
      <c r="H52" s="167"/>
      <c r="I52" s="167"/>
      <c r="J52" s="167"/>
      <c r="K52" s="167"/>
      <c r="L52" s="168"/>
      <c r="M52" s="166" t="s">
        <v>5</v>
      </c>
      <c r="N52" s="167"/>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8"/>
      <c r="AU52" s="166" t="s">
        <v>6</v>
      </c>
      <c r="AV52" s="167"/>
      <c r="AW52" s="167"/>
      <c r="AX52" s="167"/>
      <c r="AY52" s="167"/>
      <c r="AZ52" s="167"/>
      <c r="BA52" s="167"/>
      <c r="BB52" s="167"/>
      <c r="BC52" s="167"/>
      <c r="BD52" s="167"/>
      <c r="BE52" s="167"/>
      <c r="BF52" s="166" t="s">
        <v>7</v>
      </c>
      <c r="BG52" s="167"/>
      <c r="BH52" s="167"/>
      <c r="BI52" s="167"/>
      <c r="BJ52" s="167"/>
      <c r="BK52" s="168"/>
    </row>
    <row r="53" spans="1:63" s="154" customFormat="1" ht="15" customHeight="1" x14ac:dyDescent="0.25">
      <c r="A53" s="169"/>
      <c r="B53" s="170"/>
      <c r="C53" s="170"/>
      <c r="D53" s="170"/>
      <c r="E53" s="170"/>
      <c r="F53" s="170"/>
      <c r="G53" s="170"/>
      <c r="H53" s="170"/>
      <c r="I53" s="170"/>
      <c r="J53" s="170"/>
      <c r="K53" s="170"/>
      <c r="L53" s="171"/>
      <c r="M53" s="169"/>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1"/>
      <c r="AU53" s="169"/>
      <c r="AV53" s="170"/>
      <c r="AW53" s="170"/>
      <c r="AX53" s="170"/>
      <c r="AY53" s="170"/>
      <c r="AZ53" s="170"/>
      <c r="BA53" s="170"/>
      <c r="BB53" s="170"/>
      <c r="BC53" s="170"/>
      <c r="BD53" s="170"/>
      <c r="BE53" s="170"/>
      <c r="BF53" s="169"/>
      <c r="BG53" s="170"/>
      <c r="BH53" s="170"/>
      <c r="BI53" s="170"/>
      <c r="BJ53" s="170"/>
      <c r="BK53" s="171"/>
    </row>
    <row r="54" spans="1:63" s="154" customFormat="1" ht="15" customHeight="1" x14ac:dyDescent="0.25">
      <c r="A54" s="8"/>
      <c r="B54" s="9"/>
      <c r="C54" s="9"/>
      <c r="D54" s="9"/>
      <c r="E54" s="9"/>
      <c r="F54" s="9"/>
      <c r="G54" s="9"/>
      <c r="H54" s="9"/>
      <c r="I54" s="9"/>
      <c r="J54" s="9"/>
      <c r="K54" s="9"/>
      <c r="L54" s="10"/>
      <c r="M54" s="172"/>
      <c r="N54" s="172"/>
      <c r="O54" s="172"/>
      <c r="P54" s="172"/>
      <c r="Q54" s="172"/>
      <c r="R54" s="173"/>
      <c r="S54" s="173"/>
      <c r="T54" s="173"/>
      <c r="U54" s="173"/>
      <c r="V54" s="173"/>
      <c r="W54" s="173"/>
      <c r="X54" s="173"/>
      <c r="Y54" s="173"/>
      <c r="Z54" s="173"/>
      <c r="AA54" s="173"/>
      <c r="AB54" s="173"/>
      <c r="AC54" s="173"/>
      <c r="AD54" s="173"/>
      <c r="AE54" s="173"/>
      <c r="AF54" s="173"/>
      <c r="AG54" s="173"/>
      <c r="AH54" s="173"/>
      <c r="AI54" s="173"/>
      <c r="AJ54" s="173"/>
      <c r="AK54" s="173"/>
      <c r="AL54" s="173"/>
      <c r="AM54" s="173"/>
      <c r="AN54" s="173"/>
      <c r="AO54" s="173"/>
      <c r="AP54" s="173"/>
      <c r="AQ54" s="173"/>
      <c r="AR54" s="173"/>
      <c r="AS54" s="173"/>
      <c r="AT54" s="173"/>
      <c r="AU54" s="8"/>
      <c r="AV54" s="9"/>
      <c r="AW54" s="9"/>
      <c r="AX54" s="9"/>
      <c r="AY54" s="9"/>
      <c r="AZ54" s="9"/>
      <c r="BA54" s="9"/>
      <c r="BB54" s="9"/>
      <c r="BC54" s="9"/>
      <c r="BD54" s="9"/>
      <c r="BE54" s="10"/>
      <c r="BF54" s="34"/>
      <c r="BG54" s="35"/>
      <c r="BH54" s="35"/>
      <c r="BI54" s="35"/>
      <c r="BJ54" s="35"/>
      <c r="BK54" s="36"/>
    </row>
    <row r="55" spans="1:63" s="154" customFormat="1" ht="15" customHeight="1" x14ac:dyDescent="0.25">
      <c r="A55" s="11"/>
      <c r="B55" s="19"/>
      <c r="C55" s="19"/>
      <c r="D55" s="19"/>
      <c r="E55" s="19"/>
      <c r="F55" s="19"/>
      <c r="G55" s="19"/>
      <c r="H55" s="19"/>
      <c r="I55" s="19"/>
      <c r="J55" s="19"/>
      <c r="K55" s="19"/>
      <c r="L55" s="12"/>
      <c r="M55" s="172"/>
      <c r="N55" s="22" t="s">
        <v>222</v>
      </c>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1"/>
      <c r="AV55" s="19"/>
      <c r="AW55" s="19"/>
      <c r="AX55" s="19"/>
      <c r="AY55" s="19"/>
      <c r="AZ55" s="19"/>
      <c r="BA55" s="19"/>
      <c r="BB55" s="19"/>
      <c r="BC55" s="19"/>
      <c r="BD55" s="19"/>
      <c r="BE55" s="12"/>
      <c r="BF55" s="37"/>
      <c r="BG55" s="38"/>
      <c r="BH55" s="38"/>
      <c r="BI55" s="38"/>
      <c r="BJ55" s="38"/>
      <c r="BK55" s="39"/>
    </row>
    <row r="56" spans="1:63" s="154" customFormat="1" ht="15" customHeight="1" x14ac:dyDescent="0.25">
      <c r="A56" s="11"/>
      <c r="B56" s="19"/>
      <c r="C56" s="19"/>
      <c r="D56" s="19"/>
      <c r="E56" s="19"/>
      <c r="F56" s="19"/>
      <c r="G56" s="19"/>
      <c r="H56" s="19"/>
      <c r="I56" s="19"/>
      <c r="J56" s="19"/>
      <c r="K56" s="19"/>
      <c r="L56" s="12"/>
      <c r="M56" s="174"/>
      <c r="N56" s="172"/>
      <c r="O56" s="22" t="s">
        <v>118</v>
      </c>
      <c r="P56" s="175"/>
      <c r="Q56" s="175"/>
      <c r="R56" s="175"/>
      <c r="S56" s="175"/>
      <c r="T56" s="175"/>
      <c r="U56" s="175"/>
      <c r="V56" s="175"/>
      <c r="W56" s="175"/>
      <c r="X56" s="175"/>
      <c r="Y56" s="175"/>
      <c r="Z56" s="175"/>
      <c r="AA56" s="175"/>
      <c r="AB56" s="175"/>
      <c r="AC56" s="175"/>
      <c r="AD56" s="175"/>
      <c r="AE56" s="175"/>
      <c r="AF56" s="175"/>
      <c r="AG56" s="175"/>
      <c r="AH56" s="175"/>
      <c r="AI56" s="175"/>
      <c r="AJ56" s="172"/>
      <c r="AK56" s="172"/>
      <c r="AL56" s="172"/>
      <c r="AM56" s="172"/>
      <c r="AN56" s="172"/>
      <c r="AO56" s="172"/>
      <c r="AP56" s="172"/>
      <c r="AQ56" s="172"/>
      <c r="AR56" s="172"/>
      <c r="AS56" s="172"/>
      <c r="AT56" s="172"/>
      <c r="AU56" s="11"/>
      <c r="AV56" s="19"/>
      <c r="AW56" s="19"/>
      <c r="AX56" s="19"/>
      <c r="AY56" s="19"/>
      <c r="AZ56" s="19"/>
      <c r="BA56" s="19"/>
      <c r="BB56" s="19"/>
      <c r="BC56" s="19"/>
      <c r="BD56" s="19"/>
      <c r="BE56" s="12"/>
      <c r="BF56" s="37"/>
      <c r="BG56" s="38"/>
      <c r="BH56" s="38"/>
      <c r="BI56" s="38"/>
      <c r="BJ56" s="38"/>
      <c r="BK56" s="39"/>
    </row>
    <row r="57" spans="1:63" s="154" customFormat="1" ht="15" customHeight="1" x14ac:dyDescent="0.25">
      <c r="A57" s="11"/>
      <c r="B57" s="19"/>
      <c r="C57" s="19"/>
      <c r="D57" s="19"/>
      <c r="E57" s="19"/>
      <c r="F57" s="19"/>
      <c r="G57" s="19"/>
      <c r="H57" s="19"/>
      <c r="I57" s="19"/>
      <c r="J57" s="19"/>
      <c r="K57" s="19"/>
      <c r="L57" s="12"/>
      <c r="M57" s="172"/>
      <c r="O57" s="175"/>
      <c r="P57" s="175"/>
      <c r="Q57" s="175"/>
      <c r="R57" s="175"/>
      <c r="S57" s="175"/>
      <c r="T57" s="175"/>
      <c r="U57" s="175"/>
      <c r="V57" s="175"/>
      <c r="W57" s="175"/>
      <c r="X57" s="175"/>
      <c r="Y57" s="175"/>
      <c r="Z57" s="175"/>
      <c r="AA57" s="175"/>
      <c r="AB57" s="175"/>
      <c r="AC57" s="175"/>
      <c r="AD57" s="175"/>
      <c r="AE57" s="175"/>
      <c r="AF57" s="175"/>
      <c r="AG57" s="175"/>
      <c r="AH57" s="175"/>
      <c r="AI57" s="175"/>
      <c r="AJ57" s="172"/>
      <c r="AK57" s="172"/>
      <c r="AL57" s="172"/>
      <c r="AM57" s="172"/>
      <c r="AN57" s="172"/>
      <c r="AO57" s="172"/>
      <c r="AP57" s="172"/>
      <c r="AQ57" s="172"/>
      <c r="AR57" s="172"/>
      <c r="AS57" s="172"/>
      <c r="AT57" s="172"/>
      <c r="AU57" s="11"/>
      <c r="AV57" s="19"/>
      <c r="AW57" s="19"/>
      <c r="AX57" s="19"/>
      <c r="AY57" s="19"/>
      <c r="AZ57" s="19"/>
      <c r="BA57" s="19"/>
      <c r="BB57" s="19"/>
      <c r="BC57" s="19"/>
      <c r="BD57" s="19"/>
      <c r="BE57" s="12"/>
      <c r="BF57" s="37"/>
      <c r="BG57" s="38"/>
      <c r="BH57" s="38"/>
      <c r="BI57" s="38"/>
      <c r="BJ57" s="38"/>
      <c r="BK57" s="39"/>
    </row>
    <row r="58" spans="1:63" s="154" customFormat="1" ht="15" customHeight="1" x14ac:dyDescent="0.25">
      <c r="A58" s="11"/>
      <c r="B58" s="19"/>
      <c r="C58" s="19"/>
      <c r="D58" s="19"/>
      <c r="E58" s="19"/>
      <c r="F58" s="19"/>
      <c r="G58" s="19"/>
      <c r="H58" s="19"/>
      <c r="I58" s="19"/>
      <c r="J58" s="19"/>
      <c r="K58" s="19"/>
      <c r="L58" s="12"/>
      <c r="M58" s="172"/>
      <c r="N58" s="172"/>
      <c r="O58" s="175"/>
      <c r="P58" s="175"/>
      <c r="Q58" s="175"/>
      <c r="R58" s="175"/>
      <c r="S58" s="175"/>
      <c r="T58" s="175"/>
      <c r="U58" s="175"/>
      <c r="V58" s="175"/>
      <c r="W58" s="175"/>
      <c r="X58" s="175"/>
      <c r="Y58" s="175"/>
      <c r="Z58" s="175"/>
      <c r="AA58" s="175"/>
      <c r="AB58" s="175"/>
      <c r="AC58" s="175"/>
      <c r="AD58" s="175"/>
      <c r="AE58" s="175"/>
      <c r="AF58" s="175"/>
      <c r="AG58" s="175"/>
      <c r="AH58" s="175"/>
      <c r="AI58" s="175"/>
      <c r="AJ58" s="172"/>
      <c r="AK58" s="172"/>
      <c r="AL58" s="172"/>
      <c r="AM58" s="172"/>
      <c r="AN58" s="172"/>
      <c r="AO58" s="172"/>
      <c r="AP58" s="172"/>
      <c r="AQ58" s="172"/>
      <c r="AR58" s="172"/>
      <c r="AS58" s="172"/>
      <c r="AT58" s="172"/>
      <c r="AU58" s="11"/>
      <c r="AV58" s="19"/>
      <c r="AW58" s="19"/>
      <c r="AX58" s="19"/>
      <c r="AY58" s="19"/>
      <c r="AZ58" s="19"/>
      <c r="BA58" s="19"/>
      <c r="BB58" s="19"/>
      <c r="BC58" s="19"/>
      <c r="BD58" s="19"/>
      <c r="BE58" s="12"/>
      <c r="BF58" s="37"/>
      <c r="BG58" s="38"/>
      <c r="BH58" s="38"/>
      <c r="BI58" s="38"/>
      <c r="BJ58" s="38"/>
      <c r="BK58" s="39"/>
    </row>
    <row r="59" spans="1:63" s="154" customFormat="1" ht="15" customHeight="1" x14ac:dyDescent="0.25">
      <c r="A59" s="13"/>
      <c r="B59" s="14"/>
      <c r="C59" s="14"/>
      <c r="D59" s="14"/>
      <c r="E59" s="14"/>
      <c r="F59" s="14"/>
      <c r="G59" s="14"/>
      <c r="H59" s="14"/>
      <c r="I59" s="14"/>
      <c r="J59" s="14"/>
      <c r="K59" s="14"/>
      <c r="L59" s="15"/>
      <c r="M59" s="176"/>
      <c r="N59" s="177"/>
      <c r="O59" s="177"/>
      <c r="P59" s="177"/>
      <c r="Q59" s="177"/>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178"/>
      <c r="AQ59" s="178"/>
      <c r="AR59" s="178"/>
      <c r="AS59" s="178"/>
      <c r="AT59" s="178"/>
      <c r="AU59" s="13"/>
      <c r="AV59" s="14"/>
      <c r="AW59" s="14"/>
      <c r="AX59" s="14"/>
      <c r="AY59" s="14"/>
      <c r="AZ59" s="14"/>
      <c r="BA59" s="14"/>
      <c r="BB59" s="14"/>
      <c r="BC59" s="14"/>
      <c r="BD59" s="14"/>
      <c r="BE59" s="15"/>
      <c r="BF59" s="40"/>
      <c r="BG59" s="41"/>
      <c r="BH59" s="41"/>
      <c r="BI59" s="41"/>
      <c r="BJ59" s="41"/>
      <c r="BK59" s="42"/>
    </row>
    <row r="60" spans="1:63" ht="15" customHeight="1" x14ac:dyDescent="0.25">
      <c r="A60" s="21"/>
      <c r="BK60" s="6"/>
    </row>
    <row r="61" spans="1:63" ht="15" customHeight="1" x14ac:dyDescent="0.25">
      <c r="BK61" s="6"/>
    </row>
    <row r="62" spans="1:63" ht="15" customHeight="1" x14ac:dyDescent="0.25">
      <c r="A62" s="21"/>
      <c r="BK62" s="6"/>
    </row>
    <row r="63" spans="1:63" s="154" customFormat="1" ht="15" customHeight="1" x14ac:dyDescent="0.25">
      <c r="A63" s="160" t="s">
        <v>3</v>
      </c>
      <c r="B63" s="161"/>
      <c r="C63" s="161"/>
      <c r="D63" s="161"/>
      <c r="E63" s="161"/>
      <c r="F63" s="162"/>
      <c r="G63" s="156" t="s">
        <v>127</v>
      </c>
      <c r="H63" s="156"/>
      <c r="I63" s="156"/>
      <c r="J63" s="156"/>
      <c r="K63" s="156"/>
      <c r="L63" s="156"/>
      <c r="M63" s="163" t="s">
        <v>128</v>
      </c>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164"/>
      <c r="BI63" s="164"/>
      <c r="BJ63" s="164"/>
      <c r="BK63" s="165"/>
    </row>
    <row r="64" spans="1:63" s="154" customFormat="1" ht="15" customHeight="1" x14ac:dyDescent="0.25">
      <c r="A64" s="166" t="s">
        <v>4</v>
      </c>
      <c r="B64" s="167"/>
      <c r="C64" s="167"/>
      <c r="D64" s="167"/>
      <c r="E64" s="167"/>
      <c r="F64" s="167"/>
      <c r="G64" s="167"/>
      <c r="H64" s="167"/>
      <c r="I64" s="167"/>
      <c r="J64" s="167"/>
      <c r="K64" s="167"/>
      <c r="L64" s="168"/>
      <c r="M64" s="166" t="s">
        <v>5</v>
      </c>
      <c r="N64" s="167"/>
      <c r="O64" s="167"/>
      <c r="P64" s="167"/>
      <c r="Q64" s="167"/>
      <c r="R64" s="167"/>
      <c r="S64" s="167"/>
      <c r="T64" s="167"/>
      <c r="U64" s="167"/>
      <c r="V64" s="167"/>
      <c r="W64" s="167"/>
      <c r="X64" s="167"/>
      <c r="Y64" s="167"/>
      <c r="Z64" s="167"/>
      <c r="AA64" s="167"/>
      <c r="AB64" s="167"/>
      <c r="AC64" s="167"/>
      <c r="AD64" s="167"/>
      <c r="AE64" s="167"/>
      <c r="AF64" s="167"/>
      <c r="AG64" s="167"/>
      <c r="AH64" s="167"/>
      <c r="AI64" s="167"/>
      <c r="AJ64" s="167"/>
      <c r="AK64" s="167"/>
      <c r="AL64" s="167"/>
      <c r="AM64" s="167"/>
      <c r="AN64" s="167"/>
      <c r="AO64" s="167"/>
      <c r="AP64" s="167"/>
      <c r="AQ64" s="167"/>
      <c r="AR64" s="167"/>
      <c r="AS64" s="167"/>
      <c r="AT64" s="168"/>
      <c r="AU64" s="166" t="s">
        <v>6</v>
      </c>
      <c r="AV64" s="167"/>
      <c r="AW64" s="167"/>
      <c r="AX64" s="167"/>
      <c r="AY64" s="167"/>
      <c r="AZ64" s="167"/>
      <c r="BA64" s="167"/>
      <c r="BB64" s="167"/>
      <c r="BC64" s="167"/>
      <c r="BD64" s="167"/>
      <c r="BE64" s="167"/>
      <c r="BF64" s="166" t="s">
        <v>7</v>
      </c>
      <c r="BG64" s="167"/>
      <c r="BH64" s="167"/>
      <c r="BI64" s="167"/>
      <c r="BJ64" s="167"/>
      <c r="BK64" s="168"/>
    </row>
    <row r="65" spans="1:63" s="154" customFormat="1" ht="15" customHeight="1" x14ac:dyDescent="0.25">
      <c r="A65" s="169"/>
      <c r="B65" s="170"/>
      <c r="C65" s="170"/>
      <c r="D65" s="170"/>
      <c r="E65" s="170"/>
      <c r="F65" s="170"/>
      <c r="G65" s="170"/>
      <c r="H65" s="170"/>
      <c r="I65" s="170"/>
      <c r="J65" s="170"/>
      <c r="K65" s="170"/>
      <c r="L65" s="171"/>
      <c r="M65" s="169"/>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1"/>
      <c r="AU65" s="169"/>
      <c r="AV65" s="170"/>
      <c r="AW65" s="170"/>
      <c r="AX65" s="170"/>
      <c r="AY65" s="170"/>
      <c r="AZ65" s="170"/>
      <c r="BA65" s="170"/>
      <c r="BB65" s="170"/>
      <c r="BC65" s="170"/>
      <c r="BD65" s="170"/>
      <c r="BE65" s="170"/>
      <c r="BF65" s="169"/>
      <c r="BG65" s="170"/>
      <c r="BH65" s="170"/>
      <c r="BI65" s="170"/>
      <c r="BJ65" s="170"/>
      <c r="BK65" s="171"/>
    </row>
    <row r="66" spans="1:63" s="154" customFormat="1" ht="15" customHeight="1" x14ac:dyDescent="0.25">
      <c r="A66" s="11"/>
      <c r="B66" s="19"/>
      <c r="C66" s="19"/>
      <c r="D66" s="19"/>
      <c r="E66" s="19"/>
      <c r="F66" s="19"/>
      <c r="G66" s="19"/>
      <c r="H66" s="19"/>
      <c r="I66" s="19"/>
      <c r="J66" s="19"/>
      <c r="K66" s="19"/>
      <c r="L66" s="12"/>
      <c r="M66" s="172"/>
      <c r="O66" s="175"/>
      <c r="P66" s="175"/>
      <c r="Q66" s="175"/>
      <c r="R66" s="175"/>
      <c r="S66" s="175"/>
      <c r="T66" s="175"/>
      <c r="U66" s="175"/>
      <c r="V66" s="175"/>
      <c r="W66" s="175"/>
      <c r="X66" s="175"/>
      <c r="Y66" s="175"/>
      <c r="Z66" s="175"/>
      <c r="AA66" s="175"/>
      <c r="AB66" s="175"/>
      <c r="AC66" s="175"/>
      <c r="AD66" s="175"/>
      <c r="AE66" s="175"/>
      <c r="AF66" s="175"/>
      <c r="AG66" s="175"/>
      <c r="AH66" s="175"/>
      <c r="AI66" s="175"/>
      <c r="AJ66" s="172"/>
      <c r="AK66" s="172"/>
      <c r="AL66" s="172"/>
      <c r="AM66" s="172"/>
      <c r="AN66" s="172"/>
      <c r="AO66" s="172"/>
      <c r="AP66" s="172"/>
      <c r="AQ66" s="172"/>
      <c r="AR66" s="172"/>
      <c r="AS66" s="172"/>
      <c r="AT66" s="172"/>
      <c r="AU66" s="11"/>
      <c r="AV66" s="19"/>
      <c r="AW66" s="19"/>
      <c r="AX66" s="19"/>
      <c r="AY66" s="19"/>
      <c r="AZ66" s="19"/>
      <c r="BA66" s="19"/>
      <c r="BB66" s="19"/>
      <c r="BC66" s="19"/>
      <c r="BD66" s="19"/>
      <c r="BE66" s="12"/>
      <c r="BF66" s="37" t="s">
        <v>223</v>
      </c>
      <c r="BG66" s="38"/>
      <c r="BH66" s="38"/>
      <c r="BI66" s="38"/>
      <c r="BJ66" s="38"/>
      <c r="BK66" s="39"/>
    </row>
    <row r="67" spans="1:63" s="154" customFormat="1" ht="15" customHeight="1" x14ac:dyDescent="0.25">
      <c r="A67" s="11"/>
      <c r="B67" s="19"/>
      <c r="C67" s="19"/>
      <c r="D67" s="19"/>
      <c r="E67" s="19"/>
      <c r="F67" s="19"/>
      <c r="G67" s="19"/>
      <c r="H67" s="19"/>
      <c r="I67" s="19"/>
      <c r="J67" s="19"/>
      <c r="K67" s="19"/>
      <c r="L67" s="12"/>
      <c r="M67" s="172"/>
      <c r="N67" s="26" t="s">
        <v>224</v>
      </c>
      <c r="O67" s="175"/>
      <c r="P67" s="175"/>
      <c r="Q67" s="175"/>
      <c r="R67" s="175"/>
      <c r="S67" s="175"/>
      <c r="T67" s="175"/>
      <c r="U67" s="175"/>
      <c r="V67" s="175"/>
      <c r="W67" s="175"/>
      <c r="X67" s="175"/>
      <c r="Y67" s="175"/>
      <c r="Z67" s="175"/>
      <c r="AA67" s="175"/>
      <c r="AB67" s="175"/>
      <c r="AC67" s="175"/>
      <c r="AD67" s="175"/>
      <c r="AE67" s="175"/>
      <c r="AF67" s="175"/>
      <c r="AG67" s="175"/>
      <c r="AH67" s="175"/>
      <c r="AI67" s="175"/>
      <c r="AJ67" s="172"/>
      <c r="AK67" s="172"/>
      <c r="AL67" s="172"/>
      <c r="AM67" s="172"/>
      <c r="AN67" s="172"/>
      <c r="AO67" s="172"/>
      <c r="AP67" s="172"/>
      <c r="AQ67" s="172"/>
      <c r="AR67" s="172"/>
      <c r="AS67" s="172"/>
      <c r="AT67" s="172"/>
      <c r="AU67" s="11"/>
      <c r="AV67" s="19"/>
      <c r="AW67" s="19"/>
      <c r="AX67" s="19"/>
      <c r="AY67" s="19"/>
      <c r="AZ67" s="19"/>
      <c r="BA67" s="19"/>
      <c r="BB67" s="19"/>
      <c r="BC67" s="19"/>
      <c r="BD67" s="19"/>
      <c r="BE67" s="12"/>
      <c r="BF67" s="37"/>
      <c r="BG67" s="38"/>
      <c r="BH67" s="38"/>
      <c r="BI67" s="38"/>
      <c r="BJ67" s="38"/>
      <c r="BK67" s="39"/>
    </row>
    <row r="68" spans="1:63" s="154" customFormat="1" ht="15" customHeight="1" x14ac:dyDescent="0.25">
      <c r="A68" s="11"/>
      <c r="B68" s="19"/>
      <c r="C68" s="19"/>
      <c r="D68" s="19"/>
      <c r="E68" s="19"/>
      <c r="F68" s="19"/>
      <c r="G68" s="19"/>
      <c r="H68" s="19"/>
      <c r="I68" s="19"/>
      <c r="J68" s="19"/>
      <c r="K68" s="19"/>
      <c r="L68" s="12"/>
      <c r="M68" s="172"/>
      <c r="N68" s="26"/>
      <c r="O68" s="175" t="s">
        <v>141</v>
      </c>
      <c r="P68" s="175"/>
      <c r="Q68" s="175"/>
      <c r="R68" s="175"/>
      <c r="S68" s="175"/>
      <c r="T68" s="175"/>
      <c r="U68" s="175"/>
      <c r="V68" s="175"/>
      <c r="W68" s="175"/>
      <c r="X68" s="175"/>
      <c r="Y68" s="175"/>
      <c r="Z68" s="175"/>
      <c r="AA68" s="175"/>
      <c r="AB68" s="175"/>
      <c r="AC68" s="175"/>
      <c r="AD68" s="175"/>
      <c r="AE68" s="175"/>
      <c r="AF68" s="175"/>
      <c r="AG68" s="175"/>
      <c r="AH68" s="175"/>
      <c r="AI68" s="175"/>
      <c r="AJ68" s="172"/>
      <c r="AK68" s="172"/>
      <c r="AL68" s="172"/>
      <c r="AM68" s="172"/>
      <c r="AN68" s="172"/>
      <c r="AO68" s="172"/>
      <c r="AP68" s="172"/>
      <c r="AQ68" s="172"/>
      <c r="AR68" s="172"/>
      <c r="AS68" s="172"/>
      <c r="AT68" s="172"/>
      <c r="AU68" s="11"/>
      <c r="AV68" s="19"/>
      <c r="AW68" s="19"/>
      <c r="AX68" s="19"/>
      <c r="AY68" s="19"/>
      <c r="AZ68" s="19"/>
      <c r="BA68" s="19"/>
      <c r="BB68" s="19"/>
      <c r="BC68" s="19"/>
      <c r="BD68" s="19"/>
      <c r="BE68" s="12"/>
      <c r="BF68" s="37"/>
      <c r="BG68" s="38"/>
      <c r="BH68" s="38"/>
      <c r="BI68" s="38"/>
      <c r="BJ68" s="38"/>
      <c r="BK68" s="39"/>
    </row>
    <row r="69" spans="1:63" s="154" customFormat="1" ht="15" customHeight="1" x14ac:dyDescent="0.25">
      <c r="A69" s="11"/>
      <c r="B69" s="19"/>
      <c r="C69" s="19"/>
      <c r="D69" s="19"/>
      <c r="E69" s="19"/>
      <c r="F69" s="19"/>
      <c r="G69" s="19"/>
      <c r="H69" s="19"/>
      <c r="I69" s="19"/>
      <c r="J69" s="19"/>
      <c r="K69" s="19"/>
      <c r="L69" s="12"/>
      <c r="M69" s="172"/>
      <c r="N69" s="172"/>
      <c r="O69" s="175"/>
      <c r="P69" s="175"/>
      <c r="Q69" s="175"/>
      <c r="R69" s="175"/>
      <c r="S69" s="175"/>
      <c r="T69" s="175"/>
      <c r="U69" s="175"/>
      <c r="V69" s="175"/>
      <c r="W69" s="175"/>
      <c r="X69" s="175"/>
      <c r="Y69" s="175"/>
      <c r="Z69" s="175"/>
      <c r="AA69" s="175"/>
      <c r="AB69" s="175"/>
      <c r="AC69" s="175"/>
      <c r="AD69" s="175"/>
      <c r="AE69" s="175"/>
      <c r="AF69" s="175"/>
      <c r="AG69" s="175"/>
      <c r="AH69" s="175"/>
      <c r="AI69" s="175"/>
      <c r="AJ69" s="172"/>
      <c r="AK69" s="172"/>
      <c r="AL69" s="172"/>
      <c r="AM69" s="172"/>
      <c r="AN69" s="172"/>
      <c r="AO69" s="172"/>
      <c r="AP69" s="172"/>
      <c r="AQ69" s="172"/>
      <c r="AR69" s="172"/>
      <c r="AS69" s="172"/>
      <c r="AT69" s="172"/>
      <c r="AU69" s="11"/>
      <c r="AV69" s="19"/>
      <c r="AW69" s="19"/>
      <c r="AX69" s="19"/>
      <c r="AY69" s="19"/>
      <c r="AZ69" s="19"/>
      <c r="BA69" s="19"/>
      <c r="BB69" s="19"/>
      <c r="BC69" s="19"/>
      <c r="BD69" s="19"/>
      <c r="BE69" s="12"/>
      <c r="BF69" s="37"/>
      <c r="BG69" s="38"/>
      <c r="BH69" s="38"/>
      <c r="BI69" s="38"/>
      <c r="BJ69" s="38"/>
      <c r="BK69" s="39"/>
    </row>
    <row r="70" spans="1:63" s="154" customFormat="1" ht="15" customHeight="1" x14ac:dyDescent="0.25">
      <c r="A70" s="13"/>
      <c r="B70" s="14"/>
      <c r="C70" s="14"/>
      <c r="D70" s="14"/>
      <c r="E70" s="14"/>
      <c r="F70" s="14"/>
      <c r="G70" s="14"/>
      <c r="H70" s="14"/>
      <c r="I70" s="14"/>
      <c r="J70" s="14"/>
      <c r="K70" s="14"/>
      <c r="L70" s="15"/>
      <c r="M70" s="176"/>
      <c r="N70" s="177"/>
      <c r="O70" s="177"/>
      <c r="P70" s="177"/>
      <c r="Q70" s="177"/>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178"/>
      <c r="AQ70" s="178"/>
      <c r="AR70" s="178"/>
      <c r="AS70" s="178"/>
      <c r="AT70" s="178"/>
      <c r="AU70" s="13"/>
      <c r="AV70" s="14"/>
      <c r="AW70" s="14"/>
      <c r="AX70" s="14"/>
      <c r="AY70" s="14"/>
      <c r="AZ70" s="14"/>
      <c r="BA70" s="14"/>
      <c r="BB70" s="14"/>
      <c r="BC70" s="14"/>
      <c r="BD70" s="14"/>
      <c r="BE70" s="15"/>
      <c r="BF70" s="40"/>
      <c r="BG70" s="41"/>
      <c r="BH70" s="41"/>
      <c r="BI70" s="41"/>
      <c r="BJ70" s="41"/>
      <c r="BK70" s="42"/>
    </row>
    <row r="71" spans="1:63" ht="15" customHeight="1" x14ac:dyDescent="0.25">
      <c r="A71" s="21"/>
      <c r="BK71" s="6"/>
    </row>
    <row r="72" spans="1:63" ht="15" customHeight="1" x14ac:dyDescent="0.25">
      <c r="A72" s="21"/>
      <c r="BK72" s="6"/>
    </row>
    <row r="73" spans="1:63" ht="15" customHeight="1" x14ac:dyDescent="0.25">
      <c r="A73" s="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5"/>
    </row>
    <row r="74" spans="1:63" ht="15" customHeight="1" x14ac:dyDescent="0.25"/>
    <row r="75" spans="1:63" ht="15" customHeight="1" x14ac:dyDescent="0.25"/>
    <row r="76" spans="1:63" ht="15" customHeight="1" x14ac:dyDescent="0.25"/>
    <row r="77" spans="1:63" ht="15" customHeight="1" x14ac:dyDescent="0.25"/>
    <row r="78" spans="1:63" ht="15" customHeight="1" x14ac:dyDescent="0.25"/>
    <row r="79" spans="1:63" ht="15" customHeight="1" x14ac:dyDescent="0.25"/>
    <row r="80" spans="1:63"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sheetData>
  <mergeCells count="5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AU64:BE65"/>
    <mergeCell ref="BF64:BK65"/>
    <mergeCell ref="BF14:BK18"/>
    <mergeCell ref="BF19:BK19"/>
    <mergeCell ref="A51:F51"/>
    <mergeCell ref="G51:L51"/>
    <mergeCell ref="A52:L53"/>
    <mergeCell ref="M52:AT53"/>
    <mergeCell ref="AU52:BE53"/>
    <mergeCell ref="BF52:BK53"/>
    <mergeCell ref="BF66:BK69"/>
    <mergeCell ref="BF70:BK70"/>
    <mergeCell ref="A23:F23"/>
    <mergeCell ref="G23:L23"/>
    <mergeCell ref="A24:L25"/>
    <mergeCell ref="M24:AT25"/>
    <mergeCell ref="AU24:BE25"/>
    <mergeCell ref="BF24:BK25"/>
    <mergeCell ref="BF26:BK30"/>
    <mergeCell ref="BF47:BK47"/>
    <mergeCell ref="BF54:BK58"/>
    <mergeCell ref="BF59:BK59"/>
    <mergeCell ref="A63:F63"/>
    <mergeCell ref="G63:L63"/>
    <mergeCell ref="A64:L65"/>
    <mergeCell ref="M64:AT65"/>
  </mergeCell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BB6E-E172-46C6-9EF5-7009E20B546D}">
  <sheetPr>
    <pageSetUpPr fitToPage="1"/>
  </sheetPr>
  <dimension ref="A1:BK418"/>
  <sheetViews>
    <sheetView showGridLines="0"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140" t="s">
        <v>163</v>
      </c>
      <c r="B1" s="141"/>
      <c r="C1" s="141"/>
      <c r="D1" s="141"/>
      <c r="E1" s="141"/>
      <c r="F1" s="141"/>
      <c r="G1" s="141"/>
      <c r="H1" s="141"/>
      <c r="I1" s="141"/>
      <c r="J1" s="142"/>
      <c r="K1" s="140" t="s">
        <v>164</v>
      </c>
      <c r="L1" s="141"/>
      <c r="M1" s="141"/>
      <c r="N1" s="141"/>
      <c r="O1" s="141"/>
      <c r="P1" s="141"/>
      <c r="Q1" s="141"/>
      <c r="R1" s="141"/>
      <c r="S1" s="141"/>
      <c r="T1" s="141"/>
      <c r="U1" s="141"/>
      <c r="V1" s="142"/>
      <c r="W1" s="143" t="str">
        <f>IF(表紙!W1="","",表紙!W1)</f>
        <v>詳細設計書</v>
      </c>
      <c r="X1" s="144"/>
      <c r="Y1" s="144"/>
      <c r="Z1" s="144"/>
      <c r="AA1" s="144"/>
      <c r="AB1" s="144"/>
      <c r="AC1" s="144"/>
      <c r="AD1" s="144"/>
      <c r="AE1" s="144"/>
      <c r="AF1" s="144"/>
      <c r="AG1" s="144"/>
      <c r="AH1" s="144"/>
      <c r="AI1" s="144"/>
      <c r="AJ1" s="144"/>
      <c r="AK1" s="144"/>
      <c r="AL1" s="144"/>
      <c r="AM1" s="144"/>
      <c r="AN1" s="144"/>
      <c r="AO1" s="145"/>
      <c r="AP1" s="53" t="s">
        <v>166</v>
      </c>
      <c r="AQ1" s="54"/>
      <c r="AR1" s="54"/>
      <c r="AS1" s="55"/>
      <c r="AT1" s="53" t="s">
        <v>167</v>
      </c>
      <c r="AU1" s="54"/>
      <c r="AV1" s="54"/>
      <c r="AW1" s="54"/>
      <c r="AX1" s="55"/>
      <c r="AY1" s="53" t="s">
        <v>168</v>
      </c>
      <c r="AZ1" s="54"/>
      <c r="BA1" s="54"/>
      <c r="BB1" s="55"/>
      <c r="BC1" s="53" t="s">
        <v>169</v>
      </c>
      <c r="BD1" s="54"/>
      <c r="BE1" s="54"/>
      <c r="BF1" s="54"/>
      <c r="BG1" s="55"/>
      <c r="BH1" s="53" t="s">
        <v>170</v>
      </c>
      <c r="BI1" s="54"/>
      <c r="BJ1" s="54"/>
      <c r="BK1" s="55"/>
    </row>
    <row r="2" spans="1:63" ht="15" customHeight="1" x14ac:dyDescent="0.25">
      <c r="A2" s="43" t="str">
        <f>IF(表紙!A2="","",表紙!A2)</f>
        <v>POSサーバー</v>
      </c>
      <c r="B2" s="44"/>
      <c r="C2" s="44"/>
      <c r="D2" s="44"/>
      <c r="E2" s="44"/>
      <c r="F2" s="44"/>
      <c r="G2" s="44"/>
      <c r="H2" s="44"/>
      <c r="I2" s="44"/>
      <c r="J2" s="45"/>
      <c r="K2" s="43" t="str">
        <f>IF(表紙!K2="","",表紙!K2)</f>
        <v>POSサーバ</v>
      </c>
      <c r="L2" s="44"/>
      <c r="M2" s="44"/>
      <c r="N2" s="44"/>
      <c r="O2" s="44"/>
      <c r="P2" s="44"/>
      <c r="Q2" s="44"/>
      <c r="R2" s="44"/>
      <c r="S2" s="44"/>
      <c r="T2" s="44"/>
      <c r="U2" s="44"/>
      <c r="V2" s="45"/>
      <c r="W2" s="146"/>
      <c r="X2" s="147"/>
      <c r="Y2" s="147"/>
      <c r="Z2" s="147"/>
      <c r="AA2" s="147"/>
      <c r="AB2" s="147"/>
      <c r="AC2" s="147"/>
      <c r="AD2" s="147"/>
      <c r="AE2" s="147"/>
      <c r="AF2" s="147"/>
      <c r="AG2" s="147"/>
      <c r="AH2" s="147"/>
      <c r="AI2" s="147"/>
      <c r="AJ2" s="147"/>
      <c r="AK2" s="147"/>
      <c r="AL2" s="147"/>
      <c r="AM2" s="147"/>
      <c r="AN2" s="147"/>
      <c r="AO2" s="148"/>
      <c r="AP2" s="62" t="str">
        <f>IF(表紙!AP2="","",表紙!AP2)</f>
        <v>DuNT</v>
      </c>
      <c r="AQ2" s="60"/>
      <c r="AR2" s="60"/>
      <c r="AS2" s="61"/>
      <c r="AT2" s="66">
        <f>IF(表紙!AT2="","",表紙!AT2)</f>
        <v>45582</v>
      </c>
      <c r="AU2" s="67"/>
      <c r="AV2" s="67"/>
      <c r="AW2" s="67"/>
      <c r="AX2" s="68"/>
      <c r="AY2" s="62" t="str">
        <f>IF(表紙!AY2="","",表紙!AY2)</f>
        <v>DuNT</v>
      </c>
      <c r="AZ2" s="60"/>
      <c r="BA2" s="60"/>
      <c r="BB2" s="61"/>
      <c r="BC2" s="66">
        <f>IF(表紙!BC2="","",表紙!BC2)</f>
        <v>45582</v>
      </c>
      <c r="BD2" s="67"/>
      <c r="BE2" s="67"/>
      <c r="BF2" s="67"/>
      <c r="BG2" s="68"/>
      <c r="BH2" s="62">
        <f>IF(表紙!BH2="","",表紙!BH2)</f>
        <v>0.1</v>
      </c>
      <c r="BI2" s="60"/>
      <c r="BJ2" s="60"/>
      <c r="BK2" s="61"/>
    </row>
    <row r="3" spans="1:63" ht="15" customHeight="1" x14ac:dyDescent="0.25">
      <c r="A3" s="46"/>
      <c r="B3" s="47"/>
      <c r="C3" s="47"/>
      <c r="D3" s="47"/>
      <c r="E3" s="47"/>
      <c r="F3" s="47"/>
      <c r="G3" s="47"/>
      <c r="H3" s="47"/>
      <c r="I3" s="47"/>
      <c r="J3" s="48"/>
      <c r="K3" s="46"/>
      <c r="L3" s="47"/>
      <c r="M3" s="47"/>
      <c r="N3" s="47"/>
      <c r="O3" s="47"/>
      <c r="P3" s="47"/>
      <c r="Q3" s="47"/>
      <c r="R3" s="47"/>
      <c r="S3" s="47"/>
      <c r="T3" s="47"/>
      <c r="U3" s="47"/>
      <c r="V3" s="48"/>
      <c r="W3" s="149"/>
      <c r="X3" s="150"/>
      <c r="Y3" s="150"/>
      <c r="Z3" s="150"/>
      <c r="AA3" s="150"/>
      <c r="AB3" s="150"/>
      <c r="AC3" s="150"/>
      <c r="AD3" s="150"/>
      <c r="AE3" s="150"/>
      <c r="AF3" s="150"/>
      <c r="AG3" s="150"/>
      <c r="AH3" s="150"/>
      <c r="AI3" s="150"/>
      <c r="AJ3" s="150"/>
      <c r="AK3" s="150"/>
      <c r="AL3" s="150"/>
      <c r="AM3" s="150"/>
      <c r="AN3" s="150"/>
      <c r="AO3" s="151"/>
      <c r="AP3" s="72"/>
      <c r="AQ3" s="73"/>
      <c r="AR3" s="73"/>
      <c r="AS3" s="74"/>
      <c r="AT3" s="78"/>
      <c r="AU3" s="79"/>
      <c r="AV3" s="79"/>
      <c r="AW3" s="79"/>
      <c r="AX3" s="80"/>
      <c r="AY3" s="72"/>
      <c r="AZ3" s="73"/>
      <c r="BA3" s="73"/>
      <c r="BB3" s="74"/>
      <c r="BC3" s="78"/>
      <c r="BD3" s="79"/>
      <c r="BE3" s="79"/>
      <c r="BF3" s="79"/>
      <c r="BG3" s="80"/>
      <c r="BH3" s="72"/>
      <c r="BI3" s="73"/>
      <c r="BJ3" s="73"/>
      <c r="BK3" s="74"/>
    </row>
    <row r="4" spans="1:63" ht="24.95" customHeight="1" x14ac:dyDescent="0.25">
      <c r="A4" s="152" t="s">
        <v>181</v>
      </c>
      <c r="B4" s="141"/>
      <c r="C4" s="141"/>
      <c r="D4" s="141"/>
      <c r="E4" s="141"/>
      <c r="F4" s="141"/>
      <c r="G4" s="142"/>
      <c r="H4" s="49" t="str">
        <f>IF(表紙!H4="","",表紙!H4)</f>
        <v>05_ミックスマッチ設定</v>
      </c>
      <c r="I4" s="50"/>
      <c r="J4" s="50"/>
      <c r="K4" s="50"/>
      <c r="L4" s="50"/>
      <c r="M4" s="50"/>
      <c r="N4" s="50"/>
      <c r="O4" s="50"/>
      <c r="P4" s="50"/>
      <c r="Q4" s="50"/>
      <c r="R4" s="50"/>
      <c r="S4" s="50"/>
      <c r="T4" s="51"/>
      <c r="U4" s="140" t="s">
        <v>173</v>
      </c>
      <c r="V4" s="141"/>
      <c r="W4" s="141"/>
      <c r="X4" s="141"/>
      <c r="Y4" s="142"/>
      <c r="Z4" s="49" t="str">
        <f>IF(表紙!Z4="","",表紙!Z4)</f>
        <v>機能設計書</v>
      </c>
      <c r="AA4" s="50"/>
      <c r="AB4" s="50"/>
      <c r="AC4" s="50"/>
      <c r="AD4" s="50"/>
      <c r="AE4" s="50"/>
      <c r="AF4" s="50"/>
      <c r="AG4" s="50"/>
      <c r="AH4" s="50"/>
      <c r="AI4" s="50"/>
      <c r="AJ4" s="50"/>
      <c r="AK4" s="50"/>
      <c r="AL4" s="50"/>
      <c r="AM4" s="50"/>
      <c r="AN4" s="50"/>
      <c r="AO4" s="51"/>
      <c r="AP4" s="52" t="str">
        <f ca="1">MID(CELL("filename",A1),FIND("]",CELL("filename",A1))+1,255)</f>
        <v>MD0502</v>
      </c>
      <c r="AQ4" s="50"/>
      <c r="AR4" s="50"/>
      <c r="AS4" s="50"/>
      <c r="AT4" s="50"/>
      <c r="AU4" s="50"/>
      <c r="AV4" s="50"/>
      <c r="AW4" s="50"/>
      <c r="AX4" s="50"/>
      <c r="AY4" s="50"/>
      <c r="AZ4" s="50"/>
      <c r="BA4" s="50"/>
      <c r="BB4" s="50"/>
      <c r="BC4" s="50"/>
      <c r="BD4" s="50"/>
      <c r="BE4" s="50"/>
      <c r="BF4" s="50"/>
      <c r="BG4" s="50"/>
      <c r="BH4" s="50"/>
      <c r="BI4" s="50"/>
      <c r="BJ4" s="50"/>
      <c r="BK4" s="51"/>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1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8"/>
    </row>
    <row r="7" spans="1:63" s="154" customFormat="1" ht="15" customHeight="1" x14ac:dyDescent="0.25">
      <c r="A7" s="153" t="s">
        <v>8</v>
      </c>
      <c r="BK7" s="155"/>
    </row>
    <row r="8" spans="1:63" s="154" customFormat="1" ht="15" customHeight="1" x14ac:dyDescent="0.25">
      <c r="A8" s="153"/>
      <c r="BK8" s="155"/>
    </row>
    <row r="9" spans="1:63" s="154" customFormat="1" ht="15" customHeight="1" x14ac:dyDescent="0.25">
      <c r="A9" s="53" t="s">
        <v>182</v>
      </c>
      <c r="B9" s="54"/>
      <c r="C9" s="54"/>
      <c r="D9" s="54"/>
      <c r="E9" s="156" t="s">
        <v>124</v>
      </c>
      <c r="F9" s="156"/>
      <c r="G9" s="156"/>
      <c r="H9" s="156"/>
      <c r="I9" s="156"/>
      <c r="J9" s="156"/>
      <c r="K9" s="156"/>
      <c r="L9" s="156"/>
      <c r="M9" s="156"/>
      <c r="N9" s="156"/>
      <c r="O9" s="53" t="s">
        <v>183</v>
      </c>
      <c r="P9" s="54"/>
      <c r="Q9" s="54"/>
      <c r="R9" s="54"/>
      <c r="S9" s="54"/>
      <c r="T9" s="55"/>
      <c r="U9" s="157" t="s">
        <v>113</v>
      </c>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9"/>
    </row>
    <row r="10" spans="1:63" ht="15" customHeight="1" x14ac:dyDescent="0.25">
      <c r="A10" s="21"/>
      <c r="BK10" s="6"/>
    </row>
    <row r="11" spans="1:63" s="154" customFormat="1" ht="15" customHeight="1" x14ac:dyDescent="0.25">
      <c r="A11" s="160" t="s">
        <v>3</v>
      </c>
      <c r="B11" s="161"/>
      <c r="C11" s="161"/>
      <c r="D11" s="161"/>
      <c r="E11" s="161"/>
      <c r="F11" s="162"/>
      <c r="G11" s="156" t="s">
        <v>122</v>
      </c>
      <c r="H11" s="156"/>
      <c r="I11" s="156"/>
      <c r="J11" s="156"/>
      <c r="K11" s="156"/>
      <c r="L11" s="156"/>
      <c r="M11" s="163" t="s">
        <v>9</v>
      </c>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164"/>
      <c r="BI11" s="164"/>
      <c r="BJ11" s="164"/>
      <c r="BK11" s="165"/>
    </row>
    <row r="12" spans="1:63" s="154" customFormat="1" ht="15" customHeight="1" x14ac:dyDescent="0.25">
      <c r="A12" s="166" t="s">
        <v>4</v>
      </c>
      <c r="B12" s="167"/>
      <c r="C12" s="167"/>
      <c r="D12" s="167"/>
      <c r="E12" s="167"/>
      <c r="F12" s="167"/>
      <c r="G12" s="167"/>
      <c r="H12" s="167"/>
      <c r="I12" s="167"/>
      <c r="J12" s="167"/>
      <c r="K12" s="167"/>
      <c r="L12" s="168"/>
      <c r="M12" s="166" t="s">
        <v>5</v>
      </c>
      <c r="N12" s="167"/>
      <c r="O12" s="167"/>
      <c r="P12" s="167"/>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8"/>
      <c r="AU12" s="166" t="s">
        <v>6</v>
      </c>
      <c r="AV12" s="167"/>
      <c r="AW12" s="167"/>
      <c r="AX12" s="167"/>
      <c r="AY12" s="167"/>
      <c r="AZ12" s="167"/>
      <c r="BA12" s="167"/>
      <c r="BB12" s="167"/>
      <c r="BC12" s="167"/>
      <c r="BD12" s="167"/>
      <c r="BE12" s="167"/>
      <c r="BF12" s="166" t="s">
        <v>7</v>
      </c>
      <c r="BG12" s="167"/>
      <c r="BH12" s="167"/>
      <c r="BI12" s="167"/>
      <c r="BJ12" s="167"/>
      <c r="BK12" s="168"/>
    </row>
    <row r="13" spans="1:63" s="154" customFormat="1" ht="15" customHeight="1" x14ac:dyDescent="0.25">
      <c r="A13" s="169"/>
      <c r="B13" s="170"/>
      <c r="C13" s="170"/>
      <c r="D13" s="170"/>
      <c r="E13" s="170"/>
      <c r="F13" s="170"/>
      <c r="G13" s="170"/>
      <c r="H13" s="170"/>
      <c r="I13" s="170"/>
      <c r="J13" s="170"/>
      <c r="K13" s="170"/>
      <c r="L13" s="171"/>
      <c r="M13" s="169"/>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1"/>
      <c r="AU13" s="169"/>
      <c r="AV13" s="170"/>
      <c r="AW13" s="170"/>
      <c r="AX13" s="170"/>
      <c r="AY13" s="170"/>
      <c r="AZ13" s="170"/>
      <c r="BA13" s="170"/>
      <c r="BB13" s="170"/>
      <c r="BC13" s="170"/>
      <c r="BD13" s="170"/>
      <c r="BE13" s="170"/>
      <c r="BF13" s="169"/>
      <c r="BG13" s="170"/>
      <c r="BH13" s="170"/>
      <c r="BI13" s="170"/>
      <c r="BJ13" s="170"/>
      <c r="BK13" s="171"/>
    </row>
    <row r="14" spans="1:63" s="154" customFormat="1" ht="15" customHeight="1" x14ac:dyDescent="0.25">
      <c r="A14" s="8"/>
      <c r="B14" s="9"/>
      <c r="C14" s="9"/>
      <c r="D14" s="9"/>
      <c r="E14" s="9"/>
      <c r="F14" s="9"/>
      <c r="G14" s="9"/>
      <c r="H14" s="9"/>
      <c r="I14" s="9"/>
      <c r="J14" s="9"/>
      <c r="K14" s="9"/>
      <c r="L14" s="10"/>
      <c r="M14" s="172"/>
      <c r="N14" s="172"/>
      <c r="O14" s="172"/>
      <c r="P14" s="172"/>
      <c r="Q14" s="172"/>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8"/>
      <c r="AV14" s="9"/>
      <c r="AW14" s="9"/>
      <c r="AX14" s="9"/>
      <c r="AY14" s="9"/>
      <c r="AZ14" s="9"/>
      <c r="BA14" s="9"/>
      <c r="BB14" s="9"/>
      <c r="BC14" s="9"/>
      <c r="BD14" s="9"/>
      <c r="BE14" s="10"/>
      <c r="BF14" s="34" t="s">
        <v>49</v>
      </c>
      <c r="BG14" s="35"/>
      <c r="BH14" s="35"/>
      <c r="BI14" s="35"/>
      <c r="BJ14" s="35"/>
      <c r="BK14" s="36"/>
    </row>
    <row r="15" spans="1:63" s="154" customFormat="1" ht="15" customHeight="1" x14ac:dyDescent="0.25">
      <c r="A15" s="11"/>
      <c r="B15" s="19"/>
      <c r="C15" s="19"/>
      <c r="D15" s="19"/>
      <c r="E15" s="19"/>
      <c r="F15" s="19"/>
      <c r="G15" s="19"/>
      <c r="H15" s="19"/>
      <c r="I15" s="19"/>
      <c r="J15" s="19"/>
      <c r="K15" s="19"/>
      <c r="L15" s="12"/>
      <c r="M15" s="172"/>
      <c r="N15" s="22" t="s">
        <v>185</v>
      </c>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1"/>
      <c r="AV15" s="19"/>
      <c r="AW15" s="19"/>
      <c r="AX15" s="19"/>
      <c r="AY15" s="19"/>
      <c r="AZ15" s="19"/>
      <c r="BA15" s="19"/>
      <c r="BB15" s="19"/>
      <c r="BC15" s="19"/>
      <c r="BD15" s="19"/>
      <c r="BE15" s="12"/>
      <c r="BF15" s="37"/>
      <c r="BG15" s="38"/>
      <c r="BH15" s="38"/>
      <c r="BI15" s="38"/>
      <c r="BJ15" s="38"/>
      <c r="BK15" s="39"/>
    </row>
    <row r="16" spans="1:63" s="154" customFormat="1" ht="15" customHeight="1" x14ac:dyDescent="0.25">
      <c r="A16" s="11"/>
      <c r="B16" s="19"/>
      <c r="C16" s="19"/>
      <c r="D16" s="19"/>
      <c r="E16" s="19"/>
      <c r="F16" s="19"/>
      <c r="G16" s="19"/>
      <c r="H16" s="19"/>
      <c r="I16" s="19"/>
      <c r="J16" s="19"/>
      <c r="K16" s="19"/>
      <c r="L16" s="12"/>
      <c r="M16" s="174"/>
      <c r="N16" s="172"/>
      <c r="O16" s="175" t="s">
        <v>126</v>
      </c>
      <c r="P16" s="175"/>
      <c r="Q16" s="175"/>
      <c r="R16" s="175"/>
      <c r="S16" s="175"/>
      <c r="T16" s="175"/>
      <c r="U16" s="175"/>
      <c r="V16" s="175"/>
      <c r="W16" s="175"/>
      <c r="X16" s="175"/>
      <c r="Y16" s="175"/>
      <c r="Z16" s="175"/>
      <c r="AA16" s="175"/>
      <c r="AB16" s="175"/>
      <c r="AC16" s="175"/>
      <c r="AD16" s="175"/>
      <c r="AE16" s="175"/>
      <c r="AF16" s="175"/>
      <c r="AG16" s="175"/>
      <c r="AH16" s="175"/>
      <c r="AI16" s="175"/>
      <c r="AJ16" s="172"/>
      <c r="AK16" s="172"/>
      <c r="AL16" s="172"/>
      <c r="AM16" s="172"/>
      <c r="AN16" s="172"/>
      <c r="AO16" s="172"/>
      <c r="AP16" s="172"/>
      <c r="AQ16" s="172"/>
      <c r="AR16" s="172"/>
      <c r="AS16" s="172"/>
      <c r="AT16" s="172"/>
      <c r="AU16" s="11"/>
      <c r="AV16" s="19"/>
      <c r="AW16" s="19"/>
      <c r="AX16" s="19"/>
      <c r="AY16" s="19"/>
      <c r="AZ16" s="19"/>
      <c r="BA16" s="19"/>
      <c r="BB16" s="19"/>
      <c r="BC16" s="19"/>
      <c r="BD16" s="19"/>
      <c r="BE16" s="12"/>
      <c r="BF16" s="37"/>
      <c r="BG16" s="38"/>
      <c r="BH16" s="38"/>
      <c r="BI16" s="38"/>
      <c r="BJ16" s="38"/>
      <c r="BK16" s="39"/>
    </row>
    <row r="17" spans="1:63" s="154" customFormat="1" ht="15" customHeight="1" x14ac:dyDescent="0.25">
      <c r="A17" s="11"/>
      <c r="B17" s="19"/>
      <c r="C17" s="19"/>
      <c r="D17" s="19"/>
      <c r="E17" s="19"/>
      <c r="F17" s="19"/>
      <c r="G17" s="19"/>
      <c r="H17" s="19"/>
      <c r="I17" s="19"/>
      <c r="J17" s="19"/>
      <c r="K17" s="19"/>
      <c r="L17" s="12"/>
      <c r="M17" s="172"/>
      <c r="N17" s="172"/>
      <c r="O17" s="175"/>
      <c r="P17" s="175"/>
      <c r="Q17" s="175"/>
      <c r="R17" s="175"/>
      <c r="S17" s="175"/>
      <c r="T17" s="175"/>
      <c r="U17" s="175"/>
      <c r="V17" s="175"/>
      <c r="W17" s="175"/>
      <c r="X17" s="175"/>
      <c r="Y17" s="175"/>
      <c r="Z17" s="175"/>
      <c r="AA17" s="175"/>
      <c r="AB17" s="175"/>
      <c r="AC17" s="175"/>
      <c r="AD17" s="175"/>
      <c r="AE17" s="175"/>
      <c r="AF17" s="175"/>
      <c r="AG17" s="175"/>
      <c r="AH17" s="175"/>
      <c r="AI17" s="175"/>
      <c r="AJ17" s="172"/>
      <c r="AK17" s="172"/>
      <c r="AL17" s="172"/>
      <c r="AM17" s="172"/>
      <c r="AN17" s="172"/>
      <c r="AO17" s="172"/>
      <c r="AP17" s="172"/>
      <c r="AQ17" s="172"/>
      <c r="AR17" s="172"/>
      <c r="AS17" s="172"/>
      <c r="AT17" s="172"/>
      <c r="AU17" s="11"/>
      <c r="AV17" s="19"/>
      <c r="AW17" s="19"/>
      <c r="AX17" s="19"/>
      <c r="AY17" s="19"/>
      <c r="AZ17" s="19"/>
      <c r="BA17" s="19"/>
      <c r="BB17" s="19"/>
      <c r="BC17" s="19"/>
      <c r="BD17" s="19"/>
      <c r="BE17" s="12"/>
      <c r="BF17" s="37"/>
      <c r="BG17" s="38"/>
      <c r="BH17" s="38"/>
      <c r="BI17" s="38"/>
      <c r="BJ17" s="38"/>
      <c r="BK17" s="39"/>
    </row>
    <row r="18" spans="1:63" s="154" customFormat="1" ht="15" customHeight="1" x14ac:dyDescent="0.25">
      <c r="A18" s="11"/>
      <c r="B18" s="19"/>
      <c r="C18" s="19"/>
      <c r="D18" s="19"/>
      <c r="E18" s="19"/>
      <c r="F18" s="19"/>
      <c r="G18" s="19"/>
      <c r="H18" s="19"/>
      <c r="I18" s="19"/>
      <c r="J18" s="19"/>
      <c r="K18" s="19"/>
      <c r="L18" s="12"/>
      <c r="M18" s="172"/>
      <c r="N18" s="172"/>
      <c r="O18" s="175"/>
      <c r="P18" s="175"/>
      <c r="Q18" s="175"/>
      <c r="R18" s="175"/>
      <c r="S18" s="175"/>
      <c r="T18" s="175"/>
      <c r="U18" s="175"/>
      <c r="V18" s="175"/>
      <c r="W18" s="175"/>
      <c r="X18" s="175"/>
      <c r="Y18" s="175"/>
      <c r="Z18" s="175"/>
      <c r="AA18" s="175"/>
      <c r="AB18" s="175"/>
      <c r="AC18" s="175"/>
      <c r="AD18" s="175"/>
      <c r="AE18" s="175"/>
      <c r="AF18" s="175"/>
      <c r="AG18" s="175"/>
      <c r="AH18" s="175"/>
      <c r="AI18" s="175"/>
      <c r="AJ18" s="172"/>
      <c r="AK18" s="172"/>
      <c r="AL18" s="172"/>
      <c r="AM18" s="172"/>
      <c r="AN18" s="172"/>
      <c r="AO18" s="172"/>
      <c r="AP18" s="172"/>
      <c r="AQ18" s="172"/>
      <c r="AR18" s="172"/>
      <c r="AS18" s="172"/>
      <c r="AT18" s="172"/>
      <c r="AU18" s="11"/>
      <c r="AV18" s="19"/>
      <c r="AW18" s="19"/>
      <c r="AX18" s="19"/>
      <c r="AY18" s="19"/>
      <c r="AZ18" s="19"/>
      <c r="BA18" s="19"/>
      <c r="BB18" s="19"/>
      <c r="BC18" s="19"/>
      <c r="BD18" s="19"/>
      <c r="BE18" s="12"/>
      <c r="BF18" s="37"/>
      <c r="BG18" s="38"/>
      <c r="BH18" s="38"/>
      <c r="BI18" s="38"/>
      <c r="BJ18" s="38"/>
      <c r="BK18" s="39"/>
    </row>
    <row r="19" spans="1:63" s="154" customFormat="1" ht="15" customHeight="1" x14ac:dyDescent="0.25">
      <c r="A19" s="13"/>
      <c r="B19" s="14"/>
      <c r="C19" s="14"/>
      <c r="D19" s="14"/>
      <c r="E19" s="14"/>
      <c r="F19" s="14"/>
      <c r="G19" s="14"/>
      <c r="H19" s="14"/>
      <c r="I19" s="14"/>
      <c r="J19" s="14"/>
      <c r="K19" s="14"/>
      <c r="L19" s="15"/>
      <c r="M19" s="176"/>
      <c r="N19" s="177"/>
      <c r="O19" s="177"/>
      <c r="P19" s="177"/>
      <c r="Q19" s="177"/>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178"/>
      <c r="AQ19" s="178"/>
      <c r="AR19" s="178"/>
      <c r="AS19" s="178"/>
      <c r="AT19" s="178"/>
      <c r="AU19" s="13"/>
      <c r="AV19" s="14"/>
      <c r="AW19" s="14"/>
      <c r="AX19" s="14"/>
      <c r="AY19" s="14"/>
      <c r="AZ19" s="14"/>
      <c r="BA19" s="14"/>
      <c r="BB19" s="14"/>
      <c r="BC19" s="14"/>
      <c r="BD19" s="14"/>
      <c r="BE19" s="15"/>
      <c r="BF19" s="40"/>
      <c r="BG19" s="41"/>
      <c r="BH19" s="41"/>
      <c r="BI19" s="41"/>
      <c r="BJ19" s="41"/>
      <c r="BK19" s="42"/>
    </row>
    <row r="20" spans="1:63" ht="15" customHeight="1" x14ac:dyDescent="0.25">
      <c r="A20" s="16"/>
      <c r="BK20" s="6"/>
    </row>
    <row r="21" spans="1:63" ht="15" customHeight="1" x14ac:dyDescent="0.25">
      <c r="A21" s="21"/>
      <c r="BK21" s="6"/>
    </row>
    <row r="22" spans="1:63" ht="15" customHeight="1" x14ac:dyDescent="0.25">
      <c r="A22" s="21"/>
      <c r="BK22" s="6"/>
    </row>
    <row r="23" spans="1:63" s="154" customFormat="1" ht="15" customHeight="1" x14ac:dyDescent="0.25">
      <c r="A23" s="160" t="s">
        <v>3</v>
      </c>
      <c r="B23" s="161"/>
      <c r="C23" s="161"/>
      <c r="D23" s="161"/>
      <c r="E23" s="161"/>
      <c r="F23" s="162"/>
      <c r="G23" s="156" t="s">
        <v>123</v>
      </c>
      <c r="H23" s="156"/>
      <c r="I23" s="156"/>
      <c r="J23" s="156"/>
      <c r="K23" s="156"/>
      <c r="L23" s="156"/>
      <c r="M23" s="163" t="s">
        <v>117</v>
      </c>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164"/>
      <c r="BI23" s="164"/>
      <c r="BJ23" s="164"/>
      <c r="BK23" s="165"/>
    </row>
    <row r="24" spans="1:63" s="154" customFormat="1" ht="15" customHeight="1" x14ac:dyDescent="0.25">
      <c r="A24" s="166" t="s">
        <v>4</v>
      </c>
      <c r="B24" s="167"/>
      <c r="C24" s="167"/>
      <c r="D24" s="167"/>
      <c r="E24" s="167"/>
      <c r="F24" s="167"/>
      <c r="G24" s="167"/>
      <c r="H24" s="167"/>
      <c r="I24" s="167"/>
      <c r="J24" s="167"/>
      <c r="K24" s="167"/>
      <c r="L24" s="168"/>
      <c r="M24" s="166" t="s">
        <v>5</v>
      </c>
      <c r="N24" s="167"/>
      <c r="O24" s="167"/>
      <c r="P24" s="167"/>
      <c r="Q24" s="167"/>
      <c r="R24" s="167"/>
      <c r="S24" s="167"/>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8"/>
      <c r="AU24" s="166" t="s">
        <v>6</v>
      </c>
      <c r="AV24" s="167"/>
      <c r="AW24" s="167"/>
      <c r="AX24" s="167"/>
      <c r="AY24" s="167"/>
      <c r="AZ24" s="167"/>
      <c r="BA24" s="167"/>
      <c r="BB24" s="167"/>
      <c r="BC24" s="167"/>
      <c r="BD24" s="167"/>
      <c r="BE24" s="167"/>
      <c r="BF24" s="166" t="s">
        <v>7</v>
      </c>
      <c r="BG24" s="167"/>
      <c r="BH24" s="167"/>
      <c r="BI24" s="167"/>
      <c r="BJ24" s="167"/>
      <c r="BK24" s="168"/>
    </row>
    <row r="25" spans="1:63" s="154" customFormat="1" ht="15" customHeight="1" x14ac:dyDescent="0.25">
      <c r="A25" s="169"/>
      <c r="B25" s="170"/>
      <c r="C25" s="170"/>
      <c r="D25" s="170"/>
      <c r="E25" s="170"/>
      <c r="F25" s="170"/>
      <c r="G25" s="170"/>
      <c r="H25" s="170"/>
      <c r="I25" s="170"/>
      <c r="J25" s="170"/>
      <c r="K25" s="170"/>
      <c r="L25" s="171"/>
      <c r="M25" s="169"/>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1"/>
      <c r="AU25" s="169"/>
      <c r="AV25" s="170"/>
      <c r="AW25" s="170"/>
      <c r="AX25" s="170"/>
      <c r="AY25" s="170"/>
      <c r="AZ25" s="170"/>
      <c r="BA25" s="170"/>
      <c r="BB25" s="170"/>
      <c r="BC25" s="170"/>
      <c r="BD25" s="170"/>
      <c r="BE25" s="170"/>
      <c r="BF25" s="169"/>
      <c r="BG25" s="170"/>
      <c r="BH25" s="170"/>
      <c r="BI25" s="170"/>
      <c r="BJ25" s="170"/>
      <c r="BK25" s="171"/>
    </row>
    <row r="26" spans="1:63" s="154" customFormat="1" ht="15" customHeight="1" x14ac:dyDescent="0.25">
      <c r="A26" s="8"/>
      <c r="B26" s="9"/>
      <c r="C26" s="9"/>
      <c r="D26" s="9"/>
      <c r="E26" s="9"/>
      <c r="F26" s="9"/>
      <c r="G26" s="9"/>
      <c r="H26" s="9"/>
      <c r="I26" s="9"/>
      <c r="J26" s="9"/>
      <c r="K26" s="9"/>
      <c r="L26" s="10"/>
      <c r="M26" s="172"/>
      <c r="N26" s="172"/>
      <c r="O26" s="172"/>
      <c r="P26" s="172"/>
      <c r="Q26" s="172"/>
      <c r="R26" s="173"/>
      <c r="S26" s="173"/>
      <c r="T26" s="173"/>
      <c r="U26" s="173"/>
      <c r="V26" s="173"/>
      <c r="W26" s="173"/>
      <c r="X26" s="173"/>
      <c r="Y26" s="173"/>
      <c r="Z26" s="173"/>
      <c r="AA26" s="173"/>
      <c r="AB26" s="173"/>
      <c r="AC26" s="173"/>
      <c r="AD26" s="173"/>
      <c r="AE26" s="173"/>
      <c r="AF26" s="173"/>
      <c r="AG26" s="173"/>
      <c r="AH26" s="173"/>
      <c r="AI26" s="173"/>
      <c r="AJ26" s="173"/>
      <c r="AK26" s="173"/>
      <c r="AL26" s="173"/>
      <c r="AM26" s="173"/>
      <c r="AN26" s="173"/>
      <c r="AO26" s="173"/>
      <c r="AP26" s="173"/>
      <c r="AQ26" s="173"/>
      <c r="AR26" s="173"/>
      <c r="AS26" s="173"/>
      <c r="AT26" s="173"/>
      <c r="AU26" s="8"/>
      <c r="AV26" s="9"/>
      <c r="AW26" s="9"/>
      <c r="AX26" s="9"/>
      <c r="AY26" s="9"/>
      <c r="AZ26" s="9"/>
      <c r="BA26" s="9"/>
      <c r="BB26" s="9"/>
      <c r="BC26" s="9"/>
      <c r="BD26" s="9"/>
      <c r="BE26" s="10"/>
      <c r="BF26" s="34"/>
      <c r="BG26" s="35"/>
      <c r="BH26" s="35"/>
      <c r="BI26" s="35"/>
      <c r="BJ26" s="35"/>
      <c r="BK26" s="36"/>
    </row>
    <row r="27" spans="1:63" s="154" customFormat="1" ht="15" customHeight="1" x14ac:dyDescent="0.25">
      <c r="A27" s="11"/>
      <c r="B27" s="19"/>
      <c r="C27" s="19"/>
      <c r="D27" s="19"/>
      <c r="E27" s="19"/>
      <c r="F27" s="19"/>
      <c r="G27" s="19"/>
      <c r="H27" s="19"/>
      <c r="I27" s="19"/>
      <c r="J27" s="19"/>
      <c r="K27" s="19"/>
      <c r="L27" s="12"/>
      <c r="M27" s="172"/>
      <c r="N27" s="22" t="s">
        <v>222</v>
      </c>
      <c r="O27" s="172"/>
      <c r="P27" s="172"/>
      <c r="Q27" s="172"/>
      <c r="R27" s="172"/>
      <c r="S27" s="172"/>
      <c r="T27" s="172"/>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172"/>
      <c r="AR27" s="172"/>
      <c r="AS27" s="172"/>
      <c r="AT27" s="172"/>
      <c r="AU27" s="11"/>
      <c r="AV27" s="19"/>
      <c r="AW27" s="19"/>
      <c r="AX27" s="19"/>
      <c r="AY27" s="19"/>
      <c r="AZ27" s="19"/>
      <c r="BA27" s="19"/>
      <c r="BB27" s="19"/>
      <c r="BC27" s="19"/>
      <c r="BD27" s="19"/>
      <c r="BE27" s="12"/>
      <c r="BF27" s="37"/>
      <c r="BG27" s="38"/>
      <c r="BH27" s="38"/>
      <c r="BI27" s="38"/>
      <c r="BJ27" s="38"/>
      <c r="BK27" s="39"/>
    </row>
    <row r="28" spans="1:63" s="154" customFormat="1" ht="15" customHeight="1" x14ac:dyDescent="0.25">
      <c r="A28" s="11"/>
      <c r="B28" s="19"/>
      <c r="C28" s="19"/>
      <c r="D28" s="19"/>
      <c r="E28" s="19"/>
      <c r="F28" s="19"/>
      <c r="G28" s="19"/>
      <c r="H28" s="19"/>
      <c r="I28" s="19"/>
      <c r="J28" s="19"/>
      <c r="K28" s="19"/>
      <c r="L28" s="12"/>
      <c r="M28" s="174"/>
      <c r="N28" s="172"/>
      <c r="O28" s="22" t="s">
        <v>118</v>
      </c>
      <c r="P28" s="175"/>
      <c r="Q28" s="175"/>
      <c r="R28" s="175"/>
      <c r="S28" s="175"/>
      <c r="T28" s="175"/>
      <c r="U28" s="175"/>
      <c r="V28" s="175"/>
      <c r="W28" s="175"/>
      <c r="X28" s="175"/>
      <c r="Y28" s="175"/>
      <c r="Z28" s="175"/>
      <c r="AA28" s="175"/>
      <c r="AB28" s="175"/>
      <c r="AC28" s="175"/>
      <c r="AD28" s="175"/>
      <c r="AE28" s="175"/>
      <c r="AF28" s="175"/>
      <c r="AG28" s="175"/>
      <c r="AH28" s="175"/>
      <c r="AI28" s="175"/>
      <c r="AJ28" s="172"/>
      <c r="AK28" s="172"/>
      <c r="AL28" s="172"/>
      <c r="AM28" s="172"/>
      <c r="AN28" s="172"/>
      <c r="AO28" s="172"/>
      <c r="AP28" s="172"/>
      <c r="AQ28" s="172"/>
      <c r="AR28" s="172"/>
      <c r="AS28" s="172"/>
      <c r="AT28" s="172"/>
      <c r="AU28" s="11"/>
      <c r="AV28" s="19"/>
      <c r="AW28" s="19"/>
      <c r="AX28" s="19"/>
      <c r="AY28" s="19"/>
      <c r="AZ28" s="19"/>
      <c r="BA28" s="19"/>
      <c r="BB28" s="19"/>
      <c r="BC28" s="19"/>
      <c r="BD28" s="19"/>
      <c r="BE28" s="12"/>
      <c r="BF28" s="37"/>
      <c r="BG28" s="38"/>
      <c r="BH28" s="38"/>
      <c r="BI28" s="38"/>
      <c r="BJ28" s="38"/>
      <c r="BK28" s="39"/>
    </row>
    <row r="29" spans="1:63" s="154" customFormat="1" ht="15" customHeight="1" x14ac:dyDescent="0.25">
      <c r="A29" s="11"/>
      <c r="B29" s="19"/>
      <c r="C29" s="19"/>
      <c r="D29" s="19"/>
      <c r="E29" s="19"/>
      <c r="F29" s="19"/>
      <c r="G29" s="19"/>
      <c r="H29" s="19"/>
      <c r="I29" s="19"/>
      <c r="J29" s="19"/>
      <c r="K29" s="19"/>
      <c r="L29" s="12"/>
      <c r="M29" s="172"/>
      <c r="O29" s="175"/>
      <c r="P29" s="175"/>
      <c r="Q29" s="175"/>
      <c r="R29" s="175"/>
      <c r="S29" s="175"/>
      <c r="T29" s="175"/>
      <c r="U29" s="175"/>
      <c r="V29" s="175"/>
      <c r="W29" s="175"/>
      <c r="X29" s="175"/>
      <c r="Y29" s="175"/>
      <c r="Z29" s="175"/>
      <c r="AA29" s="175"/>
      <c r="AB29" s="175"/>
      <c r="AC29" s="175"/>
      <c r="AD29" s="175"/>
      <c r="AE29" s="175"/>
      <c r="AF29" s="175"/>
      <c r="AG29" s="175"/>
      <c r="AH29" s="175"/>
      <c r="AI29" s="175"/>
      <c r="AJ29" s="172"/>
      <c r="AK29" s="172"/>
      <c r="AL29" s="172"/>
      <c r="AM29" s="172"/>
      <c r="AN29" s="172"/>
      <c r="AO29" s="172"/>
      <c r="AP29" s="172"/>
      <c r="AQ29" s="172"/>
      <c r="AR29" s="172"/>
      <c r="AS29" s="172"/>
      <c r="AT29" s="172"/>
      <c r="AU29" s="11"/>
      <c r="AV29" s="19"/>
      <c r="AW29" s="19"/>
      <c r="AX29" s="19"/>
      <c r="AY29" s="19"/>
      <c r="AZ29" s="19"/>
      <c r="BA29" s="19"/>
      <c r="BB29" s="19"/>
      <c r="BC29" s="19"/>
      <c r="BD29" s="19"/>
      <c r="BE29" s="12"/>
      <c r="BF29" s="37"/>
      <c r="BG29" s="38"/>
      <c r="BH29" s="38"/>
      <c r="BI29" s="38"/>
      <c r="BJ29" s="38"/>
      <c r="BK29" s="39"/>
    </row>
    <row r="30" spans="1:63" s="154" customFormat="1" ht="15" customHeight="1" x14ac:dyDescent="0.25">
      <c r="A30" s="11"/>
      <c r="B30" s="19"/>
      <c r="C30" s="19"/>
      <c r="D30" s="19"/>
      <c r="E30" s="19"/>
      <c r="F30" s="19"/>
      <c r="G30" s="19"/>
      <c r="H30" s="19"/>
      <c r="I30" s="19"/>
      <c r="J30" s="19"/>
      <c r="K30" s="19"/>
      <c r="L30" s="12"/>
      <c r="M30" s="172"/>
      <c r="N30" s="172"/>
      <c r="O30" s="175"/>
      <c r="P30" s="175"/>
      <c r="Q30" s="175"/>
      <c r="R30" s="175"/>
      <c r="S30" s="175"/>
      <c r="T30" s="175"/>
      <c r="U30" s="175"/>
      <c r="V30" s="175"/>
      <c r="W30" s="175"/>
      <c r="X30" s="175"/>
      <c r="Y30" s="175"/>
      <c r="Z30" s="175"/>
      <c r="AA30" s="175"/>
      <c r="AB30" s="175"/>
      <c r="AC30" s="175"/>
      <c r="AD30" s="175"/>
      <c r="AE30" s="175"/>
      <c r="AF30" s="175"/>
      <c r="AG30" s="175"/>
      <c r="AH30" s="175"/>
      <c r="AI30" s="175"/>
      <c r="AJ30" s="172"/>
      <c r="AK30" s="172"/>
      <c r="AL30" s="172"/>
      <c r="AM30" s="172"/>
      <c r="AN30" s="172"/>
      <c r="AO30" s="172"/>
      <c r="AP30" s="172"/>
      <c r="AQ30" s="172"/>
      <c r="AR30" s="172"/>
      <c r="AS30" s="172"/>
      <c r="AT30" s="172"/>
      <c r="AU30" s="11"/>
      <c r="AV30" s="19"/>
      <c r="AW30" s="19"/>
      <c r="AX30" s="19"/>
      <c r="AY30" s="19"/>
      <c r="AZ30" s="19"/>
      <c r="BA30" s="19"/>
      <c r="BB30" s="19"/>
      <c r="BC30" s="19"/>
      <c r="BD30" s="19"/>
      <c r="BE30" s="12"/>
      <c r="BF30" s="37"/>
      <c r="BG30" s="38"/>
      <c r="BH30" s="38"/>
      <c r="BI30" s="38"/>
      <c r="BJ30" s="38"/>
      <c r="BK30" s="39"/>
    </row>
    <row r="31" spans="1:63" s="154" customFormat="1" ht="15" customHeight="1" x14ac:dyDescent="0.25">
      <c r="A31" s="13"/>
      <c r="B31" s="14"/>
      <c r="C31" s="14"/>
      <c r="D31" s="14"/>
      <c r="E31" s="14"/>
      <c r="F31" s="14"/>
      <c r="G31" s="14"/>
      <c r="H31" s="14"/>
      <c r="I31" s="14"/>
      <c r="J31" s="14"/>
      <c r="K31" s="14"/>
      <c r="L31" s="15"/>
      <c r="M31" s="176"/>
      <c r="N31" s="177"/>
      <c r="O31" s="177"/>
      <c r="P31" s="177"/>
      <c r="Q31" s="177"/>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178"/>
      <c r="AQ31" s="178"/>
      <c r="AR31" s="178"/>
      <c r="AS31" s="178"/>
      <c r="AT31" s="178"/>
      <c r="AU31" s="13"/>
      <c r="AV31" s="14"/>
      <c r="AW31" s="14"/>
      <c r="AX31" s="14"/>
      <c r="AY31" s="14"/>
      <c r="AZ31" s="14"/>
      <c r="BA31" s="14"/>
      <c r="BB31" s="14"/>
      <c r="BC31" s="14"/>
      <c r="BD31" s="14"/>
      <c r="BE31" s="15"/>
      <c r="BF31" s="40"/>
      <c r="BG31" s="41"/>
      <c r="BH31" s="41"/>
      <c r="BI31" s="41"/>
      <c r="BJ31" s="41"/>
      <c r="BK31" s="42"/>
    </row>
    <row r="32" spans="1:63" ht="15" customHeight="1" x14ac:dyDescent="0.25">
      <c r="A32" s="21"/>
      <c r="BK32" s="6"/>
    </row>
    <row r="33" spans="1:63" ht="15" customHeight="1" x14ac:dyDescent="0.25">
      <c r="BK33" s="6"/>
    </row>
    <row r="34" spans="1:63" ht="15" customHeight="1" x14ac:dyDescent="0.25">
      <c r="A34" s="21"/>
      <c r="BK34" s="6"/>
    </row>
    <row r="35" spans="1:63" s="154" customFormat="1" ht="15" customHeight="1" x14ac:dyDescent="0.25">
      <c r="A35" s="160" t="s">
        <v>3</v>
      </c>
      <c r="B35" s="161"/>
      <c r="C35" s="161"/>
      <c r="D35" s="161"/>
      <c r="E35" s="161"/>
      <c r="F35" s="162"/>
      <c r="G35" s="156" t="s">
        <v>121</v>
      </c>
      <c r="H35" s="156"/>
      <c r="I35" s="156"/>
      <c r="J35" s="156"/>
      <c r="K35" s="156"/>
      <c r="L35" s="156"/>
      <c r="M35" s="163" t="s">
        <v>120</v>
      </c>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164"/>
      <c r="BI35" s="164"/>
      <c r="BJ35" s="164"/>
      <c r="BK35" s="165"/>
    </row>
    <row r="36" spans="1:63" s="154" customFormat="1" ht="15" customHeight="1" x14ac:dyDescent="0.25">
      <c r="A36" s="166" t="s">
        <v>4</v>
      </c>
      <c r="B36" s="167"/>
      <c r="C36" s="167"/>
      <c r="D36" s="167"/>
      <c r="E36" s="167"/>
      <c r="F36" s="167"/>
      <c r="G36" s="167"/>
      <c r="H36" s="167"/>
      <c r="I36" s="167"/>
      <c r="J36" s="167"/>
      <c r="K36" s="167"/>
      <c r="L36" s="168"/>
      <c r="M36" s="166" t="s">
        <v>5</v>
      </c>
      <c r="N36" s="167"/>
      <c r="O36" s="167"/>
      <c r="P36" s="167"/>
      <c r="Q36" s="167"/>
      <c r="R36" s="167"/>
      <c r="S36" s="167"/>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8"/>
      <c r="AU36" s="166" t="s">
        <v>6</v>
      </c>
      <c r="AV36" s="167"/>
      <c r="AW36" s="167"/>
      <c r="AX36" s="167"/>
      <c r="AY36" s="167"/>
      <c r="AZ36" s="167"/>
      <c r="BA36" s="167"/>
      <c r="BB36" s="167"/>
      <c r="BC36" s="167"/>
      <c r="BD36" s="167"/>
      <c r="BE36" s="167"/>
      <c r="BF36" s="166" t="s">
        <v>7</v>
      </c>
      <c r="BG36" s="167"/>
      <c r="BH36" s="167"/>
      <c r="BI36" s="167"/>
      <c r="BJ36" s="167"/>
      <c r="BK36" s="168"/>
    </row>
    <row r="37" spans="1:63" s="154" customFormat="1" ht="15" customHeight="1" x14ac:dyDescent="0.25">
      <c r="A37" s="169"/>
      <c r="B37" s="170"/>
      <c r="C37" s="170"/>
      <c r="D37" s="170"/>
      <c r="E37" s="170"/>
      <c r="F37" s="170"/>
      <c r="G37" s="170"/>
      <c r="H37" s="170"/>
      <c r="I37" s="170"/>
      <c r="J37" s="170"/>
      <c r="K37" s="170"/>
      <c r="L37" s="171"/>
      <c r="M37" s="169"/>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1"/>
      <c r="AU37" s="169"/>
      <c r="AV37" s="170"/>
      <c r="AW37" s="170"/>
      <c r="AX37" s="170"/>
      <c r="AY37" s="170"/>
      <c r="AZ37" s="170"/>
      <c r="BA37" s="170"/>
      <c r="BB37" s="170"/>
      <c r="BC37" s="170"/>
      <c r="BD37" s="170"/>
      <c r="BE37" s="170"/>
      <c r="BF37" s="169"/>
      <c r="BG37" s="170"/>
      <c r="BH37" s="170"/>
      <c r="BI37" s="170"/>
      <c r="BJ37" s="170"/>
      <c r="BK37" s="171"/>
    </row>
    <row r="38" spans="1:63" s="154" customFormat="1" ht="15" customHeight="1" x14ac:dyDescent="0.25">
      <c r="A38" s="11"/>
      <c r="B38" s="19"/>
      <c r="C38" s="19"/>
      <c r="D38" s="19"/>
      <c r="E38" s="19"/>
      <c r="F38" s="19"/>
      <c r="G38" s="19"/>
      <c r="H38" s="19"/>
      <c r="I38" s="19"/>
      <c r="J38" s="19"/>
      <c r="K38" s="19"/>
      <c r="L38" s="12"/>
      <c r="M38" s="172"/>
      <c r="O38" s="175"/>
      <c r="P38" s="175"/>
      <c r="Q38" s="175"/>
      <c r="R38" s="175"/>
      <c r="S38" s="175"/>
      <c r="T38" s="175"/>
      <c r="U38" s="175"/>
      <c r="V38" s="175"/>
      <c r="W38" s="175"/>
      <c r="X38" s="175"/>
      <c r="Y38" s="175"/>
      <c r="Z38" s="175"/>
      <c r="AA38" s="175"/>
      <c r="AB38" s="175"/>
      <c r="AC38" s="175"/>
      <c r="AD38" s="175"/>
      <c r="AE38" s="175"/>
      <c r="AF38" s="175"/>
      <c r="AG38" s="175"/>
      <c r="AH38" s="175"/>
      <c r="AI38" s="175"/>
      <c r="AJ38" s="172"/>
      <c r="AK38" s="172"/>
      <c r="AL38" s="172"/>
      <c r="AM38" s="172"/>
      <c r="AN38" s="172"/>
      <c r="AO38" s="172"/>
      <c r="AP38" s="172"/>
      <c r="AQ38" s="172"/>
      <c r="AR38" s="172"/>
      <c r="AS38" s="172"/>
      <c r="AT38" s="172"/>
      <c r="AU38" s="11"/>
      <c r="AV38" s="19"/>
      <c r="AW38" s="19"/>
      <c r="AX38" s="19"/>
      <c r="AY38" s="19"/>
      <c r="AZ38" s="19"/>
      <c r="BA38" s="19"/>
      <c r="BB38" s="19"/>
      <c r="BC38" s="19"/>
      <c r="BD38" s="19"/>
      <c r="BE38" s="12"/>
      <c r="BF38" s="37"/>
      <c r="BG38" s="38"/>
      <c r="BH38" s="38"/>
      <c r="BI38" s="38"/>
      <c r="BJ38" s="38"/>
      <c r="BK38" s="39"/>
    </row>
    <row r="39" spans="1:63" s="154" customFormat="1" ht="15" customHeight="1" x14ac:dyDescent="0.25">
      <c r="A39" s="11"/>
      <c r="B39" s="19"/>
      <c r="C39" s="19"/>
      <c r="D39" s="19"/>
      <c r="E39" s="19"/>
      <c r="F39" s="19"/>
      <c r="G39" s="19"/>
      <c r="H39" s="19"/>
      <c r="I39" s="19"/>
      <c r="J39" s="19"/>
      <c r="K39" s="19"/>
      <c r="L39" s="12"/>
      <c r="M39" s="172"/>
      <c r="N39" s="26" t="s">
        <v>225</v>
      </c>
      <c r="O39" s="175"/>
      <c r="P39" s="175"/>
      <c r="Q39" s="175"/>
      <c r="R39" s="175"/>
      <c r="S39" s="175"/>
      <c r="T39" s="175"/>
      <c r="U39" s="175"/>
      <c r="V39" s="175"/>
      <c r="W39" s="175"/>
      <c r="X39" s="175"/>
      <c r="Y39" s="175"/>
      <c r="Z39" s="175"/>
      <c r="AA39" s="175"/>
      <c r="AB39" s="175"/>
      <c r="AC39" s="175"/>
      <c r="AD39" s="175"/>
      <c r="AE39" s="175"/>
      <c r="AF39" s="175"/>
      <c r="AG39" s="175"/>
      <c r="AH39" s="175"/>
      <c r="AI39" s="175"/>
      <c r="AJ39" s="172"/>
      <c r="AK39" s="172"/>
      <c r="AL39" s="172"/>
      <c r="AM39" s="172"/>
      <c r="AN39" s="172"/>
      <c r="AO39" s="172"/>
      <c r="AP39" s="172"/>
      <c r="AQ39" s="172"/>
      <c r="AR39" s="172"/>
      <c r="AS39" s="172"/>
      <c r="AT39" s="172"/>
      <c r="AU39" s="11"/>
      <c r="AV39" s="19"/>
      <c r="AW39" s="19"/>
      <c r="AX39" s="19"/>
      <c r="AY39" s="19"/>
      <c r="AZ39" s="19"/>
      <c r="BA39" s="19"/>
      <c r="BB39" s="19"/>
      <c r="BC39" s="19"/>
      <c r="BD39" s="19"/>
      <c r="BE39" s="12"/>
      <c r="BF39" s="37"/>
      <c r="BG39" s="38"/>
      <c r="BH39" s="38"/>
      <c r="BI39" s="38"/>
      <c r="BJ39" s="38"/>
      <c r="BK39" s="39"/>
    </row>
    <row r="40" spans="1:63" s="154" customFormat="1" ht="15" customHeight="1" x14ac:dyDescent="0.25">
      <c r="A40" s="11"/>
      <c r="B40" s="19"/>
      <c r="C40" s="19"/>
      <c r="D40" s="19"/>
      <c r="E40" s="19"/>
      <c r="F40" s="19"/>
      <c r="G40" s="19"/>
      <c r="H40" s="19"/>
      <c r="I40" s="19"/>
      <c r="J40" s="19"/>
      <c r="K40" s="19"/>
      <c r="L40" s="12"/>
      <c r="M40" s="172"/>
      <c r="N40" s="26"/>
      <c r="O40" s="175" t="s">
        <v>226</v>
      </c>
      <c r="P40" s="175"/>
      <c r="Q40" s="175"/>
      <c r="R40" s="175"/>
      <c r="S40" s="175"/>
      <c r="T40" s="175"/>
      <c r="U40" s="175"/>
      <c r="V40" s="175"/>
      <c r="W40" s="175"/>
      <c r="X40" s="175"/>
      <c r="Y40" s="175"/>
      <c r="Z40" s="175"/>
      <c r="AA40" s="175"/>
      <c r="AB40" s="175"/>
      <c r="AC40" s="175"/>
      <c r="AD40" s="175"/>
      <c r="AE40" s="175"/>
      <c r="AF40" s="175"/>
      <c r="AG40" s="175"/>
      <c r="AH40" s="175"/>
      <c r="AI40" s="175"/>
      <c r="AJ40" s="172"/>
      <c r="AK40" s="172"/>
      <c r="AL40" s="172"/>
      <c r="AM40" s="172"/>
      <c r="AN40" s="172"/>
      <c r="AO40" s="172"/>
      <c r="AP40" s="172"/>
      <c r="AQ40" s="172"/>
      <c r="AR40" s="172"/>
      <c r="AS40" s="172"/>
      <c r="AT40" s="172"/>
      <c r="AU40" s="11"/>
      <c r="AV40" s="19"/>
      <c r="AW40" s="19"/>
      <c r="AX40" s="19"/>
      <c r="AY40" s="19"/>
      <c r="AZ40" s="19"/>
      <c r="BA40" s="19"/>
      <c r="BB40" s="19"/>
      <c r="BC40" s="19"/>
      <c r="BD40" s="19"/>
      <c r="BE40" s="12"/>
      <c r="BF40" s="37"/>
      <c r="BG40" s="38"/>
      <c r="BH40" s="38"/>
      <c r="BI40" s="38"/>
      <c r="BJ40" s="38"/>
      <c r="BK40" s="39"/>
    </row>
    <row r="41" spans="1:63" s="154" customFormat="1" ht="15" customHeight="1" x14ac:dyDescent="0.25">
      <c r="A41" s="11"/>
      <c r="B41" s="19"/>
      <c r="C41" s="19"/>
      <c r="D41" s="19"/>
      <c r="E41" s="19"/>
      <c r="F41" s="19"/>
      <c r="G41" s="19"/>
      <c r="H41" s="19"/>
      <c r="I41" s="19"/>
      <c r="J41" s="19"/>
      <c r="K41" s="19"/>
      <c r="L41" s="12"/>
      <c r="M41" s="172"/>
      <c r="N41" s="172"/>
      <c r="O41" s="175" t="s">
        <v>227</v>
      </c>
      <c r="P41" s="175"/>
      <c r="Q41" s="175"/>
      <c r="R41" s="175"/>
      <c r="S41" s="175"/>
      <c r="T41" s="175"/>
      <c r="U41" s="175"/>
      <c r="V41" s="175"/>
      <c r="W41" s="175"/>
      <c r="X41" s="175"/>
      <c r="Y41" s="175"/>
      <c r="Z41" s="175"/>
      <c r="AA41" s="175"/>
      <c r="AB41" s="175"/>
      <c r="AC41" s="175"/>
      <c r="AD41" s="175"/>
      <c r="AE41" s="175"/>
      <c r="AF41" s="175"/>
      <c r="AG41" s="175"/>
      <c r="AH41" s="175"/>
      <c r="AI41" s="175"/>
      <c r="AJ41" s="172"/>
      <c r="AK41" s="172"/>
      <c r="AL41" s="172"/>
      <c r="AM41" s="172"/>
      <c r="AN41" s="172"/>
      <c r="AO41" s="172"/>
      <c r="AP41" s="172"/>
      <c r="AQ41" s="172"/>
      <c r="AR41" s="172"/>
      <c r="AS41" s="172"/>
      <c r="AT41" s="172"/>
      <c r="AU41" s="11"/>
      <c r="AV41" s="19"/>
      <c r="AW41" s="19"/>
      <c r="AX41" s="19"/>
      <c r="AY41" s="19"/>
      <c r="AZ41" s="19"/>
      <c r="BA41" s="19"/>
      <c r="BB41" s="19"/>
      <c r="BC41" s="19"/>
      <c r="BD41" s="19"/>
      <c r="BE41" s="12"/>
      <c r="BF41" s="37"/>
      <c r="BG41" s="38"/>
      <c r="BH41" s="38"/>
      <c r="BI41" s="38"/>
      <c r="BJ41" s="38"/>
      <c r="BK41" s="39"/>
    </row>
    <row r="42" spans="1:63" s="154" customFormat="1" ht="15" customHeight="1" x14ac:dyDescent="0.25">
      <c r="A42" s="11"/>
      <c r="B42" s="19"/>
      <c r="C42" s="19"/>
      <c r="D42" s="19"/>
      <c r="E42" s="19"/>
      <c r="F42" s="19"/>
      <c r="G42" s="19"/>
      <c r="H42" s="19"/>
      <c r="I42" s="19"/>
      <c r="J42" s="19"/>
      <c r="K42" s="19"/>
      <c r="L42" s="12"/>
      <c r="M42" s="172"/>
      <c r="N42" s="172"/>
      <c r="O42" s="175"/>
      <c r="P42" s="175"/>
      <c r="Q42" s="175"/>
      <c r="R42" s="175"/>
      <c r="S42" s="175"/>
      <c r="T42" s="175"/>
      <c r="U42" s="175"/>
      <c r="V42" s="175"/>
      <c r="W42" s="175"/>
      <c r="X42" s="175"/>
      <c r="Y42" s="175"/>
      <c r="Z42" s="175"/>
      <c r="AA42" s="175"/>
      <c r="AB42" s="175"/>
      <c r="AC42" s="175"/>
      <c r="AD42" s="175"/>
      <c r="AE42" s="175"/>
      <c r="AF42" s="175"/>
      <c r="AG42" s="175"/>
      <c r="AH42" s="175"/>
      <c r="AI42" s="175"/>
      <c r="AJ42" s="172"/>
      <c r="AK42" s="172"/>
      <c r="AL42" s="172"/>
      <c r="AM42" s="172"/>
      <c r="AN42" s="172"/>
      <c r="AO42" s="172"/>
      <c r="AP42" s="172"/>
      <c r="AQ42" s="172"/>
      <c r="AR42" s="172"/>
      <c r="AS42" s="172"/>
      <c r="AT42" s="172"/>
      <c r="AU42" s="11"/>
      <c r="AV42" s="19"/>
      <c r="AW42" s="19"/>
      <c r="AX42" s="19"/>
      <c r="AY42" s="19"/>
      <c r="AZ42" s="19"/>
      <c r="BA42" s="19"/>
      <c r="BB42" s="19"/>
      <c r="BC42" s="19"/>
      <c r="BD42" s="19"/>
      <c r="BE42" s="12"/>
      <c r="BF42" s="37"/>
      <c r="BG42" s="38"/>
      <c r="BH42" s="38"/>
      <c r="BI42" s="38"/>
      <c r="BJ42" s="38"/>
      <c r="BK42" s="39"/>
    </row>
    <row r="43" spans="1:63" s="154" customFormat="1" ht="15" customHeight="1" x14ac:dyDescent="0.25">
      <c r="A43" s="11"/>
      <c r="B43" s="19"/>
      <c r="C43" s="19"/>
      <c r="D43" s="19"/>
      <c r="E43" s="19"/>
      <c r="F43" s="19"/>
      <c r="G43" s="19"/>
      <c r="H43" s="19"/>
      <c r="I43" s="19"/>
      <c r="J43" s="19"/>
      <c r="K43" s="19"/>
      <c r="L43" s="12"/>
      <c r="M43" s="172"/>
      <c r="N43" s="26" t="s">
        <v>228</v>
      </c>
      <c r="O43" s="175"/>
      <c r="P43" s="175"/>
      <c r="Q43" s="175"/>
      <c r="R43" s="175"/>
      <c r="S43" s="175"/>
      <c r="T43" s="175"/>
      <c r="U43" s="175"/>
      <c r="V43" s="175"/>
      <c r="W43" s="175"/>
      <c r="X43" s="175"/>
      <c r="Y43" s="175"/>
      <c r="Z43" s="175"/>
      <c r="AA43" s="175"/>
      <c r="AB43" s="175"/>
      <c r="AC43" s="175"/>
      <c r="AD43" s="175"/>
      <c r="AE43" s="175"/>
      <c r="AF43" s="175"/>
      <c r="AG43" s="175"/>
      <c r="AH43" s="175"/>
      <c r="AI43" s="175"/>
      <c r="AJ43" s="172"/>
      <c r="AK43" s="172"/>
      <c r="AL43" s="172"/>
      <c r="AM43" s="172"/>
      <c r="AN43" s="172"/>
      <c r="AO43" s="172"/>
      <c r="AP43" s="172"/>
      <c r="AQ43" s="172"/>
      <c r="AR43" s="172"/>
      <c r="AS43" s="172"/>
      <c r="AT43" s="172"/>
      <c r="AU43" s="11"/>
      <c r="AV43" s="19"/>
      <c r="AW43" s="19"/>
      <c r="AX43" s="19"/>
      <c r="AY43" s="19"/>
      <c r="AZ43" s="19"/>
      <c r="BA43" s="19"/>
      <c r="BB43" s="19"/>
      <c r="BC43" s="19"/>
      <c r="BD43" s="19"/>
      <c r="BE43" s="12"/>
      <c r="BF43" s="37"/>
      <c r="BG43" s="38"/>
      <c r="BH43" s="38"/>
      <c r="BI43" s="38"/>
      <c r="BJ43" s="38"/>
      <c r="BK43" s="39"/>
    </row>
    <row r="44" spans="1:63" s="154" customFormat="1" ht="15" customHeight="1" x14ac:dyDescent="0.25">
      <c r="A44" s="11"/>
      <c r="B44" s="19"/>
      <c r="C44" s="19"/>
      <c r="D44" s="19"/>
      <c r="E44" s="19"/>
      <c r="F44" s="19"/>
      <c r="G44" s="19"/>
      <c r="H44" s="19"/>
      <c r="I44" s="19"/>
      <c r="J44" s="19"/>
      <c r="K44" s="19"/>
      <c r="L44" s="12"/>
      <c r="M44" s="172"/>
      <c r="N44" s="194" t="s">
        <v>229</v>
      </c>
      <c r="O44" s="175"/>
      <c r="P44" s="175"/>
      <c r="Q44" s="175"/>
      <c r="R44" s="175"/>
      <c r="S44" s="175"/>
      <c r="T44" s="175"/>
      <c r="U44" s="175"/>
      <c r="V44" s="175"/>
      <c r="W44" s="175"/>
      <c r="X44" s="175"/>
      <c r="Y44" s="175"/>
      <c r="Z44" s="175"/>
      <c r="AA44" s="175"/>
      <c r="AB44" s="175"/>
      <c r="AC44" s="175"/>
      <c r="AD44" s="175"/>
      <c r="AE44" s="175"/>
      <c r="AF44" s="175"/>
      <c r="AG44" s="175"/>
      <c r="AH44" s="175"/>
      <c r="AI44" s="175"/>
      <c r="AJ44" s="172"/>
      <c r="AK44" s="172"/>
      <c r="AL44" s="172"/>
      <c r="AM44" s="172"/>
      <c r="AN44" s="172"/>
      <c r="AO44" s="172"/>
      <c r="AP44" s="172"/>
      <c r="AQ44" s="172"/>
      <c r="AR44" s="172"/>
      <c r="AS44" s="172"/>
      <c r="AT44" s="172"/>
      <c r="AU44" s="11"/>
      <c r="AV44" s="19"/>
      <c r="AW44" s="19"/>
      <c r="AX44" s="19"/>
      <c r="AY44" s="19"/>
      <c r="AZ44" s="19"/>
      <c r="BA44" s="19"/>
      <c r="BB44" s="19"/>
      <c r="BC44" s="19"/>
      <c r="BD44" s="19"/>
      <c r="BE44" s="12"/>
      <c r="BF44" s="37"/>
      <c r="BG44" s="38"/>
      <c r="BH44" s="38"/>
      <c r="BI44" s="38"/>
      <c r="BJ44" s="38"/>
      <c r="BK44" s="39"/>
    </row>
    <row r="45" spans="1:63" s="154" customFormat="1" ht="15" customHeight="1" x14ac:dyDescent="0.25">
      <c r="A45" s="11"/>
      <c r="B45" s="19"/>
      <c r="C45" s="19"/>
      <c r="D45" s="19"/>
      <c r="E45" s="19"/>
      <c r="F45" s="19"/>
      <c r="G45" s="19"/>
      <c r="H45" s="19"/>
      <c r="I45" s="19"/>
      <c r="J45" s="19"/>
      <c r="K45" s="19"/>
      <c r="L45" s="12"/>
      <c r="M45" s="172"/>
      <c r="N45" s="172"/>
      <c r="O45" s="175" t="s">
        <v>161</v>
      </c>
      <c r="P45" s="175"/>
      <c r="Q45" s="175"/>
      <c r="R45" s="175"/>
      <c r="S45" s="175"/>
      <c r="T45" s="175"/>
      <c r="U45" s="175"/>
      <c r="V45" s="175"/>
      <c r="W45" s="175"/>
      <c r="X45" s="175"/>
      <c r="Y45" s="175"/>
      <c r="Z45" s="175"/>
      <c r="AA45" s="175"/>
      <c r="AB45" s="175"/>
      <c r="AC45" s="175"/>
      <c r="AD45" s="175"/>
      <c r="AE45" s="175"/>
      <c r="AF45" s="175"/>
      <c r="AG45" s="175"/>
      <c r="AH45" s="175"/>
      <c r="AI45" s="175"/>
      <c r="AJ45" s="172"/>
      <c r="AK45" s="172"/>
      <c r="AL45" s="172"/>
      <c r="AM45" s="172"/>
      <c r="AN45" s="172"/>
      <c r="AO45" s="172"/>
      <c r="AP45" s="172"/>
      <c r="AQ45" s="172"/>
      <c r="AR45" s="172"/>
      <c r="AS45" s="172"/>
      <c r="AT45" s="172"/>
      <c r="AU45" s="11"/>
      <c r="AV45" s="19"/>
      <c r="AW45" s="19"/>
      <c r="AX45" s="19"/>
      <c r="AY45" s="19"/>
      <c r="AZ45" s="19"/>
      <c r="BA45" s="19"/>
      <c r="BB45" s="19"/>
      <c r="BC45" s="19"/>
      <c r="BD45" s="19"/>
      <c r="BE45" s="12"/>
      <c r="BF45" s="37"/>
      <c r="BG45" s="38"/>
      <c r="BH45" s="38"/>
      <c r="BI45" s="38"/>
      <c r="BJ45" s="38"/>
      <c r="BK45" s="39"/>
    </row>
    <row r="46" spans="1:63" s="154" customFormat="1" ht="15" customHeight="1" x14ac:dyDescent="0.25">
      <c r="A46" s="13"/>
      <c r="B46" s="14"/>
      <c r="C46" s="14"/>
      <c r="D46" s="14"/>
      <c r="E46" s="14"/>
      <c r="F46" s="14"/>
      <c r="G46" s="14"/>
      <c r="H46" s="14"/>
      <c r="I46" s="14"/>
      <c r="J46" s="14"/>
      <c r="K46" s="14"/>
      <c r="L46" s="15"/>
      <c r="M46" s="176"/>
      <c r="N46" s="177"/>
      <c r="O46" s="195" t="s">
        <v>230</v>
      </c>
      <c r="P46" s="177"/>
      <c r="Q46" s="177"/>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178"/>
      <c r="AQ46" s="178"/>
      <c r="AR46" s="178"/>
      <c r="AS46" s="178"/>
      <c r="AT46" s="178"/>
      <c r="AU46" s="13"/>
      <c r="AV46" s="14"/>
      <c r="AW46" s="14"/>
      <c r="AX46" s="14"/>
      <c r="AY46" s="14"/>
      <c r="AZ46" s="14"/>
      <c r="BA46" s="14"/>
      <c r="BB46" s="14"/>
      <c r="BC46" s="14"/>
      <c r="BD46" s="14"/>
      <c r="BE46" s="15"/>
      <c r="BF46" s="40"/>
      <c r="BG46" s="41"/>
      <c r="BH46" s="41"/>
      <c r="BI46" s="41"/>
      <c r="BJ46" s="41"/>
      <c r="BK46" s="42"/>
    </row>
    <row r="47" spans="1:63" ht="15" customHeight="1" x14ac:dyDescent="0.25">
      <c r="A47" s="21"/>
      <c r="BK47" s="6"/>
    </row>
    <row r="48" spans="1:63" ht="15" customHeight="1" x14ac:dyDescent="0.25">
      <c r="A48" s="21"/>
      <c r="BK48" s="6"/>
    </row>
    <row r="49" spans="1:63" ht="15" customHeight="1" x14ac:dyDescent="0.25">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5"/>
    </row>
    <row r="50" spans="1:63" ht="15" customHeight="1" x14ac:dyDescent="0.25"/>
    <row r="51" spans="1:63" ht="15" customHeight="1" x14ac:dyDescent="0.25"/>
    <row r="52" spans="1:63" ht="15" customHeight="1" x14ac:dyDescent="0.25"/>
    <row r="53" spans="1:63" ht="15" customHeight="1" x14ac:dyDescent="0.25"/>
    <row r="54" spans="1:63" ht="15" customHeight="1" x14ac:dyDescent="0.25"/>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sheetData>
  <mergeCells count="48">
    <mergeCell ref="A35:F35"/>
    <mergeCell ref="G35:L35"/>
    <mergeCell ref="A36:L37"/>
    <mergeCell ref="M36:AT37"/>
    <mergeCell ref="AU36:BE37"/>
    <mergeCell ref="A23:F23"/>
    <mergeCell ref="G23:L23"/>
    <mergeCell ref="A24:L25"/>
    <mergeCell ref="M24:AT25"/>
    <mergeCell ref="AU24:BE25"/>
    <mergeCell ref="BF38:BK45"/>
    <mergeCell ref="BF46:BK46"/>
    <mergeCell ref="BF14:BK18"/>
    <mergeCell ref="BF19:BK19"/>
    <mergeCell ref="BF36:BK37"/>
    <mergeCell ref="BF26:BK30"/>
    <mergeCell ref="BF31:BK31"/>
    <mergeCell ref="BF24:BK25"/>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表紙</vt:lpstr>
      <vt:lpstr>改訂履歴</vt:lpstr>
      <vt:lpstr>SC0501</vt:lpstr>
      <vt:lpstr>MD0501</vt:lpstr>
      <vt:lpstr>MD0502</vt:lpstr>
      <vt:lpstr>'MD0501'!Print_Area</vt:lpstr>
      <vt:lpstr>'MD0502'!Print_Area</vt:lpstr>
      <vt:lpstr>'SC0501'!Print_Area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2024-10-25T10:18:14Z</dcterms:modified>
  <cp:category/>
  <cp:contentStatus/>
</cp:coreProperties>
</file>