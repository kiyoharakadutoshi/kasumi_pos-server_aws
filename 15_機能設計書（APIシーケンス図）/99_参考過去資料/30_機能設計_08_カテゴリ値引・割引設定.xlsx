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97DD6A68-0237-4215-9B97-734506EB80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801" sheetId="11" r:id="rId3"/>
    <sheet name="MD0801" sheetId="12" r:id="rId4"/>
  </sheets>
  <definedNames>
    <definedName name="_xlnm.Print_Area" localSheetId="3">'MD0801'!$A$1:$BK$58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2" l="1"/>
  <c r="Z4" i="12"/>
  <c r="H4" i="12"/>
  <c r="AT2" i="12"/>
  <c r="AP2" i="12"/>
  <c r="K2" i="12"/>
  <c r="A2" i="12"/>
  <c r="W1" i="12"/>
  <c r="AP4" i="11"/>
  <c r="Z4" i="11"/>
  <c r="H4" i="11"/>
  <c r="AT2" i="11"/>
  <c r="K2" i="11"/>
  <c r="A2" i="11"/>
  <c r="W1" i="11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1" s="1"/>
  <c r="BC2" i="4"/>
  <c r="BC2" i="12" s="1"/>
  <c r="AY2" i="4"/>
  <c r="AY2" i="11" s="1"/>
  <c r="AT2" i="4"/>
  <c r="AP2" i="4"/>
  <c r="AP2" i="11" s="1"/>
  <c r="BH2" i="12" l="1"/>
  <c r="AP2" i="3"/>
  <c r="BH2" i="3"/>
  <c r="BC2" i="3"/>
  <c r="BC2" i="11"/>
  <c r="AY2" i="12"/>
  <c r="AY2" i="3"/>
</calcChain>
</file>

<file path=xl/sharedStrings.xml><?xml version="1.0" encoding="utf-8"?>
<sst xmlns="http://schemas.openxmlformats.org/spreadsheetml/2006/main" count="345" uniqueCount="182">
  <si>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</si>
  <si>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</si>
  <si>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</si>
  <si>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</si>
  <si>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</si>
  <si>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</si>
  <si>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</si>
  <si>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</si>
  <si>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</si>
  <si>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</si>
  <si>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</si>
  <si>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</si>
  <si>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▪バリデーションチェックのエラーがある：</t>
    </r>
  </si>
  <si>
    <r>
      <rPr>
        <sz val="11"/>
        <color rgb="FF000000"/>
        <rFont val="Meiryo UI"/>
        <family val="2"/>
      </rPr>
      <t>・以下の画面設計に従って画面に返されるAPIレスポンスのマッピングを実行する。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</si>
  <si>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</si>
  <si>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</si>
  <si>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選択された店舗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</si>
  <si>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</si>
  <si>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▪商品情報取得が成功した場合、</t>
    </r>
  </si>
  <si>
    <r>
      <rPr>
        <sz val="11"/>
        <color rgb="FF000000"/>
        <rFont val="Meiryo UI"/>
        <family val="2"/>
      </rPr>
      <t>▪商品情報取得が失敗した場合、</t>
    </r>
  </si>
  <si>
    <r>
      <rPr>
        <sz val="11"/>
        <color rgb="FF000000"/>
        <rFont val="Meiryo UI"/>
        <family val="2"/>
      </rPr>
      <t>入力されていない場合、MSG_VAL_001を表示する。</t>
    </r>
  </si>
  <si>
    <r>
      <rPr>
        <sz val="11"/>
        <color rgb="FF000000"/>
        <rFont val="Meiryo UI"/>
        <family val="2"/>
      </rPr>
      <t>・「開始日」項目：</t>
    </r>
  </si>
  <si>
    <r>
      <rPr>
        <sz val="11"/>
        <color rgb="FF000000"/>
        <rFont val="Meiryo UI"/>
        <family val="2"/>
      </rPr>
      <t>・「終了日」項目：</t>
    </r>
  </si>
  <si>
    <r>
      <rPr>
        <sz val="11"/>
        <color rgb="FF000000"/>
        <rFont val="Meiryo UI"/>
        <family val="2"/>
      </rPr>
      <t>・「開始時刻」項目：</t>
    </r>
  </si>
  <si>
    <r>
      <rPr>
        <sz val="11"/>
        <color rgb="FF000000"/>
        <rFont val="Meiryo UI"/>
        <family val="2"/>
      </rPr>
      <t>・「終了時刻」項目：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</si>
  <si>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</si>
  <si>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MD0102</t>
    </r>
  </si>
  <si>
    <r>
      <rPr>
        <sz val="11"/>
        <color rgb="FF000000"/>
        <rFont val="Meiryo UI"/>
        <family val="2"/>
      </rPr>
      <t>プロモーション一覧モーダル</t>
    </r>
  </si>
  <si>
    <r>
      <rPr>
        <sz val="11"/>
        <color rgb="FF000000"/>
        <rFont val="Meiryo UI"/>
        <family val="2"/>
      </rPr>
      <t>過去の日付が入力された場合、MSG_VAL_022を表示する。</t>
    </r>
  </si>
  <si>
    <r>
      <rPr>
        <sz val="11"/>
        <color rgb="FF000000"/>
        <rFont val="Meiryo UI"/>
        <family val="2"/>
      </rPr>
      <t>▪特売売価情報保存が失敗した場合、</t>
    </r>
  </si>
  <si>
    <r>
      <rPr>
        <sz val="11"/>
        <color rgb="FF000000"/>
        <rFont val="Meiryo UI"/>
        <family val="2"/>
      </rPr>
      <t>▪ 特売売価情報保存が成功した場合、</t>
    </r>
  </si>
  <si>
    <r>
      <rPr>
        <sz val="11"/>
        <color rgb="FF000000"/>
        <rFont val="Meiryo UI"/>
        <family val="2"/>
      </rPr>
      <t>タイムサービス = 0の場合、バリデーションチェックを行わない。</t>
    </r>
  </si>
  <si>
    <r>
      <rPr>
        <sz val="11"/>
        <color rgb="FF000000"/>
        <rFont val="Meiryo UI"/>
        <family val="2"/>
      </rPr>
      <t>タイムサービス = 1の場合、「MSG_VAL_051」メッセージを表示する。</t>
    </r>
  </si>
  <si>
    <r>
      <rPr>
        <sz val="11"/>
        <color rgb="FF000000"/>
        <rFont val="Meiryo UI"/>
        <family val="2"/>
      </rPr>
      <t>不正な形式で入力された場合、MSG_VAL_016を表示する。</t>
    </r>
  </si>
  <si>
    <r>
      <rPr>
        <sz val="11"/>
        <color rgb="FF000000"/>
        <rFont val="Meiryo UI"/>
        <family val="2"/>
      </rPr>
      <t>バリデーションチェック：終了時刻 &lt;= now()の場合、「MSG_VAL_022」エラーメッセージを表示する。</t>
    </r>
  </si>
  <si>
    <r>
      <rPr>
        <sz val="11"/>
        <color rgb="FF000000"/>
        <rFont val="Meiryo UI"/>
        <family val="2"/>
      </rPr>
      <t>[開始日] = [終了日]かつ [開始時] &gt; [終了時]の場合、</t>
    </r>
  </si>
  <si>
    <r>
      <rPr>
        <sz val="11"/>
        <color rgb="FF000000"/>
        <rFont val="Meiryo UI"/>
        <family val="2"/>
      </rPr>
      <t>タイムサービス = 0の場合、「MSG_VAL_051」メッセージを表示する。</t>
    </r>
  </si>
  <si>
    <r>
      <rPr>
        <sz val="11"/>
        <color rgb="FF000000"/>
        <rFont val="Meiryo UI"/>
        <family val="2"/>
      </rPr>
      <t>[開始日] &lt; [終了日]かつ [開始時] &gt; [終了時]の場合、</t>
    </r>
  </si>
  <si>
    <r>
      <rPr>
        <sz val="11"/>
        <color rgb="FF000000"/>
        <rFont val="Meiryo UI"/>
        <family val="2"/>
      </rPr>
      <t>終了日 = today()の場合、</t>
    </r>
  </si>
  <si>
    <r>
      <rPr>
        <sz val="11"/>
        <color rgb="FF000000"/>
        <rFont val="Meiryo UI"/>
        <family val="2"/>
      </rPr>
      <t>開始日 &gt; 終了日の場合、MSG_VAL_051を表示する。</t>
    </r>
  </si>
  <si>
    <r>
      <rPr>
        <sz val="11"/>
        <color rgb="FF000000"/>
        <rFont val="Meiryo UI"/>
        <family val="2"/>
      </rPr>
      <t>08_カテゴリ値引／割引設定</t>
    </r>
  </si>
  <si>
    <r>
      <rPr>
        <sz val="11"/>
        <color rgb="FF000000"/>
        <rFont val="Meiryo UI"/>
        <family val="2"/>
      </rPr>
      <t>20_画面設計_08_カテゴリ値引・割引設定.xlsxをご参照ください。</t>
    </r>
  </si>
  <si>
    <r>
      <rPr>
        <sz val="10"/>
        <color rgb="FF000000"/>
        <rFont val="Meiryo UI"/>
        <family val="2"/>
      </rPr>
      <t>▪20_画面設計_08_カテゴリ値引・割引設定.xlsx</t>
    </r>
  </si>
  <si>
    <r>
      <rPr>
        <sz val="11"/>
        <color rgb="FF000000"/>
        <rFont val="Meiryo UI"/>
        <family val="2"/>
      </rPr>
      <t>SC0801</t>
    </r>
  </si>
  <si>
    <r>
      <rPr>
        <sz val="11"/>
        <color rgb="FF000000"/>
        <rFont val="Meiryo UI"/>
        <family val="2"/>
      </rPr>
      <t>カテゴリ値引・割引設定</t>
    </r>
  </si>
  <si>
    <r>
      <rPr>
        <sz val="11"/>
        <color rgb="FF000000"/>
        <rFont val="Meiryo UI"/>
        <family val="2"/>
      </rPr>
      <t>SC0801_01</t>
    </r>
  </si>
  <si>
    <r>
      <rPr>
        <sz val="11"/>
        <color rgb="FF000000"/>
        <rFont val="Meiryo UI"/>
        <family val="2"/>
      </rPr>
      <t>SC0801_02</t>
    </r>
  </si>
  <si>
    <r>
      <rPr>
        <sz val="11"/>
        <color rgb="FF000000"/>
        <rFont val="Meiryo UI"/>
        <family val="2"/>
      </rPr>
      <t>カテゴリ値引・割引作成</t>
    </r>
  </si>
  <si>
    <r>
      <rPr>
        <sz val="11"/>
        <color rgb="FF000000"/>
        <rFont val="Meiryo UI"/>
        <family val="2"/>
      </rPr>
      <t>SC0801_03</t>
    </r>
  </si>
  <si>
    <r>
      <rPr>
        <sz val="11"/>
        <color rgb="FF000000"/>
        <rFont val="Meiryo UI"/>
        <family val="2"/>
      </rPr>
      <t>カテゴリ値引・割引検索</t>
    </r>
  </si>
  <si>
    <r>
      <rPr>
        <sz val="11"/>
        <color rgb="FF000000"/>
        <rFont val="Meiryo UI"/>
        <family val="2"/>
      </rPr>
      <t>40_API設計_AP0801_カテゴリ値引・割引一覧取得.xlsxをご参照ください。</t>
    </r>
  </si>
  <si>
    <r>
      <rPr>
        <sz val="11"/>
        <color rgb="FF000000"/>
        <rFont val="Meiryo UI"/>
        <family val="2"/>
      </rPr>
      <t>1.1 MD0801モーダルを開き、API「AP0801_カテゴリ値引・割引一覧取得」呼出処理を実行する。</t>
    </r>
  </si>
  <si>
    <r>
      <rPr>
        <sz val="11"/>
        <color rgb="FF000000"/>
        <rFont val="Meiryo UI"/>
        <family val="2"/>
      </rPr>
      <t>・返却レスポンスはAPI_AP0801_カテゴリ値引・割引一覧取得.xlsxをご参照ください。</t>
    </r>
  </si>
  <si>
    <r>
      <rPr>
        <sz val="11"/>
        <color rgb="FF000000"/>
        <rFont val="Meiryo UI"/>
        <family val="2"/>
      </rPr>
      <t>20_画面設計_08_カテゴリ値引・割引設定.xlsx</t>
    </r>
  </si>
  <si>
    <r>
      <rPr>
        <sz val="11"/>
        <color rgb="FF000000"/>
        <rFont val="Meiryo UI"/>
        <family val="2"/>
      </rPr>
      <t>・返却レスポンスは40_API設計_AP0801_カテゴリ値引・割引一覧取得.xlsxをご参照ください。</t>
    </r>
  </si>
  <si>
    <r>
      <rPr>
        <sz val="11"/>
        <color rgb="FF000000"/>
        <rFont val="Meiryo UI"/>
        <family val="2"/>
      </rPr>
      <t>・20_画面設計_08_カテゴリ値引・割引設定.xlsxの説明に従ってエラーメッセージを画面に表示する。</t>
    </r>
  </si>
  <si>
    <r>
      <rPr>
        <sz val="11"/>
        <color rgb="FF000000"/>
        <rFont val="Meiryo UI"/>
        <family val="2"/>
      </rPr>
      <t>SC0801_04</t>
    </r>
  </si>
  <si>
    <r>
      <rPr>
        <sz val="11"/>
        <color rgb="FF000000"/>
        <rFont val="Meiryo UI"/>
        <family val="2"/>
      </rPr>
      <t>商品階層表示</t>
    </r>
  </si>
  <si>
    <r>
      <rPr>
        <sz val="11"/>
        <color rgb="FF000000"/>
        <rFont val="Meiryo UI"/>
        <family val="2"/>
      </rPr>
      <t>40_API設計_AP1507_階層一覧取得.xlsxをご参照ください。</t>
    </r>
  </si>
  <si>
    <r>
      <rPr>
        <sz val="11"/>
        <color rgb="FF000000"/>
        <rFont val="Meiryo UI"/>
        <family val="2"/>
      </rPr>
      <t>1.1 API「AP1507_階層一覧取得」呼出処理を実行する。</t>
    </r>
  </si>
  <si>
    <r>
      <rPr>
        <sz val="11"/>
        <color rgb="FF000000"/>
        <rFont val="Meiryo UI"/>
        <family val="2"/>
      </rPr>
      <t>level</t>
    </r>
  </si>
  <si>
    <r>
      <rPr>
        <sz val="11"/>
        <color rgb="FF000000"/>
        <rFont val="Meiryo UI"/>
        <family val="2"/>
      </rPr>
      <t>filter-code</t>
    </r>
  </si>
  <si>
    <r>
      <rPr>
        <sz val="11"/>
        <color rgb="FF000000"/>
        <rFont val="Meiryo UI"/>
        <family val="2"/>
      </rPr>
      <t>1</t>
    </r>
  </si>
  <si>
    <r>
      <rPr>
        <sz val="11"/>
        <color rgb="FF000000"/>
        <rFont val="Meiryo UI"/>
        <family val="2"/>
      </rPr>
      <t>画面に入力された部門コード</t>
    </r>
  </si>
  <si>
    <r>
      <rPr>
        <sz val="11"/>
        <color rgb="FF000000"/>
        <rFont val="Meiryo UI"/>
        <family val="2"/>
      </rPr>
      <t>・返却レスポンスはAPI_AP1507_階層一覧取得.xlsxをご参照ください。</t>
    </r>
  </si>
  <si>
    <r>
      <rPr>
        <sz val="11"/>
        <color rgb="FF000000"/>
        <rFont val="Meiryo UI"/>
        <family val="2"/>
      </rPr>
      <t>・返却レスポンスは40_API設計_AP1507_階層一覧取得.xlsxをご参照ください。</t>
    </r>
  </si>
  <si>
    <r>
      <rPr>
        <sz val="11"/>
        <color rgb="FF000000"/>
        <rFont val="Meiryo UI"/>
        <family val="2"/>
      </rPr>
      <t>SC0801_05</t>
    </r>
  </si>
  <si>
    <r>
      <rPr>
        <sz val="11"/>
        <color rgb="FF000000"/>
        <rFont val="Meiryo UI"/>
        <family val="2"/>
      </rPr>
      <t>選択されたレコードを表示する。</t>
    </r>
  </si>
  <si>
    <r>
      <rPr>
        <sz val="11"/>
        <color rgb="FF000000"/>
        <rFont val="Meiryo UI"/>
        <family val="2"/>
      </rPr>
      <t>・一覧で選択されたアイテムを画面に表示する。</t>
    </r>
  </si>
  <si>
    <r>
      <rPr>
        <sz val="11"/>
        <color rgb="FF000000"/>
        <rFont val="Meiryo UI"/>
        <family val="2"/>
      </rPr>
      <t>・ボタン名称を「全件表示」に切り替える。</t>
    </r>
  </si>
  <si>
    <r>
      <rPr>
        <sz val="11"/>
        <color rgb="FF000000"/>
        <rFont val="Meiryo UI"/>
        <family val="2"/>
      </rPr>
      <t>・ボタン名称を「選択対象のみ表示」に切り替える。</t>
    </r>
  </si>
  <si>
    <r>
      <rPr>
        <sz val="11"/>
        <color rgb="FF000000"/>
        <rFont val="Meiryo UI"/>
        <family val="2"/>
      </rPr>
      <t>・全ての商品階層を表示する。</t>
    </r>
  </si>
  <si>
    <r>
      <rPr>
        <sz val="11"/>
        <color rgb="FF000000"/>
        <rFont val="Meiryo UI"/>
        <family val="2"/>
      </rPr>
      <t>SC0801_06</t>
    </r>
  </si>
  <si>
    <r>
      <rPr>
        <sz val="11"/>
        <color rgb="FF000000"/>
        <rFont val="Meiryo UI"/>
        <family val="2"/>
      </rPr>
      <t>全選択・全解除</t>
    </r>
  </si>
  <si>
    <r>
      <rPr>
        <sz val="11"/>
        <color rgb="FF000000"/>
        <rFont val="Meiryo UI"/>
        <family val="2"/>
      </rPr>
      <t>・画面に表示されている階層一覧から全てのレコードを選択する。</t>
    </r>
  </si>
  <si>
    <r>
      <rPr>
        <sz val="11"/>
        <color rgb="FF000000"/>
        <rFont val="Meiryo UI"/>
        <family val="2"/>
      </rPr>
      <t>・画面に表示されている階層一覧から全てのレコードを選択解除する。</t>
    </r>
  </si>
  <si>
    <r>
      <rPr>
        <sz val="11"/>
        <color rgb="FF000000"/>
        <rFont val="Meiryo UI"/>
        <family val="2"/>
      </rPr>
      <t>SC0801_07</t>
    </r>
  </si>
  <si>
    <r>
      <rPr>
        <sz val="11"/>
        <color rgb="FF000000"/>
        <rFont val="Meiryo UI"/>
        <family val="2"/>
      </rPr>
      <t>展開・折りたたみ</t>
    </r>
  </si>
  <si>
    <r>
      <rPr>
        <sz val="11"/>
        <color rgb="FF000000"/>
        <rFont val="Meiryo UI"/>
        <family val="2"/>
      </rPr>
      <t>・直下の階層のデータを表示する。</t>
    </r>
  </si>
  <si>
    <r>
      <rPr>
        <sz val="11"/>
        <color rgb="FF000000"/>
        <rFont val="Meiryo UI"/>
        <family val="2"/>
      </rPr>
      <t>・親階層でボタンをタッチすると、ボタンを「-」に切り替える。</t>
    </r>
  </si>
  <si>
    <r>
      <rPr>
        <sz val="11"/>
        <color rgb="FF000000"/>
        <rFont val="Meiryo UI"/>
        <family val="2"/>
      </rPr>
      <t>・最下位階層でボタンをタッチすると、「+/-」ボタンを表示しない。</t>
    </r>
  </si>
  <si>
    <r>
      <rPr>
        <sz val="11"/>
        <color rgb="FF000000"/>
        <rFont val="Meiryo UI"/>
        <family val="2"/>
      </rPr>
      <t>・ボタンをタッチすると、「+」に切り替える。</t>
    </r>
  </si>
  <si>
    <r>
      <rPr>
        <sz val="11"/>
        <color rgb="FF000000"/>
        <rFont val="Meiryo UI"/>
        <family val="2"/>
      </rPr>
      <t>・直下の階層のデータを表示しない。</t>
    </r>
  </si>
  <si>
    <r>
      <rPr>
        <sz val="11"/>
        <color rgb="FF000000"/>
        <rFont val="Meiryo UI"/>
        <family val="2"/>
      </rPr>
      <t>SC0801_08</t>
    </r>
  </si>
  <si>
    <r>
      <rPr>
        <sz val="11"/>
        <color rgb="FF000000"/>
        <rFont val="Meiryo UI"/>
        <family val="2"/>
      </rPr>
      <t>選択</t>
    </r>
  </si>
  <si>
    <r>
      <rPr>
        <sz val="11"/>
        <color rgb="FF000000"/>
        <rFont val="Meiryo UI"/>
        <family val="2"/>
      </rPr>
      <t>・親レコードにチェックを外すと、全ての子レコードにチェックも外れる。</t>
    </r>
  </si>
  <si>
    <r>
      <rPr>
        <sz val="11"/>
        <color rgb="FF000000"/>
        <rFont val="Meiryo UI"/>
        <family val="2"/>
      </rPr>
      <t>・全ての子レコードにチェックを入れると、親レコードにもチェックが入る。</t>
    </r>
  </si>
  <si>
    <r>
      <rPr>
        <sz val="11"/>
        <color rgb="FF000000"/>
        <rFont val="Meiryo UI"/>
        <family val="2"/>
      </rPr>
      <t>・親レコードにチェックを入れると、全ての子レコードにもチェックが入る。</t>
    </r>
  </si>
  <si>
    <r>
      <rPr>
        <sz val="11"/>
        <color rgb="FF000000"/>
        <rFont val="Meiryo UI"/>
        <family val="2"/>
      </rPr>
      <t>・全ての子レコードにチェックを外すと、親レコードにチェックも外れる。</t>
    </r>
  </si>
  <si>
    <r>
      <rPr>
        <sz val="11"/>
        <color rgb="FF000000"/>
        <rFont val="Meiryo UI"/>
        <family val="2"/>
      </rPr>
      <t>SC0801_09</t>
    </r>
  </si>
  <si>
    <r>
      <rPr>
        <sz val="11"/>
        <color rgb="FF000000"/>
        <rFont val="Meiryo UI"/>
        <family val="2"/>
      </rPr>
      <t>クリア</t>
    </r>
  </si>
  <si>
    <r>
      <rPr>
        <sz val="10"/>
        <color rgb="FF000000"/>
        <rFont val="Meiryo UI"/>
        <family val="2"/>
      </rPr>
      <t>▪イベントSC0801_01</t>
    </r>
  </si>
  <si>
    <r>
      <rPr>
        <sz val="11"/>
        <color rgb="FF000000"/>
        <rFont val="Meiryo UI"/>
        <family val="2"/>
      </rPr>
      <t>SC0801_10</t>
    </r>
  </si>
  <si>
    <r>
      <rPr>
        <sz val="11"/>
        <color rgb="FF000000"/>
        <rFont val="Meiryo UI"/>
        <family val="2"/>
      </rPr>
      <t>カテゴリ値引削除</t>
    </r>
  </si>
  <si>
    <r>
      <rPr>
        <sz val="11"/>
        <color rgb="FF000000"/>
        <rFont val="Meiryo UI"/>
        <family val="2"/>
      </rPr>
      <t>1.1 API「AP0803_カテゴリ値引・割引削除」呼出処理を実行する。</t>
    </r>
  </si>
  <si>
    <r>
      <rPr>
        <sz val="11"/>
        <color rgb="FF000000"/>
        <rFont val="Meiryo UI"/>
        <family val="2"/>
      </rPr>
      <t>・返却レスポンスは40_API設計_AP0803_カテゴリ値引・割引削除.xlsxをご参照ください。</t>
    </r>
  </si>
  <si>
    <r>
      <rPr>
        <sz val="11"/>
        <color rgb="FF000000"/>
        <rFont val="Meiryo UI"/>
        <family val="2"/>
      </rPr>
      <t>40_API設計_AP0803_カテゴリ値引・割引削除.xlsxをご参照ください。</t>
    </r>
  </si>
  <si>
    <r>
      <rPr>
        <sz val="11"/>
        <color rgb="FF000000"/>
        <rFont val="Meiryo UI"/>
        <family val="2"/>
      </rPr>
      <t>discount_md_hierarchy_code</t>
    </r>
  </si>
  <si>
    <r>
      <rPr>
        <sz val="11"/>
        <color rgb="FF000000"/>
        <rFont val="Meiryo UI"/>
        <family val="2"/>
      </rPr>
      <t>md_hierarchy_code</t>
    </r>
  </si>
  <si>
    <r>
      <rPr>
        <sz val="11"/>
        <color rgb="FF000000"/>
        <rFont val="Meiryo UI"/>
        <family val="2"/>
      </rPr>
      <t>md_hierarchy_level</t>
    </r>
  </si>
  <si>
    <r>
      <rPr>
        <sz val="11"/>
        <color rgb="FF000000"/>
        <rFont val="Meiryo UI"/>
        <family val="2"/>
      </rPr>
      <t>apply_date_time</t>
    </r>
  </si>
  <si>
    <r>
      <rPr>
        <sz val="11"/>
        <color rgb="FF000000"/>
        <rFont val="Meiryo UI"/>
        <family val="2"/>
      </rPr>
      <t>割引コード</t>
    </r>
  </si>
  <si>
    <r>
      <rPr>
        <sz val="11"/>
        <color rgb="FF000000"/>
        <rFont val="Meiryo UI"/>
        <family val="2"/>
      </rPr>
      <t>階層コード</t>
    </r>
  </si>
  <si>
    <r>
      <rPr>
        <sz val="11"/>
        <color rgb="FF000000"/>
        <rFont val="Meiryo UI"/>
        <family val="2"/>
      </rPr>
      <t>階層</t>
    </r>
  </si>
  <si>
    <r>
      <rPr>
        <sz val="11"/>
        <color rgb="FF000000"/>
        <rFont val="Meiryo UI"/>
        <family val="2"/>
      </rPr>
      <t>適用時間</t>
    </r>
  </si>
  <si>
    <r>
      <rPr>
        <sz val="11"/>
        <color rgb="FF000000"/>
        <rFont val="Meiryo UI"/>
        <family val="2"/>
      </rPr>
      <t>SC0801_11</t>
    </r>
  </si>
  <si>
    <r>
      <rPr>
        <sz val="11"/>
        <color rgb="FF000000"/>
        <rFont val="Meiryo UI"/>
        <family val="2"/>
      </rPr>
      <t>カテゴリ値引情報保存</t>
    </r>
  </si>
  <si>
    <r>
      <rPr>
        <sz val="11"/>
        <color rgb="FF000000"/>
        <rFont val="Meiryo UI"/>
        <family val="2"/>
      </rPr>
      <t>・[割引率]と[割引額]の両方を入力した場合、</t>
    </r>
  </si>
  <si>
    <r>
      <rPr>
        <sz val="11"/>
        <color rgb="FF000000"/>
        <rFont val="Meiryo UI"/>
        <family val="2"/>
      </rPr>
      <t>エラーダイアログ（ MSG_VAL_058）を表示する。</t>
    </r>
  </si>
  <si>
    <r>
      <rPr>
        <sz val="11"/>
        <color rgb="FF000000"/>
        <rFont val="Meiryo UI"/>
        <family val="2"/>
      </rPr>
      <t>・[割引率]と[割引額]の両方を入力しない場合、</t>
    </r>
  </si>
  <si>
    <r>
      <rPr>
        <sz val="11"/>
        <color rgb="FF000000"/>
        <rFont val="Meiryo UI"/>
        <family val="2"/>
      </rPr>
      <t>1.1　「AP0804」APIを呼び出す。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</si>
  <si>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</si>
  <si>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</si>
  <si>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start_service_time</t>
    </r>
  </si>
  <si>
    <r>
      <rPr>
        <sz val="11"/>
        <color rgb="FF000000"/>
        <rFont val="Meiryo UI"/>
        <family val="2"/>
      </rPr>
      <t>end_service_time</t>
    </r>
  </si>
  <si>
    <r>
      <rPr>
        <sz val="11"/>
        <color rgb="FF000000"/>
        <rFont val="Meiryo UI"/>
        <family val="2"/>
      </rPr>
      <t>type_time_service</t>
    </r>
  </si>
  <si>
    <r>
      <rPr>
        <sz val="11"/>
        <color rgb="FF000000"/>
        <rFont val="Meiryo UI"/>
        <family val="2"/>
      </rPr>
      <t>discount_type_code</t>
    </r>
  </si>
  <si>
    <r>
      <rPr>
        <sz val="11"/>
        <color rgb="FF000000"/>
        <rFont val="Meiryo UI"/>
        <family val="2"/>
      </rPr>
      <t>discount_value</t>
    </r>
  </si>
  <si>
    <r>
      <rPr>
        <sz val="11"/>
        <color rgb="FF000000"/>
        <rFont val="Meiryo UI"/>
        <family val="2"/>
      </rPr>
      <t>画面で選択されたタイムサービス</t>
    </r>
  </si>
  <si>
    <r>
      <rPr>
        <sz val="11"/>
        <color rgb="FF000000"/>
        <rFont val="Meiryo UI"/>
        <family val="2"/>
      </rPr>
      <t>値引額・割引率</t>
    </r>
  </si>
  <si>
    <r>
      <rPr>
        <sz val="11"/>
        <color rgb="FF000000"/>
        <rFont val="Meiryo UI"/>
        <family val="2"/>
      </rPr>
      <t>40_API設計_AP0804_カテゴリ値引・割引保存.xlsxをご参照ください。</t>
    </r>
  </si>
  <si>
    <r>
      <rPr>
        <sz val="11"/>
        <color rgb="FF000000"/>
        <rFont val="Meiryo UI"/>
        <family val="2"/>
      </rPr>
      <t>・返却レスポンスは40_API設計_AP0804_ カテゴリ値引・割引保存.xlsxをご参照ください。</t>
    </r>
  </si>
  <si>
    <r>
      <rPr>
        <sz val="11"/>
        <color rgb="FF000000"/>
        <rFont val="Meiryo UI"/>
        <family val="2"/>
      </rPr>
      <t>・サーバーから返されたエラーメッセージを含むエラーモーダルを表示する（エラーレコードを返す）</t>
    </r>
  </si>
  <si>
    <r>
      <rPr>
        <sz val="11"/>
        <color rgb="FF000000"/>
        <rFont val="Meiryo UI"/>
        <family val="2"/>
      </rPr>
      <t>MD0801_01</t>
    </r>
  </si>
  <si>
    <r>
      <rPr>
        <sz val="11"/>
        <color rgb="FF000000"/>
        <rFont val="Meiryo UI"/>
        <family val="2"/>
      </rPr>
      <t>モーダルを初期化する。</t>
    </r>
  </si>
  <si>
    <r>
      <rPr>
        <sz val="11"/>
        <color rgb="FF000000"/>
        <rFont val="Meiryo UI"/>
        <family val="2"/>
      </rPr>
      <t>カテゴリ値引・割引情報検索</t>
    </r>
  </si>
  <si>
    <r>
      <rPr>
        <sz val="11"/>
        <color rgb="FF000000"/>
        <rFont val="Meiryo UI"/>
        <family val="2"/>
      </rPr>
      <t>1.1 API「AP0802_カテゴリ値引・割引詳細取得」呼出処理を実行する。</t>
    </r>
  </si>
  <si>
    <r>
      <rPr>
        <sz val="11"/>
        <color rgb="FF000000"/>
        <rFont val="Meiryo UI"/>
        <family val="2"/>
      </rPr>
      <t>レコードID</t>
    </r>
  </si>
  <si>
    <r>
      <rPr>
        <sz val="11"/>
        <color rgb="FF000000"/>
        <rFont val="Meiryo UI"/>
        <family val="2"/>
      </rPr>
      <t>40_API設計_AP0802_カテゴリ値引・割引詳細取得.xlsxをご参照ください。</t>
    </r>
  </si>
  <si>
    <r>
      <rPr>
        <sz val="11"/>
        <color rgb="FF000000"/>
        <rFont val="Meiryo UI"/>
        <family val="2"/>
      </rPr>
      <t>・返却レスポンスは40_API設計_AP0802_カテゴリ値引・割引詳細取得.xlsxをご参照ください。</t>
    </r>
  </si>
  <si>
    <r>
      <rPr>
        <sz val="11"/>
        <color rgb="FF000000"/>
        <rFont val="Meiryo UI"/>
        <family val="2"/>
      </rPr>
      <t>MD0801_02</t>
    </r>
  </si>
  <si>
    <r>
      <rPr>
        <sz val="11"/>
        <color rgb="FF000000"/>
        <rFont val="Meiryo UI"/>
        <family val="2"/>
      </rPr>
      <t>前画面</t>
    </r>
  </si>
  <si>
    <r>
      <rPr>
        <sz val="11"/>
        <color rgb="FF000000"/>
        <rFont val="Meiryo UI"/>
        <family val="2"/>
      </rPr>
      <t>API_AP0802_カテゴリ値引・割引詳細取得を呼び出さない。</t>
    </r>
  </si>
  <si>
    <r>
      <t>値</t>
    </r>
    <r>
      <rPr>
        <sz val="11"/>
        <color rgb="FF000000"/>
        <rFont val="Meiryo UI"/>
        <family val="2"/>
      </rPr>
      <t>引種類
  1: 値引
  2: 割引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</si>
  <si>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</si>
  <si>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</si>
  <si>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</si>
  <si>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</si>
  <si>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</si>
  <si>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</si>
  <si>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</si>
  <si>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</si>
  <si>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</si>
  <si>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</si>
  <si>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</si>
  <si>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</si>
  <si>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</si>
  <si>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</si>
  <si>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</si>
  <si>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</si>
  <si>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</si>
  <si>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</si>
  <si>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</si>
  <si>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</si>
  <si>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</si>
  <si>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b/>
        <sz val="11"/>
        <color rgb="FF000000"/>
        <rFont val="Meiryo UI"/>
        <family val="2"/>
      </rPr>
      <t>1. 新規作成モードに切り替える。</t>
    </r>
  </si>
  <si>
    <r>
      <rPr>
        <sz val="10"/>
        <color rgb="FF000000"/>
        <rFont val="Meiryo UI"/>
        <family val="2"/>
      </rPr>
      <t>▪20_画面設計_08_カテゴリ値引・割引設定.xlsx
▪40_API設計_AP0801_カテゴリ値引・割引一覧取得.xlsx</t>
    </r>
  </si>
  <si>
    <r>
      <rPr>
        <b/>
        <sz val="11"/>
        <color rgb="FF000000"/>
        <rFont val="Meiryo UI"/>
        <family val="2"/>
      </rPr>
      <t>1. KN0801_自動割引一覧取得機能</t>
    </r>
  </si>
  <si>
    <r>
      <rPr>
        <sz val="10"/>
        <color rgb="FF000000"/>
        <rFont val="Meiryo UI"/>
        <family val="2"/>
      </rPr>
      <t>▪20_画面設計_08_カテゴリ値引・割引設定.xlsx
▪ 40_API設計_AP1507_階層一覧取得.xlsx</t>
    </r>
  </si>
  <si>
    <r>
      <rPr>
        <b/>
        <sz val="11"/>
        <color rgb="FF000000"/>
        <rFont val="Meiryo UI"/>
        <family val="2"/>
      </rPr>
      <t>1. KN2501_商品部門一覧取得機能</t>
    </r>
  </si>
  <si>
    <r>
      <rPr>
        <b/>
        <sz val="11"/>
        <color rgb="FF000000"/>
        <rFont val="Meiryo UI"/>
        <family val="2"/>
      </rPr>
      <t>1. 「選択対象のみ表示」をタッチする。</t>
    </r>
  </si>
  <si>
    <r>
      <rPr>
        <b/>
        <sz val="11"/>
        <color rgb="FF000000"/>
        <rFont val="Meiryo UI"/>
        <family val="2"/>
      </rPr>
      <t>2. 「全件表示」をタッチする。</t>
    </r>
  </si>
  <si>
    <r>
      <rPr>
        <b/>
        <sz val="11"/>
        <color rgb="FF000000"/>
        <rFont val="Meiryo UI"/>
        <family val="2"/>
      </rPr>
      <t>1. ボタンをタッチする。</t>
    </r>
  </si>
  <si>
    <r>
      <rPr>
        <b/>
        <sz val="11"/>
        <color rgb="FF000000"/>
        <rFont val="Meiryo UI"/>
        <family val="2"/>
      </rPr>
      <t>1. 「+」ボタンをタッチする。</t>
    </r>
  </si>
  <si>
    <r>
      <rPr>
        <b/>
        <sz val="11"/>
        <color rgb="FF000000"/>
        <rFont val="Meiryo UI"/>
        <family val="2"/>
      </rPr>
      <t>2. 「-」ボタンをタッチする。</t>
    </r>
  </si>
  <si>
    <r>
      <rPr>
        <b/>
        <sz val="11"/>
        <color rgb="FF000000"/>
        <rFont val="Meiryo UI"/>
        <family val="2"/>
      </rPr>
      <t>1. チェックボックスをタッチする。</t>
    </r>
  </si>
  <si>
    <r>
      <rPr>
        <b/>
        <sz val="11"/>
        <color rgb="FF000000"/>
        <rFont val="Meiryo UI"/>
        <family val="2"/>
      </rPr>
      <t>1. 画面に入力された情報をクリアする。</t>
    </r>
  </si>
  <si>
    <r>
      <rPr>
        <sz val="11"/>
        <color rgb="FF000000"/>
        <rFont val="Meiryo UI"/>
        <family val="2"/>
      </rPr>
      <t>画面を初期状態に戻す。「SC0801_01」イベントをご参照ください。</t>
    </r>
  </si>
  <si>
    <r>
      <rPr>
        <sz val="10"/>
        <color rgb="FF000000"/>
        <rFont val="Meiryo UI"/>
        <family val="2"/>
      </rPr>
      <t>▪20_画面設計_08_カテゴリ値引・割引設定.xlsx
▪40_API設計_AP0803_カテゴリ値引・割引削除.xlsx</t>
    </r>
  </si>
  <si>
    <r>
      <rPr>
        <b/>
        <sz val="11"/>
        <color rgb="FF000000"/>
        <rFont val="Meiryo UI"/>
        <family val="2"/>
      </rPr>
      <t>1. KN0804_緊急削除機能</t>
    </r>
  </si>
  <si>
    <r>
      <rPr>
        <sz val="10"/>
        <color rgb="FF000000"/>
        <rFont val="Meiryo UI"/>
        <family val="2"/>
      </rPr>
      <t>▪20_画面設計_08_カテゴリ値引・割引設定.xlsx
▪40_API設計_AP0804_カテゴリ値引・割引保存.xlsx</t>
    </r>
  </si>
  <si>
    <r>
      <rPr>
        <b/>
        <sz val="11"/>
        <color rgb="FF000000"/>
        <rFont val="Meiryo UI"/>
        <family val="2"/>
      </rPr>
      <t>1. 特売売価の情報のバリデーションチェックを行う。</t>
    </r>
  </si>
  <si>
    <r>
      <rPr>
        <sz val="11"/>
        <color rgb="FF000000"/>
        <rFont val="Meiryo UI"/>
        <family val="2"/>
      </rPr>
      <t>▪バリデーションチェックのエラーがない：KN0806_カテゴリ値引・割引変更保存機能を実行する。</t>
    </r>
  </si>
  <si>
    <r>
      <rPr>
        <b/>
        <sz val="11"/>
        <color rgb="FF000000"/>
        <rFont val="Meiryo UI"/>
        <family val="2"/>
      </rPr>
      <t>2. KN0806_カテゴリ値引・割引変更保存機能を実行する。</t>
    </r>
  </si>
  <si>
    <r>
      <rPr>
        <sz val="11"/>
        <color rgb="FF000000"/>
        <rFont val="Meiryo UI"/>
        <family val="2"/>
      </rPr>
      <t>割引コード 新規作成の場合、nullを渡す。</t>
    </r>
  </si>
  <si>
    <r>
      <rPr>
        <sz val="11"/>
        <color rgb="FF000000"/>
        <rFont val="Meiryo UI"/>
        <family val="2"/>
      </rPr>
      <t>画面に入力された割引適用開始日
フォーマット: yyyy/mm/dd</t>
    </r>
  </si>
  <si>
    <r>
      <rPr>
        <sz val="11"/>
        <color rgb="FF000000"/>
        <rFont val="Meiryo UI"/>
        <family val="2"/>
      </rPr>
      <t>画面に入力された割引適用終了日
フォーマット: yyyy/mm/dd</t>
    </r>
  </si>
  <si>
    <r>
      <rPr>
        <sz val="11"/>
        <color rgb="FF000000"/>
        <rFont val="Meiryo UI"/>
        <family val="2"/>
      </rPr>
      <t>画面に入力された割引適用開始時間
形式: hh:mm</t>
    </r>
  </si>
  <si>
    <r>
      <rPr>
        <sz val="11"/>
        <color rgb="FF000000"/>
        <rFont val="Meiryo UI"/>
        <family val="2"/>
      </rPr>
      <t>画面に入力された割引適用終了時間
形式: hh:mm</t>
    </r>
  </si>
  <si>
    <r>
      <rPr>
        <sz val="10"/>
        <color rgb="FF000000"/>
        <rFont val="Meiryo UI"/>
        <family val="2"/>
      </rPr>
      <t>▪20_画面設計_08_カテゴリ値引・割引設定.xlsx
40_API設計_AP0802_カテゴリ値引・割引詳細取得.xlsx</t>
    </r>
  </si>
  <si>
    <r>
      <rPr>
        <b/>
        <sz val="11"/>
        <color rgb="FF000000"/>
        <rFont val="Meiryo UI"/>
        <family val="2"/>
      </rPr>
      <t>1. KN0802_自動割引詳細取得機能</t>
    </r>
  </si>
  <si>
    <r>
      <rPr>
        <b/>
        <sz val="11"/>
        <color rgb="FF000000"/>
        <rFont val="Meiryo UI"/>
        <family val="2"/>
      </rPr>
      <t>1. MD0801_カテゴリ値引／割引情報モーダルを閉じる。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</si>
</sst>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11"/>
      <color rgb="FF7030A0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/>
    <xf numFmtId="0" fontId="4" fillId="0" borderId="17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7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7" fillId="2" borderId="0" xfId="0" quotePrefix="1" applyFont="1" applyFill="1" applyAlignment="1">
      <alignment vertical="center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0" fontId="7" fillId="2" borderId="0" xfId="0" applyFont="1" applyFill="1" applyAlignment="1">
      <alignment vertical="center"/>
    </xf>
    <xf numFmtId="0" fontId="8" fillId="3" borderId="21" xfId="0" applyFont="1" applyFill="1" applyBorder="1" applyAlignment="1">
      <alignment vertical="center"/>
    </xf>
    <xf numFmtId="0" fontId="8" fillId="3" borderId="16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quotePrefix="1" applyFont="1" applyFill="1" applyAlignment="1">
      <alignment vertical="center"/>
    </xf>
    <xf numFmtId="49" fontId="3" fillId="2" borderId="21" xfId="8" applyNumberFormat="1" applyFont="1" applyFill="1" applyBorder="1">
      <alignment vertical="center"/>
    </xf>
    <xf numFmtId="49" fontId="3" fillId="2" borderId="16" xfId="8" applyNumberFormat="1" applyFont="1" applyFill="1" applyBorder="1">
      <alignment vertical="center"/>
    </xf>
    <xf numFmtId="0" fontId="4" fillId="0" borderId="21" xfId="0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2" xfId="0" quotePrefix="1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/>
    </xf>
    <xf numFmtId="0" fontId="3" fillId="0" borderId="24" xfId="0" applyFont="1" applyBorder="1" applyAlignment="1">
      <alignment horizontal="left" vertical="top"/>
    </xf>
    <xf numFmtId="0" fontId="9" fillId="0" borderId="18" xfId="0" applyFont="1" applyBorder="1"/>
    <xf numFmtId="0" fontId="9" fillId="0" borderId="19" xfId="0" applyFont="1" applyBorder="1"/>
    <xf numFmtId="0" fontId="9" fillId="0" borderId="3" xfId="0" applyFont="1" applyBorder="1"/>
    <xf numFmtId="0" fontId="9" fillId="0" borderId="5" xfId="0" applyFont="1" applyBorder="1"/>
    <xf numFmtId="0" fontId="9" fillId="0" borderId="17" xfId="0" applyFont="1" applyBorder="1"/>
    <xf numFmtId="0" fontId="9" fillId="0" borderId="2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17" xfId="0" applyFont="1" applyBorder="1"/>
    <xf numFmtId="0" fontId="10" fillId="0" borderId="2" xfId="0" applyFont="1" applyBorder="1"/>
    <xf numFmtId="49" fontId="6" fillId="2" borderId="17" xfId="8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49" fontId="3" fillId="2" borderId="21" xfId="8" quotePrefix="1" applyNumberFormat="1" applyFont="1" applyFill="1" applyBorder="1" applyAlignment="1">
      <alignment horizontal="left" vertical="top" wrapText="1"/>
    </xf>
    <xf numFmtId="49" fontId="3" fillId="2" borderId="16" xfId="8" quotePrefix="1" applyNumberFormat="1" applyFont="1" applyFill="1" applyBorder="1" applyAlignment="1">
      <alignment horizontal="left" vertical="top"/>
    </xf>
    <xf numFmtId="49" fontId="3" fillId="2" borderId="20" xfId="8" quotePrefix="1" applyNumberFormat="1" applyFont="1" applyFill="1" applyBorder="1" applyAlignment="1">
      <alignment horizontal="left" vertical="top"/>
    </xf>
    <xf numFmtId="0" fontId="4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8" fillId="0" borderId="0" xfId="0" applyFont="1"/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19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4" fillId="4" borderId="0" xfId="0" applyFont="1" applyFill="1"/>
    <xf numFmtId="0" fontId="18" fillId="0" borderId="22" xfId="0" applyFont="1" applyBorder="1"/>
    <xf numFmtId="0" fontId="18" fillId="0" borderId="23" xfId="0" applyFont="1" applyBorder="1"/>
    <xf numFmtId="0" fontId="18" fillId="0" borderId="24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17" xfId="0" applyFont="1" applyBorder="1"/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2" xfId="0" applyFont="1" applyBorder="1"/>
    <xf numFmtId="14" fontId="21" fillId="0" borderId="17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22" xfId="0" applyFont="1" applyBorder="1"/>
    <xf numFmtId="0" fontId="21" fillId="0" borderId="23" xfId="0" applyFont="1" applyBorder="1"/>
    <xf numFmtId="0" fontId="21" fillId="0" borderId="24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5" xfId="0" applyFont="1" applyBorder="1"/>
    <xf numFmtId="0" fontId="21" fillId="0" borderId="26" xfId="0" applyFont="1" applyBorder="1"/>
    <xf numFmtId="0" fontId="21" fillId="0" borderId="27" xfId="0" applyFont="1" applyBorder="1"/>
    <xf numFmtId="0" fontId="14" fillId="4" borderId="21" xfId="6" applyFont="1" applyFill="1" applyBorder="1" applyAlignment="1">
      <alignment horizontal="center" vertical="center"/>
    </xf>
    <xf numFmtId="0" fontId="14" fillId="4" borderId="16" xfId="6" applyFont="1" applyFill="1" applyBorder="1" applyAlignment="1">
      <alignment horizontal="center" vertical="center"/>
    </xf>
    <xf numFmtId="0" fontId="14" fillId="4" borderId="20" xfId="6" applyFont="1" applyFill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9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5" fillId="4" borderId="21" xfId="6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28" xfId="0" applyFont="1" applyBorder="1" applyAlignment="1">
      <alignment horizontal="left" vertical="top"/>
    </xf>
    <xf numFmtId="0" fontId="18" fillId="0" borderId="21" xfId="0" applyFont="1" applyBorder="1" applyAlignment="1">
      <alignment horizontal="left" vertical="top"/>
    </xf>
    <xf numFmtId="0" fontId="18" fillId="0" borderId="16" xfId="0" applyFont="1" applyBorder="1" applyAlignment="1">
      <alignment horizontal="left" vertical="top"/>
    </xf>
    <xf numFmtId="0" fontId="18" fillId="0" borderId="20" xfId="0" applyFont="1" applyBorder="1" applyAlignment="1">
      <alignment horizontal="left" vertical="top"/>
    </xf>
    <xf numFmtId="0" fontId="18" fillId="5" borderId="21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vertical="center"/>
    </xf>
    <xf numFmtId="0" fontId="18" fillId="2" borderId="16" xfId="0" applyFont="1" applyFill="1" applyBorder="1" applyAlignment="1">
      <alignment horizontal="left" vertical="top" wrapText="1" shrinkToFit="1"/>
    </xf>
    <xf numFmtId="0" fontId="18" fillId="2" borderId="20" xfId="0" applyFont="1" applyFill="1" applyBorder="1" applyAlignment="1">
      <alignment horizontal="left" vertical="top" wrapText="1" shrinkToFi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vertical="center"/>
    </xf>
    <xf numFmtId="0" fontId="18" fillId="2" borderId="18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2" borderId="0" xfId="0" quotePrefix="1" applyFont="1" applyFill="1" applyAlignment="1">
      <alignment vertical="center"/>
    </xf>
    <xf numFmtId="0" fontId="18" fillId="2" borderId="2" xfId="0" applyFont="1" applyFill="1" applyBorder="1" applyAlignment="1">
      <alignment vertical="center"/>
    </xf>
    <xf numFmtId="49" fontId="18" fillId="2" borderId="3" xfId="8" applyNumberFormat="1" applyFont="1" applyFill="1" applyBorder="1" applyAlignment="1">
      <alignment horizontal="left" vertical="center"/>
    </xf>
    <xf numFmtId="0" fontId="18" fillId="2" borderId="3" xfId="0" applyFont="1" applyFill="1" applyBorder="1" applyAlignment="1">
      <alignment vertical="center"/>
    </xf>
    <xf numFmtId="49" fontId="18" fillId="2" borderId="21" xfId="8" applyNumberFormat="1" applyFont="1" applyFill="1" applyBorder="1">
      <alignment vertical="center"/>
    </xf>
    <xf numFmtId="49" fontId="18" fillId="2" borderId="16" xfId="8" applyNumberFormat="1" applyFont="1" applyFill="1" applyBorder="1">
      <alignment vertical="center"/>
    </xf>
    <xf numFmtId="49" fontId="18" fillId="2" borderId="21" xfId="8" quotePrefix="1" applyNumberFormat="1" applyFont="1" applyFill="1" applyBorder="1" applyAlignment="1">
      <alignment horizontal="left" vertical="top"/>
    </xf>
    <xf numFmtId="49" fontId="18" fillId="2" borderId="16" xfId="8" quotePrefix="1" applyNumberFormat="1" applyFont="1" applyFill="1" applyBorder="1" applyAlignment="1">
      <alignment horizontal="left" vertical="top" wrapText="1"/>
    </xf>
    <xf numFmtId="49" fontId="18" fillId="2" borderId="20" xfId="8" quotePrefix="1" applyNumberFormat="1" applyFont="1" applyFill="1" applyBorder="1" applyAlignment="1">
      <alignment horizontal="left" vertical="top" wrapText="1"/>
    </xf>
    <xf numFmtId="0" fontId="18" fillId="2" borderId="16" xfId="0" quotePrefix="1" applyFont="1" applyFill="1" applyBorder="1" applyAlignment="1">
      <alignment vertical="center"/>
    </xf>
    <xf numFmtId="49" fontId="18" fillId="2" borderId="21" xfId="8" quotePrefix="1" applyNumberFormat="1" applyFont="1" applyFill="1" applyBorder="1" applyAlignment="1">
      <alignment horizontal="left" vertical="top" wrapText="1"/>
    </xf>
    <xf numFmtId="49" fontId="18" fillId="2" borderId="16" xfId="8" quotePrefix="1" applyNumberFormat="1" applyFont="1" applyFill="1" applyBorder="1" applyAlignment="1">
      <alignment horizontal="left" vertical="top" wrapText="1"/>
    </xf>
    <xf numFmtId="49" fontId="18" fillId="2" borderId="20" xfId="8" quotePrefix="1" applyNumberFormat="1" applyFont="1" applyFill="1" applyBorder="1" applyAlignment="1">
      <alignment horizontal="left" vertical="top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13</xdr:row>
      <xdr:rowOff>150441</xdr:rowOff>
    </xdr:from>
    <xdr:to>
      <xdr:col>10</xdr:col>
      <xdr:colOff>0</xdr:colOff>
      <xdr:row>16</xdr:row>
      <xdr:rowOff>145677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43200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メインメニュー画面から08 カテゴリ値引／割引 をタッチした時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86427</xdr:rowOff>
    </xdr:from>
    <xdr:to>
      <xdr:col>13</xdr:col>
      <xdr:colOff>89648</xdr:colOff>
      <xdr:row>15</xdr:row>
      <xdr:rowOff>86427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667000" y="3057525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11206</xdr:colOff>
      <xdr:row>13</xdr:row>
      <xdr:rowOff>33619</xdr:rowOff>
    </xdr:from>
    <xdr:to>
      <xdr:col>55</xdr:col>
      <xdr:colOff>179295</xdr:colOff>
      <xdr:row>17</xdr:row>
      <xdr:rowOff>145677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>
          <a:grpSpLocks/>
        </xdr:cNvGrpSpPr>
      </xdr:nvGrpSpPr>
      <xdr:grpSpPr>
        <a:xfrm>
          <a:off x="10365441" y="2622178"/>
          <a:ext cx="2756648" cy="874058"/>
          <a:chOff x="8748401" y="-2596025"/>
          <a:chExt cx="2737005" cy="2762837"/>
        </a:xfrm>
      </xdr:grpSpPr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>
            <a:endCxn id="12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182</xdr:row>
      <xdr:rowOff>0</xdr:rowOff>
    </xdr:from>
    <xdr:to>
      <xdr:col>10</xdr:col>
      <xdr:colOff>0</xdr:colOff>
      <xdr:row>185</xdr:row>
      <xdr:rowOff>51266</xdr:rowOff>
    </xdr:to>
    <xdr:sp macro="" textlink="" fLocksText="0">
      <xdr:nvSpPr>
        <xdr:cNvPr id="76" name="フローチャート: 代替処理 27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161925" y="34785300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F11:確認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183</xdr:row>
      <xdr:rowOff>126486</xdr:rowOff>
    </xdr:from>
    <xdr:to>
      <xdr:col>13</xdr:col>
      <xdr:colOff>89648</xdr:colOff>
      <xdr:row>183</xdr:row>
      <xdr:rowOff>126486</xdr:rowOff>
    </xdr:to>
    <xdr:cxnSp macro="">
      <xdr:nvCxnSpPr>
        <xdr:cNvPr id="77" name="直線矢印コネクタ 4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>
          <a:stCxn id="76" idx="3"/>
        </xdr:cNvCxnSpPr>
      </xdr:nvCxnSpPr>
      <xdr:spPr>
        <a:xfrm>
          <a:off x="2667000" y="35099625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224120</xdr:colOff>
      <xdr:row>234</xdr:row>
      <xdr:rowOff>11206</xdr:rowOff>
    </xdr:from>
    <xdr:to>
      <xdr:col>53</xdr:col>
      <xdr:colOff>121474</xdr:colOff>
      <xdr:row>236</xdr:row>
      <xdr:rowOff>0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GrpSpPr>
          <a:grpSpLocks/>
        </xdr:cNvGrpSpPr>
      </xdr:nvGrpSpPr>
      <xdr:grpSpPr>
        <a:xfrm>
          <a:off x="10343032" y="46627677"/>
          <a:ext cx="2250589" cy="369794"/>
          <a:chOff x="8870788" y="-2171875"/>
          <a:chExt cx="2234552" cy="777600"/>
        </a:xfrm>
      </xdr:grpSpPr>
      <xdr:sp macro="" textlink="" fLocksText="0">
        <xdr:nvSpPr>
          <xdr:cNvPr id="85" name="Rectangl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9449537" y="-217187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6" name="直線矢印コネクタ 4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CxnSpPr>
            <a:endCxn id="85" idx="1"/>
          </xdr:cNvCxnSpPr>
        </xdr:nvCxnSpPr>
        <xdr:spPr>
          <a:xfrm>
            <a:off x="8870788" y="-178307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22412</xdr:colOff>
      <xdr:row>194</xdr:row>
      <xdr:rowOff>168088</xdr:rowOff>
    </xdr:from>
    <xdr:to>
      <xdr:col>53</xdr:col>
      <xdr:colOff>155089</xdr:colOff>
      <xdr:row>196</xdr:row>
      <xdr:rowOff>156882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GrpSpPr>
          <a:grpSpLocks/>
        </xdr:cNvGrpSpPr>
      </xdr:nvGrpSpPr>
      <xdr:grpSpPr>
        <a:xfrm>
          <a:off x="10376647" y="37237147"/>
          <a:ext cx="2250589" cy="369794"/>
          <a:chOff x="8870788" y="-2171875"/>
          <a:chExt cx="2234552" cy="777600"/>
        </a:xfrm>
      </xdr:grpSpPr>
      <xdr:sp macro="" textlink="" fLocksText="0">
        <xdr:nvSpPr>
          <xdr:cNvPr id="104" name="Rectangle 103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SpPr/>
        </xdr:nvSpPr>
        <xdr:spPr>
          <a:xfrm>
            <a:off x="9449537" y="-217187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5" name="直線矢印コネクタ 4">
            <a:extLst>
              <a:ext uri="{FF2B5EF4-FFF2-40B4-BE49-F238E27FC236}">
                <a16:creationId xmlns:a16="http://schemas.microsoft.com/office/drawing/2014/main" id="{00000000-0008-0000-0200-000069000000}"/>
              </a:ext>
            </a:extLst>
          </xdr:cNvPr>
          <xdr:cNvCxnSpPr>
            <a:endCxn id="104" idx="1"/>
          </xdr:cNvCxnSpPr>
        </xdr:nvCxnSpPr>
        <xdr:spPr>
          <a:xfrm>
            <a:off x="8870788" y="-178307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36</xdr:row>
      <xdr:rowOff>112058</xdr:rowOff>
    </xdr:from>
    <xdr:to>
      <xdr:col>55</xdr:col>
      <xdr:colOff>168089</xdr:colOff>
      <xdr:row>41</xdr:row>
      <xdr:rowOff>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>
          <a:grpSpLocks/>
        </xdr:cNvGrpSpPr>
      </xdr:nvGrpSpPr>
      <xdr:grpSpPr>
        <a:xfrm>
          <a:off x="10354235" y="7082117"/>
          <a:ext cx="2756648" cy="840442"/>
          <a:chOff x="8748401" y="-2596025"/>
          <a:chExt cx="2737005" cy="2762837"/>
        </a:xfrm>
      </xdr:grpSpPr>
      <xdr:sp macro="" textlink="" fLocksText="0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8" name="直線矢印コネクタ 4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CxnSpPr>
            <a:endCxn id="31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37</xdr:row>
      <xdr:rowOff>0</xdr:rowOff>
    </xdr:from>
    <xdr:to>
      <xdr:col>10</xdr:col>
      <xdr:colOff>68790</xdr:colOff>
      <xdr:row>39</xdr:row>
      <xdr:rowOff>185736</xdr:rowOff>
    </xdr:to>
    <xdr:sp macro="" textlink="" fLocksText="0">
      <xdr:nvSpPr>
        <xdr:cNvPr id="44" name="フローチャート: 代替処理 27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266700" y="7162800"/>
          <a:ext cx="24669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</a:p>
      </xdr:txBody>
    </xdr:sp>
    <xdr:clientData/>
  </xdr:twoCellAnchor>
  <xdr:twoCellAnchor>
    <xdr:from>
      <xdr:col>10</xdr:col>
      <xdr:colOff>68790</xdr:colOff>
      <xdr:row>38</xdr:row>
      <xdr:rowOff>126486</xdr:rowOff>
    </xdr:from>
    <xdr:to>
      <xdr:col>13</xdr:col>
      <xdr:colOff>158438</xdr:colOff>
      <xdr:row>38</xdr:row>
      <xdr:rowOff>126486</xdr:rowOff>
    </xdr:to>
    <xdr:cxnSp macro="">
      <xdr:nvCxnSpPr>
        <xdr:cNvPr id="45" name="直線矢印コネクタ 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>
          <a:stCxn id="44" idx="3"/>
        </xdr:cNvCxnSpPr>
      </xdr:nvCxnSpPr>
      <xdr:spPr>
        <a:xfrm>
          <a:off x="2733675" y="7477125"/>
          <a:ext cx="895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24</xdr:row>
      <xdr:rowOff>112058</xdr:rowOff>
    </xdr:from>
    <xdr:to>
      <xdr:col>55</xdr:col>
      <xdr:colOff>168089</xdr:colOff>
      <xdr:row>29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GrpSpPr>
          <a:grpSpLocks/>
        </xdr:cNvGrpSpPr>
      </xdr:nvGrpSpPr>
      <xdr:grpSpPr>
        <a:xfrm>
          <a:off x="10354235" y="4796117"/>
          <a:ext cx="2756648" cy="840442"/>
          <a:chOff x="8748401" y="-2596025"/>
          <a:chExt cx="2737005" cy="2762837"/>
        </a:xfrm>
      </xdr:grpSpPr>
      <xdr:sp macro="" textlink="" fLocksText="0">
        <xdr:nvSpPr>
          <xdr:cNvPr id="48" name="Rectangle 47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9" name="直線矢印コネクタ 4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CxnSpPr>
            <a:endCxn id="48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25</xdr:row>
      <xdr:rowOff>0</xdr:rowOff>
    </xdr:from>
    <xdr:to>
      <xdr:col>10</xdr:col>
      <xdr:colOff>68790</xdr:colOff>
      <xdr:row>27</xdr:row>
      <xdr:rowOff>185736</xdr:rowOff>
    </xdr:to>
    <xdr:sp macro="" textlink="" fLocksText="0">
      <xdr:nvSpPr>
        <xdr:cNvPr id="50" name="フローチャート: 代替処理 27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266700" y="4876800"/>
          <a:ext cx="24669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26</xdr:row>
      <xdr:rowOff>126486</xdr:rowOff>
    </xdr:from>
    <xdr:to>
      <xdr:col>13</xdr:col>
      <xdr:colOff>158438</xdr:colOff>
      <xdr:row>26</xdr:row>
      <xdr:rowOff>126486</xdr:rowOff>
    </xdr:to>
    <xdr:cxnSp macro="">
      <xdr:nvCxnSpPr>
        <xdr:cNvPr id="54" name="直線矢印コネクタ 4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>
          <a:stCxn id="50" idx="3"/>
        </xdr:cNvCxnSpPr>
      </xdr:nvCxnSpPr>
      <xdr:spPr>
        <a:xfrm>
          <a:off x="2733675" y="5191125"/>
          <a:ext cx="895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84</xdr:row>
      <xdr:rowOff>112058</xdr:rowOff>
    </xdr:from>
    <xdr:to>
      <xdr:col>55</xdr:col>
      <xdr:colOff>168089</xdr:colOff>
      <xdr:row>89</xdr:row>
      <xdr:rowOff>0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GrpSpPr>
          <a:grpSpLocks/>
        </xdr:cNvGrpSpPr>
      </xdr:nvGrpSpPr>
      <xdr:grpSpPr>
        <a:xfrm>
          <a:off x="10354235" y="16226117"/>
          <a:ext cx="2756648" cy="840442"/>
          <a:chOff x="8748401" y="-2596025"/>
          <a:chExt cx="2737005" cy="2762837"/>
        </a:xfrm>
      </xdr:grpSpPr>
      <xdr:sp macro="" textlink="" fLocksText="0">
        <xdr:nvSpPr>
          <xdr:cNvPr id="92" name="Rectangle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3" name="直線矢印コネクタ 4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CxnSpPr>
            <a:endCxn id="92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85</xdr:row>
      <xdr:rowOff>0</xdr:rowOff>
    </xdr:from>
    <xdr:to>
      <xdr:col>10</xdr:col>
      <xdr:colOff>68790</xdr:colOff>
      <xdr:row>88</xdr:row>
      <xdr:rowOff>100853</xdr:rowOff>
    </xdr:to>
    <xdr:sp macro="" textlink="" fLocksText="0">
      <xdr:nvSpPr>
        <xdr:cNvPr id="94" name="フローチャート: 代替処理 27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266700" y="16306800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選択対象のみ表示・全件表示 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68790</xdr:colOff>
      <xdr:row>86</xdr:row>
      <xdr:rowOff>145676</xdr:rowOff>
    </xdr:from>
    <xdr:to>
      <xdr:col>13</xdr:col>
      <xdr:colOff>168088</xdr:colOff>
      <xdr:row>86</xdr:row>
      <xdr:rowOff>145677</xdr:rowOff>
    </xdr:to>
    <xdr:cxnSp macro="">
      <xdr:nvCxnSpPr>
        <xdr:cNvPr id="95" name="直線矢印コネクタ 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>
          <a:stCxn id="94" idx="3"/>
        </xdr:cNvCxnSpPr>
      </xdr:nvCxnSpPr>
      <xdr:spPr>
        <a:xfrm flipV="1">
          <a:off x="2733675" y="16640175"/>
          <a:ext cx="9048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59</xdr:row>
      <xdr:rowOff>112058</xdr:rowOff>
    </xdr:from>
    <xdr:to>
      <xdr:col>55</xdr:col>
      <xdr:colOff>168089</xdr:colOff>
      <xdr:row>64</xdr:row>
      <xdr:rowOff>0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GrpSpPr>
          <a:grpSpLocks/>
        </xdr:cNvGrpSpPr>
      </xdr:nvGrpSpPr>
      <xdr:grpSpPr>
        <a:xfrm>
          <a:off x="10354235" y="11463617"/>
          <a:ext cx="2756648" cy="840442"/>
          <a:chOff x="8748401" y="-2596025"/>
          <a:chExt cx="2737005" cy="2762837"/>
        </a:xfrm>
      </xdr:grpSpPr>
      <xdr:sp macro="" textlink="" fLocksText="0">
        <xdr:nvSpPr>
          <xdr:cNvPr id="97" name="Rectangle 96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8" name="直線矢印コネクタ 4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CxnSpPr>
            <a:endCxn id="97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60</xdr:row>
      <xdr:rowOff>0</xdr:rowOff>
    </xdr:from>
    <xdr:to>
      <xdr:col>10</xdr:col>
      <xdr:colOff>68790</xdr:colOff>
      <xdr:row>62</xdr:row>
      <xdr:rowOff>185736</xdr:rowOff>
    </xdr:to>
    <xdr:sp macro="" textlink="" fLocksText="0">
      <xdr:nvSpPr>
        <xdr:cNvPr id="99" name="フローチャート: 代替処理 27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266700" y="11544300"/>
          <a:ext cx="24669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階層表示</a:t>
          </a:r>
        </a:p>
      </xdr:txBody>
    </xdr:sp>
    <xdr:clientData/>
  </xdr:twoCellAnchor>
  <xdr:twoCellAnchor>
    <xdr:from>
      <xdr:col>10</xdr:col>
      <xdr:colOff>68790</xdr:colOff>
      <xdr:row>61</xdr:row>
      <xdr:rowOff>126486</xdr:rowOff>
    </xdr:from>
    <xdr:to>
      <xdr:col>13</xdr:col>
      <xdr:colOff>158438</xdr:colOff>
      <xdr:row>61</xdr:row>
      <xdr:rowOff>126486</xdr:rowOff>
    </xdr:to>
    <xdr:cxnSp macro="">
      <xdr:nvCxnSpPr>
        <xdr:cNvPr id="125" name="直線矢印コネクタ 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stCxn id="99" idx="3"/>
        </xdr:cNvCxnSpPr>
      </xdr:nvCxnSpPr>
      <xdr:spPr>
        <a:xfrm>
          <a:off x="2733675" y="11858625"/>
          <a:ext cx="895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22412</xdr:colOff>
      <xdr:row>74</xdr:row>
      <xdr:rowOff>22412</xdr:rowOff>
    </xdr:from>
    <xdr:to>
      <xdr:col>53</xdr:col>
      <xdr:colOff>155089</xdr:colOff>
      <xdr:row>76</xdr:row>
      <xdr:rowOff>11206</xdr:rowOff>
    </xdr:to>
    <xdr:grpSp>
      <xdr:nvGrpSpPr>
        <xdr:cNvPr id="126" name="Group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GrpSpPr>
          <a:grpSpLocks/>
        </xdr:cNvGrpSpPr>
      </xdr:nvGrpSpPr>
      <xdr:grpSpPr>
        <a:xfrm>
          <a:off x="10376647" y="14231471"/>
          <a:ext cx="2250589" cy="369794"/>
          <a:chOff x="8994954" y="-1771293"/>
          <a:chExt cx="2234552" cy="777600"/>
        </a:xfrm>
      </xdr:grpSpPr>
      <xdr:sp macro="" textlink="" fLocksText="0">
        <xdr:nvSpPr>
          <xdr:cNvPr id="127" name="Rectangle 126">
            <a:extLst>
              <a:ext uri="{FF2B5EF4-FFF2-40B4-BE49-F238E27FC236}">
                <a16:creationId xmlns:a16="http://schemas.microsoft.com/office/drawing/2014/main" id="{00000000-0008-0000-0200-00007F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8" name="直線矢印コネクタ 4">
            <a:extLst>
              <a:ext uri="{FF2B5EF4-FFF2-40B4-BE49-F238E27FC236}">
                <a16:creationId xmlns:a16="http://schemas.microsoft.com/office/drawing/2014/main" id="{00000000-0008-0000-0200-000080000000}"/>
              </a:ext>
            </a:extLst>
          </xdr:cNvPr>
          <xdr:cNvCxnSpPr>
            <a:endCxn id="127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224117</xdr:colOff>
      <xdr:row>68</xdr:row>
      <xdr:rowOff>134471</xdr:rowOff>
    </xdr:from>
    <xdr:to>
      <xdr:col>55</xdr:col>
      <xdr:colOff>156883</xdr:colOff>
      <xdr:row>73</xdr:row>
      <xdr:rowOff>22413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GrpSpPr>
          <a:grpSpLocks/>
        </xdr:cNvGrpSpPr>
      </xdr:nvGrpSpPr>
      <xdr:grpSpPr>
        <a:xfrm>
          <a:off x="10343029" y="13200530"/>
          <a:ext cx="2756648" cy="840442"/>
          <a:chOff x="8748401" y="-2596025"/>
          <a:chExt cx="2737005" cy="2762837"/>
        </a:xfrm>
      </xdr:grpSpPr>
      <xdr:sp macro="" textlink="" fLocksText="0">
        <xdr:nvSpPr>
          <xdr:cNvPr id="130" name="Rectangle 129">
            <a:extLst>
              <a:ext uri="{FF2B5EF4-FFF2-40B4-BE49-F238E27FC236}">
                <a16:creationId xmlns:a16="http://schemas.microsoft.com/office/drawing/2014/main" id="{00000000-0008-0000-0200-000082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31" name="直線矢印コネクタ 4">
            <a:extLst>
              <a:ext uri="{FF2B5EF4-FFF2-40B4-BE49-F238E27FC236}">
                <a16:creationId xmlns:a16="http://schemas.microsoft.com/office/drawing/2014/main" id="{00000000-0008-0000-0200-000083000000}"/>
              </a:ext>
            </a:extLst>
          </xdr:cNvPr>
          <xdr:cNvCxnSpPr>
            <a:endCxn id="130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99</xdr:row>
      <xdr:rowOff>112058</xdr:rowOff>
    </xdr:from>
    <xdr:to>
      <xdr:col>55</xdr:col>
      <xdr:colOff>168089</xdr:colOff>
      <xdr:row>104</xdr:row>
      <xdr:rowOff>0</xdr:rowOff>
    </xdr:to>
    <xdr:grpSp>
      <xdr:nvGrpSpPr>
        <xdr:cNvPr id="132" name="Group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GrpSpPr>
          <a:grpSpLocks/>
        </xdr:cNvGrpSpPr>
      </xdr:nvGrpSpPr>
      <xdr:grpSpPr>
        <a:xfrm>
          <a:off x="10354235" y="19083617"/>
          <a:ext cx="2756648" cy="840442"/>
          <a:chOff x="8748401" y="-2596025"/>
          <a:chExt cx="2737005" cy="2762837"/>
        </a:xfrm>
      </xdr:grpSpPr>
      <xdr:sp macro="" textlink="" fLocksText="0">
        <xdr:nvSpPr>
          <xdr:cNvPr id="133" name="Rectangle 132">
            <a:extLst>
              <a:ext uri="{FF2B5EF4-FFF2-40B4-BE49-F238E27FC236}">
                <a16:creationId xmlns:a16="http://schemas.microsoft.com/office/drawing/2014/main" id="{00000000-0008-0000-0200-000085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34" name="直線矢印コネクタ 4">
            <a:extLst>
              <a:ext uri="{FF2B5EF4-FFF2-40B4-BE49-F238E27FC236}">
                <a16:creationId xmlns:a16="http://schemas.microsoft.com/office/drawing/2014/main" id="{00000000-0008-0000-0200-000086000000}"/>
              </a:ext>
            </a:extLst>
          </xdr:cNvPr>
          <xdr:cNvCxnSpPr>
            <a:endCxn id="133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100</xdr:row>
      <xdr:rowOff>0</xdr:rowOff>
    </xdr:from>
    <xdr:to>
      <xdr:col>10</xdr:col>
      <xdr:colOff>68790</xdr:colOff>
      <xdr:row>102</xdr:row>
      <xdr:rowOff>185736</xdr:rowOff>
    </xdr:to>
    <xdr:sp macro="" textlink="" fLocksText="0">
      <xdr:nvSpPr>
        <xdr:cNvPr id="135" name="フローチャート: 代替処理 27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266700" y="19164300"/>
          <a:ext cx="24669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全選択・全解除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68790</xdr:colOff>
      <xdr:row>101</xdr:row>
      <xdr:rowOff>126486</xdr:rowOff>
    </xdr:from>
    <xdr:to>
      <xdr:col>13</xdr:col>
      <xdr:colOff>158438</xdr:colOff>
      <xdr:row>101</xdr:row>
      <xdr:rowOff>126486</xdr:rowOff>
    </xdr:to>
    <xdr:cxnSp macro="">
      <xdr:nvCxnSpPr>
        <xdr:cNvPr id="136" name="直線矢印コネクタ 4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CxnSpPr>
          <a:stCxn id="135" idx="3"/>
        </xdr:cNvCxnSpPr>
      </xdr:nvCxnSpPr>
      <xdr:spPr>
        <a:xfrm>
          <a:off x="2733675" y="19478625"/>
          <a:ext cx="895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111</xdr:row>
      <xdr:rowOff>112058</xdr:rowOff>
    </xdr:from>
    <xdr:to>
      <xdr:col>55</xdr:col>
      <xdr:colOff>168089</xdr:colOff>
      <xdr:row>116</xdr:row>
      <xdr:rowOff>0</xdr:rowOff>
    </xdr:to>
    <xdr:grpSp>
      <xdr:nvGrpSpPr>
        <xdr:cNvPr id="143" name="Group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GrpSpPr>
          <a:grpSpLocks/>
        </xdr:cNvGrpSpPr>
      </xdr:nvGrpSpPr>
      <xdr:grpSpPr>
        <a:xfrm>
          <a:off x="10354235" y="21369617"/>
          <a:ext cx="2756648" cy="840442"/>
          <a:chOff x="8748401" y="-2596025"/>
          <a:chExt cx="2737005" cy="2762837"/>
        </a:xfrm>
      </xdr:grpSpPr>
      <xdr:sp macro="" textlink="" fLocksText="0">
        <xdr:nvSpPr>
          <xdr:cNvPr id="144" name="Rectangle 143">
            <a:extLst>
              <a:ext uri="{FF2B5EF4-FFF2-40B4-BE49-F238E27FC236}">
                <a16:creationId xmlns:a16="http://schemas.microsoft.com/office/drawing/2014/main" id="{00000000-0008-0000-0200-000090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5" name="直線矢印コネクタ 4">
            <a:extLst>
              <a:ext uri="{FF2B5EF4-FFF2-40B4-BE49-F238E27FC236}">
                <a16:creationId xmlns:a16="http://schemas.microsoft.com/office/drawing/2014/main" id="{00000000-0008-0000-0200-000091000000}"/>
              </a:ext>
            </a:extLst>
          </xdr:cNvPr>
          <xdr:cNvCxnSpPr>
            <a:endCxn id="144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112</xdr:row>
      <xdr:rowOff>0</xdr:rowOff>
    </xdr:from>
    <xdr:to>
      <xdr:col>10</xdr:col>
      <xdr:colOff>68790</xdr:colOff>
      <xdr:row>115</xdr:row>
      <xdr:rowOff>100853</xdr:rowOff>
    </xdr:to>
    <xdr:sp macro="" textlink="" fLocksText="0">
      <xdr:nvSpPr>
        <xdr:cNvPr id="146" name="フローチャート: 代替処理 27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266700" y="21450300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展開・折りたたみ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68790</xdr:colOff>
      <xdr:row>113</xdr:row>
      <xdr:rowOff>145676</xdr:rowOff>
    </xdr:from>
    <xdr:to>
      <xdr:col>13</xdr:col>
      <xdr:colOff>168088</xdr:colOff>
      <xdr:row>113</xdr:row>
      <xdr:rowOff>145677</xdr:rowOff>
    </xdr:to>
    <xdr:cxnSp macro="">
      <xdr:nvCxnSpPr>
        <xdr:cNvPr id="147" name="直線矢印コネクタ 4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CxnSpPr>
          <a:stCxn id="146" idx="3"/>
        </xdr:cNvCxnSpPr>
      </xdr:nvCxnSpPr>
      <xdr:spPr>
        <a:xfrm flipV="1">
          <a:off x="2733675" y="21783675"/>
          <a:ext cx="9048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127</xdr:row>
      <xdr:rowOff>112058</xdr:rowOff>
    </xdr:from>
    <xdr:to>
      <xdr:col>55</xdr:col>
      <xdr:colOff>168089</xdr:colOff>
      <xdr:row>132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GrpSpPr>
          <a:grpSpLocks/>
        </xdr:cNvGrpSpPr>
      </xdr:nvGrpSpPr>
      <xdr:grpSpPr>
        <a:xfrm>
          <a:off x="10354235" y="24417617"/>
          <a:ext cx="2756648" cy="840442"/>
          <a:chOff x="8748401" y="-2596025"/>
          <a:chExt cx="2737005" cy="2762837"/>
        </a:xfrm>
      </xdr:grpSpPr>
      <xdr:sp macro="" textlink="" fLocksText="0">
        <xdr:nvSpPr>
          <xdr:cNvPr id="149" name="Rectangle 148">
            <a:extLst>
              <a:ext uri="{FF2B5EF4-FFF2-40B4-BE49-F238E27FC236}">
                <a16:creationId xmlns:a16="http://schemas.microsoft.com/office/drawing/2014/main" id="{00000000-0008-0000-0200-000095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50" name="直線矢印コネクタ 4">
            <a:extLst>
              <a:ext uri="{FF2B5EF4-FFF2-40B4-BE49-F238E27FC236}">
                <a16:creationId xmlns:a16="http://schemas.microsoft.com/office/drawing/2014/main" id="{00000000-0008-0000-0200-000096000000}"/>
              </a:ext>
            </a:extLst>
          </xdr:cNvPr>
          <xdr:cNvCxnSpPr>
            <a:endCxn id="149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128</xdr:row>
      <xdr:rowOff>0</xdr:rowOff>
    </xdr:from>
    <xdr:to>
      <xdr:col>10</xdr:col>
      <xdr:colOff>68790</xdr:colOff>
      <xdr:row>131</xdr:row>
      <xdr:rowOff>100853</xdr:rowOff>
    </xdr:to>
    <xdr:sp macro="" textlink="" fLocksText="0">
      <xdr:nvSpPr>
        <xdr:cNvPr id="151" name="フローチャート: 代替処理 27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266700" y="24498300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68790</xdr:colOff>
      <xdr:row>129</xdr:row>
      <xdr:rowOff>145676</xdr:rowOff>
    </xdr:from>
    <xdr:to>
      <xdr:col>13</xdr:col>
      <xdr:colOff>168088</xdr:colOff>
      <xdr:row>129</xdr:row>
      <xdr:rowOff>145677</xdr:rowOff>
    </xdr:to>
    <xdr:cxnSp macro="">
      <xdr:nvCxnSpPr>
        <xdr:cNvPr id="152" name="直線矢印コネクタ 4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CxnSpPr>
          <a:stCxn id="151" idx="3"/>
        </xdr:cNvCxnSpPr>
      </xdr:nvCxnSpPr>
      <xdr:spPr>
        <a:xfrm flipV="1">
          <a:off x="2733675" y="24831675"/>
          <a:ext cx="9048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140</xdr:row>
      <xdr:rowOff>112058</xdr:rowOff>
    </xdr:from>
    <xdr:to>
      <xdr:col>55</xdr:col>
      <xdr:colOff>168089</xdr:colOff>
      <xdr:row>145</xdr:row>
      <xdr:rowOff>0</xdr:rowOff>
    </xdr:to>
    <xdr:grpSp>
      <xdr:nvGrpSpPr>
        <xdr:cNvPr id="153" name="Group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GrpSpPr>
          <a:grpSpLocks/>
        </xdr:cNvGrpSpPr>
      </xdr:nvGrpSpPr>
      <xdr:grpSpPr>
        <a:xfrm>
          <a:off x="10354235" y="26894117"/>
          <a:ext cx="2756648" cy="840442"/>
          <a:chOff x="8748401" y="-2596025"/>
          <a:chExt cx="2737005" cy="2762837"/>
        </a:xfrm>
      </xdr:grpSpPr>
      <xdr:sp macro="" textlink="" fLocksText="0">
        <xdr:nvSpPr>
          <xdr:cNvPr id="154" name="Rectangle 153">
            <a:extLst>
              <a:ext uri="{FF2B5EF4-FFF2-40B4-BE49-F238E27FC236}">
                <a16:creationId xmlns:a16="http://schemas.microsoft.com/office/drawing/2014/main" id="{00000000-0008-0000-0200-00009A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55" name="直線矢印コネクタ 4">
            <a:extLst>
              <a:ext uri="{FF2B5EF4-FFF2-40B4-BE49-F238E27FC236}">
                <a16:creationId xmlns:a16="http://schemas.microsoft.com/office/drawing/2014/main" id="{00000000-0008-0000-0200-00009B000000}"/>
              </a:ext>
            </a:extLst>
          </xdr:cNvPr>
          <xdr:cNvCxnSpPr>
            <a:endCxn id="154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141</xdr:row>
      <xdr:rowOff>0</xdr:rowOff>
    </xdr:from>
    <xdr:to>
      <xdr:col>10</xdr:col>
      <xdr:colOff>68790</xdr:colOff>
      <xdr:row>144</xdr:row>
      <xdr:rowOff>100853</xdr:rowOff>
    </xdr:to>
    <xdr:sp macro="" textlink="" fLocksText="0">
      <xdr:nvSpPr>
        <xdr:cNvPr id="156" name="フローチャート: 代替処理 27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266700" y="26974800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F8：クリア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68790</xdr:colOff>
      <xdr:row>142</xdr:row>
      <xdr:rowOff>145676</xdr:rowOff>
    </xdr:from>
    <xdr:to>
      <xdr:col>13</xdr:col>
      <xdr:colOff>168088</xdr:colOff>
      <xdr:row>142</xdr:row>
      <xdr:rowOff>145677</xdr:rowOff>
    </xdr:to>
    <xdr:cxnSp macro="">
      <xdr:nvCxnSpPr>
        <xdr:cNvPr id="157" name="直線矢印コネクタ 4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CxnSpPr>
          <a:stCxn id="156" idx="3"/>
        </xdr:cNvCxnSpPr>
      </xdr:nvCxnSpPr>
      <xdr:spPr>
        <a:xfrm flipV="1">
          <a:off x="2733675" y="27308175"/>
          <a:ext cx="9048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153</xdr:row>
      <xdr:rowOff>112058</xdr:rowOff>
    </xdr:from>
    <xdr:to>
      <xdr:col>55</xdr:col>
      <xdr:colOff>168089</xdr:colOff>
      <xdr:row>158</xdr:row>
      <xdr:rowOff>0</xdr:rowOff>
    </xdr:to>
    <xdr:grpSp>
      <xdr:nvGrpSpPr>
        <xdr:cNvPr id="158" name="Group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GrpSpPr>
          <a:grpSpLocks/>
        </xdr:cNvGrpSpPr>
      </xdr:nvGrpSpPr>
      <xdr:grpSpPr>
        <a:xfrm>
          <a:off x="10354235" y="29370617"/>
          <a:ext cx="2756648" cy="840442"/>
          <a:chOff x="8748401" y="-2596025"/>
          <a:chExt cx="2737005" cy="2762837"/>
        </a:xfrm>
      </xdr:grpSpPr>
      <xdr:sp macro="" textlink="" fLocksText="0">
        <xdr:nvSpPr>
          <xdr:cNvPr id="159" name="Rectangle 158">
            <a:extLst>
              <a:ext uri="{FF2B5EF4-FFF2-40B4-BE49-F238E27FC236}">
                <a16:creationId xmlns:a16="http://schemas.microsoft.com/office/drawing/2014/main" id="{00000000-0008-0000-0200-00009F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60" name="直線矢印コネクタ 4">
            <a:extLst>
              <a:ext uri="{FF2B5EF4-FFF2-40B4-BE49-F238E27FC236}">
                <a16:creationId xmlns:a16="http://schemas.microsoft.com/office/drawing/2014/main" id="{00000000-0008-0000-0200-0000A0000000}"/>
              </a:ext>
            </a:extLst>
          </xdr:cNvPr>
          <xdr:cNvCxnSpPr>
            <a:endCxn id="159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154</xdr:row>
      <xdr:rowOff>0</xdr:rowOff>
    </xdr:from>
    <xdr:to>
      <xdr:col>10</xdr:col>
      <xdr:colOff>68790</xdr:colOff>
      <xdr:row>156</xdr:row>
      <xdr:rowOff>185736</xdr:rowOff>
    </xdr:to>
    <xdr:sp macro="" textlink="" fLocksText="0">
      <xdr:nvSpPr>
        <xdr:cNvPr id="161" name="フローチャート: 代替処理 27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266700" y="29451300"/>
          <a:ext cx="24669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F10：削除</a:t>
          </a:r>
        </a:p>
      </xdr:txBody>
    </xdr:sp>
    <xdr:clientData/>
  </xdr:twoCellAnchor>
  <xdr:twoCellAnchor>
    <xdr:from>
      <xdr:col>10</xdr:col>
      <xdr:colOff>68790</xdr:colOff>
      <xdr:row>155</xdr:row>
      <xdr:rowOff>126486</xdr:rowOff>
    </xdr:from>
    <xdr:to>
      <xdr:col>13</xdr:col>
      <xdr:colOff>158438</xdr:colOff>
      <xdr:row>155</xdr:row>
      <xdr:rowOff>126486</xdr:rowOff>
    </xdr:to>
    <xdr:cxnSp macro="">
      <xdr:nvCxnSpPr>
        <xdr:cNvPr id="162" name="直線矢印コネクタ 4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CxnSpPr>
          <a:stCxn id="161" idx="3"/>
        </xdr:cNvCxnSpPr>
      </xdr:nvCxnSpPr>
      <xdr:spPr>
        <a:xfrm>
          <a:off x="2733675" y="29765625"/>
          <a:ext cx="895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22412</xdr:colOff>
      <xdr:row>170</xdr:row>
      <xdr:rowOff>22412</xdr:rowOff>
    </xdr:from>
    <xdr:to>
      <xdr:col>53</xdr:col>
      <xdr:colOff>155089</xdr:colOff>
      <xdr:row>172</xdr:row>
      <xdr:rowOff>11206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GrpSpPr>
          <a:grpSpLocks/>
        </xdr:cNvGrpSpPr>
      </xdr:nvGrpSpPr>
      <xdr:grpSpPr>
        <a:xfrm>
          <a:off x="10376647" y="32519471"/>
          <a:ext cx="2250589" cy="369794"/>
          <a:chOff x="8994954" y="-1771293"/>
          <a:chExt cx="2234552" cy="777600"/>
        </a:xfrm>
      </xdr:grpSpPr>
      <xdr:sp macro="" textlink="" fLocksText="0">
        <xdr:nvSpPr>
          <xdr:cNvPr id="164" name="Rectangle 163">
            <a:extLst>
              <a:ext uri="{FF2B5EF4-FFF2-40B4-BE49-F238E27FC236}">
                <a16:creationId xmlns:a16="http://schemas.microsoft.com/office/drawing/2014/main" id="{00000000-0008-0000-0200-0000A4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65" name="直線矢印コネクタ 4">
            <a:extLst>
              <a:ext uri="{FF2B5EF4-FFF2-40B4-BE49-F238E27FC236}">
                <a16:creationId xmlns:a16="http://schemas.microsoft.com/office/drawing/2014/main" id="{00000000-0008-0000-0200-0000A5000000}"/>
              </a:ext>
            </a:extLst>
          </xdr:cNvPr>
          <xdr:cNvCxnSpPr>
            <a:endCxn id="164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224117</xdr:colOff>
      <xdr:row>164</xdr:row>
      <xdr:rowOff>134471</xdr:rowOff>
    </xdr:from>
    <xdr:to>
      <xdr:col>55</xdr:col>
      <xdr:colOff>156883</xdr:colOff>
      <xdr:row>169</xdr:row>
      <xdr:rowOff>22413</xdr:rowOff>
    </xdr:to>
    <xdr:grpSp>
      <xdr:nvGrpSpPr>
        <xdr:cNvPr id="166" name="Group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GrpSpPr>
          <a:grpSpLocks/>
        </xdr:cNvGrpSpPr>
      </xdr:nvGrpSpPr>
      <xdr:grpSpPr>
        <a:xfrm>
          <a:off x="10343029" y="31488530"/>
          <a:ext cx="2756648" cy="840442"/>
          <a:chOff x="8748401" y="-2596025"/>
          <a:chExt cx="2737005" cy="2762837"/>
        </a:xfrm>
      </xdr:grpSpPr>
      <xdr:sp macro="" textlink="" fLocksText="0">
        <xdr:nvSpPr>
          <xdr:cNvPr id="167" name="Rectangle 166">
            <a:extLst>
              <a:ext uri="{FF2B5EF4-FFF2-40B4-BE49-F238E27FC236}">
                <a16:creationId xmlns:a16="http://schemas.microsoft.com/office/drawing/2014/main" id="{00000000-0008-0000-0200-0000A7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68" name="直線矢印コネクタ 4">
            <a:extLst>
              <a:ext uri="{FF2B5EF4-FFF2-40B4-BE49-F238E27FC236}">
                <a16:creationId xmlns:a16="http://schemas.microsoft.com/office/drawing/2014/main" id="{00000000-0008-0000-0200-0000A8000000}"/>
              </a:ext>
            </a:extLst>
          </xdr:cNvPr>
          <xdr:cNvCxnSpPr>
            <a:endCxn id="167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179288</xdr:colOff>
      <xdr:row>229</xdr:row>
      <xdr:rowOff>0</xdr:rowOff>
    </xdr:from>
    <xdr:to>
      <xdr:col>55</xdr:col>
      <xdr:colOff>112054</xdr:colOff>
      <xdr:row>233</xdr:row>
      <xdr:rowOff>78442</xdr:rowOff>
    </xdr:to>
    <xdr:grpSp>
      <xdr:nvGrpSpPr>
        <xdr:cNvPr id="183" name="Group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GrpSpPr>
          <a:grpSpLocks/>
        </xdr:cNvGrpSpPr>
      </xdr:nvGrpSpPr>
      <xdr:grpSpPr>
        <a:xfrm>
          <a:off x="10298200" y="45663971"/>
          <a:ext cx="2756648" cy="840442"/>
          <a:chOff x="8748401" y="-2596025"/>
          <a:chExt cx="2737005" cy="2762837"/>
        </a:xfrm>
      </xdr:grpSpPr>
      <xdr:sp macro="" textlink="" fLocksText="0">
        <xdr:nvSpPr>
          <xdr:cNvPr id="184" name="Rectangle 183">
            <a:extLst>
              <a:ext uri="{FF2B5EF4-FFF2-40B4-BE49-F238E27FC236}">
                <a16:creationId xmlns:a16="http://schemas.microsoft.com/office/drawing/2014/main" id="{00000000-0008-0000-0200-0000B8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85" name="直線矢印コネクタ 4">
            <a:extLst>
              <a:ext uri="{FF2B5EF4-FFF2-40B4-BE49-F238E27FC236}">
                <a16:creationId xmlns:a16="http://schemas.microsoft.com/office/drawing/2014/main" id="{00000000-0008-0000-0200-0000B9000000}"/>
              </a:ext>
            </a:extLst>
          </xdr:cNvPr>
          <xdr:cNvCxnSpPr>
            <a:endCxn id="184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179299</xdr:colOff>
      <xdr:row>9</xdr:row>
      <xdr:rowOff>148352</xdr:rowOff>
    </xdr:from>
    <xdr:to>
      <xdr:col>46</xdr:col>
      <xdr:colOff>158681</xdr:colOff>
      <xdr:row>9</xdr:row>
      <xdr:rowOff>148352</xdr:rowOff>
    </xdr:to>
    <xdr:cxnSp macro="">
      <xdr:nvCxnSpPr>
        <xdr:cNvPr id="6" name="直線矢印コネクタ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11649075" y="1981200"/>
          <a:ext cx="7810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166534</xdr:colOff>
      <xdr:row>13</xdr:row>
      <xdr:rowOff>161643</xdr:rowOff>
    </xdr:from>
    <xdr:to>
      <xdr:col>10</xdr:col>
      <xdr:colOff>0</xdr:colOff>
      <xdr:row>17</xdr:row>
      <xdr:rowOff>22409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61925" y="27527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新規ボタンをタッチした時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15</xdr:row>
      <xdr:rowOff>97629</xdr:rowOff>
    </xdr:from>
    <xdr:to>
      <xdr:col>13</xdr:col>
      <xdr:colOff>89648</xdr:colOff>
      <xdr:row>15</xdr:row>
      <xdr:rowOff>97629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7" idx="3"/>
        </xdr:cNvCxnSpPr>
      </xdr:nvCxnSpPr>
      <xdr:spPr>
        <a:xfrm>
          <a:off x="2667000" y="30670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38</xdr:row>
      <xdr:rowOff>0</xdr:rowOff>
    </xdr:from>
    <xdr:to>
      <xdr:col>53</xdr:col>
      <xdr:colOff>132677</xdr:colOff>
      <xdr:row>39</xdr:row>
      <xdr:rowOff>179294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pSpPr>
          <a:grpSpLocks/>
        </xdr:cNvGrpSpPr>
      </xdr:nvGrpSpPr>
      <xdr:grpSpPr>
        <a:xfrm>
          <a:off x="10354235" y="7351059"/>
          <a:ext cx="2250589" cy="369794"/>
          <a:chOff x="8994954" y="-1771293"/>
          <a:chExt cx="2234552" cy="777600"/>
        </a:xfrm>
      </xdr:grpSpPr>
      <xdr:sp macro="" textlink="" fLocksText="0">
        <xdr:nvSpPr>
          <xdr:cNvPr id="35" name="Rectangle 3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6" name="直線矢印コネクタ 4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CxnSpPr>
            <a:endCxn id="35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26</xdr:row>
      <xdr:rowOff>0</xdr:rowOff>
    </xdr:from>
    <xdr:to>
      <xdr:col>10</xdr:col>
      <xdr:colOff>0</xdr:colOff>
      <xdr:row>29</xdr:row>
      <xdr:rowOff>0</xdr:rowOff>
    </xdr:to>
    <xdr:sp macro="" textlink="" fLocksText="0">
      <xdr:nvSpPr>
        <xdr:cNvPr id="37" name="フローチャート: 代替処理 27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161925" y="5067300"/>
          <a:ext cx="2505075" cy="5715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27</xdr:row>
      <xdr:rowOff>95250</xdr:rowOff>
    </xdr:from>
    <xdr:to>
      <xdr:col>14</xdr:col>
      <xdr:colOff>0</xdr:colOff>
      <xdr:row>27</xdr:row>
      <xdr:rowOff>95250</xdr:rowOff>
    </xdr:to>
    <xdr:cxnSp macro="">
      <xdr:nvCxnSpPr>
        <xdr:cNvPr id="38" name="直線矢印コネクタ 4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37" idx="3"/>
        </xdr:cNvCxnSpPr>
      </xdr:nvCxnSpPr>
      <xdr:spPr>
        <a:xfrm>
          <a:off x="2667000" y="5353050"/>
          <a:ext cx="1066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166534</xdr:colOff>
      <xdr:row>49</xdr:row>
      <xdr:rowOff>4764</xdr:rowOff>
    </xdr:from>
    <xdr:to>
      <xdr:col>10</xdr:col>
      <xdr:colOff>0</xdr:colOff>
      <xdr:row>52</xdr:row>
      <xdr:rowOff>56030</xdr:rowOff>
    </xdr:to>
    <xdr:sp macro="" textlink="" fLocksText="0">
      <xdr:nvSpPr>
        <xdr:cNvPr id="82" name="フローチャート: 代替処理 27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161925" y="9458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vi-VN" altLang="ja-JP" sz="11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前画面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50</xdr:row>
      <xdr:rowOff>131250</xdr:rowOff>
    </xdr:from>
    <xdr:to>
      <xdr:col>13</xdr:col>
      <xdr:colOff>89648</xdr:colOff>
      <xdr:row>50</xdr:row>
      <xdr:rowOff>131250</xdr:rowOff>
    </xdr:to>
    <xdr:cxnSp macro="">
      <xdr:nvCxnSpPr>
        <xdr:cNvPr id="83" name="直線矢印コネクタ 4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CxnSpPr>
          <a:stCxn id="82" idx="3"/>
        </xdr:cNvCxnSpPr>
      </xdr:nvCxnSpPr>
      <xdr:spPr>
        <a:xfrm>
          <a:off x="2667000" y="9772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179290</xdr:colOff>
      <xdr:row>13</xdr:row>
      <xdr:rowOff>33618</xdr:rowOff>
    </xdr:from>
    <xdr:to>
      <xdr:col>55</xdr:col>
      <xdr:colOff>112056</xdr:colOff>
      <xdr:row>17</xdr:row>
      <xdr:rowOff>145676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>
          <a:grpSpLocks/>
        </xdr:cNvGrpSpPr>
      </xdr:nvGrpSpPr>
      <xdr:grpSpPr>
        <a:xfrm>
          <a:off x="10298202" y="2622177"/>
          <a:ext cx="2756648" cy="874058"/>
          <a:chOff x="8748401" y="-2596025"/>
          <a:chExt cx="2737005" cy="2762837"/>
        </a:xfrm>
      </xdr:grpSpPr>
      <xdr:sp macro="" textlink="" fLocksText="0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1" name="直線矢印コネクタ 4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CxnSpPr>
            <a:endCxn id="10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190496</xdr:colOff>
      <xdr:row>32</xdr:row>
      <xdr:rowOff>0</xdr:rowOff>
    </xdr:from>
    <xdr:to>
      <xdr:col>55</xdr:col>
      <xdr:colOff>123262</xdr:colOff>
      <xdr:row>36</xdr:row>
      <xdr:rowOff>112058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>
          <a:grpSpLocks/>
        </xdr:cNvGrpSpPr>
      </xdr:nvGrpSpPr>
      <xdr:grpSpPr>
        <a:xfrm>
          <a:off x="10309408" y="6208059"/>
          <a:ext cx="2756648" cy="874058"/>
          <a:chOff x="8748401" y="-2596025"/>
          <a:chExt cx="2737005" cy="2762837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CxnSpPr>
            <a:endCxn id="13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201703</xdr:colOff>
      <xdr:row>49</xdr:row>
      <xdr:rowOff>0</xdr:rowOff>
    </xdr:from>
    <xdr:to>
      <xdr:col>55</xdr:col>
      <xdr:colOff>134469</xdr:colOff>
      <xdr:row>53</xdr:row>
      <xdr:rowOff>112058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pSpPr>
          <a:grpSpLocks/>
        </xdr:cNvGrpSpPr>
      </xdr:nvGrpSpPr>
      <xdr:grpSpPr>
        <a:xfrm>
          <a:off x="10320615" y="9446559"/>
          <a:ext cx="2756648" cy="874058"/>
          <a:chOff x="8748401" y="-2596025"/>
          <a:chExt cx="2737005" cy="2762837"/>
        </a:xfrm>
      </xdr:grpSpPr>
      <xdr:sp macro="" textlink="" fLocksText="0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9362174" y="-2596025"/>
            <a:ext cx="2123232" cy="276283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SC0801_ カテゴリ値引／割引設定画面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7" name="直線矢印コネクタ 4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CxnSpPr>
            <a:endCxn id="16" idx="1"/>
          </xdr:cNvCxnSpPr>
        </xdr:nvCxnSpPr>
        <xdr:spPr>
          <a:xfrm>
            <a:off x="8748401" y="-1214606"/>
            <a:ext cx="61377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88" customWidth="1"/>
    <col min="61" max="16384" width="2.77734375" style="88"/>
  </cols>
  <sheetData>
    <row r="1" spans="1:63" ht="24.95" customHeight="1" x14ac:dyDescent="0.25">
      <c r="A1" s="82" t="s">
        <v>134</v>
      </c>
      <c r="B1" s="83"/>
      <c r="C1" s="83"/>
      <c r="D1" s="83"/>
      <c r="E1" s="83"/>
      <c r="F1" s="83"/>
      <c r="G1" s="83"/>
      <c r="H1" s="83"/>
      <c r="I1" s="83"/>
      <c r="J1" s="84"/>
      <c r="K1" s="82" t="s">
        <v>135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4"/>
      <c r="W1" s="85" t="s">
        <v>136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82" t="s">
        <v>137</v>
      </c>
      <c r="AQ1" s="83"/>
      <c r="AR1" s="83"/>
      <c r="AS1" s="84"/>
      <c r="AT1" s="82" t="s">
        <v>138</v>
      </c>
      <c r="AU1" s="83"/>
      <c r="AV1" s="83"/>
      <c r="AW1" s="83"/>
      <c r="AX1" s="84"/>
      <c r="AY1" s="82" t="s">
        <v>139</v>
      </c>
      <c r="AZ1" s="83"/>
      <c r="BA1" s="83"/>
      <c r="BB1" s="84"/>
      <c r="BC1" s="82" t="s">
        <v>140</v>
      </c>
      <c r="BD1" s="83"/>
      <c r="BE1" s="83"/>
      <c r="BF1" s="83"/>
      <c r="BG1" s="84"/>
      <c r="BH1" s="82" t="s">
        <v>141</v>
      </c>
      <c r="BI1" s="83"/>
      <c r="BJ1" s="83"/>
      <c r="BK1" s="84"/>
    </row>
    <row r="2" spans="1:63" ht="15" customHeight="1" x14ac:dyDescent="0.25">
      <c r="A2" s="1" t="s">
        <v>142</v>
      </c>
      <c r="B2" s="89"/>
      <c r="C2" s="89"/>
      <c r="D2" s="89"/>
      <c r="E2" s="89"/>
      <c r="F2" s="89"/>
      <c r="G2" s="89"/>
      <c r="H2" s="89"/>
      <c r="I2" s="89"/>
      <c r="J2" s="90"/>
      <c r="K2" s="91" t="s">
        <v>1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91" t="str">
        <f>改訂履歴!$H$11</f>
        <v>TuyenNH</v>
      </c>
      <c r="AQ2" s="89"/>
      <c r="AR2" s="89"/>
      <c r="AS2" s="90"/>
      <c r="AT2" s="95">
        <f>改訂履歴!$B$11</f>
        <v>45645</v>
      </c>
      <c r="AU2" s="96"/>
      <c r="AV2" s="96"/>
      <c r="AW2" s="96"/>
      <c r="AX2" s="97"/>
      <c r="AY2" s="91" t="str">
        <f>LOOKUP(2,1/(改訂履歴!H11:H30000&lt;&gt;""),改訂履歴!H11:H30000)</f>
        <v>TuyenNH</v>
      </c>
      <c r="AZ2" s="89"/>
      <c r="BA2" s="89"/>
      <c r="BB2" s="90"/>
      <c r="BC2" s="95">
        <f>LOOKUP(2,1/(改訂履歴!B11:B30000&lt;&gt;""),改訂履歴!B11:B30000)</f>
        <v>45645</v>
      </c>
      <c r="BD2" s="96"/>
      <c r="BE2" s="96"/>
      <c r="BF2" s="96"/>
      <c r="BG2" s="97"/>
      <c r="BH2" s="98">
        <f>LOOKUP(2,1/(改訂履歴!O11:O30000&lt;&gt;""),改訂履歴!O11:O30000)</f>
        <v>0.1</v>
      </c>
      <c r="BI2" s="99"/>
      <c r="BJ2" s="99"/>
      <c r="BK2" s="100"/>
    </row>
    <row r="3" spans="1:63" ht="15" customHeight="1" x14ac:dyDescent="0.25">
      <c r="A3" s="101"/>
      <c r="B3" s="102"/>
      <c r="C3" s="102"/>
      <c r="D3" s="102"/>
      <c r="E3" s="102"/>
      <c r="F3" s="102"/>
      <c r="G3" s="102"/>
      <c r="H3" s="102"/>
      <c r="I3" s="102"/>
      <c r="J3" s="103"/>
      <c r="K3" s="101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3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6"/>
      <c r="AP3" s="101"/>
      <c r="AQ3" s="102"/>
      <c r="AR3" s="102"/>
      <c r="AS3" s="103"/>
      <c r="AT3" s="107"/>
      <c r="AU3" s="108"/>
      <c r="AV3" s="108"/>
      <c r="AW3" s="108"/>
      <c r="AX3" s="109"/>
      <c r="AY3" s="101"/>
      <c r="AZ3" s="102"/>
      <c r="BA3" s="102"/>
      <c r="BB3" s="103"/>
      <c r="BC3" s="107"/>
      <c r="BD3" s="108"/>
      <c r="BE3" s="108"/>
      <c r="BF3" s="108"/>
      <c r="BG3" s="109"/>
      <c r="BH3" s="110"/>
      <c r="BI3" s="111"/>
      <c r="BJ3" s="111"/>
      <c r="BK3" s="112"/>
    </row>
    <row r="4" spans="1:63" ht="24.95" customHeight="1" x14ac:dyDescent="0.25">
      <c r="A4" s="82" t="s">
        <v>143</v>
      </c>
      <c r="B4" s="83"/>
      <c r="C4" s="83"/>
      <c r="D4" s="83"/>
      <c r="E4" s="83"/>
      <c r="F4" s="83"/>
      <c r="G4" s="84"/>
      <c r="H4" s="113" t="s">
        <v>40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82" t="s">
        <v>144</v>
      </c>
      <c r="V4" s="83"/>
      <c r="W4" s="83"/>
      <c r="X4" s="83"/>
      <c r="Y4" s="84"/>
      <c r="Z4" s="34" t="s">
        <v>145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3" t="str">
        <f t="array" aca="1" ref="AP4" ca="1">RIGHT(CELL("filename",$A$1),LEN(CELL("filename",$A$1))-FIND("]",CELL("filename",$A$1)))</f>
        <v>表紙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8"/>
    </row>
    <row r="6" spans="1:63" ht="15" customHeight="1" x14ac:dyDescent="0.25">
      <c r="A6" s="119"/>
      <c r="BK6" s="120"/>
    </row>
    <row r="7" spans="1:63" ht="15" customHeight="1" x14ac:dyDescent="0.25">
      <c r="A7" s="119"/>
      <c r="BK7" s="120"/>
    </row>
    <row r="8" spans="1:63" ht="15" customHeight="1" x14ac:dyDescent="0.25">
      <c r="A8" s="119"/>
      <c r="BK8" s="120"/>
    </row>
    <row r="9" spans="1:63" ht="15" customHeight="1" x14ac:dyDescent="0.25">
      <c r="A9" s="119"/>
      <c r="BK9" s="120"/>
    </row>
    <row r="10" spans="1:63" ht="15" customHeight="1" x14ac:dyDescent="0.25">
      <c r="A10" s="119"/>
      <c r="BK10" s="120"/>
    </row>
    <row r="11" spans="1:63" ht="15" customHeight="1" x14ac:dyDescent="0.25">
      <c r="A11" s="119"/>
      <c r="BK11" s="120"/>
    </row>
    <row r="12" spans="1:63" ht="15" customHeight="1" x14ac:dyDescent="0.25">
      <c r="A12" s="119"/>
      <c r="BK12" s="120"/>
    </row>
    <row r="13" spans="1:63" ht="15" customHeight="1" x14ac:dyDescent="0.25">
      <c r="A13" s="119"/>
      <c r="BK13" s="120"/>
    </row>
    <row r="14" spans="1:63" ht="15" customHeight="1" thickBot="1" x14ac:dyDescent="0.3">
      <c r="A14" s="119"/>
      <c r="BK14" s="120"/>
    </row>
    <row r="15" spans="1:63" ht="15" customHeight="1" thickTop="1" x14ac:dyDescent="0.25">
      <c r="A15" s="119"/>
      <c r="K15" s="121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3"/>
      <c r="BK15" s="120"/>
    </row>
    <row r="16" spans="1:63" ht="15" customHeight="1" x14ac:dyDescent="0.25">
      <c r="A16" s="119"/>
      <c r="K16" s="124"/>
      <c r="L16" s="125" t="s">
        <v>146</v>
      </c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7"/>
      <c r="BK16" s="120"/>
    </row>
    <row r="17" spans="1:63" ht="15" customHeight="1" x14ac:dyDescent="0.25">
      <c r="A17" s="119"/>
      <c r="K17" s="124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7"/>
      <c r="BK17" s="120"/>
    </row>
    <row r="18" spans="1:63" ht="15" customHeight="1" x14ac:dyDescent="0.25">
      <c r="A18" s="119"/>
      <c r="K18" s="124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7"/>
      <c r="BK18" s="120"/>
    </row>
    <row r="19" spans="1:63" ht="15" customHeight="1" x14ac:dyDescent="0.25">
      <c r="A19" s="119"/>
      <c r="K19" s="124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7"/>
      <c r="BK19" s="120"/>
    </row>
    <row r="20" spans="1:63" ht="15" customHeight="1" x14ac:dyDescent="0.25">
      <c r="A20" s="119"/>
      <c r="K20" s="124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7"/>
      <c r="BK20" s="120"/>
    </row>
    <row r="21" spans="1:63" ht="15" customHeight="1" x14ac:dyDescent="0.25">
      <c r="A21" s="119"/>
      <c r="K21" s="124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7"/>
      <c r="BK21" s="120"/>
    </row>
    <row r="22" spans="1:63" ht="15" customHeight="1" thickBot="1" x14ac:dyDescent="0.3">
      <c r="A22" s="119"/>
      <c r="K22" s="124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7"/>
      <c r="BK22" s="120"/>
    </row>
    <row r="23" spans="1:63" ht="15" customHeight="1" x14ac:dyDescent="0.25">
      <c r="A23" s="119"/>
      <c r="K23" s="124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7"/>
      <c r="BK23" s="120"/>
    </row>
    <row r="24" spans="1:63" ht="15" customHeight="1" x14ac:dyDescent="0.25">
      <c r="A24" s="119"/>
      <c r="K24" s="124"/>
      <c r="L24" s="126" t="str">
        <f>K2&amp;"/"&amp;H4&amp;"/"&amp;Z4</f>
        <v>POSサーバ/08_カテゴリ値引／割引設定/機能設計書</v>
      </c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7"/>
      <c r="BK24" s="120"/>
    </row>
    <row r="25" spans="1:63" ht="15" customHeight="1" x14ac:dyDescent="0.25">
      <c r="A25" s="119"/>
      <c r="K25" s="124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7"/>
      <c r="BK25" s="120"/>
    </row>
    <row r="26" spans="1:63" ht="15" customHeight="1" x14ac:dyDescent="0.25">
      <c r="A26" s="119"/>
      <c r="K26" s="124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7"/>
      <c r="BK26" s="120"/>
    </row>
    <row r="27" spans="1:63" ht="15" customHeight="1" x14ac:dyDescent="0.25">
      <c r="A27" s="119"/>
      <c r="K27" s="124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7"/>
      <c r="BK27" s="120"/>
    </row>
    <row r="28" spans="1:63" ht="15" customHeight="1" x14ac:dyDescent="0.25">
      <c r="A28" s="119"/>
      <c r="K28" s="124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7"/>
      <c r="BK28" s="120"/>
    </row>
    <row r="29" spans="1:63" ht="15" customHeight="1" x14ac:dyDescent="0.25">
      <c r="A29" s="119"/>
      <c r="K29" s="124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7"/>
      <c r="BK29" s="120"/>
    </row>
    <row r="30" spans="1:63" ht="15" customHeight="1" x14ac:dyDescent="0.25">
      <c r="A30" s="119"/>
      <c r="K30" s="124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7"/>
      <c r="BK30" s="120"/>
    </row>
    <row r="31" spans="1:63" ht="15" customHeight="1" x14ac:dyDescent="0.25">
      <c r="A31" s="119"/>
      <c r="K31" s="124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7"/>
      <c r="BK31" s="120"/>
    </row>
    <row r="32" spans="1:63" ht="15" customHeight="1" x14ac:dyDescent="0.25">
      <c r="A32" s="119"/>
      <c r="K32" s="124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7"/>
      <c r="BK32" s="120"/>
    </row>
    <row r="33" spans="1:63" ht="15" customHeight="1" x14ac:dyDescent="0.25">
      <c r="A33" s="119"/>
      <c r="K33" s="124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7"/>
      <c r="BK33" s="120"/>
    </row>
    <row r="34" spans="1:63" ht="15" customHeight="1" x14ac:dyDescent="0.25">
      <c r="A34" s="119"/>
      <c r="K34" s="124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7"/>
      <c r="BK34" s="120"/>
    </row>
    <row r="35" spans="1:63" ht="15" customHeight="1" x14ac:dyDescent="0.25">
      <c r="A35" s="119"/>
      <c r="K35" s="124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7"/>
      <c r="BK35" s="120"/>
    </row>
    <row r="36" spans="1:63" ht="15" customHeight="1" x14ac:dyDescent="0.25">
      <c r="A36" s="119"/>
      <c r="K36" s="124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7"/>
      <c r="BK36" s="120"/>
    </row>
    <row r="37" spans="1:63" ht="15" customHeight="1" thickBot="1" x14ac:dyDescent="0.3">
      <c r="A37" s="119"/>
      <c r="K37" s="130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2"/>
      <c r="BK37" s="120"/>
    </row>
    <row r="38" spans="1:63" ht="15" customHeight="1" thickTop="1" x14ac:dyDescent="0.25">
      <c r="A38" s="119"/>
      <c r="BK38" s="120"/>
    </row>
    <row r="39" spans="1:63" ht="15" customHeight="1" x14ac:dyDescent="0.25">
      <c r="A39" s="119"/>
      <c r="BK39" s="120"/>
    </row>
    <row r="40" spans="1:63" ht="15" customHeight="1" x14ac:dyDescent="0.25">
      <c r="A40" s="119"/>
      <c r="BK40" s="120"/>
    </row>
    <row r="41" spans="1:63" ht="15" customHeight="1" x14ac:dyDescent="0.25">
      <c r="A41" s="119"/>
      <c r="BK41" s="120"/>
    </row>
    <row r="42" spans="1:63" ht="15" customHeight="1" x14ac:dyDescent="0.25">
      <c r="A42" s="119"/>
      <c r="BK42" s="120"/>
    </row>
    <row r="43" spans="1:63" ht="15" customHeight="1" x14ac:dyDescent="0.25">
      <c r="A43" s="119"/>
      <c r="BK43" s="120"/>
    </row>
    <row r="44" spans="1:63" ht="15" customHeight="1" x14ac:dyDescent="0.25">
      <c r="A44" s="119"/>
      <c r="Q44" s="133" t="s">
        <v>147</v>
      </c>
      <c r="R44" s="134"/>
      <c r="S44" s="134"/>
      <c r="T44" s="134"/>
      <c r="U44" s="134"/>
      <c r="V44" s="134"/>
      <c r="W44" s="134"/>
      <c r="X44" s="134"/>
      <c r="Y44" s="134"/>
      <c r="Z44" s="135"/>
      <c r="AA44" s="133" t="s">
        <v>148</v>
      </c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5"/>
      <c r="AQ44" s="133" t="s">
        <v>141</v>
      </c>
      <c r="AR44" s="134"/>
      <c r="AS44" s="134"/>
      <c r="AT44" s="134"/>
      <c r="AU44" s="135"/>
      <c r="BK44" s="120"/>
    </row>
    <row r="45" spans="1:63" ht="15" customHeight="1" x14ac:dyDescent="0.25">
      <c r="A45" s="119"/>
      <c r="Q45" s="136"/>
      <c r="R45" s="137"/>
      <c r="S45" s="137"/>
      <c r="T45" s="137"/>
      <c r="U45" s="137"/>
      <c r="V45" s="137"/>
      <c r="W45" s="137"/>
      <c r="X45" s="137"/>
      <c r="Y45" s="137"/>
      <c r="Z45" s="138"/>
      <c r="AA45" s="136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8"/>
      <c r="AQ45" s="136"/>
      <c r="AR45" s="137"/>
      <c r="AS45" s="137"/>
      <c r="AT45" s="137"/>
      <c r="AU45" s="138"/>
      <c r="BK45" s="120"/>
    </row>
    <row r="46" spans="1:63" ht="15" customHeight="1" x14ac:dyDescent="0.25">
      <c r="A46" s="119"/>
      <c r="Q46" s="91"/>
      <c r="R46" s="89"/>
      <c r="S46" s="89"/>
      <c r="T46" s="89"/>
      <c r="U46" s="89"/>
      <c r="V46" s="89"/>
      <c r="W46" s="89"/>
      <c r="X46" s="89"/>
      <c r="Y46" s="89"/>
      <c r="Z46" s="90"/>
      <c r="AA46" s="91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90"/>
      <c r="AQ46" s="91"/>
      <c r="AR46" s="89"/>
      <c r="AS46" s="89"/>
      <c r="AT46" s="89"/>
      <c r="AU46" s="90"/>
      <c r="BK46" s="120"/>
    </row>
    <row r="47" spans="1:63" ht="15" customHeight="1" x14ac:dyDescent="0.25">
      <c r="A47" s="119"/>
      <c r="Q47" s="139"/>
      <c r="R47" s="140"/>
      <c r="S47" s="140"/>
      <c r="T47" s="140"/>
      <c r="U47" s="140"/>
      <c r="V47" s="140"/>
      <c r="W47" s="140"/>
      <c r="X47" s="140"/>
      <c r="Y47" s="140"/>
      <c r="Z47" s="141"/>
      <c r="AA47" s="139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1"/>
      <c r="AQ47" s="139"/>
      <c r="AR47" s="140"/>
      <c r="AS47" s="140"/>
      <c r="AT47" s="140"/>
      <c r="AU47" s="141"/>
      <c r="BK47" s="120"/>
    </row>
    <row r="48" spans="1:63" ht="15" customHeight="1" x14ac:dyDescent="0.25">
      <c r="A48" s="119"/>
      <c r="Q48" s="139"/>
      <c r="R48" s="140"/>
      <c r="S48" s="140"/>
      <c r="T48" s="140"/>
      <c r="U48" s="140"/>
      <c r="V48" s="140"/>
      <c r="W48" s="140"/>
      <c r="X48" s="140"/>
      <c r="Y48" s="140"/>
      <c r="Z48" s="141"/>
      <c r="AA48" s="139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1"/>
      <c r="AQ48" s="139"/>
      <c r="AR48" s="140"/>
      <c r="AS48" s="140"/>
      <c r="AT48" s="140"/>
      <c r="AU48" s="141"/>
      <c r="BK48" s="120"/>
    </row>
    <row r="49" spans="1:63" ht="15" customHeight="1" x14ac:dyDescent="0.25">
      <c r="A49" s="119"/>
      <c r="Q49" s="101"/>
      <c r="R49" s="102"/>
      <c r="S49" s="102"/>
      <c r="T49" s="102"/>
      <c r="U49" s="102"/>
      <c r="V49" s="102"/>
      <c r="W49" s="102"/>
      <c r="X49" s="102"/>
      <c r="Y49" s="102"/>
      <c r="Z49" s="103"/>
      <c r="AA49" s="101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3"/>
      <c r="AQ49" s="101"/>
      <c r="AR49" s="102"/>
      <c r="AS49" s="102"/>
      <c r="AT49" s="102"/>
      <c r="AU49" s="103"/>
      <c r="BK49" s="120"/>
    </row>
    <row r="50" spans="1:63" ht="15" customHeight="1" x14ac:dyDescent="0.25">
      <c r="A50" s="119"/>
      <c r="BK50" s="120"/>
    </row>
    <row r="51" spans="1:63" ht="15" customHeight="1" x14ac:dyDescent="0.25">
      <c r="A51" s="119"/>
      <c r="BK51" s="120"/>
    </row>
    <row r="52" spans="1:63" ht="15" customHeight="1" x14ac:dyDescent="0.25">
      <c r="A52" s="119"/>
      <c r="BK52" s="120"/>
    </row>
    <row r="53" spans="1:63" ht="15" customHeight="1" x14ac:dyDescent="0.25">
      <c r="A53" s="119"/>
      <c r="BK53" s="120"/>
    </row>
    <row r="54" spans="1:63" ht="15" customHeight="1" x14ac:dyDescent="0.25">
      <c r="A54" s="119"/>
      <c r="BK54" s="120"/>
    </row>
    <row r="55" spans="1:63" ht="15" customHeight="1" x14ac:dyDescent="0.25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88" customWidth="1"/>
    <col min="61" max="16384" width="2.77734375" style="88"/>
  </cols>
  <sheetData>
    <row r="1" spans="1:63" ht="24.95" customHeight="1" x14ac:dyDescent="0.25">
      <c r="A1" s="82" t="s">
        <v>134</v>
      </c>
      <c r="B1" s="83"/>
      <c r="C1" s="83"/>
      <c r="D1" s="83"/>
      <c r="E1" s="83"/>
      <c r="F1" s="83"/>
      <c r="G1" s="83"/>
      <c r="H1" s="83"/>
      <c r="I1" s="83"/>
      <c r="J1" s="84"/>
      <c r="K1" s="82" t="s">
        <v>135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4"/>
      <c r="W1" s="142" t="str">
        <f>IF(表紙!W1="","",表紙!W1)</f>
        <v>詳細設計書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82" t="s">
        <v>137</v>
      </c>
      <c r="AQ1" s="83"/>
      <c r="AR1" s="83"/>
      <c r="AS1" s="84"/>
      <c r="AT1" s="82" t="s">
        <v>138</v>
      </c>
      <c r="AU1" s="83"/>
      <c r="AV1" s="83"/>
      <c r="AW1" s="83"/>
      <c r="AX1" s="84"/>
      <c r="AY1" s="82" t="s">
        <v>139</v>
      </c>
      <c r="AZ1" s="83"/>
      <c r="BA1" s="83"/>
      <c r="BB1" s="84"/>
      <c r="BC1" s="82" t="s">
        <v>140</v>
      </c>
      <c r="BD1" s="83"/>
      <c r="BE1" s="83"/>
      <c r="BF1" s="83"/>
      <c r="BG1" s="84"/>
      <c r="BH1" s="82" t="s">
        <v>141</v>
      </c>
      <c r="BI1" s="83"/>
      <c r="BJ1" s="83"/>
      <c r="BK1" s="84"/>
    </row>
    <row r="2" spans="1:63" ht="15" customHeight="1" x14ac:dyDescent="0.25">
      <c r="A2" s="91" t="str">
        <f>IF(表紙!A2="","",表紙!A2)</f>
        <v>POSサーバー</v>
      </c>
      <c r="B2" s="89"/>
      <c r="C2" s="89"/>
      <c r="D2" s="89"/>
      <c r="E2" s="89"/>
      <c r="F2" s="89"/>
      <c r="G2" s="89"/>
      <c r="H2" s="89"/>
      <c r="I2" s="89"/>
      <c r="J2" s="90"/>
      <c r="K2" s="91" t="str">
        <f>IF(表紙!K2="","",表紙!K2)</f>
        <v>POSサーバ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91" t="str">
        <f>IF(表紙!AP2="","",表紙!AP2)</f>
        <v>TuyenNH</v>
      </c>
      <c r="AQ2" s="89"/>
      <c r="AR2" s="89"/>
      <c r="AS2" s="90"/>
      <c r="AT2" s="95">
        <f>IF(表紙!AT2="","",表紙!AT2)</f>
        <v>45645</v>
      </c>
      <c r="AU2" s="96"/>
      <c r="AV2" s="96"/>
      <c r="AW2" s="96"/>
      <c r="AX2" s="97"/>
      <c r="AY2" s="91" t="str">
        <f>IF(表紙!AY2="","",表紙!AY2)</f>
        <v>TuyenNH</v>
      </c>
      <c r="AZ2" s="89"/>
      <c r="BA2" s="89"/>
      <c r="BB2" s="90"/>
      <c r="BC2" s="95">
        <f>IF(表紙!BC2="","",表紙!BC2)</f>
        <v>45645</v>
      </c>
      <c r="BD2" s="96"/>
      <c r="BE2" s="96"/>
      <c r="BF2" s="96"/>
      <c r="BG2" s="97"/>
      <c r="BH2" s="91">
        <f>IF(表紙!BH2="","",表紙!BH2)</f>
        <v>0.1</v>
      </c>
      <c r="BI2" s="89"/>
      <c r="BJ2" s="89"/>
      <c r="BK2" s="90"/>
    </row>
    <row r="3" spans="1:63" ht="15" customHeight="1" x14ac:dyDescent="0.25">
      <c r="A3" s="101"/>
      <c r="B3" s="102"/>
      <c r="C3" s="102"/>
      <c r="D3" s="102"/>
      <c r="E3" s="102"/>
      <c r="F3" s="102"/>
      <c r="G3" s="102"/>
      <c r="H3" s="102"/>
      <c r="I3" s="102"/>
      <c r="J3" s="103"/>
      <c r="K3" s="101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3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6"/>
      <c r="AP3" s="101"/>
      <c r="AQ3" s="102"/>
      <c r="AR3" s="102"/>
      <c r="AS3" s="103"/>
      <c r="AT3" s="107"/>
      <c r="AU3" s="108"/>
      <c r="AV3" s="108"/>
      <c r="AW3" s="108"/>
      <c r="AX3" s="109"/>
      <c r="AY3" s="101"/>
      <c r="AZ3" s="102"/>
      <c r="BA3" s="102"/>
      <c r="BB3" s="103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82" t="s">
        <v>143</v>
      </c>
      <c r="B4" s="83"/>
      <c r="C4" s="83"/>
      <c r="D4" s="83"/>
      <c r="E4" s="83"/>
      <c r="F4" s="83"/>
      <c r="G4" s="84"/>
      <c r="H4" s="113" t="str">
        <f>IF(表紙!H4="","",表紙!H4)</f>
        <v>08_カテゴリ値引／割引設定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82" t="s">
        <v>144</v>
      </c>
      <c r="V4" s="83"/>
      <c r="W4" s="83"/>
      <c r="X4" s="83"/>
      <c r="Y4" s="84"/>
      <c r="Z4" s="113" t="str">
        <f>IF(表紙!Z4="","",表紙!Z4)</f>
        <v>機能設計書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3" t="str">
        <f t="array" aca="1" ref="AP4" ca="1">RIGHT(CELL("filename",$A$1),LEN(CELL("filename",$A$1))-FIND("]",CELL("filename",$A$1)))</f>
        <v>改訂履歴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8"/>
    </row>
    <row r="6" spans="1:63" ht="15" customHeight="1" x14ac:dyDescent="0.25">
      <c r="A6" s="119"/>
      <c r="BK6" s="120"/>
    </row>
    <row r="7" spans="1:63" ht="15" customHeight="1" x14ac:dyDescent="0.25">
      <c r="A7" s="119"/>
      <c r="BK7" s="120"/>
    </row>
    <row r="8" spans="1:63" ht="15" customHeight="1" x14ac:dyDescent="0.25">
      <c r="A8" s="119"/>
      <c r="B8" s="88" t="s">
        <v>0</v>
      </c>
      <c r="BK8" s="120"/>
    </row>
    <row r="9" spans="1:63" ht="15" customHeight="1" x14ac:dyDescent="0.25">
      <c r="A9" s="119"/>
      <c r="BK9" s="120"/>
    </row>
    <row r="10" spans="1:63" ht="15" customHeight="1" x14ac:dyDescent="0.25">
      <c r="A10" s="119"/>
      <c r="B10" s="143" t="s">
        <v>140</v>
      </c>
      <c r="C10" s="143"/>
      <c r="D10" s="143"/>
      <c r="E10" s="143"/>
      <c r="F10" s="143"/>
      <c r="G10" s="143"/>
      <c r="H10" s="143" t="s">
        <v>139</v>
      </c>
      <c r="I10" s="143"/>
      <c r="J10" s="143"/>
      <c r="K10" s="143"/>
      <c r="L10" s="143"/>
      <c r="M10" s="143"/>
      <c r="N10" s="143"/>
      <c r="O10" s="143" t="s">
        <v>141</v>
      </c>
      <c r="P10" s="143"/>
      <c r="Q10" s="143"/>
      <c r="R10" s="143"/>
      <c r="S10" s="143" t="s">
        <v>149</v>
      </c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 t="s">
        <v>147</v>
      </c>
      <c r="AY10" s="143"/>
      <c r="AZ10" s="143"/>
      <c r="BA10" s="143"/>
      <c r="BB10" s="143"/>
      <c r="BC10" s="143"/>
      <c r="BD10" s="143" t="s">
        <v>148</v>
      </c>
      <c r="BE10" s="143"/>
      <c r="BF10" s="143"/>
      <c r="BG10" s="143"/>
      <c r="BH10" s="143"/>
      <c r="BI10" s="143"/>
      <c r="BJ10" s="143"/>
      <c r="BK10" s="120"/>
    </row>
    <row r="11" spans="1:63" ht="15" customHeight="1" x14ac:dyDescent="0.25">
      <c r="A11" s="119"/>
      <c r="B11" s="95">
        <v>45645</v>
      </c>
      <c r="C11" s="89"/>
      <c r="D11" s="89"/>
      <c r="E11" s="89"/>
      <c r="F11" s="89"/>
      <c r="G11" s="90"/>
      <c r="H11" s="1" t="s">
        <v>150</v>
      </c>
      <c r="I11" s="89"/>
      <c r="J11" s="89"/>
      <c r="K11" s="89"/>
      <c r="L11" s="89"/>
      <c r="M11" s="89"/>
      <c r="N11" s="90"/>
      <c r="O11" s="91">
        <v>0.1</v>
      </c>
      <c r="P11" s="89"/>
      <c r="Q11" s="89"/>
      <c r="R11" s="89"/>
      <c r="S11" s="144" t="s">
        <v>2</v>
      </c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6"/>
      <c r="AX11" s="147"/>
      <c r="AY11" s="147"/>
      <c r="AZ11" s="147"/>
      <c r="BA11" s="147"/>
      <c r="BB11" s="147"/>
      <c r="BC11" s="148"/>
      <c r="BD11" s="149"/>
      <c r="BE11" s="147"/>
      <c r="BF11" s="147"/>
      <c r="BG11" s="147"/>
      <c r="BH11" s="147"/>
      <c r="BI11" s="147"/>
      <c r="BJ11" s="148"/>
      <c r="BK11" s="120"/>
    </row>
    <row r="12" spans="1:63" x14ac:dyDescent="0.25">
      <c r="A12" s="119"/>
      <c r="B12" s="101"/>
      <c r="C12" s="102"/>
      <c r="D12" s="102"/>
      <c r="E12" s="102"/>
      <c r="F12" s="102"/>
      <c r="G12" s="103"/>
      <c r="H12" s="101"/>
      <c r="I12" s="102"/>
      <c r="J12" s="102"/>
      <c r="K12" s="102"/>
      <c r="L12" s="102"/>
      <c r="M12" s="102"/>
      <c r="N12" s="103"/>
      <c r="O12" s="101"/>
      <c r="P12" s="102"/>
      <c r="Q12" s="102"/>
      <c r="R12" s="102"/>
      <c r="S12" s="150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2"/>
      <c r="AX12" s="153"/>
      <c r="AY12" s="153"/>
      <c r="AZ12" s="153"/>
      <c r="BA12" s="153"/>
      <c r="BB12" s="153"/>
      <c r="BC12" s="154"/>
      <c r="BD12" s="155"/>
      <c r="BE12" s="153"/>
      <c r="BF12" s="153"/>
      <c r="BG12" s="153"/>
      <c r="BH12" s="153"/>
      <c r="BI12" s="153"/>
      <c r="BJ12" s="154"/>
      <c r="BK12" s="120"/>
    </row>
    <row r="13" spans="1:63" x14ac:dyDescent="0.25">
      <c r="A13" s="119"/>
      <c r="B13" s="35"/>
      <c r="C13" s="36"/>
      <c r="D13" s="36"/>
      <c r="E13" s="36"/>
      <c r="F13" s="36"/>
      <c r="G13" s="37"/>
      <c r="H13" s="41"/>
      <c r="I13" s="36"/>
      <c r="J13" s="36"/>
      <c r="K13" s="36"/>
      <c r="L13" s="36"/>
      <c r="M13" s="36"/>
      <c r="N13" s="37"/>
      <c r="O13" s="41"/>
      <c r="P13" s="36"/>
      <c r="Q13" s="36"/>
      <c r="R13" s="36"/>
      <c r="S13" s="4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4"/>
      <c r="AX13" s="45"/>
      <c r="AY13" s="45"/>
      <c r="AZ13" s="45"/>
      <c r="BA13" s="45"/>
      <c r="BB13" s="45"/>
      <c r="BC13" s="46"/>
      <c r="BD13" s="49"/>
      <c r="BE13" s="45"/>
      <c r="BF13" s="45"/>
      <c r="BG13" s="45"/>
      <c r="BH13" s="45"/>
      <c r="BI13" s="45"/>
      <c r="BJ13" s="46"/>
      <c r="BK13" s="120"/>
    </row>
    <row r="14" spans="1:63" ht="15" customHeight="1" x14ac:dyDescent="0.25">
      <c r="A14" s="119"/>
      <c r="B14" s="38"/>
      <c r="C14" s="39"/>
      <c r="D14" s="39"/>
      <c r="E14" s="39"/>
      <c r="F14" s="39"/>
      <c r="G14" s="40"/>
      <c r="H14" s="38"/>
      <c r="I14" s="39"/>
      <c r="J14" s="39"/>
      <c r="K14" s="39"/>
      <c r="L14" s="39"/>
      <c r="M14" s="39"/>
      <c r="N14" s="40"/>
      <c r="O14" s="38"/>
      <c r="P14" s="39"/>
      <c r="Q14" s="39"/>
      <c r="R14" s="39"/>
      <c r="S14" s="51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3"/>
      <c r="AX14" s="47"/>
      <c r="AY14" s="47"/>
      <c r="AZ14" s="47"/>
      <c r="BA14" s="47"/>
      <c r="BB14" s="47"/>
      <c r="BC14" s="48"/>
      <c r="BD14" s="50"/>
      <c r="BE14" s="47"/>
      <c r="BF14" s="47"/>
      <c r="BG14" s="47"/>
      <c r="BH14" s="47"/>
      <c r="BI14" s="47"/>
      <c r="BJ14" s="48"/>
      <c r="BK14" s="120"/>
    </row>
    <row r="15" spans="1:63" x14ac:dyDescent="0.25">
      <c r="A15" s="119"/>
      <c r="B15" s="35"/>
      <c r="C15" s="36"/>
      <c r="D15" s="36"/>
      <c r="E15" s="36"/>
      <c r="F15" s="36"/>
      <c r="G15" s="37"/>
      <c r="H15" s="41"/>
      <c r="I15" s="36"/>
      <c r="J15" s="36"/>
      <c r="K15" s="36"/>
      <c r="L15" s="36"/>
      <c r="M15" s="36"/>
      <c r="N15" s="37"/>
      <c r="O15" s="41"/>
      <c r="P15" s="36"/>
      <c r="Q15" s="36"/>
      <c r="R15" s="36"/>
      <c r="S15" s="4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4"/>
      <c r="AX15" s="54"/>
      <c r="AY15" s="54"/>
      <c r="AZ15" s="54"/>
      <c r="BA15" s="54"/>
      <c r="BB15" s="54"/>
      <c r="BC15" s="55"/>
      <c r="BD15" s="58"/>
      <c r="BE15" s="54"/>
      <c r="BF15" s="54"/>
      <c r="BG15" s="54"/>
      <c r="BH15" s="54"/>
      <c r="BI15" s="54"/>
      <c r="BJ15" s="55"/>
      <c r="BK15" s="120"/>
    </row>
    <row r="16" spans="1:63" ht="15" customHeight="1" x14ac:dyDescent="0.25">
      <c r="A16" s="119"/>
      <c r="B16" s="38"/>
      <c r="C16" s="39"/>
      <c r="D16" s="39"/>
      <c r="E16" s="39"/>
      <c r="F16" s="39"/>
      <c r="G16" s="40"/>
      <c r="H16" s="38"/>
      <c r="I16" s="39"/>
      <c r="J16" s="39"/>
      <c r="K16" s="39"/>
      <c r="L16" s="39"/>
      <c r="M16" s="39"/>
      <c r="N16" s="40"/>
      <c r="O16" s="38"/>
      <c r="P16" s="39"/>
      <c r="Q16" s="39"/>
      <c r="R16" s="39"/>
      <c r="S16" s="51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3"/>
      <c r="AX16" s="56"/>
      <c r="AY16" s="56"/>
      <c r="AZ16" s="56"/>
      <c r="BA16" s="56"/>
      <c r="BB16" s="56"/>
      <c r="BC16" s="57"/>
      <c r="BD16" s="59"/>
      <c r="BE16" s="56"/>
      <c r="BF16" s="56"/>
      <c r="BG16" s="56"/>
      <c r="BH16" s="56"/>
      <c r="BI16" s="56"/>
      <c r="BJ16" s="57"/>
      <c r="BK16" s="120"/>
    </row>
    <row r="17" spans="1:63" ht="15" customHeight="1" x14ac:dyDescent="0.25">
      <c r="A17" s="119"/>
      <c r="B17" s="156"/>
      <c r="C17" s="157"/>
      <c r="D17" s="157"/>
      <c r="E17" s="157"/>
      <c r="F17" s="157"/>
      <c r="G17" s="158"/>
      <c r="H17" s="159"/>
      <c r="I17" s="157"/>
      <c r="J17" s="157"/>
      <c r="K17" s="157"/>
      <c r="L17" s="157"/>
      <c r="M17" s="157"/>
      <c r="N17" s="158"/>
      <c r="O17" s="159"/>
      <c r="P17" s="157"/>
      <c r="Q17" s="157"/>
      <c r="R17" s="157"/>
      <c r="S17" s="160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  <c r="AU17" s="161"/>
      <c r="AV17" s="161"/>
      <c r="AW17" s="162"/>
      <c r="AX17" s="147"/>
      <c r="AY17" s="147"/>
      <c r="AZ17" s="147"/>
      <c r="BA17" s="147"/>
      <c r="BB17" s="147"/>
      <c r="BC17" s="148"/>
      <c r="BD17" s="149"/>
      <c r="BE17" s="147"/>
      <c r="BF17" s="147"/>
      <c r="BG17" s="147"/>
      <c r="BH17" s="147"/>
      <c r="BI17" s="147"/>
      <c r="BJ17" s="148"/>
      <c r="BK17" s="120"/>
    </row>
    <row r="18" spans="1:63" ht="15" customHeight="1" x14ac:dyDescent="0.25">
      <c r="A18" s="119"/>
      <c r="B18" s="163"/>
      <c r="C18" s="164"/>
      <c r="D18" s="164"/>
      <c r="E18" s="164"/>
      <c r="F18" s="164"/>
      <c r="G18" s="165"/>
      <c r="H18" s="163"/>
      <c r="I18" s="164"/>
      <c r="J18" s="164"/>
      <c r="K18" s="164"/>
      <c r="L18" s="164"/>
      <c r="M18" s="164"/>
      <c r="N18" s="165"/>
      <c r="O18" s="163"/>
      <c r="P18" s="164"/>
      <c r="Q18" s="164"/>
      <c r="R18" s="164"/>
      <c r="S18" s="166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8"/>
      <c r="AX18" s="153"/>
      <c r="AY18" s="153"/>
      <c r="AZ18" s="153"/>
      <c r="BA18" s="153"/>
      <c r="BB18" s="153"/>
      <c r="BC18" s="154"/>
      <c r="BD18" s="155"/>
      <c r="BE18" s="153"/>
      <c r="BF18" s="153"/>
      <c r="BG18" s="153"/>
      <c r="BH18" s="153"/>
      <c r="BI18" s="153"/>
      <c r="BJ18" s="154"/>
      <c r="BK18" s="120"/>
    </row>
    <row r="19" spans="1:63" ht="15" customHeight="1" x14ac:dyDescent="0.25">
      <c r="A19" s="119"/>
      <c r="B19" s="91"/>
      <c r="C19" s="89"/>
      <c r="D19" s="89"/>
      <c r="E19" s="89"/>
      <c r="F19" s="89"/>
      <c r="G19" s="90"/>
      <c r="H19" s="91"/>
      <c r="I19" s="89"/>
      <c r="J19" s="89"/>
      <c r="K19" s="89"/>
      <c r="L19" s="89"/>
      <c r="M19" s="89"/>
      <c r="N19" s="90"/>
      <c r="O19" s="91"/>
      <c r="P19" s="89"/>
      <c r="Q19" s="89"/>
      <c r="R19" s="89"/>
      <c r="S19" s="144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6"/>
      <c r="AX19" s="147"/>
      <c r="AY19" s="147"/>
      <c r="AZ19" s="147"/>
      <c r="BA19" s="147"/>
      <c r="BB19" s="147"/>
      <c r="BC19" s="148"/>
      <c r="BD19" s="149"/>
      <c r="BE19" s="147"/>
      <c r="BF19" s="147"/>
      <c r="BG19" s="147"/>
      <c r="BH19" s="147"/>
      <c r="BI19" s="147"/>
      <c r="BJ19" s="148"/>
      <c r="BK19" s="120"/>
    </row>
    <row r="20" spans="1:63" ht="15" customHeight="1" x14ac:dyDescent="0.25">
      <c r="A20" s="119"/>
      <c r="B20" s="101"/>
      <c r="C20" s="102"/>
      <c r="D20" s="102"/>
      <c r="E20" s="102"/>
      <c r="F20" s="102"/>
      <c r="G20" s="103"/>
      <c r="H20" s="101"/>
      <c r="I20" s="102"/>
      <c r="J20" s="102"/>
      <c r="K20" s="102"/>
      <c r="L20" s="102"/>
      <c r="M20" s="102"/>
      <c r="N20" s="103"/>
      <c r="O20" s="101"/>
      <c r="P20" s="102"/>
      <c r="Q20" s="102"/>
      <c r="R20" s="102"/>
      <c r="S20" s="150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2"/>
      <c r="AX20" s="153"/>
      <c r="AY20" s="153"/>
      <c r="AZ20" s="153"/>
      <c r="BA20" s="153"/>
      <c r="BB20" s="153"/>
      <c r="BC20" s="154"/>
      <c r="BD20" s="155"/>
      <c r="BE20" s="153"/>
      <c r="BF20" s="153"/>
      <c r="BG20" s="153"/>
      <c r="BH20" s="153"/>
      <c r="BI20" s="153"/>
      <c r="BJ20" s="154"/>
      <c r="BK20" s="120"/>
    </row>
    <row r="21" spans="1:63" ht="15" customHeight="1" x14ac:dyDescent="0.25">
      <c r="A21" s="119"/>
      <c r="B21" s="91"/>
      <c r="C21" s="89"/>
      <c r="D21" s="89"/>
      <c r="E21" s="89"/>
      <c r="F21" s="89"/>
      <c r="G21" s="90"/>
      <c r="H21" s="91"/>
      <c r="I21" s="89"/>
      <c r="J21" s="89"/>
      <c r="K21" s="89"/>
      <c r="L21" s="89"/>
      <c r="M21" s="89"/>
      <c r="N21" s="90"/>
      <c r="O21" s="91"/>
      <c r="P21" s="89"/>
      <c r="Q21" s="89"/>
      <c r="R21" s="89"/>
      <c r="S21" s="144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6"/>
      <c r="AX21" s="147"/>
      <c r="AY21" s="147"/>
      <c r="AZ21" s="147"/>
      <c r="BA21" s="147"/>
      <c r="BB21" s="147"/>
      <c r="BC21" s="148"/>
      <c r="BD21" s="149"/>
      <c r="BE21" s="147"/>
      <c r="BF21" s="147"/>
      <c r="BG21" s="147"/>
      <c r="BH21" s="147"/>
      <c r="BI21" s="147"/>
      <c r="BJ21" s="148"/>
      <c r="BK21" s="120"/>
    </row>
    <row r="22" spans="1:63" ht="15" customHeight="1" x14ac:dyDescent="0.25">
      <c r="A22" s="119"/>
      <c r="B22" s="101"/>
      <c r="C22" s="102"/>
      <c r="D22" s="102"/>
      <c r="E22" s="102"/>
      <c r="F22" s="102"/>
      <c r="G22" s="103"/>
      <c r="H22" s="101"/>
      <c r="I22" s="102"/>
      <c r="J22" s="102"/>
      <c r="K22" s="102"/>
      <c r="L22" s="102"/>
      <c r="M22" s="102"/>
      <c r="N22" s="103"/>
      <c r="O22" s="101"/>
      <c r="P22" s="102"/>
      <c r="Q22" s="102"/>
      <c r="R22" s="102"/>
      <c r="S22" s="150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2"/>
      <c r="AX22" s="153"/>
      <c r="AY22" s="153"/>
      <c r="AZ22" s="153"/>
      <c r="BA22" s="153"/>
      <c r="BB22" s="153"/>
      <c r="BC22" s="154"/>
      <c r="BD22" s="155"/>
      <c r="BE22" s="153"/>
      <c r="BF22" s="153"/>
      <c r="BG22" s="153"/>
      <c r="BH22" s="153"/>
      <c r="BI22" s="153"/>
      <c r="BJ22" s="154"/>
      <c r="BK22" s="120"/>
    </row>
    <row r="23" spans="1:63" ht="15" customHeight="1" x14ac:dyDescent="0.25">
      <c r="A23" s="119"/>
      <c r="B23" s="91"/>
      <c r="C23" s="89"/>
      <c r="D23" s="89"/>
      <c r="E23" s="89"/>
      <c r="F23" s="89"/>
      <c r="G23" s="90"/>
      <c r="H23" s="91"/>
      <c r="I23" s="89"/>
      <c r="J23" s="89"/>
      <c r="K23" s="89"/>
      <c r="L23" s="89"/>
      <c r="M23" s="89"/>
      <c r="N23" s="90"/>
      <c r="O23" s="91"/>
      <c r="P23" s="89"/>
      <c r="Q23" s="89"/>
      <c r="R23" s="89"/>
      <c r="S23" s="144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6"/>
      <c r="AX23" s="147"/>
      <c r="AY23" s="147"/>
      <c r="AZ23" s="147"/>
      <c r="BA23" s="147"/>
      <c r="BB23" s="147"/>
      <c r="BC23" s="148"/>
      <c r="BD23" s="149"/>
      <c r="BE23" s="147"/>
      <c r="BF23" s="147"/>
      <c r="BG23" s="147"/>
      <c r="BH23" s="147"/>
      <c r="BI23" s="147"/>
      <c r="BJ23" s="148"/>
      <c r="BK23" s="120"/>
    </row>
    <row r="24" spans="1:63" ht="15" customHeight="1" x14ac:dyDescent="0.25">
      <c r="A24" s="119"/>
      <c r="B24" s="101"/>
      <c r="C24" s="102"/>
      <c r="D24" s="102"/>
      <c r="E24" s="102"/>
      <c r="F24" s="102"/>
      <c r="G24" s="103"/>
      <c r="H24" s="101"/>
      <c r="I24" s="102"/>
      <c r="J24" s="102"/>
      <c r="K24" s="102"/>
      <c r="L24" s="102"/>
      <c r="M24" s="102"/>
      <c r="N24" s="103"/>
      <c r="O24" s="101"/>
      <c r="P24" s="102"/>
      <c r="Q24" s="102"/>
      <c r="R24" s="102"/>
      <c r="S24" s="150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2"/>
      <c r="AX24" s="153"/>
      <c r="AY24" s="153"/>
      <c r="AZ24" s="153"/>
      <c r="BA24" s="153"/>
      <c r="BB24" s="153"/>
      <c r="BC24" s="154"/>
      <c r="BD24" s="155"/>
      <c r="BE24" s="153"/>
      <c r="BF24" s="153"/>
      <c r="BG24" s="153"/>
      <c r="BH24" s="153"/>
      <c r="BI24" s="153"/>
      <c r="BJ24" s="154"/>
      <c r="BK24" s="120"/>
    </row>
    <row r="25" spans="1:63" ht="15" customHeight="1" x14ac:dyDescent="0.25">
      <c r="A25" s="119"/>
      <c r="B25" s="91"/>
      <c r="C25" s="89"/>
      <c r="D25" s="89"/>
      <c r="E25" s="89"/>
      <c r="F25" s="89"/>
      <c r="G25" s="90"/>
      <c r="H25" s="91"/>
      <c r="I25" s="89"/>
      <c r="J25" s="89"/>
      <c r="K25" s="89"/>
      <c r="L25" s="89"/>
      <c r="M25" s="89"/>
      <c r="N25" s="90"/>
      <c r="O25" s="91"/>
      <c r="P25" s="89"/>
      <c r="Q25" s="89"/>
      <c r="R25" s="89"/>
      <c r="S25" s="144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6"/>
      <c r="AX25" s="147"/>
      <c r="AY25" s="147"/>
      <c r="AZ25" s="147"/>
      <c r="BA25" s="147"/>
      <c r="BB25" s="147"/>
      <c r="BC25" s="148"/>
      <c r="BD25" s="149"/>
      <c r="BE25" s="147"/>
      <c r="BF25" s="147"/>
      <c r="BG25" s="147"/>
      <c r="BH25" s="147"/>
      <c r="BI25" s="147"/>
      <c r="BJ25" s="148"/>
      <c r="BK25" s="120"/>
    </row>
    <row r="26" spans="1:63" ht="15" customHeight="1" x14ac:dyDescent="0.25">
      <c r="A26" s="119"/>
      <c r="B26" s="101"/>
      <c r="C26" s="102"/>
      <c r="D26" s="102"/>
      <c r="E26" s="102"/>
      <c r="F26" s="102"/>
      <c r="G26" s="103"/>
      <c r="H26" s="101"/>
      <c r="I26" s="102"/>
      <c r="J26" s="102"/>
      <c r="K26" s="102"/>
      <c r="L26" s="102"/>
      <c r="M26" s="102"/>
      <c r="N26" s="103"/>
      <c r="O26" s="101"/>
      <c r="P26" s="102"/>
      <c r="Q26" s="102"/>
      <c r="R26" s="102"/>
      <c r="S26" s="150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2"/>
      <c r="AX26" s="153"/>
      <c r="AY26" s="153"/>
      <c r="AZ26" s="153"/>
      <c r="BA26" s="153"/>
      <c r="BB26" s="153"/>
      <c r="BC26" s="154"/>
      <c r="BD26" s="155"/>
      <c r="BE26" s="153"/>
      <c r="BF26" s="153"/>
      <c r="BG26" s="153"/>
      <c r="BH26" s="153"/>
      <c r="BI26" s="153"/>
      <c r="BJ26" s="154"/>
      <c r="BK26" s="120"/>
    </row>
    <row r="27" spans="1:63" ht="15" customHeight="1" x14ac:dyDescent="0.25">
      <c r="A27" s="119"/>
      <c r="B27" s="91"/>
      <c r="C27" s="89"/>
      <c r="D27" s="89"/>
      <c r="E27" s="89"/>
      <c r="F27" s="89"/>
      <c r="G27" s="90"/>
      <c r="H27" s="91"/>
      <c r="I27" s="89"/>
      <c r="J27" s="89"/>
      <c r="K27" s="89"/>
      <c r="L27" s="89"/>
      <c r="M27" s="89"/>
      <c r="N27" s="90"/>
      <c r="O27" s="91"/>
      <c r="P27" s="89"/>
      <c r="Q27" s="89"/>
      <c r="R27" s="89"/>
      <c r="S27" s="144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6"/>
      <c r="AX27" s="147"/>
      <c r="AY27" s="147"/>
      <c r="AZ27" s="147"/>
      <c r="BA27" s="147"/>
      <c r="BB27" s="147"/>
      <c r="BC27" s="148"/>
      <c r="BD27" s="149"/>
      <c r="BE27" s="147"/>
      <c r="BF27" s="147"/>
      <c r="BG27" s="147"/>
      <c r="BH27" s="147"/>
      <c r="BI27" s="147"/>
      <c r="BJ27" s="148"/>
      <c r="BK27" s="120"/>
    </row>
    <row r="28" spans="1:63" ht="15" customHeight="1" x14ac:dyDescent="0.25">
      <c r="A28" s="119"/>
      <c r="B28" s="101"/>
      <c r="C28" s="102"/>
      <c r="D28" s="102"/>
      <c r="E28" s="102"/>
      <c r="F28" s="102"/>
      <c r="G28" s="103"/>
      <c r="H28" s="101"/>
      <c r="I28" s="102"/>
      <c r="J28" s="102"/>
      <c r="K28" s="102"/>
      <c r="L28" s="102"/>
      <c r="M28" s="102"/>
      <c r="N28" s="103"/>
      <c r="O28" s="101"/>
      <c r="P28" s="102"/>
      <c r="Q28" s="102"/>
      <c r="R28" s="102"/>
      <c r="S28" s="150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2"/>
      <c r="AX28" s="153"/>
      <c r="AY28" s="153"/>
      <c r="AZ28" s="153"/>
      <c r="BA28" s="153"/>
      <c r="BB28" s="153"/>
      <c r="BC28" s="154"/>
      <c r="BD28" s="155"/>
      <c r="BE28" s="153"/>
      <c r="BF28" s="153"/>
      <c r="BG28" s="153"/>
      <c r="BH28" s="153"/>
      <c r="BI28" s="153"/>
      <c r="BJ28" s="154"/>
      <c r="BK28" s="120"/>
    </row>
    <row r="29" spans="1:63" ht="15" customHeight="1" x14ac:dyDescent="0.25">
      <c r="A29" s="119"/>
      <c r="B29" s="91"/>
      <c r="C29" s="89"/>
      <c r="D29" s="89"/>
      <c r="E29" s="89"/>
      <c r="F29" s="89"/>
      <c r="G29" s="90"/>
      <c r="H29" s="91"/>
      <c r="I29" s="89"/>
      <c r="J29" s="89"/>
      <c r="K29" s="89"/>
      <c r="L29" s="89"/>
      <c r="M29" s="89"/>
      <c r="N29" s="90"/>
      <c r="O29" s="91"/>
      <c r="P29" s="89"/>
      <c r="Q29" s="89"/>
      <c r="R29" s="89"/>
      <c r="S29" s="144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6"/>
      <c r="AX29" s="147"/>
      <c r="AY29" s="147"/>
      <c r="AZ29" s="147"/>
      <c r="BA29" s="147"/>
      <c r="BB29" s="147"/>
      <c r="BC29" s="148"/>
      <c r="BD29" s="149"/>
      <c r="BE29" s="147"/>
      <c r="BF29" s="147"/>
      <c r="BG29" s="147"/>
      <c r="BH29" s="147"/>
      <c r="BI29" s="147"/>
      <c r="BJ29" s="148"/>
      <c r="BK29" s="120"/>
    </row>
    <row r="30" spans="1:63" ht="15" customHeight="1" x14ac:dyDescent="0.25">
      <c r="A30" s="119"/>
      <c r="B30" s="101"/>
      <c r="C30" s="102"/>
      <c r="D30" s="102"/>
      <c r="E30" s="102"/>
      <c r="F30" s="102"/>
      <c r="G30" s="103"/>
      <c r="H30" s="101"/>
      <c r="I30" s="102"/>
      <c r="J30" s="102"/>
      <c r="K30" s="102"/>
      <c r="L30" s="102"/>
      <c r="M30" s="102"/>
      <c r="N30" s="103"/>
      <c r="O30" s="101"/>
      <c r="P30" s="102"/>
      <c r="Q30" s="102"/>
      <c r="R30" s="102"/>
      <c r="S30" s="150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2"/>
      <c r="AX30" s="153"/>
      <c r="AY30" s="153"/>
      <c r="AZ30" s="153"/>
      <c r="BA30" s="153"/>
      <c r="BB30" s="153"/>
      <c r="BC30" s="154"/>
      <c r="BD30" s="155"/>
      <c r="BE30" s="153"/>
      <c r="BF30" s="153"/>
      <c r="BG30" s="153"/>
      <c r="BH30" s="153"/>
      <c r="BI30" s="153"/>
      <c r="BJ30" s="154"/>
      <c r="BK30" s="120"/>
    </row>
    <row r="31" spans="1:63" ht="15" customHeight="1" x14ac:dyDescent="0.25">
      <c r="A31" s="119"/>
      <c r="B31" s="91"/>
      <c r="C31" s="89"/>
      <c r="D31" s="89"/>
      <c r="E31" s="89"/>
      <c r="F31" s="89"/>
      <c r="G31" s="90"/>
      <c r="H31" s="91"/>
      <c r="I31" s="89"/>
      <c r="J31" s="89"/>
      <c r="K31" s="89"/>
      <c r="L31" s="89"/>
      <c r="M31" s="89"/>
      <c r="N31" s="90"/>
      <c r="O31" s="91"/>
      <c r="P31" s="89"/>
      <c r="Q31" s="89"/>
      <c r="R31" s="89"/>
      <c r="S31" s="144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6"/>
      <c r="AX31" s="147"/>
      <c r="AY31" s="147"/>
      <c r="AZ31" s="147"/>
      <c r="BA31" s="147"/>
      <c r="BB31" s="147"/>
      <c r="BC31" s="148"/>
      <c r="BD31" s="149"/>
      <c r="BE31" s="147"/>
      <c r="BF31" s="147"/>
      <c r="BG31" s="147"/>
      <c r="BH31" s="147"/>
      <c r="BI31" s="147"/>
      <c r="BJ31" s="148"/>
      <c r="BK31" s="120"/>
    </row>
    <row r="32" spans="1:63" ht="15" customHeight="1" x14ac:dyDescent="0.25">
      <c r="A32" s="119"/>
      <c r="B32" s="101"/>
      <c r="C32" s="102"/>
      <c r="D32" s="102"/>
      <c r="E32" s="102"/>
      <c r="F32" s="102"/>
      <c r="G32" s="103"/>
      <c r="H32" s="101"/>
      <c r="I32" s="102"/>
      <c r="J32" s="102"/>
      <c r="K32" s="102"/>
      <c r="L32" s="102"/>
      <c r="M32" s="102"/>
      <c r="N32" s="103"/>
      <c r="O32" s="101"/>
      <c r="P32" s="102"/>
      <c r="Q32" s="102"/>
      <c r="R32" s="102"/>
      <c r="S32" s="150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2"/>
      <c r="AX32" s="153"/>
      <c r="AY32" s="153"/>
      <c r="AZ32" s="153"/>
      <c r="BA32" s="153"/>
      <c r="BB32" s="153"/>
      <c r="BC32" s="154"/>
      <c r="BD32" s="155"/>
      <c r="BE32" s="153"/>
      <c r="BF32" s="153"/>
      <c r="BG32" s="153"/>
      <c r="BH32" s="153"/>
      <c r="BI32" s="153"/>
      <c r="BJ32" s="154"/>
      <c r="BK32" s="120"/>
    </row>
    <row r="33" spans="1:63" ht="15" customHeight="1" x14ac:dyDescent="0.25">
      <c r="A33" s="119"/>
      <c r="B33" s="91"/>
      <c r="C33" s="89"/>
      <c r="D33" s="89"/>
      <c r="E33" s="89"/>
      <c r="F33" s="89"/>
      <c r="G33" s="90"/>
      <c r="H33" s="91"/>
      <c r="I33" s="89"/>
      <c r="J33" s="89"/>
      <c r="K33" s="89"/>
      <c r="L33" s="89"/>
      <c r="M33" s="89"/>
      <c r="N33" s="90"/>
      <c r="O33" s="91"/>
      <c r="P33" s="89"/>
      <c r="Q33" s="89"/>
      <c r="R33" s="89"/>
      <c r="S33" s="144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6"/>
      <c r="AX33" s="147"/>
      <c r="AY33" s="147"/>
      <c r="AZ33" s="147"/>
      <c r="BA33" s="147"/>
      <c r="BB33" s="147"/>
      <c r="BC33" s="148"/>
      <c r="BD33" s="149"/>
      <c r="BE33" s="147"/>
      <c r="BF33" s="147"/>
      <c r="BG33" s="147"/>
      <c r="BH33" s="147"/>
      <c r="BI33" s="147"/>
      <c r="BJ33" s="148"/>
      <c r="BK33" s="120"/>
    </row>
    <row r="34" spans="1:63" ht="15" customHeight="1" x14ac:dyDescent="0.25">
      <c r="A34" s="119"/>
      <c r="B34" s="101"/>
      <c r="C34" s="102"/>
      <c r="D34" s="102"/>
      <c r="E34" s="102"/>
      <c r="F34" s="102"/>
      <c r="G34" s="103"/>
      <c r="H34" s="101"/>
      <c r="I34" s="102"/>
      <c r="J34" s="102"/>
      <c r="K34" s="102"/>
      <c r="L34" s="102"/>
      <c r="M34" s="102"/>
      <c r="N34" s="103"/>
      <c r="O34" s="101"/>
      <c r="P34" s="102"/>
      <c r="Q34" s="102"/>
      <c r="R34" s="102"/>
      <c r="S34" s="150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2"/>
      <c r="AX34" s="153"/>
      <c r="AY34" s="153"/>
      <c r="AZ34" s="153"/>
      <c r="BA34" s="153"/>
      <c r="BB34" s="153"/>
      <c r="BC34" s="154"/>
      <c r="BD34" s="155"/>
      <c r="BE34" s="153"/>
      <c r="BF34" s="153"/>
      <c r="BG34" s="153"/>
      <c r="BH34" s="153"/>
      <c r="BI34" s="153"/>
      <c r="BJ34" s="154"/>
      <c r="BK34" s="120"/>
    </row>
    <row r="35" spans="1:63" ht="15" customHeight="1" x14ac:dyDescent="0.25">
      <c r="A35" s="119"/>
      <c r="B35" s="91"/>
      <c r="C35" s="89"/>
      <c r="D35" s="89"/>
      <c r="E35" s="89"/>
      <c r="F35" s="89"/>
      <c r="G35" s="90"/>
      <c r="H35" s="91"/>
      <c r="I35" s="89"/>
      <c r="J35" s="89"/>
      <c r="K35" s="89"/>
      <c r="L35" s="89"/>
      <c r="M35" s="89"/>
      <c r="N35" s="90"/>
      <c r="O35" s="91"/>
      <c r="P35" s="89"/>
      <c r="Q35" s="89"/>
      <c r="R35" s="89"/>
      <c r="S35" s="144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6"/>
      <c r="AX35" s="147"/>
      <c r="AY35" s="147"/>
      <c r="AZ35" s="147"/>
      <c r="BA35" s="147"/>
      <c r="BB35" s="147"/>
      <c r="BC35" s="148"/>
      <c r="BD35" s="149"/>
      <c r="BE35" s="147"/>
      <c r="BF35" s="147"/>
      <c r="BG35" s="147"/>
      <c r="BH35" s="147"/>
      <c r="BI35" s="147"/>
      <c r="BJ35" s="148"/>
      <c r="BK35" s="120"/>
    </row>
    <row r="36" spans="1:63" ht="15" customHeight="1" x14ac:dyDescent="0.25">
      <c r="A36" s="119"/>
      <c r="B36" s="101"/>
      <c r="C36" s="102"/>
      <c r="D36" s="102"/>
      <c r="E36" s="102"/>
      <c r="F36" s="102"/>
      <c r="G36" s="103"/>
      <c r="H36" s="101"/>
      <c r="I36" s="102"/>
      <c r="J36" s="102"/>
      <c r="K36" s="102"/>
      <c r="L36" s="102"/>
      <c r="M36" s="102"/>
      <c r="N36" s="103"/>
      <c r="O36" s="101"/>
      <c r="P36" s="102"/>
      <c r="Q36" s="102"/>
      <c r="R36" s="102"/>
      <c r="S36" s="150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2"/>
      <c r="AX36" s="153"/>
      <c r="AY36" s="153"/>
      <c r="AZ36" s="153"/>
      <c r="BA36" s="153"/>
      <c r="BB36" s="153"/>
      <c r="BC36" s="154"/>
      <c r="BD36" s="155"/>
      <c r="BE36" s="153"/>
      <c r="BF36" s="153"/>
      <c r="BG36" s="153"/>
      <c r="BH36" s="153"/>
      <c r="BI36" s="153"/>
      <c r="BJ36" s="154"/>
      <c r="BK36" s="120"/>
    </row>
    <row r="37" spans="1:63" ht="15" customHeight="1" x14ac:dyDescent="0.25">
      <c r="A37" s="119"/>
      <c r="B37" s="91"/>
      <c r="C37" s="89"/>
      <c r="D37" s="89"/>
      <c r="E37" s="89"/>
      <c r="F37" s="89"/>
      <c r="G37" s="90"/>
      <c r="H37" s="91"/>
      <c r="I37" s="89"/>
      <c r="J37" s="89"/>
      <c r="K37" s="89"/>
      <c r="L37" s="89"/>
      <c r="M37" s="89"/>
      <c r="N37" s="90"/>
      <c r="O37" s="91"/>
      <c r="P37" s="89"/>
      <c r="Q37" s="89"/>
      <c r="R37" s="89"/>
      <c r="S37" s="144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6"/>
      <c r="AX37" s="147"/>
      <c r="AY37" s="147"/>
      <c r="AZ37" s="147"/>
      <c r="BA37" s="147"/>
      <c r="BB37" s="147"/>
      <c r="BC37" s="148"/>
      <c r="BD37" s="149"/>
      <c r="BE37" s="147"/>
      <c r="BF37" s="147"/>
      <c r="BG37" s="147"/>
      <c r="BH37" s="147"/>
      <c r="BI37" s="147"/>
      <c r="BJ37" s="148"/>
      <c r="BK37" s="120"/>
    </row>
    <row r="38" spans="1:63" ht="15" customHeight="1" x14ac:dyDescent="0.25">
      <c r="A38" s="119"/>
      <c r="B38" s="101"/>
      <c r="C38" s="102"/>
      <c r="D38" s="102"/>
      <c r="E38" s="102"/>
      <c r="F38" s="102"/>
      <c r="G38" s="103"/>
      <c r="H38" s="101"/>
      <c r="I38" s="102"/>
      <c r="J38" s="102"/>
      <c r="K38" s="102"/>
      <c r="L38" s="102"/>
      <c r="M38" s="102"/>
      <c r="N38" s="103"/>
      <c r="O38" s="101"/>
      <c r="P38" s="102"/>
      <c r="Q38" s="102"/>
      <c r="R38" s="102"/>
      <c r="S38" s="150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2"/>
      <c r="AX38" s="153"/>
      <c r="AY38" s="153"/>
      <c r="AZ38" s="153"/>
      <c r="BA38" s="153"/>
      <c r="BB38" s="153"/>
      <c r="BC38" s="154"/>
      <c r="BD38" s="155"/>
      <c r="BE38" s="153"/>
      <c r="BF38" s="153"/>
      <c r="BG38" s="153"/>
      <c r="BH38" s="153"/>
      <c r="BI38" s="153"/>
      <c r="BJ38" s="154"/>
      <c r="BK38" s="120"/>
    </row>
    <row r="39" spans="1:63" ht="15" customHeight="1" x14ac:dyDescent="0.25">
      <c r="A39" s="119"/>
      <c r="B39" s="91"/>
      <c r="C39" s="89"/>
      <c r="D39" s="89"/>
      <c r="E39" s="89"/>
      <c r="F39" s="89"/>
      <c r="G39" s="90"/>
      <c r="H39" s="91"/>
      <c r="I39" s="89"/>
      <c r="J39" s="89"/>
      <c r="K39" s="89"/>
      <c r="L39" s="89"/>
      <c r="M39" s="89"/>
      <c r="N39" s="90"/>
      <c r="O39" s="91"/>
      <c r="P39" s="89"/>
      <c r="Q39" s="89"/>
      <c r="R39" s="89"/>
      <c r="S39" s="144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6"/>
      <c r="AX39" s="147"/>
      <c r="AY39" s="147"/>
      <c r="AZ39" s="147"/>
      <c r="BA39" s="147"/>
      <c r="BB39" s="147"/>
      <c r="BC39" s="148"/>
      <c r="BD39" s="149"/>
      <c r="BE39" s="147"/>
      <c r="BF39" s="147"/>
      <c r="BG39" s="147"/>
      <c r="BH39" s="147"/>
      <c r="BI39" s="147"/>
      <c r="BJ39" s="148"/>
      <c r="BK39" s="120"/>
    </row>
    <row r="40" spans="1:63" ht="15" customHeight="1" x14ac:dyDescent="0.25">
      <c r="A40" s="119"/>
      <c r="B40" s="101"/>
      <c r="C40" s="102"/>
      <c r="D40" s="102"/>
      <c r="E40" s="102"/>
      <c r="F40" s="102"/>
      <c r="G40" s="103"/>
      <c r="H40" s="101"/>
      <c r="I40" s="102"/>
      <c r="J40" s="102"/>
      <c r="K40" s="102"/>
      <c r="L40" s="102"/>
      <c r="M40" s="102"/>
      <c r="N40" s="103"/>
      <c r="O40" s="101"/>
      <c r="P40" s="102"/>
      <c r="Q40" s="102"/>
      <c r="R40" s="102"/>
      <c r="S40" s="150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2"/>
      <c r="AX40" s="153"/>
      <c r="AY40" s="153"/>
      <c r="AZ40" s="153"/>
      <c r="BA40" s="153"/>
      <c r="BB40" s="153"/>
      <c r="BC40" s="154"/>
      <c r="BD40" s="155"/>
      <c r="BE40" s="153"/>
      <c r="BF40" s="153"/>
      <c r="BG40" s="153"/>
      <c r="BH40" s="153"/>
      <c r="BI40" s="153"/>
      <c r="BJ40" s="154"/>
      <c r="BK40" s="120"/>
    </row>
    <row r="41" spans="1:63" ht="15" customHeight="1" x14ac:dyDescent="0.25">
      <c r="A41" s="119"/>
      <c r="B41" s="91"/>
      <c r="C41" s="89"/>
      <c r="D41" s="89"/>
      <c r="E41" s="89"/>
      <c r="F41" s="89"/>
      <c r="G41" s="90"/>
      <c r="H41" s="91"/>
      <c r="I41" s="89"/>
      <c r="J41" s="89"/>
      <c r="K41" s="89"/>
      <c r="L41" s="89"/>
      <c r="M41" s="89"/>
      <c r="N41" s="90"/>
      <c r="O41" s="91"/>
      <c r="P41" s="89"/>
      <c r="Q41" s="89"/>
      <c r="R41" s="89"/>
      <c r="S41" s="144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6"/>
      <c r="AX41" s="147"/>
      <c r="AY41" s="147"/>
      <c r="AZ41" s="147"/>
      <c r="BA41" s="147"/>
      <c r="BB41" s="147"/>
      <c r="BC41" s="148"/>
      <c r="BD41" s="149"/>
      <c r="BE41" s="147"/>
      <c r="BF41" s="147"/>
      <c r="BG41" s="147"/>
      <c r="BH41" s="147"/>
      <c r="BI41" s="147"/>
      <c r="BJ41" s="148"/>
      <c r="BK41" s="120"/>
    </row>
    <row r="42" spans="1:63" ht="15" customHeight="1" x14ac:dyDescent="0.25">
      <c r="A42" s="119"/>
      <c r="B42" s="101"/>
      <c r="C42" s="102"/>
      <c r="D42" s="102"/>
      <c r="E42" s="102"/>
      <c r="F42" s="102"/>
      <c r="G42" s="103"/>
      <c r="H42" s="101"/>
      <c r="I42" s="102"/>
      <c r="J42" s="102"/>
      <c r="K42" s="102"/>
      <c r="L42" s="102"/>
      <c r="M42" s="102"/>
      <c r="N42" s="103"/>
      <c r="O42" s="101"/>
      <c r="P42" s="102"/>
      <c r="Q42" s="102"/>
      <c r="R42" s="102"/>
      <c r="S42" s="150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2"/>
      <c r="AX42" s="153"/>
      <c r="AY42" s="153"/>
      <c r="AZ42" s="153"/>
      <c r="BA42" s="153"/>
      <c r="BB42" s="153"/>
      <c r="BC42" s="154"/>
      <c r="BD42" s="155"/>
      <c r="BE42" s="153"/>
      <c r="BF42" s="153"/>
      <c r="BG42" s="153"/>
      <c r="BH42" s="153"/>
      <c r="BI42" s="153"/>
      <c r="BJ42" s="154"/>
      <c r="BK42" s="120"/>
    </row>
    <row r="43" spans="1:63" ht="15" customHeight="1" x14ac:dyDescent="0.25">
      <c r="A43" s="119"/>
      <c r="B43" s="91"/>
      <c r="C43" s="89"/>
      <c r="D43" s="89"/>
      <c r="E43" s="89"/>
      <c r="F43" s="89"/>
      <c r="G43" s="90"/>
      <c r="H43" s="91"/>
      <c r="I43" s="89"/>
      <c r="J43" s="89"/>
      <c r="K43" s="89"/>
      <c r="L43" s="89"/>
      <c r="M43" s="89"/>
      <c r="N43" s="90"/>
      <c r="O43" s="91"/>
      <c r="P43" s="89"/>
      <c r="Q43" s="89"/>
      <c r="R43" s="89"/>
      <c r="S43" s="144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6"/>
      <c r="AX43" s="147"/>
      <c r="AY43" s="147"/>
      <c r="AZ43" s="147"/>
      <c r="BA43" s="147"/>
      <c r="BB43" s="147"/>
      <c r="BC43" s="148"/>
      <c r="BD43" s="149"/>
      <c r="BE43" s="147"/>
      <c r="BF43" s="147"/>
      <c r="BG43" s="147"/>
      <c r="BH43" s="147"/>
      <c r="BI43" s="147"/>
      <c r="BJ43" s="148"/>
      <c r="BK43" s="120"/>
    </row>
    <row r="44" spans="1:63" ht="15" customHeight="1" x14ac:dyDescent="0.25">
      <c r="A44" s="119"/>
      <c r="B44" s="101"/>
      <c r="C44" s="102"/>
      <c r="D44" s="102"/>
      <c r="E44" s="102"/>
      <c r="F44" s="102"/>
      <c r="G44" s="103"/>
      <c r="H44" s="101"/>
      <c r="I44" s="102"/>
      <c r="J44" s="102"/>
      <c r="K44" s="102"/>
      <c r="L44" s="102"/>
      <c r="M44" s="102"/>
      <c r="N44" s="103"/>
      <c r="O44" s="101"/>
      <c r="P44" s="102"/>
      <c r="Q44" s="102"/>
      <c r="R44" s="102"/>
      <c r="S44" s="150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2"/>
      <c r="AX44" s="153"/>
      <c r="AY44" s="153"/>
      <c r="AZ44" s="153"/>
      <c r="BA44" s="153"/>
      <c r="BB44" s="153"/>
      <c r="BC44" s="154"/>
      <c r="BD44" s="155"/>
      <c r="BE44" s="153"/>
      <c r="BF44" s="153"/>
      <c r="BG44" s="153"/>
      <c r="BH44" s="153"/>
      <c r="BI44" s="153"/>
      <c r="BJ44" s="154"/>
      <c r="BK44" s="120"/>
    </row>
    <row r="45" spans="1:63" ht="15" customHeight="1" x14ac:dyDescent="0.25">
      <c r="A45" s="119"/>
      <c r="B45" s="91"/>
      <c r="C45" s="89"/>
      <c r="D45" s="89"/>
      <c r="E45" s="89"/>
      <c r="F45" s="89"/>
      <c r="G45" s="90"/>
      <c r="H45" s="91"/>
      <c r="I45" s="89"/>
      <c r="J45" s="89"/>
      <c r="K45" s="89"/>
      <c r="L45" s="89"/>
      <c r="M45" s="89"/>
      <c r="N45" s="90"/>
      <c r="O45" s="91"/>
      <c r="P45" s="89"/>
      <c r="Q45" s="89"/>
      <c r="R45" s="89"/>
      <c r="S45" s="144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6"/>
      <c r="AX45" s="147"/>
      <c r="AY45" s="147"/>
      <c r="AZ45" s="147"/>
      <c r="BA45" s="147"/>
      <c r="BB45" s="147"/>
      <c r="BC45" s="148"/>
      <c r="BD45" s="149"/>
      <c r="BE45" s="147"/>
      <c r="BF45" s="147"/>
      <c r="BG45" s="147"/>
      <c r="BH45" s="147"/>
      <c r="BI45" s="147"/>
      <c r="BJ45" s="148"/>
      <c r="BK45" s="120"/>
    </row>
    <row r="46" spans="1:63" ht="15" customHeight="1" x14ac:dyDescent="0.25">
      <c r="A46" s="119"/>
      <c r="B46" s="101"/>
      <c r="C46" s="102"/>
      <c r="D46" s="102"/>
      <c r="E46" s="102"/>
      <c r="F46" s="102"/>
      <c r="G46" s="103"/>
      <c r="H46" s="101"/>
      <c r="I46" s="102"/>
      <c r="J46" s="102"/>
      <c r="K46" s="102"/>
      <c r="L46" s="102"/>
      <c r="M46" s="102"/>
      <c r="N46" s="103"/>
      <c r="O46" s="101"/>
      <c r="P46" s="102"/>
      <c r="Q46" s="102"/>
      <c r="R46" s="102"/>
      <c r="S46" s="150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2"/>
      <c r="AX46" s="153"/>
      <c r="AY46" s="153"/>
      <c r="AZ46" s="153"/>
      <c r="BA46" s="153"/>
      <c r="BB46" s="153"/>
      <c r="BC46" s="154"/>
      <c r="BD46" s="155"/>
      <c r="BE46" s="153"/>
      <c r="BF46" s="153"/>
      <c r="BG46" s="153"/>
      <c r="BH46" s="153"/>
      <c r="BI46" s="153"/>
      <c r="BJ46" s="154"/>
      <c r="BK46" s="120"/>
    </row>
    <row r="47" spans="1:63" ht="15" customHeight="1" x14ac:dyDescent="0.25">
      <c r="A47" s="119"/>
      <c r="B47" s="91"/>
      <c r="C47" s="89"/>
      <c r="D47" s="89"/>
      <c r="E47" s="89"/>
      <c r="F47" s="89"/>
      <c r="G47" s="90"/>
      <c r="H47" s="91"/>
      <c r="I47" s="89"/>
      <c r="J47" s="89"/>
      <c r="K47" s="89"/>
      <c r="L47" s="89"/>
      <c r="M47" s="89"/>
      <c r="N47" s="90"/>
      <c r="O47" s="91"/>
      <c r="P47" s="89"/>
      <c r="Q47" s="89"/>
      <c r="R47" s="89"/>
      <c r="S47" s="144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6"/>
      <c r="AX47" s="147"/>
      <c r="AY47" s="147"/>
      <c r="AZ47" s="147"/>
      <c r="BA47" s="147"/>
      <c r="BB47" s="147"/>
      <c r="BC47" s="148"/>
      <c r="BD47" s="149"/>
      <c r="BE47" s="147"/>
      <c r="BF47" s="147"/>
      <c r="BG47" s="147"/>
      <c r="BH47" s="147"/>
      <c r="BI47" s="147"/>
      <c r="BJ47" s="148"/>
      <c r="BK47" s="120"/>
    </row>
    <row r="48" spans="1:63" ht="15" customHeight="1" x14ac:dyDescent="0.25">
      <c r="A48" s="119"/>
      <c r="B48" s="101"/>
      <c r="C48" s="102"/>
      <c r="D48" s="102"/>
      <c r="E48" s="102"/>
      <c r="F48" s="102"/>
      <c r="G48" s="103"/>
      <c r="H48" s="101"/>
      <c r="I48" s="102"/>
      <c r="J48" s="102"/>
      <c r="K48" s="102"/>
      <c r="L48" s="102"/>
      <c r="M48" s="102"/>
      <c r="N48" s="103"/>
      <c r="O48" s="101"/>
      <c r="P48" s="102"/>
      <c r="Q48" s="102"/>
      <c r="R48" s="102"/>
      <c r="S48" s="150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2"/>
      <c r="AX48" s="153"/>
      <c r="AY48" s="153"/>
      <c r="AZ48" s="153"/>
      <c r="BA48" s="153"/>
      <c r="BB48" s="153"/>
      <c r="BC48" s="154"/>
      <c r="BD48" s="155"/>
      <c r="BE48" s="153"/>
      <c r="BF48" s="153"/>
      <c r="BG48" s="153"/>
      <c r="BH48" s="153"/>
      <c r="BI48" s="153"/>
      <c r="BJ48" s="154"/>
      <c r="BK48" s="120"/>
    </row>
    <row r="49" spans="1:63" ht="15" customHeight="1" x14ac:dyDescent="0.25">
      <c r="A49" s="119"/>
      <c r="B49" s="91"/>
      <c r="C49" s="89"/>
      <c r="D49" s="89"/>
      <c r="E49" s="89"/>
      <c r="F49" s="89"/>
      <c r="G49" s="90"/>
      <c r="H49" s="91"/>
      <c r="I49" s="89"/>
      <c r="J49" s="89"/>
      <c r="K49" s="89"/>
      <c r="L49" s="89"/>
      <c r="M49" s="89"/>
      <c r="N49" s="90"/>
      <c r="O49" s="91"/>
      <c r="P49" s="89"/>
      <c r="Q49" s="89"/>
      <c r="R49" s="89"/>
      <c r="S49" s="144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6"/>
      <c r="AX49" s="147"/>
      <c r="AY49" s="147"/>
      <c r="AZ49" s="147"/>
      <c r="BA49" s="147"/>
      <c r="BB49" s="147"/>
      <c r="BC49" s="148"/>
      <c r="BD49" s="149"/>
      <c r="BE49" s="147"/>
      <c r="BF49" s="147"/>
      <c r="BG49" s="147"/>
      <c r="BH49" s="147"/>
      <c r="BI49" s="147"/>
      <c r="BJ49" s="148"/>
      <c r="BK49" s="120"/>
    </row>
    <row r="50" spans="1:63" ht="15" customHeight="1" x14ac:dyDescent="0.25">
      <c r="A50" s="119"/>
      <c r="B50" s="101"/>
      <c r="C50" s="102"/>
      <c r="D50" s="102"/>
      <c r="E50" s="102"/>
      <c r="F50" s="102"/>
      <c r="G50" s="103"/>
      <c r="H50" s="101"/>
      <c r="I50" s="102"/>
      <c r="J50" s="102"/>
      <c r="K50" s="102"/>
      <c r="L50" s="102"/>
      <c r="M50" s="102"/>
      <c r="N50" s="103"/>
      <c r="O50" s="101"/>
      <c r="P50" s="102"/>
      <c r="Q50" s="102"/>
      <c r="R50" s="102"/>
      <c r="S50" s="150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2"/>
      <c r="AX50" s="153"/>
      <c r="AY50" s="153"/>
      <c r="AZ50" s="153"/>
      <c r="BA50" s="153"/>
      <c r="BB50" s="153"/>
      <c r="BC50" s="154"/>
      <c r="BD50" s="155"/>
      <c r="BE50" s="153"/>
      <c r="BF50" s="153"/>
      <c r="BG50" s="153"/>
      <c r="BH50" s="153"/>
      <c r="BI50" s="153"/>
      <c r="BJ50" s="154"/>
      <c r="BK50" s="120"/>
    </row>
    <row r="51" spans="1:63" ht="15" customHeight="1" x14ac:dyDescent="0.25">
      <c r="A51" s="119"/>
      <c r="B51" s="91"/>
      <c r="C51" s="89"/>
      <c r="D51" s="89"/>
      <c r="E51" s="89"/>
      <c r="F51" s="89"/>
      <c r="G51" s="90"/>
      <c r="H51" s="91"/>
      <c r="I51" s="89"/>
      <c r="J51" s="89"/>
      <c r="K51" s="89"/>
      <c r="L51" s="89"/>
      <c r="M51" s="89"/>
      <c r="N51" s="90"/>
      <c r="O51" s="91"/>
      <c r="P51" s="89"/>
      <c r="Q51" s="89"/>
      <c r="R51" s="89"/>
      <c r="S51" s="144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6"/>
      <c r="AX51" s="147"/>
      <c r="AY51" s="147"/>
      <c r="AZ51" s="147"/>
      <c r="BA51" s="147"/>
      <c r="BB51" s="147"/>
      <c r="BC51" s="148"/>
      <c r="BD51" s="149"/>
      <c r="BE51" s="147"/>
      <c r="BF51" s="147"/>
      <c r="BG51" s="147"/>
      <c r="BH51" s="147"/>
      <c r="BI51" s="147"/>
      <c r="BJ51" s="148"/>
      <c r="BK51" s="120"/>
    </row>
    <row r="52" spans="1:63" ht="15" customHeight="1" x14ac:dyDescent="0.25">
      <c r="A52" s="119"/>
      <c r="B52" s="101"/>
      <c r="C52" s="102"/>
      <c r="D52" s="102"/>
      <c r="E52" s="102"/>
      <c r="F52" s="102"/>
      <c r="G52" s="103"/>
      <c r="H52" s="101"/>
      <c r="I52" s="102"/>
      <c r="J52" s="102"/>
      <c r="K52" s="102"/>
      <c r="L52" s="102"/>
      <c r="M52" s="102"/>
      <c r="N52" s="103"/>
      <c r="O52" s="101"/>
      <c r="P52" s="102"/>
      <c r="Q52" s="102"/>
      <c r="R52" s="102"/>
      <c r="S52" s="150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2"/>
      <c r="AX52" s="153"/>
      <c r="AY52" s="153"/>
      <c r="AZ52" s="153"/>
      <c r="BA52" s="153"/>
      <c r="BB52" s="153"/>
      <c r="BC52" s="154"/>
      <c r="BD52" s="155"/>
      <c r="BE52" s="153"/>
      <c r="BF52" s="153"/>
      <c r="BG52" s="153"/>
      <c r="BH52" s="153"/>
      <c r="BI52" s="153"/>
      <c r="BJ52" s="154"/>
      <c r="BK52" s="120"/>
    </row>
    <row r="53" spans="1:63" ht="15" customHeight="1" x14ac:dyDescent="0.25">
      <c r="A53" s="119"/>
      <c r="B53" s="91"/>
      <c r="C53" s="89"/>
      <c r="D53" s="89"/>
      <c r="E53" s="89"/>
      <c r="F53" s="89"/>
      <c r="G53" s="90"/>
      <c r="H53" s="91"/>
      <c r="I53" s="89"/>
      <c r="J53" s="89"/>
      <c r="K53" s="89"/>
      <c r="L53" s="89"/>
      <c r="M53" s="89"/>
      <c r="N53" s="90"/>
      <c r="O53" s="91"/>
      <c r="P53" s="89"/>
      <c r="Q53" s="89"/>
      <c r="R53" s="89"/>
      <c r="S53" s="144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6"/>
      <c r="AX53" s="147"/>
      <c r="AY53" s="147"/>
      <c r="AZ53" s="147"/>
      <c r="BA53" s="147"/>
      <c r="BB53" s="147"/>
      <c r="BC53" s="148"/>
      <c r="BD53" s="149"/>
      <c r="BE53" s="147"/>
      <c r="BF53" s="147"/>
      <c r="BG53" s="147"/>
      <c r="BH53" s="147"/>
      <c r="BI53" s="147"/>
      <c r="BJ53" s="148"/>
      <c r="BK53" s="120"/>
    </row>
    <row r="54" spans="1:63" ht="15" customHeight="1" x14ac:dyDescent="0.25">
      <c r="A54" s="119"/>
      <c r="B54" s="101"/>
      <c r="C54" s="102"/>
      <c r="D54" s="102"/>
      <c r="E54" s="102"/>
      <c r="F54" s="102"/>
      <c r="G54" s="103"/>
      <c r="H54" s="101"/>
      <c r="I54" s="102"/>
      <c r="J54" s="102"/>
      <c r="K54" s="102"/>
      <c r="L54" s="102"/>
      <c r="M54" s="102"/>
      <c r="N54" s="103"/>
      <c r="O54" s="101"/>
      <c r="P54" s="102"/>
      <c r="Q54" s="102"/>
      <c r="R54" s="102"/>
      <c r="S54" s="150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2"/>
      <c r="AX54" s="153"/>
      <c r="AY54" s="153"/>
      <c r="AZ54" s="153"/>
      <c r="BA54" s="153"/>
      <c r="BB54" s="153"/>
      <c r="BC54" s="154"/>
      <c r="BD54" s="155"/>
      <c r="BE54" s="153"/>
      <c r="BF54" s="153"/>
      <c r="BG54" s="153"/>
      <c r="BH54" s="153"/>
      <c r="BI54" s="153"/>
      <c r="BJ54" s="154"/>
      <c r="BK54" s="120"/>
    </row>
    <row r="55" spans="1:63" ht="15" customHeight="1" x14ac:dyDescent="0.25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D249-BF9F-4572-AF05-C562D8E6D11A}">
  <sheetPr>
    <pageSetUpPr fitToPage="1"/>
  </sheetPr>
  <dimension ref="A1:BK608"/>
  <sheetViews>
    <sheetView showGridLines="0"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9" t="s">
        <v>134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135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82" t="s">
        <v>137</v>
      </c>
      <c r="AQ1" s="83"/>
      <c r="AR1" s="83"/>
      <c r="AS1" s="84"/>
      <c r="AT1" s="82" t="s">
        <v>138</v>
      </c>
      <c r="AU1" s="83"/>
      <c r="AV1" s="83"/>
      <c r="AW1" s="83"/>
      <c r="AX1" s="84"/>
      <c r="AY1" s="82" t="s">
        <v>139</v>
      </c>
      <c r="AZ1" s="83"/>
      <c r="BA1" s="83"/>
      <c r="BB1" s="84"/>
      <c r="BC1" s="82" t="s">
        <v>140</v>
      </c>
      <c r="BD1" s="83"/>
      <c r="BE1" s="83"/>
      <c r="BF1" s="83"/>
      <c r="BG1" s="84"/>
      <c r="BH1" s="82" t="s">
        <v>141</v>
      </c>
      <c r="BI1" s="83"/>
      <c r="BJ1" s="83"/>
      <c r="BK1" s="84"/>
    </row>
    <row r="2" spans="1:63" ht="15" customHeight="1" x14ac:dyDescent="0.25">
      <c r="A2" s="75" t="str">
        <f>IF(表紙!A2="","",表紙!A2)</f>
        <v>POSサーバー</v>
      </c>
      <c r="B2" s="76"/>
      <c r="C2" s="76"/>
      <c r="D2" s="76"/>
      <c r="E2" s="76"/>
      <c r="F2" s="76"/>
      <c r="G2" s="76"/>
      <c r="H2" s="76"/>
      <c r="I2" s="76"/>
      <c r="J2" s="77"/>
      <c r="K2" s="75" t="str">
        <f>IF(表紙!K2="","",表紙!K2)</f>
        <v>POSサーバ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91" t="str">
        <f>IF(表紙!AP2="","",表紙!AP2)</f>
        <v>TuyenNH</v>
      </c>
      <c r="AQ2" s="89"/>
      <c r="AR2" s="89"/>
      <c r="AS2" s="90"/>
      <c r="AT2" s="95">
        <f>IF(表紙!AT2="","",表紙!AT2)</f>
        <v>45645</v>
      </c>
      <c r="AU2" s="96"/>
      <c r="AV2" s="96"/>
      <c r="AW2" s="96"/>
      <c r="AX2" s="97"/>
      <c r="AY2" s="91" t="str">
        <f>IF(表紙!AY2="","",表紙!AY2)</f>
        <v>TuyenNH</v>
      </c>
      <c r="AZ2" s="89"/>
      <c r="BA2" s="89"/>
      <c r="BB2" s="90"/>
      <c r="BC2" s="95">
        <f>IF(表紙!BC2="","",表紙!BC2)</f>
        <v>45645</v>
      </c>
      <c r="BD2" s="96"/>
      <c r="BE2" s="96"/>
      <c r="BF2" s="96"/>
      <c r="BG2" s="97"/>
      <c r="BH2" s="91">
        <f>IF(表紙!BH2="","",表紙!BH2)</f>
        <v>0.1</v>
      </c>
      <c r="BI2" s="89"/>
      <c r="BJ2" s="89"/>
      <c r="BK2" s="90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01"/>
      <c r="AQ3" s="102"/>
      <c r="AR3" s="102"/>
      <c r="AS3" s="103"/>
      <c r="AT3" s="107"/>
      <c r="AU3" s="108"/>
      <c r="AV3" s="108"/>
      <c r="AW3" s="108"/>
      <c r="AX3" s="109"/>
      <c r="AY3" s="101"/>
      <c r="AZ3" s="102"/>
      <c r="BA3" s="102"/>
      <c r="BB3" s="103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181" t="s">
        <v>151</v>
      </c>
      <c r="B4" s="170"/>
      <c r="C4" s="170"/>
      <c r="D4" s="170"/>
      <c r="E4" s="170"/>
      <c r="F4" s="170"/>
      <c r="G4" s="171"/>
      <c r="H4" s="81" t="str">
        <f>IF(表紙!H4="","",表紙!H4)</f>
        <v>08_カテゴリ値引／割引設定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  <c r="U4" s="169" t="s">
        <v>144</v>
      </c>
      <c r="V4" s="170"/>
      <c r="W4" s="170"/>
      <c r="X4" s="170"/>
      <c r="Y4" s="171"/>
      <c r="Z4" s="81" t="str">
        <f>IF(表紙!Z4="","",表紙!Z4)</f>
        <v>機能設計書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1"/>
      <c r="AP4" s="69" t="str">
        <f ca="1">MID(CELL("filename",A1),FIND("]",CELL("filename",A1))+1,255)</f>
        <v>SC0801</v>
      </c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1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83" customFormat="1" ht="15" customHeight="1" x14ac:dyDescent="0.25">
      <c r="A7" s="182" t="s">
        <v>8</v>
      </c>
      <c r="BK7" s="184"/>
    </row>
    <row r="8" spans="1:63" s="183" customFormat="1" ht="15" customHeight="1" x14ac:dyDescent="0.25">
      <c r="A8" s="182"/>
      <c r="BK8" s="184"/>
    </row>
    <row r="9" spans="1:63" s="183" customFormat="1" ht="15" customHeight="1" x14ac:dyDescent="0.25">
      <c r="A9" s="82" t="s">
        <v>152</v>
      </c>
      <c r="B9" s="83"/>
      <c r="C9" s="83"/>
      <c r="D9" s="83"/>
      <c r="E9" s="185" t="s">
        <v>43</v>
      </c>
      <c r="F9" s="185"/>
      <c r="G9" s="185"/>
      <c r="H9" s="185"/>
      <c r="I9" s="185"/>
      <c r="J9" s="185"/>
      <c r="K9" s="185"/>
      <c r="L9" s="185"/>
      <c r="M9" s="185"/>
      <c r="N9" s="185"/>
      <c r="O9" s="82" t="s">
        <v>153</v>
      </c>
      <c r="P9" s="83"/>
      <c r="Q9" s="83"/>
      <c r="R9" s="83"/>
      <c r="S9" s="83"/>
      <c r="T9" s="84"/>
      <c r="U9" s="186" t="s">
        <v>44</v>
      </c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8"/>
    </row>
    <row r="10" spans="1:63" ht="15" customHeight="1" x14ac:dyDescent="0.25">
      <c r="A10" s="21"/>
      <c r="BK10" s="6"/>
    </row>
    <row r="11" spans="1:63" s="183" customFormat="1" ht="15" customHeight="1" x14ac:dyDescent="0.25">
      <c r="A11" s="189" t="s">
        <v>3</v>
      </c>
      <c r="B11" s="190"/>
      <c r="C11" s="190"/>
      <c r="D11" s="190"/>
      <c r="E11" s="190"/>
      <c r="F11" s="191"/>
      <c r="G11" s="185" t="s">
        <v>45</v>
      </c>
      <c r="H11" s="185"/>
      <c r="I11" s="185"/>
      <c r="J11" s="185"/>
      <c r="K11" s="185"/>
      <c r="L11" s="185"/>
      <c r="M11" s="192" t="s">
        <v>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93"/>
      <c r="BI11" s="193"/>
      <c r="BJ11" s="193"/>
      <c r="BK11" s="194"/>
    </row>
    <row r="12" spans="1:63" s="183" customFormat="1" ht="15" customHeight="1" x14ac:dyDescent="0.25">
      <c r="A12" s="195" t="s">
        <v>4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7"/>
      <c r="M12" s="195" t="s">
        <v>5</v>
      </c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197"/>
      <c r="AU12" s="195" t="s">
        <v>6</v>
      </c>
      <c r="AV12" s="196"/>
      <c r="AW12" s="196"/>
      <c r="AX12" s="196"/>
      <c r="AY12" s="196"/>
      <c r="AZ12" s="196"/>
      <c r="BA12" s="196"/>
      <c r="BB12" s="196"/>
      <c r="BC12" s="196"/>
      <c r="BD12" s="196"/>
      <c r="BE12" s="196"/>
      <c r="BF12" s="195" t="s">
        <v>7</v>
      </c>
      <c r="BG12" s="196"/>
      <c r="BH12" s="196"/>
      <c r="BI12" s="196"/>
      <c r="BJ12" s="196"/>
      <c r="BK12" s="197"/>
    </row>
    <row r="13" spans="1:63" s="183" customFormat="1" ht="15" customHeight="1" x14ac:dyDescent="0.25">
      <c r="A13" s="198"/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200"/>
      <c r="M13" s="198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200"/>
      <c r="AU13" s="198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8"/>
      <c r="BG13" s="199"/>
      <c r="BH13" s="199"/>
      <c r="BI13" s="199"/>
      <c r="BJ13" s="199"/>
      <c r="BK13" s="200"/>
    </row>
    <row r="14" spans="1:63" s="183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201"/>
      <c r="N14" s="201"/>
      <c r="O14" s="201"/>
      <c r="P14" s="201"/>
      <c r="Q14" s="201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60" t="s">
        <v>42</v>
      </c>
      <c r="BG14" s="61"/>
      <c r="BH14" s="61"/>
      <c r="BI14" s="61"/>
      <c r="BJ14" s="61"/>
      <c r="BK14" s="62"/>
    </row>
    <row r="15" spans="1:63" s="183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201"/>
      <c r="N15" s="22" t="s">
        <v>154</v>
      </c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63"/>
      <c r="BG15" s="64"/>
      <c r="BH15" s="64"/>
      <c r="BI15" s="64"/>
      <c r="BJ15" s="64"/>
      <c r="BK15" s="65"/>
    </row>
    <row r="16" spans="1:63" s="183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203"/>
      <c r="N16" s="201"/>
      <c r="O16" s="204" t="s">
        <v>41</v>
      </c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204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  <c r="AT16" s="20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63"/>
      <c r="BG16" s="64"/>
      <c r="BH16" s="64"/>
      <c r="BI16" s="64"/>
      <c r="BJ16" s="64"/>
      <c r="BK16" s="65"/>
    </row>
    <row r="17" spans="1:63" s="183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201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1"/>
      <c r="AK17" s="201"/>
      <c r="AL17" s="201"/>
      <c r="AM17" s="201"/>
      <c r="AN17" s="201"/>
      <c r="AO17" s="201"/>
      <c r="AP17" s="201"/>
      <c r="AQ17" s="201"/>
      <c r="AR17" s="201"/>
      <c r="AS17" s="201"/>
      <c r="AT17" s="20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63"/>
      <c r="BG17" s="64"/>
      <c r="BH17" s="64"/>
      <c r="BI17" s="64"/>
      <c r="BJ17" s="64"/>
      <c r="BK17" s="65"/>
    </row>
    <row r="18" spans="1:63" s="183" customFormat="1" ht="1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/>
      <c r="M18" s="205"/>
      <c r="N18" s="206"/>
      <c r="O18" s="206"/>
      <c r="P18" s="206"/>
      <c r="Q18" s="206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7"/>
      <c r="AQ18" s="207"/>
      <c r="AR18" s="207"/>
      <c r="AS18" s="207"/>
      <c r="AT18" s="207"/>
      <c r="AU18" s="13"/>
      <c r="AV18" s="14"/>
      <c r="AW18" s="14"/>
      <c r="AX18" s="14"/>
      <c r="AY18" s="14"/>
      <c r="AZ18" s="14"/>
      <c r="BA18" s="14"/>
      <c r="BB18" s="14"/>
      <c r="BC18" s="14"/>
      <c r="BD18" s="14"/>
      <c r="BE18" s="15"/>
      <c r="BF18" s="72"/>
      <c r="BG18" s="73"/>
      <c r="BH18" s="73"/>
      <c r="BI18" s="73"/>
      <c r="BJ18" s="73"/>
      <c r="BK18" s="74"/>
    </row>
    <row r="19" spans="1:63" ht="15" customHeight="1" x14ac:dyDescent="0.25">
      <c r="A19" s="16"/>
      <c r="BK19" s="6"/>
    </row>
    <row r="20" spans="1:63" ht="15" customHeight="1" x14ac:dyDescent="0.25">
      <c r="BK20" s="6"/>
    </row>
    <row r="21" spans="1:63" ht="15" customHeight="1" x14ac:dyDescent="0.25">
      <c r="A21" s="21"/>
      <c r="BK21" s="6"/>
    </row>
    <row r="22" spans="1:63" s="183" customFormat="1" ht="15" customHeight="1" x14ac:dyDescent="0.25">
      <c r="A22" s="189" t="s">
        <v>3</v>
      </c>
      <c r="B22" s="190"/>
      <c r="C22" s="190"/>
      <c r="D22" s="190"/>
      <c r="E22" s="190"/>
      <c r="F22" s="191"/>
      <c r="G22" s="185" t="s">
        <v>46</v>
      </c>
      <c r="H22" s="185"/>
      <c r="I22" s="185"/>
      <c r="J22" s="185"/>
      <c r="K22" s="185"/>
      <c r="L22" s="185"/>
      <c r="M22" s="192" t="s">
        <v>47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193"/>
      <c r="BI22" s="193"/>
      <c r="BJ22" s="193"/>
      <c r="BK22" s="194"/>
    </row>
    <row r="23" spans="1:63" s="183" customFormat="1" ht="15" customHeight="1" x14ac:dyDescent="0.25">
      <c r="A23" s="195" t="s">
        <v>4</v>
      </c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7"/>
      <c r="M23" s="195" t="s">
        <v>5</v>
      </c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7"/>
      <c r="AU23" s="195" t="s">
        <v>6</v>
      </c>
      <c r="AV23" s="196"/>
      <c r="AW23" s="196"/>
      <c r="AX23" s="196"/>
      <c r="AY23" s="196"/>
      <c r="AZ23" s="196"/>
      <c r="BA23" s="196"/>
      <c r="BB23" s="196"/>
      <c r="BC23" s="196"/>
      <c r="BD23" s="196"/>
      <c r="BE23" s="196"/>
      <c r="BF23" s="195" t="s">
        <v>7</v>
      </c>
      <c r="BG23" s="196"/>
      <c r="BH23" s="196"/>
      <c r="BI23" s="196"/>
      <c r="BJ23" s="196"/>
      <c r="BK23" s="197"/>
    </row>
    <row r="24" spans="1:63" s="183" customFormat="1" ht="15" customHeight="1" x14ac:dyDescent="0.25">
      <c r="A24" s="198"/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200"/>
      <c r="M24" s="198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99"/>
      <c r="AS24" s="199"/>
      <c r="AT24" s="200"/>
      <c r="AU24" s="198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8"/>
      <c r="BG24" s="199"/>
      <c r="BH24" s="199"/>
      <c r="BI24" s="199"/>
      <c r="BJ24" s="199"/>
      <c r="BK24" s="200"/>
    </row>
    <row r="25" spans="1:63" s="183" customFormat="1" ht="15" customHeight="1" x14ac:dyDescent="0.25">
      <c r="A25" s="1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2"/>
      <c r="M25" s="201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4"/>
      <c r="AI25" s="204"/>
      <c r="AJ25" s="201"/>
      <c r="AK25" s="201"/>
      <c r="AL25" s="201"/>
      <c r="AM25" s="201"/>
      <c r="AN25" s="201"/>
      <c r="AO25" s="201"/>
      <c r="AP25" s="201"/>
      <c r="AQ25" s="201"/>
      <c r="AR25" s="201"/>
      <c r="AS25" s="201"/>
      <c r="AT25" s="201"/>
      <c r="AU25" s="11"/>
      <c r="AV25" s="19"/>
      <c r="AW25" s="19"/>
      <c r="AX25" s="19"/>
      <c r="AY25" s="19"/>
      <c r="AZ25" s="19"/>
      <c r="BA25" s="19"/>
      <c r="BB25" s="19"/>
      <c r="BC25" s="19"/>
      <c r="BD25" s="19"/>
      <c r="BE25" s="12"/>
      <c r="BF25" s="63" t="s">
        <v>42</v>
      </c>
      <c r="BG25" s="64"/>
      <c r="BH25" s="64"/>
      <c r="BI25" s="64"/>
      <c r="BJ25" s="64"/>
      <c r="BK25" s="65"/>
    </row>
    <row r="26" spans="1:63" s="183" customFormat="1" ht="15" customHeight="1" x14ac:dyDescent="0.25">
      <c r="A26" s="1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2"/>
      <c r="M26" s="201"/>
      <c r="N26" s="26" t="s">
        <v>155</v>
      </c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  <c r="AU26" s="11"/>
      <c r="AV26" s="19"/>
      <c r="AW26" s="19"/>
      <c r="AX26" s="19"/>
      <c r="AY26" s="19"/>
      <c r="AZ26" s="19"/>
      <c r="BA26" s="19"/>
      <c r="BB26" s="19"/>
      <c r="BC26" s="19"/>
      <c r="BD26" s="19"/>
      <c r="BE26" s="12"/>
      <c r="BF26" s="63"/>
      <c r="BG26" s="64"/>
      <c r="BH26" s="64"/>
      <c r="BI26" s="64"/>
      <c r="BJ26" s="64"/>
      <c r="BK26" s="65"/>
    </row>
    <row r="27" spans="1:63" s="183" customFormat="1" ht="15" customHeight="1" x14ac:dyDescent="0.25">
      <c r="A27" s="1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2"/>
      <c r="M27" s="201"/>
      <c r="N27" s="26"/>
      <c r="O27" s="204" t="s">
        <v>41</v>
      </c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11"/>
      <c r="AV27" s="19"/>
      <c r="AW27" s="19"/>
      <c r="AX27" s="19"/>
      <c r="AY27" s="19"/>
      <c r="AZ27" s="19"/>
      <c r="BA27" s="19"/>
      <c r="BB27" s="19"/>
      <c r="BC27" s="19"/>
      <c r="BD27" s="19"/>
      <c r="BE27" s="12"/>
      <c r="BF27" s="63"/>
      <c r="BG27" s="64"/>
      <c r="BH27" s="64"/>
      <c r="BI27" s="64"/>
      <c r="BJ27" s="64"/>
      <c r="BK27" s="65"/>
    </row>
    <row r="28" spans="1:63" s="183" customFormat="1" ht="15" customHeight="1" x14ac:dyDescent="0.25">
      <c r="A28" s="1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2"/>
      <c r="M28" s="201"/>
      <c r="N28" s="26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  <c r="AN28" s="201"/>
      <c r="AO28" s="201"/>
      <c r="AP28" s="201"/>
      <c r="AQ28" s="201"/>
      <c r="AR28" s="201"/>
      <c r="AS28" s="201"/>
      <c r="AT28" s="201"/>
      <c r="AU28" s="11"/>
      <c r="AV28" s="19"/>
      <c r="AW28" s="19"/>
      <c r="AX28" s="19"/>
      <c r="AY28" s="19"/>
      <c r="AZ28" s="19"/>
      <c r="BA28" s="19"/>
      <c r="BB28" s="19"/>
      <c r="BC28" s="19"/>
      <c r="BD28" s="19"/>
      <c r="BE28" s="12"/>
      <c r="BF28" s="63"/>
      <c r="BG28" s="64"/>
      <c r="BH28" s="64"/>
      <c r="BI28" s="64"/>
      <c r="BJ28" s="64"/>
      <c r="BK28" s="65"/>
    </row>
    <row r="29" spans="1:63" s="183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201"/>
      <c r="N29" s="201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/>
      <c r="AL29" s="204"/>
      <c r="AM29" s="204"/>
      <c r="AN29" s="201"/>
      <c r="AO29" s="201"/>
      <c r="AP29" s="201"/>
      <c r="AQ29" s="201"/>
      <c r="AR29" s="201"/>
      <c r="AS29" s="201"/>
      <c r="AT29" s="20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63"/>
      <c r="BG29" s="64"/>
      <c r="BH29" s="64"/>
      <c r="BI29" s="64"/>
      <c r="BJ29" s="64"/>
      <c r="BK29" s="65"/>
    </row>
    <row r="30" spans="1:63" s="183" customFormat="1" ht="15" customHeight="1" x14ac:dyDescent="0.2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5"/>
      <c r="M30" s="205"/>
      <c r="N30" s="206"/>
      <c r="O30" s="206"/>
      <c r="P30" s="206"/>
      <c r="Q30" s="206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7"/>
      <c r="AQ30" s="207"/>
      <c r="AR30" s="207"/>
      <c r="AS30" s="207"/>
      <c r="AT30" s="207"/>
      <c r="AU30" s="13"/>
      <c r="AV30" s="14"/>
      <c r="AW30" s="14"/>
      <c r="AX30" s="14"/>
      <c r="AY30" s="14"/>
      <c r="AZ30" s="14"/>
      <c r="BA30" s="14"/>
      <c r="BB30" s="14"/>
      <c r="BC30" s="14"/>
      <c r="BD30" s="14"/>
      <c r="BE30" s="15"/>
      <c r="BF30" s="72"/>
      <c r="BG30" s="73"/>
      <c r="BH30" s="73"/>
      <c r="BI30" s="73"/>
      <c r="BJ30" s="73"/>
      <c r="BK30" s="74"/>
    </row>
    <row r="31" spans="1:63" ht="15" customHeight="1" x14ac:dyDescent="0.25">
      <c r="A31" s="21"/>
      <c r="BK31" s="6"/>
    </row>
    <row r="32" spans="1:63" ht="15" customHeight="1" x14ac:dyDescent="0.25">
      <c r="A32" s="21"/>
      <c r="BK32" s="6"/>
    </row>
    <row r="33" spans="1:63" ht="15" customHeight="1" x14ac:dyDescent="0.25">
      <c r="A33" s="21"/>
      <c r="BK33" s="6"/>
    </row>
    <row r="34" spans="1:63" s="183" customFormat="1" ht="15" customHeight="1" x14ac:dyDescent="0.25">
      <c r="A34" s="189" t="s">
        <v>3</v>
      </c>
      <c r="B34" s="190"/>
      <c r="C34" s="190"/>
      <c r="D34" s="190"/>
      <c r="E34" s="190"/>
      <c r="F34" s="191"/>
      <c r="G34" s="185" t="s">
        <v>48</v>
      </c>
      <c r="H34" s="185"/>
      <c r="I34" s="185"/>
      <c r="J34" s="185"/>
      <c r="K34" s="185"/>
      <c r="L34" s="185"/>
      <c r="M34" s="192" t="s">
        <v>49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193"/>
      <c r="BI34" s="193"/>
      <c r="BJ34" s="193"/>
      <c r="BK34" s="194"/>
    </row>
    <row r="35" spans="1:63" s="183" customFormat="1" ht="15" customHeight="1" x14ac:dyDescent="0.25">
      <c r="A35" s="195" t="s">
        <v>4</v>
      </c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7"/>
      <c r="M35" s="195" t="s">
        <v>5</v>
      </c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  <c r="AS35" s="196"/>
      <c r="AT35" s="197"/>
      <c r="AU35" s="195" t="s">
        <v>6</v>
      </c>
      <c r="AV35" s="196"/>
      <c r="AW35" s="196"/>
      <c r="AX35" s="196"/>
      <c r="AY35" s="196"/>
      <c r="AZ35" s="196"/>
      <c r="BA35" s="196"/>
      <c r="BB35" s="196"/>
      <c r="BC35" s="196"/>
      <c r="BD35" s="196"/>
      <c r="BE35" s="196"/>
      <c r="BF35" s="195" t="s">
        <v>7</v>
      </c>
      <c r="BG35" s="196"/>
      <c r="BH35" s="196"/>
      <c r="BI35" s="196"/>
      <c r="BJ35" s="196"/>
      <c r="BK35" s="197"/>
    </row>
    <row r="36" spans="1:63" s="183" customFormat="1" ht="15" customHeight="1" x14ac:dyDescent="0.25">
      <c r="A36" s="198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200"/>
      <c r="M36" s="198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200"/>
      <c r="AU36" s="198"/>
      <c r="AV36" s="199"/>
      <c r="AW36" s="199"/>
      <c r="AX36" s="199"/>
      <c r="AY36" s="199"/>
      <c r="AZ36" s="199"/>
      <c r="BA36" s="199"/>
      <c r="BB36" s="199"/>
      <c r="BC36" s="199"/>
      <c r="BD36" s="199"/>
      <c r="BE36" s="199"/>
      <c r="BF36" s="198"/>
      <c r="BG36" s="199"/>
      <c r="BH36" s="199"/>
      <c r="BI36" s="199"/>
      <c r="BJ36" s="199"/>
      <c r="BK36" s="200"/>
    </row>
    <row r="37" spans="1:63" s="183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201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  <c r="AI37" s="204"/>
      <c r="AJ37" s="201"/>
      <c r="AK37" s="201"/>
      <c r="AL37" s="201"/>
      <c r="AM37" s="201"/>
      <c r="AN37" s="201"/>
      <c r="AO37" s="201"/>
      <c r="AP37" s="201"/>
      <c r="AQ37" s="201"/>
      <c r="AR37" s="201"/>
      <c r="AS37" s="201"/>
      <c r="AT37" s="201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60" t="s">
        <v>156</v>
      </c>
      <c r="BG37" s="61"/>
      <c r="BH37" s="61"/>
      <c r="BI37" s="61"/>
      <c r="BJ37" s="61"/>
      <c r="BK37" s="62"/>
    </row>
    <row r="38" spans="1:63" s="183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201"/>
      <c r="N38" s="26" t="s">
        <v>157</v>
      </c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204"/>
      <c r="AI38" s="204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  <c r="AT38" s="201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63"/>
      <c r="BG38" s="64"/>
      <c r="BH38" s="64"/>
      <c r="BI38" s="64"/>
      <c r="BJ38" s="64"/>
      <c r="BK38" s="65"/>
    </row>
    <row r="39" spans="1:63" s="183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201"/>
      <c r="N39" s="26"/>
      <c r="O39" s="204" t="s">
        <v>51</v>
      </c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1"/>
      <c r="AK39" s="201"/>
      <c r="AL39" s="201"/>
      <c r="AM39" s="201"/>
      <c r="AN39" s="201"/>
      <c r="AO39" s="201"/>
      <c r="AP39" s="201"/>
      <c r="AQ39" s="201"/>
      <c r="AR39" s="201"/>
      <c r="AS39" s="201"/>
      <c r="AT39" s="201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63"/>
      <c r="BG39" s="64"/>
      <c r="BH39" s="64"/>
      <c r="BI39" s="64"/>
      <c r="BJ39" s="64"/>
      <c r="BK39" s="65"/>
    </row>
    <row r="40" spans="1:63" s="183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201"/>
      <c r="N40" s="26"/>
      <c r="O40" s="204"/>
      <c r="P40" s="27" t="s">
        <v>10</v>
      </c>
      <c r="Q40" s="28"/>
      <c r="R40" s="28"/>
      <c r="S40" s="28"/>
      <c r="T40" s="28"/>
      <c r="U40" s="28"/>
      <c r="V40" s="28"/>
      <c r="W40" s="27" t="s">
        <v>11</v>
      </c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9"/>
      <c r="AN40" s="201"/>
      <c r="AO40" s="201"/>
      <c r="AP40" s="201"/>
      <c r="AQ40" s="201"/>
      <c r="AR40" s="201"/>
      <c r="AS40" s="201"/>
      <c r="AT40" s="201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63"/>
      <c r="BG40" s="64"/>
      <c r="BH40" s="64"/>
      <c r="BI40" s="64"/>
      <c r="BJ40" s="64"/>
      <c r="BK40" s="65"/>
    </row>
    <row r="41" spans="1:63" s="183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201"/>
      <c r="N41" s="201"/>
      <c r="O41" s="204"/>
      <c r="P41" s="208" t="s">
        <v>15</v>
      </c>
      <c r="Q41" s="209"/>
      <c r="R41" s="209"/>
      <c r="S41" s="209"/>
      <c r="T41" s="209"/>
      <c r="U41" s="209"/>
      <c r="V41" s="209"/>
      <c r="W41" s="210" t="s">
        <v>16</v>
      </c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  <c r="AJ41" s="211"/>
      <c r="AK41" s="211"/>
      <c r="AL41" s="211"/>
      <c r="AM41" s="212"/>
      <c r="AN41" s="201"/>
      <c r="AO41" s="201"/>
      <c r="AP41" s="201"/>
      <c r="AQ41" s="201"/>
      <c r="AR41" s="201"/>
      <c r="AS41" s="201"/>
      <c r="AT41" s="20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63"/>
      <c r="BG41" s="64"/>
      <c r="BH41" s="64"/>
      <c r="BI41" s="64"/>
      <c r="BJ41" s="64"/>
      <c r="BK41" s="65"/>
    </row>
    <row r="42" spans="1:63" s="183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201"/>
      <c r="N42" s="201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  <c r="AI42" s="204"/>
      <c r="AJ42" s="201"/>
      <c r="AK42" s="201"/>
      <c r="AL42" s="201"/>
      <c r="AM42" s="201"/>
      <c r="AN42" s="201"/>
      <c r="AO42" s="201"/>
      <c r="AP42" s="201"/>
      <c r="AQ42" s="201"/>
      <c r="AR42" s="201"/>
      <c r="AS42" s="201"/>
      <c r="AT42" s="201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63"/>
      <c r="BG42" s="64"/>
      <c r="BH42" s="64"/>
      <c r="BI42" s="64"/>
      <c r="BJ42" s="64"/>
      <c r="BK42" s="65"/>
    </row>
    <row r="43" spans="1:63" s="183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201"/>
      <c r="N43" s="201"/>
      <c r="O43" s="204"/>
      <c r="P43" s="204" t="s">
        <v>50</v>
      </c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  <c r="AJ43" s="201"/>
      <c r="AK43" s="201"/>
      <c r="AL43" s="201"/>
      <c r="AM43" s="201"/>
      <c r="AN43" s="201"/>
      <c r="AO43" s="201"/>
      <c r="AP43" s="201"/>
      <c r="AQ43" s="201"/>
      <c r="AR43" s="201"/>
      <c r="AS43" s="201"/>
      <c r="AT43" s="201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63"/>
      <c r="BG43" s="64"/>
      <c r="BH43" s="64"/>
      <c r="BI43" s="64"/>
      <c r="BJ43" s="64"/>
      <c r="BK43" s="65"/>
    </row>
    <row r="44" spans="1:63" s="183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201"/>
      <c r="N44" s="201"/>
      <c r="O44" s="204" t="s">
        <v>17</v>
      </c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1"/>
      <c r="AK44" s="201"/>
      <c r="AL44" s="201"/>
      <c r="AM44" s="201"/>
      <c r="AN44" s="201"/>
      <c r="AO44" s="201"/>
      <c r="AP44" s="201"/>
      <c r="AQ44" s="201"/>
      <c r="AR44" s="201"/>
      <c r="AS44" s="201"/>
      <c r="AT44" s="201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63"/>
      <c r="BG44" s="64"/>
      <c r="BH44" s="64"/>
      <c r="BI44" s="64"/>
      <c r="BJ44" s="64"/>
      <c r="BK44" s="65"/>
    </row>
    <row r="45" spans="1:63" s="183" customFormat="1" ht="15" customHeight="1" x14ac:dyDescent="0.25">
      <c r="A45" s="1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2"/>
      <c r="M45" s="201"/>
      <c r="N45" s="201"/>
      <c r="O45" s="204"/>
      <c r="P45" s="204" t="s">
        <v>18</v>
      </c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1"/>
      <c r="AK45" s="201"/>
      <c r="AL45" s="201"/>
      <c r="AM45" s="201"/>
      <c r="AN45" s="201"/>
      <c r="AO45" s="201"/>
      <c r="AP45" s="201"/>
      <c r="AQ45" s="201"/>
      <c r="AR45" s="201"/>
      <c r="AS45" s="201"/>
      <c r="AT45" s="201"/>
      <c r="AU45" s="11"/>
      <c r="AV45" s="19"/>
      <c r="AW45" s="19"/>
      <c r="AX45" s="19"/>
      <c r="AY45" s="19"/>
      <c r="AZ45" s="19"/>
      <c r="BA45" s="19"/>
      <c r="BB45" s="19"/>
      <c r="BC45" s="19"/>
      <c r="BD45" s="19"/>
      <c r="BE45" s="12"/>
      <c r="BF45" s="63"/>
      <c r="BG45" s="64"/>
      <c r="BH45" s="64"/>
      <c r="BI45" s="64"/>
      <c r="BJ45" s="64"/>
      <c r="BK45" s="65"/>
    </row>
    <row r="46" spans="1:63" s="183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201"/>
      <c r="N46" s="201"/>
      <c r="O46" s="204"/>
      <c r="P46" s="204"/>
      <c r="Q46" s="204" t="s">
        <v>52</v>
      </c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1"/>
      <c r="AO46" s="201"/>
      <c r="AP46" s="201"/>
      <c r="AQ46" s="201"/>
      <c r="AR46" s="201"/>
      <c r="AS46" s="201"/>
      <c r="AT46" s="201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63"/>
      <c r="BG46" s="64"/>
      <c r="BH46" s="64"/>
      <c r="BI46" s="64"/>
      <c r="BJ46" s="64"/>
      <c r="BK46" s="65"/>
    </row>
    <row r="47" spans="1:63" s="183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201"/>
      <c r="N47" s="201"/>
      <c r="O47" s="204"/>
      <c r="P47" s="204"/>
      <c r="Q47" s="204" t="s">
        <v>13</v>
      </c>
      <c r="R47" s="204"/>
      <c r="S47" s="204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/>
      <c r="AL47" s="204"/>
      <c r="AM47" s="204"/>
      <c r="AN47" s="201"/>
      <c r="AO47" s="201"/>
      <c r="AP47" s="201"/>
      <c r="AQ47" s="201"/>
      <c r="AR47" s="201"/>
      <c r="AS47" s="201"/>
      <c r="AT47" s="201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63"/>
      <c r="BG47" s="64"/>
      <c r="BH47" s="64"/>
      <c r="BI47" s="64"/>
      <c r="BJ47" s="64"/>
      <c r="BK47" s="65"/>
    </row>
    <row r="48" spans="1:63" s="183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201"/>
      <c r="N48" s="201"/>
      <c r="O48" s="204"/>
      <c r="P48" s="204"/>
      <c r="Q48" s="204"/>
      <c r="R48" s="204" t="s">
        <v>53</v>
      </c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4"/>
      <c r="AK48" s="204"/>
      <c r="AL48" s="204"/>
      <c r="AM48" s="204"/>
      <c r="AN48" s="201"/>
      <c r="AO48" s="201"/>
      <c r="AP48" s="201"/>
      <c r="AQ48" s="201"/>
      <c r="AR48" s="201"/>
      <c r="AS48" s="201"/>
      <c r="AT48" s="201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63"/>
      <c r="BG48" s="64"/>
      <c r="BH48" s="64"/>
      <c r="BI48" s="64"/>
      <c r="BJ48" s="64"/>
      <c r="BK48" s="65"/>
    </row>
    <row r="49" spans="1:63" s="183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201"/>
      <c r="N49" s="201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4"/>
      <c r="AM49" s="204"/>
      <c r="AN49" s="201"/>
      <c r="AO49" s="201"/>
      <c r="AP49" s="201"/>
      <c r="AQ49" s="201"/>
      <c r="AR49" s="201"/>
      <c r="AS49" s="201"/>
      <c r="AT49" s="201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63"/>
      <c r="BG49" s="64"/>
      <c r="BH49" s="64"/>
      <c r="BI49" s="64"/>
      <c r="BJ49" s="64"/>
      <c r="BK49" s="65"/>
    </row>
    <row r="50" spans="1:63" s="183" customFormat="1" ht="1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201"/>
      <c r="N50" s="201"/>
      <c r="O50" s="204"/>
      <c r="P50" s="201" t="s">
        <v>19</v>
      </c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4"/>
      <c r="AK50" s="204"/>
      <c r="AL50" s="204"/>
      <c r="AM50" s="204"/>
      <c r="AN50" s="201"/>
      <c r="AO50" s="201"/>
      <c r="AP50" s="201"/>
      <c r="AQ50" s="201"/>
      <c r="AR50" s="201"/>
      <c r="AS50" s="201"/>
      <c r="AT50" s="20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63"/>
      <c r="BG50" s="64"/>
      <c r="BH50" s="64"/>
      <c r="BI50" s="64"/>
      <c r="BJ50" s="64"/>
      <c r="BK50" s="65"/>
    </row>
    <row r="51" spans="1:63" s="183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201"/>
      <c r="N51" s="201"/>
      <c r="O51" s="204"/>
      <c r="P51" s="204"/>
      <c r="Q51" s="204" t="s">
        <v>54</v>
      </c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  <c r="AJ51" s="204"/>
      <c r="AK51" s="204"/>
      <c r="AL51" s="204"/>
      <c r="AM51" s="204"/>
      <c r="AN51" s="201"/>
      <c r="AO51" s="201"/>
      <c r="AP51" s="201"/>
      <c r="AQ51" s="201"/>
      <c r="AR51" s="201"/>
      <c r="AS51" s="201"/>
      <c r="AT51" s="20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63"/>
      <c r="BG51" s="64"/>
      <c r="BH51" s="64"/>
      <c r="BI51" s="64"/>
      <c r="BJ51" s="64"/>
      <c r="BK51" s="65"/>
    </row>
    <row r="52" spans="1:63" s="183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201"/>
      <c r="N52" s="201"/>
      <c r="O52" s="204"/>
      <c r="P52" s="204"/>
      <c r="Q52" s="204" t="s">
        <v>55</v>
      </c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1"/>
      <c r="AK52" s="201"/>
      <c r="AL52" s="201"/>
      <c r="AM52" s="201"/>
      <c r="AN52" s="201"/>
      <c r="AO52" s="201"/>
      <c r="AP52" s="201"/>
      <c r="AQ52" s="201"/>
      <c r="AR52" s="201"/>
      <c r="AS52" s="201"/>
      <c r="AT52" s="20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63"/>
      <c r="BG52" s="64"/>
      <c r="BH52" s="64"/>
      <c r="BI52" s="64"/>
      <c r="BJ52" s="64"/>
      <c r="BK52" s="65"/>
    </row>
    <row r="53" spans="1:63" s="183" customFormat="1" ht="15" customHeight="1" x14ac:dyDescent="0.25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5"/>
      <c r="M53" s="205"/>
      <c r="N53" s="206"/>
      <c r="O53" s="206"/>
      <c r="P53" s="206"/>
      <c r="Q53" s="206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7"/>
      <c r="AQ53" s="207"/>
      <c r="AR53" s="207"/>
      <c r="AS53" s="207"/>
      <c r="AT53" s="207"/>
      <c r="AU53" s="13"/>
      <c r="AV53" s="14"/>
      <c r="AW53" s="14"/>
      <c r="AX53" s="14"/>
      <c r="AY53" s="14"/>
      <c r="AZ53" s="14"/>
      <c r="BA53" s="14"/>
      <c r="BB53" s="14"/>
      <c r="BC53" s="14"/>
      <c r="BD53" s="14"/>
      <c r="BE53" s="15"/>
      <c r="BF53" s="72"/>
      <c r="BG53" s="73"/>
      <c r="BH53" s="73"/>
      <c r="BI53" s="73"/>
      <c r="BJ53" s="73"/>
      <c r="BK53" s="74"/>
    </row>
    <row r="54" spans="1:63" ht="15" customHeight="1" x14ac:dyDescent="0.25">
      <c r="A54" s="21"/>
      <c r="BK54" s="6"/>
    </row>
    <row r="55" spans="1:63" ht="15" customHeight="1" x14ac:dyDescent="0.25">
      <c r="BK55" s="6"/>
    </row>
    <row r="56" spans="1:63" ht="15" customHeight="1" x14ac:dyDescent="0.25">
      <c r="A56" s="21"/>
      <c r="BK56" s="6"/>
    </row>
    <row r="57" spans="1:63" s="183" customFormat="1" ht="15" customHeight="1" x14ac:dyDescent="0.25">
      <c r="A57" s="189" t="s">
        <v>3</v>
      </c>
      <c r="B57" s="190"/>
      <c r="C57" s="190"/>
      <c r="D57" s="190"/>
      <c r="E57" s="190"/>
      <c r="F57" s="191"/>
      <c r="G57" s="185" t="s">
        <v>56</v>
      </c>
      <c r="H57" s="185"/>
      <c r="I57" s="185"/>
      <c r="J57" s="185"/>
      <c r="K57" s="185"/>
      <c r="L57" s="185"/>
      <c r="M57" s="192" t="s">
        <v>57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193"/>
      <c r="BI57" s="193"/>
      <c r="BJ57" s="193"/>
      <c r="BK57" s="194"/>
    </row>
    <row r="58" spans="1:63" s="183" customFormat="1" ht="15" customHeight="1" x14ac:dyDescent="0.25">
      <c r="A58" s="195" t="s">
        <v>4</v>
      </c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7"/>
      <c r="M58" s="195" t="s">
        <v>5</v>
      </c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  <c r="AL58" s="196"/>
      <c r="AM58" s="196"/>
      <c r="AN58" s="196"/>
      <c r="AO58" s="196"/>
      <c r="AP58" s="196"/>
      <c r="AQ58" s="196"/>
      <c r="AR58" s="196"/>
      <c r="AS58" s="196"/>
      <c r="AT58" s="197"/>
      <c r="AU58" s="195" t="s">
        <v>6</v>
      </c>
      <c r="AV58" s="196"/>
      <c r="AW58" s="196"/>
      <c r="AX58" s="196"/>
      <c r="AY58" s="196"/>
      <c r="AZ58" s="196"/>
      <c r="BA58" s="196"/>
      <c r="BB58" s="196"/>
      <c r="BC58" s="196"/>
      <c r="BD58" s="196"/>
      <c r="BE58" s="196"/>
      <c r="BF58" s="195" t="s">
        <v>7</v>
      </c>
      <c r="BG58" s="196"/>
      <c r="BH58" s="196"/>
      <c r="BI58" s="196"/>
      <c r="BJ58" s="196"/>
      <c r="BK58" s="197"/>
    </row>
    <row r="59" spans="1:63" s="183" customFormat="1" ht="15" customHeight="1" x14ac:dyDescent="0.25">
      <c r="A59" s="198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200"/>
      <c r="M59" s="198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199"/>
      <c r="AJ59" s="199"/>
      <c r="AK59" s="199"/>
      <c r="AL59" s="199"/>
      <c r="AM59" s="199"/>
      <c r="AN59" s="199"/>
      <c r="AO59" s="199"/>
      <c r="AP59" s="199"/>
      <c r="AQ59" s="199"/>
      <c r="AR59" s="199"/>
      <c r="AS59" s="199"/>
      <c r="AT59" s="200"/>
      <c r="AU59" s="198"/>
      <c r="AV59" s="199"/>
      <c r="AW59" s="199"/>
      <c r="AX59" s="199"/>
      <c r="AY59" s="199"/>
      <c r="AZ59" s="199"/>
      <c r="BA59" s="199"/>
      <c r="BB59" s="199"/>
      <c r="BC59" s="199"/>
      <c r="BD59" s="199"/>
      <c r="BE59" s="199"/>
      <c r="BF59" s="198"/>
      <c r="BG59" s="199"/>
      <c r="BH59" s="199"/>
      <c r="BI59" s="199"/>
      <c r="BJ59" s="199"/>
      <c r="BK59" s="200"/>
    </row>
    <row r="60" spans="1:63" s="183" customFormat="1" ht="15" customHeight="1" x14ac:dyDescent="0.25">
      <c r="A60" s="1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2"/>
      <c r="M60" s="201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  <c r="AI60" s="204"/>
      <c r="AJ60" s="201"/>
      <c r="AK60" s="201"/>
      <c r="AL60" s="201"/>
      <c r="AM60" s="201"/>
      <c r="AN60" s="201"/>
      <c r="AO60" s="201"/>
      <c r="AP60" s="201"/>
      <c r="AQ60" s="201"/>
      <c r="AR60" s="201"/>
      <c r="AS60" s="201"/>
      <c r="AT60" s="201"/>
      <c r="AU60" s="11"/>
      <c r="AV60" s="19"/>
      <c r="AW60" s="19"/>
      <c r="AX60" s="19"/>
      <c r="AY60" s="19"/>
      <c r="AZ60" s="19"/>
      <c r="BA60" s="19"/>
      <c r="BB60" s="19"/>
      <c r="BC60" s="19"/>
      <c r="BD60" s="19"/>
      <c r="BE60" s="12"/>
      <c r="BF60" s="60" t="s">
        <v>158</v>
      </c>
      <c r="BG60" s="61"/>
      <c r="BH60" s="61"/>
      <c r="BI60" s="61"/>
      <c r="BJ60" s="61"/>
      <c r="BK60" s="62"/>
    </row>
    <row r="61" spans="1:63" s="183" customFormat="1" ht="15" customHeight="1" x14ac:dyDescent="0.25">
      <c r="A61" s="1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2"/>
      <c r="M61" s="201"/>
      <c r="N61" s="26" t="s">
        <v>159</v>
      </c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204"/>
      <c r="AF61" s="204"/>
      <c r="AG61" s="204"/>
      <c r="AH61" s="204"/>
      <c r="AI61" s="204"/>
      <c r="AJ61" s="201"/>
      <c r="AK61" s="201"/>
      <c r="AL61" s="201"/>
      <c r="AM61" s="201"/>
      <c r="AN61" s="201"/>
      <c r="AO61" s="201"/>
      <c r="AP61" s="201"/>
      <c r="AQ61" s="201"/>
      <c r="AR61" s="201"/>
      <c r="AS61" s="201"/>
      <c r="AT61" s="201"/>
      <c r="AU61" s="11"/>
      <c r="AV61" s="19"/>
      <c r="AW61" s="19"/>
      <c r="AX61" s="19"/>
      <c r="AY61" s="19"/>
      <c r="AZ61" s="19"/>
      <c r="BA61" s="19"/>
      <c r="BB61" s="19"/>
      <c r="BC61" s="19"/>
      <c r="BD61" s="19"/>
      <c r="BE61" s="12"/>
      <c r="BF61" s="63"/>
      <c r="BG61" s="64"/>
      <c r="BH61" s="64"/>
      <c r="BI61" s="64"/>
      <c r="BJ61" s="64"/>
      <c r="BK61" s="65"/>
    </row>
    <row r="62" spans="1:63" s="183" customFormat="1" ht="15" customHeight="1" x14ac:dyDescent="0.25">
      <c r="A62" s="1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2"/>
      <c r="M62" s="201"/>
      <c r="N62" s="26"/>
      <c r="O62" s="204" t="s">
        <v>59</v>
      </c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/>
      <c r="AT62" s="201"/>
      <c r="AU62" s="11"/>
      <c r="AV62" s="19"/>
      <c r="AW62" s="19"/>
      <c r="AX62" s="19"/>
      <c r="AY62" s="19"/>
      <c r="AZ62" s="19"/>
      <c r="BA62" s="19"/>
      <c r="BB62" s="19"/>
      <c r="BC62" s="19"/>
      <c r="BD62" s="19"/>
      <c r="BE62" s="12"/>
      <c r="BF62" s="63"/>
      <c r="BG62" s="64"/>
      <c r="BH62" s="64"/>
      <c r="BI62" s="64"/>
      <c r="BJ62" s="64"/>
      <c r="BK62" s="65"/>
    </row>
    <row r="63" spans="1:63" s="183" customFormat="1" ht="15" customHeight="1" x14ac:dyDescent="0.25">
      <c r="A63" s="1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"/>
      <c r="M63" s="201"/>
      <c r="N63" s="26"/>
      <c r="O63" s="204"/>
      <c r="P63" s="27" t="s">
        <v>10</v>
      </c>
      <c r="Q63" s="28"/>
      <c r="R63" s="28"/>
      <c r="S63" s="28"/>
      <c r="T63" s="28"/>
      <c r="U63" s="28"/>
      <c r="V63" s="28"/>
      <c r="W63" s="27" t="s">
        <v>11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9"/>
      <c r="AN63" s="201"/>
      <c r="AO63" s="201"/>
      <c r="AP63" s="201"/>
      <c r="AQ63" s="201"/>
      <c r="AR63" s="201"/>
      <c r="AS63" s="201"/>
      <c r="AT63" s="201"/>
      <c r="AU63" s="11"/>
      <c r="AV63" s="19"/>
      <c r="AW63" s="19"/>
      <c r="AX63" s="19"/>
      <c r="AY63" s="19"/>
      <c r="AZ63" s="19"/>
      <c r="BA63" s="19"/>
      <c r="BB63" s="19"/>
      <c r="BC63" s="19"/>
      <c r="BD63" s="19"/>
      <c r="BE63" s="12"/>
      <c r="BF63" s="63"/>
      <c r="BG63" s="64"/>
      <c r="BH63" s="64"/>
      <c r="BI63" s="64"/>
      <c r="BJ63" s="64"/>
      <c r="BK63" s="65"/>
    </row>
    <row r="64" spans="1:63" s="183" customFormat="1" ht="15" customHeight="1" x14ac:dyDescent="0.25">
      <c r="A64" s="1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2"/>
      <c r="M64" s="201"/>
      <c r="N64" s="201"/>
      <c r="O64" s="204"/>
      <c r="P64" s="208" t="s">
        <v>15</v>
      </c>
      <c r="Q64" s="209"/>
      <c r="R64" s="209"/>
      <c r="S64" s="209"/>
      <c r="T64" s="209"/>
      <c r="U64" s="209"/>
      <c r="V64" s="209"/>
      <c r="W64" s="210" t="s">
        <v>16</v>
      </c>
      <c r="X64" s="211"/>
      <c r="Y64" s="211"/>
      <c r="Z64" s="211"/>
      <c r="AA64" s="211"/>
      <c r="AB64" s="211"/>
      <c r="AC64" s="211"/>
      <c r="AD64" s="211"/>
      <c r="AE64" s="211"/>
      <c r="AF64" s="211"/>
      <c r="AG64" s="211"/>
      <c r="AH64" s="211"/>
      <c r="AI64" s="211"/>
      <c r="AJ64" s="211"/>
      <c r="AK64" s="211"/>
      <c r="AL64" s="211"/>
      <c r="AM64" s="212"/>
      <c r="AN64" s="201"/>
      <c r="AO64" s="201"/>
      <c r="AP64" s="201"/>
      <c r="AQ64" s="201"/>
      <c r="AR64" s="201"/>
      <c r="AS64" s="201"/>
      <c r="AT64" s="201"/>
      <c r="AU64" s="11"/>
      <c r="AV64" s="19"/>
      <c r="AW64" s="19"/>
      <c r="AX64" s="19"/>
      <c r="AY64" s="19"/>
      <c r="AZ64" s="19"/>
      <c r="BA64" s="19"/>
      <c r="BB64" s="19"/>
      <c r="BC64" s="19"/>
      <c r="BD64" s="19"/>
      <c r="BE64" s="12"/>
      <c r="BF64" s="63"/>
      <c r="BG64" s="64"/>
      <c r="BH64" s="64"/>
      <c r="BI64" s="64"/>
      <c r="BJ64" s="64"/>
      <c r="BK64" s="65"/>
    </row>
    <row r="65" spans="1:63" s="183" customFormat="1" ht="15" customHeight="1" x14ac:dyDescent="0.25">
      <c r="A65" s="1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2"/>
      <c r="M65" s="201"/>
      <c r="N65" s="201"/>
      <c r="O65" s="204"/>
      <c r="P65" s="208" t="s">
        <v>60</v>
      </c>
      <c r="Q65" s="209"/>
      <c r="R65" s="209"/>
      <c r="S65" s="209"/>
      <c r="T65" s="209"/>
      <c r="U65" s="209"/>
      <c r="V65" s="209"/>
      <c r="W65" s="210" t="s">
        <v>62</v>
      </c>
      <c r="X65" s="211"/>
      <c r="Y65" s="211"/>
      <c r="Z65" s="211"/>
      <c r="AA65" s="211"/>
      <c r="AB65" s="211"/>
      <c r="AC65" s="211"/>
      <c r="AD65" s="211"/>
      <c r="AE65" s="211"/>
      <c r="AF65" s="211"/>
      <c r="AG65" s="211"/>
      <c r="AH65" s="211"/>
      <c r="AI65" s="211"/>
      <c r="AJ65" s="211"/>
      <c r="AK65" s="211"/>
      <c r="AL65" s="211"/>
      <c r="AM65" s="212"/>
      <c r="AN65" s="201"/>
      <c r="AO65" s="201"/>
      <c r="AP65" s="201"/>
      <c r="AQ65" s="201"/>
      <c r="AR65" s="201"/>
      <c r="AS65" s="201"/>
      <c r="AT65" s="201"/>
      <c r="AU65" s="11"/>
      <c r="AV65" s="19"/>
      <c r="AW65" s="19"/>
      <c r="AX65" s="19"/>
      <c r="AY65" s="19"/>
      <c r="AZ65" s="19"/>
      <c r="BA65" s="19"/>
      <c r="BB65" s="19"/>
      <c r="BC65" s="19"/>
      <c r="BD65" s="19"/>
      <c r="BE65" s="12"/>
      <c r="BF65" s="63"/>
      <c r="BG65" s="64"/>
      <c r="BH65" s="64"/>
      <c r="BI65" s="64"/>
      <c r="BJ65" s="64"/>
      <c r="BK65" s="65"/>
    </row>
    <row r="66" spans="1:63" s="183" customFormat="1" ht="15" customHeight="1" x14ac:dyDescent="0.25">
      <c r="A66" s="1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2"/>
      <c r="M66" s="201"/>
      <c r="N66" s="201"/>
      <c r="O66" s="204"/>
      <c r="P66" s="208" t="s">
        <v>61</v>
      </c>
      <c r="Q66" s="209"/>
      <c r="R66" s="209"/>
      <c r="S66" s="209"/>
      <c r="T66" s="209"/>
      <c r="U66" s="209"/>
      <c r="V66" s="209"/>
      <c r="W66" s="210" t="s">
        <v>63</v>
      </c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  <c r="AJ66" s="211"/>
      <c r="AK66" s="211"/>
      <c r="AL66" s="211"/>
      <c r="AM66" s="212"/>
      <c r="AN66" s="201"/>
      <c r="AO66" s="201"/>
      <c r="AP66" s="201"/>
      <c r="AQ66" s="201"/>
      <c r="AR66" s="201"/>
      <c r="AS66" s="201"/>
      <c r="AT66" s="201"/>
      <c r="AU66" s="11"/>
      <c r="AV66" s="19"/>
      <c r="AW66" s="19"/>
      <c r="AX66" s="19"/>
      <c r="AY66" s="19"/>
      <c r="AZ66" s="19"/>
      <c r="BA66" s="19"/>
      <c r="BB66" s="19"/>
      <c r="BC66" s="19"/>
      <c r="BD66" s="19"/>
      <c r="BE66" s="12"/>
      <c r="BF66" s="63"/>
      <c r="BG66" s="64"/>
      <c r="BH66" s="64"/>
      <c r="BI66" s="64"/>
      <c r="BJ66" s="64"/>
      <c r="BK66" s="65"/>
    </row>
    <row r="67" spans="1:63" s="183" customFormat="1" ht="15" customHeight="1" x14ac:dyDescent="0.25">
      <c r="A67" s="1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2"/>
      <c r="M67" s="201"/>
      <c r="N67" s="201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  <c r="AI67" s="204"/>
      <c r="AJ67" s="201"/>
      <c r="AK67" s="201"/>
      <c r="AL67" s="201"/>
      <c r="AM67" s="201"/>
      <c r="AN67" s="201"/>
      <c r="AO67" s="201"/>
      <c r="AP67" s="201"/>
      <c r="AQ67" s="201"/>
      <c r="AR67" s="201"/>
      <c r="AS67" s="201"/>
      <c r="AT67" s="201"/>
      <c r="AU67" s="11"/>
      <c r="AV67" s="19"/>
      <c r="AW67" s="19"/>
      <c r="AX67" s="19"/>
      <c r="AY67" s="19"/>
      <c r="AZ67" s="19"/>
      <c r="BA67" s="19"/>
      <c r="BB67" s="19"/>
      <c r="BC67" s="19"/>
      <c r="BD67" s="19"/>
      <c r="BE67" s="12"/>
      <c r="BF67" s="63"/>
      <c r="BG67" s="64"/>
      <c r="BH67" s="64"/>
      <c r="BI67" s="64"/>
      <c r="BJ67" s="64"/>
      <c r="BK67" s="65"/>
    </row>
    <row r="68" spans="1:63" s="183" customFormat="1" ht="15" customHeight="1" x14ac:dyDescent="0.25">
      <c r="A68" s="1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"/>
      <c r="M68" s="201"/>
      <c r="N68" s="201"/>
      <c r="O68" s="204"/>
      <c r="P68" s="204" t="s">
        <v>58</v>
      </c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201"/>
      <c r="AK68" s="201"/>
      <c r="AL68" s="201"/>
      <c r="AM68" s="201"/>
      <c r="AN68" s="201"/>
      <c r="AO68" s="201"/>
      <c r="AP68" s="201"/>
      <c r="AQ68" s="201"/>
      <c r="AR68" s="201"/>
      <c r="AS68" s="201"/>
      <c r="AT68" s="201"/>
      <c r="AU68" s="11"/>
      <c r="AV68" s="19"/>
      <c r="AW68" s="19"/>
      <c r="AX68" s="19"/>
      <c r="AY68" s="19"/>
      <c r="AZ68" s="19"/>
      <c r="BA68" s="19"/>
      <c r="BB68" s="19"/>
      <c r="BC68" s="19"/>
      <c r="BD68" s="19"/>
      <c r="BE68" s="12"/>
      <c r="BF68" s="63"/>
      <c r="BG68" s="64"/>
      <c r="BH68" s="64"/>
      <c r="BI68" s="64"/>
      <c r="BJ68" s="64"/>
      <c r="BK68" s="65"/>
    </row>
    <row r="69" spans="1:63" s="183" customFormat="1" ht="15" customHeight="1" x14ac:dyDescent="0.25">
      <c r="A69" s="1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2"/>
      <c r="M69" s="201"/>
      <c r="N69" s="201"/>
      <c r="O69" s="204" t="s">
        <v>17</v>
      </c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  <c r="AU69" s="11"/>
      <c r="AV69" s="19"/>
      <c r="AW69" s="19"/>
      <c r="AX69" s="19"/>
      <c r="AY69" s="19"/>
      <c r="AZ69" s="19"/>
      <c r="BA69" s="19"/>
      <c r="BB69" s="19"/>
      <c r="BC69" s="19"/>
      <c r="BD69" s="19"/>
      <c r="BE69" s="12"/>
      <c r="BF69" s="63"/>
      <c r="BG69" s="64"/>
      <c r="BH69" s="64"/>
      <c r="BI69" s="64"/>
      <c r="BJ69" s="64"/>
      <c r="BK69" s="65"/>
    </row>
    <row r="70" spans="1:63" s="183" customFormat="1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201"/>
      <c r="N70" s="201"/>
      <c r="O70" s="204"/>
      <c r="P70" s="204" t="s">
        <v>18</v>
      </c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1"/>
      <c r="AK70" s="201"/>
      <c r="AL70" s="201"/>
      <c r="AM70" s="201"/>
      <c r="AN70" s="201"/>
      <c r="AO70" s="201"/>
      <c r="AP70" s="201"/>
      <c r="AQ70" s="201"/>
      <c r="AR70" s="201"/>
      <c r="AS70" s="201"/>
      <c r="AT70" s="201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63"/>
      <c r="BG70" s="64"/>
      <c r="BH70" s="64"/>
      <c r="BI70" s="64"/>
      <c r="BJ70" s="64"/>
      <c r="BK70" s="65"/>
    </row>
    <row r="71" spans="1:63" s="183" customFormat="1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201"/>
      <c r="N71" s="201"/>
      <c r="O71" s="204"/>
      <c r="P71" s="204"/>
      <c r="Q71" s="204" t="s">
        <v>64</v>
      </c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201"/>
      <c r="AO71" s="201"/>
      <c r="AP71" s="201"/>
      <c r="AQ71" s="201"/>
      <c r="AR71" s="201"/>
      <c r="AS71" s="201"/>
      <c r="AT71" s="201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63"/>
      <c r="BG71" s="64"/>
      <c r="BH71" s="64"/>
      <c r="BI71" s="64"/>
      <c r="BJ71" s="64"/>
      <c r="BK71" s="65"/>
    </row>
    <row r="72" spans="1:63" s="183" customFormat="1" ht="15" customHeight="1" x14ac:dyDescent="0.25">
      <c r="A72" s="1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2"/>
      <c r="M72" s="201"/>
      <c r="N72" s="201"/>
      <c r="O72" s="204"/>
      <c r="P72" s="204"/>
      <c r="Q72" s="204" t="s">
        <v>13</v>
      </c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1"/>
      <c r="AO72" s="201"/>
      <c r="AP72" s="201"/>
      <c r="AQ72" s="201"/>
      <c r="AR72" s="201"/>
      <c r="AS72" s="201"/>
      <c r="AT72" s="201"/>
      <c r="AU72" s="11"/>
      <c r="AV72" s="19"/>
      <c r="AW72" s="19"/>
      <c r="AX72" s="19"/>
      <c r="AY72" s="19"/>
      <c r="AZ72" s="19"/>
      <c r="BA72" s="19"/>
      <c r="BB72" s="19"/>
      <c r="BC72" s="19"/>
      <c r="BD72" s="19"/>
      <c r="BE72" s="12"/>
      <c r="BF72" s="63"/>
      <c r="BG72" s="64"/>
      <c r="BH72" s="64"/>
      <c r="BI72" s="64"/>
      <c r="BJ72" s="64"/>
      <c r="BK72" s="65"/>
    </row>
    <row r="73" spans="1:63" s="183" customFormat="1" ht="15" customHeight="1" x14ac:dyDescent="0.25">
      <c r="A73" s="1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2"/>
      <c r="M73" s="201"/>
      <c r="N73" s="201"/>
      <c r="O73" s="204"/>
      <c r="P73" s="204"/>
      <c r="Q73" s="204"/>
      <c r="R73" s="204" t="s">
        <v>53</v>
      </c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1"/>
      <c r="AO73" s="201"/>
      <c r="AP73" s="201"/>
      <c r="AQ73" s="201"/>
      <c r="AR73" s="201"/>
      <c r="AS73" s="201"/>
      <c r="AT73" s="201"/>
      <c r="AU73" s="11"/>
      <c r="AV73" s="19"/>
      <c r="AW73" s="19"/>
      <c r="AX73" s="19"/>
      <c r="AY73" s="19"/>
      <c r="AZ73" s="19"/>
      <c r="BA73" s="19"/>
      <c r="BB73" s="19"/>
      <c r="BC73" s="19"/>
      <c r="BD73" s="19"/>
      <c r="BE73" s="12"/>
      <c r="BF73" s="63"/>
      <c r="BG73" s="64"/>
      <c r="BH73" s="64"/>
      <c r="BI73" s="64"/>
      <c r="BJ73" s="64"/>
      <c r="BK73" s="65"/>
    </row>
    <row r="74" spans="1:63" s="183" customFormat="1" ht="15" customHeight="1" x14ac:dyDescent="0.25">
      <c r="A74" s="1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2"/>
      <c r="M74" s="201"/>
      <c r="N74" s="201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1"/>
      <c r="AO74" s="201"/>
      <c r="AP74" s="201"/>
      <c r="AQ74" s="201"/>
      <c r="AR74" s="201"/>
      <c r="AS74" s="201"/>
      <c r="AT74" s="201"/>
      <c r="AU74" s="11"/>
      <c r="AV74" s="19"/>
      <c r="AW74" s="19"/>
      <c r="AX74" s="19"/>
      <c r="AY74" s="19"/>
      <c r="AZ74" s="19"/>
      <c r="BA74" s="19"/>
      <c r="BB74" s="19"/>
      <c r="BC74" s="19"/>
      <c r="BD74" s="19"/>
      <c r="BE74" s="12"/>
      <c r="BF74" s="63"/>
      <c r="BG74" s="64"/>
      <c r="BH74" s="64"/>
      <c r="BI74" s="64"/>
      <c r="BJ74" s="64"/>
      <c r="BK74" s="65"/>
    </row>
    <row r="75" spans="1:63" s="183" customFormat="1" ht="15" customHeight="1" x14ac:dyDescent="0.25">
      <c r="A75" s="1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2"/>
      <c r="M75" s="201"/>
      <c r="N75" s="201"/>
      <c r="O75" s="204"/>
      <c r="P75" s="201" t="s">
        <v>19</v>
      </c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1"/>
      <c r="AO75" s="201"/>
      <c r="AP75" s="201"/>
      <c r="AQ75" s="201"/>
      <c r="AR75" s="201"/>
      <c r="AS75" s="201"/>
      <c r="AT75" s="201"/>
      <c r="AU75" s="11"/>
      <c r="AV75" s="19"/>
      <c r="AW75" s="19"/>
      <c r="AX75" s="19"/>
      <c r="AY75" s="19"/>
      <c r="AZ75" s="19"/>
      <c r="BA75" s="19"/>
      <c r="BB75" s="19"/>
      <c r="BC75" s="19"/>
      <c r="BD75" s="19"/>
      <c r="BE75" s="12"/>
      <c r="BF75" s="63"/>
      <c r="BG75" s="64"/>
      <c r="BH75" s="64"/>
      <c r="BI75" s="64"/>
      <c r="BJ75" s="64"/>
      <c r="BK75" s="65"/>
    </row>
    <row r="76" spans="1:63" s="183" customFormat="1" ht="15" customHeight="1" x14ac:dyDescent="0.25">
      <c r="A76" s="1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2"/>
      <c r="M76" s="201"/>
      <c r="N76" s="201"/>
      <c r="O76" s="204"/>
      <c r="P76" s="204"/>
      <c r="Q76" s="204" t="s">
        <v>65</v>
      </c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1"/>
      <c r="AO76" s="201"/>
      <c r="AP76" s="201"/>
      <c r="AQ76" s="201"/>
      <c r="AR76" s="201"/>
      <c r="AS76" s="201"/>
      <c r="AT76" s="201"/>
      <c r="AU76" s="11"/>
      <c r="AV76" s="19"/>
      <c r="AW76" s="19"/>
      <c r="AX76" s="19"/>
      <c r="AY76" s="19"/>
      <c r="AZ76" s="19"/>
      <c r="BA76" s="19"/>
      <c r="BB76" s="19"/>
      <c r="BC76" s="19"/>
      <c r="BD76" s="19"/>
      <c r="BE76" s="12"/>
      <c r="BF76" s="63"/>
      <c r="BG76" s="64"/>
      <c r="BH76" s="64"/>
      <c r="BI76" s="64"/>
      <c r="BJ76" s="64"/>
      <c r="BK76" s="65"/>
    </row>
    <row r="77" spans="1:63" s="183" customFormat="1" ht="15" customHeight="1" x14ac:dyDescent="0.25">
      <c r="A77" s="1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2"/>
      <c r="M77" s="201"/>
      <c r="N77" s="201"/>
      <c r="O77" s="204"/>
      <c r="P77" s="204"/>
      <c r="Q77" s="204" t="s">
        <v>55</v>
      </c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1"/>
      <c r="AK77" s="201"/>
      <c r="AL77" s="201"/>
      <c r="AM77" s="201"/>
      <c r="AN77" s="201"/>
      <c r="AO77" s="201"/>
      <c r="AP77" s="201"/>
      <c r="AQ77" s="201"/>
      <c r="AR77" s="201"/>
      <c r="AS77" s="201"/>
      <c r="AT77" s="201"/>
      <c r="AU77" s="11"/>
      <c r="AV77" s="19"/>
      <c r="AW77" s="19"/>
      <c r="AX77" s="19"/>
      <c r="AY77" s="19"/>
      <c r="AZ77" s="19"/>
      <c r="BA77" s="19"/>
      <c r="BB77" s="19"/>
      <c r="BC77" s="19"/>
      <c r="BD77" s="19"/>
      <c r="BE77" s="12"/>
      <c r="BF77" s="63"/>
      <c r="BG77" s="64"/>
      <c r="BH77" s="64"/>
      <c r="BI77" s="64"/>
      <c r="BJ77" s="64"/>
      <c r="BK77" s="65"/>
    </row>
    <row r="78" spans="1:63" s="183" customFormat="1" ht="15" customHeight="1" x14ac:dyDescent="0.25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5"/>
      <c r="M78" s="205"/>
      <c r="N78" s="206"/>
      <c r="O78" s="206"/>
      <c r="P78" s="206"/>
      <c r="Q78" s="206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7"/>
      <c r="AQ78" s="207"/>
      <c r="AR78" s="207"/>
      <c r="AS78" s="207"/>
      <c r="AT78" s="207"/>
      <c r="AU78" s="13"/>
      <c r="AV78" s="14"/>
      <c r="AW78" s="14"/>
      <c r="AX78" s="14"/>
      <c r="AY78" s="14"/>
      <c r="AZ78" s="14"/>
      <c r="BA78" s="14"/>
      <c r="BB78" s="14"/>
      <c r="BC78" s="14"/>
      <c r="BD78" s="14"/>
      <c r="BE78" s="15"/>
      <c r="BF78" s="72"/>
      <c r="BG78" s="73"/>
      <c r="BH78" s="73"/>
      <c r="BI78" s="73"/>
      <c r="BJ78" s="73"/>
      <c r="BK78" s="74"/>
    </row>
    <row r="79" spans="1:63" ht="15" customHeight="1" x14ac:dyDescent="0.25">
      <c r="A79" s="21"/>
      <c r="BK79" s="6"/>
    </row>
    <row r="80" spans="1:63" ht="15" customHeight="1" x14ac:dyDescent="0.25">
      <c r="BK80" s="6"/>
    </row>
    <row r="81" spans="1:63" ht="15" customHeight="1" x14ac:dyDescent="0.25">
      <c r="A81" s="21"/>
      <c r="BK81" s="6"/>
    </row>
    <row r="82" spans="1:63" s="183" customFormat="1" ht="15" customHeight="1" x14ac:dyDescent="0.25">
      <c r="A82" s="189" t="s">
        <v>3</v>
      </c>
      <c r="B82" s="190"/>
      <c r="C82" s="190"/>
      <c r="D82" s="190"/>
      <c r="E82" s="190"/>
      <c r="F82" s="191"/>
      <c r="G82" s="185" t="s">
        <v>66</v>
      </c>
      <c r="H82" s="185"/>
      <c r="I82" s="185"/>
      <c r="J82" s="185"/>
      <c r="K82" s="185"/>
      <c r="L82" s="185"/>
      <c r="M82" s="192" t="s">
        <v>67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193"/>
      <c r="BI82" s="193"/>
      <c r="BJ82" s="193"/>
      <c r="BK82" s="194"/>
    </row>
    <row r="83" spans="1:63" s="183" customFormat="1" ht="15" customHeight="1" x14ac:dyDescent="0.25">
      <c r="A83" s="195" t="s">
        <v>4</v>
      </c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7"/>
      <c r="M83" s="195" t="s">
        <v>5</v>
      </c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96"/>
      <c r="AC83" s="196"/>
      <c r="AD83" s="196"/>
      <c r="AE83" s="196"/>
      <c r="AF83" s="196"/>
      <c r="AG83" s="196"/>
      <c r="AH83" s="196"/>
      <c r="AI83" s="196"/>
      <c r="AJ83" s="196"/>
      <c r="AK83" s="196"/>
      <c r="AL83" s="196"/>
      <c r="AM83" s="196"/>
      <c r="AN83" s="196"/>
      <c r="AO83" s="196"/>
      <c r="AP83" s="196"/>
      <c r="AQ83" s="196"/>
      <c r="AR83" s="196"/>
      <c r="AS83" s="196"/>
      <c r="AT83" s="197"/>
      <c r="AU83" s="195" t="s">
        <v>6</v>
      </c>
      <c r="AV83" s="196"/>
      <c r="AW83" s="196"/>
      <c r="AX83" s="196"/>
      <c r="AY83" s="196"/>
      <c r="AZ83" s="196"/>
      <c r="BA83" s="196"/>
      <c r="BB83" s="196"/>
      <c r="BC83" s="196"/>
      <c r="BD83" s="196"/>
      <c r="BE83" s="196"/>
      <c r="BF83" s="195" t="s">
        <v>7</v>
      </c>
      <c r="BG83" s="196"/>
      <c r="BH83" s="196"/>
      <c r="BI83" s="196"/>
      <c r="BJ83" s="196"/>
      <c r="BK83" s="197"/>
    </row>
    <row r="84" spans="1:63" s="183" customFormat="1" ht="15" customHeight="1" x14ac:dyDescent="0.25">
      <c r="A84" s="198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200"/>
      <c r="M84" s="198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  <c r="AD84" s="199"/>
      <c r="AE84" s="199"/>
      <c r="AF84" s="199"/>
      <c r="AG84" s="199"/>
      <c r="AH84" s="199"/>
      <c r="AI84" s="199"/>
      <c r="AJ84" s="199"/>
      <c r="AK84" s="199"/>
      <c r="AL84" s="199"/>
      <c r="AM84" s="199"/>
      <c r="AN84" s="199"/>
      <c r="AO84" s="199"/>
      <c r="AP84" s="199"/>
      <c r="AQ84" s="199"/>
      <c r="AR84" s="199"/>
      <c r="AS84" s="199"/>
      <c r="AT84" s="200"/>
      <c r="AU84" s="198"/>
      <c r="AV84" s="199"/>
      <c r="AW84" s="199"/>
      <c r="AX84" s="199"/>
      <c r="AY84" s="199"/>
      <c r="AZ84" s="199"/>
      <c r="BA84" s="199"/>
      <c r="BB84" s="199"/>
      <c r="BC84" s="199"/>
      <c r="BD84" s="199"/>
      <c r="BE84" s="199"/>
      <c r="BF84" s="198"/>
      <c r="BG84" s="199"/>
      <c r="BH84" s="199"/>
      <c r="BI84" s="199"/>
      <c r="BJ84" s="199"/>
      <c r="BK84" s="200"/>
    </row>
    <row r="85" spans="1:63" s="183" customFormat="1" ht="15" customHeight="1" x14ac:dyDescent="0.25">
      <c r="A85" s="1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2"/>
      <c r="M85" s="201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  <c r="AJ85" s="201"/>
      <c r="AK85" s="201"/>
      <c r="AL85" s="201"/>
      <c r="AM85" s="201"/>
      <c r="AN85" s="201"/>
      <c r="AO85" s="201"/>
      <c r="AP85" s="201"/>
      <c r="AQ85" s="201"/>
      <c r="AR85" s="201"/>
      <c r="AS85" s="201"/>
      <c r="AT85" s="201"/>
      <c r="AU85" s="11"/>
      <c r="AV85" s="19"/>
      <c r="AW85" s="19"/>
      <c r="AX85" s="19"/>
      <c r="AY85" s="19"/>
      <c r="AZ85" s="19"/>
      <c r="BA85" s="19"/>
      <c r="BB85" s="19"/>
      <c r="BC85" s="19"/>
      <c r="BD85" s="19"/>
      <c r="BE85" s="12"/>
      <c r="BF85" s="63" t="s">
        <v>42</v>
      </c>
      <c r="BG85" s="64"/>
      <c r="BH85" s="64"/>
      <c r="BI85" s="64"/>
      <c r="BJ85" s="64"/>
      <c r="BK85" s="65"/>
    </row>
    <row r="86" spans="1:63" s="183" customFormat="1" ht="15" customHeight="1" x14ac:dyDescent="0.25">
      <c r="A86" s="1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2"/>
      <c r="M86" s="201"/>
      <c r="N86" s="26" t="s">
        <v>160</v>
      </c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1"/>
      <c r="AK86" s="201"/>
      <c r="AL86" s="201"/>
      <c r="AM86" s="201"/>
      <c r="AN86" s="201"/>
      <c r="AO86" s="201"/>
      <c r="AP86" s="201"/>
      <c r="AQ86" s="201"/>
      <c r="AR86" s="201"/>
      <c r="AS86" s="201"/>
      <c r="AT86" s="201"/>
      <c r="AU86" s="11"/>
      <c r="AV86" s="19"/>
      <c r="AW86" s="19"/>
      <c r="AX86" s="19"/>
      <c r="AY86" s="19"/>
      <c r="AZ86" s="19"/>
      <c r="BA86" s="19"/>
      <c r="BB86" s="19"/>
      <c r="BC86" s="19"/>
      <c r="BD86" s="19"/>
      <c r="BE86" s="12"/>
      <c r="BF86" s="63"/>
      <c r="BG86" s="64"/>
      <c r="BH86" s="64"/>
      <c r="BI86" s="64"/>
      <c r="BJ86" s="64"/>
      <c r="BK86" s="65"/>
    </row>
    <row r="87" spans="1:63" s="183" customFormat="1" ht="15" customHeight="1" x14ac:dyDescent="0.25">
      <c r="A87" s="11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2"/>
      <c r="M87" s="201"/>
      <c r="N87" s="26"/>
      <c r="O87" s="204" t="s">
        <v>69</v>
      </c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  <c r="AJ87" s="201"/>
      <c r="AK87" s="201"/>
      <c r="AL87" s="201"/>
      <c r="AM87" s="201"/>
      <c r="AN87" s="201"/>
      <c r="AO87" s="201"/>
      <c r="AP87" s="201"/>
      <c r="AQ87" s="201"/>
      <c r="AR87" s="201"/>
      <c r="AS87" s="201"/>
      <c r="AT87" s="201"/>
      <c r="AU87" s="11"/>
      <c r="AV87" s="19"/>
      <c r="AW87" s="19"/>
      <c r="AX87" s="19"/>
      <c r="AY87" s="19"/>
      <c r="AZ87" s="19"/>
      <c r="BA87" s="19"/>
      <c r="BB87" s="19"/>
      <c r="BC87" s="19"/>
      <c r="BD87" s="19"/>
      <c r="BE87" s="12"/>
      <c r="BF87" s="63"/>
      <c r="BG87" s="64"/>
      <c r="BH87" s="64"/>
      <c r="BI87" s="64"/>
      <c r="BJ87" s="64"/>
      <c r="BK87" s="65"/>
    </row>
    <row r="88" spans="1:63" s="183" customFormat="1" ht="15" customHeight="1" x14ac:dyDescent="0.25">
      <c r="A88" s="1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2"/>
      <c r="M88" s="201"/>
      <c r="O88" s="204" t="s">
        <v>68</v>
      </c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  <c r="AK88" s="204"/>
      <c r="AL88" s="204"/>
      <c r="AM88" s="204"/>
      <c r="AN88" s="201"/>
      <c r="AO88" s="201"/>
      <c r="AP88" s="201"/>
      <c r="AQ88" s="201"/>
      <c r="AR88" s="201"/>
      <c r="AS88" s="201"/>
      <c r="AT88" s="201"/>
      <c r="AU88" s="11"/>
      <c r="AV88" s="19"/>
      <c r="AW88" s="19"/>
      <c r="AX88" s="19"/>
      <c r="AY88" s="19"/>
      <c r="AZ88" s="19"/>
      <c r="BA88" s="19"/>
      <c r="BB88" s="19"/>
      <c r="BC88" s="19"/>
      <c r="BD88" s="19"/>
      <c r="BE88" s="12"/>
      <c r="BF88" s="63"/>
      <c r="BG88" s="64"/>
      <c r="BH88" s="64"/>
      <c r="BI88" s="64"/>
      <c r="BJ88" s="64"/>
      <c r="BK88" s="65"/>
    </row>
    <row r="89" spans="1:63" s="183" customFormat="1" ht="15" customHeight="1" x14ac:dyDescent="0.25">
      <c r="A89" s="11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2"/>
      <c r="M89" s="201"/>
      <c r="N89" s="201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  <c r="AJ89" s="204"/>
      <c r="AK89" s="204"/>
      <c r="AL89" s="204"/>
      <c r="AM89" s="204"/>
      <c r="AN89" s="201"/>
      <c r="AO89" s="201"/>
      <c r="AP89" s="201"/>
      <c r="AQ89" s="201"/>
      <c r="AR89" s="201"/>
      <c r="AS89" s="201"/>
      <c r="AT89" s="201"/>
      <c r="AU89" s="11"/>
      <c r="AV89" s="19"/>
      <c r="AW89" s="19"/>
      <c r="AX89" s="19"/>
      <c r="AY89" s="19"/>
      <c r="AZ89" s="19"/>
      <c r="BA89" s="19"/>
      <c r="BB89" s="19"/>
      <c r="BC89" s="19"/>
      <c r="BD89" s="19"/>
      <c r="BE89" s="12"/>
      <c r="BF89" s="63"/>
      <c r="BG89" s="64"/>
      <c r="BH89" s="64"/>
      <c r="BI89" s="64"/>
      <c r="BJ89" s="64"/>
      <c r="BK89" s="65"/>
    </row>
    <row r="90" spans="1:63" s="183" customFormat="1" ht="15" customHeight="1" x14ac:dyDescent="0.25">
      <c r="A90" s="11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2"/>
      <c r="M90" s="201"/>
      <c r="N90" s="26" t="s">
        <v>161</v>
      </c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  <c r="AJ90" s="204"/>
      <c r="AK90" s="204"/>
      <c r="AL90" s="204"/>
      <c r="AM90" s="204"/>
      <c r="AN90" s="201"/>
      <c r="AO90" s="201"/>
      <c r="AP90" s="201"/>
      <c r="AQ90" s="201"/>
      <c r="AR90" s="201"/>
      <c r="AS90" s="201"/>
      <c r="AT90" s="201"/>
      <c r="AU90" s="11"/>
      <c r="AV90" s="19"/>
      <c r="AW90" s="19"/>
      <c r="AX90" s="19"/>
      <c r="AY90" s="19"/>
      <c r="AZ90" s="19"/>
      <c r="BA90" s="19"/>
      <c r="BB90" s="19"/>
      <c r="BC90" s="19"/>
      <c r="BD90" s="19"/>
      <c r="BE90" s="12"/>
      <c r="BF90" s="23"/>
      <c r="BG90" s="24"/>
      <c r="BH90" s="24"/>
      <c r="BI90" s="24"/>
      <c r="BJ90" s="24"/>
      <c r="BK90" s="25"/>
    </row>
    <row r="91" spans="1:63" s="183" customFormat="1" ht="15" customHeight="1" x14ac:dyDescent="0.25">
      <c r="A91" s="1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2"/>
      <c r="M91" s="201"/>
      <c r="N91" s="201"/>
      <c r="O91" s="204" t="s">
        <v>70</v>
      </c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4"/>
      <c r="AM91" s="204"/>
      <c r="AN91" s="201"/>
      <c r="AO91" s="201"/>
      <c r="AP91" s="201"/>
      <c r="AQ91" s="201"/>
      <c r="AR91" s="201"/>
      <c r="AS91" s="201"/>
      <c r="AT91" s="201"/>
      <c r="AU91" s="11"/>
      <c r="AV91" s="19"/>
      <c r="AW91" s="19"/>
      <c r="AX91" s="19"/>
      <c r="AY91" s="19"/>
      <c r="AZ91" s="19"/>
      <c r="BA91" s="19"/>
      <c r="BB91" s="19"/>
      <c r="BC91" s="19"/>
      <c r="BD91" s="19"/>
      <c r="BE91" s="12"/>
      <c r="BF91" s="23"/>
      <c r="BG91" s="24"/>
      <c r="BH91" s="24"/>
      <c r="BI91" s="24"/>
      <c r="BJ91" s="24"/>
      <c r="BK91" s="25"/>
    </row>
    <row r="92" spans="1:63" s="183" customFormat="1" ht="15" customHeight="1" x14ac:dyDescent="0.25">
      <c r="A92" s="1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2"/>
      <c r="M92" s="201"/>
      <c r="N92" s="201"/>
      <c r="O92" s="204" t="s">
        <v>71</v>
      </c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  <c r="AJ92" s="204"/>
      <c r="AK92" s="204"/>
      <c r="AL92" s="204"/>
      <c r="AM92" s="204"/>
      <c r="AN92" s="201"/>
      <c r="AO92" s="201"/>
      <c r="AP92" s="201"/>
      <c r="AQ92" s="201"/>
      <c r="AR92" s="201"/>
      <c r="AS92" s="201"/>
      <c r="AT92" s="201"/>
      <c r="AU92" s="11"/>
      <c r="AV92" s="19"/>
      <c r="AW92" s="19"/>
      <c r="AX92" s="19"/>
      <c r="AY92" s="19"/>
      <c r="AZ92" s="19"/>
      <c r="BA92" s="19"/>
      <c r="BB92" s="19"/>
      <c r="BC92" s="19"/>
      <c r="BD92" s="19"/>
      <c r="BE92" s="12"/>
      <c r="BF92" s="23"/>
      <c r="BG92" s="24"/>
      <c r="BH92" s="24"/>
      <c r="BI92" s="24"/>
      <c r="BJ92" s="24"/>
      <c r="BK92" s="25"/>
    </row>
    <row r="93" spans="1:63" s="183" customFormat="1" ht="15" customHeight="1" x14ac:dyDescent="0.25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5"/>
      <c r="M93" s="205"/>
      <c r="N93" s="206"/>
      <c r="O93" s="206"/>
      <c r="P93" s="206"/>
      <c r="Q93" s="206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7"/>
      <c r="AQ93" s="207"/>
      <c r="AR93" s="207"/>
      <c r="AS93" s="207"/>
      <c r="AT93" s="207"/>
      <c r="AU93" s="13"/>
      <c r="AV93" s="14"/>
      <c r="AW93" s="14"/>
      <c r="AX93" s="14"/>
      <c r="AY93" s="14"/>
      <c r="AZ93" s="14"/>
      <c r="BA93" s="14"/>
      <c r="BB93" s="14"/>
      <c r="BC93" s="14"/>
      <c r="BD93" s="14"/>
      <c r="BE93" s="15"/>
      <c r="BF93" s="72"/>
      <c r="BG93" s="73"/>
      <c r="BH93" s="73"/>
      <c r="BI93" s="73"/>
      <c r="BJ93" s="73"/>
      <c r="BK93" s="74"/>
    </row>
    <row r="94" spans="1:63" ht="15" customHeight="1" x14ac:dyDescent="0.25">
      <c r="A94" s="21"/>
      <c r="BK94" s="6"/>
    </row>
    <row r="95" spans="1:63" ht="15" customHeight="1" x14ac:dyDescent="0.25">
      <c r="A95" s="21"/>
      <c r="BK95" s="6"/>
    </row>
    <row r="96" spans="1:63" ht="15" customHeight="1" x14ac:dyDescent="0.25">
      <c r="A96" s="21"/>
      <c r="BK96" s="6"/>
    </row>
    <row r="97" spans="1:63" s="183" customFormat="1" ht="15" customHeight="1" x14ac:dyDescent="0.25">
      <c r="A97" s="189" t="s">
        <v>3</v>
      </c>
      <c r="B97" s="190"/>
      <c r="C97" s="190"/>
      <c r="D97" s="190"/>
      <c r="E97" s="190"/>
      <c r="F97" s="191"/>
      <c r="G97" s="185" t="s">
        <v>72</v>
      </c>
      <c r="H97" s="185"/>
      <c r="I97" s="185"/>
      <c r="J97" s="185"/>
      <c r="K97" s="185"/>
      <c r="L97" s="185"/>
      <c r="M97" s="213" t="s">
        <v>73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193"/>
      <c r="BI97" s="193"/>
      <c r="BJ97" s="193"/>
      <c r="BK97" s="194"/>
    </row>
    <row r="98" spans="1:63" s="183" customFormat="1" ht="15" customHeight="1" x14ac:dyDescent="0.25">
      <c r="A98" s="195" t="s">
        <v>4</v>
      </c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7"/>
      <c r="M98" s="195" t="s">
        <v>5</v>
      </c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6"/>
      <c r="AN98" s="196"/>
      <c r="AO98" s="196"/>
      <c r="AP98" s="196"/>
      <c r="AQ98" s="196"/>
      <c r="AR98" s="196"/>
      <c r="AS98" s="196"/>
      <c r="AT98" s="197"/>
      <c r="AU98" s="195" t="s">
        <v>6</v>
      </c>
      <c r="AV98" s="196"/>
      <c r="AW98" s="196"/>
      <c r="AX98" s="196"/>
      <c r="AY98" s="196"/>
      <c r="AZ98" s="196"/>
      <c r="BA98" s="196"/>
      <c r="BB98" s="196"/>
      <c r="BC98" s="196"/>
      <c r="BD98" s="196"/>
      <c r="BE98" s="196"/>
      <c r="BF98" s="195" t="s">
        <v>7</v>
      </c>
      <c r="BG98" s="196"/>
      <c r="BH98" s="196"/>
      <c r="BI98" s="196"/>
      <c r="BJ98" s="196"/>
      <c r="BK98" s="197"/>
    </row>
    <row r="99" spans="1:63" s="183" customFormat="1" ht="15" customHeight="1" x14ac:dyDescent="0.25">
      <c r="A99" s="198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200"/>
      <c r="M99" s="198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  <c r="AD99" s="199"/>
      <c r="AE99" s="199"/>
      <c r="AF99" s="199"/>
      <c r="AG99" s="199"/>
      <c r="AH99" s="199"/>
      <c r="AI99" s="199"/>
      <c r="AJ99" s="199"/>
      <c r="AK99" s="199"/>
      <c r="AL99" s="199"/>
      <c r="AM99" s="199"/>
      <c r="AN99" s="199"/>
      <c r="AO99" s="199"/>
      <c r="AP99" s="199"/>
      <c r="AQ99" s="199"/>
      <c r="AR99" s="199"/>
      <c r="AS99" s="199"/>
      <c r="AT99" s="200"/>
      <c r="AU99" s="198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8"/>
      <c r="BG99" s="199"/>
      <c r="BH99" s="199"/>
      <c r="BI99" s="199"/>
      <c r="BJ99" s="199"/>
      <c r="BK99" s="200"/>
    </row>
    <row r="100" spans="1:63" s="183" customFormat="1" ht="15" customHeight="1" x14ac:dyDescent="0.25">
      <c r="A100" s="11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2"/>
      <c r="M100" s="201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201"/>
      <c r="AK100" s="201"/>
      <c r="AL100" s="201"/>
      <c r="AM100" s="201"/>
      <c r="AN100" s="201"/>
      <c r="AO100" s="201"/>
      <c r="AP100" s="201"/>
      <c r="AQ100" s="201"/>
      <c r="AR100" s="201"/>
      <c r="AS100" s="201"/>
      <c r="AT100" s="201"/>
      <c r="AU100" s="11"/>
      <c r="AV100" s="19"/>
      <c r="AW100" s="19"/>
      <c r="AX100" s="19"/>
      <c r="AY100" s="19"/>
      <c r="AZ100" s="19"/>
      <c r="BA100" s="19"/>
      <c r="BB100" s="19"/>
      <c r="BC100" s="19"/>
      <c r="BD100" s="19"/>
      <c r="BE100" s="12"/>
      <c r="BF100" s="63" t="s">
        <v>42</v>
      </c>
      <c r="BG100" s="64"/>
      <c r="BH100" s="64"/>
      <c r="BI100" s="64"/>
      <c r="BJ100" s="64"/>
      <c r="BK100" s="65"/>
    </row>
    <row r="101" spans="1:63" s="183" customFormat="1" ht="15" customHeight="1" x14ac:dyDescent="0.25">
      <c r="A101" s="11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2"/>
      <c r="M101" s="201"/>
      <c r="N101" s="26" t="s">
        <v>162</v>
      </c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11"/>
      <c r="AV101" s="19"/>
      <c r="AW101" s="19"/>
      <c r="AX101" s="19"/>
      <c r="AY101" s="19"/>
      <c r="AZ101" s="19"/>
      <c r="BA101" s="19"/>
      <c r="BB101" s="19"/>
      <c r="BC101" s="19"/>
      <c r="BD101" s="19"/>
      <c r="BE101" s="12"/>
      <c r="BF101" s="63"/>
      <c r="BG101" s="64"/>
      <c r="BH101" s="64"/>
      <c r="BI101" s="64"/>
      <c r="BJ101" s="64"/>
      <c r="BK101" s="65"/>
    </row>
    <row r="102" spans="1:63" s="183" customFormat="1" ht="15" customHeight="1" x14ac:dyDescent="0.25">
      <c r="A102" s="11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2"/>
      <c r="M102" s="201"/>
      <c r="N102" s="26"/>
      <c r="O102" s="204" t="s">
        <v>74</v>
      </c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  <c r="AU102" s="11"/>
      <c r="AV102" s="19"/>
      <c r="AW102" s="19"/>
      <c r="AX102" s="19"/>
      <c r="AY102" s="19"/>
      <c r="AZ102" s="19"/>
      <c r="BA102" s="19"/>
      <c r="BB102" s="19"/>
      <c r="BC102" s="19"/>
      <c r="BD102" s="19"/>
      <c r="BE102" s="12"/>
      <c r="BF102" s="63"/>
      <c r="BG102" s="64"/>
      <c r="BH102" s="64"/>
      <c r="BI102" s="64"/>
      <c r="BJ102" s="64"/>
      <c r="BK102" s="65"/>
    </row>
    <row r="103" spans="1:63" s="183" customFormat="1" ht="15" customHeight="1" x14ac:dyDescent="0.25">
      <c r="A103" s="11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2"/>
      <c r="M103" s="201"/>
      <c r="O103" s="204" t="s">
        <v>75</v>
      </c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  <c r="AJ103" s="204"/>
      <c r="AK103" s="204"/>
      <c r="AL103" s="204"/>
      <c r="AM103" s="204"/>
      <c r="AN103" s="201"/>
      <c r="AO103" s="201"/>
      <c r="AP103" s="201"/>
      <c r="AQ103" s="201"/>
      <c r="AR103" s="201"/>
      <c r="AS103" s="201"/>
      <c r="AT103" s="201"/>
      <c r="AU103" s="11"/>
      <c r="AV103" s="19"/>
      <c r="AW103" s="19"/>
      <c r="AX103" s="19"/>
      <c r="AY103" s="19"/>
      <c r="AZ103" s="19"/>
      <c r="BA103" s="19"/>
      <c r="BB103" s="19"/>
      <c r="BC103" s="19"/>
      <c r="BD103" s="19"/>
      <c r="BE103" s="12"/>
      <c r="BF103" s="63"/>
      <c r="BG103" s="64"/>
      <c r="BH103" s="64"/>
      <c r="BI103" s="64"/>
      <c r="BJ103" s="64"/>
      <c r="BK103" s="65"/>
    </row>
    <row r="104" spans="1:63" s="183" customFormat="1" ht="15" customHeight="1" x14ac:dyDescent="0.25">
      <c r="A104" s="1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2"/>
      <c r="M104" s="201"/>
      <c r="N104" s="201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  <c r="AJ104" s="204"/>
      <c r="AK104" s="204"/>
      <c r="AL104" s="204"/>
      <c r="AM104" s="204"/>
      <c r="AN104" s="201"/>
      <c r="AO104" s="201"/>
      <c r="AP104" s="201"/>
      <c r="AQ104" s="201"/>
      <c r="AR104" s="201"/>
      <c r="AS104" s="201"/>
      <c r="AT104" s="201"/>
      <c r="AU104" s="11"/>
      <c r="AV104" s="19"/>
      <c r="AW104" s="19"/>
      <c r="AX104" s="19"/>
      <c r="AY104" s="19"/>
      <c r="AZ104" s="19"/>
      <c r="BA104" s="19"/>
      <c r="BB104" s="19"/>
      <c r="BC104" s="19"/>
      <c r="BD104" s="19"/>
      <c r="BE104" s="12"/>
      <c r="BF104" s="63"/>
      <c r="BG104" s="64"/>
      <c r="BH104" s="64"/>
      <c r="BI104" s="64"/>
      <c r="BJ104" s="64"/>
      <c r="BK104" s="65"/>
    </row>
    <row r="105" spans="1:63" s="183" customFormat="1" ht="15" customHeight="1" x14ac:dyDescent="0.25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5"/>
      <c r="M105" s="205"/>
      <c r="N105" s="206"/>
      <c r="O105" s="206"/>
      <c r="P105" s="206"/>
      <c r="Q105" s="206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7"/>
      <c r="AQ105" s="207"/>
      <c r="AR105" s="207"/>
      <c r="AS105" s="207"/>
      <c r="AT105" s="207"/>
      <c r="AU105" s="13"/>
      <c r="AV105" s="14"/>
      <c r="AW105" s="14"/>
      <c r="AX105" s="14"/>
      <c r="AY105" s="14"/>
      <c r="AZ105" s="14"/>
      <c r="BA105" s="14"/>
      <c r="BB105" s="14"/>
      <c r="BC105" s="14"/>
      <c r="BD105" s="14"/>
      <c r="BE105" s="15"/>
      <c r="BF105" s="72"/>
      <c r="BG105" s="73"/>
      <c r="BH105" s="73"/>
      <c r="BI105" s="73"/>
      <c r="BJ105" s="73"/>
      <c r="BK105" s="74"/>
    </row>
    <row r="106" spans="1:63" ht="15" customHeight="1" x14ac:dyDescent="0.25">
      <c r="A106" s="21"/>
      <c r="BK106" s="6"/>
    </row>
    <row r="107" spans="1:63" ht="15" customHeight="1" x14ac:dyDescent="0.25">
      <c r="BK107" s="6"/>
    </row>
    <row r="108" spans="1:63" ht="15" customHeight="1" x14ac:dyDescent="0.25">
      <c r="A108" s="21"/>
      <c r="BK108" s="6"/>
    </row>
    <row r="109" spans="1:63" s="183" customFormat="1" ht="15" customHeight="1" x14ac:dyDescent="0.25">
      <c r="A109" s="189" t="s">
        <v>3</v>
      </c>
      <c r="B109" s="190"/>
      <c r="C109" s="190"/>
      <c r="D109" s="190"/>
      <c r="E109" s="190"/>
      <c r="F109" s="191"/>
      <c r="G109" s="185" t="s">
        <v>76</v>
      </c>
      <c r="H109" s="185"/>
      <c r="I109" s="185"/>
      <c r="J109" s="185"/>
      <c r="K109" s="185"/>
      <c r="L109" s="185"/>
      <c r="M109" s="192" t="s">
        <v>77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193"/>
      <c r="BI109" s="193"/>
      <c r="BJ109" s="193"/>
      <c r="BK109" s="194"/>
    </row>
    <row r="110" spans="1:63" s="183" customFormat="1" ht="15" customHeight="1" x14ac:dyDescent="0.25">
      <c r="A110" s="195" t="s">
        <v>4</v>
      </c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7"/>
      <c r="M110" s="195" t="s">
        <v>5</v>
      </c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  <c r="AL110" s="196"/>
      <c r="AM110" s="196"/>
      <c r="AN110" s="196"/>
      <c r="AO110" s="196"/>
      <c r="AP110" s="196"/>
      <c r="AQ110" s="196"/>
      <c r="AR110" s="196"/>
      <c r="AS110" s="196"/>
      <c r="AT110" s="197"/>
      <c r="AU110" s="195" t="s">
        <v>6</v>
      </c>
      <c r="AV110" s="196"/>
      <c r="AW110" s="196"/>
      <c r="AX110" s="196"/>
      <c r="AY110" s="196"/>
      <c r="AZ110" s="196"/>
      <c r="BA110" s="196"/>
      <c r="BB110" s="196"/>
      <c r="BC110" s="196"/>
      <c r="BD110" s="196"/>
      <c r="BE110" s="196"/>
      <c r="BF110" s="195" t="s">
        <v>7</v>
      </c>
      <c r="BG110" s="196"/>
      <c r="BH110" s="196"/>
      <c r="BI110" s="196"/>
      <c r="BJ110" s="196"/>
      <c r="BK110" s="197"/>
    </row>
    <row r="111" spans="1:63" s="183" customFormat="1" ht="15" customHeight="1" x14ac:dyDescent="0.25">
      <c r="A111" s="198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200"/>
      <c r="M111" s="198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  <c r="AD111" s="199"/>
      <c r="AE111" s="199"/>
      <c r="AF111" s="199"/>
      <c r="AG111" s="199"/>
      <c r="AH111" s="199"/>
      <c r="AI111" s="199"/>
      <c r="AJ111" s="199"/>
      <c r="AK111" s="199"/>
      <c r="AL111" s="199"/>
      <c r="AM111" s="199"/>
      <c r="AN111" s="199"/>
      <c r="AO111" s="199"/>
      <c r="AP111" s="199"/>
      <c r="AQ111" s="199"/>
      <c r="AR111" s="199"/>
      <c r="AS111" s="199"/>
      <c r="AT111" s="200"/>
      <c r="AU111" s="198"/>
      <c r="AV111" s="199"/>
      <c r="AW111" s="199"/>
      <c r="AX111" s="199"/>
      <c r="AY111" s="199"/>
      <c r="AZ111" s="199"/>
      <c r="BA111" s="199"/>
      <c r="BB111" s="199"/>
      <c r="BC111" s="199"/>
      <c r="BD111" s="199"/>
      <c r="BE111" s="199"/>
      <c r="BF111" s="198"/>
      <c r="BG111" s="199"/>
      <c r="BH111" s="199"/>
      <c r="BI111" s="199"/>
      <c r="BJ111" s="199"/>
      <c r="BK111" s="200"/>
    </row>
    <row r="112" spans="1:63" s="183" customFormat="1" ht="15" customHeight="1" x14ac:dyDescent="0.25">
      <c r="A112" s="11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2"/>
      <c r="M112" s="201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01"/>
      <c r="AK112" s="201"/>
      <c r="AL112" s="201"/>
      <c r="AM112" s="201"/>
      <c r="AN112" s="201"/>
      <c r="AO112" s="201"/>
      <c r="AP112" s="201"/>
      <c r="AQ112" s="201"/>
      <c r="AR112" s="201"/>
      <c r="AS112" s="201"/>
      <c r="AT112" s="201"/>
      <c r="AU112" s="11"/>
      <c r="AV112" s="19"/>
      <c r="AW112" s="19"/>
      <c r="AX112" s="19"/>
      <c r="AY112" s="19"/>
      <c r="AZ112" s="19"/>
      <c r="BA112" s="19"/>
      <c r="BB112" s="19"/>
      <c r="BC112" s="19"/>
      <c r="BD112" s="19"/>
      <c r="BE112" s="12"/>
      <c r="BF112" s="63" t="s">
        <v>42</v>
      </c>
      <c r="BG112" s="64"/>
      <c r="BH112" s="64"/>
      <c r="BI112" s="64"/>
      <c r="BJ112" s="64"/>
      <c r="BK112" s="65"/>
    </row>
    <row r="113" spans="1:63" s="183" customFormat="1" ht="15" customHeight="1" x14ac:dyDescent="0.25">
      <c r="A113" s="11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2"/>
      <c r="M113" s="201"/>
      <c r="N113" s="26" t="s">
        <v>163</v>
      </c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01"/>
      <c r="AT113" s="201"/>
      <c r="AU113" s="11"/>
      <c r="AV113" s="19"/>
      <c r="AW113" s="19"/>
      <c r="AX113" s="19"/>
      <c r="AY113" s="19"/>
      <c r="AZ113" s="19"/>
      <c r="BA113" s="19"/>
      <c r="BB113" s="19"/>
      <c r="BC113" s="19"/>
      <c r="BD113" s="19"/>
      <c r="BE113" s="12"/>
      <c r="BF113" s="63"/>
      <c r="BG113" s="64"/>
      <c r="BH113" s="64"/>
      <c r="BI113" s="64"/>
      <c r="BJ113" s="64"/>
      <c r="BK113" s="65"/>
    </row>
    <row r="114" spans="1:63" s="183" customFormat="1" ht="15" customHeight="1" x14ac:dyDescent="0.25">
      <c r="A114" s="11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2"/>
      <c r="M114" s="201"/>
      <c r="N114" s="26"/>
      <c r="O114" s="204" t="s">
        <v>79</v>
      </c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1"/>
      <c r="AK114" s="201"/>
      <c r="AL114" s="201"/>
      <c r="AM114" s="201"/>
      <c r="AN114" s="201"/>
      <c r="AO114" s="201"/>
      <c r="AP114" s="201"/>
      <c r="AQ114" s="201"/>
      <c r="AR114" s="201"/>
      <c r="AS114" s="201"/>
      <c r="AT114" s="201"/>
      <c r="AU114" s="11"/>
      <c r="AV114" s="19"/>
      <c r="AW114" s="19"/>
      <c r="AX114" s="19"/>
      <c r="AY114" s="19"/>
      <c r="AZ114" s="19"/>
      <c r="BA114" s="19"/>
      <c r="BB114" s="19"/>
      <c r="BC114" s="19"/>
      <c r="BD114" s="19"/>
      <c r="BE114" s="12"/>
      <c r="BF114" s="63"/>
      <c r="BG114" s="64"/>
      <c r="BH114" s="64"/>
      <c r="BI114" s="64"/>
      <c r="BJ114" s="64"/>
      <c r="BK114" s="65"/>
    </row>
    <row r="115" spans="1:63" s="183" customFormat="1" ht="15" customHeight="1" x14ac:dyDescent="0.25">
      <c r="A115" s="11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2"/>
      <c r="M115" s="201"/>
      <c r="O115" s="204" t="s">
        <v>80</v>
      </c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1"/>
      <c r="AO115" s="201"/>
      <c r="AP115" s="201"/>
      <c r="AQ115" s="201"/>
      <c r="AR115" s="201"/>
      <c r="AS115" s="201"/>
      <c r="AT115" s="201"/>
      <c r="AU115" s="11"/>
      <c r="AV115" s="19"/>
      <c r="AW115" s="19"/>
      <c r="AX115" s="19"/>
      <c r="AY115" s="19"/>
      <c r="AZ115" s="19"/>
      <c r="BA115" s="19"/>
      <c r="BB115" s="19"/>
      <c r="BC115" s="19"/>
      <c r="BD115" s="19"/>
      <c r="BE115" s="12"/>
      <c r="BF115" s="63"/>
      <c r="BG115" s="64"/>
      <c r="BH115" s="64"/>
      <c r="BI115" s="64"/>
      <c r="BJ115" s="64"/>
      <c r="BK115" s="65"/>
    </row>
    <row r="116" spans="1:63" s="183" customFormat="1" ht="15" customHeight="1" x14ac:dyDescent="0.25">
      <c r="A116" s="11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2"/>
      <c r="M116" s="201"/>
      <c r="N116" s="201"/>
      <c r="O116" s="204" t="s">
        <v>78</v>
      </c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1"/>
      <c r="AO116" s="201"/>
      <c r="AP116" s="201"/>
      <c r="AQ116" s="201"/>
      <c r="AR116" s="201"/>
      <c r="AS116" s="201"/>
      <c r="AT116" s="201"/>
      <c r="AU116" s="11"/>
      <c r="AV116" s="19"/>
      <c r="AW116" s="19"/>
      <c r="AX116" s="19"/>
      <c r="AY116" s="19"/>
      <c r="AZ116" s="19"/>
      <c r="BA116" s="19"/>
      <c r="BB116" s="19"/>
      <c r="BC116" s="19"/>
      <c r="BD116" s="19"/>
      <c r="BE116" s="12"/>
      <c r="BF116" s="63"/>
      <c r="BG116" s="64"/>
      <c r="BH116" s="64"/>
      <c r="BI116" s="64"/>
      <c r="BJ116" s="64"/>
      <c r="BK116" s="65"/>
    </row>
    <row r="117" spans="1:63" s="183" customFormat="1" ht="15" customHeight="1" x14ac:dyDescent="0.25">
      <c r="A117" s="11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2"/>
      <c r="M117" s="201"/>
      <c r="N117" s="201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04"/>
      <c r="AK117" s="204"/>
      <c r="AL117" s="204"/>
      <c r="AM117" s="204"/>
      <c r="AN117" s="201"/>
      <c r="AO117" s="201"/>
      <c r="AP117" s="201"/>
      <c r="AQ117" s="201"/>
      <c r="AR117" s="201"/>
      <c r="AS117" s="201"/>
      <c r="AT117" s="201"/>
      <c r="AU117" s="11"/>
      <c r="AV117" s="19"/>
      <c r="AW117" s="19"/>
      <c r="AX117" s="19"/>
      <c r="AY117" s="19"/>
      <c r="AZ117" s="19"/>
      <c r="BA117" s="19"/>
      <c r="BB117" s="19"/>
      <c r="BC117" s="19"/>
      <c r="BD117" s="19"/>
      <c r="BE117" s="12"/>
      <c r="BF117" s="23"/>
      <c r="BG117" s="24"/>
      <c r="BH117" s="24"/>
      <c r="BI117" s="24"/>
      <c r="BJ117" s="24"/>
      <c r="BK117" s="25"/>
    </row>
    <row r="118" spans="1:63" s="183" customFormat="1" ht="15" customHeight="1" x14ac:dyDescent="0.25">
      <c r="A118" s="1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2"/>
      <c r="M118" s="201"/>
      <c r="N118" s="26" t="s">
        <v>164</v>
      </c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04"/>
      <c r="AK118" s="204"/>
      <c r="AL118" s="204"/>
      <c r="AM118" s="204"/>
      <c r="AN118" s="201"/>
      <c r="AO118" s="201"/>
      <c r="AP118" s="201"/>
      <c r="AQ118" s="201"/>
      <c r="AR118" s="201"/>
      <c r="AS118" s="201"/>
      <c r="AT118" s="201"/>
      <c r="AU118" s="11"/>
      <c r="AV118" s="19"/>
      <c r="AW118" s="19"/>
      <c r="AX118" s="19"/>
      <c r="AY118" s="19"/>
      <c r="AZ118" s="19"/>
      <c r="BA118" s="19"/>
      <c r="BB118" s="19"/>
      <c r="BC118" s="19"/>
      <c r="BD118" s="19"/>
      <c r="BE118" s="12"/>
      <c r="BF118" s="23"/>
      <c r="BG118" s="24"/>
      <c r="BH118" s="24"/>
      <c r="BI118" s="24"/>
      <c r="BJ118" s="24"/>
      <c r="BK118" s="25"/>
    </row>
    <row r="119" spans="1:63" s="183" customFormat="1" ht="15" customHeight="1" x14ac:dyDescent="0.25">
      <c r="A119" s="1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2"/>
      <c r="M119" s="201"/>
      <c r="N119" s="201"/>
      <c r="O119" s="204" t="s">
        <v>81</v>
      </c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1"/>
      <c r="AO119" s="201"/>
      <c r="AP119" s="201"/>
      <c r="AQ119" s="201"/>
      <c r="AR119" s="201"/>
      <c r="AS119" s="201"/>
      <c r="AT119" s="201"/>
      <c r="AU119" s="11"/>
      <c r="AV119" s="19"/>
      <c r="AW119" s="19"/>
      <c r="AX119" s="19"/>
      <c r="AY119" s="19"/>
      <c r="AZ119" s="19"/>
      <c r="BA119" s="19"/>
      <c r="BB119" s="19"/>
      <c r="BC119" s="19"/>
      <c r="BD119" s="19"/>
      <c r="BE119" s="12"/>
      <c r="BF119" s="23"/>
      <c r="BG119" s="24"/>
      <c r="BH119" s="24"/>
      <c r="BI119" s="24"/>
      <c r="BJ119" s="24"/>
      <c r="BK119" s="25"/>
    </row>
    <row r="120" spans="1:63" s="183" customFormat="1" ht="15" customHeight="1" x14ac:dyDescent="0.25">
      <c r="A120" s="11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2"/>
      <c r="M120" s="201"/>
      <c r="N120" s="201"/>
      <c r="O120" s="204" t="s">
        <v>82</v>
      </c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1"/>
      <c r="AO120" s="201"/>
      <c r="AP120" s="201"/>
      <c r="AQ120" s="201"/>
      <c r="AR120" s="201"/>
      <c r="AS120" s="201"/>
      <c r="AT120" s="201"/>
      <c r="AU120" s="11"/>
      <c r="AV120" s="19"/>
      <c r="AW120" s="19"/>
      <c r="AX120" s="19"/>
      <c r="AY120" s="19"/>
      <c r="AZ120" s="19"/>
      <c r="BA120" s="19"/>
      <c r="BB120" s="19"/>
      <c r="BC120" s="19"/>
      <c r="BD120" s="19"/>
      <c r="BE120" s="12"/>
      <c r="BF120" s="23"/>
      <c r="BG120" s="24"/>
      <c r="BH120" s="24"/>
      <c r="BI120" s="24"/>
      <c r="BJ120" s="24"/>
      <c r="BK120" s="25"/>
    </row>
    <row r="121" spans="1:63" s="183" customFormat="1" ht="15" customHeight="1" x14ac:dyDescent="0.25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5"/>
      <c r="M121" s="205"/>
      <c r="N121" s="206"/>
      <c r="O121" s="206"/>
      <c r="P121" s="206"/>
      <c r="Q121" s="206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7"/>
      <c r="AQ121" s="207"/>
      <c r="AR121" s="207"/>
      <c r="AS121" s="207"/>
      <c r="AT121" s="207"/>
      <c r="AU121" s="13"/>
      <c r="AV121" s="14"/>
      <c r="AW121" s="14"/>
      <c r="AX121" s="14"/>
      <c r="AY121" s="14"/>
      <c r="AZ121" s="14"/>
      <c r="BA121" s="14"/>
      <c r="BB121" s="14"/>
      <c r="BC121" s="14"/>
      <c r="BD121" s="14"/>
      <c r="BE121" s="15"/>
      <c r="BF121" s="72"/>
      <c r="BG121" s="73"/>
      <c r="BH121" s="73"/>
      <c r="BI121" s="73"/>
      <c r="BJ121" s="73"/>
      <c r="BK121" s="74"/>
    </row>
    <row r="122" spans="1:63" ht="15" customHeight="1" x14ac:dyDescent="0.25">
      <c r="A122" s="21"/>
      <c r="BK122" s="6"/>
    </row>
    <row r="123" spans="1:63" ht="15" customHeight="1" x14ac:dyDescent="0.25">
      <c r="BK123" s="6"/>
    </row>
    <row r="124" spans="1:63" ht="15" customHeight="1" x14ac:dyDescent="0.25">
      <c r="A124" s="21"/>
      <c r="BK124" s="6"/>
    </row>
    <row r="125" spans="1:63" s="183" customFormat="1" ht="15" customHeight="1" x14ac:dyDescent="0.25">
      <c r="A125" s="189" t="s">
        <v>3</v>
      </c>
      <c r="B125" s="190"/>
      <c r="C125" s="190"/>
      <c r="D125" s="190"/>
      <c r="E125" s="190"/>
      <c r="F125" s="191"/>
      <c r="G125" s="185" t="s">
        <v>83</v>
      </c>
      <c r="H125" s="185"/>
      <c r="I125" s="185"/>
      <c r="J125" s="185"/>
      <c r="K125" s="185"/>
      <c r="L125" s="185"/>
      <c r="M125" s="192" t="s">
        <v>84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193"/>
      <c r="BI125" s="193"/>
      <c r="BJ125" s="193"/>
      <c r="BK125" s="194"/>
    </row>
    <row r="126" spans="1:63" s="183" customFormat="1" ht="15" customHeight="1" x14ac:dyDescent="0.25">
      <c r="A126" s="195" t="s">
        <v>4</v>
      </c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7"/>
      <c r="M126" s="195" t="s">
        <v>5</v>
      </c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/>
      <c r="AT126" s="197"/>
      <c r="AU126" s="195" t="s">
        <v>6</v>
      </c>
      <c r="AV126" s="196"/>
      <c r="AW126" s="196"/>
      <c r="AX126" s="196"/>
      <c r="AY126" s="196"/>
      <c r="AZ126" s="196"/>
      <c r="BA126" s="196"/>
      <c r="BB126" s="196"/>
      <c r="BC126" s="196"/>
      <c r="BD126" s="196"/>
      <c r="BE126" s="196"/>
      <c r="BF126" s="195" t="s">
        <v>7</v>
      </c>
      <c r="BG126" s="196"/>
      <c r="BH126" s="196"/>
      <c r="BI126" s="196"/>
      <c r="BJ126" s="196"/>
      <c r="BK126" s="197"/>
    </row>
    <row r="127" spans="1:63" s="183" customFormat="1" ht="15" customHeight="1" x14ac:dyDescent="0.25">
      <c r="A127" s="198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200"/>
      <c r="M127" s="198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  <c r="AD127" s="199"/>
      <c r="AE127" s="199"/>
      <c r="AF127" s="199"/>
      <c r="AG127" s="199"/>
      <c r="AH127" s="199"/>
      <c r="AI127" s="199"/>
      <c r="AJ127" s="199"/>
      <c r="AK127" s="199"/>
      <c r="AL127" s="199"/>
      <c r="AM127" s="199"/>
      <c r="AN127" s="199"/>
      <c r="AO127" s="199"/>
      <c r="AP127" s="199"/>
      <c r="AQ127" s="199"/>
      <c r="AR127" s="199"/>
      <c r="AS127" s="199"/>
      <c r="AT127" s="200"/>
      <c r="AU127" s="198"/>
      <c r="AV127" s="199"/>
      <c r="AW127" s="199"/>
      <c r="AX127" s="199"/>
      <c r="AY127" s="199"/>
      <c r="AZ127" s="199"/>
      <c r="BA127" s="199"/>
      <c r="BB127" s="199"/>
      <c r="BC127" s="199"/>
      <c r="BD127" s="199"/>
      <c r="BE127" s="199"/>
      <c r="BF127" s="198"/>
      <c r="BG127" s="199"/>
      <c r="BH127" s="199"/>
      <c r="BI127" s="199"/>
      <c r="BJ127" s="199"/>
      <c r="BK127" s="200"/>
    </row>
    <row r="128" spans="1:63" s="183" customFormat="1" ht="15" customHeight="1" x14ac:dyDescent="0.25">
      <c r="A128" s="11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2"/>
      <c r="M128" s="201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1"/>
      <c r="AK128" s="201"/>
      <c r="AL128" s="201"/>
      <c r="AM128" s="201"/>
      <c r="AN128" s="201"/>
      <c r="AO128" s="201"/>
      <c r="AP128" s="201"/>
      <c r="AQ128" s="201"/>
      <c r="AR128" s="201"/>
      <c r="AS128" s="201"/>
      <c r="AT128" s="201"/>
      <c r="AU128" s="11"/>
      <c r="AV128" s="19"/>
      <c r="AW128" s="19"/>
      <c r="AX128" s="19"/>
      <c r="AY128" s="19"/>
      <c r="AZ128" s="19"/>
      <c r="BA128" s="19"/>
      <c r="BB128" s="19"/>
      <c r="BC128" s="19"/>
      <c r="BD128" s="19"/>
      <c r="BE128" s="12"/>
      <c r="BF128" s="63" t="s">
        <v>42</v>
      </c>
      <c r="BG128" s="64"/>
      <c r="BH128" s="64"/>
      <c r="BI128" s="64"/>
      <c r="BJ128" s="64"/>
      <c r="BK128" s="65"/>
    </row>
    <row r="129" spans="1:63" s="183" customFormat="1" ht="15" customHeight="1" x14ac:dyDescent="0.25">
      <c r="A129" s="11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2"/>
      <c r="M129" s="201"/>
      <c r="N129" s="26" t="s">
        <v>165</v>
      </c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1"/>
      <c r="AK129" s="201"/>
      <c r="AL129" s="201"/>
      <c r="AM129" s="201"/>
      <c r="AN129" s="201"/>
      <c r="AO129" s="201"/>
      <c r="AP129" s="201"/>
      <c r="AQ129" s="201"/>
      <c r="AR129" s="201"/>
      <c r="AS129" s="201"/>
      <c r="AT129" s="201"/>
      <c r="AU129" s="11"/>
      <c r="AV129" s="19"/>
      <c r="AW129" s="19"/>
      <c r="AX129" s="19"/>
      <c r="AY129" s="19"/>
      <c r="AZ129" s="19"/>
      <c r="BA129" s="19"/>
      <c r="BB129" s="19"/>
      <c r="BC129" s="19"/>
      <c r="BD129" s="19"/>
      <c r="BE129" s="12"/>
      <c r="BF129" s="63"/>
      <c r="BG129" s="64"/>
      <c r="BH129" s="64"/>
      <c r="BI129" s="64"/>
      <c r="BJ129" s="64"/>
      <c r="BK129" s="65"/>
    </row>
    <row r="130" spans="1:63" s="183" customFormat="1" ht="15" customHeight="1" x14ac:dyDescent="0.25">
      <c r="A130" s="11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2"/>
      <c r="M130" s="201"/>
      <c r="N130" s="26"/>
      <c r="O130" s="204" t="s">
        <v>87</v>
      </c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1"/>
      <c r="AK130" s="201"/>
      <c r="AL130" s="201"/>
      <c r="AM130" s="201"/>
      <c r="AN130" s="201"/>
      <c r="AO130" s="201"/>
      <c r="AP130" s="201"/>
      <c r="AQ130" s="201"/>
      <c r="AR130" s="201"/>
      <c r="AS130" s="201"/>
      <c r="AT130" s="201"/>
      <c r="AU130" s="11"/>
      <c r="AV130" s="19"/>
      <c r="AW130" s="19"/>
      <c r="AX130" s="19"/>
      <c r="AY130" s="19"/>
      <c r="AZ130" s="19"/>
      <c r="BA130" s="19"/>
      <c r="BB130" s="19"/>
      <c r="BC130" s="19"/>
      <c r="BD130" s="19"/>
      <c r="BE130" s="12"/>
      <c r="BF130" s="63"/>
      <c r="BG130" s="64"/>
      <c r="BH130" s="64"/>
      <c r="BI130" s="64"/>
      <c r="BJ130" s="64"/>
      <c r="BK130" s="65"/>
    </row>
    <row r="131" spans="1:63" s="183" customFormat="1" ht="15" customHeight="1" x14ac:dyDescent="0.25">
      <c r="A131" s="1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2"/>
      <c r="M131" s="201"/>
      <c r="O131" s="204" t="s">
        <v>85</v>
      </c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1"/>
      <c r="AO131" s="201"/>
      <c r="AP131" s="201"/>
      <c r="AQ131" s="201"/>
      <c r="AR131" s="201"/>
      <c r="AS131" s="201"/>
      <c r="AT131" s="201"/>
      <c r="AU131" s="11"/>
      <c r="AV131" s="19"/>
      <c r="AW131" s="19"/>
      <c r="AX131" s="19"/>
      <c r="AY131" s="19"/>
      <c r="AZ131" s="19"/>
      <c r="BA131" s="19"/>
      <c r="BB131" s="19"/>
      <c r="BC131" s="19"/>
      <c r="BD131" s="19"/>
      <c r="BE131" s="12"/>
      <c r="BF131" s="63"/>
      <c r="BG131" s="64"/>
      <c r="BH131" s="64"/>
      <c r="BI131" s="64"/>
      <c r="BJ131" s="64"/>
      <c r="BK131" s="65"/>
    </row>
    <row r="132" spans="1:63" s="183" customFormat="1" ht="15" customHeight="1" x14ac:dyDescent="0.25">
      <c r="A132" s="1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2"/>
      <c r="M132" s="201"/>
      <c r="N132" s="201"/>
      <c r="O132" s="204" t="s">
        <v>86</v>
      </c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1"/>
      <c r="AO132" s="201"/>
      <c r="AP132" s="201"/>
      <c r="AQ132" s="201"/>
      <c r="AR132" s="201"/>
      <c r="AS132" s="201"/>
      <c r="AT132" s="201"/>
      <c r="AU132" s="11"/>
      <c r="AV132" s="19"/>
      <c r="AW132" s="19"/>
      <c r="AX132" s="19"/>
      <c r="AY132" s="19"/>
      <c r="AZ132" s="19"/>
      <c r="BA132" s="19"/>
      <c r="BB132" s="19"/>
      <c r="BC132" s="19"/>
      <c r="BD132" s="19"/>
      <c r="BE132" s="12"/>
      <c r="BF132" s="63"/>
      <c r="BG132" s="64"/>
      <c r="BH132" s="64"/>
      <c r="BI132" s="64"/>
      <c r="BJ132" s="64"/>
      <c r="BK132" s="65"/>
    </row>
    <row r="133" spans="1:63" s="183" customFormat="1" ht="15" customHeight="1" x14ac:dyDescent="0.25">
      <c r="A133" s="1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2"/>
      <c r="M133" s="201"/>
      <c r="N133" s="201"/>
      <c r="O133" s="204" t="s">
        <v>88</v>
      </c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1"/>
      <c r="AO133" s="201"/>
      <c r="AP133" s="201"/>
      <c r="AQ133" s="201"/>
      <c r="AR133" s="201"/>
      <c r="AS133" s="201"/>
      <c r="AT133" s="201"/>
      <c r="AU133" s="11"/>
      <c r="AV133" s="19"/>
      <c r="AW133" s="19"/>
      <c r="AX133" s="19"/>
      <c r="AY133" s="19"/>
      <c r="AZ133" s="19"/>
      <c r="BA133" s="19"/>
      <c r="BB133" s="19"/>
      <c r="BC133" s="19"/>
      <c r="BD133" s="19"/>
      <c r="BE133" s="12"/>
      <c r="BF133" s="23"/>
      <c r="BG133" s="24"/>
      <c r="BH133" s="24"/>
      <c r="BI133" s="24"/>
      <c r="BJ133" s="24"/>
      <c r="BK133" s="25"/>
    </row>
    <row r="134" spans="1:63" s="183" customFormat="1" ht="15" customHeight="1" x14ac:dyDescent="0.25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5"/>
      <c r="M134" s="205"/>
      <c r="N134" s="206"/>
      <c r="O134" s="206"/>
      <c r="P134" s="206"/>
      <c r="Q134" s="206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7"/>
      <c r="AQ134" s="207"/>
      <c r="AR134" s="207"/>
      <c r="AS134" s="207"/>
      <c r="AT134" s="207"/>
      <c r="AU134" s="13"/>
      <c r="AV134" s="14"/>
      <c r="AW134" s="14"/>
      <c r="AX134" s="14"/>
      <c r="AY134" s="14"/>
      <c r="AZ134" s="14"/>
      <c r="BA134" s="14"/>
      <c r="BB134" s="14"/>
      <c r="BC134" s="14"/>
      <c r="BD134" s="14"/>
      <c r="BE134" s="15"/>
      <c r="BF134" s="72"/>
      <c r="BG134" s="73"/>
      <c r="BH134" s="73"/>
      <c r="BI134" s="73"/>
      <c r="BJ134" s="73"/>
      <c r="BK134" s="74"/>
    </row>
    <row r="135" spans="1:63" ht="15" customHeight="1" x14ac:dyDescent="0.25">
      <c r="A135" s="21"/>
      <c r="BK135" s="6"/>
    </row>
    <row r="136" spans="1:63" ht="15" customHeight="1" x14ac:dyDescent="0.25">
      <c r="BK136" s="6"/>
    </row>
    <row r="137" spans="1:63" ht="15" customHeight="1" x14ac:dyDescent="0.25">
      <c r="A137" s="21"/>
      <c r="BK137" s="6"/>
    </row>
    <row r="138" spans="1:63" s="183" customFormat="1" ht="15" customHeight="1" x14ac:dyDescent="0.25">
      <c r="A138" s="189" t="s">
        <v>3</v>
      </c>
      <c r="B138" s="190"/>
      <c r="C138" s="190"/>
      <c r="D138" s="190"/>
      <c r="E138" s="190"/>
      <c r="F138" s="191"/>
      <c r="G138" s="185" t="s">
        <v>89</v>
      </c>
      <c r="H138" s="185"/>
      <c r="I138" s="185"/>
      <c r="J138" s="185"/>
      <c r="K138" s="185"/>
      <c r="L138" s="185"/>
      <c r="M138" s="192" t="s">
        <v>90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193"/>
      <c r="BI138" s="193"/>
      <c r="BJ138" s="193"/>
      <c r="BK138" s="194"/>
    </row>
    <row r="139" spans="1:63" s="183" customFormat="1" ht="15" customHeight="1" x14ac:dyDescent="0.25">
      <c r="A139" s="195" t="s">
        <v>4</v>
      </c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7"/>
      <c r="M139" s="195" t="s">
        <v>5</v>
      </c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6"/>
      <c r="AK139" s="196"/>
      <c r="AL139" s="196"/>
      <c r="AM139" s="196"/>
      <c r="AN139" s="196"/>
      <c r="AO139" s="196"/>
      <c r="AP139" s="196"/>
      <c r="AQ139" s="196"/>
      <c r="AR139" s="196"/>
      <c r="AS139" s="196"/>
      <c r="AT139" s="197"/>
      <c r="AU139" s="195" t="s">
        <v>6</v>
      </c>
      <c r="AV139" s="196"/>
      <c r="AW139" s="196"/>
      <c r="AX139" s="196"/>
      <c r="AY139" s="196"/>
      <c r="AZ139" s="196"/>
      <c r="BA139" s="196"/>
      <c r="BB139" s="196"/>
      <c r="BC139" s="196"/>
      <c r="BD139" s="196"/>
      <c r="BE139" s="196"/>
      <c r="BF139" s="195" t="s">
        <v>7</v>
      </c>
      <c r="BG139" s="196"/>
      <c r="BH139" s="196"/>
      <c r="BI139" s="196"/>
      <c r="BJ139" s="196"/>
      <c r="BK139" s="197"/>
    </row>
    <row r="140" spans="1:63" s="183" customFormat="1" ht="15" customHeight="1" x14ac:dyDescent="0.2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200"/>
      <c r="M140" s="198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  <c r="AA140" s="199"/>
      <c r="AB140" s="199"/>
      <c r="AC140" s="199"/>
      <c r="AD140" s="199"/>
      <c r="AE140" s="199"/>
      <c r="AF140" s="199"/>
      <c r="AG140" s="199"/>
      <c r="AH140" s="199"/>
      <c r="AI140" s="199"/>
      <c r="AJ140" s="199"/>
      <c r="AK140" s="199"/>
      <c r="AL140" s="199"/>
      <c r="AM140" s="199"/>
      <c r="AN140" s="199"/>
      <c r="AO140" s="199"/>
      <c r="AP140" s="199"/>
      <c r="AQ140" s="199"/>
      <c r="AR140" s="199"/>
      <c r="AS140" s="199"/>
      <c r="AT140" s="200"/>
      <c r="AU140" s="198"/>
      <c r="AV140" s="199"/>
      <c r="AW140" s="199"/>
      <c r="AX140" s="199"/>
      <c r="AY140" s="199"/>
      <c r="AZ140" s="199"/>
      <c r="BA140" s="199"/>
      <c r="BB140" s="199"/>
      <c r="BC140" s="199"/>
      <c r="BD140" s="199"/>
      <c r="BE140" s="199"/>
      <c r="BF140" s="198"/>
      <c r="BG140" s="199"/>
      <c r="BH140" s="199"/>
      <c r="BI140" s="199"/>
      <c r="BJ140" s="199"/>
      <c r="BK140" s="200"/>
    </row>
    <row r="141" spans="1:63" s="183" customFormat="1" ht="15" customHeight="1" x14ac:dyDescent="0.25">
      <c r="A141" s="11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2"/>
      <c r="M141" s="201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1"/>
      <c r="AK141" s="201"/>
      <c r="AL141" s="201"/>
      <c r="AM141" s="201"/>
      <c r="AN141" s="201"/>
      <c r="AO141" s="201"/>
      <c r="AP141" s="201"/>
      <c r="AQ141" s="201"/>
      <c r="AR141" s="201"/>
      <c r="AS141" s="201"/>
      <c r="AT141" s="201"/>
      <c r="AU141" s="11"/>
      <c r="AV141" s="19"/>
      <c r="AW141" s="19"/>
      <c r="AX141" s="19"/>
      <c r="AY141" s="19"/>
      <c r="AZ141" s="19"/>
      <c r="BA141" s="19"/>
      <c r="BB141" s="19"/>
      <c r="BC141" s="19"/>
      <c r="BD141" s="19"/>
      <c r="BE141" s="12"/>
      <c r="BF141" s="63" t="s">
        <v>91</v>
      </c>
      <c r="BG141" s="64"/>
      <c r="BH141" s="64"/>
      <c r="BI141" s="64"/>
      <c r="BJ141" s="64"/>
      <c r="BK141" s="65"/>
    </row>
    <row r="142" spans="1:63" s="183" customFormat="1" ht="15" customHeight="1" x14ac:dyDescent="0.25">
      <c r="A142" s="11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2"/>
      <c r="M142" s="201"/>
      <c r="N142" s="22" t="s">
        <v>166</v>
      </c>
      <c r="O142" s="201"/>
      <c r="P142" s="201"/>
      <c r="Q142" s="201"/>
      <c r="R142" s="201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  <c r="AT142" s="201"/>
      <c r="AU142" s="11"/>
      <c r="AV142" s="19"/>
      <c r="AW142" s="19"/>
      <c r="AX142" s="19"/>
      <c r="AY142" s="19"/>
      <c r="AZ142" s="19"/>
      <c r="BA142" s="19"/>
      <c r="BB142" s="19"/>
      <c r="BC142" s="19"/>
      <c r="BD142" s="19"/>
      <c r="BE142" s="12"/>
      <c r="BF142" s="63"/>
      <c r="BG142" s="64"/>
      <c r="BH142" s="64"/>
      <c r="BI142" s="64"/>
      <c r="BJ142" s="64"/>
      <c r="BK142" s="65"/>
    </row>
    <row r="143" spans="1:63" s="183" customFormat="1" ht="15" customHeight="1" x14ac:dyDescent="0.25">
      <c r="A143" s="11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2"/>
      <c r="M143" s="201"/>
      <c r="N143" s="201"/>
      <c r="O143" s="204" t="s">
        <v>167</v>
      </c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1"/>
      <c r="AK143" s="201"/>
      <c r="AL143" s="201"/>
      <c r="AM143" s="201"/>
      <c r="AN143" s="201"/>
      <c r="AO143" s="201"/>
      <c r="AP143" s="201"/>
      <c r="AQ143" s="201"/>
      <c r="AR143" s="201"/>
      <c r="AS143" s="201"/>
      <c r="AT143" s="201"/>
      <c r="AU143" s="11"/>
      <c r="AV143" s="19"/>
      <c r="AW143" s="19"/>
      <c r="AX143" s="19"/>
      <c r="AY143" s="19"/>
      <c r="AZ143" s="19"/>
      <c r="BA143" s="19"/>
      <c r="BB143" s="19"/>
      <c r="BC143" s="19"/>
      <c r="BD143" s="19"/>
      <c r="BE143" s="12"/>
      <c r="BF143" s="63"/>
      <c r="BG143" s="64"/>
      <c r="BH143" s="64"/>
      <c r="BI143" s="64"/>
      <c r="BJ143" s="64"/>
      <c r="BK143" s="65"/>
    </row>
    <row r="144" spans="1:63" s="183" customFormat="1" ht="15" customHeight="1" x14ac:dyDescent="0.25">
      <c r="A144" s="11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2"/>
      <c r="M144" s="201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1"/>
      <c r="AO144" s="201"/>
      <c r="AP144" s="201"/>
      <c r="AQ144" s="201"/>
      <c r="AR144" s="201"/>
      <c r="AS144" s="201"/>
      <c r="AT144" s="201"/>
      <c r="AU144" s="11"/>
      <c r="AV144" s="19"/>
      <c r="AW144" s="19"/>
      <c r="AX144" s="19"/>
      <c r="AY144" s="19"/>
      <c r="AZ144" s="19"/>
      <c r="BA144" s="19"/>
      <c r="BB144" s="19"/>
      <c r="BC144" s="19"/>
      <c r="BD144" s="19"/>
      <c r="BE144" s="12"/>
      <c r="BF144" s="63"/>
      <c r="BG144" s="64"/>
      <c r="BH144" s="64"/>
      <c r="BI144" s="64"/>
      <c r="BJ144" s="64"/>
      <c r="BK144" s="65"/>
    </row>
    <row r="145" spans="1:63" s="183" customFormat="1" ht="15" customHeight="1" x14ac:dyDescent="0.25">
      <c r="A145" s="11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2"/>
      <c r="M145" s="201"/>
      <c r="N145" s="201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1"/>
      <c r="AO145" s="201"/>
      <c r="AP145" s="201"/>
      <c r="AQ145" s="201"/>
      <c r="AR145" s="201"/>
      <c r="AS145" s="201"/>
      <c r="AT145" s="201"/>
      <c r="AU145" s="11"/>
      <c r="AV145" s="19"/>
      <c r="AW145" s="19"/>
      <c r="AX145" s="19"/>
      <c r="AY145" s="19"/>
      <c r="AZ145" s="19"/>
      <c r="BA145" s="19"/>
      <c r="BB145" s="19"/>
      <c r="BC145" s="19"/>
      <c r="BD145" s="19"/>
      <c r="BE145" s="12"/>
      <c r="BF145" s="63"/>
      <c r="BG145" s="64"/>
      <c r="BH145" s="64"/>
      <c r="BI145" s="64"/>
      <c r="BJ145" s="64"/>
      <c r="BK145" s="65"/>
    </row>
    <row r="146" spans="1:63" s="183" customFormat="1" ht="15" customHeight="1" x14ac:dyDescent="0.25">
      <c r="A146" s="11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2"/>
      <c r="M146" s="201"/>
      <c r="N146" s="201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1"/>
      <c r="AO146" s="201"/>
      <c r="AP146" s="201"/>
      <c r="AQ146" s="201"/>
      <c r="AR146" s="201"/>
      <c r="AS146" s="201"/>
      <c r="AT146" s="201"/>
      <c r="AU146" s="11"/>
      <c r="AV146" s="19"/>
      <c r="AW146" s="19"/>
      <c r="AX146" s="19"/>
      <c r="AY146" s="19"/>
      <c r="AZ146" s="19"/>
      <c r="BA146" s="19"/>
      <c r="BB146" s="19"/>
      <c r="BC146" s="19"/>
      <c r="BD146" s="19"/>
      <c r="BE146" s="12"/>
      <c r="BF146" s="23"/>
      <c r="BG146" s="24"/>
      <c r="BH146" s="24"/>
      <c r="BI146" s="24"/>
      <c r="BJ146" s="24"/>
      <c r="BK146" s="25"/>
    </row>
    <row r="147" spans="1:63" s="183" customFormat="1" ht="15" customHeight="1" x14ac:dyDescent="0.25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5"/>
      <c r="M147" s="205"/>
      <c r="N147" s="206"/>
      <c r="O147" s="206"/>
      <c r="P147" s="206"/>
      <c r="Q147" s="206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7"/>
      <c r="AQ147" s="207"/>
      <c r="AR147" s="207"/>
      <c r="AS147" s="207"/>
      <c r="AT147" s="207"/>
      <c r="AU147" s="13"/>
      <c r="AV147" s="14"/>
      <c r="AW147" s="14"/>
      <c r="AX147" s="14"/>
      <c r="AY147" s="14"/>
      <c r="AZ147" s="14"/>
      <c r="BA147" s="14"/>
      <c r="BB147" s="14"/>
      <c r="BC147" s="14"/>
      <c r="BD147" s="14"/>
      <c r="BE147" s="15"/>
      <c r="BF147" s="72"/>
      <c r="BG147" s="73"/>
      <c r="BH147" s="73"/>
      <c r="BI147" s="73"/>
      <c r="BJ147" s="73"/>
      <c r="BK147" s="74"/>
    </row>
    <row r="148" spans="1:63" ht="15" customHeight="1" x14ac:dyDescent="0.25">
      <c r="A148" s="21"/>
      <c r="BK148" s="6"/>
    </row>
    <row r="149" spans="1:63" ht="15" customHeight="1" x14ac:dyDescent="0.25">
      <c r="BK149" s="6"/>
    </row>
    <row r="150" spans="1:63" ht="15" customHeight="1" x14ac:dyDescent="0.25">
      <c r="A150" s="21"/>
      <c r="BK150" s="6"/>
    </row>
    <row r="151" spans="1:63" s="183" customFormat="1" ht="15" customHeight="1" x14ac:dyDescent="0.25">
      <c r="A151" s="189" t="s">
        <v>3</v>
      </c>
      <c r="B151" s="190"/>
      <c r="C151" s="190"/>
      <c r="D151" s="190"/>
      <c r="E151" s="190"/>
      <c r="F151" s="191"/>
      <c r="G151" s="185" t="s">
        <v>92</v>
      </c>
      <c r="H151" s="185"/>
      <c r="I151" s="185"/>
      <c r="J151" s="185"/>
      <c r="K151" s="185"/>
      <c r="L151" s="185"/>
      <c r="M151" s="192" t="s">
        <v>93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193"/>
      <c r="BI151" s="193"/>
      <c r="BJ151" s="193"/>
      <c r="BK151" s="194"/>
    </row>
    <row r="152" spans="1:63" s="183" customFormat="1" ht="15" customHeight="1" x14ac:dyDescent="0.25">
      <c r="A152" s="195" t="s">
        <v>4</v>
      </c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7"/>
      <c r="M152" s="195" t="s">
        <v>5</v>
      </c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  <c r="AL152" s="196"/>
      <c r="AM152" s="196"/>
      <c r="AN152" s="196"/>
      <c r="AO152" s="196"/>
      <c r="AP152" s="196"/>
      <c r="AQ152" s="196"/>
      <c r="AR152" s="196"/>
      <c r="AS152" s="196"/>
      <c r="AT152" s="197"/>
      <c r="AU152" s="195" t="s">
        <v>6</v>
      </c>
      <c r="AV152" s="196"/>
      <c r="AW152" s="196"/>
      <c r="AX152" s="196"/>
      <c r="AY152" s="196"/>
      <c r="AZ152" s="196"/>
      <c r="BA152" s="196"/>
      <c r="BB152" s="196"/>
      <c r="BC152" s="196"/>
      <c r="BD152" s="196"/>
      <c r="BE152" s="196"/>
      <c r="BF152" s="195" t="s">
        <v>7</v>
      </c>
      <c r="BG152" s="196"/>
      <c r="BH152" s="196"/>
      <c r="BI152" s="196"/>
      <c r="BJ152" s="196"/>
      <c r="BK152" s="197"/>
    </row>
    <row r="153" spans="1:63" s="183" customFormat="1" ht="15" customHeight="1" x14ac:dyDescent="0.25">
      <c r="A153" s="198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200"/>
      <c r="M153" s="198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  <c r="AA153" s="199"/>
      <c r="AB153" s="199"/>
      <c r="AC153" s="199"/>
      <c r="AD153" s="199"/>
      <c r="AE153" s="199"/>
      <c r="AF153" s="199"/>
      <c r="AG153" s="199"/>
      <c r="AH153" s="199"/>
      <c r="AI153" s="199"/>
      <c r="AJ153" s="199"/>
      <c r="AK153" s="199"/>
      <c r="AL153" s="199"/>
      <c r="AM153" s="199"/>
      <c r="AN153" s="199"/>
      <c r="AO153" s="199"/>
      <c r="AP153" s="199"/>
      <c r="AQ153" s="199"/>
      <c r="AR153" s="199"/>
      <c r="AS153" s="199"/>
      <c r="AT153" s="200"/>
      <c r="AU153" s="198"/>
      <c r="AV153" s="199"/>
      <c r="AW153" s="199"/>
      <c r="AX153" s="199"/>
      <c r="AY153" s="199"/>
      <c r="AZ153" s="199"/>
      <c r="BA153" s="199"/>
      <c r="BB153" s="199"/>
      <c r="BC153" s="199"/>
      <c r="BD153" s="199"/>
      <c r="BE153" s="199"/>
      <c r="BF153" s="198"/>
      <c r="BG153" s="199"/>
      <c r="BH153" s="199"/>
      <c r="BI153" s="199"/>
      <c r="BJ153" s="199"/>
      <c r="BK153" s="200"/>
    </row>
    <row r="154" spans="1:63" s="183" customFormat="1" ht="15" customHeight="1" x14ac:dyDescent="0.25">
      <c r="A154" s="11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2"/>
      <c r="M154" s="201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1"/>
      <c r="AK154" s="201"/>
      <c r="AL154" s="201"/>
      <c r="AM154" s="201"/>
      <c r="AN154" s="201"/>
      <c r="AO154" s="201"/>
      <c r="AP154" s="201"/>
      <c r="AQ154" s="201"/>
      <c r="AR154" s="201"/>
      <c r="AS154" s="201"/>
      <c r="AT154" s="201"/>
      <c r="AU154" s="11"/>
      <c r="AV154" s="19"/>
      <c r="AW154" s="19"/>
      <c r="AX154" s="19"/>
      <c r="AY154" s="19"/>
      <c r="AZ154" s="19"/>
      <c r="BA154" s="19"/>
      <c r="BB154" s="19"/>
      <c r="BC154" s="19"/>
      <c r="BD154" s="19"/>
      <c r="BE154" s="12"/>
      <c r="BF154" s="60" t="s">
        <v>168</v>
      </c>
      <c r="BG154" s="61"/>
      <c r="BH154" s="61"/>
      <c r="BI154" s="61"/>
      <c r="BJ154" s="61"/>
      <c r="BK154" s="62"/>
    </row>
    <row r="155" spans="1:63" s="183" customFormat="1" ht="15" customHeight="1" x14ac:dyDescent="0.25">
      <c r="A155" s="11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2"/>
      <c r="M155" s="201"/>
      <c r="N155" s="26" t="s">
        <v>169</v>
      </c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1"/>
      <c r="AK155" s="201"/>
      <c r="AL155" s="201"/>
      <c r="AM155" s="201"/>
      <c r="AN155" s="201"/>
      <c r="AO155" s="201"/>
      <c r="AP155" s="201"/>
      <c r="AQ155" s="201"/>
      <c r="AR155" s="201"/>
      <c r="AS155" s="201"/>
      <c r="AT155" s="201"/>
      <c r="AU155" s="11"/>
      <c r="AV155" s="19"/>
      <c r="AW155" s="19"/>
      <c r="AX155" s="19"/>
      <c r="AY155" s="19"/>
      <c r="AZ155" s="19"/>
      <c r="BA155" s="19"/>
      <c r="BB155" s="19"/>
      <c r="BC155" s="19"/>
      <c r="BD155" s="19"/>
      <c r="BE155" s="12"/>
      <c r="BF155" s="63"/>
      <c r="BG155" s="64"/>
      <c r="BH155" s="64"/>
      <c r="BI155" s="64"/>
      <c r="BJ155" s="64"/>
      <c r="BK155" s="65"/>
    </row>
    <row r="156" spans="1:63" s="183" customFormat="1" ht="15" customHeight="1" x14ac:dyDescent="0.25">
      <c r="A156" s="11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2"/>
      <c r="M156" s="201"/>
      <c r="N156" s="26"/>
      <c r="O156" s="204" t="s">
        <v>94</v>
      </c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1"/>
      <c r="AK156" s="201"/>
      <c r="AL156" s="201"/>
      <c r="AM156" s="201"/>
      <c r="AN156" s="201"/>
      <c r="AO156" s="201"/>
      <c r="AP156" s="201"/>
      <c r="AQ156" s="201"/>
      <c r="AR156" s="201"/>
      <c r="AS156" s="201"/>
      <c r="AT156" s="201"/>
      <c r="AU156" s="11"/>
      <c r="AV156" s="19"/>
      <c r="AW156" s="19"/>
      <c r="AX156" s="19"/>
      <c r="AY156" s="19"/>
      <c r="AZ156" s="19"/>
      <c r="BA156" s="19"/>
      <c r="BB156" s="19"/>
      <c r="BC156" s="19"/>
      <c r="BD156" s="19"/>
      <c r="BE156" s="12"/>
      <c r="BF156" s="63"/>
      <c r="BG156" s="64"/>
      <c r="BH156" s="64"/>
      <c r="BI156" s="64"/>
      <c r="BJ156" s="64"/>
      <c r="BK156" s="65"/>
    </row>
    <row r="157" spans="1:63" s="183" customFormat="1" ht="15" customHeight="1" x14ac:dyDescent="0.25">
      <c r="A157" s="11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2"/>
      <c r="M157" s="201"/>
      <c r="N157" s="26"/>
      <c r="O157" s="204"/>
      <c r="P157" s="27" t="s">
        <v>10</v>
      </c>
      <c r="Q157" s="28"/>
      <c r="R157" s="28"/>
      <c r="S157" s="28"/>
      <c r="T157" s="28"/>
      <c r="U157" s="28"/>
      <c r="V157" s="28"/>
      <c r="W157" s="27" t="s">
        <v>11</v>
      </c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9"/>
      <c r="AN157" s="201"/>
      <c r="AO157" s="201"/>
      <c r="AP157" s="201"/>
      <c r="AQ157" s="201"/>
      <c r="AR157" s="201"/>
      <c r="AS157" s="201"/>
      <c r="AT157" s="201"/>
      <c r="AU157" s="11"/>
      <c r="AV157" s="19"/>
      <c r="AW157" s="19"/>
      <c r="AX157" s="19"/>
      <c r="AY157" s="19"/>
      <c r="AZ157" s="19"/>
      <c r="BA157" s="19"/>
      <c r="BB157" s="19"/>
      <c r="BC157" s="19"/>
      <c r="BD157" s="19"/>
      <c r="BE157" s="12"/>
      <c r="BF157" s="63"/>
      <c r="BG157" s="64"/>
      <c r="BH157" s="64"/>
      <c r="BI157" s="64"/>
      <c r="BJ157" s="64"/>
      <c r="BK157" s="65"/>
    </row>
    <row r="158" spans="1:63" s="183" customFormat="1" ht="15" customHeight="1" x14ac:dyDescent="0.25">
      <c r="A158" s="11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2"/>
      <c r="M158" s="201"/>
      <c r="N158" s="201"/>
      <c r="O158" s="204"/>
      <c r="P158" s="208" t="s">
        <v>15</v>
      </c>
      <c r="Q158" s="209"/>
      <c r="R158" s="209"/>
      <c r="S158" s="209"/>
      <c r="T158" s="209"/>
      <c r="U158" s="209"/>
      <c r="V158" s="209"/>
      <c r="W158" s="210" t="s">
        <v>16</v>
      </c>
      <c r="X158" s="211"/>
      <c r="Y158" s="211"/>
      <c r="Z158" s="211"/>
      <c r="AA158" s="211"/>
      <c r="AB158" s="211"/>
      <c r="AC158" s="211"/>
      <c r="AD158" s="211"/>
      <c r="AE158" s="211"/>
      <c r="AF158" s="211"/>
      <c r="AG158" s="211"/>
      <c r="AH158" s="211"/>
      <c r="AI158" s="211"/>
      <c r="AJ158" s="211"/>
      <c r="AK158" s="211"/>
      <c r="AL158" s="211"/>
      <c r="AM158" s="212"/>
      <c r="AN158" s="201"/>
      <c r="AO158" s="201"/>
      <c r="AP158" s="201"/>
      <c r="AQ158" s="201"/>
      <c r="AR158" s="201"/>
      <c r="AS158" s="201"/>
      <c r="AT158" s="201"/>
      <c r="AU158" s="11"/>
      <c r="AV158" s="19"/>
      <c r="AW158" s="19"/>
      <c r="AX158" s="19"/>
      <c r="AY158" s="19"/>
      <c r="AZ158" s="19"/>
      <c r="BA158" s="19"/>
      <c r="BB158" s="19"/>
      <c r="BC158" s="19"/>
      <c r="BD158" s="19"/>
      <c r="BE158" s="12"/>
      <c r="BF158" s="63"/>
      <c r="BG158" s="64"/>
      <c r="BH158" s="64"/>
      <c r="BI158" s="64"/>
      <c r="BJ158" s="64"/>
      <c r="BK158" s="65"/>
    </row>
    <row r="159" spans="1:63" s="183" customFormat="1" ht="15" customHeight="1" x14ac:dyDescent="0.25">
      <c r="A159" s="11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2"/>
      <c r="M159" s="201"/>
      <c r="N159" s="201"/>
      <c r="O159" s="204"/>
      <c r="P159" s="208" t="s">
        <v>97</v>
      </c>
      <c r="Q159" s="209"/>
      <c r="R159" s="209"/>
      <c r="S159" s="209"/>
      <c r="T159" s="209"/>
      <c r="U159" s="209"/>
      <c r="V159" s="209"/>
      <c r="W159" s="210" t="s">
        <v>101</v>
      </c>
      <c r="X159" s="211"/>
      <c r="Y159" s="211"/>
      <c r="Z159" s="211"/>
      <c r="AA159" s="211"/>
      <c r="AB159" s="211"/>
      <c r="AC159" s="211"/>
      <c r="AD159" s="211"/>
      <c r="AE159" s="211"/>
      <c r="AF159" s="211"/>
      <c r="AG159" s="211"/>
      <c r="AH159" s="211"/>
      <c r="AI159" s="211"/>
      <c r="AJ159" s="211"/>
      <c r="AK159" s="211"/>
      <c r="AL159" s="211"/>
      <c r="AM159" s="212"/>
      <c r="AN159" s="201"/>
      <c r="AO159" s="201"/>
      <c r="AP159" s="201"/>
      <c r="AQ159" s="201"/>
      <c r="AR159" s="201"/>
      <c r="AS159" s="201"/>
      <c r="AT159" s="201"/>
      <c r="AU159" s="11"/>
      <c r="AV159" s="19"/>
      <c r="AW159" s="19"/>
      <c r="AX159" s="19"/>
      <c r="AY159" s="19"/>
      <c r="AZ159" s="19"/>
      <c r="BA159" s="19"/>
      <c r="BB159" s="19"/>
      <c r="BC159" s="19"/>
      <c r="BD159" s="19"/>
      <c r="BE159" s="12"/>
      <c r="BF159" s="63"/>
      <c r="BG159" s="64"/>
      <c r="BH159" s="64"/>
      <c r="BI159" s="64"/>
      <c r="BJ159" s="64"/>
      <c r="BK159" s="65"/>
    </row>
    <row r="160" spans="1:63" s="183" customFormat="1" ht="15" customHeight="1" x14ac:dyDescent="0.25">
      <c r="A160" s="11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2"/>
      <c r="M160" s="201"/>
      <c r="N160" s="201"/>
      <c r="O160" s="204"/>
      <c r="P160" s="208" t="s">
        <v>98</v>
      </c>
      <c r="Q160" s="209"/>
      <c r="R160" s="209"/>
      <c r="S160" s="209"/>
      <c r="T160" s="209"/>
      <c r="U160" s="209"/>
      <c r="V160" s="209"/>
      <c r="W160" s="210" t="s">
        <v>102</v>
      </c>
      <c r="X160" s="211"/>
      <c r="Y160" s="211"/>
      <c r="Z160" s="211"/>
      <c r="AA160" s="211"/>
      <c r="AB160" s="211"/>
      <c r="AC160" s="211"/>
      <c r="AD160" s="211"/>
      <c r="AE160" s="211"/>
      <c r="AF160" s="211"/>
      <c r="AG160" s="211"/>
      <c r="AH160" s="211"/>
      <c r="AI160" s="211"/>
      <c r="AJ160" s="211"/>
      <c r="AK160" s="211"/>
      <c r="AL160" s="211"/>
      <c r="AM160" s="212"/>
      <c r="AN160" s="201"/>
      <c r="AO160" s="201"/>
      <c r="AP160" s="201"/>
      <c r="AQ160" s="201"/>
      <c r="AR160" s="201"/>
      <c r="AS160" s="201"/>
      <c r="AT160" s="201"/>
      <c r="AU160" s="11"/>
      <c r="AV160" s="19"/>
      <c r="AW160" s="19"/>
      <c r="AX160" s="19"/>
      <c r="AY160" s="19"/>
      <c r="AZ160" s="19"/>
      <c r="BA160" s="19"/>
      <c r="BB160" s="19"/>
      <c r="BC160" s="19"/>
      <c r="BD160" s="19"/>
      <c r="BE160" s="12"/>
      <c r="BF160" s="63"/>
      <c r="BG160" s="64"/>
      <c r="BH160" s="64"/>
      <c r="BI160" s="64"/>
      <c r="BJ160" s="64"/>
      <c r="BK160" s="65"/>
    </row>
    <row r="161" spans="1:63" s="183" customFormat="1" ht="15" customHeight="1" x14ac:dyDescent="0.25">
      <c r="A161" s="11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2"/>
      <c r="M161" s="201"/>
      <c r="N161" s="201"/>
      <c r="O161" s="204"/>
      <c r="P161" s="208" t="s">
        <v>99</v>
      </c>
      <c r="Q161" s="209"/>
      <c r="R161" s="209"/>
      <c r="S161" s="209"/>
      <c r="T161" s="209"/>
      <c r="U161" s="209"/>
      <c r="V161" s="209"/>
      <c r="W161" s="210" t="s">
        <v>103</v>
      </c>
      <c r="X161" s="211"/>
      <c r="Y161" s="211"/>
      <c r="Z161" s="211"/>
      <c r="AA161" s="211"/>
      <c r="AB161" s="211"/>
      <c r="AC161" s="211"/>
      <c r="AD161" s="211"/>
      <c r="AE161" s="211"/>
      <c r="AF161" s="211"/>
      <c r="AG161" s="211"/>
      <c r="AH161" s="211"/>
      <c r="AI161" s="211"/>
      <c r="AJ161" s="211"/>
      <c r="AK161" s="211"/>
      <c r="AL161" s="211"/>
      <c r="AM161" s="212"/>
      <c r="AN161" s="201"/>
      <c r="AO161" s="201"/>
      <c r="AP161" s="201"/>
      <c r="AQ161" s="201"/>
      <c r="AR161" s="201"/>
      <c r="AS161" s="201"/>
      <c r="AT161" s="201"/>
      <c r="AU161" s="11"/>
      <c r="AV161" s="19"/>
      <c r="AW161" s="19"/>
      <c r="AX161" s="19"/>
      <c r="AY161" s="19"/>
      <c r="AZ161" s="19"/>
      <c r="BA161" s="19"/>
      <c r="BB161" s="19"/>
      <c r="BC161" s="19"/>
      <c r="BD161" s="19"/>
      <c r="BE161" s="12"/>
      <c r="BF161" s="63"/>
      <c r="BG161" s="64"/>
      <c r="BH161" s="64"/>
      <c r="BI161" s="64"/>
      <c r="BJ161" s="64"/>
      <c r="BK161" s="65"/>
    </row>
    <row r="162" spans="1:63" s="183" customFormat="1" ht="15" customHeight="1" x14ac:dyDescent="0.25">
      <c r="A162" s="11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2"/>
      <c r="M162" s="201"/>
      <c r="N162" s="201"/>
      <c r="O162" s="204"/>
      <c r="P162" s="208" t="s">
        <v>100</v>
      </c>
      <c r="Q162" s="209"/>
      <c r="R162" s="209"/>
      <c r="S162" s="209"/>
      <c r="T162" s="209"/>
      <c r="U162" s="209"/>
      <c r="V162" s="209"/>
      <c r="W162" s="210" t="s">
        <v>104</v>
      </c>
      <c r="X162" s="211"/>
      <c r="Y162" s="211"/>
      <c r="Z162" s="211"/>
      <c r="AA162" s="211"/>
      <c r="AB162" s="211"/>
      <c r="AC162" s="211"/>
      <c r="AD162" s="211"/>
      <c r="AE162" s="211"/>
      <c r="AF162" s="211"/>
      <c r="AG162" s="211"/>
      <c r="AH162" s="211"/>
      <c r="AI162" s="211"/>
      <c r="AJ162" s="211"/>
      <c r="AK162" s="211"/>
      <c r="AL162" s="211"/>
      <c r="AM162" s="212"/>
      <c r="AN162" s="201"/>
      <c r="AO162" s="201"/>
      <c r="AP162" s="201"/>
      <c r="AQ162" s="201"/>
      <c r="AR162" s="201"/>
      <c r="AS162" s="201"/>
      <c r="AT162" s="201"/>
      <c r="AU162" s="11"/>
      <c r="AV162" s="19"/>
      <c r="AW162" s="19"/>
      <c r="AX162" s="19"/>
      <c r="AY162" s="19"/>
      <c r="AZ162" s="19"/>
      <c r="BA162" s="19"/>
      <c r="BB162" s="19"/>
      <c r="BC162" s="19"/>
      <c r="BD162" s="19"/>
      <c r="BE162" s="12"/>
      <c r="BF162" s="63"/>
      <c r="BG162" s="64"/>
      <c r="BH162" s="64"/>
      <c r="BI162" s="64"/>
      <c r="BJ162" s="64"/>
      <c r="BK162" s="65"/>
    </row>
    <row r="163" spans="1:63" s="183" customFormat="1" ht="15" customHeight="1" x14ac:dyDescent="0.25">
      <c r="A163" s="11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2"/>
      <c r="M163" s="201"/>
      <c r="N163" s="201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1"/>
      <c r="AK163" s="201"/>
      <c r="AL163" s="201"/>
      <c r="AM163" s="201"/>
      <c r="AN163" s="201"/>
      <c r="AO163" s="201"/>
      <c r="AP163" s="201"/>
      <c r="AQ163" s="201"/>
      <c r="AR163" s="201"/>
      <c r="AS163" s="201"/>
      <c r="AT163" s="201"/>
      <c r="AU163" s="11"/>
      <c r="AV163" s="19"/>
      <c r="AW163" s="19"/>
      <c r="AX163" s="19"/>
      <c r="AY163" s="19"/>
      <c r="AZ163" s="19"/>
      <c r="BA163" s="19"/>
      <c r="BB163" s="19"/>
      <c r="BC163" s="19"/>
      <c r="BD163" s="19"/>
      <c r="BE163" s="12"/>
      <c r="BF163" s="63"/>
      <c r="BG163" s="64"/>
      <c r="BH163" s="64"/>
      <c r="BI163" s="64"/>
      <c r="BJ163" s="64"/>
      <c r="BK163" s="65"/>
    </row>
    <row r="164" spans="1:63" s="183" customFormat="1" ht="15" customHeight="1" x14ac:dyDescent="0.25">
      <c r="A164" s="11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2"/>
      <c r="M164" s="201"/>
      <c r="N164" s="201"/>
      <c r="O164" s="204"/>
      <c r="P164" s="204" t="s">
        <v>96</v>
      </c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1"/>
      <c r="AK164" s="201"/>
      <c r="AL164" s="201"/>
      <c r="AM164" s="201"/>
      <c r="AN164" s="201"/>
      <c r="AO164" s="201"/>
      <c r="AP164" s="201"/>
      <c r="AQ164" s="201"/>
      <c r="AR164" s="201"/>
      <c r="AS164" s="201"/>
      <c r="AT164" s="201"/>
      <c r="AU164" s="11"/>
      <c r="AV164" s="19"/>
      <c r="AW164" s="19"/>
      <c r="AX164" s="19"/>
      <c r="AY164" s="19"/>
      <c r="AZ164" s="19"/>
      <c r="BA164" s="19"/>
      <c r="BB164" s="19"/>
      <c r="BC164" s="19"/>
      <c r="BD164" s="19"/>
      <c r="BE164" s="12"/>
      <c r="BF164" s="63"/>
      <c r="BG164" s="64"/>
      <c r="BH164" s="64"/>
      <c r="BI164" s="64"/>
      <c r="BJ164" s="64"/>
      <c r="BK164" s="65"/>
    </row>
    <row r="165" spans="1:63" s="183" customFormat="1" ht="15" customHeight="1" x14ac:dyDescent="0.25">
      <c r="A165" s="11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2"/>
      <c r="M165" s="201"/>
      <c r="N165" s="201"/>
      <c r="O165" s="204" t="s">
        <v>17</v>
      </c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1"/>
      <c r="AK165" s="201"/>
      <c r="AL165" s="201"/>
      <c r="AM165" s="201"/>
      <c r="AN165" s="201"/>
      <c r="AO165" s="201"/>
      <c r="AP165" s="201"/>
      <c r="AQ165" s="201"/>
      <c r="AR165" s="201"/>
      <c r="AS165" s="201"/>
      <c r="AT165" s="201"/>
      <c r="AU165" s="11"/>
      <c r="AV165" s="19"/>
      <c r="AW165" s="19"/>
      <c r="AX165" s="19"/>
      <c r="AY165" s="19"/>
      <c r="AZ165" s="19"/>
      <c r="BA165" s="19"/>
      <c r="BB165" s="19"/>
      <c r="BC165" s="19"/>
      <c r="BD165" s="19"/>
      <c r="BE165" s="12"/>
      <c r="BF165" s="63"/>
      <c r="BG165" s="64"/>
      <c r="BH165" s="64"/>
      <c r="BI165" s="64"/>
      <c r="BJ165" s="64"/>
      <c r="BK165" s="65"/>
    </row>
    <row r="166" spans="1:63" s="183" customFormat="1" ht="15" customHeight="1" x14ac:dyDescent="0.25">
      <c r="A166" s="11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2"/>
      <c r="M166" s="201"/>
      <c r="N166" s="201"/>
      <c r="O166" s="204"/>
      <c r="P166" s="204" t="s">
        <v>18</v>
      </c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1"/>
      <c r="AK166" s="201"/>
      <c r="AL166" s="201"/>
      <c r="AM166" s="201"/>
      <c r="AN166" s="201"/>
      <c r="AO166" s="201"/>
      <c r="AP166" s="201"/>
      <c r="AQ166" s="201"/>
      <c r="AR166" s="201"/>
      <c r="AS166" s="201"/>
      <c r="AT166" s="201"/>
      <c r="AU166" s="11"/>
      <c r="AV166" s="19"/>
      <c r="AW166" s="19"/>
      <c r="AX166" s="19"/>
      <c r="AY166" s="19"/>
      <c r="AZ166" s="19"/>
      <c r="BA166" s="19"/>
      <c r="BB166" s="19"/>
      <c r="BC166" s="19"/>
      <c r="BD166" s="19"/>
      <c r="BE166" s="12"/>
      <c r="BF166" s="63"/>
      <c r="BG166" s="64"/>
      <c r="BH166" s="64"/>
      <c r="BI166" s="64"/>
      <c r="BJ166" s="64"/>
      <c r="BK166" s="65"/>
    </row>
    <row r="167" spans="1:63" s="183" customFormat="1" ht="15" customHeight="1" x14ac:dyDescent="0.25">
      <c r="A167" s="11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2"/>
      <c r="M167" s="201"/>
      <c r="N167" s="201"/>
      <c r="O167" s="204"/>
      <c r="P167" s="204"/>
      <c r="Q167" s="204" t="s">
        <v>95</v>
      </c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1"/>
      <c r="AO167" s="201"/>
      <c r="AP167" s="201"/>
      <c r="AQ167" s="201"/>
      <c r="AR167" s="201"/>
      <c r="AS167" s="201"/>
      <c r="AT167" s="201"/>
      <c r="AU167" s="11"/>
      <c r="AV167" s="19"/>
      <c r="AW167" s="19"/>
      <c r="AX167" s="19"/>
      <c r="AY167" s="19"/>
      <c r="AZ167" s="19"/>
      <c r="BA167" s="19"/>
      <c r="BB167" s="19"/>
      <c r="BC167" s="19"/>
      <c r="BD167" s="19"/>
      <c r="BE167" s="12"/>
      <c r="BF167" s="63"/>
      <c r="BG167" s="64"/>
      <c r="BH167" s="64"/>
      <c r="BI167" s="64"/>
      <c r="BJ167" s="64"/>
      <c r="BK167" s="65"/>
    </row>
    <row r="168" spans="1:63" s="183" customFormat="1" ht="15" customHeight="1" x14ac:dyDescent="0.25">
      <c r="A168" s="11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2"/>
      <c r="M168" s="201"/>
      <c r="N168" s="201"/>
      <c r="O168" s="204"/>
      <c r="P168" s="204"/>
      <c r="Q168" s="204" t="s">
        <v>13</v>
      </c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1"/>
      <c r="AO168" s="201"/>
      <c r="AP168" s="201"/>
      <c r="AQ168" s="201"/>
      <c r="AR168" s="201"/>
      <c r="AS168" s="201"/>
      <c r="AT168" s="201"/>
      <c r="AU168" s="11"/>
      <c r="AV168" s="19"/>
      <c r="AW168" s="19"/>
      <c r="AX168" s="19"/>
      <c r="AY168" s="19"/>
      <c r="AZ168" s="19"/>
      <c r="BA168" s="19"/>
      <c r="BB168" s="19"/>
      <c r="BC168" s="19"/>
      <c r="BD168" s="19"/>
      <c r="BE168" s="12"/>
      <c r="BF168" s="63"/>
      <c r="BG168" s="64"/>
      <c r="BH168" s="64"/>
      <c r="BI168" s="64"/>
      <c r="BJ168" s="64"/>
      <c r="BK168" s="65"/>
    </row>
    <row r="169" spans="1:63" s="183" customFormat="1" ht="15" customHeight="1" x14ac:dyDescent="0.25">
      <c r="A169" s="11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2"/>
      <c r="M169" s="201"/>
      <c r="N169" s="201"/>
      <c r="O169" s="204"/>
      <c r="P169" s="204"/>
      <c r="Q169" s="204"/>
      <c r="R169" s="204" t="s">
        <v>53</v>
      </c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1"/>
      <c r="AO169" s="201"/>
      <c r="AP169" s="201"/>
      <c r="AQ169" s="201"/>
      <c r="AR169" s="201"/>
      <c r="AS169" s="201"/>
      <c r="AT169" s="201"/>
      <c r="AU169" s="11"/>
      <c r="AV169" s="19"/>
      <c r="AW169" s="19"/>
      <c r="AX169" s="19"/>
      <c r="AY169" s="19"/>
      <c r="AZ169" s="19"/>
      <c r="BA169" s="19"/>
      <c r="BB169" s="19"/>
      <c r="BC169" s="19"/>
      <c r="BD169" s="19"/>
      <c r="BE169" s="12"/>
      <c r="BF169" s="63"/>
      <c r="BG169" s="64"/>
      <c r="BH169" s="64"/>
      <c r="BI169" s="64"/>
      <c r="BJ169" s="64"/>
      <c r="BK169" s="65"/>
    </row>
    <row r="170" spans="1:63" s="183" customFormat="1" ht="15" customHeight="1" x14ac:dyDescent="0.25">
      <c r="A170" s="11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2"/>
      <c r="M170" s="201"/>
      <c r="N170" s="201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1"/>
      <c r="AO170" s="201"/>
      <c r="AP170" s="201"/>
      <c r="AQ170" s="201"/>
      <c r="AR170" s="201"/>
      <c r="AS170" s="201"/>
      <c r="AT170" s="201"/>
      <c r="AU170" s="11"/>
      <c r="AV170" s="19"/>
      <c r="AW170" s="19"/>
      <c r="AX170" s="19"/>
      <c r="AY170" s="19"/>
      <c r="AZ170" s="19"/>
      <c r="BA170" s="19"/>
      <c r="BB170" s="19"/>
      <c r="BC170" s="19"/>
      <c r="BD170" s="19"/>
      <c r="BE170" s="12"/>
      <c r="BF170" s="63"/>
      <c r="BG170" s="64"/>
      <c r="BH170" s="64"/>
      <c r="BI170" s="64"/>
      <c r="BJ170" s="64"/>
      <c r="BK170" s="65"/>
    </row>
    <row r="171" spans="1:63" s="183" customFormat="1" ht="15" customHeight="1" x14ac:dyDescent="0.25">
      <c r="A171" s="11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2"/>
      <c r="M171" s="201"/>
      <c r="N171" s="201"/>
      <c r="O171" s="204"/>
      <c r="P171" s="201" t="s">
        <v>19</v>
      </c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1"/>
      <c r="AO171" s="201"/>
      <c r="AP171" s="201"/>
      <c r="AQ171" s="201"/>
      <c r="AR171" s="201"/>
      <c r="AS171" s="201"/>
      <c r="AT171" s="201"/>
      <c r="AU171" s="11"/>
      <c r="AV171" s="19"/>
      <c r="AW171" s="19"/>
      <c r="AX171" s="19"/>
      <c r="AY171" s="19"/>
      <c r="AZ171" s="19"/>
      <c r="BA171" s="19"/>
      <c r="BB171" s="19"/>
      <c r="BC171" s="19"/>
      <c r="BD171" s="19"/>
      <c r="BE171" s="12"/>
      <c r="BF171" s="63"/>
      <c r="BG171" s="64"/>
      <c r="BH171" s="64"/>
      <c r="BI171" s="64"/>
      <c r="BJ171" s="64"/>
      <c r="BK171" s="65"/>
    </row>
    <row r="172" spans="1:63" s="183" customFormat="1" ht="15" customHeight="1" x14ac:dyDescent="0.25">
      <c r="A172" s="11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2"/>
      <c r="M172" s="201"/>
      <c r="N172" s="201"/>
      <c r="O172" s="204"/>
      <c r="P172" s="204"/>
      <c r="Q172" s="204" t="s">
        <v>95</v>
      </c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1"/>
      <c r="AO172" s="201"/>
      <c r="AP172" s="201"/>
      <c r="AQ172" s="201"/>
      <c r="AR172" s="201"/>
      <c r="AS172" s="201"/>
      <c r="AT172" s="201"/>
      <c r="AU172" s="11"/>
      <c r="AV172" s="19"/>
      <c r="AW172" s="19"/>
      <c r="AX172" s="19"/>
      <c r="AY172" s="19"/>
      <c r="AZ172" s="19"/>
      <c r="BA172" s="19"/>
      <c r="BB172" s="19"/>
      <c r="BC172" s="19"/>
      <c r="BD172" s="19"/>
      <c r="BE172" s="12"/>
      <c r="BF172" s="63"/>
      <c r="BG172" s="64"/>
      <c r="BH172" s="64"/>
      <c r="BI172" s="64"/>
      <c r="BJ172" s="64"/>
      <c r="BK172" s="65"/>
    </row>
    <row r="173" spans="1:63" s="183" customFormat="1" ht="15" customHeight="1" x14ac:dyDescent="0.25">
      <c r="A173" s="11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2"/>
      <c r="M173" s="201"/>
      <c r="N173" s="201"/>
      <c r="O173" s="204"/>
      <c r="P173" s="204"/>
      <c r="Q173" s="204" t="s">
        <v>55</v>
      </c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1"/>
      <c r="AK173" s="201"/>
      <c r="AL173" s="201"/>
      <c r="AM173" s="201"/>
      <c r="AN173" s="201"/>
      <c r="AO173" s="201"/>
      <c r="AP173" s="201"/>
      <c r="AQ173" s="201"/>
      <c r="AR173" s="201"/>
      <c r="AS173" s="201"/>
      <c r="AT173" s="201"/>
      <c r="AU173" s="11"/>
      <c r="AV173" s="19"/>
      <c r="AW173" s="19"/>
      <c r="AX173" s="19"/>
      <c r="AY173" s="19"/>
      <c r="AZ173" s="19"/>
      <c r="BA173" s="19"/>
      <c r="BB173" s="19"/>
      <c r="BC173" s="19"/>
      <c r="BD173" s="19"/>
      <c r="BE173" s="12"/>
      <c r="BF173" s="63"/>
      <c r="BG173" s="64"/>
      <c r="BH173" s="64"/>
      <c r="BI173" s="64"/>
      <c r="BJ173" s="64"/>
      <c r="BK173" s="65"/>
    </row>
    <row r="174" spans="1:63" s="183" customFormat="1" ht="15" customHeight="1" x14ac:dyDescent="0.25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5"/>
      <c r="M174" s="205"/>
      <c r="N174" s="206"/>
      <c r="O174" s="206"/>
      <c r="P174" s="206"/>
      <c r="Q174" s="206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7"/>
      <c r="AQ174" s="207"/>
      <c r="AR174" s="207"/>
      <c r="AS174" s="207"/>
      <c r="AT174" s="207"/>
      <c r="AU174" s="13"/>
      <c r="AV174" s="14"/>
      <c r="AW174" s="14"/>
      <c r="AX174" s="14"/>
      <c r="AY174" s="14"/>
      <c r="AZ174" s="14"/>
      <c r="BA174" s="14"/>
      <c r="BB174" s="14"/>
      <c r="BC174" s="14"/>
      <c r="BD174" s="14"/>
      <c r="BE174" s="15"/>
      <c r="BF174" s="72"/>
      <c r="BG174" s="73"/>
      <c r="BH174" s="73"/>
      <c r="BI174" s="73"/>
      <c r="BJ174" s="73"/>
      <c r="BK174" s="74"/>
    </row>
    <row r="175" spans="1:63" ht="15" customHeight="1" x14ac:dyDescent="0.25">
      <c r="A175" s="21"/>
      <c r="BK175" s="6"/>
    </row>
    <row r="176" spans="1:63" ht="15" customHeight="1" x14ac:dyDescent="0.25">
      <c r="A176" s="21"/>
      <c r="BK176" s="6"/>
    </row>
    <row r="177" spans="1:63" ht="15" customHeight="1" x14ac:dyDescent="0.25">
      <c r="A177" s="21"/>
      <c r="BK177" s="6"/>
    </row>
    <row r="178" spans="1:63" s="183" customFormat="1" ht="15" customHeight="1" x14ac:dyDescent="0.25">
      <c r="A178" s="189" t="s">
        <v>3</v>
      </c>
      <c r="B178" s="190"/>
      <c r="C178" s="190"/>
      <c r="D178" s="190"/>
      <c r="E178" s="190"/>
      <c r="F178" s="191"/>
      <c r="G178" s="185" t="s">
        <v>105</v>
      </c>
      <c r="H178" s="185"/>
      <c r="I178" s="185"/>
      <c r="J178" s="185"/>
      <c r="K178" s="185"/>
      <c r="L178" s="185"/>
      <c r="M178" s="192" t="s">
        <v>106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193"/>
      <c r="BI178" s="193"/>
      <c r="BJ178" s="193"/>
      <c r="BK178" s="194"/>
    </row>
    <row r="179" spans="1:63" s="183" customFormat="1" ht="15" customHeight="1" x14ac:dyDescent="0.25">
      <c r="A179" s="195" t="s">
        <v>4</v>
      </c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7"/>
      <c r="M179" s="195" t="s">
        <v>5</v>
      </c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  <c r="AL179" s="196"/>
      <c r="AM179" s="196"/>
      <c r="AN179" s="196"/>
      <c r="AO179" s="196"/>
      <c r="AP179" s="196"/>
      <c r="AQ179" s="196"/>
      <c r="AR179" s="196"/>
      <c r="AS179" s="196"/>
      <c r="AT179" s="197"/>
      <c r="AU179" s="195" t="s">
        <v>6</v>
      </c>
      <c r="AV179" s="196"/>
      <c r="AW179" s="196"/>
      <c r="AX179" s="196"/>
      <c r="AY179" s="196"/>
      <c r="AZ179" s="196"/>
      <c r="BA179" s="196"/>
      <c r="BB179" s="196"/>
      <c r="BC179" s="196"/>
      <c r="BD179" s="196"/>
      <c r="BE179" s="196"/>
      <c r="BF179" s="195" t="s">
        <v>7</v>
      </c>
      <c r="BG179" s="196"/>
      <c r="BH179" s="196"/>
      <c r="BI179" s="196"/>
      <c r="BJ179" s="196"/>
      <c r="BK179" s="197"/>
    </row>
    <row r="180" spans="1:63" s="183" customFormat="1" ht="15" customHeight="1" x14ac:dyDescent="0.2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200"/>
      <c r="M180" s="198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  <c r="AA180" s="199"/>
      <c r="AB180" s="199"/>
      <c r="AC180" s="199"/>
      <c r="AD180" s="199"/>
      <c r="AE180" s="199"/>
      <c r="AF180" s="199"/>
      <c r="AG180" s="199"/>
      <c r="AH180" s="199"/>
      <c r="AI180" s="199"/>
      <c r="AJ180" s="199"/>
      <c r="AK180" s="199"/>
      <c r="AL180" s="199"/>
      <c r="AM180" s="199"/>
      <c r="AN180" s="199"/>
      <c r="AO180" s="199"/>
      <c r="AP180" s="199"/>
      <c r="AQ180" s="199"/>
      <c r="AR180" s="199"/>
      <c r="AS180" s="199"/>
      <c r="AT180" s="200"/>
      <c r="AU180" s="198"/>
      <c r="AV180" s="199"/>
      <c r="AW180" s="199"/>
      <c r="AX180" s="199"/>
      <c r="AY180" s="199"/>
      <c r="AZ180" s="199"/>
      <c r="BA180" s="199"/>
      <c r="BB180" s="199"/>
      <c r="BC180" s="199"/>
      <c r="BD180" s="199"/>
      <c r="BE180" s="199"/>
      <c r="BF180" s="198"/>
      <c r="BG180" s="199"/>
      <c r="BH180" s="199"/>
      <c r="BI180" s="199"/>
      <c r="BJ180" s="199"/>
      <c r="BK180" s="200"/>
    </row>
    <row r="181" spans="1:63" s="183" customFormat="1" ht="15" customHeight="1" x14ac:dyDescent="0.25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0"/>
      <c r="M181" s="201"/>
      <c r="N181" s="201"/>
      <c r="O181" s="201"/>
      <c r="P181" s="201"/>
      <c r="Q181" s="201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  <c r="AC181" s="202"/>
      <c r="AD181" s="202"/>
      <c r="AE181" s="202"/>
      <c r="AF181" s="202"/>
      <c r="AG181" s="202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8"/>
      <c r="AV181" s="9"/>
      <c r="AW181" s="9"/>
      <c r="AX181" s="9"/>
      <c r="AY181" s="9"/>
      <c r="AZ181" s="9"/>
      <c r="BA181" s="9"/>
      <c r="BB181" s="9"/>
      <c r="BC181" s="9"/>
      <c r="BD181" s="9"/>
      <c r="BE181" s="10"/>
      <c r="BF181" s="60" t="s">
        <v>170</v>
      </c>
      <c r="BG181" s="61"/>
      <c r="BH181" s="61"/>
      <c r="BI181" s="61"/>
      <c r="BJ181" s="61"/>
      <c r="BK181" s="62"/>
    </row>
    <row r="182" spans="1:63" s="183" customFormat="1" ht="15" customHeight="1" x14ac:dyDescent="0.25">
      <c r="A182" s="11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2"/>
      <c r="M182" s="201"/>
      <c r="N182" s="22" t="s">
        <v>171</v>
      </c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  <c r="AA182" s="201"/>
      <c r="AB182" s="201"/>
      <c r="AC182" s="201"/>
      <c r="AD182" s="201"/>
      <c r="AE182" s="201"/>
      <c r="AF182" s="201"/>
      <c r="AG182" s="201"/>
      <c r="AH182" s="201"/>
      <c r="AI182" s="201"/>
      <c r="AJ182" s="201"/>
      <c r="AK182" s="201"/>
      <c r="AL182" s="201"/>
      <c r="AM182" s="201"/>
      <c r="AN182" s="201"/>
      <c r="AO182" s="201"/>
      <c r="AP182" s="201"/>
      <c r="AQ182" s="201"/>
      <c r="AR182" s="201"/>
      <c r="AS182" s="201"/>
      <c r="AT182" s="201"/>
      <c r="AU182" s="11"/>
      <c r="AV182" s="19"/>
      <c r="AW182" s="19"/>
      <c r="AX182" s="19"/>
      <c r="AY182" s="19"/>
      <c r="AZ182" s="19"/>
      <c r="BA182" s="19"/>
      <c r="BB182" s="19"/>
      <c r="BC182" s="19"/>
      <c r="BD182" s="19"/>
      <c r="BE182" s="12"/>
      <c r="BF182" s="63"/>
      <c r="BG182" s="64"/>
      <c r="BH182" s="64"/>
      <c r="BI182" s="64"/>
      <c r="BJ182" s="64"/>
      <c r="BK182" s="65"/>
    </row>
    <row r="183" spans="1:63" s="183" customFormat="1" ht="15" customHeight="1" x14ac:dyDescent="0.25">
      <c r="A183" s="11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2"/>
      <c r="M183" s="201"/>
      <c r="N183" s="201"/>
      <c r="O183" s="204" t="s">
        <v>12</v>
      </c>
      <c r="P183" s="204"/>
      <c r="Q183" s="204"/>
      <c r="R183" s="204"/>
      <c r="S183" s="201"/>
      <c r="T183" s="201"/>
      <c r="U183" s="201"/>
      <c r="V183" s="201"/>
      <c r="W183" s="201"/>
      <c r="X183" s="201"/>
      <c r="Y183" s="201"/>
      <c r="Z183" s="201"/>
      <c r="AA183" s="201"/>
      <c r="AB183" s="201"/>
      <c r="AC183" s="201"/>
      <c r="AD183" s="201"/>
      <c r="AE183" s="201"/>
      <c r="AF183" s="201"/>
      <c r="AG183" s="201"/>
      <c r="AH183" s="201"/>
      <c r="AI183" s="201"/>
      <c r="AJ183" s="201"/>
      <c r="AK183" s="201"/>
      <c r="AL183" s="201"/>
      <c r="AM183" s="201"/>
      <c r="AN183" s="201"/>
      <c r="AO183" s="201"/>
      <c r="AP183" s="201"/>
      <c r="AQ183" s="201"/>
      <c r="AR183" s="201"/>
      <c r="AS183" s="201"/>
      <c r="AT183" s="201"/>
      <c r="AU183" s="11"/>
      <c r="AV183" s="19"/>
      <c r="AW183" s="19"/>
      <c r="AX183" s="19"/>
      <c r="AY183" s="19"/>
      <c r="AZ183" s="19"/>
      <c r="BA183" s="19"/>
      <c r="BB183" s="19"/>
      <c r="BC183" s="19"/>
      <c r="BD183" s="19"/>
      <c r="BE183" s="12"/>
      <c r="BF183" s="63"/>
      <c r="BG183" s="64"/>
      <c r="BH183" s="64"/>
      <c r="BI183" s="64"/>
      <c r="BJ183" s="64"/>
      <c r="BK183" s="65"/>
    </row>
    <row r="184" spans="1:63" s="183" customFormat="1" ht="15" customHeight="1" x14ac:dyDescent="0.25">
      <c r="A184" s="11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2"/>
      <c r="M184" s="201"/>
      <c r="N184" s="201"/>
      <c r="O184" s="204"/>
      <c r="P184" s="204" t="s">
        <v>107</v>
      </c>
      <c r="Q184" s="204"/>
      <c r="R184" s="204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1"/>
      <c r="AD184" s="201"/>
      <c r="AE184" s="201"/>
      <c r="AF184" s="201"/>
      <c r="AG184" s="201"/>
      <c r="AH184" s="201"/>
      <c r="AI184" s="201"/>
      <c r="AJ184" s="201"/>
      <c r="AK184" s="201"/>
      <c r="AL184" s="201"/>
      <c r="AM184" s="201"/>
      <c r="AN184" s="201"/>
      <c r="AO184" s="201"/>
      <c r="AP184" s="201"/>
      <c r="AQ184" s="201"/>
      <c r="AR184" s="201"/>
      <c r="AS184" s="201"/>
      <c r="AT184" s="201"/>
      <c r="AU184" s="11"/>
      <c r="AV184" s="19"/>
      <c r="AW184" s="19"/>
      <c r="AX184" s="19"/>
      <c r="AY184" s="19"/>
      <c r="AZ184" s="19"/>
      <c r="BA184" s="19"/>
      <c r="BB184" s="19"/>
      <c r="BC184" s="19"/>
      <c r="BD184" s="19"/>
      <c r="BE184" s="12"/>
      <c r="BF184" s="63"/>
      <c r="BG184" s="64"/>
      <c r="BH184" s="64"/>
      <c r="BI184" s="64"/>
      <c r="BJ184" s="64"/>
      <c r="BK184" s="65"/>
    </row>
    <row r="185" spans="1:63" s="183" customFormat="1" ht="15" customHeight="1" x14ac:dyDescent="0.25">
      <c r="A185" s="11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2"/>
      <c r="M185" s="201"/>
      <c r="N185" s="201"/>
      <c r="O185" s="204"/>
      <c r="P185" s="204"/>
      <c r="Q185" s="204" t="s">
        <v>108</v>
      </c>
      <c r="R185" s="204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1"/>
      <c r="AD185" s="201"/>
      <c r="AE185" s="201"/>
      <c r="AF185" s="201"/>
      <c r="AG185" s="201"/>
      <c r="AH185" s="201"/>
      <c r="AI185" s="201"/>
      <c r="AJ185" s="201"/>
      <c r="AK185" s="201"/>
      <c r="AL185" s="201"/>
      <c r="AM185" s="201"/>
      <c r="AN185" s="201"/>
      <c r="AO185" s="201"/>
      <c r="AP185" s="201"/>
      <c r="AQ185" s="201"/>
      <c r="AR185" s="201"/>
      <c r="AS185" s="201"/>
      <c r="AT185" s="201"/>
      <c r="AU185" s="11"/>
      <c r="AV185" s="19"/>
      <c r="AW185" s="19"/>
      <c r="AX185" s="19"/>
      <c r="AY185" s="19"/>
      <c r="AZ185" s="19"/>
      <c r="BA185" s="19"/>
      <c r="BB185" s="19"/>
      <c r="BC185" s="19"/>
      <c r="BD185" s="19"/>
      <c r="BE185" s="12"/>
      <c r="BF185" s="63"/>
      <c r="BG185" s="64"/>
      <c r="BH185" s="64"/>
      <c r="BI185" s="64"/>
      <c r="BJ185" s="64"/>
      <c r="BK185" s="65"/>
    </row>
    <row r="186" spans="1:63" s="183" customFormat="1" ht="15" customHeight="1" x14ac:dyDescent="0.25">
      <c r="A186" s="11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2"/>
      <c r="M186" s="201"/>
      <c r="N186" s="201"/>
      <c r="O186" s="204"/>
      <c r="P186" s="204" t="s">
        <v>109</v>
      </c>
      <c r="Q186" s="204"/>
      <c r="R186" s="204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1"/>
      <c r="AD186" s="201"/>
      <c r="AE186" s="201"/>
      <c r="AF186" s="201"/>
      <c r="AG186" s="201"/>
      <c r="AH186" s="201"/>
      <c r="AI186" s="201"/>
      <c r="AJ186" s="201"/>
      <c r="AK186" s="201"/>
      <c r="AL186" s="201"/>
      <c r="AM186" s="201"/>
      <c r="AN186" s="201"/>
      <c r="AO186" s="201"/>
      <c r="AP186" s="201"/>
      <c r="AQ186" s="201"/>
      <c r="AR186" s="201"/>
      <c r="AS186" s="201"/>
      <c r="AT186" s="201"/>
      <c r="AU186" s="11"/>
      <c r="AV186" s="19"/>
      <c r="AW186" s="19"/>
      <c r="AX186" s="19"/>
      <c r="AY186" s="19"/>
      <c r="AZ186" s="19"/>
      <c r="BA186" s="19"/>
      <c r="BB186" s="19"/>
      <c r="BC186" s="19"/>
      <c r="BD186" s="19"/>
      <c r="BE186" s="12"/>
      <c r="BF186" s="63"/>
      <c r="BG186" s="64"/>
      <c r="BH186" s="64"/>
      <c r="BI186" s="64"/>
      <c r="BJ186" s="64"/>
      <c r="BK186" s="65"/>
    </row>
    <row r="187" spans="1:63" s="183" customFormat="1" ht="15" customHeight="1" x14ac:dyDescent="0.25">
      <c r="A187" s="11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2"/>
      <c r="M187" s="201"/>
      <c r="N187" s="201"/>
      <c r="O187" s="204"/>
      <c r="P187" s="204"/>
      <c r="Q187" s="204" t="s">
        <v>108</v>
      </c>
      <c r="R187" s="204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  <c r="AC187" s="201"/>
      <c r="AD187" s="201"/>
      <c r="AE187" s="201"/>
      <c r="AF187" s="201"/>
      <c r="AG187" s="201"/>
      <c r="AH187" s="201"/>
      <c r="AI187" s="201"/>
      <c r="AJ187" s="201"/>
      <c r="AK187" s="201"/>
      <c r="AL187" s="201"/>
      <c r="AM187" s="201"/>
      <c r="AN187" s="201"/>
      <c r="AO187" s="201"/>
      <c r="AP187" s="201"/>
      <c r="AQ187" s="201"/>
      <c r="AR187" s="201"/>
      <c r="AS187" s="201"/>
      <c r="AT187" s="201"/>
      <c r="AU187" s="11"/>
      <c r="AV187" s="19"/>
      <c r="AW187" s="19"/>
      <c r="AX187" s="19"/>
      <c r="AY187" s="19"/>
      <c r="AZ187" s="19"/>
      <c r="BA187" s="19"/>
      <c r="BB187" s="19"/>
      <c r="BC187" s="19"/>
      <c r="BD187" s="19"/>
      <c r="BE187" s="12"/>
      <c r="BF187" s="63"/>
      <c r="BG187" s="64"/>
      <c r="BH187" s="64"/>
      <c r="BI187" s="64"/>
      <c r="BJ187" s="64"/>
      <c r="BK187" s="65"/>
    </row>
    <row r="188" spans="1:63" s="183" customFormat="1" ht="15" customHeight="1" x14ac:dyDescent="0.25">
      <c r="A188" s="11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2"/>
      <c r="M188" s="201"/>
      <c r="N188" s="201"/>
      <c r="O188" s="204"/>
      <c r="P188" s="204" t="s">
        <v>21</v>
      </c>
      <c r="Q188" s="204"/>
      <c r="R188" s="204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1"/>
      <c r="AD188" s="201"/>
      <c r="AE188" s="201"/>
      <c r="AF188" s="201"/>
      <c r="AG188" s="201"/>
      <c r="AH188" s="201"/>
      <c r="AI188" s="201"/>
      <c r="AJ188" s="201"/>
      <c r="AK188" s="201"/>
      <c r="AL188" s="201"/>
      <c r="AM188" s="201"/>
      <c r="AN188" s="201"/>
      <c r="AO188" s="201"/>
      <c r="AP188" s="201"/>
      <c r="AQ188" s="201"/>
      <c r="AR188" s="201"/>
      <c r="AS188" s="201"/>
      <c r="AT188" s="201"/>
      <c r="AU188" s="11"/>
      <c r="AV188" s="19"/>
      <c r="AW188" s="19"/>
      <c r="AX188" s="19"/>
      <c r="AY188" s="19"/>
      <c r="AZ188" s="19"/>
      <c r="BA188" s="19"/>
      <c r="BB188" s="19"/>
      <c r="BC188" s="19"/>
      <c r="BD188" s="19"/>
      <c r="BE188" s="12"/>
      <c r="BF188" s="63"/>
      <c r="BG188" s="64"/>
      <c r="BH188" s="64"/>
      <c r="BI188" s="64"/>
      <c r="BJ188" s="64"/>
      <c r="BK188" s="65"/>
    </row>
    <row r="189" spans="1:63" s="183" customFormat="1" ht="15" customHeight="1" x14ac:dyDescent="0.25">
      <c r="A189" s="11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2"/>
      <c r="M189" s="30"/>
      <c r="N189" s="30"/>
      <c r="O189" s="31"/>
      <c r="P189" s="31"/>
      <c r="Q189" s="31" t="s">
        <v>20</v>
      </c>
      <c r="R189" s="31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11"/>
      <c r="AV189" s="19"/>
      <c r="AW189" s="19"/>
      <c r="AX189" s="19"/>
      <c r="AY189" s="19"/>
      <c r="AZ189" s="19"/>
      <c r="BA189" s="19"/>
      <c r="BB189" s="19"/>
      <c r="BC189" s="19"/>
      <c r="BD189" s="19"/>
      <c r="BE189" s="12"/>
      <c r="BF189" s="63"/>
      <c r="BG189" s="64"/>
      <c r="BH189" s="64"/>
      <c r="BI189" s="64"/>
      <c r="BJ189" s="64"/>
      <c r="BK189" s="65"/>
    </row>
    <row r="190" spans="1:63" s="183" customFormat="1" ht="15" customHeight="1" x14ac:dyDescent="0.25">
      <c r="A190" s="11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2"/>
      <c r="M190" s="30"/>
      <c r="N190" s="30"/>
      <c r="O190" s="31"/>
      <c r="P190" s="31"/>
      <c r="Q190" s="31" t="s">
        <v>33</v>
      </c>
      <c r="R190" s="31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11"/>
      <c r="AV190" s="19"/>
      <c r="AW190" s="19"/>
      <c r="AX190" s="19"/>
      <c r="AY190" s="19"/>
      <c r="AZ190" s="19"/>
      <c r="BA190" s="19"/>
      <c r="BB190" s="19"/>
      <c r="BC190" s="19"/>
      <c r="BD190" s="19"/>
      <c r="BE190" s="12"/>
      <c r="BF190" s="63"/>
      <c r="BG190" s="64"/>
      <c r="BH190" s="64"/>
      <c r="BI190" s="64"/>
      <c r="BJ190" s="64"/>
      <c r="BK190" s="65"/>
    </row>
    <row r="191" spans="1:63" s="183" customFormat="1" ht="15" customHeight="1" x14ac:dyDescent="0.25">
      <c r="A191" s="11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2"/>
      <c r="M191" s="30"/>
      <c r="N191" s="30"/>
      <c r="O191" s="31"/>
      <c r="P191" s="31"/>
      <c r="Q191" s="31" t="s">
        <v>39</v>
      </c>
      <c r="R191" s="31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11"/>
      <c r="AV191" s="19"/>
      <c r="AW191" s="19"/>
      <c r="AX191" s="19"/>
      <c r="AY191" s="19"/>
      <c r="AZ191" s="19"/>
      <c r="BA191" s="19"/>
      <c r="BB191" s="19"/>
      <c r="BC191" s="19"/>
      <c r="BD191" s="19"/>
      <c r="BE191" s="12"/>
      <c r="BF191" s="63"/>
      <c r="BG191" s="64"/>
      <c r="BH191" s="64"/>
      <c r="BI191" s="64"/>
      <c r="BJ191" s="64"/>
      <c r="BK191" s="65"/>
    </row>
    <row r="192" spans="1:63" s="183" customFormat="1" ht="15" customHeight="1" x14ac:dyDescent="0.25">
      <c r="A192" s="11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2"/>
      <c r="M192" s="30"/>
      <c r="N192" s="30"/>
      <c r="O192" s="31"/>
      <c r="P192" s="31" t="s">
        <v>22</v>
      </c>
      <c r="Q192" s="31"/>
      <c r="R192" s="31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11"/>
      <c r="AV192" s="19"/>
      <c r="AW192" s="19"/>
      <c r="AX192" s="19"/>
      <c r="AY192" s="19"/>
      <c r="AZ192" s="19"/>
      <c r="BA192" s="19"/>
      <c r="BB192" s="19"/>
      <c r="BC192" s="19"/>
      <c r="BD192" s="19"/>
      <c r="BE192" s="12"/>
      <c r="BF192" s="63"/>
      <c r="BG192" s="64"/>
      <c r="BH192" s="64"/>
      <c r="BI192" s="64"/>
      <c r="BJ192" s="64"/>
      <c r="BK192" s="65"/>
    </row>
    <row r="193" spans="1:63" s="183" customFormat="1" ht="15" customHeight="1" x14ac:dyDescent="0.25">
      <c r="A193" s="11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2"/>
      <c r="M193" s="30"/>
      <c r="N193" s="30"/>
      <c r="O193" s="31"/>
      <c r="P193" s="31"/>
      <c r="Q193" s="31" t="s">
        <v>20</v>
      </c>
      <c r="R193" s="31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11"/>
      <c r="AV193" s="19"/>
      <c r="AW193" s="19"/>
      <c r="AX193" s="19"/>
      <c r="AY193" s="19"/>
      <c r="AZ193" s="19"/>
      <c r="BA193" s="19"/>
      <c r="BB193" s="19"/>
      <c r="BC193" s="19"/>
      <c r="BD193" s="19"/>
      <c r="BE193" s="12"/>
      <c r="BF193" s="63"/>
      <c r="BG193" s="64"/>
      <c r="BH193" s="64"/>
      <c r="BI193" s="64"/>
      <c r="BJ193" s="64"/>
      <c r="BK193" s="65"/>
    </row>
    <row r="194" spans="1:63" s="183" customFormat="1" ht="15" customHeight="1" x14ac:dyDescent="0.25">
      <c r="A194" s="11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2"/>
      <c r="M194" s="30"/>
      <c r="N194" s="30"/>
      <c r="O194" s="31"/>
      <c r="P194" s="31"/>
      <c r="Q194" s="31" t="s">
        <v>28</v>
      </c>
      <c r="R194" s="31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11"/>
      <c r="AV194" s="19"/>
      <c r="AW194" s="19"/>
      <c r="AX194" s="19"/>
      <c r="AY194" s="19"/>
      <c r="AZ194" s="19"/>
      <c r="BA194" s="19"/>
      <c r="BB194" s="19"/>
      <c r="BC194" s="19"/>
      <c r="BD194" s="19"/>
      <c r="BE194" s="12"/>
      <c r="BF194" s="63"/>
      <c r="BG194" s="64"/>
      <c r="BH194" s="64"/>
      <c r="BI194" s="64"/>
      <c r="BJ194" s="64"/>
      <c r="BK194" s="65"/>
    </row>
    <row r="195" spans="1:63" s="183" customFormat="1" ht="15" customHeight="1" x14ac:dyDescent="0.25">
      <c r="A195" s="11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2"/>
      <c r="M195" s="30"/>
      <c r="N195" s="30"/>
      <c r="O195" s="31"/>
      <c r="P195" s="31"/>
      <c r="Q195" s="31" t="s">
        <v>33</v>
      </c>
      <c r="R195" s="31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11"/>
      <c r="AV195" s="19"/>
      <c r="AW195" s="19"/>
      <c r="AX195" s="19"/>
      <c r="AY195" s="19"/>
      <c r="AZ195" s="19"/>
      <c r="BA195" s="19"/>
      <c r="BB195" s="19"/>
      <c r="BC195" s="19"/>
      <c r="BD195" s="19"/>
      <c r="BE195" s="12"/>
      <c r="BF195" s="63"/>
      <c r="BG195" s="64"/>
      <c r="BH195" s="64"/>
      <c r="BI195" s="64"/>
      <c r="BJ195" s="64"/>
      <c r="BK195" s="65"/>
    </row>
    <row r="196" spans="1:63" s="183" customFormat="1" ht="15" customHeight="1" x14ac:dyDescent="0.25">
      <c r="A196" s="11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2"/>
      <c r="M196" s="30"/>
      <c r="N196" s="30"/>
      <c r="O196" s="31"/>
      <c r="P196" s="31" t="s">
        <v>23</v>
      </c>
      <c r="Q196" s="31"/>
      <c r="R196" s="31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11"/>
      <c r="AV196" s="19"/>
      <c r="AW196" s="19"/>
      <c r="AX196" s="19"/>
      <c r="AY196" s="19"/>
      <c r="AZ196" s="19"/>
      <c r="BA196" s="19"/>
      <c r="BB196" s="19"/>
      <c r="BC196" s="19"/>
      <c r="BD196" s="19"/>
      <c r="BE196" s="12"/>
      <c r="BF196" s="63"/>
      <c r="BG196" s="64"/>
      <c r="BH196" s="64"/>
      <c r="BI196" s="64"/>
      <c r="BJ196" s="64"/>
      <c r="BK196" s="65"/>
    </row>
    <row r="197" spans="1:63" s="183" customFormat="1" ht="15" customHeight="1" x14ac:dyDescent="0.25">
      <c r="A197" s="11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2"/>
      <c r="M197" s="30"/>
      <c r="N197" s="30"/>
      <c r="O197" s="31"/>
      <c r="P197" s="31"/>
      <c r="Q197" s="31" t="s">
        <v>20</v>
      </c>
      <c r="R197" s="31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11"/>
      <c r="AV197" s="19"/>
      <c r="AW197" s="19"/>
      <c r="AX197" s="19"/>
      <c r="AY197" s="19"/>
      <c r="AZ197" s="19"/>
      <c r="BA197" s="19"/>
      <c r="BB197" s="19"/>
      <c r="BC197" s="19"/>
      <c r="BD197" s="19"/>
      <c r="BE197" s="12"/>
      <c r="BF197" s="63"/>
      <c r="BG197" s="64"/>
      <c r="BH197" s="64"/>
      <c r="BI197" s="64"/>
      <c r="BJ197" s="64"/>
      <c r="BK197" s="65"/>
    </row>
    <row r="198" spans="1:63" s="183" customFormat="1" ht="15" customHeight="1" x14ac:dyDescent="0.25">
      <c r="A198" s="11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2"/>
      <c r="M198" s="30"/>
      <c r="N198" s="30"/>
      <c r="O198" s="31"/>
      <c r="P198" s="31"/>
      <c r="Q198" s="31" t="s">
        <v>33</v>
      </c>
      <c r="R198" s="31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11"/>
      <c r="AV198" s="19"/>
      <c r="AW198" s="19"/>
      <c r="AX198" s="19"/>
      <c r="AY198" s="19"/>
      <c r="AZ198" s="19"/>
      <c r="BA198" s="19"/>
      <c r="BB198" s="19"/>
      <c r="BC198" s="19"/>
      <c r="BD198" s="19"/>
      <c r="BE198" s="12"/>
      <c r="BF198" s="63"/>
      <c r="BG198" s="64"/>
      <c r="BH198" s="64"/>
      <c r="BI198" s="64"/>
      <c r="BJ198" s="64"/>
      <c r="BK198" s="65"/>
    </row>
    <row r="199" spans="1:63" s="183" customFormat="1" ht="15" customHeight="1" x14ac:dyDescent="0.25">
      <c r="A199" s="11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2"/>
      <c r="M199" s="30"/>
      <c r="N199" s="30"/>
      <c r="O199" s="31"/>
      <c r="P199" s="31"/>
      <c r="Q199" s="31" t="s">
        <v>37</v>
      </c>
      <c r="R199" s="31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11"/>
      <c r="AV199" s="19"/>
      <c r="AW199" s="19"/>
      <c r="AX199" s="19"/>
      <c r="AY199" s="19"/>
      <c r="AZ199" s="19"/>
      <c r="BA199" s="19"/>
      <c r="BB199" s="19"/>
      <c r="BC199" s="19"/>
      <c r="BD199" s="19"/>
      <c r="BE199" s="12"/>
      <c r="BF199" s="63"/>
      <c r="BG199" s="64"/>
      <c r="BH199" s="64"/>
      <c r="BI199" s="64"/>
      <c r="BJ199" s="64"/>
      <c r="BK199" s="65"/>
    </row>
    <row r="200" spans="1:63" s="183" customFormat="1" ht="15" customHeight="1" x14ac:dyDescent="0.25">
      <c r="A200" s="11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2"/>
      <c r="M200" s="30"/>
      <c r="N200" s="30"/>
      <c r="O200" s="31"/>
      <c r="P200" s="31"/>
      <c r="Q200" s="31"/>
      <c r="R200" s="31" t="s">
        <v>31</v>
      </c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11"/>
      <c r="AV200" s="19"/>
      <c r="AW200" s="19"/>
      <c r="AX200" s="19"/>
      <c r="AY200" s="19"/>
      <c r="AZ200" s="19"/>
      <c r="BA200" s="19"/>
      <c r="BB200" s="19"/>
      <c r="BC200" s="19"/>
      <c r="BD200" s="19"/>
      <c r="BE200" s="12"/>
      <c r="BF200" s="63"/>
      <c r="BG200" s="64"/>
      <c r="BH200" s="64"/>
      <c r="BI200" s="64"/>
      <c r="BJ200" s="64"/>
      <c r="BK200" s="65"/>
    </row>
    <row r="201" spans="1:63" s="183" customFormat="1" ht="15" customHeight="1" x14ac:dyDescent="0.25">
      <c r="A201" s="11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2"/>
      <c r="M201" s="30"/>
      <c r="N201" s="30"/>
      <c r="O201" s="31"/>
      <c r="P201" s="31"/>
      <c r="Q201" s="31"/>
      <c r="R201" s="31" t="s">
        <v>32</v>
      </c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11"/>
      <c r="AV201" s="19"/>
      <c r="AW201" s="19"/>
      <c r="AX201" s="19"/>
      <c r="AY201" s="19"/>
      <c r="AZ201" s="19"/>
      <c r="BA201" s="19"/>
      <c r="BB201" s="19"/>
      <c r="BC201" s="19"/>
      <c r="BD201" s="19"/>
      <c r="BE201" s="12"/>
      <c r="BF201" s="63"/>
      <c r="BG201" s="64"/>
      <c r="BH201" s="64"/>
      <c r="BI201" s="64"/>
      <c r="BJ201" s="64"/>
      <c r="BK201" s="65"/>
    </row>
    <row r="202" spans="1:63" s="183" customFormat="1" ht="15" customHeight="1" x14ac:dyDescent="0.25">
      <c r="A202" s="11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2"/>
      <c r="M202" s="30"/>
      <c r="N202" s="30"/>
      <c r="O202" s="31"/>
      <c r="P202" s="31"/>
      <c r="Q202" s="31" t="s">
        <v>35</v>
      </c>
      <c r="R202" s="31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11"/>
      <c r="AV202" s="19"/>
      <c r="AW202" s="19"/>
      <c r="AX202" s="19"/>
      <c r="AY202" s="19"/>
      <c r="AZ202" s="19"/>
      <c r="BA202" s="19"/>
      <c r="BB202" s="19"/>
      <c r="BC202" s="19"/>
      <c r="BD202" s="19"/>
      <c r="BE202" s="12"/>
      <c r="BF202" s="63"/>
      <c r="BG202" s="64"/>
      <c r="BH202" s="64"/>
      <c r="BI202" s="64"/>
      <c r="BJ202" s="64"/>
      <c r="BK202" s="65"/>
    </row>
    <row r="203" spans="1:63" s="183" customFormat="1" ht="15" customHeight="1" x14ac:dyDescent="0.25">
      <c r="A203" s="11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2"/>
      <c r="M203" s="30"/>
      <c r="N203" s="30"/>
      <c r="O203" s="31"/>
      <c r="P203" s="31"/>
      <c r="Q203" s="31"/>
      <c r="R203" s="31" t="s">
        <v>36</v>
      </c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11"/>
      <c r="AV203" s="19"/>
      <c r="AW203" s="19"/>
      <c r="AX203" s="19"/>
      <c r="AY203" s="19"/>
      <c r="AZ203" s="19"/>
      <c r="BA203" s="19"/>
      <c r="BB203" s="19"/>
      <c r="BC203" s="19"/>
      <c r="BD203" s="19"/>
      <c r="BE203" s="12"/>
      <c r="BF203" s="63"/>
      <c r="BG203" s="64"/>
      <c r="BH203" s="64"/>
      <c r="BI203" s="64"/>
      <c r="BJ203" s="64"/>
      <c r="BK203" s="65"/>
    </row>
    <row r="204" spans="1:63" s="183" customFormat="1" ht="15" customHeight="1" x14ac:dyDescent="0.25">
      <c r="A204" s="11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2"/>
      <c r="M204" s="30"/>
      <c r="N204" s="30"/>
      <c r="O204" s="31"/>
      <c r="P204" s="31"/>
      <c r="Q204" s="31"/>
      <c r="R204" s="31" t="s">
        <v>32</v>
      </c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11"/>
      <c r="AV204" s="19"/>
      <c r="AW204" s="19"/>
      <c r="AX204" s="19"/>
      <c r="AY204" s="19"/>
      <c r="AZ204" s="19"/>
      <c r="BA204" s="19"/>
      <c r="BB204" s="19"/>
      <c r="BC204" s="19"/>
      <c r="BD204" s="19"/>
      <c r="BE204" s="12"/>
      <c r="BF204" s="63"/>
      <c r="BG204" s="64"/>
      <c r="BH204" s="64"/>
      <c r="BI204" s="64"/>
      <c r="BJ204" s="64"/>
      <c r="BK204" s="65"/>
    </row>
    <row r="205" spans="1:63" s="183" customFormat="1" ht="15" customHeight="1" x14ac:dyDescent="0.25">
      <c r="A205" s="11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2"/>
      <c r="M205" s="30"/>
      <c r="N205" s="30"/>
      <c r="O205" s="31"/>
      <c r="P205" s="31" t="s">
        <v>24</v>
      </c>
      <c r="Q205" s="31"/>
      <c r="R205" s="31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11"/>
      <c r="AV205" s="19"/>
      <c r="AW205" s="19"/>
      <c r="AX205" s="19"/>
      <c r="AY205" s="19"/>
      <c r="AZ205" s="19"/>
      <c r="BA205" s="19"/>
      <c r="BB205" s="19"/>
      <c r="BC205" s="19"/>
      <c r="BD205" s="19"/>
      <c r="BE205" s="12"/>
      <c r="BF205" s="63"/>
      <c r="BG205" s="64"/>
      <c r="BH205" s="64"/>
      <c r="BI205" s="64"/>
      <c r="BJ205" s="64"/>
      <c r="BK205" s="65"/>
    </row>
    <row r="206" spans="1:63" s="183" customFormat="1" ht="15" customHeight="1" x14ac:dyDescent="0.25">
      <c r="A206" s="11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2"/>
      <c r="M206" s="30"/>
      <c r="N206" s="30"/>
      <c r="O206" s="31"/>
      <c r="P206" s="31"/>
      <c r="Q206" s="31" t="s">
        <v>20</v>
      </c>
      <c r="R206" s="31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11"/>
      <c r="AV206" s="19"/>
      <c r="AW206" s="19"/>
      <c r="AX206" s="19"/>
      <c r="AY206" s="19"/>
      <c r="AZ206" s="19"/>
      <c r="BA206" s="19"/>
      <c r="BB206" s="19"/>
      <c r="BC206" s="19"/>
      <c r="BD206" s="19"/>
      <c r="BE206" s="12"/>
      <c r="BF206" s="63"/>
      <c r="BG206" s="64"/>
      <c r="BH206" s="64"/>
      <c r="BI206" s="64"/>
      <c r="BJ206" s="64"/>
      <c r="BK206" s="65"/>
    </row>
    <row r="207" spans="1:63" s="183" customFormat="1" ht="15" customHeight="1" x14ac:dyDescent="0.25">
      <c r="A207" s="11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2"/>
      <c r="M207" s="30"/>
      <c r="N207" s="30"/>
      <c r="O207" s="31"/>
      <c r="P207" s="31"/>
      <c r="Q207" s="31" t="s">
        <v>33</v>
      </c>
      <c r="R207" s="31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11"/>
      <c r="AV207" s="19"/>
      <c r="AW207" s="19"/>
      <c r="AX207" s="19"/>
      <c r="AY207" s="19"/>
      <c r="AZ207" s="19"/>
      <c r="BA207" s="19"/>
      <c r="BB207" s="19"/>
      <c r="BC207" s="19"/>
      <c r="BD207" s="19"/>
      <c r="BE207" s="12"/>
      <c r="BF207" s="63"/>
      <c r="BG207" s="64"/>
      <c r="BH207" s="64"/>
      <c r="BI207" s="64"/>
      <c r="BJ207" s="64"/>
      <c r="BK207" s="65"/>
    </row>
    <row r="208" spans="1:63" s="183" customFormat="1" ht="15" customHeight="1" x14ac:dyDescent="0.25">
      <c r="A208" s="11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2"/>
      <c r="M208" s="30"/>
      <c r="N208" s="30"/>
      <c r="O208" s="31"/>
      <c r="P208" s="31"/>
      <c r="Q208" s="31" t="s">
        <v>38</v>
      </c>
      <c r="R208" s="31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11"/>
      <c r="AV208" s="19"/>
      <c r="AW208" s="19"/>
      <c r="AX208" s="19"/>
      <c r="AY208" s="19"/>
      <c r="AZ208" s="19"/>
      <c r="BA208" s="19"/>
      <c r="BB208" s="19"/>
      <c r="BC208" s="19"/>
      <c r="BD208" s="19"/>
      <c r="BE208" s="12"/>
      <c r="BF208" s="63"/>
      <c r="BG208" s="64"/>
      <c r="BH208" s="64"/>
      <c r="BI208" s="64"/>
      <c r="BJ208" s="64"/>
      <c r="BK208" s="65"/>
    </row>
    <row r="209" spans="1:63" s="183" customFormat="1" ht="15" customHeight="1" x14ac:dyDescent="0.25">
      <c r="A209" s="11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2"/>
      <c r="M209" s="30"/>
      <c r="N209" s="30"/>
      <c r="O209" s="31"/>
      <c r="P209" s="31"/>
      <c r="Q209" s="31"/>
      <c r="R209" s="31" t="s">
        <v>34</v>
      </c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11"/>
      <c r="AV209" s="19"/>
      <c r="AW209" s="19"/>
      <c r="AX209" s="19"/>
      <c r="AY209" s="19"/>
      <c r="AZ209" s="19"/>
      <c r="BA209" s="19"/>
      <c r="BB209" s="19"/>
      <c r="BC209" s="19"/>
      <c r="BD209" s="19"/>
      <c r="BE209" s="12"/>
      <c r="BF209" s="63"/>
      <c r="BG209" s="64"/>
      <c r="BH209" s="64"/>
      <c r="BI209" s="64"/>
      <c r="BJ209" s="64"/>
      <c r="BK209" s="65"/>
    </row>
    <row r="210" spans="1:63" s="183" customFormat="1" ht="15" customHeight="1" x14ac:dyDescent="0.25">
      <c r="A210" s="11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2"/>
      <c r="M210" s="30"/>
      <c r="N210" s="30"/>
      <c r="O210" s="31"/>
      <c r="P210" s="31"/>
      <c r="Q210" s="31"/>
      <c r="R210" s="31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11"/>
      <c r="AV210" s="19"/>
      <c r="AW210" s="19"/>
      <c r="AX210" s="19"/>
      <c r="AY210" s="19"/>
      <c r="AZ210" s="19"/>
      <c r="BA210" s="19"/>
      <c r="BB210" s="19"/>
      <c r="BC210" s="19"/>
      <c r="BD210" s="19"/>
      <c r="BE210" s="12"/>
      <c r="BF210" s="63"/>
      <c r="BG210" s="64"/>
      <c r="BH210" s="64"/>
      <c r="BI210" s="64"/>
      <c r="BJ210" s="64"/>
      <c r="BK210" s="65"/>
    </row>
    <row r="211" spans="1:63" s="183" customFormat="1" ht="15" customHeight="1" x14ac:dyDescent="0.25">
      <c r="A211" s="11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2"/>
      <c r="M211" s="30"/>
      <c r="N211" s="30"/>
      <c r="O211" s="31" t="s">
        <v>172</v>
      </c>
      <c r="P211" s="31"/>
      <c r="Q211" s="31"/>
      <c r="R211" s="31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11"/>
      <c r="AV211" s="19"/>
      <c r="AW211" s="19"/>
      <c r="AX211" s="19"/>
      <c r="AY211" s="19"/>
      <c r="AZ211" s="19"/>
      <c r="BA211" s="19"/>
      <c r="BB211" s="19"/>
      <c r="BC211" s="19"/>
      <c r="BD211" s="19"/>
      <c r="BE211" s="12"/>
      <c r="BF211" s="63"/>
      <c r="BG211" s="64"/>
      <c r="BH211" s="64"/>
      <c r="BI211" s="64"/>
      <c r="BJ211" s="64"/>
      <c r="BK211" s="65"/>
    </row>
    <row r="212" spans="1:63" s="183" customFormat="1" ht="15" customHeight="1" x14ac:dyDescent="0.25">
      <c r="A212" s="11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2"/>
      <c r="M212" s="201"/>
      <c r="N212" s="22" t="s">
        <v>173</v>
      </c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  <c r="AA212" s="201"/>
      <c r="AB212" s="201"/>
      <c r="AC212" s="201"/>
      <c r="AD212" s="201"/>
      <c r="AE212" s="201"/>
      <c r="AF212" s="201"/>
      <c r="AG212" s="201"/>
      <c r="AH212" s="201"/>
      <c r="AI212" s="201"/>
      <c r="AJ212" s="201"/>
      <c r="AK212" s="201"/>
      <c r="AL212" s="201"/>
      <c r="AM212" s="201"/>
      <c r="AN212" s="201"/>
      <c r="AO212" s="201"/>
      <c r="AP212" s="201"/>
      <c r="AQ212" s="201"/>
      <c r="AR212" s="201"/>
      <c r="AS212" s="201"/>
      <c r="AT212" s="201"/>
      <c r="AU212" s="11"/>
      <c r="AV212" s="19"/>
      <c r="AW212" s="19"/>
      <c r="AX212" s="19"/>
      <c r="AY212" s="19"/>
      <c r="AZ212" s="19"/>
      <c r="BA212" s="19"/>
      <c r="BB212" s="19"/>
      <c r="BC212" s="19"/>
      <c r="BD212" s="19"/>
      <c r="BE212" s="12"/>
      <c r="BF212" s="63"/>
      <c r="BG212" s="64"/>
      <c r="BH212" s="64"/>
      <c r="BI212" s="64"/>
      <c r="BJ212" s="64"/>
      <c r="BK212" s="65"/>
    </row>
    <row r="213" spans="1:63" s="183" customFormat="1" ht="15" customHeight="1" x14ac:dyDescent="0.25">
      <c r="A213" s="11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2"/>
      <c r="M213" s="203"/>
      <c r="N213" s="201"/>
      <c r="O213" s="204" t="s">
        <v>110</v>
      </c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1"/>
      <c r="AK213" s="201"/>
      <c r="AL213" s="201"/>
      <c r="AM213" s="201"/>
      <c r="AN213" s="201"/>
      <c r="AO213" s="201"/>
      <c r="AP213" s="201"/>
      <c r="AQ213" s="201"/>
      <c r="AR213" s="201"/>
      <c r="AS213" s="201"/>
      <c r="AT213" s="201"/>
      <c r="AU213" s="11"/>
      <c r="AV213" s="19"/>
      <c r="AW213" s="19"/>
      <c r="AX213" s="19"/>
      <c r="AY213" s="19"/>
      <c r="AZ213" s="19"/>
      <c r="BA213" s="19"/>
      <c r="BB213" s="19"/>
      <c r="BC213" s="19"/>
      <c r="BD213" s="19"/>
      <c r="BE213" s="12"/>
      <c r="BF213" s="63"/>
      <c r="BG213" s="64"/>
      <c r="BH213" s="64"/>
      <c r="BI213" s="64"/>
      <c r="BJ213" s="64"/>
      <c r="BK213" s="65"/>
    </row>
    <row r="214" spans="1:63" s="183" customFormat="1" ht="15" customHeight="1" x14ac:dyDescent="0.25">
      <c r="A214" s="11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2"/>
      <c r="M214" s="201"/>
      <c r="O214" s="204"/>
      <c r="P214" s="27" t="s">
        <v>10</v>
      </c>
      <c r="Q214" s="28"/>
      <c r="R214" s="28"/>
      <c r="S214" s="28"/>
      <c r="T214" s="28"/>
      <c r="U214" s="28"/>
      <c r="V214" s="28"/>
      <c r="W214" s="27" t="s">
        <v>11</v>
      </c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9"/>
      <c r="AN214" s="201"/>
      <c r="AO214" s="201"/>
      <c r="AP214" s="201"/>
      <c r="AQ214" s="201"/>
      <c r="AR214" s="201"/>
      <c r="AS214" s="201"/>
      <c r="AT214" s="201"/>
      <c r="AU214" s="11"/>
      <c r="AV214" s="19"/>
      <c r="AW214" s="19"/>
      <c r="AX214" s="19"/>
      <c r="AY214" s="19"/>
      <c r="AZ214" s="19"/>
      <c r="BA214" s="19"/>
      <c r="BB214" s="19"/>
      <c r="BC214" s="19"/>
      <c r="BD214" s="19"/>
      <c r="BE214" s="12"/>
      <c r="BF214" s="63"/>
      <c r="BG214" s="64"/>
      <c r="BH214" s="64"/>
      <c r="BI214" s="64"/>
      <c r="BJ214" s="64"/>
      <c r="BK214" s="65"/>
    </row>
    <row r="215" spans="1:63" s="183" customFormat="1" ht="15" customHeight="1" x14ac:dyDescent="0.25">
      <c r="A215" s="11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2"/>
      <c r="M215" s="201"/>
      <c r="N215" s="201"/>
      <c r="O215" s="204"/>
      <c r="P215" s="208" t="s">
        <v>15</v>
      </c>
      <c r="Q215" s="209"/>
      <c r="R215" s="209"/>
      <c r="S215" s="209"/>
      <c r="T215" s="209"/>
      <c r="U215" s="209"/>
      <c r="V215" s="209"/>
      <c r="W215" s="214" t="s">
        <v>16</v>
      </c>
      <c r="X215" s="215"/>
      <c r="Y215" s="215"/>
      <c r="Z215" s="215"/>
      <c r="AA215" s="215"/>
      <c r="AB215" s="215"/>
      <c r="AC215" s="215"/>
      <c r="AD215" s="215"/>
      <c r="AE215" s="215"/>
      <c r="AF215" s="215"/>
      <c r="AG215" s="215"/>
      <c r="AH215" s="215"/>
      <c r="AI215" s="215"/>
      <c r="AJ215" s="215"/>
      <c r="AK215" s="215"/>
      <c r="AL215" s="215"/>
      <c r="AM215" s="216"/>
      <c r="AN215" s="201"/>
      <c r="AO215" s="201"/>
      <c r="AP215" s="201"/>
      <c r="AQ215" s="201"/>
      <c r="AR215" s="201"/>
      <c r="AS215" s="201"/>
      <c r="AT215" s="201"/>
      <c r="AU215" s="11"/>
      <c r="AV215" s="19"/>
      <c r="AW215" s="19"/>
      <c r="AX215" s="19"/>
      <c r="AY215" s="19"/>
      <c r="AZ215" s="19"/>
      <c r="BA215" s="19"/>
      <c r="BB215" s="19"/>
      <c r="BC215" s="19"/>
      <c r="BD215" s="19"/>
      <c r="BE215" s="12"/>
      <c r="BF215" s="63"/>
      <c r="BG215" s="64"/>
      <c r="BH215" s="64"/>
      <c r="BI215" s="64"/>
      <c r="BJ215" s="64"/>
      <c r="BK215" s="65"/>
    </row>
    <row r="216" spans="1:63" s="183" customFormat="1" ht="15" customHeight="1" x14ac:dyDescent="0.25">
      <c r="A216" s="11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2"/>
      <c r="M216" s="201"/>
      <c r="N216" s="201"/>
      <c r="O216" s="204"/>
      <c r="P216" s="208" t="s">
        <v>97</v>
      </c>
      <c r="Q216" s="209"/>
      <c r="R216" s="209"/>
      <c r="S216" s="209"/>
      <c r="T216" s="209"/>
      <c r="U216" s="209"/>
      <c r="V216" s="209"/>
      <c r="W216" s="214" t="s">
        <v>174</v>
      </c>
      <c r="X216" s="215"/>
      <c r="Y216" s="215"/>
      <c r="Z216" s="215"/>
      <c r="AA216" s="215"/>
      <c r="AB216" s="215"/>
      <c r="AC216" s="215"/>
      <c r="AD216" s="215"/>
      <c r="AE216" s="215"/>
      <c r="AF216" s="215"/>
      <c r="AG216" s="215"/>
      <c r="AH216" s="215"/>
      <c r="AI216" s="215"/>
      <c r="AJ216" s="215"/>
      <c r="AK216" s="215"/>
      <c r="AL216" s="215"/>
      <c r="AM216" s="216"/>
      <c r="AN216" s="201"/>
      <c r="AO216" s="201"/>
      <c r="AP216" s="201"/>
      <c r="AQ216" s="201"/>
      <c r="AR216" s="201"/>
      <c r="AS216" s="201"/>
      <c r="AT216" s="201"/>
      <c r="AU216" s="11"/>
      <c r="AV216" s="19"/>
      <c r="AW216" s="19"/>
      <c r="AX216" s="19"/>
      <c r="AY216" s="19"/>
      <c r="AZ216" s="19"/>
      <c r="BA216" s="19"/>
      <c r="BB216" s="19"/>
      <c r="BC216" s="19"/>
      <c r="BD216" s="19"/>
      <c r="BE216" s="12"/>
      <c r="BF216" s="63"/>
      <c r="BG216" s="64"/>
      <c r="BH216" s="64"/>
      <c r="BI216" s="64"/>
      <c r="BJ216" s="64"/>
      <c r="BK216" s="65"/>
    </row>
    <row r="217" spans="1:63" s="183" customFormat="1" ht="15" customHeight="1" x14ac:dyDescent="0.25">
      <c r="A217" s="11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2"/>
      <c r="M217" s="201"/>
      <c r="N217" s="201"/>
      <c r="O217" s="204"/>
      <c r="P217" s="208" t="s">
        <v>98</v>
      </c>
      <c r="Q217" s="209"/>
      <c r="R217" s="209"/>
      <c r="S217" s="209"/>
      <c r="T217" s="209"/>
      <c r="U217" s="209"/>
      <c r="V217" s="209"/>
      <c r="W217" s="214" t="s">
        <v>102</v>
      </c>
      <c r="X217" s="215"/>
      <c r="Y217" s="215"/>
      <c r="Z217" s="215"/>
      <c r="AA217" s="215"/>
      <c r="AB217" s="215"/>
      <c r="AC217" s="215"/>
      <c r="AD217" s="215"/>
      <c r="AE217" s="215"/>
      <c r="AF217" s="215"/>
      <c r="AG217" s="215"/>
      <c r="AH217" s="215"/>
      <c r="AI217" s="215"/>
      <c r="AJ217" s="215"/>
      <c r="AK217" s="215"/>
      <c r="AL217" s="215"/>
      <c r="AM217" s="216"/>
      <c r="AN217" s="201"/>
      <c r="AO217" s="201"/>
      <c r="AP217" s="201"/>
      <c r="AQ217" s="201"/>
      <c r="AR217" s="201"/>
      <c r="AS217" s="201"/>
      <c r="AT217" s="201"/>
      <c r="AU217" s="11"/>
      <c r="AV217" s="19"/>
      <c r="AW217" s="19"/>
      <c r="AX217" s="19"/>
      <c r="AY217" s="19"/>
      <c r="AZ217" s="19"/>
      <c r="BA217" s="19"/>
      <c r="BB217" s="19"/>
      <c r="BC217" s="19"/>
      <c r="BD217" s="19"/>
      <c r="BE217" s="12"/>
      <c r="BF217" s="63"/>
      <c r="BG217" s="64"/>
      <c r="BH217" s="64"/>
      <c r="BI217" s="64"/>
      <c r="BJ217" s="64"/>
      <c r="BK217" s="65"/>
    </row>
    <row r="218" spans="1:63" s="183" customFormat="1" ht="15" customHeight="1" x14ac:dyDescent="0.25">
      <c r="A218" s="11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2"/>
      <c r="M218" s="201"/>
      <c r="N218" s="201"/>
      <c r="O218" s="204"/>
      <c r="P218" s="208" t="s">
        <v>99</v>
      </c>
      <c r="Q218" s="209"/>
      <c r="R218" s="209"/>
      <c r="S218" s="209"/>
      <c r="T218" s="209"/>
      <c r="U218" s="209"/>
      <c r="V218" s="209"/>
      <c r="W218" s="214" t="s">
        <v>103</v>
      </c>
      <c r="X218" s="215"/>
      <c r="Y218" s="215"/>
      <c r="Z218" s="215"/>
      <c r="AA218" s="215"/>
      <c r="AB218" s="215"/>
      <c r="AC218" s="215"/>
      <c r="AD218" s="215"/>
      <c r="AE218" s="215"/>
      <c r="AF218" s="215"/>
      <c r="AG218" s="215"/>
      <c r="AH218" s="215"/>
      <c r="AI218" s="215"/>
      <c r="AJ218" s="215"/>
      <c r="AK218" s="215"/>
      <c r="AL218" s="215"/>
      <c r="AM218" s="216"/>
      <c r="AN218" s="201"/>
      <c r="AO218" s="201"/>
      <c r="AP218" s="201"/>
      <c r="AQ218" s="201"/>
      <c r="AR218" s="201"/>
      <c r="AS218" s="201"/>
      <c r="AT218" s="201"/>
      <c r="AU218" s="11"/>
      <c r="AV218" s="19"/>
      <c r="AW218" s="19"/>
      <c r="AX218" s="19"/>
      <c r="AY218" s="19"/>
      <c r="AZ218" s="19"/>
      <c r="BA218" s="19"/>
      <c r="BB218" s="19"/>
      <c r="BC218" s="19"/>
      <c r="BD218" s="19"/>
      <c r="BE218" s="12"/>
      <c r="BF218" s="63"/>
      <c r="BG218" s="64"/>
      <c r="BH218" s="64"/>
      <c r="BI218" s="64"/>
      <c r="BJ218" s="64"/>
      <c r="BK218" s="65"/>
    </row>
    <row r="219" spans="1:63" s="183" customFormat="1" ht="36" customHeight="1" x14ac:dyDescent="0.25">
      <c r="A219" s="11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2"/>
      <c r="M219" s="201"/>
      <c r="N219" s="201"/>
      <c r="O219" s="204"/>
      <c r="P219" s="208" t="s">
        <v>100</v>
      </c>
      <c r="Q219" s="209"/>
      <c r="R219" s="209"/>
      <c r="S219" s="209"/>
      <c r="T219" s="209"/>
      <c r="U219" s="209"/>
      <c r="V219" s="209"/>
      <c r="W219" s="214" t="s">
        <v>175</v>
      </c>
      <c r="X219" s="215"/>
      <c r="Y219" s="215"/>
      <c r="Z219" s="215"/>
      <c r="AA219" s="215"/>
      <c r="AB219" s="215"/>
      <c r="AC219" s="215"/>
      <c r="AD219" s="215"/>
      <c r="AE219" s="215"/>
      <c r="AF219" s="215"/>
      <c r="AG219" s="215"/>
      <c r="AH219" s="215"/>
      <c r="AI219" s="215"/>
      <c r="AJ219" s="215"/>
      <c r="AK219" s="215"/>
      <c r="AL219" s="215"/>
      <c r="AM219" s="216"/>
      <c r="AN219" s="201"/>
      <c r="AO219" s="201"/>
      <c r="AP219" s="201"/>
      <c r="AQ219" s="201"/>
      <c r="AR219" s="201"/>
      <c r="AS219" s="201"/>
      <c r="AT219" s="201"/>
      <c r="AU219" s="11"/>
      <c r="AV219" s="19"/>
      <c r="AW219" s="19"/>
      <c r="AX219" s="19"/>
      <c r="AY219" s="19"/>
      <c r="AZ219" s="19"/>
      <c r="BA219" s="19"/>
      <c r="BB219" s="19"/>
      <c r="BC219" s="19"/>
      <c r="BD219" s="19"/>
      <c r="BE219" s="12"/>
      <c r="BF219" s="63"/>
      <c r="BG219" s="64"/>
      <c r="BH219" s="64"/>
      <c r="BI219" s="64"/>
      <c r="BJ219" s="64"/>
      <c r="BK219" s="65"/>
    </row>
    <row r="220" spans="1:63" s="183" customFormat="1" ht="38.25" customHeight="1" x14ac:dyDescent="0.25">
      <c r="A220" s="11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2"/>
      <c r="M220" s="201"/>
      <c r="N220" s="201"/>
      <c r="O220" s="204"/>
      <c r="P220" s="208" t="s">
        <v>111</v>
      </c>
      <c r="Q220" s="209"/>
      <c r="R220" s="209"/>
      <c r="S220" s="209"/>
      <c r="T220" s="209"/>
      <c r="U220" s="209"/>
      <c r="V220" s="209"/>
      <c r="W220" s="214" t="s">
        <v>175</v>
      </c>
      <c r="X220" s="215"/>
      <c r="Y220" s="215"/>
      <c r="Z220" s="215"/>
      <c r="AA220" s="215"/>
      <c r="AB220" s="215"/>
      <c r="AC220" s="215"/>
      <c r="AD220" s="215"/>
      <c r="AE220" s="215"/>
      <c r="AF220" s="215"/>
      <c r="AG220" s="215"/>
      <c r="AH220" s="215"/>
      <c r="AI220" s="215"/>
      <c r="AJ220" s="215"/>
      <c r="AK220" s="215"/>
      <c r="AL220" s="215"/>
      <c r="AM220" s="216"/>
      <c r="AN220" s="201"/>
      <c r="AO220" s="201"/>
      <c r="AP220" s="201"/>
      <c r="AQ220" s="201"/>
      <c r="AR220" s="201"/>
      <c r="AS220" s="201"/>
      <c r="AT220" s="201"/>
      <c r="AU220" s="11"/>
      <c r="AV220" s="19"/>
      <c r="AW220" s="19"/>
      <c r="AX220" s="19"/>
      <c r="AY220" s="19"/>
      <c r="AZ220" s="19"/>
      <c r="BA220" s="19"/>
      <c r="BB220" s="19"/>
      <c r="BC220" s="19"/>
      <c r="BD220" s="19"/>
      <c r="BE220" s="12"/>
      <c r="BF220" s="63"/>
      <c r="BG220" s="64"/>
      <c r="BH220" s="64"/>
      <c r="BI220" s="64"/>
      <c r="BJ220" s="64"/>
      <c r="BK220" s="65"/>
    </row>
    <row r="221" spans="1:63" s="183" customFormat="1" ht="33.75" customHeight="1" x14ac:dyDescent="0.25">
      <c r="A221" s="11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2"/>
      <c r="M221" s="201"/>
      <c r="N221" s="201"/>
      <c r="O221" s="204"/>
      <c r="P221" s="208" t="s">
        <v>112</v>
      </c>
      <c r="Q221" s="209"/>
      <c r="R221" s="209"/>
      <c r="S221" s="209"/>
      <c r="T221" s="209"/>
      <c r="U221" s="209"/>
      <c r="V221" s="209"/>
      <c r="W221" s="214" t="s">
        <v>176</v>
      </c>
      <c r="X221" s="215"/>
      <c r="Y221" s="215"/>
      <c r="Z221" s="215"/>
      <c r="AA221" s="215"/>
      <c r="AB221" s="215"/>
      <c r="AC221" s="215"/>
      <c r="AD221" s="215"/>
      <c r="AE221" s="215"/>
      <c r="AF221" s="215"/>
      <c r="AG221" s="215"/>
      <c r="AH221" s="215"/>
      <c r="AI221" s="215"/>
      <c r="AJ221" s="215"/>
      <c r="AK221" s="215"/>
      <c r="AL221" s="215"/>
      <c r="AM221" s="216"/>
      <c r="AN221" s="201"/>
      <c r="AO221" s="201"/>
      <c r="AP221" s="201"/>
      <c r="AQ221" s="201"/>
      <c r="AR221" s="201"/>
      <c r="AS221" s="201"/>
      <c r="AT221" s="201"/>
      <c r="AU221" s="11"/>
      <c r="AV221" s="19"/>
      <c r="AW221" s="19"/>
      <c r="AX221" s="19"/>
      <c r="AY221" s="19"/>
      <c r="AZ221" s="19"/>
      <c r="BA221" s="19"/>
      <c r="BB221" s="19"/>
      <c r="BC221" s="19"/>
      <c r="BD221" s="19"/>
      <c r="BE221" s="12"/>
      <c r="BF221" s="63"/>
      <c r="BG221" s="64"/>
      <c r="BH221" s="64"/>
      <c r="BI221" s="64"/>
      <c r="BJ221" s="64"/>
      <c r="BK221" s="65"/>
    </row>
    <row r="222" spans="1:63" s="183" customFormat="1" ht="36" customHeight="1" x14ac:dyDescent="0.25">
      <c r="A222" s="11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2"/>
      <c r="M222" s="201"/>
      <c r="N222" s="201"/>
      <c r="O222" s="31"/>
      <c r="P222" s="32" t="s">
        <v>113</v>
      </c>
      <c r="Q222" s="33"/>
      <c r="R222" s="33"/>
      <c r="S222" s="33"/>
      <c r="T222" s="33"/>
      <c r="U222" s="33"/>
      <c r="V222" s="33"/>
      <c r="W222" s="214" t="s">
        <v>177</v>
      </c>
      <c r="X222" s="215"/>
      <c r="Y222" s="215"/>
      <c r="Z222" s="215"/>
      <c r="AA222" s="215"/>
      <c r="AB222" s="215"/>
      <c r="AC222" s="215"/>
      <c r="AD222" s="215"/>
      <c r="AE222" s="215"/>
      <c r="AF222" s="215"/>
      <c r="AG222" s="215"/>
      <c r="AH222" s="215"/>
      <c r="AI222" s="215"/>
      <c r="AJ222" s="215"/>
      <c r="AK222" s="215"/>
      <c r="AL222" s="215"/>
      <c r="AM222" s="216"/>
      <c r="AN222" s="30"/>
      <c r="AO222" s="30"/>
      <c r="AP222" s="201"/>
      <c r="AQ222" s="201"/>
      <c r="AR222" s="201"/>
      <c r="AS222" s="201"/>
      <c r="AT222" s="201"/>
      <c r="AU222" s="11"/>
      <c r="AV222" s="19"/>
      <c r="AW222" s="19"/>
      <c r="AX222" s="19"/>
      <c r="AY222" s="19"/>
      <c r="AZ222" s="19"/>
      <c r="BA222" s="19"/>
      <c r="BB222" s="19"/>
      <c r="BC222" s="19"/>
      <c r="BD222" s="19"/>
      <c r="BE222" s="12"/>
      <c r="BF222" s="63"/>
      <c r="BG222" s="64"/>
      <c r="BH222" s="64"/>
      <c r="BI222" s="64"/>
      <c r="BJ222" s="64"/>
      <c r="BK222" s="65"/>
    </row>
    <row r="223" spans="1:63" s="183" customFormat="1" ht="39.75" customHeight="1" x14ac:dyDescent="0.25">
      <c r="A223" s="11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2"/>
      <c r="M223" s="201"/>
      <c r="N223" s="201"/>
      <c r="O223" s="31"/>
      <c r="P223" s="32" t="s">
        <v>114</v>
      </c>
      <c r="Q223" s="33"/>
      <c r="R223" s="33"/>
      <c r="S223" s="33"/>
      <c r="T223" s="33"/>
      <c r="U223" s="33"/>
      <c r="V223" s="33"/>
      <c r="W223" s="214" t="s">
        <v>178</v>
      </c>
      <c r="X223" s="215"/>
      <c r="Y223" s="215"/>
      <c r="Z223" s="215"/>
      <c r="AA223" s="215"/>
      <c r="AB223" s="215"/>
      <c r="AC223" s="215"/>
      <c r="AD223" s="215"/>
      <c r="AE223" s="215"/>
      <c r="AF223" s="215"/>
      <c r="AG223" s="215"/>
      <c r="AH223" s="215"/>
      <c r="AI223" s="215"/>
      <c r="AJ223" s="215"/>
      <c r="AK223" s="215"/>
      <c r="AL223" s="215"/>
      <c r="AM223" s="216"/>
      <c r="AN223" s="30"/>
      <c r="AO223" s="30"/>
      <c r="AP223" s="201"/>
      <c r="AQ223" s="201"/>
      <c r="AR223" s="201"/>
      <c r="AS223" s="201"/>
      <c r="AT223" s="201"/>
      <c r="AU223" s="11"/>
      <c r="AV223" s="19"/>
      <c r="AW223" s="19"/>
      <c r="AX223" s="19"/>
      <c r="AY223" s="19"/>
      <c r="AZ223" s="19"/>
      <c r="BA223" s="19"/>
      <c r="BB223" s="19"/>
      <c r="BC223" s="19"/>
      <c r="BD223" s="19"/>
      <c r="BE223" s="12"/>
      <c r="BF223" s="63"/>
      <c r="BG223" s="64"/>
      <c r="BH223" s="64"/>
      <c r="BI223" s="64"/>
      <c r="BJ223" s="64"/>
      <c r="BK223" s="65"/>
    </row>
    <row r="224" spans="1:63" s="183" customFormat="1" x14ac:dyDescent="0.25">
      <c r="A224" s="11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2"/>
      <c r="M224" s="201"/>
      <c r="N224" s="201"/>
      <c r="O224" s="31"/>
      <c r="P224" s="32" t="s">
        <v>115</v>
      </c>
      <c r="Q224" s="33"/>
      <c r="R224" s="33"/>
      <c r="S224" s="33"/>
      <c r="T224" s="33"/>
      <c r="U224" s="33"/>
      <c r="V224" s="33"/>
      <c r="W224" s="66" t="s">
        <v>118</v>
      </c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8"/>
      <c r="AN224" s="30"/>
      <c r="AO224" s="30"/>
      <c r="AP224" s="201"/>
      <c r="AQ224" s="201"/>
      <c r="AR224" s="201"/>
      <c r="AS224" s="201"/>
      <c r="AT224" s="201"/>
      <c r="AU224" s="11"/>
      <c r="AV224" s="19"/>
      <c r="AW224" s="19"/>
      <c r="AX224" s="19"/>
      <c r="AY224" s="19"/>
      <c r="AZ224" s="19"/>
      <c r="BA224" s="19"/>
      <c r="BB224" s="19"/>
      <c r="BC224" s="19"/>
      <c r="BD224" s="19"/>
      <c r="BE224" s="12"/>
      <c r="BF224" s="63"/>
      <c r="BG224" s="64"/>
      <c r="BH224" s="64"/>
      <c r="BI224" s="64"/>
      <c r="BJ224" s="64"/>
      <c r="BK224" s="65"/>
    </row>
    <row r="225" spans="1:63" s="183" customFormat="1" ht="48.75" customHeight="1" x14ac:dyDescent="0.25">
      <c r="A225" s="11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2"/>
      <c r="M225" s="201"/>
      <c r="N225" s="201"/>
      <c r="O225" s="31"/>
      <c r="P225" s="32" t="s">
        <v>116</v>
      </c>
      <c r="Q225" s="33"/>
      <c r="R225" s="33"/>
      <c r="S225" s="33"/>
      <c r="T225" s="33"/>
      <c r="U225" s="33"/>
      <c r="V225" s="33"/>
      <c r="W225" s="66" t="s">
        <v>133</v>
      </c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8"/>
      <c r="AN225" s="30"/>
      <c r="AO225" s="30"/>
      <c r="AP225" s="201"/>
      <c r="AQ225" s="201"/>
      <c r="AR225" s="201"/>
      <c r="AS225" s="201"/>
      <c r="AT225" s="201"/>
      <c r="AU225" s="11"/>
      <c r="AV225" s="19"/>
      <c r="AW225" s="19"/>
      <c r="AX225" s="19"/>
      <c r="AY225" s="19"/>
      <c r="AZ225" s="19"/>
      <c r="BA225" s="19"/>
      <c r="BB225" s="19"/>
      <c r="BC225" s="19"/>
      <c r="BD225" s="19"/>
      <c r="BE225" s="12"/>
      <c r="BF225" s="63"/>
      <c r="BG225" s="64"/>
      <c r="BH225" s="64"/>
      <c r="BI225" s="64"/>
      <c r="BJ225" s="64"/>
      <c r="BK225" s="65"/>
    </row>
    <row r="226" spans="1:63" s="183" customFormat="1" ht="24" customHeight="1" x14ac:dyDescent="0.25">
      <c r="A226" s="11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2"/>
      <c r="M226" s="201"/>
      <c r="N226" s="201"/>
      <c r="O226" s="31"/>
      <c r="P226" s="32" t="s">
        <v>117</v>
      </c>
      <c r="Q226" s="33"/>
      <c r="R226" s="33"/>
      <c r="S226" s="33"/>
      <c r="T226" s="33"/>
      <c r="U226" s="33"/>
      <c r="V226" s="33"/>
      <c r="W226" s="66" t="s">
        <v>119</v>
      </c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8"/>
      <c r="AN226" s="30"/>
      <c r="AO226" s="30"/>
      <c r="AP226" s="201"/>
      <c r="AQ226" s="201"/>
      <c r="AR226" s="201"/>
      <c r="AS226" s="201"/>
      <c r="AT226" s="201"/>
      <c r="AU226" s="11"/>
      <c r="AV226" s="19"/>
      <c r="AW226" s="19"/>
      <c r="AX226" s="19"/>
      <c r="AY226" s="19"/>
      <c r="AZ226" s="19"/>
      <c r="BA226" s="19"/>
      <c r="BB226" s="19"/>
      <c r="BC226" s="19"/>
      <c r="BD226" s="19"/>
      <c r="BE226" s="12"/>
      <c r="BF226" s="63"/>
      <c r="BG226" s="64"/>
      <c r="BH226" s="64"/>
      <c r="BI226" s="64"/>
      <c r="BJ226" s="64"/>
      <c r="BK226" s="65"/>
    </row>
    <row r="227" spans="1:63" s="183" customFormat="1" ht="15" customHeight="1" x14ac:dyDescent="0.25">
      <c r="A227" s="11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2"/>
      <c r="M227" s="201"/>
      <c r="N227" s="201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1"/>
      <c r="AP227" s="201"/>
      <c r="AQ227" s="201"/>
      <c r="AR227" s="201"/>
      <c r="AS227" s="201"/>
      <c r="AT227" s="201"/>
      <c r="AU227" s="11"/>
      <c r="AV227" s="19"/>
      <c r="AW227" s="19"/>
      <c r="AX227" s="19"/>
      <c r="AY227" s="19"/>
      <c r="AZ227" s="19"/>
      <c r="BA227" s="19"/>
      <c r="BB227" s="19"/>
      <c r="BC227" s="19"/>
      <c r="BD227" s="19"/>
      <c r="BE227" s="12"/>
      <c r="BF227" s="63"/>
      <c r="BG227" s="64"/>
      <c r="BH227" s="64"/>
      <c r="BI227" s="64"/>
      <c r="BJ227" s="64"/>
      <c r="BK227" s="65"/>
    </row>
    <row r="228" spans="1:63" s="183" customFormat="1" ht="15" customHeight="1" x14ac:dyDescent="0.25">
      <c r="A228" s="11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2"/>
      <c r="M228" s="201"/>
      <c r="N228" s="201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1"/>
      <c r="AP228" s="201"/>
      <c r="AQ228" s="201"/>
      <c r="AR228" s="201"/>
      <c r="AS228" s="201"/>
      <c r="AT228" s="201"/>
      <c r="AU228" s="11"/>
      <c r="AV228" s="19"/>
      <c r="AW228" s="19"/>
      <c r="AX228" s="19"/>
      <c r="AY228" s="19"/>
      <c r="AZ228" s="19"/>
      <c r="BA228" s="19"/>
      <c r="BB228" s="19"/>
      <c r="BC228" s="19"/>
      <c r="BD228" s="19"/>
      <c r="BE228" s="12"/>
      <c r="BF228" s="63"/>
      <c r="BG228" s="64"/>
      <c r="BH228" s="64"/>
      <c r="BI228" s="64"/>
      <c r="BJ228" s="64"/>
      <c r="BK228" s="65"/>
    </row>
    <row r="229" spans="1:63" s="183" customFormat="1" ht="15" customHeight="1" x14ac:dyDescent="0.25">
      <c r="A229" s="11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2"/>
      <c r="M229" s="201"/>
      <c r="N229" s="201"/>
      <c r="O229" s="204"/>
      <c r="P229" s="204" t="s">
        <v>120</v>
      </c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1"/>
      <c r="AP229" s="201"/>
      <c r="AQ229" s="201"/>
      <c r="AR229" s="201"/>
      <c r="AS229" s="201"/>
      <c r="AT229" s="201"/>
      <c r="AU229" s="11"/>
      <c r="AV229" s="19"/>
      <c r="AW229" s="19"/>
      <c r="AX229" s="19"/>
      <c r="AY229" s="19"/>
      <c r="AZ229" s="19"/>
      <c r="BA229" s="19"/>
      <c r="BB229" s="19"/>
      <c r="BC229" s="19"/>
      <c r="BD229" s="19"/>
      <c r="BE229" s="12"/>
      <c r="BF229" s="63"/>
      <c r="BG229" s="64"/>
      <c r="BH229" s="64"/>
      <c r="BI229" s="64"/>
      <c r="BJ229" s="64"/>
      <c r="BK229" s="65"/>
    </row>
    <row r="230" spans="1:63" s="183" customFormat="1" ht="15" customHeight="1" x14ac:dyDescent="0.25">
      <c r="A230" s="11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2"/>
      <c r="M230" s="201"/>
      <c r="N230" s="201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1"/>
      <c r="AP230" s="201"/>
      <c r="AQ230" s="201"/>
      <c r="AR230" s="201"/>
      <c r="AS230" s="201"/>
      <c r="AT230" s="201"/>
      <c r="AU230" s="11"/>
      <c r="AV230" s="19"/>
      <c r="AW230" s="19"/>
      <c r="AX230" s="19"/>
      <c r="AY230" s="19"/>
      <c r="AZ230" s="19"/>
      <c r="BA230" s="19"/>
      <c r="BB230" s="19"/>
      <c r="BC230" s="19"/>
      <c r="BD230" s="19"/>
      <c r="BE230" s="12"/>
      <c r="BF230" s="63"/>
      <c r="BG230" s="64"/>
      <c r="BH230" s="64"/>
      <c r="BI230" s="64"/>
      <c r="BJ230" s="64"/>
      <c r="BK230" s="65"/>
    </row>
    <row r="231" spans="1:63" s="183" customFormat="1" ht="15" customHeight="1" x14ac:dyDescent="0.25">
      <c r="A231" s="11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2"/>
      <c r="M231" s="201"/>
      <c r="N231" s="201"/>
      <c r="O231" s="204" t="s">
        <v>17</v>
      </c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1"/>
      <c r="AP231" s="201"/>
      <c r="AQ231" s="201"/>
      <c r="AR231" s="201"/>
      <c r="AS231" s="201"/>
      <c r="AT231" s="201"/>
      <c r="AU231" s="11"/>
      <c r="AV231" s="19"/>
      <c r="AW231" s="19"/>
      <c r="AX231" s="19"/>
      <c r="AY231" s="19"/>
      <c r="AZ231" s="19"/>
      <c r="BA231" s="19"/>
      <c r="BB231" s="19"/>
      <c r="BC231" s="19"/>
      <c r="BD231" s="19"/>
      <c r="BE231" s="12"/>
      <c r="BF231" s="63"/>
      <c r="BG231" s="64"/>
      <c r="BH231" s="64"/>
      <c r="BI231" s="64"/>
      <c r="BJ231" s="64"/>
      <c r="BK231" s="65"/>
    </row>
    <row r="232" spans="1:63" s="183" customFormat="1" ht="15" customHeight="1" x14ac:dyDescent="0.25">
      <c r="A232" s="11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2"/>
      <c r="M232" s="201"/>
      <c r="N232" s="201"/>
      <c r="O232" s="204"/>
      <c r="P232" s="204" t="s">
        <v>30</v>
      </c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1"/>
      <c r="AP232" s="201"/>
      <c r="AQ232" s="201"/>
      <c r="AR232" s="201"/>
      <c r="AS232" s="201"/>
      <c r="AT232" s="201"/>
      <c r="AU232" s="11"/>
      <c r="AV232" s="19"/>
      <c r="AW232" s="19"/>
      <c r="AX232" s="19"/>
      <c r="AY232" s="19"/>
      <c r="AZ232" s="19"/>
      <c r="BA232" s="19"/>
      <c r="BB232" s="19"/>
      <c r="BC232" s="19"/>
      <c r="BD232" s="19"/>
      <c r="BE232" s="12"/>
      <c r="BF232" s="63"/>
      <c r="BG232" s="64"/>
      <c r="BH232" s="64"/>
      <c r="BI232" s="64"/>
      <c r="BJ232" s="64"/>
      <c r="BK232" s="65"/>
    </row>
    <row r="233" spans="1:63" s="183" customFormat="1" ht="15" customHeight="1" x14ac:dyDescent="0.25">
      <c r="A233" s="11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2"/>
      <c r="M233" s="201"/>
      <c r="N233" s="201"/>
      <c r="O233" s="204"/>
      <c r="P233" s="204"/>
      <c r="Q233" s="204" t="s">
        <v>121</v>
      </c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1"/>
      <c r="AP233" s="201"/>
      <c r="AQ233" s="201"/>
      <c r="AR233" s="201"/>
      <c r="AS233" s="201"/>
      <c r="AT233" s="201"/>
      <c r="AU233" s="11"/>
      <c r="AV233" s="19"/>
      <c r="AW233" s="19"/>
      <c r="AX233" s="19"/>
      <c r="AY233" s="19"/>
      <c r="AZ233" s="19"/>
      <c r="BA233" s="19"/>
      <c r="BB233" s="19"/>
      <c r="BC233" s="19"/>
      <c r="BD233" s="19"/>
      <c r="BE233" s="12"/>
      <c r="BF233" s="63"/>
      <c r="BG233" s="64"/>
      <c r="BH233" s="64"/>
      <c r="BI233" s="64"/>
      <c r="BJ233" s="64"/>
      <c r="BK233" s="65"/>
    </row>
    <row r="234" spans="1:63" s="183" customFormat="1" ht="15" customHeight="1" x14ac:dyDescent="0.25">
      <c r="A234" s="11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2"/>
      <c r="M234" s="201"/>
      <c r="N234" s="201"/>
      <c r="O234" s="204"/>
      <c r="P234" s="201" t="s">
        <v>29</v>
      </c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1"/>
      <c r="AO234" s="201"/>
      <c r="AP234" s="201"/>
      <c r="AQ234" s="201"/>
      <c r="AR234" s="201"/>
      <c r="AS234" s="201"/>
      <c r="AT234" s="201"/>
      <c r="AU234" s="11"/>
      <c r="AV234" s="19"/>
      <c r="AW234" s="19"/>
      <c r="AX234" s="19"/>
      <c r="AY234" s="19"/>
      <c r="AZ234" s="19"/>
      <c r="BA234" s="19"/>
      <c r="BB234" s="19"/>
      <c r="BC234" s="19"/>
      <c r="BD234" s="19"/>
      <c r="BE234" s="12"/>
      <c r="BF234" s="63"/>
      <c r="BG234" s="64"/>
      <c r="BH234" s="64"/>
      <c r="BI234" s="64"/>
      <c r="BJ234" s="64"/>
      <c r="BK234" s="65"/>
    </row>
    <row r="235" spans="1:63" s="183" customFormat="1" ht="15" customHeight="1" x14ac:dyDescent="0.25">
      <c r="A235" s="11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2"/>
      <c r="M235" s="201"/>
      <c r="N235" s="201"/>
      <c r="O235" s="204"/>
      <c r="P235" s="204"/>
      <c r="Q235" s="204" t="s">
        <v>121</v>
      </c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1"/>
      <c r="AO235" s="201"/>
      <c r="AP235" s="201"/>
      <c r="AQ235" s="201"/>
      <c r="AR235" s="201"/>
      <c r="AS235" s="201"/>
      <c r="AT235" s="201"/>
      <c r="AU235" s="11"/>
      <c r="AV235" s="19"/>
      <c r="AW235" s="19"/>
      <c r="AX235" s="19"/>
      <c r="AY235" s="19"/>
      <c r="AZ235" s="19"/>
      <c r="BA235" s="19"/>
      <c r="BB235" s="19"/>
      <c r="BC235" s="19"/>
      <c r="BD235" s="19"/>
      <c r="BE235" s="12"/>
      <c r="BF235" s="63"/>
      <c r="BG235" s="64"/>
      <c r="BH235" s="64"/>
      <c r="BI235" s="64"/>
      <c r="BJ235" s="64"/>
      <c r="BK235" s="65"/>
    </row>
    <row r="236" spans="1:63" s="183" customFormat="1" ht="15" customHeight="1" x14ac:dyDescent="0.25">
      <c r="A236" s="11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2"/>
      <c r="M236" s="201"/>
      <c r="N236" s="201"/>
      <c r="O236" s="204"/>
      <c r="P236" s="204"/>
      <c r="Q236" s="204" t="s">
        <v>122</v>
      </c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1"/>
      <c r="AO236" s="201"/>
      <c r="AP236" s="201"/>
      <c r="AQ236" s="201"/>
      <c r="AR236" s="201"/>
      <c r="AS236" s="201"/>
      <c r="AT236" s="201"/>
      <c r="AU236" s="11"/>
      <c r="AV236" s="19"/>
      <c r="AW236" s="19"/>
      <c r="AX236" s="19"/>
      <c r="AY236" s="19"/>
      <c r="AZ236" s="19"/>
      <c r="BA236" s="19"/>
      <c r="BB236" s="19"/>
      <c r="BC236" s="19"/>
      <c r="BD236" s="19"/>
      <c r="BE236" s="12"/>
      <c r="BF236" s="63"/>
      <c r="BG236" s="64"/>
      <c r="BH236" s="64"/>
      <c r="BI236" s="64"/>
      <c r="BJ236" s="64"/>
      <c r="BK236" s="65"/>
    </row>
    <row r="237" spans="1:63" s="183" customFormat="1" ht="15" customHeight="1" x14ac:dyDescent="0.25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5"/>
      <c r="M237" s="205"/>
      <c r="N237" s="206"/>
      <c r="O237" s="206"/>
      <c r="P237" s="206"/>
      <c r="Q237" s="206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7"/>
      <c r="AQ237" s="207"/>
      <c r="AR237" s="207"/>
      <c r="AS237" s="207"/>
      <c r="AT237" s="207"/>
      <c r="AU237" s="13"/>
      <c r="AV237" s="14"/>
      <c r="AW237" s="14"/>
      <c r="AX237" s="14"/>
      <c r="AY237" s="14"/>
      <c r="AZ237" s="14"/>
      <c r="BA237" s="14"/>
      <c r="BB237" s="14"/>
      <c r="BC237" s="14"/>
      <c r="BD237" s="14"/>
      <c r="BE237" s="15"/>
      <c r="BF237" s="72"/>
      <c r="BG237" s="73"/>
      <c r="BH237" s="73"/>
      <c r="BI237" s="73"/>
      <c r="BJ237" s="73"/>
      <c r="BK237" s="74"/>
    </row>
    <row r="238" spans="1:63" ht="15" customHeight="1" x14ac:dyDescent="0.25"/>
    <row r="239" spans="1:63" ht="15" customHeight="1" x14ac:dyDescent="0.25"/>
    <row r="240" spans="1:63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</sheetData>
  <mergeCells count="124">
    <mergeCell ref="BF147:BK147"/>
    <mergeCell ref="A151:F151"/>
    <mergeCell ref="G151:L151"/>
    <mergeCell ref="A152:L153"/>
    <mergeCell ref="M152:AT153"/>
    <mergeCell ref="AU152:BE153"/>
    <mergeCell ref="BF152:BK153"/>
    <mergeCell ref="BF154:BK173"/>
    <mergeCell ref="BF174:BK174"/>
    <mergeCell ref="BF128:BK132"/>
    <mergeCell ref="BF134:BK134"/>
    <mergeCell ref="A138:F138"/>
    <mergeCell ref="G138:L138"/>
    <mergeCell ref="A139:L140"/>
    <mergeCell ref="M139:AT140"/>
    <mergeCell ref="AU139:BE140"/>
    <mergeCell ref="BF139:BK140"/>
    <mergeCell ref="BF141:BK145"/>
    <mergeCell ref="A110:L111"/>
    <mergeCell ref="M110:AT111"/>
    <mergeCell ref="AU110:BE111"/>
    <mergeCell ref="BF110:BK111"/>
    <mergeCell ref="BF112:BK116"/>
    <mergeCell ref="BF121:BK121"/>
    <mergeCell ref="A125:F125"/>
    <mergeCell ref="G125:L125"/>
    <mergeCell ref="A126:L127"/>
    <mergeCell ref="M126:AT127"/>
    <mergeCell ref="AU126:BE127"/>
    <mergeCell ref="BF126:BK127"/>
    <mergeCell ref="A97:F97"/>
    <mergeCell ref="G97:L97"/>
    <mergeCell ref="A98:L99"/>
    <mergeCell ref="M98:AT99"/>
    <mergeCell ref="AU98:BE99"/>
    <mergeCell ref="BF98:BK99"/>
    <mergeCell ref="BF100:BK104"/>
    <mergeCell ref="BF105:BK105"/>
    <mergeCell ref="A109:F109"/>
    <mergeCell ref="G109:L109"/>
    <mergeCell ref="BF37:BK52"/>
    <mergeCell ref="A82:F82"/>
    <mergeCell ref="G82:L82"/>
    <mergeCell ref="A83:L84"/>
    <mergeCell ref="M83:AT84"/>
    <mergeCell ref="AU83:BE84"/>
    <mergeCell ref="BF83:BK84"/>
    <mergeCell ref="BF85:BK89"/>
    <mergeCell ref="BF93:BK93"/>
    <mergeCell ref="A57:F57"/>
    <mergeCell ref="G57:L57"/>
    <mergeCell ref="A58:L59"/>
    <mergeCell ref="M58:AT59"/>
    <mergeCell ref="AU58:BE59"/>
    <mergeCell ref="BF58:BK59"/>
    <mergeCell ref="BF60:BK77"/>
    <mergeCell ref="BF78:BK78"/>
    <mergeCell ref="BF237:BK237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4:G4"/>
    <mergeCell ref="H4:T4"/>
    <mergeCell ref="U4:Y4"/>
    <mergeCell ref="Z4:AO4"/>
    <mergeCell ref="A22:F22"/>
    <mergeCell ref="G22:L22"/>
    <mergeCell ref="AP1:AS1"/>
    <mergeCell ref="AT1:AX1"/>
    <mergeCell ref="AP4:BK4"/>
    <mergeCell ref="BF14:BK17"/>
    <mergeCell ref="BF18:BK18"/>
    <mergeCell ref="BF53:BK53"/>
    <mergeCell ref="A11:F11"/>
    <mergeCell ref="G11:L11"/>
    <mergeCell ref="A12:L13"/>
    <mergeCell ref="M12:AT13"/>
    <mergeCell ref="AU12:BE13"/>
    <mergeCell ref="BF12:BK13"/>
    <mergeCell ref="A34:F34"/>
    <mergeCell ref="G34:L34"/>
    <mergeCell ref="A35:L36"/>
    <mergeCell ref="M35:AT36"/>
    <mergeCell ref="AU35:BE36"/>
    <mergeCell ref="BF35:BK36"/>
    <mergeCell ref="A23:L24"/>
    <mergeCell ref="M23:AT24"/>
    <mergeCell ref="AU23:BE24"/>
    <mergeCell ref="BF23:BK24"/>
    <mergeCell ref="BF25:BK29"/>
    <mergeCell ref="BF30:BK30"/>
    <mergeCell ref="W215:AM215"/>
    <mergeCell ref="W216:AM216"/>
    <mergeCell ref="BF181:BK236"/>
    <mergeCell ref="A178:F178"/>
    <mergeCell ref="G178:L178"/>
    <mergeCell ref="A179:L180"/>
    <mergeCell ref="M179:AT180"/>
    <mergeCell ref="AU179:BE180"/>
    <mergeCell ref="BF179:BK180"/>
    <mergeCell ref="W221:AM221"/>
    <mergeCell ref="W223:AM223"/>
    <mergeCell ref="W224:AM224"/>
    <mergeCell ref="W219:AM219"/>
    <mergeCell ref="W220:AM220"/>
    <mergeCell ref="W222:AM222"/>
    <mergeCell ref="W217:AM217"/>
    <mergeCell ref="W218:AM218"/>
    <mergeCell ref="W225:AM225"/>
    <mergeCell ref="W226:AM226"/>
  </mergeCells>
  <pageMargins left="0.7" right="0.7" top="0.75" bottom="0.75" header="0.3" footer="0.3"/>
  <pageSetup scale="1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BB6E-E172-46C6-9EF5-7009E20B546D}">
  <sheetPr>
    <pageSetUpPr fitToPage="1"/>
  </sheetPr>
  <dimension ref="A1:BK427"/>
  <sheetViews>
    <sheetView showGridLines="0"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9" t="s">
        <v>134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135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82" t="s">
        <v>137</v>
      </c>
      <c r="AQ1" s="83"/>
      <c r="AR1" s="83"/>
      <c r="AS1" s="84"/>
      <c r="AT1" s="82" t="s">
        <v>138</v>
      </c>
      <c r="AU1" s="83"/>
      <c r="AV1" s="83"/>
      <c r="AW1" s="83"/>
      <c r="AX1" s="84"/>
      <c r="AY1" s="82" t="s">
        <v>139</v>
      </c>
      <c r="AZ1" s="83"/>
      <c r="BA1" s="83"/>
      <c r="BB1" s="84"/>
      <c r="BC1" s="82" t="s">
        <v>140</v>
      </c>
      <c r="BD1" s="83"/>
      <c r="BE1" s="83"/>
      <c r="BF1" s="83"/>
      <c r="BG1" s="84"/>
      <c r="BH1" s="82" t="s">
        <v>141</v>
      </c>
      <c r="BI1" s="83"/>
      <c r="BJ1" s="83"/>
      <c r="BK1" s="84"/>
    </row>
    <row r="2" spans="1:63" ht="15" customHeight="1" x14ac:dyDescent="0.25">
      <c r="A2" s="75" t="str">
        <f>IF(表紙!A2="","",表紙!A2)</f>
        <v>POSサーバー</v>
      </c>
      <c r="B2" s="76"/>
      <c r="C2" s="76"/>
      <c r="D2" s="76"/>
      <c r="E2" s="76"/>
      <c r="F2" s="76"/>
      <c r="G2" s="76"/>
      <c r="H2" s="76"/>
      <c r="I2" s="76"/>
      <c r="J2" s="77"/>
      <c r="K2" s="75" t="str">
        <f>IF(表紙!K2="","",表紙!K2)</f>
        <v>POSサーバ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91" t="str">
        <f>IF(表紙!AP2="","",表紙!AP2)</f>
        <v>TuyenNH</v>
      </c>
      <c r="AQ2" s="89"/>
      <c r="AR2" s="89"/>
      <c r="AS2" s="90"/>
      <c r="AT2" s="95">
        <f>IF(表紙!AT2="","",表紙!AT2)</f>
        <v>45645</v>
      </c>
      <c r="AU2" s="96"/>
      <c r="AV2" s="96"/>
      <c r="AW2" s="96"/>
      <c r="AX2" s="97"/>
      <c r="AY2" s="91" t="str">
        <f>IF(表紙!AY2="","",表紙!AY2)</f>
        <v>TuyenNH</v>
      </c>
      <c r="AZ2" s="89"/>
      <c r="BA2" s="89"/>
      <c r="BB2" s="90"/>
      <c r="BC2" s="95">
        <f>IF(表紙!BC2="","",表紙!BC2)</f>
        <v>45645</v>
      </c>
      <c r="BD2" s="96"/>
      <c r="BE2" s="96"/>
      <c r="BF2" s="96"/>
      <c r="BG2" s="97"/>
      <c r="BH2" s="91">
        <f>IF(表紙!BH2="","",表紙!BH2)</f>
        <v>0.1</v>
      </c>
      <c r="BI2" s="89"/>
      <c r="BJ2" s="89"/>
      <c r="BK2" s="90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01"/>
      <c r="AQ3" s="102"/>
      <c r="AR3" s="102"/>
      <c r="AS3" s="103"/>
      <c r="AT3" s="107"/>
      <c r="AU3" s="108"/>
      <c r="AV3" s="108"/>
      <c r="AW3" s="108"/>
      <c r="AX3" s="109"/>
      <c r="AY3" s="101"/>
      <c r="AZ3" s="102"/>
      <c r="BA3" s="102"/>
      <c r="BB3" s="103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181" t="s">
        <v>151</v>
      </c>
      <c r="B4" s="170"/>
      <c r="C4" s="170"/>
      <c r="D4" s="170"/>
      <c r="E4" s="170"/>
      <c r="F4" s="170"/>
      <c r="G4" s="171"/>
      <c r="H4" s="81" t="str">
        <f>IF(表紙!H4="","",表紙!H4)</f>
        <v>08_カテゴリ値引／割引設定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  <c r="U4" s="169" t="s">
        <v>144</v>
      </c>
      <c r="V4" s="170"/>
      <c r="W4" s="170"/>
      <c r="X4" s="170"/>
      <c r="Y4" s="171"/>
      <c r="Z4" s="81" t="str">
        <f>IF(表紙!Z4="","",表紙!Z4)</f>
        <v>機能設計書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1"/>
      <c r="AP4" s="69" t="str">
        <f ca="1">MID(CELL("filename",A1),FIND("]",CELL("filename",A1))+1,255)</f>
        <v>MD0801</v>
      </c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1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83" customFormat="1" ht="15" customHeight="1" x14ac:dyDescent="0.25">
      <c r="A7" s="182" t="s">
        <v>8</v>
      </c>
      <c r="BK7" s="184"/>
    </row>
    <row r="8" spans="1:63" s="183" customFormat="1" ht="15" customHeight="1" x14ac:dyDescent="0.25">
      <c r="A8" s="182"/>
      <c r="BK8" s="184"/>
    </row>
    <row r="9" spans="1:63" s="183" customFormat="1" ht="15" customHeight="1" x14ac:dyDescent="0.25">
      <c r="A9" s="82" t="s">
        <v>152</v>
      </c>
      <c r="B9" s="83"/>
      <c r="C9" s="83"/>
      <c r="D9" s="83"/>
      <c r="E9" s="185" t="s">
        <v>26</v>
      </c>
      <c r="F9" s="185"/>
      <c r="G9" s="185"/>
      <c r="H9" s="185"/>
      <c r="I9" s="185"/>
      <c r="J9" s="185"/>
      <c r="K9" s="185"/>
      <c r="L9" s="185"/>
      <c r="M9" s="185"/>
      <c r="N9" s="185"/>
      <c r="O9" s="82" t="s">
        <v>153</v>
      </c>
      <c r="P9" s="83"/>
      <c r="Q9" s="83"/>
      <c r="R9" s="83"/>
      <c r="S9" s="83"/>
      <c r="T9" s="84"/>
      <c r="U9" s="186" t="s">
        <v>27</v>
      </c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8"/>
    </row>
    <row r="10" spans="1:63" ht="15" customHeight="1" x14ac:dyDescent="0.25">
      <c r="A10" s="21"/>
      <c r="BK10" s="6"/>
    </row>
    <row r="11" spans="1:63" s="183" customFormat="1" ht="15" customHeight="1" x14ac:dyDescent="0.25">
      <c r="A11" s="189" t="s">
        <v>3</v>
      </c>
      <c r="B11" s="190"/>
      <c r="C11" s="190"/>
      <c r="D11" s="190"/>
      <c r="E11" s="190"/>
      <c r="F11" s="191"/>
      <c r="G11" s="185" t="s">
        <v>123</v>
      </c>
      <c r="H11" s="185"/>
      <c r="I11" s="185"/>
      <c r="J11" s="185"/>
      <c r="K11" s="185"/>
      <c r="L11" s="185"/>
      <c r="M11" s="192" t="s">
        <v>124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93"/>
      <c r="BI11" s="193"/>
      <c r="BJ11" s="193"/>
      <c r="BK11" s="194"/>
    </row>
    <row r="12" spans="1:63" s="183" customFormat="1" ht="15" customHeight="1" x14ac:dyDescent="0.25">
      <c r="A12" s="195" t="s">
        <v>4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7"/>
      <c r="M12" s="195" t="s">
        <v>5</v>
      </c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197"/>
      <c r="AU12" s="195" t="s">
        <v>6</v>
      </c>
      <c r="AV12" s="196"/>
      <c r="AW12" s="196"/>
      <c r="AX12" s="196"/>
      <c r="AY12" s="196"/>
      <c r="AZ12" s="196"/>
      <c r="BA12" s="196"/>
      <c r="BB12" s="196"/>
      <c r="BC12" s="196"/>
      <c r="BD12" s="196"/>
      <c r="BE12" s="196"/>
      <c r="BF12" s="195" t="s">
        <v>7</v>
      </c>
      <c r="BG12" s="196"/>
      <c r="BH12" s="196"/>
      <c r="BI12" s="196"/>
      <c r="BJ12" s="196"/>
      <c r="BK12" s="197"/>
    </row>
    <row r="13" spans="1:63" s="183" customFormat="1" ht="15" customHeight="1" x14ac:dyDescent="0.25">
      <c r="A13" s="198"/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200"/>
      <c r="M13" s="198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200"/>
      <c r="AU13" s="198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8"/>
      <c r="BG13" s="199"/>
      <c r="BH13" s="199"/>
      <c r="BI13" s="199"/>
      <c r="BJ13" s="199"/>
      <c r="BK13" s="200"/>
    </row>
    <row r="14" spans="1:63" s="183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201"/>
      <c r="N14" s="201"/>
      <c r="O14" s="201"/>
      <c r="P14" s="201"/>
      <c r="Q14" s="201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60" t="s">
        <v>42</v>
      </c>
      <c r="BG14" s="61"/>
      <c r="BH14" s="61"/>
      <c r="BI14" s="61"/>
      <c r="BJ14" s="61"/>
      <c r="BK14" s="62"/>
    </row>
    <row r="15" spans="1:63" s="183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201"/>
      <c r="N15" s="22" t="s">
        <v>154</v>
      </c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63"/>
      <c r="BG15" s="64"/>
      <c r="BH15" s="64"/>
      <c r="BI15" s="64"/>
      <c r="BJ15" s="64"/>
      <c r="BK15" s="65"/>
    </row>
    <row r="16" spans="1:63" s="183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203"/>
      <c r="N16" s="201"/>
      <c r="O16" s="204" t="s">
        <v>41</v>
      </c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204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  <c r="AT16" s="20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63"/>
      <c r="BG16" s="64"/>
      <c r="BH16" s="64"/>
      <c r="BI16" s="64"/>
      <c r="BJ16" s="64"/>
      <c r="BK16" s="65"/>
    </row>
    <row r="17" spans="1:63" s="183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201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1"/>
      <c r="AK17" s="201"/>
      <c r="AL17" s="201"/>
      <c r="AM17" s="201"/>
      <c r="AN17" s="201"/>
      <c r="AO17" s="201"/>
      <c r="AP17" s="201"/>
      <c r="AQ17" s="201"/>
      <c r="AR17" s="201"/>
      <c r="AS17" s="201"/>
      <c r="AT17" s="20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63"/>
      <c r="BG17" s="64"/>
      <c r="BH17" s="64"/>
      <c r="BI17" s="64"/>
      <c r="BJ17" s="64"/>
      <c r="BK17" s="65"/>
    </row>
    <row r="18" spans="1:63" s="183" customFormat="1" ht="1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/>
      <c r="M18" s="205"/>
      <c r="N18" s="206"/>
      <c r="O18" s="206"/>
      <c r="P18" s="206"/>
      <c r="Q18" s="206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7"/>
      <c r="AQ18" s="207"/>
      <c r="AR18" s="207"/>
      <c r="AS18" s="207"/>
      <c r="AT18" s="207"/>
      <c r="AU18" s="13"/>
      <c r="AV18" s="14"/>
      <c r="AW18" s="14"/>
      <c r="AX18" s="14"/>
      <c r="AY18" s="14"/>
      <c r="AZ18" s="14"/>
      <c r="BA18" s="14"/>
      <c r="BB18" s="14"/>
      <c r="BC18" s="14"/>
      <c r="BD18" s="14"/>
      <c r="BE18" s="15"/>
      <c r="BF18" s="72"/>
      <c r="BG18" s="73"/>
      <c r="BH18" s="73"/>
      <c r="BI18" s="73"/>
      <c r="BJ18" s="73"/>
      <c r="BK18" s="74"/>
    </row>
    <row r="19" spans="1:63" ht="15" customHeight="1" x14ac:dyDescent="0.25">
      <c r="A19" s="16"/>
      <c r="BK19" s="6"/>
    </row>
    <row r="20" spans="1:63" ht="15" customHeight="1" x14ac:dyDescent="0.25">
      <c r="BK20" s="6"/>
    </row>
    <row r="21" spans="1:63" ht="15" customHeight="1" x14ac:dyDescent="0.25">
      <c r="A21" s="21"/>
      <c r="BK21" s="6"/>
    </row>
    <row r="22" spans="1:63" s="183" customFormat="1" ht="15" customHeight="1" x14ac:dyDescent="0.25">
      <c r="A22" s="189" t="s">
        <v>3</v>
      </c>
      <c r="B22" s="190"/>
      <c r="C22" s="190"/>
      <c r="D22" s="190"/>
      <c r="E22" s="190"/>
      <c r="F22" s="191"/>
      <c r="G22" s="185" t="s">
        <v>130</v>
      </c>
      <c r="H22" s="185"/>
      <c r="I22" s="185"/>
      <c r="J22" s="185"/>
      <c r="K22" s="185"/>
      <c r="L22" s="185"/>
      <c r="M22" s="192" t="s">
        <v>125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193"/>
      <c r="BI22" s="193"/>
      <c r="BJ22" s="193"/>
      <c r="BK22" s="194"/>
    </row>
    <row r="23" spans="1:63" s="183" customFormat="1" ht="15" customHeight="1" x14ac:dyDescent="0.25">
      <c r="A23" s="195" t="s">
        <v>4</v>
      </c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7"/>
      <c r="M23" s="195" t="s">
        <v>5</v>
      </c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7"/>
      <c r="AU23" s="195" t="s">
        <v>6</v>
      </c>
      <c r="AV23" s="196"/>
      <c r="AW23" s="196"/>
      <c r="AX23" s="196"/>
      <c r="AY23" s="196"/>
      <c r="AZ23" s="196"/>
      <c r="BA23" s="196"/>
      <c r="BB23" s="196"/>
      <c r="BC23" s="196"/>
      <c r="BD23" s="196"/>
      <c r="BE23" s="196"/>
      <c r="BF23" s="195" t="s">
        <v>7</v>
      </c>
      <c r="BG23" s="196"/>
      <c r="BH23" s="196"/>
      <c r="BI23" s="196"/>
      <c r="BJ23" s="196"/>
      <c r="BK23" s="197"/>
    </row>
    <row r="24" spans="1:63" s="183" customFormat="1" ht="15" customHeight="1" x14ac:dyDescent="0.25">
      <c r="A24" s="198"/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200"/>
      <c r="M24" s="198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99"/>
      <c r="AS24" s="199"/>
      <c r="AT24" s="200"/>
      <c r="AU24" s="198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8"/>
      <c r="BG24" s="199"/>
      <c r="BH24" s="199"/>
      <c r="BI24" s="199"/>
      <c r="BJ24" s="199"/>
      <c r="BK24" s="200"/>
    </row>
    <row r="25" spans="1:63" s="183" customFormat="1" ht="15" customHeight="1" x14ac:dyDescent="0.25">
      <c r="A25" s="1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2"/>
      <c r="M25" s="201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4"/>
      <c r="AI25" s="204"/>
      <c r="AJ25" s="201"/>
      <c r="AK25" s="201"/>
      <c r="AL25" s="201"/>
      <c r="AM25" s="201"/>
      <c r="AN25" s="201"/>
      <c r="AO25" s="201"/>
      <c r="AP25" s="201"/>
      <c r="AQ25" s="201"/>
      <c r="AR25" s="201"/>
      <c r="AS25" s="201"/>
      <c r="AT25" s="201"/>
      <c r="AU25" s="11"/>
      <c r="AV25" s="19"/>
      <c r="AW25" s="19"/>
      <c r="AX25" s="19"/>
      <c r="AY25" s="19"/>
      <c r="AZ25" s="19"/>
      <c r="BA25" s="19"/>
      <c r="BB25" s="19"/>
      <c r="BC25" s="19"/>
      <c r="BD25" s="19"/>
      <c r="BE25" s="12"/>
      <c r="BF25" s="63" t="s">
        <v>179</v>
      </c>
      <c r="BG25" s="64"/>
      <c r="BH25" s="64"/>
      <c r="BI25" s="64"/>
      <c r="BJ25" s="64"/>
      <c r="BK25" s="65"/>
    </row>
    <row r="26" spans="1:63" s="183" customFormat="1" ht="15" customHeight="1" x14ac:dyDescent="0.25">
      <c r="A26" s="1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2"/>
      <c r="M26" s="201"/>
      <c r="N26" s="26" t="s">
        <v>180</v>
      </c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  <c r="AU26" s="11"/>
      <c r="AV26" s="19"/>
      <c r="AW26" s="19"/>
      <c r="AX26" s="19"/>
      <c r="AY26" s="19"/>
      <c r="AZ26" s="19"/>
      <c r="BA26" s="19"/>
      <c r="BB26" s="19"/>
      <c r="BC26" s="19"/>
      <c r="BD26" s="19"/>
      <c r="BE26" s="12"/>
      <c r="BF26" s="63"/>
      <c r="BG26" s="64"/>
      <c r="BH26" s="64"/>
      <c r="BI26" s="64"/>
      <c r="BJ26" s="64"/>
      <c r="BK26" s="65"/>
    </row>
    <row r="27" spans="1:63" s="183" customFormat="1" ht="15" customHeight="1" x14ac:dyDescent="0.25">
      <c r="A27" s="1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2"/>
      <c r="M27" s="201"/>
      <c r="N27" s="26"/>
      <c r="O27" s="204" t="s">
        <v>126</v>
      </c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11"/>
      <c r="AV27" s="19"/>
      <c r="AW27" s="19"/>
      <c r="AX27" s="19"/>
      <c r="AY27" s="19"/>
      <c r="AZ27" s="19"/>
      <c r="BA27" s="19"/>
      <c r="BB27" s="19"/>
      <c r="BC27" s="19"/>
      <c r="BD27" s="19"/>
      <c r="BE27" s="12"/>
      <c r="BF27" s="63"/>
      <c r="BG27" s="64"/>
      <c r="BH27" s="64"/>
      <c r="BI27" s="64"/>
      <c r="BJ27" s="64"/>
      <c r="BK27" s="65"/>
    </row>
    <row r="28" spans="1:63" s="183" customFormat="1" ht="15" customHeight="1" x14ac:dyDescent="0.25">
      <c r="A28" s="1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2"/>
      <c r="M28" s="201"/>
      <c r="N28" s="26"/>
      <c r="O28" s="204"/>
      <c r="P28" s="27" t="s">
        <v>10</v>
      </c>
      <c r="Q28" s="28"/>
      <c r="R28" s="28"/>
      <c r="S28" s="28"/>
      <c r="T28" s="28"/>
      <c r="U28" s="28"/>
      <c r="V28" s="28"/>
      <c r="W28" s="27" t="s">
        <v>11</v>
      </c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9"/>
      <c r="AN28" s="201"/>
      <c r="AO28" s="201"/>
      <c r="AP28" s="201"/>
      <c r="AQ28" s="201"/>
      <c r="AR28" s="201"/>
      <c r="AS28" s="201"/>
      <c r="AT28" s="201"/>
      <c r="AU28" s="11"/>
      <c r="AV28" s="19"/>
      <c r="AW28" s="19"/>
      <c r="AX28" s="19"/>
      <c r="AY28" s="19"/>
      <c r="AZ28" s="19"/>
      <c r="BA28" s="19"/>
      <c r="BB28" s="19"/>
      <c r="BC28" s="19"/>
      <c r="BD28" s="19"/>
      <c r="BE28" s="12"/>
      <c r="BF28" s="63"/>
      <c r="BG28" s="64"/>
      <c r="BH28" s="64"/>
      <c r="BI28" s="64"/>
      <c r="BJ28" s="64"/>
      <c r="BK28" s="65"/>
    </row>
    <row r="29" spans="1:63" s="183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201"/>
      <c r="N29" s="201"/>
      <c r="O29" s="204"/>
      <c r="P29" s="208" t="s">
        <v>25</v>
      </c>
      <c r="Q29" s="209"/>
      <c r="R29" s="209"/>
      <c r="S29" s="209"/>
      <c r="T29" s="209"/>
      <c r="U29" s="209"/>
      <c r="V29" s="209"/>
      <c r="W29" s="210" t="s">
        <v>16</v>
      </c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2"/>
      <c r="AN29" s="201"/>
      <c r="AO29" s="201"/>
      <c r="AP29" s="201"/>
      <c r="AQ29" s="201"/>
      <c r="AR29" s="201"/>
      <c r="AS29" s="201"/>
      <c r="AT29" s="20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63"/>
      <c r="BG29" s="64"/>
      <c r="BH29" s="64"/>
      <c r="BI29" s="64"/>
      <c r="BJ29" s="64"/>
      <c r="BK29" s="65"/>
    </row>
    <row r="30" spans="1:63" s="183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201"/>
      <c r="N30" s="201"/>
      <c r="O30" s="204"/>
      <c r="P30" s="208" t="s">
        <v>14</v>
      </c>
      <c r="Q30" s="209"/>
      <c r="R30" s="209"/>
      <c r="S30" s="209"/>
      <c r="T30" s="209"/>
      <c r="U30" s="209"/>
      <c r="V30" s="209"/>
      <c r="W30" s="210" t="s">
        <v>127</v>
      </c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2"/>
      <c r="AN30" s="201"/>
      <c r="AO30" s="201"/>
      <c r="AP30" s="201"/>
      <c r="AQ30" s="201"/>
      <c r="AR30" s="201"/>
      <c r="AS30" s="201"/>
      <c r="AT30" s="20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63"/>
      <c r="BG30" s="64"/>
      <c r="BH30" s="64"/>
      <c r="BI30" s="64"/>
      <c r="BJ30" s="64"/>
      <c r="BK30" s="65"/>
    </row>
    <row r="31" spans="1:63" s="183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201"/>
      <c r="N31" s="201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63"/>
      <c r="BG31" s="64"/>
      <c r="BH31" s="64"/>
      <c r="BI31" s="64"/>
      <c r="BJ31" s="64"/>
      <c r="BK31" s="65"/>
    </row>
    <row r="32" spans="1:63" s="183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201"/>
      <c r="N32" s="201"/>
      <c r="O32" s="204"/>
      <c r="P32" s="204" t="s">
        <v>128</v>
      </c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63"/>
      <c r="BG32" s="64"/>
      <c r="BH32" s="64"/>
      <c r="BI32" s="64"/>
      <c r="BJ32" s="64"/>
      <c r="BK32" s="65"/>
    </row>
    <row r="33" spans="1:63" s="183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201"/>
      <c r="N33" s="201"/>
      <c r="O33" s="204" t="s">
        <v>17</v>
      </c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63"/>
      <c r="BG33" s="64"/>
      <c r="BH33" s="64"/>
      <c r="BI33" s="64"/>
      <c r="BJ33" s="64"/>
      <c r="BK33" s="65"/>
    </row>
    <row r="34" spans="1:63" s="183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201"/>
      <c r="N34" s="201"/>
      <c r="O34" s="204"/>
      <c r="P34" s="204" t="s">
        <v>18</v>
      </c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  <c r="AT34" s="201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63"/>
      <c r="BG34" s="64"/>
      <c r="BH34" s="64"/>
      <c r="BI34" s="64"/>
      <c r="BJ34" s="64"/>
      <c r="BK34" s="65"/>
    </row>
    <row r="35" spans="1:63" s="183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201"/>
      <c r="N35" s="201"/>
      <c r="O35" s="204"/>
      <c r="P35" s="204"/>
      <c r="Q35" s="204" t="s">
        <v>129</v>
      </c>
      <c r="R35" s="204"/>
      <c r="S35" s="204"/>
      <c r="T35" s="204"/>
      <c r="U35" s="204"/>
      <c r="V35" s="204"/>
      <c r="W35" s="204"/>
      <c r="X35" s="204"/>
      <c r="Y35" s="204"/>
      <c r="Z35" s="204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1"/>
      <c r="AO35" s="201"/>
      <c r="AP35" s="201"/>
      <c r="AQ35" s="201"/>
      <c r="AR35" s="201"/>
      <c r="AS35" s="201"/>
      <c r="AT35" s="201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63"/>
      <c r="BG35" s="64"/>
      <c r="BH35" s="64"/>
      <c r="BI35" s="64"/>
      <c r="BJ35" s="64"/>
      <c r="BK35" s="65"/>
    </row>
    <row r="36" spans="1:63" s="183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201"/>
      <c r="N36" s="201"/>
      <c r="O36" s="204"/>
      <c r="P36" s="204"/>
      <c r="Q36" s="204" t="s">
        <v>13</v>
      </c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1"/>
      <c r="AO36" s="201"/>
      <c r="AP36" s="201"/>
      <c r="AQ36" s="201"/>
      <c r="AR36" s="201"/>
      <c r="AS36" s="201"/>
      <c r="AT36" s="201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63"/>
      <c r="BG36" s="64"/>
      <c r="BH36" s="64"/>
      <c r="BI36" s="64"/>
      <c r="BJ36" s="64"/>
      <c r="BK36" s="65"/>
    </row>
    <row r="37" spans="1:63" s="183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201"/>
      <c r="N37" s="201"/>
      <c r="O37" s="204"/>
      <c r="P37" s="204"/>
      <c r="Q37" s="204"/>
      <c r="R37" s="204" t="s">
        <v>53</v>
      </c>
      <c r="S37" s="20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1"/>
      <c r="AO37" s="201"/>
      <c r="AP37" s="201"/>
      <c r="AQ37" s="201"/>
      <c r="AR37" s="201"/>
      <c r="AS37" s="201"/>
      <c r="AT37" s="201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63"/>
      <c r="BG37" s="64"/>
      <c r="BH37" s="64"/>
      <c r="BI37" s="64"/>
      <c r="BJ37" s="64"/>
      <c r="BK37" s="65"/>
    </row>
    <row r="38" spans="1:63" s="183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201"/>
      <c r="N38" s="201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/>
      <c r="AL38" s="204"/>
      <c r="AM38" s="204"/>
      <c r="AN38" s="201"/>
      <c r="AO38" s="201"/>
      <c r="AP38" s="201"/>
      <c r="AQ38" s="201"/>
      <c r="AR38" s="201"/>
      <c r="AS38" s="201"/>
      <c r="AT38" s="201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63"/>
      <c r="BG38" s="64"/>
      <c r="BH38" s="64"/>
      <c r="BI38" s="64"/>
      <c r="BJ38" s="64"/>
      <c r="BK38" s="65"/>
    </row>
    <row r="39" spans="1:63" s="183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201"/>
      <c r="N39" s="201"/>
      <c r="O39" s="204"/>
      <c r="P39" s="201" t="s">
        <v>19</v>
      </c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1"/>
      <c r="AO39" s="201"/>
      <c r="AP39" s="201"/>
      <c r="AQ39" s="201"/>
      <c r="AR39" s="201"/>
      <c r="AS39" s="201"/>
      <c r="AT39" s="201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63"/>
      <c r="BG39" s="64"/>
      <c r="BH39" s="64"/>
      <c r="BI39" s="64"/>
      <c r="BJ39" s="64"/>
      <c r="BK39" s="65"/>
    </row>
    <row r="40" spans="1:63" s="183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201"/>
      <c r="N40" s="201"/>
      <c r="O40" s="204"/>
      <c r="P40" s="204"/>
      <c r="Q40" s="204" t="s">
        <v>129</v>
      </c>
      <c r="R40" s="204"/>
      <c r="S40" s="204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  <c r="AI40" s="204"/>
      <c r="AJ40" s="204"/>
      <c r="AK40" s="204"/>
      <c r="AL40" s="204"/>
      <c r="AM40" s="204"/>
      <c r="AN40" s="201"/>
      <c r="AO40" s="201"/>
      <c r="AP40" s="201"/>
      <c r="AQ40" s="201"/>
      <c r="AR40" s="201"/>
      <c r="AS40" s="201"/>
      <c r="AT40" s="201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63"/>
      <c r="BG40" s="64"/>
      <c r="BH40" s="64"/>
      <c r="BI40" s="64"/>
      <c r="BJ40" s="64"/>
      <c r="BK40" s="65"/>
    </row>
    <row r="41" spans="1:63" s="183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201"/>
      <c r="N41" s="201"/>
      <c r="O41" s="204"/>
      <c r="P41" s="204"/>
      <c r="Q41" s="204" t="s">
        <v>55</v>
      </c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1"/>
      <c r="AK41" s="201"/>
      <c r="AL41" s="201"/>
      <c r="AM41" s="201"/>
      <c r="AN41" s="201"/>
      <c r="AO41" s="201"/>
      <c r="AP41" s="201"/>
      <c r="AQ41" s="201"/>
      <c r="AR41" s="201"/>
      <c r="AS41" s="201"/>
      <c r="AT41" s="20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63"/>
      <c r="BG41" s="64"/>
      <c r="BH41" s="64"/>
      <c r="BI41" s="64"/>
      <c r="BJ41" s="64"/>
      <c r="BK41" s="65"/>
    </row>
    <row r="42" spans="1:63" s="183" customFormat="1" ht="15" customHeight="1" x14ac:dyDescent="0.25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5"/>
      <c r="M42" s="205"/>
      <c r="N42" s="206"/>
      <c r="O42" s="206"/>
      <c r="P42" s="206"/>
      <c r="Q42" s="206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7"/>
      <c r="AQ42" s="207"/>
      <c r="AR42" s="207"/>
      <c r="AS42" s="207"/>
      <c r="AT42" s="207"/>
      <c r="AU42" s="13"/>
      <c r="AV42" s="14"/>
      <c r="AW42" s="14"/>
      <c r="AX42" s="14"/>
      <c r="AY42" s="14"/>
      <c r="AZ42" s="14"/>
      <c r="BA42" s="14"/>
      <c r="BB42" s="14"/>
      <c r="BC42" s="14"/>
      <c r="BD42" s="14"/>
      <c r="BE42" s="15"/>
      <c r="BF42" s="72"/>
      <c r="BG42" s="73"/>
      <c r="BH42" s="73"/>
      <c r="BI42" s="73"/>
      <c r="BJ42" s="73"/>
      <c r="BK42" s="74"/>
    </row>
    <row r="43" spans="1:63" ht="15" customHeight="1" x14ac:dyDescent="0.25">
      <c r="A43" s="21"/>
      <c r="BK43" s="6"/>
    </row>
    <row r="44" spans="1:63" ht="15" customHeight="1" x14ac:dyDescent="0.25">
      <c r="A44" s="21"/>
      <c r="BK44" s="6"/>
    </row>
    <row r="45" spans="1:63" ht="15" customHeight="1" x14ac:dyDescent="0.25">
      <c r="A45" s="21"/>
      <c r="BK45" s="6"/>
    </row>
    <row r="46" spans="1:63" s="183" customFormat="1" ht="15" customHeight="1" x14ac:dyDescent="0.25">
      <c r="A46" s="189" t="s">
        <v>3</v>
      </c>
      <c r="B46" s="190"/>
      <c r="C46" s="190"/>
      <c r="D46" s="190"/>
      <c r="E46" s="190"/>
      <c r="F46" s="191"/>
      <c r="G46" s="185" t="s">
        <v>130</v>
      </c>
      <c r="H46" s="185"/>
      <c r="I46" s="185"/>
      <c r="J46" s="185"/>
      <c r="K46" s="185"/>
      <c r="L46" s="185"/>
      <c r="M46" s="192" t="s">
        <v>131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193"/>
      <c r="BI46" s="193"/>
      <c r="BJ46" s="193"/>
      <c r="BK46" s="194"/>
    </row>
    <row r="47" spans="1:63" s="183" customFormat="1" ht="15" customHeight="1" x14ac:dyDescent="0.25">
      <c r="A47" s="195" t="s">
        <v>4</v>
      </c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7"/>
      <c r="M47" s="195" t="s">
        <v>5</v>
      </c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6"/>
      <c r="AP47" s="196"/>
      <c r="AQ47" s="196"/>
      <c r="AR47" s="196"/>
      <c r="AS47" s="196"/>
      <c r="AT47" s="197"/>
      <c r="AU47" s="195" t="s">
        <v>6</v>
      </c>
      <c r="AV47" s="196"/>
      <c r="AW47" s="196"/>
      <c r="AX47" s="196"/>
      <c r="AY47" s="196"/>
      <c r="AZ47" s="196"/>
      <c r="BA47" s="196"/>
      <c r="BB47" s="196"/>
      <c r="BC47" s="196"/>
      <c r="BD47" s="196"/>
      <c r="BE47" s="196"/>
      <c r="BF47" s="195" t="s">
        <v>7</v>
      </c>
      <c r="BG47" s="196"/>
      <c r="BH47" s="196"/>
      <c r="BI47" s="196"/>
      <c r="BJ47" s="196"/>
      <c r="BK47" s="197"/>
    </row>
    <row r="48" spans="1:63" s="183" customFormat="1" ht="15" customHeight="1" x14ac:dyDescent="0.25">
      <c r="A48" s="198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200"/>
      <c r="M48" s="198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199"/>
      <c r="AT48" s="200"/>
      <c r="AU48" s="198"/>
      <c r="AV48" s="199"/>
      <c r="AW48" s="199"/>
      <c r="AX48" s="199"/>
      <c r="AY48" s="199"/>
      <c r="AZ48" s="199"/>
      <c r="BA48" s="199"/>
      <c r="BB48" s="199"/>
      <c r="BC48" s="199"/>
      <c r="BD48" s="199"/>
      <c r="BE48" s="199"/>
      <c r="BF48" s="198"/>
      <c r="BG48" s="199"/>
      <c r="BH48" s="199"/>
      <c r="BI48" s="199"/>
      <c r="BJ48" s="199"/>
      <c r="BK48" s="200"/>
    </row>
    <row r="49" spans="1:63" s="183" customFormat="1" ht="15" customHeight="1" x14ac:dyDescent="0.25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10"/>
      <c r="M49" s="201"/>
      <c r="N49" s="201"/>
      <c r="O49" s="201"/>
      <c r="P49" s="201"/>
      <c r="Q49" s="201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8"/>
      <c r="AV49" s="9"/>
      <c r="AW49" s="9"/>
      <c r="AX49" s="9"/>
      <c r="AY49" s="9"/>
      <c r="AZ49" s="9"/>
      <c r="BA49" s="9"/>
      <c r="BB49" s="9"/>
      <c r="BC49" s="9"/>
      <c r="BD49" s="9"/>
      <c r="BE49" s="10"/>
      <c r="BF49" s="60" t="s">
        <v>42</v>
      </c>
      <c r="BG49" s="61"/>
      <c r="BH49" s="61"/>
      <c r="BI49" s="61"/>
      <c r="BJ49" s="61"/>
      <c r="BK49" s="62"/>
    </row>
    <row r="50" spans="1:63" s="183" customFormat="1" ht="1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201"/>
      <c r="N50" s="22" t="s">
        <v>181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  <c r="AQ50" s="201"/>
      <c r="AR50" s="201"/>
      <c r="AS50" s="201"/>
      <c r="AT50" s="20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63"/>
      <c r="BG50" s="64"/>
      <c r="BH50" s="64"/>
      <c r="BI50" s="64"/>
      <c r="BJ50" s="64"/>
      <c r="BK50" s="65"/>
    </row>
    <row r="51" spans="1:63" s="183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203"/>
      <c r="N51" s="201"/>
      <c r="O51" s="204" t="s">
        <v>132</v>
      </c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  <c r="AJ51" s="201"/>
      <c r="AK51" s="201"/>
      <c r="AL51" s="201"/>
      <c r="AM51" s="201"/>
      <c r="AN51" s="201"/>
      <c r="AO51" s="201"/>
      <c r="AP51" s="201"/>
      <c r="AQ51" s="201"/>
      <c r="AR51" s="201"/>
      <c r="AS51" s="201"/>
      <c r="AT51" s="20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63"/>
      <c r="BG51" s="64"/>
      <c r="BH51" s="64"/>
      <c r="BI51" s="64"/>
      <c r="BJ51" s="64"/>
      <c r="BK51" s="65"/>
    </row>
    <row r="52" spans="1:63" s="183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201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1"/>
      <c r="AK52" s="201"/>
      <c r="AL52" s="201"/>
      <c r="AM52" s="201"/>
      <c r="AN52" s="201"/>
      <c r="AO52" s="201"/>
      <c r="AP52" s="201"/>
      <c r="AQ52" s="201"/>
      <c r="AR52" s="201"/>
      <c r="AS52" s="201"/>
      <c r="AT52" s="20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63"/>
      <c r="BG52" s="64"/>
      <c r="BH52" s="64"/>
      <c r="BI52" s="64"/>
      <c r="BJ52" s="64"/>
      <c r="BK52" s="65"/>
    </row>
    <row r="53" spans="1:63" s="183" customFormat="1" ht="15" customHeight="1" x14ac:dyDescent="0.25">
      <c r="A53" s="11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2"/>
      <c r="M53" s="201"/>
      <c r="N53" s="201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  <c r="AT53" s="201"/>
      <c r="AU53" s="11"/>
      <c r="AV53" s="19"/>
      <c r="AW53" s="19"/>
      <c r="AX53" s="19"/>
      <c r="AY53" s="19"/>
      <c r="AZ53" s="19"/>
      <c r="BA53" s="19"/>
      <c r="BB53" s="19"/>
      <c r="BC53" s="19"/>
      <c r="BD53" s="19"/>
      <c r="BE53" s="12"/>
      <c r="BF53" s="63"/>
      <c r="BG53" s="64"/>
      <c r="BH53" s="64"/>
      <c r="BI53" s="64"/>
      <c r="BJ53" s="64"/>
      <c r="BK53" s="65"/>
    </row>
    <row r="54" spans="1:63" s="183" customFormat="1" ht="15" customHeight="1" x14ac:dyDescent="0.25">
      <c r="A54" s="1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2"/>
      <c r="M54" s="201"/>
      <c r="N54" s="201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11"/>
      <c r="AV54" s="19"/>
      <c r="AW54" s="19"/>
      <c r="AX54" s="19"/>
      <c r="AY54" s="19"/>
      <c r="AZ54" s="19"/>
      <c r="BA54" s="19"/>
      <c r="BB54" s="19"/>
      <c r="BC54" s="19"/>
      <c r="BD54" s="19"/>
      <c r="BE54" s="12"/>
      <c r="BF54" s="23"/>
      <c r="BG54" s="24"/>
      <c r="BH54" s="24"/>
      <c r="BI54" s="24"/>
      <c r="BJ54" s="24"/>
      <c r="BK54" s="25"/>
    </row>
    <row r="55" spans="1:63" s="183" customFormat="1" ht="15" customHeight="1" x14ac:dyDescent="0.2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5"/>
      <c r="M55" s="205"/>
      <c r="N55" s="206"/>
      <c r="O55" s="206"/>
      <c r="P55" s="206"/>
      <c r="Q55" s="206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7"/>
      <c r="AQ55" s="207"/>
      <c r="AR55" s="207"/>
      <c r="AS55" s="207"/>
      <c r="AT55" s="207"/>
      <c r="AU55" s="13"/>
      <c r="AV55" s="14"/>
      <c r="AW55" s="14"/>
      <c r="AX55" s="14"/>
      <c r="AY55" s="14"/>
      <c r="AZ55" s="14"/>
      <c r="BA55" s="14"/>
      <c r="BB55" s="14"/>
      <c r="BC55" s="14"/>
      <c r="BD55" s="14"/>
      <c r="BE55" s="15"/>
      <c r="BF55" s="72"/>
      <c r="BG55" s="73"/>
      <c r="BH55" s="73"/>
      <c r="BI55" s="73"/>
      <c r="BJ55" s="73"/>
      <c r="BK55" s="74"/>
    </row>
    <row r="56" spans="1:63" ht="15" customHeight="1" x14ac:dyDescent="0.25">
      <c r="A56" s="21"/>
      <c r="BK56" s="6"/>
    </row>
    <row r="57" spans="1:63" ht="15" customHeight="1" x14ac:dyDescent="0.25">
      <c r="A57" s="21"/>
      <c r="BK57" s="6"/>
    </row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</sheetData>
  <mergeCells count="48">
    <mergeCell ref="A46:F46"/>
    <mergeCell ref="G46:L46"/>
    <mergeCell ref="A47:L48"/>
    <mergeCell ref="M47:AT48"/>
    <mergeCell ref="AU47:BE48"/>
    <mergeCell ref="A22:F22"/>
    <mergeCell ref="G22:L22"/>
    <mergeCell ref="A23:L24"/>
    <mergeCell ref="M23:AT24"/>
    <mergeCell ref="AU23:BE24"/>
    <mergeCell ref="BF55:BK55"/>
    <mergeCell ref="BF25:BK41"/>
    <mergeCell ref="BF42:BK42"/>
    <mergeCell ref="BF14:BK17"/>
    <mergeCell ref="BF18:BK18"/>
    <mergeCell ref="BF23:BK24"/>
    <mergeCell ref="BF47:BK48"/>
    <mergeCell ref="BF49:BK53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7E3A19-04EE-4393-8E41-B7460E234E09}"/>
</file>

<file path=customXml/itemProps2.xml><?xml version="1.0" encoding="utf-8"?>
<ds:datastoreItem xmlns:ds="http://schemas.openxmlformats.org/officeDocument/2006/customXml" ds:itemID="{958014C8-838E-4B11-A84A-A1C0D6EE9DF7}"/>
</file>

<file path=customXml/itemProps3.xml><?xml version="1.0" encoding="utf-8"?>
<ds:datastoreItem xmlns:ds="http://schemas.openxmlformats.org/officeDocument/2006/customXml" ds:itemID="{EB3880C4-F6E7-4AA9-B911-4AA6FFD1611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表紙</vt:lpstr>
      <vt:lpstr>改訂履歴</vt:lpstr>
      <vt:lpstr>SC0801</vt:lpstr>
      <vt:lpstr>MD0801</vt:lpstr>
      <vt:lpstr>'MD0801'!Print_Area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2024-12-25T08:13:23Z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