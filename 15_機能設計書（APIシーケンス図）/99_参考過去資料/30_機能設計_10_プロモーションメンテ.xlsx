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7B25D28A-141D-42A1-B068-9496B31A1AA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指摘履歴" sheetId="12" r:id="rId3"/>
    <sheet name="SC1001" sheetId="11" r:id="rId4"/>
    <sheet name="テンプレート" sheetId="7" r:id="rId5"/>
  </sheets>
  <definedNames>
    <definedName name="_xlnm.Print_Area" localSheetId="3">'SC1001'!$A$1:$BK$150</definedName>
    <definedName name="_xlnm.Print_Area" localSheetId="4">テンプレート!$A$1:$BK$54</definedName>
    <definedName name="_xlnm.Print_Area" localSheetId="2">指摘履歴!$A$1:$BK$55</definedName>
    <definedName name="_xlnm.Print_Area" localSheetId="1">改訂履歴!$A$1:$BK$55</definedName>
    <definedName name="_xlnm.Print_Area" localSheetId="0">表紙!$A$1:$BK$55</definedName>
    <definedName name="_xlnm.Print_Titles" localSheetId="2">指摘履歴!$1:$5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K2" i="7"/>
  <c r="A2" i="7"/>
  <c r="W1" i="7"/>
  <c r="AP4" i="11"/>
  <c r="H4" i="11"/>
  <c r="AP4" i="12" a="1"/>
  <c r="AP4" i="12" s="1"/>
  <c r="AP4" i="3" a="1"/>
  <c r="AP4" i="3" s="1"/>
  <c r="Z4" i="3"/>
  <c r="H4" i="3"/>
  <c r="AT2" i="3"/>
  <c r="AP2" i="3"/>
  <c r="K2" i="3"/>
  <c r="A2" i="3"/>
  <c r="W1" i="3"/>
  <c r="L24" i="4"/>
  <c r="AP4" i="4" a="1"/>
  <c r="AP4" i="4" s="1"/>
  <c r="BH2" i="4"/>
  <c r="BH2" i="3" s="1"/>
  <c r="BC2" i="4"/>
  <c r="BC2" i="7" s="1"/>
  <c r="AY2" i="4"/>
  <c r="AY2" i="7" s="1"/>
  <c r="AT2" i="4"/>
  <c r="AT2" i="7" s="1"/>
  <c r="AP2" i="4"/>
  <c r="AP2" i="7" s="1"/>
  <c r="BH2" i="7" l="1"/>
  <c r="AY2" i="3"/>
  <c r="BC2" i="3"/>
</calcChain>
</file>

<file path=xl/sharedStrings.xml><?xml version="1.0" encoding="utf-8"?>
<sst xmlns="http://schemas.openxmlformats.org/spreadsheetml/2006/main" count="267" uniqueCount="175">
  <si>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</si>
  <si>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</si>
  <si>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</si>
  <si>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</si>
  <si>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</si>
  <si>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</si>
  <si>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</si>
  <si>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</si>
  <si>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</si>
  <si>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</si>
  <si>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</si>
  <si>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</si>
  <si>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</si>
  <si>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</si>
  <si>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</t>
    </r>
  </si>
  <si>
    <r>
      <rPr>
        <sz val="11"/>
        <color rgb="FF000000"/>
        <rFont val="Meiryo UI"/>
        <family val="2"/>
      </rPr>
      <t>POSサーバー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</si>
  <si>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</si>
  <si>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機能設計書</t>
    </r>
  </si>
  <si>
    <r>
      <rPr>
        <sz val="11"/>
        <color rgb="FF000000"/>
        <rFont val="Meiryo UI"/>
        <family val="2"/>
      </rPr>
      <t>イベントID</t>
    </r>
  </si>
  <si>
    <r>
      <rPr>
        <sz val="11"/>
        <color rgb="FF000000"/>
        <rFont val="Meiryo UI"/>
        <family val="2"/>
      </rPr>
      <t>KN1010201</t>
    </r>
  </si>
  <si>
    <r>
      <rPr>
        <sz val="11"/>
        <color rgb="FF000000"/>
        <rFont val="Meiryo UI"/>
        <family val="2"/>
      </rPr>
      <t>インプット</t>
    </r>
  </si>
  <si>
    <r>
      <rPr>
        <sz val="11"/>
        <color rgb="FF000000"/>
        <rFont val="Meiryo UI"/>
        <family val="2"/>
      </rPr>
      <t>処理概要</t>
    </r>
  </si>
  <si>
    <r>
      <rPr>
        <sz val="11"/>
        <color rgb="FF000000"/>
        <rFont val="Meiryo UI"/>
        <family val="2"/>
      </rPr>
      <t>出力</t>
    </r>
  </si>
  <si>
    <r>
      <rPr>
        <sz val="11"/>
        <color rgb="FF000000"/>
        <rFont val="Meiryo UI"/>
        <family val="2"/>
      </rPr>
      <t>参照情報</t>
    </r>
  </si>
  <si>
    <r>
      <rPr>
        <sz val="11"/>
        <color rgb="FF000000"/>
        <rFont val="Meiryo UI"/>
        <family val="2"/>
      </rPr>
      <t>■機能説明</t>
    </r>
  </si>
  <si>
    <r>
      <rPr>
        <sz val="11"/>
        <color rgb="FF000000"/>
        <rFont val="Meiryo UI"/>
        <family val="2"/>
      </rPr>
      <t>SCxxxxxx</t>
    </r>
  </si>
  <si>
    <t xml:space="preserve"> </t>
  </si>
  <si>
    <r>
      <rPr>
        <sz val="18"/>
        <color rgb="FF000000"/>
        <rFont val="Meiryo UI"/>
        <family val="3"/>
      </rPr>
      <t>詳細設計書</t>
    </r>
  </si>
  <si>
    <r>
      <rPr>
        <sz val="11"/>
        <color rgb="FF000000"/>
        <rFont val="Meiryo UI"/>
        <family val="2"/>
      </rPr>
      <t>SonMNT</t>
    </r>
  </si>
  <si>
    <t>SC1001</t>
  </si>
  <si>
    <r>
      <rPr>
        <sz val="11"/>
        <color rgb="FF000000"/>
        <rFont val="Meiryo UI"/>
        <family val="2"/>
      </rPr>
      <t>画面初期化</t>
    </r>
  </si>
  <si>
    <r>
      <rPr>
        <b/>
        <sz val="11"/>
        <color rgb="FF000000"/>
        <rFont val="Meiryo UI"/>
        <family val="2"/>
      </rPr>
      <t>APIのパラメータ</t>
    </r>
  </si>
  <si>
    <r>
      <rPr>
        <b/>
        <sz val="11"/>
        <color rgb="FF000000"/>
        <rFont val="Meiryo UI"/>
        <family val="2"/>
      </rPr>
      <t>パラメータの値</t>
    </r>
  </si>
  <si>
    <r>
      <rPr>
        <sz val="11"/>
        <color rgb="FF000000"/>
        <rFont val="Meiryo UI"/>
        <family val="2"/>
      </rPr>
      <t>1.2 返却された結果情報</t>
    </r>
  </si>
  <si>
    <r>
      <rPr>
        <sz val="11"/>
        <color rgb="FF000000"/>
        <rFont val="Meiryo UI"/>
        <family val="2"/>
      </rPr>
      <t>プロモーション情報検索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</si>
  <si>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</si>
  <si>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1.1 「AP0105」API呼出処理を実行する。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</si>
  <si>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</si>
  <si>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選択された店舗</t>
    </r>
  </si>
  <si>
    <r>
      <rPr>
        <sz val="11"/>
        <color rgb="FF000000"/>
        <rFont val="Meiryo UI"/>
        <family val="2"/>
      </rPr>
      <t>画面で入力されたプロモーションコード</t>
    </r>
  </si>
  <si>
    <r>
      <rPr>
        <sz val="11"/>
        <color rgb="FF000000"/>
        <rFont val="Meiryo UI"/>
        <family val="2"/>
      </rPr>
      <t>検索が成功した場合、</t>
    </r>
  </si>
  <si>
    <r>
      <rPr>
        <sz val="11"/>
        <color rgb="FF000000"/>
        <rFont val="Meiryo UI"/>
        <family val="2"/>
      </rPr>
      <t>・返却レスポンスは40_API設計_AP0105_プロモーション一覧取得.xlsxをご参照ください。</t>
    </r>
  </si>
  <si>
    <r>
      <rPr>
        <sz val="11"/>
        <color rgb="FF000000"/>
        <rFont val="Meiryo UI"/>
        <family val="2"/>
      </rPr>
      <t>検索が失敗した場合、</t>
    </r>
  </si>
  <si>
    <r>
      <rPr>
        <sz val="11"/>
        <color rgb="FF000000"/>
        <rFont val="Meiryo UI"/>
        <family val="2"/>
      </rPr>
      <t>SC1001_02</t>
    </r>
  </si>
  <si>
    <r>
      <rPr>
        <sz val="11"/>
        <color rgb="FF000000"/>
        <rFont val="Meiryo UI"/>
        <family val="2"/>
      </rPr>
      <t>SC1001_01</t>
    </r>
  </si>
  <si>
    <r>
      <rPr>
        <sz val="11"/>
        <color rgb="FF000000"/>
        <rFont val="Meiryo UI"/>
        <family val="2"/>
      </rPr>
      <t>SC1001_03</t>
    </r>
  </si>
  <si>
    <r>
      <rPr>
        <sz val="11"/>
        <color rgb="FF000000"/>
        <rFont val="Meiryo UI"/>
        <family val="2"/>
      </rPr>
      <t>・APIから返されたレコード一覧を表示し、ユーザーが編集と削除できる。</t>
    </r>
  </si>
  <si>
    <r>
      <rPr>
        <sz val="11"/>
        <color rgb="FF000000"/>
        <rFont val="Meiryo UI"/>
        <family val="2"/>
      </rPr>
      <t>SC1001_04</t>
    </r>
  </si>
  <si>
    <r>
      <rPr>
        <sz val="11"/>
        <color rgb="FF000000"/>
        <rFont val="Meiryo UI"/>
        <family val="2"/>
      </rPr>
      <t>promotions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</si>
  <si>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</si>
  <si>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start_date_time</t>
    </r>
  </si>
  <si>
    <r>
      <rPr>
        <sz val="11"/>
        <color rgb="FF000000"/>
        <rFont val="Meiryo UI"/>
        <family val="2"/>
      </rPr>
      <t>end_date_time</t>
    </r>
  </si>
  <si>
    <r>
      <rPr>
        <sz val="11"/>
        <color rgb="FF000000"/>
        <rFont val="Meiryo UI"/>
        <family val="2"/>
      </rPr>
      <t>start_time</t>
    </r>
  </si>
  <si>
    <r>
      <rPr>
        <sz val="11"/>
        <color rgb="FF000000"/>
        <rFont val="Meiryo UI"/>
        <family val="2"/>
      </rPr>
      <t>end_time</t>
    </r>
  </si>
  <si>
    <r>
      <rPr>
        <sz val="11"/>
        <color rgb="FF000000"/>
        <rFont val="Meiryo UI"/>
        <family val="2"/>
      </rPr>
      <t>ユーザーが更新したレコード一覧</t>
    </r>
  </si>
  <si>
    <r>
      <rPr>
        <sz val="11"/>
        <color rgb="FF000000"/>
        <rFont val="Meiryo UI"/>
        <family val="2"/>
      </rPr>
      <t>プロモーション名称</t>
    </r>
  </si>
  <si>
    <r>
      <rPr>
        <sz val="11"/>
        <color rgb="FF000000"/>
        <rFont val="Meiryo UI"/>
        <family val="2"/>
      </rPr>
      <t>開始日</t>
    </r>
  </si>
  <si>
    <r>
      <rPr>
        <sz val="11"/>
        <color rgb="FF000000"/>
        <rFont val="Meiryo UI"/>
        <family val="2"/>
      </rPr>
      <t>終了日</t>
    </r>
  </si>
  <si>
    <r>
      <rPr>
        <sz val="11"/>
        <color rgb="FF000000"/>
        <rFont val="Meiryo UI"/>
        <family val="2"/>
      </rPr>
      <t>開始時刻</t>
    </r>
  </si>
  <si>
    <r>
      <rPr>
        <sz val="11"/>
        <color rgb="FF000000"/>
        <rFont val="Meiryo UI"/>
        <family val="2"/>
      </rPr>
      <t>終了時刻</t>
    </r>
  </si>
  <si>
    <r>
      <rPr>
        <sz val="11"/>
        <color rgb="FF000000"/>
        <rFont val="Meiryo UI"/>
        <family val="2"/>
      </rPr>
      <t>20_画面設計_10_プロモーションメンテ.xlsx</t>
    </r>
  </si>
  <si>
    <r>
      <rPr>
        <sz val="11"/>
        <color rgb="FF000000"/>
        <rFont val="Meiryo UI"/>
        <family val="2"/>
      </rPr>
      <t>20_画面設計_10_プロモーションメンテ.xlsxをご参照ください。</t>
    </r>
  </si>
  <si>
    <r>
      <rPr>
        <sz val="11"/>
        <color rgb="FF000000"/>
        <rFont val="Meiryo UI"/>
        <family val="2"/>
      </rPr>
      <t>10_プロモーションメンテ</t>
    </r>
  </si>
  <si>
    <r>
      <rPr>
        <sz val="11"/>
        <color rgb="FF000000"/>
        <rFont val="Meiryo UI"/>
        <family val="2"/>
      </rPr>
      <t>プロモーション一覧を表示する。20_画面設計_40_プロモーションメンテ.xlsxをご参照ください。</t>
    </r>
  </si>
  <si>
    <r>
      <rPr>
        <sz val="11"/>
        <color rgb="FF000000"/>
        <rFont val="Meiryo UI"/>
        <family val="2"/>
      </rPr>
      <t>プロモーション情報削除・更新・新規作成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</si>
  <si>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</si>
  <si>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SC1001_05</t>
    </r>
  </si>
  <si>
    <r>
      <rPr>
        <sz val="11"/>
        <color rgb="FF000000"/>
        <rFont val="Meiryo UI"/>
        <family val="2"/>
      </rPr>
      <t>画面を初期状態にリセット</t>
    </r>
  </si>
  <si>
    <r>
      <rPr>
        <sz val="11"/>
        <color rgb="FF000000"/>
        <rFont val="Meiryo UI"/>
        <family val="2"/>
      </rPr>
      <t>・promotion_codeが入力されていない場合、</t>
    </r>
  </si>
  <si>
    <r>
      <rPr>
        <sz val="11"/>
        <color rgb="FF000000"/>
        <rFont val="Meiryo UI"/>
        <family val="2"/>
      </rPr>
      <t>・promotion_codeが入力されている場合、</t>
    </r>
  </si>
  <si>
    <r>
      <rPr>
        <sz val="11"/>
        <color rgb="FF000000"/>
        <rFont val="Meiryo UI"/>
        <family val="2"/>
      </rPr>
      <t>=&gt; プロモーション &gt;=入力されたプロモーションの条件で検索する。</t>
    </r>
  </si>
  <si>
    <r>
      <rPr>
        <sz val="11"/>
        <color rgb="FF000000"/>
        <rFont val="Meiryo UI"/>
        <family val="2"/>
      </rPr>
      <t>先頭99XXXのプロモーションコードを表示し、その後ろに昇順でプロモーションコードを表示する。</t>
    </r>
  </si>
  <si>
    <r>
      <rPr>
        <sz val="11"/>
        <color rgb="FF000000"/>
        <rFont val="Meiryo UI"/>
        <family val="2"/>
      </rPr>
      <t>+検索条件を満たすデータがない場合、</t>
    </r>
  </si>
  <si>
    <r>
      <rPr>
        <sz val="11"/>
        <color rgb="FF000000"/>
        <rFont val="Meiryo UI"/>
        <family val="2"/>
      </rPr>
      <t>+検索条件を満たすデータがある場合、</t>
    </r>
  </si>
  <si>
    <r>
      <rPr>
        <sz val="11"/>
        <color rgb="FF000000"/>
        <rFont val="Meiryo UI"/>
        <family val="2"/>
      </rPr>
      <t>TuyenNH</t>
    </r>
  </si>
  <si>
    <t>QA95　QA96</t>
  </si>
  <si>
    <t>カスミ　佐々木</t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</si>
  <si>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</si>
  <si>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</si>
  <si>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更新内容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</si>
  <si>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</si>
  <si>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機能カテゴリー</t>
    </r>
  </si>
  <si>
    <r>
      <rPr>
        <sz val="11"/>
        <color rgb="FF000000"/>
        <rFont val="Meiryo UI"/>
        <family val="2"/>
      </rPr>
      <t>佐々木</t>
    </r>
  </si>
  <si>
    <r>
      <rPr>
        <sz val="11"/>
        <color rgb="FF000000"/>
        <rFont val="Meiryo UI"/>
        <family val="2"/>
      </rPr>
      <t>カスミ</t>
    </r>
  </si>
  <si>
    <r>
      <rPr>
        <sz val="11"/>
        <color rgb="FF00B050"/>
        <rFont val="Meiryo UI"/>
        <family val="3"/>
        <charset val="128"/>
      </rPr>
      <t>DuNT</t>
    </r>
  </si>
  <si>
    <r>
      <rPr>
        <sz val="11"/>
        <color rgb="FF000000"/>
        <rFont val="Meiryo UI"/>
        <family val="2"/>
      </rPr>
      <t>・ユーザーが情報を変更したレコードのみを投稿する。</t>
    </r>
  </si>
  <si>
    <r>
      <rPr>
        <sz val="11"/>
        <color rgb="FF000000"/>
        <rFont val="Meiryo UI"/>
        <family val="2"/>
      </rPr>
      <t>2.2 返却された結果情報</t>
    </r>
  </si>
  <si>
    <r>
      <rPr>
        <sz val="11"/>
        <color rgb="FF000000"/>
        <rFont val="Meiryo UI"/>
        <family val="2"/>
      </rPr>
      <t>①．一覧取得成功の場合</t>
    </r>
  </si>
  <si>
    <r>
      <rPr>
        <sz val="11"/>
        <color rgb="FF000000"/>
        <rFont val="Meiryo UI"/>
        <family val="2"/>
      </rPr>
      <t>画面を初期状態に戻す。</t>
    </r>
  </si>
  <si>
    <r>
      <rPr>
        <sz val="11"/>
        <color rgb="FF000000"/>
        <rFont val="Meiryo UI"/>
        <family val="2"/>
      </rPr>
      <t>②．エラーの場合、以下のように実行する。</t>
    </r>
  </si>
  <si>
    <r>
      <rPr>
        <sz val="11"/>
        <color rgb="FF000000"/>
        <rFont val="Meiryo UI"/>
        <family val="2"/>
      </rPr>
      <t>10_プロモーションメンテ</t>
    </r>
  </si>
  <si>
    <r>
      <rPr>
        <sz val="11"/>
        <color rgb="FF000000"/>
        <rFont val="Meiryo UI"/>
        <family val="2"/>
      </rPr>
      <t>・[F04:クリア]ボタンを有効にする。</t>
    </r>
    <r>
      <rPr>
        <strike/>
        <sz val="11"/>
        <color rgb="FFFF0000"/>
        <rFont val="Meiryo UI"/>
        <family val="2"/>
      </rPr>
      <t>[新規]ボタンを無効にする。</t>
    </r>
  </si>
  <si>
    <r>
      <rPr>
        <sz val="11"/>
        <color rgb="FF000000"/>
        <rFont val="Meiryo UI"/>
        <family val="2"/>
      </rPr>
      <t>一覧画面に変更データがある場合、「F09:確定」ボタンが有効になる。</t>
    </r>
  </si>
  <si>
    <r>
      <rPr>
        <sz val="11"/>
        <color rgb="FF000000"/>
        <rFont val="Meiryo UI"/>
        <family val="2"/>
      </rPr>
      <t>type</t>
    </r>
  </si>
  <si>
    <r>
      <rPr>
        <sz val="11"/>
        <color rgb="FF000000"/>
        <rFont val="Meiryo UI"/>
        <family val="2"/>
      </rPr>
      <t>プロモーション区分</t>
    </r>
  </si>
  <si>
    <r>
      <rPr>
        <sz val="11"/>
        <color rgb="FF000000"/>
        <rFont val="Meiryo UI"/>
        <family val="2"/>
      </rPr>
      <t>2.1「AP1001」APIを呼び出す。</t>
    </r>
  </si>
  <si>
    <r>
      <rPr>
        <sz val="11"/>
        <color rgb="FFFF0000"/>
        <rFont val="Meiryo UI"/>
        <family val="2"/>
      </rPr>
      <t>AnhTTP</t>
    </r>
  </si>
  <si>
    <r>
      <rPr>
        <sz val="11"/>
        <color rgb="FFFF0000"/>
        <rFont val="Meiryo UI"/>
        <family val="2"/>
      </rPr>
      <t>新しい画面レイアウトに基づいて処理を更新</t>
    </r>
  </si>
  <si>
    <r>
      <rPr>
        <sz val="11"/>
        <color rgb="FF000000"/>
        <rFont val="Meiryo UI"/>
        <family val="2"/>
      </rPr>
      <t>SC1001</t>
    </r>
  </si>
  <si>
    <t>検索イベントロジックを追加で説明
 ・【プロモーション】未入力時検索条件
 ・①未入力時：先頭99XXXのプロモーションコードを表示し、その後ろに昇順でプロモーションコードを表示
 ・②入力時で入力プロモーションコード以上が存在する場合：プロモーションコード昇順でプロモーションコードを表示
 ・③入力時で入力プロモーションコード以上が存在しない場合：「データが見つかりませんでした。」を表示</t>
  </si>
  <si>
    <t>2024/07/25のご指摘による修正</t>
  </si>
  <si>
    <t>SC1001シート</t>
  </si>
  <si>
    <t>・テーブルエリアに10行を作成し、ユーザーが新規作成対象プロモーション情報を入力できる。
＝＞行数は画面レイアウトに可能な範囲で多くする</t>
  </si>
  <si>
    <t>+24時間店舗の開始/終了時刻は09:00/09:00、通常店舗の開始/終了時刻は7:00～2:00となる。
＝＞店マスタ　販促時間より開始、終了時間を取得する。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</si>
  <si>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</si>
  <si>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</si>
  <si>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詳細設計書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</si>
  <si>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</si>
  <si>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</si>
  <si>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</si>
  <si>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</si>
  <si>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</si>
  <si>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機能カテゴリ</t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</si>
  <si>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</si>
  <si>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画面ID</t>
    </r>
  </si>
  <si>
    <r>
      <rPr>
        <sz val="11"/>
        <color rgb="FFFFFFFF"/>
        <rFont val="Meiryo UI"/>
        <family val="2"/>
      </rPr>
      <t>画面名</t>
    </r>
  </si>
  <si>
    <r>
      <rPr>
        <sz val="11"/>
        <color rgb="FF000000"/>
        <rFont val="Meiryo UI"/>
        <family val="2"/>
      </rPr>
      <t xml:space="preserve"> プロモーションメンテ画面</t>
    </r>
  </si>
  <si>
    <r>
      <rPr>
        <b/>
        <sz val="11"/>
        <color rgb="FF000000"/>
        <rFont val="Meiryo UI"/>
        <family val="2"/>
      </rPr>
      <t>1. 初期化モードで画面項目を初期化する。</t>
    </r>
  </si>
  <si>
    <r>
      <rPr>
        <sz val="10"/>
        <color rgb="FF000000"/>
        <rFont val="Meiryo UI"/>
        <family val="2"/>
      </rPr>
      <t>・20_画面設計_10_プロモーションメンテ.xlsx
・40_API設計_AP0105_プロモーション一覧取得.xlsx</t>
    </r>
  </si>
  <si>
    <r>
      <rPr>
        <b/>
        <sz val="11"/>
        <color rgb="FF000000"/>
        <rFont val="Meiryo UI"/>
        <family val="2"/>
      </rPr>
      <t>1. プロモーション検索機能を実行する。</t>
    </r>
  </si>
  <si>
    <t>page_number</t>
  </si>
  <si>
    <t>・現在のページの場合、デフォルト = 1、
・次頁の場合、現在のページ + 1</t>
  </si>
  <si>
    <t>limit</t>
  </si>
  <si>
    <t>12</t>
  </si>
  <si>
    <t>モーダルを表示する（メッセージ：MSG_ERR_001）</t>
  </si>
  <si>
    <t>新規モードで一覧画面を表示する。</t>
  </si>
  <si>
    <t>・一覧エリアに変更データがある場合、[F09:確定]ボタンが有効になる。</t>
  </si>
  <si>
    <t>・画面にエラーモーダルを表示する。</t>
  </si>
  <si>
    <t>・新規モードで一覧画面を表示する。</t>
  </si>
  <si>
    <t>プロモーション新規作成</t>
  </si>
  <si>
    <t>1. ユーザーがプロモーションコード入力エリアからフォーカスアウトした後の処理ロジック</t>
  </si>
  <si>
    <t>1.1 プロモーションコードの長さを確認する。</t>
  </si>
  <si>
    <t>5桁未満の場合：入力された文字列の先頭に「0」を追加する。</t>
  </si>
  <si>
    <t>・5桁の場合：ステップ1.2を実行する。</t>
  </si>
  <si>
    <t>1.2 以下のように該当プロモーションレコードの情報を自動的に初期化する。</t>
  </si>
  <si>
    <t>+ 開始日が現在日である。</t>
  </si>
  <si>
    <t>+ 終了日：現在日 + 1</t>
  </si>
  <si>
    <t>+開始時刻・終了時刻：選択されている対象店舗の開始時刻・終了時刻</t>
  </si>
  <si>
    <t>+「区分」項目</t>
  </si>
  <si>
    <t>プロモーションコード入力：「01」から「12」で始まる場合、「1:本部」に設定する。</t>
  </si>
  <si>
    <t>「99」で始まる場合、「2:店舗」に設定する。</t>
  </si>
  <si>
    <r>
      <rPr>
        <b/>
        <sz val="11"/>
        <color rgb="FF000000"/>
        <rFont val="Meiryo UI"/>
        <family val="2"/>
      </rPr>
      <t>1. 画面を初期状態にリセットする。</t>
    </r>
  </si>
  <si>
    <t>注意：画面の検索項目と検索結果をクリアする。選択中の対象店舗をクリアしない。</t>
  </si>
  <si>
    <t xml:space="preserve">・40_API設計_AP1001_プロモーション一括追加、更新、削除.xlsx
</t>
  </si>
  <si>
    <t>1.各項目のバリデーションチェックを行う。</t>
  </si>
  <si>
    <t>▪バリデーションチェックのエラーがある：</t>
  </si>
  <si>
    <t>・「プロモーション」項目 (新規作成モードのレコードでのみバリデーションチェック）</t>
  </si>
  <si>
    <t xml:space="preserve">+アカウントがシステム権限、本部権限を持っている場合 </t>
  </si>
  <si>
    <t>先頭の2桁の確認： 99又は01, 02, 03, 04, 05,06, 07, 08, 09, 10, 11,12 （年の月）</t>
  </si>
  <si>
    <t>+アカウントが店舗権限を持っている場合: 最初の2桁は「99」のみ許可。</t>
  </si>
  <si>
    <t>権限がない場合、以下のエラーメッセージを表示する。MSG_VAL_019 {0}: "プロモーション"</t>
  </si>
  <si>
    <t>・「名称」</t>
  </si>
  <si>
    <t>入力されていない場合、MSG_VAL_001を表示する。</t>
  </si>
  <si>
    <t>・「開始日」</t>
  </si>
  <si>
    <t>不正な形式で入力された場合、MSG_VAL_016を表示する。</t>
  </si>
  <si>
    <t>開始日 &gt; 終了日の場合、「MSG_VAL_004」メッセージを表示する。</t>
  </si>
  <si>
    <t xml:space="preserve"> （{0}：開始日、{1}：终了日）</t>
  </si>
  <si>
    <t>・「終了日」</t>
  </si>
  <si>
    <t>過去の日付が入力された場合、MSG_VAL_022を表示する。</t>
  </si>
  <si>
    <t>・「開始時刻」</t>
  </si>
  <si>
    <t>開始日 = 終了日　かつ　開始時刻 &gt; 終了時刻の場合、</t>
  </si>
  <si>
    <t xml:space="preserve"> MSG_VAL_004（{0}：開始日、{1}：终了日）を表示する。</t>
  </si>
  <si>
    <t xml:space="preserve">・「終了時刻」 </t>
  </si>
  <si>
    <t>終了日 = today()の場合、</t>
  </si>
  <si>
    <t>バリデーションチェック：終了時刻 &lt;= now()の場合、「MSG_VAL_022」エラーメッセージを表示する。</t>
  </si>
  <si>
    <t>バリデーションチェックエラーが発生した場合、エラー項目に赤色で表示する。ホバー時にエラーメッセージを含むツールチップを表示する。</t>
  </si>
  <si>
    <t>▪バリデーションチェックのエラーがない：ステップ2を実行する。</t>
  </si>
  <si>
    <r>
      <rPr>
        <b/>
        <sz val="11"/>
        <color rgb="FF000000"/>
        <rFont val="Meiryo UI"/>
        <family val="2"/>
      </rPr>
      <t>2. 変更を保存する。</t>
    </r>
  </si>
  <si>
    <r>
      <rPr>
        <sz val="11"/>
        <color rgb="FF000000"/>
        <rFont val="Meiryo UI"/>
        <family val="2"/>
      </rPr>
      <t xml:space="preserve">プロモーションコード </t>
    </r>
  </si>
  <si>
    <r>
      <rPr>
        <sz val="11"/>
        <color rgb="FFFF0000"/>
        <rFont val="Meiryo UI"/>
        <family val="2"/>
      </rPr>
      <t xml:space="preserve">+新規の場合、1
+編集の場合、削除チェックボックス
</t>
    </r>
    <r>
      <rPr>
        <sz val="11"/>
        <color rgb="FF000000"/>
        <rFont val="Meiryo UI"/>
        <family val="2"/>
      </rPr>
      <t>・チェックを入れる：3
・チェックを外す：2</t>
    </r>
  </si>
  <si>
    <t xml:space="preserve"> エラー項目を赤色で表示する。ホバー時にツールチップでエラーメッセージを表示する。</t>
  </si>
  <si>
    <r>
      <rPr>
        <sz val="11"/>
        <color rgb="FF000000"/>
        <rFont val="Meiryo UI"/>
        <family val="2"/>
      </rPr>
      <t>=&gt; 選択された店舗の全てのプロモーションを検索する。</t>
    </r>
  </si>
  <si>
    <r>
      <rPr>
        <sz val="11"/>
        <color rgb="FFFF0000"/>
        <rFont val="Meiryo UI"/>
        <family val="2"/>
      </rPr>
      <t>画面上のデータ変更がある場合に</t>
    </r>
    <r>
      <rPr>
        <sz val="11"/>
        <color rgb="FF000000"/>
        <rFont val="Meiryo UI"/>
        <family val="2"/>
      </rPr>
      <t>クリアボタンが有効になる。</t>
    </r>
  </si>
  <si>
    <r>
      <rPr>
        <sz val="11"/>
        <color rgb="FF000000"/>
        <rFont val="Meiryo UI"/>
        <family val="2"/>
      </rPr>
      <t>1. ロジック1</t>
    </r>
  </si>
  <si>
    <r>
      <rPr>
        <sz val="11"/>
        <color rgb="FF000000"/>
        <rFont val="Meiryo UI"/>
        <family val="2"/>
      </rPr>
      <t>2. ロジック2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</si>
</sst>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30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sz val="9"/>
      <name val="Meiryo UI"/>
      <family val="2"/>
    </font>
    <font>
      <sz val="10"/>
      <name val="Meiryo UI"/>
      <family val="2"/>
    </font>
    <font>
      <sz val="11"/>
      <color theme="5"/>
      <name val="Meiryo UI"/>
      <family val="2"/>
    </font>
    <font>
      <b/>
      <sz val="11"/>
      <name val="Meiryo UI"/>
      <family val="2"/>
    </font>
    <font>
      <b/>
      <sz val="11"/>
      <color theme="1"/>
      <name val="Meiryo UI"/>
      <family val="2"/>
    </font>
    <font>
      <sz val="11"/>
      <color rgb="FF00B050"/>
      <name val="Meiryo UI"/>
      <family val="3"/>
      <charset val="128"/>
    </font>
    <font>
      <b/>
      <sz val="11"/>
      <color rgb="FF00B050"/>
      <name val="Meiryo UI"/>
      <family val="2"/>
    </font>
    <font>
      <sz val="11"/>
      <color rgb="FFFF0000"/>
      <name val="Meiryo UI"/>
      <family val="2"/>
    </font>
    <font>
      <strike/>
      <sz val="11"/>
      <color rgb="FFFF0000"/>
      <name val="Meiryo UI"/>
      <family val="2"/>
    </font>
    <font>
      <b/>
      <sz val="11"/>
      <color rgb="FFFF0000"/>
      <name val="Meiryo UI"/>
      <family val="2"/>
    </font>
    <font>
      <b/>
      <sz val="11"/>
      <color rgb="FF000000"/>
      <name val="Meiryo UI"/>
      <family val="2"/>
    </font>
    <font>
      <sz val="10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11"/>
      <color rgb="FF00B050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23" fillId="0" borderId="0">
      <alignment vertical="center"/>
    </xf>
    <xf numFmtId="0" fontId="2" fillId="0" borderId="0">
      <alignment vertical="center"/>
    </xf>
    <xf numFmtId="0" fontId="2" fillId="0" borderId="0"/>
  </cellStyleXfs>
  <cellXfs count="308">
    <xf numFmtId="0" fontId="0" fillId="0" borderId="0" xfId="0"/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11" fillId="2" borderId="16" xfId="0" applyFont="1" applyFill="1" applyBorder="1" applyAlignment="1">
      <alignment vertical="center"/>
    </xf>
    <xf numFmtId="49" fontId="12" fillId="2" borderId="17" xfId="8" applyNumberFormat="1" applyFont="1" applyFill="1" applyBorder="1" applyAlignment="1">
      <alignment vertical="top" wrapText="1"/>
    </xf>
    <xf numFmtId="49" fontId="12" fillId="2" borderId="18" xfId="8" applyNumberFormat="1" applyFont="1" applyFill="1" applyBorder="1" applyAlignment="1">
      <alignment vertical="top" wrapText="1"/>
    </xf>
    <xf numFmtId="49" fontId="12" fillId="2" borderId="19" xfId="8" applyNumberFormat="1" applyFont="1" applyFill="1" applyBorder="1" applyAlignment="1">
      <alignment vertical="top" wrapText="1"/>
    </xf>
    <xf numFmtId="49" fontId="12" fillId="2" borderId="1" xfId="8" applyNumberFormat="1" applyFont="1" applyFill="1" applyBorder="1" applyAlignment="1">
      <alignment vertical="top" wrapText="1"/>
    </xf>
    <xf numFmtId="49" fontId="12" fillId="2" borderId="4" xfId="8" applyNumberFormat="1" applyFont="1" applyFill="1" applyBorder="1" applyAlignment="1">
      <alignment vertical="top" wrapText="1"/>
    </xf>
    <xf numFmtId="49" fontId="12" fillId="2" borderId="2" xfId="8" applyNumberFormat="1" applyFont="1" applyFill="1" applyBorder="1" applyAlignment="1">
      <alignment vertical="top" wrapText="1"/>
    </xf>
    <xf numFmtId="49" fontId="12" fillId="2" borderId="3" xfId="8" applyNumberFormat="1" applyFont="1" applyFill="1" applyBorder="1" applyAlignment="1">
      <alignment vertical="top" wrapText="1"/>
    </xf>
    <xf numFmtId="49" fontId="12" fillId="2" borderId="5" xfId="8" applyNumberFormat="1" applyFont="1" applyFill="1" applyBorder="1" applyAlignment="1">
      <alignment vertical="top" wrapText="1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7" fillId="0" borderId="19" xfId="6" applyFont="1" applyBorder="1" applyAlignment="1">
      <alignment vertical="center"/>
    </xf>
    <xf numFmtId="49" fontId="12" fillId="2" borderId="0" xfId="8" applyNumberFormat="1" applyFont="1" applyFill="1" applyAlignment="1">
      <alignment vertical="top" wrapText="1"/>
    </xf>
    <xf numFmtId="0" fontId="7" fillId="2" borderId="0" xfId="0" quotePrefix="1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4" fillId="2" borderId="3" xfId="0" applyFont="1" applyFill="1" applyBorder="1" applyAlignment="1">
      <alignment vertical="center"/>
    </xf>
    <xf numFmtId="0" fontId="7" fillId="0" borderId="1" xfId="6" applyFont="1" applyBorder="1" applyAlignment="1">
      <alignment vertical="center"/>
    </xf>
    <xf numFmtId="0" fontId="7" fillId="0" borderId="0" xfId="9" applyFont="1" applyAlignment="1">
      <alignment vertical="center"/>
    </xf>
    <xf numFmtId="0" fontId="7" fillId="0" borderId="2" xfId="9" applyFont="1" applyBorder="1" applyAlignment="1">
      <alignment vertical="center"/>
    </xf>
    <xf numFmtId="0" fontId="7" fillId="0" borderId="3" xfId="9" applyFont="1" applyBorder="1" applyAlignment="1">
      <alignment vertical="center"/>
    </xf>
    <xf numFmtId="0" fontId="7" fillId="0" borderId="5" xfId="9" applyFont="1" applyBorder="1" applyAlignment="1">
      <alignment vertical="center"/>
    </xf>
    <xf numFmtId="0" fontId="7" fillId="0" borderId="17" xfId="9" applyFont="1" applyBorder="1" applyAlignment="1">
      <alignment vertical="center"/>
    </xf>
    <xf numFmtId="0" fontId="7" fillId="0" borderId="18" xfId="9" applyFont="1" applyBorder="1" applyAlignment="1">
      <alignment vertical="center"/>
    </xf>
    <xf numFmtId="0" fontId="7" fillId="0" borderId="19" xfId="9" applyFont="1" applyBorder="1" applyAlignment="1">
      <alignment vertical="center"/>
    </xf>
    <xf numFmtId="0" fontId="7" fillId="0" borderId="1" xfId="9" applyFont="1" applyBorder="1" applyAlignment="1">
      <alignment vertical="center"/>
    </xf>
    <xf numFmtId="0" fontId="7" fillId="0" borderId="4" xfId="9" applyFont="1" applyBorder="1" applyAlignment="1">
      <alignment vertical="center"/>
    </xf>
    <xf numFmtId="0" fontId="14" fillId="2" borderId="0" xfId="0" quotePrefix="1" applyFont="1" applyFill="1" applyAlignment="1">
      <alignment vertical="center"/>
    </xf>
    <xf numFmtId="49" fontId="12" fillId="2" borderId="1" xfId="8" applyNumberFormat="1" applyFont="1" applyFill="1" applyBorder="1" applyAlignment="1">
      <alignment horizontal="left" vertical="top" wrapText="1"/>
    </xf>
    <xf numFmtId="49" fontId="12" fillId="2" borderId="0" xfId="8" applyNumberFormat="1" applyFont="1" applyFill="1" applyAlignment="1">
      <alignment horizontal="left" vertical="top" wrapText="1"/>
    </xf>
    <xf numFmtId="49" fontId="12" fillId="2" borderId="4" xfId="8" applyNumberFormat="1" applyFont="1" applyFill="1" applyBorder="1" applyAlignment="1">
      <alignment horizontal="left" vertical="top" wrapText="1"/>
    </xf>
    <xf numFmtId="0" fontId="14" fillId="2" borderId="0" xfId="0" applyFont="1" applyFill="1" applyAlignment="1">
      <alignment vertical="center"/>
    </xf>
    <xf numFmtId="0" fontId="15" fillId="3" borderId="21" xfId="0" applyFont="1" applyFill="1" applyBorder="1" applyAlignment="1">
      <alignment vertical="center"/>
    </xf>
    <xf numFmtId="0" fontId="15" fillId="3" borderId="16" xfId="0" applyFont="1" applyFill="1" applyBorder="1" applyAlignment="1">
      <alignment vertical="center"/>
    </xf>
    <xf numFmtId="0" fontId="15" fillId="3" borderId="20" xfId="0" applyFont="1" applyFill="1" applyBorder="1" applyAlignment="1">
      <alignment vertical="center"/>
    </xf>
    <xf numFmtId="0" fontId="17" fillId="2" borderId="0" xfId="0" quotePrefix="1" applyFont="1" applyFill="1" applyAlignment="1">
      <alignment vertical="center"/>
    </xf>
    <xf numFmtId="0" fontId="17" fillId="2" borderId="3" xfId="0" applyFont="1" applyFill="1" applyBorder="1" applyAlignment="1">
      <alignment vertical="center"/>
    </xf>
    <xf numFmtId="49" fontId="18" fillId="2" borderId="21" xfId="8" applyNumberFormat="1" applyFont="1" applyFill="1" applyBorder="1">
      <alignment vertical="center"/>
    </xf>
    <xf numFmtId="49" fontId="18" fillId="2" borderId="16" xfId="8" applyNumberFormat="1" applyFont="1" applyFill="1" applyBorder="1">
      <alignment vertical="center"/>
    </xf>
    <xf numFmtId="0" fontId="19" fillId="2" borderId="0" xfId="0" quotePrefix="1" applyFont="1" applyFill="1" applyAlignment="1">
      <alignment vertical="center"/>
    </xf>
    <xf numFmtId="0" fontId="18" fillId="2" borderId="0" xfId="0" quotePrefix="1" applyFont="1" applyFill="1" applyAlignment="1">
      <alignment vertical="center"/>
    </xf>
    <xf numFmtId="0" fontId="18" fillId="2" borderId="16" xfId="0" applyFont="1" applyFill="1" applyBorder="1" applyAlignment="1">
      <alignment vertical="center"/>
    </xf>
    <xf numFmtId="0" fontId="20" fillId="2" borderId="0" xfId="0" applyFont="1" applyFill="1" applyAlignment="1">
      <alignment vertical="center"/>
    </xf>
    <xf numFmtId="0" fontId="18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21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19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8" xfId="0" applyBorder="1"/>
    <xf numFmtId="0" fontId="0" fillId="0" borderId="19" xfId="0" applyBorder="1"/>
    <xf numFmtId="0" fontId="0" fillId="0" borderId="3" xfId="0" applyBorder="1"/>
    <xf numFmtId="0" fontId="0" fillId="0" borderId="5" xfId="0" applyBorder="1"/>
    <xf numFmtId="0" fontId="0" fillId="0" borderId="17" xfId="0" applyBorder="1"/>
    <xf numFmtId="0" fontId="0" fillId="0" borderId="2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3" fillId="4" borderId="0" xfId="0" applyFont="1" applyFill="1"/>
    <xf numFmtId="14" fontId="18" fillId="0" borderId="17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22" xfId="0" applyFont="1" applyBorder="1"/>
    <xf numFmtId="0" fontId="18" fillId="0" borderId="23" xfId="0" applyFont="1" applyBorder="1"/>
    <xf numFmtId="0" fontId="18" fillId="0" borderId="24" xfId="0" applyFont="1" applyBorder="1"/>
    <xf numFmtId="0" fontId="18" fillId="0" borderId="25" xfId="0" applyFont="1" applyBorder="1"/>
    <xf numFmtId="0" fontId="18" fillId="0" borderId="26" xfId="0" applyFont="1" applyBorder="1"/>
    <xf numFmtId="0" fontId="18" fillId="0" borderId="27" xfId="0" applyFont="1" applyBorder="1"/>
    <xf numFmtId="14" fontId="16" fillId="0" borderId="17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22" xfId="0" applyFont="1" applyBorder="1"/>
    <xf numFmtId="0" fontId="16" fillId="0" borderId="23" xfId="0" applyFont="1" applyBorder="1"/>
    <xf numFmtId="0" fontId="16" fillId="0" borderId="24" xfId="0" applyFont="1" applyBorder="1"/>
    <xf numFmtId="0" fontId="0" fillId="0" borderId="23" xfId="0" applyBorder="1" applyAlignment="1">
      <alignment vertical="top"/>
    </xf>
    <xf numFmtId="0" fontId="0" fillId="0" borderId="24" xfId="0" applyBorder="1" applyAlignment="1">
      <alignment vertical="top"/>
    </xf>
    <xf numFmtId="0" fontId="4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25" xfId="0" applyBorder="1" applyAlignment="1">
      <alignment wrapText="1"/>
    </xf>
    <xf numFmtId="49" fontId="12" fillId="2" borderId="1" xfId="8" applyNumberFormat="1" applyFont="1" applyFill="1" applyBorder="1" applyAlignment="1">
      <alignment horizontal="left" vertical="top" wrapText="1"/>
    </xf>
    <xf numFmtId="49" fontId="12" fillId="2" borderId="0" xfId="8" applyNumberFormat="1" applyFont="1" applyFill="1" applyAlignment="1">
      <alignment horizontal="left" vertical="top" wrapText="1"/>
    </xf>
    <xf numFmtId="49" fontId="12" fillId="2" borderId="4" xfId="8" applyNumberFormat="1" applyFont="1" applyFill="1" applyBorder="1" applyAlignment="1">
      <alignment horizontal="left" vertical="top" wrapText="1"/>
    </xf>
    <xf numFmtId="49" fontId="12" fillId="2" borderId="2" xfId="8" applyNumberFormat="1" applyFont="1" applyFill="1" applyBorder="1" applyAlignment="1">
      <alignment horizontal="center" vertical="top" wrapText="1"/>
    </xf>
    <xf numFmtId="49" fontId="12" fillId="2" borderId="3" xfId="8" applyNumberFormat="1" applyFont="1" applyFill="1" applyBorder="1" applyAlignment="1">
      <alignment horizontal="center" vertical="top" wrapText="1"/>
    </xf>
    <xf numFmtId="49" fontId="12" fillId="2" borderId="5" xfId="8" applyNumberFormat="1" applyFont="1" applyFill="1" applyBorder="1" applyAlignment="1">
      <alignment horizontal="center" vertical="top" wrapText="1"/>
    </xf>
    <xf numFmtId="49" fontId="12" fillId="2" borderId="17" xfId="8" quotePrefix="1" applyNumberFormat="1" applyFont="1" applyFill="1" applyBorder="1" applyAlignment="1">
      <alignment horizontal="left" vertical="top" wrapText="1"/>
    </xf>
    <xf numFmtId="49" fontId="12" fillId="2" borderId="18" xfId="8" applyNumberFormat="1" applyFont="1" applyFill="1" applyBorder="1" applyAlignment="1">
      <alignment horizontal="left" vertical="top" wrapText="1"/>
    </xf>
    <xf numFmtId="49" fontId="12" fillId="2" borderId="19" xfId="8" applyNumberFormat="1" applyFont="1" applyFill="1" applyBorder="1" applyAlignment="1">
      <alignment horizontal="left" vertical="top" wrapText="1"/>
    </xf>
    <xf numFmtId="49" fontId="18" fillId="2" borderId="21" xfId="8" quotePrefix="1" applyNumberFormat="1" applyFont="1" applyFill="1" applyBorder="1" applyAlignment="1">
      <alignment horizontal="left" vertical="top" wrapText="1"/>
    </xf>
    <xf numFmtId="49" fontId="18" fillId="2" borderId="16" xfId="8" quotePrefix="1" applyNumberFormat="1" applyFont="1" applyFill="1" applyBorder="1" applyAlignment="1">
      <alignment horizontal="left" vertical="top" wrapText="1"/>
    </xf>
    <xf numFmtId="49" fontId="18" fillId="2" borderId="20" xfId="8" quotePrefix="1" applyNumberFormat="1" applyFont="1" applyFill="1" applyBorder="1" applyAlignment="1">
      <alignment horizontal="left" vertical="top" wrapText="1"/>
    </xf>
    <xf numFmtId="0" fontId="7" fillId="0" borderId="21" xfId="9" applyFont="1" applyBorder="1" applyAlignment="1">
      <alignment horizontal="center" vertical="center"/>
    </xf>
    <xf numFmtId="0" fontId="7" fillId="0" borderId="16" xfId="9" applyFont="1" applyBorder="1" applyAlignment="1">
      <alignment horizontal="center" vertical="center"/>
    </xf>
    <xf numFmtId="0" fontId="7" fillId="0" borderId="20" xfId="9" applyFont="1" applyBorder="1" applyAlignment="1">
      <alignment horizontal="center" vertical="center"/>
    </xf>
    <xf numFmtId="0" fontId="8" fillId="0" borderId="21" xfId="9" applyFont="1" applyBorder="1" applyAlignment="1">
      <alignment horizontal="center" vertical="center"/>
    </xf>
    <xf numFmtId="0" fontId="7" fillId="0" borderId="17" xfId="9" applyFont="1" applyBorder="1" applyAlignment="1">
      <alignment horizontal="center" vertical="center"/>
    </xf>
    <xf numFmtId="0" fontId="7" fillId="0" borderId="18" xfId="9" applyFont="1" applyBorder="1" applyAlignment="1">
      <alignment horizontal="center" vertical="center"/>
    </xf>
    <xf numFmtId="0" fontId="7" fillId="0" borderId="19" xfId="9" applyFont="1" applyBorder="1" applyAlignment="1">
      <alignment horizontal="center" vertical="center"/>
    </xf>
    <xf numFmtId="0" fontId="7" fillId="0" borderId="2" xfId="9" applyFont="1" applyBorder="1" applyAlignment="1">
      <alignment horizontal="center" vertical="center"/>
    </xf>
    <xf numFmtId="0" fontId="7" fillId="0" borderId="3" xfId="9" applyFont="1" applyBorder="1" applyAlignment="1">
      <alignment horizontal="center" vertical="center"/>
    </xf>
    <xf numFmtId="0" fontId="7" fillId="0" borderId="5" xfId="9" applyFont="1" applyBorder="1" applyAlignment="1">
      <alignment horizontal="center" vertical="center"/>
    </xf>
    <xf numFmtId="49" fontId="18" fillId="2" borderId="17" xfId="8" quotePrefix="1" applyNumberFormat="1" applyFont="1" applyFill="1" applyBorder="1" applyAlignment="1">
      <alignment horizontal="left" vertical="top" wrapText="1"/>
    </xf>
    <xf numFmtId="49" fontId="18" fillId="2" borderId="18" xfId="8" applyNumberFormat="1" applyFont="1" applyFill="1" applyBorder="1" applyAlignment="1">
      <alignment horizontal="left" vertical="top" wrapText="1"/>
    </xf>
    <xf numFmtId="49" fontId="18" fillId="2" borderId="19" xfId="8" applyNumberFormat="1" applyFont="1" applyFill="1" applyBorder="1" applyAlignment="1">
      <alignment horizontal="left" vertical="top" wrapText="1"/>
    </xf>
    <xf numFmtId="49" fontId="18" fillId="2" borderId="1" xfId="8" applyNumberFormat="1" applyFont="1" applyFill="1" applyBorder="1" applyAlignment="1">
      <alignment horizontal="left" vertical="top" wrapText="1"/>
    </xf>
    <xf numFmtId="49" fontId="18" fillId="2" borderId="0" xfId="8" applyNumberFormat="1" applyFont="1" applyFill="1" applyAlignment="1">
      <alignment horizontal="left" vertical="top" wrapText="1"/>
    </xf>
    <xf numFmtId="49" fontId="18" fillId="2" borderId="4" xfId="8" applyNumberFormat="1" applyFont="1" applyFill="1" applyBorder="1" applyAlignment="1">
      <alignment horizontal="left" vertical="top" wrapText="1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19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20" xfId="6" applyFont="1" applyBorder="1" applyAlignment="1">
      <alignment horizontal="center" vertical="center"/>
    </xf>
    <xf numFmtId="0" fontId="8" fillId="0" borderId="21" xfId="6" applyFont="1" applyBorder="1" applyAlignment="1">
      <alignment horizontal="center" vertical="center"/>
    </xf>
    <xf numFmtId="49" fontId="12" fillId="2" borderId="17" xfId="8" applyNumberFormat="1" applyFont="1" applyFill="1" applyBorder="1" applyAlignment="1">
      <alignment horizontal="center" vertical="top" wrapText="1"/>
    </xf>
    <xf numFmtId="49" fontId="12" fillId="2" borderId="18" xfId="8" applyNumberFormat="1" applyFont="1" applyFill="1" applyBorder="1" applyAlignment="1">
      <alignment horizontal="center" vertical="top" wrapText="1"/>
    </xf>
    <xf numFmtId="49" fontId="12" fillId="2" borderId="19" xfId="8" applyNumberFormat="1" applyFont="1" applyFill="1" applyBorder="1" applyAlignment="1">
      <alignment horizontal="center" vertical="top" wrapText="1"/>
    </xf>
    <xf numFmtId="49" fontId="12" fillId="2" borderId="1" xfId="8" applyNumberFormat="1" applyFont="1" applyFill="1" applyBorder="1" applyAlignment="1">
      <alignment horizontal="center" vertical="top" wrapText="1"/>
    </xf>
    <xf numFmtId="49" fontId="12" fillId="2" borderId="0" xfId="8" applyNumberFormat="1" applyFont="1" applyFill="1" applyAlignment="1">
      <alignment horizontal="center" vertical="top" wrapText="1"/>
    </xf>
    <xf numFmtId="49" fontId="12" fillId="2" borderId="4" xfId="8" applyNumberFormat="1" applyFont="1" applyFill="1" applyBorder="1" applyAlignment="1">
      <alignment horizontal="center" vertical="top" wrapText="1"/>
    </xf>
    <xf numFmtId="0" fontId="8" fillId="0" borderId="22" xfId="0" applyFont="1" applyBorder="1" applyAlignment="1">
      <alignment vertical="top" wrapText="1"/>
    </xf>
    <xf numFmtId="0" fontId="8" fillId="0" borderId="25" xfId="0" applyFont="1" applyBorder="1"/>
    <xf numFmtId="0" fontId="8" fillId="0" borderId="25" xfId="0" quotePrefix="1" applyFont="1" applyBorder="1" applyAlignment="1">
      <alignment vertical="top" wrapText="1"/>
    </xf>
    <xf numFmtId="0" fontId="8" fillId="0" borderId="26" xfId="0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/>
    </xf>
    <xf numFmtId="0" fontId="0" fillId="0" borderId="27" xfId="0" applyBorder="1" applyAlignment="1">
      <alignment vertical="top"/>
    </xf>
    <xf numFmtId="0" fontId="24" fillId="4" borderId="21" xfId="9" applyFont="1" applyFill="1" applyBorder="1" applyAlignment="1">
      <alignment horizontal="center" vertical="center"/>
    </xf>
    <xf numFmtId="0" fontId="24" fillId="4" borderId="16" xfId="9" applyFont="1" applyFill="1" applyBorder="1" applyAlignment="1">
      <alignment horizontal="center" vertical="center"/>
    </xf>
    <xf numFmtId="0" fontId="24" fillId="4" borderId="20" xfId="9" applyFont="1" applyFill="1" applyBorder="1" applyAlignment="1">
      <alignment horizontal="center" vertical="center"/>
    </xf>
    <xf numFmtId="0" fontId="26" fillId="0" borderId="17" xfId="9" applyFont="1" applyBorder="1" applyAlignment="1">
      <alignment horizontal="center" vertical="center"/>
    </xf>
    <xf numFmtId="0" fontId="26" fillId="0" borderId="18" xfId="9" applyFont="1" applyBorder="1" applyAlignment="1">
      <alignment horizontal="center" vertical="center"/>
    </xf>
    <xf numFmtId="0" fontId="26" fillId="0" borderId="19" xfId="9" applyFont="1" applyBorder="1" applyAlignment="1">
      <alignment horizontal="center" vertical="center"/>
    </xf>
    <xf numFmtId="0" fontId="24" fillId="4" borderId="21" xfId="0" applyFont="1" applyFill="1" applyBorder="1" applyAlignment="1">
      <alignment horizontal="center" vertical="center"/>
    </xf>
    <xf numFmtId="0" fontId="24" fillId="4" borderId="16" xfId="0" applyFont="1" applyFill="1" applyBorder="1" applyAlignment="1">
      <alignment horizontal="center" vertical="center"/>
    </xf>
    <xf numFmtId="0" fontId="24" fillId="4" borderId="20" xfId="0" applyFont="1" applyFill="1" applyBorder="1" applyAlignment="1">
      <alignment horizontal="center" vertical="center"/>
    </xf>
    <xf numFmtId="0" fontId="26" fillId="0" borderId="1" xfId="9" applyFont="1" applyBorder="1" applyAlignment="1">
      <alignment horizontal="center" vertical="center"/>
    </xf>
    <xf numFmtId="0" fontId="26" fillId="0" borderId="0" xfId="9" applyFont="1" applyAlignment="1">
      <alignment horizontal="center" vertical="center"/>
    </xf>
    <xf numFmtId="0" fontId="26" fillId="0" borderId="4" xfId="9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14" fontId="28" fillId="0" borderId="17" xfId="0" applyNumberFormat="1" applyFont="1" applyBorder="1" applyAlignment="1">
      <alignment horizontal="center" vertical="center"/>
    </xf>
    <xf numFmtId="14" fontId="28" fillId="0" borderId="18" xfId="0" applyNumberFormat="1" applyFont="1" applyBorder="1" applyAlignment="1">
      <alignment horizontal="center" vertical="center"/>
    </xf>
    <xf numFmtId="14" fontId="28" fillId="0" borderId="19" xfId="0" applyNumberFormat="1" applyFont="1" applyBorder="1" applyAlignment="1">
      <alignment horizontal="center" vertical="center"/>
    </xf>
    <xf numFmtId="0" fontId="26" fillId="0" borderId="2" xfId="9" applyFont="1" applyBorder="1" applyAlignment="1">
      <alignment horizontal="center" vertical="center"/>
    </xf>
    <xf numFmtId="0" fontId="26" fillId="0" borderId="3" xfId="9" applyFont="1" applyBorder="1" applyAlignment="1">
      <alignment horizontal="center" vertical="center"/>
    </xf>
    <xf numFmtId="0" fontId="26" fillId="0" borderId="5" xfId="9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14" fontId="28" fillId="0" borderId="2" xfId="0" applyNumberFormat="1" applyFont="1" applyBorder="1" applyAlignment="1">
      <alignment horizontal="center" vertical="center"/>
    </xf>
    <xf numFmtId="14" fontId="28" fillId="0" borderId="3" xfId="0" applyNumberFormat="1" applyFont="1" applyBorder="1" applyAlignment="1">
      <alignment horizontal="center" vertical="center"/>
    </xf>
    <xf numFmtId="14" fontId="28" fillId="0" borderId="5" xfId="0" applyNumberFormat="1" applyFont="1" applyBorder="1" applyAlignment="1">
      <alignment horizontal="center" vertical="center"/>
    </xf>
    <xf numFmtId="0" fontId="25" fillId="4" borderId="21" xfId="9" applyFont="1" applyFill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16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28" fillId="0" borderId="4" xfId="0" applyFont="1" applyBorder="1" applyAlignment="1">
      <alignment vertical="center"/>
    </xf>
    <xf numFmtId="0" fontId="28" fillId="0" borderId="28" xfId="0" applyFont="1" applyBorder="1" applyAlignment="1">
      <alignment horizontal="left" vertical="top"/>
    </xf>
    <xf numFmtId="0" fontId="28" fillId="0" borderId="21" xfId="0" applyFont="1" applyBorder="1" applyAlignment="1">
      <alignment horizontal="left" vertical="top"/>
    </xf>
    <xf numFmtId="0" fontId="28" fillId="0" borderId="16" xfId="0" applyFont="1" applyBorder="1" applyAlignment="1">
      <alignment horizontal="left" vertical="top"/>
    </xf>
    <xf numFmtId="0" fontId="28" fillId="0" borderId="20" xfId="0" applyFont="1" applyBorder="1" applyAlignment="1">
      <alignment horizontal="left" vertical="top"/>
    </xf>
    <xf numFmtId="0" fontId="28" fillId="5" borderId="21" xfId="0" applyFont="1" applyFill="1" applyBorder="1" applyAlignment="1">
      <alignment horizontal="center" vertical="center" wrapText="1"/>
    </xf>
    <xf numFmtId="0" fontId="28" fillId="5" borderId="16" xfId="0" applyFont="1" applyFill="1" applyBorder="1" applyAlignment="1">
      <alignment horizontal="center" vertical="center" wrapText="1"/>
    </xf>
    <xf numFmtId="0" fontId="28" fillId="5" borderId="20" xfId="0" applyFont="1" applyFill="1" applyBorder="1" applyAlignment="1">
      <alignment horizontal="center" vertical="center" wrapText="1"/>
    </xf>
    <xf numFmtId="0" fontId="28" fillId="2" borderId="16" xfId="0" applyFont="1" applyFill="1" applyBorder="1" applyAlignment="1">
      <alignment vertical="center"/>
    </xf>
    <xf numFmtId="0" fontId="28" fillId="2" borderId="16" xfId="0" applyFont="1" applyFill="1" applyBorder="1" applyAlignment="1">
      <alignment horizontal="left" vertical="top" wrapText="1" shrinkToFit="1"/>
    </xf>
    <xf numFmtId="0" fontId="28" fillId="2" borderId="20" xfId="0" applyFont="1" applyFill="1" applyBorder="1" applyAlignment="1">
      <alignment horizontal="left" vertical="top" wrapText="1" shrinkToFit="1"/>
    </xf>
    <xf numFmtId="0" fontId="28" fillId="5" borderId="17" xfId="0" applyFont="1" applyFill="1" applyBorder="1" applyAlignment="1">
      <alignment horizontal="center" vertical="center" wrapText="1"/>
    </xf>
    <xf numFmtId="0" fontId="28" fillId="5" borderId="18" xfId="0" applyFont="1" applyFill="1" applyBorder="1" applyAlignment="1">
      <alignment horizontal="center" vertical="center" wrapText="1"/>
    </xf>
    <xf numFmtId="0" fontId="28" fillId="5" borderId="19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8" fillId="5" borderId="3" xfId="0" applyFont="1" applyFill="1" applyBorder="1" applyAlignment="1">
      <alignment horizontal="center" vertical="center" wrapText="1"/>
    </xf>
    <xf numFmtId="0" fontId="28" fillId="5" borderId="5" xfId="0" applyFont="1" applyFill="1" applyBorder="1" applyAlignment="1">
      <alignment horizontal="center" vertical="center" wrapText="1"/>
    </xf>
    <xf numFmtId="0" fontId="28" fillId="2" borderId="0" xfId="0" applyFont="1" applyFill="1" applyAlignment="1">
      <alignment vertical="center"/>
    </xf>
    <xf numFmtId="0" fontId="28" fillId="2" borderId="18" xfId="0" applyFont="1" applyFill="1" applyBorder="1" applyAlignment="1">
      <alignment vertical="center"/>
    </xf>
    <xf numFmtId="49" fontId="28" fillId="2" borderId="17" xfId="8" applyNumberFormat="1" applyFont="1" applyFill="1" applyBorder="1" applyAlignment="1">
      <alignment horizontal="left" vertical="top" wrapText="1"/>
    </xf>
    <xf numFmtId="49" fontId="28" fillId="2" borderId="18" xfId="8" applyNumberFormat="1" applyFont="1" applyFill="1" applyBorder="1" applyAlignment="1">
      <alignment horizontal="left" vertical="top" wrapText="1"/>
    </xf>
    <xf numFmtId="49" fontId="28" fillId="2" borderId="19" xfId="8" applyNumberFormat="1" applyFont="1" applyFill="1" applyBorder="1" applyAlignment="1">
      <alignment horizontal="left" vertical="top" wrapText="1"/>
    </xf>
    <xf numFmtId="49" fontId="28" fillId="2" borderId="1" xfId="8" applyNumberFormat="1" applyFont="1" applyFill="1" applyBorder="1" applyAlignment="1">
      <alignment horizontal="left" vertical="top" wrapText="1"/>
    </xf>
    <xf numFmtId="49" fontId="28" fillId="2" borderId="0" xfId="8" applyNumberFormat="1" applyFont="1" applyFill="1" applyAlignment="1">
      <alignment horizontal="left" vertical="top" wrapText="1"/>
    </xf>
    <xf numFmtId="49" fontId="28" fillId="2" borderId="4" xfId="8" applyNumberFormat="1" applyFont="1" applyFill="1" applyBorder="1" applyAlignment="1">
      <alignment horizontal="left" vertical="top" wrapText="1"/>
    </xf>
    <xf numFmtId="0" fontId="28" fillId="2" borderId="1" xfId="0" applyFont="1" applyFill="1" applyBorder="1" applyAlignment="1">
      <alignment vertical="center"/>
    </xf>
    <xf numFmtId="0" fontId="28" fillId="2" borderId="0" xfId="0" quotePrefix="1" applyFont="1" applyFill="1" applyAlignment="1">
      <alignment vertical="center"/>
    </xf>
    <xf numFmtId="0" fontId="28" fillId="2" borderId="2" xfId="0" applyFont="1" applyFill="1" applyBorder="1" applyAlignment="1">
      <alignment vertical="center"/>
    </xf>
    <xf numFmtId="49" fontId="28" fillId="2" borderId="3" xfId="8" applyNumberFormat="1" applyFont="1" applyFill="1" applyBorder="1" applyAlignment="1">
      <alignment horizontal="left" vertical="center"/>
    </xf>
    <xf numFmtId="0" fontId="28" fillId="2" borderId="3" xfId="0" applyFont="1" applyFill="1" applyBorder="1" applyAlignment="1">
      <alignment vertical="center"/>
    </xf>
    <xf numFmtId="49" fontId="28" fillId="2" borderId="21" xfId="8" applyNumberFormat="1" applyFont="1" applyFill="1" applyBorder="1">
      <alignment vertical="center"/>
    </xf>
    <xf numFmtId="49" fontId="28" fillId="2" borderId="16" xfId="8" applyNumberFormat="1" applyFont="1" applyFill="1" applyBorder="1">
      <alignment vertical="center"/>
    </xf>
    <xf numFmtId="49" fontId="28" fillId="2" borderId="21" xfId="8" quotePrefix="1" applyNumberFormat="1" applyFont="1" applyFill="1" applyBorder="1" applyAlignment="1">
      <alignment horizontal="left" vertical="top" wrapText="1"/>
    </xf>
    <xf numFmtId="49" fontId="28" fillId="2" borderId="16" xfId="8" quotePrefix="1" applyNumberFormat="1" applyFont="1" applyFill="1" applyBorder="1" applyAlignment="1">
      <alignment horizontal="left" vertical="top" wrapText="1"/>
    </xf>
    <xf numFmtId="49" fontId="28" fillId="2" borderId="20" xfId="8" quotePrefix="1" applyNumberFormat="1" applyFont="1" applyFill="1" applyBorder="1" applyAlignment="1">
      <alignment horizontal="left" vertical="top" wrapText="1"/>
    </xf>
    <xf numFmtId="0" fontId="29" fillId="2" borderId="0" xfId="0" quotePrefix="1" applyFont="1" applyFill="1" applyAlignment="1">
      <alignment vertical="center"/>
    </xf>
    <xf numFmtId="0" fontId="29" fillId="2" borderId="0" xfId="0" applyFont="1" applyFill="1" applyAlignment="1">
      <alignment vertical="center"/>
    </xf>
    <xf numFmtId="49" fontId="29" fillId="2" borderId="3" xfId="8" applyNumberFormat="1" applyFont="1" applyFill="1" applyBorder="1" applyAlignment="1">
      <alignment horizontal="left" vertical="center"/>
    </xf>
    <xf numFmtId="0" fontId="29" fillId="0" borderId="0" xfId="9" applyFont="1" applyAlignment="1">
      <alignment vertical="center"/>
    </xf>
    <xf numFmtId="0" fontId="28" fillId="0" borderId="21" xfId="0" applyFont="1" applyBorder="1" applyAlignment="1">
      <alignment horizontal="left" vertical="center"/>
    </xf>
    <xf numFmtId="0" fontId="28" fillId="0" borderId="16" xfId="0" applyFont="1" applyBorder="1" applyAlignment="1">
      <alignment horizontal="left" vertical="center"/>
    </xf>
    <xf numFmtId="0" fontId="28" fillId="0" borderId="20" xfId="0" applyFont="1" applyBorder="1" applyAlignment="1">
      <alignment horizontal="left" vertical="center"/>
    </xf>
    <xf numFmtId="0" fontId="28" fillId="0" borderId="21" xfId="0" applyFont="1" applyBorder="1" applyAlignment="1">
      <alignment horizontal="left" vertical="center" indent="1"/>
    </xf>
    <xf numFmtId="0" fontId="28" fillId="0" borderId="16" xfId="0" applyFont="1" applyBorder="1" applyAlignment="1">
      <alignment horizontal="left" vertical="center" indent="1"/>
    </xf>
    <xf numFmtId="0" fontId="28" fillId="0" borderId="20" xfId="0" applyFont="1" applyBorder="1" applyAlignment="1">
      <alignment horizontal="left" vertical="center" indent="1"/>
    </xf>
    <xf numFmtId="0" fontId="28" fillId="2" borderId="0" xfId="0" quotePrefix="1" applyFont="1" applyFill="1" applyAlignment="1">
      <alignment horizontal="left" vertical="center"/>
    </xf>
    <xf numFmtId="0" fontId="24" fillId="4" borderId="21" xfId="6" applyFont="1" applyFill="1" applyBorder="1" applyAlignment="1">
      <alignment horizontal="center" vertical="center"/>
    </xf>
    <xf numFmtId="0" fontId="24" fillId="4" borderId="16" xfId="6" applyFont="1" applyFill="1" applyBorder="1" applyAlignment="1">
      <alignment horizontal="center" vertical="center"/>
    </xf>
    <xf numFmtId="0" fontId="24" fillId="4" borderId="20" xfId="6" applyFont="1" applyFill="1" applyBorder="1" applyAlignment="1">
      <alignment horizontal="center" vertical="center"/>
    </xf>
    <xf numFmtId="0" fontId="26" fillId="0" borderId="17" xfId="6" applyFont="1" applyBorder="1" applyAlignment="1">
      <alignment horizontal="center" vertical="center"/>
    </xf>
    <xf numFmtId="0" fontId="26" fillId="0" borderId="18" xfId="6" applyFont="1" applyBorder="1" applyAlignment="1">
      <alignment horizontal="center" vertical="center"/>
    </xf>
    <xf numFmtId="0" fontId="26" fillId="0" borderId="19" xfId="6" applyFont="1" applyBorder="1" applyAlignment="1">
      <alignment horizontal="center" vertical="center"/>
    </xf>
    <xf numFmtId="0" fontId="26" fillId="0" borderId="1" xfId="6" applyFont="1" applyBorder="1" applyAlignment="1">
      <alignment horizontal="center" vertical="center"/>
    </xf>
    <xf numFmtId="0" fontId="26" fillId="0" borderId="0" xfId="6" applyFont="1" applyAlignment="1">
      <alignment horizontal="center" vertical="center"/>
    </xf>
    <xf numFmtId="0" fontId="26" fillId="0" borderId="4" xfId="6" applyFont="1" applyBorder="1" applyAlignment="1">
      <alignment horizontal="center" vertical="center"/>
    </xf>
    <xf numFmtId="0" fontId="26" fillId="0" borderId="2" xfId="6" applyFont="1" applyBorder="1" applyAlignment="1">
      <alignment horizontal="center" vertical="center"/>
    </xf>
    <xf numFmtId="0" fontId="26" fillId="0" borderId="3" xfId="6" applyFont="1" applyBorder="1" applyAlignment="1">
      <alignment horizontal="center" vertical="center"/>
    </xf>
    <xf numFmtId="0" fontId="26" fillId="0" borderId="5" xfId="6" applyFont="1" applyBorder="1" applyAlignment="1">
      <alignment horizontal="center" vertical="center"/>
    </xf>
    <xf numFmtId="0" fontId="25" fillId="4" borderId="21" xfId="6" applyFont="1" applyFill="1" applyBorder="1" applyAlignment="1">
      <alignment horizontal="center" vertical="center"/>
    </xf>
    <xf numFmtId="0" fontId="28" fillId="2" borderId="21" xfId="0" applyFont="1" applyFill="1" applyBorder="1" applyAlignment="1">
      <alignment horizontal="center" vertical="top" wrapText="1" shrinkToFit="1"/>
    </xf>
    <xf numFmtId="0" fontId="28" fillId="2" borderId="0" xfId="0" applyFont="1" applyFill="1" applyAlignment="1">
      <alignment horizontal="center" vertical="top" wrapText="1" shrinkToFit="1"/>
    </xf>
    <xf numFmtId="0" fontId="28" fillId="2" borderId="0" xfId="0" applyFont="1" applyFill="1" applyAlignment="1">
      <alignment horizontal="left" vertical="top" wrapText="1" shrinkToFit="1"/>
    </xf>
    <xf numFmtId="0" fontId="28" fillId="2" borderId="0" xfId="0" applyFont="1" applyFill="1" applyAlignment="1">
      <alignment horizontal="center" vertical="top"/>
    </xf>
    <xf numFmtId="0" fontId="28" fillId="2" borderId="0" xfId="0" applyFont="1" applyFill="1" applyAlignment="1">
      <alignment horizontal="left" vertical="top"/>
    </xf>
    <xf numFmtId="0" fontId="28" fillId="2" borderId="0" xfId="0" quotePrefix="1" applyFont="1" applyFill="1" applyAlignment="1">
      <alignment vertical="top" wrapText="1" shrinkToFit="1"/>
    </xf>
    <xf numFmtId="0" fontId="28" fillId="2" borderId="0" xfId="0" applyFont="1" applyFill="1" applyAlignment="1">
      <alignment vertical="top" wrapText="1" shrinkToFit="1"/>
    </xf>
    <xf numFmtId="0" fontId="28" fillId="2" borderId="4" xfId="0" applyFont="1" applyFill="1" applyBorder="1" applyAlignment="1">
      <alignment horizontal="left" vertical="top" wrapText="1" shrinkToFit="1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  <cellStyle name="標準 2 2" xfId="9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0</xdr:rowOff>
    </xdr:to>
    <xdr:sp macro="" textlink="" fLocksText="0">
      <xdr:nvSpPr>
        <xdr:cNvPr id="2" name="フローチャート: 代替処理 27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161925" y="27908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>
          <a:stCxn id="2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13</xdr:row>
      <xdr:rowOff>168088</xdr:rowOff>
    </xdr:from>
    <xdr:to>
      <xdr:col>56</xdr:col>
      <xdr:colOff>0</xdr:colOff>
      <xdr:row>17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pSpPr>
          <a:grpSpLocks/>
        </xdr:cNvGrpSpPr>
      </xdr:nvGrpSpPr>
      <xdr:grpSpPr>
        <a:xfrm>
          <a:off x="10354235" y="2756647"/>
          <a:ext cx="2823883" cy="593912"/>
          <a:chOff x="8681645" y="-2596021"/>
          <a:chExt cx="2803761" cy="2324291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SpPr/>
        </xdr:nvSpPr>
        <xdr:spPr>
          <a:xfrm>
            <a:off x="9362258" y="-2596021"/>
            <a:ext cx="2123148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プロモーションメンテ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300-000006000000}"/>
              </a:ext>
            </a:extLst>
          </xdr:cNvPr>
          <xdr:cNvCxnSpPr>
            <a:endCxn id="5" idx="1"/>
          </xdr:cNvCxnSpPr>
        </xdr:nvCxnSpPr>
        <xdr:spPr>
          <a:xfrm>
            <a:off x="8681645" y="-143387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25</xdr:row>
      <xdr:rowOff>4764</xdr:rowOff>
    </xdr:from>
    <xdr:to>
      <xdr:col>10</xdr:col>
      <xdr:colOff>0</xdr:colOff>
      <xdr:row>28</xdr:row>
      <xdr:rowOff>56030</xdr:rowOff>
    </xdr:to>
    <xdr:sp macro="" textlink="" fLocksText="0">
      <xdr:nvSpPr>
        <xdr:cNvPr id="7" name="フローチャート: 代替処理 27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61925" y="4886325"/>
          <a:ext cx="25050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F12:検索</a:t>
          </a:r>
        </a:p>
      </xdr:txBody>
    </xdr:sp>
    <xdr:clientData/>
  </xdr:twoCellAnchor>
  <xdr:twoCellAnchor>
    <xdr:from>
      <xdr:col>10</xdr:col>
      <xdr:colOff>0</xdr:colOff>
      <xdr:row>26</xdr:row>
      <xdr:rowOff>131250</xdr:rowOff>
    </xdr:from>
    <xdr:to>
      <xdr:col>13</xdr:col>
      <xdr:colOff>89648</xdr:colOff>
      <xdr:row>26</xdr:row>
      <xdr:rowOff>131250</xdr:rowOff>
    </xdr:to>
    <xdr:cxnSp macro="">
      <xdr:nvCxnSpPr>
        <xdr:cNvPr id="8" name="直線矢印コネクタ 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CxnSpPr>
          <a:stCxn id="7" idx="3"/>
        </xdr:cNvCxnSpPr>
      </xdr:nvCxnSpPr>
      <xdr:spPr>
        <a:xfrm>
          <a:off x="2667000" y="52006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143883</xdr:colOff>
      <xdr:row>38</xdr:row>
      <xdr:rowOff>22412</xdr:rowOff>
    </xdr:from>
    <xdr:to>
      <xdr:col>55</xdr:col>
      <xdr:colOff>143886</xdr:colOff>
      <xdr:row>41</xdr:row>
      <xdr:rowOff>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pSpPr>
          <a:grpSpLocks/>
        </xdr:cNvGrpSpPr>
      </xdr:nvGrpSpPr>
      <xdr:grpSpPr>
        <a:xfrm>
          <a:off x="10262795" y="7720853"/>
          <a:ext cx="2823885" cy="549088"/>
          <a:chOff x="8357210" y="-4657182"/>
          <a:chExt cx="2803763" cy="2324291"/>
        </a:xfrm>
      </xdr:grpSpPr>
      <xdr:sp macro="" textlink="" fLocksText="0">
        <xdr:nvSpPr>
          <xdr:cNvPr id="10" name="Rectangle 9">
            <a:extLst>
              <a:ext uri="{FF2B5EF4-FFF2-40B4-BE49-F238E27FC236}">
                <a16:creationId xmlns:a16="http://schemas.microsoft.com/office/drawing/2014/main" id="{00000000-0008-0000-0300-00000A000000}"/>
              </a:ext>
            </a:extLst>
          </xdr:cNvPr>
          <xdr:cNvSpPr/>
        </xdr:nvSpPr>
        <xdr:spPr>
          <a:xfrm>
            <a:off x="9037823" y="-4657182"/>
            <a:ext cx="2123150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SC1001_プロモーションメンテ画面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1" name="直線矢印コネクタ 4">
            <a:extLst>
              <a:ext uri="{FF2B5EF4-FFF2-40B4-BE49-F238E27FC236}">
                <a16:creationId xmlns:a16="http://schemas.microsoft.com/office/drawing/2014/main" id="{00000000-0008-0000-0300-00000B000000}"/>
              </a:ext>
            </a:extLst>
          </xdr:cNvPr>
          <xdr:cNvCxnSpPr>
            <a:endCxn id="10" idx="1"/>
          </xdr:cNvCxnSpPr>
        </xdr:nvCxnSpPr>
        <xdr:spPr>
          <a:xfrm>
            <a:off x="8357210" y="-3495036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14</xdr:row>
      <xdr:rowOff>4764</xdr:rowOff>
    </xdr:from>
    <xdr:to>
      <xdr:col>10</xdr:col>
      <xdr:colOff>0</xdr:colOff>
      <xdr:row>17</xdr:row>
      <xdr:rowOff>0</xdr:rowOff>
    </xdr:to>
    <xdr:sp macro="" textlink="" fLocksText="0">
      <xdr:nvSpPr>
        <xdr:cNvPr id="33" name="フローチャート: 代替処理 27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SpPr/>
      </xdr:nvSpPr>
      <xdr:spPr>
        <a:xfrm>
          <a:off x="161925" y="2790825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画面初期化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7" name="直線矢印コネクタ 4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CxnSpPr>
          <a:stCxn id="33" idx="3"/>
        </xdr:cNvCxnSpPr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13</xdr:row>
      <xdr:rowOff>168088</xdr:rowOff>
    </xdr:from>
    <xdr:to>
      <xdr:col>56</xdr:col>
      <xdr:colOff>0</xdr:colOff>
      <xdr:row>17</xdr:row>
      <xdr:rowOff>0</xdr:rowOff>
    </xdr:to>
    <xdr:grpSp>
      <xdr:nvGrpSpPr>
        <xdr:cNvPr id="38" name="Group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GrpSpPr>
          <a:grpSpLocks/>
        </xdr:cNvGrpSpPr>
      </xdr:nvGrpSpPr>
      <xdr:grpSpPr>
        <a:xfrm>
          <a:off x="10354235" y="2756647"/>
          <a:ext cx="2823883" cy="593912"/>
          <a:chOff x="8681645" y="-2596021"/>
          <a:chExt cx="2803761" cy="2324291"/>
        </a:xfrm>
      </xdr:grpSpPr>
      <xdr:sp macro="" textlink="" fLocksText="0">
        <xdr:nvSpPr>
          <xdr:cNvPr id="39" name="Rectangle 38">
            <a:extLst>
              <a:ext uri="{FF2B5EF4-FFF2-40B4-BE49-F238E27FC236}">
                <a16:creationId xmlns:a16="http://schemas.microsoft.com/office/drawing/2014/main" id="{00000000-0008-0000-0300-000027000000}"/>
              </a:ext>
            </a:extLst>
          </xdr:cNvPr>
          <xdr:cNvSpPr/>
        </xdr:nvSpPr>
        <xdr:spPr>
          <a:xfrm>
            <a:off x="9362258" y="-2596021"/>
            <a:ext cx="2123148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プロモーションメンテ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0" name="直線矢印コネクタ 4">
            <a:extLst>
              <a:ext uri="{FF2B5EF4-FFF2-40B4-BE49-F238E27FC236}">
                <a16:creationId xmlns:a16="http://schemas.microsoft.com/office/drawing/2014/main" id="{00000000-0008-0000-0300-000028000000}"/>
              </a:ext>
            </a:extLst>
          </xdr:cNvPr>
          <xdr:cNvCxnSpPr>
            <a:endCxn id="39" idx="1"/>
          </xdr:cNvCxnSpPr>
        </xdr:nvCxnSpPr>
        <xdr:spPr>
          <a:xfrm>
            <a:off x="8681645" y="-1433875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132916</xdr:colOff>
      <xdr:row>61</xdr:row>
      <xdr:rowOff>83205</xdr:rowOff>
    </xdr:from>
    <xdr:to>
      <xdr:col>9</xdr:col>
      <xdr:colOff>201705</xdr:colOff>
      <xdr:row>64</xdr:row>
      <xdr:rowOff>134471</xdr:rowOff>
    </xdr:to>
    <xdr:sp macro="" textlink="" fLocksText="0">
      <xdr:nvSpPr>
        <xdr:cNvPr id="41" name="フローチャート: 代替処理 27">
          <a:extLst>
            <a:ext uri="{FF2B5EF4-FFF2-40B4-BE49-F238E27FC236}">
              <a16:creationId xmlns:a16="http://schemas.microsoft.com/office/drawing/2014/main" id="{00000000-0008-0000-0300-000029000000}"/>
            </a:ext>
          </a:extLst>
        </xdr:cNvPr>
        <xdr:cNvSpPr/>
      </xdr:nvSpPr>
      <xdr:spPr>
        <a:xfrm>
          <a:off x="133350" y="12172950"/>
          <a:ext cx="2466975" cy="61912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プロモーションコードを入力してフォーカスアウトした場合</a:t>
          </a:r>
          <a:endParaRPr lang="ja-JP" altLang="en-US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9</xdr:col>
      <xdr:colOff>201705</xdr:colOff>
      <xdr:row>63</xdr:row>
      <xdr:rowOff>19191</xdr:rowOff>
    </xdr:from>
    <xdr:to>
      <xdr:col>13</xdr:col>
      <xdr:colOff>56030</xdr:colOff>
      <xdr:row>63</xdr:row>
      <xdr:rowOff>19191</xdr:rowOff>
    </xdr:to>
    <xdr:cxnSp macro="">
      <xdr:nvCxnSpPr>
        <xdr:cNvPr id="42" name="直線矢印コネクタ 4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CxnSpPr>
          <a:stCxn id="41" idx="3"/>
        </xdr:cNvCxnSpPr>
      </xdr:nvCxnSpPr>
      <xdr:spPr>
        <a:xfrm>
          <a:off x="2600325" y="12487275"/>
          <a:ext cx="9239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212912</xdr:colOff>
      <xdr:row>70</xdr:row>
      <xdr:rowOff>1</xdr:rowOff>
    </xdr:from>
    <xdr:to>
      <xdr:col>56</xdr:col>
      <xdr:colOff>33617</xdr:colOff>
      <xdr:row>72</xdr:row>
      <xdr:rowOff>0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GrpSpPr>
          <a:grpSpLocks/>
        </xdr:cNvGrpSpPr>
      </xdr:nvGrpSpPr>
      <xdr:grpSpPr>
        <a:xfrm>
          <a:off x="9625853" y="13794442"/>
          <a:ext cx="3585882" cy="380999"/>
          <a:chOff x="8017081" y="-3641268"/>
          <a:chExt cx="3143892" cy="2324291"/>
        </a:xfrm>
      </xdr:grpSpPr>
      <xdr:sp macro="" textlink="" fLocksText="0">
        <xdr:nvSpPr>
          <xdr:cNvPr id="44" name="Rectangle 43">
            <a:extLst>
              <a:ext uri="{FF2B5EF4-FFF2-40B4-BE49-F238E27FC236}">
                <a16:creationId xmlns:a16="http://schemas.microsoft.com/office/drawing/2014/main" id="{00000000-0008-0000-0300-00002C000000}"/>
              </a:ext>
            </a:extLst>
          </xdr:cNvPr>
          <xdr:cNvSpPr/>
        </xdr:nvSpPr>
        <xdr:spPr>
          <a:xfrm>
            <a:off x="8517746" y="-3641268"/>
            <a:ext cx="2643227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t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SC1001_プロモーションメンテ画面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45" name="直線矢印コネクタ 4">
            <a:extLst>
              <a:ext uri="{FF2B5EF4-FFF2-40B4-BE49-F238E27FC236}">
                <a16:creationId xmlns:a16="http://schemas.microsoft.com/office/drawing/2014/main" id="{00000000-0008-0000-0300-00002D000000}"/>
              </a:ext>
            </a:extLst>
          </xdr:cNvPr>
          <xdr:cNvCxnSpPr>
            <a:endCxn id="44" idx="1"/>
          </xdr:cNvCxnSpPr>
        </xdr:nvCxnSpPr>
        <xdr:spPr>
          <a:xfrm>
            <a:off x="8017081" y="-2508757"/>
            <a:ext cx="500665" cy="29635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188945</xdr:colOff>
      <xdr:row>79</xdr:row>
      <xdr:rowOff>134470</xdr:rowOff>
    </xdr:from>
    <xdr:to>
      <xdr:col>10</xdr:col>
      <xdr:colOff>22411</xdr:colOff>
      <xdr:row>81</xdr:row>
      <xdr:rowOff>134471</xdr:rowOff>
    </xdr:to>
    <xdr:sp macro="" textlink="" fLocksText="0">
      <xdr:nvSpPr>
        <xdr:cNvPr id="49" name="フローチャート: 代替処理 27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/>
      </xdr:nvSpPr>
      <xdr:spPr>
        <a:xfrm>
          <a:off x="190500" y="15649575"/>
          <a:ext cx="2495550" cy="3810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F04：クリア</a:t>
          </a:r>
          <a:endParaRPr lang="ja-JP" altLang="en-US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22411</xdr:colOff>
      <xdr:row>80</xdr:row>
      <xdr:rowOff>134470</xdr:rowOff>
    </xdr:from>
    <xdr:to>
      <xdr:col>13</xdr:col>
      <xdr:colOff>89647</xdr:colOff>
      <xdr:row>80</xdr:row>
      <xdr:rowOff>134471</xdr:rowOff>
    </xdr:to>
    <xdr:cxnSp macro="">
      <xdr:nvCxnSpPr>
        <xdr:cNvPr id="50" name="直線矢印コネクタ 4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CxnSpPr>
          <a:stCxn id="49" idx="3"/>
        </xdr:cNvCxnSpPr>
      </xdr:nvCxnSpPr>
      <xdr:spPr>
        <a:xfrm flipV="1">
          <a:off x="2686050" y="15840075"/>
          <a:ext cx="8667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190499</xdr:colOff>
      <xdr:row>80</xdr:row>
      <xdr:rowOff>67236</xdr:rowOff>
    </xdr:from>
    <xdr:to>
      <xdr:col>55</xdr:col>
      <xdr:colOff>105786</xdr:colOff>
      <xdr:row>82</xdr:row>
      <xdr:rowOff>33618</xdr:rowOff>
    </xdr:to>
    <xdr:grpSp>
      <xdr:nvGrpSpPr>
        <xdr:cNvPr id="51" name="Group 50">
          <a:extLst>
            <a:ext uri="{FF2B5EF4-FFF2-40B4-BE49-F238E27FC236}">
              <a16:creationId xmlns:a16="http://schemas.microsoft.com/office/drawing/2014/main" id="{00000000-0008-0000-0300-000033000000}"/>
            </a:ext>
          </a:extLst>
        </xdr:cNvPr>
        <xdr:cNvGrpSpPr>
          <a:grpSpLocks/>
        </xdr:cNvGrpSpPr>
      </xdr:nvGrpSpPr>
      <xdr:grpSpPr>
        <a:xfrm>
          <a:off x="9368117" y="15766677"/>
          <a:ext cx="3680463" cy="347382"/>
          <a:chOff x="8357210" y="-7566396"/>
          <a:chExt cx="2803763" cy="2324291"/>
        </a:xfrm>
      </xdr:grpSpPr>
      <xdr:sp macro="" textlink="" fLocksText="0">
        <xdr:nvSpPr>
          <xdr:cNvPr id="52" name="Rectangle 51">
            <a:extLst>
              <a:ext uri="{FF2B5EF4-FFF2-40B4-BE49-F238E27FC236}">
                <a16:creationId xmlns:a16="http://schemas.microsoft.com/office/drawing/2014/main" id="{00000000-0008-0000-0300-000034000000}"/>
              </a:ext>
            </a:extLst>
          </xdr:cNvPr>
          <xdr:cNvSpPr/>
        </xdr:nvSpPr>
        <xdr:spPr>
          <a:xfrm>
            <a:off x="9037823" y="-7566396"/>
            <a:ext cx="2123150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SC1001_プロモーションメンテ画面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3" name="直線矢印コネクタ 4">
            <a:extLst>
              <a:ext uri="{FF2B5EF4-FFF2-40B4-BE49-F238E27FC236}">
                <a16:creationId xmlns:a16="http://schemas.microsoft.com/office/drawing/2014/main" id="{00000000-0008-0000-0300-000035000000}"/>
              </a:ext>
            </a:extLst>
          </xdr:cNvPr>
          <xdr:cNvCxnSpPr>
            <a:endCxn id="52" idx="1"/>
          </xdr:cNvCxnSpPr>
        </xdr:nvCxnSpPr>
        <xdr:spPr>
          <a:xfrm>
            <a:off x="8357210" y="-6404250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188945</xdr:colOff>
      <xdr:row>79</xdr:row>
      <xdr:rowOff>134470</xdr:rowOff>
    </xdr:from>
    <xdr:to>
      <xdr:col>10</xdr:col>
      <xdr:colOff>22411</xdr:colOff>
      <xdr:row>81</xdr:row>
      <xdr:rowOff>134471</xdr:rowOff>
    </xdr:to>
    <xdr:sp macro="" textlink="" fLocksText="0">
      <xdr:nvSpPr>
        <xdr:cNvPr id="54" name="フローチャート: 代替処理 27">
          <a:extLst>
            <a:ext uri="{FF2B5EF4-FFF2-40B4-BE49-F238E27FC236}">
              <a16:creationId xmlns:a16="http://schemas.microsoft.com/office/drawing/2014/main" id="{00000000-0008-0000-0300-000036000000}"/>
            </a:ext>
          </a:extLst>
        </xdr:cNvPr>
        <xdr:cNvSpPr/>
      </xdr:nvSpPr>
      <xdr:spPr>
        <a:xfrm>
          <a:off x="190500" y="15649575"/>
          <a:ext cx="2495550" cy="381000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F04：クリア</a:t>
          </a:r>
          <a:endParaRPr lang="ja-JP" altLang="en-US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22411</xdr:colOff>
      <xdr:row>80</xdr:row>
      <xdr:rowOff>134470</xdr:rowOff>
    </xdr:from>
    <xdr:to>
      <xdr:col>13</xdr:col>
      <xdr:colOff>89647</xdr:colOff>
      <xdr:row>80</xdr:row>
      <xdr:rowOff>134471</xdr:rowOff>
    </xdr:to>
    <xdr:cxnSp macro="">
      <xdr:nvCxnSpPr>
        <xdr:cNvPr id="55" name="直線矢印コネクタ 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CxnSpPr>
          <a:stCxn id="54" idx="3"/>
        </xdr:cNvCxnSpPr>
      </xdr:nvCxnSpPr>
      <xdr:spPr>
        <a:xfrm flipV="1">
          <a:off x="2686050" y="15840075"/>
          <a:ext cx="86677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190499</xdr:colOff>
      <xdr:row>80</xdr:row>
      <xdr:rowOff>67236</xdr:rowOff>
    </xdr:from>
    <xdr:to>
      <xdr:col>55</xdr:col>
      <xdr:colOff>105786</xdr:colOff>
      <xdr:row>82</xdr:row>
      <xdr:rowOff>33618</xdr:rowOff>
    </xdr:to>
    <xdr:grpSp>
      <xdr:nvGrpSpPr>
        <xdr:cNvPr id="56" name="Group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GrpSpPr>
          <a:grpSpLocks/>
        </xdr:cNvGrpSpPr>
      </xdr:nvGrpSpPr>
      <xdr:grpSpPr>
        <a:xfrm>
          <a:off x="9368117" y="15766677"/>
          <a:ext cx="3680463" cy="347382"/>
          <a:chOff x="8357210" y="-7566396"/>
          <a:chExt cx="2803763" cy="2324291"/>
        </a:xfrm>
      </xdr:grpSpPr>
      <xdr:sp macro="" textlink="" fLocksText="0">
        <xdr:nvSpPr>
          <xdr:cNvPr id="57" name="Rectangle 56">
            <a:extLst>
              <a:ext uri="{FF2B5EF4-FFF2-40B4-BE49-F238E27FC236}">
                <a16:creationId xmlns:a16="http://schemas.microsoft.com/office/drawing/2014/main" id="{00000000-0008-0000-0300-000039000000}"/>
              </a:ext>
            </a:extLst>
          </xdr:cNvPr>
          <xdr:cNvSpPr/>
        </xdr:nvSpPr>
        <xdr:spPr>
          <a:xfrm>
            <a:off x="9037823" y="-7566396"/>
            <a:ext cx="2123150" cy="2324291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SC1001_プロモーションメンテ画面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58" name="直線矢印コネクタ 4">
            <a:extLst>
              <a:ext uri="{FF2B5EF4-FFF2-40B4-BE49-F238E27FC236}">
                <a16:creationId xmlns:a16="http://schemas.microsoft.com/office/drawing/2014/main" id="{00000000-0008-0000-0300-00003A000000}"/>
              </a:ext>
            </a:extLst>
          </xdr:cNvPr>
          <xdr:cNvCxnSpPr>
            <a:endCxn id="57" idx="1"/>
          </xdr:cNvCxnSpPr>
        </xdr:nvCxnSpPr>
        <xdr:spPr>
          <a:xfrm>
            <a:off x="8357210" y="-6404250"/>
            <a:ext cx="680613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93</xdr:row>
      <xdr:rowOff>4764</xdr:rowOff>
    </xdr:from>
    <xdr:to>
      <xdr:col>10</xdr:col>
      <xdr:colOff>0</xdr:colOff>
      <xdr:row>94</xdr:row>
      <xdr:rowOff>156882</xdr:rowOff>
    </xdr:to>
    <xdr:sp macro="" textlink="" fLocksText="0">
      <xdr:nvSpPr>
        <xdr:cNvPr id="59" name="フローチャート: 代替処理 27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SpPr/>
      </xdr:nvSpPr>
      <xdr:spPr>
        <a:xfrm>
          <a:off x="161925" y="18192750"/>
          <a:ext cx="2505075" cy="3333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F09：確定</a:t>
          </a:r>
        </a:p>
      </xdr:txBody>
    </xdr:sp>
    <xdr:clientData/>
  </xdr:twoCellAnchor>
  <xdr:twoCellAnchor>
    <xdr:from>
      <xdr:col>10</xdr:col>
      <xdr:colOff>0</xdr:colOff>
      <xdr:row>93</xdr:row>
      <xdr:rowOff>176073</xdr:rowOff>
    </xdr:from>
    <xdr:to>
      <xdr:col>13</xdr:col>
      <xdr:colOff>44823</xdr:colOff>
      <xdr:row>93</xdr:row>
      <xdr:rowOff>179294</xdr:rowOff>
    </xdr:to>
    <xdr:cxnSp macro="">
      <xdr:nvCxnSpPr>
        <xdr:cNvPr id="60" name="直線矢印コネクタ 4">
          <a:extLst>
            <a:ext uri="{FF2B5EF4-FFF2-40B4-BE49-F238E27FC236}">
              <a16:creationId xmlns:a16="http://schemas.microsoft.com/office/drawing/2014/main" id="{00000000-0008-0000-0300-00003C000000}"/>
            </a:ext>
          </a:extLst>
        </xdr:cNvPr>
        <xdr:cNvCxnSpPr>
          <a:stCxn id="59" idx="3"/>
        </xdr:cNvCxnSpPr>
      </xdr:nvCxnSpPr>
      <xdr:spPr>
        <a:xfrm>
          <a:off x="2667000" y="18354675"/>
          <a:ext cx="847725" cy="9525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112057</xdr:colOff>
      <xdr:row>143</xdr:row>
      <xdr:rowOff>33620</xdr:rowOff>
    </xdr:from>
    <xdr:to>
      <xdr:col>56</xdr:col>
      <xdr:colOff>156881</xdr:colOff>
      <xdr:row>145</xdr:row>
      <xdr:rowOff>44826</xdr:rowOff>
    </xdr:to>
    <xdr:grpSp>
      <xdr:nvGrpSpPr>
        <xdr:cNvPr id="64" name="Group 63">
          <a:extLst>
            <a:ext uri="{FF2B5EF4-FFF2-40B4-BE49-F238E27FC236}">
              <a16:creationId xmlns:a16="http://schemas.microsoft.com/office/drawing/2014/main" id="{00000000-0008-0000-0300-000040000000}"/>
            </a:ext>
          </a:extLst>
        </xdr:cNvPr>
        <xdr:cNvGrpSpPr>
          <a:grpSpLocks/>
        </xdr:cNvGrpSpPr>
      </xdr:nvGrpSpPr>
      <xdr:grpSpPr>
        <a:xfrm>
          <a:off x="9760322" y="28474149"/>
          <a:ext cx="3574677" cy="392206"/>
          <a:chOff x="8621922" y="-4657180"/>
          <a:chExt cx="2539051" cy="620994"/>
        </a:xfrm>
      </xdr:grpSpPr>
      <xdr:sp macro="" textlink="" fLocksText="0">
        <xdr:nvSpPr>
          <xdr:cNvPr id="65" name="Rectangle 64">
            <a:extLst>
              <a:ext uri="{FF2B5EF4-FFF2-40B4-BE49-F238E27FC236}">
                <a16:creationId xmlns:a16="http://schemas.microsoft.com/office/drawing/2014/main" id="{00000000-0008-0000-0300-000041000000}"/>
              </a:ext>
            </a:extLst>
          </xdr:cNvPr>
          <xdr:cNvSpPr/>
        </xdr:nvSpPr>
        <xdr:spPr>
          <a:xfrm>
            <a:off x="9037692" y="-4657180"/>
            <a:ext cx="2123281" cy="620994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1100" b="0" i="0" u="none" baseline="0">
                <a:solidFill>
                  <a:srgbClr val="000000"/>
                </a:solidFill>
                <a:latin typeface="Meiryo UI" panose="020B0604030504040204" pitchFamily="34" charset="-128"/>
                <a:ea typeface="Meiryo UI" panose="020B0604030504040204" pitchFamily="34" charset="-128"/>
              </a:rPr>
              <a:t>SC1001_プロモーションメンテ画面</a:t>
            </a:r>
            <a:endPara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9" name="直線矢印コネクタ 4">
            <a:extLst>
              <a:ext uri="{FF2B5EF4-FFF2-40B4-BE49-F238E27FC236}">
                <a16:creationId xmlns:a16="http://schemas.microsoft.com/office/drawing/2014/main" id="{00000000-0008-0000-0300-000045000000}"/>
              </a:ext>
            </a:extLst>
          </xdr:cNvPr>
          <xdr:cNvCxnSpPr>
            <a:endCxn id="65" idx="1"/>
          </xdr:cNvCxnSpPr>
        </xdr:nvCxnSpPr>
        <xdr:spPr>
          <a:xfrm>
            <a:off x="8621922" y="-4355532"/>
            <a:ext cx="415770" cy="8849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15</xdr:row>
      <xdr:rowOff>131250</xdr:rowOff>
    </xdr:from>
    <xdr:to>
      <xdr:col>13</xdr:col>
      <xdr:colOff>89648</xdr:colOff>
      <xdr:row>15</xdr:row>
      <xdr:rowOff>131250</xdr:rowOff>
    </xdr:to>
    <xdr:cxnSp macro="">
      <xdr:nvCxnSpPr>
        <xdr:cNvPr id="3" name="直線矢印コネクタ 4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2667000" y="3105150"/>
          <a:ext cx="885825" cy="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14</xdr:row>
      <xdr:rowOff>0</xdr:rowOff>
    </xdr:from>
    <xdr:to>
      <xdr:col>54</xdr:col>
      <xdr:colOff>195541</xdr:colOff>
      <xdr:row>16</xdr:row>
      <xdr:rowOff>53787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pSpPr>
          <a:grpSpLocks/>
        </xdr:cNvGrpSpPr>
      </xdr:nvGrpSpPr>
      <xdr:grpSpPr>
        <a:xfrm>
          <a:off x="9177618" y="2779059"/>
          <a:ext cx="3725394" cy="434787"/>
          <a:chOff x="8059570" y="-2607964"/>
          <a:chExt cx="2042145" cy="777600"/>
        </a:xfrm>
      </xdr:grpSpPr>
      <xdr:sp macro="" textlink="" fLocksText="0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400-000005000000}"/>
              </a:ext>
            </a:extLst>
          </xdr:cNvPr>
          <xdr:cNvSpPr/>
        </xdr:nvSpPr>
        <xdr:spPr>
          <a:xfrm>
            <a:off x="8445535" y="-2607964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6" name="直線矢印コネクタ 4">
            <a:extLst>
              <a:ext uri="{FF2B5EF4-FFF2-40B4-BE49-F238E27FC236}">
                <a16:creationId xmlns:a16="http://schemas.microsoft.com/office/drawing/2014/main" id="{00000000-0008-0000-0400-000006000000}"/>
              </a:ext>
            </a:extLst>
          </xdr:cNvPr>
          <xdr:cNvCxnSpPr>
            <a:endCxn id="5" idx="1"/>
          </xdr:cNvCxnSpPr>
        </xdr:nvCxnSpPr>
        <xdr:spPr>
          <a:xfrm>
            <a:off x="8059570" y="-2219164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39</xdr:col>
      <xdr:colOff>0</xdr:colOff>
      <xdr:row>17</xdr:row>
      <xdr:rowOff>136713</xdr:rowOff>
    </xdr:from>
    <xdr:to>
      <xdr:col>54</xdr:col>
      <xdr:colOff>195541</xdr:colOff>
      <xdr:row>20</xdr:row>
      <xdr:rowOff>0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pSpPr>
          <a:grpSpLocks/>
        </xdr:cNvGrpSpPr>
      </xdr:nvGrpSpPr>
      <xdr:grpSpPr>
        <a:xfrm>
          <a:off x="9177618" y="3487272"/>
          <a:ext cx="3725394" cy="434787"/>
          <a:chOff x="8080531" y="514467"/>
          <a:chExt cx="2042145" cy="777600"/>
        </a:xfrm>
      </xdr:grpSpPr>
      <xdr:sp macro="" textlink="" fLocksText="0">
        <xdr:nvSpPr>
          <xdr:cNvPr id="11" name="Rectangle 10">
            <a:extLst>
              <a:ext uri="{FF2B5EF4-FFF2-40B4-BE49-F238E27FC236}">
                <a16:creationId xmlns:a16="http://schemas.microsoft.com/office/drawing/2014/main" id="{00000000-0008-0000-0400-00000B000000}"/>
              </a:ext>
            </a:extLst>
          </xdr:cNvPr>
          <xdr:cNvSpPr/>
        </xdr:nvSpPr>
        <xdr:spPr>
          <a:xfrm>
            <a:off x="8466496" y="514467"/>
            <a:ext cx="1656180" cy="777600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bg1"/>
          </a:fontRef>
        </xdr:style>
        <xdr:txBody>
          <a:bodyPr vertOverflow="clip" horzOverflow="clip" vert="horz" wrap="square" lIns="91440" tIns="45720" rIns="91440" bIns="45720" fromWordArt="0" anchor="ctr" anchorCtr="0">
            <a:prstTxWarp prst="textNoShape">
              <a:avLst/>
            </a:prstTxWarp>
            <a:noAutofit/>
          </a:bodyPr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</a:pPr>
            <a:r>
              <a:rPr lang="en-US" altLang="ja-JP" sz="900" b="0" i="0" u="none" baseline="0">
                <a:solidFill>
                  <a:srgbClr val="000000"/>
                </a:solidFill>
                <a:latin typeface="Meiryo UI"/>
                <a:ea typeface="Meiryo UI"/>
              </a:rPr>
              <a:t>SCxxxxxx画面</a:t>
            </a:r>
            <a:endParaRPr lang="ja-JP" altLang="en-US" sz="9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Times New Roman" panose="02020603050405020304" pitchFamily="18" charset="0"/>
            </a:endParaRPr>
          </a:p>
        </xdr:txBody>
      </xdr:sp>
      <xdr:cxnSp macro="">
        <xdr:nvCxnSpPr>
          <xdr:cNvPr id="12" name="直線矢印コネクタ 4">
            <a:extLst>
              <a:ext uri="{FF2B5EF4-FFF2-40B4-BE49-F238E27FC236}">
                <a16:creationId xmlns:a16="http://schemas.microsoft.com/office/drawing/2014/main" id="{00000000-0008-0000-0400-00000C000000}"/>
              </a:ext>
            </a:extLst>
          </xdr:cNvPr>
          <xdr:cNvCxnSpPr>
            <a:endCxn id="11" idx="1"/>
          </xdr:cNvCxnSpPr>
        </xdr:nvCxnSpPr>
        <xdr:spPr>
          <a:xfrm>
            <a:off x="8080531" y="903267"/>
            <a:ext cx="385965" cy="0"/>
          </a:xfrm>
          <a:prstGeom prst="straightConnector1">
            <a:avLst/>
          </a:prstGeom>
          <a:ln>
            <a:solidFill>
              <a:schemeClr val="tx1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166534</xdr:colOff>
      <xdr:row>14</xdr:row>
      <xdr:rowOff>0</xdr:rowOff>
    </xdr:from>
    <xdr:to>
      <xdr:col>10</xdr:col>
      <xdr:colOff>0</xdr:colOff>
      <xdr:row>16</xdr:row>
      <xdr:rowOff>185736</xdr:rowOff>
    </xdr:to>
    <xdr:sp macro="" textlink="" fLocksText="0">
      <xdr:nvSpPr>
        <xdr:cNvPr id="7" name="フローチャート: 代替処理 27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61925" y="2781300"/>
          <a:ext cx="2505075" cy="561975"/>
        </a:xfrm>
        <a:prstGeom prst="flowChartAlternateProcess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91440" tIns="45720" rIns="91440" bIns="45720" fromWordArt="0" anchor="ctr" anchorCtr="0">
          <a:prstTxWarp prst="textNoShape">
            <a:avLst/>
          </a:prstTxWarp>
          <a:noAutofit/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100" b="0" i="0" u="none" baseline="0">
              <a:solidFill>
                <a:srgbClr val="FFFFFF"/>
              </a:solidFill>
              <a:latin typeface="Meiryo UI"/>
              <a:ea typeface="Meiryo UI"/>
            </a:rPr>
            <a:t>画面初期化</a:t>
          </a:r>
          <a:endParaRPr lang="en-US" altLang="ja-JP" sz="110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 codeName="Sheet1"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80" t="s">
        <v>0</v>
      </c>
      <c r="B1" s="81"/>
      <c r="C1" s="81"/>
      <c r="D1" s="81"/>
      <c r="E1" s="81"/>
      <c r="F1" s="81"/>
      <c r="G1" s="81"/>
      <c r="H1" s="81"/>
      <c r="I1" s="81"/>
      <c r="J1" s="82"/>
      <c r="K1" s="80" t="s">
        <v>2</v>
      </c>
      <c r="L1" s="81"/>
      <c r="M1" s="81"/>
      <c r="N1" s="81"/>
      <c r="O1" s="81"/>
      <c r="P1" s="81"/>
      <c r="Q1" s="81"/>
      <c r="R1" s="81"/>
      <c r="S1" s="81"/>
      <c r="T1" s="81"/>
      <c r="U1" s="81"/>
      <c r="V1" s="82"/>
      <c r="W1" s="102" t="s">
        <v>27</v>
      </c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4"/>
      <c r="AP1" s="80" t="s">
        <v>3</v>
      </c>
      <c r="AQ1" s="81"/>
      <c r="AR1" s="81"/>
      <c r="AS1" s="82"/>
      <c r="AT1" s="80" t="s">
        <v>4</v>
      </c>
      <c r="AU1" s="81"/>
      <c r="AV1" s="81"/>
      <c r="AW1" s="81"/>
      <c r="AX1" s="82"/>
      <c r="AY1" s="80" t="s">
        <v>5</v>
      </c>
      <c r="AZ1" s="81"/>
      <c r="BA1" s="81"/>
      <c r="BB1" s="82"/>
      <c r="BC1" s="80" t="s">
        <v>6</v>
      </c>
      <c r="BD1" s="81"/>
      <c r="BE1" s="81"/>
      <c r="BF1" s="81"/>
      <c r="BG1" s="82"/>
      <c r="BH1" s="80" t="s">
        <v>7</v>
      </c>
      <c r="BI1" s="81"/>
      <c r="BJ1" s="81"/>
      <c r="BK1" s="82"/>
    </row>
    <row r="2" spans="1:63" ht="15" customHeight="1" x14ac:dyDescent="0.25">
      <c r="A2" s="101" t="s">
        <v>15</v>
      </c>
      <c r="B2" s="13"/>
      <c r="C2" s="13"/>
      <c r="D2" s="13"/>
      <c r="E2" s="13"/>
      <c r="F2" s="13"/>
      <c r="G2" s="13"/>
      <c r="H2" s="13"/>
      <c r="I2" s="13"/>
      <c r="J2" s="12"/>
      <c r="K2" s="14" t="s">
        <v>13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105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7"/>
      <c r="AP2" s="14" t="str">
        <f>改訂履歴!$H$11</f>
        <v>SonMNT</v>
      </c>
      <c r="AQ2" s="13"/>
      <c r="AR2" s="13"/>
      <c r="AS2" s="12"/>
      <c r="AT2" s="95">
        <f>改訂履歴!$B$11</f>
        <v>45468</v>
      </c>
      <c r="AU2" s="96"/>
      <c r="AV2" s="96"/>
      <c r="AW2" s="96"/>
      <c r="AX2" s="97"/>
      <c r="AY2" s="14" t="str">
        <f>LOOKUP(2,1/(改訂履歴!H11:H30000&lt;&gt;""),改訂履歴!H11:H30000)</f>
        <v>AnhTTP</v>
      </c>
      <c r="AZ2" s="13"/>
      <c r="BA2" s="13"/>
      <c r="BB2" s="12"/>
      <c r="BC2" s="95">
        <f>LOOKUP(2,1/(改訂履歴!B11:B30000&lt;&gt;""),改訂履歴!B11:B30000)</f>
        <v>45643</v>
      </c>
      <c r="BD2" s="96"/>
      <c r="BE2" s="96"/>
      <c r="BF2" s="96"/>
      <c r="BG2" s="97"/>
      <c r="BH2" s="89">
        <f>LOOKUP(2,1/(改訂履歴!O11:O30000&lt;&gt;""),改訂履歴!O11:O30000)</f>
        <v>0.4</v>
      </c>
      <c r="BI2" s="90"/>
      <c r="BJ2" s="90"/>
      <c r="BK2" s="91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108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10"/>
      <c r="AP3" s="8"/>
      <c r="AQ3" s="7"/>
      <c r="AR3" s="7"/>
      <c r="AS3" s="6"/>
      <c r="AT3" s="98"/>
      <c r="AU3" s="99"/>
      <c r="AV3" s="99"/>
      <c r="AW3" s="99"/>
      <c r="AX3" s="100"/>
      <c r="AY3" s="8"/>
      <c r="AZ3" s="7"/>
      <c r="BA3" s="7"/>
      <c r="BB3" s="6"/>
      <c r="BC3" s="98"/>
      <c r="BD3" s="99"/>
      <c r="BE3" s="99"/>
      <c r="BF3" s="99"/>
      <c r="BG3" s="100"/>
      <c r="BH3" s="92"/>
      <c r="BI3" s="93"/>
      <c r="BJ3" s="93"/>
      <c r="BK3" s="94"/>
    </row>
    <row r="4" spans="1:63" ht="24.95" customHeight="1" x14ac:dyDescent="0.25">
      <c r="A4" s="80" t="s">
        <v>1</v>
      </c>
      <c r="B4" s="81"/>
      <c r="C4" s="81"/>
      <c r="D4" s="81"/>
      <c r="E4" s="81"/>
      <c r="F4" s="81"/>
      <c r="G4" s="82"/>
      <c r="H4" s="85" t="s">
        <v>62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  <c r="U4" s="80" t="s">
        <v>8</v>
      </c>
      <c r="V4" s="81"/>
      <c r="W4" s="81"/>
      <c r="X4" s="81"/>
      <c r="Y4" s="82"/>
      <c r="Z4" s="88" t="s">
        <v>17</v>
      </c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7"/>
      <c r="AP4" s="85" t="str">
        <f t="array" aca="1" ref="AP4" ca="1">RIGHT(CELL("filename",$A$1),LEN(CELL("filename",$A$1))-FIND("]",CELL("filename",$A$1)))</f>
        <v>表紙</v>
      </c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7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83" t="s">
        <v>16</v>
      </c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26"/>
      <c r="BK16" s="18"/>
    </row>
    <row r="17" spans="1:63" ht="15" customHeight="1" x14ac:dyDescent="0.25">
      <c r="A17" s="15"/>
      <c r="K17" s="20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26"/>
      <c r="BK17" s="18"/>
    </row>
    <row r="18" spans="1:63" ht="15" customHeight="1" x14ac:dyDescent="0.25">
      <c r="A18" s="15"/>
      <c r="K18" s="20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26"/>
      <c r="BK18" s="18"/>
    </row>
    <row r="19" spans="1:63" ht="15" customHeight="1" x14ac:dyDescent="0.25">
      <c r="A19" s="15"/>
      <c r="K19" s="20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26"/>
      <c r="BK19" s="18"/>
    </row>
    <row r="20" spans="1:63" ht="15" customHeight="1" x14ac:dyDescent="0.25">
      <c r="A20" s="15"/>
      <c r="K20" s="20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26"/>
      <c r="BK20" s="18"/>
    </row>
    <row r="21" spans="1:63" ht="15" customHeight="1" x14ac:dyDescent="0.25">
      <c r="A21" s="15"/>
      <c r="K21" s="20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84" t="str">
        <f>K2&amp;"/"&amp;H4&amp;"/"&amp;Z4</f>
        <v>POSサーバ/10_プロモーションメンテ/機能設計書</v>
      </c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26"/>
      <c r="BK24" s="18"/>
    </row>
    <row r="25" spans="1:63" ht="15" customHeight="1" x14ac:dyDescent="0.25">
      <c r="A25" s="15"/>
      <c r="K25" s="20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26"/>
      <c r="BK25" s="18"/>
    </row>
    <row r="26" spans="1:63" ht="15" customHeight="1" x14ac:dyDescent="0.25">
      <c r="A26" s="15"/>
      <c r="K26" s="20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26"/>
      <c r="BK26" s="18"/>
    </row>
    <row r="27" spans="1:63" ht="15" customHeight="1" x14ac:dyDescent="0.25">
      <c r="A27" s="15"/>
      <c r="K27" s="20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26"/>
      <c r="BK27" s="18"/>
    </row>
    <row r="28" spans="1:63" ht="15" customHeight="1" x14ac:dyDescent="0.25">
      <c r="A28" s="15"/>
      <c r="K28" s="20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26"/>
      <c r="BK28" s="18"/>
    </row>
    <row r="29" spans="1:63" ht="15" customHeight="1" x14ac:dyDescent="0.25">
      <c r="A29" s="15"/>
      <c r="K29" s="20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26"/>
      <c r="BK29" s="18"/>
    </row>
    <row r="30" spans="1:63" ht="15" customHeight="1" x14ac:dyDescent="0.25">
      <c r="A30" s="15"/>
      <c r="K30" s="20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26"/>
      <c r="BK30" s="18"/>
    </row>
    <row r="31" spans="1:63" ht="15" customHeight="1" x14ac:dyDescent="0.25">
      <c r="A31" s="15"/>
      <c r="K31" s="20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26"/>
      <c r="BK31" s="18"/>
    </row>
    <row r="32" spans="1:63" ht="15" customHeight="1" x14ac:dyDescent="0.25">
      <c r="A32" s="15"/>
      <c r="K32" s="20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26"/>
      <c r="BK32" s="18"/>
    </row>
    <row r="33" spans="1:63" ht="15" customHeight="1" x14ac:dyDescent="0.25">
      <c r="A33" s="15"/>
      <c r="K33" s="20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26"/>
      <c r="BK33" s="18"/>
    </row>
    <row r="34" spans="1:63" ht="15" customHeight="1" x14ac:dyDescent="0.25">
      <c r="A34" s="15"/>
      <c r="K34" s="20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26"/>
      <c r="BK34" s="18"/>
    </row>
    <row r="35" spans="1:63" ht="15" customHeight="1" x14ac:dyDescent="0.25">
      <c r="A35" s="15"/>
      <c r="K35" s="20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26"/>
      <c r="BK35" s="18"/>
    </row>
    <row r="36" spans="1:63" ht="15" customHeight="1" x14ac:dyDescent="0.25">
      <c r="A36" s="15"/>
      <c r="K36" s="20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5" t="s">
        <v>11</v>
      </c>
      <c r="R44" s="4"/>
      <c r="S44" s="4"/>
      <c r="T44" s="4"/>
      <c r="U44" s="4"/>
      <c r="V44" s="4"/>
      <c r="W44" s="4"/>
      <c r="X44" s="4"/>
      <c r="Y44" s="4"/>
      <c r="Z44" s="3"/>
      <c r="AA44" s="5" t="s">
        <v>12</v>
      </c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3"/>
      <c r="AQ44" s="5" t="s">
        <v>7</v>
      </c>
      <c r="AR44" s="4"/>
      <c r="AS44" s="4"/>
      <c r="AT44" s="4"/>
      <c r="AU44" s="3"/>
      <c r="BK44" s="18"/>
    </row>
    <row r="45" spans="1:63" ht="15" customHeight="1" x14ac:dyDescent="0.25">
      <c r="A45" s="15"/>
      <c r="Q45" s="2"/>
      <c r="R45" s="1"/>
      <c r="S45" s="1"/>
      <c r="T45" s="1"/>
      <c r="U45" s="1"/>
      <c r="V45" s="1"/>
      <c r="W45" s="1"/>
      <c r="X45" s="1"/>
      <c r="Y45" s="1"/>
      <c r="Z45" s="79"/>
      <c r="AA45" s="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79"/>
      <c r="AQ45" s="2"/>
      <c r="AR45" s="1"/>
      <c r="AS45" s="1"/>
      <c r="AT45" s="1"/>
      <c r="AU45" s="79"/>
      <c r="BK45" s="18"/>
    </row>
    <row r="46" spans="1:63" ht="15" customHeight="1" x14ac:dyDescent="0.25">
      <c r="A46" s="15"/>
      <c r="Q46" s="14"/>
      <c r="R46" s="13"/>
      <c r="S46" s="13"/>
      <c r="T46" s="13"/>
      <c r="U46" s="13"/>
      <c r="V46" s="13"/>
      <c r="W46" s="13"/>
      <c r="X46" s="13"/>
      <c r="Y46" s="13"/>
      <c r="Z46" s="12"/>
      <c r="AA46" s="14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2"/>
      <c r="AQ46" s="14"/>
      <c r="AR46" s="13"/>
      <c r="AS46" s="13"/>
      <c r="AT46" s="13"/>
      <c r="AU46" s="12"/>
      <c r="BK46" s="18"/>
    </row>
    <row r="47" spans="1:63" ht="15" customHeight="1" x14ac:dyDescent="0.25">
      <c r="A47" s="15"/>
      <c r="Q47" s="11"/>
      <c r="R47" s="10"/>
      <c r="S47" s="10"/>
      <c r="T47" s="10"/>
      <c r="U47" s="10"/>
      <c r="V47" s="10"/>
      <c r="W47" s="10"/>
      <c r="X47" s="10"/>
      <c r="Y47" s="10"/>
      <c r="Z47" s="9"/>
      <c r="AA47" s="11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9"/>
      <c r="AQ47" s="11"/>
      <c r="AR47" s="10"/>
      <c r="AS47" s="10"/>
      <c r="AT47" s="10"/>
      <c r="AU47" s="9"/>
      <c r="BK47" s="18"/>
    </row>
    <row r="48" spans="1:63" ht="15" customHeight="1" x14ac:dyDescent="0.25">
      <c r="A48" s="15"/>
      <c r="Q48" s="11"/>
      <c r="R48" s="10"/>
      <c r="S48" s="10"/>
      <c r="T48" s="10"/>
      <c r="U48" s="10"/>
      <c r="V48" s="10"/>
      <c r="W48" s="10"/>
      <c r="X48" s="10"/>
      <c r="Y48" s="10"/>
      <c r="Z48" s="9"/>
      <c r="AA48" s="11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9"/>
      <c r="AQ48" s="11"/>
      <c r="AR48" s="10"/>
      <c r="AS48" s="10"/>
      <c r="AT48" s="10"/>
      <c r="AU48" s="9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4:G4"/>
    <mergeCell ref="K2:V3"/>
    <mergeCell ref="A2:J3"/>
    <mergeCell ref="W1:AO3"/>
    <mergeCell ref="K1:V1"/>
    <mergeCell ref="A1:J1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Q46:AU49"/>
    <mergeCell ref="AA46:AP49"/>
    <mergeCell ref="Q46:Z49"/>
    <mergeCell ref="AQ44:AU45"/>
    <mergeCell ref="AA44:AP45"/>
    <mergeCell ref="Q44:Z45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 codeName="Sheet2">
    <pageSetUpPr fitToPage="1"/>
  </sheetPr>
  <dimension ref="A1:BK55"/>
  <sheetViews>
    <sheetView view="pageBreakPreview" zoomScale="85" zoomScaleNormal="75" zoomScaleSheetLayoutView="85" workbookViewId="0">
      <selection activeCell="H17" sqref="H17:N18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80" t="s">
        <v>0</v>
      </c>
      <c r="B1" s="81"/>
      <c r="C1" s="81"/>
      <c r="D1" s="81"/>
      <c r="E1" s="81"/>
      <c r="F1" s="81"/>
      <c r="G1" s="81"/>
      <c r="H1" s="81"/>
      <c r="I1" s="81"/>
      <c r="J1" s="82"/>
      <c r="K1" s="80" t="s">
        <v>2</v>
      </c>
      <c r="L1" s="81"/>
      <c r="M1" s="81"/>
      <c r="N1" s="81"/>
      <c r="O1" s="81"/>
      <c r="P1" s="81"/>
      <c r="Q1" s="81"/>
      <c r="R1" s="81"/>
      <c r="S1" s="81"/>
      <c r="T1" s="81"/>
      <c r="U1" s="81"/>
      <c r="V1" s="82"/>
      <c r="W1" s="149" t="str">
        <f>IF(表紙!W1="","",表紙!W1)</f>
        <v>詳細設計書</v>
      </c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4"/>
      <c r="AP1" s="80" t="s">
        <v>3</v>
      </c>
      <c r="AQ1" s="81"/>
      <c r="AR1" s="81"/>
      <c r="AS1" s="82"/>
      <c r="AT1" s="80" t="s">
        <v>4</v>
      </c>
      <c r="AU1" s="81"/>
      <c r="AV1" s="81"/>
      <c r="AW1" s="81"/>
      <c r="AX1" s="82"/>
      <c r="AY1" s="80" t="s">
        <v>5</v>
      </c>
      <c r="AZ1" s="81"/>
      <c r="BA1" s="81"/>
      <c r="BB1" s="82"/>
      <c r="BC1" s="80" t="s">
        <v>6</v>
      </c>
      <c r="BD1" s="81"/>
      <c r="BE1" s="81"/>
      <c r="BF1" s="81"/>
      <c r="BG1" s="82"/>
      <c r="BH1" s="80" t="s">
        <v>7</v>
      </c>
      <c r="BI1" s="81"/>
      <c r="BJ1" s="81"/>
      <c r="BK1" s="82"/>
    </row>
    <row r="2" spans="1:63" ht="15" customHeight="1" x14ac:dyDescent="0.25">
      <c r="A2" s="14" t="str">
        <f>IF(表紙!A2="","",表紙!A2)</f>
        <v>POSサーバー</v>
      </c>
      <c r="B2" s="13"/>
      <c r="C2" s="13"/>
      <c r="D2" s="13"/>
      <c r="E2" s="13"/>
      <c r="F2" s="13"/>
      <c r="G2" s="13"/>
      <c r="H2" s="13"/>
      <c r="I2" s="13"/>
      <c r="J2" s="12"/>
      <c r="K2" s="14" t="str">
        <f>IF(表紙!K2="","",表紙!K2)</f>
        <v>POSサーバ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105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7"/>
      <c r="AP2" s="14" t="str">
        <f>IF(表紙!AP2="","",表紙!AP2)</f>
        <v>SonMNT</v>
      </c>
      <c r="AQ2" s="13"/>
      <c r="AR2" s="13"/>
      <c r="AS2" s="12"/>
      <c r="AT2" s="95">
        <f>IF(表紙!AT2="","",表紙!AT2)</f>
        <v>45468</v>
      </c>
      <c r="AU2" s="96"/>
      <c r="AV2" s="96"/>
      <c r="AW2" s="96"/>
      <c r="AX2" s="97"/>
      <c r="AY2" s="14" t="str">
        <f>IF(表紙!AY2="","",表紙!AY2)</f>
        <v>AnhTTP</v>
      </c>
      <c r="AZ2" s="13"/>
      <c r="BA2" s="13"/>
      <c r="BB2" s="12"/>
      <c r="BC2" s="95">
        <f>IF(表紙!BC2="","",表紙!BC2)</f>
        <v>45643</v>
      </c>
      <c r="BD2" s="96"/>
      <c r="BE2" s="96"/>
      <c r="BF2" s="96"/>
      <c r="BG2" s="97"/>
      <c r="BH2" s="14">
        <f>IF(表紙!BH2="","",表紙!BH2)</f>
        <v>0.4</v>
      </c>
      <c r="BI2" s="13"/>
      <c r="BJ2" s="13"/>
      <c r="BK2" s="12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108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10"/>
      <c r="AP3" s="8"/>
      <c r="AQ3" s="7"/>
      <c r="AR3" s="7"/>
      <c r="AS3" s="6"/>
      <c r="AT3" s="98"/>
      <c r="AU3" s="99"/>
      <c r="AV3" s="99"/>
      <c r="AW3" s="99"/>
      <c r="AX3" s="100"/>
      <c r="AY3" s="8"/>
      <c r="AZ3" s="7"/>
      <c r="BA3" s="7"/>
      <c r="BB3" s="6"/>
      <c r="BC3" s="98"/>
      <c r="BD3" s="99"/>
      <c r="BE3" s="99"/>
      <c r="BF3" s="99"/>
      <c r="BG3" s="100"/>
      <c r="BH3" s="8"/>
      <c r="BI3" s="7"/>
      <c r="BJ3" s="7"/>
      <c r="BK3" s="6"/>
    </row>
    <row r="4" spans="1:63" ht="24.95" customHeight="1" x14ac:dyDescent="0.25">
      <c r="A4" s="80" t="s">
        <v>1</v>
      </c>
      <c r="B4" s="81"/>
      <c r="C4" s="81"/>
      <c r="D4" s="81"/>
      <c r="E4" s="81"/>
      <c r="F4" s="81"/>
      <c r="G4" s="82"/>
      <c r="H4" s="85" t="str">
        <f>IF(表紙!H4="","",表紙!H4)</f>
        <v>10_プロモーションメンテ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  <c r="U4" s="80" t="s">
        <v>8</v>
      </c>
      <c r="V4" s="81"/>
      <c r="W4" s="81"/>
      <c r="X4" s="81"/>
      <c r="Y4" s="82"/>
      <c r="Z4" s="85" t="str">
        <f>IF(表紙!Z4="","",表紙!Z4)</f>
        <v>機能設計書</v>
      </c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7"/>
      <c r="AP4" s="85" t="str">
        <f t="array" aca="1" ref="AP4" ca="1">RIGHT(CELL("filename",$A$1),LEN(CELL("filename",$A$1))-FIND("]",CELL("filename",$A$1)))</f>
        <v>改訂履歴</v>
      </c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7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9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123" t="s">
        <v>6</v>
      </c>
      <c r="C10" s="123"/>
      <c r="D10" s="123"/>
      <c r="E10" s="123"/>
      <c r="F10" s="123"/>
      <c r="G10" s="123"/>
      <c r="H10" s="123" t="s">
        <v>5</v>
      </c>
      <c r="I10" s="123"/>
      <c r="J10" s="123"/>
      <c r="K10" s="123"/>
      <c r="L10" s="123"/>
      <c r="M10" s="123"/>
      <c r="N10" s="123"/>
      <c r="O10" s="123" t="s">
        <v>7</v>
      </c>
      <c r="P10" s="123"/>
      <c r="Q10" s="123"/>
      <c r="R10" s="123"/>
      <c r="S10" s="123" t="s">
        <v>10</v>
      </c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 t="s">
        <v>11</v>
      </c>
      <c r="AY10" s="123"/>
      <c r="AZ10" s="123"/>
      <c r="BA10" s="123"/>
      <c r="BB10" s="123"/>
      <c r="BC10" s="123"/>
      <c r="BD10" s="123" t="s">
        <v>12</v>
      </c>
      <c r="BE10" s="123"/>
      <c r="BF10" s="123"/>
      <c r="BG10" s="123"/>
      <c r="BH10" s="123"/>
      <c r="BI10" s="123"/>
      <c r="BJ10" s="123"/>
      <c r="BK10" s="18"/>
    </row>
    <row r="11" spans="1:63" ht="15" customHeight="1" x14ac:dyDescent="0.25">
      <c r="A11" s="15"/>
      <c r="B11" s="95">
        <v>45468</v>
      </c>
      <c r="C11" s="13"/>
      <c r="D11" s="13"/>
      <c r="E11" s="13"/>
      <c r="F11" s="13"/>
      <c r="G11" s="12"/>
      <c r="H11" s="101" t="s">
        <v>28</v>
      </c>
      <c r="I11" s="13"/>
      <c r="J11" s="13"/>
      <c r="K11" s="13"/>
      <c r="L11" s="13"/>
      <c r="M11" s="13"/>
      <c r="N11" s="12"/>
      <c r="O11" s="14">
        <v>0.1</v>
      </c>
      <c r="P11" s="13"/>
      <c r="Q11" s="13"/>
      <c r="R11" s="13"/>
      <c r="S11" s="111" t="s">
        <v>14</v>
      </c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3"/>
      <c r="AX11" s="114"/>
      <c r="AY11" s="114"/>
      <c r="AZ11" s="114"/>
      <c r="BA11" s="114"/>
      <c r="BB11" s="114"/>
      <c r="BC11" s="115"/>
      <c r="BD11" s="118"/>
      <c r="BE11" s="114"/>
      <c r="BF11" s="114"/>
      <c r="BG11" s="114"/>
      <c r="BH11" s="114"/>
      <c r="BI11" s="114"/>
      <c r="BJ11" s="115"/>
      <c r="BK11" s="18"/>
    </row>
    <row r="12" spans="1:63" ht="15" customHeight="1" x14ac:dyDescent="0.25">
      <c r="A12" s="15"/>
      <c r="B12" s="8"/>
      <c r="C12" s="7"/>
      <c r="D12" s="7"/>
      <c r="E12" s="7"/>
      <c r="F12" s="7"/>
      <c r="G12" s="6"/>
      <c r="H12" s="8"/>
      <c r="I12" s="7"/>
      <c r="J12" s="7"/>
      <c r="K12" s="7"/>
      <c r="L12" s="7"/>
      <c r="M12" s="7"/>
      <c r="N12" s="6"/>
      <c r="O12" s="8"/>
      <c r="P12" s="7"/>
      <c r="Q12" s="7"/>
      <c r="R12" s="7"/>
      <c r="S12" s="120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2"/>
      <c r="AX12" s="116"/>
      <c r="AY12" s="116"/>
      <c r="AZ12" s="116"/>
      <c r="BA12" s="116"/>
      <c r="BB12" s="116"/>
      <c r="BC12" s="117"/>
      <c r="BD12" s="119"/>
      <c r="BE12" s="116"/>
      <c r="BF12" s="116"/>
      <c r="BG12" s="116"/>
      <c r="BH12" s="116"/>
      <c r="BI12" s="116"/>
      <c r="BJ12" s="117"/>
      <c r="BK12" s="18"/>
    </row>
    <row r="13" spans="1:63" ht="91.5" customHeight="1" x14ac:dyDescent="0.25">
      <c r="A13" s="15"/>
      <c r="B13" s="95">
        <v>45489</v>
      </c>
      <c r="C13" s="13"/>
      <c r="D13" s="13"/>
      <c r="E13" s="13"/>
      <c r="F13" s="13"/>
      <c r="G13" s="12"/>
      <c r="H13" s="14" t="s">
        <v>74</v>
      </c>
      <c r="I13" s="13"/>
      <c r="J13" s="13"/>
      <c r="K13" s="13"/>
      <c r="L13" s="13"/>
      <c r="M13" s="13"/>
      <c r="N13" s="12"/>
      <c r="O13" s="14">
        <v>0.2</v>
      </c>
      <c r="P13" s="13"/>
      <c r="Q13" s="13"/>
      <c r="R13" s="13"/>
      <c r="S13" s="200" t="s">
        <v>99</v>
      </c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7"/>
      <c r="AT13" s="147"/>
      <c r="AU13" s="147"/>
      <c r="AV13" s="147"/>
      <c r="AW13" s="148"/>
      <c r="AX13" s="114"/>
      <c r="AY13" s="114"/>
      <c r="AZ13" s="114"/>
      <c r="BA13" s="114"/>
      <c r="BB13" s="114"/>
      <c r="BC13" s="115"/>
      <c r="BD13" s="118"/>
      <c r="BE13" s="114"/>
      <c r="BF13" s="114"/>
      <c r="BG13" s="114"/>
      <c r="BH13" s="114"/>
      <c r="BI13" s="114"/>
      <c r="BJ13" s="115"/>
      <c r="BK13" s="18"/>
    </row>
    <row r="14" spans="1:63" ht="15" customHeight="1" x14ac:dyDescent="0.25">
      <c r="A14" s="15"/>
      <c r="B14" s="8"/>
      <c r="C14" s="7"/>
      <c r="D14" s="7"/>
      <c r="E14" s="7"/>
      <c r="F14" s="7"/>
      <c r="G14" s="6"/>
      <c r="H14" s="8"/>
      <c r="I14" s="7"/>
      <c r="J14" s="7"/>
      <c r="K14" s="7"/>
      <c r="L14" s="7"/>
      <c r="M14" s="7"/>
      <c r="N14" s="6"/>
      <c r="O14" s="8"/>
      <c r="P14" s="7"/>
      <c r="Q14" s="7"/>
      <c r="R14" s="7"/>
      <c r="S14" s="201" t="s">
        <v>101</v>
      </c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2"/>
      <c r="AX14" s="116"/>
      <c r="AY14" s="116"/>
      <c r="AZ14" s="116"/>
      <c r="BA14" s="116"/>
      <c r="BB14" s="116"/>
      <c r="BC14" s="117"/>
      <c r="BD14" s="119"/>
      <c r="BE14" s="116"/>
      <c r="BF14" s="116"/>
      <c r="BG14" s="116"/>
      <c r="BH14" s="116"/>
      <c r="BI14" s="116"/>
      <c r="BJ14" s="117"/>
      <c r="BK14" s="18"/>
    </row>
    <row r="15" spans="1:63" ht="15" customHeight="1" x14ac:dyDescent="0.25">
      <c r="A15" s="15"/>
      <c r="B15" s="137">
        <v>45506</v>
      </c>
      <c r="C15" s="138"/>
      <c r="D15" s="138"/>
      <c r="E15" s="138"/>
      <c r="F15" s="138"/>
      <c r="G15" s="139"/>
      <c r="H15" s="143" t="s">
        <v>84</v>
      </c>
      <c r="I15" s="138"/>
      <c r="J15" s="138"/>
      <c r="K15" s="138"/>
      <c r="L15" s="138"/>
      <c r="M15" s="138"/>
      <c r="N15" s="139"/>
      <c r="O15" s="143">
        <v>0.3</v>
      </c>
      <c r="P15" s="138"/>
      <c r="Q15" s="138"/>
      <c r="R15" s="138"/>
      <c r="S15" s="144" t="s">
        <v>100</v>
      </c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F15" s="145"/>
      <c r="AG15" s="145"/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  <c r="AV15" s="145"/>
      <c r="AW15" s="146"/>
      <c r="AX15" s="114"/>
      <c r="AY15" s="114"/>
      <c r="AZ15" s="114"/>
      <c r="BA15" s="114"/>
      <c r="BB15" s="114"/>
      <c r="BC15" s="115"/>
      <c r="BD15" s="118"/>
      <c r="BE15" s="114"/>
      <c r="BF15" s="114"/>
      <c r="BG15" s="114"/>
      <c r="BH15" s="114"/>
      <c r="BI15" s="114"/>
      <c r="BJ15" s="115"/>
      <c r="BK15" s="18"/>
    </row>
    <row r="16" spans="1:63" ht="15" customHeight="1" x14ac:dyDescent="0.25">
      <c r="A16" s="15"/>
      <c r="B16" s="140"/>
      <c r="C16" s="141"/>
      <c r="D16" s="141"/>
      <c r="E16" s="141"/>
      <c r="F16" s="141"/>
      <c r="G16" s="142"/>
      <c r="H16" s="140"/>
      <c r="I16" s="141"/>
      <c r="J16" s="141"/>
      <c r="K16" s="141"/>
      <c r="L16" s="141"/>
      <c r="M16" s="141"/>
      <c r="N16" s="142"/>
      <c r="O16" s="140"/>
      <c r="P16" s="141"/>
      <c r="Q16" s="141"/>
      <c r="R16" s="141"/>
      <c r="S16" s="120" t="s">
        <v>101</v>
      </c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2"/>
      <c r="AX16" s="116"/>
      <c r="AY16" s="116"/>
      <c r="AZ16" s="116"/>
      <c r="BA16" s="116"/>
      <c r="BB16" s="116"/>
      <c r="BC16" s="117"/>
      <c r="BD16" s="119"/>
      <c r="BE16" s="116"/>
      <c r="BF16" s="116"/>
      <c r="BG16" s="116"/>
      <c r="BH16" s="116"/>
      <c r="BI16" s="116"/>
      <c r="BJ16" s="117"/>
      <c r="BK16" s="18"/>
    </row>
    <row r="17" spans="1:63" ht="15" customHeight="1" x14ac:dyDescent="0.25">
      <c r="A17" s="15"/>
      <c r="B17" s="124">
        <v>45643</v>
      </c>
      <c r="C17" s="125"/>
      <c r="D17" s="125"/>
      <c r="E17" s="125"/>
      <c r="F17" s="125"/>
      <c r="G17" s="126"/>
      <c r="H17" s="130" t="s">
        <v>96</v>
      </c>
      <c r="I17" s="125"/>
      <c r="J17" s="125"/>
      <c r="K17" s="125"/>
      <c r="L17" s="125"/>
      <c r="M17" s="125"/>
      <c r="N17" s="126"/>
      <c r="O17" s="130">
        <v>0.4</v>
      </c>
      <c r="P17" s="125"/>
      <c r="Q17" s="125"/>
      <c r="R17" s="125"/>
      <c r="S17" s="131" t="s">
        <v>97</v>
      </c>
      <c r="T17" s="132"/>
      <c r="U17" s="132"/>
      <c r="V17" s="132"/>
      <c r="W17" s="132"/>
      <c r="X17" s="132"/>
      <c r="Y17" s="132"/>
      <c r="Z17" s="132"/>
      <c r="AA17" s="132"/>
      <c r="AB17" s="132"/>
      <c r="AC17" s="132"/>
      <c r="AD17" s="132"/>
      <c r="AE17" s="132"/>
      <c r="AF17" s="132"/>
      <c r="AG17" s="132"/>
      <c r="AH17" s="132"/>
      <c r="AI17" s="132"/>
      <c r="AJ17" s="132"/>
      <c r="AK17" s="132"/>
      <c r="AL17" s="132"/>
      <c r="AM17" s="132"/>
      <c r="AN17" s="132"/>
      <c r="AO17" s="132"/>
      <c r="AP17" s="132"/>
      <c r="AQ17" s="132"/>
      <c r="AR17" s="132"/>
      <c r="AS17" s="132"/>
      <c r="AT17" s="132"/>
      <c r="AU17" s="132"/>
      <c r="AV17" s="132"/>
      <c r="AW17" s="133"/>
      <c r="AX17" s="114"/>
      <c r="AY17" s="114"/>
      <c r="AZ17" s="114"/>
      <c r="BA17" s="114"/>
      <c r="BB17" s="114"/>
      <c r="BC17" s="115"/>
      <c r="BD17" s="118"/>
      <c r="BE17" s="114"/>
      <c r="BF17" s="114"/>
      <c r="BG17" s="114"/>
      <c r="BH17" s="114"/>
      <c r="BI17" s="114"/>
      <c r="BJ17" s="115"/>
      <c r="BK17" s="18"/>
    </row>
    <row r="18" spans="1:63" ht="15" customHeight="1" x14ac:dyDescent="0.25">
      <c r="A18" s="15"/>
      <c r="B18" s="127"/>
      <c r="C18" s="128"/>
      <c r="D18" s="128"/>
      <c r="E18" s="128"/>
      <c r="F18" s="128"/>
      <c r="G18" s="129"/>
      <c r="H18" s="127"/>
      <c r="I18" s="128"/>
      <c r="J18" s="128"/>
      <c r="K18" s="128"/>
      <c r="L18" s="128"/>
      <c r="M18" s="128"/>
      <c r="N18" s="129"/>
      <c r="O18" s="127"/>
      <c r="P18" s="128"/>
      <c r="Q18" s="128"/>
      <c r="R18" s="128"/>
      <c r="S18" s="134" t="s">
        <v>101</v>
      </c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6"/>
      <c r="AX18" s="116"/>
      <c r="AY18" s="116"/>
      <c r="AZ18" s="116"/>
      <c r="BA18" s="116"/>
      <c r="BB18" s="116"/>
      <c r="BC18" s="117"/>
      <c r="BD18" s="119"/>
      <c r="BE18" s="116"/>
      <c r="BF18" s="116"/>
      <c r="BG18" s="116"/>
      <c r="BH18" s="116"/>
      <c r="BI18" s="116"/>
      <c r="BJ18" s="117"/>
      <c r="BK18" s="18"/>
    </row>
    <row r="19" spans="1:63" ht="15" customHeight="1" x14ac:dyDescent="0.25">
      <c r="A19" s="15"/>
      <c r="B19" s="14"/>
      <c r="C19" s="13"/>
      <c r="D19" s="13"/>
      <c r="E19" s="13"/>
      <c r="F19" s="13"/>
      <c r="G19" s="12"/>
      <c r="H19" s="14"/>
      <c r="I19" s="13"/>
      <c r="J19" s="13"/>
      <c r="K19" s="13"/>
      <c r="L19" s="13"/>
      <c r="M19" s="13"/>
      <c r="N19" s="12"/>
      <c r="O19" s="14"/>
      <c r="P19" s="13"/>
      <c r="Q19" s="13"/>
      <c r="R19" s="13"/>
      <c r="S19" s="111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3"/>
      <c r="AX19" s="114"/>
      <c r="AY19" s="114"/>
      <c r="AZ19" s="114"/>
      <c r="BA19" s="114"/>
      <c r="BB19" s="114"/>
      <c r="BC19" s="115"/>
      <c r="BD19" s="118"/>
      <c r="BE19" s="114"/>
      <c r="BF19" s="114"/>
      <c r="BG19" s="114"/>
      <c r="BH19" s="114"/>
      <c r="BI19" s="114"/>
      <c r="BJ19" s="115"/>
      <c r="BK19" s="18"/>
    </row>
    <row r="20" spans="1:63" ht="15" customHeight="1" x14ac:dyDescent="0.25">
      <c r="A20" s="15"/>
      <c r="B20" s="8"/>
      <c r="C20" s="7"/>
      <c r="D20" s="7"/>
      <c r="E20" s="7"/>
      <c r="F20" s="7"/>
      <c r="G20" s="6"/>
      <c r="H20" s="8"/>
      <c r="I20" s="7"/>
      <c r="J20" s="7"/>
      <c r="K20" s="7"/>
      <c r="L20" s="7"/>
      <c r="M20" s="7"/>
      <c r="N20" s="6"/>
      <c r="O20" s="8"/>
      <c r="P20" s="7"/>
      <c r="Q20" s="7"/>
      <c r="R20" s="7"/>
      <c r="S20" s="120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2"/>
      <c r="AX20" s="116"/>
      <c r="AY20" s="116"/>
      <c r="AZ20" s="116"/>
      <c r="BA20" s="116"/>
      <c r="BB20" s="116"/>
      <c r="BC20" s="117"/>
      <c r="BD20" s="119"/>
      <c r="BE20" s="116"/>
      <c r="BF20" s="116"/>
      <c r="BG20" s="116"/>
      <c r="BH20" s="116"/>
      <c r="BI20" s="116"/>
      <c r="BJ20" s="117"/>
      <c r="BK20" s="18"/>
    </row>
    <row r="21" spans="1:63" ht="15" customHeight="1" x14ac:dyDescent="0.25">
      <c r="A21" s="15"/>
      <c r="B21" s="14"/>
      <c r="C21" s="13"/>
      <c r="D21" s="13"/>
      <c r="E21" s="13"/>
      <c r="F21" s="13"/>
      <c r="G21" s="12"/>
      <c r="H21" s="14"/>
      <c r="I21" s="13"/>
      <c r="J21" s="13"/>
      <c r="K21" s="13"/>
      <c r="L21" s="13"/>
      <c r="M21" s="13"/>
      <c r="N21" s="12"/>
      <c r="O21" s="14"/>
      <c r="P21" s="13"/>
      <c r="Q21" s="13"/>
      <c r="R21" s="13"/>
      <c r="S21" s="111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3"/>
      <c r="AX21" s="114"/>
      <c r="AY21" s="114"/>
      <c r="AZ21" s="114"/>
      <c r="BA21" s="114"/>
      <c r="BB21" s="114"/>
      <c r="BC21" s="115"/>
      <c r="BD21" s="118"/>
      <c r="BE21" s="114"/>
      <c r="BF21" s="114"/>
      <c r="BG21" s="114"/>
      <c r="BH21" s="114"/>
      <c r="BI21" s="114"/>
      <c r="BJ21" s="115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120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2"/>
      <c r="AX22" s="116"/>
      <c r="AY22" s="116"/>
      <c r="AZ22" s="116"/>
      <c r="BA22" s="116"/>
      <c r="BB22" s="116"/>
      <c r="BC22" s="117"/>
      <c r="BD22" s="119"/>
      <c r="BE22" s="116"/>
      <c r="BF22" s="116"/>
      <c r="BG22" s="116"/>
      <c r="BH22" s="116"/>
      <c r="BI22" s="116"/>
      <c r="BJ22" s="117"/>
      <c r="BK22" s="18"/>
    </row>
    <row r="23" spans="1:63" ht="15" customHeight="1" x14ac:dyDescent="0.25">
      <c r="A23" s="15"/>
      <c r="B23" s="14"/>
      <c r="C23" s="13"/>
      <c r="D23" s="13"/>
      <c r="E23" s="13"/>
      <c r="F23" s="13"/>
      <c r="G23" s="12"/>
      <c r="H23" s="14"/>
      <c r="I23" s="13"/>
      <c r="J23" s="13"/>
      <c r="K23" s="13"/>
      <c r="L23" s="13"/>
      <c r="M23" s="13"/>
      <c r="N23" s="12"/>
      <c r="O23" s="14"/>
      <c r="P23" s="13"/>
      <c r="Q23" s="13"/>
      <c r="R23" s="13"/>
      <c r="S23" s="111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3"/>
      <c r="AX23" s="114"/>
      <c r="AY23" s="114"/>
      <c r="AZ23" s="114"/>
      <c r="BA23" s="114"/>
      <c r="BB23" s="114"/>
      <c r="BC23" s="115"/>
      <c r="BD23" s="118"/>
      <c r="BE23" s="114"/>
      <c r="BF23" s="114"/>
      <c r="BG23" s="114"/>
      <c r="BH23" s="114"/>
      <c r="BI23" s="114"/>
      <c r="BJ23" s="115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120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2"/>
      <c r="AX24" s="116"/>
      <c r="AY24" s="116"/>
      <c r="AZ24" s="116"/>
      <c r="BA24" s="116"/>
      <c r="BB24" s="116"/>
      <c r="BC24" s="117"/>
      <c r="BD24" s="119"/>
      <c r="BE24" s="116"/>
      <c r="BF24" s="116"/>
      <c r="BG24" s="116"/>
      <c r="BH24" s="116"/>
      <c r="BI24" s="116"/>
      <c r="BJ24" s="117"/>
      <c r="BK24" s="18"/>
    </row>
    <row r="25" spans="1:63" ht="15" customHeight="1" x14ac:dyDescent="0.25">
      <c r="A25" s="15"/>
      <c r="B25" s="14"/>
      <c r="C25" s="13"/>
      <c r="D25" s="13"/>
      <c r="E25" s="13"/>
      <c r="F25" s="13"/>
      <c r="G25" s="12"/>
      <c r="H25" s="14"/>
      <c r="I25" s="13"/>
      <c r="J25" s="13"/>
      <c r="K25" s="13"/>
      <c r="L25" s="13"/>
      <c r="M25" s="13"/>
      <c r="N25" s="12"/>
      <c r="O25" s="14"/>
      <c r="P25" s="13"/>
      <c r="Q25" s="13"/>
      <c r="R25" s="13"/>
      <c r="S25" s="111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3"/>
      <c r="AX25" s="114"/>
      <c r="AY25" s="114"/>
      <c r="AZ25" s="114"/>
      <c r="BA25" s="114"/>
      <c r="BB25" s="114"/>
      <c r="BC25" s="115"/>
      <c r="BD25" s="118"/>
      <c r="BE25" s="114"/>
      <c r="BF25" s="114"/>
      <c r="BG25" s="114"/>
      <c r="BH25" s="114"/>
      <c r="BI25" s="114"/>
      <c r="BJ25" s="115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120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2"/>
      <c r="AX26" s="116"/>
      <c r="AY26" s="116"/>
      <c r="AZ26" s="116"/>
      <c r="BA26" s="116"/>
      <c r="BB26" s="116"/>
      <c r="BC26" s="117"/>
      <c r="BD26" s="119"/>
      <c r="BE26" s="116"/>
      <c r="BF26" s="116"/>
      <c r="BG26" s="116"/>
      <c r="BH26" s="116"/>
      <c r="BI26" s="116"/>
      <c r="BJ26" s="117"/>
      <c r="BK26" s="18"/>
    </row>
    <row r="27" spans="1:63" ht="15" customHeight="1" x14ac:dyDescent="0.25">
      <c r="A27" s="15"/>
      <c r="B27" s="14"/>
      <c r="C27" s="13"/>
      <c r="D27" s="13"/>
      <c r="E27" s="13"/>
      <c r="F27" s="13"/>
      <c r="G27" s="12"/>
      <c r="H27" s="14"/>
      <c r="I27" s="13"/>
      <c r="J27" s="13"/>
      <c r="K27" s="13"/>
      <c r="L27" s="13"/>
      <c r="M27" s="13"/>
      <c r="N27" s="12"/>
      <c r="O27" s="14"/>
      <c r="P27" s="13"/>
      <c r="Q27" s="13"/>
      <c r="R27" s="13"/>
      <c r="S27" s="111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3"/>
      <c r="AX27" s="114"/>
      <c r="AY27" s="114"/>
      <c r="AZ27" s="114"/>
      <c r="BA27" s="114"/>
      <c r="BB27" s="114"/>
      <c r="BC27" s="115"/>
      <c r="BD27" s="118"/>
      <c r="BE27" s="114"/>
      <c r="BF27" s="114"/>
      <c r="BG27" s="114"/>
      <c r="BH27" s="114"/>
      <c r="BI27" s="114"/>
      <c r="BJ27" s="115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120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2"/>
      <c r="AX28" s="116"/>
      <c r="AY28" s="116"/>
      <c r="AZ28" s="116"/>
      <c r="BA28" s="116"/>
      <c r="BB28" s="116"/>
      <c r="BC28" s="117"/>
      <c r="BD28" s="119"/>
      <c r="BE28" s="116"/>
      <c r="BF28" s="116"/>
      <c r="BG28" s="116"/>
      <c r="BH28" s="116"/>
      <c r="BI28" s="116"/>
      <c r="BJ28" s="117"/>
      <c r="BK28" s="18"/>
    </row>
    <row r="29" spans="1:63" ht="15" customHeight="1" x14ac:dyDescent="0.25">
      <c r="A29" s="15"/>
      <c r="B29" s="14"/>
      <c r="C29" s="13"/>
      <c r="D29" s="13"/>
      <c r="E29" s="13"/>
      <c r="F29" s="13"/>
      <c r="G29" s="12"/>
      <c r="H29" s="14"/>
      <c r="I29" s="13"/>
      <c r="J29" s="13"/>
      <c r="K29" s="13"/>
      <c r="L29" s="13"/>
      <c r="M29" s="13"/>
      <c r="N29" s="12"/>
      <c r="O29" s="14"/>
      <c r="P29" s="13"/>
      <c r="Q29" s="13"/>
      <c r="R29" s="13"/>
      <c r="S29" s="111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3"/>
      <c r="AX29" s="114"/>
      <c r="AY29" s="114"/>
      <c r="AZ29" s="114"/>
      <c r="BA29" s="114"/>
      <c r="BB29" s="114"/>
      <c r="BC29" s="115"/>
      <c r="BD29" s="118"/>
      <c r="BE29" s="114"/>
      <c r="BF29" s="114"/>
      <c r="BG29" s="114"/>
      <c r="BH29" s="114"/>
      <c r="BI29" s="114"/>
      <c r="BJ29" s="115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120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2"/>
      <c r="AX30" s="116"/>
      <c r="AY30" s="116"/>
      <c r="AZ30" s="116"/>
      <c r="BA30" s="116"/>
      <c r="BB30" s="116"/>
      <c r="BC30" s="117"/>
      <c r="BD30" s="119"/>
      <c r="BE30" s="116"/>
      <c r="BF30" s="116"/>
      <c r="BG30" s="116"/>
      <c r="BH30" s="116"/>
      <c r="BI30" s="116"/>
      <c r="BJ30" s="117"/>
      <c r="BK30" s="18"/>
    </row>
    <row r="31" spans="1:63" ht="15" customHeight="1" x14ac:dyDescent="0.25">
      <c r="A31" s="15"/>
      <c r="B31" s="14"/>
      <c r="C31" s="13"/>
      <c r="D31" s="13"/>
      <c r="E31" s="13"/>
      <c r="F31" s="13"/>
      <c r="G31" s="12"/>
      <c r="H31" s="14"/>
      <c r="I31" s="13"/>
      <c r="J31" s="13"/>
      <c r="K31" s="13"/>
      <c r="L31" s="13"/>
      <c r="M31" s="13"/>
      <c r="N31" s="12"/>
      <c r="O31" s="14"/>
      <c r="P31" s="13"/>
      <c r="Q31" s="13"/>
      <c r="R31" s="13"/>
      <c r="S31" s="111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3"/>
      <c r="AX31" s="114"/>
      <c r="AY31" s="114"/>
      <c r="AZ31" s="114"/>
      <c r="BA31" s="114"/>
      <c r="BB31" s="114"/>
      <c r="BC31" s="115"/>
      <c r="BD31" s="118"/>
      <c r="BE31" s="114"/>
      <c r="BF31" s="114"/>
      <c r="BG31" s="114"/>
      <c r="BH31" s="114"/>
      <c r="BI31" s="114"/>
      <c r="BJ31" s="115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120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2"/>
      <c r="AX32" s="116"/>
      <c r="AY32" s="116"/>
      <c r="AZ32" s="116"/>
      <c r="BA32" s="116"/>
      <c r="BB32" s="116"/>
      <c r="BC32" s="117"/>
      <c r="BD32" s="119"/>
      <c r="BE32" s="116"/>
      <c r="BF32" s="116"/>
      <c r="BG32" s="116"/>
      <c r="BH32" s="116"/>
      <c r="BI32" s="116"/>
      <c r="BJ32" s="117"/>
      <c r="BK32" s="18"/>
    </row>
    <row r="33" spans="1:63" ht="15" customHeight="1" x14ac:dyDescent="0.25">
      <c r="A33" s="15"/>
      <c r="B33" s="14"/>
      <c r="C33" s="13"/>
      <c r="D33" s="13"/>
      <c r="E33" s="13"/>
      <c r="F33" s="13"/>
      <c r="G33" s="12"/>
      <c r="H33" s="14"/>
      <c r="I33" s="13"/>
      <c r="J33" s="13"/>
      <c r="K33" s="13"/>
      <c r="L33" s="13"/>
      <c r="M33" s="13"/>
      <c r="N33" s="12"/>
      <c r="O33" s="14"/>
      <c r="P33" s="13"/>
      <c r="Q33" s="13"/>
      <c r="R33" s="13"/>
      <c r="S33" s="111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3"/>
      <c r="AX33" s="114"/>
      <c r="AY33" s="114"/>
      <c r="AZ33" s="114"/>
      <c r="BA33" s="114"/>
      <c r="BB33" s="114"/>
      <c r="BC33" s="115"/>
      <c r="BD33" s="118"/>
      <c r="BE33" s="114"/>
      <c r="BF33" s="114"/>
      <c r="BG33" s="114"/>
      <c r="BH33" s="114"/>
      <c r="BI33" s="114"/>
      <c r="BJ33" s="115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120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2"/>
      <c r="AX34" s="116"/>
      <c r="AY34" s="116"/>
      <c r="AZ34" s="116"/>
      <c r="BA34" s="116"/>
      <c r="BB34" s="116"/>
      <c r="BC34" s="117"/>
      <c r="BD34" s="119"/>
      <c r="BE34" s="116"/>
      <c r="BF34" s="116"/>
      <c r="BG34" s="116"/>
      <c r="BH34" s="116"/>
      <c r="BI34" s="116"/>
      <c r="BJ34" s="117"/>
      <c r="BK34" s="18"/>
    </row>
    <row r="35" spans="1:63" ht="15" customHeight="1" x14ac:dyDescent="0.25">
      <c r="A35" s="15"/>
      <c r="B35" s="14"/>
      <c r="C35" s="13"/>
      <c r="D35" s="13"/>
      <c r="E35" s="13"/>
      <c r="F35" s="13"/>
      <c r="G35" s="12"/>
      <c r="H35" s="14"/>
      <c r="I35" s="13"/>
      <c r="J35" s="13"/>
      <c r="K35" s="13"/>
      <c r="L35" s="13"/>
      <c r="M35" s="13"/>
      <c r="N35" s="12"/>
      <c r="O35" s="14"/>
      <c r="P35" s="13"/>
      <c r="Q35" s="13"/>
      <c r="R35" s="13"/>
      <c r="S35" s="111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3"/>
      <c r="AX35" s="114"/>
      <c r="AY35" s="114"/>
      <c r="AZ35" s="114"/>
      <c r="BA35" s="114"/>
      <c r="BB35" s="114"/>
      <c r="BC35" s="115"/>
      <c r="BD35" s="118"/>
      <c r="BE35" s="114"/>
      <c r="BF35" s="114"/>
      <c r="BG35" s="114"/>
      <c r="BH35" s="114"/>
      <c r="BI35" s="114"/>
      <c r="BJ35" s="115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120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2"/>
      <c r="AX36" s="116"/>
      <c r="AY36" s="116"/>
      <c r="AZ36" s="116"/>
      <c r="BA36" s="116"/>
      <c r="BB36" s="116"/>
      <c r="BC36" s="117"/>
      <c r="BD36" s="119"/>
      <c r="BE36" s="116"/>
      <c r="BF36" s="116"/>
      <c r="BG36" s="116"/>
      <c r="BH36" s="116"/>
      <c r="BI36" s="116"/>
      <c r="BJ36" s="117"/>
      <c r="BK36" s="18"/>
    </row>
    <row r="37" spans="1:63" ht="15" customHeight="1" x14ac:dyDescent="0.25">
      <c r="A37" s="15"/>
      <c r="B37" s="14"/>
      <c r="C37" s="13"/>
      <c r="D37" s="13"/>
      <c r="E37" s="13"/>
      <c r="F37" s="13"/>
      <c r="G37" s="12"/>
      <c r="H37" s="14"/>
      <c r="I37" s="13"/>
      <c r="J37" s="13"/>
      <c r="K37" s="13"/>
      <c r="L37" s="13"/>
      <c r="M37" s="13"/>
      <c r="N37" s="12"/>
      <c r="O37" s="14"/>
      <c r="P37" s="13"/>
      <c r="Q37" s="13"/>
      <c r="R37" s="13"/>
      <c r="S37" s="111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3"/>
      <c r="AX37" s="114"/>
      <c r="AY37" s="114"/>
      <c r="AZ37" s="114"/>
      <c r="BA37" s="114"/>
      <c r="BB37" s="114"/>
      <c r="BC37" s="115"/>
      <c r="BD37" s="118"/>
      <c r="BE37" s="114"/>
      <c r="BF37" s="114"/>
      <c r="BG37" s="114"/>
      <c r="BH37" s="114"/>
      <c r="BI37" s="114"/>
      <c r="BJ37" s="115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120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2"/>
      <c r="AX38" s="116"/>
      <c r="AY38" s="116"/>
      <c r="AZ38" s="116"/>
      <c r="BA38" s="116"/>
      <c r="BB38" s="116"/>
      <c r="BC38" s="117"/>
      <c r="BD38" s="119"/>
      <c r="BE38" s="116"/>
      <c r="BF38" s="116"/>
      <c r="BG38" s="116"/>
      <c r="BH38" s="116"/>
      <c r="BI38" s="116"/>
      <c r="BJ38" s="117"/>
      <c r="BK38" s="18"/>
    </row>
    <row r="39" spans="1:63" ht="15" customHeight="1" x14ac:dyDescent="0.25">
      <c r="A39" s="15"/>
      <c r="B39" s="14"/>
      <c r="C39" s="13"/>
      <c r="D39" s="13"/>
      <c r="E39" s="13"/>
      <c r="F39" s="13"/>
      <c r="G39" s="12"/>
      <c r="H39" s="14"/>
      <c r="I39" s="13"/>
      <c r="J39" s="13"/>
      <c r="K39" s="13"/>
      <c r="L39" s="13"/>
      <c r="M39" s="13"/>
      <c r="N39" s="12"/>
      <c r="O39" s="14"/>
      <c r="P39" s="13"/>
      <c r="Q39" s="13"/>
      <c r="R39" s="13"/>
      <c r="S39" s="111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3"/>
      <c r="AX39" s="114"/>
      <c r="AY39" s="114"/>
      <c r="AZ39" s="114"/>
      <c r="BA39" s="114"/>
      <c r="BB39" s="114"/>
      <c r="BC39" s="115"/>
      <c r="BD39" s="118"/>
      <c r="BE39" s="114"/>
      <c r="BF39" s="114"/>
      <c r="BG39" s="114"/>
      <c r="BH39" s="114"/>
      <c r="BI39" s="114"/>
      <c r="BJ39" s="115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120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2"/>
      <c r="AX40" s="116"/>
      <c r="AY40" s="116"/>
      <c r="AZ40" s="116"/>
      <c r="BA40" s="116"/>
      <c r="BB40" s="116"/>
      <c r="BC40" s="117"/>
      <c r="BD40" s="119"/>
      <c r="BE40" s="116"/>
      <c r="BF40" s="116"/>
      <c r="BG40" s="116"/>
      <c r="BH40" s="116"/>
      <c r="BI40" s="116"/>
      <c r="BJ40" s="117"/>
      <c r="BK40" s="18"/>
    </row>
    <row r="41" spans="1:63" ht="15" customHeight="1" x14ac:dyDescent="0.25">
      <c r="A41" s="15"/>
      <c r="B41" s="14"/>
      <c r="C41" s="13"/>
      <c r="D41" s="13"/>
      <c r="E41" s="13"/>
      <c r="F41" s="13"/>
      <c r="G41" s="12"/>
      <c r="H41" s="14"/>
      <c r="I41" s="13"/>
      <c r="J41" s="13"/>
      <c r="K41" s="13"/>
      <c r="L41" s="13"/>
      <c r="M41" s="13"/>
      <c r="N41" s="12"/>
      <c r="O41" s="14"/>
      <c r="P41" s="13"/>
      <c r="Q41" s="13"/>
      <c r="R41" s="13"/>
      <c r="S41" s="111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3"/>
      <c r="AX41" s="114"/>
      <c r="AY41" s="114"/>
      <c r="AZ41" s="114"/>
      <c r="BA41" s="114"/>
      <c r="BB41" s="114"/>
      <c r="BC41" s="115"/>
      <c r="BD41" s="118"/>
      <c r="BE41" s="114"/>
      <c r="BF41" s="114"/>
      <c r="BG41" s="114"/>
      <c r="BH41" s="114"/>
      <c r="BI41" s="114"/>
      <c r="BJ41" s="115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120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2"/>
      <c r="AX42" s="116"/>
      <c r="AY42" s="116"/>
      <c r="AZ42" s="116"/>
      <c r="BA42" s="116"/>
      <c r="BB42" s="116"/>
      <c r="BC42" s="117"/>
      <c r="BD42" s="119"/>
      <c r="BE42" s="116"/>
      <c r="BF42" s="116"/>
      <c r="BG42" s="116"/>
      <c r="BH42" s="116"/>
      <c r="BI42" s="116"/>
      <c r="BJ42" s="117"/>
      <c r="BK42" s="18"/>
    </row>
    <row r="43" spans="1:63" ht="15" customHeight="1" x14ac:dyDescent="0.25">
      <c r="A43" s="15"/>
      <c r="B43" s="14"/>
      <c r="C43" s="13"/>
      <c r="D43" s="13"/>
      <c r="E43" s="13"/>
      <c r="F43" s="13"/>
      <c r="G43" s="12"/>
      <c r="H43" s="14"/>
      <c r="I43" s="13"/>
      <c r="J43" s="13"/>
      <c r="K43" s="13"/>
      <c r="L43" s="13"/>
      <c r="M43" s="13"/>
      <c r="N43" s="12"/>
      <c r="O43" s="14"/>
      <c r="P43" s="13"/>
      <c r="Q43" s="13"/>
      <c r="R43" s="13"/>
      <c r="S43" s="111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3"/>
      <c r="AX43" s="114"/>
      <c r="AY43" s="114"/>
      <c r="AZ43" s="114"/>
      <c r="BA43" s="114"/>
      <c r="BB43" s="114"/>
      <c r="BC43" s="115"/>
      <c r="BD43" s="118"/>
      <c r="BE43" s="114"/>
      <c r="BF43" s="114"/>
      <c r="BG43" s="114"/>
      <c r="BH43" s="114"/>
      <c r="BI43" s="114"/>
      <c r="BJ43" s="115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120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2"/>
      <c r="AX44" s="116"/>
      <c r="AY44" s="116"/>
      <c r="AZ44" s="116"/>
      <c r="BA44" s="116"/>
      <c r="BB44" s="116"/>
      <c r="BC44" s="117"/>
      <c r="BD44" s="119"/>
      <c r="BE44" s="116"/>
      <c r="BF44" s="116"/>
      <c r="BG44" s="116"/>
      <c r="BH44" s="116"/>
      <c r="BI44" s="116"/>
      <c r="BJ44" s="117"/>
      <c r="BK44" s="18"/>
    </row>
    <row r="45" spans="1:63" ht="15" customHeight="1" x14ac:dyDescent="0.25">
      <c r="A45" s="15"/>
      <c r="B45" s="14"/>
      <c r="C45" s="13"/>
      <c r="D45" s="13"/>
      <c r="E45" s="13"/>
      <c r="F45" s="13"/>
      <c r="G45" s="12"/>
      <c r="H45" s="14"/>
      <c r="I45" s="13"/>
      <c r="J45" s="13"/>
      <c r="K45" s="13"/>
      <c r="L45" s="13"/>
      <c r="M45" s="13"/>
      <c r="N45" s="12"/>
      <c r="O45" s="14"/>
      <c r="P45" s="13"/>
      <c r="Q45" s="13"/>
      <c r="R45" s="13"/>
      <c r="S45" s="111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3"/>
      <c r="AX45" s="114"/>
      <c r="AY45" s="114"/>
      <c r="AZ45" s="114"/>
      <c r="BA45" s="114"/>
      <c r="BB45" s="114"/>
      <c r="BC45" s="115"/>
      <c r="BD45" s="118"/>
      <c r="BE45" s="114"/>
      <c r="BF45" s="114"/>
      <c r="BG45" s="114"/>
      <c r="BH45" s="114"/>
      <c r="BI45" s="114"/>
      <c r="BJ45" s="115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120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2"/>
      <c r="AX46" s="116"/>
      <c r="AY46" s="116"/>
      <c r="AZ46" s="116"/>
      <c r="BA46" s="116"/>
      <c r="BB46" s="116"/>
      <c r="BC46" s="117"/>
      <c r="BD46" s="119"/>
      <c r="BE46" s="116"/>
      <c r="BF46" s="116"/>
      <c r="BG46" s="116"/>
      <c r="BH46" s="116"/>
      <c r="BI46" s="116"/>
      <c r="BJ46" s="117"/>
      <c r="BK46" s="18"/>
    </row>
    <row r="47" spans="1:63" ht="15" customHeight="1" x14ac:dyDescent="0.25">
      <c r="A47" s="15"/>
      <c r="B47" s="14"/>
      <c r="C47" s="13"/>
      <c r="D47" s="13"/>
      <c r="E47" s="13"/>
      <c r="F47" s="13"/>
      <c r="G47" s="12"/>
      <c r="H47" s="14"/>
      <c r="I47" s="13"/>
      <c r="J47" s="13"/>
      <c r="K47" s="13"/>
      <c r="L47" s="13"/>
      <c r="M47" s="13"/>
      <c r="N47" s="12"/>
      <c r="O47" s="14"/>
      <c r="P47" s="13"/>
      <c r="Q47" s="13"/>
      <c r="R47" s="13"/>
      <c r="S47" s="111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3"/>
      <c r="AX47" s="114"/>
      <c r="AY47" s="114"/>
      <c r="AZ47" s="114"/>
      <c r="BA47" s="114"/>
      <c r="BB47" s="114"/>
      <c r="BC47" s="115"/>
      <c r="BD47" s="118"/>
      <c r="BE47" s="114"/>
      <c r="BF47" s="114"/>
      <c r="BG47" s="114"/>
      <c r="BH47" s="114"/>
      <c r="BI47" s="114"/>
      <c r="BJ47" s="115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120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2"/>
      <c r="AX48" s="116"/>
      <c r="AY48" s="116"/>
      <c r="AZ48" s="116"/>
      <c r="BA48" s="116"/>
      <c r="BB48" s="116"/>
      <c r="BC48" s="117"/>
      <c r="BD48" s="119"/>
      <c r="BE48" s="116"/>
      <c r="BF48" s="116"/>
      <c r="BG48" s="116"/>
      <c r="BH48" s="116"/>
      <c r="BI48" s="116"/>
      <c r="BJ48" s="117"/>
      <c r="BK48" s="18"/>
    </row>
    <row r="49" spans="1:63" ht="15" customHeight="1" x14ac:dyDescent="0.25">
      <c r="A49" s="15"/>
      <c r="B49" s="14"/>
      <c r="C49" s="13"/>
      <c r="D49" s="13"/>
      <c r="E49" s="13"/>
      <c r="F49" s="13"/>
      <c r="G49" s="12"/>
      <c r="H49" s="14"/>
      <c r="I49" s="13"/>
      <c r="J49" s="13"/>
      <c r="K49" s="13"/>
      <c r="L49" s="13"/>
      <c r="M49" s="13"/>
      <c r="N49" s="12"/>
      <c r="O49" s="14"/>
      <c r="P49" s="13"/>
      <c r="Q49" s="13"/>
      <c r="R49" s="13"/>
      <c r="S49" s="111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3"/>
      <c r="AX49" s="114"/>
      <c r="AY49" s="114"/>
      <c r="AZ49" s="114"/>
      <c r="BA49" s="114"/>
      <c r="BB49" s="114"/>
      <c r="BC49" s="115"/>
      <c r="BD49" s="118"/>
      <c r="BE49" s="114"/>
      <c r="BF49" s="114"/>
      <c r="BG49" s="114"/>
      <c r="BH49" s="114"/>
      <c r="BI49" s="114"/>
      <c r="BJ49" s="115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120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2"/>
      <c r="AX50" s="116"/>
      <c r="AY50" s="116"/>
      <c r="AZ50" s="116"/>
      <c r="BA50" s="116"/>
      <c r="BB50" s="116"/>
      <c r="BC50" s="117"/>
      <c r="BD50" s="119"/>
      <c r="BE50" s="116"/>
      <c r="BF50" s="116"/>
      <c r="BG50" s="116"/>
      <c r="BH50" s="116"/>
      <c r="BI50" s="116"/>
      <c r="BJ50" s="117"/>
      <c r="BK50" s="18"/>
    </row>
    <row r="51" spans="1:63" ht="15" customHeight="1" x14ac:dyDescent="0.25">
      <c r="A51" s="15"/>
      <c r="B51" s="14"/>
      <c r="C51" s="13"/>
      <c r="D51" s="13"/>
      <c r="E51" s="13"/>
      <c r="F51" s="13"/>
      <c r="G51" s="12"/>
      <c r="H51" s="14"/>
      <c r="I51" s="13"/>
      <c r="J51" s="13"/>
      <c r="K51" s="13"/>
      <c r="L51" s="13"/>
      <c r="M51" s="13"/>
      <c r="N51" s="12"/>
      <c r="O51" s="14"/>
      <c r="P51" s="13"/>
      <c r="Q51" s="13"/>
      <c r="R51" s="13"/>
      <c r="S51" s="111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3"/>
      <c r="AX51" s="114"/>
      <c r="AY51" s="114"/>
      <c r="AZ51" s="114"/>
      <c r="BA51" s="114"/>
      <c r="BB51" s="114"/>
      <c r="BC51" s="115"/>
      <c r="BD51" s="118"/>
      <c r="BE51" s="114"/>
      <c r="BF51" s="114"/>
      <c r="BG51" s="114"/>
      <c r="BH51" s="114"/>
      <c r="BI51" s="114"/>
      <c r="BJ51" s="115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120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2"/>
      <c r="AX52" s="116"/>
      <c r="AY52" s="116"/>
      <c r="AZ52" s="116"/>
      <c r="BA52" s="116"/>
      <c r="BB52" s="116"/>
      <c r="BC52" s="117"/>
      <c r="BD52" s="119"/>
      <c r="BE52" s="116"/>
      <c r="BF52" s="116"/>
      <c r="BG52" s="116"/>
      <c r="BH52" s="116"/>
      <c r="BI52" s="116"/>
      <c r="BJ52" s="117"/>
      <c r="BK52" s="18"/>
    </row>
    <row r="53" spans="1:63" ht="15" customHeight="1" x14ac:dyDescent="0.25">
      <c r="A53" s="15"/>
      <c r="B53" s="14"/>
      <c r="C53" s="13"/>
      <c r="D53" s="13"/>
      <c r="E53" s="13"/>
      <c r="F53" s="13"/>
      <c r="G53" s="12"/>
      <c r="H53" s="14"/>
      <c r="I53" s="13"/>
      <c r="J53" s="13"/>
      <c r="K53" s="13"/>
      <c r="L53" s="13"/>
      <c r="M53" s="13"/>
      <c r="N53" s="12"/>
      <c r="O53" s="14"/>
      <c r="P53" s="13"/>
      <c r="Q53" s="13"/>
      <c r="R53" s="13"/>
      <c r="S53" s="111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3"/>
      <c r="AX53" s="114"/>
      <c r="AY53" s="114"/>
      <c r="AZ53" s="114"/>
      <c r="BA53" s="114"/>
      <c r="BB53" s="114"/>
      <c r="BC53" s="115"/>
      <c r="BD53" s="118"/>
      <c r="BE53" s="114"/>
      <c r="BF53" s="114"/>
      <c r="BG53" s="114"/>
      <c r="BH53" s="114"/>
      <c r="BI53" s="114"/>
      <c r="BJ53" s="115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120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2"/>
      <c r="AX54" s="116"/>
      <c r="AY54" s="116"/>
      <c r="AZ54" s="116"/>
      <c r="BA54" s="116"/>
      <c r="BB54" s="116"/>
      <c r="BC54" s="117"/>
      <c r="BD54" s="119"/>
      <c r="BE54" s="116"/>
      <c r="BF54" s="116"/>
      <c r="BG54" s="116"/>
      <c r="BH54" s="116"/>
      <c r="BI54" s="116"/>
      <c r="BJ54" s="117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4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58422-BA1C-467C-A1A0-AB7E96A01FE4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customWidth="1"/>
  </cols>
  <sheetData>
    <row r="1" spans="1:63" ht="24.95" customHeight="1" x14ac:dyDescent="0.25">
      <c r="A1" s="80" t="s">
        <v>0</v>
      </c>
      <c r="B1" s="81"/>
      <c r="C1" s="81"/>
      <c r="D1" s="81"/>
      <c r="E1" s="81"/>
      <c r="F1" s="81"/>
      <c r="G1" s="81"/>
      <c r="H1" s="81"/>
      <c r="I1" s="81"/>
      <c r="J1" s="82"/>
      <c r="K1" s="80" t="s">
        <v>2</v>
      </c>
      <c r="L1" s="81"/>
      <c r="M1" s="81"/>
      <c r="N1" s="81"/>
      <c r="O1" s="81"/>
      <c r="P1" s="81"/>
      <c r="Q1" s="81"/>
      <c r="R1" s="81"/>
      <c r="S1" s="81"/>
      <c r="T1" s="81"/>
      <c r="U1" s="81"/>
      <c r="V1" s="82"/>
      <c r="W1" s="149" t="s">
        <v>27</v>
      </c>
      <c r="X1" s="103"/>
      <c r="Y1" s="103"/>
      <c r="Z1" s="103"/>
      <c r="AA1" s="103"/>
      <c r="AB1" s="103"/>
      <c r="AC1" s="103"/>
      <c r="AD1" s="103"/>
      <c r="AE1" s="103"/>
      <c r="AF1" s="103"/>
      <c r="AG1" s="103"/>
      <c r="AH1" s="103"/>
      <c r="AI1" s="103"/>
      <c r="AJ1" s="103"/>
      <c r="AK1" s="103"/>
      <c r="AL1" s="103"/>
      <c r="AM1" s="103"/>
      <c r="AN1" s="103"/>
      <c r="AO1" s="104"/>
      <c r="AP1" s="80" t="s">
        <v>3</v>
      </c>
      <c r="AQ1" s="81"/>
      <c r="AR1" s="81"/>
      <c r="AS1" s="82"/>
      <c r="AT1" s="80" t="s">
        <v>4</v>
      </c>
      <c r="AU1" s="81"/>
      <c r="AV1" s="81"/>
      <c r="AW1" s="81"/>
      <c r="AX1" s="82"/>
      <c r="AY1" s="80" t="s">
        <v>5</v>
      </c>
      <c r="AZ1" s="81"/>
      <c r="BA1" s="81"/>
      <c r="BB1" s="82"/>
      <c r="BC1" s="80" t="s">
        <v>6</v>
      </c>
      <c r="BD1" s="81"/>
      <c r="BE1" s="81"/>
      <c r="BF1" s="81"/>
      <c r="BG1" s="82"/>
      <c r="BH1" s="80" t="s">
        <v>7</v>
      </c>
      <c r="BI1" s="81"/>
      <c r="BJ1" s="81"/>
      <c r="BK1" s="82"/>
    </row>
    <row r="2" spans="1:63" ht="15" customHeight="1" x14ac:dyDescent="0.25">
      <c r="A2" s="14" t="s">
        <v>15</v>
      </c>
      <c r="B2" s="13"/>
      <c r="C2" s="13"/>
      <c r="D2" s="13"/>
      <c r="E2" s="13"/>
      <c r="F2" s="13"/>
      <c r="G2" s="13"/>
      <c r="H2" s="13"/>
      <c r="I2" s="13"/>
      <c r="J2" s="12"/>
      <c r="K2" s="14" t="s">
        <v>15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2"/>
      <c r="W2" s="105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7"/>
      <c r="AP2" s="14" t="s">
        <v>83</v>
      </c>
      <c r="AQ2" s="13"/>
      <c r="AR2" s="13"/>
      <c r="AS2" s="12"/>
      <c r="AT2" s="95">
        <v>45495</v>
      </c>
      <c r="AU2" s="96"/>
      <c r="AV2" s="96"/>
      <c r="AW2" s="96"/>
      <c r="AX2" s="97"/>
      <c r="AY2" s="14" t="s">
        <v>82</v>
      </c>
      <c r="AZ2" s="13"/>
      <c r="BA2" s="13"/>
      <c r="BB2" s="12"/>
      <c r="BC2" s="95">
        <v>45495</v>
      </c>
      <c r="BD2" s="96"/>
      <c r="BE2" s="96"/>
      <c r="BF2" s="96"/>
      <c r="BG2" s="97"/>
      <c r="BH2" s="14"/>
      <c r="BI2" s="13"/>
      <c r="BJ2" s="13"/>
      <c r="BK2" s="12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108"/>
      <c r="X3" s="109"/>
      <c r="Y3" s="109"/>
      <c r="Z3" s="109"/>
      <c r="AA3" s="109"/>
      <c r="AB3" s="109"/>
      <c r="AC3" s="109"/>
      <c r="AD3" s="109"/>
      <c r="AE3" s="109"/>
      <c r="AF3" s="109"/>
      <c r="AG3" s="109"/>
      <c r="AH3" s="109"/>
      <c r="AI3" s="109"/>
      <c r="AJ3" s="109"/>
      <c r="AK3" s="109"/>
      <c r="AL3" s="109"/>
      <c r="AM3" s="109"/>
      <c r="AN3" s="109"/>
      <c r="AO3" s="110"/>
      <c r="AP3" s="8"/>
      <c r="AQ3" s="7"/>
      <c r="AR3" s="7"/>
      <c r="AS3" s="6"/>
      <c r="AT3" s="98"/>
      <c r="AU3" s="99"/>
      <c r="AV3" s="99"/>
      <c r="AW3" s="99"/>
      <c r="AX3" s="100"/>
      <c r="AY3" s="8"/>
      <c r="AZ3" s="7"/>
      <c r="BA3" s="7"/>
      <c r="BB3" s="6"/>
      <c r="BC3" s="98"/>
      <c r="BD3" s="99"/>
      <c r="BE3" s="99"/>
      <c r="BF3" s="99"/>
      <c r="BG3" s="100"/>
      <c r="BH3" s="8"/>
      <c r="BI3" s="7"/>
      <c r="BJ3" s="7"/>
      <c r="BK3" s="6"/>
    </row>
    <row r="4" spans="1:63" ht="24.95" customHeight="1" x14ac:dyDescent="0.25">
      <c r="A4" s="80" t="s">
        <v>81</v>
      </c>
      <c r="B4" s="81"/>
      <c r="C4" s="81"/>
      <c r="D4" s="81"/>
      <c r="E4" s="81"/>
      <c r="F4" s="81"/>
      <c r="G4" s="82"/>
      <c r="H4" s="85" t="s">
        <v>90</v>
      </c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7"/>
      <c r="U4" s="80" t="s">
        <v>8</v>
      </c>
      <c r="V4" s="81"/>
      <c r="W4" s="81"/>
      <c r="X4" s="81"/>
      <c r="Y4" s="82"/>
      <c r="Z4" s="85" t="s">
        <v>17</v>
      </c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7"/>
      <c r="AP4" s="85" t="str">
        <f t="array" aca="1" ref="AP4" ca="1">RIGHT(CELL("filename",$A$1),LEN(CELL("filename",$A$1))-FIND("]",CELL("filename",$A$1)))</f>
        <v>指摘履歴</v>
      </c>
      <c r="AQ4" s="86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6"/>
      <c r="BF4" s="86"/>
      <c r="BG4" s="86"/>
      <c r="BH4" s="86"/>
      <c r="BI4" s="86"/>
      <c r="BJ4" s="86"/>
      <c r="BK4" s="87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8" t="s">
        <v>80</v>
      </c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10" s="123" t="s">
        <v>6</v>
      </c>
      <c r="C10" s="123"/>
      <c r="D10" s="123"/>
      <c r="E10" s="123"/>
      <c r="F10" s="123"/>
      <c r="G10" s="123"/>
      <c r="H10" s="123" t="s">
        <v>5</v>
      </c>
      <c r="I10" s="123"/>
      <c r="J10" s="123"/>
      <c r="K10" s="123"/>
      <c r="L10" s="123"/>
      <c r="M10" s="123"/>
      <c r="N10" s="123"/>
      <c r="O10" s="123" t="s">
        <v>7</v>
      </c>
      <c r="P10" s="123"/>
      <c r="Q10" s="123"/>
      <c r="R10" s="123"/>
      <c r="S10" s="123" t="s">
        <v>79</v>
      </c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 t="s">
        <v>78</v>
      </c>
      <c r="AY10" s="123"/>
      <c r="AZ10" s="123"/>
      <c r="BA10" s="123"/>
      <c r="BB10" s="123"/>
      <c r="BC10" s="123"/>
      <c r="BD10" s="123" t="s">
        <v>77</v>
      </c>
      <c r="BE10" s="123"/>
      <c r="BF10" s="123"/>
      <c r="BG10" s="123"/>
      <c r="BH10" s="123"/>
      <c r="BI10" s="123"/>
      <c r="BJ10" s="123"/>
      <c r="BK10" s="18"/>
    </row>
    <row r="11" spans="1:63" ht="15" customHeight="1" x14ac:dyDescent="0.25">
      <c r="A11" s="15"/>
      <c r="B11" s="95">
        <v>45498</v>
      </c>
      <c r="C11" s="13"/>
      <c r="D11" s="13"/>
      <c r="E11" s="13"/>
      <c r="F11" s="13"/>
      <c r="G11" s="12"/>
      <c r="H11" s="101" t="s">
        <v>76</v>
      </c>
      <c r="I11" s="150"/>
      <c r="J11" s="150"/>
      <c r="K11" s="150"/>
      <c r="L11" s="150"/>
      <c r="M11" s="150"/>
      <c r="N11" s="151"/>
      <c r="O11" s="14"/>
      <c r="P11" s="13"/>
      <c r="Q11" s="13"/>
      <c r="R11" s="13"/>
      <c r="S11" s="111" t="s">
        <v>29</v>
      </c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3"/>
      <c r="AX11" s="114"/>
      <c r="AY11" s="114"/>
      <c r="AZ11" s="114"/>
      <c r="BA11" s="114"/>
      <c r="BB11" s="114"/>
      <c r="BC11" s="115"/>
      <c r="BD11" s="118"/>
      <c r="BE11" s="114"/>
      <c r="BF11" s="114"/>
      <c r="BG11" s="114"/>
      <c r="BH11" s="114"/>
      <c r="BI11" s="114"/>
      <c r="BJ11" s="115"/>
      <c r="BK11" s="18"/>
    </row>
    <row r="12" spans="1:63" ht="36" customHeight="1" x14ac:dyDescent="0.25">
      <c r="A12" s="15"/>
      <c r="B12" s="8"/>
      <c r="C12" s="7"/>
      <c r="D12" s="7"/>
      <c r="E12" s="7"/>
      <c r="F12" s="7"/>
      <c r="G12" s="6"/>
      <c r="H12" s="152"/>
      <c r="I12" s="153"/>
      <c r="J12" s="153"/>
      <c r="K12" s="153"/>
      <c r="L12" s="153"/>
      <c r="M12" s="153"/>
      <c r="N12" s="154"/>
      <c r="O12" s="8"/>
      <c r="P12" s="7"/>
      <c r="Q12" s="7"/>
      <c r="R12" s="7"/>
      <c r="S12" s="155" t="s">
        <v>102</v>
      </c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2"/>
      <c r="AX12" s="116"/>
      <c r="AY12" s="116"/>
      <c r="AZ12" s="116"/>
      <c r="BA12" s="116"/>
      <c r="BB12" s="116"/>
      <c r="BC12" s="117"/>
      <c r="BD12" s="119"/>
      <c r="BE12" s="116"/>
      <c r="BF12" s="116"/>
      <c r="BG12" s="116"/>
      <c r="BH12" s="116"/>
      <c r="BI12" s="116"/>
      <c r="BJ12" s="117"/>
      <c r="BK12" s="18"/>
    </row>
    <row r="13" spans="1:63" x14ac:dyDescent="0.25">
      <c r="A13" s="15"/>
      <c r="B13" s="95">
        <v>45498</v>
      </c>
      <c r="C13" s="13"/>
      <c r="D13" s="13"/>
      <c r="E13" s="13"/>
      <c r="F13" s="13"/>
      <c r="G13" s="12"/>
      <c r="H13" s="101" t="s">
        <v>76</v>
      </c>
      <c r="I13" s="150"/>
      <c r="J13" s="150"/>
      <c r="K13" s="150"/>
      <c r="L13" s="150"/>
      <c r="M13" s="150"/>
      <c r="N13" s="151"/>
      <c r="O13" s="14"/>
      <c r="P13" s="13"/>
      <c r="Q13" s="13"/>
      <c r="R13" s="13"/>
      <c r="S13" s="111" t="s">
        <v>29</v>
      </c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3"/>
      <c r="AX13" s="114"/>
      <c r="AY13" s="114"/>
      <c r="AZ13" s="114"/>
      <c r="BA13" s="114"/>
      <c r="BB13" s="114"/>
      <c r="BC13" s="115"/>
      <c r="BD13" s="118"/>
      <c r="BE13" s="114"/>
      <c r="BF13" s="114"/>
      <c r="BG13" s="114"/>
      <c r="BH13" s="114"/>
      <c r="BI13" s="114"/>
      <c r="BJ13" s="115"/>
      <c r="BK13" s="18"/>
    </row>
    <row r="14" spans="1:63" ht="42.75" customHeight="1" x14ac:dyDescent="0.25">
      <c r="A14" s="15"/>
      <c r="B14" s="8"/>
      <c r="C14" s="7"/>
      <c r="D14" s="7"/>
      <c r="E14" s="7"/>
      <c r="F14" s="7"/>
      <c r="G14" s="6"/>
      <c r="H14" s="152"/>
      <c r="I14" s="153"/>
      <c r="J14" s="153"/>
      <c r="K14" s="153"/>
      <c r="L14" s="153"/>
      <c r="M14" s="153"/>
      <c r="N14" s="154"/>
      <c r="O14" s="8"/>
      <c r="P14" s="7"/>
      <c r="Q14" s="7"/>
      <c r="R14" s="7"/>
      <c r="S14" s="202" t="s">
        <v>103</v>
      </c>
      <c r="T14" s="203"/>
      <c r="U14" s="203"/>
      <c r="V14" s="203"/>
      <c r="W14" s="203"/>
      <c r="X14" s="203"/>
      <c r="Y14" s="203"/>
      <c r="Z14" s="203"/>
      <c r="AA14" s="203"/>
      <c r="AB14" s="203"/>
      <c r="AC14" s="203"/>
      <c r="AD14" s="203"/>
      <c r="AE14" s="203"/>
      <c r="AF14" s="203"/>
      <c r="AG14" s="203"/>
      <c r="AH14" s="203"/>
      <c r="AI14" s="203"/>
      <c r="AJ14" s="203"/>
      <c r="AK14" s="203"/>
      <c r="AL14" s="203"/>
      <c r="AM14" s="203"/>
      <c r="AN14" s="203"/>
      <c r="AO14" s="203"/>
      <c r="AP14" s="203"/>
      <c r="AQ14" s="203"/>
      <c r="AR14" s="203"/>
      <c r="AS14" s="203"/>
      <c r="AT14" s="203"/>
      <c r="AU14" s="203"/>
      <c r="AV14" s="203"/>
      <c r="AW14" s="204"/>
      <c r="AX14" s="116"/>
      <c r="AY14" s="116"/>
      <c r="AZ14" s="116"/>
      <c r="BA14" s="116"/>
      <c r="BB14" s="116"/>
      <c r="BC14" s="117"/>
      <c r="BD14" s="119"/>
      <c r="BE14" s="116"/>
      <c r="BF14" s="116"/>
      <c r="BG14" s="116"/>
      <c r="BH14" s="116"/>
      <c r="BI14" s="116"/>
      <c r="BJ14" s="117"/>
      <c r="BK14" s="18"/>
    </row>
    <row r="15" spans="1:63" ht="15" customHeight="1" x14ac:dyDescent="0.25">
      <c r="A15" s="15"/>
      <c r="B15" s="95">
        <v>45498</v>
      </c>
      <c r="C15" s="13"/>
      <c r="D15" s="13"/>
      <c r="E15" s="13"/>
      <c r="F15" s="13"/>
      <c r="G15" s="12"/>
      <c r="H15" s="101" t="s">
        <v>76</v>
      </c>
      <c r="I15" s="150"/>
      <c r="J15" s="150"/>
      <c r="K15" s="150"/>
      <c r="L15" s="150"/>
      <c r="M15" s="150"/>
      <c r="N15" s="151"/>
      <c r="O15" s="14"/>
      <c r="P15" s="13"/>
      <c r="Q15" s="13"/>
      <c r="R15" s="13"/>
      <c r="S15" s="111" t="s">
        <v>29</v>
      </c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3"/>
      <c r="AX15" s="114"/>
      <c r="AY15" s="114"/>
      <c r="AZ15" s="114"/>
      <c r="BA15" s="114"/>
      <c r="BB15" s="114"/>
      <c r="BC15" s="115"/>
      <c r="BD15" s="118"/>
      <c r="BE15" s="114"/>
      <c r="BF15" s="114"/>
      <c r="BG15" s="114"/>
      <c r="BH15" s="114"/>
      <c r="BI15" s="114"/>
      <c r="BJ15" s="115"/>
      <c r="BK15" s="18"/>
    </row>
    <row r="16" spans="1:63" ht="22.5" customHeight="1" x14ac:dyDescent="0.25">
      <c r="A16" s="15"/>
      <c r="B16" s="8"/>
      <c r="C16" s="7"/>
      <c r="D16" s="7"/>
      <c r="E16" s="7"/>
      <c r="F16" s="7"/>
      <c r="G16" s="6"/>
      <c r="H16" s="152"/>
      <c r="I16" s="153"/>
      <c r="J16" s="153"/>
      <c r="K16" s="153"/>
      <c r="L16" s="153"/>
      <c r="M16" s="153"/>
      <c r="N16" s="154"/>
      <c r="O16" s="8"/>
      <c r="P16" s="7"/>
      <c r="Q16" s="7"/>
      <c r="R16" s="7"/>
      <c r="S16" s="205" t="s">
        <v>75</v>
      </c>
      <c r="T16" s="206"/>
      <c r="U16" s="206"/>
      <c r="V16" s="206"/>
      <c r="W16" s="206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K16" s="206"/>
      <c r="AL16" s="206"/>
      <c r="AM16" s="206"/>
      <c r="AN16" s="206"/>
      <c r="AO16" s="206"/>
      <c r="AP16" s="206"/>
      <c r="AQ16" s="206"/>
      <c r="AR16" s="206"/>
      <c r="AS16" s="206"/>
      <c r="AT16" s="206"/>
      <c r="AU16" s="206"/>
      <c r="AV16" s="206"/>
      <c r="AW16" s="207"/>
      <c r="AX16" s="116"/>
      <c r="AY16" s="116"/>
      <c r="AZ16" s="116"/>
      <c r="BA16" s="116"/>
      <c r="BB16" s="116"/>
      <c r="BC16" s="117"/>
      <c r="BD16" s="119"/>
      <c r="BE16" s="116"/>
      <c r="BF16" s="116"/>
      <c r="BG16" s="116"/>
      <c r="BH16" s="116"/>
      <c r="BI16" s="116"/>
      <c r="BJ16" s="117"/>
      <c r="BK16" s="18"/>
    </row>
    <row r="17" spans="1:63" ht="15" customHeight="1" x14ac:dyDescent="0.25">
      <c r="A17" s="15"/>
      <c r="B17" s="14"/>
      <c r="C17" s="13"/>
      <c r="D17" s="13"/>
      <c r="E17" s="13"/>
      <c r="F17" s="13"/>
      <c r="G17" s="12"/>
      <c r="H17" s="14"/>
      <c r="I17" s="13"/>
      <c r="J17" s="13"/>
      <c r="K17" s="13"/>
      <c r="L17" s="13"/>
      <c r="M17" s="13"/>
      <c r="N17" s="12"/>
      <c r="O17" s="14"/>
      <c r="P17" s="13"/>
      <c r="Q17" s="13"/>
      <c r="R17" s="13"/>
      <c r="S17" s="111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12"/>
      <c r="AM17" s="112"/>
      <c r="AN17" s="112"/>
      <c r="AO17" s="112"/>
      <c r="AP17" s="112"/>
      <c r="AQ17" s="112"/>
      <c r="AR17" s="112"/>
      <c r="AS17" s="112"/>
      <c r="AT17" s="112"/>
      <c r="AU17" s="112"/>
      <c r="AV17" s="112"/>
      <c r="AW17" s="113"/>
      <c r="AX17" s="114"/>
      <c r="AY17" s="114"/>
      <c r="AZ17" s="114"/>
      <c r="BA17" s="114"/>
      <c r="BB17" s="114"/>
      <c r="BC17" s="115"/>
      <c r="BD17" s="118"/>
      <c r="BE17" s="114"/>
      <c r="BF17" s="114"/>
      <c r="BG17" s="114"/>
      <c r="BH17" s="114"/>
      <c r="BI17" s="114"/>
      <c r="BJ17" s="115"/>
      <c r="BK17" s="18"/>
    </row>
    <row r="18" spans="1:63" ht="15" customHeight="1" x14ac:dyDescent="0.25">
      <c r="A18" s="15"/>
      <c r="B18" s="8"/>
      <c r="C18" s="7"/>
      <c r="D18" s="7"/>
      <c r="E18" s="7"/>
      <c r="F18" s="7"/>
      <c r="G18" s="6"/>
      <c r="H18" s="8"/>
      <c r="I18" s="7"/>
      <c r="J18" s="7"/>
      <c r="K18" s="7"/>
      <c r="L18" s="7"/>
      <c r="M18" s="7"/>
      <c r="N18" s="6"/>
      <c r="O18" s="8"/>
      <c r="P18" s="7"/>
      <c r="Q18" s="7"/>
      <c r="R18" s="7"/>
      <c r="S18" s="120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2"/>
      <c r="AX18" s="116"/>
      <c r="AY18" s="116"/>
      <c r="AZ18" s="116"/>
      <c r="BA18" s="116"/>
      <c r="BB18" s="116"/>
      <c r="BC18" s="117"/>
      <c r="BD18" s="119"/>
      <c r="BE18" s="116"/>
      <c r="BF18" s="116"/>
      <c r="BG18" s="116"/>
      <c r="BH18" s="116"/>
      <c r="BI18" s="116"/>
      <c r="BJ18" s="117"/>
      <c r="BK18" s="18"/>
    </row>
    <row r="19" spans="1:63" ht="15" customHeight="1" x14ac:dyDescent="0.25">
      <c r="A19" s="15"/>
      <c r="B19" s="14"/>
      <c r="C19" s="13"/>
      <c r="D19" s="13"/>
      <c r="E19" s="13"/>
      <c r="F19" s="13"/>
      <c r="G19" s="12"/>
      <c r="H19" s="14"/>
      <c r="I19" s="13"/>
      <c r="J19" s="13"/>
      <c r="K19" s="13"/>
      <c r="L19" s="13"/>
      <c r="M19" s="13"/>
      <c r="N19" s="12"/>
      <c r="O19" s="14"/>
      <c r="P19" s="13"/>
      <c r="Q19" s="13"/>
      <c r="R19" s="13"/>
      <c r="S19" s="111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12"/>
      <c r="AM19" s="112"/>
      <c r="AN19" s="112"/>
      <c r="AO19" s="112"/>
      <c r="AP19" s="112"/>
      <c r="AQ19" s="112"/>
      <c r="AR19" s="112"/>
      <c r="AS19" s="112"/>
      <c r="AT19" s="112"/>
      <c r="AU19" s="112"/>
      <c r="AV19" s="112"/>
      <c r="AW19" s="113"/>
      <c r="AX19" s="114"/>
      <c r="AY19" s="114"/>
      <c r="AZ19" s="114"/>
      <c r="BA19" s="114"/>
      <c r="BB19" s="114"/>
      <c r="BC19" s="115"/>
      <c r="BD19" s="118"/>
      <c r="BE19" s="114"/>
      <c r="BF19" s="114"/>
      <c r="BG19" s="114"/>
      <c r="BH19" s="114"/>
      <c r="BI19" s="114"/>
      <c r="BJ19" s="115"/>
      <c r="BK19" s="18"/>
    </row>
    <row r="20" spans="1:63" ht="15" customHeight="1" x14ac:dyDescent="0.25">
      <c r="A20" s="15"/>
      <c r="B20" s="8"/>
      <c r="C20" s="7"/>
      <c r="D20" s="7"/>
      <c r="E20" s="7"/>
      <c r="F20" s="7"/>
      <c r="G20" s="6"/>
      <c r="H20" s="8"/>
      <c r="I20" s="7"/>
      <c r="J20" s="7"/>
      <c r="K20" s="7"/>
      <c r="L20" s="7"/>
      <c r="M20" s="7"/>
      <c r="N20" s="6"/>
      <c r="O20" s="8"/>
      <c r="P20" s="7"/>
      <c r="Q20" s="7"/>
      <c r="R20" s="7"/>
      <c r="S20" s="120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  <c r="AK20" s="121"/>
      <c r="AL20" s="121"/>
      <c r="AM20" s="121"/>
      <c r="AN20" s="121"/>
      <c r="AO20" s="121"/>
      <c r="AP20" s="121"/>
      <c r="AQ20" s="121"/>
      <c r="AR20" s="121"/>
      <c r="AS20" s="121"/>
      <c r="AT20" s="121"/>
      <c r="AU20" s="121"/>
      <c r="AV20" s="121"/>
      <c r="AW20" s="122"/>
      <c r="AX20" s="116"/>
      <c r="AY20" s="116"/>
      <c r="AZ20" s="116"/>
      <c r="BA20" s="116"/>
      <c r="BB20" s="116"/>
      <c r="BC20" s="117"/>
      <c r="BD20" s="119"/>
      <c r="BE20" s="116"/>
      <c r="BF20" s="116"/>
      <c r="BG20" s="116"/>
      <c r="BH20" s="116"/>
      <c r="BI20" s="116"/>
      <c r="BJ20" s="117"/>
      <c r="BK20" s="18"/>
    </row>
    <row r="21" spans="1:63" ht="15" customHeight="1" x14ac:dyDescent="0.25">
      <c r="A21" s="15"/>
      <c r="B21" s="14"/>
      <c r="C21" s="13"/>
      <c r="D21" s="13"/>
      <c r="E21" s="13"/>
      <c r="F21" s="13"/>
      <c r="G21" s="12"/>
      <c r="H21" s="14"/>
      <c r="I21" s="13"/>
      <c r="J21" s="13"/>
      <c r="K21" s="13"/>
      <c r="L21" s="13"/>
      <c r="M21" s="13"/>
      <c r="N21" s="12"/>
      <c r="O21" s="14"/>
      <c r="P21" s="13"/>
      <c r="Q21" s="13"/>
      <c r="R21" s="13"/>
      <c r="S21" s="111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2"/>
      <c r="AK21" s="112"/>
      <c r="AL21" s="112"/>
      <c r="AM21" s="112"/>
      <c r="AN21" s="112"/>
      <c r="AO21" s="112"/>
      <c r="AP21" s="112"/>
      <c r="AQ21" s="112"/>
      <c r="AR21" s="112"/>
      <c r="AS21" s="112"/>
      <c r="AT21" s="112"/>
      <c r="AU21" s="112"/>
      <c r="AV21" s="112"/>
      <c r="AW21" s="113"/>
      <c r="AX21" s="114"/>
      <c r="AY21" s="114"/>
      <c r="AZ21" s="114"/>
      <c r="BA21" s="114"/>
      <c r="BB21" s="114"/>
      <c r="BC21" s="115"/>
      <c r="BD21" s="118"/>
      <c r="BE21" s="114"/>
      <c r="BF21" s="114"/>
      <c r="BG21" s="114"/>
      <c r="BH21" s="114"/>
      <c r="BI21" s="114"/>
      <c r="BJ21" s="115"/>
      <c r="BK21" s="18"/>
    </row>
    <row r="22" spans="1:63" ht="15" customHeight="1" x14ac:dyDescent="0.25">
      <c r="A22" s="15"/>
      <c r="B22" s="8"/>
      <c r="C22" s="7"/>
      <c r="D22" s="7"/>
      <c r="E22" s="7"/>
      <c r="F22" s="7"/>
      <c r="G22" s="6"/>
      <c r="H22" s="8"/>
      <c r="I22" s="7"/>
      <c r="J22" s="7"/>
      <c r="K22" s="7"/>
      <c r="L22" s="7"/>
      <c r="M22" s="7"/>
      <c r="N22" s="6"/>
      <c r="O22" s="8"/>
      <c r="P22" s="7"/>
      <c r="Q22" s="7"/>
      <c r="R22" s="7"/>
      <c r="S22" s="120"/>
      <c r="T22" s="121"/>
      <c r="U22" s="121"/>
      <c r="V22" s="121"/>
      <c r="W22" s="121"/>
      <c r="X22" s="121"/>
      <c r="Y22" s="121"/>
      <c r="Z22" s="121"/>
      <c r="AA22" s="121"/>
      <c r="AB22" s="121"/>
      <c r="AC22" s="121"/>
      <c r="AD22" s="121"/>
      <c r="AE22" s="121"/>
      <c r="AF22" s="121"/>
      <c r="AG22" s="121"/>
      <c r="AH22" s="121"/>
      <c r="AI22" s="121"/>
      <c r="AJ22" s="121"/>
      <c r="AK22" s="121"/>
      <c r="AL22" s="121"/>
      <c r="AM22" s="121"/>
      <c r="AN22" s="121"/>
      <c r="AO22" s="121"/>
      <c r="AP22" s="121"/>
      <c r="AQ22" s="121"/>
      <c r="AR22" s="121"/>
      <c r="AS22" s="121"/>
      <c r="AT22" s="121"/>
      <c r="AU22" s="121"/>
      <c r="AV22" s="121"/>
      <c r="AW22" s="122"/>
      <c r="AX22" s="116"/>
      <c r="AY22" s="116"/>
      <c r="AZ22" s="116"/>
      <c r="BA22" s="116"/>
      <c r="BB22" s="116"/>
      <c r="BC22" s="117"/>
      <c r="BD22" s="119"/>
      <c r="BE22" s="116"/>
      <c r="BF22" s="116"/>
      <c r="BG22" s="116"/>
      <c r="BH22" s="116"/>
      <c r="BI22" s="116"/>
      <c r="BJ22" s="117"/>
      <c r="BK22" s="18"/>
    </row>
    <row r="23" spans="1:63" ht="15" customHeight="1" x14ac:dyDescent="0.25">
      <c r="A23" s="15"/>
      <c r="B23" s="14"/>
      <c r="C23" s="13"/>
      <c r="D23" s="13"/>
      <c r="E23" s="13"/>
      <c r="F23" s="13"/>
      <c r="G23" s="12"/>
      <c r="H23" s="14"/>
      <c r="I23" s="13"/>
      <c r="J23" s="13"/>
      <c r="K23" s="13"/>
      <c r="L23" s="13"/>
      <c r="M23" s="13"/>
      <c r="N23" s="12"/>
      <c r="O23" s="14"/>
      <c r="P23" s="13"/>
      <c r="Q23" s="13"/>
      <c r="R23" s="13"/>
      <c r="S23" s="111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3"/>
      <c r="AX23" s="114"/>
      <c r="AY23" s="114"/>
      <c r="AZ23" s="114"/>
      <c r="BA23" s="114"/>
      <c r="BB23" s="114"/>
      <c r="BC23" s="115"/>
      <c r="BD23" s="118"/>
      <c r="BE23" s="114"/>
      <c r="BF23" s="114"/>
      <c r="BG23" s="114"/>
      <c r="BH23" s="114"/>
      <c r="BI23" s="114"/>
      <c r="BJ23" s="115"/>
      <c r="BK23" s="18"/>
    </row>
    <row r="24" spans="1:63" ht="15" customHeight="1" x14ac:dyDescent="0.25">
      <c r="A24" s="15"/>
      <c r="B24" s="8"/>
      <c r="C24" s="7"/>
      <c r="D24" s="7"/>
      <c r="E24" s="7"/>
      <c r="F24" s="7"/>
      <c r="G24" s="6"/>
      <c r="H24" s="8"/>
      <c r="I24" s="7"/>
      <c r="J24" s="7"/>
      <c r="K24" s="7"/>
      <c r="L24" s="7"/>
      <c r="M24" s="7"/>
      <c r="N24" s="6"/>
      <c r="O24" s="8"/>
      <c r="P24" s="7"/>
      <c r="Q24" s="7"/>
      <c r="R24" s="7"/>
      <c r="S24" s="120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  <c r="AD24" s="121"/>
      <c r="AE24" s="121"/>
      <c r="AF24" s="121"/>
      <c r="AG24" s="121"/>
      <c r="AH24" s="121"/>
      <c r="AI24" s="121"/>
      <c r="AJ24" s="121"/>
      <c r="AK24" s="121"/>
      <c r="AL24" s="121"/>
      <c r="AM24" s="121"/>
      <c r="AN24" s="121"/>
      <c r="AO24" s="121"/>
      <c r="AP24" s="121"/>
      <c r="AQ24" s="121"/>
      <c r="AR24" s="121"/>
      <c r="AS24" s="121"/>
      <c r="AT24" s="121"/>
      <c r="AU24" s="121"/>
      <c r="AV24" s="121"/>
      <c r="AW24" s="122"/>
      <c r="AX24" s="116"/>
      <c r="AY24" s="116"/>
      <c r="AZ24" s="116"/>
      <c r="BA24" s="116"/>
      <c r="BB24" s="116"/>
      <c r="BC24" s="117"/>
      <c r="BD24" s="119"/>
      <c r="BE24" s="116"/>
      <c r="BF24" s="116"/>
      <c r="BG24" s="116"/>
      <c r="BH24" s="116"/>
      <c r="BI24" s="116"/>
      <c r="BJ24" s="117"/>
      <c r="BK24" s="18"/>
    </row>
    <row r="25" spans="1:63" ht="15" customHeight="1" x14ac:dyDescent="0.25">
      <c r="A25" s="15"/>
      <c r="B25" s="14"/>
      <c r="C25" s="13"/>
      <c r="D25" s="13"/>
      <c r="E25" s="13"/>
      <c r="F25" s="13"/>
      <c r="G25" s="12"/>
      <c r="H25" s="14"/>
      <c r="I25" s="13"/>
      <c r="J25" s="13"/>
      <c r="K25" s="13"/>
      <c r="L25" s="13"/>
      <c r="M25" s="13"/>
      <c r="N25" s="12"/>
      <c r="O25" s="14"/>
      <c r="P25" s="13"/>
      <c r="Q25" s="13"/>
      <c r="R25" s="13"/>
      <c r="S25" s="111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3"/>
      <c r="AX25" s="114"/>
      <c r="AY25" s="114"/>
      <c r="AZ25" s="114"/>
      <c r="BA25" s="114"/>
      <c r="BB25" s="114"/>
      <c r="BC25" s="115"/>
      <c r="BD25" s="118"/>
      <c r="BE25" s="114"/>
      <c r="BF25" s="114"/>
      <c r="BG25" s="114"/>
      <c r="BH25" s="114"/>
      <c r="BI25" s="114"/>
      <c r="BJ25" s="115"/>
      <c r="BK25" s="18"/>
    </row>
    <row r="26" spans="1:63" ht="15" customHeight="1" x14ac:dyDescent="0.25">
      <c r="A26" s="15"/>
      <c r="B26" s="8"/>
      <c r="C26" s="7"/>
      <c r="D26" s="7"/>
      <c r="E26" s="7"/>
      <c r="F26" s="7"/>
      <c r="G26" s="6"/>
      <c r="H26" s="8"/>
      <c r="I26" s="7"/>
      <c r="J26" s="7"/>
      <c r="K26" s="7"/>
      <c r="L26" s="7"/>
      <c r="M26" s="7"/>
      <c r="N26" s="6"/>
      <c r="O26" s="8"/>
      <c r="P26" s="7"/>
      <c r="Q26" s="7"/>
      <c r="R26" s="7"/>
      <c r="S26" s="120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  <c r="AD26" s="121"/>
      <c r="AE26" s="121"/>
      <c r="AF26" s="121"/>
      <c r="AG26" s="121"/>
      <c r="AH26" s="121"/>
      <c r="AI26" s="121"/>
      <c r="AJ26" s="121"/>
      <c r="AK26" s="121"/>
      <c r="AL26" s="121"/>
      <c r="AM26" s="121"/>
      <c r="AN26" s="121"/>
      <c r="AO26" s="121"/>
      <c r="AP26" s="121"/>
      <c r="AQ26" s="121"/>
      <c r="AR26" s="121"/>
      <c r="AS26" s="121"/>
      <c r="AT26" s="121"/>
      <c r="AU26" s="121"/>
      <c r="AV26" s="121"/>
      <c r="AW26" s="122"/>
      <c r="AX26" s="116"/>
      <c r="AY26" s="116"/>
      <c r="AZ26" s="116"/>
      <c r="BA26" s="116"/>
      <c r="BB26" s="116"/>
      <c r="BC26" s="117"/>
      <c r="BD26" s="119"/>
      <c r="BE26" s="116"/>
      <c r="BF26" s="116"/>
      <c r="BG26" s="116"/>
      <c r="BH26" s="116"/>
      <c r="BI26" s="116"/>
      <c r="BJ26" s="117"/>
      <c r="BK26" s="18"/>
    </row>
    <row r="27" spans="1:63" ht="15" customHeight="1" x14ac:dyDescent="0.25">
      <c r="A27" s="15"/>
      <c r="B27" s="14"/>
      <c r="C27" s="13"/>
      <c r="D27" s="13"/>
      <c r="E27" s="13"/>
      <c r="F27" s="13"/>
      <c r="G27" s="12"/>
      <c r="H27" s="14"/>
      <c r="I27" s="13"/>
      <c r="J27" s="13"/>
      <c r="K27" s="13"/>
      <c r="L27" s="13"/>
      <c r="M27" s="13"/>
      <c r="N27" s="12"/>
      <c r="O27" s="14"/>
      <c r="P27" s="13"/>
      <c r="Q27" s="13"/>
      <c r="R27" s="13"/>
      <c r="S27" s="111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3"/>
      <c r="AX27" s="114"/>
      <c r="AY27" s="114"/>
      <c r="AZ27" s="114"/>
      <c r="BA27" s="114"/>
      <c r="BB27" s="114"/>
      <c r="BC27" s="115"/>
      <c r="BD27" s="118"/>
      <c r="BE27" s="114"/>
      <c r="BF27" s="114"/>
      <c r="BG27" s="114"/>
      <c r="BH27" s="114"/>
      <c r="BI27" s="114"/>
      <c r="BJ27" s="115"/>
      <c r="BK27" s="18"/>
    </row>
    <row r="28" spans="1:63" ht="15" customHeight="1" x14ac:dyDescent="0.25">
      <c r="A28" s="15"/>
      <c r="B28" s="8"/>
      <c r="C28" s="7"/>
      <c r="D28" s="7"/>
      <c r="E28" s="7"/>
      <c r="F28" s="7"/>
      <c r="G28" s="6"/>
      <c r="H28" s="8"/>
      <c r="I28" s="7"/>
      <c r="J28" s="7"/>
      <c r="K28" s="7"/>
      <c r="L28" s="7"/>
      <c r="M28" s="7"/>
      <c r="N28" s="6"/>
      <c r="O28" s="8"/>
      <c r="P28" s="7"/>
      <c r="Q28" s="7"/>
      <c r="R28" s="7"/>
      <c r="S28" s="120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  <c r="AD28" s="121"/>
      <c r="AE28" s="121"/>
      <c r="AF28" s="121"/>
      <c r="AG28" s="121"/>
      <c r="AH28" s="121"/>
      <c r="AI28" s="121"/>
      <c r="AJ28" s="121"/>
      <c r="AK28" s="121"/>
      <c r="AL28" s="121"/>
      <c r="AM28" s="121"/>
      <c r="AN28" s="121"/>
      <c r="AO28" s="121"/>
      <c r="AP28" s="121"/>
      <c r="AQ28" s="121"/>
      <c r="AR28" s="121"/>
      <c r="AS28" s="121"/>
      <c r="AT28" s="121"/>
      <c r="AU28" s="121"/>
      <c r="AV28" s="121"/>
      <c r="AW28" s="122"/>
      <c r="AX28" s="116"/>
      <c r="AY28" s="116"/>
      <c r="AZ28" s="116"/>
      <c r="BA28" s="116"/>
      <c r="BB28" s="116"/>
      <c r="BC28" s="117"/>
      <c r="BD28" s="119"/>
      <c r="BE28" s="116"/>
      <c r="BF28" s="116"/>
      <c r="BG28" s="116"/>
      <c r="BH28" s="116"/>
      <c r="BI28" s="116"/>
      <c r="BJ28" s="117"/>
      <c r="BK28" s="18"/>
    </row>
    <row r="29" spans="1:63" ht="15" customHeight="1" x14ac:dyDescent="0.25">
      <c r="A29" s="15"/>
      <c r="B29" s="14"/>
      <c r="C29" s="13"/>
      <c r="D29" s="13"/>
      <c r="E29" s="13"/>
      <c r="F29" s="13"/>
      <c r="G29" s="12"/>
      <c r="H29" s="14"/>
      <c r="I29" s="13"/>
      <c r="J29" s="13"/>
      <c r="K29" s="13"/>
      <c r="L29" s="13"/>
      <c r="M29" s="13"/>
      <c r="N29" s="12"/>
      <c r="O29" s="14"/>
      <c r="P29" s="13"/>
      <c r="Q29" s="13"/>
      <c r="R29" s="13"/>
      <c r="S29" s="111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3"/>
      <c r="AX29" s="114"/>
      <c r="AY29" s="114"/>
      <c r="AZ29" s="114"/>
      <c r="BA29" s="114"/>
      <c r="BB29" s="114"/>
      <c r="BC29" s="115"/>
      <c r="BD29" s="118"/>
      <c r="BE29" s="114"/>
      <c r="BF29" s="114"/>
      <c r="BG29" s="114"/>
      <c r="BH29" s="114"/>
      <c r="BI29" s="114"/>
      <c r="BJ29" s="115"/>
      <c r="BK29" s="18"/>
    </row>
    <row r="30" spans="1:63" ht="15" customHeight="1" x14ac:dyDescent="0.25">
      <c r="A30" s="15"/>
      <c r="B30" s="8"/>
      <c r="C30" s="7"/>
      <c r="D30" s="7"/>
      <c r="E30" s="7"/>
      <c r="F30" s="7"/>
      <c r="G30" s="6"/>
      <c r="H30" s="8"/>
      <c r="I30" s="7"/>
      <c r="J30" s="7"/>
      <c r="K30" s="7"/>
      <c r="L30" s="7"/>
      <c r="M30" s="7"/>
      <c r="N30" s="6"/>
      <c r="O30" s="8"/>
      <c r="P30" s="7"/>
      <c r="Q30" s="7"/>
      <c r="R30" s="7"/>
      <c r="S30" s="120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1"/>
      <c r="AI30" s="121"/>
      <c r="AJ30" s="121"/>
      <c r="AK30" s="121"/>
      <c r="AL30" s="121"/>
      <c r="AM30" s="121"/>
      <c r="AN30" s="121"/>
      <c r="AO30" s="121"/>
      <c r="AP30" s="121"/>
      <c r="AQ30" s="121"/>
      <c r="AR30" s="121"/>
      <c r="AS30" s="121"/>
      <c r="AT30" s="121"/>
      <c r="AU30" s="121"/>
      <c r="AV30" s="121"/>
      <c r="AW30" s="122"/>
      <c r="AX30" s="116"/>
      <c r="AY30" s="116"/>
      <c r="AZ30" s="116"/>
      <c r="BA30" s="116"/>
      <c r="BB30" s="116"/>
      <c r="BC30" s="117"/>
      <c r="BD30" s="119"/>
      <c r="BE30" s="116"/>
      <c r="BF30" s="116"/>
      <c r="BG30" s="116"/>
      <c r="BH30" s="116"/>
      <c r="BI30" s="116"/>
      <c r="BJ30" s="117"/>
      <c r="BK30" s="18"/>
    </row>
    <row r="31" spans="1:63" ht="15" customHeight="1" x14ac:dyDescent="0.25">
      <c r="A31" s="15"/>
      <c r="B31" s="14"/>
      <c r="C31" s="13"/>
      <c r="D31" s="13"/>
      <c r="E31" s="13"/>
      <c r="F31" s="13"/>
      <c r="G31" s="12"/>
      <c r="H31" s="14"/>
      <c r="I31" s="13"/>
      <c r="J31" s="13"/>
      <c r="K31" s="13"/>
      <c r="L31" s="13"/>
      <c r="M31" s="13"/>
      <c r="N31" s="12"/>
      <c r="O31" s="14"/>
      <c r="P31" s="13"/>
      <c r="Q31" s="13"/>
      <c r="R31" s="13"/>
      <c r="S31" s="111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12"/>
      <c r="AM31" s="112"/>
      <c r="AN31" s="112"/>
      <c r="AO31" s="112"/>
      <c r="AP31" s="112"/>
      <c r="AQ31" s="112"/>
      <c r="AR31" s="112"/>
      <c r="AS31" s="112"/>
      <c r="AT31" s="112"/>
      <c r="AU31" s="112"/>
      <c r="AV31" s="112"/>
      <c r="AW31" s="113"/>
      <c r="AX31" s="114"/>
      <c r="AY31" s="114"/>
      <c r="AZ31" s="114"/>
      <c r="BA31" s="114"/>
      <c r="BB31" s="114"/>
      <c r="BC31" s="115"/>
      <c r="BD31" s="118"/>
      <c r="BE31" s="114"/>
      <c r="BF31" s="114"/>
      <c r="BG31" s="114"/>
      <c r="BH31" s="114"/>
      <c r="BI31" s="114"/>
      <c r="BJ31" s="115"/>
      <c r="BK31" s="18"/>
    </row>
    <row r="32" spans="1:63" ht="15" customHeight="1" x14ac:dyDescent="0.25">
      <c r="A32" s="15"/>
      <c r="B32" s="8"/>
      <c r="C32" s="7"/>
      <c r="D32" s="7"/>
      <c r="E32" s="7"/>
      <c r="F32" s="7"/>
      <c r="G32" s="6"/>
      <c r="H32" s="8"/>
      <c r="I32" s="7"/>
      <c r="J32" s="7"/>
      <c r="K32" s="7"/>
      <c r="L32" s="7"/>
      <c r="M32" s="7"/>
      <c r="N32" s="6"/>
      <c r="O32" s="8"/>
      <c r="P32" s="7"/>
      <c r="Q32" s="7"/>
      <c r="R32" s="7"/>
      <c r="S32" s="120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2"/>
      <c r="AX32" s="116"/>
      <c r="AY32" s="116"/>
      <c r="AZ32" s="116"/>
      <c r="BA32" s="116"/>
      <c r="BB32" s="116"/>
      <c r="BC32" s="117"/>
      <c r="BD32" s="119"/>
      <c r="BE32" s="116"/>
      <c r="BF32" s="116"/>
      <c r="BG32" s="116"/>
      <c r="BH32" s="116"/>
      <c r="BI32" s="116"/>
      <c r="BJ32" s="117"/>
      <c r="BK32" s="18"/>
    </row>
    <row r="33" spans="1:63" ht="15" customHeight="1" x14ac:dyDescent="0.25">
      <c r="A33" s="15"/>
      <c r="B33" s="14"/>
      <c r="C33" s="13"/>
      <c r="D33" s="13"/>
      <c r="E33" s="13"/>
      <c r="F33" s="13"/>
      <c r="G33" s="12"/>
      <c r="H33" s="14"/>
      <c r="I33" s="13"/>
      <c r="J33" s="13"/>
      <c r="K33" s="13"/>
      <c r="L33" s="13"/>
      <c r="M33" s="13"/>
      <c r="N33" s="12"/>
      <c r="O33" s="14"/>
      <c r="P33" s="13"/>
      <c r="Q33" s="13"/>
      <c r="R33" s="13"/>
      <c r="S33" s="111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12"/>
      <c r="AM33" s="112"/>
      <c r="AN33" s="112"/>
      <c r="AO33" s="112"/>
      <c r="AP33" s="112"/>
      <c r="AQ33" s="112"/>
      <c r="AR33" s="112"/>
      <c r="AS33" s="112"/>
      <c r="AT33" s="112"/>
      <c r="AU33" s="112"/>
      <c r="AV33" s="112"/>
      <c r="AW33" s="113"/>
      <c r="AX33" s="114"/>
      <c r="AY33" s="114"/>
      <c r="AZ33" s="114"/>
      <c r="BA33" s="114"/>
      <c r="BB33" s="114"/>
      <c r="BC33" s="115"/>
      <c r="BD33" s="118"/>
      <c r="BE33" s="114"/>
      <c r="BF33" s="114"/>
      <c r="BG33" s="114"/>
      <c r="BH33" s="114"/>
      <c r="BI33" s="114"/>
      <c r="BJ33" s="115"/>
      <c r="BK33" s="18"/>
    </row>
    <row r="34" spans="1:63" ht="15" customHeight="1" x14ac:dyDescent="0.25">
      <c r="A34" s="15"/>
      <c r="B34" s="8"/>
      <c r="C34" s="7"/>
      <c r="D34" s="7"/>
      <c r="E34" s="7"/>
      <c r="F34" s="7"/>
      <c r="G34" s="6"/>
      <c r="H34" s="8"/>
      <c r="I34" s="7"/>
      <c r="J34" s="7"/>
      <c r="K34" s="7"/>
      <c r="L34" s="7"/>
      <c r="M34" s="7"/>
      <c r="N34" s="6"/>
      <c r="O34" s="8"/>
      <c r="P34" s="7"/>
      <c r="Q34" s="7"/>
      <c r="R34" s="7"/>
      <c r="S34" s="120"/>
      <c r="T34" s="121"/>
      <c r="U34" s="121"/>
      <c r="V34" s="121"/>
      <c r="W34" s="121"/>
      <c r="X34" s="121"/>
      <c r="Y34" s="121"/>
      <c r="Z34" s="121"/>
      <c r="AA34" s="121"/>
      <c r="AB34" s="121"/>
      <c r="AC34" s="121"/>
      <c r="AD34" s="121"/>
      <c r="AE34" s="121"/>
      <c r="AF34" s="121"/>
      <c r="AG34" s="121"/>
      <c r="AH34" s="121"/>
      <c r="AI34" s="121"/>
      <c r="AJ34" s="121"/>
      <c r="AK34" s="121"/>
      <c r="AL34" s="121"/>
      <c r="AM34" s="121"/>
      <c r="AN34" s="121"/>
      <c r="AO34" s="121"/>
      <c r="AP34" s="121"/>
      <c r="AQ34" s="121"/>
      <c r="AR34" s="121"/>
      <c r="AS34" s="121"/>
      <c r="AT34" s="121"/>
      <c r="AU34" s="121"/>
      <c r="AV34" s="121"/>
      <c r="AW34" s="122"/>
      <c r="AX34" s="116"/>
      <c r="AY34" s="116"/>
      <c r="AZ34" s="116"/>
      <c r="BA34" s="116"/>
      <c r="BB34" s="116"/>
      <c r="BC34" s="117"/>
      <c r="BD34" s="119"/>
      <c r="BE34" s="116"/>
      <c r="BF34" s="116"/>
      <c r="BG34" s="116"/>
      <c r="BH34" s="116"/>
      <c r="BI34" s="116"/>
      <c r="BJ34" s="117"/>
      <c r="BK34" s="18"/>
    </row>
    <row r="35" spans="1:63" ht="15" customHeight="1" x14ac:dyDescent="0.25">
      <c r="A35" s="15"/>
      <c r="B35" s="14"/>
      <c r="C35" s="13"/>
      <c r="D35" s="13"/>
      <c r="E35" s="13"/>
      <c r="F35" s="13"/>
      <c r="G35" s="12"/>
      <c r="H35" s="14"/>
      <c r="I35" s="13"/>
      <c r="J35" s="13"/>
      <c r="K35" s="13"/>
      <c r="L35" s="13"/>
      <c r="M35" s="13"/>
      <c r="N35" s="12"/>
      <c r="O35" s="14"/>
      <c r="P35" s="13"/>
      <c r="Q35" s="13"/>
      <c r="R35" s="13"/>
      <c r="S35" s="111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3"/>
      <c r="AX35" s="114"/>
      <c r="AY35" s="114"/>
      <c r="AZ35" s="114"/>
      <c r="BA35" s="114"/>
      <c r="BB35" s="114"/>
      <c r="BC35" s="115"/>
      <c r="BD35" s="118"/>
      <c r="BE35" s="114"/>
      <c r="BF35" s="114"/>
      <c r="BG35" s="114"/>
      <c r="BH35" s="114"/>
      <c r="BI35" s="114"/>
      <c r="BJ35" s="115"/>
      <c r="BK35" s="18"/>
    </row>
    <row r="36" spans="1:63" ht="15" customHeight="1" x14ac:dyDescent="0.25">
      <c r="A36" s="15"/>
      <c r="B36" s="8"/>
      <c r="C36" s="7"/>
      <c r="D36" s="7"/>
      <c r="E36" s="7"/>
      <c r="F36" s="7"/>
      <c r="G36" s="6"/>
      <c r="H36" s="8"/>
      <c r="I36" s="7"/>
      <c r="J36" s="7"/>
      <c r="K36" s="7"/>
      <c r="L36" s="7"/>
      <c r="M36" s="7"/>
      <c r="N36" s="6"/>
      <c r="O36" s="8"/>
      <c r="P36" s="7"/>
      <c r="Q36" s="7"/>
      <c r="R36" s="7"/>
      <c r="S36" s="120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  <c r="AD36" s="121"/>
      <c r="AE36" s="121"/>
      <c r="AF36" s="121"/>
      <c r="AG36" s="121"/>
      <c r="AH36" s="121"/>
      <c r="AI36" s="121"/>
      <c r="AJ36" s="121"/>
      <c r="AK36" s="121"/>
      <c r="AL36" s="121"/>
      <c r="AM36" s="121"/>
      <c r="AN36" s="121"/>
      <c r="AO36" s="121"/>
      <c r="AP36" s="121"/>
      <c r="AQ36" s="121"/>
      <c r="AR36" s="121"/>
      <c r="AS36" s="121"/>
      <c r="AT36" s="121"/>
      <c r="AU36" s="121"/>
      <c r="AV36" s="121"/>
      <c r="AW36" s="122"/>
      <c r="AX36" s="116"/>
      <c r="AY36" s="116"/>
      <c r="AZ36" s="116"/>
      <c r="BA36" s="116"/>
      <c r="BB36" s="116"/>
      <c r="BC36" s="117"/>
      <c r="BD36" s="119"/>
      <c r="BE36" s="116"/>
      <c r="BF36" s="116"/>
      <c r="BG36" s="116"/>
      <c r="BH36" s="116"/>
      <c r="BI36" s="116"/>
      <c r="BJ36" s="117"/>
      <c r="BK36" s="18"/>
    </row>
    <row r="37" spans="1:63" ht="15" customHeight="1" x14ac:dyDescent="0.25">
      <c r="A37" s="15"/>
      <c r="B37" s="14"/>
      <c r="C37" s="13"/>
      <c r="D37" s="13"/>
      <c r="E37" s="13"/>
      <c r="F37" s="13"/>
      <c r="G37" s="12"/>
      <c r="H37" s="14"/>
      <c r="I37" s="13"/>
      <c r="J37" s="13"/>
      <c r="K37" s="13"/>
      <c r="L37" s="13"/>
      <c r="M37" s="13"/>
      <c r="N37" s="12"/>
      <c r="O37" s="14"/>
      <c r="P37" s="13"/>
      <c r="Q37" s="13"/>
      <c r="R37" s="13"/>
      <c r="S37" s="111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3"/>
      <c r="AX37" s="114"/>
      <c r="AY37" s="114"/>
      <c r="AZ37" s="114"/>
      <c r="BA37" s="114"/>
      <c r="BB37" s="114"/>
      <c r="BC37" s="115"/>
      <c r="BD37" s="118"/>
      <c r="BE37" s="114"/>
      <c r="BF37" s="114"/>
      <c r="BG37" s="114"/>
      <c r="BH37" s="114"/>
      <c r="BI37" s="114"/>
      <c r="BJ37" s="115"/>
      <c r="BK37" s="18"/>
    </row>
    <row r="38" spans="1:63" ht="15" customHeight="1" x14ac:dyDescent="0.25">
      <c r="A38" s="15"/>
      <c r="B38" s="8"/>
      <c r="C38" s="7"/>
      <c r="D38" s="7"/>
      <c r="E38" s="7"/>
      <c r="F38" s="7"/>
      <c r="G38" s="6"/>
      <c r="H38" s="8"/>
      <c r="I38" s="7"/>
      <c r="J38" s="7"/>
      <c r="K38" s="7"/>
      <c r="L38" s="7"/>
      <c r="M38" s="7"/>
      <c r="N38" s="6"/>
      <c r="O38" s="8"/>
      <c r="P38" s="7"/>
      <c r="Q38" s="7"/>
      <c r="R38" s="7"/>
      <c r="S38" s="120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2"/>
      <c r="AX38" s="116"/>
      <c r="AY38" s="116"/>
      <c r="AZ38" s="116"/>
      <c r="BA38" s="116"/>
      <c r="BB38" s="116"/>
      <c r="BC38" s="117"/>
      <c r="BD38" s="119"/>
      <c r="BE38" s="116"/>
      <c r="BF38" s="116"/>
      <c r="BG38" s="116"/>
      <c r="BH38" s="116"/>
      <c r="BI38" s="116"/>
      <c r="BJ38" s="117"/>
      <c r="BK38" s="18"/>
    </row>
    <row r="39" spans="1:63" ht="15" customHeight="1" x14ac:dyDescent="0.25">
      <c r="A39" s="15"/>
      <c r="B39" s="14"/>
      <c r="C39" s="13"/>
      <c r="D39" s="13"/>
      <c r="E39" s="13"/>
      <c r="F39" s="13"/>
      <c r="G39" s="12"/>
      <c r="H39" s="14"/>
      <c r="I39" s="13"/>
      <c r="J39" s="13"/>
      <c r="K39" s="13"/>
      <c r="L39" s="13"/>
      <c r="M39" s="13"/>
      <c r="N39" s="12"/>
      <c r="O39" s="14"/>
      <c r="P39" s="13"/>
      <c r="Q39" s="13"/>
      <c r="R39" s="13"/>
      <c r="S39" s="111"/>
      <c r="T39" s="112"/>
      <c r="U39" s="112"/>
      <c r="V39" s="112"/>
      <c r="W39" s="112"/>
      <c r="X39" s="112"/>
      <c r="Y39" s="112"/>
      <c r="Z39" s="112"/>
      <c r="AA39" s="112"/>
      <c r="AB39" s="112"/>
      <c r="AC39" s="112"/>
      <c r="AD39" s="112"/>
      <c r="AE39" s="112"/>
      <c r="AF39" s="112"/>
      <c r="AG39" s="112"/>
      <c r="AH39" s="112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3"/>
      <c r="AX39" s="114"/>
      <c r="AY39" s="114"/>
      <c r="AZ39" s="114"/>
      <c r="BA39" s="114"/>
      <c r="BB39" s="114"/>
      <c r="BC39" s="115"/>
      <c r="BD39" s="118"/>
      <c r="BE39" s="114"/>
      <c r="BF39" s="114"/>
      <c r="BG39" s="114"/>
      <c r="BH39" s="114"/>
      <c r="BI39" s="114"/>
      <c r="BJ39" s="115"/>
      <c r="BK39" s="18"/>
    </row>
    <row r="40" spans="1:63" ht="15" customHeight="1" x14ac:dyDescent="0.25">
      <c r="A40" s="15"/>
      <c r="B40" s="8"/>
      <c r="C40" s="7"/>
      <c r="D40" s="7"/>
      <c r="E40" s="7"/>
      <c r="F40" s="7"/>
      <c r="G40" s="6"/>
      <c r="H40" s="8"/>
      <c r="I40" s="7"/>
      <c r="J40" s="7"/>
      <c r="K40" s="7"/>
      <c r="L40" s="7"/>
      <c r="M40" s="7"/>
      <c r="N40" s="6"/>
      <c r="O40" s="8"/>
      <c r="P40" s="7"/>
      <c r="Q40" s="7"/>
      <c r="R40" s="7"/>
      <c r="S40" s="120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1"/>
      <c r="AI40" s="121"/>
      <c r="AJ40" s="121"/>
      <c r="AK40" s="121"/>
      <c r="AL40" s="121"/>
      <c r="AM40" s="121"/>
      <c r="AN40" s="121"/>
      <c r="AO40" s="121"/>
      <c r="AP40" s="121"/>
      <c r="AQ40" s="121"/>
      <c r="AR40" s="121"/>
      <c r="AS40" s="121"/>
      <c r="AT40" s="121"/>
      <c r="AU40" s="121"/>
      <c r="AV40" s="121"/>
      <c r="AW40" s="122"/>
      <c r="AX40" s="116"/>
      <c r="AY40" s="116"/>
      <c r="AZ40" s="116"/>
      <c r="BA40" s="116"/>
      <c r="BB40" s="116"/>
      <c r="BC40" s="117"/>
      <c r="BD40" s="119"/>
      <c r="BE40" s="116"/>
      <c r="BF40" s="116"/>
      <c r="BG40" s="116"/>
      <c r="BH40" s="116"/>
      <c r="BI40" s="116"/>
      <c r="BJ40" s="117"/>
      <c r="BK40" s="18"/>
    </row>
    <row r="41" spans="1:63" ht="15" customHeight="1" x14ac:dyDescent="0.25">
      <c r="A41" s="15"/>
      <c r="B41" s="14"/>
      <c r="C41" s="13"/>
      <c r="D41" s="13"/>
      <c r="E41" s="13"/>
      <c r="F41" s="13"/>
      <c r="G41" s="12"/>
      <c r="H41" s="14"/>
      <c r="I41" s="13"/>
      <c r="J41" s="13"/>
      <c r="K41" s="13"/>
      <c r="L41" s="13"/>
      <c r="M41" s="13"/>
      <c r="N41" s="12"/>
      <c r="O41" s="14"/>
      <c r="P41" s="13"/>
      <c r="Q41" s="13"/>
      <c r="R41" s="13"/>
      <c r="S41" s="111"/>
      <c r="T41" s="112"/>
      <c r="U41" s="112"/>
      <c r="V41" s="112"/>
      <c r="W41" s="112"/>
      <c r="X41" s="112"/>
      <c r="Y41" s="112"/>
      <c r="Z41" s="112"/>
      <c r="AA41" s="112"/>
      <c r="AB41" s="112"/>
      <c r="AC41" s="112"/>
      <c r="AD41" s="112"/>
      <c r="AE41" s="112"/>
      <c r="AF41" s="112"/>
      <c r="AG41" s="112"/>
      <c r="AH41" s="112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3"/>
      <c r="AX41" s="114"/>
      <c r="AY41" s="114"/>
      <c r="AZ41" s="114"/>
      <c r="BA41" s="114"/>
      <c r="BB41" s="114"/>
      <c r="BC41" s="115"/>
      <c r="BD41" s="118"/>
      <c r="BE41" s="114"/>
      <c r="BF41" s="114"/>
      <c r="BG41" s="114"/>
      <c r="BH41" s="114"/>
      <c r="BI41" s="114"/>
      <c r="BJ41" s="115"/>
      <c r="BK41" s="18"/>
    </row>
    <row r="42" spans="1:63" ht="15" customHeight="1" x14ac:dyDescent="0.25">
      <c r="A42" s="15"/>
      <c r="B42" s="8"/>
      <c r="C42" s="7"/>
      <c r="D42" s="7"/>
      <c r="E42" s="7"/>
      <c r="F42" s="7"/>
      <c r="G42" s="6"/>
      <c r="H42" s="8"/>
      <c r="I42" s="7"/>
      <c r="J42" s="7"/>
      <c r="K42" s="7"/>
      <c r="L42" s="7"/>
      <c r="M42" s="7"/>
      <c r="N42" s="6"/>
      <c r="O42" s="8"/>
      <c r="P42" s="7"/>
      <c r="Q42" s="7"/>
      <c r="R42" s="7"/>
      <c r="S42" s="120"/>
      <c r="T42" s="121"/>
      <c r="U42" s="121"/>
      <c r="V42" s="121"/>
      <c r="W42" s="121"/>
      <c r="X42" s="121"/>
      <c r="Y42" s="121"/>
      <c r="Z42" s="121"/>
      <c r="AA42" s="121"/>
      <c r="AB42" s="121"/>
      <c r="AC42" s="121"/>
      <c r="AD42" s="121"/>
      <c r="AE42" s="121"/>
      <c r="AF42" s="121"/>
      <c r="AG42" s="121"/>
      <c r="AH42" s="121"/>
      <c r="AI42" s="121"/>
      <c r="AJ42" s="121"/>
      <c r="AK42" s="121"/>
      <c r="AL42" s="121"/>
      <c r="AM42" s="121"/>
      <c r="AN42" s="121"/>
      <c r="AO42" s="121"/>
      <c r="AP42" s="121"/>
      <c r="AQ42" s="121"/>
      <c r="AR42" s="121"/>
      <c r="AS42" s="121"/>
      <c r="AT42" s="121"/>
      <c r="AU42" s="121"/>
      <c r="AV42" s="121"/>
      <c r="AW42" s="122"/>
      <c r="AX42" s="116"/>
      <c r="AY42" s="116"/>
      <c r="AZ42" s="116"/>
      <c r="BA42" s="116"/>
      <c r="BB42" s="116"/>
      <c r="BC42" s="117"/>
      <c r="BD42" s="119"/>
      <c r="BE42" s="116"/>
      <c r="BF42" s="116"/>
      <c r="BG42" s="116"/>
      <c r="BH42" s="116"/>
      <c r="BI42" s="116"/>
      <c r="BJ42" s="117"/>
      <c r="BK42" s="18"/>
    </row>
    <row r="43" spans="1:63" ht="15" customHeight="1" x14ac:dyDescent="0.25">
      <c r="A43" s="15"/>
      <c r="B43" s="14"/>
      <c r="C43" s="13"/>
      <c r="D43" s="13"/>
      <c r="E43" s="13"/>
      <c r="F43" s="13"/>
      <c r="G43" s="12"/>
      <c r="H43" s="14"/>
      <c r="I43" s="13"/>
      <c r="J43" s="13"/>
      <c r="K43" s="13"/>
      <c r="L43" s="13"/>
      <c r="M43" s="13"/>
      <c r="N43" s="12"/>
      <c r="O43" s="14"/>
      <c r="P43" s="13"/>
      <c r="Q43" s="13"/>
      <c r="R43" s="13"/>
      <c r="S43" s="111"/>
      <c r="T43" s="112"/>
      <c r="U43" s="112"/>
      <c r="V43" s="112"/>
      <c r="W43" s="112"/>
      <c r="X43" s="112"/>
      <c r="Y43" s="112"/>
      <c r="Z43" s="112"/>
      <c r="AA43" s="112"/>
      <c r="AB43" s="112"/>
      <c r="AC43" s="112"/>
      <c r="AD43" s="112"/>
      <c r="AE43" s="112"/>
      <c r="AF43" s="112"/>
      <c r="AG43" s="112"/>
      <c r="AH43" s="112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3"/>
      <c r="AX43" s="114"/>
      <c r="AY43" s="114"/>
      <c r="AZ43" s="114"/>
      <c r="BA43" s="114"/>
      <c r="BB43" s="114"/>
      <c r="BC43" s="115"/>
      <c r="BD43" s="118"/>
      <c r="BE43" s="114"/>
      <c r="BF43" s="114"/>
      <c r="BG43" s="114"/>
      <c r="BH43" s="114"/>
      <c r="BI43" s="114"/>
      <c r="BJ43" s="115"/>
      <c r="BK43" s="18"/>
    </row>
    <row r="44" spans="1:63" ht="15" customHeight="1" x14ac:dyDescent="0.25">
      <c r="A44" s="15"/>
      <c r="B44" s="8"/>
      <c r="C44" s="7"/>
      <c r="D44" s="7"/>
      <c r="E44" s="7"/>
      <c r="F44" s="7"/>
      <c r="G44" s="6"/>
      <c r="H44" s="8"/>
      <c r="I44" s="7"/>
      <c r="J44" s="7"/>
      <c r="K44" s="7"/>
      <c r="L44" s="7"/>
      <c r="M44" s="7"/>
      <c r="N44" s="6"/>
      <c r="O44" s="8"/>
      <c r="P44" s="7"/>
      <c r="Q44" s="7"/>
      <c r="R44" s="7"/>
      <c r="S44" s="120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2"/>
      <c r="AX44" s="116"/>
      <c r="AY44" s="116"/>
      <c r="AZ44" s="116"/>
      <c r="BA44" s="116"/>
      <c r="BB44" s="116"/>
      <c r="BC44" s="117"/>
      <c r="BD44" s="119"/>
      <c r="BE44" s="116"/>
      <c r="BF44" s="116"/>
      <c r="BG44" s="116"/>
      <c r="BH44" s="116"/>
      <c r="BI44" s="116"/>
      <c r="BJ44" s="117"/>
      <c r="BK44" s="18"/>
    </row>
    <row r="45" spans="1:63" ht="15" customHeight="1" x14ac:dyDescent="0.25">
      <c r="A45" s="15"/>
      <c r="B45" s="14"/>
      <c r="C45" s="13"/>
      <c r="D45" s="13"/>
      <c r="E45" s="13"/>
      <c r="F45" s="13"/>
      <c r="G45" s="12"/>
      <c r="H45" s="14"/>
      <c r="I45" s="13"/>
      <c r="J45" s="13"/>
      <c r="K45" s="13"/>
      <c r="L45" s="13"/>
      <c r="M45" s="13"/>
      <c r="N45" s="12"/>
      <c r="O45" s="14"/>
      <c r="P45" s="13"/>
      <c r="Q45" s="13"/>
      <c r="R45" s="13"/>
      <c r="S45" s="111"/>
      <c r="T45" s="112"/>
      <c r="U45" s="112"/>
      <c r="V45" s="112"/>
      <c r="W45" s="112"/>
      <c r="X45" s="112"/>
      <c r="Y45" s="112"/>
      <c r="Z45" s="112"/>
      <c r="AA45" s="112"/>
      <c r="AB45" s="112"/>
      <c r="AC45" s="112"/>
      <c r="AD45" s="112"/>
      <c r="AE45" s="112"/>
      <c r="AF45" s="112"/>
      <c r="AG45" s="112"/>
      <c r="AH45" s="112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3"/>
      <c r="AX45" s="114"/>
      <c r="AY45" s="114"/>
      <c r="AZ45" s="114"/>
      <c r="BA45" s="114"/>
      <c r="BB45" s="114"/>
      <c r="BC45" s="115"/>
      <c r="BD45" s="118"/>
      <c r="BE45" s="114"/>
      <c r="BF45" s="114"/>
      <c r="BG45" s="114"/>
      <c r="BH45" s="114"/>
      <c r="BI45" s="114"/>
      <c r="BJ45" s="115"/>
      <c r="BK45" s="18"/>
    </row>
    <row r="46" spans="1:63" ht="15" customHeight="1" x14ac:dyDescent="0.25">
      <c r="A46" s="15"/>
      <c r="B46" s="8"/>
      <c r="C46" s="7"/>
      <c r="D46" s="7"/>
      <c r="E46" s="7"/>
      <c r="F46" s="7"/>
      <c r="G46" s="6"/>
      <c r="H46" s="8"/>
      <c r="I46" s="7"/>
      <c r="J46" s="7"/>
      <c r="K46" s="7"/>
      <c r="L46" s="7"/>
      <c r="M46" s="7"/>
      <c r="N46" s="6"/>
      <c r="O46" s="8"/>
      <c r="P46" s="7"/>
      <c r="Q46" s="7"/>
      <c r="R46" s="7"/>
      <c r="S46" s="120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  <c r="AD46" s="121"/>
      <c r="AE46" s="121"/>
      <c r="AF46" s="121"/>
      <c r="AG46" s="121"/>
      <c r="AH46" s="121"/>
      <c r="AI46" s="121"/>
      <c r="AJ46" s="121"/>
      <c r="AK46" s="121"/>
      <c r="AL46" s="121"/>
      <c r="AM46" s="121"/>
      <c r="AN46" s="121"/>
      <c r="AO46" s="121"/>
      <c r="AP46" s="121"/>
      <c r="AQ46" s="121"/>
      <c r="AR46" s="121"/>
      <c r="AS46" s="121"/>
      <c r="AT46" s="121"/>
      <c r="AU46" s="121"/>
      <c r="AV46" s="121"/>
      <c r="AW46" s="122"/>
      <c r="AX46" s="116"/>
      <c r="AY46" s="116"/>
      <c r="AZ46" s="116"/>
      <c r="BA46" s="116"/>
      <c r="BB46" s="116"/>
      <c r="BC46" s="117"/>
      <c r="BD46" s="119"/>
      <c r="BE46" s="116"/>
      <c r="BF46" s="116"/>
      <c r="BG46" s="116"/>
      <c r="BH46" s="116"/>
      <c r="BI46" s="116"/>
      <c r="BJ46" s="117"/>
      <c r="BK46" s="18"/>
    </row>
    <row r="47" spans="1:63" ht="15" customHeight="1" x14ac:dyDescent="0.25">
      <c r="A47" s="15"/>
      <c r="B47" s="14"/>
      <c r="C47" s="13"/>
      <c r="D47" s="13"/>
      <c r="E47" s="13"/>
      <c r="F47" s="13"/>
      <c r="G47" s="12"/>
      <c r="H47" s="14"/>
      <c r="I47" s="13"/>
      <c r="J47" s="13"/>
      <c r="K47" s="13"/>
      <c r="L47" s="13"/>
      <c r="M47" s="13"/>
      <c r="N47" s="12"/>
      <c r="O47" s="14"/>
      <c r="P47" s="13"/>
      <c r="Q47" s="13"/>
      <c r="R47" s="13"/>
      <c r="S47" s="111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3"/>
      <c r="AX47" s="114"/>
      <c r="AY47" s="114"/>
      <c r="AZ47" s="114"/>
      <c r="BA47" s="114"/>
      <c r="BB47" s="114"/>
      <c r="BC47" s="115"/>
      <c r="BD47" s="118"/>
      <c r="BE47" s="114"/>
      <c r="BF47" s="114"/>
      <c r="BG47" s="114"/>
      <c r="BH47" s="114"/>
      <c r="BI47" s="114"/>
      <c r="BJ47" s="115"/>
      <c r="BK47" s="18"/>
    </row>
    <row r="48" spans="1:63" ht="15" customHeight="1" x14ac:dyDescent="0.25">
      <c r="A48" s="15"/>
      <c r="B48" s="8"/>
      <c r="C48" s="7"/>
      <c r="D48" s="7"/>
      <c r="E48" s="7"/>
      <c r="F48" s="7"/>
      <c r="G48" s="6"/>
      <c r="H48" s="8"/>
      <c r="I48" s="7"/>
      <c r="J48" s="7"/>
      <c r="K48" s="7"/>
      <c r="L48" s="7"/>
      <c r="M48" s="7"/>
      <c r="N48" s="6"/>
      <c r="O48" s="8"/>
      <c r="P48" s="7"/>
      <c r="Q48" s="7"/>
      <c r="R48" s="7"/>
      <c r="S48" s="120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2"/>
      <c r="AX48" s="116"/>
      <c r="AY48" s="116"/>
      <c r="AZ48" s="116"/>
      <c r="BA48" s="116"/>
      <c r="BB48" s="116"/>
      <c r="BC48" s="117"/>
      <c r="BD48" s="119"/>
      <c r="BE48" s="116"/>
      <c r="BF48" s="116"/>
      <c r="BG48" s="116"/>
      <c r="BH48" s="116"/>
      <c r="BI48" s="116"/>
      <c r="BJ48" s="117"/>
      <c r="BK48" s="18"/>
    </row>
    <row r="49" spans="1:63" ht="15" customHeight="1" x14ac:dyDescent="0.25">
      <c r="A49" s="15"/>
      <c r="B49" s="14"/>
      <c r="C49" s="13"/>
      <c r="D49" s="13"/>
      <c r="E49" s="13"/>
      <c r="F49" s="13"/>
      <c r="G49" s="12"/>
      <c r="H49" s="14"/>
      <c r="I49" s="13"/>
      <c r="J49" s="13"/>
      <c r="K49" s="13"/>
      <c r="L49" s="13"/>
      <c r="M49" s="13"/>
      <c r="N49" s="12"/>
      <c r="O49" s="14"/>
      <c r="P49" s="13"/>
      <c r="Q49" s="13"/>
      <c r="R49" s="13"/>
      <c r="S49" s="111"/>
      <c r="T49" s="112"/>
      <c r="U49" s="112"/>
      <c r="V49" s="112"/>
      <c r="W49" s="112"/>
      <c r="X49" s="112"/>
      <c r="Y49" s="112"/>
      <c r="Z49" s="112"/>
      <c r="AA49" s="112"/>
      <c r="AB49" s="112"/>
      <c r="AC49" s="112"/>
      <c r="AD49" s="112"/>
      <c r="AE49" s="112"/>
      <c r="AF49" s="112"/>
      <c r="AG49" s="112"/>
      <c r="AH49" s="112"/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3"/>
      <c r="AX49" s="114"/>
      <c r="AY49" s="114"/>
      <c r="AZ49" s="114"/>
      <c r="BA49" s="114"/>
      <c r="BB49" s="114"/>
      <c r="BC49" s="115"/>
      <c r="BD49" s="118"/>
      <c r="BE49" s="114"/>
      <c r="BF49" s="114"/>
      <c r="BG49" s="114"/>
      <c r="BH49" s="114"/>
      <c r="BI49" s="114"/>
      <c r="BJ49" s="115"/>
      <c r="BK49" s="18"/>
    </row>
    <row r="50" spans="1:63" ht="15" customHeight="1" x14ac:dyDescent="0.25">
      <c r="A50" s="15"/>
      <c r="B50" s="8"/>
      <c r="C50" s="7"/>
      <c r="D50" s="7"/>
      <c r="E50" s="7"/>
      <c r="F50" s="7"/>
      <c r="G50" s="6"/>
      <c r="H50" s="8"/>
      <c r="I50" s="7"/>
      <c r="J50" s="7"/>
      <c r="K50" s="7"/>
      <c r="L50" s="7"/>
      <c r="M50" s="7"/>
      <c r="N50" s="6"/>
      <c r="O50" s="8"/>
      <c r="P50" s="7"/>
      <c r="Q50" s="7"/>
      <c r="R50" s="7"/>
      <c r="S50" s="120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2"/>
      <c r="AX50" s="116"/>
      <c r="AY50" s="116"/>
      <c r="AZ50" s="116"/>
      <c r="BA50" s="116"/>
      <c r="BB50" s="116"/>
      <c r="BC50" s="117"/>
      <c r="BD50" s="119"/>
      <c r="BE50" s="116"/>
      <c r="BF50" s="116"/>
      <c r="BG50" s="116"/>
      <c r="BH50" s="116"/>
      <c r="BI50" s="116"/>
      <c r="BJ50" s="117"/>
      <c r="BK50" s="18"/>
    </row>
    <row r="51" spans="1:63" ht="15" customHeight="1" x14ac:dyDescent="0.25">
      <c r="A51" s="15"/>
      <c r="B51" s="14"/>
      <c r="C51" s="13"/>
      <c r="D51" s="13"/>
      <c r="E51" s="13"/>
      <c r="F51" s="13"/>
      <c r="G51" s="12"/>
      <c r="H51" s="14"/>
      <c r="I51" s="13"/>
      <c r="J51" s="13"/>
      <c r="K51" s="13"/>
      <c r="L51" s="13"/>
      <c r="M51" s="13"/>
      <c r="N51" s="12"/>
      <c r="O51" s="14"/>
      <c r="P51" s="13"/>
      <c r="Q51" s="13"/>
      <c r="R51" s="13"/>
      <c r="S51" s="111"/>
      <c r="T51" s="112"/>
      <c r="U51" s="112"/>
      <c r="V51" s="112"/>
      <c r="W51" s="112"/>
      <c r="X51" s="112"/>
      <c r="Y51" s="112"/>
      <c r="Z51" s="112"/>
      <c r="AA51" s="112"/>
      <c r="AB51" s="112"/>
      <c r="AC51" s="112"/>
      <c r="AD51" s="112"/>
      <c r="AE51" s="112"/>
      <c r="AF51" s="112"/>
      <c r="AG51" s="112"/>
      <c r="AH51" s="112"/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3"/>
      <c r="AX51" s="114"/>
      <c r="AY51" s="114"/>
      <c r="AZ51" s="114"/>
      <c r="BA51" s="114"/>
      <c r="BB51" s="114"/>
      <c r="BC51" s="115"/>
      <c r="BD51" s="118"/>
      <c r="BE51" s="114"/>
      <c r="BF51" s="114"/>
      <c r="BG51" s="114"/>
      <c r="BH51" s="114"/>
      <c r="BI51" s="114"/>
      <c r="BJ51" s="115"/>
      <c r="BK51" s="18"/>
    </row>
    <row r="52" spans="1:63" ht="15" customHeight="1" x14ac:dyDescent="0.25">
      <c r="A52" s="15"/>
      <c r="B52" s="8"/>
      <c r="C52" s="7"/>
      <c r="D52" s="7"/>
      <c r="E52" s="7"/>
      <c r="F52" s="7"/>
      <c r="G52" s="6"/>
      <c r="H52" s="8"/>
      <c r="I52" s="7"/>
      <c r="J52" s="7"/>
      <c r="K52" s="7"/>
      <c r="L52" s="7"/>
      <c r="M52" s="7"/>
      <c r="N52" s="6"/>
      <c r="O52" s="8"/>
      <c r="P52" s="7"/>
      <c r="Q52" s="7"/>
      <c r="R52" s="7"/>
      <c r="S52" s="120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2"/>
      <c r="AX52" s="116"/>
      <c r="AY52" s="116"/>
      <c r="AZ52" s="116"/>
      <c r="BA52" s="116"/>
      <c r="BB52" s="116"/>
      <c r="BC52" s="117"/>
      <c r="BD52" s="119"/>
      <c r="BE52" s="116"/>
      <c r="BF52" s="116"/>
      <c r="BG52" s="116"/>
      <c r="BH52" s="116"/>
      <c r="BI52" s="116"/>
      <c r="BJ52" s="117"/>
      <c r="BK52" s="18"/>
    </row>
    <row r="53" spans="1:63" ht="15" customHeight="1" x14ac:dyDescent="0.25">
      <c r="A53" s="15"/>
      <c r="B53" s="14"/>
      <c r="C53" s="13"/>
      <c r="D53" s="13"/>
      <c r="E53" s="13"/>
      <c r="F53" s="13"/>
      <c r="G53" s="12"/>
      <c r="H53" s="14"/>
      <c r="I53" s="13"/>
      <c r="J53" s="13"/>
      <c r="K53" s="13"/>
      <c r="L53" s="13"/>
      <c r="M53" s="13"/>
      <c r="N53" s="12"/>
      <c r="O53" s="14"/>
      <c r="P53" s="13"/>
      <c r="Q53" s="13"/>
      <c r="R53" s="13"/>
      <c r="S53" s="111"/>
      <c r="T53" s="112"/>
      <c r="U53" s="112"/>
      <c r="V53" s="112"/>
      <c r="W53" s="112"/>
      <c r="X53" s="112"/>
      <c r="Y53" s="112"/>
      <c r="Z53" s="112"/>
      <c r="AA53" s="112"/>
      <c r="AB53" s="112"/>
      <c r="AC53" s="112"/>
      <c r="AD53" s="112"/>
      <c r="AE53" s="112"/>
      <c r="AF53" s="112"/>
      <c r="AG53" s="112"/>
      <c r="AH53" s="112"/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3"/>
      <c r="AX53" s="114"/>
      <c r="AY53" s="114"/>
      <c r="AZ53" s="114"/>
      <c r="BA53" s="114"/>
      <c r="BB53" s="114"/>
      <c r="BC53" s="115"/>
      <c r="BD53" s="118"/>
      <c r="BE53" s="114"/>
      <c r="BF53" s="114"/>
      <c r="BG53" s="114"/>
      <c r="BH53" s="114"/>
      <c r="BI53" s="114"/>
      <c r="BJ53" s="115"/>
      <c r="BK53" s="18"/>
    </row>
    <row r="54" spans="1:63" ht="15" customHeight="1" x14ac:dyDescent="0.25">
      <c r="A54" s="15"/>
      <c r="B54" s="8"/>
      <c r="C54" s="7"/>
      <c r="D54" s="7"/>
      <c r="E54" s="7"/>
      <c r="F54" s="7"/>
      <c r="G54" s="6"/>
      <c r="H54" s="8"/>
      <c r="I54" s="7"/>
      <c r="J54" s="7"/>
      <c r="K54" s="7"/>
      <c r="L54" s="7"/>
      <c r="M54" s="7"/>
      <c r="N54" s="6"/>
      <c r="O54" s="8"/>
      <c r="P54" s="7"/>
      <c r="Q54" s="7"/>
      <c r="R54" s="7"/>
      <c r="S54" s="120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2"/>
      <c r="AX54" s="116"/>
      <c r="AY54" s="116"/>
      <c r="AZ54" s="116"/>
      <c r="BA54" s="116"/>
      <c r="BB54" s="116"/>
      <c r="BC54" s="117"/>
      <c r="BD54" s="119"/>
      <c r="BE54" s="116"/>
      <c r="BF54" s="116"/>
      <c r="BG54" s="116"/>
      <c r="BH54" s="116"/>
      <c r="BI54" s="116"/>
      <c r="BJ54" s="117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180"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BD13:BJ14"/>
    <mergeCell ref="S14:AW14"/>
    <mergeCell ref="BD10:BJ10"/>
    <mergeCell ref="B11:G12"/>
    <mergeCell ref="H11:N12"/>
    <mergeCell ref="O11:R12"/>
    <mergeCell ref="S11:AW11"/>
    <mergeCell ref="AX11:BC12"/>
    <mergeCell ref="BD11:BJ12"/>
    <mergeCell ref="S12:AW12"/>
    <mergeCell ref="B10:G10"/>
    <mergeCell ref="H10:N10"/>
    <mergeCell ref="O10:R10"/>
    <mergeCell ref="S10:AW10"/>
    <mergeCell ref="AX10:BC10"/>
    <mergeCell ref="B13:G14"/>
    <mergeCell ref="H13:N14"/>
    <mergeCell ref="O13:R14"/>
    <mergeCell ref="S13:AW13"/>
    <mergeCell ref="AX13:BC14"/>
    <mergeCell ref="B15:G16"/>
    <mergeCell ref="H15:N16"/>
    <mergeCell ref="O15:R16"/>
    <mergeCell ref="S15:AW15"/>
    <mergeCell ref="AX15:BC16"/>
    <mergeCell ref="BD15:BJ16"/>
    <mergeCell ref="S16:AW16"/>
    <mergeCell ref="B17:G18"/>
    <mergeCell ref="H17:N18"/>
    <mergeCell ref="O17:R18"/>
    <mergeCell ref="S17:AW17"/>
    <mergeCell ref="AX17:BC18"/>
    <mergeCell ref="BD17:BJ18"/>
    <mergeCell ref="S18:AW18"/>
    <mergeCell ref="B19:G20"/>
    <mergeCell ref="H19:N20"/>
    <mergeCell ref="O19:R20"/>
    <mergeCell ref="S19:AW19"/>
    <mergeCell ref="AX19:BC20"/>
    <mergeCell ref="BD19:BJ20"/>
    <mergeCell ref="S20:AW20"/>
    <mergeCell ref="B21:G22"/>
    <mergeCell ref="H21:N22"/>
    <mergeCell ref="O21:R22"/>
    <mergeCell ref="S21:AW21"/>
    <mergeCell ref="AX21:BC22"/>
    <mergeCell ref="BD21:BJ22"/>
    <mergeCell ref="S22:AW22"/>
    <mergeCell ref="B23:G24"/>
    <mergeCell ref="H23:N24"/>
    <mergeCell ref="O23:R24"/>
    <mergeCell ref="S23:AW23"/>
    <mergeCell ref="AX23:BC24"/>
    <mergeCell ref="BD23:BJ24"/>
    <mergeCell ref="S24:AW24"/>
    <mergeCell ref="B25:G26"/>
    <mergeCell ref="H25:N26"/>
    <mergeCell ref="O25:R26"/>
    <mergeCell ref="S25:AW25"/>
    <mergeCell ref="AX25:BC26"/>
    <mergeCell ref="BD25:BJ26"/>
    <mergeCell ref="S26:AW26"/>
    <mergeCell ref="B27:G28"/>
    <mergeCell ref="H27:N28"/>
    <mergeCell ref="O27:R28"/>
    <mergeCell ref="S27:AW27"/>
    <mergeCell ref="AX27:BC28"/>
    <mergeCell ref="BD27:BJ28"/>
    <mergeCell ref="S28:AW28"/>
    <mergeCell ref="B29:G30"/>
    <mergeCell ref="H29:N30"/>
    <mergeCell ref="O29:R30"/>
    <mergeCell ref="S29:AW29"/>
    <mergeCell ref="AX29:BC30"/>
    <mergeCell ref="BD29:BJ30"/>
    <mergeCell ref="S30:AW30"/>
    <mergeCell ref="B31:G32"/>
    <mergeCell ref="H31:N32"/>
    <mergeCell ref="O31:R32"/>
    <mergeCell ref="S31:AW31"/>
    <mergeCell ref="AX31:BC32"/>
    <mergeCell ref="BD31:BJ32"/>
    <mergeCell ref="S32:AW32"/>
    <mergeCell ref="B33:G34"/>
    <mergeCell ref="H33:N34"/>
    <mergeCell ref="O33:R34"/>
    <mergeCell ref="S33:AW33"/>
    <mergeCell ref="AX33:BC34"/>
    <mergeCell ref="BD33:BJ34"/>
    <mergeCell ref="S34:AW34"/>
    <mergeCell ref="B35:G36"/>
    <mergeCell ref="H35:N36"/>
    <mergeCell ref="O35:R36"/>
    <mergeCell ref="S35:AW35"/>
    <mergeCell ref="AX35:BC36"/>
    <mergeCell ref="BD35:BJ36"/>
    <mergeCell ref="S36:AW36"/>
    <mergeCell ref="B37:G38"/>
    <mergeCell ref="H37:N38"/>
    <mergeCell ref="O37:R38"/>
    <mergeCell ref="S37:AW37"/>
    <mergeCell ref="AX37:BC38"/>
    <mergeCell ref="BD37:BJ38"/>
    <mergeCell ref="S38:AW38"/>
    <mergeCell ref="B39:G40"/>
    <mergeCell ref="H39:N40"/>
    <mergeCell ref="O39:R40"/>
    <mergeCell ref="S39:AW39"/>
    <mergeCell ref="AX39:BC40"/>
    <mergeCell ref="BD39:BJ40"/>
    <mergeCell ref="S40:AW40"/>
    <mergeCell ref="B41:G42"/>
    <mergeCell ref="H41:N42"/>
    <mergeCell ref="O41:R42"/>
    <mergeCell ref="S41:AW41"/>
    <mergeCell ref="AX41:BC42"/>
    <mergeCell ref="BD41:BJ42"/>
    <mergeCell ref="S42:AW42"/>
    <mergeCell ref="B43:G44"/>
    <mergeCell ref="H43:N44"/>
    <mergeCell ref="O43:R44"/>
    <mergeCell ref="S43:AW43"/>
    <mergeCell ref="AX43:BC44"/>
    <mergeCell ref="BD43:BJ44"/>
    <mergeCell ref="S44:AW44"/>
    <mergeCell ref="B45:G46"/>
    <mergeCell ref="H45:N46"/>
    <mergeCell ref="O45:R46"/>
    <mergeCell ref="S45:AW45"/>
    <mergeCell ref="AX45:BC46"/>
    <mergeCell ref="BD45:BJ46"/>
    <mergeCell ref="S46:AW46"/>
    <mergeCell ref="B47:G48"/>
    <mergeCell ref="H47:N48"/>
    <mergeCell ref="O47:R48"/>
    <mergeCell ref="S47:AW47"/>
    <mergeCell ref="AX47:BC48"/>
    <mergeCell ref="BD47:BJ48"/>
    <mergeCell ref="S48:AW48"/>
    <mergeCell ref="B49:G50"/>
    <mergeCell ref="H49:N50"/>
    <mergeCell ref="O49:R50"/>
    <mergeCell ref="S49:AW49"/>
    <mergeCell ref="AX49:BC50"/>
    <mergeCell ref="BD49:BJ50"/>
    <mergeCell ref="S50:AW50"/>
    <mergeCell ref="B51:G52"/>
    <mergeCell ref="H51:N52"/>
    <mergeCell ref="O51:R52"/>
    <mergeCell ref="S51:AW51"/>
    <mergeCell ref="AX51:BC52"/>
    <mergeCell ref="BD51:BJ52"/>
    <mergeCell ref="S52:AW52"/>
    <mergeCell ref="B53:G54"/>
    <mergeCell ref="H53:N54"/>
    <mergeCell ref="O53:R54"/>
    <mergeCell ref="S53:AW53"/>
    <mergeCell ref="AX53:BC54"/>
    <mergeCell ref="BD53:BJ54"/>
    <mergeCell ref="S54:AW5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5" orientation="landscape" r:id="rId1"/>
  <headerFooter>
    <oddHeader>&amp;R&amp;F</oddHeader>
    <oddFooter>&amp;C&amp;P / &amp;N ページ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CB5D3-5797-44B6-8AF6-1FA1FE90B30F}">
  <sheetPr>
    <tabColor rgb="FFFF0000"/>
    <pageSetUpPr fitToPage="1"/>
  </sheetPr>
  <dimension ref="A1:BK520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52" customWidth="1"/>
    <col min="64" max="16384" width="10.109375" style="52"/>
  </cols>
  <sheetData>
    <row r="1" spans="1:63" ht="24.95" customHeight="1" x14ac:dyDescent="0.25">
      <c r="A1" s="208" t="s">
        <v>104</v>
      </c>
      <c r="B1" s="209"/>
      <c r="C1" s="209"/>
      <c r="D1" s="209"/>
      <c r="E1" s="209"/>
      <c r="F1" s="209"/>
      <c r="G1" s="209"/>
      <c r="H1" s="209"/>
      <c r="I1" s="209"/>
      <c r="J1" s="210"/>
      <c r="K1" s="208" t="s">
        <v>105</v>
      </c>
      <c r="L1" s="209"/>
      <c r="M1" s="209"/>
      <c r="N1" s="209"/>
      <c r="O1" s="209"/>
      <c r="P1" s="209"/>
      <c r="Q1" s="209"/>
      <c r="R1" s="209"/>
      <c r="S1" s="209"/>
      <c r="T1" s="209"/>
      <c r="U1" s="209"/>
      <c r="V1" s="210"/>
      <c r="W1" s="211" t="s">
        <v>106</v>
      </c>
      <c r="X1" s="212"/>
      <c r="Y1" s="212"/>
      <c r="Z1" s="212"/>
      <c r="AA1" s="212"/>
      <c r="AB1" s="212"/>
      <c r="AC1" s="212"/>
      <c r="AD1" s="212"/>
      <c r="AE1" s="212"/>
      <c r="AF1" s="212"/>
      <c r="AG1" s="212"/>
      <c r="AH1" s="212"/>
      <c r="AI1" s="212"/>
      <c r="AJ1" s="212"/>
      <c r="AK1" s="212"/>
      <c r="AL1" s="212"/>
      <c r="AM1" s="212"/>
      <c r="AN1" s="212"/>
      <c r="AO1" s="213"/>
      <c r="AP1" s="214" t="s">
        <v>107</v>
      </c>
      <c r="AQ1" s="215"/>
      <c r="AR1" s="215"/>
      <c r="AS1" s="216"/>
      <c r="AT1" s="214" t="s">
        <v>108</v>
      </c>
      <c r="AU1" s="215"/>
      <c r="AV1" s="215"/>
      <c r="AW1" s="215"/>
      <c r="AX1" s="216"/>
      <c r="AY1" s="214" t="s">
        <v>109</v>
      </c>
      <c r="AZ1" s="215"/>
      <c r="BA1" s="215"/>
      <c r="BB1" s="216"/>
      <c r="BC1" s="214" t="s">
        <v>110</v>
      </c>
      <c r="BD1" s="215"/>
      <c r="BE1" s="215"/>
      <c r="BF1" s="215"/>
      <c r="BG1" s="216"/>
      <c r="BH1" s="214" t="s">
        <v>111</v>
      </c>
      <c r="BI1" s="215"/>
      <c r="BJ1" s="215"/>
      <c r="BK1" s="216"/>
    </row>
    <row r="2" spans="1:63" ht="15" customHeight="1" x14ac:dyDescent="0.25">
      <c r="A2" s="172" t="s">
        <v>15</v>
      </c>
      <c r="B2" s="173"/>
      <c r="C2" s="173"/>
      <c r="D2" s="173"/>
      <c r="E2" s="173"/>
      <c r="F2" s="173"/>
      <c r="G2" s="173"/>
      <c r="H2" s="173"/>
      <c r="I2" s="173"/>
      <c r="J2" s="174"/>
      <c r="K2" s="172" t="s">
        <v>15</v>
      </c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4"/>
      <c r="W2" s="217"/>
      <c r="X2" s="218"/>
      <c r="Y2" s="218"/>
      <c r="Z2" s="218"/>
      <c r="AA2" s="218"/>
      <c r="AB2" s="218"/>
      <c r="AC2" s="218"/>
      <c r="AD2" s="218"/>
      <c r="AE2" s="218"/>
      <c r="AF2" s="218"/>
      <c r="AG2" s="218"/>
      <c r="AH2" s="218"/>
      <c r="AI2" s="218"/>
      <c r="AJ2" s="218"/>
      <c r="AK2" s="218"/>
      <c r="AL2" s="218"/>
      <c r="AM2" s="218"/>
      <c r="AN2" s="218"/>
      <c r="AO2" s="219"/>
      <c r="AP2" s="220" t="s">
        <v>74</v>
      </c>
      <c r="AQ2" s="221"/>
      <c r="AR2" s="221"/>
      <c r="AS2" s="222"/>
      <c r="AT2" s="223">
        <v>45462</v>
      </c>
      <c r="AU2" s="224"/>
      <c r="AV2" s="224"/>
      <c r="AW2" s="224"/>
      <c r="AX2" s="225"/>
      <c r="AY2" s="220" t="s">
        <v>74</v>
      </c>
      <c r="AZ2" s="221"/>
      <c r="BA2" s="221"/>
      <c r="BB2" s="222"/>
      <c r="BC2" s="223">
        <v>45462</v>
      </c>
      <c r="BD2" s="224"/>
      <c r="BE2" s="224"/>
      <c r="BF2" s="224"/>
      <c r="BG2" s="225"/>
      <c r="BH2" s="220">
        <v>0.1</v>
      </c>
      <c r="BI2" s="221"/>
      <c r="BJ2" s="221"/>
      <c r="BK2" s="222"/>
    </row>
    <row r="3" spans="1:63" ht="15" customHeight="1" x14ac:dyDescent="0.25">
      <c r="A3" s="175"/>
      <c r="B3" s="176"/>
      <c r="C3" s="176"/>
      <c r="D3" s="176"/>
      <c r="E3" s="176"/>
      <c r="F3" s="176"/>
      <c r="G3" s="176"/>
      <c r="H3" s="176"/>
      <c r="I3" s="176"/>
      <c r="J3" s="177"/>
      <c r="K3" s="175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7"/>
      <c r="W3" s="226"/>
      <c r="X3" s="227"/>
      <c r="Y3" s="227"/>
      <c r="Z3" s="227"/>
      <c r="AA3" s="227"/>
      <c r="AB3" s="227"/>
      <c r="AC3" s="227"/>
      <c r="AD3" s="227"/>
      <c r="AE3" s="227"/>
      <c r="AF3" s="227"/>
      <c r="AG3" s="227"/>
      <c r="AH3" s="227"/>
      <c r="AI3" s="227"/>
      <c r="AJ3" s="227"/>
      <c r="AK3" s="227"/>
      <c r="AL3" s="227"/>
      <c r="AM3" s="227"/>
      <c r="AN3" s="227"/>
      <c r="AO3" s="228"/>
      <c r="AP3" s="229"/>
      <c r="AQ3" s="230"/>
      <c r="AR3" s="230"/>
      <c r="AS3" s="231"/>
      <c r="AT3" s="232"/>
      <c r="AU3" s="233"/>
      <c r="AV3" s="233"/>
      <c r="AW3" s="233"/>
      <c r="AX3" s="234"/>
      <c r="AY3" s="229"/>
      <c r="AZ3" s="230"/>
      <c r="BA3" s="230"/>
      <c r="BB3" s="231"/>
      <c r="BC3" s="232"/>
      <c r="BD3" s="233"/>
      <c r="BE3" s="233"/>
      <c r="BF3" s="233"/>
      <c r="BG3" s="234"/>
      <c r="BH3" s="229"/>
      <c r="BI3" s="230"/>
      <c r="BJ3" s="230"/>
      <c r="BK3" s="231"/>
    </row>
    <row r="4" spans="1:63" ht="24.95" customHeight="1" x14ac:dyDescent="0.25">
      <c r="A4" s="235" t="s">
        <v>112</v>
      </c>
      <c r="B4" s="209"/>
      <c r="C4" s="209"/>
      <c r="D4" s="209"/>
      <c r="E4" s="209"/>
      <c r="F4" s="209"/>
      <c r="G4" s="210"/>
      <c r="H4" s="236" t="str">
        <f>IF(表紙!H4="","",表紙!H4)</f>
        <v>10_プロモーションメンテ</v>
      </c>
      <c r="I4" s="237"/>
      <c r="J4" s="237"/>
      <c r="K4" s="237"/>
      <c r="L4" s="237"/>
      <c r="M4" s="237"/>
      <c r="N4" s="237"/>
      <c r="O4" s="237"/>
      <c r="P4" s="237"/>
      <c r="Q4" s="237"/>
      <c r="R4" s="237"/>
      <c r="S4" s="237"/>
      <c r="T4" s="238"/>
      <c r="U4" s="208" t="s">
        <v>113</v>
      </c>
      <c r="V4" s="209"/>
      <c r="W4" s="209"/>
      <c r="X4" s="209"/>
      <c r="Y4" s="210"/>
      <c r="Z4" s="168" t="s">
        <v>17</v>
      </c>
      <c r="AA4" s="169"/>
      <c r="AB4" s="169"/>
      <c r="AC4" s="169"/>
      <c r="AD4" s="169"/>
      <c r="AE4" s="169"/>
      <c r="AF4" s="169"/>
      <c r="AG4" s="169"/>
      <c r="AH4" s="169"/>
      <c r="AI4" s="169"/>
      <c r="AJ4" s="169"/>
      <c r="AK4" s="169"/>
      <c r="AL4" s="169"/>
      <c r="AM4" s="169"/>
      <c r="AN4" s="169"/>
      <c r="AO4" s="170"/>
      <c r="AP4" s="171" t="str">
        <f ca="1">MID(CELL("filename",A1),FIND("]",CELL("filename",A1))+1,255)</f>
        <v>SC1001</v>
      </c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70"/>
    </row>
    <row r="5" spans="1:63" ht="5.0999999999999996" customHeight="1" x14ac:dyDescent="0.25">
      <c r="A5" s="53"/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5"/>
    </row>
    <row r="6" spans="1:63" ht="15" customHeight="1" x14ac:dyDescent="0.25">
      <c r="A6" s="56"/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  <c r="BI6" s="57"/>
      <c r="BJ6" s="57"/>
      <c r="BK6" s="58"/>
    </row>
    <row r="7" spans="1:63" s="240" customFormat="1" ht="15" customHeight="1" x14ac:dyDescent="0.25">
      <c r="A7" s="239" t="s">
        <v>24</v>
      </c>
      <c r="BK7" s="241"/>
    </row>
    <row r="8" spans="1:63" s="240" customFormat="1" ht="15" customHeight="1" x14ac:dyDescent="0.25">
      <c r="A8" s="239"/>
      <c r="BK8" s="241"/>
    </row>
    <row r="9" spans="1:63" s="240" customFormat="1" ht="15" customHeight="1" x14ac:dyDescent="0.25">
      <c r="A9" s="214" t="s">
        <v>114</v>
      </c>
      <c r="B9" s="215"/>
      <c r="C9" s="215"/>
      <c r="D9" s="215"/>
      <c r="E9" s="242" t="s">
        <v>98</v>
      </c>
      <c r="F9" s="242"/>
      <c r="G9" s="242"/>
      <c r="H9" s="242"/>
      <c r="I9" s="242"/>
      <c r="J9" s="242"/>
      <c r="K9" s="242"/>
      <c r="L9" s="242"/>
      <c r="M9" s="242"/>
      <c r="N9" s="242"/>
      <c r="O9" s="214" t="s">
        <v>115</v>
      </c>
      <c r="P9" s="215"/>
      <c r="Q9" s="215"/>
      <c r="R9" s="215"/>
      <c r="S9" s="215"/>
      <c r="T9" s="216"/>
      <c r="U9" s="243" t="s">
        <v>116</v>
      </c>
      <c r="V9" s="244"/>
      <c r="W9" s="244"/>
      <c r="X9" s="244"/>
      <c r="Y9" s="244"/>
      <c r="Z9" s="244"/>
      <c r="AA9" s="244"/>
      <c r="AB9" s="244"/>
      <c r="AC9" s="244"/>
      <c r="AD9" s="244"/>
      <c r="AE9" s="244"/>
      <c r="AF9" s="244"/>
      <c r="AG9" s="244"/>
      <c r="AH9" s="244"/>
      <c r="AI9" s="244"/>
      <c r="AJ9" s="244"/>
      <c r="AK9" s="244"/>
      <c r="AL9" s="244"/>
      <c r="AM9" s="244"/>
      <c r="AN9" s="244"/>
      <c r="AO9" s="244"/>
      <c r="AP9" s="244"/>
      <c r="AQ9" s="244"/>
      <c r="AR9" s="244"/>
      <c r="AS9" s="244"/>
      <c r="AT9" s="244"/>
      <c r="AU9" s="244"/>
      <c r="AV9" s="244"/>
      <c r="AW9" s="244"/>
      <c r="AX9" s="244"/>
      <c r="AY9" s="244"/>
      <c r="AZ9" s="244"/>
      <c r="BA9" s="244"/>
      <c r="BB9" s="244"/>
      <c r="BC9" s="244"/>
      <c r="BD9" s="244"/>
      <c r="BE9" s="244"/>
      <c r="BF9" s="244"/>
      <c r="BG9" s="244"/>
      <c r="BH9" s="244"/>
      <c r="BI9" s="244"/>
      <c r="BJ9" s="244"/>
      <c r="BK9" s="245"/>
    </row>
    <row r="10" spans="1:63" ht="15" customHeight="1" x14ac:dyDescent="0.25">
      <c r="A10" s="59"/>
      <c r="BK10" s="60"/>
    </row>
    <row r="11" spans="1:63" s="240" customFormat="1" ht="15" customHeight="1" x14ac:dyDescent="0.25">
      <c r="A11" s="246" t="s">
        <v>18</v>
      </c>
      <c r="B11" s="247"/>
      <c r="C11" s="247"/>
      <c r="D11" s="247"/>
      <c r="E11" s="247"/>
      <c r="F11" s="248"/>
      <c r="G11" s="242" t="s">
        <v>44</v>
      </c>
      <c r="H11" s="242"/>
      <c r="I11" s="242"/>
      <c r="J11" s="242"/>
      <c r="K11" s="242"/>
      <c r="L11" s="242"/>
      <c r="M11" s="249" t="s">
        <v>30</v>
      </c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250"/>
      <c r="BI11" s="250"/>
      <c r="BJ11" s="250"/>
      <c r="BK11" s="251"/>
    </row>
    <row r="12" spans="1:63" s="240" customFormat="1" ht="15" customHeight="1" x14ac:dyDescent="0.25">
      <c r="A12" s="252" t="s">
        <v>20</v>
      </c>
      <c r="B12" s="253"/>
      <c r="C12" s="253"/>
      <c r="D12" s="253"/>
      <c r="E12" s="253"/>
      <c r="F12" s="253"/>
      <c r="G12" s="253"/>
      <c r="H12" s="253"/>
      <c r="I12" s="253"/>
      <c r="J12" s="253"/>
      <c r="K12" s="253"/>
      <c r="L12" s="254"/>
      <c r="M12" s="252" t="s">
        <v>21</v>
      </c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  <c r="AG12" s="253"/>
      <c r="AH12" s="253"/>
      <c r="AI12" s="253"/>
      <c r="AJ12" s="253"/>
      <c r="AK12" s="253"/>
      <c r="AL12" s="253"/>
      <c r="AM12" s="253"/>
      <c r="AN12" s="253"/>
      <c r="AO12" s="253"/>
      <c r="AP12" s="253"/>
      <c r="AQ12" s="253"/>
      <c r="AR12" s="253"/>
      <c r="AS12" s="253"/>
      <c r="AT12" s="254"/>
      <c r="AU12" s="252" t="s">
        <v>22</v>
      </c>
      <c r="AV12" s="253"/>
      <c r="AW12" s="253"/>
      <c r="AX12" s="253"/>
      <c r="AY12" s="253"/>
      <c r="AZ12" s="253"/>
      <c r="BA12" s="253"/>
      <c r="BB12" s="253"/>
      <c r="BC12" s="253"/>
      <c r="BD12" s="253"/>
      <c r="BE12" s="253"/>
      <c r="BF12" s="252" t="s">
        <v>23</v>
      </c>
      <c r="BG12" s="253"/>
      <c r="BH12" s="253"/>
      <c r="BI12" s="253"/>
      <c r="BJ12" s="253"/>
      <c r="BK12" s="254"/>
    </row>
    <row r="13" spans="1:63" s="240" customFormat="1" ht="15" customHeight="1" x14ac:dyDescent="0.25">
      <c r="A13" s="255"/>
      <c r="B13" s="256"/>
      <c r="C13" s="256"/>
      <c r="D13" s="256"/>
      <c r="E13" s="256"/>
      <c r="F13" s="256"/>
      <c r="G13" s="256"/>
      <c r="H13" s="256"/>
      <c r="I13" s="256"/>
      <c r="J13" s="256"/>
      <c r="K13" s="256"/>
      <c r="L13" s="257"/>
      <c r="M13" s="255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7"/>
      <c r="AU13" s="255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5"/>
      <c r="BG13" s="256"/>
      <c r="BH13" s="256"/>
      <c r="BI13" s="256"/>
      <c r="BJ13" s="256"/>
      <c r="BK13" s="257"/>
    </row>
    <row r="14" spans="1:63" s="240" customFormat="1" ht="15" customHeight="1" x14ac:dyDescent="0.25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8"/>
      <c r="M14" s="258"/>
      <c r="N14" s="258"/>
      <c r="O14" s="258"/>
      <c r="P14" s="258"/>
      <c r="Q14" s="258"/>
      <c r="R14" s="25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59"/>
      <c r="AK14" s="259"/>
      <c r="AL14" s="259"/>
      <c r="AM14" s="259"/>
      <c r="AN14" s="259"/>
      <c r="AO14" s="259"/>
      <c r="AP14" s="259"/>
      <c r="AQ14" s="259"/>
      <c r="AR14" s="259"/>
      <c r="AS14" s="259"/>
      <c r="AT14" s="259"/>
      <c r="AU14" s="36"/>
      <c r="AV14" s="37"/>
      <c r="AW14" s="37"/>
      <c r="AX14" s="37"/>
      <c r="AY14" s="37"/>
      <c r="AZ14" s="37"/>
      <c r="BA14" s="37"/>
      <c r="BB14" s="37"/>
      <c r="BC14" s="37"/>
      <c r="BD14" s="37"/>
      <c r="BE14" s="38"/>
      <c r="BF14" s="260" t="s">
        <v>60</v>
      </c>
      <c r="BG14" s="261"/>
      <c r="BH14" s="261"/>
      <c r="BI14" s="261"/>
      <c r="BJ14" s="261"/>
      <c r="BK14" s="262"/>
    </row>
    <row r="15" spans="1:63" s="240" customFormat="1" ht="15" customHeight="1" x14ac:dyDescent="0.25">
      <c r="A15" s="39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0"/>
      <c r="M15" s="258"/>
      <c r="N15" s="61" t="s">
        <v>117</v>
      </c>
      <c r="O15" s="258"/>
      <c r="P15" s="258"/>
      <c r="Q15" s="258"/>
      <c r="R15" s="258"/>
      <c r="S15" s="258"/>
      <c r="T15" s="258"/>
      <c r="U15" s="258"/>
      <c r="V15" s="258"/>
      <c r="W15" s="258"/>
      <c r="X15" s="258"/>
      <c r="Y15" s="258"/>
      <c r="Z15" s="258"/>
      <c r="AA15" s="258"/>
      <c r="AB15" s="258"/>
      <c r="AC15" s="258"/>
      <c r="AD15" s="258"/>
      <c r="AE15" s="258"/>
      <c r="AF15" s="258"/>
      <c r="AG15" s="258"/>
      <c r="AH15" s="258"/>
      <c r="AI15" s="258"/>
      <c r="AJ15" s="258"/>
      <c r="AK15" s="258"/>
      <c r="AL15" s="258"/>
      <c r="AM15" s="258"/>
      <c r="AN15" s="258"/>
      <c r="AO15" s="258"/>
      <c r="AP15" s="258"/>
      <c r="AQ15" s="258"/>
      <c r="AR15" s="258"/>
      <c r="AS15" s="258"/>
      <c r="AT15" s="258"/>
      <c r="AU15" s="39"/>
      <c r="AV15" s="47"/>
      <c r="AW15" s="47"/>
      <c r="AX15" s="47"/>
      <c r="AY15" s="47"/>
      <c r="AZ15" s="47"/>
      <c r="BA15" s="47"/>
      <c r="BB15" s="47"/>
      <c r="BC15" s="47"/>
      <c r="BD15" s="47"/>
      <c r="BE15" s="40"/>
      <c r="BF15" s="263"/>
      <c r="BG15" s="264"/>
      <c r="BH15" s="264"/>
      <c r="BI15" s="264"/>
      <c r="BJ15" s="264"/>
      <c r="BK15" s="265"/>
    </row>
    <row r="16" spans="1:63" s="240" customFormat="1" ht="15" customHeight="1" x14ac:dyDescent="0.25">
      <c r="A16" s="39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0"/>
      <c r="M16" s="266"/>
      <c r="N16" s="258"/>
      <c r="O16" s="267" t="s">
        <v>61</v>
      </c>
      <c r="P16" s="267"/>
      <c r="Q16" s="267"/>
      <c r="R16" s="267"/>
      <c r="S16" s="267"/>
      <c r="T16" s="267"/>
      <c r="U16" s="267"/>
      <c r="V16" s="267"/>
      <c r="W16" s="267"/>
      <c r="X16" s="267"/>
      <c r="Y16" s="267"/>
      <c r="Z16" s="267"/>
      <c r="AA16" s="267"/>
      <c r="AB16" s="267"/>
      <c r="AC16" s="267"/>
      <c r="AD16" s="267"/>
      <c r="AE16" s="267"/>
      <c r="AF16" s="267"/>
      <c r="AG16" s="267"/>
      <c r="AH16" s="267"/>
      <c r="AI16" s="267"/>
      <c r="AJ16" s="258"/>
      <c r="AK16" s="258"/>
      <c r="AL16" s="258"/>
      <c r="AM16" s="258"/>
      <c r="AN16" s="258"/>
      <c r="AO16" s="258"/>
      <c r="AP16" s="258"/>
      <c r="AQ16" s="258"/>
      <c r="AR16" s="258"/>
      <c r="AS16" s="258"/>
      <c r="AT16" s="258"/>
      <c r="AU16" s="39"/>
      <c r="AV16" s="47"/>
      <c r="AW16" s="47"/>
      <c r="AX16" s="47"/>
      <c r="AY16" s="47"/>
      <c r="AZ16" s="47"/>
      <c r="BA16" s="47"/>
      <c r="BB16" s="47"/>
      <c r="BC16" s="47"/>
      <c r="BD16" s="47"/>
      <c r="BE16" s="40"/>
      <c r="BF16" s="263"/>
      <c r="BG16" s="264"/>
      <c r="BH16" s="264"/>
      <c r="BI16" s="264"/>
      <c r="BJ16" s="264"/>
      <c r="BK16" s="265"/>
    </row>
    <row r="17" spans="1:63" s="240" customFormat="1" ht="15" customHeight="1" x14ac:dyDescent="0.25">
      <c r="A17" s="39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0"/>
      <c r="M17" s="258"/>
      <c r="O17" s="267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  <c r="AA17" s="267"/>
      <c r="AB17" s="267"/>
      <c r="AC17" s="267"/>
      <c r="AD17" s="267"/>
      <c r="AE17" s="267"/>
      <c r="AF17" s="267"/>
      <c r="AG17" s="267"/>
      <c r="AH17" s="267"/>
      <c r="AI17" s="267"/>
      <c r="AJ17" s="258"/>
      <c r="AK17" s="258"/>
      <c r="AL17" s="258"/>
      <c r="AM17" s="258"/>
      <c r="AN17" s="258"/>
      <c r="AO17" s="258"/>
      <c r="AP17" s="258"/>
      <c r="AQ17" s="258"/>
      <c r="AR17" s="258"/>
      <c r="AS17" s="258"/>
      <c r="AT17" s="258"/>
      <c r="AU17" s="39"/>
      <c r="AV17" s="47"/>
      <c r="AW17" s="47"/>
      <c r="AX17" s="47"/>
      <c r="AY17" s="47"/>
      <c r="AZ17" s="47"/>
      <c r="BA17" s="47"/>
      <c r="BB17" s="47"/>
      <c r="BC17" s="47"/>
      <c r="BD17" s="47"/>
      <c r="BE17" s="40"/>
      <c r="BF17" s="263"/>
      <c r="BG17" s="264"/>
      <c r="BH17" s="264"/>
      <c r="BI17" s="264"/>
      <c r="BJ17" s="264"/>
      <c r="BK17" s="265"/>
    </row>
    <row r="18" spans="1:63" s="240" customFormat="1" ht="15" customHeight="1" x14ac:dyDescent="0.25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3"/>
      <c r="M18" s="268"/>
      <c r="N18" s="269"/>
      <c r="O18" s="269"/>
      <c r="P18" s="269"/>
      <c r="Q18" s="269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270"/>
      <c r="AQ18" s="270"/>
      <c r="AR18" s="270"/>
      <c r="AS18" s="270"/>
      <c r="AT18" s="270"/>
      <c r="AU18" s="41"/>
      <c r="AV18" s="42"/>
      <c r="AW18" s="42"/>
      <c r="AX18" s="42"/>
      <c r="AY18" s="42"/>
      <c r="AZ18" s="42"/>
      <c r="BA18" s="42"/>
      <c r="BB18" s="42"/>
      <c r="BC18" s="42"/>
      <c r="BD18" s="42"/>
      <c r="BE18" s="43"/>
      <c r="BF18" s="159"/>
      <c r="BG18" s="160"/>
      <c r="BH18" s="160"/>
      <c r="BI18" s="160"/>
      <c r="BJ18" s="160"/>
      <c r="BK18" s="161"/>
    </row>
    <row r="19" spans="1:63" ht="15" customHeight="1" x14ac:dyDescent="0.25">
      <c r="A19" s="56"/>
      <c r="BK19" s="60"/>
    </row>
    <row r="20" spans="1:63" ht="15" customHeight="1" x14ac:dyDescent="0.25">
      <c r="A20" s="59"/>
      <c r="BK20" s="60"/>
    </row>
    <row r="21" spans="1:63" ht="15" customHeight="1" x14ac:dyDescent="0.25">
      <c r="A21" s="59"/>
      <c r="BK21" s="60"/>
    </row>
    <row r="22" spans="1:63" s="240" customFormat="1" ht="15" customHeight="1" x14ac:dyDescent="0.25">
      <c r="A22" s="246" t="s">
        <v>18</v>
      </c>
      <c r="B22" s="247"/>
      <c r="C22" s="247"/>
      <c r="D22" s="247"/>
      <c r="E22" s="247"/>
      <c r="F22" s="248"/>
      <c r="G22" s="242" t="s">
        <v>43</v>
      </c>
      <c r="H22" s="242"/>
      <c r="I22" s="242"/>
      <c r="J22" s="242"/>
      <c r="K22" s="242"/>
      <c r="L22" s="242"/>
      <c r="M22" s="249" t="s">
        <v>34</v>
      </c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250"/>
      <c r="BI22" s="250"/>
      <c r="BJ22" s="250"/>
      <c r="BK22" s="251"/>
    </row>
    <row r="23" spans="1:63" s="240" customFormat="1" ht="15" customHeight="1" x14ac:dyDescent="0.25">
      <c r="A23" s="252" t="s">
        <v>20</v>
      </c>
      <c r="B23" s="253"/>
      <c r="C23" s="253"/>
      <c r="D23" s="253"/>
      <c r="E23" s="253"/>
      <c r="F23" s="253"/>
      <c r="G23" s="253"/>
      <c r="H23" s="253"/>
      <c r="I23" s="253"/>
      <c r="J23" s="253"/>
      <c r="K23" s="253"/>
      <c r="L23" s="254"/>
      <c r="M23" s="252" t="s">
        <v>21</v>
      </c>
      <c r="N23" s="253"/>
      <c r="O23" s="253"/>
      <c r="P23" s="253"/>
      <c r="Q23" s="253"/>
      <c r="R23" s="253"/>
      <c r="S23" s="253"/>
      <c r="T23" s="253"/>
      <c r="U23" s="253"/>
      <c r="V23" s="253"/>
      <c r="W23" s="253"/>
      <c r="X23" s="253"/>
      <c r="Y23" s="253"/>
      <c r="Z23" s="253"/>
      <c r="AA23" s="253"/>
      <c r="AB23" s="253"/>
      <c r="AC23" s="253"/>
      <c r="AD23" s="253"/>
      <c r="AE23" s="253"/>
      <c r="AF23" s="253"/>
      <c r="AG23" s="253"/>
      <c r="AH23" s="253"/>
      <c r="AI23" s="253"/>
      <c r="AJ23" s="253"/>
      <c r="AK23" s="253"/>
      <c r="AL23" s="253"/>
      <c r="AM23" s="253"/>
      <c r="AN23" s="253"/>
      <c r="AO23" s="253"/>
      <c r="AP23" s="253"/>
      <c r="AQ23" s="253"/>
      <c r="AR23" s="253"/>
      <c r="AS23" s="253"/>
      <c r="AT23" s="254"/>
      <c r="AU23" s="252" t="s">
        <v>22</v>
      </c>
      <c r="AV23" s="253"/>
      <c r="AW23" s="253"/>
      <c r="AX23" s="253"/>
      <c r="AY23" s="253"/>
      <c r="AZ23" s="253"/>
      <c r="BA23" s="253"/>
      <c r="BB23" s="253"/>
      <c r="BC23" s="253"/>
      <c r="BD23" s="253"/>
      <c r="BE23" s="253"/>
      <c r="BF23" s="252" t="s">
        <v>23</v>
      </c>
      <c r="BG23" s="253"/>
      <c r="BH23" s="253"/>
      <c r="BI23" s="253"/>
      <c r="BJ23" s="253"/>
      <c r="BK23" s="254"/>
    </row>
    <row r="24" spans="1:63" s="240" customFormat="1" ht="15" customHeight="1" x14ac:dyDescent="0.25">
      <c r="A24" s="255"/>
      <c r="B24" s="256"/>
      <c r="C24" s="256"/>
      <c r="D24" s="256"/>
      <c r="E24" s="256"/>
      <c r="F24" s="256"/>
      <c r="G24" s="256"/>
      <c r="H24" s="256"/>
      <c r="I24" s="256"/>
      <c r="J24" s="256"/>
      <c r="K24" s="256"/>
      <c r="L24" s="257"/>
      <c r="M24" s="255"/>
      <c r="N24" s="256"/>
      <c r="O24" s="256"/>
      <c r="P24" s="256"/>
      <c r="Q24" s="256"/>
      <c r="R24" s="256"/>
      <c r="S24" s="256"/>
      <c r="T24" s="256"/>
      <c r="U24" s="256"/>
      <c r="V24" s="256"/>
      <c r="W24" s="256"/>
      <c r="X24" s="256"/>
      <c r="Y24" s="256"/>
      <c r="Z24" s="256"/>
      <c r="AA24" s="256"/>
      <c r="AB24" s="256"/>
      <c r="AC24" s="256"/>
      <c r="AD24" s="256"/>
      <c r="AE24" s="256"/>
      <c r="AF24" s="256"/>
      <c r="AG24" s="256"/>
      <c r="AH24" s="256"/>
      <c r="AI24" s="256"/>
      <c r="AJ24" s="256"/>
      <c r="AK24" s="256"/>
      <c r="AL24" s="256"/>
      <c r="AM24" s="256"/>
      <c r="AN24" s="256"/>
      <c r="AO24" s="256"/>
      <c r="AP24" s="256"/>
      <c r="AQ24" s="256"/>
      <c r="AR24" s="256"/>
      <c r="AS24" s="256"/>
      <c r="AT24" s="257"/>
      <c r="AU24" s="255"/>
      <c r="AV24" s="256"/>
      <c r="AW24" s="256"/>
      <c r="AX24" s="256"/>
      <c r="AY24" s="256"/>
      <c r="AZ24" s="256"/>
      <c r="BA24" s="256"/>
      <c r="BB24" s="256"/>
      <c r="BC24" s="256"/>
      <c r="BD24" s="256"/>
      <c r="BE24" s="256"/>
      <c r="BF24" s="255"/>
      <c r="BG24" s="256"/>
      <c r="BH24" s="256"/>
      <c r="BI24" s="256"/>
      <c r="BJ24" s="256"/>
      <c r="BK24" s="257"/>
    </row>
    <row r="25" spans="1:63" s="240" customFormat="1" ht="15" customHeight="1" x14ac:dyDescent="0.25">
      <c r="A25" s="36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8"/>
      <c r="M25" s="258"/>
      <c r="N25" s="258"/>
      <c r="O25" s="258"/>
      <c r="P25" s="258"/>
      <c r="Q25" s="258"/>
      <c r="R25" s="259"/>
      <c r="S25" s="259"/>
      <c r="T25" s="259"/>
      <c r="U25" s="259"/>
      <c r="V25" s="259"/>
      <c r="W25" s="259"/>
      <c r="X25" s="259"/>
      <c r="Y25" s="259"/>
      <c r="Z25" s="259"/>
      <c r="AA25" s="259"/>
      <c r="AB25" s="259"/>
      <c r="AC25" s="259"/>
      <c r="AD25" s="259"/>
      <c r="AE25" s="259"/>
      <c r="AF25" s="259"/>
      <c r="AG25" s="259"/>
      <c r="AH25" s="259"/>
      <c r="AI25" s="259"/>
      <c r="AJ25" s="259"/>
      <c r="AK25" s="259"/>
      <c r="AL25" s="259"/>
      <c r="AM25" s="259"/>
      <c r="AN25" s="259"/>
      <c r="AO25" s="259"/>
      <c r="AP25" s="259"/>
      <c r="AQ25" s="259"/>
      <c r="AR25" s="259"/>
      <c r="AS25" s="259"/>
      <c r="AT25" s="259"/>
      <c r="AU25" s="36"/>
      <c r="AV25" s="37"/>
      <c r="AW25" s="37"/>
      <c r="AX25" s="37"/>
      <c r="AY25" s="37"/>
      <c r="AZ25" s="37"/>
      <c r="BA25" s="37"/>
      <c r="BB25" s="37"/>
      <c r="BC25" s="37"/>
      <c r="BD25" s="37"/>
      <c r="BE25" s="38"/>
      <c r="BF25" s="162" t="s">
        <v>118</v>
      </c>
      <c r="BG25" s="163"/>
      <c r="BH25" s="163"/>
      <c r="BI25" s="163"/>
      <c r="BJ25" s="163"/>
      <c r="BK25" s="164"/>
    </row>
    <row r="26" spans="1:63" s="240" customFormat="1" ht="15" customHeight="1" x14ac:dyDescent="0.25">
      <c r="A26" s="39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0"/>
      <c r="M26" s="258"/>
      <c r="N26" s="61" t="s">
        <v>119</v>
      </c>
      <c r="O26" s="258"/>
      <c r="P26" s="258"/>
      <c r="Q26" s="258"/>
      <c r="R26" s="258"/>
      <c r="S26" s="258"/>
      <c r="T26" s="258"/>
      <c r="U26" s="258"/>
      <c r="V26" s="258"/>
      <c r="W26" s="258"/>
      <c r="X26" s="258"/>
      <c r="Y26" s="258"/>
      <c r="Z26" s="258"/>
      <c r="AA26" s="258"/>
      <c r="AB26" s="258"/>
      <c r="AC26" s="258"/>
      <c r="AD26" s="258"/>
      <c r="AE26" s="258"/>
      <c r="AF26" s="258"/>
      <c r="AG26" s="258"/>
      <c r="AH26" s="258"/>
      <c r="AI26" s="258"/>
      <c r="AJ26" s="258"/>
      <c r="AK26" s="258"/>
      <c r="AL26" s="258"/>
      <c r="AM26" s="258"/>
      <c r="AN26" s="258"/>
      <c r="AO26" s="258"/>
      <c r="AP26" s="258"/>
      <c r="AQ26" s="258"/>
      <c r="AR26" s="258"/>
      <c r="AS26" s="258"/>
      <c r="AT26" s="258"/>
      <c r="AU26" s="39"/>
      <c r="AV26" s="47"/>
      <c r="AW26" s="47"/>
      <c r="AX26" s="47"/>
      <c r="AY26" s="47"/>
      <c r="AZ26" s="47"/>
      <c r="BA26" s="47"/>
      <c r="BB26" s="47"/>
      <c r="BC26" s="47"/>
      <c r="BD26" s="47"/>
      <c r="BE26" s="40"/>
      <c r="BF26" s="156"/>
      <c r="BG26" s="157"/>
      <c r="BH26" s="157"/>
      <c r="BI26" s="157"/>
      <c r="BJ26" s="157"/>
      <c r="BK26" s="158"/>
    </row>
    <row r="27" spans="1:63" s="240" customFormat="1" ht="15" customHeight="1" x14ac:dyDescent="0.25">
      <c r="A27" s="39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0"/>
      <c r="M27" s="266"/>
      <c r="N27" s="258"/>
      <c r="O27" s="267"/>
      <c r="P27" s="267" t="s">
        <v>36</v>
      </c>
      <c r="Q27" s="267"/>
      <c r="R27" s="267"/>
      <c r="S27" s="267"/>
      <c r="T27" s="267"/>
      <c r="U27" s="267"/>
      <c r="V27" s="267"/>
      <c r="W27" s="267"/>
      <c r="X27" s="267"/>
      <c r="Y27" s="267"/>
      <c r="Z27" s="267"/>
      <c r="AA27" s="267"/>
      <c r="AB27" s="267"/>
      <c r="AC27" s="267"/>
      <c r="AD27" s="267"/>
      <c r="AE27" s="267"/>
      <c r="AF27" s="267"/>
      <c r="AG27" s="267"/>
      <c r="AH27" s="267"/>
      <c r="AI27" s="267"/>
      <c r="AJ27" s="267"/>
      <c r="AK27" s="258"/>
      <c r="AL27" s="258"/>
      <c r="AM27" s="258"/>
      <c r="AN27" s="258"/>
      <c r="AO27" s="258"/>
      <c r="AP27" s="258"/>
      <c r="AQ27" s="258"/>
      <c r="AR27" s="258"/>
      <c r="AS27" s="258"/>
      <c r="AT27" s="258"/>
      <c r="AU27" s="39"/>
      <c r="AV27" s="47"/>
      <c r="AW27" s="47"/>
      <c r="AX27" s="47"/>
      <c r="AY27" s="47"/>
      <c r="AZ27" s="47"/>
      <c r="BA27" s="47"/>
      <c r="BB27" s="47"/>
      <c r="BC27" s="47"/>
      <c r="BD27" s="47"/>
      <c r="BE27" s="40"/>
      <c r="BF27" s="156"/>
      <c r="BG27" s="157"/>
      <c r="BH27" s="157"/>
      <c r="BI27" s="157"/>
      <c r="BJ27" s="157"/>
      <c r="BK27" s="158"/>
    </row>
    <row r="28" spans="1:63" s="240" customFormat="1" ht="15" customHeight="1" x14ac:dyDescent="0.25">
      <c r="A28" s="39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0"/>
      <c r="M28" s="258"/>
      <c r="O28" s="267"/>
      <c r="P28" s="267"/>
      <c r="Q28" s="66" t="s">
        <v>31</v>
      </c>
      <c r="R28" s="67"/>
      <c r="S28" s="67"/>
      <c r="T28" s="67"/>
      <c r="U28" s="67"/>
      <c r="V28" s="67"/>
      <c r="W28" s="67"/>
      <c r="X28" s="66" t="s">
        <v>32</v>
      </c>
      <c r="Y28" s="67"/>
      <c r="Z28" s="67"/>
      <c r="AA28" s="67"/>
      <c r="AB28" s="67"/>
      <c r="AC28" s="67"/>
      <c r="AD28" s="67"/>
      <c r="AE28" s="67"/>
      <c r="AF28" s="67"/>
      <c r="AG28" s="67"/>
      <c r="AH28" s="67"/>
      <c r="AI28" s="67"/>
      <c r="AJ28" s="67"/>
      <c r="AK28" s="67"/>
      <c r="AL28" s="67"/>
      <c r="AM28" s="67"/>
      <c r="AN28" s="68"/>
      <c r="AO28" s="258"/>
      <c r="AP28" s="258"/>
      <c r="AQ28" s="258"/>
      <c r="AR28" s="258"/>
      <c r="AS28" s="258"/>
      <c r="AT28" s="258"/>
      <c r="AU28" s="39"/>
      <c r="AV28" s="47"/>
      <c r="AW28" s="47"/>
      <c r="AX28" s="47"/>
      <c r="AY28" s="47"/>
      <c r="AZ28" s="47"/>
      <c r="BA28" s="47"/>
      <c r="BB28" s="47"/>
      <c r="BC28" s="47"/>
      <c r="BD28" s="47"/>
      <c r="BE28" s="40"/>
      <c r="BF28" s="156"/>
      <c r="BG28" s="157"/>
      <c r="BH28" s="157"/>
      <c r="BI28" s="157"/>
      <c r="BJ28" s="157"/>
      <c r="BK28" s="158"/>
    </row>
    <row r="29" spans="1:63" s="240" customFormat="1" ht="15" customHeight="1" x14ac:dyDescent="0.25">
      <c r="A29" s="39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0"/>
      <c r="M29" s="258"/>
      <c r="N29" s="258"/>
      <c r="O29" s="267"/>
      <c r="P29" s="267"/>
      <c r="Q29" s="271" t="s">
        <v>35</v>
      </c>
      <c r="R29" s="272"/>
      <c r="S29" s="272"/>
      <c r="T29" s="272"/>
      <c r="U29" s="272"/>
      <c r="V29" s="272"/>
      <c r="W29" s="272"/>
      <c r="X29" s="273" t="s">
        <v>38</v>
      </c>
      <c r="Y29" s="274"/>
      <c r="Z29" s="274"/>
      <c r="AA29" s="274"/>
      <c r="AB29" s="274"/>
      <c r="AC29" s="274"/>
      <c r="AD29" s="274"/>
      <c r="AE29" s="274"/>
      <c r="AF29" s="274"/>
      <c r="AG29" s="274"/>
      <c r="AH29" s="274"/>
      <c r="AI29" s="274"/>
      <c r="AJ29" s="274"/>
      <c r="AK29" s="274"/>
      <c r="AL29" s="274"/>
      <c r="AM29" s="274"/>
      <c r="AN29" s="275"/>
      <c r="AO29" s="258"/>
      <c r="AP29" s="258"/>
      <c r="AQ29" s="258"/>
      <c r="AR29" s="258"/>
      <c r="AS29" s="258"/>
      <c r="AT29" s="258"/>
      <c r="AU29" s="39"/>
      <c r="AV29" s="47"/>
      <c r="AW29" s="47"/>
      <c r="AX29" s="47"/>
      <c r="AY29" s="47"/>
      <c r="AZ29" s="47"/>
      <c r="BA29" s="47"/>
      <c r="BB29" s="47"/>
      <c r="BC29" s="47"/>
      <c r="BD29" s="47"/>
      <c r="BE29" s="40"/>
      <c r="BF29" s="156"/>
      <c r="BG29" s="157"/>
      <c r="BH29" s="157"/>
      <c r="BI29" s="157"/>
      <c r="BJ29" s="157"/>
      <c r="BK29" s="158"/>
    </row>
    <row r="30" spans="1:63" s="240" customFormat="1" ht="15" customHeight="1" x14ac:dyDescent="0.25">
      <c r="A30" s="39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0"/>
      <c r="M30" s="258"/>
      <c r="N30" s="258"/>
      <c r="O30" s="267"/>
      <c r="P30" s="267"/>
      <c r="Q30" s="271" t="s">
        <v>37</v>
      </c>
      <c r="R30" s="272"/>
      <c r="S30" s="272"/>
      <c r="T30" s="272"/>
      <c r="U30" s="272"/>
      <c r="V30" s="272"/>
      <c r="W30" s="272"/>
      <c r="X30" s="273" t="s">
        <v>39</v>
      </c>
      <c r="Y30" s="274"/>
      <c r="Z30" s="274"/>
      <c r="AA30" s="274"/>
      <c r="AB30" s="274"/>
      <c r="AC30" s="274"/>
      <c r="AD30" s="274"/>
      <c r="AE30" s="274"/>
      <c r="AF30" s="274"/>
      <c r="AG30" s="274"/>
      <c r="AH30" s="274"/>
      <c r="AI30" s="274"/>
      <c r="AJ30" s="274"/>
      <c r="AK30" s="274"/>
      <c r="AL30" s="274"/>
      <c r="AM30" s="274"/>
      <c r="AN30" s="275"/>
      <c r="AO30" s="258"/>
      <c r="AP30" s="258"/>
      <c r="AQ30" s="258"/>
      <c r="AR30" s="258"/>
      <c r="AS30" s="258"/>
      <c r="AT30" s="258"/>
      <c r="AU30" s="39"/>
      <c r="AV30" s="47"/>
      <c r="AW30" s="47"/>
      <c r="AX30" s="47"/>
      <c r="AY30" s="47"/>
      <c r="AZ30" s="47"/>
      <c r="BA30" s="47"/>
      <c r="BB30" s="47"/>
      <c r="BC30" s="47"/>
      <c r="BD30" s="47"/>
      <c r="BE30" s="40"/>
      <c r="BF30" s="156"/>
      <c r="BG30" s="157"/>
      <c r="BH30" s="157"/>
      <c r="BI30" s="157"/>
      <c r="BJ30" s="157"/>
      <c r="BK30" s="158"/>
    </row>
    <row r="31" spans="1:63" s="240" customFormat="1" ht="42.75" customHeight="1" x14ac:dyDescent="0.25">
      <c r="A31" s="39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0"/>
      <c r="M31" s="258"/>
      <c r="N31" s="258"/>
      <c r="O31" s="267"/>
      <c r="P31" s="267"/>
      <c r="Q31" s="71" t="s">
        <v>120</v>
      </c>
      <c r="R31" s="72"/>
      <c r="S31" s="72"/>
      <c r="T31" s="72"/>
      <c r="U31" s="72"/>
      <c r="V31" s="72"/>
      <c r="W31" s="72"/>
      <c r="X31" s="165" t="s">
        <v>121</v>
      </c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7"/>
      <c r="AO31" s="258"/>
      <c r="AP31" s="258"/>
      <c r="AQ31" s="258"/>
      <c r="AR31" s="258"/>
      <c r="AS31" s="258"/>
      <c r="AT31" s="258"/>
      <c r="AU31" s="39"/>
      <c r="AV31" s="47"/>
      <c r="AW31" s="47"/>
      <c r="AX31" s="47"/>
      <c r="AY31" s="47"/>
      <c r="AZ31" s="47"/>
      <c r="BA31" s="47"/>
      <c r="BB31" s="47"/>
      <c r="BC31" s="47"/>
      <c r="BD31" s="47"/>
      <c r="BE31" s="40"/>
      <c r="BF31" s="156"/>
      <c r="BG31" s="157"/>
      <c r="BH31" s="157"/>
      <c r="BI31" s="157"/>
      <c r="BJ31" s="157"/>
      <c r="BK31" s="158"/>
    </row>
    <row r="32" spans="1:63" s="240" customFormat="1" ht="15" customHeight="1" x14ac:dyDescent="0.25">
      <c r="A32" s="39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0"/>
      <c r="M32" s="258"/>
      <c r="N32" s="258"/>
      <c r="O32" s="267"/>
      <c r="P32" s="267"/>
      <c r="Q32" s="71" t="s">
        <v>122</v>
      </c>
      <c r="R32" s="72"/>
      <c r="S32" s="72"/>
      <c r="T32" s="72"/>
      <c r="U32" s="72"/>
      <c r="V32" s="72"/>
      <c r="W32" s="72"/>
      <c r="X32" s="165" t="s">
        <v>123</v>
      </c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7"/>
      <c r="AO32" s="258"/>
      <c r="AP32" s="258"/>
      <c r="AQ32" s="258"/>
      <c r="AR32" s="258"/>
      <c r="AS32" s="258"/>
      <c r="AT32" s="258"/>
      <c r="AU32" s="39"/>
      <c r="AV32" s="47"/>
      <c r="AW32" s="47"/>
      <c r="AX32" s="47"/>
      <c r="AY32" s="47"/>
      <c r="AZ32" s="47"/>
      <c r="BA32" s="47"/>
      <c r="BB32" s="47"/>
      <c r="BC32" s="47"/>
      <c r="BD32" s="47"/>
      <c r="BE32" s="40"/>
      <c r="BF32" s="156"/>
      <c r="BG32" s="157"/>
      <c r="BH32" s="157"/>
      <c r="BI32" s="157"/>
      <c r="BJ32" s="157"/>
      <c r="BK32" s="158"/>
    </row>
    <row r="33" spans="1:63" s="240" customFormat="1" ht="15" customHeight="1" x14ac:dyDescent="0.25">
      <c r="A33" s="39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0"/>
      <c r="M33" s="258"/>
      <c r="O33" s="267"/>
      <c r="P33" s="267"/>
      <c r="Q33" s="267"/>
      <c r="R33" s="267"/>
      <c r="S33" s="267"/>
      <c r="T33" s="267"/>
      <c r="U33" s="267"/>
      <c r="V33" s="267"/>
      <c r="W33" s="267"/>
      <c r="X33" s="267"/>
      <c r="Y33" s="267"/>
      <c r="Z33" s="267"/>
      <c r="AA33" s="267"/>
      <c r="AB33" s="267"/>
      <c r="AC33" s="267"/>
      <c r="AD33" s="267"/>
      <c r="AE33" s="267"/>
      <c r="AF33" s="267"/>
      <c r="AG33" s="267"/>
      <c r="AH33" s="267"/>
      <c r="AI33" s="267"/>
      <c r="AJ33" s="258"/>
      <c r="AK33" s="258"/>
      <c r="AL33" s="258"/>
      <c r="AM33" s="258"/>
      <c r="AN33" s="258"/>
      <c r="AO33" s="258"/>
      <c r="AP33" s="258"/>
      <c r="AQ33" s="258"/>
      <c r="AR33" s="258"/>
      <c r="AS33" s="258"/>
      <c r="AT33" s="258"/>
      <c r="AU33" s="39"/>
      <c r="AV33" s="47"/>
      <c r="AW33" s="47"/>
      <c r="AX33" s="47"/>
      <c r="AY33" s="47"/>
      <c r="AZ33" s="47"/>
      <c r="BA33" s="47"/>
      <c r="BB33" s="47"/>
      <c r="BC33" s="47"/>
      <c r="BD33" s="47"/>
      <c r="BE33" s="40"/>
      <c r="BF33" s="156"/>
      <c r="BG33" s="157"/>
      <c r="BH33" s="157"/>
      <c r="BI33" s="157"/>
      <c r="BJ33" s="157"/>
      <c r="BK33" s="158"/>
    </row>
    <row r="34" spans="1:63" s="240" customFormat="1" ht="15" customHeight="1" x14ac:dyDescent="0.25">
      <c r="A34" s="39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0"/>
      <c r="M34" s="258"/>
      <c r="N34" s="258"/>
      <c r="O34" s="267"/>
      <c r="P34" s="267"/>
      <c r="Q34" s="267" t="s">
        <v>68</v>
      </c>
      <c r="R34" s="267"/>
      <c r="S34" s="267"/>
      <c r="T34" s="267"/>
      <c r="U34" s="267"/>
      <c r="V34" s="267"/>
      <c r="W34" s="267"/>
      <c r="X34" s="267"/>
      <c r="Y34" s="267"/>
      <c r="Z34" s="267"/>
      <c r="AA34" s="267"/>
      <c r="AB34" s="267"/>
      <c r="AC34" s="267"/>
      <c r="AD34" s="267"/>
      <c r="AE34" s="267"/>
      <c r="AF34" s="267"/>
      <c r="AG34" s="267"/>
      <c r="AH34" s="267"/>
      <c r="AI34" s="267"/>
      <c r="AJ34" s="258"/>
      <c r="AK34" s="258"/>
      <c r="AL34" s="258"/>
      <c r="AM34" s="258"/>
      <c r="AN34" s="258"/>
      <c r="AO34" s="258"/>
      <c r="AP34" s="258"/>
      <c r="AQ34" s="258"/>
      <c r="AR34" s="258"/>
      <c r="AS34" s="258"/>
      <c r="AT34" s="258"/>
      <c r="AU34" s="39"/>
      <c r="AV34" s="47"/>
      <c r="AW34" s="47"/>
      <c r="AX34" s="47"/>
      <c r="AY34" s="47"/>
      <c r="AZ34" s="47"/>
      <c r="BA34" s="47"/>
      <c r="BB34" s="47"/>
      <c r="BC34" s="47"/>
      <c r="BD34" s="47"/>
      <c r="BE34" s="40"/>
      <c r="BF34" s="156"/>
      <c r="BG34" s="157"/>
      <c r="BH34" s="157"/>
      <c r="BI34" s="157"/>
      <c r="BJ34" s="157"/>
      <c r="BK34" s="158"/>
    </row>
    <row r="35" spans="1:63" s="240" customFormat="1" ht="15" customHeight="1" x14ac:dyDescent="0.25">
      <c r="A35" s="39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0"/>
      <c r="M35" s="258"/>
      <c r="N35" s="258"/>
      <c r="O35" s="267"/>
      <c r="P35" s="267"/>
      <c r="Q35" s="267"/>
      <c r="R35" s="267" t="s">
        <v>171</v>
      </c>
      <c r="S35" s="267"/>
      <c r="T35" s="267"/>
      <c r="U35" s="267"/>
      <c r="V35" s="267"/>
      <c r="W35" s="267"/>
      <c r="X35" s="267"/>
      <c r="Y35" s="267"/>
      <c r="Z35" s="267"/>
      <c r="AA35" s="267"/>
      <c r="AB35" s="267"/>
      <c r="AC35" s="267"/>
      <c r="AD35" s="267"/>
      <c r="AE35" s="267"/>
      <c r="AF35" s="267"/>
      <c r="AG35" s="267"/>
      <c r="AH35" s="267"/>
      <c r="AI35" s="267"/>
      <c r="AJ35" s="258"/>
      <c r="AK35" s="258"/>
      <c r="AL35" s="258"/>
      <c r="AM35" s="258"/>
      <c r="AN35" s="258"/>
      <c r="AO35" s="258"/>
      <c r="AP35" s="258"/>
      <c r="AQ35" s="258"/>
      <c r="AR35" s="258"/>
      <c r="AS35" s="258"/>
      <c r="AT35" s="258"/>
      <c r="AU35" s="39"/>
      <c r="AV35" s="47"/>
      <c r="AW35" s="47"/>
      <c r="AX35" s="47"/>
      <c r="AY35" s="47"/>
      <c r="AZ35" s="47"/>
      <c r="BA35" s="47"/>
      <c r="BB35" s="47"/>
      <c r="BC35" s="47"/>
      <c r="BD35" s="47"/>
      <c r="BE35" s="40"/>
      <c r="BF35" s="156"/>
      <c r="BG35" s="157"/>
      <c r="BH35" s="157"/>
      <c r="BI35" s="157"/>
      <c r="BJ35" s="157"/>
      <c r="BK35" s="158"/>
    </row>
    <row r="36" spans="1:63" s="240" customFormat="1" ht="15" customHeight="1" x14ac:dyDescent="0.25">
      <c r="A36" s="39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0"/>
      <c r="M36" s="258"/>
      <c r="N36" s="258"/>
      <c r="O36" s="267"/>
      <c r="P36" s="267"/>
      <c r="Q36" s="267" t="s">
        <v>69</v>
      </c>
      <c r="R36" s="267"/>
      <c r="S36" s="267"/>
      <c r="T36" s="267"/>
      <c r="U36" s="267"/>
      <c r="V36" s="267"/>
      <c r="W36" s="267"/>
      <c r="X36" s="267"/>
      <c r="Y36" s="267"/>
      <c r="Z36" s="267"/>
      <c r="AA36" s="267"/>
      <c r="AB36" s="267"/>
      <c r="AC36" s="267"/>
      <c r="AD36" s="267"/>
      <c r="AE36" s="267"/>
      <c r="AF36" s="267"/>
      <c r="AG36" s="267"/>
      <c r="AH36" s="267"/>
      <c r="AI36" s="267"/>
      <c r="AJ36" s="258"/>
      <c r="AK36" s="258"/>
      <c r="AL36" s="258"/>
      <c r="AM36" s="258"/>
      <c r="AN36" s="258"/>
      <c r="AO36" s="258"/>
      <c r="AP36" s="258"/>
      <c r="AQ36" s="258"/>
      <c r="AR36" s="258"/>
      <c r="AS36" s="258"/>
      <c r="AT36" s="258"/>
      <c r="AU36" s="39"/>
      <c r="AV36" s="47"/>
      <c r="AW36" s="47"/>
      <c r="AX36" s="47"/>
      <c r="AY36" s="47"/>
      <c r="AZ36" s="47"/>
      <c r="BA36" s="47"/>
      <c r="BB36" s="47"/>
      <c r="BC36" s="47"/>
      <c r="BD36" s="47"/>
      <c r="BE36" s="40"/>
      <c r="BF36" s="156"/>
      <c r="BG36" s="157"/>
      <c r="BH36" s="157"/>
      <c r="BI36" s="157"/>
      <c r="BJ36" s="157"/>
      <c r="BK36" s="158"/>
    </row>
    <row r="37" spans="1:63" s="240" customFormat="1" ht="15" customHeight="1" x14ac:dyDescent="0.25">
      <c r="A37" s="39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0"/>
      <c r="M37" s="258"/>
      <c r="N37" s="258"/>
      <c r="O37" s="267"/>
      <c r="P37" s="267"/>
      <c r="Q37" s="267"/>
      <c r="R37" s="267" t="s">
        <v>70</v>
      </c>
      <c r="S37" s="267"/>
      <c r="T37" s="267"/>
      <c r="U37" s="267"/>
      <c r="V37" s="267"/>
      <c r="W37" s="267"/>
      <c r="X37" s="267"/>
      <c r="Y37" s="267"/>
      <c r="Z37" s="267"/>
      <c r="AA37" s="267"/>
      <c r="AB37" s="267"/>
      <c r="AC37" s="267"/>
      <c r="AD37" s="267"/>
      <c r="AE37" s="267"/>
      <c r="AF37" s="267"/>
      <c r="AG37" s="267"/>
      <c r="AH37" s="267"/>
      <c r="AI37" s="267"/>
      <c r="AJ37" s="258"/>
      <c r="AK37" s="258"/>
      <c r="AL37" s="258"/>
      <c r="AM37" s="258"/>
      <c r="AN37" s="258"/>
      <c r="AO37" s="258"/>
      <c r="AP37" s="258"/>
      <c r="AQ37" s="258"/>
      <c r="AR37" s="258"/>
      <c r="AS37" s="258"/>
      <c r="AT37" s="258"/>
      <c r="AU37" s="39"/>
      <c r="AV37" s="47"/>
      <c r="AW37" s="47"/>
      <c r="AX37" s="47"/>
      <c r="AY37" s="47"/>
      <c r="AZ37" s="47"/>
      <c r="BA37" s="47"/>
      <c r="BB37" s="47"/>
      <c r="BC37" s="47"/>
      <c r="BD37" s="47"/>
      <c r="BE37" s="40"/>
      <c r="BF37" s="156"/>
      <c r="BG37" s="157"/>
      <c r="BH37" s="157"/>
      <c r="BI37" s="157"/>
      <c r="BJ37" s="157"/>
      <c r="BK37" s="158"/>
    </row>
    <row r="38" spans="1:63" s="240" customFormat="1" ht="15" customHeight="1" x14ac:dyDescent="0.25">
      <c r="A38" s="39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0"/>
      <c r="M38" s="258"/>
      <c r="N38" s="65"/>
      <c r="O38" s="267"/>
      <c r="P38" s="267" t="s">
        <v>33</v>
      </c>
      <c r="Q38" s="267"/>
      <c r="R38" s="267"/>
      <c r="S38" s="267"/>
      <c r="T38" s="267"/>
      <c r="U38" s="267"/>
      <c r="V38" s="267"/>
      <c r="W38" s="267"/>
      <c r="X38" s="267"/>
      <c r="Y38" s="267"/>
      <c r="Z38" s="267"/>
      <c r="AA38" s="267"/>
      <c r="AB38" s="267"/>
      <c r="AC38" s="267"/>
      <c r="AD38" s="267"/>
      <c r="AE38" s="267"/>
      <c r="AF38" s="267"/>
      <c r="AG38" s="267"/>
      <c r="AH38" s="267"/>
      <c r="AI38" s="267"/>
      <c r="AJ38" s="258"/>
      <c r="AK38" s="258"/>
      <c r="AL38" s="258"/>
      <c r="AM38" s="258"/>
      <c r="AN38" s="258"/>
      <c r="AO38" s="258"/>
      <c r="AP38" s="258"/>
      <c r="AQ38" s="258"/>
      <c r="AR38" s="258"/>
      <c r="AS38" s="258"/>
      <c r="AT38" s="258"/>
      <c r="AU38" s="39"/>
      <c r="AV38" s="47"/>
      <c r="AW38" s="47"/>
      <c r="AX38" s="47"/>
      <c r="AY38" s="47"/>
      <c r="AZ38" s="47"/>
      <c r="BA38" s="47"/>
      <c r="BB38" s="47"/>
      <c r="BC38" s="47"/>
      <c r="BD38" s="47"/>
      <c r="BE38" s="40"/>
      <c r="BF38" s="156"/>
      <c r="BG38" s="157"/>
      <c r="BH38" s="157"/>
      <c r="BI38" s="157"/>
      <c r="BJ38" s="157"/>
      <c r="BK38" s="158"/>
    </row>
    <row r="39" spans="1:63" s="240" customFormat="1" ht="15" customHeight="1" x14ac:dyDescent="0.25">
      <c r="A39" s="39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0"/>
      <c r="M39" s="258"/>
      <c r="N39" s="258"/>
      <c r="O39" s="267"/>
      <c r="P39" s="267"/>
      <c r="Q39" s="267" t="s">
        <v>40</v>
      </c>
      <c r="R39" s="267"/>
      <c r="S39" s="267"/>
      <c r="T39" s="267"/>
      <c r="U39" s="267"/>
      <c r="V39" s="267"/>
      <c r="W39" s="267"/>
      <c r="X39" s="267"/>
      <c r="Y39" s="267"/>
      <c r="Z39" s="267"/>
      <c r="AA39" s="267"/>
      <c r="AB39" s="267"/>
      <c r="AC39" s="267"/>
      <c r="AD39" s="267"/>
      <c r="AE39" s="267"/>
      <c r="AF39" s="267"/>
      <c r="AG39" s="267"/>
      <c r="AH39" s="267"/>
      <c r="AI39" s="267"/>
      <c r="AJ39" s="258"/>
      <c r="AK39" s="258"/>
      <c r="AL39" s="258"/>
      <c r="AM39" s="258"/>
      <c r="AN39" s="258"/>
      <c r="AO39" s="258"/>
      <c r="AP39" s="258"/>
      <c r="AQ39" s="258"/>
      <c r="AR39" s="258"/>
      <c r="AS39" s="258"/>
      <c r="AT39" s="258"/>
      <c r="AU39" s="39"/>
      <c r="AV39" s="47"/>
      <c r="AW39" s="47"/>
      <c r="AX39" s="47"/>
      <c r="AY39" s="47"/>
      <c r="AZ39" s="47"/>
      <c r="BA39" s="47"/>
      <c r="BB39" s="47"/>
      <c r="BC39" s="47"/>
      <c r="BD39" s="47"/>
      <c r="BE39" s="40"/>
      <c r="BF39" s="156"/>
      <c r="BG39" s="157"/>
      <c r="BH39" s="157"/>
      <c r="BI39" s="157"/>
      <c r="BJ39" s="157"/>
      <c r="BK39" s="158"/>
    </row>
    <row r="40" spans="1:63" s="240" customFormat="1" ht="15" customHeight="1" x14ac:dyDescent="0.25">
      <c r="A40" s="39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0"/>
      <c r="M40" s="258"/>
      <c r="N40" s="258"/>
      <c r="O40" s="267"/>
      <c r="P40" s="267"/>
      <c r="Q40" s="267"/>
      <c r="R40" s="267" t="s">
        <v>41</v>
      </c>
      <c r="S40" s="267"/>
      <c r="T40" s="267"/>
      <c r="U40" s="267"/>
      <c r="V40" s="267"/>
      <c r="W40" s="267"/>
      <c r="X40" s="267"/>
      <c r="Y40" s="267"/>
      <c r="Z40" s="267"/>
      <c r="AA40" s="267"/>
      <c r="AB40" s="267"/>
      <c r="AC40" s="267"/>
      <c r="AD40" s="267"/>
      <c r="AE40" s="267"/>
      <c r="AF40" s="267"/>
      <c r="AG40" s="267"/>
      <c r="AH40" s="267"/>
      <c r="AI40" s="267"/>
      <c r="AJ40" s="258"/>
      <c r="AK40" s="258"/>
      <c r="AL40" s="258"/>
      <c r="AM40" s="258"/>
      <c r="AN40" s="258"/>
      <c r="AO40" s="258"/>
      <c r="AP40" s="258"/>
      <c r="AQ40" s="258"/>
      <c r="AR40" s="258"/>
      <c r="AS40" s="258"/>
      <c r="AT40" s="258"/>
      <c r="AU40" s="39"/>
      <c r="AV40" s="47"/>
      <c r="AW40" s="47"/>
      <c r="AX40" s="47"/>
      <c r="AY40" s="47"/>
      <c r="AZ40" s="47"/>
      <c r="BA40" s="47"/>
      <c r="BB40" s="47"/>
      <c r="BC40" s="47"/>
      <c r="BD40" s="47"/>
      <c r="BE40" s="40"/>
      <c r="BF40" s="156"/>
      <c r="BG40" s="157"/>
      <c r="BH40" s="157"/>
      <c r="BI40" s="157"/>
      <c r="BJ40" s="157"/>
      <c r="BK40" s="158"/>
    </row>
    <row r="41" spans="1:63" s="240" customFormat="1" ht="15" customHeight="1" x14ac:dyDescent="0.25">
      <c r="A41" s="39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0"/>
      <c r="M41" s="258"/>
      <c r="N41" s="258"/>
      <c r="O41" s="267"/>
      <c r="P41" s="267"/>
      <c r="Q41" s="267"/>
      <c r="R41" s="267" t="s">
        <v>63</v>
      </c>
      <c r="S41" s="267"/>
      <c r="T41" s="267"/>
      <c r="U41" s="267"/>
      <c r="V41" s="267"/>
      <c r="W41" s="267"/>
      <c r="X41" s="267"/>
      <c r="Y41" s="267"/>
      <c r="Z41" s="267"/>
      <c r="AA41" s="267"/>
      <c r="AB41" s="267"/>
      <c r="AC41" s="267"/>
      <c r="AD41" s="267"/>
      <c r="AE41" s="267"/>
      <c r="AF41" s="267"/>
      <c r="AG41" s="267"/>
      <c r="AH41" s="267"/>
      <c r="AI41" s="267"/>
      <c r="AJ41" s="258"/>
      <c r="AK41" s="258"/>
      <c r="AL41" s="258"/>
      <c r="AM41" s="258"/>
      <c r="AN41" s="258"/>
      <c r="AO41" s="258"/>
      <c r="AP41" s="258"/>
      <c r="AQ41" s="258"/>
      <c r="AR41" s="258"/>
      <c r="AS41" s="258"/>
      <c r="AT41" s="258"/>
      <c r="AU41" s="39"/>
      <c r="AV41" s="47"/>
      <c r="AW41" s="47"/>
      <c r="AX41" s="47"/>
      <c r="AY41" s="47"/>
      <c r="AZ41" s="47"/>
      <c r="BA41" s="47"/>
      <c r="BB41" s="47"/>
      <c r="BC41" s="47"/>
      <c r="BD41" s="47"/>
      <c r="BE41" s="40"/>
      <c r="BF41" s="156"/>
      <c r="BG41" s="157"/>
      <c r="BH41" s="157"/>
      <c r="BI41" s="157"/>
      <c r="BJ41" s="157"/>
      <c r="BK41" s="158"/>
    </row>
    <row r="42" spans="1:63" s="240" customFormat="1" ht="15" customHeight="1" x14ac:dyDescent="0.25">
      <c r="A42" s="39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0"/>
      <c r="M42" s="258"/>
      <c r="N42" s="258"/>
      <c r="O42" s="267"/>
      <c r="P42" s="267"/>
      <c r="Q42" s="267"/>
      <c r="R42" s="267"/>
      <c r="S42" s="267" t="s">
        <v>73</v>
      </c>
      <c r="T42" s="267"/>
      <c r="U42" s="267"/>
      <c r="V42" s="267"/>
      <c r="W42" s="267"/>
      <c r="X42" s="267"/>
      <c r="Y42" s="267"/>
      <c r="Z42" s="267"/>
      <c r="AA42" s="267"/>
      <c r="AB42" s="267"/>
      <c r="AC42" s="267"/>
      <c r="AD42" s="267"/>
      <c r="AE42" s="267"/>
      <c r="AF42" s="267"/>
      <c r="AG42" s="267"/>
      <c r="AH42" s="267"/>
      <c r="AI42" s="267"/>
      <c r="AJ42" s="258"/>
      <c r="AK42" s="258"/>
      <c r="AL42" s="258"/>
      <c r="AM42" s="258"/>
      <c r="AN42" s="258"/>
      <c r="AO42" s="258"/>
      <c r="AP42" s="258"/>
      <c r="AQ42" s="258"/>
      <c r="AR42" s="258"/>
      <c r="AS42" s="258"/>
      <c r="AT42" s="258"/>
      <c r="AU42" s="39"/>
      <c r="AV42" s="47"/>
      <c r="AW42" s="47"/>
      <c r="AX42" s="47"/>
      <c r="AY42" s="47"/>
      <c r="AZ42" s="47"/>
      <c r="BA42" s="47"/>
      <c r="BB42" s="47"/>
      <c r="BC42" s="47"/>
      <c r="BD42" s="47"/>
      <c r="BE42" s="40"/>
      <c r="BF42" s="156"/>
      <c r="BG42" s="157"/>
      <c r="BH42" s="157"/>
      <c r="BI42" s="157"/>
      <c r="BJ42" s="157"/>
      <c r="BK42" s="158"/>
    </row>
    <row r="43" spans="1:63" s="240" customFormat="1" ht="15" customHeight="1" x14ac:dyDescent="0.25">
      <c r="A43" s="39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0"/>
      <c r="M43" s="258"/>
      <c r="N43" s="258"/>
      <c r="O43" s="267"/>
      <c r="P43" s="267"/>
      <c r="Q43" s="267"/>
      <c r="R43" s="267"/>
      <c r="S43" s="267"/>
      <c r="T43" s="267" t="s">
        <v>71</v>
      </c>
      <c r="U43" s="267"/>
      <c r="V43" s="267"/>
      <c r="W43" s="267"/>
      <c r="X43" s="267"/>
      <c r="Y43" s="267"/>
      <c r="Z43" s="267"/>
      <c r="AA43" s="267"/>
      <c r="AB43" s="267"/>
      <c r="AC43" s="267"/>
      <c r="AD43" s="267"/>
      <c r="AE43" s="267"/>
      <c r="AF43" s="267"/>
      <c r="AG43" s="267"/>
      <c r="AH43" s="267"/>
      <c r="AI43" s="267"/>
      <c r="AJ43" s="258"/>
      <c r="AK43" s="258"/>
      <c r="AL43" s="258"/>
      <c r="AM43" s="258"/>
      <c r="AN43" s="258"/>
      <c r="AO43" s="258"/>
      <c r="AP43" s="258"/>
      <c r="AQ43" s="258"/>
      <c r="AR43" s="258"/>
      <c r="AS43" s="258"/>
      <c r="AT43" s="258"/>
      <c r="AU43" s="39"/>
      <c r="AV43" s="47"/>
      <c r="AW43" s="47"/>
      <c r="AX43" s="47"/>
      <c r="AY43" s="47"/>
      <c r="AZ43" s="47"/>
      <c r="BA43" s="47"/>
      <c r="BB43" s="47"/>
      <c r="BC43" s="47"/>
      <c r="BD43" s="47"/>
      <c r="BE43" s="40"/>
      <c r="BF43" s="156"/>
      <c r="BG43" s="157"/>
      <c r="BH43" s="157"/>
      <c r="BI43" s="157"/>
      <c r="BJ43" s="157"/>
      <c r="BK43" s="158"/>
    </row>
    <row r="44" spans="1:63" s="240" customFormat="1" ht="15" customHeight="1" x14ac:dyDescent="0.25">
      <c r="A44" s="39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0"/>
      <c r="M44" s="258"/>
      <c r="N44" s="258"/>
      <c r="O44" s="267"/>
      <c r="P44" s="267"/>
      <c r="Q44" s="267"/>
      <c r="R44" s="267"/>
      <c r="S44" s="267" t="s">
        <v>72</v>
      </c>
      <c r="T44" s="267"/>
      <c r="U44" s="267"/>
      <c r="V44" s="267"/>
      <c r="W44" s="267"/>
      <c r="X44" s="267"/>
      <c r="Y44" s="267"/>
      <c r="Z44" s="267"/>
      <c r="AA44" s="267"/>
      <c r="AB44" s="267"/>
      <c r="AC44" s="267"/>
      <c r="AD44" s="267"/>
      <c r="AE44" s="267"/>
      <c r="AF44" s="267"/>
      <c r="AG44" s="267"/>
      <c r="AH44" s="267"/>
      <c r="AI44" s="267"/>
      <c r="AJ44" s="258"/>
      <c r="AK44" s="258"/>
      <c r="AL44" s="258"/>
      <c r="AM44" s="258"/>
      <c r="AN44" s="258"/>
      <c r="AO44" s="258"/>
      <c r="AP44" s="258"/>
      <c r="AQ44" s="258"/>
      <c r="AR44" s="258"/>
      <c r="AS44" s="258"/>
      <c r="AT44" s="258"/>
      <c r="AU44" s="39"/>
      <c r="AV44" s="47"/>
      <c r="AW44" s="47"/>
      <c r="AX44" s="47"/>
      <c r="AY44" s="47"/>
      <c r="AZ44" s="47"/>
      <c r="BA44" s="47"/>
      <c r="BB44" s="47"/>
      <c r="BC44" s="47"/>
      <c r="BD44" s="47"/>
      <c r="BE44" s="40"/>
      <c r="BF44" s="156"/>
      <c r="BG44" s="157"/>
      <c r="BH44" s="157"/>
      <c r="BI44" s="157"/>
      <c r="BJ44" s="157"/>
      <c r="BK44" s="158"/>
    </row>
    <row r="45" spans="1:63" s="240" customFormat="1" ht="15" customHeight="1" x14ac:dyDescent="0.25">
      <c r="A45" s="39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0"/>
      <c r="M45" s="258"/>
      <c r="N45" s="258"/>
      <c r="O45" s="267"/>
      <c r="P45" s="267"/>
      <c r="Q45" s="267"/>
      <c r="R45" s="267"/>
      <c r="S45" s="267"/>
      <c r="T45" s="73" t="s">
        <v>124</v>
      </c>
      <c r="U45" s="267"/>
      <c r="V45" s="267"/>
      <c r="W45" s="267"/>
      <c r="X45" s="267"/>
      <c r="Y45" s="267"/>
      <c r="Z45" s="267"/>
      <c r="AA45" s="267"/>
      <c r="AB45" s="267"/>
      <c r="AC45" s="267"/>
      <c r="AD45" s="267"/>
      <c r="AE45" s="267"/>
      <c r="AF45" s="267"/>
      <c r="AG45" s="267"/>
      <c r="AH45" s="267"/>
      <c r="AI45" s="267"/>
      <c r="AJ45" s="258"/>
      <c r="AK45" s="258"/>
      <c r="AL45" s="258"/>
      <c r="AM45" s="258"/>
      <c r="AN45" s="258"/>
      <c r="AO45" s="258"/>
      <c r="AP45" s="258"/>
      <c r="AQ45" s="258"/>
      <c r="AR45" s="258"/>
      <c r="AS45" s="258"/>
      <c r="AT45" s="258"/>
      <c r="AU45" s="39"/>
      <c r="AV45" s="47"/>
      <c r="AW45" s="47"/>
      <c r="AX45" s="47"/>
      <c r="AY45" s="47"/>
      <c r="AZ45" s="47"/>
      <c r="BA45" s="47"/>
      <c r="BB45" s="47"/>
      <c r="BC45" s="47"/>
      <c r="BD45" s="47"/>
      <c r="BE45" s="40"/>
      <c r="BF45" s="156"/>
      <c r="BG45" s="157"/>
      <c r="BH45" s="157"/>
      <c r="BI45" s="157"/>
      <c r="BJ45" s="157"/>
      <c r="BK45" s="158"/>
    </row>
    <row r="46" spans="1:63" s="240" customFormat="1" ht="15" customHeight="1" x14ac:dyDescent="0.25">
      <c r="A46" s="39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0"/>
      <c r="M46" s="258"/>
      <c r="N46" s="258"/>
      <c r="O46" s="267"/>
      <c r="P46" s="267"/>
      <c r="Q46" s="267"/>
      <c r="R46" s="267"/>
      <c r="S46" s="267"/>
      <c r="T46" s="74" t="s">
        <v>125</v>
      </c>
      <c r="U46" s="267"/>
      <c r="V46" s="267"/>
      <c r="W46" s="267"/>
      <c r="X46" s="267"/>
      <c r="Y46" s="267"/>
      <c r="Z46" s="267"/>
      <c r="AA46" s="267"/>
      <c r="AB46" s="267"/>
      <c r="AC46" s="267"/>
      <c r="AD46" s="267"/>
      <c r="AE46" s="267"/>
      <c r="AF46" s="267"/>
      <c r="AG46" s="267"/>
      <c r="AH46" s="267"/>
      <c r="AI46" s="267"/>
      <c r="AJ46" s="258"/>
      <c r="AK46" s="258"/>
      <c r="AL46" s="258"/>
      <c r="AM46" s="258"/>
      <c r="AN46" s="258"/>
      <c r="AO46" s="258"/>
      <c r="AP46" s="258"/>
      <c r="AQ46" s="258"/>
      <c r="AR46" s="258"/>
      <c r="AS46" s="258"/>
      <c r="AT46" s="258"/>
      <c r="AU46" s="39"/>
      <c r="AV46" s="47"/>
      <c r="AW46" s="47"/>
      <c r="AX46" s="47"/>
      <c r="AY46" s="47"/>
      <c r="AZ46" s="47"/>
      <c r="BA46" s="47"/>
      <c r="BB46" s="47"/>
      <c r="BC46" s="47"/>
      <c r="BD46" s="47"/>
      <c r="BE46" s="40"/>
      <c r="BF46" s="156"/>
      <c r="BG46" s="157"/>
      <c r="BH46" s="157"/>
      <c r="BI46" s="157"/>
      <c r="BJ46" s="157"/>
      <c r="BK46" s="158"/>
    </row>
    <row r="47" spans="1:63" s="240" customFormat="1" ht="15" customHeight="1" x14ac:dyDescent="0.25">
      <c r="A47" s="39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0"/>
      <c r="M47" s="258"/>
      <c r="N47" s="258"/>
      <c r="O47" s="267"/>
      <c r="P47" s="267"/>
      <c r="Q47" s="267"/>
      <c r="R47" s="267" t="s">
        <v>91</v>
      </c>
      <c r="S47" s="267"/>
      <c r="T47" s="267"/>
      <c r="U47" s="267"/>
      <c r="V47" s="267"/>
      <c r="W47" s="267"/>
      <c r="X47" s="267"/>
      <c r="Y47" s="267"/>
      <c r="Z47" s="267"/>
      <c r="AA47" s="267"/>
      <c r="AB47" s="267"/>
      <c r="AC47" s="267"/>
      <c r="AD47" s="267"/>
      <c r="AE47" s="267"/>
      <c r="AF47" s="267"/>
      <c r="AG47" s="267"/>
      <c r="AH47" s="267"/>
      <c r="AI47" s="267"/>
      <c r="AJ47" s="258"/>
      <c r="AK47" s="258"/>
      <c r="AL47" s="258"/>
      <c r="AM47" s="258"/>
      <c r="AN47" s="258"/>
      <c r="AO47" s="258"/>
      <c r="AP47" s="258"/>
      <c r="AQ47" s="258"/>
      <c r="AR47" s="258"/>
      <c r="AS47" s="258"/>
      <c r="AT47" s="258"/>
      <c r="AU47" s="39"/>
      <c r="AV47" s="47"/>
      <c r="AW47" s="47"/>
      <c r="AX47" s="47"/>
      <c r="AY47" s="47"/>
      <c r="AZ47" s="47"/>
      <c r="BA47" s="47"/>
      <c r="BB47" s="47"/>
      <c r="BC47" s="47"/>
      <c r="BD47" s="47"/>
      <c r="BE47" s="40"/>
      <c r="BF47" s="156"/>
      <c r="BG47" s="157"/>
      <c r="BH47" s="157"/>
      <c r="BI47" s="157"/>
      <c r="BJ47" s="157"/>
      <c r="BK47" s="158"/>
    </row>
    <row r="48" spans="1:63" s="240" customFormat="1" ht="15" customHeight="1" x14ac:dyDescent="0.25">
      <c r="A48" s="39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0"/>
      <c r="M48" s="258"/>
      <c r="N48" s="258"/>
      <c r="O48" s="267"/>
      <c r="P48" s="267"/>
      <c r="Q48" s="267"/>
      <c r="R48" s="267" t="s">
        <v>46</v>
      </c>
      <c r="S48" s="267"/>
      <c r="T48" s="267"/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  <c r="AE48" s="267"/>
      <c r="AF48" s="267"/>
      <c r="AG48" s="267"/>
      <c r="AH48" s="267"/>
      <c r="AI48" s="267"/>
      <c r="AJ48" s="258"/>
      <c r="AK48" s="258"/>
      <c r="AL48" s="258"/>
      <c r="AM48" s="258"/>
      <c r="AN48" s="258"/>
      <c r="AO48" s="258"/>
      <c r="AP48" s="258"/>
      <c r="AQ48" s="258"/>
      <c r="AR48" s="258"/>
      <c r="AS48" s="258"/>
      <c r="AT48" s="258"/>
      <c r="AU48" s="39"/>
      <c r="AV48" s="47"/>
      <c r="AW48" s="47"/>
      <c r="AX48" s="47"/>
      <c r="AY48" s="47"/>
      <c r="AZ48" s="47"/>
      <c r="BA48" s="47"/>
      <c r="BB48" s="47"/>
      <c r="BC48" s="47"/>
      <c r="BD48" s="47"/>
      <c r="BE48" s="40"/>
      <c r="BF48" s="156"/>
      <c r="BG48" s="157"/>
      <c r="BH48" s="157"/>
      <c r="BI48" s="157"/>
      <c r="BJ48" s="157"/>
      <c r="BK48" s="158"/>
    </row>
    <row r="49" spans="1:63" s="240" customFormat="1" ht="15" customHeight="1" x14ac:dyDescent="0.25">
      <c r="A49" s="39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0"/>
      <c r="M49" s="258"/>
      <c r="N49" s="258"/>
      <c r="O49" s="267"/>
      <c r="P49" s="267"/>
      <c r="Q49" s="267"/>
      <c r="R49" s="276" t="s">
        <v>126</v>
      </c>
      <c r="S49" s="267"/>
      <c r="T49" s="267"/>
      <c r="U49" s="267"/>
      <c r="V49" s="267"/>
      <c r="W49" s="267"/>
      <c r="X49" s="267"/>
      <c r="Y49" s="267"/>
      <c r="Z49" s="267"/>
      <c r="AA49" s="267"/>
      <c r="AB49" s="267"/>
      <c r="AC49" s="267"/>
      <c r="AD49" s="267"/>
      <c r="AE49" s="267"/>
      <c r="AF49" s="267"/>
      <c r="AG49" s="267"/>
      <c r="AH49" s="267"/>
      <c r="AI49" s="267"/>
      <c r="AJ49" s="258"/>
      <c r="AK49" s="258"/>
      <c r="AL49" s="258"/>
      <c r="AM49" s="258"/>
      <c r="AN49" s="258"/>
      <c r="AO49" s="258"/>
      <c r="AP49" s="258"/>
      <c r="AQ49" s="258"/>
      <c r="AR49" s="258"/>
      <c r="AS49" s="258"/>
      <c r="AT49" s="258"/>
      <c r="AU49" s="39"/>
      <c r="AV49" s="47"/>
      <c r="AW49" s="47"/>
      <c r="AX49" s="47"/>
      <c r="AY49" s="47"/>
      <c r="AZ49" s="47"/>
      <c r="BA49" s="47"/>
      <c r="BB49" s="47"/>
      <c r="BC49" s="47"/>
      <c r="BD49" s="47"/>
      <c r="BE49" s="40"/>
      <c r="BF49" s="156"/>
      <c r="BG49" s="157"/>
      <c r="BH49" s="157"/>
      <c r="BI49" s="157"/>
      <c r="BJ49" s="157"/>
      <c r="BK49" s="158"/>
    </row>
    <row r="50" spans="1:63" s="240" customFormat="1" ht="15" customHeight="1" x14ac:dyDescent="0.25">
      <c r="A50" s="39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0"/>
      <c r="M50" s="258"/>
      <c r="N50" s="258"/>
      <c r="O50" s="267"/>
      <c r="P50" s="267"/>
      <c r="Q50" s="267" t="s">
        <v>42</v>
      </c>
      <c r="R50" s="267"/>
      <c r="S50" s="267"/>
      <c r="T50" s="267"/>
      <c r="U50" s="267"/>
      <c r="V50" s="267"/>
      <c r="W50" s="267"/>
      <c r="X50" s="267"/>
      <c r="Y50" s="267"/>
      <c r="Z50" s="267"/>
      <c r="AA50" s="267"/>
      <c r="AB50" s="267"/>
      <c r="AC50" s="267"/>
      <c r="AD50" s="267"/>
      <c r="AE50" s="267"/>
      <c r="AF50" s="267"/>
      <c r="AG50" s="267"/>
      <c r="AH50" s="267"/>
      <c r="AI50" s="267"/>
      <c r="AJ50" s="258"/>
      <c r="AK50" s="258"/>
      <c r="AL50" s="258"/>
      <c r="AM50" s="258"/>
      <c r="AN50" s="258"/>
      <c r="AO50" s="258"/>
      <c r="AP50" s="258"/>
      <c r="AQ50" s="258"/>
      <c r="AR50" s="258"/>
      <c r="AS50" s="258"/>
      <c r="AT50" s="258"/>
      <c r="AU50" s="39"/>
      <c r="AV50" s="47"/>
      <c r="AW50" s="47"/>
      <c r="AX50" s="47"/>
      <c r="AY50" s="47"/>
      <c r="AZ50" s="47"/>
      <c r="BA50" s="47"/>
      <c r="BB50" s="47"/>
      <c r="BC50" s="47"/>
      <c r="BD50" s="47"/>
      <c r="BE50" s="40"/>
      <c r="BF50" s="156"/>
      <c r="BG50" s="157"/>
      <c r="BH50" s="157"/>
      <c r="BI50" s="157"/>
      <c r="BJ50" s="157"/>
      <c r="BK50" s="158"/>
    </row>
    <row r="51" spans="1:63" s="240" customFormat="1" ht="15" customHeight="1" x14ac:dyDescent="0.25">
      <c r="A51" s="39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0"/>
      <c r="M51" s="258"/>
      <c r="N51" s="258"/>
      <c r="O51" s="267"/>
      <c r="P51" s="267"/>
      <c r="Q51" s="267"/>
      <c r="R51" s="73" t="s">
        <v>127</v>
      </c>
      <c r="S51" s="267"/>
      <c r="T51" s="267"/>
      <c r="U51" s="267"/>
      <c r="V51" s="267"/>
      <c r="W51" s="267"/>
      <c r="X51" s="267"/>
      <c r="Y51" s="267"/>
      <c r="Z51" s="267"/>
      <c r="AA51" s="267"/>
      <c r="AB51" s="267"/>
      <c r="AC51" s="267"/>
      <c r="AD51" s="267"/>
      <c r="AE51" s="267"/>
      <c r="AF51" s="267"/>
      <c r="AG51" s="267"/>
      <c r="AH51" s="267"/>
      <c r="AI51" s="267"/>
      <c r="AJ51" s="258"/>
      <c r="AK51" s="258"/>
      <c r="AL51" s="258"/>
      <c r="AM51" s="258"/>
      <c r="AN51" s="258"/>
      <c r="AO51" s="258"/>
      <c r="AP51" s="258"/>
      <c r="AQ51" s="258"/>
      <c r="AR51" s="258"/>
      <c r="AS51" s="258"/>
      <c r="AT51" s="258"/>
      <c r="AU51" s="39"/>
      <c r="AV51" s="47"/>
      <c r="AW51" s="47"/>
      <c r="AX51" s="47"/>
      <c r="AY51" s="47"/>
      <c r="AZ51" s="47"/>
      <c r="BA51" s="47"/>
      <c r="BB51" s="47"/>
      <c r="BC51" s="47"/>
      <c r="BD51" s="47"/>
      <c r="BE51" s="40"/>
      <c r="BF51" s="156"/>
      <c r="BG51" s="157"/>
      <c r="BH51" s="157"/>
      <c r="BI51" s="157"/>
      <c r="BJ51" s="157"/>
      <c r="BK51" s="158"/>
    </row>
    <row r="52" spans="1:63" s="240" customFormat="1" ht="15" customHeight="1" x14ac:dyDescent="0.25">
      <c r="A52" s="39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0"/>
      <c r="M52" s="258"/>
      <c r="N52" s="258"/>
      <c r="O52" s="267"/>
      <c r="P52" s="267"/>
      <c r="Q52" s="267"/>
      <c r="R52" s="74" t="s">
        <v>128</v>
      </c>
      <c r="S52" s="267"/>
      <c r="T52" s="267"/>
      <c r="U52" s="267"/>
      <c r="V52" s="267"/>
      <c r="W52" s="267"/>
      <c r="X52" s="267"/>
      <c r="Y52" s="267"/>
      <c r="Z52" s="267"/>
      <c r="AA52" s="267"/>
      <c r="AB52" s="267"/>
      <c r="AC52" s="267"/>
      <c r="AD52" s="267"/>
      <c r="AE52" s="267"/>
      <c r="AF52" s="267"/>
      <c r="AG52" s="267"/>
      <c r="AH52" s="267"/>
      <c r="AI52" s="267"/>
      <c r="AJ52" s="258"/>
      <c r="AK52" s="258"/>
      <c r="AL52" s="258"/>
      <c r="AM52" s="258"/>
      <c r="AN52" s="258"/>
      <c r="AO52" s="258"/>
      <c r="AP52" s="258"/>
      <c r="AQ52" s="258"/>
      <c r="AR52" s="258"/>
      <c r="AS52" s="258"/>
      <c r="AT52" s="258"/>
      <c r="AU52" s="39"/>
      <c r="AV52" s="47"/>
      <c r="AW52" s="47"/>
      <c r="AX52" s="47"/>
      <c r="AY52" s="47"/>
      <c r="AZ52" s="47"/>
      <c r="BA52" s="47"/>
      <c r="BB52" s="47"/>
      <c r="BC52" s="47"/>
      <c r="BD52" s="47"/>
      <c r="BE52" s="40"/>
      <c r="BF52" s="156"/>
      <c r="BG52" s="157"/>
      <c r="BH52" s="157"/>
      <c r="BI52" s="157"/>
      <c r="BJ52" s="157"/>
      <c r="BK52" s="158"/>
    </row>
    <row r="53" spans="1:63" s="240" customFormat="1" ht="15" customHeight="1" x14ac:dyDescent="0.25">
      <c r="A53" s="39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0"/>
      <c r="M53" s="258"/>
      <c r="N53" s="65"/>
      <c r="O53" s="267"/>
      <c r="P53" s="267"/>
      <c r="Q53" s="267"/>
      <c r="R53" s="267"/>
      <c r="S53" s="267"/>
      <c r="T53" s="267"/>
      <c r="U53" s="267"/>
      <c r="V53" s="267"/>
      <c r="W53" s="267"/>
      <c r="X53" s="267"/>
      <c r="Y53" s="267"/>
      <c r="Z53" s="267"/>
      <c r="AA53" s="267"/>
      <c r="AB53" s="267"/>
      <c r="AC53" s="267"/>
      <c r="AD53" s="267"/>
      <c r="AE53" s="267"/>
      <c r="AF53" s="267"/>
      <c r="AG53" s="267"/>
      <c r="AH53" s="267"/>
      <c r="AI53" s="267"/>
      <c r="AJ53" s="258"/>
      <c r="AK53" s="258"/>
      <c r="AL53" s="258"/>
      <c r="AM53" s="258"/>
      <c r="AN53" s="258"/>
      <c r="AO53" s="258"/>
      <c r="AP53" s="258"/>
      <c r="AQ53" s="258"/>
      <c r="AR53" s="258"/>
      <c r="AS53" s="258"/>
      <c r="AT53" s="258"/>
      <c r="AU53" s="39"/>
      <c r="AV53" s="47"/>
      <c r="AW53" s="47"/>
      <c r="AX53" s="47"/>
      <c r="AY53" s="47"/>
      <c r="AZ53" s="47"/>
      <c r="BA53" s="47"/>
      <c r="BB53" s="47"/>
      <c r="BC53" s="47"/>
      <c r="BD53" s="47"/>
      <c r="BE53" s="40"/>
      <c r="BF53" s="156"/>
      <c r="BG53" s="157"/>
      <c r="BH53" s="157"/>
      <c r="BI53" s="157"/>
      <c r="BJ53" s="157"/>
      <c r="BK53" s="158"/>
    </row>
    <row r="54" spans="1:63" s="240" customFormat="1" ht="15" customHeight="1" x14ac:dyDescent="0.25">
      <c r="A54" s="41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3"/>
      <c r="M54" s="268"/>
      <c r="N54" s="269"/>
      <c r="O54" s="269"/>
      <c r="P54" s="269"/>
      <c r="Q54" s="269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270"/>
      <c r="AQ54" s="270"/>
      <c r="AR54" s="270"/>
      <c r="AS54" s="270"/>
      <c r="AT54" s="270"/>
      <c r="AU54" s="41"/>
      <c r="AV54" s="42"/>
      <c r="AW54" s="42"/>
      <c r="AX54" s="42"/>
      <c r="AY54" s="42"/>
      <c r="AZ54" s="42"/>
      <c r="BA54" s="42"/>
      <c r="BB54" s="42"/>
      <c r="BC54" s="42"/>
      <c r="BD54" s="42"/>
      <c r="BE54" s="43"/>
      <c r="BF54" s="159"/>
      <c r="BG54" s="160"/>
      <c r="BH54" s="160"/>
      <c r="BI54" s="160"/>
      <c r="BJ54" s="160"/>
      <c r="BK54" s="161"/>
    </row>
    <row r="55" spans="1:63" ht="15" customHeight="1" x14ac:dyDescent="0.25">
      <c r="A55" s="59"/>
      <c r="BK55" s="60"/>
    </row>
    <row r="56" spans="1:63" ht="15" customHeight="1" x14ac:dyDescent="0.25">
      <c r="A56" s="59"/>
      <c r="BK56" s="60"/>
    </row>
    <row r="57" spans="1:63" ht="15" customHeight="1" x14ac:dyDescent="0.25">
      <c r="A57" s="59"/>
      <c r="BK57" s="60"/>
    </row>
    <row r="58" spans="1:63" s="240" customFormat="1" ht="15" customHeight="1" x14ac:dyDescent="0.25">
      <c r="A58" s="246" t="s">
        <v>18</v>
      </c>
      <c r="B58" s="247"/>
      <c r="C58" s="247"/>
      <c r="D58" s="247"/>
      <c r="E58" s="247"/>
      <c r="F58" s="248"/>
      <c r="G58" s="242" t="s">
        <v>45</v>
      </c>
      <c r="H58" s="242"/>
      <c r="I58" s="242"/>
      <c r="J58" s="242"/>
      <c r="K58" s="242"/>
      <c r="L58" s="242"/>
      <c r="M58" s="75" t="s">
        <v>129</v>
      </c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250"/>
      <c r="BI58" s="250"/>
      <c r="BJ58" s="250"/>
      <c r="BK58" s="251"/>
    </row>
    <row r="59" spans="1:63" s="240" customFormat="1" ht="15" customHeight="1" x14ac:dyDescent="0.25">
      <c r="A59" s="252" t="s">
        <v>20</v>
      </c>
      <c r="B59" s="253"/>
      <c r="C59" s="253"/>
      <c r="D59" s="253"/>
      <c r="E59" s="253"/>
      <c r="F59" s="253"/>
      <c r="G59" s="253"/>
      <c r="H59" s="253"/>
      <c r="I59" s="253"/>
      <c r="J59" s="253"/>
      <c r="K59" s="253"/>
      <c r="L59" s="254"/>
      <c r="M59" s="252" t="s">
        <v>21</v>
      </c>
      <c r="N59" s="253"/>
      <c r="O59" s="253"/>
      <c r="P59" s="253"/>
      <c r="Q59" s="253"/>
      <c r="R59" s="253"/>
      <c r="S59" s="253"/>
      <c r="T59" s="253"/>
      <c r="U59" s="253"/>
      <c r="V59" s="253"/>
      <c r="W59" s="253"/>
      <c r="X59" s="253"/>
      <c r="Y59" s="253"/>
      <c r="Z59" s="253"/>
      <c r="AA59" s="253"/>
      <c r="AB59" s="253"/>
      <c r="AC59" s="253"/>
      <c r="AD59" s="253"/>
      <c r="AE59" s="253"/>
      <c r="AF59" s="253"/>
      <c r="AG59" s="253"/>
      <c r="AH59" s="253"/>
      <c r="AI59" s="253"/>
      <c r="AJ59" s="253"/>
      <c r="AK59" s="253"/>
      <c r="AL59" s="253"/>
      <c r="AM59" s="253"/>
      <c r="AN59" s="253"/>
      <c r="AO59" s="253"/>
      <c r="AP59" s="253"/>
      <c r="AQ59" s="253"/>
      <c r="AR59" s="253"/>
      <c r="AS59" s="253"/>
      <c r="AT59" s="254"/>
      <c r="AU59" s="252" t="s">
        <v>22</v>
      </c>
      <c r="AV59" s="253"/>
      <c r="AW59" s="253"/>
      <c r="AX59" s="253"/>
      <c r="AY59" s="253"/>
      <c r="AZ59" s="253"/>
      <c r="BA59" s="253"/>
      <c r="BB59" s="253"/>
      <c r="BC59" s="253"/>
      <c r="BD59" s="253"/>
      <c r="BE59" s="253"/>
      <c r="BF59" s="252" t="s">
        <v>23</v>
      </c>
      <c r="BG59" s="253"/>
      <c r="BH59" s="253"/>
      <c r="BI59" s="253"/>
      <c r="BJ59" s="253"/>
      <c r="BK59" s="254"/>
    </row>
    <row r="60" spans="1:63" s="240" customFormat="1" ht="15" customHeight="1" x14ac:dyDescent="0.25">
      <c r="A60" s="255"/>
      <c r="B60" s="256"/>
      <c r="C60" s="256"/>
      <c r="D60" s="256"/>
      <c r="E60" s="256"/>
      <c r="F60" s="256"/>
      <c r="G60" s="256"/>
      <c r="H60" s="256"/>
      <c r="I60" s="256"/>
      <c r="J60" s="256"/>
      <c r="K60" s="256"/>
      <c r="L60" s="257"/>
      <c r="M60" s="255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56"/>
      <c r="Z60" s="256"/>
      <c r="AA60" s="256"/>
      <c r="AB60" s="256"/>
      <c r="AC60" s="256"/>
      <c r="AD60" s="256"/>
      <c r="AE60" s="256"/>
      <c r="AF60" s="256"/>
      <c r="AG60" s="256"/>
      <c r="AH60" s="256"/>
      <c r="AI60" s="256"/>
      <c r="AJ60" s="256"/>
      <c r="AK60" s="256"/>
      <c r="AL60" s="256"/>
      <c r="AM60" s="256"/>
      <c r="AN60" s="256"/>
      <c r="AO60" s="256"/>
      <c r="AP60" s="256"/>
      <c r="AQ60" s="256"/>
      <c r="AR60" s="256"/>
      <c r="AS60" s="256"/>
      <c r="AT60" s="257"/>
      <c r="AU60" s="255"/>
      <c r="AV60" s="256"/>
      <c r="AW60" s="256"/>
      <c r="AX60" s="256"/>
      <c r="AY60" s="256"/>
      <c r="AZ60" s="256"/>
      <c r="BA60" s="256"/>
      <c r="BB60" s="256"/>
      <c r="BC60" s="256"/>
      <c r="BD60" s="256"/>
      <c r="BE60" s="256"/>
      <c r="BF60" s="255"/>
      <c r="BG60" s="256"/>
      <c r="BH60" s="256"/>
      <c r="BI60" s="256"/>
      <c r="BJ60" s="256"/>
      <c r="BK60" s="257"/>
    </row>
    <row r="61" spans="1:63" s="240" customFormat="1" ht="15" customHeight="1" x14ac:dyDescent="0.25">
      <c r="A61" s="39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0"/>
      <c r="M61" s="258"/>
      <c r="N61" s="277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Y61" s="276"/>
      <c r="Z61" s="276"/>
      <c r="AA61" s="276"/>
      <c r="AB61" s="276"/>
      <c r="AC61" s="276"/>
      <c r="AD61" s="276"/>
      <c r="AE61" s="276"/>
      <c r="AF61" s="276"/>
      <c r="AG61" s="276"/>
      <c r="AH61" s="276"/>
      <c r="AI61" s="276"/>
      <c r="AJ61" s="277"/>
      <c r="AK61" s="277"/>
      <c r="AL61" s="277"/>
      <c r="AM61" s="277"/>
      <c r="AN61" s="258"/>
      <c r="AO61" s="258"/>
      <c r="AP61" s="258"/>
      <c r="AQ61" s="258"/>
      <c r="AR61" s="258"/>
      <c r="AS61" s="258"/>
      <c r="AT61" s="258"/>
      <c r="AU61" s="39"/>
      <c r="AV61" s="47"/>
      <c r="AW61" s="47"/>
      <c r="AX61" s="47"/>
      <c r="AY61" s="47"/>
      <c r="AZ61" s="47"/>
      <c r="BA61" s="47"/>
      <c r="BB61" s="47"/>
      <c r="BC61" s="47"/>
      <c r="BD61" s="47"/>
      <c r="BE61" s="40"/>
      <c r="BF61" s="156"/>
      <c r="BG61" s="157"/>
      <c r="BH61" s="157"/>
      <c r="BI61" s="157"/>
      <c r="BJ61" s="157"/>
      <c r="BK61" s="158"/>
    </row>
    <row r="62" spans="1:63" s="240" customFormat="1" ht="15" customHeight="1" x14ac:dyDescent="0.25">
      <c r="A62" s="39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0"/>
      <c r="M62" s="258"/>
      <c r="N62" s="76" t="s">
        <v>130</v>
      </c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7"/>
      <c r="AK62" s="77"/>
      <c r="AL62" s="77"/>
      <c r="AM62" s="77"/>
      <c r="AN62" s="77"/>
      <c r="AO62" s="77"/>
      <c r="AP62" s="77"/>
      <c r="AQ62" s="258"/>
      <c r="AR62" s="258"/>
      <c r="AS62" s="258"/>
      <c r="AT62" s="258"/>
      <c r="AU62" s="39"/>
      <c r="AV62" s="47"/>
      <c r="AW62" s="47"/>
      <c r="AX62" s="47"/>
      <c r="AY62" s="47"/>
      <c r="AZ62" s="47"/>
      <c r="BA62" s="47"/>
      <c r="BB62" s="47"/>
      <c r="BC62" s="47"/>
      <c r="BD62" s="47"/>
      <c r="BE62" s="40"/>
      <c r="BF62" s="62"/>
      <c r="BG62" s="63"/>
      <c r="BH62" s="63"/>
      <c r="BI62" s="63"/>
      <c r="BJ62" s="63"/>
      <c r="BK62" s="64"/>
    </row>
    <row r="63" spans="1:63" s="240" customFormat="1" ht="15" customHeight="1" x14ac:dyDescent="0.25">
      <c r="A63" s="39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0"/>
      <c r="M63" s="258"/>
      <c r="N63" s="76"/>
      <c r="O63" s="74" t="s">
        <v>131</v>
      </c>
      <c r="P63" s="74"/>
      <c r="Q63" s="74"/>
      <c r="R63" s="74"/>
      <c r="S63" s="74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7"/>
      <c r="AK63" s="77"/>
      <c r="AL63" s="77"/>
      <c r="AM63" s="77"/>
      <c r="AN63" s="77"/>
      <c r="AO63" s="77"/>
      <c r="AP63" s="77"/>
      <c r="AQ63" s="258"/>
      <c r="AR63" s="258"/>
      <c r="AS63" s="258"/>
      <c r="AT63" s="258"/>
      <c r="AU63" s="39"/>
      <c r="AV63" s="47"/>
      <c r="AW63" s="47"/>
      <c r="AX63" s="47"/>
      <c r="AY63" s="47"/>
      <c r="AZ63" s="47"/>
      <c r="BA63" s="47"/>
      <c r="BB63" s="47"/>
      <c r="BC63" s="47"/>
      <c r="BD63" s="47"/>
      <c r="BE63" s="40"/>
      <c r="BF63" s="62"/>
      <c r="BG63" s="63"/>
      <c r="BH63" s="63"/>
      <c r="BI63" s="63"/>
      <c r="BJ63" s="63"/>
      <c r="BK63" s="64"/>
    </row>
    <row r="64" spans="1:63" s="240" customFormat="1" ht="15" customHeight="1" x14ac:dyDescent="0.25">
      <c r="A64" s="39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0"/>
      <c r="M64" s="258"/>
      <c r="N64" s="76"/>
      <c r="O64" s="74"/>
      <c r="P64" s="74" t="s">
        <v>132</v>
      </c>
      <c r="Q64" s="74"/>
      <c r="R64" s="74"/>
      <c r="S64" s="74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  <c r="AI64" s="74"/>
      <c r="AJ64" s="77"/>
      <c r="AK64" s="77"/>
      <c r="AL64" s="77"/>
      <c r="AM64" s="77"/>
      <c r="AN64" s="77"/>
      <c r="AO64" s="77"/>
      <c r="AP64" s="77"/>
      <c r="AQ64" s="258"/>
      <c r="AR64" s="258"/>
      <c r="AS64" s="258"/>
      <c r="AT64" s="258"/>
      <c r="AU64" s="39"/>
      <c r="AV64" s="47"/>
      <c r="AW64" s="47"/>
      <c r="AX64" s="47"/>
      <c r="AY64" s="47"/>
      <c r="AZ64" s="47"/>
      <c r="BA64" s="47"/>
      <c r="BB64" s="47"/>
      <c r="BC64" s="47"/>
      <c r="BD64" s="47"/>
      <c r="BE64" s="40"/>
      <c r="BF64" s="62"/>
      <c r="BG64" s="63"/>
      <c r="BH64" s="63"/>
      <c r="BI64" s="63"/>
      <c r="BJ64" s="63"/>
      <c r="BK64" s="64"/>
    </row>
    <row r="65" spans="1:63" s="240" customFormat="1" ht="15" customHeight="1" x14ac:dyDescent="0.25">
      <c r="A65" s="39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0"/>
      <c r="M65" s="258"/>
      <c r="N65" s="76"/>
      <c r="O65" s="74"/>
      <c r="P65" s="74" t="s">
        <v>133</v>
      </c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  <c r="AI65" s="74"/>
      <c r="AJ65" s="77"/>
      <c r="AK65" s="77"/>
      <c r="AL65" s="77"/>
      <c r="AM65" s="77"/>
      <c r="AN65" s="77"/>
      <c r="AO65" s="77"/>
      <c r="AP65" s="77"/>
      <c r="AQ65" s="258"/>
      <c r="AR65" s="258"/>
      <c r="AS65" s="258"/>
      <c r="AT65" s="258"/>
      <c r="AU65" s="39"/>
      <c r="AV65" s="47"/>
      <c r="AW65" s="47"/>
      <c r="AX65" s="47"/>
      <c r="AY65" s="47"/>
      <c r="AZ65" s="47"/>
      <c r="BA65" s="47"/>
      <c r="BB65" s="47"/>
      <c r="BC65" s="47"/>
      <c r="BD65" s="47"/>
      <c r="BE65" s="40"/>
      <c r="BF65" s="62"/>
      <c r="BG65" s="63"/>
      <c r="BH65" s="63"/>
      <c r="BI65" s="63"/>
      <c r="BJ65" s="63"/>
      <c r="BK65" s="64"/>
    </row>
    <row r="66" spans="1:63" s="240" customFormat="1" ht="15" customHeight="1" x14ac:dyDescent="0.25">
      <c r="A66" s="39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0"/>
      <c r="M66" s="258"/>
      <c r="N66" s="77"/>
      <c r="O66" s="74" t="s">
        <v>134</v>
      </c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  <c r="AI66" s="74"/>
      <c r="AJ66" s="77"/>
      <c r="AK66" s="77"/>
      <c r="AL66" s="77"/>
      <c r="AM66" s="77"/>
      <c r="AN66" s="77"/>
      <c r="AO66" s="77"/>
      <c r="AP66" s="77"/>
      <c r="AQ66" s="258"/>
      <c r="AR66" s="258"/>
      <c r="AS66" s="258"/>
      <c r="AT66" s="258"/>
      <c r="AU66" s="39"/>
      <c r="AV66" s="47"/>
      <c r="AW66" s="47"/>
      <c r="AX66" s="47"/>
      <c r="AY66" s="47"/>
      <c r="AZ66" s="47"/>
      <c r="BA66" s="47"/>
      <c r="BB66" s="47"/>
      <c r="BC66" s="47"/>
      <c r="BD66" s="47"/>
      <c r="BE66" s="40"/>
      <c r="BF66" s="62"/>
      <c r="BG66" s="63"/>
      <c r="BH66" s="63"/>
      <c r="BI66" s="63"/>
      <c r="BJ66" s="63"/>
      <c r="BK66" s="64"/>
    </row>
    <row r="67" spans="1:63" s="240" customFormat="1" ht="15" customHeight="1" x14ac:dyDescent="0.25">
      <c r="A67" s="39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0"/>
      <c r="M67" s="258"/>
      <c r="N67" s="77"/>
      <c r="O67" s="74"/>
      <c r="P67" s="74" t="s">
        <v>135</v>
      </c>
      <c r="Q67" s="74"/>
      <c r="R67" s="74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  <c r="AI67" s="74"/>
      <c r="AJ67" s="77"/>
      <c r="AK67" s="77"/>
      <c r="AL67" s="77"/>
      <c r="AM67" s="77"/>
      <c r="AN67" s="77"/>
      <c r="AO67" s="77"/>
      <c r="AP67" s="77"/>
      <c r="AQ67" s="258"/>
      <c r="AR67" s="258"/>
      <c r="AS67" s="258"/>
      <c r="AT67" s="258"/>
      <c r="AU67" s="39"/>
      <c r="AV67" s="47"/>
      <c r="AW67" s="47"/>
      <c r="AX67" s="47"/>
      <c r="AY67" s="47"/>
      <c r="AZ67" s="47"/>
      <c r="BA67" s="47"/>
      <c r="BB67" s="47"/>
      <c r="BC67" s="47"/>
      <c r="BD67" s="47"/>
      <c r="BE67" s="40"/>
      <c r="BF67" s="62"/>
      <c r="BG67" s="63"/>
      <c r="BH67" s="63"/>
      <c r="BI67" s="63"/>
      <c r="BJ67" s="63"/>
      <c r="BK67" s="64"/>
    </row>
    <row r="68" spans="1:63" s="240" customFormat="1" ht="15" customHeight="1" x14ac:dyDescent="0.25">
      <c r="A68" s="39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0"/>
      <c r="M68" s="258"/>
      <c r="N68" s="77"/>
      <c r="O68" s="74"/>
      <c r="P68" s="74" t="s">
        <v>136</v>
      </c>
      <c r="Q68" s="74"/>
      <c r="R68" s="74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7"/>
      <c r="AK68" s="77"/>
      <c r="AL68" s="77"/>
      <c r="AM68" s="77"/>
      <c r="AN68" s="77"/>
      <c r="AO68" s="77"/>
      <c r="AP68" s="77"/>
      <c r="AQ68" s="258"/>
      <c r="AR68" s="258"/>
      <c r="AS68" s="258"/>
      <c r="AT68" s="258"/>
      <c r="AU68" s="39"/>
      <c r="AV68" s="47"/>
      <c r="AW68" s="47"/>
      <c r="AX68" s="47"/>
      <c r="AY68" s="47"/>
      <c r="AZ68" s="47"/>
      <c r="BA68" s="47"/>
      <c r="BB68" s="47"/>
      <c r="BC68" s="47"/>
      <c r="BD68" s="47"/>
      <c r="BE68" s="40"/>
      <c r="BF68" s="62"/>
      <c r="BG68" s="63"/>
      <c r="BH68" s="63"/>
      <c r="BI68" s="63"/>
      <c r="BJ68" s="63"/>
      <c r="BK68" s="64"/>
    </row>
    <row r="69" spans="1:63" s="240" customFormat="1" ht="15" customHeight="1" x14ac:dyDescent="0.25">
      <c r="A69" s="39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0"/>
      <c r="M69" s="258"/>
      <c r="N69" s="77"/>
      <c r="O69" s="74"/>
      <c r="P69" s="74" t="s">
        <v>137</v>
      </c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7"/>
      <c r="AK69" s="77"/>
      <c r="AL69" s="77"/>
      <c r="AM69" s="77"/>
      <c r="AN69" s="77"/>
      <c r="AO69" s="77"/>
      <c r="AP69" s="77"/>
      <c r="AQ69" s="258"/>
      <c r="AR69" s="258"/>
      <c r="AS69" s="258"/>
      <c r="AT69" s="258"/>
      <c r="AU69" s="39"/>
      <c r="AV69" s="47"/>
      <c r="AW69" s="47"/>
      <c r="AX69" s="47"/>
      <c r="AY69" s="47"/>
      <c r="AZ69" s="47"/>
      <c r="BA69" s="47"/>
      <c r="BB69" s="47"/>
      <c r="BC69" s="47"/>
      <c r="BD69" s="47"/>
      <c r="BE69" s="40"/>
      <c r="BF69" s="62"/>
      <c r="BG69" s="63"/>
      <c r="BH69" s="63"/>
      <c r="BI69" s="63"/>
      <c r="BJ69" s="63"/>
      <c r="BK69" s="64"/>
    </row>
    <row r="70" spans="1:63" s="240" customFormat="1" ht="15" customHeight="1" x14ac:dyDescent="0.25">
      <c r="A70" s="39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0"/>
      <c r="M70" s="258"/>
      <c r="N70" s="77"/>
      <c r="O70" s="74"/>
      <c r="P70" s="74" t="s">
        <v>138</v>
      </c>
      <c r="Q70" s="74"/>
      <c r="R70" s="74"/>
      <c r="S70" s="74"/>
      <c r="T70" s="74"/>
      <c r="U70" s="74"/>
      <c r="V70" s="74"/>
      <c r="W70" s="74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7"/>
      <c r="AK70" s="77"/>
      <c r="AL70" s="77"/>
      <c r="AM70" s="77"/>
      <c r="AN70" s="77"/>
      <c r="AO70" s="77"/>
      <c r="AP70" s="77"/>
      <c r="AQ70" s="258"/>
      <c r="AR70" s="258"/>
      <c r="AS70" s="258"/>
      <c r="AT70" s="258"/>
      <c r="AU70" s="39"/>
      <c r="AV70" s="47"/>
      <c r="AW70" s="47"/>
      <c r="AX70" s="47"/>
      <c r="AY70" s="47"/>
      <c r="AZ70" s="47"/>
      <c r="BA70" s="47"/>
      <c r="BB70" s="47"/>
      <c r="BC70" s="47"/>
      <c r="BD70" s="47"/>
      <c r="BE70" s="40"/>
      <c r="BF70" s="62"/>
      <c r="BG70" s="63"/>
      <c r="BH70" s="63"/>
      <c r="BI70" s="63"/>
      <c r="BJ70" s="63"/>
      <c r="BK70" s="64"/>
    </row>
    <row r="71" spans="1:63" s="240" customFormat="1" ht="15" customHeight="1" x14ac:dyDescent="0.25">
      <c r="A71" s="39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0"/>
      <c r="M71" s="258"/>
      <c r="N71" s="77"/>
      <c r="O71" s="74"/>
      <c r="P71" s="74"/>
      <c r="Q71" s="74" t="s">
        <v>139</v>
      </c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7"/>
      <c r="AK71" s="77"/>
      <c r="AL71" s="77"/>
      <c r="AM71" s="77"/>
      <c r="AN71" s="77"/>
      <c r="AO71" s="77"/>
      <c r="AP71" s="77"/>
      <c r="AQ71" s="258"/>
      <c r="AR71" s="258"/>
      <c r="AS71" s="258"/>
      <c r="AT71" s="258"/>
      <c r="AU71" s="39"/>
      <c r="AV71" s="47"/>
      <c r="AW71" s="47"/>
      <c r="AX71" s="47"/>
      <c r="AY71" s="47"/>
      <c r="AZ71" s="47"/>
      <c r="BA71" s="47"/>
      <c r="BB71" s="47"/>
      <c r="BC71" s="47"/>
      <c r="BD71" s="47"/>
      <c r="BE71" s="40"/>
      <c r="BF71" s="62"/>
      <c r="BG71" s="63"/>
      <c r="BH71" s="63"/>
      <c r="BI71" s="63"/>
      <c r="BJ71" s="63"/>
      <c r="BK71" s="64"/>
    </row>
    <row r="72" spans="1:63" s="240" customFormat="1" ht="15" customHeight="1" x14ac:dyDescent="0.25">
      <c r="A72" s="39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0"/>
      <c r="M72" s="258"/>
      <c r="N72" s="77"/>
      <c r="O72" s="74"/>
      <c r="P72" s="74"/>
      <c r="Q72" s="74" t="s">
        <v>140</v>
      </c>
      <c r="R72" s="74"/>
      <c r="S72" s="74"/>
      <c r="T72" s="74"/>
      <c r="U72" s="74"/>
      <c r="V72" s="74"/>
      <c r="W72" s="74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  <c r="AI72" s="74"/>
      <c r="AJ72" s="77"/>
      <c r="AK72" s="77"/>
      <c r="AL72" s="77"/>
      <c r="AM72" s="77"/>
      <c r="AN72" s="77"/>
      <c r="AO72" s="77"/>
      <c r="AP72" s="77"/>
      <c r="AQ72" s="258"/>
      <c r="AR72" s="258"/>
      <c r="AS72" s="258"/>
      <c r="AT72" s="258"/>
      <c r="AU72" s="39"/>
      <c r="AV72" s="47"/>
      <c r="AW72" s="47"/>
      <c r="AX72" s="47"/>
      <c r="AY72" s="47"/>
      <c r="AZ72" s="47"/>
      <c r="BA72" s="47"/>
      <c r="BB72" s="47"/>
      <c r="BC72" s="47"/>
      <c r="BD72" s="47"/>
      <c r="BE72" s="40"/>
      <c r="BF72" s="62"/>
      <c r="BG72" s="63"/>
      <c r="BH72" s="63"/>
      <c r="BI72" s="63"/>
      <c r="BJ72" s="63"/>
      <c r="BK72" s="64"/>
    </row>
    <row r="73" spans="1:63" s="240" customFormat="1" ht="15" customHeight="1" x14ac:dyDescent="0.25">
      <c r="A73" s="41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3"/>
      <c r="M73" s="268"/>
      <c r="N73" s="278"/>
      <c r="O73" s="278"/>
      <c r="P73" s="278"/>
      <c r="Q73" s="278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50"/>
      <c r="AO73" s="50"/>
      <c r="AP73" s="270"/>
      <c r="AQ73" s="270"/>
      <c r="AR73" s="270"/>
      <c r="AS73" s="270"/>
      <c r="AT73" s="270"/>
      <c r="AU73" s="41"/>
      <c r="AV73" s="42"/>
      <c r="AW73" s="42"/>
      <c r="AX73" s="42"/>
      <c r="AY73" s="42"/>
      <c r="AZ73" s="42"/>
      <c r="BA73" s="42"/>
      <c r="BB73" s="42"/>
      <c r="BC73" s="42"/>
      <c r="BD73" s="42"/>
      <c r="BE73" s="43"/>
      <c r="BF73" s="159"/>
      <c r="BG73" s="160"/>
      <c r="BH73" s="160"/>
      <c r="BI73" s="160"/>
      <c r="BJ73" s="160"/>
      <c r="BK73" s="161"/>
    </row>
    <row r="74" spans="1:63" ht="15" customHeight="1" x14ac:dyDescent="0.25">
      <c r="A74" s="59"/>
      <c r="N74" s="279"/>
      <c r="O74" s="279"/>
      <c r="P74" s="279"/>
      <c r="Q74" s="279"/>
      <c r="R74" s="279"/>
      <c r="S74" s="279"/>
      <c r="T74" s="279"/>
      <c r="U74" s="279"/>
      <c r="V74" s="279"/>
      <c r="W74" s="279"/>
      <c r="X74" s="279"/>
      <c r="Y74" s="279"/>
      <c r="Z74" s="279"/>
      <c r="AA74" s="279"/>
      <c r="AB74" s="279"/>
      <c r="AC74" s="279"/>
      <c r="AD74" s="279"/>
      <c r="AE74" s="279"/>
      <c r="AF74" s="279"/>
      <c r="AG74" s="279"/>
      <c r="AH74" s="279"/>
      <c r="AI74" s="279"/>
      <c r="AJ74" s="279"/>
      <c r="AK74" s="279"/>
      <c r="AL74" s="279"/>
      <c r="AM74" s="279"/>
      <c r="BK74" s="60"/>
    </row>
    <row r="75" spans="1:63" ht="15" customHeight="1" x14ac:dyDescent="0.25">
      <c r="A75" s="59"/>
      <c r="BK75" s="60"/>
    </row>
    <row r="76" spans="1:63" ht="15" customHeight="1" x14ac:dyDescent="0.25">
      <c r="A76" s="59"/>
      <c r="BK76" s="60"/>
    </row>
    <row r="77" spans="1:63" s="240" customFormat="1" ht="15" customHeight="1" x14ac:dyDescent="0.25">
      <c r="A77" s="246" t="s">
        <v>18</v>
      </c>
      <c r="B77" s="247"/>
      <c r="C77" s="247"/>
      <c r="D77" s="247"/>
      <c r="E77" s="247"/>
      <c r="F77" s="248"/>
      <c r="G77" s="242" t="s">
        <v>47</v>
      </c>
      <c r="H77" s="242"/>
      <c r="I77" s="242"/>
      <c r="J77" s="242"/>
      <c r="K77" s="242"/>
      <c r="L77" s="242"/>
      <c r="M77" s="249" t="s">
        <v>67</v>
      </c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250"/>
      <c r="BI77" s="250"/>
      <c r="BJ77" s="250"/>
      <c r="BK77" s="251"/>
    </row>
    <row r="78" spans="1:63" s="240" customFormat="1" ht="15" customHeight="1" x14ac:dyDescent="0.25">
      <c r="A78" s="252" t="s">
        <v>20</v>
      </c>
      <c r="B78" s="253"/>
      <c r="C78" s="253"/>
      <c r="D78" s="253"/>
      <c r="E78" s="253"/>
      <c r="F78" s="253"/>
      <c r="G78" s="253"/>
      <c r="H78" s="253"/>
      <c r="I78" s="253"/>
      <c r="J78" s="253"/>
      <c r="K78" s="253"/>
      <c r="L78" s="254"/>
      <c r="M78" s="252" t="s">
        <v>21</v>
      </c>
      <c r="N78" s="253"/>
      <c r="O78" s="253"/>
      <c r="P78" s="253"/>
      <c r="Q78" s="253"/>
      <c r="R78" s="253"/>
      <c r="S78" s="253"/>
      <c r="T78" s="253"/>
      <c r="U78" s="253"/>
      <c r="V78" s="253"/>
      <c r="W78" s="253"/>
      <c r="X78" s="253"/>
      <c r="Y78" s="253"/>
      <c r="Z78" s="253"/>
      <c r="AA78" s="253"/>
      <c r="AB78" s="253"/>
      <c r="AC78" s="253"/>
      <c r="AD78" s="253"/>
      <c r="AE78" s="253"/>
      <c r="AF78" s="253"/>
      <c r="AG78" s="253"/>
      <c r="AH78" s="253"/>
      <c r="AI78" s="253"/>
      <c r="AJ78" s="253"/>
      <c r="AK78" s="253"/>
      <c r="AL78" s="253"/>
      <c r="AM78" s="253"/>
      <c r="AN78" s="253"/>
      <c r="AO78" s="253"/>
      <c r="AP78" s="253"/>
      <c r="AQ78" s="253"/>
      <c r="AR78" s="253"/>
      <c r="AS78" s="253"/>
      <c r="AT78" s="254"/>
      <c r="AU78" s="252" t="s">
        <v>22</v>
      </c>
      <c r="AV78" s="253"/>
      <c r="AW78" s="253"/>
      <c r="AX78" s="253"/>
      <c r="AY78" s="253"/>
      <c r="AZ78" s="253"/>
      <c r="BA78" s="253"/>
      <c r="BB78" s="253"/>
      <c r="BC78" s="253"/>
      <c r="BD78" s="253"/>
      <c r="BE78" s="253"/>
      <c r="BF78" s="252" t="s">
        <v>23</v>
      </c>
      <c r="BG78" s="253"/>
      <c r="BH78" s="253"/>
      <c r="BI78" s="253"/>
      <c r="BJ78" s="253"/>
      <c r="BK78" s="254"/>
    </row>
    <row r="79" spans="1:63" s="240" customFormat="1" ht="15" customHeight="1" x14ac:dyDescent="0.25">
      <c r="A79" s="255"/>
      <c r="B79" s="256"/>
      <c r="C79" s="256"/>
      <c r="D79" s="256"/>
      <c r="E79" s="256"/>
      <c r="F79" s="256"/>
      <c r="G79" s="256"/>
      <c r="H79" s="256"/>
      <c r="I79" s="256"/>
      <c r="J79" s="256"/>
      <c r="K79" s="256"/>
      <c r="L79" s="257"/>
      <c r="M79" s="255"/>
      <c r="N79" s="256"/>
      <c r="O79" s="256"/>
      <c r="P79" s="256"/>
      <c r="Q79" s="256"/>
      <c r="R79" s="256"/>
      <c r="S79" s="256"/>
      <c r="T79" s="256"/>
      <c r="U79" s="256"/>
      <c r="V79" s="256"/>
      <c r="W79" s="256"/>
      <c r="X79" s="256"/>
      <c r="Y79" s="256"/>
      <c r="Z79" s="256"/>
      <c r="AA79" s="256"/>
      <c r="AB79" s="256"/>
      <c r="AC79" s="256"/>
      <c r="AD79" s="256"/>
      <c r="AE79" s="256"/>
      <c r="AF79" s="256"/>
      <c r="AG79" s="256"/>
      <c r="AH79" s="256"/>
      <c r="AI79" s="256"/>
      <c r="AJ79" s="256"/>
      <c r="AK79" s="256"/>
      <c r="AL79" s="256"/>
      <c r="AM79" s="256"/>
      <c r="AN79" s="256"/>
      <c r="AO79" s="256"/>
      <c r="AP79" s="256"/>
      <c r="AQ79" s="256"/>
      <c r="AR79" s="256"/>
      <c r="AS79" s="256"/>
      <c r="AT79" s="257"/>
      <c r="AU79" s="255"/>
      <c r="AV79" s="256"/>
      <c r="AW79" s="256"/>
      <c r="AX79" s="256"/>
      <c r="AY79" s="256"/>
      <c r="AZ79" s="256"/>
      <c r="BA79" s="256"/>
      <c r="BB79" s="256"/>
      <c r="BC79" s="256"/>
      <c r="BD79" s="256"/>
      <c r="BE79" s="256"/>
      <c r="BF79" s="255"/>
      <c r="BG79" s="256"/>
      <c r="BH79" s="256"/>
      <c r="BI79" s="256"/>
      <c r="BJ79" s="256"/>
      <c r="BK79" s="257"/>
    </row>
    <row r="80" spans="1:63" s="240" customFormat="1" ht="15" customHeight="1" x14ac:dyDescent="0.25">
      <c r="A80" s="36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8"/>
      <c r="M80" s="258"/>
      <c r="N80" s="258"/>
      <c r="O80" s="258"/>
      <c r="P80" s="258"/>
      <c r="Q80" s="258"/>
      <c r="R80" s="259"/>
      <c r="S80" s="259"/>
      <c r="T80" s="259"/>
      <c r="U80" s="259"/>
      <c r="V80" s="259"/>
      <c r="W80" s="259"/>
      <c r="X80" s="259"/>
      <c r="Y80" s="259"/>
      <c r="Z80" s="259"/>
      <c r="AA80" s="259"/>
      <c r="AB80" s="259"/>
      <c r="AC80" s="259"/>
      <c r="AD80" s="259"/>
      <c r="AE80" s="259"/>
      <c r="AF80" s="259"/>
      <c r="AG80" s="259"/>
      <c r="AH80" s="259"/>
      <c r="AI80" s="259"/>
      <c r="AJ80" s="259"/>
      <c r="AK80" s="259"/>
      <c r="AL80" s="259"/>
      <c r="AM80" s="259"/>
      <c r="AN80" s="259"/>
      <c r="AO80" s="259"/>
      <c r="AP80" s="259"/>
      <c r="AQ80" s="259"/>
      <c r="AR80" s="259"/>
      <c r="AS80" s="259"/>
      <c r="AT80" s="259"/>
      <c r="AU80" s="36"/>
      <c r="AV80" s="37"/>
      <c r="AW80" s="37"/>
      <c r="AX80" s="37"/>
      <c r="AY80" s="37"/>
      <c r="AZ80" s="37"/>
      <c r="BA80" s="37"/>
      <c r="BB80" s="37"/>
      <c r="BC80" s="37"/>
      <c r="BD80" s="37"/>
      <c r="BE80" s="38"/>
      <c r="BF80" s="260" t="s">
        <v>60</v>
      </c>
      <c r="BG80" s="261"/>
      <c r="BH80" s="261"/>
      <c r="BI80" s="261"/>
      <c r="BJ80" s="261"/>
      <c r="BK80" s="262"/>
    </row>
    <row r="81" spans="1:63" s="240" customFormat="1" ht="15" customHeight="1" x14ac:dyDescent="0.25">
      <c r="A81" s="39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0"/>
      <c r="M81" s="258"/>
      <c r="N81" s="61" t="s">
        <v>141</v>
      </c>
      <c r="O81" s="258"/>
      <c r="P81" s="258"/>
      <c r="Q81" s="258"/>
      <c r="R81" s="258"/>
      <c r="S81" s="258"/>
      <c r="T81" s="258"/>
      <c r="U81" s="258"/>
      <c r="V81" s="258"/>
      <c r="W81" s="258"/>
      <c r="X81" s="258"/>
      <c r="Y81" s="258"/>
      <c r="Z81" s="258"/>
      <c r="AA81" s="258"/>
      <c r="AB81" s="258"/>
      <c r="AC81" s="258"/>
      <c r="AD81" s="258"/>
      <c r="AE81" s="258"/>
      <c r="AF81" s="258"/>
      <c r="AG81" s="258"/>
      <c r="AH81" s="258"/>
      <c r="AI81" s="258"/>
      <c r="AJ81" s="258"/>
      <c r="AK81" s="258"/>
      <c r="AL81" s="258"/>
      <c r="AM81" s="258"/>
      <c r="AN81" s="258"/>
      <c r="AO81" s="258"/>
      <c r="AP81" s="258"/>
      <c r="AQ81" s="258"/>
      <c r="AR81" s="258"/>
      <c r="AS81" s="258"/>
      <c r="AT81" s="258"/>
      <c r="AU81" s="39"/>
      <c r="AV81" s="47"/>
      <c r="AW81" s="47"/>
      <c r="AX81" s="47"/>
      <c r="AY81" s="47"/>
      <c r="AZ81" s="47"/>
      <c r="BA81" s="47"/>
      <c r="BB81" s="47"/>
      <c r="BC81" s="47"/>
      <c r="BD81" s="47"/>
      <c r="BE81" s="40"/>
      <c r="BF81" s="263"/>
      <c r="BG81" s="264"/>
      <c r="BH81" s="264"/>
      <c r="BI81" s="264"/>
      <c r="BJ81" s="264"/>
      <c r="BK81" s="265"/>
    </row>
    <row r="82" spans="1:63" s="240" customFormat="1" ht="15" customHeight="1" x14ac:dyDescent="0.25">
      <c r="A82" s="39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0"/>
      <c r="M82" s="266"/>
      <c r="N82" s="258"/>
      <c r="O82" s="267" t="s">
        <v>61</v>
      </c>
      <c r="P82" s="267"/>
      <c r="Q82" s="267"/>
      <c r="R82" s="267"/>
      <c r="S82" s="267"/>
      <c r="T82" s="267"/>
      <c r="U82" s="267"/>
      <c r="V82" s="267"/>
      <c r="W82" s="267"/>
      <c r="X82" s="267"/>
      <c r="Y82" s="267"/>
      <c r="Z82" s="267"/>
      <c r="AA82" s="267"/>
      <c r="AB82" s="267"/>
      <c r="AC82" s="267"/>
      <c r="AD82" s="267"/>
      <c r="AE82" s="267"/>
      <c r="AF82" s="267"/>
      <c r="AG82" s="267"/>
      <c r="AH82" s="267"/>
      <c r="AI82" s="267"/>
      <c r="AJ82" s="258"/>
      <c r="AK82" s="258"/>
      <c r="AL82" s="258"/>
      <c r="AM82" s="258"/>
      <c r="AN82" s="258"/>
      <c r="AO82" s="258"/>
      <c r="AP82" s="258"/>
      <c r="AQ82" s="258"/>
      <c r="AR82" s="258"/>
      <c r="AS82" s="258"/>
      <c r="AT82" s="258"/>
      <c r="AU82" s="39"/>
      <c r="AV82" s="47"/>
      <c r="AW82" s="47"/>
      <c r="AX82" s="47"/>
      <c r="AY82" s="47"/>
      <c r="AZ82" s="47"/>
      <c r="BA82" s="47"/>
      <c r="BB82" s="47"/>
      <c r="BC82" s="47"/>
      <c r="BD82" s="47"/>
      <c r="BE82" s="40"/>
      <c r="BF82" s="263"/>
      <c r="BG82" s="264"/>
      <c r="BH82" s="264"/>
      <c r="BI82" s="264"/>
      <c r="BJ82" s="264"/>
      <c r="BK82" s="265"/>
    </row>
    <row r="83" spans="1:63" s="240" customFormat="1" ht="15" customHeight="1" x14ac:dyDescent="0.25">
      <c r="A83" s="39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0"/>
      <c r="M83" s="258"/>
      <c r="O83" s="267" t="s">
        <v>172</v>
      </c>
      <c r="P83" s="267"/>
      <c r="Q83" s="267"/>
      <c r="R83" s="267"/>
      <c r="S83" s="267"/>
      <c r="T83" s="267"/>
      <c r="U83" s="267"/>
      <c r="V83" s="267"/>
      <c r="W83" s="267"/>
      <c r="X83" s="267"/>
      <c r="Y83" s="267"/>
      <c r="Z83" s="267"/>
      <c r="AA83" s="267"/>
      <c r="AB83" s="267"/>
      <c r="AC83" s="267"/>
      <c r="AD83" s="267"/>
      <c r="AE83" s="267"/>
      <c r="AF83" s="267"/>
      <c r="AG83" s="267"/>
      <c r="AH83" s="267"/>
      <c r="AI83" s="267"/>
      <c r="AJ83" s="258"/>
      <c r="AK83" s="258"/>
      <c r="AL83" s="258"/>
      <c r="AM83" s="258"/>
      <c r="AN83" s="258"/>
      <c r="AO83" s="258"/>
      <c r="AP83" s="258"/>
      <c r="AQ83" s="258"/>
      <c r="AR83" s="258"/>
      <c r="AS83" s="258"/>
      <c r="AT83" s="258"/>
      <c r="AU83" s="39"/>
      <c r="AV83" s="47"/>
      <c r="AW83" s="47"/>
      <c r="AX83" s="47"/>
      <c r="AY83" s="47"/>
      <c r="AZ83" s="47"/>
      <c r="BA83" s="47"/>
      <c r="BB83" s="47"/>
      <c r="BC83" s="47"/>
      <c r="BD83" s="47"/>
      <c r="BE83" s="40"/>
      <c r="BF83" s="263"/>
      <c r="BG83" s="264"/>
      <c r="BH83" s="264"/>
      <c r="BI83" s="264"/>
      <c r="BJ83" s="264"/>
      <c r="BK83" s="265"/>
    </row>
    <row r="84" spans="1:63" s="240" customFormat="1" ht="15" customHeight="1" x14ac:dyDescent="0.25">
      <c r="A84" s="39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0"/>
      <c r="M84" s="258"/>
      <c r="N84" s="258"/>
      <c r="O84" s="74" t="s">
        <v>142</v>
      </c>
      <c r="P84" s="267"/>
      <c r="Q84" s="267"/>
      <c r="R84" s="267"/>
      <c r="S84" s="267"/>
      <c r="T84" s="267"/>
      <c r="U84" s="267"/>
      <c r="V84" s="267"/>
      <c r="W84" s="267"/>
      <c r="X84" s="267"/>
      <c r="Y84" s="267"/>
      <c r="Z84" s="267"/>
      <c r="AA84" s="267"/>
      <c r="AB84" s="267"/>
      <c r="AC84" s="267"/>
      <c r="AD84" s="267"/>
      <c r="AE84" s="267"/>
      <c r="AF84" s="267"/>
      <c r="AG84" s="267"/>
      <c r="AH84" s="267"/>
      <c r="AI84" s="267"/>
      <c r="AJ84" s="258"/>
      <c r="AK84" s="258"/>
      <c r="AL84" s="258"/>
      <c r="AM84" s="258"/>
      <c r="AN84" s="258"/>
      <c r="AO84" s="258"/>
      <c r="AP84" s="258"/>
      <c r="AQ84" s="258"/>
      <c r="AR84" s="258"/>
      <c r="AS84" s="258"/>
      <c r="AT84" s="258"/>
      <c r="AU84" s="39"/>
      <c r="AV84" s="47"/>
      <c r="AW84" s="47"/>
      <c r="AX84" s="47"/>
      <c r="AY84" s="47"/>
      <c r="AZ84" s="47"/>
      <c r="BA84" s="47"/>
      <c r="BB84" s="47"/>
      <c r="BC84" s="47"/>
      <c r="BD84" s="47"/>
      <c r="BE84" s="40"/>
      <c r="BF84" s="263"/>
      <c r="BG84" s="264"/>
      <c r="BH84" s="264"/>
      <c r="BI84" s="264"/>
      <c r="BJ84" s="264"/>
      <c r="BK84" s="265"/>
    </row>
    <row r="85" spans="1:63" s="240" customFormat="1" ht="15" customHeight="1" x14ac:dyDescent="0.25">
      <c r="A85" s="39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0"/>
      <c r="M85" s="258"/>
      <c r="N85" s="65"/>
      <c r="O85" s="267"/>
      <c r="P85" s="267"/>
      <c r="Q85" s="267"/>
      <c r="R85" s="267"/>
      <c r="S85" s="267"/>
      <c r="T85" s="267"/>
      <c r="U85" s="267"/>
      <c r="V85" s="267"/>
      <c r="W85" s="267"/>
      <c r="X85" s="267"/>
      <c r="Y85" s="267"/>
      <c r="Z85" s="267"/>
      <c r="AA85" s="267"/>
      <c r="AB85" s="267"/>
      <c r="AC85" s="267"/>
      <c r="AD85" s="267"/>
      <c r="AE85" s="267"/>
      <c r="AF85" s="267"/>
      <c r="AG85" s="267"/>
      <c r="AH85" s="267"/>
      <c r="AI85" s="267"/>
      <c r="AJ85" s="258"/>
      <c r="AK85" s="258"/>
      <c r="AL85" s="258"/>
      <c r="AM85" s="258"/>
      <c r="AN85" s="258"/>
      <c r="AO85" s="258"/>
      <c r="AP85" s="258"/>
      <c r="AQ85" s="258"/>
      <c r="AR85" s="258"/>
      <c r="AS85" s="258"/>
      <c r="AT85" s="258"/>
      <c r="AU85" s="39"/>
      <c r="AV85" s="47"/>
      <c r="AW85" s="47"/>
      <c r="AX85" s="47"/>
      <c r="AY85" s="47"/>
      <c r="AZ85" s="47"/>
      <c r="BA85" s="47"/>
      <c r="BB85" s="47"/>
      <c r="BC85" s="47"/>
      <c r="BD85" s="47"/>
      <c r="BE85" s="40"/>
      <c r="BF85" s="62"/>
      <c r="BG85" s="63"/>
      <c r="BH85" s="63"/>
      <c r="BI85" s="63"/>
      <c r="BJ85" s="63"/>
      <c r="BK85" s="64"/>
    </row>
    <row r="86" spans="1:63" s="240" customFormat="1" ht="15" customHeight="1" x14ac:dyDescent="0.25">
      <c r="A86" s="41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3"/>
      <c r="M86" s="268"/>
      <c r="N86" s="269"/>
      <c r="O86" s="269"/>
      <c r="P86" s="269"/>
      <c r="Q86" s="269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270"/>
      <c r="AQ86" s="270"/>
      <c r="AR86" s="270"/>
      <c r="AS86" s="270"/>
      <c r="AT86" s="270"/>
      <c r="AU86" s="41"/>
      <c r="AV86" s="42"/>
      <c r="AW86" s="42"/>
      <c r="AX86" s="42"/>
      <c r="AY86" s="42"/>
      <c r="AZ86" s="42"/>
      <c r="BA86" s="42"/>
      <c r="BB86" s="42"/>
      <c r="BC86" s="42"/>
      <c r="BD86" s="42"/>
      <c r="BE86" s="43"/>
      <c r="BF86" s="159"/>
      <c r="BG86" s="160"/>
      <c r="BH86" s="160"/>
      <c r="BI86" s="160"/>
      <c r="BJ86" s="160"/>
      <c r="BK86" s="161"/>
    </row>
    <row r="87" spans="1:63" ht="15" customHeight="1" x14ac:dyDescent="0.25">
      <c r="A87" s="59"/>
      <c r="BK87" s="60"/>
    </row>
    <row r="88" spans="1:63" ht="15" customHeight="1" x14ac:dyDescent="0.25">
      <c r="A88" s="59"/>
      <c r="BK88" s="60"/>
    </row>
    <row r="89" spans="1:63" ht="15" customHeight="1" x14ac:dyDescent="0.25">
      <c r="A89" s="59"/>
      <c r="BK89" s="60"/>
    </row>
    <row r="90" spans="1:63" s="240" customFormat="1" ht="15" customHeight="1" x14ac:dyDescent="0.25">
      <c r="A90" s="246" t="s">
        <v>18</v>
      </c>
      <c r="B90" s="247"/>
      <c r="C90" s="247"/>
      <c r="D90" s="247"/>
      <c r="E90" s="247"/>
      <c r="F90" s="248"/>
      <c r="G90" s="242" t="s">
        <v>66</v>
      </c>
      <c r="H90" s="242"/>
      <c r="I90" s="242"/>
      <c r="J90" s="242"/>
      <c r="K90" s="242"/>
      <c r="L90" s="242"/>
      <c r="M90" s="249" t="s">
        <v>64</v>
      </c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250"/>
      <c r="BI90" s="250"/>
      <c r="BJ90" s="250"/>
      <c r="BK90" s="251"/>
    </row>
    <row r="91" spans="1:63" s="240" customFormat="1" ht="15" customHeight="1" x14ac:dyDescent="0.25">
      <c r="A91" s="252" t="s">
        <v>20</v>
      </c>
      <c r="B91" s="253"/>
      <c r="C91" s="253"/>
      <c r="D91" s="253"/>
      <c r="E91" s="253"/>
      <c r="F91" s="253"/>
      <c r="G91" s="253"/>
      <c r="H91" s="253"/>
      <c r="I91" s="253"/>
      <c r="J91" s="253"/>
      <c r="K91" s="253"/>
      <c r="L91" s="254"/>
      <c r="M91" s="252" t="s">
        <v>21</v>
      </c>
      <c r="N91" s="253"/>
      <c r="O91" s="253"/>
      <c r="P91" s="253"/>
      <c r="Q91" s="253"/>
      <c r="R91" s="253"/>
      <c r="S91" s="253"/>
      <c r="T91" s="253"/>
      <c r="U91" s="253"/>
      <c r="V91" s="253"/>
      <c r="W91" s="253"/>
      <c r="X91" s="253"/>
      <c r="Y91" s="253"/>
      <c r="Z91" s="253"/>
      <c r="AA91" s="253"/>
      <c r="AB91" s="253"/>
      <c r="AC91" s="253"/>
      <c r="AD91" s="253"/>
      <c r="AE91" s="253"/>
      <c r="AF91" s="253"/>
      <c r="AG91" s="253"/>
      <c r="AH91" s="253"/>
      <c r="AI91" s="253"/>
      <c r="AJ91" s="253"/>
      <c r="AK91" s="253"/>
      <c r="AL91" s="253"/>
      <c r="AM91" s="253"/>
      <c r="AN91" s="253"/>
      <c r="AO91" s="253"/>
      <c r="AP91" s="253"/>
      <c r="AQ91" s="253"/>
      <c r="AR91" s="253"/>
      <c r="AS91" s="253"/>
      <c r="AT91" s="254"/>
      <c r="AU91" s="252" t="s">
        <v>22</v>
      </c>
      <c r="AV91" s="253"/>
      <c r="AW91" s="253"/>
      <c r="AX91" s="253"/>
      <c r="AY91" s="253"/>
      <c r="AZ91" s="253"/>
      <c r="BA91" s="253"/>
      <c r="BB91" s="253"/>
      <c r="BC91" s="253"/>
      <c r="BD91" s="253"/>
      <c r="BE91" s="253"/>
      <c r="BF91" s="252" t="s">
        <v>23</v>
      </c>
      <c r="BG91" s="253"/>
      <c r="BH91" s="253"/>
      <c r="BI91" s="253"/>
      <c r="BJ91" s="253"/>
      <c r="BK91" s="254"/>
    </row>
    <row r="92" spans="1:63" s="240" customFormat="1" ht="15" customHeight="1" x14ac:dyDescent="0.25">
      <c r="A92" s="255"/>
      <c r="B92" s="256"/>
      <c r="C92" s="256"/>
      <c r="D92" s="256"/>
      <c r="E92" s="256"/>
      <c r="F92" s="256"/>
      <c r="G92" s="256"/>
      <c r="H92" s="256"/>
      <c r="I92" s="256"/>
      <c r="J92" s="256"/>
      <c r="K92" s="256"/>
      <c r="L92" s="257"/>
      <c r="M92" s="255"/>
      <c r="N92" s="256"/>
      <c r="O92" s="256"/>
      <c r="P92" s="256"/>
      <c r="Q92" s="256"/>
      <c r="R92" s="256"/>
      <c r="S92" s="256"/>
      <c r="T92" s="256"/>
      <c r="U92" s="256"/>
      <c r="V92" s="256"/>
      <c r="W92" s="256"/>
      <c r="X92" s="256"/>
      <c r="Y92" s="256"/>
      <c r="Z92" s="256"/>
      <c r="AA92" s="256"/>
      <c r="AB92" s="256"/>
      <c r="AC92" s="256"/>
      <c r="AD92" s="256"/>
      <c r="AE92" s="256"/>
      <c r="AF92" s="256"/>
      <c r="AG92" s="256"/>
      <c r="AH92" s="256"/>
      <c r="AI92" s="256"/>
      <c r="AJ92" s="256"/>
      <c r="AK92" s="256"/>
      <c r="AL92" s="256"/>
      <c r="AM92" s="256"/>
      <c r="AN92" s="256"/>
      <c r="AO92" s="256"/>
      <c r="AP92" s="256"/>
      <c r="AQ92" s="256"/>
      <c r="AR92" s="256"/>
      <c r="AS92" s="256"/>
      <c r="AT92" s="257"/>
      <c r="AU92" s="255"/>
      <c r="AV92" s="256"/>
      <c r="AW92" s="256"/>
      <c r="AX92" s="256"/>
      <c r="AY92" s="256"/>
      <c r="AZ92" s="256"/>
      <c r="BA92" s="256"/>
      <c r="BB92" s="256"/>
      <c r="BC92" s="256"/>
      <c r="BD92" s="256"/>
      <c r="BE92" s="256"/>
      <c r="BF92" s="255"/>
      <c r="BG92" s="256"/>
      <c r="BH92" s="256"/>
      <c r="BI92" s="256"/>
      <c r="BJ92" s="256"/>
      <c r="BK92" s="257"/>
    </row>
    <row r="93" spans="1:63" s="240" customFormat="1" ht="15" customHeight="1" x14ac:dyDescent="0.25">
      <c r="A93" s="36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8"/>
      <c r="M93" s="258"/>
      <c r="N93" s="258"/>
      <c r="O93" s="258"/>
      <c r="P93" s="258"/>
      <c r="Q93" s="258"/>
      <c r="R93" s="259"/>
      <c r="S93" s="259"/>
      <c r="T93" s="259"/>
      <c r="U93" s="259"/>
      <c r="V93" s="259"/>
      <c r="W93" s="259"/>
      <c r="X93" s="259"/>
      <c r="Y93" s="259"/>
      <c r="Z93" s="259"/>
      <c r="AA93" s="259"/>
      <c r="AB93" s="259"/>
      <c r="AC93" s="259"/>
      <c r="AD93" s="259"/>
      <c r="AE93" s="259"/>
      <c r="AF93" s="259"/>
      <c r="AG93" s="259"/>
      <c r="AH93" s="259"/>
      <c r="AI93" s="259"/>
      <c r="AJ93" s="259"/>
      <c r="AK93" s="259"/>
      <c r="AL93" s="259"/>
      <c r="AM93" s="259"/>
      <c r="AN93" s="259"/>
      <c r="AO93" s="259"/>
      <c r="AP93" s="259"/>
      <c r="AQ93" s="259"/>
      <c r="AR93" s="259"/>
      <c r="AS93" s="259"/>
      <c r="AT93" s="259"/>
      <c r="AU93" s="36"/>
      <c r="AV93" s="37"/>
      <c r="AW93" s="37"/>
      <c r="AX93" s="37"/>
      <c r="AY93" s="37"/>
      <c r="AZ93" s="37"/>
      <c r="BA93" s="37"/>
      <c r="BB93" s="37"/>
      <c r="BC93" s="37"/>
      <c r="BD93" s="37"/>
      <c r="BE93" s="38"/>
      <c r="BF93" s="178" t="s">
        <v>143</v>
      </c>
      <c r="BG93" s="179"/>
      <c r="BH93" s="179"/>
      <c r="BI93" s="179"/>
      <c r="BJ93" s="179"/>
      <c r="BK93" s="180"/>
    </row>
    <row r="94" spans="1:63" s="240" customFormat="1" ht="15" customHeight="1" x14ac:dyDescent="0.25">
      <c r="A94" s="39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0"/>
      <c r="M94" s="258"/>
      <c r="N94" s="61"/>
      <c r="O94" s="258" t="s">
        <v>92</v>
      </c>
      <c r="P94" s="258"/>
      <c r="Q94" s="258"/>
      <c r="R94" s="258"/>
      <c r="S94" s="258"/>
      <c r="T94" s="258"/>
      <c r="U94" s="258"/>
      <c r="V94" s="258"/>
      <c r="W94" s="258"/>
      <c r="X94" s="258"/>
      <c r="Y94" s="258"/>
      <c r="Z94" s="258"/>
      <c r="AA94" s="258"/>
      <c r="AB94" s="258"/>
      <c r="AC94" s="258"/>
      <c r="AD94" s="258"/>
      <c r="AE94" s="258"/>
      <c r="AF94" s="258"/>
      <c r="AG94" s="258"/>
      <c r="AH94" s="258"/>
      <c r="AI94" s="258"/>
      <c r="AJ94" s="258"/>
      <c r="AK94" s="258"/>
      <c r="AL94" s="258"/>
      <c r="AM94" s="258"/>
      <c r="AN94" s="258"/>
      <c r="AO94" s="258"/>
      <c r="AP94" s="258"/>
      <c r="AQ94" s="258"/>
      <c r="AR94" s="258"/>
      <c r="AS94" s="258"/>
      <c r="AT94" s="258"/>
      <c r="AU94" s="39"/>
      <c r="AV94" s="47"/>
      <c r="AW94" s="47"/>
      <c r="AX94" s="47"/>
      <c r="AY94" s="47"/>
      <c r="AZ94" s="47"/>
      <c r="BA94" s="47"/>
      <c r="BB94" s="47"/>
      <c r="BC94" s="47"/>
      <c r="BD94" s="47"/>
      <c r="BE94" s="40"/>
      <c r="BF94" s="181"/>
      <c r="BG94" s="182"/>
      <c r="BH94" s="182"/>
      <c r="BI94" s="182"/>
      <c r="BJ94" s="182"/>
      <c r="BK94" s="183"/>
    </row>
    <row r="95" spans="1:63" s="240" customFormat="1" ht="15" customHeight="1" x14ac:dyDescent="0.25">
      <c r="A95" s="39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0"/>
      <c r="M95" s="266"/>
      <c r="N95" s="65"/>
      <c r="O95" s="267"/>
      <c r="P95" s="267"/>
      <c r="Q95" s="267"/>
      <c r="R95" s="267"/>
      <c r="S95" s="267"/>
      <c r="T95" s="267"/>
      <c r="U95" s="267"/>
      <c r="V95" s="267"/>
      <c r="W95" s="267"/>
      <c r="X95" s="267"/>
      <c r="Y95" s="267"/>
      <c r="Z95" s="267"/>
      <c r="AA95" s="267"/>
      <c r="AB95" s="267"/>
      <c r="AC95" s="267"/>
      <c r="AD95" s="267"/>
      <c r="AE95" s="267"/>
      <c r="AF95" s="267"/>
      <c r="AG95" s="267"/>
      <c r="AH95" s="267"/>
      <c r="AI95" s="267"/>
      <c r="AJ95" s="258"/>
      <c r="AK95" s="258"/>
      <c r="AL95" s="258"/>
      <c r="AM95" s="258"/>
      <c r="AN95" s="258"/>
      <c r="AO95" s="258"/>
      <c r="AP95" s="258"/>
      <c r="AQ95" s="258"/>
      <c r="AR95" s="258"/>
      <c r="AS95" s="258"/>
      <c r="AT95" s="258"/>
      <c r="AU95" s="39"/>
      <c r="AV95" s="47"/>
      <c r="AW95" s="47"/>
      <c r="AX95" s="47"/>
      <c r="AY95" s="47"/>
      <c r="AZ95" s="47"/>
      <c r="BA95" s="47"/>
      <c r="BB95" s="47"/>
      <c r="BC95" s="47"/>
      <c r="BD95" s="47"/>
      <c r="BE95" s="40"/>
      <c r="BF95" s="181"/>
      <c r="BG95" s="182"/>
      <c r="BH95" s="182"/>
      <c r="BI95" s="182"/>
      <c r="BJ95" s="182"/>
      <c r="BK95" s="183"/>
    </row>
    <row r="96" spans="1:63" s="240" customFormat="1" ht="15" customHeight="1" x14ac:dyDescent="0.25">
      <c r="A96" s="39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0"/>
      <c r="M96" s="258"/>
      <c r="N96" s="258"/>
      <c r="O96" s="69" t="s">
        <v>144</v>
      </c>
      <c r="P96" s="276"/>
      <c r="Q96" s="276"/>
      <c r="R96" s="276"/>
      <c r="S96" s="267"/>
      <c r="T96" s="267"/>
      <c r="U96" s="267"/>
      <c r="V96" s="267"/>
      <c r="W96" s="267"/>
      <c r="X96" s="267"/>
      <c r="Y96" s="267"/>
      <c r="Z96" s="267"/>
      <c r="AA96" s="267"/>
      <c r="AB96" s="267"/>
      <c r="AC96" s="267"/>
      <c r="AD96" s="267"/>
      <c r="AE96" s="267"/>
      <c r="AF96" s="267"/>
      <c r="AG96" s="267"/>
      <c r="AH96" s="267"/>
      <c r="AI96" s="267"/>
      <c r="AJ96" s="258"/>
      <c r="AK96" s="258"/>
      <c r="AL96" s="258"/>
      <c r="AM96" s="258"/>
      <c r="AN96" s="258"/>
      <c r="AO96" s="258"/>
      <c r="AP96" s="258"/>
      <c r="AQ96" s="258"/>
      <c r="AR96" s="258"/>
      <c r="AS96" s="258"/>
      <c r="AT96" s="258"/>
      <c r="AU96" s="39"/>
      <c r="AV96" s="47"/>
      <c r="AW96" s="47"/>
      <c r="AX96" s="47"/>
      <c r="AY96" s="47"/>
      <c r="AZ96" s="47"/>
      <c r="BA96" s="47"/>
      <c r="BB96" s="47"/>
      <c r="BC96" s="47"/>
      <c r="BD96" s="47"/>
      <c r="BE96" s="40"/>
      <c r="BF96" s="181"/>
      <c r="BG96" s="182"/>
      <c r="BH96" s="182"/>
      <c r="BI96" s="182"/>
      <c r="BJ96" s="182"/>
      <c r="BK96" s="183"/>
    </row>
    <row r="97" spans="1:63" s="240" customFormat="1" ht="15" customHeight="1" x14ac:dyDescent="0.25">
      <c r="A97" s="39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0"/>
      <c r="M97" s="258"/>
      <c r="N97" s="258"/>
      <c r="O97" s="69"/>
      <c r="P97" s="74" t="s">
        <v>145</v>
      </c>
      <c r="Q97" s="74"/>
      <c r="R97" s="74"/>
      <c r="S97" s="74"/>
      <c r="T97" s="74"/>
      <c r="U97" s="74"/>
      <c r="V97" s="267"/>
      <c r="W97" s="267"/>
      <c r="X97" s="267"/>
      <c r="Y97" s="267"/>
      <c r="Z97" s="267"/>
      <c r="AA97" s="267"/>
      <c r="AB97" s="267"/>
      <c r="AC97" s="267"/>
      <c r="AD97" s="267"/>
      <c r="AE97" s="267"/>
      <c r="AF97" s="267"/>
      <c r="AG97" s="267"/>
      <c r="AH97" s="267"/>
      <c r="AI97" s="267"/>
      <c r="AJ97" s="258"/>
      <c r="AK97" s="258"/>
      <c r="AL97" s="258"/>
      <c r="AM97" s="258"/>
      <c r="AN97" s="258"/>
      <c r="AO97" s="258"/>
      <c r="AP97" s="258"/>
      <c r="AQ97" s="258"/>
      <c r="AR97" s="258"/>
      <c r="AS97" s="258"/>
      <c r="AT97" s="258"/>
      <c r="AU97" s="39"/>
      <c r="AV97" s="47"/>
      <c r="AW97" s="47"/>
      <c r="AX97" s="47"/>
      <c r="AY97" s="47"/>
      <c r="AZ97" s="47"/>
      <c r="BA97" s="47"/>
      <c r="BB97" s="47"/>
      <c r="BC97" s="47"/>
      <c r="BD97" s="47"/>
      <c r="BE97" s="40"/>
      <c r="BF97" s="181"/>
      <c r="BG97" s="182"/>
      <c r="BH97" s="182"/>
      <c r="BI97" s="182"/>
      <c r="BJ97" s="182"/>
      <c r="BK97" s="183"/>
    </row>
    <row r="98" spans="1:63" s="240" customFormat="1" ht="15" customHeight="1" x14ac:dyDescent="0.25">
      <c r="A98" s="39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0"/>
      <c r="M98" s="258"/>
      <c r="N98" s="258"/>
      <c r="O98" s="69"/>
      <c r="P98" s="74"/>
      <c r="Q98" s="74" t="s">
        <v>146</v>
      </c>
      <c r="R98" s="74"/>
      <c r="S98" s="74"/>
      <c r="T98" s="74"/>
      <c r="U98" s="74"/>
      <c r="V98" s="267"/>
      <c r="W98" s="267"/>
      <c r="X98" s="267"/>
      <c r="Y98" s="267"/>
      <c r="Z98" s="267"/>
      <c r="AA98" s="267"/>
      <c r="AB98" s="267"/>
      <c r="AC98" s="267"/>
      <c r="AD98" s="267"/>
      <c r="AE98" s="267"/>
      <c r="AF98" s="267"/>
      <c r="AG98" s="267"/>
      <c r="AH98" s="267"/>
      <c r="AI98" s="267"/>
      <c r="AJ98" s="258"/>
      <c r="AK98" s="258"/>
      <c r="AL98" s="258"/>
      <c r="AM98" s="258"/>
      <c r="AN98" s="258"/>
      <c r="AO98" s="258"/>
      <c r="AP98" s="258"/>
      <c r="AQ98" s="258"/>
      <c r="AR98" s="258"/>
      <c r="AS98" s="258"/>
      <c r="AT98" s="258"/>
      <c r="AU98" s="39"/>
      <c r="AV98" s="47"/>
      <c r="AW98" s="47"/>
      <c r="AX98" s="47"/>
      <c r="AY98" s="47"/>
      <c r="AZ98" s="47"/>
      <c r="BA98" s="47"/>
      <c r="BB98" s="47"/>
      <c r="BC98" s="47"/>
      <c r="BD98" s="47"/>
      <c r="BE98" s="40"/>
      <c r="BF98" s="181"/>
      <c r="BG98" s="182"/>
      <c r="BH98" s="182"/>
      <c r="BI98" s="182"/>
      <c r="BJ98" s="182"/>
      <c r="BK98" s="183"/>
    </row>
    <row r="99" spans="1:63" s="240" customFormat="1" ht="15" customHeight="1" x14ac:dyDescent="0.25">
      <c r="A99" s="39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0"/>
      <c r="M99" s="258"/>
      <c r="N99" s="258"/>
      <c r="O99" s="69"/>
      <c r="P99" s="74"/>
      <c r="Q99" s="74"/>
      <c r="R99" s="74" t="s">
        <v>147</v>
      </c>
      <c r="S99" s="74"/>
      <c r="T99" s="74"/>
      <c r="U99" s="74"/>
      <c r="V99" s="267"/>
      <c r="W99" s="267"/>
      <c r="X99" s="267"/>
      <c r="Y99" s="267"/>
      <c r="Z99" s="267"/>
      <c r="AA99" s="267"/>
      <c r="AB99" s="267"/>
      <c r="AC99" s="267"/>
      <c r="AD99" s="267"/>
      <c r="AE99" s="267"/>
      <c r="AF99" s="267"/>
      <c r="AG99" s="267"/>
      <c r="AH99" s="267"/>
      <c r="AI99" s="267"/>
      <c r="AJ99" s="267"/>
      <c r="AK99" s="267"/>
      <c r="AL99" s="258"/>
      <c r="AM99" s="258"/>
      <c r="AN99" s="258"/>
      <c r="AO99" s="258"/>
      <c r="AP99" s="258"/>
      <c r="AQ99" s="258"/>
      <c r="AR99" s="258"/>
      <c r="AS99" s="258"/>
      <c r="AT99" s="258"/>
      <c r="AU99" s="39"/>
      <c r="AV99" s="47"/>
      <c r="AW99" s="47"/>
      <c r="AX99" s="47"/>
      <c r="AY99" s="47"/>
      <c r="AZ99" s="47"/>
      <c r="BA99" s="47"/>
      <c r="BB99" s="47"/>
      <c r="BC99" s="47"/>
      <c r="BD99" s="47"/>
      <c r="BE99" s="40"/>
      <c r="BF99" s="181"/>
      <c r="BG99" s="182"/>
      <c r="BH99" s="182"/>
      <c r="BI99" s="182"/>
      <c r="BJ99" s="182"/>
      <c r="BK99" s="183"/>
    </row>
    <row r="100" spans="1:63" s="240" customFormat="1" ht="15" customHeight="1" x14ac:dyDescent="0.25">
      <c r="A100" s="39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0"/>
      <c r="M100" s="258"/>
      <c r="N100" s="258"/>
      <c r="O100" s="69"/>
      <c r="P100" s="74"/>
      <c r="Q100" s="74"/>
      <c r="R100" s="74" t="s">
        <v>148</v>
      </c>
      <c r="S100" s="74"/>
      <c r="T100" s="74"/>
      <c r="U100" s="74"/>
      <c r="V100" s="267"/>
      <c r="W100" s="267"/>
      <c r="X100" s="267"/>
      <c r="Y100" s="267"/>
      <c r="Z100" s="267"/>
      <c r="AA100" s="267"/>
      <c r="AB100" s="267"/>
      <c r="AC100" s="267"/>
      <c r="AD100" s="267"/>
      <c r="AE100" s="267"/>
      <c r="AF100" s="267"/>
      <c r="AG100" s="267"/>
      <c r="AH100" s="267"/>
      <c r="AI100" s="267"/>
      <c r="AJ100" s="267"/>
      <c r="AK100" s="267"/>
      <c r="AL100" s="258"/>
      <c r="AM100" s="258"/>
      <c r="AN100" s="258"/>
      <c r="AO100" s="258"/>
      <c r="AP100" s="258"/>
      <c r="AQ100" s="258"/>
      <c r="AR100" s="258"/>
      <c r="AS100" s="258"/>
      <c r="AT100" s="258"/>
      <c r="AU100" s="39"/>
      <c r="AV100" s="47"/>
      <c r="AW100" s="47"/>
      <c r="AX100" s="47"/>
      <c r="AY100" s="47"/>
      <c r="AZ100" s="47"/>
      <c r="BA100" s="47"/>
      <c r="BB100" s="47"/>
      <c r="BC100" s="47"/>
      <c r="BD100" s="47"/>
      <c r="BE100" s="40"/>
      <c r="BF100" s="181"/>
      <c r="BG100" s="182"/>
      <c r="BH100" s="182"/>
      <c r="BI100" s="182"/>
      <c r="BJ100" s="182"/>
      <c r="BK100" s="183"/>
    </row>
    <row r="101" spans="1:63" s="240" customFormat="1" ht="15" customHeight="1" x14ac:dyDescent="0.25">
      <c r="A101" s="39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0"/>
      <c r="M101" s="258"/>
      <c r="N101" s="258"/>
      <c r="O101" s="276"/>
      <c r="P101" s="74"/>
      <c r="Q101" s="74"/>
      <c r="R101" s="74"/>
      <c r="S101" s="74"/>
      <c r="T101" s="74"/>
      <c r="U101" s="74"/>
      <c r="V101" s="267"/>
      <c r="W101" s="267"/>
      <c r="X101" s="267"/>
      <c r="Y101" s="267"/>
      <c r="Z101" s="267"/>
      <c r="AA101" s="267"/>
      <c r="AB101" s="267"/>
      <c r="AC101" s="267"/>
      <c r="AD101" s="267"/>
      <c r="AE101" s="267"/>
      <c r="AF101" s="267"/>
      <c r="AG101" s="267"/>
      <c r="AH101" s="267"/>
      <c r="AI101" s="267"/>
      <c r="AJ101" s="267"/>
      <c r="AK101" s="267"/>
      <c r="AL101" s="258"/>
      <c r="AM101" s="258"/>
      <c r="AN101" s="258"/>
      <c r="AO101" s="258"/>
      <c r="AP101" s="258"/>
      <c r="AQ101" s="258"/>
      <c r="AR101" s="258"/>
      <c r="AS101" s="258"/>
      <c r="AT101" s="258"/>
      <c r="AU101" s="39"/>
      <c r="AV101" s="47"/>
      <c r="AW101" s="47"/>
      <c r="AX101" s="47"/>
      <c r="AY101" s="47"/>
      <c r="AZ101" s="47"/>
      <c r="BA101" s="47"/>
      <c r="BB101" s="47"/>
      <c r="BC101" s="47"/>
      <c r="BD101" s="47"/>
      <c r="BE101" s="40"/>
      <c r="BF101" s="181"/>
      <c r="BG101" s="182"/>
      <c r="BH101" s="182"/>
      <c r="BI101" s="182"/>
      <c r="BJ101" s="182"/>
      <c r="BK101" s="183"/>
    </row>
    <row r="102" spans="1:63" s="240" customFormat="1" ht="15" customHeight="1" x14ac:dyDescent="0.25">
      <c r="A102" s="39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0"/>
      <c r="M102" s="258"/>
      <c r="N102" s="258"/>
      <c r="O102" s="276"/>
      <c r="P102" s="74"/>
      <c r="Q102" s="74"/>
      <c r="R102" s="74" t="s">
        <v>149</v>
      </c>
      <c r="S102" s="74"/>
      <c r="T102" s="74"/>
      <c r="U102" s="74"/>
      <c r="V102" s="267"/>
      <c r="W102" s="267"/>
      <c r="X102" s="267"/>
      <c r="Y102" s="267"/>
      <c r="Z102" s="267"/>
      <c r="AA102" s="267"/>
      <c r="AB102" s="267"/>
      <c r="AC102" s="267"/>
      <c r="AD102" s="267"/>
      <c r="AE102" s="267"/>
      <c r="AF102" s="267"/>
      <c r="AG102" s="267"/>
      <c r="AH102" s="267"/>
      <c r="AI102" s="267"/>
      <c r="AJ102" s="267"/>
      <c r="AK102" s="267"/>
      <c r="AL102" s="258"/>
      <c r="AM102" s="258"/>
      <c r="AN102" s="258"/>
      <c r="AO102" s="258"/>
      <c r="AP102" s="258"/>
      <c r="AQ102" s="258"/>
      <c r="AR102" s="258"/>
      <c r="AS102" s="258"/>
      <c r="AT102" s="258"/>
      <c r="AU102" s="39"/>
      <c r="AV102" s="47"/>
      <c r="AW102" s="47"/>
      <c r="AX102" s="47"/>
      <c r="AY102" s="47"/>
      <c r="AZ102" s="47"/>
      <c r="BA102" s="47"/>
      <c r="BB102" s="47"/>
      <c r="BC102" s="47"/>
      <c r="BD102" s="47"/>
      <c r="BE102" s="40"/>
      <c r="BF102" s="181"/>
      <c r="BG102" s="182"/>
      <c r="BH102" s="182"/>
      <c r="BI102" s="182"/>
      <c r="BJ102" s="182"/>
      <c r="BK102" s="183"/>
    </row>
    <row r="103" spans="1:63" s="240" customFormat="1" ht="15" customHeight="1" x14ac:dyDescent="0.25">
      <c r="A103" s="39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0"/>
      <c r="M103" s="258"/>
      <c r="N103" s="258"/>
      <c r="O103" s="276"/>
      <c r="P103" s="74"/>
      <c r="Q103" s="74" t="s">
        <v>150</v>
      </c>
      <c r="R103" s="78"/>
      <c r="S103" s="74"/>
      <c r="T103" s="74"/>
      <c r="U103" s="74"/>
      <c r="V103" s="267"/>
      <c r="W103" s="267"/>
      <c r="X103" s="267"/>
      <c r="Y103" s="267"/>
      <c r="Z103" s="267"/>
      <c r="AA103" s="267"/>
      <c r="AB103" s="267"/>
      <c r="AC103" s="267"/>
      <c r="AD103" s="267"/>
      <c r="AE103" s="267"/>
      <c r="AF103" s="267"/>
      <c r="AG103" s="267"/>
      <c r="AH103" s="267"/>
      <c r="AI103" s="267"/>
      <c r="AJ103" s="267"/>
      <c r="AK103" s="267"/>
      <c r="AL103" s="258"/>
      <c r="AM103" s="258"/>
      <c r="AN103" s="258"/>
      <c r="AO103" s="258"/>
      <c r="AP103" s="258"/>
      <c r="AQ103" s="258"/>
      <c r="AR103" s="258"/>
      <c r="AS103" s="258"/>
      <c r="AT103" s="258"/>
      <c r="AU103" s="39"/>
      <c r="AV103" s="47"/>
      <c r="AW103" s="47"/>
      <c r="AX103" s="47"/>
      <c r="AY103" s="47"/>
      <c r="AZ103" s="47"/>
      <c r="BA103" s="47"/>
      <c r="BB103" s="47"/>
      <c r="BC103" s="47"/>
      <c r="BD103" s="47"/>
      <c r="BE103" s="40"/>
      <c r="BF103" s="181"/>
      <c r="BG103" s="182"/>
      <c r="BH103" s="182"/>
      <c r="BI103" s="182"/>
      <c r="BJ103" s="182"/>
      <c r="BK103" s="183"/>
    </row>
    <row r="104" spans="1:63" s="240" customFormat="1" ht="15" customHeight="1" x14ac:dyDescent="0.25">
      <c r="A104" s="39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0"/>
      <c r="M104" s="258"/>
      <c r="N104" s="258"/>
      <c r="O104" s="276"/>
      <c r="P104" s="74"/>
      <c r="Q104" s="74" t="s">
        <v>151</v>
      </c>
      <c r="R104" s="276"/>
      <c r="S104" s="267"/>
      <c r="T104" s="267"/>
      <c r="U104" s="267"/>
      <c r="V104" s="267"/>
      <c r="W104" s="267"/>
      <c r="X104" s="267"/>
      <c r="Y104" s="267"/>
      <c r="Z104" s="267"/>
      <c r="AA104" s="267"/>
      <c r="AB104" s="267"/>
      <c r="AC104" s="267"/>
      <c r="AD104" s="267"/>
      <c r="AE104" s="267"/>
      <c r="AF104" s="267"/>
      <c r="AG104" s="267"/>
      <c r="AH104" s="267"/>
      <c r="AI104" s="267"/>
      <c r="AJ104" s="258"/>
      <c r="AK104" s="258"/>
      <c r="AL104" s="258"/>
      <c r="AM104" s="258"/>
      <c r="AN104" s="258"/>
      <c r="AO104" s="258"/>
      <c r="AP104" s="258"/>
      <c r="AQ104" s="258"/>
      <c r="AR104" s="258"/>
      <c r="AS104" s="258"/>
      <c r="AT104" s="258"/>
      <c r="AU104" s="39"/>
      <c r="AV104" s="47"/>
      <c r="AW104" s="47"/>
      <c r="AX104" s="47"/>
      <c r="AY104" s="47"/>
      <c r="AZ104" s="47"/>
      <c r="BA104" s="47"/>
      <c r="BB104" s="47"/>
      <c r="BC104" s="47"/>
      <c r="BD104" s="47"/>
      <c r="BE104" s="40"/>
      <c r="BF104" s="181"/>
      <c r="BG104" s="182"/>
      <c r="BH104" s="182"/>
      <c r="BI104" s="182"/>
      <c r="BJ104" s="182"/>
      <c r="BK104" s="183"/>
    </row>
    <row r="105" spans="1:63" s="240" customFormat="1" ht="15" customHeight="1" x14ac:dyDescent="0.25">
      <c r="A105" s="39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0"/>
      <c r="M105" s="258"/>
      <c r="N105" s="258"/>
      <c r="O105" s="276"/>
      <c r="P105" s="74"/>
      <c r="Q105" s="276"/>
      <c r="R105" s="74" t="s">
        <v>152</v>
      </c>
      <c r="S105" s="267"/>
      <c r="T105" s="267"/>
      <c r="U105" s="267"/>
      <c r="V105" s="267"/>
      <c r="W105" s="267"/>
      <c r="X105" s="267"/>
      <c r="Y105" s="267"/>
      <c r="Z105" s="267"/>
      <c r="AA105" s="267"/>
      <c r="AB105" s="267"/>
      <c r="AC105" s="267"/>
      <c r="AD105" s="267"/>
      <c r="AE105" s="267"/>
      <c r="AF105" s="267"/>
      <c r="AG105" s="267"/>
      <c r="AH105" s="267"/>
      <c r="AI105" s="267"/>
      <c r="AJ105" s="258"/>
      <c r="AK105" s="258"/>
      <c r="AL105" s="258"/>
      <c r="AM105" s="258"/>
      <c r="AN105" s="258"/>
      <c r="AO105" s="258"/>
      <c r="AP105" s="258"/>
      <c r="AQ105" s="258"/>
      <c r="AR105" s="258"/>
      <c r="AS105" s="258"/>
      <c r="AT105" s="258"/>
      <c r="AU105" s="39"/>
      <c r="AV105" s="47"/>
      <c r="AW105" s="47"/>
      <c r="AX105" s="47"/>
      <c r="AY105" s="47"/>
      <c r="AZ105" s="47"/>
      <c r="BA105" s="47"/>
      <c r="BB105" s="47"/>
      <c r="BC105" s="47"/>
      <c r="BD105" s="47"/>
      <c r="BE105" s="40"/>
      <c r="BF105" s="181"/>
      <c r="BG105" s="182"/>
      <c r="BH105" s="182"/>
      <c r="BI105" s="182"/>
      <c r="BJ105" s="182"/>
      <c r="BK105" s="183"/>
    </row>
    <row r="106" spans="1:63" s="240" customFormat="1" ht="15" customHeight="1" x14ac:dyDescent="0.25">
      <c r="A106" s="39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0"/>
      <c r="M106" s="258"/>
      <c r="N106" s="258"/>
      <c r="O106" s="276"/>
      <c r="P106" s="74"/>
      <c r="Q106" s="74" t="s">
        <v>153</v>
      </c>
      <c r="R106" s="276"/>
      <c r="S106" s="267"/>
      <c r="T106" s="267"/>
      <c r="U106" s="267"/>
      <c r="V106" s="267"/>
      <c r="W106" s="267"/>
      <c r="X106" s="267"/>
      <c r="Y106" s="267"/>
      <c r="Z106" s="267"/>
      <c r="AA106" s="267"/>
      <c r="AB106" s="267"/>
      <c r="AC106" s="267"/>
      <c r="AD106" s="267"/>
      <c r="AE106" s="267"/>
      <c r="AF106" s="267"/>
      <c r="AG106" s="267"/>
      <c r="AH106" s="267"/>
      <c r="AI106" s="267"/>
      <c r="AJ106" s="258"/>
      <c r="AK106" s="258"/>
      <c r="AL106" s="258"/>
      <c r="AM106" s="258"/>
      <c r="AN106" s="258"/>
      <c r="AO106" s="258"/>
      <c r="AP106" s="258"/>
      <c r="AQ106" s="258"/>
      <c r="AR106" s="258"/>
      <c r="AS106" s="258"/>
      <c r="AT106" s="258"/>
      <c r="AU106" s="39"/>
      <c r="AV106" s="47"/>
      <c r="AW106" s="47"/>
      <c r="AX106" s="47"/>
      <c r="AY106" s="47"/>
      <c r="AZ106" s="47"/>
      <c r="BA106" s="47"/>
      <c r="BB106" s="47"/>
      <c r="BC106" s="47"/>
      <c r="BD106" s="47"/>
      <c r="BE106" s="40"/>
      <c r="BF106" s="181"/>
      <c r="BG106" s="182"/>
      <c r="BH106" s="182"/>
      <c r="BI106" s="182"/>
      <c r="BJ106" s="182"/>
      <c r="BK106" s="183"/>
    </row>
    <row r="107" spans="1:63" s="240" customFormat="1" ht="15" customHeight="1" x14ac:dyDescent="0.25">
      <c r="A107" s="39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0"/>
      <c r="M107" s="258"/>
      <c r="N107" s="258"/>
      <c r="O107" s="276"/>
      <c r="P107" s="74"/>
      <c r="Q107" s="276"/>
      <c r="R107" s="74" t="s">
        <v>152</v>
      </c>
      <c r="S107" s="267"/>
      <c r="T107" s="267"/>
      <c r="U107" s="267"/>
      <c r="V107" s="267"/>
      <c r="W107" s="267"/>
      <c r="X107" s="267"/>
      <c r="Y107" s="267"/>
      <c r="Z107" s="267"/>
      <c r="AA107" s="267"/>
      <c r="AB107" s="267"/>
      <c r="AC107" s="267"/>
      <c r="AD107" s="267"/>
      <c r="AE107" s="267"/>
      <c r="AF107" s="267"/>
      <c r="AG107" s="267"/>
      <c r="AH107" s="267"/>
      <c r="AI107" s="267"/>
      <c r="AJ107" s="258"/>
      <c r="AK107" s="258"/>
      <c r="AL107" s="258"/>
      <c r="AM107" s="258"/>
      <c r="AN107" s="258"/>
      <c r="AO107" s="258"/>
      <c r="AP107" s="258"/>
      <c r="AQ107" s="258"/>
      <c r="AR107" s="258"/>
      <c r="AS107" s="258"/>
      <c r="AT107" s="258"/>
      <c r="AU107" s="39"/>
      <c r="AV107" s="47"/>
      <c r="AW107" s="47"/>
      <c r="AX107" s="47"/>
      <c r="AY107" s="47"/>
      <c r="AZ107" s="47"/>
      <c r="BA107" s="47"/>
      <c r="BB107" s="47"/>
      <c r="BC107" s="47"/>
      <c r="BD107" s="47"/>
      <c r="BE107" s="40"/>
      <c r="BF107" s="181"/>
      <c r="BG107" s="182"/>
      <c r="BH107" s="182"/>
      <c r="BI107" s="182"/>
      <c r="BJ107" s="182"/>
      <c r="BK107" s="183"/>
    </row>
    <row r="108" spans="1:63" s="240" customFormat="1" ht="15" customHeight="1" x14ac:dyDescent="0.25">
      <c r="A108" s="39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0"/>
      <c r="M108" s="258"/>
      <c r="N108" s="258"/>
      <c r="O108" s="276"/>
      <c r="P108" s="74"/>
      <c r="Q108" s="276"/>
      <c r="R108" s="74" t="s">
        <v>154</v>
      </c>
      <c r="S108" s="267"/>
      <c r="T108" s="267"/>
      <c r="U108" s="267"/>
      <c r="V108" s="267"/>
      <c r="W108" s="267"/>
      <c r="X108" s="267"/>
      <c r="Y108" s="267"/>
      <c r="Z108" s="267"/>
      <c r="AA108" s="267"/>
      <c r="AB108" s="267"/>
      <c r="AC108" s="267"/>
      <c r="AD108" s="267"/>
      <c r="AE108" s="267"/>
      <c r="AF108" s="267"/>
      <c r="AG108" s="267"/>
      <c r="AH108" s="267"/>
      <c r="AI108" s="267"/>
      <c r="AJ108" s="258"/>
      <c r="AK108" s="258"/>
      <c r="AL108" s="258"/>
      <c r="AM108" s="258"/>
      <c r="AN108" s="258"/>
      <c r="AO108" s="258"/>
      <c r="AP108" s="258"/>
      <c r="AQ108" s="258"/>
      <c r="AR108" s="258"/>
      <c r="AS108" s="258"/>
      <c r="AT108" s="258"/>
      <c r="AU108" s="39"/>
      <c r="AV108" s="47"/>
      <c r="AW108" s="47"/>
      <c r="AX108" s="47"/>
      <c r="AY108" s="47"/>
      <c r="AZ108" s="47"/>
      <c r="BA108" s="47"/>
      <c r="BB108" s="47"/>
      <c r="BC108" s="47"/>
      <c r="BD108" s="47"/>
      <c r="BE108" s="40"/>
      <c r="BF108" s="181"/>
      <c r="BG108" s="182"/>
      <c r="BH108" s="182"/>
      <c r="BI108" s="182"/>
      <c r="BJ108" s="182"/>
      <c r="BK108" s="183"/>
    </row>
    <row r="109" spans="1:63" s="240" customFormat="1" ht="15" customHeight="1" x14ac:dyDescent="0.25">
      <c r="A109" s="39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0"/>
      <c r="M109" s="258"/>
      <c r="N109" s="258"/>
      <c r="O109" s="276"/>
      <c r="P109" s="74"/>
      <c r="Q109" s="276"/>
      <c r="R109" s="74" t="s">
        <v>155</v>
      </c>
      <c r="S109" s="267"/>
      <c r="T109" s="267"/>
      <c r="U109" s="267"/>
      <c r="V109" s="267"/>
      <c r="W109" s="267"/>
      <c r="X109" s="267"/>
      <c r="Y109" s="267"/>
      <c r="Z109" s="267"/>
      <c r="AA109" s="267"/>
      <c r="AB109" s="267"/>
      <c r="AC109" s="267"/>
      <c r="AD109" s="267"/>
      <c r="AE109" s="267"/>
      <c r="AF109" s="267"/>
      <c r="AG109" s="267"/>
      <c r="AH109" s="267"/>
      <c r="AI109" s="267"/>
      <c r="AJ109" s="258"/>
      <c r="AK109" s="258"/>
      <c r="AL109" s="258"/>
      <c r="AM109" s="258"/>
      <c r="AN109" s="258"/>
      <c r="AO109" s="258"/>
      <c r="AP109" s="258"/>
      <c r="AQ109" s="258"/>
      <c r="AR109" s="258"/>
      <c r="AS109" s="258"/>
      <c r="AT109" s="258"/>
      <c r="AU109" s="39"/>
      <c r="AV109" s="47"/>
      <c r="AW109" s="47"/>
      <c r="AX109" s="47"/>
      <c r="AY109" s="47"/>
      <c r="AZ109" s="47"/>
      <c r="BA109" s="47"/>
      <c r="BB109" s="47"/>
      <c r="BC109" s="47"/>
      <c r="BD109" s="47"/>
      <c r="BE109" s="40"/>
      <c r="BF109" s="181"/>
      <c r="BG109" s="182"/>
      <c r="BH109" s="182"/>
      <c r="BI109" s="182"/>
      <c r="BJ109" s="182"/>
      <c r="BK109" s="183"/>
    </row>
    <row r="110" spans="1:63" s="240" customFormat="1" ht="15" customHeight="1" x14ac:dyDescent="0.25">
      <c r="A110" s="39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0"/>
      <c r="M110" s="258"/>
      <c r="N110" s="258"/>
      <c r="O110" s="276"/>
      <c r="P110" s="74"/>
      <c r="Q110" s="276"/>
      <c r="R110" s="74" t="s">
        <v>156</v>
      </c>
      <c r="S110" s="267"/>
      <c r="T110" s="267"/>
      <c r="U110" s="267"/>
      <c r="V110" s="267"/>
      <c r="W110" s="267"/>
      <c r="X110" s="267"/>
      <c r="Y110" s="267"/>
      <c r="Z110" s="267"/>
      <c r="AA110" s="267"/>
      <c r="AB110" s="267"/>
      <c r="AC110" s="267"/>
      <c r="AD110" s="267"/>
      <c r="AE110" s="267"/>
      <c r="AF110" s="267"/>
      <c r="AG110" s="267"/>
      <c r="AH110" s="267"/>
      <c r="AI110" s="267"/>
      <c r="AJ110" s="258"/>
      <c r="AK110" s="258"/>
      <c r="AL110" s="258"/>
      <c r="AM110" s="258"/>
      <c r="AN110" s="258"/>
      <c r="AO110" s="258"/>
      <c r="AP110" s="258"/>
      <c r="AQ110" s="258"/>
      <c r="AR110" s="258"/>
      <c r="AS110" s="258"/>
      <c r="AT110" s="258"/>
      <c r="AU110" s="39"/>
      <c r="AV110" s="47"/>
      <c r="AW110" s="47"/>
      <c r="AX110" s="47"/>
      <c r="AY110" s="47"/>
      <c r="AZ110" s="47"/>
      <c r="BA110" s="47"/>
      <c r="BB110" s="47"/>
      <c r="BC110" s="47"/>
      <c r="BD110" s="47"/>
      <c r="BE110" s="40"/>
      <c r="BF110" s="181"/>
      <c r="BG110" s="182"/>
      <c r="BH110" s="182"/>
      <c r="BI110" s="182"/>
      <c r="BJ110" s="182"/>
      <c r="BK110" s="183"/>
    </row>
    <row r="111" spans="1:63" s="240" customFormat="1" ht="15" customHeight="1" x14ac:dyDescent="0.25">
      <c r="A111" s="39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0"/>
      <c r="M111" s="258"/>
      <c r="N111" s="258"/>
      <c r="O111" s="276"/>
      <c r="P111" s="74"/>
      <c r="Q111" s="74" t="s">
        <v>157</v>
      </c>
      <c r="R111" s="276"/>
      <c r="S111" s="267"/>
      <c r="T111" s="267"/>
      <c r="U111" s="267"/>
      <c r="V111" s="267"/>
      <c r="W111" s="267"/>
      <c r="X111" s="267"/>
      <c r="Y111" s="267"/>
      <c r="Z111" s="267"/>
      <c r="AA111" s="267"/>
      <c r="AB111" s="267"/>
      <c r="AC111" s="267"/>
      <c r="AD111" s="267"/>
      <c r="AE111" s="267"/>
      <c r="AF111" s="267"/>
      <c r="AG111" s="267"/>
      <c r="AH111" s="267"/>
      <c r="AI111" s="267"/>
      <c r="AJ111" s="258"/>
      <c r="AK111" s="258"/>
      <c r="AL111" s="258"/>
      <c r="AM111" s="258"/>
      <c r="AN111" s="258"/>
      <c r="AO111" s="258"/>
      <c r="AP111" s="258"/>
      <c r="AQ111" s="258"/>
      <c r="AR111" s="258"/>
      <c r="AS111" s="258"/>
      <c r="AT111" s="258"/>
      <c r="AU111" s="39"/>
      <c r="AV111" s="47"/>
      <c r="AW111" s="47"/>
      <c r="AX111" s="47"/>
      <c r="AY111" s="47"/>
      <c r="AZ111" s="47"/>
      <c r="BA111" s="47"/>
      <c r="BB111" s="47"/>
      <c r="BC111" s="47"/>
      <c r="BD111" s="47"/>
      <c r="BE111" s="40"/>
      <c r="BF111" s="181"/>
      <c r="BG111" s="182"/>
      <c r="BH111" s="182"/>
      <c r="BI111" s="182"/>
      <c r="BJ111" s="182"/>
      <c r="BK111" s="183"/>
    </row>
    <row r="112" spans="1:63" s="240" customFormat="1" ht="15" customHeight="1" x14ac:dyDescent="0.25">
      <c r="A112" s="39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0"/>
      <c r="M112" s="258"/>
      <c r="N112" s="258"/>
      <c r="O112" s="276"/>
      <c r="P112" s="74"/>
      <c r="Q112" s="276"/>
      <c r="R112" s="74" t="s">
        <v>152</v>
      </c>
      <c r="S112" s="267"/>
      <c r="T112" s="267"/>
      <c r="U112" s="267"/>
      <c r="V112" s="267"/>
      <c r="W112" s="267"/>
      <c r="X112" s="267"/>
      <c r="Y112" s="267"/>
      <c r="Z112" s="267"/>
      <c r="AA112" s="267"/>
      <c r="AB112" s="267"/>
      <c r="AC112" s="267"/>
      <c r="AD112" s="267"/>
      <c r="AE112" s="267"/>
      <c r="AF112" s="267"/>
      <c r="AG112" s="267"/>
      <c r="AH112" s="267"/>
      <c r="AI112" s="267"/>
      <c r="AJ112" s="258"/>
      <c r="AK112" s="258"/>
      <c r="AL112" s="258"/>
      <c r="AM112" s="258"/>
      <c r="AN112" s="258"/>
      <c r="AO112" s="258"/>
      <c r="AP112" s="258"/>
      <c r="AQ112" s="258"/>
      <c r="AR112" s="258"/>
      <c r="AS112" s="258"/>
      <c r="AT112" s="258"/>
      <c r="AU112" s="39"/>
      <c r="AV112" s="47"/>
      <c r="AW112" s="47"/>
      <c r="AX112" s="47"/>
      <c r="AY112" s="47"/>
      <c r="AZ112" s="47"/>
      <c r="BA112" s="47"/>
      <c r="BB112" s="47"/>
      <c r="BC112" s="47"/>
      <c r="BD112" s="47"/>
      <c r="BE112" s="40"/>
      <c r="BF112" s="181"/>
      <c r="BG112" s="182"/>
      <c r="BH112" s="182"/>
      <c r="BI112" s="182"/>
      <c r="BJ112" s="182"/>
      <c r="BK112" s="183"/>
    </row>
    <row r="113" spans="1:63" s="240" customFormat="1" ht="15" customHeight="1" x14ac:dyDescent="0.25">
      <c r="A113" s="39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0"/>
      <c r="M113" s="258"/>
      <c r="N113" s="258"/>
      <c r="O113" s="276"/>
      <c r="P113" s="74"/>
      <c r="Q113" s="276"/>
      <c r="R113" s="74" t="s">
        <v>154</v>
      </c>
      <c r="S113" s="267"/>
      <c r="T113" s="267"/>
      <c r="U113" s="267"/>
      <c r="V113" s="267"/>
      <c r="W113" s="267"/>
      <c r="X113" s="267"/>
      <c r="Y113" s="267"/>
      <c r="Z113" s="267"/>
      <c r="AA113" s="267"/>
      <c r="AB113" s="267"/>
      <c r="AC113" s="267"/>
      <c r="AD113" s="267"/>
      <c r="AE113" s="267"/>
      <c r="AF113" s="267"/>
      <c r="AG113" s="267"/>
      <c r="AH113" s="267"/>
      <c r="AI113" s="267"/>
      <c r="AJ113" s="258"/>
      <c r="AK113" s="258"/>
      <c r="AL113" s="258"/>
      <c r="AM113" s="258"/>
      <c r="AN113" s="258"/>
      <c r="AO113" s="258"/>
      <c r="AP113" s="258"/>
      <c r="AQ113" s="258"/>
      <c r="AR113" s="258"/>
      <c r="AS113" s="258"/>
      <c r="AT113" s="258"/>
      <c r="AU113" s="39"/>
      <c r="AV113" s="47"/>
      <c r="AW113" s="47"/>
      <c r="AX113" s="47"/>
      <c r="AY113" s="47"/>
      <c r="AZ113" s="47"/>
      <c r="BA113" s="47"/>
      <c r="BB113" s="47"/>
      <c r="BC113" s="47"/>
      <c r="BD113" s="47"/>
      <c r="BE113" s="40"/>
      <c r="BF113" s="181"/>
      <c r="BG113" s="182"/>
      <c r="BH113" s="182"/>
      <c r="BI113" s="182"/>
      <c r="BJ113" s="182"/>
      <c r="BK113" s="183"/>
    </row>
    <row r="114" spans="1:63" s="240" customFormat="1" ht="15" customHeight="1" x14ac:dyDescent="0.25">
      <c r="A114" s="39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0"/>
      <c r="M114" s="258"/>
      <c r="N114" s="258"/>
      <c r="O114" s="276"/>
      <c r="P114" s="74"/>
      <c r="Q114" s="276"/>
      <c r="R114" s="74" t="s">
        <v>158</v>
      </c>
      <c r="S114" s="267"/>
      <c r="T114" s="267"/>
      <c r="U114" s="267"/>
      <c r="V114" s="267"/>
      <c r="W114" s="267"/>
      <c r="X114" s="267"/>
      <c r="Y114" s="267"/>
      <c r="Z114" s="267"/>
      <c r="AA114" s="267"/>
      <c r="AB114" s="267"/>
      <c r="AC114" s="267"/>
      <c r="AD114" s="267"/>
      <c r="AE114" s="267"/>
      <c r="AF114" s="267"/>
      <c r="AG114" s="267"/>
      <c r="AH114" s="267"/>
      <c r="AI114" s="267"/>
      <c r="AJ114" s="258"/>
      <c r="AK114" s="258"/>
      <c r="AL114" s="258"/>
      <c r="AM114" s="258"/>
      <c r="AN114" s="258"/>
      <c r="AO114" s="258"/>
      <c r="AP114" s="258"/>
      <c r="AQ114" s="258"/>
      <c r="AR114" s="258"/>
      <c r="AS114" s="258"/>
      <c r="AT114" s="258"/>
      <c r="AU114" s="39"/>
      <c r="AV114" s="47"/>
      <c r="AW114" s="47"/>
      <c r="AX114" s="47"/>
      <c r="AY114" s="47"/>
      <c r="AZ114" s="47"/>
      <c r="BA114" s="47"/>
      <c r="BB114" s="47"/>
      <c r="BC114" s="47"/>
      <c r="BD114" s="47"/>
      <c r="BE114" s="40"/>
      <c r="BF114" s="181"/>
      <c r="BG114" s="182"/>
      <c r="BH114" s="182"/>
      <c r="BI114" s="182"/>
      <c r="BJ114" s="182"/>
      <c r="BK114" s="183"/>
    </row>
    <row r="115" spans="1:63" s="240" customFormat="1" ht="15" customHeight="1" x14ac:dyDescent="0.25">
      <c r="A115" s="39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0"/>
      <c r="M115" s="258"/>
      <c r="N115" s="258"/>
      <c r="O115" s="276"/>
      <c r="P115" s="74"/>
      <c r="Q115" s="74" t="s">
        <v>159</v>
      </c>
      <c r="R115" s="276"/>
      <c r="S115" s="267"/>
      <c r="T115" s="267"/>
      <c r="U115" s="267"/>
      <c r="V115" s="267"/>
      <c r="W115" s="267"/>
      <c r="X115" s="267"/>
      <c r="Y115" s="267"/>
      <c r="Z115" s="267"/>
      <c r="AA115" s="267"/>
      <c r="AB115" s="267"/>
      <c r="AC115" s="267"/>
      <c r="AD115" s="267"/>
      <c r="AE115" s="267"/>
      <c r="AF115" s="267"/>
      <c r="AG115" s="267"/>
      <c r="AH115" s="267"/>
      <c r="AI115" s="267"/>
      <c r="AJ115" s="258"/>
      <c r="AK115" s="258"/>
      <c r="AL115" s="258"/>
      <c r="AM115" s="258"/>
      <c r="AN115" s="258"/>
      <c r="AO115" s="258"/>
      <c r="AP115" s="258"/>
      <c r="AQ115" s="258"/>
      <c r="AR115" s="258"/>
      <c r="AS115" s="258"/>
      <c r="AT115" s="258"/>
      <c r="AU115" s="39"/>
      <c r="AV115" s="47"/>
      <c r="AW115" s="47"/>
      <c r="AX115" s="47"/>
      <c r="AY115" s="47"/>
      <c r="AZ115" s="47"/>
      <c r="BA115" s="47"/>
      <c r="BB115" s="47"/>
      <c r="BC115" s="47"/>
      <c r="BD115" s="47"/>
      <c r="BE115" s="40"/>
      <c r="BF115" s="181"/>
      <c r="BG115" s="182"/>
      <c r="BH115" s="182"/>
      <c r="BI115" s="182"/>
      <c r="BJ115" s="182"/>
      <c r="BK115" s="183"/>
    </row>
    <row r="116" spans="1:63" s="240" customFormat="1" ht="15" customHeight="1" x14ac:dyDescent="0.25">
      <c r="A116" s="39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0"/>
      <c r="M116" s="258"/>
      <c r="N116" s="258"/>
      <c r="O116" s="276"/>
      <c r="P116" s="74"/>
      <c r="Q116" s="276"/>
      <c r="R116" s="74" t="s">
        <v>152</v>
      </c>
      <c r="S116" s="267"/>
      <c r="T116" s="267"/>
      <c r="U116" s="267"/>
      <c r="V116" s="267"/>
      <c r="W116" s="267"/>
      <c r="X116" s="267"/>
      <c r="Y116" s="267"/>
      <c r="Z116" s="267"/>
      <c r="AA116" s="267"/>
      <c r="AB116" s="267"/>
      <c r="AC116" s="267"/>
      <c r="AD116" s="267"/>
      <c r="AE116" s="267"/>
      <c r="AF116" s="267"/>
      <c r="AG116" s="267"/>
      <c r="AH116" s="267"/>
      <c r="AI116" s="267"/>
      <c r="AJ116" s="258"/>
      <c r="AK116" s="258"/>
      <c r="AL116" s="258"/>
      <c r="AM116" s="258"/>
      <c r="AN116" s="258"/>
      <c r="AO116" s="258"/>
      <c r="AP116" s="258"/>
      <c r="AQ116" s="258"/>
      <c r="AR116" s="258"/>
      <c r="AS116" s="258"/>
      <c r="AT116" s="258"/>
      <c r="AU116" s="39"/>
      <c r="AV116" s="47"/>
      <c r="AW116" s="47"/>
      <c r="AX116" s="47"/>
      <c r="AY116" s="47"/>
      <c r="AZ116" s="47"/>
      <c r="BA116" s="47"/>
      <c r="BB116" s="47"/>
      <c r="BC116" s="47"/>
      <c r="BD116" s="47"/>
      <c r="BE116" s="40"/>
      <c r="BF116" s="181"/>
      <c r="BG116" s="182"/>
      <c r="BH116" s="182"/>
      <c r="BI116" s="182"/>
      <c r="BJ116" s="182"/>
      <c r="BK116" s="183"/>
    </row>
    <row r="117" spans="1:63" s="240" customFormat="1" ht="15" customHeight="1" x14ac:dyDescent="0.25">
      <c r="A117" s="39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0"/>
      <c r="M117" s="258"/>
      <c r="N117" s="258"/>
      <c r="O117" s="276"/>
      <c r="P117" s="74"/>
      <c r="Q117" s="276"/>
      <c r="R117" s="74" t="s">
        <v>154</v>
      </c>
      <c r="S117" s="267"/>
      <c r="T117" s="267"/>
      <c r="U117" s="267"/>
      <c r="V117" s="267"/>
      <c r="W117" s="267"/>
      <c r="X117" s="267"/>
      <c r="Y117" s="267"/>
      <c r="Z117" s="267"/>
      <c r="AA117" s="267"/>
      <c r="AB117" s="267"/>
      <c r="AC117" s="267"/>
      <c r="AD117" s="267"/>
      <c r="AE117" s="267"/>
      <c r="AF117" s="267"/>
      <c r="AG117" s="267"/>
      <c r="AH117" s="267"/>
      <c r="AI117" s="267"/>
      <c r="AJ117" s="258"/>
      <c r="AK117" s="258"/>
      <c r="AL117" s="258"/>
      <c r="AM117" s="258"/>
      <c r="AN117" s="258"/>
      <c r="AO117" s="258"/>
      <c r="AP117" s="258"/>
      <c r="AQ117" s="258"/>
      <c r="AR117" s="258"/>
      <c r="AS117" s="258"/>
      <c r="AT117" s="258"/>
      <c r="AU117" s="39"/>
      <c r="AV117" s="47"/>
      <c r="AW117" s="47"/>
      <c r="AX117" s="47"/>
      <c r="AY117" s="47"/>
      <c r="AZ117" s="47"/>
      <c r="BA117" s="47"/>
      <c r="BB117" s="47"/>
      <c r="BC117" s="47"/>
      <c r="BD117" s="47"/>
      <c r="BE117" s="40"/>
      <c r="BF117" s="181"/>
      <c r="BG117" s="182"/>
      <c r="BH117" s="182"/>
      <c r="BI117" s="182"/>
      <c r="BJ117" s="182"/>
      <c r="BK117" s="183"/>
    </row>
    <row r="118" spans="1:63" s="240" customFormat="1" ht="15" customHeight="1" x14ac:dyDescent="0.25">
      <c r="A118" s="39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0"/>
      <c r="M118" s="258"/>
      <c r="N118" s="258"/>
      <c r="O118" s="276"/>
      <c r="P118" s="276"/>
      <c r="Q118" s="276"/>
      <c r="R118" s="74" t="s">
        <v>160</v>
      </c>
      <c r="S118" s="267"/>
      <c r="T118" s="267"/>
      <c r="U118" s="267"/>
      <c r="V118" s="267"/>
      <c r="W118" s="267"/>
      <c r="X118" s="267"/>
      <c r="Y118" s="267"/>
      <c r="Z118" s="267"/>
      <c r="AA118" s="267"/>
      <c r="AB118" s="267"/>
      <c r="AC118" s="267"/>
      <c r="AD118" s="267"/>
      <c r="AE118" s="267"/>
      <c r="AF118" s="267"/>
      <c r="AG118" s="267"/>
      <c r="AH118" s="267"/>
      <c r="AI118" s="267"/>
      <c r="AJ118" s="258"/>
      <c r="AK118" s="258"/>
      <c r="AL118" s="258"/>
      <c r="AM118" s="258"/>
      <c r="AN118" s="258"/>
      <c r="AO118" s="258"/>
      <c r="AP118" s="258"/>
      <c r="AQ118" s="258"/>
      <c r="AR118" s="258"/>
      <c r="AS118" s="258"/>
      <c r="AT118" s="258"/>
      <c r="AU118" s="39"/>
      <c r="AV118" s="47"/>
      <c r="AW118" s="47"/>
      <c r="AX118" s="47"/>
      <c r="AY118" s="47"/>
      <c r="AZ118" s="47"/>
      <c r="BA118" s="47"/>
      <c r="BB118" s="47"/>
      <c r="BC118" s="47"/>
      <c r="BD118" s="47"/>
      <c r="BE118" s="40"/>
      <c r="BF118" s="181"/>
      <c r="BG118" s="182"/>
      <c r="BH118" s="182"/>
      <c r="BI118" s="182"/>
      <c r="BJ118" s="182"/>
      <c r="BK118" s="183"/>
    </row>
    <row r="119" spans="1:63" s="240" customFormat="1" ht="15" customHeight="1" x14ac:dyDescent="0.25">
      <c r="A119" s="39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0"/>
      <c r="M119" s="258"/>
      <c r="N119" s="258"/>
      <c r="O119" s="276"/>
      <c r="P119" s="276"/>
      <c r="Q119" s="276"/>
      <c r="R119" s="74" t="s">
        <v>161</v>
      </c>
      <c r="S119" s="267"/>
      <c r="T119" s="267"/>
      <c r="U119" s="267"/>
      <c r="V119" s="267"/>
      <c r="W119" s="267"/>
      <c r="X119" s="267"/>
      <c r="Y119" s="267"/>
      <c r="Z119" s="267"/>
      <c r="AA119" s="267"/>
      <c r="AB119" s="267"/>
      <c r="AC119" s="267"/>
      <c r="AD119" s="267"/>
      <c r="AE119" s="267"/>
      <c r="AF119" s="267"/>
      <c r="AG119" s="267"/>
      <c r="AH119" s="267"/>
      <c r="AI119" s="267"/>
      <c r="AJ119" s="258"/>
      <c r="AK119" s="258"/>
      <c r="AL119" s="258"/>
      <c r="AM119" s="258"/>
      <c r="AN119" s="258"/>
      <c r="AO119" s="258"/>
      <c r="AP119" s="258"/>
      <c r="AQ119" s="258"/>
      <c r="AR119" s="258"/>
      <c r="AS119" s="258"/>
      <c r="AT119" s="258"/>
      <c r="AU119" s="39"/>
      <c r="AV119" s="47"/>
      <c r="AW119" s="47"/>
      <c r="AX119" s="47"/>
      <c r="AY119" s="47"/>
      <c r="AZ119" s="47"/>
      <c r="BA119" s="47"/>
      <c r="BB119" s="47"/>
      <c r="BC119" s="47"/>
      <c r="BD119" s="47"/>
      <c r="BE119" s="40"/>
      <c r="BF119" s="181"/>
      <c r="BG119" s="182"/>
      <c r="BH119" s="182"/>
      <c r="BI119" s="182"/>
      <c r="BJ119" s="182"/>
      <c r="BK119" s="183"/>
    </row>
    <row r="120" spans="1:63" s="240" customFormat="1" ht="15" customHeight="1" x14ac:dyDescent="0.25">
      <c r="A120" s="39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0"/>
      <c r="M120" s="258"/>
      <c r="N120" s="258"/>
      <c r="O120" s="276"/>
      <c r="P120" s="276"/>
      <c r="Q120" s="74" t="s">
        <v>162</v>
      </c>
      <c r="R120" s="276"/>
      <c r="S120" s="267"/>
      <c r="T120" s="267"/>
      <c r="U120" s="267"/>
      <c r="V120" s="267"/>
      <c r="W120" s="267"/>
      <c r="X120" s="267"/>
      <c r="Y120" s="267"/>
      <c r="Z120" s="267"/>
      <c r="AA120" s="267"/>
      <c r="AB120" s="267"/>
      <c r="AC120" s="267"/>
      <c r="AD120" s="267"/>
      <c r="AE120" s="267"/>
      <c r="AF120" s="267"/>
      <c r="AG120" s="267"/>
      <c r="AH120" s="267"/>
      <c r="AI120" s="267"/>
      <c r="AJ120" s="258"/>
      <c r="AK120" s="258"/>
      <c r="AL120" s="258"/>
      <c r="AM120" s="258"/>
      <c r="AN120" s="258"/>
      <c r="AO120" s="258"/>
      <c r="AP120" s="258"/>
      <c r="AQ120" s="258"/>
      <c r="AR120" s="258"/>
      <c r="AS120" s="258"/>
      <c r="AT120" s="258"/>
      <c r="AU120" s="39"/>
      <c r="AV120" s="47"/>
      <c r="AW120" s="47"/>
      <c r="AX120" s="47"/>
      <c r="AY120" s="47"/>
      <c r="AZ120" s="47"/>
      <c r="BA120" s="47"/>
      <c r="BB120" s="47"/>
      <c r="BC120" s="47"/>
      <c r="BD120" s="47"/>
      <c r="BE120" s="40"/>
      <c r="BF120" s="181"/>
      <c r="BG120" s="182"/>
      <c r="BH120" s="182"/>
      <c r="BI120" s="182"/>
      <c r="BJ120" s="182"/>
      <c r="BK120" s="183"/>
    </row>
    <row r="121" spans="1:63" s="240" customFormat="1" ht="15" customHeight="1" x14ac:dyDescent="0.25">
      <c r="A121" s="39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0"/>
      <c r="M121" s="258"/>
      <c r="N121" s="258"/>
      <c r="O121" s="276"/>
      <c r="P121" s="276"/>
      <c r="Q121" s="276"/>
      <c r="R121" s="74" t="s">
        <v>152</v>
      </c>
      <c r="S121" s="267"/>
      <c r="T121" s="267"/>
      <c r="U121" s="267"/>
      <c r="V121" s="267"/>
      <c r="W121" s="267"/>
      <c r="X121" s="267"/>
      <c r="Y121" s="267"/>
      <c r="Z121" s="267"/>
      <c r="AA121" s="267"/>
      <c r="AB121" s="267"/>
      <c r="AC121" s="267"/>
      <c r="AD121" s="267"/>
      <c r="AE121" s="267"/>
      <c r="AF121" s="267"/>
      <c r="AG121" s="267"/>
      <c r="AH121" s="267"/>
      <c r="AI121" s="267"/>
      <c r="AJ121" s="258"/>
      <c r="AK121" s="258"/>
      <c r="AL121" s="258"/>
      <c r="AM121" s="258"/>
      <c r="AN121" s="258"/>
      <c r="AO121" s="258"/>
      <c r="AP121" s="258"/>
      <c r="AQ121" s="258"/>
      <c r="AR121" s="258"/>
      <c r="AS121" s="258"/>
      <c r="AT121" s="258"/>
      <c r="AU121" s="39"/>
      <c r="AV121" s="47"/>
      <c r="AW121" s="47"/>
      <c r="AX121" s="47"/>
      <c r="AY121" s="47"/>
      <c r="AZ121" s="47"/>
      <c r="BA121" s="47"/>
      <c r="BB121" s="47"/>
      <c r="BC121" s="47"/>
      <c r="BD121" s="47"/>
      <c r="BE121" s="40"/>
      <c r="BF121" s="181"/>
      <c r="BG121" s="182"/>
      <c r="BH121" s="182"/>
      <c r="BI121" s="182"/>
      <c r="BJ121" s="182"/>
      <c r="BK121" s="183"/>
    </row>
    <row r="122" spans="1:63" s="240" customFormat="1" ht="15" customHeight="1" x14ac:dyDescent="0.25">
      <c r="A122" s="39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0"/>
      <c r="M122" s="258"/>
      <c r="N122" s="258"/>
      <c r="O122" s="276"/>
      <c r="P122" s="276"/>
      <c r="Q122" s="276"/>
      <c r="R122" s="74" t="s">
        <v>154</v>
      </c>
      <c r="S122" s="267"/>
      <c r="T122" s="267"/>
      <c r="U122" s="267"/>
      <c r="V122" s="267"/>
      <c r="W122" s="267"/>
      <c r="X122" s="267"/>
      <c r="Y122" s="267"/>
      <c r="Z122" s="267"/>
      <c r="AA122" s="267"/>
      <c r="AB122" s="267"/>
      <c r="AC122" s="267"/>
      <c r="AD122" s="267"/>
      <c r="AE122" s="267"/>
      <c r="AF122" s="267"/>
      <c r="AG122" s="267"/>
      <c r="AH122" s="267"/>
      <c r="AI122" s="267"/>
      <c r="AJ122" s="258"/>
      <c r="AK122" s="258"/>
      <c r="AL122" s="258"/>
      <c r="AM122" s="258"/>
      <c r="AN122" s="258"/>
      <c r="AO122" s="258"/>
      <c r="AP122" s="258"/>
      <c r="AQ122" s="258"/>
      <c r="AR122" s="258"/>
      <c r="AS122" s="258"/>
      <c r="AT122" s="258"/>
      <c r="AU122" s="39"/>
      <c r="AV122" s="47"/>
      <c r="AW122" s="47"/>
      <c r="AX122" s="47"/>
      <c r="AY122" s="47"/>
      <c r="AZ122" s="47"/>
      <c r="BA122" s="47"/>
      <c r="BB122" s="47"/>
      <c r="BC122" s="47"/>
      <c r="BD122" s="47"/>
      <c r="BE122" s="40"/>
      <c r="BF122" s="181"/>
      <c r="BG122" s="182"/>
      <c r="BH122" s="182"/>
      <c r="BI122" s="182"/>
      <c r="BJ122" s="182"/>
      <c r="BK122" s="183"/>
    </row>
    <row r="123" spans="1:63" s="240" customFormat="1" ht="15" customHeight="1" x14ac:dyDescent="0.25">
      <c r="A123" s="39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0"/>
      <c r="M123" s="258"/>
      <c r="N123" s="258"/>
      <c r="O123" s="276"/>
      <c r="P123" s="276"/>
      <c r="Q123" s="276"/>
      <c r="R123" s="74" t="s">
        <v>163</v>
      </c>
      <c r="S123" s="74"/>
      <c r="T123" s="77"/>
      <c r="U123" s="77"/>
      <c r="V123" s="77"/>
      <c r="W123" s="77"/>
      <c r="X123" s="77"/>
      <c r="Y123" s="77"/>
      <c r="Z123" s="77"/>
      <c r="AA123" s="77"/>
      <c r="AB123" s="77"/>
      <c r="AC123" s="77"/>
      <c r="AD123" s="77"/>
      <c r="AE123" s="77"/>
      <c r="AF123" s="77"/>
      <c r="AG123" s="77"/>
      <c r="AH123" s="77"/>
      <c r="AI123" s="77"/>
      <c r="AJ123" s="77"/>
      <c r="AK123" s="77"/>
      <c r="AL123" s="77"/>
      <c r="AM123" s="77"/>
      <c r="AN123" s="77"/>
      <c r="AO123" s="77"/>
      <c r="AP123" s="77"/>
      <c r="AQ123" s="77"/>
      <c r="AR123" s="77"/>
      <c r="AS123" s="258"/>
      <c r="AT123" s="258"/>
      <c r="AU123" s="39"/>
      <c r="AV123" s="47"/>
      <c r="AW123" s="47"/>
      <c r="AX123" s="47"/>
      <c r="AY123" s="47"/>
      <c r="AZ123" s="47"/>
      <c r="BA123" s="47"/>
      <c r="BB123" s="47"/>
      <c r="BC123" s="47"/>
      <c r="BD123" s="47"/>
      <c r="BE123" s="40"/>
      <c r="BF123" s="181"/>
      <c r="BG123" s="182"/>
      <c r="BH123" s="182"/>
      <c r="BI123" s="182"/>
      <c r="BJ123" s="182"/>
      <c r="BK123" s="183"/>
    </row>
    <row r="124" spans="1:63" s="240" customFormat="1" ht="15" customHeight="1" x14ac:dyDescent="0.25">
      <c r="A124" s="39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0"/>
      <c r="M124" s="258"/>
      <c r="N124" s="258"/>
      <c r="O124" s="276"/>
      <c r="P124" s="74"/>
      <c r="Q124" s="276"/>
      <c r="R124" s="74"/>
      <c r="S124" s="74" t="s">
        <v>164</v>
      </c>
      <c r="T124" s="77"/>
      <c r="U124" s="77"/>
      <c r="V124" s="77"/>
      <c r="W124" s="77"/>
      <c r="X124" s="77"/>
      <c r="Y124" s="77"/>
      <c r="Z124" s="77"/>
      <c r="AA124" s="77"/>
      <c r="AB124" s="77"/>
      <c r="AC124" s="77"/>
      <c r="AD124" s="77"/>
      <c r="AE124" s="77"/>
      <c r="AF124" s="77"/>
      <c r="AG124" s="77"/>
      <c r="AH124" s="77"/>
      <c r="AI124" s="77"/>
      <c r="AJ124" s="77"/>
      <c r="AK124" s="77"/>
      <c r="AL124" s="77"/>
      <c r="AM124" s="77"/>
      <c r="AN124" s="77"/>
      <c r="AO124" s="77"/>
      <c r="AP124" s="77"/>
      <c r="AQ124" s="77"/>
      <c r="AR124" s="77"/>
      <c r="AS124" s="258"/>
      <c r="AT124" s="258"/>
      <c r="AU124" s="39"/>
      <c r="AV124" s="47"/>
      <c r="AW124" s="47"/>
      <c r="AX124" s="47"/>
      <c r="AY124" s="47"/>
      <c r="AZ124" s="47"/>
      <c r="BA124" s="47"/>
      <c r="BB124" s="47"/>
      <c r="BC124" s="47"/>
      <c r="BD124" s="47"/>
      <c r="BE124" s="40"/>
      <c r="BF124" s="181"/>
      <c r="BG124" s="182"/>
      <c r="BH124" s="182"/>
      <c r="BI124" s="182"/>
      <c r="BJ124" s="182"/>
      <c r="BK124" s="183"/>
    </row>
    <row r="125" spans="1:63" s="240" customFormat="1" ht="15" customHeight="1" x14ac:dyDescent="0.25">
      <c r="A125" s="39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0"/>
      <c r="M125" s="258"/>
      <c r="N125" s="258"/>
      <c r="O125" s="276"/>
      <c r="P125" s="276"/>
      <c r="Q125" s="276"/>
      <c r="R125" s="276"/>
      <c r="S125" s="267"/>
      <c r="T125" s="267"/>
      <c r="U125" s="267"/>
      <c r="V125" s="267"/>
      <c r="W125" s="267"/>
      <c r="X125" s="267"/>
      <c r="Y125" s="267"/>
      <c r="Z125" s="267"/>
      <c r="AA125" s="267"/>
      <c r="AB125" s="267"/>
      <c r="AC125" s="267"/>
      <c r="AD125" s="267"/>
      <c r="AE125" s="267"/>
      <c r="AF125" s="267"/>
      <c r="AG125" s="267"/>
      <c r="AH125" s="267"/>
      <c r="AI125" s="267"/>
      <c r="AJ125" s="258"/>
      <c r="AK125" s="258"/>
      <c r="AL125" s="258"/>
      <c r="AM125" s="258"/>
      <c r="AN125" s="258"/>
      <c r="AO125" s="258"/>
      <c r="AP125" s="258"/>
      <c r="AQ125" s="258"/>
      <c r="AR125" s="258"/>
      <c r="AS125" s="258"/>
      <c r="AT125" s="258"/>
      <c r="AU125" s="39"/>
      <c r="AV125" s="47"/>
      <c r="AW125" s="47"/>
      <c r="AX125" s="47"/>
      <c r="AY125" s="47"/>
      <c r="AZ125" s="47"/>
      <c r="BA125" s="47"/>
      <c r="BB125" s="47"/>
      <c r="BC125" s="47"/>
      <c r="BD125" s="47"/>
      <c r="BE125" s="40"/>
      <c r="BF125" s="181"/>
      <c r="BG125" s="182"/>
      <c r="BH125" s="182"/>
      <c r="BI125" s="182"/>
      <c r="BJ125" s="182"/>
      <c r="BK125" s="183"/>
    </row>
    <row r="126" spans="1:63" s="240" customFormat="1" ht="15" customHeight="1" x14ac:dyDescent="0.25">
      <c r="A126" s="39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0"/>
      <c r="M126" s="258"/>
      <c r="N126" s="258"/>
      <c r="O126" s="276"/>
      <c r="P126" s="74" t="s">
        <v>165</v>
      </c>
      <c r="Q126" s="276"/>
      <c r="R126" s="276"/>
      <c r="S126" s="267"/>
      <c r="T126" s="267"/>
      <c r="U126" s="267"/>
      <c r="V126" s="267"/>
      <c r="W126" s="267"/>
      <c r="X126" s="267"/>
      <c r="Y126" s="267"/>
      <c r="Z126" s="267"/>
      <c r="AA126" s="267"/>
      <c r="AB126" s="267"/>
      <c r="AC126" s="267"/>
      <c r="AD126" s="267"/>
      <c r="AE126" s="267"/>
      <c r="AF126" s="267"/>
      <c r="AG126" s="267"/>
      <c r="AH126" s="267"/>
      <c r="AI126" s="267"/>
      <c r="AJ126" s="258"/>
      <c r="AK126" s="258"/>
      <c r="AL126" s="258"/>
      <c r="AM126" s="258"/>
      <c r="AN126" s="258"/>
      <c r="AO126" s="258"/>
      <c r="AP126" s="258"/>
      <c r="AQ126" s="258"/>
      <c r="AR126" s="258"/>
      <c r="AS126" s="258"/>
      <c r="AT126" s="258"/>
      <c r="AU126" s="39"/>
      <c r="AV126" s="47"/>
      <c r="AW126" s="47"/>
      <c r="AX126" s="47"/>
      <c r="AY126" s="47"/>
      <c r="AZ126" s="47"/>
      <c r="BA126" s="47"/>
      <c r="BB126" s="47"/>
      <c r="BC126" s="47"/>
      <c r="BD126" s="47"/>
      <c r="BE126" s="40"/>
      <c r="BF126" s="181"/>
      <c r="BG126" s="182"/>
      <c r="BH126" s="182"/>
      <c r="BI126" s="182"/>
      <c r="BJ126" s="182"/>
      <c r="BK126" s="183"/>
    </row>
    <row r="127" spans="1:63" s="240" customFormat="1" ht="15" customHeight="1" x14ac:dyDescent="0.25">
      <c r="A127" s="39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0"/>
      <c r="M127" s="258"/>
      <c r="N127" s="258"/>
      <c r="O127" s="276"/>
      <c r="P127" s="276"/>
      <c r="Q127" s="276"/>
      <c r="R127" s="276"/>
      <c r="S127" s="267"/>
      <c r="T127" s="267"/>
      <c r="U127" s="267"/>
      <c r="V127" s="267"/>
      <c r="W127" s="267"/>
      <c r="X127" s="267"/>
      <c r="Y127" s="267"/>
      <c r="Z127" s="267"/>
      <c r="AA127" s="267"/>
      <c r="AB127" s="267"/>
      <c r="AC127" s="267"/>
      <c r="AD127" s="267"/>
      <c r="AE127" s="267"/>
      <c r="AF127" s="267"/>
      <c r="AG127" s="267"/>
      <c r="AH127" s="267"/>
      <c r="AI127" s="267"/>
      <c r="AJ127" s="258"/>
      <c r="AK127" s="258"/>
      <c r="AL127" s="258"/>
      <c r="AM127" s="258"/>
      <c r="AN127" s="258"/>
      <c r="AO127" s="258"/>
      <c r="AP127" s="258"/>
      <c r="AQ127" s="258"/>
      <c r="AR127" s="258"/>
      <c r="AS127" s="258"/>
      <c r="AT127" s="258"/>
      <c r="AU127" s="39"/>
      <c r="AV127" s="47"/>
      <c r="AW127" s="47"/>
      <c r="AX127" s="47"/>
      <c r="AY127" s="47"/>
      <c r="AZ127" s="47"/>
      <c r="BA127" s="47"/>
      <c r="BB127" s="47"/>
      <c r="BC127" s="47"/>
      <c r="BD127" s="47"/>
      <c r="BE127" s="40"/>
      <c r="BF127" s="181"/>
      <c r="BG127" s="182"/>
      <c r="BH127" s="182"/>
      <c r="BI127" s="182"/>
      <c r="BJ127" s="182"/>
      <c r="BK127" s="183"/>
    </row>
    <row r="128" spans="1:63" s="240" customFormat="1" ht="15" customHeight="1" x14ac:dyDescent="0.25">
      <c r="A128" s="39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0"/>
      <c r="M128" s="258"/>
      <c r="N128" s="258"/>
      <c r="O128" s="74" t="s">
        <v>166</v>
      </c>
      <c r="P128" s="276"/>
      <c r="Q128" s="276"/>
      <c r="R128" s="276"/>
      <c r="S128" s="267"/>
      <c r="T128" s="267"/>
      <c r="U128" s="267"/>
      <c r="V128" s="267"/>
      <c r="W128" s="267"/>
      <c r="X128" s="267"/>
      <c r="Y128" s="267"/>
      <c r="Z128" s="267"/>
      <c r="AA128" s="267"/>
      <c r="AB128" s="267"/>
      <c r="AC128" s="267"/>
      <c r="AD128" s="267"/>
      <c r="AE128" s="267"/>
      <c r="AF128" s="267"/>
      <c r="AG128" s="267"/>
      <c r="AH128" s="267"/>
      <c r="AI128" s="267"/>
      <c r="AJ128" s="258"/>
      <c r="AK128" s="258"/>
      <c r="AL128" s="258"/>
      <c r="AM128" s="258"/>
      <c r="AN128" s="258"/>
      <c r="AO128" s="258"/>
      <c r="AP128" s="258"/>
      <c r="AQ128" s="258"/>
      <c r="AR128" s="258"/>
      <c r="AS128" s="258"/>
      <c r="AT128" s="258"/>
      <c r="AU128" s="39"/>
      <c r="AV128" s="47"/>
      <c r="AW128" s="47"/>
      <c r="AX128" s="47"/>
      <c r="AY128" s="47"/>
      <c r="AZ128" s="47"/>
      <c r="BA128" s="47"/>
      <c r="BB128" s="47"/>
      <c r="BC128" s="47"/>
      <c r="BD128" s="47"/>
      <c r="BE128" s="40"/>
      <c r="BF128" s="181"/>
      <c r="BG128" s="182"/>
      <c r="BH128" s="182"/>
      <c r="BI128" s="182"/>
      <c r="BJ128" s="182"/>
      <c r="BK128" s="183"/>
    </row>
    <row r="129" spans="1:63" s="240" customFormat="1" ht="15" customHeight="1" x14ac:dyDescent="0.25">
      <c r="A129" s="39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0"/>
      <c r="M129" s="258"/>
      <c r="N129" s="258"/>
      <c r="O129" s="61" t="s">
        <v>167</v>
      </c>
      <c r="P129" s="267"/>
      <c r="Q129" s="267"/>
      <c r="R129" s="276"/>
      <c r="S129" s="267"/>
      <c r="T129" s="267"/>
      <c r="U129" s="267"/>
      <c r="V129" s="267"/>
      <c r="W129" s="267"/>
      <c r="X129" s="267"/>
      <c r="Y129" s="267"/>
      <c r="Z129" s="267"/>
      <c r="AA129" s="267"/>
      <c r="AB129" s="267"/>
      <c r="AC129" s="267"/>
      <c r="AD129" s="267"/>
      <c r="AE129" s="267"/>
      <c r="AF129" s="267"/>
      <c r="AG129" s="267"/>
      <c r="AH129" s="267"/>
      <c r="AI129" s="267"/>
      <c r="AJ129" s="258"/>
      <c r="AK129" s="258"/>
      <c r="AL129" s="258"/>
      <c r="AM129" s="258"/>
      <c r="AN129" s="258"/>
      <c r="AO129" s="258"/>
      <c r="AP129" s="258"/>
      <c r="AQ129" s="258"/>
      <c r="AR129" s="258"/>
      <c r="AS129" s="258"/>
      <c r="AT129" s="258"/>
      <c r="AU129" s="39"/>
      <c r="AV129" s="47"/>
      <c r="AW129" s="47"/>
      <c r="AX129" s="47"/>
      <c r="AY129" s="47"/>
      <c r="AZ129" s="47"/>
      <c r="BA129" s="47"/>
      <c r="BB129" s="47"/>
      <c r="BC129" s="47"/>
      <c r="BD129" s="47"/>
      <c r="BE129" s="40"/>
      <c r="BF129" s="181"/>
      <c r="BG129" s="182"/>
      <c r="BH129" s="182"/>
      <c r="BI129" s="182"/>
      <c r="BJ129" s="182"/>
      <c r="BK129" s="183"/>
    </row>
    <row r="130" spans="1:63" s="240" customFormat="1" ht="15" customHeight="1" x14ac:dyDescent="0.25">
      <c r="A130" s="39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0"/>
      <c r="M130" s="258"/>
      <c r="N130" s="258"/>
      <c r="O130" s="267"/>
      <c r="P130" s="267" t="s">
        <v>95</v>
      </c>
      <c r="Q130" s="267"/>
      <c r="R130" s="276"/>
      <c r="S130" s="267"/>
      <c r="T130" s="267"/>
      <c r="U130" s="267"/>
      <c r="V130" s="267"/>
      <c r="W130" s="267"/>
      <c r="X130" s="267"/>
      <c r="Y130" s="267"/>
      <c r="Z130" s="267"/>
      <c r="AA130" s="267"/>
      <c r="AB130" s="267"/>
      <c r="AC130" s="267"/>
      <c r="AD130" s="267"/>
      <c r="AE130" s="267"/>
      <c r="AF130" s="267"/>
      <c r="AG130" s="267"/>
      <c r="AH130" s="267"/>
      <c r="AI130" s="267"/>
      <c r="AJ130" s="258"/>
      <c r="AK130" s="258"/>
      <c r="AL130" s="258"/>
      <c r="AM130" s="258"/>
      <c r="AN130" s="258"/>
      <c r="AO130" s="258"/>
      <c r="AP130" s="258"/>
      <c r="AQ130" s="258"/>
      <c r="AR130" s="258"/>
      <c r="AS130" s="258"/>
      <c r="AT130" s="258"/>
      <c r="AU130" s="39"/>
      <c r="AV130" s="47"/>
      <c r="AW130" s="47"/>
      <c r="AX130" s="47"/>
      <c r="AY130" s="47"/>
      <c r="AZ130" s="47"/>
      <c r="BA130" s="47"/>
      <c r="BB130" s="47"/>
      <c r="BC130" s="47"/>
      <c r="BD130" s="47"/>
      <c r="BE130" s="40"/>
      <c r="BF130" s="181"/>
      <c r="BG130" s="182"/>
      <c r="BH130" s="182"/>
      <c r="BI130" s="182"/>
      <c r="BJ130" s="182"/>
      <c r="BK130" s="183"/>
    </row>
    <row r="131" spans="1:63" s="240" customFormat="1" ht="15" customHeight="1" x14ac:dyDescent="0.25">
      <c r="A131" s="39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0"/>
      <c r="M131" s="258"/>
      <c r="N131" s="258"/>
      <c r="O131" s="267"/>
      <c r="P131" s="267"/>
      <c r="Q131" s="267"/>
      <c r="R131" s="267"/>
      <c r="S131" s="267"/>
      <c r="T131" s="267"/>
      <c r="U131" s="267"/>
      <c r="V131" s="267"/>
      <c r="W131" s="267"/>
      <c r="X131" s="267"/>
      <c r="Y131" s="267"/>
      <c r="Z131" s="267"/>
      <c r="AA131" s="267"/>
      <c r="AB131" s="267"/>
      <c r="AC131" s="267"/>
      <c r="AD131" s="267"/>
      <c r="AE131" s="267"/>
      <c r="AF131" s="267"/>
      <c r="AG131" s="267"/>
      <c r="AH131" s="267"/>
      <c r="AI131" s="267"/>
      <c r="AJ131" s="258"/>
      <c r="AK131" s="258"/>
      <c r="AL131" s="258"/>
      <c r="AM131" s="258"/>
      <c r="AN131" s="258"/>
      <c r="AO131" s="258"/>
      <c r="AP131" s="258"/>
      <c r="AQ131" s="258"/>
      <c r="AR131" s="258"/>
      <c r="AS131" s="258"/>
      <c r="AT131" s="258"/>
      <c r="AU131" s="39"/>
      <c r="AV131" s="47"/>
      <c r="AW131" s="47"/>
      <c r="AX131" s="47"/>
      <c r="AY131" s="47"/>
      <c r="AZ131" s="47"/>
      <c r="BA131" s="47"/>
      <c r="BB131" s="47"/>
      <c r="BC131" s="47"/>
      <c r="BD131" s="47"/>
      <c r="BE131" s="40"/>
      <c r="BF131" s="181"/>
      <c r="BG131" s="182"/>
      <c r="BH131" s="182"/>
      <c r="BI131" s="182"/>
      <c r="BJ131" s="182"/>
      <c r="BK131" s="183"/>
    </row>
    <row r="132" spans="1:63" s="240" customFormat="1" ht="15" customHeight="1" x14ac:dyDescent="0.25">
      <c r="A132" s="39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0"/>
      <c r="M132" s="258"/>
      <c r="N132" s="258"/>
      <c r="O132" s="267"/>
      <c r="P132" s="267"/>
      <c r="Q132" s="267"/>
      <c r="R132" s="66" t="s">
        <v>31</v>
      </c>
      <c r="S132" s="67"/>
      <c r="T132" s="67"/>
      <c r="U132" s="67"/>
      <c r="V132" s="67"/>
      <c r="W132" s="67"/>
      <c r="X132" s="67"/>
      <c r="Y132" s="66" t="s">
        <v>32</v>
      </c>
      <c r="Z132" s="67"/>
      <c r="AA132" s="67"/>
      <c r="AB132" s="67"/>
      <c r="AC132" s="67"/>
      <c r="AD132" s="67"/>
      <c r="AE132" s="67"/>
      <c r="AF132" s="67"/>
      <c r="AG132" s="67"/>
      <c r="AH132" s="67"/>
      <c r="AI132" s="67"/>
      <c r="AJ132" s="67"/>
      <c r="AK132" s="67"/>
      <c r="AL132" s="67"/>
      <c r="AM132" s="67"/>
      <c r="AN132" s="67"/>
      <c r="AO132" s="68"/>
      <c r="AP132" s="258"/>
      <c r="AQ132" s="258"/>
      <c r="AR132" s="258"/>
      <c r="AS132" s="258"/>
      <c r="AT132" s="258"/>
      <c r="AU132" s="39"/>
      <c r="AV132" s="47"/>
      <c r="AW132" s="47"/>
      <c r="AX132" s="47"/>
      <c r="AY132" s="47"/>
      <c r="AZ132" s="47"/>
      <c r="BA132" s="47"/>
      <c r="BB132" s="47"/>
      <c r="BC132" s="47"/>
      <c r="BD132" s="47"/>
      <c r="BE132" s="40"/>
      <c r="BF132" s="181"/>
      <c r="BG132" s="182"/>
      <c r="BH132" s="182"/>
      <c r="BI132" s="182"/>
      <c r="BJ132" s="182"/>
      <c r="BK132" s="183"/>
    </row>
    <row r="133" spans="1:63" s="240" customFormat="1" ht="15" customHeight="1" x14ac:dyDescent="0.25">
      <c r="A133" s="39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0"/>
      <c r="M133" s="258"/>
      <c r="N133" s="258"/>
      <c r="O133" s="267"/>
      <c r="P133" s="267"/>
      <c r="Q133" s="267"/>
      <c r="R133" s="280" t="s">
        <v>35</v>
      </c>
      <c r="S133" s="281"/>
      <c r="T133" s="281"/>
      <c r="U133" s="281"/>
      <c r="V133" s="281"/>
      <c r="W133" s="281"/>
      <c r="X133" s="282"/>
      <c r="Y133" s="273" t="s">
        <v>38</v>
      </c>
      <c r="Z133" s="274"/>
      <c r="AA133" s="274"/>
      <c r="AB133" s="274"/>
      <c r="AC133" s="274"/>
      <c r="AD133" s="274"/>
      <c r="AE133" s="274"/>
      <c r="AF133" s="274"/>
      <c r="AG133" s="274"/>
      <c r="AH133" s="274"/>
      <c r="AI133" s="274"/>
      <c r="AJ133" s="274"/>
      <c r="AK133" s="274"/>
      <c r="AL133" s="274"/>
      <c r="AM133" s="274"/>
      <c r="AN133" s="274"/>
      <c r="AO133" s="275"/>
      <c r="AP133" s="258"/>
      <c r="AQ133" s="258"/>
      <c r="AR133" s="258"/>
      <c r="AS133" s="258"/>
      <c r="AT133" s="258"/>
      <c r="AU133" s="39"/>
      <c r="AV133" s="47"/>
      <c r="AW133" s="47"/>
      <c r="AX133" s="47"/>
      <c r="AY133" s="47"/>
      <c r="AZ133" s="47"/>
      <c r="BA133" s="47"/>
      <c r="BB133" s="47"/>
      <c r="BC133" s="47"/>
      <c r="BD133" s="47"/>
      <c r="BE133" s="40"/>
      <c r="BF133" s="181"/>
      <c r="BG133" s="182"/>
      <c r="BH133" s="182"/>
      <c r="BI133" s="182"/>
      <c r="BJ133" s="182"/>
      <c r="BK133" s="183"/>
    </row>
    <row r="134" spans="1:63" s="240" customFormat="1" x14ac:dyDescent="0.25">
      <c r="A134" s="39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0"/>
      <c r="M134" s="258"/>
      <c r="N134" s="258"/>
      <c r="O134" s="267"/>
      <c r="P134" s="267"/>
      <c r="Q134" s="267"/>
      <c r="R134" s="280" t="s">
        <v>48</v>
      </c>
      <c r="S134" s="281"/>
      <c r="T134" s="281"/>
      <c r="U134" s="281"/>
      <c r="V134" s="281"/>
      <c r="W134" s="281"/>
      <c r="X134" s="282"/>
      <c r="Y134" s="273" t="s">
        <v>54</v>
      </c>
      <c r="Z134" s="274"/>
      <c r="AA134" s="274"/>
      <c r="AB134" s="274"/>
      <c r="AC134" s="274"/>
      <c r="AD134" s="274"/>
      <c r="AE134" s="274"/>
      <c r="AF134" s="274"/>
      <c r="AG134" s="274"/>
      <c r="AH134" s="274"/>
      <c r="AI134" s="274"/>
      <c r="AJ134" s="274"/>
      <c r="AK134" s="274"/>
      <c r="AL134" s="274"/>
      <c r="AM134" s="274"/>
      <c r="AN134" s="274"/>
      <c r="AO134" s="275"/>
      <c r="AP134" s="258"/>
      <c r="AQ134" s="258"/>
      <c r="AR134" s="258"/>
      <c r="AS134" s="258"/>
      <c r="AT134" s="258"/>
      <c r="AU134" s="39"/>
      <c r="AV134" s="47"/>
      <c r="AW134" s="47"/>
      <c r="AX134" s="47"/>
      <c r="AY134" s="47"/>
      <c r="AZ134" s="47"/>
      <c r="BA134" s="47"/>
      <c r="BB134" s="47"/>
      <c r="BC134" s="47"/>
      <c r="BD134" s="47"/>
      <c r="BE134" s="40"/>
      <c r="BF134" s="181"/>
      <c r="BG134" s="182"/>
      <c r="BH134" s="182"/>
      <c r="BI134" s="182"/>
      <c r="BJ134" s="182"/>
      <c r="BK134" s="183"/>
    </row>
    <row r="135" spans="1:63" s="240" customFormat="1" ht="15" customHeight="1" x14ac:dyDescent="0.25">
      <c r="A135" s="39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0"/>
      <c r="M135" s="258"/>
      <c r="N135" s="258"/>
      <c r="O135" s="267"/>
      <c r="P135" s="267"/>
      <c r="Q135" s="267"/>
      <c r="R135" s="283" t="s">
        <v>37</v>
      </c>
      <c r="S135" s="284"/>
      <c r="T135" s="284"/>
      <c r="U135" s="284"/>
      <c r="V135" s="284"/>
      <c r="W135" s="284"/>
      <c r="X135" s="285"/>
      <c r="Y135" s="273" t="s">
        <v>168</v>
      </c>
      <c r="Z135" s="274"/>
      <c r="AA135" s="274"/>
      <c r="AB135" s="274"/>
      <c r="AC135" s="274"/>
      <c r="AD135" s="274"/>
      <c r="AE135" s="274"/>
      <c r="AF135" s="274"/>
      <c r="AG135" s="274"/>
      <c r="AH135" s="274"/>
      <c r="AI135" s="274"/>
      <c r="AJ135" s="274"/>
      <c r="AK135" s="274"/>
      <c r="AL135" s="274"/>
      <c r="AM135" s="274"/>
      <c r="AN135" s="274"/>
      <c r="AO135" s="275"/>
      <c r="AP135" s="258"/>
      <c r="AQ135" s="258"/>
      <c r="AR135" s="258"/>
      <c r="AS135" s="258"/>
      <c r="AT135" s="258"/>
      <c r="AU135" s="39"/>
      <c r="AV135" s="47"/>
      <c r="AW135" s="47"/>
      <c r="AX135" s="47"/>
      <c r="AY135" s="47"/>
      <c r="AZ135" s="47"/>
      <c r="BA135" s="47"/>
      <c r="BB135" s="47"/>
      <c r="BC135" s="47"/>
      <c r="BD135" s="47"/>
      <c r="BE135" s="40"/>
      <c r="BF135" s="181"/>
      <c r="BG135" s="182"/>
      <c r="BH135" s="182"/>
      <c r="BI135" s="182"/>
      <c r="BJ135" s="182"/>
      <c r="BK135" s="183"/>
    </row>
    <row r="136" spans="1:63" s="240" customFormat="1" ht="72.75" customHeight="1" x14ac:dyDescent="0.25">
      <c r="A136" s="39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0"/>
      <c r="M136" s="258"/>
      <c r="N136" s="258"/>
      <c r="O136" s="267"/>
      <c r="P136" s="267"/>
      <c r="Q136" s="267"/>
      <c r="R136" s="283" t="s">
        <v>65</v>
      </c>
      <c r="S136" s="284"/>
      <c r="T136" s="284"/>
      <c r="U136" s="284"/>
      <c r="V136" s="284"/>
      <c r="W136" s="284"/>
      <c r="X136" s="285"/>
      <c r="Y136" s="273" t="s">
        <v>169</v>
      </c>
      <c r="Z136" s="274"/>
      <c r="AA136" s="274"/>
      <c r="AB136" s="274"/>
      <c r="AC136" s="274"/>
      <c r="AD136" s="274"/>
      <c r="AE136" s="274"/>
      <c r="AF136" s="274"/>
      <c r="AG136" s="274"/>
      <c r="AH136" s="274"/>
      <c r="AI136" s="274"/>
      <c r="AJ136" s="274"/>
      <c r="AK136" s="274"/>
      <c r="AL136" s="274"/>
      <c r="AM136" s="274"/>
      <c r="AN136" s="274"/>
      <c r="AO136" s="275"/>
      <c r="AP136" s="258"/>
      <c r="AQ136" s="258"/>
      <c r="AR136" s="258"/>
      <c r="AS136" s="258"/>
      <c r="AT136" s="258"/>
      <c r="AU136" s="39"/>
      <c r="AV136" s="47"/>
      <c r="AW136" s="47"/>
      <c r="AX136" s="47"/>
      <c r="AY136" s="47"/>
      <c r="AZ136" s="47"/>
      <c r="BA136" s="47"/>
      <c r="BB136" s="47"/>
      <c r="BC136" s="47"/>
      <c r="BD136" s="47"/>
      <c r="BE136" s="40"/>
      <c r="BF136" s="181"/>
      <c r="BG136" s="182"/>
      <c r="BH136" s="182"/>
      <c r="BI136" s="182"/>
      <c r="BJ136" s="182"/>
      <c r="BK136" s="183"/>
    </row>
    <row r="137" spans="1:63" s="240" customFormat="1" ht="15" customHeight="1" x14ac:dyDescent="0.25">
      <c r="A137" s="39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0"/>
      <c r="M137" s="258"/>
      <c r="N137" s="258"/>
      <c r="O137" s="267"/>
      <c r="P137" s="267"/>
      <c r="Q137" s="267"/>
      <c r="R137" s="283" t="s">
        <v>49</v>
      </c>
      <c r="S137" s="284"/>
      <c r="T137" s="284"/>
      <c r="U137" s="284"/>
      <c r="V137" s="284"/>
      <c r="W137" s="284"/>
      <c r="X137" s="285"/>
      <c r="Y137" s="273" t="s">
        <v>55</v>
      </c>
      <c r="Z137" s="274"/>
      <c r="AA137" s="274"/>
      <c r="AB137" s="274"/>
      <c r="AC137" s="274"/>
      <c r="AD137" s="274"/>
      <c r="AE137" s="274"/>
      <c r="AF137" s="274"/>
      <c r="AG137" s="274"/>
      <c r="AH137" s="274"/>
      <c r="AI137" s="274"/>
      <c r="AJ137" s="274"/>
      <c r="AK137" s="274"/>
      <c r="AL137" s="274"/>
      <c r="AM137" s="274"/>
      <c r="AN137" s="274"/>
      <c r="AO137" s="275"/>
      <c r="AP137" s="258"/>
      <c r="AQ137" s="258"/>
      <c r="AR137" s="258"/>
      <c r="AS137" s="258"/>
      <c r="AT137" s="258"/>
      <c r="AU137" s="39"/>
      <c r="AV137" s="47"/>
      <c r="AW137" s="47"/>
      <c r="AX137" s="47"/>
      <c r="AY137" s="47"/>
      <c r="AZ137" s="47"/>
      <c r="BA137" s="47"/>
      <c r="BB137" s="47"/>
      <c r="BC137" s="47"/>
      <c r="BD137" s="47"/>
      <c r="BE137" s="40"/>
      <c r="BF137" s="181"/>
      <c r="BG137" s="182"/>
      <c r="BH137" s="182"/>
      <c r="BI137" s="182"/>
      <c r="BJ137" s="182"/>
      <c r="BK137" s="183"/>
    </row>
    <row r="138" spans="1:63" s="240" customFormat="1" ht="15" customHeight="1" x14ac:dyDescent="0.25">
      <c r="A138" s="39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0"/>
      <c r="M138" s="258"/>
      <c r="N138" s="258"/>
      <c r="O138" s="267"/>
      <c r="P138" s="267"/>
      <c r="Q138" s="267"/>
      <c r="R138" s="283" t="s">
        <v>93</v>
      </c>
      <c r="S138" s="284"/>
      <c r="T138" s="284"/>
      <c r="U138" s="284"/>
      <c r="V138" s="284"/>
      <c r="W138" s="284"/>
      <c r="X138" s="285"/>
      <c r="Y138" s="273" t="s">
        <v>94</v>
      </c>
      <c r="Z138" s="274"/>
      <c r="AA138" s="274"/>
      <c r="AB138" s="274"/>
      <c r="AC138" s="274"/>
      <c r="AD138" s="274"/>
      <c r="AE138" s="274"/>
      <c r="AF138" s="274"/>
      <c r="AG138" s="274"/>
      <c r="AH138" s="274"/>
      <c r="AI138" s="274"/>
      <c r="AJ138" s="274"/>
      <c r="AK138" s="274"/>
      <c r="AL138" s="274"/>
      <c r="AM138" s="274"/>
      <c r="AN138" s="274"/>
      <c r="AO138" s="275"/>
      <c r="AP138" s="258"/>
      <c r="AQ138" s="258"/>
      <c r="AR138" s="258"/>
      <c r="AS138" s="258"/>
      <c r="AT138" s="258"/>
      <c r="AU138" s="39"/>
      <c r="AV138" s="47"/>
      <c r="AW138" s="47"/>
      <c r="AX138" s="47"/>
      <c r="AY138" s="47"/>
      <c r="AZ138" s="47"/>
      <c r="BA138" s="47"/>
      <c r="BB138" s="47"/>
      <c r="BC138" s="47"/>
      <c r="BD138" s="47"/>
      <c r="BE138" s="40"/>
      <c r="BF138" s="181"/>
      <c r="BG138" s="182"/>
      <c r="BH138" s="182"/>
      <c r="BI138" s="182"/>
      <c r="BJ138" s="182"/>
      <c r="BK138" s="183"/>
    </row>
    <row r="139" spans="1:63" s="240" customFormat="1" ht="15" customHeight="1" x14ac:dyDescent="0.25">
      <c r="A139" s="39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0"/>
      <c r="M139" s="258"/>
      <c r="N139" s="258"/>
      <c r="O139" s="267"/>
      <c r="P139" s="267"/>
      <c r="Q139" s="267"/>
      <c r="R139" s="283" t="s">
        <v>50</v>
      </c>
      <c r="S139" s="284"/>
      <c r="T139" s="284"/>
      <c r="U139" s="284"/>
      <c r="V139" s="284"/>
      <c r="W139" s="284"/>
      <c r="X139" s="285"/>
      <c r="Y139" s="273" t="s">
        <v>56</v>
      </c>
      <c r="Z139" s="274"/>
      <c r="AA139" s="274"/>
      <c r="AB139" s="274"/>
      <c r="AC139" s="274"/>
      <c r="AD139" s="274"/>
      <c r="AE139" s="274"/>
      <c r="AF139" s="274"/>
      <c r="AG139" s="274"/>
      <c r="AH139" s="274"/>
      <c r="AI139" s="274"/>
      <c r="AJ139" s="274"/>
      <c r="AK139" s="274"/>
      <c r="AL139" s="274"/>
      <c r="AM139" s="274"/>
      <c r="AN139" s="274"/>
      <c r="AO139" s="275"/>
      <c r="AP139" s="258"/>
      <c r="AQ139" s="258"/>
      <c r="AR139" s="258"/>
      <c r="AS139" s="258"/>
      <c r="AT139" s="258"/>
      <c r="AU139" s="39"/>
      <c r="AV139" s="47"/>
      <c r="AW139" s="47"/>
      <c r="AX139" s="47"/>
      <c r="AY139" s="47"/>
      <c r="AZ139" s="47"/>
      <c r="BA139" s="47"/>
      <c r="BB139" s="47"/>
      <c r="BC139" s="47"/>
      <c r="BD139" s="47"/>
      <c r="BE139" s="40"/>
      <c r="BF139" s="181"/>
      <c r="BG139" s="182"/>
      <c r="BH139" s="182"/>
      <c r="BI139" s="182"/>
      <c r="BJ139" s="182"/>
      <c r="BK139" s="183"/>
    </row>
    <row r="140" spans="1:63" s="240" customFormat="1" ht="15" customHeight="1" x14ac:dyDescent="0.25">
      <c r="A140" s="39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0"/>
      <c r="M140" s="258"/>
      <c r="N140" s="258"/>
      <c r="O140" s="267"/>
      <c r="P140" s="267"/>
      <c r="Q140" s="267"/>
      <c r="R140" s="283" t="s">
        <v>51</v>
      </c>
      <c r="S140" s="284"/>
      <c r="T140" s="284"/>
      <c r="U140" s="284"/>
      <c r="V140" s="284"/>
      <c r="W140" s="284"/>
      <c r="X140" s="285"/>
      <c r="Y140" s="273" t="s">
        <v>57</v>
      </c>
      <c r="Z140" s="274"/>
      <c r="AA140" s="274"/>
      <c r="AB140" s="274"/>
      <c r="AC140" s="274"/>
      <c r="AD140" s="274"/>
      <c r="AE140" s="274"/>
      <c r="AF140" s="274"/>
      <c r="AG140" s="274"/>
      <c r="AH140" s="274"/>
      <c r="AI140" s="274"/>
      <c r="AJ140" s="274"/>
      <c r="AK140" s="274"/>
      <c r="AL140" s="274"/>
      <c r="AM140" s="274"/>
      <c r="AN140" s="274"/>
      <c r="AO140" s="275"/>
      <c r="AP140" s="258"/>
      <c r="AQ140" s="258"/>
      <c r="AR140" s="258"/>
      <c r="AS140" s="258"/>
      <c r="AT140" s="258"/>
      <c r="AU140" s="39"/>
      <c r="AV140" s="47"/>
      <c r="AW140" s="47"/>
      <c r="AX140" s="47"/>
      <c r="AY140" s="47"/>
      <c r="AZ140" s="47"/>
      <c r="BA140" s="47"/>
      <c r="BB140" s="47"/>
      <c r="BC140" s="47"/>
      <c r="BD140" s="47"/>
      <c r="BE140" s="40"/>
      <c r="BF140" s="181"/>
      <c r="BG140" s="182"/>
      <c r="BH140" s="182"/>
      <c r="BI140" s="182"/>
      <c r="BJ140" s="182"/>
      <c r="BK140" s="183"/>
    </row>
    <row r="141" spans="1:63" s="240" customFormat="1" ht="15" customHeight="1" x14ac:dyDescent="0.25">
      <c r="A141" s="39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0"/>
      <c r="M141" s="258"/>
      <c r="N141" s="258"/>
      <c r="O141" s="267"/>
      <c r="P141" s="267"/>
      <c r="Q141" s="267"/>
      <c r="R141" s="283" t="s">
        <v>52</v>
      </c>
      <c r="S141" s="284"/>
      <c r="T141" s="284"/>
      <c r="U141" s="284"/>
      <c r="V141" s="284"/>
      <c r="W141" s="284"/>
      <c r="X141" s="285"/>
      <c r="Y141" s="273" t="s">
        <v>58</v>
      </c>
      <c r="Z141" s="274"/>
      <c r="AA141" s="274"/>
      <c r="AB141" s="274"/>
      <c r="AC141" s="274"/>
      <c r="AD141" s="274"/>
      <c r="AE141" s="274"/>
      <c r="AF141" s="274"/>
      <c r="AG141" s="274"/>
      <c r="AH141" s="274"/>
      <c r="AI141" s="274"/>
      <c r="AJ141" s="274"/>
      <c r="AK141" s="274"/>
      <c r="AL141" s="274"/>
      <c r="AM141" s="274"/>
      <c r="AN141" s="274"/>
      <c r="AO141" s="275"/>
      <c r="AP141" s="258"/>
      <c r="AQ141" s="258"/>
      <c r="AR141" s="258"/>
      <c r="AS141" s="258"/>
      <c r="AT141" s="258"/>
      <c r="AU141" s="39"/>
      <c r="AV141" s="47"/>
      <c r="AW141" s="47"/>
      <c r="AX141" s="47"/>
      <c r="AY141" s="47"/>
      <c r="AZ141" s="47"/>
      <c r="BA141" s="47"/>
      <c r="BB141" s="47"/>
      <c r="BC141" s="47"/>
      <c r="BD141" s="47"/>
      <c r="BE141" s="40"/>
      <c r="BF141" s="181"/>
      <c r="BG141" s="182"/>
      <c r="BH141" s="182"/>
      <c r="BI141" s="182"/>
      <c r="BJ141" s="182"/>
      <c r="BK141" s="183"/>
    </row>
    <row r="142" spans="1:63" s="240" customFormat="1" ht="15" customHeight="1" x14ac:dyDescent="0.25">
      <c r="A142" s="39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0"/>
      <c r="M142" s="258"/>
      <c r="N142" s="258"/>
      <c r="O142" s="267"/>
      <c r="P142" s="267"/>
      <c r="Q142" s="267"/>
      <c r="R142" s="283" t="s">
        <v>53</v>
      </c>
      <c r="S142" s="284"/>
      <c r="T142" s="284"/>
      <c r="U142" s="284"/>
      <c r="V142" s="284"/>
      <c r="W142" s="284"/>
      <c r="X142" s="285"/>
      <c r="Y142" s="273" t="s">
        <v>59</v>
      </c>
      <c r="Z142" s="274"/>
      <c r="AA142" s="274"/>
      <c r="AB142" s="274"/>
      <c r="AC142" s="274"/>
      <c r="AD142" s="274"/>
      <c r="AE142" s="274"/>
      <c r="AF142" s="274"/>
      <c r="AG142" s="274"/>
      <c r="AH142" s="274"/>
      <c r="AI142" s="274"/>
      <c r="AJ142" s="274"/>
      <c r="AK142" s="274"/>
      <c r="AL142" s="274"/>
      <c r="AM142" s="274"/>
      <c r="AN142" s="274"/>
      <c r="AO142" s="275"/>
      <c r="AP142" s="258"/>
      <c r="AQ142" s="258"/>
      <c r="AR142" s="258"/>
      <c r="AS142" s="258"/>
      <c r="AT142" s="258"/>
      <c r="AU142" s="39"/>
      <c r="AV142" s="47"/>
      <c r="AW142" s="47"/>
      <c r="AX142" s="47"/>
      <c r="AY142" s="47"/>
      <c r="AZ142" s="47"/>
      <c r="BA142" s="47"/>
      <c r="BB142" s="47"/>
      <c r="BC142" s="47"/>
      <c r="BD142" s="47"/>
      <c r="BE142" s="40"/>
      <c r="BF142" s="181"/>
      <c r="BG142" s="182"/>
      <c r="BH142" s="182"/>
      <c r="BI142" s="182"/>
      <c r="BJ142" s="182"/>
      <c r="BK142" s="183"/>
    </row>
    <row r="143" spans="1:63" s="240" customFormat="1" ht="15" customHeight="1" x14ac:dyDescent="0.25">
      <c r="A143" s="39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0"/>
      <c r="M143" s="258"/>
      <c r="N143" s="258"/>
      <c r="O143" s="267"/>
      <c r="P143" s="267" t="s">
        <v>86</v>
      </c>
      <c r="Q143" s="267"/>
      <c r="R143" s="267"/>
      <c r="S143" s="267"/>
      <c r="T143" s="267"/>
      <c r="U143" s="267"/>
      <c r="V143" s="267"/>
      <c r="W143" s="267"/>
      <c r="X143" s="267"/>
      <c r="Y143" s="267"/>
      <c r="Z143" s="267"/>
      <c r="AA143" s="267"/>
      <c r="AB143" s="267"/>
      <c r="AC143" s="267"/>
      <c r="AD143" s="267"/>
      <c r="AE143" s="267"/>
      <c r="AF143" s="267"/>
      <c r="AG143" s="267"/>
      <c r="AH143" s="267"/>
      <c r="AI143" s="267"/>
      <c r="AJ143" s="258"/>
      <c r="AK143" s="258"/>
      <c r="AL143" s="258"/>
      <c r="AM143" s="258"/>
      <c r="AN143" s="258"/>
      <c r="AO143" s="258"/>
      <c r="AP143" s="258"/>
      <c r="AQ143" s="258"/>
      <c r="AR143" s="258"/>
      <c r="AS143" s="258"/>
      <c r="AT143" s="258"/>
      <c r="AU143" s="39"/>
      <c r="AV143" s="47"/>
      <c r="AW143" s="47"/>
      <c r="AX143" s="47"/>
      <c r="AY143" s="47"/>
      <c r="AZ143" s="47"/>
      <c r="BA143" s="47"/>
      <c r="BB143" s="47"/>
      <c r="BC143" s="47"/>
      <c r="BD143" s="47"/>
      <c r="BE143" s="40"/>
      <c r="BF143" s="181"/>
      <c r="BG143" s="182"/>
      <c r="BH143" s="182"/>
      <c r="BI143" s="182"/>
      <c r="BJ143" s="182"/>
      <c r="BK143" s="183"/>
    </row>
    <row r="144" spans="1:63" s="240" customFormat="1" ht="15" customHeight="1" x14ac:dyDescent="0.25">
      <c r="A144" s="39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0"/>
      <c r="M144" s="258"/>
      <c r="N144" s="258"/>
      <c r="O144" s="267"/>
      <c r="P144" s="267"/>
      <c r="Q144" s="267" t="s">
        <v>87</v>
      </c>
      <c r="R144" s="267" t="s">
        <v>85</v>
      </c>
      <c r="S144" s="267"/>
      <c r="T144" s="267"/>
      <c r="U144" s="267"/>
      <c r="V144" s="267"/>
      <c r="W144" s="267"/>
      <c r="X144" s="267"/>
      <c r="Y144" s="267"/>
      <c r="Z144" s="267"/>
      <c r="AA144" s="267"/>
      <c r="AB144" s="267"/>
      <c r="AC144" s="267"/>
      <c r="AD144" s="267"/>
      <c r="AE144" s="267"/>
      <c r="AF144" s="267"/>
      <c r="AG144" s="267"/>
      <c r="AH144" s="267"/>
      <c r="AI144" s="267"/>
      <c r="AJ144" s="258"/>
      <c r="AK144" s="258"/>
      <c r="AL144" s="258"/>
      <c r="AM144" s="258"/>
      <c r="AN144" s="258"/>
      <c r="AO144" s="258"/>
      <c r="AP144" s="258"/>
      <c r="AQ144" s="258"/>
      <c r="AR144" s="258"/>
      <c r="AS144" s="258"/>
      <c r="AT144" s="258"/>
      <c r="AU144" s="39"/>
      <c r="AV144" s="47"/>
      <c r="AW144" s="47"/>
      <c r="AX144" s="47"/>
      <c r="AY144" s="47"/>
      <c r="AZ144" s="47"/>
      <c r="BA144" s="47"/>
      <c r="BB144" s="47"/>
      <c r="BC144" s="47"/>
      <c r="BD144" s="47"/>
      <c r="BE144" s="40"/>
      <c r="BF144" s="181"/>
      <c r="BG144" s="182"/>
      <c r="BH144" s="182"/>
      <c r="BI144" s="182"/>
      <c r="BJ144" s="182"/>
      <c r="BK144" s="183"/>
    </row>
    <row r="145" spans="1:63" s="240" customFormat="1" ht="15" customHeight="1" x14ac:dyDescent="0.25">
      <c r="A145" s="39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0"/>
      <c r="M145" s="258"/>
      <c r="N145" s="258"/>
      <c r="O145" s="267"/>
      <c r="P145" s="267"/>
      <c r="Q145" s="267"/>
      <c r="R145" s="267"/>
      <c r="S145" s="267"/>
      <c r="T145" s="267"/>
      <c r="U145" s="267"/>
      <c r="V145" s="267"/>
      <c r="W145" s="267"/>
      <c r="X145" s="267"/>
      <c r="Y145" s="267"/>
      <c r="Z145" s="267"/>
      <c r="AA145" s="267"/>
      <c r="AB145" s="267"/>
      <c r="AC145" s="267"/>
      <c r="AD145" s="267"/>
      <c r="AE145" s="267"/>
      <c r="AF145" s="267"/>
      <c r="AG145" s="267"/>
      <c r="AH145" s="267"/>
      <c r="AI145" s="267"/>
      <c r="AJ145" s="267"/>
      <c r="AK145" s="267"/>
      <c r="AL145" s="258"/>
      <c r="AM145" s="258"/>
      <c r="AN145" s="258"/>
      <c r="AO145" s="258"/>
      <c r="AP145" s="258"/>
      <c r="AQ145" s="258"/>
      <c r="AR145" s="258"/>
      <c r="AS145" s="258"/>
      <c r="AT145" s="258"/>
      <c r="AU145" s="39"/>
      <c r="AV145" s="47"/>
      <c r="AW145" s="47"/>
      <c r="AX145" s="47"/>
      <c r="AY145" s="47"/>
      <c r="AZ145" s="47"/>
      <c r="BA145" s="47"/>
      <c r="BB145" s="47"/>
      <c r="BC145" s="47"/>
      <c r="BD145" s="47"/>
      <c r="BE145" s="40"/>
      <c r="BF145" s="181"/>
      <c r="BG145" s="182"/>
      <c r="BH145" s="182"/>
      <c r="BI145" s="182"/>
      <c r="BJ145" s="182"/>
      <c r="BK145" s="183"/>
    </row>
    <row r="146" spans="1:63" s="240" customFormat="1" ht="15" customHeight="1" x14ac:dyDescent="0.25">
      <c r="A146" s="39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0"/>
      <c r="M146" s="258"/>
      <c r="N146" s="258"/>
      <c r="O146" s="267"/>
      <c r="P146" s="267"/>
      <c r="Q146" s="267"/>
      <c r="R146" s="267"/>
      <c r="S146" s="267"/>
      <c r="T146" s="267"/>
      <c r="U146" s="267"/>
      <c r="V146" s="267"/>
      <c r="W146" s="267"/>
      <c r="X146" s="267"/>
      <c r="Y146" s="267"/>
      <c r="Z146" s="267"/>
      <c r="AA146" s="267"/>
      <c r="AB146" s="267"/>
      <c r="AC146" s="267"/>
      <c r="AD146" s="267"/>
      <c r="AE146" s="267"/>
      <c r="AF146" s="267"/>
      <c r="AG146" s="267"/>
      <c r="AH146" s="267"/>
      <c r="AI146" s="267"/>
      <c r="AJ146" s="267"/>
      <c r="AK146" s="267"/>
      <c r="AL146" s="258"/>
      <c r="AM146" s="258"/>
      <c r="AN146" s="258"/>
      <c r="AO146" s="258"/>
      <c r="AP146" s="258"/>
      <c r="AQ146" s="258"/>
      <c r="AR146" s="258"/>
      <c r="AS146" s="258"/>
      <c r="AT146" s="258"/>
      <c r="AU146" s="39"/>
      <c r="AV146" s="47"/>
      <c r="AW146" s="47"/>
      <c r="AX146" s="47"/>
      <c r="AY146" s="47"/>
      <c r="AZ146" s="47"/>
      <c r="BA146" s="47"/>
      <c r="BB146" s="47"/>
      <c r="BC146" s="47"/>
      <c r="BD146" s="47"/>
      <c r="BE146" s="40"/>
      <c r="BF146" s="181"/>
      <c r="BG146" s="182"/>
      <c r="BH146" s="182"/>
      <c r="BI146" s="182"/>
      <c r="BJ146" s="182"/>
      <c r="BK146" s="183"/>
    </row>
    <row r="147" spans="1:63" s="240" customFormat="1" ht="15" customHeight="1" x14ac:dyDescent="0.25">
      <c r="A147" s="39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0"/>
      <c r="M147" s="258"/>
      <c r="N147" s="258"/>
      <c r="P147" s="286"/>
      <c r="Q147" s="258" t="s">
        <v>89</v>
      </c>
      <c r="R147" s="267" t="s">
        <v>88</v>
      </c>
      <c r="S147" s="267"/>
      <c r="T147" s="267"/>
      <c r="U147" s="267"/>
      <c r="V147" s="267"/>
      <c r="W147" s="267"/>
      <c r="X147" s="267"/>
      <c r="Y147" s="267"/>
      <c r="Z147" s="267"/>
      <c r="AA147" s="267"/>
      <c r="AB147" s="267"/>
      <c r="AC147" s="267"/>
      <c r="AD147" s="267"/>
      <c r="AE147" s="267"/>
      <c r="AF147" s="267"/>
      <c r="AG147" s="267"/>
      <c r="AH147" s="267"/>
      <c r="AI147" s="267"/>
      <c r="AJ147" s="258"/>
      <c r="AK147" s="258"/>
      <c r="AL147" s="258"/>
      <c r="AM147" s="258"/>
      <c r="AN147" s="258"/>
      <c r="AO147" s="258"/>
      <c r="AP147" s="258"/>
      <c r="AQ147" s="258"/>
      <c r="AR147" s="258"/>
      <c r="AS147" s="258"/>
      <c r="AT147" s="258"/>
      <c r="AU147" s="39"/>
      <c r="AV147" s="47"/>
      <c r="AW147" s="47"/>
      <c r="AX147" s="47"/>
      <c r="AY147" s="47"/>
      <c r="AZ147" s="47"/>
      <c r="BA147" s="47"/>
      <c r="BB147" s="47"/>
      <c r="BC147" s="47"/>
      <c r="BD147" s="47"/>
      <c r="BE147" s="40"/>
      <c r="BF147" s="181"/>
      <c r="BG147" s="182"/>
      <c r="BH147" s="182"/>
      <c r="BI147" s="182"/>
      <c r="BJ147" s="182"/>
      <c r="BK147" s="183"/>
    </row>
    <row r="148" spans="1:63" s="240" customFormat="1" ht="15" customHeight="1" x14ac:dyDescent="0.25">
      <c r="A148" s="39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0"/>
      <c r="M148" s="258"/>
      <c r="N148" s="258"/>
      <c r="O148" s="267"/>
      <c r="P148" s="267"/>
      <c r="Q148" s="267"/>
      <c r="R148" s="74" t="s">
        <v>170</v>
      </c>
      <c r="S148" s="267"/>
      <c r="T148" s="267"/>
      <c r="U148" s="267"/>
      <c r="V148" s="267"/>
      <c r="W148" s="267"/>
      <c r="X148" s="267"/>
      <c r="Y148" s="267"/>
      <c r="Z148" s="267"/>
      <c r="AA148" s="267"/>
      <c r="AB148" s="267"/>
      <c r="AC148" s="267"/>
      <c r="AD148" s="267"/>
      <c r="AE148" s="267"/>
      <c r="AF148" s="267"/>
      <c r="AG148" s="267"/>
      <c r="AH148" s="267"/>
      <c r="AI148" s="267"/>
      <c r="AJ148" s="258"/>
      <c r="AK148" s="258"/>
      <c r="AL148" s="258"/>
      <c r="AM148" s="258"/>
      <c r="AN148" s="258"/>
      <c r="AO148" s="258"/>
      <c r="AP148" s="258"/>
      <c r="AQ148" s="258"/>
      <c r="AR148" s="258"/>
      <c r="AS148" s="258"/>
      <c r="AT148" s="258"/>
      <c r="AU148" s="39"/>
      <c r="AV148" s="47"/>
      <c r="AW148" s="47"/>
      <c r="AX148" s="47"/>
      <c r="AY148" s="47"/>
      <c r="AZ148" s="47"/>
      <c r="BA148" s="47"/>
      <c r="BB148" s="47"/>
      <c r="BC148" s="47"/>
      <c r="BD148" s="47"/>
      <c r="BE148" s="40"/>
      <c r="BF148" s="181"/>
      <c r="BG148" s="182"/>
      <c r="BH148" s="182"/>
      <c r="BI148" s="182"/>
      <c r="BJ148" s="182"/>
      <c r="BK148" s="183"/>
    </row>
    <row r="149" spans="1:63" s="240" customFormat="1" ht="15" customHeight="1" x14ac:dyDescent="0.25">
      <c r="A149" s="39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0"/>
      <c r="M149" s="258"/>
      <c r="N149" s="258"/>
      <c r="O149" s="267"/>
      <c r="Q149" s="267"/>
      <c r="R149" s="267"/>
      <c r="S149" s="267"/>
      <c r="T149" s="267"/>
      <c r="U149" s="267"/>
      <c r="V149" s="267"/>
      <c r="W149" s="267"/>
      <c r="X149" s="267"/>
      <c r="Y149" s="267"/>
      <c r="Z149" s="267"/>
      <c r="AA149" s="267"/>
      <c r="AB149" s="267"/>
      <c r="AC149" s="267"/>
      <c r="AD149" s="267"/>
      <c r="AE149" s="267"/>
      <c r="AF149" s="267"/>
      <c r="AG149" s="267"/>
      <c r="AH149" s="267"/>
      <c r="AI149" s="267"/>
      <c r="AJ149" s="258"/>
      <c r="AK149" s="258"/>
      <c r="AL149" s="258"/>
      <c r="AM149" s="258"/>
      <c r="AN149" s="258"/>
      <c r="AO149" s="258"/>
      <c r="AP149" s="258"/>
      <c r="AQ149" s="258"/>
      <c r="AR149" s="258"/>
      <c r="AS149" s="258"/>
      <c r="AT149" s="258"/>
      <c r="AU149" s="39"/>
      <c r="AV149" s="47"/>
      <c r="AW149" s="47"/>
      <c r="AX149" s="47"/>
      <c r="AY149" s="47"/>
      <c r="AZ149" s="47"/>
      <c r="BA149" s="47"/>
      <c r="BB149" s="47"/>
      <c r="BC149" s="47"/>
      <c r="BD149" s="47"/>
      <c r="BE149" s="40"/>
      <c r="BF149" s="181"/>
      <c r="BG149" s="182"/>
      <c r="BH149" s="182"/>
      <c r="BI149" s="182"/>
      <c r="BJ149" s="182"/>
      <c r="BK149" s="183"/>
    </row>
    <row r="150" spans="1:63" s="240" customFormat="1" ht="15" customHeight="1" x14ac:dyDescent="0.25">
      <c r="A150" s="41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3"/>
      <c r="M150" s="268"/>
      <c r="N150" s="269"/>
      <c r="O150" s="269"/>
      <c r="P150" s="269"/>
      <c r="Q150" s="269"/>
      <c r="R150" s="269"/>
      <c r="S150" s="269"/>
      <c r="T150" s="269"/>
      <c r="U150" s="269"/>
      <c r="V150" s="269"/>
      <c r="W150" s="269"/>
      <c r="X150" s="269"/>
      <c r="Y150" s="269"/>
      <c r="Z150" s="269"/>
      <c r="AA150" s="269"/>
      <c r="AB150" s="269"/>
      <c r="AC150" s="269"/>
      <c r="AD150" s="269"/>
      <c r="AE150" s="269"/>
      <c r="AF150" s="269"/>
      <c r="AG150" s="269"/>
      <c r="AH150" s="269"/>
      <c r="AI150" s="269"/>
      <c r="AJ150" s="269"/>
      <c r="AK150" s="269"/>
      <c r="AL150" s="269"/>
      <c r="AM150" s="269"/>
      <c r="AN150" s="269"/>
      <c r="AO150" s="269"/>
      <c r="AP150" s="270"/>
      <c r="AQ150" s="270"/>
      <c r="AR150" s="270"/>
      <c r="AS150" s="270"/>
      <c r="AT150" s="270"/>
      <c r="AU150" s="41"/>
      <c r="AV150" s="42"/>
      <c r="AW150" s="42"/>
      <c r="AX150" s="42"/>
      <c r="AY150" s="42"/>
      <c r="AZ150" s="42"/>
      <c r="BA150" s="42"/>
      <c r="BB150" s="42"/>
      <c r="BC150" s="42"/>
      <c r="BD150" s="42"/>
      <c r="BE150" s="43"/>
      <c r="BF150" s="159"/>
      <c r="BG150" s="160"/>
      <c r="BH150" s="160"/>
      <c r="BI150" s="160"/>
      <c r="BJ150" s="160"/>
      <c r="BK150" s="161"/>
    </row>
    <row r="151" spans="1:63" ht="15" customHeight="1" x14ac:dyDescent="0.25"/>
    <row r="152" spans="1:63" ht="15" customHeight="1" x14ac:dyDescent="0.25"/>
    <row r="153" spans="1:63" ht="15" customHeight="1" x14ac:dyDescent="0.25"/>
    <row r="154" spans="1:63" ht="15" customHeight="1" x14ac:dyDescent="0.25"/>
    <row r="155" spans="1:63" ht="15" customHeight="1" x14ac:dyDescent="0.25"/>
    <row r="156" spans="1:63" ht="15" customHeight="1" x14ac:dyDescent="0.25"/>
    <row r="157" spans="1:63" ht="15" customHeight="1" x14ac:dyDescent="0.25"/>
    <row r="158" spans="1:63" ht="15" customHeight="1" x14ac:dyDescent="0.25"/>
    <row r="159" spans="1:63" ht="15" customHeight="1" x14ac:dyDescent="0.25"/>
    <row r="160" spans="1:63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</sheetData>
  <mergeCells count="88">
    <mergeCell ref="BF150:BK150"/>
    <mergeCell ref="R142:X142"/>
    <mergeCell ref="Y142:AO142"/>
    <mergeCell ref="R133:X133"/>
    <mergeCell ref="Y133:AO133"/>
    <mergeCell ref="R138:X138"/>
    <mergeCell ref="Y138:AO138"/>
    <mergeCell ref="Y139:AO139"/>
    <mergeCell ref="R140:X140"/>
    <mergeCell ref="Y140:AO140"/>
    <mergeCell ref="R141:X141"/>
    <mergeCell ref="Y141:AO141"/>
    <mergeCell ref="A90:F90"/>
    <mergeCell ref="G90:L90"/>
    <mergeCell ref="A91:L92"/>
    <mergeCell ref="M91:AT92"/>
    <mergeCell ref="AU91:BE92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BF12:BK13"/>
    <mergeCell ref="A4:G4"/>
    <mergeCell ref="H4:T4"/>
    <mergeCell ref="U4:Y4"/>
    <mergeCell ref="Z4:AO4"/>
    <mergeCell ref="AP4:BK4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F25:BK53"/>
    <mergeCell ref="BF14:BK17"/>
    <mergeCell ref="BF18:BK18"/>
    <mergeCell ref="A22:F22"/>
    <mergeCell ref="G22:L22"/>
    <mergeCell ref="A23:L24"/>
    <mergeCell ref="M23:AT24"/>
    <mergeCell ref="AU23:BE24"/>
    <mergeCell ref="BF23:BK24"/>
    <mergeCell ref="X29:AN29"/>
    <mergeCell ref="X32:AN32"/>
    <mergeCell ref="X30:AN30"/>
    <mergeCell ref="X31:AN31"/>
    <mergeCell ref="BF54:BK54"/>
    <mergeCell ref="A58:F58"/>
    <mergeCell ref="G58:L58"/>
    <mergeCell ref="A59:L60"/>
    <mergeCell ref="M59:AT60"/>
    <mergeCell ref="AU59:BE60"/>
    <mergeCell ref="BF59:BK60"/>
    <mergeCell ref="BF61:BK61"/>
    <mergeCell ref="BF73:BK73"/>
    <mergeCell ref="R134:X134"/>
    <mergeCell ref="Y134:AO134"/>
    <mergeCell ref="BF78:BK79"/>
    <mergeCell ref="BF80:BK84"/>
    <mergeCell ref="BF86:BK86"/>
    <mergeCell ref="BF91:BK92"/>
    <mergeCell ref="BF93:BK149"/>
    <mergeCell ref="R135:X135"/>
    <mergeCell ref="Y135:AO135"/>
    <mergeCell ref="R136:X136"/>
    <mergeCell ref="Y136:AO136"/>
    <mergeCell ref="R137:X137"/>
    <mergeCell ref="Y137:AO137"/>
    <mergeCell ref="R139:X139"/>
    <mergeCell ref="A77:F77"/>
    <mergeCell ref="G77:L77"/>
    <mergeCell ref="A78:L79"/>
    <mergeCell ref="M78:AT79"/>
    <mergeCell ref="AU78:BE79"/>
  </mergeCells>
  <pageMargins left="0.7" right="0.7" top="0.75" bottom="0.75" header="0.3" footer="0.3"/>
  <pageSetup scale="2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 codeName="Sheet3">
    <pageSetUpPr fitToPage="1"/>
  </sheetPr>
  <dimension ref="A1:BK444"/>
  <sheetViews>
    <sheetView view="pageBreakPreview" zoomScale="85" zoomScaleNormal="100" zoomScaleSheetLayoutView="85" zoomScalePage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87" t="s">
        <v>104</v>
      </c>
      <c r="B1" s="288"/>
      <c r="C1" s="288"/>
      <c r="D1" s="288"/>
      <c r="E1" s="288"/>
      <c r="F1" s="288"/>
      <c r="G1" s="288"/>
      <c r="H1" s="288"/>
      <c r="I1" s="288"/>
      <c r="J1" s="289"/>
      <c r="K1" s="287" t="s">
        <v>105</v>
      </c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9"/>
      <c r="W1" s="290" t="str">
        <f>IF(表紙!W1="","",表紙!W1)</f>
        <v>詳細設計書</v>
      </c>
      <c r="X1" s="291"/>
      <c r="Y1" s="291"/>
      <c r="Z1" s="291"/>
      <c r="AA1" s="291"/>
      <c r="AB1" s="291"/>
      <c r="AC1" s="291"/>
      <c r="AD1" s="291"/>
      <c r="AE1" s="291"/>
      <c r="AF1" s="291"/>
      <c r="AG1" s="291"/>
      <c r="AH1" s="291"/>
      <c r="AI1" s="291"/>
      <c r="AJ1" s="291"/>
      <c r="AK1" s="291"/>
      <c r="AL1" s="291"/>
      <c r="AM1" s="291"/>
      <c r="AN1" s="291"/>
      <c r="AO1" s="292"/>
      <c r="AP1" s="214" t="s">
        <v>107</v>
      </c>
      <c r="AQ1" s="215"/>
      <c r="AR1" s="215"/>
      <c r="AS1" s="216"/>
      <c r="AT1" s="214" t="s">
        <v>108</v>
      </c>
      <c r="AU1" s="215"/>
      <c r="AV1" s="215"/>
      <c r="AW1" s="215"/>
      <c r="AX1" s="216"/>
      <c r="AY1" s="214" t="s">
        <v>109</v>
      </c>
      <c r="AZ1" s="215"/>
      <c r="BA1" s="215"/>
      <c r="BB1" s="216"/>
      <c r="BC1" s="214" t="s">
        <v>110</v>
      </c>
      <c r="BD1" s="215"/>
      <c r="BE1" s="215"/>
      <c r="BF1" s="215"/>
      <c r="BG1" s="216"/>
      <c r="BH1" s="214" t="s">
        <v>111</v>
      </c>
      <c r="BI1" s="215"/>
      <c r="BJ1" s="215"/>
      <c r="BK1" s="216"/>
    </row>
    <row r="2" spans="1:63" ht="15" customHeight="1" x14ac:dyDescent="0.25">
      <c r="A2" s="184" t="str">
        <f>IF(表紙!A2="","",表紙!A2)</f>
        <v>POSサーバー</v>
      </c>
      <c r="B2" s="185"/>
      <c r="C2" s="185"/>
      <c r="D2" s="185"/>
      <c r="E2" s="185"/>
      <c r="F2" s="185"/>
      <c r="G2" s="185"/>
      <c r="H2" s="185"/>
      <c r="I2" s="185"/>
      <c r="J2" s="186"/>
      <c r="K2" s="184" t="str">
        <f>IF(表紙!K2="","",表紙!K2)</f>
        <v>POSサーバ</v>
      </c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6"/>
      <c r="W2" s="293"/>
      <c r="X2" s="294"/>
      <c r="Y2" s="294"/>
      <c r="Z2" s="294"/>
      <c r="AA2" s="294"/>
      <c r="AB2" s="294"/>
      <c r="AC2" s="294"/>
      <c r="AD2" s="294"/>
      <c r="AE2" s="294"/>
      <c r="AF2" s="294"/>
      <c r="AG2" s="294"/>
      <c r="AH2" s="294"/>
      <c r="AI2" s="294"/>
      <c r="AJ2" s="294"/>
      <c r="AK2" s="294"/>
      <c r="AL2" s="294"/>
      <c r="AM2" s="294"/>
      <c r="AN2" s="294"/>
      <c r="AO2" s="295"/>
      <c r="AP2" s="220" t="str">
        <f>IF(表紙!AP2="","",表紙!AP2)</f>
        <v>SonMNT</v>
      </c>
      <c r="AQ2" s="221"/>
      <c r="AR2" s="221"/>
      <c r="AS2" s="222"/>
      <c r="AT2" s="223">
        <f>IF(表紙!AT2="","",表紙!AT2)</f>
        <v>45468</v>
      </c>
      <c r="AU2" s="224"/>
      <c r="AV2" s="224"/>
      <c r="AW2" s="224"/>
      <c r="AX2" s="225"/>
      <c r="AY2" s="220" t="str">
        <f>IF(表紙!AY2="","",表紙!AY2)</f>
        <v>AnhTTP</v>
      </c>
      <c r="AZ2" s="221"/>
      <c r="BA2" s="221"/>
      <c r="BB2" s="222"/>
      <c r="BC2" s="223">
        <f>IF(表紙!BC2="","",表紙!BC2)</f>
        <v>45643</v>
      </c>
      <c r="BD2" s="224"/>
      <c r="BE2" s="224"/>
      <c r="BF2" s="224"/>
      <c r="BG2" s="225"/>
      <c r="BH2" s="220">
        <f>IF(表紙!BH2="","",表紙!BH2)</f>
        <v>0.4</v>
      </c>
      <c r="BI2" s="221"/>
      <c r="BJ2" s="221"/>
      <c r="BK2" s="222"/>
    </row>
    <row r="3" spans="1:63" ht="15" customHeight="1" x14ac:dyDescent="0.25">
      <c r="A3" s="187"/>
      <c r="B3" s="188"/>
      <c r="C3" s="188"/>
      <c r="D3" s="188"/>
      <c r="E3" s="188"/>
      <c r="F3" s="188"/>
      <c r="G3" s="188"/>
      <c r="H3" s="188"/>
      <c r="I3" s="188"/>
      <c r="J3" s="189"/>
      <c r="K3" s="187"/>
      <c r="L3" s="188"/>
      <c r="M3" s="188"/>
      <c r="N3" s="188"/>
      <c r="O3" s="188"/>
      <c r="P3" s="188"/>
      <c r="Q3" s="188"/>
      <c r="R3" s="188"/>
      <c r="S3" s="188"/>
      <c r="T3" s="188"/>
      <c r="U3" s="188"/>
      <c r="V3" s="189"/>
      <c r="W3" s="296"/>
      <c r="X3" s="297"/>
      <c r="Y3" s="297"/>
      <c r="Z3" s="297"/>
      <c r="AA3" s="297"/>
      <c r="AB3" s="297"/>
      <c r="AC3" s="297"/>
      <c r="AD3" s="297"/>
      <c r="AE3" s="297"/>
      <c r="AF3" s="297"/>
      <c r="AG3" s="297"/>
      <c r="AH3" s="297"/>
      <c r="AI3" s="297"/>
      <c r="AJ3" s="297"/>
      <c r="AK3" s="297"/>
      <c r="AL3" s="297"/>
      <c r="AM3" s="297"/>
      <c r="AN3" s="297"/>
      <c r="AO3" s="298"/>
      <c r="AP3" s="229"/>
      <c r="AQ3" s="230"/>
      <c r="AR3" s="230"/>
      <c r="AS3" s="231"/>
      <c r="AT3" s="232"/>
      <c r="AU3" s="233"/>
      <c r="AV3" s="233"/>
      <c r="AW3" s="233"/>
      <c r="AX3" s="234"/>
      <c r="AY3" s="229"/>
      <c r="AZ3" s="230"/>
      <c r="BA3" s="230"/>
      <c r="BB3" s="231"/>
      <c r="BC3" s="232"/>
      <c r="BD3" s="233"/>
      <c r="BE3" s="233"/>
      <c r="BF3" s="233"/>
      <c r="BG3" s="234"/>
      <c r="BH3" s="229"/>
      <c r="BI3" s="230"/>
      <c r="BJ3" s="230"/>
      <c r="BK3" s="231"/>
    </row>
    <row r="4" spans="1:63" ht="24.95" customHeight="1" x14ac:dyDescent="0.25">
      <c r="A4" s="299" t="s">
        <v>112</v>
      </c>
      <c r="B4" s="288"/>
      <c r="C4" s="288"/>
      <c r="D4" s="288"/>
      <c r="E4" s="288"/>
      <c r="F4" s="288"/>
      <c r="G4" s="289"/>
      <c r="H4" s="190" t="str">
        <f>IF(表紙!H4="","",表紙!H4)</f>
        <v>10_プロモーションメンテ</v>
      </c>
      <c r="I4" s="191"/>
      <c r="J4" s="191"/>
      <c r="K4" s="191"/>
      <c r="L4" s="191"/>
      <c r="M4" s="191"/>
      <c r="N4" s="191"/>
      <c r="O4" s="191"/>
      <c r="P4" s="191"/>
      <c r="Q4" s="191"/>
      <c r="R4" s="191"/>
      <c r="S4" s="191"/>
      <c r="T4" s="192"/>
      <c r="U4" s="287" t="s">
        <v>113</v>
      </c>
      <c r="V4" s="288"/>
      <c r="W4" s="288"/>
      <c r="X4" s="288"/>
      <c r="Y4" s="289"/>
      <c r="Z4" s="190" t="str">
        <f>IF(表紙!Z4="","",表紙!Z4)</f>
        <v>機能設計書</v>
      </c>
      <c r="AA4" s="191"/>
      <c r="AB4" s="191"/>
      <c r="AC4" s="191"/>
      <c r="AD4" s="191"/>
      <c r="AE4" s="191"/>
      <c r="AF4" s="191"/>
      <c r="AG4" s="191"/>
      <c r="AH4" s="191"/>
      <c r="AI4" s="191"/>
      <c r="AJ4" s="191"/>
      <c r="AK4" s="191"/>
      <c r="AL4" s="191"/>
      <c r="AM4" s="191"/>
      <c r="AN4" s="191"/>
      <c r="AO4" s="192"/>
      <c r="AP4" s="193" t="str">
        <f ca="1">MID(CELL("filename",A1),FIND("]",CELL("filename",A1))+1,255)</f>
        <v>テンプレート</v>
      </c>
      <c r="AQ4" s="191"/>
      <c r="AR4" s="191"/>
      <c r="AS4" s="191"/>
      <c r="AT4" s="191"/>
      <c r="AU4" s="191"/>
      <c r="AV4" s="191"/>
      <c r="AW4" s="191"/>
      <c r="AX4" s="191"/>
      <c r="AY4" s="191"/>
      <c r="AZ4" s="191"/>
      <c r="BA4" s="191"/>
      <c r="BB4" s="191"/>
      <c r="BC4" s="191"/>
      <c r="BD4" s="191"/>
      <c r="BE4" s="191"/>
      <c r="BF4" s="191"/>
      <c r="BG4" s="191"/>
      <c r="BH4" s="191"/>
      <c r="BI4" s="191"/>
      <c r="BJ4" s="191"/>
      <c r="BK4" s="192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44"/>
      <c r="B6" s="45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6"/>
    </row>
    <row r="7" spans="1:63" s="240" customFormat="1" ht="15" customHeight="1" x14ac:dyDescent="0.25">
      <c r="A7" s="239" t="s">
        <v>24</v>
      </c>
      <c r="BK7" s="241"/>
    </row>
    <row r="8" spans="1:63" s="240" customFormat="1" ht="15" customHeight="1" x14ac:dyDescent="0.25">
      <c r="A8" s="239"/>
      <c r="BK8" s="241"/>
    </row>
    <row r="9" spans="1:63" s="240" customFormat="1" ht="15" customHeight="1" x14ac:dyDescent="0.25">
      <c r="A9" s="214" t="s">
        <v>114</v>
      </c>
      <c r="B9" s="215"/>
      <c r="C9" s="215"/>
      <c r="D9" s="215"/>
      <c r="E9" s="242" t="s">
        <v>25</v>
      </c>
      <c r="F9" s="242"/>
      <c r="G9" s="242"/>
      <c r="H9" s="242"/>
      <c r="I9" s="242"/>
      <c r="J9" s="242"/>
      <c r="K9" s="242"/>
      <c r="L9" s="242"/>
      <c r="M9" s="242"/>
      <c r="N9" s="242"/>
      <c r="O9" s="214" t="s">
        <v>115</v>
      </c>
      <c r="P9" s="215"/>
      <c r="Q9" s="215"/>
      <c r="R9" s="215"/>
      <c r="S9" s="215"/>
      <c r="T9" s="216"/>
      <c r="U9" s="243" t="s">
        <v>26</v>
      </c>
      <c r="V9" s="244"/>
      <c r="W9" s="244"/>
      <c r="X9" s="244"/>
      <c r="Y9" s="244"/>
      <c r="Z9" s="244"/>
      <c r="AA9" s="244"/>
      <c r="AB9" s="244"/>
      <c r="AC9" s="244"/>
      <c r="AD9" s="244"/>
      <c r="AE9" s="244"/>
      <c r="AF9" s="244"/>
      <c r="AG9" s="244"/>
      <c r="AH9" s="244"/>
      <c r="AI9" s="244"/>
      <c r="AJ9" s="244"/>
      <c r="AK9" s="244"/>
      <c r="AL9" s="244"/>
      <c r="AM9" s="244"/>
      <c r="AN9" s="244"/>
      <c r="AO9" s="244"/>
      <c r="AP9" s="244"/>
      <c r="AQ9" s="244"/>
      <c r="AR9" s="244"/>
      <c r="AS9" s="244"/>
      <c r="AT9" s="244"/>
      <c r="AU9" s="244"/>
      <c r="AV9" s="244"/>
      <c r="AW9" s="244"/>
      <c r="AX9" s="244"/>
      <c r="AY9" s="244"/>
      <c r="AZ9" s="244"/>
      <c r="BA9" s="244"/>
      <c r="BB9" s="244"/>
      <c r="BC9" s="244"/>
      <c r="BD9" s="244"/>
      <c r="BE9" s="244"/>
      <c r="BF9" s="244"/>
      <c r="BG9" s="244"/>
      <c r="BH9" s="244"/>
      <c r="BI9" s="244"/>
      <c r="BJ9" s="244"/>
      <c r="BK9" s="245"/>
    </row>
    <row r="10" spans="1:63" s="240" customFormat="1" ht="15" customHeight="1" x14ac:dyDescent="0.25">
      <c r="A10" s="300"/>
      <c r="B10" s="301"/>
      <c r="C10" s="301"/>
      <c r="D10" s="301"/>
      <c r="E10" s="302"/>
      <c r="F10" s="302"/>
      <c r="G10" s="302"/>
      <c r="H10" s="302"/>
      <c r="I10" s="302"/>
      <c r="J10" s="302"/>
      <c r="K10" s="302"/>
      <c r="L10" s="302"/>
      <c r="M10" s="302"/>
      <c r="N10" s="302"/>
      <c r="O10" s="303"/>
      <c r="P10" s="303"/>
      <c r="Q10" s="303"/>
      <c r="R10" s="303"/>
      <c r="S10" s="303"/>
      <c r="T10" s="303"/>
      <c r="U10" s="304"/>
      <c r="V10" s="304"/>
      <c r="W10" s="301"/>
      <c r="X10" s="301"/>
      <c r="Y10" s="305"/>
      <c r="Z10" s="306"/>
      <c r="AA10" s="306"/>
      <c r="AB10" s="306"/>
      <c r="AC10" s="306"/>
      <c r="AD10" s="306"/>
      <c r="AE10" s="306"/>
      <c r="AF10" s="306"/>
      <c r="AG10" s="306"/>
      <c r="AH10" s="306"/>
      <c r="AI10" s="306"/>
      <c r="AJ10" s="306"/>
      <c r="AK10" s="306"/>
      <c r="AL10" s="306"/>
      <c r="AM10" s="306"/>
      <c r="AN10" s="306"/>
      <c r="AO10" s="306"/>
      <c r="AP10" s="306"/>
      <c r="AQ10" s="306"/>
      <c r="AR10" s="306"/>
      <c r="AS10" s="306"/>
      <c r="AT10" s="306"/>
      <c r="AU10" s="306"/>
      <c r="AV10" s="306"/>
      <c r="AW10" s="306"/>
      <c r="AX10" s="306"/>
      <c r="AY10" s="302"/>
      <c r="AZ10" s="302"/>
      <c r="BA10" s="302"/>
      <c r="BB10" s="302"/>
      <c r="BC10" s="302"/>
      <c r="BD10" s="302"/>
      <c r="BE10" s="302"/>
      <c r="BF10" s="302"/>
      <c r="BG10" s="302"/>
      <c r="BH10" s="302"/>
      <c r="BI10" s="302"/>
      <c r="BJ10" s="302"/>
      <c r="BK10" s="307"/>
    </row>
    <row r="11" spans="1:63" s="240" customFormat="1" ht="15" customHeight="1" x14ac:dyDescent="0.25">
      <c r="A11" s="246" t="s">
        <v>18</v>
      </c>
      <c r="B11" s="247"/>
      <c r="C11" s="247"/>
      <c r="D11" s="247"/>
      <c r="E11" s="247"/>
      <c r="F11" s="248"/>
      <c r="G11" s="242" t="s">
        <v>19</v>
      </c>
      <c r="H11" s="242"/>
      <c r="I11" s="242"/>
      <c r="J11" s="242"/>
      <c r="K11" s="242"/>
      <c r="L11" s="242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250"/>
      <c r="BI11" s="250"/>
      <c r="BJ11" s="250"/>
      <c r="BK11" s="251"/>
    </row>
    <row r="12" spans="1:63" s="240" customFormat="1" ht="15" customHeight="1" x14ac:dyDescent="0.25">
      <c r="A12" s="252" t="s">
        <v>20</v>
      </c>
      <c r="B12" s="253"/>
      <c r="C12" s="253"/>
      <c r="D12" s="253"/>
      <c r="E12" s="253"/>
      <c r="F12" s="253"/>
      <c r="G12" s="253"/>
      <c r="H12" s="253"/>
      <c r="I12" s="253"/>
      <c r="J12" s="253"/>
      <c r="K12" s="253"/>
      <c r="L12" s="254"/>
      <c r="M12" s="252" t="s">
        <v>21</v>
      </c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  <c r="AG12" s="253"/>
      <c r="AH12" s="253"/>
      <c r="AI12" s="253"/>
      <c r="AJ12" s="253"/>
      <c r="AK12" s="253"/>
      <c r="AL12" s="253"/>
      <c r="AM12" s="253"/>
      <c r="AN12" s="253"/>
      <c r="AO12" s="253"/>
      <c r="AP12" s="253"/>
      <c r="AQ12" s="253"/>
      <c r="AR12" s="253"/>
      <c r="AS12" s="253"/>
      <c r="AT12" s="254"/>
      <c r="AU12" s="252" t="s">
        <v>22</v>
      </c>
      <c r="AV12" s="253"/>
      <c r="AW12" s="253"/>
      <c r="AX12" s="253"/>
      <c r="AY12" s="253"/>
      <c r="AZ12" s="253"/>
      <c r="BA12" s="253"/>
      <c r="BB12" s="253"/>
      <c r="BC12" s="253"/>
      <c r="BD12" s="253"/>
      <c r="BE12" s="253"/>
      <c r="BF12" s="252" t="s">
        <v>23</v>
      </c>
      <c r="BG12" s="253"/>
      <c r="BH12" s="253"/>
      <c r="BI12" s="253"/>
      <c r="BJ12" s="253"/>
      <c r="BK12" s="254"/>
    </row>
    <row r="13" spans="1:63" s="240" customFormat="1" ht="15" customHeight="1" x14ac:dyDescent="0.25">
      <c r="A13" s="255"/>
      <c r="B13" s="256"/>
      <c r="C13" s="256"/>
      <c r="D13" s="256"/>
      <c r="E13" s="256"/>
      <c r="F13" s="256"/>
      <c r="G13" s="256"/>
      <c r="H13" s="256"/>
      <c r="I13" s="256"/>
      <c r="J13" s="256"/>
      <c r="K13" s="256"/>
      <c r="L13" s="257"/>
      <c r="M13" s="255"/>
      <c r="N13" s="256"/>
      <c r="O13" s="256"/>
      <c r="P13" s="256"/>
      <c r="Q13" s="256"/>
      <c r="R13" s="256"/>
      <c r="S13" s="256"/>
      <c r="T13" s="256"/>
      <c r="U13" s="256"/>
      <c r="V13" s="256"/>
      <c r="W13" s="256"/>
      <c r="X13" s="256"/>
      <c r="Y13" s="256"/>
      <c r="Z13" s="256"/>
      <c r="AA13" s="256"/>
      <c r="AB13" s="256"/>
      <c r="AC13" s="256"/>
      <c r="AD13" s="256"/>
      <c r="AE13" s="256"/>
      <c r="AF13" s="256"/>
      <c r="AG13" s="256"/>
      <c r="AH13" s="256"/>
      <c r="AI13" s="256"/>
      <c r="AJ13" s="256"/>
      <c r="AK13" s="256"/>
      <c r="AL13" s="256"/>
      <c r="AM13" s="256"/>
      <c r="AN13" s="256"/>
      <c r="AO13" s="256"/>
      <c r="AP13" s="256"/>
      <c r="AQ13" s="256"/>
      <c r="AR13" s="256"/>
      <c r="AS13" s="256"/>
      <c r="AT13" s="257"/>
      <c r="AU13" s="255"/>
      <c r="AV13" s="256"/>
      <c r="AW13" s="256"/>
      <c r="AX13" s="256"/>
      <c r="AY13" s="256"/>
      <c r="AZ13" s="256"/>
      <c r="BA13" s="256"/>
      <c r="BB13" s="256"/>
      <c r="BC13" s="256"/>
      <c r="BD13" s="256"/>
      <c r="BE13" s="256"/>
      <c r="BF13" s="255"/>
      <c r="BG13" s="256"/>
      <c r="BH13" s="256"/>
      <c r="BI13" s="256"/>
      <c r="BJ13" s="256"/>
      <c r="BK13" s="257"/>
    </row>
    <row r="14" spans="1:63" s="240" customFormat="1" ht="15" customHeight="1" x14ac:dyDescent="0.25">
      <c r="A14" s="36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8"/>
      <c r="M14" s="258"/>
      <c r="N14" s="258"/>
      <c r="O14" s="258"/>
      <c r="P14" s="258"/>
      <c r="Q14" s="258"/>
      <c r="R14" s="259"/>
      <c r="S14" s="259"/>
      <c r="T14" s="259"/>
      <c r="U14" s="259"/>
      <c r="V14" s="259"/>
      <c r="W14" s="259"/>
      <c r="X14" s="259"/>
      <c r="Y14" s="259"/>
      <c r="Z14" s="259"/>
      <c r="AA14" s="259"/>
      <c r="AB14" s="259"/>
      <c r="AC14" s="259"/>
      <c r="AD14" s="259"/>
      <c r="AE14" s="259"/>
      <c r="AF14" s="259"/>
      <c r="AG14" s="259"/>
      <c r="AH14" s="259"/>
      <c r="AI14" s="259"/>
      <c r="AJ14" s="259"/>
      <c r="AK14" s="259"/>
      <c r="AL14" s="259"/>
      <c r="AM14" s="259"/>
      <c r="AN14" s="259"/>
      <c r="AO14" s="259"/>
      <c r="AP14" s="259"/>
      <c r="AQ14" s="259"/>
      <c r="AR14" s="259"/>
      <c r="AS14" s="259"/>
      <c r="AT14" s="259"/>
      <c r="AU14" s="36"/>
      <c r="AV14" s="37"/>
      <c r="AW14" s="37"/>
      <c r="AX14" s="37"/>
      <c r="AY14" s="37"/>
      <c r="AZ14" s="37"/>
      <c r="BA14" s="37"/>
      <c r="BB14" s="37"/>
      <c r="BC14" s="37"/>
      <c r="BD14" s="37"/>
      <c r="BE14" s="38"/>
      <c r="BF14" s="194"/>
      <c r="BG14" s="195"/>
      <c r="BH14" s="195"/>
      <c r="BI14" s="195"/>
      <c r="BJ14" s="195"/>
      <c r="BK14" s="196"/>
    </row>
    <row r="15" spans="1:63" s="240" customFormat="1" ht="15" customHeight="1" x14ac:dyDescent="0.25">
      <c r="A15" s="39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0"/>
      <c r="M15" s="258"/>
      <c r="N15" s="267" t="s">
        <v>173</v>
      </c>
      <c r="O15" s="258"/>
      <c r="P15" s="258"/>
      <c r="Q15" s="258"/>
      <c r="R15" s="258"/>
      <c r="S15" s="258"/>
      <c r="T15" s="258"/>
      <c r="U15" s="258"/>
      <c r="V15" s="258"/>
      <c r="W15" s="258"/>
      <c r="X15" s="258"/>
      <c r="Y15" s="258"/>
      <c r="Z15" s="258"/>
      <c r="AA15" s="258"/>
      <c r="AB15" s="258"/>
      <c r="AC15" s="258"/>
      <c r="AD15" s="258"/>
      <c r="AE15" s="258"/>
      <c r="AF15" s="258"/>
      <c r="AG15" s="258"/>
      <c r="AH15" s="258"/>
      <c r="AI15" s="258"/>
      <c r="AJ15" s="258"/>
      <c r="AK15" s="258"/>
      <c r="AL15" s="258"/>
      <c r="AM15" s="258"/>
      <c r="AN15" s="258"/>
      <c r="AO15" s="258"/>
      <c r="AP15" s="258"/>
      <c r="AQ15" s="258"/>
      <c r="AR15" s="258"/>
      <c r="AS15" s="258"/>
      <c r="AT15" s="258"/>
      <c r="AU15" s="39"/>
      <c r="AV15" s="47"/>
      <c r="AW15" s="47"/>
      <c r="AX15" s="47"/>
      <c r="AY15" s="47"/>
      <c r="AZ15" s="47"/>
      <c r="BA15" s="47"/>
      <c r="BB15" s="47"/>
      <c r="BC15" s="47"/>
      <c r="BD15" s="47"/>
      <c r="BE15" s="40"/>
      <c r="BF15" s="197"/>
      <c r="BG15" s="198"/>
      <c r="BH15" s="198"/>
      <c r="BI15" s="198"/>
      <c r="BJ15" s="198"/>
      <c r="BK15" s="199"/>
    </row>
    <row r="16" spans="1:63" s="240" customFormat="1" ht="15" customHeight="1" x14ac:dyDescent="0.25">
      <c r="A16" s="39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0"/>
      <c r="M16" s="266"/>
      <c r="N16" s="258"/>
      <c r="O16" s="267"/>
      <c r="P16" s="267"/>
      <c r="Q16" s="267"/>
      <c r="R16" s="267"/>
      <c r="S16" s="267"/>
      <c r="T16" s="267"/>
      <c r="U16" s="267"/>
      <c r="V16" s="267"/>
      <c r="W16" s="267"/>
      <c r="X16" s="267"/>
      <c r="Y16" s="267"/>
      <c r="Z16" s="267"/>
      <c r="AA16" s="267"/>
      <c r="AB16" s="267"/>
      <c r="AC16" s="267"/>
      <c r="AD16" s="267"/>
      <c r="AE16" s="267"/>
      <c r="AF16" s="267"/>
      <c r="AG16" s="267"/>
      <c r="AH16" s="267"/>
      <c r="AI16" s="267"/>
      <c r="AJ16" s="258"/>
      <c r="AK16" s="258"/>
      <c r="AL16" s="258"/>
      <c r="AM16" s="258"/>
      <c r="AN16" s="258"/>
      <c r="AO16" s="258"/>
      <c r="AP16" s="258"/>
      <c r="AQ16" s="258"/>
      <c r="AR16" s="258"/>
      <c r="AS16" s="258"/>
      <c r="AT16" s="258"/>
      <c r="AU16" s="39"/>
      <c r="AV16" s="47"/>
      <c r="AW16" s="47"/>
      <c r="AX16" s="47"/>
      <c r="AY16" s="47"/>
      <c r="AZ16" s="47"/>
      <c r="BA16" s="47"/>
      <c r="BB16" s="47"/>
      <c r="BC16" s="47"/>
      <c r="BD16" s="47"/>
      <c r="BE16" s="40"/>
      <c r="BF16" s="197"/>
      <c r="BG16" s="198"/>
      <c r="BH16" s="198"/>
      <c r="BI16" s="198"/>
      <c r="BJ16" s="198"/>
      <c r="BK16" s="199"/>
    </row>
    <row r="17" spans="1:63" s="240" customFormat="1" ht="15" customHeight="1" x14ac:dyDescent="0.25">
      <c r="A17" s="39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0"/>
      <c r="M17" s="258"/>
      <c r="O17" s="267"/>
      <c r="P17" s="267"/>
      <c r="Q17" s="267"/>
      <c r="R17" s="267"/>
      <c r="S17" s="267"/>
      <c r="T17" s="267"/>
      <c r="U17" s="267"/>
      <c r="V17" s="267"/>
      <c r="W17" s="267"/>
      <c r="X17" s="267"/>
      <c r="Y17" s="267"/>
      <c r="Z17" s="267"/>
      <c r="AA17" s="267"/>
      <c r="AB17" s="267"/>
      <c r="AC17" s="267"/>
      <c r="AD17" s="267"/>
      <c r="AE17" s="267"/>
      <c r="AF17" s="267"/>
      <c r="AG17" s="267"/>
      <c r="AH17" s="267"/>
      <c r="AI17" s="267"/>
      <c r="AJ17" s="258"/>
      <c r="AK17" s="258"/>
      <c r="AL17" s="258"/>
      <c r="AM17" s="258"/>
      <c r="AN17" s="258"/>
      <c r="AO17" s="258"/>
      <c r="AP17" s="258"/>
      <c r="AQ17" s="258"/>
      <c r="AR17" s="258"/>
      <c r="AS17" s="258"/>
      <c r="AT17" s="258"/>
      <c r="AU17" s="39"/>
      <c r="AV17" s="47"/>
      <c r="AW17" s="47"/>
      <c r="AX17" s="47"/>
      <c r="AY17" s="47"/>
      <c r="AZ17" s="47"/>
      <c r="BA17" s="47"/>
      <c r="BB17" s="47"/>
      <c r="BC17" s="47"/>
      <c r="BD17" s="47"/>
      <c r="BE17" s="40"/>
      <c r="BF17" s="197"/>
      <c r="BG17" s="198"/>
      <c r="BH17" s="198"/>
      <c r="BI17" s="198"/>
      <c r="BJ17" s="198"/>
      <c r="BK17" s="199"/>
    </row>
    <row r="18" spans="1:63" s="240" customFormat="1" ht="15" customHeight="1" x14ac:dyDescent="0.25">
      <c r="A18" s="39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0"/>
      <c r="M18" s="258"/>
      <c r="N18" s="258"/>
      <c r="O18" s="267"/>
      <c r="P18" s="267"/>
      <c r="Q18" s="267"/>
      <c r="R18" s="267"/>
      <c r="S18" s="267"/>
      <c r="T18" s="267"/>
      <c r="U18" s="267"/>
      <c r="V18" s="267"/>
      <c r="W18" s="267"/>
      <c r="X18" s="267"/>
      <c r="Y18" s="267"/>
      <c r="Z18" s="267"/>
      <c r="AA18" s="267"/>
      <c r="AB18" s="267"/>
      <c r="AC18" s="267"/>
      <c r="AD18" s="267"/>
      <c r="AE18" s="267"/>
      <c r="AF18" s="267"/>
      <c r="AG18" s="267"/>
      <c r="AH18" s="267"/>
      <c r="AI18" s="267"/>
      <c r="AJ18" s="258"/>
      <c r="AK18" s="258"/>
      <c r="AL18" s="258"/>
      <c r="AM18" s="258"/>
      <c r="AN18" s="258"/>
      <c r="AO18" s="258"/>
      <c r="AP18" s="258"/>
      <c r="AQ18" s="258"/>
      <c r="AR18" s="258"/>
      <c r="AS18" s="258"/>
      <c r="AT18" s="258"/>
      <c r="AU18" s="39"/>
      <c r="AV18" s="47"/>
      <c r="AW18" s="47"/>
      <c r="AX18" s="47"/>
      <c r="AY18" s="47"/>
      <c r="AZ18" s="47"/>
      <c r="BA18" s="47"/>
      <c r="BB18" s="47"/>
      <c r="BC18" s="47"/>
      <c r="BD18" s="47"/>
      <c r="BE18" s="40"/>
      <c r="BF18" s="197"/>
      <c r="BG18" s="198"/>
      <c r="BH18" s="198"/>
      <c r="BI18" s="198"/>
      <c r="BJ18" s="198"/>
      <c r="BK18" s="199"/>
    </row>
    <row r="19" spans="1:63" s="240" customFormat="1" ht="15" customHeight="1" x14ac:dyDescent="0.25">
      <c r="A19" s="39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0"/>
      <c r="M19" s="258"/>
      <c r="N19" s="258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  <c r="AA19" s="267"/>
      <c r="AB19" s="267"/>
      <c r="AC19" s="267"/>
      <c r="AD19" s="267"/>
      <c r="AE19" s="267"/>
      <c r="AF19" s="267"/>
      <c r="AG19" s="267"/>
      <c r="AH19" s="267"/>
      <c r="AI19" s="267"/>
      <c r="AJ19" s="258"/>
      <c r="AK19" s="258"/>
      <c r="AL19" s="258"/>
      <c r="AM19" s="258"/>
      <c r="AN19" s="258"/>
      <c r="AO19" s="258"/>
      <c r="AP19" s="258"/>
      <c r="AQ19" s="258"/>
      <c r="AR19" s="258"/>
      <c r="AS19" s="258"/>
      <c r="AT19" s="258"/>
      <c r="AU19" s="39"/>
      <c r="AV19" s="47"/>
      <c r="AW19" s="47"/>
      <c r="AX19" s="47"/>
      <c r="AY19" s="47"/>
      <c r="AZ19" s="47"/>
      <c r="BA19" s="47"/>
      <c r="BB19" s="47"/>
      <c r="BC19" s="47"/>
      <c r="BD19" s="47"/>
      <c r="BE19" s="40"/>
      <c r="BF19" s="197"/>
      <c r="BG19" s="198"/>
      <c r="BH19" s="198"/>
      <c r="BI19" s="198"/>
      <c r="BJ19" s="198"/>
      <c r="BK19" s="199"/>
    </row>
    <row r="20" spans="1:63" s="240" customFormat="1" ht="15" customHeight="1" x14ac:dyDescent="0.25">
      <c r="A20" s="39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0"/>
      <c r="M20" s="258"/>
      <c r="N20" s="258"/>
      <c r="O20" s="267"/>
      <c r="P20" s="267"/>
      <c r="Q20" s="267"/>
      <c r="R20" s="267"/>
      <c r="S20" s="267"/>
      <c r="T20" s="267"/>
      <c r="U20" s="267"/>
      <c r="V20" s="267"/>
      <c r="W20" s="267"/>
      <c r="X20" s="267"/>
      <c r="Y20" s="267"/>
      <c r="Z20" s="267"/>
      <c r="AA20" s="267"/>
      <c r="AB20" s="267"/>
      <c r="AC20" s="267"/>
      <c r="AD20" s="267"/>
      <c r="AE20" s="267"/>
      <c r="AF20" s="267"/>
      <c r="AG20" s="267"/>
      <c r="AH20" s="267"/>
      <c r="AI20" s="267"/>
      <c r="AJ20" s="258"/>
      <c r="AK20" s="258"/>
      <c r="AL20" s="258"/>
      <c r="AM20" s="258"/>
      <c r="AN20" s="258"/>
      <c r="AO20" s="258"/>
      <c r="AP20" s="258"/>
      <c r="AQ20" s="258"/>
      <c r="AR20" s="258"/>
      <c r="AS20" s="258"/>
      <c r="AT20" s="258"/>
      <c r="AU20" s="39"/>
      <c r="AV20" s="47"/>
      <c r="AW20" s="47"/>
      <c r="AX20" s="47"/>
      <c r="AY20" s="47"/>
      <c r="AZ20" s="47"/>
      <c r="BA20" s="47"/>
      <c r="BB20" s="47"/>
      <c r="BC20" s="47"/>
      <c r="BD20" s="47"/>
      <c r="BE20" s="40"/>
      <c r="BF20" s="197"/>
      <c r="BG20" s="198"/>
      <c r="BH20" s="198"/>
      <c r="BI20" s="198"/>
      <c r="BJ20" s="198"/>
      <c r="BK20" s="199"/>
    </row>
    <row r="21" spans="1:63" s="240" customFormat="1" ht="15" customHeight="1" x14ac:dyDescent="0.25">
      <c r="A21" s="39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0"/>
      <c r="M21" s="258"/>
      <c r="N21" s="258"/>
      <c r="O21" s="267"/>
      <c r="P21" s="267"/>
      <c r="Q21" s="267"/>
      <c r="R21" s="267"/>
      <c r="S21" s="267"/>
      <c r="T21" s="267"/>
      <c r="U21" s="267"/>
      <c r="V21" s="267"/>
      <c r="W21" s="267"/>
      <c r="X21" s="267"/>
      <c r="Y21" s="267"/>
      <c r="Z21" s="267"/>
      <c r="AA21" s="267"/>
      <c r="AB21" s="267"/>
      <c r="AC21" s="267"/>
      <c r="AD21" s="267"/>
      <c r="AE21" s="267"/>
      <c r="AF21" s="267"/>
      <c r="AG21" s="267"/>
      <c r="AH21" s="267"/>
      <c r="AI21" s="267"/>
      <c r="AJ21" s="258"/>
      <c r="AK21" s="258"/>
      <c r="AL21" s="258"/>
      <c r="AM21" s="258"/>
      <c r="AN21" s="258"/>
      <c r="AO21" s="258"/>
      <c r="AP21" s="258"/>
      <c r="AQ21" s="258"/>
      <c r="AR21" s="258"/>
      <c r="AS21" s="258"/>
      <c r="AT21" s="258"/>
      <c r="AU21" s="39"/>
      <c r="AV21" s="47"/>
      <c r="AW21" s="47"/>
      <c r="AX21" s="47"/>
      <c r="AY21" s="47"/>
      <c r="AZ21" s="47"/>
      <c r="BA21" s="47"/>
      <c r="BB21" s="47"/>
      <c r="BC21" s="47"/>
      <c r="BD21" s="47"/>
      <c r="BE21" s="40"/>
      <c r="BF21" s="197"/>
      <c r="BG21" s="198"/>
      <c r="BH21" s="198"/>
      <c r="BI21" s="198"/>
      <c r="BJ21" s="198"/>
      <c r="BK21" s="199"/>
    </row>
    <row r="22" spans="1:63" s="240" customFormat="1" ht="15" customHeight="1" x14ac:dyDescent="0.25">
      <c r="A22" s="39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0"/>
      <c r="M22" s="258"/>
      <c r="N22" s="258"/>
      <c r="O22" s="267"/>
      <c r="P22" s="267"/>
      <c r="Q22" s="267"/>
      <c r="R22" s="48"/>
      <c r="S22" s="267"/>
      <c r="T22" s="267"/>
      <c r="U22" s="267"/>
      <c r="V22" s="267"/>
      <c r="W22" s="267"/>
      <c r="X22" s="267"/>
      <c r="Y22" s="267"/>
      <c r="Z22" s="267"/>
      <c r="AA22" s="267"/>
      <c r="AB22" s="267"/>
      <c r="AC22" s="267"/>
      <c r="AD22" s="267"/>
      <c r="AE22" s="267"/>
      <c r="AF22" s="267"/>
      <c r="AG22" s="267"/>
      <c r="AH22" s="267"/>
      <c r="AI22" s="267"/>
      <c r="AJ22" s="258"/>
      <c r="AK22" s="258"/>
      <c r="AL22" s="258"/>
      <c r="AM22" s="258"/>
      <c r="AN22" s="258"/>
      <c r="AO22" s="258"/>
      <c r="AP22" s="258"/>
      <c r="AQ22" s="258"/>
      <c r="AR22" s="258"/>
      <c r="AS22" s="258"/>
      <c r="AT22" s="258"/>
      <c r="AU22" s="39"/>
      <c r="AV22" s="47"/>
      <c r="AW22" s="47"/>
      <c r="AX22" s="47"/>
      <c r="AY22" s="47"/>
      <c r="AZ22" s="47"/>
      <c r="BA22" s="47"/>
      <c r="BB22" s="47"/>
      <c r="BC22" s="47"/>
      <c r="BD22" s="47"/>
      <c r="BE22" s="40"/>
      <c r="BF22" s="197"/>
      <c r="BG22" s="198"/>
      <c r="BH22" s="198"/>
      <c r="BI22" s="198"/>
      <c r="BJ22" s="198"/>
      <c r="BK22" s="199"/>
    </row>
    <row r="23" spans="1:63" s="240" customFormat="1" ht="15" customHeight="1" x14ac:dyDescent="0.25">
      <c r="A23" s="39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0"/>
      <c r="M23" s="258"/>
      <c r="N23" s="258"/>
      <c r="O23" s="267"/>
      <c r="P23" s="267"/>
      <c r="Q23" s="267"/>
      <c r="R23" s="267"/>
      <c r="S23" s="267"/>
      <c r="T23" s="267"/>
      <c r="U23" s="267"/>
      <c r="V23" s="267"/>
      <c r="W23" s="267"/>
      <c r="X23" s="267"/>
      <c r="Y23" s="267"/>
      <c r="Z23" s="267"/>
      <c r="AA23" s="267"/>
      <c r="AB23" s="267"/>
      <c r="AC23" s="267"/>
      <c r="AD23" s="267"/>
      <c r="AE23" s="267"/>
      <c r="AF23" s="267"/>
      <c r="AG23" s="267"/>
      <c r="AH23" s="267"/>
      <c r="AI23" s="267"/>
      <c r="AJ23" s="258"/>
      <c r="AK23" s="258"/>
      <c r="AL23" s="258"/>
      <c r="AM23" s="258"/>
      <c r="AN23" s="258"/>
      <c r="AO23" s="258"/>
      <c r="AP23" s="258"/>
      <c r="AQ23" s="258"/>
      <c r="AR23" s="258"/>
      <c r="AS23" s="258"/>
      <c r="AT23" s="258"/>
      <c r="AU23" s="39"/>
      <c r="AV23" s="47"/>
      <c r="AW23" s="47"/>
      <c r="AX23" s="47"/>
      <c r="AY23" s="47"/>
      <c r="AZ23" s="47"/>
      <c r="BA23" s="47"/>
      <c r="BB23" s="47"/>
      <c r="BC23" s="47"/>
      <c r="BD23" s="47"/>
      <c r="BE23" s="40"/>
      <c r="BF23" s="197"/>
      <c r="BG23" s="198"/>
      <c r="BH23" s="198"/>
      <c r="BI23" s="198"/>
      <c r="BJ23" s="198"/>
      <c r="BK23" s="199"/>
    </row>
    <row r="24" spans="1:63" s="240" customFormat="1" ht="15" customHeight="1" x14ac:dyDescent="0.25">
      <c r="A24" s="39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0"/>
      <c r="M24" s="258"/>
      <c r="N24" s="258"/>
      <c r="O24" s="267"/>
      <c r="P24" s="267"/>
      <c r="Q24" s="267"/>
      <c r="R24" s="267"/>
      <c r="S24" s="267"/>
      <c r="T24" s="267"/>
      <c r="U24" s="267"/>
      <c r="V24" s="267"/>
      <c r="W24" s="267"/>
      <c r="X24" s="267"/>
      <c r="Y24" s="267"/>
      <c r="Z24" s="267"/>
      <c r="AA24" s="267"/>
      <c r="AB24" s="267"/>
      <c r="AC24" s="267"/>
      <c r="AD24" s="267"/>
      <c r="AE24" s="267"/>
      <c r="AF24" s="267"/>
      <c r="AG24" s="267"/>
      <c r="AH24" s="267"/>
      <c r="AI24" s="267"/>
      <c r="AJ24" s="258"/>
      <c r="AK24" s="258"/>
      <c r="AL24" s="258"/>
      <c r="AM24" s="258"/>
      <c r="AN24" s="258"/>
      <c r="AO24" s="258"/>
      <c r="AP24" s="258"/>
      <c r="AQ24" s="258"/>
      <c r="AR24" s="258"/>
      <c r="AS24" s="258"/>
      <c r="AT24" s="258"/>
      <c r="AU24" s="39"/>
      <c r="AV24" s="47"/>
      <c r="AW24" s="47"/>
      <c r="AX24" s="47"/>
      <c r="AY24" s="47"/>
      <c r="AZ24" s="47"/>
      <c r="BA24" s="47"/>
      <c r="BB24" s="47"/>
      <c r="BC24" s="47"/>
      <c r="BD24" s="47"/>
      <c r="BE24" s="40"/>
      <c r="BF24" s="197"/>
      <c r="BG24" s="198"/>
      <c r="BH24" s="198"/>
      <c r="BI24" s="198"/>
      <c r="BJ24" s="198"/>
      <c r="BK24" s="199"/>
    </row>
    <row r="25" spans="1:63" s="240" customFormat="1" ht="15" customHeight="1" x14ac:dyDescent="0.25">
      <c r="A25" s="39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0"/>
      <c r="M25" s="258"/>
      <c r="N25" s="258"/>
      <c r="O25" s="267"/>
      <c r="P25" s="267"/>
      <c r="Q25" s="267"/>
      <c r="R25" s="267"/>
      <c r="S25" s="267"/>
      <c r="T25" s="267"/>
      <c r="U25" s="267"/>
      <c r="V25" s="267"/>
      <c r="W25" s="267"/>
      <c r="X25" s="267"/>
      <c r="Y25" s="267"/>
      <c r="Z25" s="267"/>
      <c r="AA25" s="267"/>
      <c r="AB25" s="267"/>
      <c r="AC25" s="267"/>
      <c r="AD25" s="267"/>
      <c r="AE25" s="267"/>
      <c r="AF25" s="267"/>
      <c r="AG25" s="267"/>
      <c r="AH25" s="267"/>
      <c r="AI25" s="267"/>
      <c r="AJ25" s="258"/>
      <c r="AK25" s="258"/>
      <c r="AL25" s="258"/>
      <c r="AM25" s="258"/>
      <c r="AN25" s="258"/>
      <c r="AO25" s="258"/>
      <c r="AP25" s="258"/>
      <c r="AQ25" s="258"/>
      <c r="AR25" s="258"/>
      <c r="AS25" s="258"/>
      <c r="AT25" s="258"/>
      <c r="AU25" s="39"/>
      <c r="AV25" s="47"/>
      <c r="AW25" s="47"/>
      <c r="AX25" s="47"/>
      <c r="AY25" s="47"/>
      <c r="AZ25" s="47"/>
      <c r="BA25" s="47"/>
      <c r="BB25" s="47"/>
      <c r="BC25" s="47"/>
      <c r="BD25" s="47"/>
      <c r="BE25" s="40"/>
      <c r="BF25" s="197"/>
      <c r="BG25" s="198"/>
      <c r="BH25" s="198"/>
      <c r="BI25" s="198"/>
      <c r="BJ25" s="198"/>
      <c r="BK25" s="199"/>
    </row>
    <row r="26" spans="1:63" s="240" customFormat="1" ht="15" customHeight="1" x14ac:dyDescent="0.25">
      <c r="A26" s="39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0"/>
      <c r="M26" s="258"/>
      <c r="N26" s="258" t="s">
        <v>174</v>
      </c>
      <c r="O26" s="267"/>
      <c r="P26" s="267"/>
      <c r="Q26" s="267"/>
      <c r="R26" s="267"/>
      <c r="S26" s="267"/>
      <c r="T26" s="267"/>
      <c r="U26" s="267"/>
      <c r="V26" s="267"/>
      <c r="W26" s="267"/>
      <c r="X26" s="267"/>
      <c r="Y26" s="267"/>
      <c r="Z26" s="267"/>
      <c r="AA26" s="267"/>
      <c r="AB26" s="267"/>
      <c r="AC26" s="267"/>
      <c r="AD26" s="267"/>
      <c r="AE26" s="267"/>
      <c r="AF26" s="267"/>
      <c r="AG26" s="267"/>
      <c r="AH26" s="267"/>
      <c r="AI26" s="267"/>
      <c r="AJ26" s="258"/>
      <c r="AK26" s="258"/>
      <c r="AL26" s="258"/>
      <c r="AM26" s="258"/>
      <c r="AN26" s="258"/>
      <c r="AO26" s="258"/>
      <c r="AP26" s="258"/>
      <c r="AQ26" s="258"/>
      <c r="AR26" s="258"/>
      <c r="AS26" s="258"/>
      <c r="AT26" s="258"/>
      <c r="AU26" s="39"/>
      <c r="AV26" s="47"/>
      <c r="AW26" s="47"/>
      <c r="AX26" s="47"/>
      <c r="AY26" s="47"/>
      <c r="AZ26" s="47"/>
      <c r="BA26" s="47"/>
      <c r="BB26" s="47"/>
      <c r="BC26" s="47"/>
      <c r="BD26" s="47"/>
      <c r="BE26" s="40"/>
      <c r="BF26" s="197"/>
      <c r="BG26" s="198"/>
      <c r="BH26" s="198"/>
      <c r="BI26" s="198"/>
      <c r="BJ26" s="198"/>
      <c r="BK26" s="199"/>
    </row>
    <row r="27" spans="1:63" s="240" customFormat="1" ht="15" customHeight="1" x14ac:dyDescent="0.25">
      <c r="A27" s="39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0"/>
      <c r="M27" s="258"/>
      <c r="N27" s="258"/>
      <c r="O27" s="267"/>
      <c r="P27" s="267"/>
      <c r="Q27" s="267"/>
      <c r="R27" s="267"/>
      <c r="S27" s="267"/>
      <c r="T27" s="267"/>
      <c r="U27" s="267"/>
      <c r="V27" s="267"/>
      <c r="W27" s="267"/>
      <c r="X27" s="267"/>
      <c r="Y27" s="267"/>
      <c r="Z27" s="267"/>
      <c r="AA27" s="267"/>
      <c r="AB27" s="267"/>
      <c r="AC27" s="267"/>
      <c r="AD27" s="267"/>
      <c r="AE27" s="267"/>
      <c r="AF27" s="267"/>
      <c r="AG27" s="267"/>
      <c r="AH27" s="267"/>
      <c r="AI27" s="267"/>
      <c r="AJ27" s="258"/>
      <c r="AK27" s="258"/>
      <c r="AL27" s="258"/>
      <c r="AM27" s="258"/>
      <c r="AN27" s="258"/>
      <c r="AO27" s="258"/>
      <c r="AP27" s="258"/>
      <c r="AQ27" s="258"/>
      <c r="AR27" s="258"/>
      <c r="AS27" s="258"/>
      <c r="AT27" s="258"/>
      <c r="AU27" s="39"/>
      <c r="AV27" s="47"/>
      <c r="AW27" s="47"/>
      <c r="AX27" s="47"/>
      <c r="AY27" s="47"/>
      <c r="AZ27" s="47"/>
      <c r="BA27" s="47"/>
      <c r="BB27" s="47"/>
      <c r="BC27" s="47"/>
      <c r="BD27" s="47"/>
      <c r="BE27" s="40"/>
      <c r="BF27" s="197"/>
      <c r="BG27" s="198"/>
      <c r="BH27" s="198"/>
      <c r="BI27" s="198"/>
      <c r="BJ27" s="198"/>
      <c r="BK27" s="199"/>
    </row>
    <row r="28" spans="1:63" s="240" customFormat="1" ht="15" customHeight="1" x14ac:dyDescent="0.25">
      <c r="A28" s="39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0"/>
      <c r="M28" s="258"/>
      <c r="N28" s="258"/>
      <c r="O28" s="267"/>
      <c r="P28" s="267"/>
      <c r="Q28" s="267"/>
      <c r="R28" s="267"/>
      <c r="S28" s="267"/>
      <c r="T28" s="267"/>
      <c r="U28" s="267"/>
      <c r="V28" s="267"/>
      <c r="W28" s="267"/>
      <c r="X28" s="267"/>
      <c r="Y28" s="267"/>
      <c r="Z28" s="267"/>
      <c r="AA28" s="267"/>
      <c r="AB28" s="267"/>
      <c r="AC28" s="267"/>
      <c r="AD28" s="267"/>
      <c r="AE28" s="267"/>
      <c r="AF28" s="267"/>
      <c r="AG28" s="267"/>
      <c r="AH28" s="267"/>
      <c r="AI28" s="267"/>
      <c r="AJ28" s="258"/>
      <c r="AK28" s="258"/>
      <c r="AL28" s="258"/>
      <c r="AM28" s="258"/>
      <c r="AN28" s="258"/>
      <c r="AO28" s="258"/>
      <c r="AP28" s="258"/>
      <c r="AQ28" s="258"/>
      <c r="AR28" s="258"/>
      <c r="AS28" s="258"/>
      <c r="AT28" s="258"/>
      <c r="AU28" s="39"/>
      <c r="AV28" s="47"/>
      <c r="AW28" s="47"/>
      <c r="AX28" s="47"/>
      <c r="AY28" s="47"/>
      <c r="AZ28" s="47"/>
      <c r="BA28" s="47"/>
      <c r="BB28" s="47"/>
      <c r="BC28" s="47"/>
      <c r="BD28" s="47"/>
      <c r="BE28" s="40"/>
      <c r="BF28" s="197"/>
      <c r="BG28" s="198"/>
      <c r="BH28" s="198"/>
      <c r="BI28" s="198"/>
      <c r="BJ28" s="198"/>
      <c r="BK28" s="199"/>
    </row>
    <row r="29" spans="1:63" s="240" customFormat="1" ht="15" customHeight="1" x14ac:dyDescent="0.25">
      <c r="A29" s="39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0"/>
      <c r="M29" s="258"/>
      <c r="N29" s="258"/>
      <c r="O29" s="267"/>
      <c r="P29" s="267"/>
      <c r="Q29" s="267"/>
      <c r="R29" s="267"/>
      <c r="S29" s="267"/>
      <c r="T29" s="267"/>
      <c r="U29" s="267"/>
      <c r="V29" s="267"/>
      <c r="W29" s="267"/>
      <c r="X29" s="267"/>
      <c r="Y29" s="267"/>
      <c r="Z29" s="267"/>
      <c r="AA29" s="267"/>
      <c r="AB29" s="267"/>
      <c r="AC29" s="267"/>
      <c r="AD29" s="267"/>
      <c r="AE29" s="267"/>
      <c r="AF29" s="267"/>
      <c r="AG29" s="267"/>
      <c r="AH29" s="267"/>
      <c r="AI29" s="267"/>
      <c r="AJ29" s="258"/>
      <c r="AK29" s="258"/>
      <c r="AL29" s="258"/>
      <c r="AM29" s="258"/>
      <c r="AN29" s="258"/>
      <c r="AO29" s="258"/>
      <c r="AP29" s="258"/>
      <c r="AQ29" s="258"/>
      <c r="AR29" s="258"/>
      <c r="AS29" s="258"/>
      <c r="AT29" s="258"/>
      <c r="AU29" s="39"/>
      <c r="AV29" s="47"/>
      <c r="AW29" s="47"/>
      <c r="AX29" s="47"/>
      <c r="AY29" s="47"/>
      <c r="AZ29" s="47"/>
      <c r="BA29" s="47"/>
      <c r="BB29" s="47"/>
      <c r="BC29" s="47"/>
      <c r="BD29" s="47"/>
      <c r="BE29" s="40"/>
      <c r="BF29" s="197"/>
      <c r="BG29" s="198"/>
      <c r="BH29" s="198"/>
      <c r="BI29" s="198"/>
      <c r="BJ29" s="198"/>
      <c r="BK29" s="199"/>
    </row>
    <row r="30" spans="1:63" s="240" customFormat="1" ht="15" customHeight="1" x14ac:dyDescent="0.25">
      <c r="A30" s="39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0"/>
      <c r="M30" s="258"/>
      <c r="N30" s="258"/>
      <c r="O30" s="267"/>
      <c r="P30" s="267"/>
      <c r="Q30" s="267"/>
      <c r="R30" s="267"/>
      <c r="S30" s="267"/>
      <c r="T30" s="267"/>
      <c r="U30" s="267"/>
      <c r="V30" s="267"/>
      <c r="W30" s="267"/>
      <c r="X30" s="267"/>
      <c r="Y30" s="267"/>
      <c r="Z30" s="267"/>
      <c r="AA30" s="267"/>
      <c r="AB30" s="267"/>
      <c r="AC30" s="267"/>
      <c r="AD30" s="267"/>
      <c r="AE30" s="267"/>
      <c r="AF30" s="267"/>
      <c r="AG30" s="267"/>
      <c r="AH30" s="267"/>
      <c r="AI30" s="267"/>
      <c r="AJ30" s="258"/>
      <c r="AK30" s="258"/>
      <c r="AL30" s="258"/>
      <c r="AM30" s="258"/>
      <c r="AN30" s="258"/>
      <c r="AO30" s="258"/>
      <c r="AP30" s="258"/>
      <c r="AQ30" s="258"/>
      <c r="AR30" s="258"/>
      <c r="AS30" s="258"/>
      <c r="AT30" s="258"/>
      <c r="AU30" s="39"/>
      <c r="AV30" s="47"/>
      <c r="AW30" s="47"/>
      <c r="AX30" s="47"/>
      <c r="AY30" s="47"/>
      <c r="AZ30" s="47"/>
      <c r="BA30" s="47"/>
      <c r="BB30" s="47"/>
      <c r="BC30" s="47"/>
      <c r="BD30" s="47"/>
      <c r="BE30" s="40"/>
      <c r="BF30" s="197"/>
      <c r="BG30" s="198"/>
      <c r="BH30" s="198"/>
      <c r="BI30" s="198"/>
      <c r="BJ30" s="198"/>
      <c r="BK30" s="199"/>
    </row>
    <row r="31" spans="1:63" s="240" customFormat="1" ht="15" customHeight="1" x14ac:dyDescent="0.25">
      <c r="A31" s="39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0"/>
      <c r="M31" s="258"/>
      <c r="N31" s="258"/>
      <c r="O31" s="267"/>
      <c r="P31" s="267"/>
      <c r="Q31" s="267"/>
      <c r="R31" s="49"/>
      <c r="S31" s="49"/>
      <c r="T31" s="258"/>
      <c r="U31" s="267"/>
      <c r="V31" s="267"/>
      <c r="W31" s="267"/>
      <c r="X31" s="267"/>
      <c r="Y31" s="267"/>
      <c r="Z31" s="267"/>
      <c r="AA31" s="267"/>
      <c r="AB31" s="267"/>
      <c r="AC31" s="267"/>
      <c r="AD31" s="267"/>
      <c r="AE31" s="267"/>
      <c r="AF31" s="267"/>
      <c r="AG31" s="267"/>
      <c r="AH31" s="267"/>
      <c r="AI31" s="267"/>
      <c r="AJ31" s="258"/>
      <c r="AK31" s="258"/>
      <c r="AL31" s="258"/>
      <c r="AM31" s="258"/>
      <c r="AN31" s="258"/>
      <c r="AO31" s="258"/>
      <c r="AP31" s="258"/>
      <c r="AQ31" s="258"/>
      <c r="AR31" s="258"/>
      <c r="AS31" s="258"/>
      <c r="AT31" s="258"/>
      <c r="AU31" s="39"/>
      <c r="AV31" s="47"/>
      <c r="AW31" s="47"/>
      <c r="AX31" s="47"/>
      <c r="AY31" s="47"/>
      <c r="AZ31" s="47"/>
      <c r="BA31" s="47"/>
      <c r="BB31" s="47"/>
      <c r="BC31" s="47"/>
      <c r="BD31" s="47"/>
      <c r="BE31" s="40"/>
      <c r="BF31" s="197"/>
      <c r="BG31" s="198"/>
      <c r="BH31" s="198"/>
      <c r="BI31" s="198"/>
      <c r="BJ31" s="198"/>
      <c r="BK31" s="199"/>
    </row>
    <row r="32" spans="1:63" s="240" customFormat="1" ht="15" customHeight="1" x14ac:dyDescent="0.25">
      <c r="A32" s="39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0"/>
      <c r="M32" s="258"/>
      <c r="N32" s="258"/>
      <c r="O32" s="267"/>
      <c r="P32" s="267"/>
      <c r="Q32" s="267"/>
      <c r="R32" s="49"/>
      <c r="S32" s="49"/>
      <c r="T32" s="258"/>
      <c r="U32" s="267"/>
      <c r="V32" s="267"/>
      <c r="W32" s="267"/>
      <c r="X32" s="267"/>
      <c r="Y32" s="267"/>
      <c r="Z32" s="267"/>
      <c r="AA32" s="267"/>
      <c r="AB32" s="267"/>
      <c r="AC32" s="267"/>
      <c r="AD32" s="267"/>
      <c r="AE32" s="267"/>
      <c r="AF32" s="267"/>
      <c r="AG32" s="267"/>
      <c r="AH32" s="267"/>
      <c r="AI32" s="267"/>
      <c r="AJ32" s="258"/>
      <c r="AK32" s="258"/>
      <c r="AL32" s="258"/>
      <c r="AM32" s="258"/>
      <c r="AN32" s="258"/>
      <c r="AO32" s="258"/>
      <c r="AP32" s="258"/>
      <c r="AQ32" s="258"/>
      <c r="AR32" s="258"/>
      <c r="AS32" s="258"/>
      <c r="AT32" s="258"/>
      <c r="AU32" s="39"/>
      <c r="AV32" s="47"/>
      <c r="AW32" s="47"/>
      <c r="AX32" s="47"/>
      <c r="AY32" s="47"/>
      <c r="AZ32" s="47"/>
      <c r="BA32" s="47"/>
      <c r="BB32" s="47"/>
      <c r="BC32" s="47"/>
      <c r="BD32" s="47"/>
      <c r="BE32" s="40"/>
      <c r="BF32" s="197"/>
      <c r="BG32" s="198"/>
      <c r="BH32" s="198"/>
      <c r="BI32" s="198"/>
      <c r="BJ32" s="198"/>
      <c r="BK32" s="199"/>
    </row>
    <row r="33" spans="1:63" s="240" customFormat="1" ht="15" customHeight="1" x14ac:dyDescent="0.25">
      <c r="A33" s="39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0"/>
      <c r="M33" s="258"/>
      <c r="N33" s="258"/>
      <c r="O33" s="267"/>
      <c r="P33" s="267"/>
      <c r="Q33" s="267"/>
      <c r="R33" s="258"/>
      <c r="S33" s="49"/>
      <c r="T33" s="258"/>
      <c r="U33" s="267"/>
      <c r="V33" s="267"/>
      <c r="W33" s="267"/>
      <c r="X33" s="267"/>
      <c r="Y33" s="267"/>
      <c r="Z33" s="267"/>
      <c r="AA33" s="267"/>
      <c r="AB33" s="267"/>
      <c r="AC33" s="267"/>
      <c r="AD33" s="267"/>
      <c r="AE33" s="267"/>
      <c r="AF33" s="267"/>
      <c r="AG33" s="267"/>
      <c r="AH33" s="267"/>
      <c r="AI33" s="267"/>
      <c r="AJ33" s="258"/>
      <c r="AK33" s="258"/>
      <c r="AL33" s="258"/>
      <c r="AM33" s="258"/>
      <c r="AN33" s="258"/>
      <c r="AO33" s="258"/>
      <c r="AP33" s="258"/>
      <c r="AQ33" s="258"/>
      <c r="AR33" s="258"/>
      <c r="AS33" s="258"/>
      <c r="AT33" s="258"/>
      <c r="AU33" s="39"/>
      <c r="AV33" s="47"/>
      <c r="AW33" s="47"/>
      <c r="AX33" s="47"/>
      <c r="AY33" s="47"/>
      <c r="AZ33" s="47"/>
      <c r="BA33" s="47"/>
      <c r="BB33" s="47"/>
      <c r="BC33" s="47"/>
      <c r="BD33" s="47"/>
      <c r="BE33" s="40"/>
      <c r="BF33" s="197"/>
      <c r="BG33" s="198"/>
      <c r="BH33" s="198"/>
      <c r="BI33" s="198"/>
      <c r="BJ33" s="198"/>
      <c r="BK33" s="199"/>
    </row>
    <row r="34" spans="1:63" s="240" customFormat="1" ht="15" customHeight="1" x14ac:dyDescent="0.25">
      <c r="A34" s="39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0"/>
      <c r="M34" s="258"/>
      <c r="N34" s="258"/>
      <c r="O34" s="267"/>
      <c r="P34" s="267"/>
      <c r="Q34" s="267"/>
      <c r="R34" s="258"/>
      <c r="S34" s="49"/>
      <c r="T34" s="258"/>
      <c r="U34" s="267"/>
      <c r="V34" s="267"/>
      <c r="W34" s="267"/>
      <c r="X34" s="267"/>
      <c r="Y34" s="267"/>
      <c r="Z34" s="267"/>
      <c r="AA34" s="267"/>
      <c r="AB34" s="267"/>
      <c r="AC34" s="267"/>
      <c r="AD34" s="267"/>
      <c r="AE34" s="267"/>
      <c r="AF34" s="267"/>
      <c r="AG34" s="267"/>
      <c r="AH34" s="267"/>
      <c r="AI34" s="267"/>
      <c r="AJ34" s="258"/>
      <c r="AK34" s="258"/>
      <c r="AL34" s="258"/>
      <c r="AM34" s="258"/>
      <c r="AN34" s="258"/>
      <c r="AO34" s="258"/>
      <c r="AP34" s="258"/>
      <c r="AQ34" s="258"/>
      <c r="AR34" s="258"/>
      <c r="AS34" s="258"/>
      <c r="AT34" s="258"/>
      <c r="AU34" s="39"/>
      <c r="AV34" s="47"/>
      <c r="AW34" s="47"/>
      <c r="AX34" s="47"/>
      <c r="AY34" s="47"/>
      <c r="AZ34" s="47"/>
      <c r="BA34" s="47"/>
      <c r="BB34" s="47"/>
      <c r="BC34" s="47"/>
      <c r="BD34" s="47"/>
      <c r="BE34" s="40"/>
      <c r="BF34" s="197"/>
      <c r="BG34" s="198"/>
      <c r="BH34" s="198"/>
      <c r="BI34" s="198"/>
      <c r="BJ34" s="198"/>
      <c r="BK34" s="199"/>
    </row>
    <row r="35" spans="1:63" s="240" customFormat="1" ht="15" customHeight="1" x14ac:dyDescent="0.25">
      <c r="A35" s="39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0"/>
      <c r="M35" s="258"/>
      <c r="N35" s="258"/>
      <c r="O35" s="267"/>
      <c r="P35" s="267"/>
      <c r="Q35" s="267"/>
      <c r="R35" s="258"/>
      <c r="S35" s="49"/>
      <c r="T35" s="258"/>
      <c r="U35" s="267"/>
      <c r="V35" s="267"/>
      <c r="W35" s="267"/>
      <c r="X35" s="267"/>
      <c r="Y35" s="267"/>
      <c r="Z35" s="267"/>
      <c r="AA35" s="267"/>
      <c r="AB35" s="267"/>
      <c r="AC35" s="267"/>
      <c r="AD35" s="267"/>
      <c r="AE35" s="267"/>
      <c r="AF35" s="267"/>
      <c r="AG35" s="267"/>
      <c r="AH35" s="267"/>
      <c r="AI35" s="267"/>
      <c r="AJ35" s="258"/>
      <c r="AK35" s="258"/>
      <c r="AL35" s="258"/>
      <c r="AM35" s="258"/>
      <c r="AN35" s="258"/>
      <c r="AO35" s="258"/>
      <c r="AP35" s="258"/>
      <c r="AQ35" s="258"/>
      <c r="AR35" s="258"/>
      <c r="AS35" s="258"/>
      <c r="AT35" s="258"/>
      <c r="AU35" s="39"/>
      <c r="AV35" s="47"/>
      <c r="AW35" s="47"/>
      <c r="AX35" s="47"/>
      <c r="AY35" s="47"/>
      <c r="AZ35" s="47"/>
      <c r="BA35" s="47"/>
      <c r="BB35" s="47"/>
      <c r="BC35" s="47"/>
      <c r="BD35" s="47"/>
      <c r="BE35" s="40"/>
      <c r="BF35" s="197"/>
      <c r="BG35" s="198"/>
      <c r="BH35" s="198"/>
      <c r="BI35" s="198"/>
      <c r="BJ35" s="198"/>
      <c r="BK35" s="199"/>
    </row>
    <row r="36" spans="1:63" s="240" customFormat="1" ht="15" customHeight="1" x14ac:dyDescent="0.25">
      <c r="A36" s="39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0"/>
      <c r="M36" s="258"/>
      <c r="N36" s="258"/>
      <c r="O36" s="267"/>
      <c r="P36" s="267"/>
      <c r="R36" s="49"/>
      <c r="S36" s="49"/>
      <c r="T36" s="258"/>
      <c r="U36" s="267"/>
      <c r="V36" s="267"/>
      <c r="W36" s="267"/>
      <c r="X36" s="267"/>
      <c r="Y36" s="267"/>
      <c r="Z36" s="267"/>
      <c r="AA36" s="267"/>
      <c r="AB36" s="267"/>
      <c r="AC36" s="267"/>
      <c r="AD36" s="267"/>
      <c r="AE36" s="267"/>
      <c r="AF36" s="267"/>
      <c r="AG36" s="267"/>
      <c r="AH36" s="267"/>
      <c r="AI36" s="267"/>
      <c r="AJ36" s="258"/>
      <c r="AK36" s="258"/>
      <c r="AL36" s="258"/>
      <c r="AM36" s="258"/>
      <c r="AN36" s="258"/>
      <c r="AO36" s="258"/>
      <c r="AP36" s="258"/>
      <c r="AQ36" s="258"/>
      <c r="AR36" s="258"/>
      <c r="AS36" s="258"/>
      <c r="AT36" s="258"/>
      <c r="AU36" s="39"/>
      <c r="AV36" s="47"/>
      <c r="AW36" s="47"/>
      <c r="AX36" s="47"/>
      <c r="AY36" s="47"/>
      <c r="AZ36" s="47"/>
      <c r="BA36" s="47"/>
      <c r="BB36" s="47"/>
      <c r="BC36" s="47"/>
      <c r="BD36" s="47"/>
      <c r="BE36" s="40"/>
      <c r="BF36" s="197"/>
      <c r="BG36" s="198"/>
      <c r="BH36" s="198"/>
      <c r="BI36" s="198"/>
      <c r="BJ36" s="198"/>
      <c r="BK36" s="199"/>
    </row>
    <row r="37" spans="1:63" s="240" customFormat="1" ht="15" customHeight="1" x14ac:dyDescent="0.25">
      <c r="A37" s="39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0"/>
      <c r="M37" s="258"/>
      <c r="N37" s="258"/>
      <c r="O37" s="267"/>
      <c r="P37" s="267"/>
      <c r="Q37" s="267"/>
      <c r="R37" s="267"/>
      <c r="S37" s="267"/>
      <c r="T37" s="267"/>
      <c r="U37" s="267"/>
      <c r="V37" s="267"/>
      <c r="W37" s="267"/>
      <c r="X37" s="267"/>
      <c r="Y37" s="267"/>
      <c r="Z37" s="267"/>
      <c r="AA37" s="267"/>
      <c r="AB37" s="267"/>
      <c r="AC37" s="267"/>
      <c r="AD37" s="267"/>
      <c r="AE37" s="267"/>
      <c r="AF37" s="267"/>
      <c r="AG37" s="267"/>
      <c r="AH37" s="267"/>
      <c r="AI37" s="267"/>
      <c r="AJ37" s="258"/>
      <c r="AK37" s="258"/>
      <c r="AL37" s="258"/>
      <c r="AM37" s="258"/>
      <c r="AN37" s="258"/>
      <c r="AO37" s="258"/>
      <c r="AP37" s="258"/>
      <c r="AQ37" s="258"/>
      <c r="AR37" s="258"/>
      <c r="AS37" s="258"/>
      <c r="AT37" s="258"/>
      <c r="AU37" s="39"/>
      <c r="AV37" s="47"/>
      <c r="AW37" s="47"/>
      <c r="AX37" s="47"/>
      <c r="AY37" s="47"/>
      <c r="AZ37" s="47"/>
      <c r="BA37" s="47"/>
      <c r="BB37" s="47"/>
      <c r="BC37" s="47"/>
      <c r="BD37" s="47"/>
      <c r="BE37" s="40"/>
      <c r="BF37" s="197"/>
      <c r="BG37" s="198"/>
      <c r="BH37" s="198"/>
      <c r="BI37" s="198"/>
      <c r="BJ37" s="198"/>
      <c r="BK37" s="199"/>
    </row>
    <row r="38" spans="1:63" s="240" customFormat="1" ht="15" customHeight="1" x14ac:dyDescent="0.25">
      <c r="A38" s="39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0"/>
      <c r="M38" s="258"/>
      <c r="N38" s="258"/>
      <c r="O38" s="267"/>
      <c r="P38" s="267"/>
      <c r="Q38" s="267"/>
      <c r="R38" s="267"/>
      <c r="S38" s="267"/>
      <c r="T38" s="267"/>
      <c r="U38" s="267"/>
      <c r="V38" s="267"/>
      <c r="W38" s="267"/>
      <c r="X38" s="267"/>
      <c r="Y38" s="267"/>
      <c r="Z38" s="267"/>
      <c r="AA38" s="267"/>
      <c r="AB38" s="267"/>
      <c r="AC38" s="267"/>
      <c r="AD38" s="267"/>
      <c r="AE38" s="267"/>
      <c r="AF38" s="267"/>
      <c r="AG38" s="267"/>
      <c r="AH38" s="267"/>
      <c r="AI38" s="267"/>
      <c r="AJ38" s="258"/>
      <c r="AK38" s="258"/>
      <c r="AL38" s="258"/>
      <c r="AM38" s="258"/>
      <c r="AN38" s="258"/>
      <c r="AO38" s="258"/>
      <c r="AP38" s="258"/>
      <c r="AQ38" s="258"/>
      <c r="AR38" s="258"/>
      <c r="AS38" s="258"/>
      <c r="AT38" s="258"/>
      <c r="AU38" s="39"/>
      <c r="AV38" s="47"/>
      <c r="AW38" s="47"/>
      <c r="AX38" s="47"/>
      <c r="AY38" s="47"/>
      <c r="AZ38" s="47"/>
      <c r="BA38" s="47"/>
      <c r="BB38" s="47"/>
      <c r="BC38" s="47"/>
      <c r="BD38" s="47"/>
      <c r="BE38" s="40"/>
      <c r="BF38" s="197"/>
      <c r="BG38" s="198"/>
      <c r="BH38" s="198"/>
      <c r="BI38" s="198"/>
      <c r="BJ38" s="198"/>
      <c r="BK38" s="199"/>
    </row>
    <row r="39" spans="1:63" s="240" customFormat="1" ht="15" customHeight="1" x14ac:dyDescent="0.25">
      <c r="A39" s="39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0"/>
      <c r="M39" s="258"/>
      <c r="N39" s="258"/>
      <c r="O39" s="267"/>
      <c r="P39" s="267"/>
      <c r="Q39" s="267"/>
      <c r="R39" s="267"/>
      <c r="S39" s="267"/>
      <c r="T39" s="267"/>
      <c r="U39" s="267"/>
      <c r="V39" s="267"/>
      <c r="W39" s="267"/>
      <c r="X39" s="267"/>
      <c r="Y39" s="267"/>
      <c r="Z39" s="267"/>
      <c r="AA39" s="267"/>
      <c r="AB39" s="267"/>
      <c r="AC39" s="267"/>
      <c r="AD39" s="267"/>
      <c r="AE39" s="267"/>
      <c r="AF39" s="267"/>
      <c r="AG39" s="267"/>
      <c r="AH39" s="267"/>
      <c r="AI39" s="267"/>
      <c r="AJ39" s="258"/>
      <c r="AK39" s="258"/>
      <c r="AL39" s="258"/>
      <c r="AM39" s="258"/>
      <c r="AN39" s="258"/>
      <c r="AO39" s="258"/>
      <c r="AP39" s="258"/>
      <c r="AQ39" s="258"/>
      <c r="AR39" s="258"/>
      <c r="AS39" s="258"/>
      <c r="AT39" s="258"/>
      <c r="AU39" s="39"/>
      <c r="AV39" s="47"/>
      <c r="AW39" s="47"/>
      <c r="AX39" s="47"/>
      <c r="AY39" s="47"/>
      <c r="AZ39" s="47"/>
      <c r="BA39" s="47"/>
      <c r="BB39" s="47"/>
      <c r="BC39" s="47"/>
      <c r="BD39" s="47"/>
      <c r="BE39" s="40"/>
      <c r="BF39" s="197"/>
      <c r="BG39" s="198"/>
      <c r="BH39" s="198"/>
      <c r="BI39" s="198"/>
      <c r="BJ39" s="198"/>
      <c r="BK39" s="199"/>
    </row>
    <row r="40" spans="1:63" s="240" customFormat="1" ht="15" customHeight="1" x14ac:dyDescent="0.25">
      <c r="A40" s="39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0"/>
      <c r="M40" s="258"/>
      <c r="N40" s="258"/>
      <c r="O40" s="267"/>
      <c r="P40" s="267"/>
      <c r="Q40" s="267"/>
      <c r="S40" s="267"/>
      <c r="T40" s="267"/>
      <c r="U40" s="267"/>
      <c r="V40" s="267"/>
      <c r="W40" s="267"/>
      <c r="X40" s="267"/>
      <c r="Y40" s="267"/>
      <c r="Z40" s="267"/>
      <c r="AA40" s="267"/>
      <c r="AB40" s="267"/>
      <c r="AC40" s="267"/>
      <c r="AD40" s="267"/>
      <c r="AE40" s="267"/>
      <c r="AF40" s="267"/>
      <c r="AG40" s="267"/>
      <c r="AH40" s="267"/>
      <c r="AI40" s="267"/>
      <c r="AJ40" s="258"/>
      <c r="AK40" s="258"/>
      <c r="AL40" s="258"/>
      <c r="AM40" s="258"/>
      <c r="AN40" s="258"/>
      <c r="AO40" s="258"/>
      <c r="AP40" s="258"/>
      <c r="AQ40" s="258"/>
      <c r="AR40" s="258"/>
      <c r="AS40" s="258"/>
      <c r="AT40" s="258"/>
      <c r="AU40" s="39"/>
      <c r="AV40" s="47"/>
      <c r="AW40" s="47"/>
      <c r="AX40" s="47"/>
      <c r="AY40" s="47"/>
      <c r="AZ40" s="47"/>
      <c r="BA40" s="47"/>
      <c r="BB40" s="47"/>
      <c r="BC40" s="47"/>
      <c r="BD40" s="47"/>
      <c r="BE40" s="40"/>
      <c r="BF40" s="197"/>
      <c r="BG40" s="198"/>
      <c r="BH40" s="198"/>
      <c r="BI40" s="198"/>
      <c r="BJ40" s="198"/>
      <c r="BK40" s="199"/>
    </row>
    <row r="41" spans="1:63" s="240" customFormat="1" ht="15" customHeight="1" x14ac:dyDescent="0.25">
      <c r="A41" s="39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0"/>
      <c r="M41" s="258"/>
      <c r="N41" s="258"/>
      <c r="O41" s="267"/>
      <c r="P41" s="267"/>
      <c r="Q41" s="267"/>
      <c r="R41" s="267"/>
      <c r="S41" s="267"/>
      <c r="T41" s="267"/>
      <c r="U41" s="267"/>
      <c r="V41" s="267"/>
      <c r="W41" s="267"/>
      <c r="X41" s="267"/>
      <c r="Y41" s="267"/>
      <c r="Z41" s="267"/>
      <c r="AA41" s="267"/>
      <c r="AB41" s="267"/>
      <c r="AC41" s="267"/>
      <c r="AD41" s="267"/>
      <c r="AE41" s="267"/>
      <c r="AF41" s="267"/>
      <c r="AG41" s="267"/>
      <c r="AH41" s="267"/>
      <c r="AI41" s="267"/>
      <c r="AJ41" s="258"/>
      <c r="AK41" s="258"/>
      <c r="AL41" s="258"/>
      <c r="AM41" s="258"/>
      <c r="AN41" s="258"/>
      <c r="AO41" s="258"/>
      <c r="AP41" s="258"/>
      <c r="AQ41" s="258"/>
      <c r="AR41" s="258"/>
      <c r="AS41" s="258"/>
      <c r="AT41" s="258"/>
      <c r="AU41" s="39"/>
      <c r="AV41" s="47"/>
      <c r="AW41" s="47"/>
      <c r="AX41" s="47"/>
      <c r="AY41" s="47"/>
      <c r="AZ41" s="47"/>
      <c r="BA41" s="47"/>
      <c r="BB41" s="47"/>
      <c r="BC41" s="47"/>
      <c r="BD41" s="47"/>
      <c r="BE41" s="40"/>
      <c r="BF41" s="197"/>
      <c r="BG41" s="198"/>
      <c r="BH41" s="198"/>
      <c r="BI41" s="198"/>
      <c r="BJ41" s="198"/>
      <c r="BK41" s="199"/>
    </row>
    <row r="42" spans="1:63" s="240" customFormat="1" ht="15" customHeight="1" x14ac:dyDescent="0.25">
      <c r="A42" s="39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0"/>
      <c r="M42" s="258"/>
      <c r="N42" s="258"/>
      <c r="O42" s="267"/>
      <c r="P42" s="267"/>
      <c r="Q42" s="267"/>
      <c r="R42" s="267"/>
      <c r="S42" s="267"/>
      <c r="T42" s="267"/>
      <c r="U42" s="267"/>
      <c r="V42" s="267"/>
      <c r="W42" s="267"/>
      <c r="X42" s="267"/>
      <c r="Y42" s="267"/>
      <c r="Z42" s="267"/>
      <c r="AA42" s="267"/>
      <c r="AB42" s="267"/>
      <c r="AC42" s="267"/>
      <c r="AD42" s="267"/>
      <c r="AE42" s="267"/>
      <c r="AF42" s="267"/>
      <c r="AG42" s="267"/>
      <c r="AH42" s="267"/>
      <c r="AI42" s="267"/>
      <c r="AJ42" s="258"/>
      <c r="AK42" s="258"/>
      <c r="AL42" s="258"/>
      <c r="AM42" s="258"/>
      <c r="AN42" s="258"/>
      <c r="AO42" s="258"/>
      <c r="AP42" s="258"/>
      <c r="AQ42" s="258"/>
      <c r="AR42" s="258"/>
      <c r="AS42" s="258"/>
      <c r="AT42" s="258"/>
      <c r="AU42" s="39"/>
      <c r="AV42" s="47"/>
      <c r="AW42" s="47"/>
      <c r="AX42" s="47"/>
      <c r="AY42" s="47"/>
      <c r="AZ42" s="47"/>
      <c r="BA42" s="47"/>
      <c r="BB42" s="47"/>
      <c r="BC42" s="47"/>
      <c r="BD42" s="47"/>
      <c r="BE42" s="40"/>
      <c r="BF42" s="197"/>
      <c r="BG42" s="198"/>
      <c r="BH42" s="198"/>
      <c r="BI42" s="198"/>
      <c r="BJ42" s="198"/>
      <c r="BK42" s="199"/>
    </row>
    <row r="43" spans="1:63" s="240" customFormat="1" ht="15" customHeight="1" x14ac:dyDescent="0.25">
      <c r="A43" s="39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0"/>
      <c r="M43" s="258"/>
      <c r="N43" s="258"/>
      <c r="O43" s="267"/>
      <c r="P43" s="258"/>
      <c r="Q43" s="258"/>
      <c r="R43" s="258"/>
      <c r="S43" s="258"/>
      <c r="T43" s="258"/>
      <c r="U43" s="258"/>
      <c r="V43" s="258"/>
      <c r="W43" s="258"/>
      <c r="X43" s="258"/>
      <c r="Y43" s="258"/>
      <c r="Z43" s="258"/>
      <c r="AA43" s="258"/>
      <c r="AB43" s="258"/>
      <c r="AC43" s="258"/>
      <c r="AD43" s="258"/>
      <c r="AE43" s="258"/>
      <c r="AF43" s="258"/>
      <c r="AG43" s="258"/>
      <c r="AH43" s="258"/>
      <c r="AI43" s="258"/>
      <c r="AJ43" s="258"/>
      <c r="AK43" s="258"/>
      <c r="AL43" s="258"/>
      <c r="AM43" s="258"/>
      <c r="AN43" s="258"/>
      <c r="AO43" s="258"/>
      <c r="AP43" s="258"/>
      <c r="AQ43" s="258"/>
      <c r="AR43" s="258"/>
      <c r="AS43" s="258"/>
      <c r="AT43" s="258"/>
      <c r="AU43" s="39"/>
      <c r="AV43" s="47"/>
      <c r="AW43" s="47"/>
      <c r="AX43" s="47"/>
      <c r="AY43" s="47"/>
      <c r="AZ43" s="47"/>
      <c r="BA43" s="47"/>
      <c r="BB43" s="47"/>
      <c r="BC43" s="47"/>
      <c r="BD43" s="47"/>
      <c r="BE43" s="40"/>
      <c r="BF43" s="197"/>
      <c r="BG43" s="198"/>
      <c r="BH43" s="198"/>
      <c r="BI43" s="198"/>
      <c r="BJ43" s="198"/>
      <c r="BK43" s="199"/>
    </row>
    <row r="44" spans="1:63" s="240" customFormat="1" ht="15" customHeight="1" x14ac:dyDescent="0.25">
      <c r="A44" s="39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0"/>
      <c r="M44" s="258"/>
      <c r="N44" s="258"/>
      <c r="O44" s="258"/>
      <c r="P44" s="258"/>
      <c r="Q44" s="258"/>
      <c r="R44" s="258"/>
      <c r="S44" s="258"/>
      <c r="T44" s="258"/>
      <c r="U44" s="258"/>
      <c r="V44" s="258"/>
      <c r="W44" s="258"/>
      <c r="X44" s="258"/>
      <c r="Y44" s="258"/>
      <c r="Z44" s="258"/>
      <c r="AA44" s="258"/>
      <c r="AB44" s="258"/>
      <c r="AC44" s="258"/>
      <c r="AD44" s="258"/>
      <c r="AE44" s="258"/>
      <c r="AF44" s="258"/>
      <c r="AG44" s="258"/>
      <c r="AH44" s="258"/>
      <c r="AI44" s="258"/>
      <c r="AJ44" s="258"/>
      <c r="AK44" s="258"/>
      <c r="AL44" s="258"/>
      <c r="AM44" s="258"/>
      <c r="AN44" s="258"/>
      <c r="AO44" s="258"/>
      <c r="AP44" s="258"/>
      <c r="AQ44" s="258"/>
      <c r="AR44" s="258"/>
      <c r="AS44" s="258"/>
      <c r="AT44" s="258"/>
      <c r="AU44" s="39"/>
      <c r="AV44" s="47"/>
      <c r="AW44" s="47"/>
      <c r="AX44" s="47"/>
      <c r="AY44" s="47"/>
      <c r="AZ44" s="47"/>
      <c r="BA44" s="47"/>
      <c r="BB44" s="47"/>
      <c r="BC44" s="47"/>
      <c r="BD44" s="47"/>
      <c r="BE44" s="40"/>
      <c r="BF44" s="197"/>
      <c r="BG44" s="198"/>
      <c r="BH44" s="198"/>
      <c r="BI44" s="198"/>
      <c r="BJ44" s="198"/>
      <c r="BK44" s="199"/>
    </row>
    <row r="45" spans="1:63" s="240" customFormat="1" ht="15" customHeight="1" x14ac:dyDescent="0.25">
      <c r="A45" s="41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3"/>
      <c r="M45" s="268"/>
      <c r="N45" s="269"/>
      <c r="O45" s="269"/>
      <c r="P45" s="269"/>
      <c r="Q45" s="269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270"/>
      <c r="AQ45" s="270"/>
      <c r="AR45" s="270"/>
      <c r="AS45" s="270"/>
      <c r="AT45" s="270"/>
      <c r="AU45" s="41"/>
      <c r="AV45" s="42"/>
      <c r="AW45" s="42"/>
      <c r="AX45" s="42"/>
      <c r="AY45" s="42"/>
      <c r="AZ45" s="42"/>
      <c r="BA45" s="42"/>
      <c r="BB45" s="42"/>
      <c r="BC45" s="42"/>
      <c r="BD45" s="42"/>
      <c r="BE45" s="43"/>
      <c r="BF45" s="159"/>
      <c r="BG45" s="160"/>
      <c r="BH45" s="160"/>
      <c r="BI45" s="160"/>
      <c r="BJ45" s="160"/>
      <c r="BK45" s="161"/>
    </row>
    <row r="46" spans="1:63" ht="15" customHeight="1" x14ac:dyDescent="0.25">
      <c r="A46" s="44"/>
      <c r="BK46" s="34"/>
    </row>
    <row r="47" spans="1:63" ht="15" customHeight="1" x14ac:dyDescent="0.25">
      <c r="A47" s="51"/>
      <c r="BK47" s="34"/>
    </row>
    <row r="48" spans="1:63" ht="15" customHeight="1" x14ac:dyDescent="0.25">
      <c r="A48" s="51"/>
      <c r="BK48" s="34"/>
    </row>
    <row r="49" spans="1:63" ht="15" customHeight="1" x14ac:dyDescent="0.25">
      <c r="A49" s="51"/>
      <c r="BK49" s="34"/>
    </row>
    <row r="50" spans="1:63" ht="15" customHeight="1" x14ac:dyDescent="0.25">
      <c r="A50" s="51"/>
      <c r="BK50" s="34"/>
    </row>
    <row r="51" spans="1:63" ht="15" customHeight="1" x14ac:dyDescent="0.25">
      <c r="A51" s="51"/>
      <c r="BK51" s="34"/>
    </row>
    <row r="52" spans="1:63" ht="15" customHeight="1" x14ac:dyDescent="0.25">
      <c r="A52" s="51"/>
      <c r="BK52" s="34"/>
    </row>
    <row r="53" spans="1:63" ht="15" customHeight="1" x14ac:dyDescent="0.25">
      <c r="A53" s="51"/>
      <c r="BK53" s="34"/>
    </row>
    <row r="54" spans="1:63" ht="15" customHeight="1" x14ac:dyDescent="0.25">
      <c r="A54" s="31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  <row r="55" spans="1:63" ht="15" customHeight="1" x14ac:dyDescent="0.25"/>
    <row r="56" spans="1:63" ht="15" customHeight="1" x14ac:dyDescent="0.25"/>
    <row r="57" spans="1:63" ht="15" customHeight="1" x14ac:dyDescent="0.25"/>
    <row r="58" spans="1:63" ht="15" customHeight="1" x14ac:dyDescent="0.25"/>
    <row r="59" spans="1:63" ht="15" customHeight="1" x14ac:dyDescent="0.25"/>
    <row r="60" spans="1:63" ht="15" customHeight="1" x14ac:dyDescent="0.25"/>
    <row r="61" spans="1:63" ht="15" customHeight="1" x14ac:dyDescent="0.25"/>
    <row r="62" spans="1:63" ht="15" customHeight="1" x14ac:dyDescent="0.25"/>
    <row r="63" spans="1:63" ht="15" customHeight="1" x14ac:dyDescent="0.25"/>
    <row r="64" spans="1:63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</sheetData>
  <mergeCells count="32">
    <mergeCell ref="BF14:BK40"/>
    <mergeCell ref="BF41:BK45"/>
    <mergeCell ref="A9:D9"/>
    <mergeCell ref="E9:N9"/>
    <mergeCell ref="O9:T9"/>
    <mergeCell ref="U9:BK9"/>
    <mergeCell ref="A11:F11"/>
    <mergeCell ref="G11:L11"/>
    <mergeCell ref="A12:L13"/>
    <mergeCell ref="M12:AT13"/>
    <mergeCell ref="AU12:BE13"/>
    <mergeCell ref="BF12:BK13"/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dataValidations count="2">
    <dataValidation type="list" allowBlank="1" showInputMessage="1" showErrorMessage="1" sqref="O10" xr:uid="{00000000-0002-0000-0400-000000000000}">
      <formula1>"初期処理,ボタン押下,リンク押下,タブ押下,選択時,選択解除,変更時,イメージリンク押下,フォーカスイン,フォーカスアウト,タイマー"</formula1>
    </dataValidation>
    <dataValidation type="list" showInputMessage="1" sqref="U10" xr:uid="{00000000-0002-0000-0400-000001000000}">
      <formula1>"同期,非同期"</formula1>
    </dataValidation>
  </dataValidations>
  <pageMargins left="0.7" right="0.7" top="0.75" bottom="0.75" header="0.3" footer="0.3"/>
  <pageSetup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表紙</vt:lpstr>
      <vt:lpstr>改訂履歴</vt:lpstr>
      <vt:lpstr>指摘履歴</vt:lpstr>
      <vt:lpstr>SC1001</vt:lpstr>
      <vt:lpstr>テンプレート</vt:lpstr>
      <vt:lpstr>'SC1001'!Print_Area</vt:lpstr>
      <vt:lpstr>テンプレート!Print_Area</vt:lpstr>
      <vt:lpstr>指摘履歴!Print_Area</vt:lpstr>
      <vt:lpstr>改訂履歴!Print_Area</vt:lpstr>
      <vt:lpstr>表紙!Print_Area</vt:lpstr>
      <vt:lpstr>指摘履歴!Print_Titles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2024-12-27T06:21:46Z</dcterms:modified>
  <cp:category/>
  <cp:contentStatus/>
</cp:coreProperties>
</file>