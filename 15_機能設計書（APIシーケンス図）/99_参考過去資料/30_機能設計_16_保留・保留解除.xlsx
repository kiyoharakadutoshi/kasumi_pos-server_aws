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D5AC8C8-63F1-4249-9D20-818CA494458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1601" sheetId="11" r:id="rId3"/>
    <sheet name="テンプレート" sheetId="7" r:id="rId4"/>
  </sheets>
  <definedNames>
    <definedName name="_xlnm.Print_Area" localSheetId="2">'SC1601'!$A$1:$BK$102</definedName>
    <definedName name="_xlnm.Print_Area" localSheetId="3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1"/>
  <c r="Z4" i="11"/>
  <c r="H4" i="11"/>
  <c r="AT2" i="11"/>
  <c r="K2" i="11"/>
  <c r="A2" i="11"/>
  <c r="W1" i="11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1" s="1"/>
  <c r="BC2" i="4"/>
  <c r="BC2" i="7" s="1"/>
  <c r="AY2" i="4"/>
  <c r="AY2" i="11" s="1"/>
  <c r="AT2" i="4"/>
  <c r="AT2" i="7" s="1"/>
  <c r="AP2" i="4"/>
  <c r="AP2" i="11" s="1"/>
  <c r="AP2" i="7" l="1"/>
  <c r="BH2" i="7"/>
  <c r="AP2" i="3"/>
  <c r="BH2" i="3"/>
  <c r="BC2" i="3"/>
  <c r="BC2" i="11"/>
  <c r="AY2" i="7"/>
  <c r="AY2" i="3"/>
</calcChain>
</file>

<file path=xl/sharedStrings.xml><?xml version="1.0" encoding="utf-8"?>
<sst xmlns="http://schemas.openxmlformats.org/spreadsheetml/2006/main" count="166" uniqueCount="89">
  <si>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</si>
  <si>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</si>
  <si>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</si>
  <si>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</si>
  <si>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</si>
  <si>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</si>
  <si>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</si>
  <si>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</si>
  <si>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</si>
  <si>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</si>
  <si>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16_保留・保留解除</t>
    </r>
  </si>
  <si>
    <r>
      <rPr>
        <sz val="11"/>
        <color rgb="FF000000"/>
        <rFont val="Meiryo UI"/>
        <family val="2"/>
      </rPr>
      <t>SC1601</t>
    </r>
  </si>
  <si>
    <r>
      <rPr>
        <sz val="11"/>
        <color rgb="FF000000"/>
        <rFont val="Meiryo UI"/>
        <family val="2"/>
      </rPr>
      <t>SC1601-01</t>
    </r>
  </si>
  <si>
    <r>
      <rPr>
        <sz val="11"/>
        <color rgb="FF000000"/>
        <rFont val="Meiryo UI"/>
        <family val="2"/>
      </rPr>
      <t>画面初期化</t>
    </r>
  </si>
  <si>
    <r>
      <rPr>
        <sz val="10"/>
        <color rgb="FF000000"/>
        <rFont val="Meiryo UI"/>
        <family val="2"/>
      </rPr>
      <t>20_画面設計_16_保留・保留解除.xlsx</t>
    </r>
  </si>
  <si>
    <r>
      <rPr>
        <sz val="11"/>
        <color rgb="FF000000"/>
        <rFont val="Meiryo UI"/>
        <family val="2"/>
      </rPr>
      <t>SC1601-02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</si>
  <si>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</si>
  <si>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</si>
  <si>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</si>
  <si>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①．成功した場合：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</si>
  <si>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</si>
  <si>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</si>
  <si>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</si>
  <si>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</si>
  <si>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</si>
  <si>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</si>
  <si>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</si>
  <si>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</si>
  <si>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</si>
  <si>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receipt_no</t>
    </r>
  </si>
  <si>
    <r>
      <rPr>
        <sz val="11"/>
        <color rgb="FF000000"/>
        <rFont val="Meiryo UI"/>
        <family val="2"/>
      </rPr>
      <t>cash_register no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</si>
  <si>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</si>
  <si>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</si>
  <si>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選択されている対象店舗一覧</t>
    </r>
  </si>
  <si>
    <r>
      <rPr>
        <sz val="11"/>
        <color rgb="FF000000"/>
        <rFont val="Meiryo UI"/>
        <family val="2"/>
      </rPr>
      <t>SC1601画面の検索エリアに入力されたレシートNo</t>
    </r>
  </si>
  <si>
    <r>
      <rPr>
        <sz val="11"/>
        <color rgb="FF000000"/>
        <rFont val="Meiryo UI"/>
        <family val="2"/>
      </rPr>
      <t>SC1601画面の検索エリアに入力されたレジNo</t>
    </r>
  </si>
  <si>
    <r>
      <rPr>
        <sz val="11"/>
        <color rgb="FF000000"/>
        <rFont val="Meiryo UI"/>
        <family val="2"/>
      </rPr>
      <t>SC1601画面の検索エリアに入力された開始日時</t>
    </r>
  </si>
  <si>
    <r>
      <rPr>
        <sz val="11"/>
        <color rgb="FF000000"/>
        <rFont val="Meiryo UI"/>
        <family val="2"/>
      </rPr>
      <t>SC1601画面の検索エリアに入力された終了日時</t>
    </r>
  </si>
  <si>
    <r>
      <rPr>
        <sz val="11"/>
        <color rgb="FF000000"/>
        <rFont val="Meiryo UI"/>
        <family val="2"/>
      </rPr>
      <t>保留・保留解除一覧</t>
    </r>
  </si>
  <si>
    <r>
      <rPr>
        <sz val="11"/>
        <color rgb="FF000000"/>
        <rFont val="Meiryo UI"/>
        <family val="2"/>
      </rPr>
      <t>20_画面設計_16_保留・保留解除.xlsxの説明に従って画面にデータをマッピングする。</t>
    </r>
  </si>
  <si>
    <r>
      <rPr>
        <sz val="11"/>
        <color rgb="FF000000"/>
        <rFont val="Meiryo UI"/>
        <family val="2"/>
      </rPr>
      <t>保留・保留解除の検索</t>
    </r>
  </si>
  <si>
    <r>
      <rPr>
        <sz val="11"/>
        <color rgb="FF000000"/>
        <rFont val="Meiryo UI"/>
        <family val="2"/>
      </rPr>
      <t>SC1601-03</t>
    </r>
  </si>
  <si>
    <r>
      <rPr>
        <sz val="11"/>
        <color rgb="FF000000"/>
        <rFont val="Meiryo UI"/>
        <family val="2"/>
      </rPr>
      <t>全選択</t>
    </r>
  </si>
  <si>
    <r>
      <rPr>
        <sz val="11"/>
        <color rgb="FF000000"/>
        <rFont val="Meiryo UI"/>
        <family val="2"/>
      </rPr>
      <t>印刷チェックボックスにチェックを入れた時：</t>
    </r>
  </si>
  <si>
    <r>
      <rPr>
        <sz val="11"/>
        <color rgb="FF000000"/>
        <rFont val="Meiryo UI"/>
        <family val="2"/>
      </rPr>
      <t>また、任意のアイテムのチェックボックスにチェックを入れた時：</t>
    </r>
  </si>
  <si>
    <r>
      <rPr>
        <sz val="11"/>
        <color rgb="FF000000"/>
        <rFont val="Meiryo UI"/>
        <family val="2"/>
      </rPr>
      <t>・全てのアイテムが選択されている場合、「印刷」チェックボックスが選択状態に切り替わる。</t>
    </r>
  </si>
  <si>
    <r>
      <rPr>
        <sz val="11"/>
        <color rgb="FF000000"/>
        <rFont val="Meiryo UI"/>
        <family val="2"/>
      </rPr>
      <t>・1つのアイテムが選択解除されている場合、「印刷」チェックボックスが選択解除状態に切り替わる。</t>
    </r>
  </si>
  <si>
    <r>
      <rPr>
        <sz val="11"/>
        <color rgb="FF000000"/>
        <rFont val="Meiryo UI"/>
        <family val="2"/>
      </rPr>
      <t>SC1601-04</t>
    </r>
  </si>
  <si>
    <r>
      <rPr>
        <sz val="11"/>
        <color rgb="FF000000"/>
        <rFont val="Meiryo UI"/>
        <family val="2"/>
      </rPr>
      <t>検索結果と検索条件をクリアする。</t>
    </r>
  </si>
  <si>
    <r>
      <rPr>
        <sz val="11"/>
        <color rgb="FF000000"/>
        <rFont val="Meiryo UI"/>
        <family val="2"/>
      </rPr>
      <t>検索エリアの全ての検索条件をクリアし、同時に画面上の全ての検索結果もクリアする。</t>
    </r>
  </si>
  <si>
    <r>
      <rPr>
        <sz val="11"/>
        <color rgb="FF000000"/>
        <rFont val="Meiryo UI"/>
        <family val="2"/>
      </rPr>
      <t>SC1601-05</t>
    </r>
  </si>
  <si>
    <r>
      <rPr>
        <sz val="11"/>
        <color rgb="FF000000"/>
        <rFont val="Meiryo UI"/>
        <family val="2"/>
      </rPr>
      <t>1.1 AP1601API呼出処理を実行する。</t>
    </r>
  </si>
  <si>
    <r>
      <rPr>
        <sz val="11"/>
        <color rgb="FF000000"/>
        <rFont val="Meiryo UI"/>
        <family val="2"/>
      </rPr>
      <t>1.1 AP1602API呼出処理を実行する。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</si>
  <si>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</si>
  <si>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印刷対象として選択されたレシートを含むpdfファイル</t>
    </r>
  </si>
  <si>
    <r>
      <rPr>
        <sz val="11"/>
        <color rgb="FF000000"/>
        <rFont val="Meiryo UI"/>
        <family val="2"/>
      </rPr>
      <t>PDFファイルを自動的にプレビューする。</t>
    </r>
  </si>
  <si>
    <r>
      <rPr>
        <sz val="11"/>
        <color rgb="FF000000"/>
        <rFont val="Meiryo UI"/>
        <family val="2"/>
      </rPr>
      <t>選択された店舗一覧を保持する。</t>
    </r>
  </si>
  <si>
    <r>
      <rPr>
        <sz val="11"/>
        <color rgb="FF000000"/>
        <rFont val="Meiryo UI"/>
        <family val="2"/>
      </rPr>
      <t>保留・保留解除を出力する。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</si>
  <si>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</si>
  <si>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</si>
  <si>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</si>
  <si>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</si>
  <si>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</si>
  <si>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</si>
  <si>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</si>
  <si>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</si>
  <si>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</si>
  <si>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</si>
  <si>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</si>
  <si>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</si>
  <si>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</si>
  <si>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</si>
  <si>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</si>
  <si>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</si>
  <si>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</si>
  <si>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</si>
  <si>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</si>
  <si>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</si>
  <si>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</si>
  <si>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保留・保留解除画面</t>
    </r>
  </si>
  <si>
    <r>
      <rPr>
        <sz val="11"/>
        <color rgb="FF000000"/>
        <rFont val="Meiryo UI"/>
        <family val="2"/>
      </rPr>
      <t>1. 20_画面設計_16_保留・保留解除.xlsxの説明に従って画面項目を初期化する。</t>
    </r>
  </si>
  <si>
    <r>
      <rPr>
        <sz val="11"/>
        <color rgb="FF000000"/>
        <rFont val="Meiryo UI"/>
        <family val="2"/>
      </rPr>
      <t>1. 検索条件に基づいて保留情報を検索する。</t>
    </r>
  </si>
  <si>
    <r>
      <rPr>
        <sz val="11"/>
        <color rgb="FF000000"/>
        <rFont val="Meiryo UI"/>
        <family val="2"/>
      </rPr>
      <t>検索タイプ：0:全て、1:保留、2:保留解除</t>
    </r>
  </si>
  <si>
    <r>
      <rPr>
        <sz val="11"/>
        <color rgb="FF000000"/>
        <rFont val="Meiryo UI"/>
        <family val="2"/>
      </rPr>
      <t>他のエラーの場合、APIエラーの共通表示処理を実行する。</t>
    </r>
  </si>
  <si>
    <r>
      <rPr>
        <sz val="11"/>
        <color rgb="FF000000"/>
        <rFont val="Meiryo UI"/>
        <family val="2"/>
      </rPr>
      <t>・選択されていない場合：一覧の全てのアイテムを選択し、同時に「印刷」チェックボックスも選択する。</t>
    </r>
  </si>
  <si>
    <r>
      <rPr>
        <sz val="11"/>
        <color rgb="FF000000"/>
        <rFont val="Meiryo UI"/>
        <family val="2"/>
      </rPr>
      <t>・選択されている場合：一覧の全てのアイテムを選択解除し、同時に「印刷」チェックボックスも選択解除する。</t>
    </r>
  </si>
  <si>
    <r>
      <rPr>
        <sz val="11"/>
        <color rgb="FF000000"/>
        <rFont val="Meiryo UI"/>
        <family val="2"/>
      </rPr>
      <t>1. PDF形式の印刷ファイルを取得する。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</si>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</sst>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190">
    <xf numFmtId="0" fontId="0" fillId="0" borderId="0" xfId="0"/>
    <xf numFmtId="0" fontId="4" fillId="0" borderId="17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3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8" fillId="2" borderId="0" xfId="0" quotePrefix="1" applyFont="1" applyFill="1" applyAlignment="1">
      <alignment vertical="center"/>
    </xf>
    <xf numFmtId="0" fontId="9" fillId="3" borderId="21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49" fontId="6" fillId="2" borderId="17" xfId="8" applyNumberFormat="1" applyFont="1" applyFill="1" applyBorder="1" applyAlignment="1">
      <alignment horizontal="center" vertical="top" wrapText="1"/>
    </xf>
    <xf numFmtId="49" fontId="6" fillId="2" borderId="18" xfId="8" applyNumberFormat="1" applyFont="1" applyFill="1" applyBorder="1" applyAlignment="1">
      <alignment horizontal="center" vertical="top" wrapText="1"/>
    </xf>
    <xf numFmtId="49" fontId="6" fillId="2" borderId="19" xfId="8" applyNumberFormat="1" applyFont="1" applyFill="1" applyBorder="1" applyAlignment="1">
      <alignment horizontal="center" vertical="top" wrapText="1"/>
    </xf>
    <xf numFmtId="49" fontId="6" fillId="2" borderId="1" xfId="8" applyNumberFormat="1" applyFont="1" applyFill="1" applyBorder="1" applyAlignment="1">
      <alignment horizontal="center" vertical="top" wrapText="1"/>
    </xf>
    <xf numFmtId="49" fontId="6" fillId="2" borderId="0" xfId="8" applyNumberFormat="1" applyFont="1" applyFill="1" applyAlignment="1">
      <alignment horizontal="center" vertical="top" wrapText="1"/>
    </xf>
    <xf numFmtId="49" fontId="6" fillId="2" borderId="4" xfId="8" applyNumberFormat="1" applyFont="1" applyFill="1" applyBorder="1" applyAlignment="1">
      <alignment horizontal="center" vertical="top" wrapText="1"/>
    </xf>
    <xf numFmtId="0" fontId="13" fillId="4" borderId="21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7" fillId="0" borderId="0" xfId="0" applyFont="1"/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19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19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3" fillId="4" borderId="0" xfId="0" applyFont="1" applyFill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17" fillId="0" borderId="18" xfId="0" applyFont="1" applyBorder="1"/>
    <xf numFmtId="0" fontId="17" fillId="0" borderId="19" xfId="0" applyFont="1" applyBorder="1"/>
    <xf numFmtId="0" fontId="17" fillId="0" borderId="17" xfId="0" applyFont="1" applyBorder="1"/>
    <xf numFmtId="0" fontId="17" fillId="0" borderId="25" xfId="0" applyFont="1" applyBorder="1"/>
    <xf numFmtId="0" fontId="17" fillId="0" borderId="26" xfId="0" applyFont="1" applyBorder="1"/>
    <xf numFmtId="0" fontId="17" fillId="0" borderId="27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1" xfId="6" applyFont="1" applyFill="1" applyBorder="1" applyAlignment="1">
      <alignment horizontal="center" vertical="center"/>
    </xf>
    <xf numFmtId="0" fontId="13" fillId="4" borderId="16" xfId="6" applyFont="1" applyFill="1" applyBorder="1" applyAlignment="1">
      <alignment horizontal="center" vertical="center"/>
    </xf>
    <xf numFmtId="0" fontId="13" fillId="4" borderId="20" xfId="6" applyFont="1" applyFill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9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4" fillId="4" borderId="21" xfId="6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8" xfId="0" applyFont="1" applyBorder="1" applyAlignment="1">
      <alignment horizontal="left" vertical="top"/>
    </xf>
    <xf numFmtId="0" fontId="17" fillId="0" borderId="21" xfId="0" applyFont="1" applyBorder="1" applyAlignment="1">
      <alignment horizontal="left" vertical="top"/>
    </xf>
    <xf numFmtId="0" fontId="17" fillId="0" borderId="16" xfId="0" applyFont="1" applyBorder="1" applyAlignment="1">
      <alignment horizontal="left" vertical="top"/>
    </xf>
    <xf numFmtId="0" fontId="17" fillId="0" borderId="20" xfId="0" applyFont="1" applyBorder="1" applyAlignment="1">
      <alignment horizontal="left" vertical="top"/>
    </xf>
    <xf numFmtId="0" fontId="17" fillId="2" borderId="21" xfId="0" applyFont="1" applyFill="1" applyBorder="1" applyAlignment="1">
      <alignment horizontal="center" vertical="top" wrapText="1" shrinkToFit="1"/>
    </xf>
    <xf numFmtId="0" fontId="17" fillId="2" borderId="0" xfId="0" applyFont="1" applyFill="1" applyAlignment="1">
      <alignment horizontal="center" vertical="top" wrapText="1" shrinkToFit="1"/>
    </xf>
    <xf numFmtId="0" fontId="17" fillId="2" borderId="0" xfId="0" applyFont="1" applyFill="1" applyAlignment="1">
      <alignment horizontal="left" vertical="top" wrapText="1" shrinkToFit="1"/>
    </xf>
    <xf numFmtId="0" fontId="17" fillId="2" borderId="0" xfId="0" applyFont="1" applyFill="1" applyAlignment="1">
      <alignment horizontal="center" vertical="top"/>
    </xf>
    <xf numFmtId="0" fontId="17" fillId="2" borderId="0" xfId="0" applyFont="1" applyFill="1" applyAlignment="1">
      <alignment horizontal="left" vertical="top"/>
    </xf>
    <xf numFmtId="0" fontId="17" fillId="2" borderId="0" xfId="0" quotePrefix="1" applyFont="1" applyFill="1" applyAlignment="1">
      <alignment vertical="top" wrapText="1" shrinkToFit="1"/>
    </xf>
    <xf numFmtId="0" fontId="17" fillId="2" borderId="0" xfId="0" applyFont="1" applyFill="1" applyAlignment="1">
      <alignment vertical="top" wrapText="1" shrinkToFit="1"/>
    </xf>
    <xf numFmtId="0" fontId="17" fillId="2" borderId="4" xfId="0" applyFont="1" applyFill="1" applyBorder="1" applyAlignment="1">
      <alignment horizontal="left" vertical="top" wrapText="1" shrinkToFit="1"/>
    </xf>
    <xf numFmtId="0" fontId="17" fillId="5" borderId="21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vertical="center"/>
    </xf>
    <xf numFmtId="0" fontId="17" fillId="2" borderId="16" xfId="0" applyFont="1" applyFill="1" applyBorder="1" applyAlignment="1">
      <alignment horizontal="left" vertical="top" wrapText="1" shrinkToFit="1"/>
    </xf>
    <xf numFmtId="0" fontId="17" fillId="2" borderId="20" xfId="0" applyFont="1" applyFill="1" applyBorder="1" applyAlignment="1">
      <alignment horizontal="left" vertical="top" wrapText="1" shrinkToFi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vertical="center"/>
    </xf>
    <xf numFmtId="0" fontId="17" fillId="2" borderId="18" xfId="0" applyFont="1" applyFill="1" applyBorder="1" applyAlignment="1">
      <alignment vertical="center"/>
    </xf>
    <xf numFmtId="0" fontId="17" fillId="2" borderId="0" xfId="0" quotePrefix="1" applyFont="1" applyFill="1" applyAlignment="1">
      <alignment vertical="center"/>
    </xf>
    <xf numFmtId="0" fontId="17" fillId="2" borderId="1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49" fontId="17" fillId="2" borderId="3" xfId="8" applyNumberFormat="1" applyFont="1" applyFill="1" applyBorder="1" applyAlignment="1">
      <alignment horizontal="left" vertical="center"/>
    </xf>
    <xf numFmtId="0" fontId="17" fillId="2" borderId="3" xfId="0" applyFont="1" applyFill="1" applyBorder="1" applyAlignment="1">
      <alignment vertical="center"/>
    </xf>
    <xf numFmtId="49" fontId="17" fillId="2" borderId="21" xfId="8" applyNumberFormat="1" applyFont="1" applyFill="1" applyBorder="1">
      <alignment vertical="center"/>
    </xf>
    <xf numFmtId="49" fontId="17" fillId="2" borderId="16" xfId="8" applyNumberFormat="1" applyFont="1" applyFill="1" applyBorder="1">
      <alignment vertical="center"/>
    </xf>
    <xf numFmtId="49" fontId="17" fillId="2" borderId="21" xfId="8" quotePrefix="1" applyNumberFormat="1" applyFont="1" applyFill="1" applyBorder="1" applyAlignment="1">
      <alignment horizontal="left" vertical="top"/>
    </xf>
    <xf numFmtId="49" fontId="17" fillId="2" borderId="16" xfId="8" quotePrefix="1" applyNumberFormat="1" applyFont="1" applyFill="1" applyBorder="1" applyAlignment="1">
      <alignment horizontal="left" vertical="top" wrapText="1"/>
    </xf>
    <xf numFmtId="49" fontId="17" fillId="2" borderId="20" xfId="8" quotePrefix="1" applyNumberFormat="1" applyFont="1" applyFill="1" applyBorder="1" applyAlignment="1">
      <alignment horizontal="left" vertical="top" wrapText="1"/>
    </xf>
    <xf numFmtId="0" fontId="17" fillId="2" borderId="17" xfId="0" quotePrefix="1" applyFont="1" applyFill="1" applyBorder="1" applyAlignment="1">
      <alignment horizontal="left" vertical="center"/>
    </xf>
    <xf numFmtId="0" fontId="17" fillId="2" borderId="18" xfId="0" quotePrefix="1" applyFont="1" applyFill="1" applyBorder="1" applyAlignment="1">
      <alignment horizontal="left" vertical="center" indent="1"/>
    </xf>
    <xf numFmtId="0" fontId="17" fillId="2" borderId="19" xfId="0" applyFont="1" applyFill="1" applyBorder="1" applyAlignment="1">
      <alignment vertical="center"/>
    </xf>
    <xf numFmtId="0" fontId="17" fillId="2" borderId="18" xfId="0" applyFont="1" applyFill="1" applyBorder="1" applyAlignment="1">
      <alignment horizontal="left" vertical="center" indent="1"/>
    </xf>
    <xf numFmtId="0" fontId="17" fillId="2" borderId="17" xfId="0" applyFont="1" applyFill="1" applyBorder="1" applyAlignment="1">
      <alignment horizontal="left" vertical="center"/>
    </xf>
    <xf numFmtId="0" fontId="17" fillId="2" borderId="21" xfId="0" quotePrefix="1" applyFont="1" applyFill="1" applyBorder="1" applyAlignment="1">
      <alignment horizontal="left" vertical="center"/>
    </xf>
    <xf numFmtId="0" fontId="17" fillId="2" borderId="16" xfId="0" applyFont="1" applyFill="1" applyBorder="1" applyAlignment="1">
      <alignment horizontal="left" vertical="center" indent="1"/>
    </xf>
    <xf numFmtId="0" fontId="17" fillId="2" borderId="21" xfId="0" applyFont="1" applyFill="1" applyBorder="1" applyAlignment="1">
      <alignment horizontal="left" vertical="center"/>
    </xf>
    <xf numFmtId="0" fontId="17" fillId="2" borderId="20" xfId="0" applyFont="1" applyFill="1" applyBorder="1" applyAlignment="1">
      <alignment vertical="center"/>
    </xf>
    <xf numFmtId="49" fontId="17" fillId="2" borderId="3" xfId="8" quotePrefix="1" applyNumberFormat="1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メインメニューで保留、保留解除ボタンをタッチした場合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168087</xdr:colOff>
      <xdr:row>15</xdr:row>
      <xdr:rowOff>0</xdr:rowOff>
    </xdr:from>
    <xdr:to>
      <xdr:col>55</xdr:col>
      <xdr:colOff>128305</xdr:colOff>
      <xdr:row>17</xdr:row>
      <xdr:rowOff>53787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9345705" y="2969559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SC1601_保留・保留解除一覧画面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26</xdr:row>
      <xdr:rowOff>4764</xdr:rowOff>
    </xdr:from>
    <xdr:to>
      <xdr:col>10</xdr:col>
      <xdr:colOff>0</xdr:colOff>
      <xdr:row>28</xdr:row>
      <xdr:rowOff>0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61925" y="507682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27</xdr:row>
      <xdr:rowOff>2382</xdr:rowOff>
    </xdr:from>
    <xdr:to>
      <xdr:col>13</xdr:col>
      <xdr:colOff>0</xdr:colOff>
      <xdr:row>27</xdr:row>
      <xdr:rowOff>2382</xdr:rowOff>
    </xdr:to>
    <xdr:cxnSp macro="">
      <xdr:nvCxnSpPr>
        <xdr:cNvPr id="11" name="直線矢印コネクタ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10" idx="3"/>
        </xdr:cNvCxnSpPr>
      </xdr:nvCxnSpPr>
      <xdr:spPr>
        <a:xfrm>
          <a:off x="2667000" y="5257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168087</xdr:colOff>
      <xdr:row>27</xdr:row>
      <xdr:rowOff>1</xdr:rowOff>
    </xdr:from>
    <xdr:to>
      <xdr:col>55</xdr:col>
      <xdr:colOff>128305</xdr:colOff>
      <xdr:row>29</xdr:row>
      <xdr:rowOff>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9345705" y="5255560"/>
          <a:ext cx="3725394" cy="381000"/>
          <a:chOff x="8080531" y="514467"/>
          <a:chExt cx="2042145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SC1601_保留・保留解除一覧画面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>
            <a:endCxn id="13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55</xdr:row>
      <xdr:rowOff>67235</xdr:rowOff>
    </xdr:from>
    <xdr:to>
      <xdr:col>10</xdr:col>
      <xdr:colOff>0</xdr:colOff>
      <xdr:row>58</xdr:row>
      <xdr:rowOff>145676</xdr:rowOff>
    </xdr:to>
    <xdr:sp macro="" textlink="" fLocksText="0">
      <xdr:nvSpPr>
        <xdr:cNvPr id="17" name="フローチャート: 代替処理 2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534" y="10656794"/>
          <a:ext cx="2186701" cy="649941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印刷チェックボックスにチェックを入れた場合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57</xdr:row>
      <xdr:rowOff>2382</xdr:rowOff>
    </xdr:from>
    <xdr:to>
      <xdr:col>13</xdr:col>
      <xdr:colOff>0</xdr:colOff>
      <xdr:row>57</xdr:row>
      <xdr:rowOff>11206</xdr:rowOff>
    </xdr:to>
    <xdr:cxnSp macro="">
      <xdr:nvCxnSpPr>
        <xdr:cNvPr id="18" name="直線矢印コネクタ 4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17" idx="3"/>
        </xdr:cNvCxnSpPr>
      </xdr:nvCxnSpPr>
      <xdr:spPr>
        <a:xfrm flipV="1">
          <a:off x="2353235" y="10972941"/>
          <a:ext cx="705971" cy="882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168087</xdr:colOff>
      <xdr:row>57</xdr:row>
      <xdr:rowOff>0</xdr:rowOff>
    </xdr:from>
    <xdr:to>
      <xdr:col>55</xdr:col>
      <xdr:colOff>128305</xdr:colOff>
      <xdr:row>59</xdr:row>
      <xdr:rowOff>53787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pSpPr>
          <a:grpSpLocks/>
        </xdr:cNvGrpSpPr>
      </xdr:nvGrpSpPr>
      <xdr:grpSpPr>
        <a:xfrm>
          <a:off x="9345705" y="10970559"/>
          <a:ext cx="3725394" cy="434787"/>
          <a:chOff x="8080531" y="514467"/>
          <a:chExt cx="2042145" cy="777600"/>
        </a:xfrm>
      </xdr:grpSpPr>
      <xdr:sp macro="" textlink="" fLocksText="0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SC1601_保留・保留解除一覧画面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1" name="直線矢印コネクタ 4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endCxn id="20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68</xdr:row>
      <xdr:rowOff>78441</xdr:rowOff>
    </xdr:from>
    <xdr:to>
      <xdr:col>10</xdr:col>
      <xdr:colOff>0</xdr:colOff>
      <xdr:row>72</xdr:row>
      <xdr:rowOff>44822</xdr:rowOff>
    </xdr:to>
    <xdr:sp macro="" textlink="" fLocksText="0">
      <xdr:nvSpPr>
        <xdr:cNvPr id="22" name="フローチャート: 代替処理 27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66534" y="13144500"/>
          <a:ext cx="2186701" cy="728381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クリアボタンをタッチした場合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13</xdr:col>
      <xdr:colOff>0</xdr:colOff>
      <xdr:row>70</xdr:row>
      <xdr:rowOff>61632</xdr:rowOff>
    </xdr:to>
    <xdr:cxnSp macro="">
      <xdr:nvCxnSpPr>
        <xdr:cNvPr id="23" name="直線矢印コネクタ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22" idx="3"/>
        </xdr:cNvCxnSpPr>
      </xdr:nvCxnSpPr>
      <xdr:spPr>
        <a:xfrm flipV="1">
          <a:off x="2353235" y="13447059"/>
          <a:ext cx="705971" cy="616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168087</xdr:colOff>
      <xdr:row>70</xdr:row>
      <xdr:rowOff>0</xdr:rowOff>
    </xdr:from>
    <xdr:to>
      <xdr:col>55</xdr:col>
      <xdr:colOff>128305</xdr:colOff>
      <xdr:row>72</xdr:row>
      <xdr:rowOff>53787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>
          <a:grpSpLocks/>
        </xdr:cNvGrpSpPr>
      </xdr:nvGrpSpPr>
      <xdr:grpSpPr>
        <a:xfrm>
          <a:off x="9345705" y="13447059"/>
          <a:ext cx="3725394" cy="434787"/>
          <a:chOff x="8080531" y="514467"/>
          <a:chExt cx="2042145" cy="777600"/>
        </a:xfrm>
      </xdr:grpSpPr>
      <xdr:sp macro="" textlink="" fLocksText="0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SC1601_保留・保留解除一覧画面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6" name="直線矢印コネクタ 4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CxnSpPr>
            <a:endCxn id="2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81</xdr:row>
      <xdr:rowOff>4764</xdr:rowOff>
    </xdr:from>
    <xdr:to>
      <xdr:col>10</xdr:col>
      <xdr:colOff>0</xdr:colOff>
      <xdr:row>83</xdr:row>
      <xdr:rowOff>168088</xdr:rowOff>
    </xdr:to>
    <xdr:sp macro="" textlink="" fLocksText="0">
      <xdr:nvSpPr>
        <xdr:cNvPr id="33" name="フローチャート: 代替処理 27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66534" y="15547323"/>
          <a:ext cx="2186701" cy="544324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82</xdr:row>
      <xdr:rowOff>2382</xdr:rowOff>
    </xdr:from>
    <xdr:to>
      <xdr:col>13</xdr:col>
      <xdr:colOff>0</xdr:colOff>
      <xdr:row>82</xdr:row>
      <xdr:rowOff>86426</xdr:rowOff>
    </xdr:to>
    <xdr:cxnSp macro="">
      <xdr:nvCxnSpPr>
        <xdr:cNvPr id="34" name="直線矢印コネクタ 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>
          <a:stCxn id="33" idx="3"/>
        </xdr:cNvCxnSpPr>
      </xdr:nvCxnSpPr>
      <xdr:spPr>
        <a:xfrm flipV="1">
          <a:off x="2353235" y="15735441"/>
          <a:ext cx="705971" cy="8404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168087</xdr:colOff>
      <xdr:row>82</xdr:row>
      <xdr:rowOff>1</xdr:rowOff>
    </xdr:from>
    <xdr:to>
      <xdr:col>55</xdr:col>
      <xdr:colOff>128305</xdr:colOff>
      <xdr:row>84</xdr:row>
      <xdr:rowOff>1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pSpPr>
          <a:grpSpLocks/>
        </xdr:cNvGrpSpPr>
      </xdr:nvGrpSpPr>
      <xdr:grpSpPr>
        <a:xfrm>
          <a:off x="9345705" y="15733060"/>
          <a:ext cx="3725394" cy="381000"/>
          <a:chOff x="8080531" y="514467"/>
          <a:chExt cx="2042145" cy="777600"/>
        </a:xfrm>
      </xdr:grpSpPr>
      <xdr:sp macro="" textlink="" fLocksText="0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SC1601_保留・保留解除一覧画面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直線矢印コネクタ 4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>
            <a:endCxn id="36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39780</xdr:colOff>
      <xdr:row>46</xdr:row>
      <xdr:rowOff>1</xdr:rowOff>
    </xdr:from>
    <xdr:to>
      <xdr:col>48</xdr:col>
      <xdr:colOff>235322</xdr:colOff>
      <xdr:row>48</xdr:row>
      <xdr:rowOff>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pSpPr>
          <a:grpSpLocks/>
        </xdr:cNvGrpSpPr>
      </xdr:nvGrpSpPr>
      <xdr:grpSpPr>
        <a:xfrm>
          <a:off x="9688045" y="8875060"/>
          <a:ext cx="1842806" cy="380999"/>
          <a:chOff x="8080531" y="514467"/>
          <a:chExt cx="1010169" cy="777598"/>
        </a:xfrm>
      </xdr:grpSpPr>
      <xdr:sp macro="" textlink="" fLocksText="0">
        <xdr:nvSpPr>
          <xdr:cNvPr id="39" name="Rectangle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>
          <a:xfrm>
            <a:off x="8466668" y="514467"/>
            <a:ext cx="624032" cy="77759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0" name="直線矢印コネクタ 4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CxnSpPr>
            <a:endCxn id="39" idx="1"/>
          </xdr:cNvCxnSpPr>
        </xdr:nvCxnSpPr>
        <xdr:spPr>
          <a:xfrm>
            <a:off x="8080531" y="903266"/>
            <a:ext cx="386137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100853</xdr:colOff>
      <xdr:row>96</xdr:row>
      <xdr:rowOff>78442</xdr:rowOff>
    </xdr:from>
    <xdr:to>
      <xdr:col>50</xdr:col>
      <xdr:colOff>61071</xdr:colOff>
      <xdr:row>98</xdr:row>
      <xdr:rowOff>78441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pSpPr>
          <a:grpSpLocks/>
        </xdr:cNvGrpSpPr>
      </xdr:nvGrpSpPr>
      <xdr:grpSpPr>
        <a:xfrm>
          <a:off x="9984441" y="18478501"/>
          <a:ext cx="1842806" cy="380999"/>
          <a:chOff x="8080531" y="514467"/>
          <a:chExt cx="1010169" cy="777598"/>
        </a:xfrm>
      </xdr:grpSpPr>
      <xdr:sp macro="" textlink="" fLocksText="0">
        <xdr:nvSpPr>
          <xdr:cNvPr id="43" name="Rectangle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/>
        </xdr:nvSpPr>
        <xdr:spPr>
          <a:xfrm>
            <a:off x="8466668" y="514467"/>
            <a:ext cx="624032" cy="77759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4" name="直線矢印コネクタ 4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CxnSpPr>
            <a:endCxn id="43" idx="1"/>
          </xdr:cNvCxnSpPr>
        </xdr:nvCxnSpPr>
        <xdr:spPr>
          <a:xfrm>
            <a:off x="8080531" y="903266"/>
            <a:ext cx="386137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60" customWidth="1"/>
    <col min="61" max="16384" width="2.77734375" style="60"/>
  </cols>
  <sheetData>
    <row r="1" spans="1:63" ht="24.95" customHeight="1" x14ac:dyDescent="0.25">
      <c r="A1" s="54" t="s">
        <v>58</v>
      </c>
      <c r="B1" s="55"/>
      <c r="C1" s="55"/>
      <c r="D1" s="55"/>
      <c r="E1" s="55"/>
      <c r="F1" s="55"/>
      <c r="G1" s="55"/>
      <c r="H1" s="55"/>
      <c r="I1" s="55"/>
      <c r="J1" s="56"/>
      <c r="K1" s="54" t="s">
        <v>59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57" t="s">
        <v>60</v>
      </c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9"/>
      <c r="AP1" s="54" t="s">
        <v>61</v>
      </c>
      <c r="AQ1" s="55"/>
      <c r="AR1" s="55"/>
      <c r="AS1" s="56"/>
      <c r="AT1" s="54" t="s">
        <v>62</v>
      </c>
      <c r="AU1" s="55"/>
      <c r="AV1" s="55"/>
      <c r="AW1" s="55"/>
      <c r="AX1" s="56"/>
      <c r="AY1" s="54" t="s">
        <v>63</v>
      </c>
      <c r="AZ1" s="55"/>
      <c r="BA1" s="55"/>
      <c r="BB1" s="56"/>
      <c r="BC1" s="54" t="s">
        <v>64</v>
      </c>
      <c r="BD1" s="55"/>
      <c r="BE1" s="55"/>
      <c r="BF1" s="55"/>
      <c r="BG1" s="56"/>
      <c r="BH1" s="54" t="s">
        <v>65</v>
      </c>
      <c r="BI1" s="55"/>
      <c r="BJ1" s="55"/>
      <c r="BK1" s="56"/>
    </row>
    <row r="2" spans="1:63" ht="15" customHeight="1" x14ac:dyDescent="0.25">
      <c r="A2" s="1" t="s">
        <v>66</v>
      </c>
      <c r="B2" s="61"/>
      <c r="C2" s="61"/>
      <c r="D2" s="61"/>
      <c r="E2" s="61"/>
      <c r="F2" s="61"/>
      <c r="G2" s="61"/>
      <c r="H2" s="61"/>
      <c r="I2" s="61"/>
      <c r="J2" s="62"/>
      <c r="K2" s="63" t="s">
        <v>1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64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6"/>
      <c r="AP2" s="63" t="str">
        <f>改訂履歴!$H$11</f>
        <v>DuNT</v>
      </c>
      <c r="AQ2" s="61"/>
      <c r="AR2" s="61"/>
      <c r="AS2" s="62"/>
      <c r="AT2" s="67">
        <f>改訂履歴!$B$11</f>
        <v>45540</v>
      </c>
      <c r="AU2" s="68"/>
      <c r="AV2" s="68"/>
      <c r="AW2" s="68"/>
      <c r="AX2" s="69"/>
      <c r="AY2" s="63" t="str">
        <f>LOOKUP(2,1/(改訂履歴!H11:H30000&lt;&gt;""),改訂履歴!H11:H30000)</f>
        <v>DuNT</v>
      </c>
      <c r="AZ2" s="61"/>
      <c r="BA2" s="61"/>
      <c r="BB2" s="62"/>
      <c r="BC2" s="67">
        <f>LOOKUP(2,1/(改訂履歴!B11:B30000&lt;&gt;""),改訂履歴!B11:B30000)</f>
        <v>45540</v>
      </c>
      <c r="BD2" s="68"/>
      <c r="BE2" s="68"/>
      <c r="BF2" s="68"/>
      <c r="BG2" s="69"/>
      <c r="BH2" s="70">
        <f>LOOKUP(2,1/(改訂履歴!O11:O30000&lt;&gt;""),改訂履歴!O11:O30000)</f>
        <v>0.1</v>
      </c>
      <c r="BI2" s="71"/>
      <c r="BJ2" s="71"/>
      <c r="BK2" s="72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73"/>
      <c r="AQ3" s="74"/>
      <c r="AR3" s="74"/>
      <c r="AS3" s="75"/>
      <c r="AT3" s="79"/>
      <c r="AU3" s="80"/>
      <c r="AV3" s="80"/>
      <c r="AW3" s="80"/>
      <c r="AX3" s="81"/>
      <c r="AY3" s="73"/>
      <c r="AZ3" s="74"/>
      <c r="BA3" s="74"/>
      <c r="BB3" s="75"/>
      <c r="BC3" s="79"/>
      <c r="BD3" s="80"/>
      <c r="BE3" s="80"/>
      <c r="BF3" s="80"/>
      <c r="BG3" s="81"/>
      <c r="BH3" s="82"/>
      <c r="BI3" s="83"/>
      <c r="BJ3" s="83"/>
      <c r="BK3" s="84"/>
    </row>
    <row r="4" spans="1:63" ht="24.95" customHeight="1" x14ac:dyDescent="0.25">
      <c r="A4" s="54" t="s">
        <v>67</v>
      </c>
      <c r="B4" s="55"/>
      <c r="C4" s="55"/>
      <c r="D4" s="55"/>
      <c r="E4" s="55"/>
      <c r="F4" s="55"/>
      <c r="G4" s="56"/>
      <c r="H4" s="85" t="s">
        <v>10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54" t="s">
        <v>68</v>
      </c>
      <c r="V4" s="55"/>
      <c r="W4" s="55"/>
      <c r="X4" s="55"/>
      <c r="Y4" s="56"/>
      <c r="Z4" s="28" t="s">
        <v>69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>
        <f t="array" aca="1" ref="AP4" ca="1">RIGHT(CELL("filename",$A$1),LEN(CELL("filename",$A$1))-FIND("]",CELL("filename",$A$1)))</f>
        <v>表紙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90"/>
    </row>
    <row r="6" spans="1:63" ht="15" customHeight="1" x14ac:dyDescent="0.25">
      <c r="A6" s="91"/>
      <c r="BK6" s="92"/>
    </row>
    <row r="7" spans="1:63" ht="15" customHeight="1" x14ac:dyDescent="0.25">
      <c r="A7" s="91"/>
      <c r="BK7" s="92"/>
    </row>
    <row r="8" spans="1:63" ht="15" customHeight="1" x14ac:dyDescent="0.25">
      <c r="A8" s="91"/>
      <c r="BK8" s="92"/>
    </row>
    <row r="9" spans="1:63" ht="15" customHeight="1" x14ac:dyDescent="0.25">
      <c r="A9" s="91"/>
      <c r="BK9" s="92"/>
    </row>
    <row r="10" spans="1:63" ht="15" customHeight="1" x14ac:dyDescent="0.25">
      <c r="A10" s="91"/>
      <c r="BK10" s="92"/>
    </row>
    <row r="11" spans="1:63" ht="15" customHeight="1" x14ac:dyDescent="0.25">
      <c r="A11" s="91"/>
      <c r="BK11" s="92"/>
    </row>
    <row r="12" spans="1:63" ht="15" customHeight="1" x14ac:dyDescent="0.25">
      <c r="A12" s="91"/>
      <c r="BK12" s="92"/>
    </row>
    <row r="13" spans="1:63" ht="15" customHeight="1" x14ac:dyDescent="0.25">
      <c r="A13" s="91"/>
      <c r="BK13" s="92"/>
    </row>
    <row r="14" spans="1:63" ht="15" customHeight="1" thickBot="1" x14ac:dyDescent="0.3">
      <c r="A14" s="91"/>
      <c r="BK14" s="92"/>
    </row>
    <row r="15" spans="1:63" ht="15" customHeight="1" thickTop="1" x14ac:dyDescent="0.25">
      <c r="A15" s="91"/>
      <c r="K15" s="93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5"/>
      <c r="BK15" s="92"/>
    </row>
    <row r="16" spans="1:63" ht="15" customHeight="1" x14ac:dyDescent="0.25">
      <c r="A16" s="91"/>
      <c r="K16" s="96"/>
      <c r="L16" s="97" t="s">
        <v>70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9"/>
      <c r="BK16" s="92"/>
    </row>
    <row r="17" spans="1:63" ht="15" customHeight="1" x14ac:dyDescent="0.25">
      <c r="A17" s="91"/>
      <c r="K17" s="96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9"/>
      <c r="BK17" s="92"/>
    </row>
    <row r="18" spans="1:63" ht="15" customHeight="1" x14ac:dyDescent="0.25">
      <c r="A18" s="91"/>
      <c r="K18" s="96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9"/>
      <c r="BK18" s="92"/>
    </row>
    <row r="19" spans="1:63" ht="15" customHeight="1" x14ac:dyDescent="0.25">
      <c r="A19" s="91"/>
      <c r="K19" s="96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9"/>
      <c r="BK19" s="92"/>
    </row>
    <row r="20" spans="1:63" ht="15" customHeight="1" x14ac:dyDescent="0.25">
      <c r="A20" s="91"/>
      <c r="K20" s="96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9"/>
      <c r="BK20" s="92"/>
    </row>
    <row r="21" spans="1:63" ht="15" customHeight="1" x14ac:dyDescent="0.25">
      <c r="A21" s="91"/>
      <c r="K21" s="96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9"/>
      <c r="BK21" s="92"/>
    </row>
    <row r="22" spans="1:63" ht="15" customHeight="1" thickBot="1" x14ac:dyDescent="0.3">
      <c r="A22" s="91"/>
      <c r="K22" s="96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99"/>
      <c r="BK22" s="92"/>
    </row>
    <row r="23" spans="1:63" ht="15" customHeight="1" x14ac:dyDescent="0.25">
      <c r="A23" s="91"/>
      <c r="K23" s="96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99"/>
      <c r="BK23" s="92"/>
    </row>
    <row r="24" spans="1:63" ht="15" customHeight="1" x14ac:dyDescent="0.25">
      <c r="A24" s="91"/>
      <c r="K24" s="96"/>
      <c r="L24" s="98" t="str">
        <f>K2&amp;"/"&amp;H4&amp;"/"&amp;Z4</f>
        <v>POSサーバ/16_保留・保留解除/機能設計書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9"/>
      <c r="BK24" s="92"/>
    </row>
    <row r="25" spans="1:63" ht="15" customHeight="1" x14ac:dyDescent="0.25">
      <c r="A25" s="91"/>
      <c r="K25" s="96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9"/>
      <c r="BK25" s="92"/>
    </row>
    <row r="26" spans="1:63" ht="15" customHeight="1" x14ac:dyDescent="0.25">
      <c r="A26" s="91"/>
      <c r="K26" s="96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9"/>
      <c r="BK26" s="92"/>
    </row>
    <row r="27" spans="1:63" ht="15" customHeight="1" x14ac:dyDescent="0.25">
      <c r="A27" s="91"/>
      <c r="K27" s="96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9"/>
      <c r="BK27" s="92"/>
    </row>
    <row r="28" spans="1:63" ht="15" customHeight="1" x14ac:dyDescent="0.25">
      <c r="A28" s="91"/>
      <c r="K28" s="96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9"/>
      <c r="BK28" s="92"/>
    </row>
    <row r="29" spans="1:63" ht="15" customHeight="1" x14ac:dyDescent="0.25">
      <c r="A29" s="91"/>
      <c r="K29" s="96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9"/>
      <c r="BK29" s="92"/>
    </row>
    <row r="30" spans="1:63" ht="15" customHeight="1" x14ac:dyDescent="0.25">
      <c r="A30" s="91"/>
      <c r="K30" s="96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9"/>
      <c r="BK30" s="92"/>
    </row>
    <row r="31" spans="1:63" ht="15" customHeight="1" x14ac:dyDescent="0.25">
      <c r="A31" s="91"/>
      <c r="K31" s="96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9"/>
      <c r="BK31" s="92"/>
    </row>
    <row r="32" spans="1:63" ht="15" customHeight="1" x14ac:dyDescent="0.25">
      <c r="A32" s="91"/>
      <c r="K32" s="96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9"/>
      <c r="BK32" s="92"/>
    </row>
    <row r="33" spans="1:63" ht="15" customHeight="1" x14ac:dyDescent="0.25">
      <c r="A33" s="91"/>
      <c r="K33" s="96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9"/>
      <c r="BK33" s="92"/>
    </row>
    <row r="34" spans="1:63" ht="15" customHeight="1" x14ac:dyDescent="0.25">
      <c r="A34" s="91"/>
      <c r="K34" s="96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9"/>
      <c r="BK34" s="92"/>
    </row>
    <row r="35" spans="1:63" ht="15" customHeight="1" x14ac:dyDescent="0.25">
      <c r="A35" s="91"/>
      <c r="K35" s="96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9"/>
      <c r="BK35" s="92"/>
    </row>
    <row r="36" spans="1:63" ht="15" customHeight="1" x14ac:dyDescent="0.25">
      <c r="A36" s="91"/>
      <c r="K36" s="96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9"/>
      <c r="BK36" s="92"/>
    </row>
    <row r="37" spans="1:63" ht="15" customHeight="1" thickBot="1" x14ac:dyDescent="0.3">
      <c r="A37" s="91"/>
      <c r="K37" s="102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4"/>
      <c r="BK37" s="92"/>
    </row>
    <row r="38" spans="1:63" ht="15" customHeight="1" thickTop="1" x14ac:dyDescent="0.25">
      <c r="A38" s="91"/>
      <c r="BK38" s="92"/>
    </row>
    <row r="39" spans="1:63" ht="15" customHeight="1" x14ac:dyDescent="0.25">
      <c r="A39" s="91"/>
      <c r="BK39" s="92"/>
    </row>
    <row r="40" spans="1:63" ht="15" customHeight="1" x14ac:dyDescent="0.25">
      <c r="A40" s="91"/>
      <c r="BK40" s="92"/>
    </row>
    <row r="41" spans="1:63" ht="15" customHeight="1" x14ac:dyDescent="0.25">
      <c r="A41" s="91"/>
      <c r="BK41" s="92"/>
    </row>
    <row r="42" spans="1:63" ht="15" customHeight="1" x14ac:dyDescent="0.25">
      <c r="A42" s="91"/>
      <c r="BK42" s="92"/>
    </row>
    <row r="43" spans="1:63" ht="15" customHeight="1" x14ac:dyDescent="0.25">
      <c r="A43" s="91"/>
      <c r="BK43" s="92"/>
    </row>
    <row r="44" spans="1:63" ht="15" customHeight="1" x14ac:dyDescent="0.25">
      <c r="A44" s="91"/>
      <c r="Q44" s="105" t="s">
        <v>71</v>
      </c>
      <c r="R44" s="106"/>
      <c r="S44" s="106"/>
      <c r="T44" s="106"/>
      <c r="U44" s="106"/>
      <c r="V44" s="106"/>
      <c r="W44" s="106"/>
      <c r="X44" s="106"/>
      <c r="Y44" s="106"/>
      <c r="Z44" s="107"/>
      <c r="AA44" s="105" t="s">
        <v>72</v>
      </c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7"/>
      <c r="AQ44" s="105" t="s">
        <v>65</v>
      </c>
      <c r="AR44" s="106"/>
      <c r="AS44" s="106"/>
      <c r="AT44" s="106"/>
      <c r="AU44" s="107"/>
      <c r="BK44" s="92"/>
    </row>
    <row r="45" spans="1:63" ht="15" customHeight="1" x14ac:dyDescent="0.25">
      <c r="A45" s="91"/>
      <c r="Q45" s="108"/>
      <c r="R45" s="109"/>
      <c r="S45" s="109"/>
      <c r="T45" s="109"/>
      <c r="U45" s="109"/>
      <c r="V45" s="109"/>
      <c r="W45" s="109"/>
      <c r="X45" s="109"/>
      <c r="Y45" s="109"/>
      <c r="Z45" s="110"/>
      <c r="AA45" s="108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10"/>
      <c r="AQ45" s="108"/>
      <c r="AR45" s="109"/>
      <c r="AS45" s="109"/>
      <c r="AT45" s="109"/>
      <c r="AU45" s="110"/>
      <c r="BK45" s="92"/>
    </row>
    <row r="46" spans="1:63" ht="15" customHeight="1" x14ac:dyDescent="0.25">
      <c r="A46" s="91"/>
      <c r="Q46" s="63"/>
      <c r="R46" s="61"/>
      <c r="S46" s="61"/>
      <c r="T46" s="61"/>
      <c r="U46" s="61"/>
      <c r="V46" s="61"/>
      <c r="W46" s="61"/>
      <c r="X46" s="61"/>
      <c r="Y46" s="61"/>
      <c r="Z46" s="62"/>
      <c r="AA46" s="63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2"/>
      <c r="AQ46" s="63"/>
      <c r="AR46" s="61"/>
      <c r="AS46" s="61"/>
      <c r="AT46" s="61"/>
      <c r="AU46" s="62"/>
      <c r="BK46" s="92"/>
    </row>
    <row r="47" spans="1:63" ht="15" customHeight="1" x14ac:dyDescent="0.25">
      <c r="A47" s="91"/>
      <c r="Q47" s="111"/>
      <c r="R47" s="112"/>
      <c r="S47" s="112"/>
      <c r="T47" s="112"/>
      <c r="U47" s="112"/>
      <c r="V47" s="112"/>
      <c r="W47" s="112"/>
      <c r="X47" s="112"/>
      <c r="Y47" s="112"/>
      <c r="Z47" s="113"/>
      <c r="AA47" s="111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3"/>
      <c r="AQ47" s="111"/>
      <c r="AR47" s="112"/>
      <c r="AS47" s="112"/>
      <c r="AT47" s="112"/>
      <c r="AU47" s="113"/>
      <c r="BK47" s="92"/>
    </row>
    <row r="48" spans="1:63" ht="15" customHeight="1" x14ac:dyDescent="0.25">
      <c r="A48" s="91"/>
      <c r="Q48" s="111"/>
      <c r="R48" s="112"/>
      <c r="S48" s="112"/>
      <c r="T48" s="112"/>
      <c r="U48" s="112"/>
      <c r="V48" s="112"/>
      <c r="W48" s="112"/>
      <c r="X48" s="112"/>
      <c r="Y48" s="112"/>
      <c r="Z48" s="113"/>
      <c r="AA48" s="111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3"/>
      <c r="AQ48" s="111"/>
      <c r="AR48" s="112"/>
      <c r="AS48" s="112"/>
      <c r="AT48" s="112"/>
      <c r="AU48" s="113"/>
      <c r="BK48" s="92"/>
    </row>
    <row r="49" spans="1:63" ht="15" customHeight="1" x14ac:dyDescent="0.25">
      <c r="A49" s="91"/>
      <c r="Q49" s="73"/>
      <c r="R49" s="74"/>
      <c r="S49" s="74"/>
      <c r="T49" s="74"/>
      <c r="U49" s="74"/>
      <c r="V49" s="74"/>
      <c r="W49" s="74"/>
      <c r="X49" s="74"/>
      <c r="Y49" s="74"/>
      <c r="Z49" s="75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5"/>
      <c r="AQ49" s="73"/>
      <c r="AR49" s="74"/>
      <c r="AS49" s="74"/>
      <c r="AT49" s="74"/>
      <c r="AU49" s="75"/>
      <c r="BK49" s="92"/>
    </row>
    <row r="50" spans="1:63" ht="15" customHeight="1" x14ac:dyDescent="0.25">
      <c r="A50" s="91"/>
      <c r="BK50" s="92"/>
    </row>
    <row r="51" spans="1:63" ht="15" customHeight="1" x14ac:dyDescent="0.25">
      <c r="A51" s="91"/>
      <c r="BK51" s="92"/>
    </row>
    <row r="52" spans="1:63" ht="15" customHeight="1" x14ac:dyDescent="0.25">
      <c r="A52" s="91"/>
      <c r="BK52" s="92"/>
    </row>
    <row r="53" spans="1:63" ht="15" customHeight="1" x14ac:dyDescent="0.25">
      <c r="A53" s="91"/>
      <c r="BK53" s="92"/>
    </row>
    <row r="54" spans="1:63" ht="15" customHeight="1" x14ac:dyDescent="0.25">
      <c r="A54" s="91"/>
      <c r="BK54" s="92"/>
    </row>
    <row r="55" spans="1:63" ht="15" customHeight="1" x14ac:dyDescent="0.25">
      <c r="A55" s="88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9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60" customWidth="1"/>
    <col min="61" max="16384" width="2.77734375" style="60"/>
  </cols>
  <sheetData>
    <row r="1" spans="1:63" ht="24.95" customHeight="1" x14ac:dyDescent="0.25">
      <c r="A1" s="54" t="s">
        <v>58</v>
      </c>
      <c r="B1" s="55"/>
      <c r="C1" s="55"/>
      <c r="D1" s="55"/>
      <c r="E1" s="55"/>
      <c r="F1" s="55"/>
      <c r="G1" s="55"/>
      <c r="H1" s="55"/>
      <c r="I1" s="55"/>
      <c r="J1" s="56"/>
      <c r="K1" s="54" t="s">
        <v>59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4" t="str">
        <f>IF(表紙!W1="","",表紙!W1)</f>
        <v>詳細設計書</v>
      </c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9"/>
      <c r="AP1" s="54" t="s">
        <v>61</v>
      </c>
      <c r="AQ1" s="55"/>
      <c r="AR1" s="55"/>
      <c r="AS1" s="56"/>
      <c r="AT1" s="54" t="s">
        <v>62</v>
      </c>
      <c r="AU1" s="55"/>
      <c r="AV1" s="55"/>
      <c r="AW1" s="55"/>
      <c r="AX1" s="56"/>
      <c r="AY1" s="54" t="s">
        <v>63</v>
      </c>
      <c r="AZ1" s="55"/>
      <c r="BA1" s="55"/>
      <c r="BB1" s="56"/>
      <c r="BC1" s="54" t="s">
        <v>64</v>
      </c>
      <c r="BD1" s="55"/>
      <c r="BE1" s="55"/>
      <c r="BF1" s="55"/>
      <c r="BG1" s="56"/>
      <c r="BH1" s="54" t="s">
        <v>65</v>
      </c>
      <c r="BI1" s="55"/>
      <c r="BJ1" s="55"/>
      <c r="BK1" s="56"/>
    </row>
    <row r="2" spans="1:63" ht="15" customHeight="1" x14ac:dyDescent="0.25">
      <c r="A2" s="63" t="str">
        <f>IF(表紙!A2="","",表紙!A2)</f>
        <v>POSサーバー</v>
      </c>
      <c r="B2" s="61"/>
      <c r="C2" s="61"/>
      <c r="D2" s="61"/>
      <c r="E2" s="61"/>
      <c r="F2" s="61"/>
      <c r="G2" s="61"/>
      <c r="H2" s="61"/>
      <c r="I2" s="61"/>
      <c r="J2" s="62"/>
      <c r="K2" s="63" t="str">
        <f>IF(表紙!K2="","",表紙!K2)</f>
        <v>POSサーバ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64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6"/>
      <c r="AP2" s="63" t="str">
        <f>IF(表紙!AP2="","",表紙!AP2)</f>
        <v>DuNT</v>
      </c>
      <c r="AQ2" s="61"/>
      <c r="AR2" s="61"/>
      <c r="AS2" s="62"/>
      <c r="AT2" s="67">
        <f>IF(表紙!AT2="","",表紙!AT2)</f>
        <v>45540</v>
      </c>
      <c r="AU2" s="68"/>
      <c r="AV2" s="68"/>
      <c r="AW2" s="68"/>
      <c r="AX2" s="69"/>
      <c r="AY2" s="63" t="str">
        <f>IF(表紙!AY2="","",表紙!AY2)</f>
        <v>DuNT</v>
      </c>
      <c r="AZ2" s="61"/>
      <c r="BA2" s="61"/>
      <c r="BB2" s="62"/>
      <c r="BC2" s="67">
        <f>IF(表紙!BC2="","",表紙!BC2)</f>
        <v>45540</v>
      </c>
      <c r="BD2" s="68"/>
      <c r="BE2" s="68"/>
      <c r="BF2" s="68"/>
      <c r="BG2" s="69"/>
      <c r="BH2" s="63">
        <f>IF(表紙!BH2="","",表紙!BH2)</f>
        <v>0.1</v>
      </c>
      <c r="BI2" s="61"/>
      <c r="BJ2" s="61"/>
      <c r="BK2" s="62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73"/>
      <c r="AQ3" s="74"/>
      <c r="AR3" s="74"/>
      <c r="AS3" s="75"/>
      <c r="AT3" s="79"/>
      <c r="AU3" s="80"/>
      <c r="AV3" s="80"/>
      <c r="AW3" s="80"/>
      <c r="AX3" s="81"/>
      <c r="AY3" s="73"/>
      <c r="AZ3" s="74"/>
      <c r="BA3" s="74"/>
      <c r="BB3" s="75"/>
      <c r="BC3" s="79"/>
      <c r="BD3" s="80"/>
      <c r="BE3" s="80"/>
      <c r="BF3" s="80"/>
      <c r="BG3" s="81"/>
      <c r="BH3" s="73"/>
      <c r="BI3" s="74"/>
      <c r="BJ3" s="74"/>
      <c r="BK3" s="75"/>
    </row>
    <row r="4" spans="1:63" ht="24.95" customHeight="1" x14ac:dyDescent="0.25">
      <c r="A4" s="54" t="s">
        <v>73</v>
      </c>
      <c r="B4" s="55"/>
      <c r="C4" s="55"/>
      <c r="D4" s="55"/>
      <c r="E4" s="55"/>
      <c r="F4" s="55"/>
      <c r="G4" s="56"/>
      <c r="H4" s="85" t="str">
        <f>IF(表紙!H4="","",表紙!H4)</f>
        <v>16_保留・保留解除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54" t="s">
        <v>68</v>
      </c>
      <c r="V4" s="55"/>
      <c r="W4" s="55"/>
      <c r="X4" s="55"/>
      <c r="Y4" s="56"/>
      <c r="Z4" s="85" t="str">
        <f>IF(表紙!Z4="","",表紙!Z4)</f>
        <v>機能設計書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>
        <f t="array" aca="1" ref="AP4" ca="1">RIGHT(CELL("filename",$A$1),LEN(CELL("filename",$A$1))-FIND("]",CELL("filename",$A$1)))</f>
        <v>改訂履歴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90"/>
    </row>
    <row r="6" spans="1:63" ht="15" customHeight="1" x14ac:dyDescent="0.25">
      <c r="A6" s="91"/>
      <c r="BK6" s="92"/>
    </row>
    <row r="7" spans="1:63" ht="15" customHeight="1" x14ac:dyDescent="0.25">
      <c r="A7" s="91"/>
      <c r="BK7" s="92"/>
    </row>
    <row r="8" spans="1:63" ht="15" customHeight="1" x14ac:dyDescent="0.25">
      <c r="A8" s="91"/>
      <c r="B8" s="60" t="s">
        <v>0</v>
      </c>
      <c r="BK8" s="92"/>
    </row>
    <row r="9" spans="1:63" ht="15" customHeight="1" x14ac:dyDescent="0.25">
      <c r="A9" s="91"/>
      <c r="BK9" s="92"/>
    </row>
    <row r="10" spans="1:63" ht="15" customHeight="1" x14ac:dyDescent="0.25">
      <c r="A10" s="91"/>
      <c r="B10" s="115" t="s">
        <v>64</v>
      </c>
      <c r="C10" s="115"/>
      <c r="D10" s="115"/>
      <c r="E10" s="115"/>
      <c r="F10" s="115"/>
      <c r="G10" s="115"/>
      <c r="H10" s="115" t="s">
        <v>63</v>
      </c>
      <c r="I10" s="115"/>
      <c r="J10" s="115"/>
      <c r="K10" s="115"/>
      <c r="L10" s="115"/>
      <c r="M10" s="115"/>
      <c r="N10" s="115"/>
      <c r="O10" s="115" t="s">
        <v>65</v>
      </c>
      <c r="P10" s="115"/>
      <c r="Q10" s="115"/>
      <c r="R10" s="115"/>
      <c r="S10" s="115" t="s">
        <v>74</v>
      </c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 t="s">
        <v>71</v>
      </c>
      <c r="AY10" s="115"/>
      <c r="AZ10" s="115"/>
      <c r="BA10" s="115"/>
      <c r="BB10" s="115"/>
      <c r="BC10" s="115"/>
      <c r="BD10" s="115" t="s">
        <v>72</v>
      </c>
      <c r="BE10" s="115"/>
      <c r="BF10" s="115"/>
      <c r="BG10" s="115"/>
      <c r="BH10" s="115"/>
      <c r="BI10" s="115"/>
      <c r="BJ10" s="115"/>
      <c r="BK10" s="92"/>
    </row>
    <row r="11" spans="1:63" ht="15" customHeight="1" x14ac:dyDescent="0.25">
      <c r="A11" s="91"/>
      <c r="B11" s="67">
        <v>45540</v>
      </c>
      <c r="C11" s="61"/>
      <c r="D11" s="61"/>
      <c r="E11" s="61"/>
      <c r="F11" s="61"/>
      <c r="G11" s="62"/>
      <c r="H11" s="1" t="s">
        <v>75</v>
      </c>
      <c r="I11" s="61"/>
      <c r="J11" s="61"/>
      <c r="K11" s="61"/>
      <c r="L11" s="61"/>
      <c r="M11" s="61"/>
      <c r="N11" s="62"/>
      <c r="O11" s="63">
        <v>0.1</v>
      </c>
      <c r="P11" s="61"/>
      <c r="Q11" s="61"/>
      <c r="R11" s="61"/>
      <c r="S11" s="116" t="s">
        <v>2</v>
      </c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8"/>
      <c r="AX11" s="119"/>
      <c r="AY11" s="119"/>
      <c r="AZ11" s="119"/>
      <c r="BA11" s="119"/>
      <c r="BB11" s="119"/>
      <c r="BC11" s="120"/>
      <c r="BD11" s="121"/>
      <c r="BE11" s="119"/>
      <c r="BF11" s="119"/>
      <c r="BG11" s="119"/>
      <c r="BH11" s="119"/>
      <c r="BI11" s="119"/>
      <c r="BJ11" s="120"/>
      <c r="BK11" s="92"/>
    </row>
    <row r="12" spans="1:63" ht="15" customHeight="1" x14ac:dyDescent="0.25">
      <c r="A12" s="91"/>
      <c r="B12" s="73"/>
      <c r="C12" s="74"/>
      <c r="D12" s="74"/>
      <c r="E12" s="74"/>
      <c r="F12" s="74"/>
      <c r="G12" s="75"/>
      <c r="H12" s="73"/>
      <c r="I12" s="74"/>
      <c r="J12" s="74"/>
      <c r="K12" s="74"/>
      <c r="L12" s="74"/>
      <c r="M12" s="74"/>
      <c r="N12" s="75"/>
      <c r="O12" s="73"/>
      <c r="P12" s="74"/>
      <c r="Q12" s="74"/>
      <c r="R12" s="74"/>
      <c r="S12" s="122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4"/>
      <c r="AX12" s="125"/>
      <c r="AY12" s="125"/>
      <c r="AZ12" s="125"/>
      <c r="BA12" s="125"/>
      <c r="BB12" s="125"/>
      <c r="BC12" s="126"/>
      <c r="BD12" s="127"/>
      <c r="BE12" s="125"/>
      <c r="BF12" s="125"/>
      <c r="BG12" s="125"/>
      <c r="BH12" s="125"/>
      <c r="BI12" s="125"/>
      <c r="BJ12" s="126"/>
      <c r="BK12" s="92"/>
    </row>
    <row r="13" spans="1:63" ht="15" customHeight="1" x14ac:dyDescent="0.25">
      <c r="A13" s="91"/>
      <c r="B13" s="67"/>
      <c r="C13" s="61"/>
      <c r="D13" s="61"/>
      <c r="E13" s="61"/>
      <c r="F13" s="61"/>
      <c r="G13" s="62"/>
      <c r="H13" s="63"/>
      <c r="I13" s="61"/>
      <c r="J13" s="61"/>
      <c r="K13" s="61"/>
      <c r="L13" s="61"/>
      <c r="M13" s="61"/>
      <c r="N13" s="62"/>
      <c r="O13" s="63"/>
      <c r="P13" s="61"/>
      <c r="Q13" s="61"/>
      <c r="R13" s="61"/>
      <c r="S13" s="116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8"/>
      <c r="AX13" s="119"/>
      <c r="AY13" s="119"/>
      <c r="AZ13" s="119"/>
      <c r="BA13" s="119"/>
      <c r="BB13" s="119"/>
      <c r="BC13" s="120"/>
      <c r="BD13" s="121"/>
      <c r="BE13" s="119"/>
      <c r="BF13" s="119"/>
      <c r="BG13" s="119"/>
      <c r="BH13" s="119"/>
      <c r="BI13" s="119"/>
      <c r="BJ13" s="120"/>
      <c r="BK13" s="92"/>
    </row>
    <row r="14" spans="1:63" ht="15" customHeight="1" x14ac:dyDescent="0.25">
      <c r="A14" s="91"/>
      <c r="B14" s="73"/>
      <c r="C14" s="74"/>
      <c r="D14" s="74"/>
      <c r="E14" s="74"/>
      <c r="F14" s="74"/>
      <c r="G14" s="75"/>
      <c r="H14" s="73"/>
      <c r="I14" s="74"/>
      <c r="J14" s="74"/>
      <c r="K14" s="74"/>
      <c r="L14" s="74"/>
      <c r="M14" s="74"/>
      <c r="N14" s="75"/>
      <c r="O14" s="73"/>
      <c r="P14" s="74"/>
      <c r="Q14" s="74"/>
      <c r="R14" s="74"/>
      <c r="S14" s="122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4"/>
      <c r="AX14" s="125"/>
      <c r="AY14" s="125"/>
      <c r="AZ14" s="125"/>
      <c r="BA14" s="125"/>
      <c r="BB14" s="125"/>
      <c r="BC14" s="126"/>
      <c r="BD14" s="127"/>
      <c r="BE14" s="125"/>
      <c r="BF14" s="125"/>
      <c r="BG14" s="125"/>
      <c r="BH14" s="125"/>
      <c r="BI14" s="125"/>
      <c r="BJ14" s="126"/>
      <c r="BK14" s="92"/>
    </row>
    <row r="15" spans="1:63" ht="15" customHeight="1" x14ac:dyDescent="0.25">
      <c r="A15" s="91"/>
      <c r="B15" s="63"/>
      <c r="C15" s="61"/>
      <c r="D15" s="61"/>
      <c r="E15" s="61"/>
      <c r="F15" s="61"/>
      <c r="G15" s="62"/>
      <c r="H15" s="63"/>
      <c r="I15" s="61"/>
      <c r="J15" s="61"/>
      <c r="K15" s="61"/>
      <c r="L15" s="61"/>
      <c r="M15" s="61"/>
      <c r="N15" s="62"/>
      <c r="O15" s="63"/>
      <c r="P15" s="61"/>
      <c r="Q15" s="61"/>
      <c r="R15" s="61"/>
      <c r="S15" s="116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8"/>
      <c r="AX15" s="119"/>
      <c r="AY15" s="119"/>
      <c r="AZ15" s="119"/>
      <c r="BA15" s="119"/>
      <c r="BB15" s="119"/>
      <c r="BC15" s="120"/>
      <c r="BD15" s="121"/>
      <c r="BE15" s="119"/>
      <c r="BF15" s="119"/>
      <c r="BG15" s="119"/>
      <c r="BH15" s="119"/>
      <c r="BI15" s="119"/>
      <c r="BJ15" s="120"/>
      <c r="BK15" s="92"/>
    </row>
    <row r="16" spans="1:63" ht="15" customHeight="1" x14ac:dyDescent="0.25">
      <c r="A16" s="91"/>
      <c r="B16" s="73"/>
      <c r="C16" s="74"/>
      <c r="D16" s="74"/>
      <c r="E16" s="74"/>
      <c r="F16" s="74"/>
      <c r="G16" s="75"/>
      <c r="H16" s="73"/>
      <c r="I16" s="74"/>
      <c r="J16" s="74"/>
      <c r="K16" s="74"/>
      <c r="L16" s="74"/>
      <c r="M16" s="74"/>
      <c r="N16" s="75"/>
      <c r="O16" s="73"/>
      <c r="P16" s="74"/>
      <c r="Q16" s="74"/>
      <c r="R16" s="74"/>
      <c r="S16" s="122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4"/>
      <c r="AX16" s="125"/>
      <c r="AY16" s="125"/>
      <c r="AZ16" s="125"/>
      <c r="BA16" s="125"/>
      <c r="BB16" s="125"/>
      <c r="BC16" s="126"/>
      <c r="BD16" s="127"/>
      <c r="BE16" s="125"/>
      <c r="BF16" s="125"/>
      <c r="BG16" s="125"/>
      <c r="BH16" s="125"/>
      <c r="BI16" s="125"/>
      <c r="BJ16" s="126"/>
      <c r="BK16" s="92"/>
    </row>
    <row r="17" spans="1:63" ht="15" customHeight="1" x14ac:dyDescent="0.25">
      <c r="A17" s="91"/>
      <c r="B17" s="63"/>
      <c r="C17" s="61"/>
      <c r="D17" s="61"/>
      <c r="E17" s="61"/>
      <c r="F17" s="61"/>
      <c r="G17" s="62"/>
      <c r="H17" s="63"/>
      <c r="I17" s="61"/>
      <c r="J17" s="61"/>
      <c r="K17" s="61"/>
      <c r="L17" s="61"/>
      <c r="M17" s="61"/>
      <c r="N17" s="62"/>
      <c r="O17" s="63"/>
      <c r="P17" s="61"/>
      <c r="Q17" s="61"/>
      <c r="R17" s="61"/>
      <c r="S17" s="116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8"/>
      <c r="AX17" s="119"/>
      <c r="AY17" s="119"/>
      <c r="AZ17" s="119"/>
      <c r="BA17" s="119"/>
      <c r="BB17" s="119"/>
      <c r="BC17" s="120"/>
      <c r="BD17" s="121"/>
      <c r="BE17" s="119"/>
      <c r="BF17" s="119"/>
      <c r="BG17" s="119"/>
      <c r="BH17" s="119"/>
      <c r="BI17" s="119"/>
      <c r="BJ17" s="120"/>
      <c r="BK17" s="92"/>
    </row>
    <row r="18" spans="1:63" ht="15" customHeight="1" x14ac:dyDescent="0.25">
      <c r="A18" s="91"/>
      <c r="B18" s="73"/>
      <c r="C18" s="74"/>
      <c r="D18" s="74"/>
      <c r="E18" s="74"/>
      <c r="F18" s="74"/>
      <c r="G18" s="75"/>
      <c r="H18" s="73"/>
      <c r="I18" s="74"/>
      <c r="J18" s="74"/>
      <c r="K18" s="74"/>
      <c r="L18" s="74"/>
      <c r="M18" s="74"/>
      <c r="N18" s="75"/>
      <c r="O18" s="73"/>
      <c r="P18" s="74"/>
      <c r="Q18" s="74"/>
      <c r="R18" s="74"/>
      <c r="S18" s="122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4"/>
      <c r="AX18" s="125"/>
      <c r="AY18" s="125"/>
      <c r="AZ18" s="125"/>
      <c r="BA18" s="125"/>
      <c r="BB18" s="125"/>
      <c r="BC18" s="126"/>
      <c r="BD18" s="127"/>
      <c r="BE18" s="125"/>
      <c r="BF18" s="125"/>
      <c r="BG18" s="125"/>
      <c r="BH18" s="125"/>
      <c r="BI18" s="125"/>
      <c r="BJ18" s="126"/>
      <c r="BK18" s="92"/>
    </row>
    <row r="19" spans="1:63" ht="15" customHeight="1" x14ac:dyDescent="0.25">
      <c r="A19" s="91"/>
      <c r="B19" s="63"/>
      <c r="C19" s="61"/>
      <c r="D19" s="61"/>
      <c r="E19" s="61"/>
      <c r="F19" s="61"/>
      <c r="G19" s="62"/>
      <c r="H19" s="63"/>
      <c r="I19" s="61"/>
      <c r="J19" s="61"/>
      <c r="K19" s="61"/>
      <c r="L19" s="61"/>
      <c r="M19" s="61"/>
      <c r="N19" s="62"/>
      <c r="O19" s="63"/>
      <c r="P19" s="61"/>
      <c r="Q19" s="61"/>
      <c r="R19" s="61"/>
      <c r="S19" s="116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8"/>
      <c r="AX19" s="119"/>
      <c r="AY19" s="119"/>
      <c r="AZ19" s="119"/>
      <c r="BA19" s="119"/>
      <c r="BB19" s="119"/>
      <c r="BC19" s="120"/>
      <c r="BD19" s="121"/>
      <c r="BE19" s="119"/>
      <c r="BF19" s="119"/>
      <c r="BG19" s="119"/>
      <c r="BH19" s="119"/>
      <c r="BI19" s="119"/>
      <c r="BJ19" s="120"/>
      <c r="BK19" s="92"/>
    </row>
    <row r="20" spans="1:63" ht="15" customHeight="1" x14ac:dyDescent="0.25">
      <c r="A20" s="91"/>
      <c r="B20" s="73"/>
      <c r="C20" s="74"/>
      <c r="D20" s="74"/>
      <c r="E20" s="74"/>
      <c r="F20" s="74"/>
      <c r="G20" s="75"/>
      <c r="H20" s="73"/>
      <c r="I20" s="74"/>
      <c r="J20" s="74"/>
      <c r="K20" s="74"/>
      <c r="L20" s="74"/>
      <c r="M20" s="74"/>
      <c r="N20" s="75"/>
      <c r="O20" s="73"/>
      <c r="P20" s="74"/>
      <c r="Q20" s="74"/>
      <c r="R20" s="74"/>
      <c r="S20" s="122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4"/>
      <c r="AX20" s="125"/>
      <c r="AY20" s="125"/>
      <c r="AZ20" s="125"/>
      <c r="BA20" s="125"/>
      <c r="BB20" s="125"/>
      <c r="BC20" s="126"/>
      <c r="BD20" s="127"/>
      <c r="BE20" s="125"/>
      <c r="BF20" s="125"/>
      <c r="BG20" s="125"/>
      <c r="BH20" s="125"/>
      <c r="BI20" s="125"/>
      <c r="BJ20" s="126"/>
      <c r="BK20" s="92"/>
    </row>
    <row r="21" spans="1:63" ht="15" customHeight="1" x14ac:dyDescent="0.25">
      <c r="A21" s="91"/>
      <c r="B21" s="63"/>
      <c r="C21" s="61"/>
      <c r="D21" s="61"/>
      <c r="E21" s="61"/>
      <c r="F21" s="61"/>
      <c r="G21" s="62"/>
      <c r="H21" s="63"/>
      <c r="I21" s="61"/>
      <c r="J21" s="61"/>
      <c r="K21" s="61"/>
      <c r="L21" s="61"/>
      <c r="M21" s="61"/>
      <c r="N21" s="62"/>
      <c r="O21" s="63"/>
      <c r="P21" s="61"/>
      <c r="Q21" s="61"/>
      <c r="R21" s="61"/>
      <c r="S21" s="116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8"/>
      <c r="AX21" s="119"/>
      <c r="AY21" s="119"/>
      <c r="AZ21" s="119"/>
      <c r="BA21" s="119"/>
      <c r="BB21" s="119"/>
      <c r="BC21" s="120"/>
      <c r="BD21" s="121"/>
      <c r="BE21" s="119"/>
      <c r="BF21" s="119"/>
      <c r="BG21" s="119"/>
      <c r="BH21" s="119"/>
      <c r="BI21" s="119"/>
      <c r="BJ21" s="120"/>
      <c r="BK21" s="92"/>
    </row>
    <row r="22" spans="1:63" ht="15" customHeight="1" x14ac:dyDescent="0.25">
      <c r="A22" s="91"/>
      <c r="B22" s="73"/>
      <c r="C22" s="74"/>
      <c r="D22" s="74"/>
      <c r="E22" s="74"/>
      <c r="F22" s="74"/>
      <c r="G22" s="75"/>
      <c r="H22" s="73"/>
      <c r="I22" s="74"/>
      <c r="J22" s="74"/>
      <c r="K22" s="74"/>
      <c r="L22" s="74"/>
      <c r="M22" s="74"/>
      <c r="N22" s="75"/>
      <c r="O22" s="73"/>
      <c r="P22" s="74"/>
      <c r="Q22" s="74"/>
      <c r="R22" s="74"/>
      <c r="S22" s="122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4"/>
      <c r="AX22" s="125"/>
      <c r="AY22" s="125"/>
      <c r="AZ22" s="125"/>
      <c r="BA22" s="125"/>
      <c r="BB22" s="125"/>
      <c r="BC22" s="126"/>
      <c r="BD22" s="127"/>
      <c r="BE22" s="125"/>
      <c r="BF22" s="125"/>
      <c r="BG22" s="125"/>
      <c r="BH22" s="125"/>
      <c r="BI22" s="125"/>
      <c r="BJ22" s="126"/>
      <c r="BK22" s="92"/>
    </row>
    <row r="23" spans="1:63" ht="15" customHeight="1" x14ac:dyDescent="0.25">
      <c r="A23" s="91"/>
      <c r="B23" s="63"/>
      <c r="C23" s="61"/>
      <c r="D23" s="61"/>
      <c r="E23" s="61"/>
      <c r="F23" s="61"/>
      <c r="G23" s="62"/>
      <c r="H23" s="63"/>
      <c r="I23" s="61"/>
      <c r="J23" s="61"/>
      <c r="K23" s="61"/>
      <c r="L23" s="61"/>
      <c r="M23" s="61"/>
      <c r="N23" s="62"/>
      <c r="O23" s="63"/>
      <c r="P23" s="61"/>
      <c r="Q23" s="61"/>
      <c r="R23" s="61"/>
      <c r="S23" s="116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8"/>
      <c r="AX23" s="119"/>
      <c r="AY23" s="119"/>
      <c r="AZ23" s="119"/>
      <c r="BA23" s="119"/>
      <c r="BB23" s="119"/>
      <c r="BC23" s="120"/>
      <c r="BD23" s="121"/>
      <c r="BE23" s="119"/>
      <c r="BF23" s="119"/>
      <c r="BG23" s="119"/>
      <c r="BH23" s="119"/>
      <c r="BI23" s="119"/>
      <c r="BJ23" s="120"/>
      <c r="BK23" s="92"/>
    </row>
    <row r="24" spans="1:63" ht="15" customHeight="1" x14ac:dyDescent="0.25">
      <c r="A24" s="91"/>
      <c r="B24" s="73"/>
      <c r="C24" s="74"/>
      <c r="D24" s="74"/>
      <c r="E24" s="74"/>
      <c r="F24" s="74"/>
      <c r="G24" s="75"/>
      <c r="H24" s="73"/>
      <c r="I24" s="74"/>
      <c r="J24" s="74"/>
      <c r="K24" s="74"/>
      <c r="L24" s="74"/>
      <c r="M24" s="74"/>
      <c r="N24" s="75"/>
      <c r="O24" s="73"/>
      <c r="P24" s="74"/>
      <c r="Q24" s="74"/>
      <c r="R24" s="74"/>
      <c r="S24" s="122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4"/>
      <c r="AX24" s="125"/>
      <c r="AY24" s="125"/>
      <c r="AZ24" s="125"/>
      <c r="BA24" s="125"/>
      <c r="BB24" s="125"/>
      <c r="BC24" s="126"/>
      <c r="BD24" s="127"/>
      <c r="BE24" s="125"/>
      <c r="BF24" s="125"/>
      <c r="BG24" s="125"/>
      <c r="BH24" s="125"/>
      <c r="BI24" s="125"/>
      <c r="BJ24" s="126"/>
      <c r="BK24" s="92"/>
    </row>
    <row r="25" spans="1:63" ht="15" customHeight="1" x14ac:dyDescent="0.25">
      <c r="A25" s="91"/>
      <c r="B25" s="63"/>
      <c r="C25" s="61"/>
      <c r="D25" s="61"/>
      <c r="E25" s="61"/>
      <c r="F25" s="61"/>
      <c r="G25" s="62"/>
      <c r="H25" s="63"/>
      <c r="I25" s="61"/>
      <c r="J25" s="61"/>
      <c r="K25" s="61"/>
      <c r="L25" s="61"/>
      <c r="M25" s="61"/>
      <c r="N25" s="62"/>
      <c r="O25" s="63"/>
      <c r="P25" s="61"/>
      <c r="Q25" s="61"/>
      <c r="R25" s="61"/>
      <c r="S25" s="116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8"/>
      <c r="AX25" s="119"/>
      <c r="AY25" s="119"/>
      <c r="AZ25" s="119"/>
      <c r="BA25" s="119"/>
      <c r="BB25" s="119"/>
      <c r="BC25" s="120"/>
      <c r="BD25" s="121"/>
      <c r="BE25" s="119"/>
      <c r="BF25" s="119"/>
      <c r="BG25" s="119"/>
      <c r="BH25" s="119"/>
      <c r="BI25" s="119"/>
      <c r="BJ25" s="120"/>
      <c r="BK25" s="92"/>
    </row>
    <row r="26" spans="1:63" ht="15" customHeight="1" x14ac:dyDescent="0.25">
      <c r="A26" s="91"/>
      <c r="B26" s="73"/>
      <c r="C26" s="74"/>
      <c r="D26" s="74"/>
      <c r="E26" s="74"/>
      <c r="F26" s="74"/>
      <c r="G26" s="75"/>
      <c r="H26" s="73"/>
      <c r="I26" s="74"/>
      <c r="J26" s="74"/>
      <c r="K26" s="74"/>
      <c r="L26" s="74"/>
      <c r="M26" s="74"/>
      <c r="N26" s="75"/>
      <c r="O26" s="73"/>
      <c r="P26" s="74"/>
      <c r="Q26" s="74"/>
      <c r="R26" s="74"/>
      <c r="S26" s="122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4"/>
      <c r="AX26" s="125"/>
      <c r="AY26" s="125"/>
      <c r="AZ26" s="125"/>
      <c r="BA26" s="125"/>
      <c r="BB26" s="125"/>
      <c r="BC26" s="126"/>
      <c r="BD26" s="127"/>
      <c r="BE26" s="125"/>
      <c r="BF26" s="125"/>
      <c r="BG26" s="125"/>
      <c r="BH26" s="125"/>
      <c r="BI26" s="125"/>
      <c r="BJ26" s="126"/>
      <c r="BK26" s="92"/>
    </row>
    <row r="27" spans="1:63" ht="15" customHeight="1" x14ac:dyDescent="0.25">
      <c r="A27" s="91"/>
      <c r="B27" s="63"/>
      <c r="C27" s="61"/>
      <c r="D27" s="61"/>
      <c r="E27" s="61"/>
      <c r="F27" s="61"/>
      <c r="G27" s="62"/>
      <c r="H27" s="63"/>
      <c r="I27" s="61"/>
      <c r="J27" s="61"/>
      <c r="K27" s="61"/>
      <c r="L27" s="61"/>
      <c r="M27" s="61"/>
      <c r="N27" s="62"/>
      <c r="O27" s="63"/>
      <c r="P27" s="61"/>
      <c r="Q27" s="61"/>
      <c r="R27" s="61"/>
      <c r="S27" s="116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8"/>
      <c r="AX27" s="119"/>
      <c r="AY27" s="119"/>
      <c r="AZ27" s="119"/>
      <c r="BA27" s="119"/>
      <c r="BB27" s="119"/>
      <c r="BC27" s="120"/>
      <c r="BD27" s="121"/>
      <c r="BE27" s="119"/>
      <c r="BF27" s="119"/>
      <c r="BG27" s="119"/>
      <c r="BH27" s="119"/>
      <c r="BI27" s="119"/>
      <c r="BJ27" s="120"/>
      <c r="BK27" s="92"/>
    </row>
    <row r="28" spans="1:63" ht="15" customHeight="1" x14ac:dyDescent="0.25">
      <c r="A28" s="91"/>
      <c r="B28" s="73"/>
      <c r="C28" s="74"/>
      <c r="D28" s="74"/>
      <c r="E28" s="74"/>
      <c r="F28" s="74"/>
      <c r="G28" s="75"/>
      <c r="H28" s="73"/>
      <c r="I28" s="74"/>
      <c r="J28" s="74"/>
      <c r="K28" s="74"/>
      <c r="L28" s="74"/>
      <c r="M28" s="74"/>
      <c r="N28" s="75"/>
      <c r="O28" s="73"/>
      <c r="P28" s="74"/>
      <c r="Q28" s="74"/>
      <c r="R28" s="74"/>
      <c r="S28" s="122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4"/>
      <c r="AX28" s="125"/>
      <c r="AY28" s="125"/>
      <c r="AZ28" s="125"/>
      <c r="BA28" s="125"/>
      <c r="BB28" s="125"/>
      <c r="BC28" s="126"/>
      <c r="BD28" s="127"/>
      <c r="BE28" s="125"/>
      <c r="BF28" s="125"/>
      <c r="BG28" s="125"/>
      <c r="BH28" s="125"/>
      <c r="BI28" s="125"/>
      <c r="BJ28" s="126"/>
      <c r="BK28" s="92"/>
    </row>
    <row r="29" spans="1:63" ht="15" customHeight="1" x14ac:dyDescent="0.25">
      <c r="A29" s="91"/>
      <c r="B29" s="63"/>
      <c r="C29" s="61"/>
      <c r="D29" s="61"/>
      <c r="E29" s="61"/>
      <c r="F29" s="61"/>
      <c r="G29" s="62"/>
      <c r="H29" s="63"/>
      <c r="I29" s="61"/>
      <c r="J29" s="61"/>
      <c r="K29" s="61"/>
      <c r="L29" s="61"/>
      <c r="M29" s="61"/>
      <c r="N29" s="62"/>
      <c r="O29" s="63"/>
      <c r="P29" s="61"/>
      <c r="Q29" s="61"/>
      <c r="R29" s="61"/>
      <c r="S29" s="116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8"/>
      <c r="AX29" s="119"/>
      <c r="AY29" s="119"/>
      <c r="AZ29" s="119"/>
      <c r="BA29" s="119"/>
      <c r="BB29" s="119"/>
      <c r="BC29" s="120"/>
      <c r="BD29" s="121"/>
      <c r="BE29" s="119"/>
      <c r="BF29" s="119"/>
      <c r="BG29" s="119"/>
      <c r="BH29" s="119"/>
      <c r="BI29" s="119"/>
      <c r="BJ29" s="120"/>
      <c r="BK29" s="92"/>
    </row>
    <row r="30" spans="1:63" ht="15" customHeight="1" x14ac:dyDescent="0.25">
      <c r="A30" s="91"/>
      <c r="B30" s="73"/>
      <c r="C30" s="74"/>
      <c r="D30" s="74"/>
      <c r="E30" s="74"/>
      <c r="F30" s="74"/>
      <c r="G30" s="75"/>
      <c r="H30" s="73"/>
      <c r="I30" s="74"/>
      <c r="J30" s="74"/>
      <c r="K30" s="74"/>
      <c r="L30" s="74"/>
      <c r="M30" s="74"/>
      <c r="N30" s="75"/>
      <c r="O30" s="73"/>
      <c r="P30" s="74"/>
      <c r="Q30" s="74"/>
      <c r="R30" s="74"/>
      <c r="S30" s="122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4"/>
      <c r="AX30" s="125"/>
      <c r="AY30" s="125"/>
      <c r="AZ30" s="125"/>
      <c r="BA30" s="125"/>
      <c r="BB30" s="125"/>
      <c r="BC30" s="126"/>
      <c r="BD30" s="127"/>
      <c r="BE30" s="125"/>
      <c r="BF30" s="125"/>
      <c r="BG30" s="125"/>
      <c r="BH30" s="125"/>
      <c r="BI30" s="125"/>
      <c r="BJ30" s="126"/>
      <c r="BK30" s="92"/>
    </row>
    <row r="31" spans="1:63" ht="15" customHeight="1" x14ac:dyDescent="0.25">
      <c r="A31" s="91"/>
      <c r="B31" s="63"/>
      <c r="C31" s="61"/>
      <c r="D31" s="61"/>
      <c r="E31" s="61"/>
      <c r="F31" s="61"/>
      <c r="G31" s="62"/>
      <c r="H31" s="63"/>
      <c r="I31" s="61"/>
      <c r="J31" s="61"/>
      <c r="K31" s="61"/>
      <c r="L31" s="61"/>
      <c r="M31" s="61"/>
      <c r="N31" s="62"/>
      <c r="O31" s="63"/>
      <c r="P31" s="61"/>
      <c r="Q31" s="61"/>
      <c r="R31" s="61"/>
      <c r="S31" s="116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8"/>
      <c r="AX31" s="119"/>
      <c r="AY31" s="119"/>
      <c r="AZ31" s="119"/>
      <c r="BA31" s="119"/>
      <c r="BB31" s="119"/>
      <c r="BC31" s="120"/>
      <c r="BD31" s="121"/>
      <c r="BE31" s="119"/>
      <c r="BF31" s="119"/>
      <c r="BG31" s="119"/>
      <c r="BH31" s="119"/>
      <c r="BI31" s="119"/>
      <c r="BJ31" s="120"/>
      <c r="BK31" s="92"/>
    </row>
    <row r="32" spans="1:63" ht="15" customHeight="1" x14ac:dyDescent="0.25">
      <c r="A32" s="91"/>
      <c r="B32" s="73"/>
      <c r="C32" s="74"/>
      <c r="D32" s="74"/>
      <c r="E32" s="74"/>
      <c r="F32" s="74"/>
      <c r="G32" s="75"/>
      <c r="H32" s="73"/>
      <c r="I32" s="74"/>
      <c r="J32" s="74"/>
      <c r="K32" s="74"/>
      <c r="L32" s="74"/>
      <c r="M32" s="74"/>
      <c r="N32" s="75"/>
      <c r="O32" s="73"/>
      <c r="P32" s="74"/>
      <c r="Q32" s="74"/>
      <c r="R32" s="74"/>
      <c r="S32" s="122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4"/>
      <c r="AX32" s="125"/>
      <c r="AY32" s="125"/>
      <c r="AZ32" s="125"/>
      <c r="BA32" s="125"/>
      <c r="BB32" s="125"/>
      <c r="BC32" s="126"/>
      <c r="BD32" s="127"/>
      <c r="BE32" s="125"/>
      <c r="BF32" s="125"/>
      <c r="BG32" s="125"/>
      <c r="BH32" s="125"/>
      <c r="BI32" s="125"/>
      <c r="BJ32" s="126"/>
      <c r="BK32" s="92"/>
    </row>
    <row r="33" spans="1:63" ht="15" customHeight="1" x14ac:dyDescent="0.25">
      <c r="A33" s="91"/>
      <c r="B33" s="63"/>
      <c r="C33" s="61"/>
      <c r="D33" s="61"/>
      <c r="E33" s="61"/>
      <c r="F33" s="61"/>
      <c r="G33" s="62"/>
      <c r="H33" s="63"/>
      <c r="I33" s="61"/>
      <c r="J33" s="61"/>
      <c r="K33" s="61"/>
      <c r="L33" s="61"/>
      <c r="M33" s="61"/>
      <c r="N33" s="62"/>
      <c r="O33" s="63"/>
      <c r="P33" s="61"/>
      <c r="Q33" s="61"/>
      <c r="R33" s="61"/>
      <c r="S33" s="116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8"/>
      <c r="AX33" s="119"/>
      <c r="AY33" s="119"/>
      <c r="AZ33" s="119"/>
      <c r="BA33" s="119"/>
      <c r="BB33" s="119"/>
      <c r="BC33" s="120"/>
      <c r="BD33" s="121"/>
      <c r="BE33" s="119"/>
      <c r="BF33" s="119"/>
      <c r="BG33" s="119"/>
      <c r="BH33" s="119"/>
      <c r="BI33" s="119"/>
      <c r="BJ33" s="120"/>
      <c r="BK33" s="92"/>
    </row>
    <row r="34" spans="1:63" ht="15" customHeight="1" x14ac:dyDescent="0.25">
      <c r="A34" s="91"/>
      <c r="B34" s="73"/>
      <c r="C34" s="74"/>
      <c r="D34" s="74"/>
      <c r="E34" s="74"/>
      <c r="F34" s="74"/>
      <c r="G34" s="75"/>
      <c r="H34" s="73"/>
      <c r="I34" s="74"/>
      <c r="J34" s="74"/>
      <c r="K34" s="74"/>
      <c r="L34" s="74"/>
      <c r="M34" s="74"/>
      <c r="N34" s="75"/>
      <c r="O34" s="73"/>
      <c r="P34" s="74"/>
      <c r="Q34" s="74"/>
      <c r="R34" s="74"/>
      <c r="S34" s="122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4"/>
      <c r="AX34" s="125"/>
      <c r="AY34" s="125"/>
      <c r="AZ34" s="125"/>
      <c r="BA34" s="125"/>
      <c r="BB34" s="125"/>
      <c r="BC34" s="126"/>
      <c r="BD34" s="127"/>
      <c r="BE34" s="125"/>
      <c r="BF34" s="125"/>
      <c r="BG34" s="125"/>
      <c r="BH34" s="125"/>
      <c r="BI34" s="125"/>
      <c r="BJ34" s="126"/>
      <c r="BK34" s="92"/>
    </row>
    <row r="35" spans="1:63" ht="15" customHeight="1" x14ac:dyDescent="0.25">
      <c r="A35" s="91"/>
      <c r="B35" s="63"/>
      <c r="C35" s="61"/>
      <c r="D35" s="61"/>
      <c r="E35" s="61"/>
      <c r="F35" s="61"/>
      <c r="G35" s="62"/>
      <c r="H35" s="63"/>
      <c r="I35" s="61"/>
      <c r="J35" s="61"/>
      <c r="K35" s="61"/>
      <c r="L35" s="61"/>
      <c r="M35" s="61"/>
      <c r="N35" s="62"/>
      <c r="O35" s="63"/>
      <c r="P35" s="61"/>
      <c r="Q35" s="61"/>
      <c r="R35" s="61"/>
      <c r="S35" s="116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8"/>
      <c r="AX35" s="119"/>
      <c r="AY35" s="119"/>
      <c r="AZ35" s="119"/>
      <c r="BA35" s="119"/>
      <c r="BB35" s="119"/>
      <c r="BC35" s="120"/>
      <c r="BD35" s="121"/>
      <c r="BE35" s="119"/>
      <c r="BF35" s="119"/>
      <c r="BG35" s="119"/>
      <c r="BH35" s="119"/>
      <c r="BI35" s="119"/>
      <c r="BJ35" s="120"/>
      <c r="BK35" s="92"/>
    </row>
    <row r="36" spans="1:63" ht="15" customHeight="1" x14ac:dyDescent="0.25">
      <c r="A36" s="91"/>
      <c r="B36" s="73"/>
      <c r="C36" s="74"/>
      <c r="D36" s="74"/>
      <c r="E36" s="74"/>
      <c r="F36" s="74"/>
      <c r="G36" s="75"/>
      <c r="H36" s="73"/>
      <c r="I36" s="74"/>
      <c r="J36" s="74"/>
      <c r="K36" s="74"/>
      <c r="L36" s="74"/>
      <c r="M36" s="74"/>
      <c r="N36" s="75"/>
      <c r="O36" s="73"/>
      <c r="P36" s="74"/>
      <c r="Q36" s="74"/>
      <c r="R36" s="74"/>
      <c r="S36" s="122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4"/>
      <c r="AX36" s="125"/>
      <c r="AY36" s="125"/>
      <c r="AZ36" s="125"/>
      <c r="BA36" s="125"/>
      <c r="BB36" s="125"/>
      <c r="BC36" s="126"/>
      <c r="BD36" s="127"/>
      <c r="BE36" s="125"/>
      <c r="BF36" s="125"/>
      <c r="BG36" s="125"/>
      <c r="BH36" s="125"/>
      <c r="BI36" s="125"/>
      <c r="BJ36" s="126"/>
      <c r="BK36" s="92"/>
    </row>
    <row r="37" spans="1:63" ht="15" customHeight="1" x14ac:dyDescent="0.25">
      <c r="A37" s="91"/>
      <c r="B37" s="63"/>
      <c r="C37" s="61"/>
      <c r="D37" s="61"/>
      <c r="E37" s="61"/>
      <c r="F37" s="61"/>
      <c r="G37" s="62"/>
      <c r="H37" s="63"/>
      <c r="I37" s="61"/>
      <c r="J37" s="61"/>
      <c r="K37" s="61"/>
      <c r="L37" s="61"/>
      <c r="M37" s="61"/>
      <c r="N37" s="62"/>
      <c r="O37" s="63"/>
      <c r="P37" s="61"/>
      <c r="Q37" s="61"/>
      <c r="R37" s="61"/>
      <c r="S37" s="116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8"/>
      <c r="AX37" s="119"/>
      <c r="AY37" s="119"/>
      <c r="AZ37" s="119"/>
      <c r="BA37" s="119"/>
      <c r="BB37" s="119"/>
      <c r="BC37" s="120"/>
      <c r="BD37" s="121"/>
      <c r="BE37" s="119"/>
      <c r="BF37" s="119"/>
      <c r="BG37" s="119"/>
      <c r="BH37" s="119"/>
      <c r="BI37" s="119"/>
      <c r="BJ37" s="120"/>
      <c r="BK37" s="92"/>
    </row>
    <row r="38" spans="1:63" ht="15" customHeight="1" x14ac:dyDescent="0.25">
      <c r="A38" s="91"/>
      <c r="B38" s="73"/>
      <c r="C38" s="74"/>
      <c r="D38" s="74"/>
      <c r="E38" s="74"/>
      <c r="F38" s="74"/>
      <c r="G38" s="75"/>
      <c r="H38" s="73"/>
      <c r="I38" s="74"/>
      <c r="J38" s="74"/>
      <c r="K38" s="74"/>
      <c r="L38" s="74"/>
      <c r="M38" s="74"/>
      <c r="N38" s="75"/>
      <c r="O38" s="73"/>
      <c r="P38" s="74"/>
      <c r="Q38" s="74"/>
      <c r="R38" s="74"/>
      <c r="S38" s="122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4"/>
      <c r="AX38" s="125"/>
      <c r="AY38" s="125"/>
      <c r="AZ38" s="125"/>
      <c r="BA38" s="125"/>
      <c r="BB38" s="125"/>
      <c r="BC38" s="126"/>
      <c r="BD38" s="127"/>
      <c r="BE38" s="125"/>
      <c r="BF38" s="125"/>
      <c r="BG38" s="125"/>
      <c r="BH38" s="125"/>
      <c r="BI38" s="125"/>
      <c r="BJ38" s="126"/>
      <c r="BK38" s="92"/>
    </row>
    <row r="39" spans="1:63" ht="15" customHeight="1" x14ac:dyDescent="0.25">
      <c r="A39" s="91"/>
      <c r="B39" s="63"/>
      <c r="C39" s="61"/>
      <c r="D39" s="61"/>
      <c r="E39" s="61"/>
      <c r="F39" s="61"/>
      <c r="G39" s="62"/>
      <c r="H39" s="63"/>
      <c r="I39" s="61"/>
      <c r="J39" s="61"/>
      <c r="K39" s="61"/>
      <c r="L39" s="61"/>
      <c r="M39" s="61"/>
      <c r="N39" s="62"/>
      <c r="O39" s="63"/>
      <c r="P39" s="61"/>
      <c r="Q39" s="61"/>
      <c r="R39" s="61"/>
      <c r="S39" s="116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8"/>
      <c r="AX39" s="119"/>
      <c r="AY39" s="119"/>
      <c r="AZ39" s="119"/>
      <c r="BA39" s="119"/>
      <c r="BB39" s="119"/>
      <c r="BC39" s="120"/>
      <c r="BD39" s="121"/>
      <c r="BE39" s="119"/>
      <c r="BF39" s="119"/>
      <c r="BG39" s="119"/>
      <c r="BH39" s="119"/>
      <c r="BI39" s="119"/>
      <c r="BJ39" s="120"/>
      <c r="BK39" s="92"/>
    </row>
    <row r="40" spans="1:63" ht="15" customHeight="1" x14ac:dyDescent="0.25">
      <c r="A40" s="91"/>
      <c r="B40" s="73"/>
      <c r="C40" s="74"/>
      <c r="D40" s="74"/>
      <c r="E40" s="74"/>
      <c r="F40" s="74"/>
      <c r="G40" s="75"/>
      <c r="H40" s="73"/>
      <c r="I40" s="74"/>
      <c r="J40" s="74"/>
      <c r="K40" s="74"/>
      <c r="L40" s="74"/>
      <c r="M40" s="74"/>
      <c r="N40" s="75"/>
      <c r="O40" s="73"/>
      <c r="P40" s="74"/>
      <c r="Q40" s="74"/>
      <c r="R40" s="74"/>
      <c r="S40" s="122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4"/>
      <c r="AX40" s="125"/>
      <c r="AY40" s="125"/>
      <c r="AZ40" s="125"/>
      <c r="BA40" s="125"/>
      <c r="BB40" s="125"/>
      <c r="BC40" s="126"/>
      <c r="BD40" s="127"/>
      <c r="BE40" s="125"/>
      <c r="BF40" s="125"/>
      <c r="BG40" s="125"/>
      <c r="BH40" s="125"/>
      <c r="BI40" s="125"/>
      <c r="BJ40" s="126"/>
      <c r="BK40" s="92"/>
    </row>
    <row r="41" spans="1:63" ht="15" customHeight="1" x14ac:dyDescent="0.25">
      <c r="A41" s="91"/>
      <c r="B41" s="63"/>
      <c r="C41" s="61"/>
      <c r="D41" s="61"/>
      <c r="E41" s="61"/>
      <c r="F41" s="61"/>
      <c r="G41" s="62"/>
      <c r="H41" s="63"/>
      <c r="I41" s="61"/>
      <c r="J41" s="61"/>
      <c r="K41" s="61"/>
      <c r="L41" s="61"/>
      <c r="M41" s="61"/>
      <c r="N41" s="62"/>
      <c r="O41" s="63"/>
      <c r="P41" s="61"/>
      <c r="Q41" s="61"/>
      <c r="R41" s="61"/>
      <c r="S41" s="116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8"/>
      <c r="AX41" s="119"/>
      <c r="AY41" s="119"/>
      <c r="AZ41" s="119"/>
      <c r="BA41" s="119"/>
      <c r="BB41" s="119"/>
      <c r="BC41" s="120"/>
      <c r="BD41" s="121"/>
      <c r="BE41" s="119"/>
      <c r="BF41" s="119"/>
      <c r="BG41" s="119"/>
      <c r="BH41" s="119"/>
      <c r="BI41" s="119"/>
      <c r="BJ41" s="120"/>
      <c r="BK41" s="92"/>
    </row>
    <row r="42" spans="1:63" ht="15" customHeight="1" x14ac:dyDescent="0.25">
      <c r="A42" s="91"/>
      <c r="B42" s="73"/>
      <c r="C42" s="74"/>
      <c r="D42" s="74"/>
      <c r="E42" s="74"/>
      <c r="F42" s="74"/>
      <c r="G42" s="75"/>
      <c r="H42" s="73"/>
      <c r="I42" s="74"/>
      <c r="J42" s="74"/>
      <c r="K42" s="74"/>
      <c r="L42" s="74"/>
      <c r="M42" s="74"/>
      <c r="N42" s="75"/>
      <c r="O42" s="73"/>
      <c r="P42" s="74"/>
      <c r="Q42" s="74"/>
      <c r="R42" s="74"/>
      <c r="S42" s="122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4"/>
      <c r="AX42" s="125"/>
      <c r="AY42" s="125"/>
      <c r="AZ42" s="125"/>
      <c r="BA42" s="125"/>
      <c r="BB42" s="125"/>
      <c r="BC42" s="126"/>
      <c r="BD42" s="127"/>
      <c r="BE42" s="125"/>
      <c r="BF42" s="125"/>
      <c r="BG42" s="125"/>
      <c r="BH42" s="125"/>
      <c r="BI42" s="125"/>
      <c r="BJ42" s="126"/>
      <c r="BK42" s="92"/>
    </row>
    <row r="43" spans="1:63" ht="15" customHeight="1" x14ac:dyDescent="0.25">
      <c r="A43" s="91"/>
      <c r="B43" s="63"/>
      <c r="C43" s="61"/>
      <c r="D43" s="61"/>
      <c r="E43" s="61"/>
      <c r="F43" s="61"/>
      <c r="G43" s="62"/>
      <c r="H43" s="63"/>
      <c r="I43" s="61"/>
      <c r="J43" s="61"/>
      <c r="K43" s="61"/>
      <c r="L43" s="61"/>
      <c r="M43" s="61"/>
      <c r="N43" s="62"/>
      <c r="O43" s="63"/>
      <c r="P43" s="61"/>
      <c r="Q43" s="61"/>
      <c r="R43" s="61"/>
      <c r="S43" s="116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8"/>
      <c r="AX43" s="119"/>
      <c r="AY43" s="119"/>
      <c r="AZ43" s="119"/>
      <c r="BA43" s="119"/>
      <c r="BB43" s="119"/>
      <c r="BC43" s="120"/>
      <c r="BD43" s="121"/>
      <c r="BE43" s="119"/>
      <c r="BF43" s="119"/>
      <c r="BG43" s="119"/>
      <c r="BH43" s="119"/>
      <c r="BI43" s="119"/>
      <c r="BJ43" s="120"/>
      <c r="BK43" s="92"/>
    </row>
    <row r="44" spans="1:63" ht="15" customHeight="1" x14ac:dyDescent="0.25">
      <c r="A44" s="91"/>
      <c r="B44" s="73"/>
      <c r="C44" s="74"/>
      <c r="D44" s="74"/>
      <c r="E44" s="74"/>
      <c r="F44" s="74"/>
      <c r="G44" s="75"/>
      <c r="H44" s="73"/>
      <c r="I44" s="74"/>
      <c r="J44" s="74"/>
      <c r="K44" s="74"/>
      <c r="L44" s="74"/>
      <c r="M44" s="74"/>
      <c r="N44" s="75"/>
      <c r="O44" s="73"/>
      <c r="P44" s="74"/>
      <c r="Q44" s="74"/>
      <c r="R44" s="74"/>
      <c r="S44" s="122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4"/>
      <c r="AX44" s="125"/>
      <c r="AY44" s="125"/>
      <c r="AZ44" s="125"/>
      <c r="BA44" s="125"/>
      <c r="BB44" s="125"/>
      <c r="BC44" s="126"/>
      <c r="BD44" s="127"/>
      <c r="BE44" s="125"/>
      <c r="BF44" s="125"/>
      <c r="BG44" s="125"/>
      <c r="BH44" s="125"/>
      <c r="BI44" s="125"/>
      <c r="BJ44" s="126"/>
      <c r="BK44" s="92"/>
    </row>
    <row r="45" spans="1:63" ht="15" customHeight="1" x14ac:dyDescent="0.25">
      <c r="A45" s="91"/>
      <c r="B45" s="63"/>
      <c r="C45" s="61"/>
      <c r="D45" s="61"/>
      <c r="E45" s="61"/>
      <c r="F45" s="61"/>
      <c r="G45" s="62"/>
      <c r="H45" s="63"/>
      <c r="I45" s="61"/>
      <c r="J45" s="61"/>
      <c r="K45" s="61"/>
      <c r="L45" s="61"/>
      <c r="M45" s="61"/>
      <c r="N45" s="62"/>
      <c r="O45" s="63"/>
      <c r="P45" s="61"/>
      <c r="Q45" s="61"/>
      <c r="R45" s="61"/>
      <c r="S45" s="116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8"/>
      <c r="AX45" s="119"/>
      <c r="AY45" s="119"/>
      <c r="AZ45" s="119"/>
      <c r="BA45" s="119"/>
      <c r="BB45" s="119"/>
      <c r="BC45" s="120"/>
      <c r="BD45" s="121"/>
      <c r="BE45" s="119"/>
      <c r="BF45" s="119"/>
      <c r="BG45" s="119"/>
      <c r="BH45" s="119"/>
      <c r="BI45" s="119"/>
      <c r="BJ45" s="120"/>
      <c r="BK45" s="92"/>
    </row>
    <row r="46" spans="1:63" ht="15" customHeight="1" x14ac:dyDescent="0.25">
      <c r="A46" s="91"/>
      <c r="B46" s="73"/>
      <c r="C46" s="74"/>
      <c r="D46" s="74"/>
      <c r="E46" s="74"/>
      <c r="F46" s="74"/>
      <c r="G46" s="75"/>
      <c r="H46" s="73"/>
      <c r="I46" s="74"/>
      <c r="J46" s="74"/>
      <c r="K46" s="74"/>
      <c r="L46" s="74"/>
      <c r="M46" s="74"/>
      <c r="N46" s="75"/>
      <c r="O46" s="73"/>
      <c r="P46" s="74"/>
      <c r="Q46" s="74"/>
      <c r="R46" s="74"/>
      <c r="S46" s="122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4"/>
      <c r="AX46" s="125"/>
      <c r="AY46" s="125"/>
      <c r="AZ46" s="125"/>
      <c r="BA46" s="125"/>
      <c r="BB46" s="125"/>
      <c r="BC46" s="126"/>
      <c r="BD46" s="127"/>
      <c r="BE46" s="125"/>
      <c r="BF46" s="125"/>
      <c r="BG46" s="125"/>
      <c r="BH46" s="125"/>
      <c r="BI46" s="125"/>
      <c r="BJ46" s="126"/>
      <c r="BK46" s="92"/>
    </row>
    <row r="47" spans="1:63" ht="15" customHeight="1" x14ac:dyDescent="0.25">
      <c r="A47" s="91"/>
      <c r="B47" s="63"/>
      <c r="C47" s="61"/>
      <c r="D47" s="61"/>
      <c r="E47" s="61"/>
      <c r="F47" s="61"/>
      <c r="G47" s="62"/>
      <c r="H47" s="63"/>
      <c r="I47" s="61"/>
      <c r="J47" s="61"/>
      <c r="K47" s="61"/>
      <c r="L47" s="61"/>
      <c r="M47" s="61"/>
      <c r="N47" s="62"/>
      <c r="O47" s="63"/>
      <c r="P47" s="61"/>
      <c r="Q47" s="61"/>
      <c r="R47" s="61"/>
      <c r="S47" s="116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8"/>
      <c r="AX47" s="119"/>
      <c r="AY47" s="119"/>
      <c r="AZ47" s="119"/>
      <c r="BA47" s="119"/>
      <c r="BB47" s="119"/>
      <c r="BC47" s="120"/>
      <c r="BD47" s="121"/>
      <c r="BE47" s="119"/>
      <c r="BF47" s="119"/>
      <c r="BG47" s="119"/>
      <c r="BH47" s="119"/>
      <c r="BI47" s="119"/>
      <c r="BJ47" s="120"/>
      <c r="BK47" s="92"/>
    </row>
    <row r="48" spans="1:63" ht="15" customHeight="1" x14ac:dyDescent="0.25">
      <c r="A48" s="91"/>
      <c r="B48" s="73"/>
      <c r="C48" s="74"/>
      <c r="D48" s="74"/>
      <c r="E48" s="74"/>
      <c r="F48" s="74"/>
      <c r="G48" s="75"/>
      <c r="H48" s="73"/>
      <c r="I48" s="74"/>
      <c r="J48" s="74"/>
      <c r="K48" s="74"/>
      <c r="L48" s="74"/>
      <c r="M48" s="74"/>
      <c r="N48" s="75"/>
      <c r="O48" s="73"/>
      <c r="P48" s="74"/>
      <c r="Q48" s="74"/>
      <c r="R48" s="74"/>
      <c r="S48" s="122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4"/>
      <c r="AX48" s="125"/>
      <c r="AY48" s="125"/>
      <c r="AZ48" s="125"/>
      <c r="BA48" s="125"/>
      <c r="BB48" s="125"/>
      <c r="BC48" s="126"/>
      <c r="BD48" s="127"/>
      <c r="BE48" s="125"/>
      <c r="BF48" s="125"/>
      <c r="BG48" s="125"/>
      <c r="BH48" s="125"/>
      <c r="BI48" s="125"/>
      <c r="BJ48" s="126"/>
      <c r="BK48" s="92"/>
    </row>
    <row r="49" spans="1:63" ht="15" customHeight="1" x14ac:dyDescent="0.25">
      <c r="A49" s="91"/>
      <c r="B49" s="63"/>
      <c r="C49" s="61"/>
      <c r="D49" s="61"/>
      <c r="E49" s="61"/>
      <c r="F49" s="61"/>
      <c r="G49" s="62"/>
      <c r="H49" s="63"/>
      <c r="I49" s="61"/>
      <c r="J49" s="61"/>
      <c r="K49" s="61"/>
      <c r="L49" s="61"/>
      <c r="M49" s="61"/>
      <c r="N49" s="62"/>
      <c r="O49" s="63"/>
      <c r="P49" s="61"/>
      <c r="Q49" s="61"/>
      <c r="R49" s="61"/>
      <c r="S49" s="116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8"/>
      <c r="AX49" s="119"/>
      <c r="AY49" s="119"/>
      <c r="AZ49" s="119"/>
      <c r="BA49" s="119"/>
      <c r="BB49" s="119"/>
      <c r="BC49" s="120"/>
      <c r="BD49" s="121"/>
      <c r="BE49" s="119"/>
      <c r="BF49" s="119"/>
      <c r="BG49" s="119"/>
      <c r="BH49" s="119"/>
      <c r="BI49" s="119"/>
      <c r="BJ49" s="120"/>
      <c r="BK49" s="92"/>
    </row>
    <row r="50" spans="1:63" ht="15" customHeight="1" x14ac:dyDescent="0.25">
      <c r="A50" s="91"/>
      <c r="B50" s="73"/>
      <c r="C50" s="74"/>
      <c r="D50" s="74"/>
      <c r="E50" s="74"/>
      <c r="F50" s="74"/>
      <c r="G50" s="75"/>
      <c r="H50" s="73"/>
      <c r="I50" s="74"/>
      <c r="J50" s="74"/>
      <c r="K50" s="74"/>
      <c r="L50" s="74"/>
      <c r="M50" s="74"/>
      <c r="N50" s="75"/>
      <c r="O50" s="73"/>
      <c r="P50" s="74"/>
      <c r="Q50" s="74"/>
      <c r="R50" s="74"/>
      <c r="S50" s="122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4"/>
      <c r="AX50" s="125"/>
      <c r="AY50" s="125"/>
      <c r="AZ50" s="125"/>
      <c r="BA50" s="125"/>
      <c r="BB50" s="125"/>
      <c r="BC50" s="126"/>
      <c r="BD50" s="127"/>
      <c r="BE50" s="125"/>
      <c r="BF50" s="125"/>
      <c r="BG50" s="125"/>
      <c r="BH50" s="125"/>
      <c r="BI50" s="125"/>
      <c r="BJ50" s="126"/>
      <c r="BK50" s="92"/>
    </row>
    <row r="51" spans="1:63" ht="15" customHeight="1" x14ac:dyDescent="0.25">
      <c r="A51" s="91"/>
      <c r="B51" s="63"/>
      <c r="C51" s="61"/>
      <c r="D51" s="61"/>
      <c r="E51" s="61"/>
      <c r="F51" s="61"/>
      <c r="G51" s="62"/>
      <c r="H51" s="63"/>
      <c r="I51" s="61"/>
      <c r="J51" s="61"/>
      <c r="K51" s="61"/>
      <c r="L51" s="61"/>
      <c r="M51" s="61"/>
      <c r="N51" s="62"/>
      <c r="O51" s="63"/>
      <c r="P51" s="61"/>
      <c r="Q51" s="61"/>
      <c r="R51" s="61"/>
      <c r="S51" s="116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8"/>
      <c r="AX51" s="119"/>
      <c r="AY51" s="119"/>
      <c r="AZ51" s="119"/>
      <c r="BA51" s="119"/>
      <c r="BB51" s="119"/>
      <c r="BC51" s="120"/>
      <c r="BD51" s="121"/>
      <c r="BE51" s="119"/>
      <c r="BF51" s="119"/>
      <c r="BG51" s="119"/>
      <c r="BH51" s="119"/>
      <c r="BI51" s="119"/>
      <c r="BJ51" s="120"/>
      <c r="BK51" s="92"/>
    </row>
    <row r="52" spans="1:63" ht="15" customHeight="1" x14ac:dyDescent="0.25">
      <c r="A52" s="91"/>
      <c r="B52" s="73"/>
      <c r="C52" s="74"/>
      <c r="D52" s="74"/>
      <c r="E52" s="74"/>
      <c r="F52" s="74"/>
      <c r="G52" s="75"/>
      <c r="H52" s="73"/>
      <c r="I52" s="74"/>
      <c r="J52" s="74"/>
      <c r="K52" s="74"/>
      <c r="L52" s="74"/>
      <c r="M52" s="74"/>
      <c r="N52" s="75"/>
      <c r="O52" s="73"/>
      <c r="P52" s="74"/>
      <c r="Q52" s="74"/>
      <c r="R52" s="74"/>
      <c r="S52" s="122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4"/>
      <c r="AX52" s="125"/>
      <c r="AY52" s="125"/>
      <c r="AZ52" s="125"/>
      <c r="BA52" s="125"/>
      <c r="BB52" s="125"/>
      <c r="BC52" s="126"/>
      <c r="BD52" s="127"/>
      <c r="BE52" s="125"/>
      <c r="BF52" s="125"/>
      <c r="BG52" s="125"/>
      <c r="BH52" s="125"/>
      <c r="BI52" s="125"/>
      <c r="BJ52" s="126"/>
      <c r="BK52" s="92"/>
    </row>
    <row r="53" spans="1:63" ht="15" customHeight="1" x14ac:dyDescent="0.25">
      <c r="A53" s="91"/>
      <c r="B53" s="63"/>
      <c r="C53" s="61"/>
      <c r="D53" s="61"/>
      <c r="E53" s="61"/>
      <c r="F53" s="61"/>
      <c r="G53" s="62"/>
      <c r="H53" s="63"/>
      <c r="I53" s="61"/>
      <c r="J53" s="61"/>
      <c r="K53" s="61"/>
      <c r="L53" s="61"/>
      <c r="M53" s="61"/>
      <c r="N53" s="62"/>
      <c r="O53" s="63"/>
      <c r="P53" s="61"/>
      <c r="Q53" s="61"/>
      <c r="R53" s="61"/>
      <c r="S53" s="116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8"/>
      <c r="AX53" s="119"/>
      <c r="AY53" s="119"/>
      <c r="AZ53" s="119"/>
      <c r="BA53" s="119"/>
      <c r="BB53" s="119"/>
      <c r="BC53" s="120"/>
      <c r="BD53" s="121"/>
      <c r="BE53" s="119"/>
      <c r="BF53" s="119"/>
      <c r="BG53" s="119"/>
      <c r="BH53" s="119"/>
      <c r="BI53" s="119"/>
      <c r="BJ53" s="120"/>
      <c r="BK53" s="92"/>
    </row>
    <row r="54" spans="1:63" ht="15" customHeight="1" x14ac:dyDescent="0.25">
      <c r="A54" s="91"/>
      <c r="B54" s="73"/>
      <c r="C54" s="74"/>
      <c r="D54" s="74"/>
      <c r="E54" s="74"/>
      <c r="F54" s="74"/>
      <c r="G54" s="75"/>
      <c r="H54" s="73"/>
      <c r="I54" s="74"/>
      <c r="J54" s="74"/>
      <c r="K54" s="74"/>
      <c r="L54" s="74"/>
      <c r="M54" s="74"/>
      <c r="N54" s="75"/>
      <c r="O54" s="73"/>
      <c r="P54" s="74"/>
      <c r="Q54" s="74"/>
      <c r="R54" s="74"/>
      <c r="S54" s="122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4"/>
      <c r="AX54" s="125"/>
      <c r="AY54" s="125"/>
      <c r="AZ54" s="125"/>
      <c r="BA54" s="125"/>
      <c r="BB54" s="125"/>
      <c r="BC54" s="126"/>
      <c r="BD54" s="127"/>
      <c r="BE54" s="125"/>
      <c r="BF54" s="125"/>
      <c r="BG54" s="125"/>
      <c r="BH54" s="125"/>
      <c r="BI54" s="125"/>
      <c r="BJ54" s="126"/>
      <c r="BK54" s="92"/>
    </row>
    <row r="55" spans="1:63" ht="15" customHeight="1" x14ac:dyDescent="0.25">
      <c r="A55" s="88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9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35A9-410E-42D0-999C-996642D87689}">
  <sheetPr>
    <pageSetUpPr fitToPage="1"/>
  </sheetPr>
  <dimension ref="A1:BK411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28" t="s">
        <v>58</v>
      </c>
      <c r="B1" s="129"/>
      <c r="C1" s="129"/>
      <c r="D1" s="129"/>
      <c r="E1" s="129"/>
      <c r="F1" s="129"/>
      <c r="G1" s="129"/>
      <c r="H1" s="129"/>
      <c r="I1" s="129"/>
      <c r="J1" s="130"/>
      <c r="K1" s="128" t="s">
        <v>59</v>
      </c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30"/>
      <c r="W1" s="131" t="str">
        <f>IF(表紙!W1="","",表紙!W1)</f>
        <v>詳細設計書</v>
      </c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3"/>
      <c r="AP1" s="54" t="s">
        <v>61</v>
      </c>
      <c r="AQ1" s="55"/>
      <c r="AR1" s="55"/>
      <c r="AS1" s="56"/>
      <c r="AT1" s="54" t="s">
        <v>62</v>
      </c>
      <c r="AU1" s="55"/>
      <c r="AV1" s="55"/>
      <c r="AW1" s="55"/>
      <c r="AX1" s="56"/>
      <c r="AY1" s="54" t="s">
        <v>63</v>
      </c>
      <c r="AZ1" s="55"/>
      <c r="BA1" s="55"/>
      <c r="BB1" s="56"/>
      <c r="BC1" s="54" t="s">
        <v>64</v>
      </c>
      <c r="BD1" s="55"/>
      <c r="BE1" s="55"/>
      <c r="BF1" s="55"/>
      <c r="BG1" s="56"/>
      <c r="BH1" s="54" t="s">
        <v>65</v>
      </c>
      <c r="BI1" s="55"/>
      <c r="BJ1" s="55"/>
      <c r="BK1" s="56"/>
    </row>
    <row r="2" spans="1:63" ht="15" customHeight="1" x14ac:dyDescent="0.25">
      <c r="A2" s="29" t="str">
        <f>IF(表紙!A2="","",表紙!A2)</f>
        <v>POSサーバー</v>
      </c>
      <c r="B2" s="30"/>
      <c r="C2" s="30"/>
      <c r="D2" s="30"/>
      <c r="E2" s="30"/>
      <c r="F2" s="30"/>
      <c r="G2" s="30"/>
      <c r="H2" s="30"/>
      <c r="I2" s="30"/>
      <c r="J2" s="31"/>
      <c r="K2" s="29" t="str">
        <f>IF(表紙!K2="","",表紙!K2)</f>
        <v>POSサーバ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134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6"/>
      <c r="AP2" s="63" t="str">
        <f>IF(表紙!AP2="","",表紙!AP2)</f>
        <v>DuNT</v>
      </c>
      <c r="AQ2" s="61"/>
      <c r="AR2" s="61"/>
      <c r="AS2" s="62"/>
      <c r="AT2" s="67">
        <f>IF(表紙!AT2="","",表紙!AT2)</f>
        <v>45540</v>
      </c>
      <c r="AU2" s="68"/>
      <c r="AV2" s="68"/>
      <c r="AW2" s="68"/>
      <c r="AX2" s="69"/>
      <c r="AY2" s="63" t="str">
        <f>IF(表紙!AY2="","",表紙!AY2)</f>
        <v>DuNT</v>
      </c>
      <c r="AZ2" s="61"/>
      <c r="BA2" s="61"/>
      <c r="BB2" s="62"/>
      <c r="BC2" s="67">
        <f>IF(表紙!BC2="","",表紙!BC2)</f>
        <v>45540</v>
      </c>
      <c r="BD2" s="68"/>
      <c r="BE2" s="68"/>
      <c r="BF2" s="68"/>
      <c r="BG2" s="69"/>
      <c r="BH2" s="63">
        <f>IF(表紙!BH2="","",表紙!BH2)</f>
        <v>0.1</v>
      </c>
      <c r="BI2" s="61"/>
      <c r="BJ2" s="61"/>
      <c r="BK2" s="62"/>
    </row>
    <row r="3" spans="1:63" ht="15" customHeight="1" x14ac:dyDescent="0.25">
      <c r="A3" s="32"/>
      <c r="B3" s="33"/>
      <c r="C3" s="33"/>
      <c r="D3" s="33"/>
      <c r="E3" s="33"/>
      <c r="F3" s="33"/>
      <c r="G3" s="33"/>
      <c r="H3" s="33"/>
      <c r="I3" s="33"/>
      <c r="J3" s="34"/>
      <c r="K3" s="32"/>
      <c r="L3" s="33"/>
      <c r="M3" s="33"/>
      <c r="N3" s="33"/>
      <c r="O3" s="33"/>
      <c r="P3" s="33"/>
      <c r="Q3" s="33"/>
      <c r="R3" s="33"/>
      <c r="S3" s="33"/>
      <c r="T3" s="33"/>
      <c r="U3" s="33"/>
      <c r="V3" s="34"/>
      <c r="W3" s="137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9"/>
      <c r="AP3" s="73"/>
      <c r="AQ3" s="74"/>
      <c r="AR3" s="74"/>
      <c r="AS3" s="75"/>
      <c r="AT3" s="79"/>
      <c r="AU3" s="80"/>
      <c r="AV3" s="80"/>
      <c r="AW3" s="80"/>
      <c r="AX3" s="81"/>
      <c r="AY3" s="73"/>
      <c r="AZ3" s="74"/>
      <c r="BA3" s="74"/>
      <c r="BB3" s="75"/>
      <c r="BC3" s="79"/>
      <c r="BD3" s="80"/>
      <c r="BE3" s="80"/>
      <c r="BF3" s="80"/>
      <c r="BG3" s="81"/>
      <c r="BH3" s="73"/>
      <c r="BI3" s="74"/>
      <c r="BJ3" s="74"/>
      <c r="BK3" s="75"/>
    </row>
    <row r="4" spans="1:63" ht="24.95" customHeight="1" x14ac:dyDescent="0.25">
      <c r="A4" s="140" t="s">
        <v>76</v>
      </c>
      <c r="B4" s="129"/>
      <c r="C4" s="129"/>
      <c r="D4" s="129"/>
      <c r="E4" s="129"/>
      <c r="F4" s="129"/>
      <c r="G4" s="130"/>
      <c r="H4" s="35" t="str">
        <f>IF(表紙!H4="","",表紙!H4)</f>
        <v>16_保留・保留解除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7"/>
      <c r="U4" s="128" t="s">
        <v>68</v>
      </c>
      <c r="V4" s="129"/>
      <c r="W4" s="129"/>
      <c r="X4" s="129"/>
      <c r="Y4" s="130"/>
      <c r="Z4" s="35" t="str">
        <f>IF(表紙!Z4="","",表紙!Z4)</f>
        <v>機能設計書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  <c r="AP4" s="38" t="str">
        <f ca="1">MID(CELL("filename",A1),FIND("]",CELL("filename",A1))+1,255)</f>
        <v>SC1601</v>
      </c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42" customFormat="1" ht="15" customHeight="1" x14ac:dyDescent="0.25">
      <c r="A7" s="141" t="s">
        <v>9</v>
      </c>
      <c r="BK7" s="143"/>
    </row>
    <row r="8" spans="1:63" s="142" customFormat="1" ht="15" customHeight="1" x14ac:dyDescent="0.25">
      <c r="A8" s="141"/>
      <c r="BK8" s="143"/>
    </row>
    <row r="9" spans="1:63" s="142" customFormat="1" ht="15" customHeight="1" x14ac:dyDescent="0.25">
      <c r="A9" s="54" t="s">
        <v>77</v>
      </c>
      <c r="B9" s="55"/>
      <c r="C9" s="55"/>
      <c r="D9" s="55"/>
      <c r="E9" s="144" t="s">
        <v>11</v>
      </c>
      <c r="F9" s="144"/>
      <c r="G9" s="144"/>
      <c r="H9" s="144"/>
      <c r="I9" s="144"/>
      <c r="J9" s="144"/>
      <c r="K9" s="144"/>
      <c r="L9" s="144"/>
      <c r="M9" s="144"/>
      <c r="N9" s="144"/>
      <c r="O9" s="54" t="s">
        <v>78</v>
      </c>
      <c r="P9" s="55"/>
      <c r="Q9" s="55"/>
      <c r="R9" s="55"/>
      <c r="S9" s="55"/>
      <c r="T9" s="56"/>
      <c r="U9" s="145" t="s">
        <v>79</v>
      </c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7"/>
    </row>
    <row r="10" spans="1:63" s="142" customFormat="1" ht="15" customHeight="1" x14ac:dyDescent="0.25">
      <c r="A10" s="148"/>
      <c r="B10" s="149"/>
      <c r="C10" s="149"/>
      <c r="D10" s="149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1"/>
      <c r="P10" s="151"/>
      <c r="Q10" s="151"/>
      <c r="R10" s="151"/>
      <c r="S10" s="151"/>
      <c r="T10" s="151"/>
      <c r="U10" s="152"/>
      <c r="V10" s="152"/>
      <c r="W10" s="149"/>
      <c r="X10" s="149"/>
      <c r="Y10" s="153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5"/>
    </row>
    <row r="11" spans="1:63" s="142" customFormat="1" ht="15" customHeight="1" x14ac:dyDescent="0.25">
      <c r="A11" s="156" t="s">
        <v>3</v>
      </c>
      <c r="B11" s="157"/>
      <c r="C11" s="157"/>
      <c r="D11" s="157"/>
      <c r="E11" s="157"/>
      <c r="F11" s="158"/>
      <c r="G11" s="144" t="s">
        <v>12</v>
      </c>
      <c r="H11" s="144"/>
      <c r="I11" s="144"/>
      <c r="J11" s="144"/>
      <c r="K11" s="144"/>
      <c r="L11" s="144"/>
      <c r="M11" s="159" t="s">
        <v>13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60"/>
      <c r="BI11" s="160"/>
      <c r="BJ11" s="160"/>
      <c r="BK11" s="161"/>
    </row>
    <row r="12" spans="1:63" s="142" customFormat="1" ht="15" customHeight="1" x14ac:dyDescent="0.25">
      <c r="A12" s="162" t="s">
        <v>5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4"/>
      <c r="M12" s="162" t="s">
        <v>6</v>
      </c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4"/>
      <c r="AU12" s="162" t="s">
        <v>7</v>
      </c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2" t="s">
        <v>8</v>
      </c>
      <c r="BG12" s="163"/>
      <c r="BH12" s="163"/>
      <c r="BI12" s="163"/>
      <c r="BJ12" s="163"/>
      <c r="BK12" s="164"/>
    </row>
    <row r="13" spans="1:63" s="142" customFormat="1" ht="15" customHeight="1" x14ac:dyDescent="0.25">
      <c r="A13" s="165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7"/>
      <c r="M13" s="165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7"/>
      <c r="AU13" s="165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5"/>
      <c r="BG13" s="166"/>
      <c r="BH13" s="166"/>
      <c r="BI13" s="166"/>
      <c r="BJ13" s="166"/>
      <c r="BK13" s="167"/>
    </row>
    <row r="14" spans="1:63" s="142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68"/>
      <c r="N14" s="168"/>
      <c r="O14" s="168"/>
      <c r="P14" s="168"/>
      <c r="Q14" s="168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39" t="s">
        <v>14</v>
      </c>
      <c r="BG14" s="40"/>
      <c r="BH14" s="40"/>
      <c r="BI14" s="40"/>
      <c r="BJ14" s="40"/>
      <c r="BK14" s="41"/>
    </row>
    <row r="15" spans="1:63" s="142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68"/>
      <c r="N15" s="170" t="s">
        <v>80</v>
      </c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42"/>
      <c r="BG15" s="43"/>
      <c r="BH15" s="43"/>
      <c r="BI15" s="43"/>
      <c r="BJ15" s="43"/>
      <c r="BK15" s="44"/>
    </row>
    <row r="16" spans="1:63" s="142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71"/>
      <c r="N16" s="168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42"/>
      <c r="BG16" s="43"/>
      <c r="BH16" s="43"/>
      <c r="BI16" s="43"/>
      <c r="BJ16" s="43"/>
      <c r="BK16" s="44"/>
    </row>
    <row r="17" spans="1:63" s="142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68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42"/>
      <c r="BG17" s="43"/>
      <c r="BH17" s="43"/>
      <c r="BI17" s="43"/>
      <c r="BJ17" s="43"/>
      <c r="BK17" s="44"/>
    </row>
    <row r="18" spans="1:63" s="142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68"/>
      <c r="N18" s="168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42"/>
      <c r="BG18" s="43"/>
      <c r="BH18" s="43"/>
      <c r="BI18" s="43"/>
      <c r="BJ18" s="43"/>
      <c r="BK18" s="44"/>
    </row>
    <row r="19" spans="1:63" s="142" customFormat="1" ht="1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72"/>
      <c r="N19" s="173"/>
      <c r="O19" s="173"/>
      <c r="P19" s="173"/>
      <c r="Q19" s="173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74"/>
      <c r="AQ19" s="174"/>
      <c r="AR19" s="174"/>
      <c r="AS19" s="174"/>
      <c r="AT19" s="174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5"/>
      <c r="BF19" s="45"/>
      <c r="BG19" s="46"/>
      <c r="BH19" s="46"/>
      <c r="BI19" s="46"/>
      <c r="BJ19" s="46"/>
      <c r="BK19" s="47"/>
    </row>
    <row r="20" spans="1:63" ht="15" customHeight="1" x14ac:dyDescent="0.25">
      <c r="A20" s="16"/>
      <c r="BK20" s="6"/>
    </row>
    <row r="21" spans="1:63" ht="15" customHeight="1" x14ac:dyDescent="0.25">
      <c r="A21" s="23"/>
      <c r="BK21" s="6"/>
    </row>
    <row r="22" spans="1:63" ht="15" customHeight="1" x14ac:dyDescent="0.25">
      <c r="A22" s="23"/>
      <c r="BK22" s="6"/>
    </row>
    <row r="23" spans="1:63" s="142" customFormat="1" ht="15" customHeight="1" x14ac:dyDescent="0.25">
      <c r="A23" s="156" t="s">
        <v>3</v>
      </c>
      <c r="B23" s="157"/>
      <c r="C23" s="157"/>
      <c r="D23" s="157"/>
      <c r="E23" s="157"/>
      <c r="F23" s="158"/>
      <c r="G23" s="144" t="s">
        <v>15</v>
      </c>
      <c r="H23" s="144"/>
      <c r="I23" s="144"/>
      <c r="J23" s="144"/>
      <c r="K23" s="144"/>
      <c r="L23" s="144"/>
      <c r="M23" s="159" t="s">
        <v>40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160"/>
      <c r="BI23" s="160"/>
      <c r="BJ23" s="160"/>
      <c r="BK23" s="161"/>
    </row>
    <row r="24" spans="1:63" s="142" customFormat="1" ht="15" customHeight="1" x14ac:dyDescent="0.25">
      <c r="A24" s="162" t="s">
        <v>5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4"/>
      <c r="M24" s="162" t="s">
        <v>6</v>
      </c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4"/>
      <c r="AU24" s="162" t="s">
        <v>7</v>
      </c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2" t="s">
        <v>8</v>
      </c>
      <c r="BG24" s="163"/>
      <c r="BH24" s="163"/>
      <c r="BI24" s="163"/>
      <c r="BJ24" s="163"/>
      <c r="BK24" s="164"/>
    </row>
    <row r="25" spans="1:63" s="142" customFormat="1" ht="15" customHeight="1" x14ac:dyDescent="0.25">
      <c r="A25" s="165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7"/>
      <c r="M25" s="165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7"/>
      <c r="AU25" s="165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5"/>
      <c r="BG25" s="166"/>
      <c r="BH25" s="166"/>
      <c r="BI25" s="166"/>
      <c r="BJ25" s="166"/>
      <c r="BK25" s="167"/>
    </row>
    <row r="26" spans="1:63" s="142" customFormat="1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  <c r="M26" s="168"/>
      <c r="N26" s="168"/>
      <c r="O26" s="168"/>
      <c r="P26" s="168"/>
      <c r="Q26" s="168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8"/>
      <c r="AV26" s="9"/>
      <c r="AW26" s="9"/>
      <c r="AX26" s="9"/>
      <c r="AY26" s="9"/>
      <c r="AZ26" s="9"/>
      <c r="BA26" s="9"/>
      <c r="BB26" s="9"/>
      <c r="BC26" s="9"/>
      <c r="BD26" s="9"/>
      <c r="BE26" s="10"/>
      <c r="BF26" s="39" t="s">
        <v>14</v>
      </c>
      <c r="BG26" s="40"/>
      <c r="BH26" s="40"/>
      <c r="BI26" s="40"/>
      <c r="BJ26" s="40"/>
      <c r="BK26" s="41"/>
    </row>
    <row r="27" spans="1:63" s="142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168"/>
      <c r="N27" s="170" t="s">
        <v>81</v>
      </c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42"/>
      <c r="BG27" s="43"/>
      <c r="BH27" s="43"/>
      <c r="BI27" s="43"/>
      <c r="BJ27" s="43"/>
      <c r="BK27" s="44"/>
    </row>
    <row r="28" spans="1:63" s="142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171"/>
      <c r="N28" s="168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42"/>
      <c r="BG28" s="43"/>
      <c r="BH28" s="43"/>
      <c r="BI28" s="43"/>
      <c r="BJ28" s="43"/>
      <c r="BK28" s="44"/>
    </row>
    <row r="29" spans="1:63" s="142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71"/>
      <c r="N29" s="24"/>
      <c r="O29" s="170" t="s">
        <v>51</v>
      </c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42"/>
      <c r="BG29" s="43"/>
      <c r="BH29" s="43"/>
      <c r="BI29" s="43"/>
      <c r="BJ29" s="43"/>
      <c r="BK29" s="44"/>
    </row>
    <row r="30" spans="1:63" s="142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68"/>
      <c r="O30" s="170"/>
      <c r="P30" s="25" t="s">
        <v>16</v>
      </c>
      <c r="Q30" s="26"/>
      <c r="R30" s="26"/>
      <c r="S30" s="26"/>
      <c r="T30" s="26"/>
      <c r="U30" s="26"/>
      <c r="V30" s="26"/>
      <c r="W30" s="25" t="s">
        <v>17</v>
      </c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7"/>
      <c r="AO30" s="168"/>
      <c r="AP30" s="168"/>
      <c r="AQ30" s="168"/>
      <c r="AR30" s="168"/>
      <c r="AS30" s="168"/>
      <c r="AT30" s="168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42"/>
      <c r="BG30" s="43"/>
      <c r="BH30" s="43"/>
      <c r="BI30" s="43"/>
      <c r="BJ30" s="43"/>
      <c r="BK30" s="44"/>
    </row>
    <row r="31" spans="1:63" s="142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68"/>
      <c r="N31" s="170"/>
      <c r="O31" s="170"/>
      <c r="P31" s="175" t="s">
        <v>27</v>
      </c>
      <c r="Q31" s="176"/>
      <c r="R31" s="176"/>
      <c r="S31" s="176"/>
      <c r="T31" s="176"/>
      <c r="U31" s="176"/>
      <c r="V31" s="176"/>
      <c r="W31" s="177" t="s">
        <v>33</v>
      </c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9"/>
      <c r="AO31" s="168"/>
      <c r="AP31" s="168"/>
      <c r="AQ31" s="168"/>
      <c r="AR31" s="168"/>
      <c r="AS31" s="168"/>
      <c r="AT31" s="168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42"/>
      <c r="BG31" s="43"/>
      <c r="BH31" s="43"/>
      <c r="BI31" s="43"/>
      <c r="BJ31" s="43"/>
      <c r="BK31" s="44"/>
    </row>
    <row r="32" spans="1:63" s="142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68"/>
      <c r="N32" s="170"/>
      <c r="O32" s="170"/>
      <c r="P32" s="175" t="s">
        <v>28</v>
      </c>
      <c r="Q32" s="176"/>
      <c r="R32" s="176"/>
      <c r="S32" s="176"/>
      <c r="T32" s="176"/>
      <c r="U32" s="176"/>
      <c r="V32" s="176"/>
      <c r="W32" s="177" t="s">
        <v>82</v>
      </c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9"/>
      <c r="AO32" s="168"/>
      <c r="AP32" s="168"/>
      <c r="AQ32" s="168"/>
      <c r="AR32" s="168"/>
      <c r="AS32" s="168"/>
      <c r="AT32" s="168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42"/>
      <c r="BG32" s="43"/>
      <c r="BH32" s="43"/>
      <c r="BI32" s="43"/>
      <c r="BJ32" s="43"/>
      <c r="BK32" s="44"/>
    </row>
    <row r="33" spans="1:63" s="142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68"/>
      <c r="N33" s="170"/>
      <c r="O33" s="170"/>
      <c r="P33" s="175" t="s">
        <v>29</v>
      </c>
      <c r="Q33" s="176"/>
      <c r="R33" s="176"/>
      <c r="S33" s="176"/>
      <c r="T33" s="176"/>
      <c r="U33" s="176"/>
      <c r="V33" s="176"/>
      <c r="W33" s="177" t="s">
        <v>34</v>
      </c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9"/>
      <c r="AO33" s="168"/>
      <c r="AP33" s="168"/>
      <c r="AQ33" s="168"/>
      <c r="AR33" s="168"/>
      <c r="AS33" s="168"/>
      <c r="AT33" s="168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42"/>
      <c r="BG33" s="43"/>
      <c r="BH33" s="43"/>
      <c r="BI33" s="43"/>
      <c r="BJ33" s="43"/>
      <c r="BK33" s="44"/>
    </row>
    <row r="34" spans="1:63" s="142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68"/>
      <c r="N34" s="170"/>
      <c r="O34" s="170"/>
      <c r="P34" s="175" t="s">
        <v>30</v>
      </c>
      <c r="Q34" s="176"/>
      <c r="R34" s="176"/>
      <c r="S34" s="176"/>
      <c r="T34" s="176"/>
      <c r="U34" s="176"/>
      <c r="V34" s="176"/>
      <c r="W34" s="177" t="s">
        <v>35</v>
      </c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9"/>
      <c r="AO34" s="168"/>
      <c r="AP34" s="168"/>
      <c r="AQ34" s="168"/>
      <c r="AR34" s="168"/>
      <c r="AS34" s="168"/>
      <c r="AT34" s="168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42"/>
      <c r="BG34" s="43"/>
      <c r="BH34" s="43"/>
      <c r="BI34" s="43"/>
      <c r="BJ34" s="43"/>
      <c r="BK34" s="44"/>
    </row>
    <row r="35" spans="1:63" s="142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68"/>
      <c r="N35" s="170"/>
      <c r="O35" s="170"/>
      <c r="P35" s="175" t="s">
        <v>31</v>
      </c>
      <c r="Q35" s="176"/>
      <c r="R35" s="176"/>
      <c r="S35" s="176"/>
      <c r="T35" s="176"/>
      <c r="U35" s="176"/>
      <c r="V35" s="176"/>
      <c r="W35" s="177" t="s">
        <v>36</v>
      </c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9"/>
      <c r="AO35" s="168"/>
      <c r="AP35" s="168"/>
      <c r="AQ35" s="168"/>
      <c r="AR35" s="168"/>
      <c r="AS35" s="168"/>
      <c r="AT35" s="168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42"/>
      <c r="BG35" s="43"/>
      <c r="BH35" s="43"/>
      <c r="BI35" s="43"/>
      <c r="BJ35" s="43"/>
      <c r="BK35" s="44"/>
    </row>
    <row r="36" spans="1:63" s="142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68"/>
      <c r="N36" s="170"/>
      <c r="O36" s="170"/>
      <c r="P36" s="175" t="s">
        <v>32</v>
      </c>
      <c r="Q36" s="176"/>
      <c r="R36" s="176"/>
      <c r="S36" s="176"/>
      <c r="T36" s="176"/>
      <c r="U36" s="176"/>
      <c r="V36" s="176"/>
      <c r="W36" s="177" t="s">
        <v>37</v>
      </c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9"/>
      <c r="AO36" s="168"/>
      <c r="AP36" s="168"/>
      <c r="AQ36" s="168"/>
      <c r="AR36" s="168"/>
      <c r="AS36" s="168"/>
      <c r="AT36" s="168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42"/>
      <c r="BG36" s="43"/>
      <c r="BH36" s="43"/>
      <c r="BI36" s="43"/>
      <c r="BJ36" s="43"/>
      <c r="BK36" s="44"/>
    </row>
    <row r="37" spans="1:63" s="142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68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42"/>
      <c r="BG37" s="43"/>
      <c r="BH37" s="43"/>
      <c r="BI37" s="43"/>
      <c r="BJ37" s="43"/>
      <c r="BK37" s="44"/>
    </row>
    <row r="38" spans="1:63" s="142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68"/>
      <c r="N38" s="170"/>
      <c r="O38" s="168" t="s">
        <v>18</v>
      </c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42"/>
      <c r="BG38" s="43"/>
      <c r="BH38" s="43"/>
      <c r="BI38" s="43"/>
      <c r="BJ38" s="43"/>
      <c r="BK38" s="44"/>
    </row>
    <row r="39" spans="1:63" s="142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68"/>
      <c r="N39" s="170"/>
      <c r="O39" s="170"/>
      <c r="P39" s="170" t="s">
        <v>19</v>
      </c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42"/>
      <c r="BG39" s="43"/>
      <c r="BH39" s="43"/>
      <c r="BI39" s="43"/>
      <c r="BJ39" s="43"/>
      <c r="BK39" s="44"/>
    </row>
    <row r="40" spans="1:63" s="142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68"/>
      <c r="N40" s="170"/>
      <c r="O40" s="170"/>
      <c r="P40" s="170"/>
      <c r="Q40" s="25" t="s">
        <v>20</v>
      </c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7"/>
      <c r="AO40" s="168"/>
      <c r="AP40" s="168"/>
      <c r="AQ40" s="168"/>
      <c r="AR40" s="168"/>
      <c r="AS40" s="168"/>
      <c r="AT40" s="168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42"/>
      <c r="BG40" s="43"/>
      <c r="BH40" s="43"/>
      <c r="BI40" s="43"/>
      <c r="BJ40" s="43"/>
      <c r="BK40" s="44"/>
    </row>
    <row r="41" spans="1:63" s="142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68"/>
      <c r="N41" s="170"/>
      <c r="O41" s="170"/>
      <c r="P41" s="170"/>
      <c r="Q41" s="180" t="s">
        <v>21</v>
      </c>
      <c r="R41" s="169"/>
      <c r="S41" s="169"/>
      <c r="T41" s="169"/>
      <c r="U41" s="169"/>
      <c r="V41" s="181"/>
      <c r="W41" s="169"/>
      <c r="X41" s="169"/>
      <c r="Y41" s="169"/>
      <c r="Z41" s="169"/>
      <c r="AA41" s="169"/>
      <c r="AB41" s="180" t="s">
        <v>22</v>
      </c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82"/>
      <c r="AO41" s="168"/>
      <c r="AP41" s="168"/>
      <c r="AQ41" s="168"/>
      <c r="AR41" s="168"/>
      <c r="AS41" s="168"/>
      <c r="AT41" s="168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42"/>
      <c r="BG41" s="43"/>
      <c r="BH41" s="43"/>
      <c r="BI41" s="43"/>
      <c r="BJ41" s="43"/>
      <c r="BK41" s="44"/>
    </row>
    <row r="42" spans="1:63" s="142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68"/>
      <c r="N42" s="170"/>
      <c r="O42" s="170"/>
      <c r="P42" s="170"/>
      <c r="Q42" s="180" t="s">
        <v>23</v>
      </c>
      <c r="R42" s="169"/>
      <c r="S42" s="169"/>
      <c r="T42" s="169"/>
      <c r="U42" s="169"/>
      <c r="V42" s="183"/>
      <c r="W42" s="169"/>
      <c r="X42" s="169"/>
      <c r="Y42" s="169"/>
      <c r="Z42" s="169"/>
      <c r="AA42" s="169"/>
      <c r="AB42" s="184" t="s">
        <v>24</v>
      </c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82"/>
      <c r="AO42" s="168"/>
      <c r="AP42" s="168"/>
      <c r="AQ42" s="168"/>
      <c r="AR42" s="168"/>
      <c r="AS42" s="168"/>
      <c r="AT42" s="168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42"/>
      <c r="BG42" s="43"/>
      <c r="BH42" s="43"/>
      <c r="BI42" s="43"/>
      <c r="BJ42" s="43"/>
      <c r="BK42" s="44"/>
    </row>
    <row r="43" spans="1:63" s="142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68"/>
      <c r="N43" s="170"/>
      <c r="O43" s="170"/>
      <c r="P43" s="170"/>
      <c r="Q43" s="185" t="s">
        <v>25</v>
      </c>
      <c r="R43" s="159"/>
      <c r="S43" s="159"/>
      <c r="T43" s="159"/>
      <c r="U43" s="159"/>
      <c r="V43" s="186"/>
      <c r="W43" s="159"/>
      <c r="X43" s="159"/>
      <c r="Y43" s="159"/>
      <c r="Z43" s="159"/>
      <c r="AA43" s="159"/>
      <c r="AB43" s="187" t="s">
        <v>38</v>
      </c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88"/>
      <c r="AO43" s="168"/>
      <c r="AP43" s="168"/>
      <c r="AQ43" s="168"/>
      <c r="AR43" s="168"/>
      <c r="AS43" s="168"/>
      <c r="AT43" s="168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42"/>
      <c r="BG43" s="43"/>
      <c r="BH43" s="43"/>
      <c r="BI43" s="43"/>
      <c r="BJ43" s="43"/>
      <c r="BK43" s="44"/>
    </row>
    <row r="44" spans="1:63" s="142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68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  <c r="AT44" s="168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42"/>
      <c r="BG44" s="43"/>
      <c r="BH44" s="43"/>
      <c r="BI44" s="43"/>
      <c r="BJ44" s="43"/>
      <c r="BK44" s="44"/>
    </row>
    <row r="45" spans="1:63" s="142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68"/>
      <c r="N45" s="170"/>
      <c r="O45" s="170"/>
      <c r="P45" s="170" t="s">
        <v>39</v>
      </c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  <c r="AT45" s="168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42"/>
      <c r="BG45" s="43"/>
      <c r="BH45" s="43"/>
      <c r="BI45" s="43"/>
      <c r="BJ45" s="43"/>
      <c r="BK45" s="44"/>
    </row>
    <row r="46" spans="1:63" s="142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68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42"/>
      <c r="BG46" s="43"/>
      <c r="BH46" s="43"/>
      <c r="BI46" s="43"/>
      <c r="BJ46" s="43"/>
      <c r="BK46" s="44"/>
    </row>
    <row r="47" spans="1:63" s="142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68"/>
      <c r="O47" s="170"/>
      <c r="P47" s="168" t="s">
        <v>26</v>
      </c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42"/>
      <c r="BG47" s="43"/>
      <c r="BH47" s="43"/>
      <c r="BI47" s="43"/>
      <c r="BJ47" s="43"/>
      <c r="BK47" s="44"/>
    </row>
    <row r="48" spans="1:63" s="142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68"/>
      <c r="N48" s="168"/>
      <c r="O48" s="170"/>
      <c r="P48" s="170"/>
      <c r="Q48" s="170" t="s">
        <v>83</v>
      </c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42"/>
      <c r="BG48" s="43"/>
      <c r="BH48" s="43"/>
      <c r="BI48" s="43"/>
      <c r="BJ48" s="43"/>
      <c r="BK48" s="44"/>
    </row>
    <row r="49" spans="1:63" s="142" customFormat="1" ht="15" customHeight="1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5"/>
      <c r="M49" s="172"/>
      <c r="N49" s="173"/>
      <c r="O49" s="173"/>
      <c r="P49" s="173"/>
      <c r="Q49" s="173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174"/>
      <c r="AQ49" s="174"/>
      <c r="AR49" s="174"/>
      <c r="AS49" s="174"/>
      <c r="AT49" s="174"/>
      <c r="AU49" s="13"/>
      <c r="AV49" s="14"/>
      <c r="AW49" s="14"/>
      <c r="AX49" s="14"/>
      <c r="AY49" s="14"/>
      <c r="AZ49" s="14"/>
      <c r="BA49" s="14"/>
      <c r="BB49" s="14"/>
      <c r="BC49" s="14"/>
      <c r="BD49" s="14"/>
      <c r="BE49" s="15"/>
      <c r="BF49" s="45"/>
      <c r="BG49" s="46"/>
      <c r="BH49" s="46"/>
      <c r="BI49" s="46"/>
      <c r="BJ49" s="46"/>
      <c r="BK49" s="47"/>
    </row>
    <row r="50" spans="1:63" ht="15" customHeight="1" x14ac:dyDescent="0.25">
      <c r="A50" s="23"/>
      <c r="BK50" s="6"/>
    </row>
    <row r="51" spans="1:63" ht="15" customHeight="1" x14ac:dyDescent="0.25">
      <c r="A51" s="23"/>
      <c r="BK51" s="6"/>
    </row>
    <row r="52" spans="1:63" ht="15" customHeight="1" x14ac:dyDescent="0.25">
      <c r="A52" s="23"/>
      <c r="BK52" s="6"/>
    </row>
    <row r="53" spans="1:63" s="142" customFormat="1" ht="15" customHeight="1" x14ac:dyDescent="0.25">
      <c r="A53" s="156" t="s">
        <v>3</v>
      </c>
      <c r="B53" s="157"/>
      <c r="C53" s="157"/>
      <c r="D53" s="157"/>
      <c r="E53" s="157"/>
      <c r="F53" s="158"/>
      <c r="G53" s="144" t="s">
        <v>41</v>
      </c>
      <c r="H53" s="144"/>
      <c r="I53" s="144"/>
      <c r="J53" s="144"/>
      <c r="K53" s="144"/>
      <c r="L53" s="144"/>
      <c r="M53" s="159" t="s">
        <v>42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160"/>
      <c r="BI53" s="160"/>
      <c r="BJ53" s="160"/>
      <c r="BK53" s="161"/>
    </row>
    <row r="54" spans="1:63" s="142" customFormat="1" ht="15" customHeight="1" x14ac:dyDescent="0.25">
      <c r="A54" s="162" t="s">
        <v>5</v>
      </c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4"/>
      <c r="M54" s="162" t="s">
        <v>6</v>
      </c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4"/>
      <c r="AU54" s="162" t="s">
        <v>7</v>
      </c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2" t="s">
        <v>8</v>
      </c>
      <c r="BG54" s="163"/>
      <c r="BH54" s="163"/>
      <c r="BI54" s="163"/>
      <c r="BJ54" s="163"/>
      <c r="BK54" s="164"/>
    </row>
    <row r="55" spans="1:63" s="142" customFormat="1" ht="15" customHeight="1" x14ac:dyDescent="0.25">
      <c r="A55" s="165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7"/>
      <c r="M55" s="165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7"/>
      <c r="AU55" s="165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5"/>
      <c r="BG55" s="166"/>
      <c r="BH55" s="166"/>
      <c r="BI55" s="166"/>
      <c r="BJ55" s="166"/>
      <c r="BK55" s="167"/>
    </row>
    <row r="56" spans="1:63" s="142" customFormat="1" ht="15" customHeight="1" x14ac:dyDescent="0.25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10"/>
      <c r="M56" s="168"/>
      <c r="N56" s="168" t="s">
        <v>43</v>
      </c>
      <c r="O56" s="168"/>
      <c r="P56" s="168"/>
      <c r="Q56" s="168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8"/>
      <c r="AV56" s="9"/>
      <c r="AW56" s="9"/>
      <c r="AX56" s="9"/>
      <c r="AY56" s="9"/>
      <c r="AZ56" s="9"/>
      <c r="BA56" s="9"/>
      <c r="BB56" s="9"/>
      <c r="BC56" s="9"/>
      <c r="BD56" s="9"/>
      <c r="BE56" s="10"/>
      <c r="BF56" s="39" t="s">
        <v>14</v>
      </c>
      <c r="BG56" s="40"/>
      <c r="BH56" s="40"/>
      <c r="BI56" s="40"/>
      <c r="BJ56" s="40"/>
      <c r="BK56" s="41"/>
    </row>
    <row r="57" spans="1:63" s="142" customFormat="1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68"/>
      <c r="N57" s="170"/>
      <c r="O57" s="170" t="s">
        <v>84</v>
      </c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42"/>
      <c r="BG57" s="43"/>
      <c r="BH57" s="43"/>
      <c r="BI57" s="43"/>
      <c r="BJ57" s="43"/>
      <c r="BK57" s="44"/>
    </row>
    <row r="58" spans="1:63" s="142" customFormat="1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71"/>
      <c r="N58" s="168"/>
      <c r="O58" s="170" t="s">
        <v>85</v>
      </c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42"/>
      <c r="BG58" s="43"/>
      <c r="BH58" s="43"/>
      <c r="BI58" s="43"/>
      <c r="BJ58" s="43"/>
      <c r="BK58" s="44"/>
    </row>
    <row r="59" spans="1:63" s="142" customFormat="1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68"/>
      <c r="N59" s="142" t="s">
        <v>44</v>
      </c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42"/>
      <c r="BG59" s="43"/>
      <c r="BH59" s="43"/>
      <c r="BI59" s="43"/>
      <c r="BJ59" s="43"/>
      <c r="BK59" s="44"/>
    </row>
    <row r="60" spans="1:63" s="142" customFormat="1" ht="1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68"/>
      <c r="N60" s="168"/>
      <c r="O60" s="170" t="s">
        <v>45</v>
      </c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42"/>
      <c r="BG60" s="43"/>
      <c r="BH60" s="43"/>
      <c r="BI60" s="43"/>
      <c r="BJ60" s="43"/>
      <c r="BK60" s="44"/>
    </row>
    <row r="61" spans="1:63" s="142" customFormat="1" ht="15" customHeight="1" x14ac:dyDescent="0.25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5"/>
      <c r="M61" s="172"/>
      <c r="N61" s="173"/>
      <c r="O61" s="189" t="s">
        <v>46</v>
      </c>
      <c r="P61" s="173"/>
      <c r="Q61" s="173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174"/>
      <c r="AQ61" s="174"/>
      <c r="AR61" s="174"/>
      <c r="AS61" s="174"/>
      <c r="AT61" s="174"/>
      <c r="AU61" s="13"/>
      <c r="AV61" s="14"/>
      <c r="AW61" s="14"/>
      <c r="AX61" s="14"/>
      <c r="AY61" s="14"/>
      <c r="AZ61" s="14"/>
      <c r="BA61" s="14"/>
      <c r="BB61" s="14"/>
      <c r="BC61" s="14"/>
      <c r="BD61" s="14"/>
      <c r="BE61" s="15"/>
      <c r="BF61" s="45"/>
      <c r="BG61" s="46"/>
      <c r="BH61" s="46"/>
      <c r="BI61" s="46"/>
      <c r="BJ61" s="46"/>
      <c r="BK61" s="47"/>
    </row>
    <row r="62" spans="1:63" ht="15" customHeight="1" x14ac:dyDescent="0.25">
      <c r="A62" s="23"/>
      <c r="BK62" s="6"/>
    </row>
    <row r="63" spans="1:63" ht="15" customHeight="1" x14ac:dyDescent="0.25">
      <c r="A63" s="23"/>
      <c r="BK63" s="6"/>
    </row>
    <row r="64" spans="1:63" ht="15" customHeight="1" x14ac:dyDescent="0.25">
      <c r="A64" s="23"/>
      <c r="BK64" s="6"/>
    </row>
    <row r="65" spans="1:63" ht="15" customHeight="1" x14ac:dyDescent="0.25">
      <c r="A65" s="23"/>
      <c r="BK65" s="6"/>
    </row>
    <row r="66" spans="1:63" s="142" customFormat="1" ht="15" customHeight="1" x14ac:dyDescent="0.25">
      <c r="A66" s="156" t="s">
        <v>3</v>
      </c>
      <c r="B66" s="157"/>
      <c r="C66" s="157"/>
      <c r="D66" s="157"/>
      <c r="E66" s="157"/>
      <c r="F66" s="158"/>
      <c r="G66" s="144" t="s">
        <v>47</v>
      </c>
      <c r="H66" s="144"/>
      <c r="I66" s="144"/>
      <c r="J66" s="144"/>
      <c r="K66" s="144"/>
      <c r="L66" s="144"/>
      <c r="M66" s="159" t="s">
        <v>48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160"/>
      <c r="BI66" s="160"/>
      <c r="BJ66" s="160"/>
      <c r="BK66" s="161"/>
    </row>
    <row r="67" spans="1:63" s="142" customFormat="1" ht="15" customHeight="1" x14ac:dyDescent="0.25">
      <c r="A67" s="162" t="s">
        <v>5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4"/>
      <c r="M67" s="162" t="s">
        <v>6</v>
      </c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4"/>
      <c r="AU67" s="162" t="s">
        <v>7</v>
      </c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2" t="s">
        <v>8</v>
      </c>
      <c r="BG67" s="163"/>
      <c r="BH67" s="163"/>
      <c r="BI67" s="163"/>
      <c r="BJ67" s="163"/>
      <c r="BK67" s="164"/>
    </row>
    <row r="68" spans="1:63" s="142" customFormat="1" ht="1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7"/>
      <c r="M68" s="165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7"/>
      <c r="AU68" s="165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5"/>
      <c r="BG68" s="166"/>
      <c r="BH68" s="166"/>
      <c r="BI68" s="166"/>
      <c r="BJ68" s="166"/>
      <c r="BK68" s="167"/>
    </row>
    <row r="69" spans="1:63" s="142" customFormat="1" ht="15" customHeight="1" x14ac:dyDescent="0.2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10"/>
      <c r="M69" s="168"/>
      <c r="N69" s="168"/>
      <c r="O69" s="168"/>
      <c r="P69" s="168"/>
      <c r="Q69" s="168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8"/>
      <c r="AV69" s="9"/>
      <c r="AW69" s="9"/>
      <c r="AX69" s="9"/>
      <c r="AY69" s="9"/>
      <c r="AZ69" s="9"/>
      <c r="BA69" s="9"/>
      <c r="BB69" s="9"/>
      <c r="BC69" s="9"/>
      <c r="BD69" s="9"/>
      <c r="BE69" s="10"/>
      <c r="BF69" s="39"/>
      <c r="BG69" s="40"/>
      <c r="BH69" s="40"/>
      <c r="BI69" s="40"/>
      <c r="BJ69" s="40"/>
      <c r="BK69" s="41"/>
    </row>
    <row r="70" spans="1:63" s="142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68"/>
      <c r="N70" s="168" t="s">
        <v>49</v>
      </c>
      <c r="O70" s="170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42"/>
      <c r="BG70" s="43"/>
      <c r="BH70" s="43"/>
      <c r="BI70" s="43"/>
      <c r="BJ70" s="43"/>
      <c r="BK70" s="44"/>
    </row>
    <row r="71" spans="1:63" s="142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71"/>
      <c r="N71" s="170" t="s">
        <v>56</v>
      </c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42"/>
      <c r="BG71" s="43"/>
      <c r="BH71" s="43"/>
      <c r="BI71" s="43"/>
      <c r="BJ71" s="43"/>
      <c r="BK71" s="44"/>
    </row>
    <row r="72" spans="1:63" s="142" customFormat="1" ht="15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68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42"/>
      <c r="BG72" s="43"/>
      <c r="BH72" s="43"/>
      <c r="BI72" s="43"/>
      <c r="BJ72" s="43"/>
      <c r="BK72" s="44"/>
    </row>
    <row r="73" spans="1:63" s="142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68"/>
      <c r="N73" s="168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42"/>
      <c r="BG73" s="43"/>
      <c r="BH73" s="43"/>
      <c r="BI73" s="43"/>
      <c r="BJ73" s="43"/>
      <c r="BK73" s="44"/>
    </row>
    <row r="74" spans="1:63" s="142" customFormat="1" ht="15" customHeight="1" x14ac:dyDescent="0.25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5"/>
      <c r="M74" s="172"/>
      <c r="N74" s="173"/>
      <c r="O74" s="189"/>
      <c r="P74" s="173"/>
      <c r="Q74" s="173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174"/>
      <c r="AQ74" s="174"/>
      <c r="AR74" s="174"/>
      <c r="AS74" s="174"/>
      <c r="AT74" s="174"/>
      <c r="AU74" s="13"/>
      <c r="AV74" s="14"/>
      <c r="AW74" s="14"/>
      <c r="AX74" s="14"/>
      <c r="AY74" s="14"/>
      <c r="AZ74" s="14"/>
      <c r="BA74" s="14"/>
      <c r="BB74" s="14"/>
      <c r="BC74" s="14"/>
      <c r="BD74" s="14"/>
      <c r="BE74" s="15"/>
      <c r="BF74" s="45"/>
      <c r="BG74" s="46"/>
      <c r="BH74" s="46"/>
      <c r="BI74" s="46"/>
      <c r="BJ74" s="46"/>
      <c r="BK74" s="47"/>
    </row>
    <row r="75" spans="1:63" ht="15" customHeight="1" x14ac:dyDescent="0.25">
      <c r="A75" s="23"/>
      <c r="BK75" s="6"/>
    </row>
    <row r="76" spans="1:63" ht="15" customHeight="1" x14ac:dyDescent="0.25">
      <c r="A76" s="23"/>
      <c r="BK76" s="6"/>
    </row>
    <row r="77" spans="1:63" ht="15" customHeight="1" x14ac:dyDescent="0.25">
      <c r="A77" s="23"/>
      <c r="BK77" s="6"/>
    </row>
    <row r="78" spans="1:63" s="142" customFormat="1" ht="15" customHeight="1" x14ac:dyDescent="0.25">
      <c r="A78" s="156" t="s">
        <v>3</v>
      </c>
      <c r="B78" s="157"/>
      <c r="C78" s="157"/>
      <c r="D78" s="157"/>
      <c r="E78" s="157"/>
      <c r="F78" s="158"/>
      <c r="G78" s="144" t="s">
        <v>50</v>
      </c>
      <c r="H78" s="144"/>
      <c r="I78" s="144"/>
      <c r="J78" s="144"/>
      <c r="K78" s="144"/>
      <c r="L78" s="144"/>
      <c r="M78" s="159" t="s">
        <v>57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160"/>
      <c r="BI78" s="160"/>
      <c r="BJ78" s="160"/>
      <c r="BK78" s="161"/>
    </row>
    <row r="79" spans="1:63" s="142" customFormat="1" ht="15" customHeight="1" x14ac:dyDescent="0.25">
      <c r="A79" s="162" t="s">
        <v>5</v>
      </c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4"/>
      <c r="M79" s="162" t="s">
        <v>6</v>
      </c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4"/>
      <c r="AU79" s="162" t="s">
        <v>7</v>
      </c>
      <c r="AV79" s="163"/>
      <c r="AW79" s="163"/>
      <c r="AX79" s="163"/>
      <c r="AY79" s="163"/>
      <c r="AZ79" s="163"/>
      <c r="BA79" s="163"/>
      <c r="BB79" s="163"/>
      <c r="BC79" s="163"/>
      <c r="BD79" s="163"/>
      <c r="BE79" s="163"/>
      <c r="BF79" s="162" t="s">
        <v>8</v>
      </c>
      <c r="BG79" s="163"/>
      <c r="BH79" s="163"/>
      <c r="BI79" s="163"/>
      <c r="BJ79" s="163"/>
      <c r="BK79" s="164"/>
    </row>
    <row r="80" spans="1:63" s="142" customFormat="1" ht="15" customHeight="1" x14ac:dyDescent="0.25">
      <c r="A80" s="165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7"/>
      <c r="M80" s="165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6"/>
      <c r="AO80" s="166"/>
      <c r="AP80" s="166"/>
      <c r="AQ80" s="166"/>
      <c r="AR80" s="166"/>
      <c r="AS80" s="166"/>
      <c r="AT80" s="167"/>
      <c r="AU80" s="165"/>
      <c r="AV80" s="166"/>
      <c r="AW80" s="166"/>
      <c r="AX80" s="166"/>
      <c r="AY80" s="166"/>
      <c r="AZ80" s="166"/>
      <c r="BA80" s="166"/>
      <c r="BB80" s="166"/>
      <c r="BC80" s="166"/>
      <c r="BD80" s="166"/>
      <c r="BE80" s="166"/>
      <c r="BF80" s="165"/>
      <c r="BG80" s="166"/>
      <c r="BH80" s="166"/>
      <c r="BI80" s="166"/>
      <c r="BJ80" s="166"/>
      <c r="BK80" s="167"/>
    </row>
    <row r="81" spans="1:63" s="142" customFormat="1" ht="15" customHeight="1" x14ac:dyDescent="0.25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10"/>
      <c r="M81" s="168"/>
      <c r="N81" s="168"/>
      <c r="O81" s="168"/>
      <c r="P81" s="168"/>
      <c r="Q81" s="168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8"/>
      <c r="AV81" s="9"/>
      <c r="AW81" s="9"/>
      <c r="AX81" s="9"/>
      <c r="AY81" s="9"/>
      <c r="AZ81" s="9"/>
      <c r="BA81" s="9"/>
      <c r="BB81" s="9"/>
      <c r="BC81" s="9"/>
      <c r="BD81" s="9"/>
      <c r="BE81" s="10"/>
      <c r="BF81" s="39" t="s">
        <v>14</v>
      </c>
      <c r="BG81" s="40"/>
      <c r="BH81" s="40"/>
      <c r="BI81" s="40"/>
      <c r="BJ81" s="40"/>
      <c r="BK81" s="41"/>
    </row>
    <row r="82" spans="1:63" s="142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68"/>
      <c r="N82" s="170" t="s">
        <v>86</v>
      </c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8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42"/>
      <c r="BG82" s="43"/>
      <c r="BH82" s="43"/>
      <c r="BI82" s="43"/>
      <c r="BJ82" s="43"/>
      <c r="BK82" s="44"/>
    </row>
    <row r="83" spans="1:63" s="142" customFormat="1" ht="15" customHeight="1" x14ac:dyDescent="0.25">
      <c r="A83" s="1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2"/>
      <c r="M83" s="171"/>
      <c r="N83" s="168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1"/>
      <c r="AV83" s="19"/>
      <c r="AW83" s="19"/>
      <c r="AX83" s="19"/>
      <c r="AY83" s="19"/>
      <c r="AZ83" s="19"/>
      <c r="BA83" s="19"/>
      <c r="BB83" s="19"/>
      <c r="BC83" s="19"/>
      <c r="BD83" s="19"/>
      <c r="BE83" s="12"/>
      <c r="BF83" s="42"/>
      <c r="BG83" s="43"/>
      <c r="BH83" s="43"/>
      <c r="BI83" s="43"/>
      <c r="BJ83" s="43"/>
      <c r="BK83" s="44"/>
    </row>
    <row r="84" spans="1:63" s="142" customFormat="1" ht="15" customHeight="1" x14ac:dyDescent="0.25">
      <c r="A84" s="1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2"/>
      <c r="M84" s="171"/>
      <c r="N84" s="24"/>
      <c r="O84" s="170" t="s">
        <v>52</v>
      </c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1"/>
      <c r="AV84" s="19"/>
      <c r="AW84" s="19"/>
      <c r="AX84" s="19"/>
      <c r="AY84" s="19"/>
      <c r="AZ84" s="19"/>
      <c r="BA84" s="19"/>
      <c r="BB84" s="19"/>
      <c r="BC84" s="19"/>
      <c r="BD84" s="19"/>
      <c r="BE84" s="12"/>
      <c r="BF84" s="42"/>
      <c r="BG84" s="43"/>
      <c r="BH84" s="43"/>
      <c r="BI84" s="43"/>
      <c r="BJ84" s="43"/>
      <c r="BK84" s="44"/>
    </row>
    <row r="85" spans="1:63" s="142" customFormat="1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168"/>
      <c r="O85" s="170"/>
      <c r="P85" s="25" t="s">
        <v>16</v>
      </c>
      <c r="Q85" s="26"/>
      <c r="R85" s="26"/>
      <c r="S85" s="26"/>
      <c r="T85" s="26"/>
      <c r="U85" s="26"/>
      <c r="V85" s="26"/>
      <c r="W85" s="25" t="s">
        <v>17</v>
      </c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7"/>
      <c r="AO85" s="168"/>
      <c r="AP85" s="168"/>
      <c r="AQ85" s="168"/>
      <c r="AR85" s="168"/>
      <c r="AS85" s="168"/>
      <c r="AT85" s="168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42"/>
      <c r="BG85" s="43"/>
      <c r="BH85" s="43"/>
      <c r="BI85" s="43"/>
      <c r="BJ85" s="43"/>
      <c r="BK85" s="44"/>
    </row>
    <row r="86" spans="1:63" s="142" customFormat="1" ht="15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168"/>
      <c r="N86" s="170"/>
      <c r="O86" s="170"/>
      <c r="P86" s="175" t="s">
        <v>53</v>
      </c>
      <c r="Q86" s="176"/>
      <c r="R86" s="176"/>
      <c r="S86" s="176"/>
      <c r="T86" s="176"/>
      <c r="U86" s="176"/>
      <c r="V86" s="176"/>
      <c r="W86" s="177" t="s">
        <v>33</v>
      </c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9"/>
      <c r="AO86" s="168"/>
      <c r="AP86" s="168"/>
      <c r="AQ86" s="168"/>
      <c r="AR86" s="168"/>
      <c r="AS86" s="168"/>
      <c r="AT86" s="168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42"/>
      <c r="BG86" s="43"/>
      <c r="BH86" s="43"/>
      <c r="BI86" s="43"/>
      <c r="BJ86" s="43"/>
      <c r="BK86" s="44"/>
    </row>
    <row r="87" spans="1:63" s="142" customFormat="1" ht="15" customHeight="1" x14ac:dyDescent="0.25">
      <c r="A87" s="1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2"/>
      <c r="M87" s="168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1"/>
      <c r="AV87" s="19"/>
      <c r="AW87" s="19"/>
      <c r="AX87" s="19"/>
      <c r="AY87" s="19"/>
      <c r="AZ87" s="19"/>
      <c r="BA87" s="19"/>
      <c r="BB87" s="19"/>
      <c r="BC87" s="19"/>
      <c r="BD87" s="19"/>
      <c r="BE87" s="12"/>
      <c r="BF87" s="42"/>
      <c r="BG87" s="43"/>
      <c r="BH87" s="43"/>
      <c r="BI87" s="43"/>
      <c r="BJ87" s="43"/>
      <c r="BK87" s="44"/>
    </row>
    <row r="88" spans="1:63" s="142" customFormat="1" ht="15" customHeight="1" x14ac:dyDescent="0.25">
      <c r="A88" s="1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2"/>
      <c r="M88" s="168"/>
      <c r="N88" s="170"/>
      <c r="O88" s="168" t="s">
        <v>18</v>
      </c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1"/>
      <c r="AV88" s="19"/>
      <c r="AW88" s="19"/>
      <c r="AX88" s="19"/>
      <c r="AY88" s="19"/>
      <c r="AZ88" s="19"/>
      <c r="BA88" s="19"/>
      <c r="BB88" s="19"/>
      <c r="BC88" s="19"/>
      <c r="BD88" s="19"/>
      <c r="BE88" s="12"/>
      <c r="BF88" s="42"/>
      <c r="BG88" s="43"/>
      <c r="BH88" s="43"/>
      <c r="BI88" s="43"/>
      <c r="BJ88" s="43"/>
      <c r="BK88" s="44"/>
    </row>
    <row r="89" spans="1:63" s="142" customFormat="1" ht="15" customHeight="1" x14ac:dyDescent="0.25">
      <c r="A89" s="1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2"/>
      <c r="M89" s="168"/>
      <c r="N89" s="170"/>
      <c r="O89" s="170"/>
      <c r="P89" s="170" t="s">
        <v>19</v>
      </c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1"/>
      <c r="AV89" s="19"/>
      <c r="AW89" s="19"/>
      <c r="AX89" s="19"/>
      <c r="AY89" s="19"/>
      <c r="AZ89" s="19"/>
      <c r="BA89" s="19"/>
      <c r="BB89" s="19"/>
      <c r="BC89" s="19"/>
      <c r="BD89" s="19"/>
      <c r="BE89" s="12"/>
      <c r="BF89" s="42"/>
      <c r="BG89" s="43"/>
      <c r="BH89" s="43"/>
      <c r="BI89" s="43"/>
      <c r="BJ89" s="43"/>
      <c r="BK89" s="44"/>
    </row>
    <row r="90" spans="1:63" s="142" customFormat="1" ht="15" customHeight="1" x14ac:dyDescent="0.25">
      <c r="A90" s="1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2"/>
      <c r="M90" s="168"/>
      <c r="N90" s="170"/>
      <c r="O90" s="170"/>
      <c r="P90" s="170"/>
      <c r="Q90" s="25" t="s">
        <v>20</v>
      </c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7"/>
      <c r="AO90" s="168"/>
      <c r="AP90" s="168"/>
      <c r="AQ90" s="168"/>
      <c r="AR90" s="168"/>
      <c r="AS90" s="168"/>
      <c r="AT90" s="168"/>
      <c r="AU90" s="11"/>
      <c r="AV90" s="19"/>
      <c r="AW90" s="19"/>
      <c r="AX90" s="19"/>
      <c r="AY90" s="19"/>
      <c r="AZ90" s="19"/>
      <c r="BA90" s="19"/>
      <c r="BB90" s="19"/>
      <c r="BC90" s="19"/>
      <c r="BD90" s="19"/>
      <c r="BE90" s="12"/>
      <c r="BF90" s="42"/>
      <c r="BG90" s="43"/>
      <c r="BH90" s="43"/>
      <c r="BI90" s="43"/>
      <c r="BJ90" s="43"/>
      <c r="BK90" s="44"/>
    </row>
    <row r="91" spans="1:63" s="142" customFormat="1" ht="15" customHeight="1" x14ac:dyDescent="0.25">
      <c r="A91" s="1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2"/>
      <c r="M91" s="168"/>
      <c r="N91" s="170"/>
      <c r="O91" s="170"/>
      <c r="P91" s="170"/>
      <c r="Q91" s="180" t="s">
        <v>21</v>
      </c>
      <c r="R91" s="169"/>
      <c r="S91" s="169"/>
      <c r="T91" s="169"/>
      <c r="U91" s="169"/>
      <c r="V91" s="181"/>
      <c r="W91" s="169"/>
      <c r="X91" s="169"/>
      <c r="Y91" s="169"/>
      <c r="Z91" s="169"/>
      <c r="AA91" s="169"/>
      <c r="AB91" s="180" t="s">
        <v>22</v>
      </c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82"/>
      <c r="AO91" s="168"/>
      <c r="AP91" s="168"/>
      <c r="AQ91" s="168"/>
      <c r="AR91" s="168"/>
      <c r="AS91" s="168"/>
      <c r="AT91" s="168"/>
      <c r="AU91" s="11"/>
      <c r="AV91" s="19"/>
      <c r="AW91" s="19"/>
      <c r="AX91" s="19"/>
      <c r="AY91" s="19"/>
      <c r="AZ91" s="19"/>
      <c r="BA91" s="19"/>
      <c r="BB91" s="19"/>
      <c r="BC91" s="19"/>
      <c r="BD91" s="19"/>
      <c r="BE91" s="12"/>
      <c r="BF91" s="42"/>
      <c r="BG91" s="43"/>
      <c r="BH91" s="43"/>
      <c r="BI91" s="43"/>
      <c r="BJ91" s="43"/>
      <c r="BK91" s="44"/>
    </row>
    <row r="92" spans="1:63" s="142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168"/>
      <c r="N92" s="170"/>
      <c r="O92" s="170"/>
      <c r="P92" s="170"/>
      <c r="Q92" s="180" t="s">
        <v>23</v>
      </c>
      <c r="R92" s="169"/>
      <c r="S92" s="169"/>
      <c r="T92" s="169"/>
      <c r="U92" s="169"/>
      <c r="V92" s="183"/>
      <c r="W92" s="169"/>
      <c r="X92" s="169"/>
      <c r="Y92" s="169"/>
      <c r="Z92" s="169"/>
      <c r="AA92" s="169"/>
      <c r="AB92" s="184" t="s">
        <v>24</v>
      </c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82"/>
      <c r="AO92" s="168"/>
      <c r="AP92" s="168"/>
      <c r="AQ92" s="168"/>
      <c r="AR92" s="168"/>
      <c r="AS92" s="168"/>
      <c r="AT92" s="168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42"/>
      <c r="BG92" s="43"/>
      <c r="BH92" s="43"/>
      <c r="BI92" s="43"/>
      <c r="BJ92" s="43"/>
      <c r="BK92" s="44"/>
    </row>
    <row r="93" spans="1:63" s="142" customFormat="1" ht="15" customHeight="1" x14ac:dyDescent="0.25">
      <c r="A93" s="1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2"/>
      <c r="M93" s="168"/>
      <c r="N93" s="170"/>
      <c r="O93" s="170"/>
      <c r="P93" s="170"/>
      <c r="Q93" s="185" t="s">
        <v>25</v>
      </c>
      <c r="R93" s="159"/>
      <c r="S93" s="159"/>
      <c r="T93" s="159"/>
      <c r="U93" s="159"/>
      <c r="V93" s="186"/>
      <c r="W93" s="159"/>
      <c r="X93" s="159"/>
      <c r="Y93" s="159"/>
      <c r="Z93" s="159"/>
      <c r="AA93" s="159"/>
      <c r="AB93" s="187" t="s">
        <v>54</v>
      </c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88"/>
      <c r="AO93" s="168"/>
      <c r="AP93" s="168"/>
      <c r="AQ93" s="168"/>
      <c r="AR93" s="168"/>
      <c r="AS93" s="168"/>
      <c r="AT93" s="168"/>
      <c r="AU93" s="11"/>
      <c r="AV93" s="19"/>
      <c r="AW93" s="19"/>
      <c r="AX93" s="19"/>
      <c r="AY93" s="19"/>
      <c r="AZ93" s="19"/>
      <c r="BA93" s="19"/>
      <c r="BB93" s="19"/>
      <c r="BC93" s="19"/>
      <c r="BD93" s="19"/>
      <c r="BE93" s="12"/>
      <c r="BF93" s="42"/>
      <c r="BG93" s="43"/>
      <c r="BH93" s="43"/>
      <c r="BI93" s="43"/>
      <c r="BJ93" s="43"/>
      <c r="BK93" s="44"/>
    </row>
    <row r="94" spans="1:63" s="142" customFormat="1" ht="15" customHeight="1" x14ac:dyDescent="0.25">
      <c r="A94" s="1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2"/>
      <c r="M94" s="168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  <c r="AT94" s="168"/>
      <c r="AU94" s="11"/>
      <c r="AV94" s="19"/>
      <c r="AW94" s="19"/>
      <c r="AX94" s="19"/>
      <c r="AY94" s="19"/>
      <c r="AZ94" s="19"/>
      <c r="BA94" s="19"/>
      <c r="BB94" s="19"/>
      <c r="BC94" s="19"/>
      <c r="BD94" s="19"/>
      <c r="BE94" s="12"/>
      <c r="BF94" s="42"/>
      <c r="BG94" s="43"/>
      <c r="BH94" s="43"/>
      <c r="BI94" s="43"/>
      <c r="BJ94" s="43"/>
      <c r="BK94" s="44"/>
    </row>
    <row r="95" spans="1:63" s="142" customFormat="1" ht="15" customHeight="1" x14ac:dyDescent="0.25">
      <c r="A95" s="1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2"/>
      <c r="M95" s="168"/>
      <c r="N95" s="170"/>
      <c r="O95" s="170"/>
      <c r="P95" s="170" t="s">
        <v>55</v>
      </c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1"/>
      <c r="AV95" s="19"/>
      <c r="AW95" s="19"/>
      <c r="AX95" s="19"/>
      <c r="AY95" s="19"/>
      <c r="AZ95" s="19"/>
      <c r="BA95" s="19"/>
      <c r="BB95" s="19"/>
      <c r="BC95" s="19"/>
      <c r="BD95" s="19"/>
      <c r="BE95" s="12"/>
      <c r="BF95" s="42"/>
      <c r="BG95" s="43"/>
      <c r="BH95" s="43"/>
      <c r="BI95" s="43"/>
      <c r="BJ95" s="43"/>
      <c r="BK95" s="44"/>
    </row>
    <row r="96" spans="1:63" s="142" customFormat="1" ht="15" customHeight="1" x14ac:dyDescent="0.25">
      <c r="A96" s="1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2"/>
      <c r="M96" s="168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1"/>
      <c r="AV96" s="19"/>
      <c r="AW96" s="19"/>
      <c r="AX96" s="19"/>
      <c r="AY96" s="19"/>
      <c r="AZ96" s="19"/>
      <c r="BA96" s="19"/>
      <c r="BB96" s="19"/>
      <c r="BC96" s="19"/>
      <c r="BD96" s="19"/>
      <c r="BE96" s="12"/>
      <c r="BF96" s="42"/>
      <c r="BG96" s="43"/>
      <c r="BH96" s="43"/>
      <c r="BI96" s="43"/>
      <c r="BJ96" s="43"/>
      <c r="BK96" s="44"/>
    </row>
    <row r="97" spans="1:63" s="142" customFormat="1" ht="15" customHeight="1" x14ac:dyDescent="0.25">
      <c r="A97" s="11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2"/>
      <c r="M97" s="168"/>
      <c r="O97" s="170"/>
      <c r="P97" s="168" t="s">
        <v>26</v>
      </c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  <c r="AT97" s="168"/>
      <c r="AU97" s="11"/>
      <c r="AV97" s="19"/>
      <c r="AW97" s="19"/>
      <c r="AX97" s="19"/>
      <c r="AY97" s="19"/>
      <c r="AZ97" s="19"/>
      <c r="BA97" s="19"/>
      <c r="BB97" s="19"/>
      <c r="BC97" s="19"/>
      <c r="BD97" s="19"/>
      <c r="BE97" s="12"/>
      <c r="BF97" s="42"/>
      <c r="BG97" s="43"/>
      <c r="BH97" s="43"/>
      <c r="BI97" s="43"/>
      <c r="BJ97" s="43"/>
      <c r="BK97" s="44"/>
    </row>
    <row r="98" spans="1:63" s="142" customFormat="1" ht="15" customHeight="1" x14ac:dyDescent="0.25">
      <c r="A98" s="11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2"/>
      <c r="M98" s="168"/>
      <c r="N98" s="168"/>
      <c r="O98" s="170"/>
      <c r="P98" s="170"/>
      <c r="Q98" s="170" t="s">
        <v>83</v>
      </c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  <c r="AT98" s="168"/>
      <c r="AU98" s="11"/>
      <c r="AV98" s="19"/>
      <c r="AW98" s="19"/>
      <c r="AX98" s="19"/>
      <c r="AY98" s="19"/>
      <c r="AZ98" s="19"/>
      <c r="BA98" s="19"/>
      <c r="BB98" s="19"/>
      <c r="BC98" s="19"/>
      <c r="BD98" s="19"/>
      <c r="BE98" s="12"/>
      <c r="BF98" s="42"/>
      <c r="BG98" s="43"/>
      <c r="BH98" s="43"/>
      <c r="BI98" s="43"/>
      <c r="BJ98" s="43"/>
      <c r="BK98" s="44"/>
    </row>
    <row r="99" spans="1:63" s="142" customFormat="1" ht="15" customHeight="1" x14ac:dyDescent="0.25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5"/>
      <c r="M99" s="172"/>
      <c r="N99" s="173"/>
      <c r="O99" s="173"/>
      <c r="P99" s="173"/>
      <c r="Q99" s="173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174"/>
      <c r="AQ99" s="174"/>
      <c r="AR99" s="174"/>
      <c r="AS99" s="174"/>
      <c r="AT99" s="174"/>
      <c r="AU99" s="13"/>
      <c r="AV99" s="14"/>
      <c r="AW99" s="14"/>
      <c r="AX99" s="14"/>
      <c r="AY99" s="14"/>
      <c r="AZ99" s="14"/>
      <c r="BA99" s="14"/>
      <c r="BB99" s="14"/>
      <c r="BC99" s="14"/>
      <c r="BD99" s="14"/>
      <c r="BE99" s="15"/>
      <c r="BF99" s="45"/>
      <c r="BG99" s="46"/>
      <c r="BH99" s="46"/>
      <c r="BI99" s="46"/>
      <c r="BJ99" s="46"/>
      <c r="BK99" s="47"/>
    </row>
    <row r="100" spans="1:63" ht="15" customHeight="1" x14ac:dyDescent="0.25">
      <c r="A100" s="23"/>
      <c r="BK100" s="6"/>
    </row>
    <row r="101" spans="1:63" ht="15" customHeight="1" x14ac:dyDescent="0.25">
      <c r="A101" s="23"/>
      <c r="BK101" s="6"/>
    </row>
    <row r="102" spans="1:63" ht="15" customHeight="1" x14ac:dyDescent="0.2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5"/>
    </row>
    <row r="103" spans="1:63" ht="15" customHeight="1" x14ac:dyDescent="0.25"/>
    <row r="104" spans="1:63" ht="15" customHeight="1" x14ac:dyDescent="0.25"/>
    <row r="105" spans="1:63" ht="15" customHeight="1" x14ac:dyDescent="0.25"/>
    <row r="106" spans="1:63" ht="15" customHeight="1" x14ac:dyDescent="0.25"/>
    <row r="107" spans="1:63" ht="15" customHeight="1" x14ac:dyDescent="0.25"/>
    <row r="108" spans="1:63" ht="15" customHeight="1" x14ac:dyDescent="0.25"/>
    <row r="109" spans="1:63" ht="15" customHeight="1" x14ac:dyDescent="0.25"/>
    <row r="110" spans="1:63" ht="15" customHeight="1" x14ac:dyDescent="0.25"/>
    <row r="111" spans="1:63" ht="15" customHeight="1" x14ac:dyDescent="0.25"/>
    <row r="112" spans="1:63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</sheetData>
  <mergeCells count="64">
    <mergeCell ref="BF81:BK98"/>
    <mergeCell ref="BF99:BK99"/>
    <mergeCell ref="BF69:BK73"/>
    <mergeCell ref="BF74:BK74"/>
    <mergeCell ref="A78:F78"/>
    <mergeCell ref="G78:L78"/>
    <mergeCell ref="A79:L80"/>
    <mergeCell ref="M79:AT80"/>
    <mergeCell ref="AU79:BE80"/>
    <mergeCell ref="BF79:BK80"/>
    <mergeCell ref="BF56:BK60"/>
    <mergeCell ref="BF61:BK61"/>
    <mergeCell ref="A66:F66"/>
    <mergeCell ref="G66:L66"/>
    <mergeCell ref="A67:L68"/>
    <mergeCell ref="M67:AT68"/>
    <mergeCell ref="AU67:BE68"/>
    <mergeCell ref="BF67:BK68"/>
    <mergeCell ref="BF26:BK48"/>
    <mergeCell ref="BF49:BK49"/>
    <mergeCell ref="A53:F53"/>
    <mergeCell ref="G53:L53"/>
    <mergeCell ref="A54:L55"/>
    <mergeCell ref="M54:AT55"/>
    <mergeCell ref="AU54:BE55"/>
    <mergeCell ref="BF54:BK55"/>
    <mergeCell ref="BF14:BK18"/>
    <mergeCell ref="BF19:BK19"/>
    <mergeCell ref="A23:F23"/>
    <mergeCell ref="G23:L23"/>
    <mergeCell ref="A24:L25"/>
    <mergeCell ref="M24:AT25"/>
    <mergeCell ref="AU24:BE25"/>
    <mergeCell ref="BF24:BK25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200-000000000000}">
      <formula1>"同期,非同期"</formula1>
    </dataValidation>
    <dataValidation type="list" allowBlank="1" showInputMessage="1" showErrorMessage="1" sqref="O10" xr:uid="{00000000-0002-0000-02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28" t="s">
        <v>58</v>
      </c>
      <c r="B1" s="129"/>
      <c r="C1" s="129"/>
      <c r="D1" s="129"/>
      <c r="E1" s="129"/>
      <c r="F1" s="129"/>
      <c r="G1" s="129"/>
      <c r="H1" s="129"/>
      <c r="I1" s="129"/>
      <c r="J1" s="130"/>
      <c r="K1" s="128" t="s">
        <v>59</v>
      </c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30"/>
      <c r="W1" s="131" t="str">
        <f>IF(表紙!W1="","",表紙!W1)</f>
        <v>詳細設計書</v>
      </c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3"/>
      <c r="AP1" s="54" t="s">
        <v>61</v>
      </c>
      <c r="AQ1" s="55"/>
      <c r="AR1" s="55"/>
      <c r="AS1" s="56"/>
      <c r="AT1" s="54" t="s">
        <v>62</v>
      </c>
      <c r="AU1" s="55"/>
      <c r="AV1" s="55"/>
      <c r="AW1" s="55"/>
      <c r="AX1" s="56"/>
      <c r="AY1" s="54" t="s">
        <v>63</v>
      </c>
      <c r="AZ1" s="55"/>
      <c r="BA1" s="55"/>
      <c r="BB1" s="56"/>
      <c r="BC1" s="54" t="s">
        <v>64</v>
      </c>
      <c r="BD1" s="55"/>
      <c r="BE1" s="55"/>
      <c r="BF1" s="55"/>
      <c r="BG1" s="56"/>
      <c r="BH1" s="54" t="s">
        <v>65</v>
      </c>
      <c r="BI1" s="55"/>
      <c r="BJ1" s="55"/>
      <c r="BK1" s="56"/>
    </row>
    <row r="2" spans="1:63" ht="15" customHeight="1" x14ac:dyDescent="0.25">
      <c r="A2" s="29" t="str">
        <f>IF(表紙!A2="","",表紙!A2)</f>
        <v>POSサーバー</v>
      </c>
      <c r="B2" s="30"/>
      <c r="C2" s="30"/>
      <c r="D2" s="30"/>
      <c r="E2" s="30"/>
      <c r="F2" s="30"/>
      <c r="G2" s="30"/>
      <c r="H2" s="30"/>
      <c r="I2" s="30"/>
      <c r="J2" s="31"/>
      <c r="K2" s="29" t="str">
        <f>IF(表紙!K2="","",表紙!K2)</f>
        <v>POSサーバ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134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6"/>
      <c r="AP2" s="63" t="str">
        <f>IF(表紙!AP2="","",表紙!AP2)</f>
        <v>DuNT</v>
      </c>
      <c r="AQ2" s="61"/>
      <c r="AR2" s="61"/>
      <c r="AS2" s="62"/>
      <c r="AT2" s="67">
        <f>IF(表紙!AT2="","",表紙!AT2)</f>
        <v>45540</v>
      </c>
      <c r="AU2" s="68"/>
      <c r="AV2" s="68"/>
      <c r="AW2" s="68"/>
      <c r="AX2" s="69"/>
      <c r="AY2" s="63" t="str">
        <f>IF(表紙!AY2="","",表紙!AY2)</f>
        <v>DuNT</v>
      </c>
      <c r="AZ2" s="61"/>
      <c r="BA2" s="61"/>
      <c r="BB2" s="62"/>
      <c r="BC2" s="67">
        <f>IF(表紙!BC2="","",表紙!BC2)</f>
        <v>45540</v>
      </c>
      <c r="BD2" s="68"/>
      <c r="BE2" s="68"/>
      <c r="BF2" s="68"/>
      <c r="BG2" s="69"/>
      <c r="BH2" s="63">
        <f>IF(表紙!BH2="","",表紙!BH2)</f>
        <v>0.1</v>
      </c>
      <c r="BI2" s="61"/>
      <c r="BJ2" s="61"/>
      <c r="BK2" s="62"/>
    </row>
    <row r="3" spans="1:63" ht="15" customHeight="1" x14ac:dyDescent="0.25">
      <c r="A3" s="32"/>
      <c r="B3" s="33"/>
      <c r="C3" s="33"/>
      <c r="D3" s="33"/>
      <c r="E3" s="33"/>
      <c r="F3" s="33"/>
      <c r="G3" s="33"/>
      <c r="H3" s="33"/>
      <c r="I3" s="33"/>
      <c r="J3" s="34"/>
      <c r="K3" s="32"/>
      <c r="L3" s="33"/>
      <c r="M3" s="33"/>
      <c r="N3" s="33"/>
      <c r="O3" s="33"/>
      <c r="P3" s="33"/>
      <c r="Q3" s="33"/>
      <c r="R3" s="33"/>
      <c r="S3" s="33"/>
      <c r="T3" s="33"/>
      <c r="U3" s="33"/>
      <c r="V3" s="34"/>
      <c r="W3" s="137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9"/>
      <c r="AP3" s="73"/>
      <c r="AQ3" s="74"/>
      <c r="AR3" s="74"/>
      <c r="AS3" s="75"/>
      <c r="AT3" s="79"/>
      <c r="AU3" s="80"/>
      <c r="AV3" s="80"/>
      <c r="AW3" s="80"/>
      <c r="AX3" s="81"/>
      <c r="AY3" s="73"/>
      <c r="AZ3" s="74"/>
      <c r="BA3" s="74"/>
      <c r="BB3" s="75"/>
      <c r="BC3" s="79"/>
      <c r="BD3" s="80"/>
      <c r="BE3" s="80"/>
      <c r="BF3" s="80"/>
      <c r="BG3" s="81"/>
      <c r="BH3" s="73"/>
      <c r="BI3" s="74"/>
      <c r="BJ3" s="74"/>
      <c r="BK3" s="75"/>
    </row>
    <row r="4" spans="1:63" ht="24.95" customHeight="1" x14ac:dyDescent="0.25">
      <c r="A4" s="140" t="s">
        <v>76</v>
      </c>
      <c r="B4" s="129"/>
      <c r="C4" s="129"/>
      <c r="D4" s="129"/>
      <c r="E4" s="129"/>
      <c r="F4" s="129"/>
      <c r="G4" s="130"/>
      <c r="H4" s="35" t="str">
        <f>IF(表紙!H4="","",表紙!H4)</f>
        <v>16_保留・保留解除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7"/>
      <c r="U4" s="128" t="s">
        <v>68</v>
      </c>
      <c r="V4" s="129"/>
      <c r="W4" s="129"/>
      <c r="X4" s="129"/>
      <c r="Y4" s="130"/>
      <c r="Z4" s="35" t="str">
        <f>IF(表紙!Z4="","",表紙!Z4)</f>
        <v>機能設計書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  <c r="AP4" s="38" t="str">
        <f ca="1">MID(CELL("filename",A1),FIND("]",CELL("filename",A1))+1,255)</f>
        <v>テンプレート</v>
      </c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42" customFormat="1" ht="15" customHeight="1" x14ac:dyDescent="0.25">
      <c r="A7" s="141" t="s">
        <v>9</v>
      </c>
      <c r="BK7" s="143"/>
    </row>
    <row r="8" spans="1:63" s="142" customFormat="1" ht="15" customHeight="1" x14ac:dyDescent="0.25">
      <c r="A8" s="141"/>
      <c r="BK8" s="143"/>
    </row>
    <row r="9" spans="1:63" s="142" customFormat="1" ht="15" customHeight="1" x14ac:dyDescent="0.25">
      <c r="A9" s="54" t="s">
        <v>77</v>
      </c>
      <c r="B9" s="55"/>
      <c r="C9" s="55"/>
      <c r="D9" s="55"/>
      <c r="E9" s="144" t="s">
        <v>11</v>
      </c>
      <c r="F9" s="144"/>
      <c r="G9" s="144"/>
      <c r="H9" s="144"/>
      <c r="I9" s="144"/>
      <c r="J9" s="144"/>
      <c r="K9" s="144"/>
      <c r="L9" s="144"/>
      <c r="M9" s="144"/>
      <c r="N9" s="144"/>
      <c r="O9" s="54" t="s">
        <v>78</v>
      </c>
      <c r="P9" s="55"/>
      <c r="Q9" s="55"/>
      <c r="R9" s="55"/>
      <c r="S9" s="55"/>
      <c r="T9" s="56"/>
      <c r="U9" s="145" t="s">
        <v>79</v>
      </c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7"/>
    </row>
    <row r="10" spans="1:63" s="142" customFormat="1" ht="15" customHeight="1" x14ac:dyDescent="0.25">
      <c r="A10" s="148"/>
      <c r="B10" s="149"/>
      <c r="C10" s="149"/>
      <c r="D10" s="149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1"/>
      <c r="P10" s="151"/>
      <c r="Q10" s="151"/>
      <c r="R10" s="151"/>
      <c r="S10" s="151"/>
      <c r="T10" s="151"/>
      <c r="U10" s="152"/>
      <c r="V10" s="152"/>
      <c r="W10" s="149"/>
      <c r="X10" s="149"/>
      <c r="Y10" s="153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5"/>
    </row>
    <row r="11" spans="1:63" s="142" customFormat="1" ht="15" customHeight="1" x14ac:dyDescent="0.25">
      <c r="A11" s="156" t="s">
        <v>3</v>
      </c>
      <c r="B11" s="157"/>
      <c r="C11" s="157"/>
      <c r="D11" s="157"/>
      <c r="E11" s="157"/>
      <c r="F11" s="158"/>
      <c r="G11" s="144" t="s">
        <v>4</v>
      </c>
      <c r="H11" s="144"/>
      <c r="I11" s="144"/>
      <c r="J11" s="144"/>
      <c r="K11" s="144"/>
      <c r="L11" s="14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60"/>
      <c r="BI11" s="160"/>
      <c r="BJ11" s="160"/>
      <c r="BK11" s="161"/>
    </row>
    <row r="12" spans="1:63" s="142" customFormat="1" ht="15" customHeight="1" x14ac:dyDescent="0.25">
      <c r="A12" s="162" t="s">
        <v>5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4"/>
      <c r="M12" s="162" t="s">
        <v>6</v>
      </c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4"/>
      <c r="AU12" s="162" t="s">
        <v>7</v>
      </c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2" t="s">
        <v>8</v>
      </c>
      <c r="BG12" s="163"/>
      <c r="BH12" s="163"/>
      <c r="BI12" s="163"/>
      <c r="BJ12" s="163"/>
      <c r="BK12" s="164"/>
    </row>
    <row r="13" spans="1:63" s="142" customFormat="1" ht="15" customHeight="1" x14ac:dyDescent="0.25">
      <c r="A13" s="165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7"/>
      <c r="M13" s="165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7"/>
      <c r="AU13" s="165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5"/>
      <c r="BG13" s="166"/>
      <c r="BH13" s="166"/>
      <c r="BI13" s="166"/>
      <c r="BJ13" s="166"/>
      <c r="BK13" s="167"/>
    </row>
    <row r="14" spans="1:63" s="142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68"/>
      <c r="N14" s="168"/>
      <c r="O14" s="168"/>
      <c r="P14" s="168"/>
      <c r="Q14" s="168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48"/>
      <c r="BG14" s="49"/>
      <c r="BH14" s="49"/>
      <c r="BI14" s="49"/>
      <c r="BJ14" s="49"/>
      <c r="BK14" s="50"/>
    </row>
    <row r="15" spans="1:63" s="142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68"/>
      <c r="N15" s="170" t="s">
        <v>87</v>
      </c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1"/>
      <c r="BG15" s="52"/>
      <c r="BH15" s="52"/>
      <c r="BI15" s="52"/>
      <c r="BJ15" s="52"/>
      <c r="BK15" s="53"/>
    </row>
    <row r="16" spans="1:63" s="142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71"/>
      <c r="N16" s="168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1"/>
      <c r="BG16" s="52"/>
      <c r="BH16" s="52"/>
      <c r="BI16" s="52"/>
      <c r="BJ16" s="52"/>
      <c r="BK16" s="53"/>
    </row>
    <row r="17" spans="1:63" s="142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68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1"/>
      <c r="BG17" s="52"/>
      <c r="BH17" s="52"/>
      <c r="BI17" s="52"/>
      <c r="BJ17" s="52"/>
      <c r="BK17" s="53"/>
    </row>
    <row r="18" spans="1:63" s="142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68"/>
      <c r="N18" s="168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1"/>
      <c r="BG18" s="52"/>
      <c r="BH18" s="52"/>
      <c r="BI18" s="52"/>
      <c r="BJ18" s="52"/>
      <c r="BK18" s="53"/>
    </row>
    <row r="19" spans="1:63" s="142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68"/>
      <c r="N19" s="168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1"/>
      <c r="BG19" s="52"/>
      <c r="BH19" s="52"/>
      <c r="BI19" s="52"/>
      <c r="BJ19" s="52"/>
      <c r="BK19" s="53"/>
    </row>
    <row r="20" spans="1:63" s="142" customFormat="1" ht="15" customHeight="1" x14ac:dyDescent="0.25">
      <c r="A20" s="1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2"/>
      <c r="M20" s="168"/>
      <c r="N20" s="168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1"/>
      <c r="AV20" s="19"/>
      <c r="AW20" s="19"/>
      <c r="AX20" s="19"/>
      <c r="AY20" s="19"/>
      <c r="AZ20" s="19"/>
      <c r="BA20" s="19"/>
      <c r="BB20" s="19"/>
      <c r="BC20" s="19"/>
      <c r="BD20" s="19"/>
      <c r="BE20" s="12"/>
      <c r="BF20" s="51"/>
      <c r="BG20" s="52"/>
      <c r="BH20" s="52"/>
      <c r="BI20" s="52"/>
      <c r="BJ20" s="52"/>
      <c r="BK20" s="53"/>
    </row>
    <row r="21" spans="1:63" s="142" customFormat="1" ht="15" customHeight="1" x14ac:dyDescent="0.25">
      <c r="A21" s="1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2"/>
      <c r="M21" s="168"/>
      <c r="N21" s="168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1"/>
      <c r="AV21" s="19"/>
      <c r="AW21" s="19"/>
      <c r="AX21" s="19"/>
      <c r="AY21" s="19"/>
      <c r="AZ21" s="19"/>
      <c r="BA21" s="19"/>
      <c r="BB21" s="19"/>
      <c r="BC21" s="19"/>
      <c r="BD21" s="19"/>
      <c r="BE21" s="12"/>
      <c r="BF21" s="51"/>
      <c r="BG21" s="52"/>
      <c r="BH21" s="52"/>
      <c r="BI21" s="52"/>
      <c r="BJ21" s="52"/>
      <c r="BK21" s="53"/>
    </row>
    <row r="22" spans="1:63" s="142" customFormat="1" ht="15" customHeight="1" x14ac:dyDescent="0.25">
      <c r="A22" s="1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2"/>
      <c r="M22" s="168"/>
      <c r="N22" s="168"/>
      <c r="O22" s="170"/>
      <c r="P22" s="170"/>
      <c r="Q22" s="170"/>
      <c r="R22" s="2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1"/>
      <c r="AV22" s="19"/>
      <c r="AW22" s="19"/>
      <c r="AX22" s="19"/>
      <c r="AY22" s="19"/>
      <c r="AZ22" s="19"/>
      <c r="BA22" s="19"/>
      <c r="BB22" s="19"/>
      <c r="BC22" s="19"/>
      <c r="BD22" s="19"/>
      <c r="BE22" s="12"/>
      <c r="BF22" s="51"/>
      <c r="BG22" s="52"/>
      <c r="BH22" s="52"/>
      <c r="BI22" s="52"/>
      <c r="BJ22" s="52"/>
      <c r="BK22" s="53"/>
    </row>
    <row r="23" spans="1:63" s="142" customFormat="1" ht="15" customHeight="1" x14ac:dyDescent="0.25">
      <c r="A23" s="1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"/>
      <c r="M23" s="168"/>
      <c r="N23" s="168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1"/>
      <c r="AV23" s="19"/>
      <c r="AW23" s="19"/>
      <c r="AX23" s="19"/>
      <c r="AY23" s="19"/>
      <c r="AZ23" s="19"/>
      <c r="BA23" s="19"/>
      <c r="BB23" s="19"/>
      <c r="BC23" s="19"/>
      <c r="BD23" s="19"/>
      <c r="BE23" s="12"/>
      <c r="BF23" s="51"/>
      <c r="BG23" s="52"/>
      <c r="BH23" s="52"/>
      <c r="BI23" s="52"/>
      <c r="BJ23" s="52"/>
      <c r="BK23" s="53"/>
    </row>
    <row r="24" spans="1:63" s="142" customFormat="1" ht="15" customHeight="1" x14ac:dyDescent="0.25">
      <c r="A24" s="1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2"/>
      <c r="M24" s="168"/>
      <c r="N24" s="168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1"/>
      <c r="AV24" s="19"/>
      <c r="AW24" s="19"/>
      <c r="AX24" s="19"/>
      <c r="AY24" s="19"/>
      <c r="AZ24" s="19"/>
      <c r="BA24" s="19"/>
      <c r="BB24" s="19"/>
      <c r="BC24" s="19"/>
      <c r="BD24" s="19"/>
      <c r="BE24" s="12"/>
      <c r="BF24" s="51"/>
      <c r="BG24" s="52"/>
      <c r="BH24" s="52"/>
      <c r="BI24" s="52"/>
      <c r="BJ24" s="52"/>
      <c r="BK24" s="53"/>
    </row>
    <row r="25" spans="1:63" s="142" customFormat="1" ht="15" customHeight="1" x14ac:dyDescent="0.25">
      <c r="A25" s="1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2"/>
      <c r="M25" s="168"/>
      <c r="N25" s="168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1"/>
      <c r="AV25" s="19"/>
      <c r="AW25" s="19"/>
      <c r="AX25" s="19"/>
      <c r="AY25" s="19"/>
      <c r="AZ25" s="19"/>
      <c r="BA25" s="19"/>
      <c r="BB25" s="19"/>
      <c r="BC25" s="19"/>
      <c r="BD25" s="19"/>
      <c r="BE25" s="12"/>
      <c r="BF25" s="51"/>
      <c r="BG25" s="52"/>
      <c r="BH25" s="52"/>
      <c r="BI25" s="52"/>
      <c r="BJ25" s="52"/>
      <c r="BK25" s="53"/>
    </row>
    <row r="26" spans="1:63" s="142" customFormat="1" ht="15" customHeight="1" x14ac:dyDescent="0.25">
      <c r="A26" s="1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2"/>
      <c r="M26" s="168"/>
      <c r="N26" s="168" t="s">
        <v>88</v>
      </c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1"/>
      <c r="AV26" s="19"/>
      <c r="AW26" s="19"/>
      <c r="AX26" s="19"/>
      <c r="AY26" s="19"/>
      <c r="AZ26" s="19"/>
      <c r="BA26" s="19"/>
      <c r="BB26" s="19"/>
      <c r="BC26" s="19"/>
      <c r="BD26" s="19"/>
      <c r="BE26" s="12"/>
      <c r="BF26" s="51"/>
      <c r="BG26" s="52"/>
      <c r="BH26" s="52"/>
      <c r="BI26" s="52"/>
      <c r="BJ26" s="52"/>
      <c r="BK26" s="53"/>
    </row>
    <row r="27" spans="1:63" s="142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168"/>
      <c r="N27" s="168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51"/>
      <c r="BG27" s="52"/>
      <c r="BH27" s="52"/>
      <c r="BI27" s="52"/>
      <c r="BJ27" s="52"/>
      <c r="BK27" s="53"/>
    </row>
    <row r="28" spans="1:63" s="142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168"/>
      <c r="N28" s="168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51"/>
      <c r="BG28" s="52"/>
      <c r="BH28" s="52"/>
      <c r="BI28" s="52"/>
      <c r="BJ28" s="52"/>
      <c r="BK28" s="53"/>
    </row>
    <row r="29" spans="1:63" s="142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68"/>
      <c r="N29" s="168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1"/>
      <c r="BG29" s="52"/>
      <c r="BH29" s="52"/>
      <c r="BI29" s="52"/>
      <c r="BJ29" s="52"/>
      <c r="BK29" s="53"/>
    </row>
    <row r="30" spans="1:63" s="142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68"/>
      <c r="N30" s="168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1"/>
      <c r="BG30" s="52"/>
      <c r="BH30" s="52"/>
      <c r="BI30" s="52"/>
      <c r="BJ30" s="52"/>
      <c r="BK30" s="53"/>
    </row>
    <row r="31" spans="1:63" s="142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68"/>
      <c r="N31" s="168"/>
      <c r="O31" s="170"/>
      <c r="P31" s="170"/>
      <c r="Q31" s="170"/>
      <c r="R31" s="21"/>
      <c r="S31" s="21"/>
      <c r="T31" s="168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1"/>
      <c r="BG31" s="52"/>
      <c r="BH31" s="52"/>
      <c r="BI31" s="52"/>
      <c r="BJ31" s="52"/>
      <c r="BK31" s="53"/>
    </row>
    <row r="32" spans="1:63" s="142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68"/>
      <c r="N32" s="168"/>
      <c r="O32" s="170"/>
      <c r="P32" s="170"/>
      <c r="Q32" s="170"/>
      <c r="R32" s="21"/>
      <c r="S32" s="21"/>
      <c r="T32" s="168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1"/>
      <c r="BG32" s="52"/>
      <c r="BH32" s="52"/>
      <c r="BI32" s="52"/>
      <c r="BJ32" s="52"/>
      <c r="BK32" s="53"/>
    </row>
    <row r="33" spans="1:63" s="142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68"/>
      <c r="N33" s="168"/>
      <c r="O33" s="170"/>
      <c r="P33" s="170"/>
      <c r="Q33" s="170"/>
      <c r="R33" s="168"/>
      <c r="S33" s="21"/>
      <c r="T33" s="168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1"/>
      <c r="BG33" s="52"/>
      <c r="BH33" s="52"/>
      <c r="BI33" s="52"/>
      <c r="BJ33" s="52"/>
      <c r="BK33" s="53"/>
    </row>
    <row r="34" spans="1:63" s="142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68"/>
      <c r="N34" s="168"/>
      <c r="O34" s="170"/>
      <c r="P34" s="170"/>
      <c r="Q34" s="170"/>
      <c r="R34" s="168"/>
      <c r="S34" s="21"/>
      <c r="T34" s="168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1"/>
      <c r="BG34" s="52"/>
      <c r="BH34" s="52"/>
      <c r="BI34" s="52"/>
      <c r="BJ34" s="52"/>
      <c r="BK34" s="53"/>
    </row>
    <row r="35" spans="1:63" s="142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68"/>
      <c r="N35" s="168"/>
      <c r="O35" s="170"/>
      <c r="P35" s="170"/>
      <c r="Q35" s="170"/>
      <c r="R35" s="168"/>
      <c r="S35" s="21"/>
      <c r="T35" s="168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1"/>
      <c r="BG35" s="52"/>
      <c r="BH35" s="52"/>
      <c r="BI35" s="52"/>
      <c r="BJ35" s="52"/>
      <c r="BK35" s="53"/>
    </row>
    <row r="36" spans="1:63" s="142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68"/>
      <c r="N36" s="168"/>
      <c r="O36" s="170"/>
      <c r="P36" s="170"/>
      <c r="R36" s="21"/>
      <c r="S36" s="21"/>
      <c r="T36" s="168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1"/>
      <c r="BG36" s="52"/>
      <c r="BH36" s="52"/>
      <c r="BI36" s="52"/>
      <c r="BJ36" s="52"/>
      <c r="BK36" s="53"/>
    </row>
    <row r="37" spans="1:63" s="142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68"/>
      <c r="N37" s="168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51"/>
      <c r="BG37" s="52"/>
      <c r="BH37" s="52"/>
      <c r="BI37" s="52"/>
      <c r="BJ37" s="52"/>
      <c r="BK37" s="53"/>
    </row>
    <row r="38" spans="1:63" s="142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68"/>
      <c r="N38" s="168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51"/>
      <c r="BG38" s="52"/>
      <c r="BH38" s="52"/>
      <c r="BI38" s="52"/>
      <c r="BJ38" s="52"/>
      <c r="BK38" s="53"/>
    </row>
    <row r="39" spans="1:63" s="142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68"/>
      <c r="N39" s="168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51"/>
      <c r="BG39" s="52"/>
      <c r="BH39" s="52"/>
      <c r="BI39" s="52"/>
      <c r="BJ39" s="52"/>
      <c r="BK39" s="53"/>
    </row>
    <row r="40" spans="1:63" s="142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68"/>
      <c r="N40" s="168"/>
      <c r="O40" s="170"/>
      <c r="P40" s="170"/>
      <c r="Q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51"/>
      <c r="BG40" s="52"/>
      <c r="BH40" s="52"/>
      <c r="BI40" s="52"/>
      <c r="BJ40" s="52"/>
      <c r="BK40" s="53"/>
    </row>
    <row r="41" spans="1:63" s="142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68"/>
      <c r="N41" s="168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1"/>
      <c r="BG41" s="52"/>
      <c r="BH41" s="52"/>
      <c r="BI41" s="52"/>
      <c r="BJ41" s="52"/>
      <c r="BK41" s="53"/>
    </row>
    <row r="42" spans="1:63" s="142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68"/>
      <c r="N42" s="168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1"/>
      <c r="BG42" s="52"/>
      <c r="BH42" s="52"/>
      <c r="BI42" s="52"/>
      <c r="BJ42" s="52"/>
      <c r="BK42" s="53"/>
    </row>
    <row r="43" spans="1:63" s="142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68"/>
      <c r="N43" s="168"/>
      <c r="O43" s="170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1"/>
      <c r="BG43" s="52"/>
      <c r="BH43" s="52"/>
      <c r="BI43" s="52"/>
      <c r="BJ43" s="52"/>
      <c r="BK43" s="53"/>
    </row>
    <row r="44" spans="1:63" s="142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  <c r="AT44" s="168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1"/>
      <c r="BG44" s="52"/>
      <c r="BH44" s="52"/>
      <c r="BI44" s="52"/>
      <c r="BJ44" s="52"/>
      <c r="BK44" s="53"/>
    </row>
    <row r="45" spans="1:63" s="142" customFormat="1" ht="15" customHeight="1" x14ac:dyDescent="0.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5"/>
      <c r="M45" s="172"/>
      <c r="N45" s="173"/>
      <c r="O45" s="173"/>
      <c r="P45" s="173"/>
      <c r="Q45" s="173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174"/>
      <c r="AQ45" s="174"/>
      <c r="AR45" s="174"/>
      <c r="AS45" s="174"/>
      <c r="AT45" s="174"/>
      <c r="AU45" s="13"/>
      <c r="AV45" s="14"/>
      <c r="AW45" s="14"/>
      <c r="AX45" s="14"/>
      <c r="AY45" s="14"/>
      <c r="AZ45" s="14"/>
      <c r="BA45" s="14"/>
      <c r="BB45" s="14"/>
      <c r="BC45" s="14"/>
      <c r="BD45" s="14"/>
      <c r="BE45" s="15"/>
      <c r="BF45" s="45"/>
      <c r="BG45" s="46"/>
      <c r="BH45" s="46"/>
      <c r="BI45" s="46"/>
      <c r="BJ45" s="46"/>
      <c r="BK45" s="47"/>
    </row>
    <row r="46" spans="1:63" ht="15" customHeight="1" x14ac:dyDescent="0.25">
      <c r="A46" s="16"/>
      <c r="BK46" s="6"/>
    </row>
    <row r="47" spans="1:63" ht="15" customHeight="1" x14ac:dyDescent="0.25">
      <c r="A47" s="23"/>
      <c r="BK47" s="6"/>
    </row>
    <row r="48" spans="1:63" ht="15" customHeight="1" x14ac:dyDescent="0.25">
      <c r="A48" s="23"/>
      <c r="BK48" s="6"/>
    </row>
    <row r="49" spans="1:63" ht="15" customHeight="1" x14ac:dyDescent="0.25">
      <c r="A49" s="23"/>
      <c r="BK49" s="6"/>
    </row>
    <row r="50" spans="1:63" ht="15" customHeight="1" x14ac:dyDescent="0.25">
      <c r="A50" s="23"/>
      <c r="BK50" s="6"/>
    </row>
    <row r="51" spans="1:63" ht="15" customHeight="1" x14ac:dyDescent="0.25">
      <c r="A51" s="23"/>
      <c r="BK51" s="6"/>
    </row>
    <row r="52" spans="1:63" ht="15" customHeight="1" x14ac:dyDescent="0.25">
      <c r="A52" s="23"/>
      <c r="BK52" s="6"/>
    </row>
    <row r="53" spans="1:63" ht="15" customHeight="1" x14ac:dyDescent="0.25">
      <c r="A53" s="23"/>
      <c r="BK53" s="6"/>
    </row>
    <row r="54" spans="1:63" ht="15" customHeight="1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</mergeCells>
  <dataValidations count="2">
    <dataValidation type="list" allowBlank="1" showInputMessage="1" showErrorMessage="1" sqref="O10" xr:uid="{00000000-0002-0000-03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3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A2F042-841D-4031-ACB5-24EAD2E8E521}"/>
</file>

<file path=customXml/itemProps2.xml><?xml version="1.0" encoding="utf-8"?>
<ds:datastoreItem xmlns:ds="http://schemas.openxmlformats.org/officeDocument/2006/customXml" ds:itemID="{7BE101B6-7207-4952-9A77-15EB883A7DC1}"/>
</file>

<file path=customXml/itemProps3.xml><?xml version="1.0" encoding="utf-8"?>
<ds:datastoreItem xmlns:ds="http://schemas.openxmlformats.org/officeDocument/2006/customXml" ds:itemID="{6FDFE709-46A2-4C29-B97D-BD8D07DA10D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SC1601</vt:lpstr>
      <vt:lpstr>テンプレート</vt:lpstr>
      <vt:lpstr>'SC1601'!Print_Area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2024-09-10T08:30:08Z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