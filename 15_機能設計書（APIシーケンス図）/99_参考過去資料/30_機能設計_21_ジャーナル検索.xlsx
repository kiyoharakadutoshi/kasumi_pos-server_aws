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F7720E45-92F7-4E2A-9B46-028BD562102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2101" sheetId="7" r:id="rId3"/>
    <sheet name="テンプレート" sheetId="8" r:id="rId4"/>
  </sheets>
  <definedNames>
    <definedName name="_xlnm.Print_Area" localSheetId="2">'SC2101'!$A$1:$BK$206</definedName>
    <definedName name="_xlnm.Print_Area" localSheetId="3">テンプレート!$A$1:$BK$54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K2" i="8"/>
  <c r="A2" i="8"/>
  <c r="W1" i="8"/>
  <c r="AP4" i="7"/>
  <c r="Z4" i="7"/>
  <c r="H4" i="7"/>
  <c r="AP2" i="7"/>
  <c r="K2" i="7"/>
  <c r="A2" i="7"/>
  <c r="W1" i="7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7" s="1"/>
  <c r="BC2" i="4"/>
  <c r="BC2" i="8" s="1"/>
  <c r="AY2" i="4"/>
  <c r="AY2" i="7" s="1"/>
  <c r="AT2" i="4"/>
  <c r="AT2" i="7" s="1"/>
  <c r="AP2" i="4"/>
  <c r="AP2" i="8" s="1"/>
  <c r="BC2" i="3" l="1"/>
  <c r="BC2" i="7"/>
  <c r="BH2" i="8"/>
  <c r="AT2" i="8"/>
  <c r="AT2" i="3"/>
  <c r="AY2" i="8"/>
  <c r="BH2" i="3"/>
  <c r="AY2" i="3"/>
</calcChain>
</file>

<file path=xl/sharedStrings.xml><?xml version="1.0" encoding="utf-8"?>
<sst xmlns="http://schemas.openxmlformats.org/spreadsheetml/2006/main" count="276" uniqueCount="186">
  <si>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</si>
  <si>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</si>
  <si>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</si>
  <si>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</si>
  <si>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</si>
  <si>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</si>
  <si>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</si>
  <si>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</si>
  <si>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</si>
  <si>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</si>
  <si>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</si>
  <si>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FFFFFF"/>
        <rFont val="Meiryo UI"/>
        <family val="3"/>
        <charset val="128"/>
      </rPr>
      <t>画面ID</t>
    </r>
  </si>
  <si>
    <r>
      <rPr>
        <sz val="11"/>
        <color rgb="FFFFFFFF"/>
        <rFont val="Meiryo UI"/>
        <family val="3"/>
        <charset val="128"/>
      </rPr>
      <t>画面名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</si>
  <si>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</si>
  <si>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</si>
  <si>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</si>
  <si>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</si>
  <si>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</si>
  <si>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 xml:space="preserve">1. </t>
    </r>
    <r>
      <rPr>
        <sz val="11"/>
        <color rgb="FF000000"/>
        <rFont val="Meiryo UI"/>
        <family val="2"/>
      </rPr>
      <t>ロジック1</t>
    </r>
  </si>
  <si>
    <r>
      <rPr>
        <sz val="11"/>
        <color rgb="FF000000"/>
        <rFont val="Meiryo UI"/>
        <family val="2"/>
      </rPr>
      <t xml:space="preserve">2. </t>
    </r>
    <r>
      <rPr>
        <sz val="11"/>
        <color rgb="FF000000"/>
        <rFont val="Meiryo UI"/>
        <family val="2"/>
      </rPr>
      <t>ロジック2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</si>
  <si>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</si>
  <si>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</si>
  <si>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</si>
  <si>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</si>
  <si>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</si>
  <si>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</si>
  <si>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</si>
  <si>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①．「更新成功」の場合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</si>
  <si>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</si>
  <si>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</si>
  <si>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</si>
  <si>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</si>
  <si>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</si>
  <si>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</si>
  <si>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</si>
  <si>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APIエラーの共通表示処理を実行する。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</si>
  <si>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</si>
  <si>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</si>
  <si>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</si>
  <si>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21_ジャーナル検索</t>
    </r>
  </si>
  <si>
    <r>
      <rPr>
        <sz val="11"/>
        <color rgb="FF000000"/>
        <rFont val="Meiryo UI"/>
        <family val="2"/>
      </rPr>
      <t>SC2101</t>
    </r>
  </si>
  <si>
    <r>
      <rPr>
        <sz val="11"/>
        <color rgb="FF000000"/>
        <rFont val="Meiryo UI"/>
        <family val="2"/>
      </rPr>
      <t>SC2101-01</t>
    </r>
  </si>
  <si>
    <r>
      <rPr>
        <sz val="11"/>
        <color rgb="FF000000"/>
        <rFont val="Meiryo UI"/>
        <family val="2"/>
      </rPr>
      <t>「20_画面設計_21_ジャーナル検索.xlsx」ファイルをご参照ください。</t>
    </r>
  </si>
  <si>
    <r>
      <rPr>
        <b/>
        <sz val="11"/>
        <color rgb="FF000000"/>
        <rFont val="Meiryo UI"/>
        <family val="2"/>
      </rPr>
      <t>2.1 KN2101_レジ種別一覧取得</t>
    </r>
  </si>
  <si>
    <r>
      <rPr>
        <sz val="11"/>
        <color rgb="FF000000"/>
        <rFont val="Meiryo UI"/>
        <family val="2"/>
      </rPr>
      <t>ユーザーが店舗一覧モーダルで選択した店舗コード</t>
    </r>
  </si>
  <si>
    <r>
      <rPr>
        <sz val="11"/>
        <color rgb="FF000000"/>
        <rFont val="Meiryo UI"/>
        <family val="2"/>
      </rPr>
      <t>2.1.2 返却された結果情報</t>
    </r>
  </si>
  <si>
    <r>
      <rPr>
        <sz val="11"/>
        <color rgb="FF000000"/>
        <rFont val="Meiryo UI"/>
        <family val="2"/>
      </rPr>
      <t>レジ一覧</t>
    </r>
  </si>
  <si>
    <r>
      <rPr>
        <sz val="11"/>
        <color rgb="FF000000"/>
        <rFont val="Meiryo UI"/>
        <family val="2"/>
      </rPr>
      <t>「20_画面設計_21_ジャーナル検索.xlsx」に従って画面に返されたAPIレスポンスをマッピングする。</t>
    </r>
  </si>
  <si>
    <r>
      <rPr>
        <sz val="11"/>
        <color rgb="FF000000"/>
        <rFont val="Meiryo UI"/>
        <family val="2"/>
      </rPr>
      <t>従業員一覧</t>
    </r>
  </si>
  <si>
    <r>
      <rPr>
        <sz val="11"/>
        <color rgb="FF000000"/>
        <rFont val="Meiryo UI"/>
        <family val="2"/>
      </rPr>
      <t>ジャーナル検索</t>
    </r>
  </si>
  <si>
    <r>
      <rPr>
        <sz val="10"/>
        <color rgb="FF000000"/>
        <rFont val="Meiryo UI"/>
        <family val="2"/>
      </rPr>
      <t>20_画面設計_21_ジャーナル検索.xlsx</t>
    </r>
  </si>
  <si>
    <r>
      <rPr>
        <sz val="11"/>
        <color rgb="FF000000"/>
        <rFont val="Meiryo UI"/>
        <family val="2"/>
      </rPr>
      <t>1.1バリデーションチェックOKの場合、KN2102_ジャーナル検索機能を実行する。</t>
    </r>
  </si>
  <si>
    <r>
      <rPr>
        <sz val="11"/>
        <color rgb="FF000000"/>
        <rFont val="Meiryo UI"/>
        <family val="2"/>
      </rPr>
      <t>1.2 バリデーションチェックNGの場合、以下のように実行する。</t>
    </r>
  </si>
  <si>
    <r>
      <rPr>
        <sz val="11"/>
        <color rgb="FF000000"/>
        <rFont val="Meiryo UI"/>
        <family val="2"/>
      </rPr>
      <t>以下のようにバリデーションチェックエラーの表示処理を実行する。（モーダルでは1つのエラーのみが表示される）</t>
    </r>
  </si>
  <si>
    <r>
      <rPr>
        <sz val="11"/>
        <color rgb="FF000000"/>
        <rFont val="Meiryo UI"/>
        <family val="2"/>
      </rPr>
      <t>1.1 「AP2102」API呼出処理を実行する。</t>
    </r>
  </si>
  <si>
    <r>
      <rPr>
        <sz val="11"/>
        <color rgb="FF000000"/>
        <rFont val="Meiryo UI"/>
        <family val="2"/>
      </rPr>
      <t>business_date_from</t>
    </r>
  </si>
  <si>
    <r>
      <rPr>
        <sz val="11"/>
        <color rgb="FF000000"/>
        <rFont val="Meiryo UI"/>
        <family val="2"/>
      </rPr>
      <t>business_date_to</t>
    </r>
  </si>
  <si>
    <r>
      <rPr>
        <sz val="11"/>
        <color rgb="FF000000"/>
        <rFont val="Meiryo UI"/>
        <family val="2"/>
      </rPr>
      <t>cash_register_code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</si>
  <si>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</si>
  <si>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receipt_no_from</t>
    </r>
  </si>
  <si>
    <r>
      <rPr>
        <sz val="11"/>
        <color rgb="FF000000"/>
        <rFont val="Meiryo UI"/>
        <family val="2"/>
      </rPr>
      <t>receipt_no_to</t>
    </r>
  </si>
  <si>
    <r>
      <rPr>
        <sz val="11"/>
        <color rgb="FF000000"/>
        <rFont val="Meiryo UI"/>
        <family val="2"/>
      </rPr>
      <t>選択された店舗</t>
    </r>
  </si>
  <si>
    <r>
      <rPr>
        <sz val="11"/>
        <color rgb="FF000000"/>
        <rFont val="Meiryo UI"/>
        <family val="2"/>
      </rPr>
      <t>ユーザーが画面で選択したレジ番号</t>
    </r>
  </si>
  <si>
    <r>
      <rPr>
        <sz val="11"/>
        <color rgb="FF000000"/>
        <rFont val="Meiryo UI"/>
        <family val="2"/>
      </rPr>
      <t>ユーザーが画面で選択した従業員コード</t>
    </r>
  </si>
  <si>
    <r>
      <rPr>
        <sz val="11"/>
        <color rgb="FF000000"/>
        <rFont val="Meiryo UI"/>
        <family val="2"/>
      </rPr>
      <t>ユーザーが画面で入力した開始レシート番号</t>
    </r>
  </si>
  <si>
    <r>
      <rPr>
        <sz val="11"/>
        <color rgb="FF000000"/>
        <rFont val="Meiryo UI"/>
        <family val="2"/>
      </rPr>
      <t>ユーザーが画面で入力した終了レシート番号</t>
    </r>
  </si>
  <si>
    <r>
      <rPr>
        <sz val="11"/>
        <color rgb="FF000000"/>
        <rFont val="Meiryo UI"/>
        <family val="2"/>
      </rPr>
      <t>ジャーナル情報</t>
    </r>
  </si>
  <si>
    <r>
      <rPr>
        <sz val="11"/>
        <color rgb="FF000000"/>
        <rFont val="Meiryo UI"/>
        <family val="2"/>
      </rPr>
      <t>「40_API設計_2102_ジャーナル検索.xlsx」のレスポンスをご参照ください。</t>
    </r>
  </si>
  <si>
    <r>
      <rPr>
        <sz val="11"/>
        <color rgb="FF000000"/>
        <rFont val="Meiryo UI"/>
        <family val="2"/>
      </rPr>
      <t>「40_API設計_AP4001_店舗従業員一覧取得.xlsx」のレスポンスをご参照ください。</t>
    </r>
  </si>
  <si>
    <r>
      <rPr>
        <sz val="11"/>
        <color rgb="FF000000"/>
        <rFont val="Meiryo UI"/>
        <family val="2"/>
      </rPr>
      <t>+[終了営業日]が入力されていない場合:MSG_VAL_001 ({0}: 終了営業日)</t>
    </r>
  </si>
  <si>
    <r>
      <rPr>
        <sz val="11"/>
        <color rgb="FF000000"/>
        <rFont val="Meiryo UI"/>
        <family val="2"/>
      </rPr>
      <t>・CSSでdisplayがnoneの@media printを使用して、印刷対象以外のエリアを削除する。</t>
    </r>
  </si>
  <si>
    <r>
      <rPr>
        <sz val="11"/>
        <color rgb="FF000000"/>
        <rFont val="Meiryo UI"/>
        <family val="2"/>
      </rPr>
      <t>2.2 KN4001_従業員情報一覧取得機能</t>
    </r>
  </si>
  <si>
    <r>
      <rPr>
        <sz val="11"/>
        <color rgb="FF000000"/>
        <rFont val="Meiryo UI"/>
        <family val="2"/>
      </rPr>
      <t>2.2.1「AP4001」API呼出処理</t>
    </r>
  </si>
  <si>
    <r>
      <rPr>
        <sz val="11"/>
        <color rgb="FF000000"/>
        <rFont val="Meiryo UI"/>
        <family val="2"/>
      </rPr>
      <t>2.2.2 返却された結果情報</t>
    </r>
  </si>
  <si>
    <r>
      <rPr>
        <sz val="11"/>
        <color rgb="FF000000"/>
        <rFont val="Meiryo UI"/>
        <family val="2"/>
      </rPr>
      <t>SC2101_ジャーナル検索画面の[レジ（値）]項目に空のデータを表示する。</t>
    </r>
  </si>
  <si>
    <r>
      <rPr>
        <sz val="11"/>
        <color rgb="FF000000"/>
        <rFont val="Meiryo UI"/>
        <family val="2"/>
      </rPr>
      <t>SC2101_ジャーナル検索画面の[担当者（値）]項目に空のデータを表示する。</t>
    </r>
  </si>
  <si>
    <r>
      <rPr>
        <sz val="11"/>
        <color rgb="FF000000"/>
        <rFont val="Meiryo UI"/>
        <family val="2"/>
      </rPr>
      <t>①．成功の場合、</t>
    </r>
  </si>
  <si>
    <r>
      <rPr>
        <sz val="11"/>
        <color rgb="FF000000"/>
        <rFont val="Meiryo UI"/>
        <family val="2"/>
      </rPr>
      <t>レシート印刷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</si>
  <si>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</si>
  <si>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csv出力</t>
    </r>
  </si>
  <si>
    <r>
      <rPr>
        <sz val="11"/>
        <color rgb="FF000000"/>
        <rFont val="Meiryo UI"/>
        <family val="2"/>
      </rPr>
      <t>・印刷対象：SC2101_ジャーナル検索画面で選択されたレシート</t>
    </r>
  </si>
  <si>
    <r>
      <rPr>
        <sz val="11"/>
        <color rgb="FF000000"/>
        <rFont val="Meiryo UI"/>
        <family val="2"/>
      </rPr>
      <t>1.1「AP2103」APIを呼び出す。</t>
    </r>
  </si>
  <si>
    <r>
      <rPr>
        <sz val="11"/>
        <color rgb="FF000000"/>
        <rFont val="Meiryo UI"/>
        <family val="2"/>
      </rPr>
      <t>Success</t>
    </r>
  </si>
  <si>
    <r>
      <rPr>
        <sz val="11"/>
        <color rgb="FF000000"/>
        <rFont val="Meiryo UI"/>
        <family val="2"/>
      </rPr>
      <t>・印刷帳票をPDFプレビュー形式で表示し、ファイル名を「ジャーナル検索.pdf」として保存する。</t>
    </r>
  </si>
  <si>
    <r>
      <rPr>
        <sz val="11"/>
        <color rgb="FF000000"/>
        <rFont val="Meiryo UI"/>
        <family val="2"/>
      </rPr>
      <t>CSVファイルの形式は[CSV2101レシート一覧]に従って送信する。</t>
    </r>
  </si>
  <si>
    <r>
      <rPr>
        <sz val="11"/>
        <color rgb="FF000000"/>
        <rFont val="Meiryo UI"/>
        <family val="2"/>
      </rPr>
      <t>ファイル名を「ジャーナル検索_yyyyMMddHHmmss.csv」としてCSVファイルを送信する。</t>
    </r>
  </si>
  <si>
    <r>
      <rPr>
        <sz val="11"/>
        <color rgb="FF000000"/>
        <rFont val="Meiryo UI"/>
        <family val="2"/>
      </rPr>
      <t>2.1.1「AP7103」API呼出処理</t>
    </r>
  </si>
  <si>
    <r>
      <rPr>
        <sz val="11"/>
        <color rgb="FF000000"/>
        <rFont val="Meiryo UI"/>
        <family val="2"/>
      </rPr>
      <t>40_API設計_AP7103_レジ種別一覧.xlsxのレスポンスをご参照ください。</t>
    </r>
  </si>
  <si>
    <r>
      <rPr>
        <sz val="11"/>
        <color rgb="FF000000"/>
        <rFont val="Meiryo UI"/>
        <family val="2"/>
      </rPr>
      <t>選択されたトランザクションの RECORD_IDの一覧</t>
    </r>
  </si>
  <si>
    <r>
      <rPr>
        <sz val="11"/>
        <color rgb="FF000000"/>
        <rFont val="Meiryo UI"/>
        <family val="2"/>
      </rPr>
      <t>SC2101-02</t>
    </r>
  </si>
  <si>
    <r>
      <rPr>
        <sz val="11"/>
        <color rgb="FF000000"/>
        <rFont val="Meiryo UI"/>
        <family val="2"/>
      </rPr>
      <t>SC2101-03</t>
    </r>
  </si>
  <si>
    <r>
      <rPr>
        <sz val="11"/>
        <color rgb="FF000000"/>
        <rFont val="Meiryo UI"/>
        <family val="2"/>
      </rPr>
      <t>SC2101-04</t>
    </r>
  </si>
  <si>
    <r>
      <rPr>
        <sz val="11"/>
        <color rgb="FF000000"/>
        <rFont val="Meiryo UI"/>
        <family val="2"/>
      </rPr>
      <t>keyword_1</t>
    </r>
  </si>
  <si>
    <r>
      <rPr>
        <sz val="11"/>
        <color rgb="FF000000"/>
        <rFont val="Meiryo UI"/>
        <family val="2"/>
      </rPr>
      <t>keyword_2</t>
    </r>
  </si>
  <si>
    <r>
      <rPr>
        <sz val="11"/>
        <color rgb="FF000000"/>
        <rFont val="Meiryo UI"/>
        <family val="2"/>
      </rPr>
      <t>condition_type</t>
    </r>
  </si>
  <si>
    <r>
      <rPr>
        <sz val="11"/>
        <color rgb="FF000000"/>
        <rFont val="Meiryo UI"/>
        <family val="2"/>
      </rPr>
      <t>keyword_1、keyword_2の条件組み合わせタイプ</t>
    </r>
  </si>
  <si>
    <r>
      <rPr>
        <sz val="11"/>
        <color rgb="FF000000"/>
        <rFont val="Meiryo UI"/>
        <family val="2"/>
      </rPr>
      <t>任意文字列1</t>
    </r>
  </si>
  <si>
    <r>
      <rPr>
        <sz val="11"/>
        <color rgb="FF000000"/>
        <rFont val="Meiryo UI"/>
        <family val="2"/>
      </rPr>
      <t>任意文字列2</t>
    </r>
  </si>
  <si>
    <r>
      <rPr>
        <sz val="11"/>
        <color rgb="FF000000"/>
        <rFont val="Meiryo UI"/>
        <family val="2"/>
      </rPr>
      <t>更新</t>
    </r>
  </si>
  <si>
    <r>
      <rPr>
        <sz val="11"/>
        <color rgb="FF000000"/>
        <rFont val="Meiryo UI"/>
        <family val="2"/>
      </rPr>
      <t>AnhNM</t>
    </r>
  </si>
  <si>
    <r>
      <rPr>
        <sz val="11"/>
        <color rgb="FF000000"/>
        <rFont val="Meiryo UI"/>
        <family val="2"/>
      </rPr>
      <t>MSG_VAL_003をMSG_VAL_016に変更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</si>
  <si>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</si>
  <si>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</si>
  <si>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</si>
  <si>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</si>
  <si>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</si>
  <si>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</si>
  <si>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</si>
  <si>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</si>
  <si>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</si>
  <si>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</si>
  <si>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</si>
  <si>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</si>
  <si>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</si>
  <si>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</si>
  <si>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</si>
  <si>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</si>
  <si>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LoiLV</t>
  </si>
  <si>
    <r>
      <rPr>
        <sz val="11"/>
        <color rgb="FF000000"/>
        <rFont val="Meiryo UI"/>
        <family val="2"/>
      </rPr>
      <t>SC2101: limit、pageを削除</t>
    </r>
  </si>
  <si>
    <t>TuyenNH</t>
  </si>
  <si>
    <t>・t_journalテーブルのDB構造を変更する。
・金額での検索項目を削除する。
・開始日から終了日までの期間で検索する。</t>
  </si>
  <si>
    <t>[SC101]シート</t>
  </si>
  <si>
    <t>「F1：全解除」、「F2：全選択」のアクションを説明
・表示項目とCSV・PDF出力項目に、ソート（▲/▼）ロジックを追加</t>
  </si>
  <si>
    <t>[SC2101]シート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</si>
  <si>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</si>
  <si>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</si>
  <si>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</si>
  <si>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ジャーナル検索画面</t>
    </r>
  </si>
  <si>
    <r>
      <rPr>
        <sz val="10"/>
        <color rgb="FF000000"/>
        <rFont val="Meiryo UI"/>
        <family val="2"/>
      </rPr>
      <t xml:space="preserve">20_画面設計_21_ジャーナル検索.xlsx
40_API設計_AP7103_レジ種別一覧.xlsx
40_API設計_AP4001_店舗従業員一覧取得.xlsx
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</si>
  <si>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</si>
  <si>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b/>
        <sz val="11"/>
        <color rgb="FF000000"/>
        <rFont val="Meiryo UI"/>
        <family val="2"/>
      </rPr>
      <t>2. 以下の機能を同時に実行する。</t>
    </r>
  </si>
  <si>
    <r>
      <rPr>
        <sz val="10"/>
        <color rgb="FF000000"/>
        <rFont val="Meiryo UI"/>
        <family val="2"/>
      </rPr>
      <t>20_画面設計_21_ジャーナル検索.xlsx
40_API設計_2102_ジャーナル検索.xlsx</t>
    </r>
  </si>
  <si>
    <r>
      <rPr>
        <b/>
        <sz val="11"/>
        <color rgb="FF000000"/>
        <rFont val="Meiryo UI"/>
        <family val="2"/>
      </rPr>
      <t>1. 「検索」ボタンをタッチすると、入力項目ごとのバリデーションチェックを行う。</t>
    </r>
  </si>
  <si>
    <r>
      <rPr>
        <sz val="11"/>
        <color rgb="FF000000"/>
        <rFont val="Meiryo UI"/>
        <family val="2"/>
      </rPr>
      <t>+[開始営業日]が入力されていない場合：MSG_VAL_001 ({0}: 開始営業日)</t>
    </r>
  </si>
  <si>
    <r>
      <rPr>
        <sz val="11"/>
        <color rgb="FF000000"/>
        <rFont val="Meiryo UI"/>
        <family val="2"/>
      </rPr>
      <t>+[開始営業日]が不正に入力されている場合：MSG_VAL_016 ({0}: 開始営業日)</t>
    </r>
  </si>
  <si>
    <r>
      <rPr>
        <sz val="11"/>
        <color rgb="FF000000"/>
        <rFont val="Meiryo UI"/>
        <family val="2"/>
      </rPr>
      <t>+[終了営業日]が不正に入力されている場合：MSG_VAL_016 ({0}: 終了営業日)</t>
    </r>
  </si>
  <si>
    <r>
      <rPr>
        <sz val="11"/>
        <color rgb="FF000000"/>
        <rFont val="Meiryo UI"/>
        <family val="2"/>
      </rPr>
      <t>+[開始時間帯], [終了時間帯]が入力されていない場合：MSG_VAL_001 ({0}: 時間帯)</t>
    </r>
  </si>
  <si>
    <r>
      <rPr>
        <sz val="11"/>
        <color rgb="FF000000"/>
        <rFont val="Meiryo UI"/>
        <family val="2"/>
      </rPr>
      <t>+[開始時間帯], [終了時間帯]が不正に入力されている場合：MSG_VAL_016 ({0}: 時間帯)</t>
    </r>
  </si>
  <si>
    <r>
      <rPr>
        <sz val="11"/>
        <color rgb="FF000000"/>
        <rFont val="Meiryo UI"/>
        <family val="2"/>
      </rPr>
      <t>+[開始営業日] &gt; [終了営業日]の場合：MSG_VAL_004 ({0}: 開始営業日、{1}: 終了営業日)</t>
    </r>
  </si>
  <si>
    <r>
      <rPr>
        <sz val="11"/>
        <color rgb="FF000000"/>
        <rFont val="Meiryo UI"/>
        <family val="2"/>
      </rPr>
      <t>+[開始営業日] = [終了営業日]かつ[開始時間帯] &gt; [終了時間帯]の場合：MSG_VAL_004 ({0}: 開始時間帯、{1}: 終了時間帯)</t>
    </r>
  </si>
  <si>
    <r>
      <rPr>
        <sz val="11"/>
        <color rgb="FF000000"/>
        <rFont val="Meiryo UI"/>
        <family val="2"/>
      </rPr>
      <t>+[開始レシート番号] &gt; [終了レシート番号]の場合：MSG_VAL_004 ({0} : 開始レシート番号, {1}: 終了レシート番号)</t>
    </r>
  </si>
  <si>
    <r>
      <rPr>
        <sz val="11"/>
        <color rgb="FF000000"/>
        <rFont val="Meiryo UI"/>
        <family val="2"/>
      </rPr>
      <t>+[表示件数]が入力されていない場合、MSG_VAL_001 ({0}: 表示件数)</t>
    </r>
  </si>
  <si>
    <r>
      <rPr>
        <b/>
        <sz val="11"/>
        <color rgb="FF000000"/>
        <rFont val="Meiryo UI"/>
        <family val="2"/>
      </rPr>
      <t>2. KN2102_ジャーナル検索</t>
    </r>
  </si>
  <si>
    <r>
      <rPr>
        <sz val="11"/>
        <color rgb="FF000000"/>
        <rFont val="Meiryo UI"/>
        <family val="2"/>
      </rPr>
      <t xml:space="preserve">ユーザーが画面で選択した営業開始日 </t>
    </r>
  </si>
  <si>
    <r>
      <rPr>
        <sz val="11"/>
        <color rgb="FF000000"/>
        <rFont val="Meiryo UI"/>
        <family val="2"/>
      </rPr>
      <t xml:space="preserve">ユーザーが画面で選択した営業終了日 </t>
    </r>
  </si>
  <si>
    <t>business_time_from</t>
  </si>
  <si>
    <t xml:space="preserve">ユーザーが画面で選択した営業開始時間 </t>
  </si>
  <si>
    <t>business_time_to</t>
  </si>
  <si>
    <t xml:space="preserve">ユーザーが画面で選択した営業終了時間 </t>
  </si>
  <si>
    <t>amount_money</t>
  </si>
  <si>
    <t>ユーザーが画面で入力した金額</t>
  </si>
  <si>
    <r>
      <rPr>
        <b/>
        <sz val="11"/>
        <color rgb="FF000000"/>
        <rFont val="Meiryo UI"/>
        <family val="2"/>
      </rPr>
      <t>1. 画面で選択された全てのレコードを印刷する。</t>
    </r>
  </si>
  <si>
    <r>
      <rPr>
        <sz val="10"/>
        <color rgb="FF000000"/>
        <rFont val="Meiryo UI"/>
        <family val="2"/>
      </rPr>
      <t>20_画面設計_21_ジャーナル検索.xlsx
40_API設計_2103_レシート一覧CSV出力.xlsx
CSV2101_レシート一覧.xlsx</t>
    </r>
  </si>
  <si>
    <r>
      <rPr>
        <b/>
        <sz val="11"/>
        <color rgb="FF000000"/>
        <rFont val="Meiryo UI"/>
        <family val="2"/>
      </rPr>
      <t>1. csv情報を出力する。</t>
    </r>
  </si>
  <si>
    <t>record_ids</t>
  </si>
  <si>
    <t>sort_column</t>
  </si>
  <si>
    <t>・以下の項目でソートを実行する。
  + 店舗：store_codeを値として渡す。
  + レジ番号：cash_register_codeを値として渡す。
  + 取引日時：transaction_dateを値として渡す。
  + レシートNo.：receipt_noを値として渡す。</t>
  </si>
  <si>
    <t>sort_value</t>
  </si>
  <si>
    <t>ASC又はDESC</t>
  </si>
  <si>
    <t>イベントID</t>
  </si>
  <si>
    <t>SC2101-05</t>
  </si>
  <si>
    <t>全解除</t>
  </si>
  <si>
    <t>インプット</t>
  </si>
  <si>
    <t>処理概要</t>
  </si>
  <si>
    <t>出力</t>
  </si>
  <si>
    <t>参照情報</t>
  </si>
  <si>
    <t>1. F1キーを押すか、全解除ボタンをクリックすると、</t>
  </si>
  <si>
    <t>画面に表示されているジャーナル一覧から全てのレコードを選択解除する。</t>
  </si>
  <si>
    <t>SC2101-06</t>
  </si>
  <si>
    <t>1. F2キーを押すか、全選択ボタンをクリックすると、</t>
  </si>
  <si>
    <t>画面に表示されているジャーナル一覧から全てのレコードを選択する。</t>
  </si>
  <si>
    <t>SC2101-07</t>
  </si>
  <si>
    <t>ソート</t>
  </si>
  <si>
    <t>1. 以下の項目でソートが可能である。</t>
  </si>
  <si>
    <t>店舗</t>
  </si>
  <si>
    <t>レジ番号</t>
  </si>
  <si>
    <t>取引日時</t>
  </si>
  <si>
    <t>レシートNo.</t>
  </si>
  <si>
    <t>・デフォルトの場合（上記の項目でソートが未実行の場合）、以下の条件でソートする。</t>
  </si>
  <si>
    <t xml:space="preserve">レジ番号：昇順、取引日時：昇順、レシートNo.：昇順 </t>
  </si>
  <si>
    <t>・「▲」をタッチすると、昇順にソートされ、ボタンが「▼」に切り替わる。</t>
  </si>
  <si>
    <t>・「▼」をタッチすると、降順にソートされ、ボタンが「▲」に切り替わる。</t>
  </si>
  <si>
    <t>・指定された項目でのみソートを実行する。例：</t>
  </si>
  <si>
    <t>ステップ1：店舗でソートする。</t>
  </si>
  <si>
    <t>ステップ2：「レジ番号」項目でソートする。</t>
  </si>
  <si>
    <t>=&gt;  店舗のソート状態をクリアし、レジ番号のみでソートを実行する。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</si>
</sst>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3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10"/>
      <color rgb="FFFF0000"/>
      <name val="Meiryo UI"/>
      <family val="2"/>
    </font>
    <font>
      <b/>
      <sz val="11"/>
      <color rgb="FFFF0000"/>
      <name val="Meiryo UI"/>
      <family val="2"/>
    </font>
    <font>
      <strike/>
      <sz val="11"/>
      <color rgb="FF0000FF"/>
      <name val="Meiryo UI"/>
      <family val="2"/>
    </font>
    <font>
      <sz val="9"/>
      <color rgb="FF0000FF"/>
      <name val="Meiryo UI"/>
      <family val="2"/>
    </font>
    <font>
      <sz val="10"/>
      <color rgb="FF0000FF"/>
      <name val="Meiryo UI"/>
      <family val="2"/>
    </font>
    <font>
      <b/>
      <sz val="11"/>
      <color rgb="FF0000FF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2" fillId="0" borderId="0">
      <alignment vertical="center"/>
    </xf>
    <xf numFmtId="0" fontId="2" fillId="0" borderId="0">
      <alignment vertical="center"/>
    </xf>
    <xf numFmtId="0" fontId="2" fillId="0" borderId="0"/>
  </cellStyleXfs>
  <cellXfs count="370">
    <xf numFmtId="0" fontId="0" fillId="0" borderId="0" xfId="0"/>
    <xf numFmtId="0" fontId="7" fillId="0" borderId="1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0" fontId="0" fillId="2" borderId="16" xfId="0" applyFill="1" applyBorder="1" applyAlignment="1">
      <alignment horizontal="left" vertical="top" wrapText="1" shrinkToFit="1"/>
    </xf>
    <xf numFmtId="49" fontId="9" fillId="2" borderId="17" xfId="8" applyNumberFormat="1" applyFont="1" applyFill="1" applyBorder="1" applyAlignment="1">
      <alignment vertical="top" wrapText="1"/>
    </xf>
    <xf numFmtId="49" fontId="9" fillId="2" borderId="18" xfId="8" applyNumberFormat="1" applyFont="1" applyFill="1" applyBorder="1" applyAlignment="1">
      <alignment vertical="top" wrapText="1"/>
    </xf>
    <xf numFmtId="49" fontId="9" fillId="2" borderId="19" xfId="8" applyNumberFormat="1" applyFont="1" applyFill="1" applyBorder="1" applyAlignment="1">
      <alignment vertical="top" wrapText="1"/>
    </xf>
    <xf numFmtId="0" fontId="0" fillId="2" borderId="18" xfId="0" applyFill="1" applyBorder="1" applyAlignment="1">
      <alignment vertical="center"/>
    </xf>
    <xf numFmtId="49" fontId="9" fillId="2" borderId="1" xfId="8" applyNumberFormat="1" applyFont="1" applyFill="1" applyBorder="1" applyAlignment="1">
      <alignment vertical="top" wrapText="1"/>
    </xf>
    <xf numFmtId="49" fontId="9" fillId="2" borderId="4" xfId="8" applyNumberFormat="1" applyFont="1" applyFill="1" applyBorder="1" applyAlignment="1">
      <alignment vertical="top" wrapText="1"/>
    </xf>
    <xf numFmtId="49" fontId="9" fillId="2" borderId="2" xfId="8" applyNumberFormat="1" applyFont="1" applyFill="1" applyBorder="1" applyAlignment="1">
      <alignment vertical="top" wrapText="1"/>
    </xf>
    <xf numFmtId="49" fontId="9" fillId="2" borderId="3" xfId="8" applyNumberFormat="1" applyFont="1" applyFill="1" applyBorder="1" applyAlignment="1">
      <alignment vertical="top" wrapText="1"/>
    </xf>
    <xf numFmtId="49" fontId="9" fillId="2" borderId="5" xfId="8" applyNumberFormat="1" applyFont="1" applyFill="1" applyBorder="1" applyAlignment="1">
      <alignment vertical="top" wrapText="1"/>
    </xf>
    <xf numFmtId="0" fontId="0" fillId="2" borderId="3" xfId="0" applyFill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0" xfId="0" applyFill="1" applyAlignment="1">
      <alignment horizontal="center" vertical="top" wrapText="1" shrinkToFit="1"/>
    </xf>
    <xf numFmtId="0" fontId="0" fillId="2" borderId="0" xfId="0" applyFill="1" applyAlignment="1">
      <alignment horizontal="left" vertical="top" wrapText="1" shrinkToFit="1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2" borderId="0" xfId="0" quotePrefix="1" applyFill="1" applyAlignment="1">
      <alignment vertical="top" wrapText="1" shrinkToFit="1"/>
    </xf>
    <xf numFmtId="0" fontId="0" fillId="2" borderId="0" xfId="0" applyFill="1" applyAlignment="1">
      <alignment vertical="top" wrapText="1" shrinkToFit="1"/>
    </xf>
    <xf numFmtId="0" fontId="0" fillId="2" borderId="4" xfId="0" applyFill="1" applyBorder="1" applyAlignment="1">
      <alignment horizontal="left" vertical="top" wrapText="1" shrinkToFit="1"/>
    </xf>
    <xf numFmtId="0" fontId="0" fillId="2" borderId="20" xfId="0" applyFill="1" applyBorder="1" applyAlignment="1">
      <alignment horizontal="left" vertical="top" wrapText="1" shrinkToFit="1"/>
    </xf>
    <xf numFmtId="49" fontId="9" fillId="2" borderId="0" xfId="8" applyNumberFormat="1" applyFont="1" applyFill="1" applyAlignment="1">
      <alignment vertical="top" wrapText="1"/>
    </xf>
    <xf numFmtId="0" fontId="0" fillId="2" borderId="0" xfId="0" applyFill="1" applyAlignment="1">
      <alignment vertical="center"/>
    </xf>
    <xf numFmtId="0" fontId="0" fillId="2" borderId="0" xfId="0" quotePrefix="1" applyFill="1" applyAlignment="1">
      <alignment vertical="center"/>
    </xf>
    <xf numFmtId="0" fontId="0" fillId="2" borderId="1" xfId="0" applyFill="1" applyBorder="1" applyAlignment="1">
      <alignment vertical="center"/>
    </xf>
    <xf numFmtId="0" fontId="6" fillId="2" borderId="0" xfId="0" quotePrefix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0" fillId="2" borderId="2" xfId="0" applyFill="1" applyBorder="1" applyAlignment="1">
      <alignment vertical="center"/>
    </xf>
    <xf numFmtId="49" fontId="0" fillId="2" borderId="3" xfId="8" applyNumberFormat="1" applyFont="1" applyFill="1" applyBorder="1" applyAlignment="1">
      <alignment horizontal="left" vertical="center"/>
    </xf>
    <xf numFmtId="0" fontId="11" fillId="2" borderId="3" xfId="0" applyFont="1" applyFill="1" applyBorder="1" applyAlignment="1">
      <alignment vertical="center"/>
    </xf>
    <xf numFmtId="0" fontId="0" fillId="2" borderId="21" xfId="0" applyFill="1" applyBorder="1" applyAlignment="1">
      <alignment horizontal="center" vertical="top" wrapText="1" shrinkToFit="1"/>
    </xf>
    <xf numFmtId="0" fontId="6" fillId="0" borderId="1" xfId="6" applyFont="1" applyBorder="1" applyAlignment="1">
      <alignment vertical="center"/>
    </xf>
    <xf numFmtId="0" fontId="12" fillId="3" borderId="21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0" xfId="0" quotePrefix="1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3" borderId="21" xfId="0" applyFont="1" applyFill="1" applyBorder="1" applyAlignment="1">
      <alignment vertical="center"/>
    </xf>
    <xf numFmtId="0" fontId="11" fillId="3" borderId="16" xfId="0" applyFont="1" applyFill="1" applyBorder="1" applyAlignment="1">
      <alignment vertical="center"/>
    </xf>
    <xf numFmtId="0" fontId="11" fillId="3" borderId="20" xfId="0" applyFont="1" applyFill="1" applyBorder="1" applyAlignment="1">
      <alignment vertical="center"/>
    </xf>
    <xf numFmtId="49" fontId="14" fillId="2" borderId="2" xfId="8" applyNumberFormat="1" applyFont="1" applyFill="1" applyBorder="1" applyAlignment="1">
      <alignment vertical="top" wrapText="1"/>
    </xf>
    <xf numFmtId="49" fontId="14" fillId="2" borderId="3" xfId="8" applyNumberFormat="1" applyFont="1" applyFill="1" applyBorder="1" applyAlignment="1">
      <alignment vertical="top" wrapText="1"/>
    </xf>
    <xf numFmtId="49" fontId="14" fillId="2" borderId="5" xfId="8" applyNumberFormat="1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center"/>
    </xf>
    <xf numFmtId="49" fontId="13" fillId="2" borderId="3" xfId="8" applyNumberFormat="1" applyFont="1" applyFill="1" applyBorder="1" applyAlignment="1">
      <alignment horizontal="left" vertical="center"/>
    </xf>
    <xf numFmtId="0" fontId="15" fillId="2" borderId="3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17" fillId="2" borderId="16" xfId="0" applyFont="1" applyFill="1" applyBorder="1" applyAlignment="1">
      <alignment vertical="center"/>
    </xf>
    <xf numFmtId="49" fontId="18" fillId="2" borderId="17" xfId="8" applyNumberFormat="1" applyFont="1" applyFill="1" applyBorder="1" applyAlignment="1">
      <alignment vertical="top" wrapText="1"/>
    </xf>
    <xf numFmtId="49" fontId="18" fillId="2" borderId="18" xfId="8" applyNumberFormat="1" applyFont="1" applyFill="1" applyBorder="1" applyAlignment="1">
      <alignment vertical="top" wrapText="1"/>
    </xf>
    <xf numFmtId="49" fontId="18" fillId="2" borderId="19" xfId="8" applyNumberFormat="1" applyFont="1" applyFill="1" applyBorder="1" applyAlignment="1">
      <alignment vertical="top" wrapText="1"/>
    </xf>
    <xf numFmtId="49" fontId="18" fillId="2" borderId="1" xfId="8" applyNumberFormat="1" applyFont="1" applyFill="1" applyBorder="1" applyAlignment="1">
      <alignment vertical="top" wrapText="1"/>
    </xf>
    <xf numFmtId="49" fontId="18" fillId="2" borderId="0" xfId="8" applyNumberFormat="1" applyFont="1" applyFill="1" applyAlignment="1">
      <alignment vertical="top" wrapText="1"/>
    </xf>
    <xf numFmtId="49" fontId="18" fillId="2" borderId="4" xfId="8" applyNumberFormat="1" applyFont="1" applyFill="1" applyBorder="1" applyAlignment="1">
      <alignment vertical="top" wrapText="1"/>
    </xf>
    <xf numFmtId="0" fontId="19" fillId="2" borderId="0" xfId="0" quotePrefix="1" applyFont="1" applyFill="1" applyAlignment="1">
      <alignment vertical="center"/>
    </xf>
    <xf numFmtId="49" fontId="18" fillId="2" borderId="2" xfId="8" applyNumberFormat="1" applyFont="1" applyFill="1" applyBorder="1" applyAlignment="1">
      <alignment vertical="top" wrapText="1"/>
    </xf>
    <xf numFmtId="49" fontId="18" fillId="2" borderId="3" xfId="8" applyNumberFormat="1" applyFont="1" applyFill="1" applyBorder="1" applyAlignment="1">
      <alignment vertical="top" wrapText="1"/>
    </xf>
    <xf numFmtId="49" fontId="18" fillId="2" borderId="5" xfId="8" applyNumberFormat="1" applyFont="1" applyFill="1" applyBorder="1" applyAlignment="1">
      <alignment vertical="top" wrapText="1"/>
    </xf>
    <xf numFmtId="0" fontId="19" fillId="2" borderId="3" xfId="0" applyFont="1" applyFill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3" fillId="0" borderId="18" xfId="0" applyFont="1" applyBorder="1"/>
    <xf numFmtId="0" fontId="13" fillId="0" borderId="19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17" xfId="0" applyFont="1" applyBorder="1"/>
    <xf numFmtId="0" fontId="13" fillId="0" borderId="2" xfId="0" applyFont="1" applyBorder="1"/>
    <xf numFmtId="49" fontId="14" fillId="2" borderId="17" xfId="8" applyNumberFormat="1" applyFont="1" applyFill="1" applyBorder="1" applyAlignment="1">
      <alignment horizontal="left" vertical="top" wrapText="1"/>
    </xf>
    <xf numFmtId="49" fontId="14" fillId="2" borderId="18" xfId="8" applyNumberFormat="1" applyFont="1" applyFill="1" applyBorder="1" applyAlignment="1">
      <alignment horizontal="left" vertical="top" wrapText="1"/>
    </xf>
    <xf numFmtId="49" fontId="14" fillId="2" borderId="19" xfId="8" applyNumberFormat="1" applyFont="1" applyFill="1" applyBorder="1" applyAlignment="1">
      <alignment horizontal="left" vertical="top" wrapText="1"/>
    </xf>
    <xf numFmtId="49" fontId="14" fillId="2" borderId="1" xfId="8" applyNumberFormat="1" applyFont="1" applyFill="1" applyBorder="1" applyAlignment="1">
      <alignment horizontal="left" vertical="top" wrapText="1"/>
    </xf>
    <xf numFmtId="49" fontId="14" fillId="2" borderId="0" xfId="8" applyNumberFormat="1" applyFont="1" applyFill="1" applyAlignment="1">
      <alignment horizontal="left" vertical="top" wrapText="1"/>
    </xf>
    <xf numFmtId="49" fontId="14" fillId="2" borderId="4" xfId="8" applyNumberFormat="1" applyFont="1" applyFill="1" applyBorder="1" applyAlignment="1">
      <alignment horizontal="left" vertical="top" wrapText="1"/>
    </xf>
    <xf numFmtId="49" fontId="14" fillId="2" borderId="2" xfId="8" applyNumberFormat="1" applyFont="1" applyFill="1" applyBorder="1" applyAlignment="1">
      <alignment horizontal="left" vertical="top" wrapText="1"/>
    </xf>
    <xf numFmtId="49" fontId="14" fillId="2" borderId="3" xfId="8" applyNumberFormat="1" applyFont="1" applyFill="1" applyBorder="1" applyAlignment="1">
      <alignment horizontal="left" vertical="top" wrapText="1"/>
    </xf>
    <xf numFmtId="49" fontId="14" fillId="2" borderId="5" xfId="8" applyNumberFormat="1" applyFont="1" applyFill="1" applyBorder="1" applyAlignment="1">
      <alignment horizontal="left" vertical="top" wrapText="1"/>
    </xf>
    <xf numFmtId="49" fontId="18" fillId="2" borderId="17" xfId="8" applyNumberFormat="1" applyFont="1" applyFill="1" applyBorder="1" applyAlignment="1">
      <alignment horizontal="left" vertical="top" wrapText="1"/>
    </xf>
    <xf numFmtId="49" fontId="18" fillId="2" borderId="18" xfId="8" applyNumberFormat="1" applyFont="1" applyFill="1" applyBorder="1" applyAlignment="1">
      <alignment horizontal="left" vertical="top" wrapText="1"/>
    </xf>
    <xf numFmtId="49" fontId="18" fillId="2" borderId="19" xfId="8" applyNumberFormat="1" applyFont="1" applyFill="1" applyBorder="1" applyAlignment="1">
      <alignment horizontal="left" vertical="top" wrapText="1"/>
    </xf>
    <xf numFmtId="49" fontId="18" fillId="2" borderId="1" xfId="8" applyNumberFormat="1" applyFont="1" applyFill="1" applyBorder="1" applyAlignment="1">
      <alignment horizontal="left" vertical="top" wrapText="1"/>
    </xf>
    <xf numFmtId="49" fontId="18" fillId="2" borderId="0" xfId="8" applyNumberFormat="1" applyFont="1" applyFill="1" applyAlignment="1">
      <alignment horizontal="left" vertical="top" wrapText="1"/>
    </xf>
    <xf numFmtId="49" fontId="18" fillId="2" borderId="4" xfId="8" applyNumberFormat="1" applyFont="1" applyFill="1" applyBorder="1" applyAlignment="1">
      <alignment horizontal="left" vertical="top" wrapText="1"/>
    </xf>
    <xf numFmtId="49" fontId="18" fillId="2" borderId="2" xfId="8" applyNumberFormat="1" applyFont="1" applyFill="1" applyBorder="1" applyAlignment="1">
      <alignment horizontal="left" vertical="top" wrapText="1"/>
    </xf>
    <xf numFmtId="49" fontId="18" fillId="2" borderId="3" xfId="8" applyNumberFormat="1" applyFont="1" applyFill="1" applyBorder="1" applyAlignment="1">
      <alignment horizontal="left" vertical="top" wrapText="1"/>
    </xf>
    <xf numFmtId="49" fontId="18" fillId="2" borderId="5" xfId="8" applyNumberFormat="1" applyFont="1" applyFill="1" applyBorder="1" applyAlignment="1">
      <alignment horizontal="left" vertical="top" wrapText="1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28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5" borderId="21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49" fontId="9" fillId="2" borderId="17" xfId="8" applyNumberFormat="1" applyFont="1" applyFill="1" applyBorder="1" applyAlignment="1">
      <alignment horizontal="left" vertical="top" wrapText="1"/>
    </xf>
    <xf numFmtId="49" fontId="9" fillId="2" borderId="18" xfId="8" applyNumberFormat="1" applyFont="1" applyFill="1" applyBorder="1" applyAlignment="1">
      <alignment horizontal="left" vertical="top" wrapText="1"/>
    </xf>
    <xf numFmtId="49" fontId="9" fillId="2" borderId="19" xfId="8" applyNumberFormat="1" applyFont="1" applyFill="1" applyBorder="1" applyAlignment="1">
      <alignment horizontal="left" vertical="top" wrapText="1"/>
    </xf>
    <xf numFmtId="49" fontId="9" fillId="2" borderId="1" xfId="8" applyNumberFormat="1" applyFont="1" applyFill="1" applyBorder="1" applyAlignment="1">
      <alignment horizontal="left" vertical="top" wrapText="1"/>
    </xf>
    <xf numFmtId="49" fontId="9" fillId="2" borderId="0" xfId="8" applyNumberFormat="1" applyFont="1" applyFill="1" applyAlignment="1">
      <alignment horizontal="left" vertical="top" wrapText="1"/>
    </xf>
    <xf numFmtId="49" fontId="9" fillId="2" borderId="4" xfId="8" applyNumberFormat="1" applyFont="1" applyFill="1" applyBorder="1" applyAlignment="1">
      <alignment horizontal="left" vertical="top" wrapText="1"/>
    </xf>
    <xf numFmtId="49" fontId="9" fillId="2" borderId="2" xfId="8" applyNumberFormat="1" applyFont="1" applyFill="1" applyBorder="1" applyAlignment="1">
      <alignment horizontal="left" vertical="top" wrapText="1"/>
    </xf>
    <xf numFmtId="49" fontId="9" fillId="2" borderId="3" xfId="8" applyNumberFormat="1" applyFont="1" applyFill="1" applyBorder="1" applyAlignment="1">
      <alignment horizontal="left" vertical="top" wrapText="1"/>
    </xf>
    <xf numFmtId="49" fontId="9" fillId="2" borderId="5" xfId="8" applyNumberFormat="1" applyFont="1" applyFill="1" applyBorder="1" applyAlignment="1">
      <alignment horizontal="left" vertical="top" wrapText="1"/>
    </xf>
    <xf numFmtId="0" fontId="5" fillId="4" borderId="21" xfId="6" applyFont="1" applyFill="1" applyBorder="1" applyAlignment="1">
      <alignment horizontal="center" vertical="center"/>
    </xf>
    <xf numFmtId="0" fontId="3" fillId="4" borderId="16" xfId="6" applyFont="1" applyFill="1" applyBorder="1" applyAlignment="1">
      <alignment horizontal="center" vertical="center"/>
    </xf>
    <xf numFmtId="0" fontId="3" fillId="4" borderId="20" xfId="6" applyFont="1" applyFill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3" fillId="4" borderId="21" xfId="6" applyFont="1" applyFill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4" fillId="0" borderId="18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4" fillId="0" borderId="4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16" fillId="0" borderId="21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49" fontId="16" fillId="2" borderId="21" xfId="8" quotePrefix="1" applyNumberFormat="1" applyFont="1" applyFill="1" applyBorder="1" applyAlignment="1">
      <alignment horizontal="left" vertical="top" wrapText="1"/>
    </xf>
    <xf numFmtId="49" fontId="16" fillId="2" borderId="16" xfId="8" quotePrefix="1" applyNumberFormat="1" applyFont="1" applyFill="1" applyBorder="1" applyAlignment="1">
      <alignment horizontal="left" vertical="top" wrapText="1"/>
    </xf>
    <xf numFmtId="49" fontId="16" fillId="2" borderId="20" xfId="8" quotePrefix="1" applyNumberFormat="1" applyFont="1" applyFill="1" applyBorder="1" applyAlignment="1">
      <alignment horizontal="left" vertical="top" wrapText="1"/>
    </xf>
    <xf numFmtId="49" fontId="9" fillId="2" borderId="17" xfId="8" applyNumberFormat="1" applyFont="1" applyFill="1" applyBorder="1" applyAlignment="1">
      <alignment horizontal="center" vertical="top" wrapText="1"/>
    </xf>
    <xf numFmtId="49" fontId="9" fillId="2" borderId="18" xfId="8" applyNumberFormat="1" applyFont="1" applyFill="1" applyBorder="1" applyAlignment="1">
      <alignment horizontal="center" vertical="top" wrapText="1"/>
    </xf>
    <xf numFmtId="49" fontId="9" fillId="2" borderId="19" xfId="8" applyNumberFormat="1" applyFont="1" applyFill="1" applyBorder="1" applyAlignment="1">
      <alignment horizontal="center" vertical="top" wrapText="1"/>
    </xf>
    <xf numFmtId="49" fontId="9" fillId="2" borderId="1" xfId="8" applyNumberFormat="1" applyFont="1" applyFill="1" applyBorder="1" applyAlignment="1">
      <alignment horizontal="center" vertical="top" wrapText="1"/>
    </xf>
    <xf numFmtId="49" fontId="9" fillId="2" borderId="0" xfId="8" applyNumberFormat="1" applyFont="1" applyFill="1" applyAlignment="1">
      <alignment horizontal="center" vertical="top" wrapText="1"/>
    </xf>
    <xf numFmtId="49" fontId="9" fillId="2" borderId="4" xfId="8" applyNumberFormat="1" applyFont="1" applyFill="1" applyBorder="1" applyAlignment="1">
      <alignment horizontal="center" vertical="top" wrapText="1"/>
    </xf>
    <xf numFmtId="49" fontId="9" fillId="2" borderId="2" xfId="8" applyNumberFormat="1" applyFont="1" applyFill="1" applyBorder="1" applyAlignment="1">
      <alignment horizontal="center" vertical="top" wrapText="1"/>
    </xf>
    <xf numFmtId="49" fontId="9" fillId="2" borderId="3" xfId="8" applyNumberFormat="1" applyFont="1" applyFill="1" applyBorder="1" applyAlignment="1">
      <alignment horizontal="center" vertical="top" wrapText="1"/>
    </xf>
    <xf numFmtId="49" fontId="9" fillId="2" borderId="5" xfId="8" applyNumberFormat="1" applyFont="1" applyFill="1" applyBorder="1" applyAlignment="1">
      <alignment horizontal="center" vertical="top" wrapText="1"/>
    </xf>
    <xf numFmtId="0" fontId="23" fillId="4" borderId="21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7" fillId="0" borderId="0" xfId="0" applyFont="1"/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14" fontId="27" fillId="0" borderId="17" xfId="0" applyNumberFormat="1" applyFont="1" applyBorder="1" applyAlignment="1">
      <alignment horizontal="center" vertical="center"/>
    </xf>
    <xf numFmtId="14" fontId="27" fillId="0" borderId="18" xfId="0" applyNumberFormat="1" applyFont="1" applyBorder="1" applyAlignment="1">
      <alignment horizontal="center" vertical="center"/>
    </xf>
    <xf numFmtId="14" fontId="27" fillId="0" borderId="19" xfId="0" applyNumberFormat="1" applyFont="1" applyBorder="1" applyAlignment="1">
      <alignment horizontal="center" vertical="center"/>
    </xf>
    <xf numFmtId="2" fontId="27" fillId="0" borderId="17" xfId="0" applyNumberFormat="1" applyFont="1" applyBorder="1" applyAlignment="1">
      <alignment horizontal="center" vertical="center"/>
    </xf>
    <xf numFmtId="2" fontId="27" fillId="0" borderId="18" xfId="0" applyNumberFormat="1" applyFont="1" applyBorder="1" applyAlignment="1">
      <alignment horizontal="center" vertical="center"/>
    </xf>
    <xf numFmtId="2" fontId="27" fillId="0" borderId="19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14" fontId="27" fillId="0" borderId="5" xfId="0" applyNumberFormat="1" applyFont="1" applyBorder="1" applyAlignment="1">
      <alignment horizontal="center" vertical="center"/>
    </xf>
    <xf numFmtId="2" fontId="27" fillId="0" borderId="2" xfId="0" applyNumberFormat="1" applyFont="1" applyBorder="1" applyAlignment="1">
      <alignment horizontal="center" vertical="center"/>
    </xf>
    <xf numFmtId="2" fontId="27" fillId="0" borderId="3" xfId="0" applyNumberFormat="1" applyFont="1" applyBorder="1" applyAlignment="1">
      <alignment horizontal="center" vertical="center"/>
    </xf>
    <xf numFmtId="2" fontId="27" fillId="0" borderId="5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" xfId="0" applyFont="1" applyBorder="1"/>
    <xf numFmtId="0" fontId="27" fillId="0" borderId="3" xfId="0" applyFont="1" applyBorder="1"/>
    <xf numFmtId="0" fontId="27" fillId="0" borderId="5" xfId="0" applyFont="1" applyBorder="1"/>
    <xf numFmtId="0" fontId="27" fillId="0" borderId="1" xfId="0" applyFont="1" applyBorder="1"/>
    <xf numFmtId="0" fontId="27" fillId="0" borderId="4" xfId="0" applyFont="1" applyBorder="1"/>
    <xf numFmtId="0" fontId="27" fillId="0" borderId="7" xfId="0" applyFont="1" applyBorder="1"/>
    <xf numFmtId="0" fontId="27" fillId="0" borderId="8" xfId="0" applyFont="1" applyBorder="1"/>
    <xf numFmtId="0" fontId="27" fillId="0" borderId="11" xfId="0" applyFont="1" applyBorder="1"/>
    <xf numFmtId="0" fontId="27" fillId="0" borderId="6" xfId="0" applyFont="1" applyBorder="1"/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7" fillId="0" borderId="12" xfId="0" applyFont="1" applyBorder="1"/>
    <xf numFmtId="0" fontId="27" fillId="0" borderId="14" xfId="0" applyFont="1" applyBorder="1"/>
    <xf numFmtId="0" fontId="27" fillId="0" borderId="15" xfId="0" applyFont="1" applyBorder="1"/>
    <xf numFmtId="0" fontId="27" fillId="0" borderId="9" xfId="0" applyFont="1" applyBorder="1"/>
    <xf numFmtId="0" fontId="27" fillId="0" borderId="10" xfId="0" applyFont="1" applyBorder="1"/>
    <xf numFmtId="0" fontId="27" fillId="0" borderId="13" xfId="0" applyFont="1" applyBorder="1"/>
    <xf numFmtId="0" fontId="23" fillId="4" borderId="17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3" fillId="4" borderId="0" xfId="0" applyFont="1" applyFill="1"/>
    <xf numFmtId="0" fontId="27" fillId="0" borderId="22" xfId="0" applyFont="1" applyBorder="1"/>
    <xf numFmtId="0" fontId="27" fillId="0" borderId="23" xfId="0" applyFont="1" applyBorder="1"/>
    <xf numFmtId="0" fontId="27" fillId="0" borderId="24" xfId="0" applyFont="1" applyBorder="1"/>
    <xf numFmtId="0" fontId="27" fillId="0" borderId="18" xfId="0" applyFont="1" applyBorder="1"/>
    <xf numFmtId="0" fontId="27" fillId="0" borderId="19" xfId="0" applyFont="1" applyBorder="1"/>
    <xf numFmtId="0" fontId="27" fillId="0" borderId="17" xfId="0" applyFont="1" applyBorder="1"/>
    <xf numFmtId="0" fontId="27" fillId="0" borderId="25" xfId="0" applyFont="1" applyBorder="1"/>
    <xf numFmtId="0" fontId="27" fillId="0" borderId="26" xfId="0" applyFont="1" applyBorder="1"/>
    <xf numFmtId="0" fontId="27" fillId="0" borderId="27" xfId="0" applyFont="1" applyBorder="1"/>
    <xf numFmtId="0" fontId="27" fillId="0" borderId="3" xfId="0" applyFont="1" applyBorder="1"/>
    <xf numFmtId="0" fontId="27" fillId="0" borderId="5" xfId="0" applyFont="1" applyBorder="1"/>
    <xf numFmtId="0" fontId="27" fillId="0" borderId="2" xfId="0" applyFont="1" applyBorder="1"/>
    <xf numFmtId="14" fontId="30" fillId="0" borderId="17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22" xfId="0" quotePrefix="1" applyFont="1" applyBorder="1" applyAlignment="1">
      <alignment vertical="top" wrapText="1"/>
    </xf>
    <xf numFmtId="0" fontId="30" fillId="0" borderId="23" xfId="0" applyFont="1" applyBorder="1" applyAlignment="1">
      <alignment vertical="top"/>
    </xf>
    <xf numFmtId="0" fontId="30" fillId="0" borderId="24" xfId="0" applyFont="1" applyBorder="1" applyAlignment="1">
      <alignment vertical="top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25" xfId="0" applyFont="1" applyBorder="1"/>
    <xf numFmtId="0" fontId="30" fillId="0" borderId="26" xfId="0" applyFont="1" applyBorder="1"/>
    <xf numFmtId="0" fontId="30" fillId="0" borderId="27" xfId="0" applyFont="1" applyBorder="1"/>
    <xf numFmtId="0" fontId="23" fillId="4" borderId="21" xfId="6" applyFont="1" applyFill="1" applyBorder="1" applyAlignment="1">
      <alignment horizontal="center" vertical="center"/>
    </xf>
    <xf numFmtId="0" fontId="23" fillId="4" borderId="16" xfId="6" applyFont="1" applyFill="1" applyBorder="1" applyAlignment="1">
      <alignment horizontal="center" vertical="center"/>
    </xf>
    <xf numFmtId="0" fontId="23" fillId="4" borderId="20" xfId="6" applyFont="1" applyFill="1" applyBorder="1" applyAlignment="1">
      <alignment horizontal="center" vertical="center"/>
    </xf>
    <xf numFmtId="0" fontId="26" fillId="0" borderId="17" xfId="6" applyFont="1" applyBorder="1" applyAlignment="1">
      <alignment horizontal="center" vertical="center"/>
    </xf>
    <xf numFmtId="0" fontId="26" fillId="0" borderId="18" xfId="6" applyFont="1" applyBorder="1" applyAlignment="1">
      <alignment horizontal="center" vertical="center"/>
    </xf>
    <xf numFmtId="0" fontId="26" fillId="0" borderId="19" xfId="6" applyFont="1" applyBorder="1" applyAlignment="1">
      <alignment horizontal="center" vertical="center"/>
    </xf>
    <xf numFmtId="0" fontId="26" fillId="0" borderId="1" xfId="6" applyFont="1" applyBorder="1" applyAlignment="1">
      <alignment horizontal="center" vertical="center"/>
    </xf>
    <xf numFmtId="0" fontId="26" fillId="0" borderId="0" xfId="6" applyFont="1" applyAlignment="1">
      <alignment horizontal="center" vertical="center"/>
    </xf>
    <xf numFmtId="0" fontId="26" fillId="0" borderId="4" xfId="6" applyFont="1" applyBorder="1" applyAlignment="1">
      <alignment horizontal="center" vertical="center"/>
    </xf>
    <xf numFmtId="0" fontId="26" fillId="0" borderId="2" xfId="6" applyFont="1" applyBorder="1" applyAlignment="1">
      <alignment horizontal="center" vertical="center"/>
    </xf>
    <xf numFmtId="0" fontId="26" fillId="0" borderId="3" xfId="6" applyFont="1" applyBorder="1" applyAlignment="1">
      <alignment horizontal="center" vertical="center"/>
    </xf>
    <xf numFmtId="0" fontId="26" fillId="0" borderId="5" xfId="6" applyFont="1" applyBorder="1" applyAlignment="1">
      <alignment horizontal="center" vertical="center"/>
    </xf>
    <xf numFmtId="0" fontId="24" fillId="4" borderId="21" xfId="6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4" xfId="0" applyFont="1" applyBorder="1" applyAlignment="1">
      <alignment vertical="center"/>
    </xf>
    <xf numFmtId="0" fontId="27" fillId="0" borderId="28" xfId="0" applyFont="1" applyBorder="1" applyAlignment="1">
      <alignment horizontal="left" vertical="top"/>
    </xf>
    <xf numFmtId="0" fontId="27" fillId="0" borderId="21" xfId="0" applyFont="1" applyBorder="1" applyAlignment="1">
      <alignment horizontal="left" vertical="top"/>
    </xf>
    <xf numFmtId="0" fontId="27" fillId="0" borderId="16" xfId="0" applyFont="1" applyBorder="1" applyAlignment="1">
      <alignment horizontal="left" vertical="top"/>
    </xf>
    <xf numFmtId="0" fontId="27" fillId="0" borderId="20" xfId="0" applyFont="1" applyBorder="1" applyAlignment="1">
      <alignment horizontal="left" vertical="top"/>
    </xf>
    <xf numFmtId="0" fontId="27" fillId="2" borderId="21" xfId="0" applyFont="1" applyFill="1" applyBorder="1" applyAlignment="1">
      <alignment horizontal="center" vertical="top" wrapText="1" shrinkToFit="1"/>
    </xf>
    <xf numFmtId="0" fontId="27" fillId="2" borderId="0" xfId="0" applyFont="1" applyFill="1" applyAlignment="1">
      <alignment horizontal="center" vertical="top" wrapText="1" shrinkToFit="1"/>
    </xf>
    <xf numFmtId="0" fontId="27" fillId="2" borderId="0" xfId="0" applyFont="1" applyFill="1" applyAlignment="1">
      <alignment horizontal="left" vertical="top" wrapText="1" shrinkToFit="1"/>
    </xf>
    <xf numFmtId="0" fontId="27" fillId="2" borderId="0" xfId="0" applyFont="1" applyFill="1" applyAlignment="1">
      <alignment horizontal="center" vertical="top"/>
    </xf>
    <xf numFmtId="0" fontId="27" fillId="2" borderId="0" xfId="0" applyFont="1" applyFill="1" applyAlignment="1">
      <alignment horizontal="left" vertical="top"/>
    </xf>
    <xf numFmtId="0" fontId="27" fillId="2" borderId="0" xfId="0" quotePrefix="1" applyFont="1" applyFill="1" applyAlignment="1">
      <alignment vertical="top" wrapText="1" shrinkToFit="1"/>
    </xf>
    <xf numFmtId="0" fontId="27" fillId="2" borderId="0" xfId="0" applyFont="1" applyFill="1" applyAlignment="1">
      <alignment vertical="top" wrapText="1" shrinkToFit="1"/>
    </xf>
    <xf numFmtId="0" fontId="27" fillId="2" borderId="4" xfId="0" applyFont="1" applyFill="1" applyBorder="1" applyAlignment="1">
      <alignment horizontal="left" vertical="top" wrapText="1" shrinkToFit="1"/>
    </xf>
    <xf numFmtId="0" fontId="27" fillId="5" borderId="21" xfId="0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2" borderId="16" xfId="0" applyFont="1" applyFill="1" applyBorder="1" applyAlignment="1">
      <alignment vertical="center"/>
    </xf>
    <xf numFmtId="0" fontId="27" fillId="2" borderId="16" xfId="0" applyFont="1" applyFill="1" applyBorder="1" applyAlignment="1">
      <alignment horizontal="left" vertical="top" wrapText="1" shrinkToFit="1"/>
    </xf>
    <xf numFmtId="0" fontId="27" fillId="2" borderId="20" xfId="0" applyFont="1" applyFill="1" applyBorder="1" applyAlignment="1">
      <alignment horizontal="left" vertical="top" wrapText="1" shrinkToFit="1"/>
    </xf>
    <xf numFmtId="0" fontId="27" fillId="5" borderId="17" xfId="0" applyFont="1" applyFill="1" applyBorder="1" applyAlignment="1">
      <alignment horizontal="center" vertical="center" wrapText="1"/>
    </xf>
    <xf numFmtId="0" fontId="27" fillId="5" borderId="18" xfId="0" applyFont="1" applyFill="1" applyBorder="1" applyAlignment="1">
      <alignment horizontal="center" vertical="center" wrapText="1"/>
    </xf>
    <xf numFmtId="0" fontId="27" fillId="5" borderId="19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vertical="center"/>
    </xf>
    <xf numFmtId="0" fontId="27" fillId="2" borderId="18" xfId="0" applyFont="1" applyFill="1" applyBorder="1" applyAlignment="1">
      <alignment vertical="center"/>
    </xf>
    <xf numFmtId="0" fontId="27" fillId="2" borderId="1" xfId="0" applyFont="1" applyFill="1" applyBorder="1" applyAlignment="1">
      <alignment vertical="center"/>
    </xf>
    <xf numFmtId="0" fontId="27" fillId="2" borderId="0" xfId="0" quotePrefix="1" applyFont="1" applyFill="1" applyAlignment="1">
      <alignment vertical="center"/>
    </xf>
    <xf numFmtId="49" fontId="27" fillId="2" borderId="21" xfId="8" applyNumberFormat="1" applyFont="1" applyFill="1" applyBorder="1">
      <alignment vertical="center"/>
    </xf>
    <xf numFmtId="49" fontId="27" fillId="2" borderId="16" xfId="8" applyNumberFormat="1" applyFont="1" applyFill="1" applyBorder="1">
      <alignment vertical="center"/>
    </xf>
    <xf numFmtId="49" fontId="27" fillId="2" borderId="21" xfId="8" quotePrefix="1" applyNumberFormat="1" applyFont="1" applyFill="1" applyBorder="1" applyAlignment="1">
      <alignment horizontal="left" vertical="top" wrapText="1"/>
    </xf>
    <xf numFmtId="49" fontId="27" fillId="2" borderId="16" xfId="8" quotePrefix="1" applyNumberFormat="1" applyFont="1" applyFill="1" applyBorder="1" applyAlignment="1">
      <alignment horizontal="left" vertical="top" wrapText="1"/>
    </xf>
    <xf numFmtId="49" fontId="27" fillId="2" borderId="20" xfId="8" quotePrefix="1" applyNumberFormat="1" applyFont="1" applyFill="1" applyBorder="1" applyAlignment="1">
      <alignment horizontal="left" vertical="top" wrapText="1"/>
    </xf>
    <xf numFmtId="0" fontId="27" fillId="2" borderId="17" xfId="0" quotePrefix="1" applyFont="1" applyFill="1" applyBorder="1" applyAlignment="1">
      <alignment horizontal="left" vertical="center"/>
    </xf>
    <xf numFmtId="0" fontId="27" fillId="2" borderId="18" xfId="0" quotePrefix="1" applyFont="1" applyFill="1" applyBorder="1" applyAlignment="1">
      <alignment horizontal="left" vertical="center" indent="1"/>
    </xf>
    <xf numFmtId="0" fontId="27" fillId="2" borderId="19" xfId="0" applyFont="1" applyFill="1" applyBorder="1" applyAlignment="1">
      <alignment vertical="center"/>
    </xf>
    <xf numFmtId="0" fontId="27" fillId="2" borderId="18" xfId="0" applyFont="1" applyFill="1" applyBorder="1" applyAlignment="1">
      <alignment horizontal="left" vertical="center" indent="1"/>
    </xf>
    <xf numFmtId="0" fontId="27" fillId="2" borderId="17" xfId="0" applyFont="1" applyFill="1" applyBorder="1" applyAlignment="1">
      <alignment horizontal="left" vertical="center"/>
    </xf>
    <xf numFmtId="0" fontId="27" fillId="2" borderId="21" xfId="0" quotePrefix="1" applyFont="1" applyFill="1" applyBorder="1" applyAlignment="1">
      <alignment horizontal="left" vertical="center"/>
    </xf>
    <xf numFmtId="0" fontId="27" fillId="2" borderId="16" xfId="0" applyFont="1" applyFill="1" applyBorder="1" applyAlignment="1">
      <alignment horizontal="left" vertical="center" indent="1"/>
    </xf>
    <xf numFmtId="0" fontId="27" fillId="2" borderId="21" xfId="0" applyFont="1" applyFill="1" applyBorder="1" applyAlignment="1">
      <alignment horizontal="left" vertical="center"/>
    </xf>
    <xf numFmtId="0" fontId="27" fillId="2" borderId="20" xfId="0" applyFont="1" applyFill="1" applyBorder="1" applyAlignment="1">
      <alignment vertical="center"/>
    </xf>
    <xf numFmtId="0" fontId="27" fillId="0" borderId="0" xfId="0" applyFont="1" applyAlignment="1">
      <alignment horizontal="left" vertical="top" wrapText="1"/>
    </xf>
    <xf numFmtId="0" fontId="27" fillId="2" borderId="0" xfId="0" quotePrefix="1" applyFont="1" applyFill="1" applyAlignment="1">
      <alignment horizontal="left" vertical="center"/>
    </xf>
    <xf numFmtId="0" fontId="27" fillId="2" borderId="2" xfId="0" applyFont="1" applyFill="1" applyBorder="1" applyAlignment="1">
      <alignment vertical="center"/>
    </xf>
    <xf numFmtId="49" fontId="27" fillId="2" borderId="3" xfId="8" applyNumberFormat="1" applyFont="1" applyFill="1" applyBorder="1" applyAlignment="1">
      <alignment horizontal="left" vertical="center"/>
    </xf>
    <xf numFmtId="49" fontId="27" fillId="2" borderId="3" xfId="8" quotePrefix="1" applyNumberFormat="1" applyFont="1" applyFill="1" applyBorder="1" applyAlignment="1">
      <alignment horizontal="left" vertical="center"/>
    </xf>
    <xf numFmtId="0" fontId="27" fillId="2" borderId="3" xfId="0" applyFont="1" applyFill="1" applyBorder="1" applyAlignment="1">
      <alignment vertical="center"/>
    </xf>
    <xf numFmtId="0" fontId="27" fillId="2" borderId="0" xfId="0" quotePrefix="1" applyFont="1" applyFill="1" applyAlignment="1">
      <alignment horizontal="left" vertical="top" wrapText="1"/>
    </xf>
    <xf numFmtId="0" fontId="27" fillId="2" borderId="0" xfId="0" quotePrefix="1" applyFont="1" applyFill="1" applyAlignment="1">
      <alignment horizontal="left" vertical="center" wrapText="1"/>
    </xf>
    <xf numFmtId="0" fontId="27" fillId="0" borderId="21" xfId="0" applyFont="1" applyBorder="1" applyAlignment="1">
      <alignment horizontal="left" vertical="center"/>
    </xf>
    <xf numFmtId="0" fontId="27" fillId="0" borderId="16" xfId="0" applyFont="1" applyBorder="1" applyAlignment="1">
      <alignment horizontal="left" vertical="center"/>
    </xf>
    <xf numFmtId="0" fontId="27" fillId="0" borderId="20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30" fillId="0" borderId="16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49" fontId="30" fillId="2" borderId="21" xfId="8" quotePrefix="1" applyNumberFormat="1" applyFont="1" applyFill="1" applyBorder="1" applyAlignment="1">
      <alignment horizontal="left" vertical="top" wrapText="1"/>
    </xf>
    <xf numFmtId="49" fontId="30" fillId="2" borderId="16" xfId="8" quotePrefix="1" applyNumberFormat="1" applyFont="1" applyFill="1" applyBorder="1" applyAlignment="1">
      <alignment horizontal="left" vertical="top" wrapText="1"/>
    </xf>
    <xf numFmtId="49" fontId="30" fillId="2" borderId="20" xfId="8" quotePrefix="1" applyNumberFormat="1" applyFont="1" applyFill="1" applyBorder="1" applyAlignment="1">
      <alignment horizontal="left" vertical="top" wrapText="1"/>
    </xf>
    <xf numFmtId="0" fontId="27" fillId="2" borderId="0" xfId="0" applyFont="1" applyFill="1" applyAlignment="1">
      <alignment horizontal="left" vertical="top" wrapText="1"/>
    </xf>
    <xf numFmtId="0" fontId="27" fillId="2" borderId="4" xfId="0" applyFont="1" applyFill="1" applyBorder="1" applyAlignment="1">
      <alignment horizontal="left" vertical="top" wrapText="1"/>
    </xf>
    <xf numFmtId="0" fontId="27" fillId="2" borderId="0" xfId="0" applyFont="1" applyFill="1" applyAlignment="1">
      <alignment horizontal="left" vertical="center"/>
    </xf>
    <xf numFmtId="0" fontId="27" fillId="0" borderId="0" xfId="0" quotePrefix="1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2" borderId="16" xfId="0" quotePrefix="1" applyFont="1" applyFill="1" applyBorder="1" applyAlignment="1">
      <alignment horizontal="left" vertical="center" indent="1"/>
    </xf>
    <xf numFmtId="0" fontId="27" fillId="2" borderId="0" xfId="0" applyFont="1" applyFill="1" applyAlignment="1">
      <alignment horizontal="left" vertical="center" indent="1"/>
    </xf>
    <xf numFmtId="0" fontId="30" fillId="5" borderId="21" xfId="0" applyFont="1" applyFill="1" applyBorder="1" applyAlignment="1">
      <alignment horizontal="center" vertical="center" wrapText="1"/>
    </xf>
    <xf numFmtId="0" fontId="30" fillId="5" borderId="16" xfId="0" applyFont="1" applyFill="1" applyBorder="1" applyAlignment="1">
      <alignment horizontal="center" vertical="center" wrapText="1"/>
    </xf>
    <xf numFmtId="0" fontId="30" fillId="5" borderId="20" xfId="0" applyFont="1" applyFill="1" applyBorder="1" applyAlignment="1">
      <alignment horizontal="center" vertical="center" wrapText="1"/>
    </xf>
    <xf numFmtId="0" fontId="30" fillId="0" borderId="28" xfId="0" applyFont="1" applyBorder="1" applyAlignment="1">
      <alignment horizontal="left" vertical="top"/>
    </xf>
    <xf numFmtId="0" fontId="30" fillId="2" borderId="16" xfId="0" applyFont="1" applyFill="1" applyBorder="1" applyAlignment="1">
      <alignment vertical="center"/>
    </xf>
    <xf numFmtId="0" fontId="30" fillId="2" borderId="16" xfId="0" applyFont="1" applyFill="1" applyBorder="1" applyAlignment="1">
      <alignment horizontal="left" vertical="top" wrapText="1" shrinkToFit="1"/>
    </xf>
    <xf numFmtId="0" fontId="30" fillId="2" borderId="20" xfId="0" applyFont="1" applyFill="1" applyBorder="1" applyAlignment="1">
      <alignment horizontal="left" vertical="top" wrapText="1" shrinkToFit="1"/>
    </xf>
    <xf numFmtId="0" fontId="30" fillId="0" borderId="0" xfId="0" applyFont="1" applyAlignment="1">
      <alignment vertical="center"/>
    </xf>
    <xf numFmtId="0" fontId="30" fillId="5" borderId="17" xfId="0" applyFont="1" applyFill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0" fontId="30" fillId="5" borderId="19" xfId="0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center"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0" fillId="5" borderId="5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vertical="center"/>
    </xf>
    <xf numFmtId="0" fontId="30" fillId="2" borderId="18" xfId="0" applyFont="1" applyFill="1" applyBorder="1" applyAlignment="1">
      <alignment vertical="center"/>
    </xf>
    <xf numFmtId="0" fontId="30" fillId="2" borderId="1" xfId="0" applyFont="1" applyFill="1" applyBorder="1" applyAlignment="1">
      <alignment vertical="center"/>
    </xf>
    <xf numFmtId="0" fontId="30" fillId="2" borderId="0" xfId="0" quotePrefix="1" applyFont="1" applyFill="1" applyAlignment="1">
      <alignment vertical="top" wrapText="1"/>
    </xf>
    <xf numFmtId="0" fontId="30" fillId="2" borderId="0" xfId="0" quotePrefix="1" applyFont="1" applyFill="1" applyAlignment="1">
      <alignment vertical="top"/>
    </xf>
    <xf numFmtId="0" fontId="30" fillId="2" borderId="2" xfId="0" applyFont="1" applyFill="1" applyBorder="1" applyAlignment="1">
      <alignment vertical="center"/>
    </xf>
    <xf numFmtId="49" fontId="30" fillId="2" borderId="3" xfId="8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0" fontId="30" fillId="0" borderId="1" xfId="6" applyFont="1" applyBorder="1" applyAlignment="1">
      <alignment vertical="center"/>
    </xf>
    <xf numFmtId="0" fontId="30" fillId="0" borderId="0" xfId="6" applyFont="1" applyAlignment="1">
      <alignment vertical="center"/>
    </xf>
    <xf numFmtId="0" fontId="30" fillId="0" borderId="4" xfId="6" applyFont="1" applyBorder="1" applyAlignment="1">
      <alignment vertical="center"/>
    </xf>
    <xf numFmtId="0" fontId="30" fillId="0" borderId="0" xfId="0" applyFont="1" applyAlignment="1">
      <alignment horizontal="left" vertical="center"/>
    </xf>
    <xf numFmtId="0" fontId="30" fillId="2" borderId="0" xfId="0" quotePrefix="1" applyFont="1" applyFill="1" applyAlignment="1">
      <alignment horizontal="left" vertical="center"/>
    </xf>
    <xf numFmtId="0" fontId="30" fillId="2" borderId="0" xfId="0" quotePrefix="1" applyFont="1" applyFill="1" applyAlignment="1">
      <alignment horizontal="left" vertical="top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  <cellStyle name="標準 2 2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4764</xdr:rowOff>
    </xdr:from>
    <xdr:to>
      <xdr:col>10</xdr:col>
      <xdr:colOff>0</xdr:colOff>
      <xdr:row>16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00100" y="2790825"/>
          <a:ext cx="1866900" cy="371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21_ジャーナル検索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13</xdr:col>
      <xdr:colOff>0</xdr:colOff>
      <xdr:row>15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 flipV="1">
          <a:off x="2667000" y="29718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200152</xdr:colOff>
      <xdr:row>131</xdr:row>
      <xdr:rowOff>112059</xdr:rowOff>
    </xdr:from>
    <xdr:to>
      <xdr:col>6</xdr:col>
      <xdr:colOff>33618</xdr:colOff>
      <xdr:row>133</xdr:row>
      <xdr:rowOff>107295</xdr:rowOff>
    </xdr:to>
    <xdr:sp macro="" textlink="" fLocksText="0">
      <xdr:nvSpPr>
        <xdr:cNvPr id="16" name="フローチャート: 代替処理 2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00025" y="26117550"/>
          <a:ext cx="1438275" cy="371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33618</xdr:colOff>
      <xdr:row>132</xdr:row>
      <xdr:rowOff>109677</xdr:rowOff>
    </xdr:from>
    <xdr:to>
      <xdr:col>13</xdr:col>
      <xdr:colOff>0</xdr:colOff>
      <xdr:row>132</xdr:row>
      <xdr:rowOff>109677</xdr:rowOff>
    </xdr:to>
    <xdr:cxnSp macro="">
      <xdr:nvCxnSpPr>
        <xdr:cNvPr id="17" name="直線矢印コネクタ 4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stCxn id="16" idx="3"/>
        </xdr:cNvCxnSpPr>
      </xdr:nvCxnSpPr>
      <xdr:spPr>
        <a:xfrm>
          <a:off x="1638300" y="26308050"/>
          <a:ext cx="1828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70</xdr:row>
      <xdr:rowOff>116824</xdr:rowOff>
    </xdr:from>
    <xdr:to>
      <xdr:col>7</xdr:col>
      <xdr:colOff>0</xdr:colOff>
      <xdr:row>73</xdr:row>
      <xdr:rowOff>0</xdr:rowOff>
    </xdr:to>
    <xdr:sp macro="" textlink="" fLocksText="0">
      <xdr:nvSpPr>
        <xdr:cNvPr id="26" name="フローチャート: 代替処理 27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700" y="13573125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検索ボタン</a:t>
          </a:r>
        </a:p>
      </xdr:txBody>
    </xdr:sp>
    <xdr:clientData/>
  </xdr:twoCellAnchor>
  <xdr:twoCellAnchor>
    <xdr:from>
      <xdr:col>7</xdr:col>
      <xdr:colOff>0</xdr:colOff>
      <xdr:row>71</xdr:row>
      <xdr:rowOff>153662</xdr:rowOff>
    </xdr:from>
    <xdr:to>
      <xdr:col>13</xdr:col>
      <xdr:colOff>0</xdr:colOff>
      <xdr:row>71</xdr:row>
      <xdr:rowOff>153662</xdr:rowOff>
    </xdr:to>
    <xdr:cxnSp macro="">
      <xdr:nvCxnSpPr>
        <xdr:cNvPr id="27" name="直線矢印コネクタ 4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>
          <a:stCxn id="26" idx="3"/>
        </xdr:cNvCxnSpPr>
      </xdr:nvCxnSpPr>
      <xdr:spPr>
        <a:xfrm>
          <a:off x="1866900" y="13801725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102647</xdr:colOff>
      <xdr:row>119</xdr:row>
      <xdr:rowOff>0</xdr:rowOff>
    </xdr:from>
    <xdr:to>
      <xdr:col>54</xdr:col>
      <xdr:colOff>0</xdr:colOff>
      <xdr:row>120</xdr:row>
      <xdr:rowOff>179294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pSpPr>
          <a:grpSpLocks/>
        </xdr:cNvGrpSpPr>
      </xdr:nvGrpSpPr>
      <xdr:grpSpPr>
        <a:xfrm>
          <a:off x="10456882" y="23700441"/>
          <a:ext cx="2250589" cy="369794"/>
          <a:chOff x="8994954" y="-1771293"/>
          <a:chExt cx="2234552" cy="777600"/>
        </a:xfrm>
      </xdr:grpSpPr>
      <xdr:sp macro="" textlink="" fLocksText="0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2" name="直線矢印コネクタ 4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CxnSpPr>
            <a:endCxn id="41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235322</xdr:colOff>
      <xdr:row>115</xdr:row>
      <xdr:rowOff>0</xdr:rowOff>
    </xdr:from>
    <xdr:to>
      <xdr:col>56</xdr:col>
      <xdr:colOff>0</xdr:colOff>
      <xdr:row>117</xdr:row>
      <xdr:rowOff>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pSpPr>
          <a:grpSpLocks/>
        </xdr:cNvGrpSpPr>
      </xdr:nvGrpSpPr>
      <xdr:grpSpPr>
        <a:xfrm>
          <a:off x="10354234" y="22938441"/>
          <a:ext cx="2823884" cy="381000"/>
          <a:chOff x="8681644" y="-2596021"/>
          <a:chExt cx="2803762" cy="1578764"/>
        </a:xfrm>
      </xdr:grpSpPr>
      <xdr:sp macro="" textlink="" fLocksText="0">
        <xdr:nvSpPr>
          <xdr:cNvPr id="44" name="Rectangle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9362257" y="-2596021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SC2101_ジャーナル検索画面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5" name="直線矢印コネクタ 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CxnSpPr>
            <a:endCxn id="44" idx="1"/>
          </xdr:cNvCxnSpPr>
        </xdr:nvCxnSpPr>
        <xdr:spPr>
          <a:xfrm>
            <a:off x="8681644" y="-1806639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190498</xdr:colOff>
      <xdr:row>32</xdr:row>
      <xdr:rowOff>145677</xdr:rowOff>
    </xdr:from>
    <xdr:to>
      <xdr:col>55</xdr:col>
      <xdr:colOff>190500</xdr:colOff>
      <xdr:row>34</xdr:row>
      <xdr:rowOff>134471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>
        <a:xfrm>
          <a:off x="10309410" y="6353736"/>
          <a:ext cx="2823884" cy="381000"/>
          <a:chOff x="8681644" y="-2596021"/>
          <a:chExt cx="2803762" cy="1578764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9362257" y="-2596021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SC2101_ジャーナル検索画面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>
            <a:endCxn id="5" idx="1"/>
          </xdr:cNvCxnSpPr>
        </xdr:nvCxnSpPr>
        <xdr:spPr>
          <a:xfrm>
            <a:off x="8681644" y="-1806639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224116</xdr:colOff>
      <xdr:row>55</xdr:row>
      <xdr:rowOff>67237</xdr:rowOff>
    </xdr:from>
    <xdr:to>
      <xdr:col>55</xdr:col>
      <xdr:colOff>224118</xdr:colOff>
      <xdr:row>57</xdr:row>
      <xdr:rowOff>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>
          <a:grpSpLocks/>
        </xdr:cNvGrpSpPr>
      </xdr:nvGrpSpPr>
      <xdr:grpSpPr>
        <a:xfrm>
          <a:off x="10343028" y="10668002"/>
          <a:ext cx="2823884" cy="313763"/>
          <a:chOff x="8681644" y="-2596021"/>
          <a:chExt cx="2803762" cy="1578764"/>
        </a:xfrm>
      </xdr:grpSpPr>
      <xdr:sp macro="" textlink="" fLocksText="0">
        <xdr:nvSpPr>
          <xdr:cNvPr id="19" name="Rectangle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9362257" y="-2596021"/>
            <a:ext cx="2123149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SC2101_ジャーナル検索画面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0" name="直線矢印コネクタ 4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endCxn id="19" idx="1"/>
          </xdr:cNvCxnSpPr>
        </xdr:nvCxnSpPr>
        <xdr:spPr>
          <a:xfrm>
            <a:off x="8681644" y="-1806639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67235</xdr:colOff>
      <xdr:row>79</xdr:row>
      <xdr:rowOff>33616</xdr:rowOff>
    </xdr:from>
    <xdr:to>
      <xdr:col>53</xdr:col>
      <xdr:colOff>199912</xdr:colOff>
      <xdr:row>80</xdr:row>
      <xdr:rowOff>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pSpPr>
          <a:grpSpLocks/>
        </xdr:cNvGrpSpPr>
      </xdr:nvGrpSpPr>
      <xdr:grpSpPr>
        <a:xfrm>
          <a:off x="10421470" y="15206381"/>
          <a:ext cx="2250589" cy="381001"/>
          <a:chOff x="8994954" y="-1771293"/>
          <a:chExt cx="2234552" cy="777600"/>
        </a:xfrm>
      </xdr:grpSpPr>
      <xdr:sp macro="" textlink="" fLocksText="0">
        <xdr:nvSpPr>
          <xdr:cNvPr id="29" name="Rectangle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0" name="直線矢印コネクタ 4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CxnSpPr>
            <a:endCxn id="29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200152</xdr:colOff>
      <xdr:row>144</xdr:row>
      <xdr:rowOff>112059</xdr:rowOff>
    </xdr:from>
    <xdr:to>
      <xdr:col>6</xdr:col>
      <xdr:colOff>33618</xdr:colOff>
      <xdr:row>146</xdr:row>
      <xdr:rowOff>107295</xdr:rowOff>
    </xdr:to>
    <xdr:sp macro="" textlink="" fLocksText="0">
      <xdr:nvSpPr>
        <xdr:cNvPr id="31" name="フローチャート: 代替処理 27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00025" y="28651200"/>
          <a:ext cx="1438275" cy="371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33618</xdr:colOff>
      <xdr:row>145</xdr:row>
      <xdr:rowOff>109677</xdr:rowOff>
    </xdr:from>
    <xdr:to>
      <xdr:col>13</xdr:col>
      <xdr:colOff>0</xdr:colOff>
      <xdr:row>145</xdr:row>
      <xdr:rowOff>109677</xdr:rowOff>
    </xdr:to>
    <xdr:cxnSp macro="">
      <xdr:nvCxnSpPr>
        <xdr:cNvPr id="32" name="直線矢印コネクタ 4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>
          <a:stCxn id="31" idx="3"/>
        </xdr:cNvCxnSpPr>
      </xdr:nvCxnSpPr>
      <xdr:spPr>
        <a:xfrm>
          <a:off x="1638300" y="28841700"/>
          <a:ext cx="1828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192295</xdr:colOff>
      <xdr:row>134</xdr:row>
      <xdr:rowOff>100852</xdr:rowOff>
    </xdr:from>
    <xdr:to>
      <xdr:col>55</xdr:col>
      <xdr:colOff>224120</xdr:colOff>
      <xdr:row>136</xdr:row>
      <xdr:rowOff>11205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>
          <a:grpSpLocks/>
        </xdr:cNvGrpSpPr>
      </xdr:nvGrpSpPr>
      <xdr:grpSpPr>
        <a:xfrm>
          <a:off x="10311207" y="26692411"/>
          <a:ext cx="2855707" cy="324970"/>
          <a:chOff x="8648266" y="-1181442"/>
          <a:chExt cx="2835358" cy="1113232"/>
        </a:xfrm>
      </xdr:grpSpPr>
      <xdr:sp macro="" textlink="" fLocksText="0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9349308" y="-1181442"/>
            <a:ext cx="2134316" cy="111323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SC2101_ジャーナル検索画面</a:t>
            </a:r>
          </a:p>
        </xdr:txBody>
      </xdr:sp>
      <xdr:cxnSp macro="">
        <xdr:nvCxnSpPr>
          <xdr:cNvPr id="9" name="直線矢印コネクタ 4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CxnSpPr>
            <a:endCxn id="8" idx="1"/>
          </xdr:cNvCxnSpPr>
        </xdr:nvCxnSpPr>
        <xdr:spPr>
          <a:xfrm>
            <a:off x="8648266" y="-624826"/>
            <a:ext cx="701042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11209</xdr:colOff>
      <xdr:row>131</xdr:row>
      <xdr:rowOff>156882</xdr:rowOff>
    </xdr:from>
    <xdr:to>
      <xdr:col>54</xdr:col>
      <xdr:colOff>201708</xdr:colOff>
      <xdr:row>133</xdr:row>
      <xdr:rowOff>145676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>
          <a:grpSpLocks/>
        </xdr:cNvGrpSpPr>
      </xdr:nvGrpSpPr>
      <xdr:grpSpPr>
        <a:xfrm>
          <a:off x="10365444" y="26143323"/>
          <a:ext cx="2543735" cy="369794"/>
          <a:chOff x="8994954" y="-1771293"/>
          <a:chExt cx="2234552" cy="777600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PR2101 レシート帳票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>
            <a:endCxn id="11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78446</xdr:colOff>
      <xdr:row>161</xdr:row>
      <xdr:rowOff>100853</xdr:rowOff>
    </xdr:from>
    <xdr:to>
      <xdr:col>53</xdr:col>
      <xdr:colOff>211123</xdr:colOff>
      <xdr:row>163</xdr:row>
      <xdr:rowOff>67235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>
          <a:grpSpLocks/>
        </xdr:cNvGrpSpPr>
      </xdr:nvGrpSpPr>
      <xdr:grpSpPr>
        <a:xfrm>
          <a:off x="10432681" y="33102177"/>
          <a:ext cx="2250589" cy="369793"/>
          <a:chOff x="8994954" y="-1771293"/>
          <a:chExt cx="2234552" cy="777600"/>
        </a:xfrm>
      </xdr:grpSpPr>
      <xdr:sp macro="" textlink="" fLocksText="0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1" name="直線矢印コネクタ 4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endCxn id="15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200152</xdr:colOff>
      <xdr:row>170</xdr:row>
      <xdr:rowOff>112059</xdr:rowOff>
    </xdr:from>
    <xdr:to>
      <xdr:col>7</xdr:col>
      <xdr:colOff>44823</xdr:colOff>
      <xdr:row>172</xdr:row>
      <xdr:rowOff>107295</xdr:rowOff>
    </xdr:to>
    <xdr:sp macro="" textlink="" fLocksText="0">
      <xdr:nvSpPr>
        <xdr:cNvPr id="13" name="フローチャート: 代替処理 27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00025" y="34832925"/>
          <a:ext cx="1714500" cy="371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</a:t>
          </a: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・全解除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44823</xdr:colOff>
      <xdr:row>171</xdr:row>
      <xdr:rowOff>109677</xdr:rowOff>
    </xdr:from>
    <xdr:to>
      <xdr:col>13</xdr:col>
      <xdr:colOff>0</xdr:colOff>
      <xdr:row>171</xdr:row>
      <xdr:rowOff>109677</xdr:rowOff>
    </xdr:to>
    <xdr:cxnSp macro="">
      <xdr:nvCxnSpPr>
        <xdr:cNvPr id="22" name="直線矢印コネクタ 4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13" idx="3"/>
        </xdr:cNvCxnSpPr>
      </xdr:nvCxnSpPr>
      <xdr:spPr>
        <a:xfrm>
          <a:off x="1914525" y="35023425"/>
          <a:ext cx="15525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200152</xdr:colOff>
      <xdr:row>180</xdr:row>
      <xdr:rowOff>112059</xdr:rowOff>
    </xdr:from>
    <xdr:to>
      <xdr:col>7</xdr:col>
      <xdr:colOff>33617</xdr:colOff>
      <xdr:row>182</xdr:row>
      <xdr:rowOff>107295</xdr:rowOff>
    </xdr:to>
    <xdr:sp macro="" textlink="" fLocksText="0">
      <xdr:nvSpPr>
        <xdr:cNvPr id="39" name="フローチャート: 代替処理 27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200025" y="36766500"/>
          <a:ext cx="1704975" cy="371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F2</a:t>
          </a: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・全選択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33617</xdr:colOff>
      <xdr:row>181</xdr:row>
      <xdr:rowOff>109677</xdr:rowOff>
    </xdr:from>
    <xdr:to>
      <xdr:col>13</xdr:col>
      <xdr:colOff>0</xdr:colOff>
      <xdr:row>181</xdr:row>
      <xdr:rowOff>109677</xdr:rowOff>
    </xdr:to>
    <xdr:cxnSp macro="">
      <xdr:nvCxnSpPr>
        <xdr:cNvPr id="46" name="直線矢印コネクタ 4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>
          <a:stCxn id="39" idx="3"/>
        </xdr:cNvCxnSpPr>
      </xdr:nvCxnSpPr>
      <xdr:spPr>
        <a:xfrm>
          <a:off x="1905000" y="36957000"/>
          <a:ext cx="1562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200152</xdr:colOff>
      <xdr:row>190</xdr:row>
      <xdr:rowOff>112059</xdr:rowOff>
    </xdr:from>
    <xdr:to>
      <xdr:col>7</xdr:col>
      <xdr:colOff>44823</xdr:colOff>
      <xdr:row>192</xdr:row>
      <xdr:rowOff>107295</xdr:rowOff>
    </xdr:to>
    <xdr:sp macro="" textlink="" fLocksText="0">
      <xdr:nvSpPr>
        <xdr:cNvPr id="49" name="フローチャート: 代替処理 27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200025" y="38700075"/>
          <a:ext cx="1714500" cy="371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ソート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44823</xdr:colOff>
      <xdr:row>191</xdr:row>
      <xdr:rowOff>109677</xdr:rowOff>
    </xdr:from>
    <xdr:to>
      <xdr:col>13</xdr:col>
      <xdr:colOff>0</xdr:colOff>
      <xdr:row>191</xdr:row>
      <xdr:rowOff>109677</xdr:rowOff>
    </xdr:to>
    <xdr:cxnSp macro="">
      <xdr:nvCxnSpPr>
        <xdr:cNvPr id="50" name="直線矢印コネクタ 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>
          <a:stCxn id="49" idx="3"/>
        </xdr:cNvCxnSpPr>
      </xdr:nvCxnSpPr>
      <xdr:spPr>
        <a:xfrm>
          <a:off x="1914525" y="38890575"/>
          <a:ext cx="15525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201706</xdr:colOff>
      <xdr:row>171</xdr:row>
      <xdr:rowOff>112059</xdr:rowOff>
    </xdr:from>
    <xdr:to>
      <xdr:col>55</xdr:col>
      <xdr:colOff>233531</xdr:colOff>
      <xdr:row>173</xdr:row>
      <xdr:rowOff>22412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>
          <a:grpSpLocks/>
        </xdr:cNvGrpSpPr>
      </xdr:nvGrpSpPr>
      <xdr:grpSpPr>
        <a:xfrm>
          <a:off x="10320618" y="35040794"/>
          <a:ext cx="2855707" cy="324971"/>
          <a:chOff x="8648266" y="-1181442"/>
          <a:chExt cx="2835358" cy="1113232"/>
        </a:xfrm>
      </xdr:grpSpPr>
      <xdr:sp macro="" textlink="" fLocksText="0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/>
        </xdr:nvSpPr>
        <xdr:spPr>
          <a:xfrm>
            <a:off x="9349308" y="-1181442"/>
            <a:ext cx="2134316" cy="111323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SC2101_ジャーナル検索画面</a:t>
            </a:r>
          </a:p>
        </xdr:txBody>
      </xdr:sp>
      <xdr:cxnSp macro="">
        <xdr:nvCxnSpPr>
          <xdr:cNvPr id="53" name="直線矢印コネクタ 4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CxnSpPr>
            <a:endCxn id="52" idx="1"/>
          </xdr:cNvCxnSpPr>
        </xdr:nvCxnSpPr>
        <xdr:spPr>
          <a:xfrm>
            <a:off x="8648266" y="-624826"/>
            <a:ext cx="701042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190499</xdr:colOff>
      <xdr:row>159</xdr:row>
      <xdr:rowOff>22412</xdr:rowOff>
    </xdr:from>
    <xdr:to>
      <xdr:col>55</xdr:col>
      <xdr:colOff>222324</xdr:colOff>
      <xdr:row>160</xdr:row>
      <xdr:rowOff>145676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>
          <a:grpSpLocks/>
        </xdr:cNvGrpSpPr>
      </xdr:nvGrpSpPr>
      <xdr:grpSpPr>
        <a:xfrm>
          <a:off x="10309411" y="32620324"/>
          <a:ext cx="2855707" cy="324970"/>
          <a:chOff x="8648266" y="-1181442"/>
          <a:chExt cx="2835358" cy="1113232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9349308" y="-1181442"/>
            <a:ext cx="2134316" cy="111323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SC2101_ジャーナル検索画面</a:t>
            </a:r>
          </a:p>
        </xdr:txBody>
      </xdr:sp>
      <xdr:cxnSp macro="">
        <xdr:nvCxnSpPr>
          <xdr:cNvPr id="56" name="直線矢印コネクタ 4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CxnSpPr>
            <a:endCxn id="55" idx="1"/>
          </xdr:cNvCxnSpPr>
        </xdr:nvCxnSpPr>
        <xdr:spPr>
          <a:xfrm>
            <a:off x="8648266" y="-624826"/>
            <a:ext cx="701042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212911</xdr:colOff>
      <xdr:row>181</xdr:row>
      <xdr:rowOff>11206</xdr:rowOff>
    </xdr:from>
    <xdr:to>
      <xdr:col>56</xdr:col>
      <xdr:colOff>9412</xdr:colOff>
      <xdr:row>182</xdr:row>
      <xdr:rowOff>145676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GrpSpPr>
          <a:grpSpLocks/>
        </xdr:cNvGrpSpPr>
      </xdr:nvGrpSpPr>
      <xdr:grpSpPr>
        <a:xfrm>
          <a:off x="10331823" y="36878559"/>
          <a:ext cx="2855707" cy="324970"/>
          <a:chOff x="8648266" y="-1181442"/>
          <a:chExt cx="2835358" cy="1113232"/>
        </a:xfrm>
      </xdr:grpSpPr>
      <xdr:sp macro="" textlink="" fLocksText="0">
        <xdr:nvSpPr>
          <xdr:cNvPr id="58" name="Rectangle 57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SpPr/>
        </xdr:nvSpPr>
        <xdr:spPr>
          <a:xfrm>
            <a:off x="9349308" y="-1181442"/>
            <a:ext cx="2134316" cy="111323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SC2101_ジャーナル検索画面</a:t>
            </a:r>
          </a:p>
        </xdr:txBody>
      </xdr:sp>
      <xdr:cxnSp macro="">
        <xdr:nvCxnSpPr>
          <xdr:cNvPr id="59" name="直線矢印コネクタ 4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CxnSpPr>
            <a:endCxn id="58" idx="1"/>
          </xdr:cNvCxnSpPr>
        </xdr:nvCxnSpPr>
        <xdr:spPr>
          <a:xfrm>
            <a:off x="8648266" y="-624826"/>
            <a:ext cx="701042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201706</xdr:colOff>
      <xdr:row>196</xdr:row>
      <xdr:rowOff>112058</xdr:rowOff>
    </xdr:from>
    <xdr:to>
      <xdr:col>55</xdr:col>
      <xdr:colOff>233531</xdr:colOff>
      <xdr:row>197</xdr:row>
      <xdr:rowOff>212911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GrpSpPr>
          <a:grpSpLocks/>
        </xdr:cNvGrpSpPr>
      </xdr:nvGrpSpPr>
      <xdr:grpSpPr>
        <a:xfrm>
          <a:off x="10320618" y="40004999"/>
          <a:ext cx="2855707" cy="324971"/>
          <a:chOff x="8648266" y="-1181442"/>
          <a:chExt cx="2835358" cy="1113232"/>
        </a:xfrm>
      </xdr:grpSpPr>
      <xdr:sp macro="" textlink="" fLocksText="0">
        <xdr:nvSpPr>
          <xdr:cNvPr id="61" name="Rectangle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SpPr/>
        </xdr:nvSpPr>
        <xdr:spPr>
          <a:xfrm>
            <a:off x="9349308" y="-1181442"/>
            <a:ext cx="2134316" cy="1113232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SC2101_ジャーナル検索画面</a:t>
            </a:r>
          </a:p>
        </xdr:txBody>
      </xdr:sp>
      <xdr:cxnSp macro="">
        <xdr:nvCxnSpPr>
          <xdr:cNvPr id="62" name="直線矢印コネクタ 4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CxnSpPr>
            <a:endCxn id="61" idx="1"/>
          </xdr:cNvCxnSpPr>
        </xdr:nvCxnSpPr>
        <xdr:spPr>
          <a:xfrm>
            <a:off x="8648266" y="-624826"/>
            <a:ext cx="701042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" name="直線矢印コネクタ 4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>
            <a:endCxn id="8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79" customWidth="1"/>
    <col min="61" max="16384" width="2.77734375" style="179"/>
  </cols>
  <sheetData>
    <row r="1" spans="1:63" ht="24.95" customHeight="1" x14ac:dyDescent="0.25">
      <c r="A1" s="173" t="s">
        <v>101</v>
      </c>
      <c r="B1" s="174"/>
      <c r="C1" s="174"/>
      <c r="D1" s="174"/>
      <c r="E1" s="174"/>
      <c r="F1" s="174"/>
      <c r="G1" s="174"/>
      <c r="H1" s="174"/>
      <c r="I1" s="174"/>
      <c r="J1" s="175"/>
      <c r="K1" s="173" t="s">
        <v>102</v>
      </c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5"/>
      <c r="W1" s="176" t="s">
        <v>103</v>
      </c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8"/>
      <c r="AP1" s="173" t="s">
        <v>104</v>
      </c>
      <c r="AQ1" s="174"/>
      <c r="AR1" s="174"/>
      <c r="AS1" s="175"/>
      <c r="AT1" s="173" t="s">
        <v>105</v>
      </c>
      <c r="AU1" s="174"/>
      <c r="AV1" s="174"/>
      <c r="AW1" s="174"/>
      <c r="AX1" s="175"/>
      <c r="AY1" s="173" t="s">
        <v>106</v>
      </c>
      <c r="AZ1" s="174"/>
      <c r="BA1" s="174"/>
      <c r="BB1" s="175"/>
      <c r="BC1" s="173" t="s">
        <v>107</v>
      </c>
      <c r="BD1" s="174"/>
      <c r="BE1" s="174"/>
      <c r="BF1" s="174"/>
      <c r="BG1" s="175"/>
      <c r="BH1" s="173" t="s">
        <v>108</v>
      </c>
      <c r="BI1" s="174"/>
      <c r="BJ1" s="174"/>
      <c r="BK1" s="175"/>
    </row>
    <row r="2" spans="1:63" ht="15" customHeight="1" x14ac:dyDescent="0.25">
      <c r="A2" s="1" t="s">
        <v>109</v>
      </c>
      <c r="B2" s="180"/>
      <c r="C2" s="180"/>
      <c r="D2" s="180"/>
      <c r="E2" s="180"/>
      <c r="F2" s="180"/>
      <c r="G2" s="180"/>
      <c r="H2" s="180"/>
      <c r="I2" s="180"/>
      <c r="J2" s="181"/>
      <c r="K2" s="182" t="s">
        <v>9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1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82" t="str">
        <f>改訂履歴!$H$11</f>
        <v>LoiLV</v>
      </c>
      <c r="AQ2" s="180"/>
      <c r="AR2" s="180"/>
      <c r="AS2" s="181"/>
      <c r="AT2" s="186">
        <f>改訂履歴!$B$11</f>
        <v>45460</v>
      </c>
      <c r="AU2" s="187"/>
      <c r="AV2" s="187"/>
      <c r="AW2" s="187"/>
      <c r="AX2" s="188"/>
      <c r="AY2" s="182" t="str">
        <f>LOOKUP(2,1/(改訂履歴!H11:H30000&lt;&gt;""),改訂履歴!H11:H30000)</f>
        <v>TuyenNH</v>
      </c>
      <c r="AZ2" s="180"/>
      <c r="BA2" s="180"/>
      <c r="BB2" s="181"/>
      <c r="BC2" s="186">
        <f>LOOKUP(2,1/(改訂履歴!B11:B30000&lt;&gt;""),改訂履歴!B11:B30000)</f>
        <v>45596</v>
      </c>
      <c r="BD2" s="187"/>
      <c r="BE2" s="187"/>
      <c r="BF2" s="187"/>
      <c r="BG2" s="188"/>
      <c r="BH2" s="189">
        <f>LOOKUP(2,1/(改訂履歴!O11:O30000&lt;&gt;""),改訂履歴!O11:O30000)</f>
        <v>0.15</v>
      </c>
      <c r="BI2" s="190"/>
      <c r="BJ2" s="190"/>
      <c r="BK2" s="191"/>
    </row>
    <row r="3" spans="1:63" ht="15" customHeight="1" x14ac:dyDescent="0.25">
      <c r="A3" s="192"/>
      <c r="B3" s="193"/>
      <c r="C3" s="193"/>
      <c r="D3" s="193"/>
      <c r="E3" s="193"/>
      <c r="F3" s="193"/>
      <c r="G3" s="193"/>
      <c r="H3" s="193"/>
      <c r="I3" s="193"/>
      <c r="J3" s="194"/>
      <c r="K3" s="192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4"/>
      <c r="W3" s="195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7"/>
      <c r="AP3" s="192"/>
      <c r="AQ3" s="193"/>
      <c r="AR3" s="193"/>
      <c r="AS3" s="194"/>
      <c r="AT3" s="198"/>
      <c r="AU3" s="199"/>
      <c r="AV3" s="199"/>
      <c r="AW3" s="199"/>
      <c r="AX3" s="200"/>
      <c r="AY3" s="192"/>
      <c r="AZ3" s="193"/>
      <c r="BA3" s="193"/>
      <c r="BB3" s="194"/>
      <c r="BC3" s="198"/>
      <c r="BD3" s="199"/>
      <c r="BE3" s="199"/>
      <c r="BF3" s="199"/>
      <c r="BG3" s="200"/>
      <c r="BH3" s="201"/>
      <c r="BI3" s="202"/>
      <c r="BJ3" s="202"/>
      <c r="BK3" s="203"/>
    </row>
    <row r="4" spans="1:63" ht="24.95" customHeight="1" x14ac:dyDescent="0.25">
      <c r="A4" s="173" t="s">
        <v>110</v>
      </c>
      <c r="B4" s="174"/>
      <c r="C4" s="174"/>
      <c r="D4" s="174"/>
      <c r="E4" s="174"/>
      <c r="F4" s="174"/>
      <c r="G4" s="175"/>
      <c r="H4" s="204" t="s">
        <v>39</v>
      </c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6"/>
      <c r="U4" s="173" t="s">
        <v>111</v>
      </c>
      <c r="V4" s="174"/>
      <c r="W4" s="174"/>
      <c r="X4" s="174"/>
      <c r="Y4" s="175"/>
      <c r="Z4" s="82" t="s">
        <v>112</v>
      </c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6"/>
      <c r="AP4" s="204" t="str">
        <f t="array" aca="1" ref="AP4" ca="1">RIGHT(CELL("filename",$A$1),LEN(CELL("filename",$A$1))-FIND("]",CELL("filename",$A$1)))</f>
        <v>表紙</v>
      </c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6"/>
    </row>
    <row r="5" spans="1:63" ht="5.0999999999999996" customHeight="1" x14ac:dyDescent="0.25">
      <c r="A5" s="207"/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9"/>
    </row>
    <row r="6" spans="1:63" ht="15" customHeight="1" x14ac:dyDescent="0.25">
      <c r="A6" s="210"/>
      <c r="BK6" s="211"/>
    </row>
    <row r="7" spans="1:63" ht="15" customHeight="1" x14ac:dyDescent="0.25">
      <c r="A7" s="210"/>
      <c r="BK7" s="211"/>
    </row>
    <row r="8" spans="1:63" ht="15" customHeight="1" x14ac:dyDescent="0.25">
      <c r="A8" s="210"/>
      <c r="BK8" s="211"/>
    </row>
    <row r="9" spans="1:63" ht="15" customHeight="1" x14ac:dyDescent="0.25">
      <c r="A9" s="210"/>
      <c r="BK9" s="211"/>
    </row>
    <row r="10" spans="1:63" ht="15" customHeight="1" x14ac:dyDescent="0.25">
      <c r="A10" s="210"/>
      <c r="BK10" s="211"/>
    </row>
    <row r="11" spans="1:63" ht="15" customHeight="1" x14ac:dyDescent="0.25">
      <c r="A11" s="210"/>
      <c r="BK11" s="211"/>
    </row>
    <row r="12" spans="1:63" ht="15" customHeight="1" x14ac:dyDescent="0.25">
      <c r="A12" s="210"/>
      <c r="BK12" s="211"/>
    </row>
    <row r="13" spans="1:63" ht="15" customHeight="1" x14ac:dyDescent="0.25">
      <c r="A13" s="210"/>
      <c r="BK13" s="211"/>
    </row>
    <row r="14" spans="1:63" ht="15" customHeight="1" thickBot="1" x14ac:dyDescent="0.3">
      <c r="A14" s="210"/>
      <c r="BK14" s="211"/>
    </row>
    <row r="15" spans="1:63" ht="15" customHeight="1" thickTop="1" x14ac:dyDescent="0.25">
      <c r="A15" s="210"/>
      <c r="K15" s="212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4"/>
      <c r="BK15" s="211"/>
    </row>
    <row r="16" spans="1:63" ht="15" customHeight="1" x14ac:dyDescent="0.25">
      <c r="A16" s="210"/>
      <c r="K16" s="215"/>
      <c r="L16" s="216" t="s">
        <v>113</v>
      </c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17"/>
      <c r="AQ16" s="217"/>
      <c r="AR16" s="217"/>
      <c r="AS16" s="217"/>
      <c r="AT16" s="217"/>
      <c r="AU16" s="217"/>
      <c r="AV16" s="217"/>
      <c r="AW16" s="217"/>
      <c r="AX16" s="217"/>
      <c r="AY16" s="217"/>
      <c r="AZ16" s="217"/>
      <c r="BA16" s="218"/>
      <c r="BK16" s="211"/>
    </row>
    <row r="17" spans="1:63" ht="15" customHeight="1" x14ac:dyDescent="0.25">
      <c r="A17" s="210"/>
      <c r="K17" s="215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8"/>
      <c r="BK17" s="211"/>
    </row>
    <row r="18" spans="1:63" ht="15" customHeight="1" x14ac:dyDescent="0.25">
      <c r="A18" s="210"/>
      <c r="K18" s="215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217"/>
      <c r="AS18" s="217"/>
      <c r="AT18" s="217"/>
      <c r="AU18" s="217"/>
      <c r="AV18" s="217"/>
      <c r="AW18" s="217"/>
      <c r="AX18" s="217"/>
      <c r="AY18" s="217"/>
      <c r="AZ18" s="217"/>
      <c r="BA18" s="218"/>
      <c r="BK18" s="211"/>
    </row>
    <row r="19" spans="1:63" ht="15" customHeight="1" x14ac:dyDescent="0.25">
      <c r="A19" s="210"/>
      <c r="K19" s="215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8"/>
      <c r="BK19" s="211"/>
    </row>
    <row r="20" spans="1:63" ht="15" customHeight="1" x14ac:dyDescent="0.25">
      <c r="A20" s="210"/>
      <c r="K20" s="215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7"/>
      <c r="AY20" s="217"/>
      <c r="AZ20" s="217"/>
      <c r="BA20" s="218"/>
      <c r="BK20" s="211"/>
    </row>
    <row r="21" spans="1:63" ht="15" customHeight="1" x14ac:dyDescent="0.25">
      <c r="A21" s="210"/>
      <c r="K21" s="215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8"/>
      <c r="BK21" s="211"/>
    </row>
    <row r="22" spans="1:63" ht="15" customHeight="1" thickBot="1" x14ac:dyDescent="0.3">
      <c r="A22" s="210"/>
      <c r="K22" s="215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219"/>
      <c r="AU22" s="219"/>
      <c r="AV22" s="219"/>
      <c r="AW22" s="219"/>
      <c r="AX22" s="219"/>
      <c r="AY22" s="219"/>
      <c r="AZ22" s="219"/>
      <c r="BA22" s="218"/>
      <c r="BK22" s="211"/>
    </row>
    <row r="23" spans="1:63" ht="15" customHeight="1" x14ac:dyDescent="0.25">
      <c r="A23" s="210"/>
      <c r="K23" s="215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18"/>
      <c r="BK23" s="211"/>
    </row>
    <row r="24" spans="1:63" ht="15" customHeight="1" x14ac:dyDescent="0.25">
      <c r="A24" s="210"/>
      <c r="K24" s="215"/>
      <c r="L24" s="217" t="str">
        <f>K2&amp;"/"&amp;H4&amp;"/"&amp;Z4</f>
        <v>POSサーバ/21_ジャーナル検索/機能設計書</v>
      </c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8"/>
      <c r="BK24" s="211"/>
    </row>
    <row r="25" spans="1:63" ht="15" customHeight="1" x14ac:dyDescent="0.25">
      <c r="A25" s="210"/>
      <c r="K25" s="215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8"/>
      <c r="BK25" s="211"/>
    </row>
    <row r="26" spans="1:63" ht="15" customHeight="1" x14ac:dyDescent="0.25">
      <c r="A26" s="210"/>
      <c r="K26" s="215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8"/>
      <c r="BK26" s="211"/>
    </row>
    <row r="27" spans="1:63" ht="15" customHeight="1" x14ac:dyDescent="0.25">
      <c r="A27" s="210"/>
      <c r="K27" s="215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7"/>
      <c r="AY27" s="217"/>
      <c r="AZ27" s="217"/>
      <c r="BA27" s="218"/>
      <c r="BK27" s="211"/>
    </row>
    <row r="28" spans="1:63" ht="15" customHeight="1" x14ac:dyDescent="0.25">
      <c r="A28" s="210"/>
      <c r="K28" s="215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7"/>
      <c r="AY28" s="217"/>
      <c r="AZ28" s="217"/>
      <c r="BA28" s="218"/>
      <c r="BK28" s="211"/>
    </row>
    <row r="29" spans="1:63" ht="15" customHeight="1" x14ac:dyDescent="0.25">
      <c r="A29" s="210"/>
      <c r="K29" s="215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8"/>
      <c r="BK29" s="211"/>
    </row>
    <row r="30" spans="1:63" ht="15" customHeight="1" x14ac:dyDescent="0.25">
      <c r="A30" s="210"/>
      <c r="K30" s="215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8"/>
      <c r="BK30" s="211"/>
    </row>
    <row r="31" spans="1:63" ht="15" customHeight="1" x14ac:dyDescent="0.25">
      <c r="A31" s="210"/>
      <c r="K31" s="215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8"/>
      <c r="BK31" s="211"/>
    </row>
    <row r="32" spans="1:63" ht="15" customHeight="1" x14ac:dyDescent="0.25">
      <c r="A32" s="210"/>
      <c r="K32" s="215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8"/>
      <c r="BK32" s="211"/>
    </row>
    <row r="33" spans="1:63" ht="15" customHeight="1" x14ac:dyDescent="0.25">
      <c r="A33" s="210"/>
      <c r="K33" s="215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8"/>
      <c r="BK33" s="211"/>
    </row>
    <row r="34" spans="1:63" ht="15" customHeight="1" x14ac:dyDescent="0.25">
      <c r="A34" s="210"/>
      <c r="K34" s="215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8"/>
      <c r="BK34" s="211"/>
    </row>
    <row r="35" spans="1:63" ht="15" customHeight="1" x14ac:dyDescent="0.25">
      <c r="A35" s="210"/>
      <c r="K35" s="215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8"/>
      <c r="BK35" s="211"/>
    </row>
    <row r="36" spans="1:63" ht="15" customHeight="1" x14ac:dyDescent="0.25">
      <c r="A36" s="210"/>
      <c r="K36" s="215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7"/>
      <c r="AX36" s="217"/>
      <c r="AY36" s="217"/>
      <c r="AZ36" s="217"/>
      <c r="BA36" s="218"/>
      <c r="BK36" s="211"/>
    </row>
    <row r="37" spans="1:63" ht="15" customHeight="1" thickBot="1" x14ac:dyDescent="0.3">
      <c r="A37" s="210"/>
      <c r="K37" s="221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3"/>
      <c r="BK37" s="211"/>
    </row>
    <row r="38" spans="1:63" ht="15" customHeight="1" thickTop="1" x14ac:dyDescent="0.25">
      <c r="A38" s="210"/>
      <c r="BK38" s="211"/>
    </row>
    <row r="39" spans="1:63" ht="15" customHeight="1" x14ac:dyDescent="0.25">
      <c r="A39" s="210"/>
      <c r="BK39" s="211"/>
    </row>
    <row r="40" spans="1:63" ht="15" customHeight="1" x14ac:dyDescent="0.25">
      <c r="A40" s="210"/>
      <c r="BK40" s="211"/>
    </row>
    <row r="41" spans="1:63" ht="15" customHeight="1" x14ac:dyDescent="0.25">
      <c r="A41" s="210"/>
      <c r="BK41" s="211"/>
    </row>
    <row r="42" spans="1:63" ht="15" customHeight="1" x14ac:dyDescent="0.25">
      <c r="A42" s="210"/>
      <c r="BK42" s="211"/>
    </row>
    <row r="43" spans="1:63" ht="15" customHeight="1" x14ac:dyDescent="0.25">
      <c r="A43" s="210"/>
      <c r="BK43" s="211"/>
    </row>
    <row r="44" spans="1:63" ht="15" customHeight="1" x14ac:dyDescent="0.25">
      <c r="A44" s="210"/>
      <c r="Q44" s="224" t="s">
        <v>114</v>
      </c>
      <c r="R44" s="225"/>
      <c r="S44" s="225"/>
      <c r="T44" s="225"/>
      <c r="U44" s="225"/>
      <c r="V44" s="225"/>
      <c r="W44" s="225"/>
      <c r="X44" s="225"/>
      <c r="Y44" s="225"/>
      <c r="Z44" s="226"/>
      <c r="AA44" s="224" t="s">
        <v>115</v>
      </c>
      <c r="AB44" s="225"/>
      <c r="AC44" s="225"/>
      <c r="AD44" s="225"/>
      <c r="AE44" s="225"/>
      <c r="AF44" s="225"/>
      <c r="AG44" s="225"/>
      <c r="AH44" s="225"/>
      <c r="AI44" s="225"/>
      <c r="AJ44" s="225"/>
      <c r="AK44" s="225"/>
      <c r="AL44" s="225"/>
      <c r="AM44" s="225"/>
      <c r="AN44" s="225"/>
      <c r="AO44" s="225"/>
      <c r="AP44" s="226"/>
      <c r="AQ44" s="224" t="s">
        <v>108</v>
      </c>
      <c r="AR44" s="225"/>
      <c r="AS44" s="225"/>
      <c r="AT44" s="225"/>
      <c r="AU44" s="226"/>
      <c r="BK44" s="211"/>
    </row>
    <row r="45" spans="1:63" ht="15" customHeight="1" x14ac:dyDescent="0.25">
      <c r="A45" s="210"/>
      <c r="Q45" s="227"/>
      <c r="R45" s="228"/>
      <c r="S45" s="228"/>
      <c r="T45" s="228"/>
      <c r="U45" s="228"/>
      <c r="V45" s="228"/>
      <c r="W45" s="228"/>
      <c r="X45" s="228"/>
      <c r="Y45" s="228"/>
      <c r="Z45" s="229"/>
      <c r="AA45" s="227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9"/>
      <c r="AQ45" s="227"/>
      <c r="AR45" s="228"/>
      <c r="AS45" s="228"/>
      <c r="AT45" s="228"/>
      <c r="AU45" s="229"/>
      <c r="BK45" s="211"/>
    </row>
    <row r="46" spans="1:63" ht="15" customHeight="1" x14ac:dyDescent="0.25">
      <c r="A46" s="210"/>
      <c r="Q46" s="182"/>
      <c r="R46" s="180"/>
      <c r="S46" s="180"/>
      <c r="T46" s="180"/>
      <c r="U46" s="180"/>
      <c r="V46" s="180"/>
      <c r="W46" s="180"/>
      <c r="X46" s="180"/>
      <c r="Y46" s="180"/>
      <c r="Z46" s="181"/>
      <c r="AA46" s="182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1"/>
      <c r="AQ46" s="182"/>
      <c r="AR46" s="180"/>
      <c r="AS46" s="180"/>
      <c r="AT46" s="180"/>
      <c r="AU46" s="181"/>
      <c r="BK46" s="211"/>
    </row>
    <row r="47" spans="1:63" ht="15" customHeight="1" x14ac:dyDescent="0.25">
      <c r="A47" s="210"/>
      <c r="Q47" s="230"/>
      <c r="R47" s="231"/>
      <c r="S47" s="231"/>
      <c r="T47" s="231"/>
      <c r="U47" s="231"/>
      <c r="V47" s="231"/>
      <c r="W47" s="231"/>
      <c r="X47" s="231"/>
      <c r="Y47" s="231"/>
      <c r="Z47" s="232"/>
      <c r="AA47" s="230"/>
      <c r="AB47" s="231"/>
      <c r="AC47" s="231"/>
      <c r="AD47" s="231"/>
      <c r="AE47" s="231"/>
      <c r="AF47" s="231"/>
      <c r="AG47" s="231"/>
      <c r="AH47" s="231"/>
      <c r="AI47" s="231"/>
      <c r="AJ47" s="231"/>
      <c r="AK47" s="231"/>
      <c r="AL47" s="231"/>
      <c r="AM47" s="231"/>
      <c r="AN47" s="231"/>
      <c r="AO47" s="231"/>
      <c r="AP47" s="232"/>
      <c r="AQ47" s="230"/>
      <c r="AR47" s="231"/>
      <c r="AS47" s="231"/>
      <c r="AT47" s="231"/>
      <c r="AU47" s="232"/>
      <c r="BK47" s="211"/>
    </row>
    <row r="48" spans="1:63" ht="15" customHeight="1" x14ac:dyDescent="0.25">
      <c r="A48" s="210"/>
      <c r="Q48" s="230"/>
      <c r="R48" s="231"/>
      <c r="S48" s="231"/>
      <c r="T48" s="231"/>
      <c r="U48" s="231"/>
      <c r="V48" s="231"/>
      <c r="W48" s="231"/>
      <c r="X48" s="231"/>
      <c r="Y48" s="231"/>
      <c r="Z48" s="232"/>
      <c r="AA48" s="230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2"/>
      <c r="AQ48" s="230"/>
      <c r="AR48" s="231"/>
      <c r="AS48" s="231"/>
      <c r="AT48" s="231"/>
      <c r="AU48" s="232"/>
      <c r="BK48" s="211"/>
    </row>
    <row r="49" spans="1:63" ht="15" customHeight="1" x14ac:dyDescent="0.25">
      <c r="A49" s="210"/>
      <c r="Q49" s="192"/>
      <c r="R49" s="193"/>
      <c r="S49" s="193"/>
      <c r="T49" s="193"/>
      <c r="U49" s="193"/>
      <c r="V49" s="193"/>
      <c r="W49" s="193"/>
      <c r="X49" s="193"/>
      <c r="Y49" s="193"/>
      <c r="Z49" s="194"/>
      <c r="AA49" s="192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4"/>
      <c r="AQ49" s="192"/>
      <c r="AR49" s="193"/>
      <c r="AS49" s="193"/>
      <c r="AT49" s="193"/>
      <c r="AU49" s="194"/>
      <c r="BK49" s="211"/>
    </row>
    <row r="50" spans="1:63" ht="15" customHeight="1" x14ac:dyDescent="0.25">
      <c r="A50" s="210"/>
      <c r="BK50" s="211"/>
    </row>
    <row r="51" spans="1:63" ht="15" customHeight="1" x14ac:dyDescent="0.25">
      <c r="A51" s="210"/>
      <c r="BK51" s="211"/>
    </row>
    <row r="52" spans="1:63" ht="15" customHeight="1" x14ac:dyDescent="0.25">
      <c r="A52" s="210"/>
      <c r="BK52" s="211"/>
    </row>
    <row r="53" spans="1:63" ht="15" customHeight="1" x14ac:dyDescent="0.25">
      <c r="A53" s="210"/>
      <c r="BK53" s="211"/>
    </row>
    <row r="54" spans="1:63" ht="15" customHeight="1" x14ac:dyDescent="0.25">
      <c r="A54" s="210"/>
      <c r="BK54" s="211"/>
    </row>
    <row r="55" spans="1:63" ht="15" customHeight="1" x14ac:dyDescent="0.25">
      <c r="A55" s="207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  <c r="AD55" s="208"/>
      <c r="AE55" s="208"/>
      <c r="AF55" s="208"/>
      <c r="AG55" s="208"/>
      <c r="AH55" s="208"/>
      <c r="AI55" s="208"/>
      <c r="AJ55" s="208"/>
      <c r="AK55" s="208"/>
      <c r="AL55" s="208"/>
      <c r="AM55" s="208"/>
      <c r="AN55" s="208"/>
      <c r="AO55" s="208"/>
      <c r="AP55" s="208"/>
      <c r="AQ55" s="208"/>
      <c r="AR55" s="208"/>
      <c r="AS55" s="208"/>
      <c r="AT55" s="208"/>
      <c r="AU55" s="208"/>
      <c r="AV55" s="208"/>
      <c r="AW55" s="208"/>
      <c r="AX55" s="208"/>
      <c r="AY55" s="208"/>
      <c r="AZ55" s="208"/>
      <c r="BA55" s="208"/>
      <c r="BB55" s="208"/>
      <c r="BC55" s="208"/>
      <c r="BD55" s="208"/>
      <c r="BE55" s="208"/>
      <c r="BF55" s="208"/>
      <c r="BG55" s="208"/>
      <c r="BH55" s="208"/>
      <c r="BI55" s="208"/>
      <c r="BJ55" s="208"/>
      <c r="BK55" s="20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79" customWidth="1"/>
    <col min="61" max="16384" width="2.77734375" style="179"/>
  </cols>
  <sheetData>
    <row r="1" spans="1:63" ht="24.95" customHeight="1" x14ac:dyDescent="0.25">
      <c r="A1" s="173" t="s">
        <v>101</v>
      </c>
      <c r="B1" s="174"/>
      <c r="C1" s="174"/>
      <c r="D1" s="174"/>
      <c r="E1" s="174"/>
      <c r="F1" s="174"/>
      <c r="G1" s="174"/>
      <c r="H1" s="174"/>
      <c r="I1" s="174"/>
      <c r="J1" s="175"/>
      <c r="K1" s="173" t="s">
        <v>102</v>
      </c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5"/>
      <c r="W1" s="233" t="str">
        <f>IF(表紙!W1="","",表紙!W1)</f>
        <v>詳細設計書</v>
      </c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8"/>
      <c r="AP1" s="173" t="s">
        <v>104</v>
      </c>
      <c r="AQ1" s="174"/>
      <c r="AR1" s="174"/>
      <c r="AS1" s="175"/>
      <c r="AT1" s="173" t="s">
        <v>105</v>
      </c>
      <c r="AU1" s="174"/>
      <c r="AV1" s="174"/>
      <c r="AW1" s="174"/>
      <c r="AX1" s="175"/>
      <c r="AY1" s="173" t="s">
        <v>106</v>
      </c>
      <c r="AZ1" s="174"/>
      <c r="BA1" s="174"/>
      <c r="BB1" s="175"/>
      <c r="BC1" s="173" t="s">
        <v>107</v>
      </c>
      <c r="BD1" s="174"/>
      <c r="BE1" s="174"/>
      <c r="BF1" s="174"/>
      <c r="BG1" s="175"/>
      <c r="BH1" s="173" t="s">
        <v>108</v>
      </c>
      <c r="BI1" s="174"/>
      <c r="BJ1" s="174"/>
      <c r="BK1" s="175"/>
    </row>
    <row r="2" spans="1:63" ht="15" customHeight="1" x14ac:dyDescent="0.25">
      <c r="A2" s="182" t="str">
        <f>IF(表紙!A2="","",表紙!A2)</f>
        <v>POSサーバー</v>
      </c>
      <c r="B2" s="180"/>
      <c r="C2" s="180"/>
      <c r="D2" s="180"/>
      <c r="E2" s="180"/>
      <c r="F2" s="180"/>
      <c r="G2" s="180"/>
      <c r="H2" s="180"/>
      <c r="I2" s="180"/>
      <c r="J2" s="181"/>
      <c r="K2" s="182" t="str">
        <f>IF(表紙!K2="","",表紙!K2)</f>
        <v>POSサーバ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1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82" t="str">
        <f>IF(表紙!AP2="","",表紙!AP2)</f>
        <v>LoiLV</v>
      </c>
      <c r="AQ2" s="180"/>
      <c r="AR2" s="180"/>
      <c r="AS2" s="181"/>
      <c r="AT2" s="186">
        <f>IF(表紙!AT2="","",表紙!AT2)</f>
        <v>45460</v>
      </c>
      <c r="AU2" s="187"/>
      <c r="AV2" s="187"/>
      <c r="AW2" s="187"/>
      <c r="AX2" s="188"/>
      <c r="AY2" s="182" t="str">
        <f>IF(表紙!AY2="","",表紙!AY2)</f>
        <v>TuyenNH</v>
      </c>
      <c r="AZ2" s="180"/>
      <c r="BA2" s="180"/>
      <c r="BB2" s="181"/>
      <c r="BC2" s="186">
        <f>IF(表紙!BC2="","",表紙!BC2)</f>
        <v>45596</v>
      </c>
      <c r="BD2" s="187"/>
      <c r="BE2" s="187"/>
      <c r="BF2" s="187"/>
      <c r="BG2" s="188"/>
      <c r="BH2" s="182">
        <f>IF(表紙!BH2="","",表紙!BH2)</f>
        <v>0.15</v>
      </c>
      <c r="BI2" s="180"/>
      <c r="BJ2" s="180"/>
      <c r="BK2" s="181"/>
    </row>
    <row r="3" spans="1:63" ht="15" customHeight="1" x14ac:dyDescent="0.25">
      <c r="A3" s="192"/>
      <c r="B3" s="193"/>
      <c r="C3" s="193"/>
      <c r="D3" s="193"/>
      <c r="E3" s="193"/>
      <c r="F3" s="193"/>
      <c r="G3" s="193"/>
      <c r="H3" s="193"/>
      <c r="I3" s="193"/>
      <c r="J3" s="194"/>
      <c r="K3" s="192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4"/>
      <c r="W3" s="195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7"/>
      <c r="AP3" s="192"/>
      <c r="AQ3" s="193"/>
      <c r="AR3" s="193"/>
      <c r="AS3" s="194"/>
      <c r="AT3" s="198"/>
      <c r="AU3" s="199"/>
      <c r="AV3" s="199"/>
      <c r="AW3" s="199"/>
      <c r="AX3" s="200"/>
      <c r="AY3" s="192"/>
      <c r="AZ3" s="193"/>
      <c r="BA3" s="193"/>
      <c r="BB3" s="194"/>
      <c r="BC3" s="198"/>
      <c r="BD3" s="199"/>
      <c r="BE3" s="199"/>
      <c r="BF3" s="199"/>
      <c r="BG3" s="200"/>
      <c r="BH3" s="192"/>
      <c r="BI3" s="193"/>
      <c r="BJ3" s="193"/>
      <c r="BK3" s="194"/>
    </row>
    <row r="4" spans="1:63" ht="24.95" customHeight="1" x14ac:dyDescent="0.25">
      <c r="A4" s="173" t="s">
        <v>110</v>
      </c>
      <c r="B4" s="174"/>
      <c r="C4" s="174"/>
      <c r="D4" s="174"/>
      <c r="E4" s="174"/>
      <c r="F4" s="174"/>
      <c r="G4" s="175"/>
      <c r="H4" s="204" t="str">
        <f>IF(表紙!H4="","",表紙!H4)</f>
        <v>21_ジャーナル検索</v>
      </c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6"/>
      <c r="U4" s="173" t="s">
        <v>111</v>
      </c>
      <c r="V4" s="174"/>
      <c r="W4" s="174"/>
      <c r="X4" s="174"/>
      <c r="Y4" s="175"/>
      <c r="Z4" s="204" t="str">
        <f>IF(表紙!Z4="","",表紙!Z4)</f>
        <v>機能設計書</v>
      </c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6"/>
      <c r="AP4" s="204" t="str">
        <f t="array" aca="1" ref="AP4" ca="1">RIGHT(CELL("filename",$A$1),LEN(CELL("filename",$A$1))-FIND("]",CELL("filename",$A$1)))</f>
        <v>改訂履歴</v>
      </c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6"/>
    </row>
    <row r="5" spans="1:63" ht="5.0999999999999996" customHeight="1" x14ac:dyDescent="0.25">
      <c r="A5" s="207"/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9"/>
    </row>
    <row r="6" spans="1:63" ht="15" customHeight="1" x14ac:dyDescent="0.25">
      <c r="A6" s="210"/>
      <c r="BK6" s="211"/>
    </row>
    <row r="7" spans="1:63" ht="15" customHeight="1" x14ac:dyDescent="0.25">
      <c r="A7" s="210"/>
      <c r="BK7" s="211"/>
    </row>
    <row r="8" spans="1:63" ht="15" customHeight="1" x14ac:dyDescent="0.25">
      <c r="A8" s="210"/>
      <c r="B8" s="179" t="s">
        <v>8</v>
      </c>
      <c r="BK8" s="211"/>
    </row>
    <row r="9" spans="1:63" ht="15" customHeight="1" x14ac:dyDescent="0.25">
      <c r="A9" s="210"/>
      <c r="BK9" s="211"/>
    </row>
    <row r="10" spans="1:63" ht="15" customHeight="1" x14ac:dyDescent="0.25">
      <c r="A10" s="210"/>
      <c r="B10" s="234" t="s">
        <v>107</v>
      </c>
      <c r="C10" s="234"/>
      <c r="D10" s="234"/>
      <c r="E10" s="234"/>
      <c r="F10" s="234"/>
      <c r="G10" s="234"/>
      <c r="H10" s="234" t="s">
        <v>106</v>
      </c>
      <c r="I10" s="234"/>
      <c r="J10" s="234"/>
      <c r="K10" s="234"/>
      <c r="L10" s="234"/>
      <c r="M10" s="234"/>
      <c r="N10" s="234"/>
      <c r="O10" s="234" t="s">
        <v>108</v>
      </c>
      <c r="P10" s="234"/>
      <c r="Q10" s="234"/>
      <c r="R10" s="234"/>
      <c r="S10" s="234" t="s">
        <v>116</v>
      </c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34"/>
      <c r="AO10" s="234"/>
      <c r="AP10" s="234"/>
      <c r="AQ10" s="234"/>
      <c r="AR10" s="234"/>
      <c r="AS10" s="234"/>
      <c r="AT10" s="234"/>
      <c r="AU10" s="234"/>
      <c r="AV10" s="234"/>
      <c r="AW10" s="234"/>
      <c r="AX10" s="234" t="s">
        <v>114</v>
      </c>
      <c r="AY10" s="234"/>
      <c r="AZ10" s="234"/>
      <c r="BA10" s="234"/>
      <c r="BB10" s="234"/>
      <c r="BC10" s="234"/>
      <c r="BD10" s="234" t="s">
        <v>115</v>
      </c>
      <c r="BE10" s="234"/>
      <c r="BF10" s="234"/>
      <c r="BG10" s="234"/>
      <c r="BH10" s="234"/>
      <c r="BI10" s="234"/>
      <c r="BJ10" s="234"/>
      <c r="BK10" s="211"/>
    </row>
    <row r="11" spans="1:63" ht="15" customHeight="1" x14ac:dyDescent="0.25">
      <c r="A11" s="210"/>
      <c r="B11" s="186">
        <v>45460</v>
      </c>
      <c r="C11" s="180"/>
      <c r="D11" s="180"/>
      <c r="E11" s="180"/>
      <c r="F11" s="180"/>
      <c r="G11" s="181"/>
      <c r="H11" s="1" t="s">
        <v>117</v>
      </c>
      <c r="I11" s="180"/>
      <c r="J11" s="180"/>
      <c r="K11" s="180"/>
      <c r="L11" s="180"/>
      <c r="M11" s="180"/>
      <c r="N11" s="181"/>
      <c r="O11" s="182">
        <v>0.1</v>
      </c>
      <c r="P11" s="180"/>
      <c r="Q11" s="180"/>
      <c r="R11" s="180"/>
      <c r="S11" s="235" t="s">
        <v>10</v>
      </c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7"/>
      <c r="AX11" s="238"/>
      <c r="AY11" s="238"/>
      <c r="AZ11" s="238"/>
      <c r="BA11" s="238"/>
      <c r="BB11" s="238"/>
      <c r="BC11" s="239"/>
      <c r="BD11" s="240"/>
      <c r="BE11" s="238"/>
      <c r="BF11" s="238"/>
      <c r="BG11" s="238"/>
      <c r="BH11" s="238"/>
      <c r="BI11" s="238"/>
      <c r="BJ11" s="239"/>
      <c r="BK11" s="211"/>
    </row>
    <row r="12" spans="1:63" ht="15" customHeight="1" x14ac:dyDescent="0.25">
      <c r="A12" s="210"/>
      <c r="B12" s="192"/>
      <c r="C12" s="193"/>
      <c r="D12" s="193"/>
      <c r="E12" s="193"/>
      <c r="F12" s="193"/>
      <c r="G12" s="194"/>
      <c r="H12" s="192"/>
      <c r="I12" s="193"/>
      <c r="J12" s="193"/>
      <c r="K12" s="193"/>
      <c r="L12" s="193"/>
      <c r="M12" s="193"/>
      <c r="N12" s="194"/>
      <c r="O12" s="192"/>
      <c r="P12" s="193"/>
      <c r="Q12" s="193"/>
      <c r="R12" s="193"/>
      <c r="S12" s="241"/>
      <c r="T12" s="242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242"/>
      <c r="AU12" s="242"/>
      <c r="AV12" s="242"/>
      <c r="AW12" s="243"/>
      <c r="AX12" s="244"/>
      <c r="AY12" s="244"/>
      <c r="AZ12" s="244"/>
      <c r="BA12" s="244"/>
      <c r="BB12" s="244"/>
      <c r="BC12" s="245"/>
      <c r="BD12" s="246"/>
      <c r="BE12" s="244"/>
      <c r="BF12" s="244"/>
      <c r="BG12" s="244"/>
      <c r="BH12" s="244"/>
      <c r="BI12" s="244"/>
      <c r="BJ12" s="245"/>
      <c r="BK12" s="211"/>
    </row>
    <row r="13" spans="1:63" ht="15" customHeight="1" x14ac:dyDescent="0.25">
      <c r="A13" s="210"/>
      <c r="B13" s="186">
        <v>45517</v>
      </c>
      <c r="C13" s="180"/>
      <c r="D13" s="180"/>
      <c r="E13" s="180"/>
      <c r="F13" s="180"/>
      <c r="G13" s="181"/>
      <c r="H13" s="182" t="s">
        <v>78</v>
      </c>
      <c r="I13" s="180"/>
      <c r="J13" s="180"/>
      <c r="K13" s="180"/>
      <c r="L13" s="180"/>
      <c r="M13" s="180"/>
      <c r="N13" s="181"/>
      <c r="O13" s="182">
        <v>0.2</v>
      </c>
      <c r="P13" s="180"/>
      <c r="Q13" s="180"/>
      <c r="R13" s="180"/>
      <c r="S13" s="235" t="s">
        <v>98</v>
      </c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7"/>
      <c r="AX13" s="238"/>
      <c r="AY13" s="238"/>
      <c r="AZ13" s="238"/>
      <c r="BA13" s="238"/>
      <c r="BB13" s="238"/>
      <c r="BC13" s="239"/>
      <c r="BD13" s="240"/>
      <c r="BE13" s="238"/>
      <c r="BF13" s="238"/>
      <c r="BG13" s="238"/>
      <c r="BH13" s="238"/>
      <c r="BI13" s="238"/>
      <c r="BJ13" s="239"/>
      <c r="BK13" s="211"/>
    </row>
    <row r="14" spans="1:63" ht="15" customHeight="1" x14ac:dyDescent="0.25">
      <c r="A14" s="210"/>
      <c r="B14" s="192"/>
      <c r="C14" s="193"/>
      <c r="D14" s="193"/>
      <c r="E14" s="193"/>
      <c r="F14" s="193"/>
      <c r="G14" s="194"/>
      <c r="H14" s="192"/>
      <c r="I14" s="193"/>
      <c r="J14" s="193"/>
      <c r="K14" s="193"/>
      <c r="L14" s="193"/>
      <c r="M14" s="193"/>
      <c r="N14" s="194"/>
      <c r="O14" s="192"/>
      <c r="P14" s="193"/>
      <c r="Q14" s="193"/>
      <c r="R14" s="193"/>
      <c r="S14" s="241"/>
      <c r="T14" s="242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242"/>
      <c r="AU14" s="242"/>
      <c r="AV14" s="242"/>
      <c r="AW14" s="243"/>
      <c r="AX14" s="244"/>
      <c r="AY14" s="244"/>
      <c r="AZ14" s="244"/>
      <c r="BA14" s="244"/>
      <c r="BB14" s="244"/>
      <c r="BC14" s="245"/>
      <c r="BD14" s="246"/>
      <c r="BE14" s="244"/>
      <c r="BF14" s="244"/>
      <c r="BG14" s="244"/>
      <c r="BH14" s="244"/>
      <c r="BI14" s="244"/>
      <c r="BJ14" s="245"/>
      <c r="BK14" s="211"/>
    </row>
    <row r="15" spans="1:63" ht="15" customHeight="1" x14ac:dyDescent="0.25">
      <c r="A15" s="210"/>
      <c r="B15" s="186">
        <v>45533</v>
      </c>
      <c r="C15" s="180"/>
      <c r="D15" s="180"/>
      <c r="E15" s="180"/>
      <c r="F15" s="180"/>
      <c r="G15" s="181"/>
      <c r="H15" s="182" t="s">
        <v>99</v>
      </c>
      <c r="I15" s="180"/>
      <c r="J15" s="180"/>
      <c r="K15" s="180"/>
      <c r="L15" s="180"/>
      <c r="M15" s="180"/>
      <c r="N15" s="181"/>
      <c r="O15" s="182">
        <v>0.3</v>
      </c>
      <c r="P15" s="180"/>
      <c r="Q15" s="180"/>
      <c r="R15" s="180"/>
      <c r="S15" s="235" t="s">
        <v>40</v>
      </c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7"/>
      <c r="AX15" s="238"/>
      <c r="AY15" s="238"/>
      <c r="AZ15" s="238"/>
      <c r="BA15" s="238"/>
      <c r="BB15" s="238"/>
      <c r="BC15" s="239"/>
      <c r="BD15" s="240"/>
      <c r="BE15" s="238"/>
      <c r="BF15" s="238"/>
      <c r="BG15" s="238"/>
      <c r="BH15" s="238"/>
      <c r="BI15" s="238"/>
      <c r="BJ15" s="239"/>
      <c r="BK15" s="211"/>
    </row>
    <row r="16" spans="1:63" ht="15" customHeight="1" x14ac:dyDescent="0.25">
      <c r="A16" s="210"/>
      <c r="B16" s="192"/>
      <c r="C16" s="193"/>
      <c r="D16" s="193"/>
      <c r="E16" s="193"/>
      <c r="F16" s="193"/>
      <c r="G16" s="194"/>
      <c r="H16" s="192"/>
      <c r="I16" s="193"/>
      <c r="J16" s="193"/>
      <c r="K16" s="193"/>
      <c r="L16" s="193"/>
      <c r="M16" s="193"/>
      <c r="N16" s="194"/>
      <c r="O16" s="192"/>
      <c r="P16" s="193"/>
      <c r="Q16" s="193"/>
      <c r="R16" s="193"/>
      <c r="S16" s="241" t="s">
        <v>100</v>
      </c>
      <c r="T16" s="242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  <c r="AK16" s="242"/>
      <c r="AL16" s="242"/>
      <c r="AM16" s="242"/>
      <c r="AN16" s="242"/>
      <c r="AO16" s="242"/>
      <c r="AP16" s="242"/>
      <c r="AQ16" s="242"/>
      <c r="AR16" s="242"/>
      <c r="AS16" s="242"/>
      <c r="AT16" s="242"/>
      <c r="AU16" s="242"/>
      <c r="AV16" s="242"/>
      <c r="AW16" s="243"/>
      <c r="AX16" s="244"/>
      <c r="AY16" s="244"/>
      <c r="AZ16" s="244"/>
      <c r="BA16" s="244"/>
      <c r="BB16" s="244"/>
      <c r="BC16" s="245"/>
      <c r="BD16" s="246"/>
      <c r="BE16" s="244"/>
      <c r="BF16" s="244"/>
      <c r="BG16" s="244"/>
      <c r="BH16" s="244"/>
      <c r="BI16" s="244"/>
      <c r="BJ16" s="245"/>
      <c r="BK16" s="211"/>
    </row>
    <row r="17" spans="1:63" ht="15" customHeight="1" x14ac:dyDescent="0.25">
      <c r="A17" s="210"/>
      <c r="B17" s="186">
        <v>45539</v>
      </c>
      <c r="C17" s="180"/>
      <c r="D17" s="180"/>
      <c r="E17" s="180"/>
      <c r="F17" s="180"/>
      <c r="G17" s="181"/>
      <c r="H17" s="182" t="s">
        <v>78</v>
      </c>
      <c r="I17" s="180"/>
      <c r="J17" s="180"/>
      <c r="K17" s="180"/>
      <c r="L17" s="180"/>
      <c r="M17" s="180"/>
      <c r="N17" s="181"/>
      <c r="O17" s="182">
        <v>0.4</v>
      </c>
      <c r="P17" s="180"/>
      <c r="Q17" s="180"/>
      <c r="R17" s="180"/>
      <c r="S17" s="235" t="s">
        <v>118</v>
      </c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7"/>
      <c r="AX17" s="238"/>
      <c r="AY17" s="238"/>
      <c r="AZ17" s="238"/>
      <c r="BA17" s="238"/>
      <c r="BB17" s="238"/>
      <c r="BC17" s="239"/>
      <c r="BD17" s="240"/>
      <c r="BE17" s="238"/>
      <c r="BF17" s="238"/>
      <c r="BG17" s="238"/>
      <c r="BH17" s="238"/>
      <c r="BI17" s="238"/>
      <c r="BJ17" s="239"/>
      <c r="BK17" s="211"/>
    </row>
    <row r="18" spans="1:63" ht="15" customHeight="1" x14ac:dyDescent="0.25">
      <c r="A18" s="210"/>
      <c r="B18" s="192"/>
      <c r="C18" s="193"/>
      <c r="D18" s="193"/>
      <c r="E18" s="193"/>
      <c r="F18" s="193"/>
      <c r="G18" s="194"/>
      <c r="H18" s="192"/>
      <c r="I18" s="193"/>
      <c r="J18" s="193"/>
      <c r="K18" s="193"/>
      <c r="L18" s="193"/>
      <c r="M18" s="193"/>
      <c r="N18" s="194"/>
      <c r="O18" s="192"/>
      <c r="P18" s="193"/>
      <c r="Q18" s="193"/>
      <c r="R18" s="193"/>
      <c r="S18" s="241"/>
      <c r="T18" s="242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  <c r="AK18" s="242"/>
      <c r="AL18" s="242"/>
      <c r="AM18" s="242"/>
      <c r="AN18" s="242"/>
      <c r="AO18" s="242"/>
      <c r="AP18" s="242"/>
      <c r="AQ18" s="242"/>
      <c r="AR18" s="242"/>
      <c r="AS18" s="242"/>
      <c r="AT18" s="242"/>
      <c r="AU18" s="242"/>
      <c r="AV18" s="242"/>
      <c r="AW18" s="243"/>
      <c r="AX18" s="244"/>
      <c r="AY18" s="244"/>
      <c r="AZ18" s="244"/>
      <c r="BA18" s="244"/>
      <c r="BB18" s="244"/>
      <c r="BC18" s="245"/>
      <c r="BD18" s="246"/>
      <c r="BE18" s="244"/>
      <c r="BF18" s="244"/>
      <c r="BG18" s="244"/>
      <c r="BH18" s="244"/>
      <c r="BI18" s="244"/>
      <c r="BJ18" s="245"/>
      <c r="BK18" s="211"/>
    </row>
    <row r="19" spans="1:63" ht="49.5" customHeight="1" x14ac:dyDescent="0.25">
      <c r="A19" s="210"/>
      <c r="B19" s="247">
        <v>45580</v>
      </c>
      <c r="C19" s="248"/>
      <c r="D19" s="248"/>
      <c r="E19" s="248"/>
      <c r="F19" s="248"/>
      <c r="G19" s="249"/>
      <c r="H19" s="250" t="s">
        <v>119</v>
      </c>
      <c r="I19" s="248"/>
      <c r="J19" s="248"/>
      <c r="K19" s="248"/>
      <c r="L19" s="248"/>
      <c r="M19" s="248"/>
      <c r="N19" s="249"/>
      <c r="O19" s="250">
        <v>0.5</v>
      </c>
      <c r="P19" s="248"/>
      <c r="Q19" s="248"/>
      <c r="R19" s="248"/>
      <c r="S19" s="251" t="s">
        <v>120</v>
      </c>
      <c r="T19" s="252"/>
      <c r="U19" s="252"/>
      <c r="V19" s="252"/>
      <c r="W19" s="252"/>
      <c r="X19" s="252"/>
      <c r="Y19" s="252"/>
      <c r="Z19" s="252"/>
      <c r="AA19" s="252"/>
      <c r="AB19" s="252"/>
      <c r="AC19" s="252"/>
      <c r="AD19" s="252"/>
      <c r="AE19" s="252"/>
      <c r="AF19" s="252"/>
      <c r="AG19" s="252"/>
      <c r="AH19" s="252"/>
      <c r="AI19" s="252"/>
      <c r="AJ19" s="252"/>
      <c r="AK19" s="252"/>
      <c r="AL19" s="252"/>
      <c r="AM19" s="252"/>
      <c r="AN19" s="252"/>
      <c r="AO19" s="252"/>
      <c r="AP19" s="252"/>
      <c r="AQ19" s="252"/>
      <c r="AR19" s="252"/>
      <c r="AS19" s="252"/>
      <c r="AT19" s="252"/>
      <c r="AU19" s="252"/>
      <c r="AV19" s="252"/>
      <c r="AW19" s="253"/>
      <c r="AX19" s="238"/>
      <c r="AY19" s="238"/>
      <c r="AZ19" s="238"/>
      <c r="BA19" s="238"/>
      <c r="BB19" s="238"/>
      <c r="BC19" s="239"/>
      <c r="BD19" s="240"/>
      <c r="BE19" s="238"/>
      <c r="BF19" s="238"/>
      <c r="BG19" s="238"/>
      <c r="BH19" s="238"/>
      <c r="BI19" s="238"/>
      <c r="BJ19" s="239"/>
      <c r="BK19" s="211"/>
    </row>
    <row r="20" spans="1:63" ht="15" customHeight="1" x14ac:dyDescent="0.25">
      <c r="A20" s="210"/>
      <c r="B20" s="254"/>
      <c r="C20" s="255"/>
      <c r="D20" s="255"/>
      <c r="E20" s="255"/>
      <c r="F20" s="255"/>
      <c r="G20" s="256"/>
      <c r="H20" s="254"/>
      <c r="I20" s="255"/>
      <c r="J20" s="255"/>
      <c r="K20" s="255"/>
      <c r="L20" s="255"/>
      <c r="M20" s="255"/>
      <c r="N20" s="256"/>
      <c r="O20" s="254"/>
      <c r="P20" s="255"/>
      <c r="Q20" s="255"/>
      <c r="R20" s="255"/>
      <c r="S20" s="257" t="s">
        <v>121</v>
      </c>
      <c r="T20" s="258"/>
      <c r="U20" s="258"/>
      <c r="V20" s="258"/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  <c r="AG20" s="258"/>
      <c r="AH20" s="258"/>
      <c r="AI20" s="258"/>
      <c r="AJ20" s="258"/>
      <c r="AK20" s="258"/>
      <c r="AL20" s="258"/>
      <c r="AM20" s="258"/>
      <c r="AN20" s="258"/>
      <c r="AO20" s="258"/>
      <c r="AP20" s="258"/>
      <c r="AQ20" s="258"/>
      <c r="AR20" s="258"/>
      <c r="AS20" s="258"/>
      <c r="AT20" s="258"/>
      <c r="AU20" s="258"/>
      <c r="AV20" s="258"/>
      <c r="AW20" s="259"/>
      <c r="AX20" s="244"/>
      <c r="AY20" s="244"/>
      <c r="AZ20" s="244"/>
      <c r="BA20" s="244"/>
      <c r="BB20" s="244"/>
      <c r="BC20" s="245"/>
      <c r="BD20" s="246"/>
      <c r="BE20" s="244"/>
      <c r="BF20" s="244"/>
      <c r="BG20" s="244"/>
      <c r="BH20" s="244"/>
      <c r="BI20" s="244"/>
      <c r="BJ20" s="245"/>
      <c r="BK20" s="211"/>
    </row>
    <row r="21" spans="1:63" ht="36" customHeight="1" x14ac:dyDescent="0.25">
      <c r="A21" s="210"/>
      <c r="B21" s="247">
        <v>45596</v>
      </c>
      <c r="C21" s="248"/>
      <c r="D21" s="248"/>
      <c r="E21" s="248"/>
      <c r="F21" s="248"/>
      <c r="G21" s="249"/>
      <c r="H21" s="250" t="s">
        <v>119</v>
      </c>
      <c r="I21" s="248"/>
      <c r="J21" s="248"/>
      <c r="K21" s="248"/>
      <c r="L21" s="248"/>
      <c r="M21" s="248"/>
      <c r="N21" s="249"/>
      <c r="O21" s="250">
        <v>0.15</v>
      </c>
      <c r="P21" s="248"/>
      <c r="Q21" s="248"/>
      <c r="R21" s="248"/>
      <c r="S21" s="251" t="s">
        <v>122</v>
      </c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2"/>
      <c r="AT21" s="252"/>
      <c r="AU21" s="252"/>
      <c r="AV21" s="252"/>
      <c r="AW21" s="253"/>
      <c r="AX21" s="89"/>
      <c r="AY21" s="89"/>
      <c r="AZ21" s="89"/>
      <c r="BA21" s="89"/>
      <c r="BB21" s="89"/>
      <c r="BC21" s="90"/>
      <c r="BD21" s="93"/>
      <c r="BE21" s="89"/>
      <c r="BF21" s="89"/>
      <c r="BG21" s="89"/>
      <c r="BH21" s="89"/>
      <c r="BI21" s="89"/>
      <c r="BJ21" s="90"/>
      <c r="BK21" s="211"/>
    </row>
    <row r="22" spans="1:63" ht="18" customHeight="1" x14ac:dyDescent="0.25">
      <c r="A22" s="210"/>
      <c r="B22" s="254"/>
      <c r="C22" s="255"/>
      <c r="D22" s="255"/>
      <c r="E22" s="255"/>
      <c r="F22" s="255"/>
      <c r="G22" s="256"/>
      <c r="H22" s="254"/>
      <c r="I22" s="255"/>
      <c r="J22" s="255"/>
      <c r="K22" s="255"/>
      <c r="L22" s="255"/>
      <c r="M22" s="255"/>
      <c r="N22" s="256"/>
      <c r="O22" s="254"/>
      <c r="P22" s="255"/>
      <c r="Q22" s="255"/>
      <c r="R22" s="255"/>
      <c r="S22" s="257" t="s">
        <v>123</v>
      </c>
      <c r="T22" s="258"/>
      <c r="U22" s="258"/>
      <c r="V22" s="258"/>
      <c r="W22" s="258"/>
      <c r="X22" s="258"/>
      <c r="Y22" s="258"/>
      <c r="Z22" s="258"/>
      <c r="AA22" s="258"/>
      <c r="AB22" s="258"/>
      <c r="AC22" s="258"/>
      <c r="AD22" s="258"/>
      <c r="AE22" s="258"/>
      <c r="AF22" s="258"/>
      <c r="AG22" s="258"/>
      <c r="AH22" s="258"/>
      <c r="AI22" s="258"/>
      <c r="AJ22" s="258"/>
      <c r="AK22" s="258"/>
      <c r="AL22" s="258"/>
      <c r="AM22" s="258"/>
      <c r="AN22" s="258"/>
      <c r="AO22" s="258"/>
      <c r="AP22" s="258"/>
      <c r="AQ22" s="258"/>
      <c r="AR22" s="258"/>
      <c r="AS22" s="258"/>
      <c r="AT22" s="258"/>
      <c r="AU22" s="258"/>
      <c r="AV22" s="258"/>
      <c r="AW22" s="259"/>
      <c r="AX22" s="91"/>
      <c r="AY22" s="91"/>
      <c r="AZ22" s="91"/>
      <c r="BA22" s="91"/>
      <c r="BB22" s="91"/>
      <c r="BC22" s="92"/>
      <c r="BD22" s="94"/>
      <c r="BE22" s="91"/>
      <c r="BF22" s="91"/>
      <c r="BG22" s="91"/>
      <c r="BH22" s="91"/>
      <c r="BI22" s="91"/>
      <c r="BJ22" s="92"/>
      <c r="BK22" s="211"/>
    </row>
    <row r="23" spans="1:63" ht="15" customHeight="1" x14ac:dyDescent="0.25">
      <c r="A23" s="210"/>
      <c r="B23" s="182"/>
      <c r="C23" s="180"/>
      <c r="D23" s="180"/>
      <c r="E23" s="180"/>
      <c r="F23" s="180"/>
      <c r="G23" s="181"/>
      <c r="H23" s="182"/>
      <c r="I23" s="180"/>
      <c r="J23" s="180"/>
      <c r="K23" s="180"/>
      <c r="L23" s="180"/>
      <c r="M23" s="180"/>
      <c r="N23" s="181"/>
      <c r="O23" s="182"/>
      <c r="P23" s="180"/>
      <c r="Q23" s="180"/>
      <c r="R23" s="180"/>
      <c r="S23" s="235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7"/>
      <c r="AX23" s="238"/>
      <c r="AY23" s="238"/>
      <c r="AZ23" s="238"/>
      <c r="BA23" s="238"/>
      <c r="BB23" s="238"/>
      <c r="BC23" s="239"/>
      <c r="BD23" s="240"/>
      <c r="BE23" s="238"/>
      <c r="BF23" s="238"/>
      <c r="BG23" s="238"/>
      <c r="BH23" s="238"/>
      <c r="BI23" s="238"/>
      <c r="BJ23" s="239"/>
      <c r="BK23" s="211"/>
    </row>
    <row r="24" spans="1:63" ht="15" customHeight="1" x14ac:dyDescent="0.25">
      <c r="A24" s="210"/>
      <c r="B24" s="192"/>
      <c r="C24" s="193"/>
      <c r="D24" s="193"/>
      <c r="E24" s="193"/>
      <c r="F24" s="193"/>
      <c r="G24" s="194"/>
      <c r="H24" s="192"/>
      <c r="I24" s="193"/>
      <c r="J24" s="193"/>
      <c r="K24" s="193"/>
      <c r="L24" s="193"/>
      <c r="M24" s="193"/>
      <c r="N24" s="194"/>
      <c r="O24" s="192"/>
      <c r="P24" s="193"/>
      <c r="Q24" s="193"/>
      <c r="R24" s="193"/>
      <c r="S24" s="241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3"/>
      <c r="AX24" s="244"/>
      <c r="AY24" s="244"/>
      <c r="AZ24" s="244"/>
      <c r="BA24" s="244"/>
      <c r="BB24" s="244"/>
      <c r="BC24" s="245"/>
      <c r="BD24" s="246"/>
      <c r="BE24" s="244"/>
      <c r="BF24" s="244"/>
      <c r="BG24" s="244"/>
      <c r="BH24" s="244"/>
      <c r="BI24" s="244"/>
      <c r="BJ24" s="245"/>
      <c r="BK24" s="211"/>
    </row>
    <row r="25" spans="1:63" ht="15" customHeight="1" x14ac:dyDescent="0.25">
      <c r="A25" s="210"/>
      <c r="B25" s="182"/>
      <c r="C25" s="180"/>
      <c r="D25" s="180"/>
      <c r="E25" s="180"/>
      <c r="F25" s="180"/>
      <c r="G25" s="181"/>
      <c r="H25" s="182"/>
      <c r="I25" s="180"/>
      <c r="J25" s="180"/>
      <c r="K25" s="180"/>
      <c r="L25" s="180"/>
      <c r="M25" s="180"/>
      <c r="N25" s="181"/>
      <c r="O25" s="182"/>
      <c r="P25" s="180"/>
      <c r="Q25" s="180"/>
      <c r="R25" s="180"/>
      <c r="S25" s="235"/>
      <c r="T25" s="236"/>
      <c r="U25" s="236"/>
      <c r="V25" s="236"/>
      <c r="W25" s="236"/>
      <c r="X25" s="236"/>
      <c r="Y25" s="236"/>
      <c r="Z25" s="236"/>
      <c r="AA25" s="236"/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7"/>
      <c r="AX25" s="238"/>
      <c r="AY25" s="238"/>
      <c r="AZ25" s="238"/>
      <c r="BA25" s="238"/>
      <c r="BB25" s="238"/>
      <c r="BC25" s="239"/>
      <c r="BD25" s="240"/>
      <c r="BE25" s="238"/>
      <c r="BF25" s="238"/>
      <c r="BG25" s="238"/>
      <c r="BH25" s="238"/>
      <c r="BI25" s="238"/>
      <c r="BJ25" s="239"/>
      <c r="BK25" s="211"/>
    </row>
    <row r="26" spans="1:63" ht="15" customHeight="1" x14ac:dyDescent="0.25">
      <c r="A26" s="210"/>
      <c r="B26" s="192"/>
      <c r="C26" s="193"/>
      <c r="D26" s="193"/>
      <c r="E26" s="193"/>
      <c r="F26" s="193"/>
      <c r="G26" s="194"/>
      <c r="H26" s="192"/>
      <c r="I26" s="193"/>
      <c r="J26" s="193"/>
      <c r="K26" s="193"/>
      <c r="L26" s="193"/>
      <c r="M26" s="193"/>
      <c r="N26" s="194"/>
      <c r="O26" s="192"/>
      <c r="P26" s="193"/>
      <c r="Q26" s="193"/>
      <c r="R26" s="193"/>
      <c r="S26" s="241"/>
      <c r="T26" s="242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  <c r="AK26" s="242"/>
      <c r="AL26" s="242"/>
      <c r="AM26" s="242"/>
      <c r="AN26" s="242"/>
      <c r="AO26" s="242"/>
      <c r="AP26" s="242"/>
      <c r="AQ26" s="242"/>
      <c r="AR26" s="242"/>
      <c r="AS26" s="242"/>
      <c r="AT26" s="242"/>
      <c r="AU26" s="242"/>
      <c r="AV26" s="242"/>
      <c r="AW26" s="243"/>
      <c r="AX26" s="244"/>
      <c r="AY26" s="244"/>
      <c r="AZ26" s="244"/>
      <c r="BA26" s="244"/>
      <c r="BB26" s="244"/>
      <c r="BC26" s="245"/>
      <c r="BD26" s="246"/>
      <c r="BE26" s="244"/>
      <c r="BF26" s="244"/>
      <c r="BG26" s="244"/>
      <c r="BH26" s="244"/>
      <c r="BI26" s="244"/>
      <c r="BJ26" s="245"/>
      <c r="BK26" s="211"/>
    </row>
    <row r="27" spans="1:63" ht="15" customHeight="1" x14ac:dyDescent="0.25">
      <c r="A27" s="210"/>
      <c r="B27" s="182"/>
      <c r="C27" s="180"/>
      <c r="D27" s="180"/>
      <c r="E27" s="180"/>
      <c r="F27" s="180"/>
      <c r="G27" s="181"/>
      <c r="H27" s="182"/>
      <c r="I27" s="180"/>
      <c r="J27" s="180"/>
      <c r="K27" s="180"/>
      <c r="L27" s="180"/>
      <c r="M27" s="180"/>
      <c r="N27" s="181"/>
      <c r="O27" s="182"/>
      <c r="P27" s="180"/>
      <c r="Q27" s="180"/>
      <c r="R27" s="180"/>
      <c r="S27" s="235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7"/>
      <c r="AX27" s="238"/>
      <c r="AY27" s="238"/>
      <c r="AZ27" s="238"/>
      <c r="BA27" s="238"/>
      <c r="BB27" s="238"/>
      <c r="BC27" s="239"/>
      <c r="BD27" s="240"/>
      <c r="BE27" s="238"/>
      <c r="BF27" s="238"/>
      <c r="BG27" s="238"/>
      <c r="BH27" s="238"/>
      <c r="BI27" s="238"/>
      <c r="BJ27" s="239"/>
      <c r="BK27" s="211"/>
    </row>
    <row r="28" spans="1:63" ht="15" customHeight="1" x14ac:dyDescent="0.25">
      <c r="A28" s="210"/>
      <c r="B28" s="192"/>
      <c r="C28" s="193"/>
      <c r="D28" s="193"/>
      <c r="E28" s="193"/>
      <c r="F28" s="193"/>
      <c r="G28" s="194"/>
      <c r="H28" s="192"/>
      <c r="I28" s="193"/>
      <c r="J28" s="193"/>
      <c r="K28" s="193"/>
      <c r="L28" s="193"/>
      <c r="M28" s="193"/>
      <c r="N28" s="194"/>
      <c r="O28" s="192"/>
      <c r="P28" s="193"/>
      <c r="Q28" s="193"/>
      <c r="R28" s="193"/>
      <c r="S28" s="241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2"/>
      <c r="AM28" s="242"/>
      <c r="AN28" s="242"/>
      <c r="AO28" s="242"/>
      <c r="AP28" s="242"/>
      <c r="AQ28" s="242"/>
      <c r="AR28" s="242"/>
      <c r="AS28" s="242"/>
      <c r="AT28" s="242"/>
      <c r="AU28" s="242"/>
      <c r="AV28" s="242"/>
      <c r="AW28" s="243"/>
      <c r="AX28" s="244"/>
      <c r="AY28" s="244"/>
      <c r="AZ28" s="244"/>
      <c r="BA28" s="244"/>
      <c r="BB28" s="244"/>
      <c r="BC28" s="245"/>
      <c r="BD28" s="246"/>
      <c r="BE28" s="244"/>
      <c r="BF28" s="244"/>
      <c r="BG28" s="244"/>
      <c r="BH28" s="244"/>
      <c r="BI28" s="244"/>
      <c r="BJ28" s="245"/>
      <c r="BK28" s="211"/>
    </row>
    <row r="29" spans="1:63" ht="15" customHeight="1" x14ac:dyDescent="0.25">
      <c r="A29" s="210"/>
      <c r="B29" s="182"/>
      <c r="C29" s="180"/>
      <c r="D29" s="180"/>
      <c r="E29" s="180"/>
      <c r="F29" s="180"/>
      <c r="G29" s="181"/>
      <c r="H29" s="182"/>
      <c r="I29" s="180"/>
      <c r="J29" s="180"/>
      <c r="K29" s="180"/>
      <c r="L29" s="180"/>
      <c r="M29" s="180"/>
      <c r="N29" s="181"/>
      <c r="O29" s="182"/>
      <c r="P29" s="180"/>
      <c r="Q29" s="180"/>
      <c r="R29" s="180"/>
      <c r="S29" s="235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7"/>
      <c r="AX29" s="238"/>
      <c r="AY29" s="238"/>
      <c r="AZ29" s="238"/>
      <c r="BA29" s="238"/>
      <c r="BB29" s="238"/>
      <c r="BC29" s="239"/>
      <c r="BD29" s="240"/>
      <c r="BE29" s="238"/>
      <c r="BF29" s="238"/>
      <c r="BG29" s="238"/>
      <c r="BH29" s="238"/>
      <c r="BI29" s="238"/>
      <c r="BJ29" s="239"/>
      <c r="BK29" s="211"/>
    </row>
    <row r="30" spans="1:63" ht="15" customHeight="1" x14ac:dyDescent="0.25">
      <c r="A30" s="210"/>
      <c r="B30" s="192"/>
      <c r="C30" s="193"/>
      <c r="D30" s="193"/>
      <c r="E30" s="193"/>
      <c r="F30" s="193"/>
      <c r="G30" s="194"/>
      <c r="H30" s="192"/>
      <c r="I30" s="193"/>
      <c r="J30" s="193"/>
      <c r="K30" s="193"/>
      <c r="L30" s="193"/>
      <c r="M30" s="193"/>
      <c r="N30" s="194"/>
      <c r="O30" s="192"/>
      <c r="P30" s="193"/>
      <c r="Q30" s="193"/>
      <c r="R30" s="193"/>
      <c r="S30" s="241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  <c r="AM30" s="242"/>
      <c r="AN30" s="242"/>
      <c r="AO30" s="242"/>
      <c r="AP30" s="242"/>
      <c r="AQ30" s="242"/>
      <c r="AR30" s="242"/>
      <c r="AS30" s="242"/>
      <c r="AT30" s="242"/>
      <c r="AU30" s="242"/>
      <c r="AV30" s="242"/>
      <c r="AW30" s="243"/>
      <c r="AX30" s="244"/>
      <c r="AY30" s="244"/>
      <c r="AZ30" s="244"/>
      <c r="BA30" s="244"/>
      <c r="BB30" s="244"/>
      <c r="BC30" s="245"/>
      <c r="BD30" s="246"/>
      <c r="BE30" s="244"/>
      <c r="BF30" s="244"/>
      <c r="BG30" s="244"/>
      <c r="BH30" s="244"/>
      <c r="BI30" s="244"/>
      <c r="BJ30" s="245"/>
      <c r="BK30" s="211"/>
    </row>
    <row r="31" spans="1:63" ht="15" customHeight="1" x14ac:dyDescent="0.25">
      <c r="A31" s="210"/>
      <c r="B31" s="182"/>
      <c r="C31" s="180"/>
      <c r="D31" s="180"/>
      <c r="E31" s="180"/>
      <c r="F31" s="180"/>
      <c r="G31" s="181"/>
      <c r="H31" s="182"/>
      <c r="I31" s="180"/>
      <c r="J31" s="180"/>
      <c r="K31" s="180"/>
      <c r="L31" s="180"/>
      <c r="M31" s="180"/>
      <c r="N31" s="181"/>
      <c r="O31" s="182"/>
      <c r="P31" s="180"/>
      <c r="Q31" s="180"/>
      <c r="R31" s="180"/>
      <c r="S31" s="235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7"/>
      <c r="AX31" s="238"/>
      <c r="AY31" s="238"/>
      <c r="AZ31" s="238"/>
      <c r="BA31" s="238"/>
      <c r="BB31" s="238"/>
      <c r="BC31" s="239"/>
      <c r="BD31" s="240"/>
      <c r="BE31" s="238"/>
      <c r="BF31" s="238"/>
      <c r="BG31" s="238"/>
      <c r="BH31" s="238"/>
      <c r="BI31" s="238"/>
      <c r="BJ31" s="239"/>
      <c r="BK31" s="211"/>
    </row>
    <row r="32" spans="1:63" ht="15" customHeight="1" x14ac:dyDescent="0.25">
      <c r="A32" s="210"/>
      <c r="B32" s="192"/>
      <c r="C32" s="193"/>
      <c r="D32" s="193"/>
      <c r="E32" s="193"/>
      <c r="F32" s="193"/>
      <c r="G32" s="194"/>
      <c r="H32" s="192"/>
      <c r="I32" s="193"/>
      <c r="J32" s="193"/>
      <c r="K32" s="193"/>
      <c r="L32" s="193"/>
      <c r="M32" s="193"/>
      <c r="N32" s="194"/>
      <c r="O32" s="192"/>
      <c r="P32" s="193"/>
      <c r="Q32" s="193"/>
      <c r="R32" s="193"/>
      <c r="S32" s="241"/>
      <c r="T32" s="242"/>
      <c r="U32" s="242"/>
      <c r="V32" s="242"/>
      <c r="W32" s="242"/>
      <c r="X32" s="242"/>
      <c r="Y32" s="242"/>
      <c r="Z32" s="242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/>
      <c r="AW32" s="243"/>
      <c r="AX32" s="244"/>
      <c r="AY32" s="244"/>
      <c r="AZ32" s="244"/>
      <c r="BA32" s="244"/>
      <c r="BB32" s="244"/>
      <c r="BC32" s="245"/>
      <c r="BD32" s="246"/>
      <c r="BE32" s="244"/>
      <c r="BF32" s="244"/>
      <c r="BG32" s="244"/>
      <c r="BH32" s="244"/>
      <c r="BI32" s="244"/>
      <c r="BJ32" s="245"/>
      <c r="BK32" s="211"/>
    </row>
    <row r="33" spans="1:63" ht="15" customHeight="1" x14ac:dyDescent="0.25">
      <c r="A33" s="210"/>
      <c r="B33" s="182"/>
      <c r="C33" s="180"/>
      <c r="D33" s="180"/>
      <c r="E33" s="180"/>
      <c r="F33" s="180"/>
      <c r="G33" s="181"/>
      <c r="H33" s="182"/>
      <c r="I33" s="180"/>
      <c r="J33" s="180"/>
      <c r="K33" s="180"/>
      <c r="L33" s="180"/>
      <c r="M33" s="180"/>
      <c r="N33" s="181"/>
      <c r="O33" s="182"/>
      <c r="P33" s="180"/>
      <c r="Q33" s="180"/>
      <c r="R33" s="180"/>
      <c r="S33" s="235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7"/>
      <c r="AX33" s="238"/>
      <c r="AY33" s="238"/>
      <c r="AZ33" s="238"/>
      <c r="BA33" s="238"/>
      <c r="BB33" s="238"/>
      <c r="BC33" s="239"/>
      <c r="BD33" s="240"/>
      <c r="BE33" s="238"/>
      <c r="BF33" s="238"/>
      <c r="BG33" s="238"/>
      <c r="BH33" s="238"/>
      <c r="BI33" s="238"/>
      <c r="BJ33" s="239"/>
      <c r="BK33" s="211"/>
    </row>
    <row r="34" spans="1:63" ht="15" customHeight="1" x14ac:dyDescent="0.25">
      <c r="A34" s="210"/>
      <c r="B34" s="192"/>
      <c r="C34" s="193"/>
      <c r="D34" s="193"/>
      <c r="E34" s="193"/>
      <c r="F34" s="193"/>
      <c r="G34" s="194"/>
      <c r="H34" s="192"/>
      <c r="I34" s="193"/>
      <c r="J34" s="193"/>
      <c r="K34" s="193"/>
      <c r="L34" s="193"/>
      <c r="M34" s="193"/>
      <c r="N34" s="194"/>
      <c r="O34" s="192"/>
      <c r="P34" s="193"/>
      <c r="Q34" s="193"/>
      <c r="R34" s="193"/>
      <c r="S34" s="241"/>
      <c r="T34" s="242"/>
      <c r="U34" s="242"/>
      <c r="V34" s="242"/>
      <c r="W34" s="242"/>
      <c r="X34" s="242"/>
      <c r="Y34" s="242"/>
      <c r="Z34" s="242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2"/>
      <c r="AP34" s="242"/>
      <c r="AQ34" s="242"/>
      <c r="AR34" s="242"/>
      <c r="AS34" s="242"/>
      <c r="AT34" s="242"/>
      <c r="AU34" s="242"/>
      <c r="AV34" s="242"/>
      <c r="AW34" s="243"/>
      <c r="AX34" s="244"/>
      <c r="AY34" s="244"/>
      <c r="AZ34" s="244"/>
      <c r="BA34" s="244"/>
      <c r="BB34" s="244"/>
      <c r="BC34" s="245"/>
      <c r="BD34" s="246"/>
      <c r="BE34" s="244"/>
      <c r="BF34" s="244"/>
      <c r="BG34" s="244"/>
      <c r="BH34" s="244"/>
      <c r="BI34" s="244"/>
      <c r="BJ34" s="245"/>
      <c r="BK34" s="211"/>
    </row>
    <row r="35" spans="1:63" ht="15" customHeight="1" x14ac:dyDescent="0.25">
      <c r="A35" s="210"/>
      <c r="B35" s="182"/>
      <c r="C35" s="180"/>
      <c r="D35" s="180"/>
      <c r="E35" s="180"/>
      <c r="F35" s="180"/>
      <c r="G35" s="181"/>
      <c r="H35" s="182"/>
      <c r="I35" s="180"/>
      <c r="J35" s="180"/>
      <c r="K35" s="180"/>
      <c r="L35" s="180"/>
      <c r="M35" s="180"/>
      <c r="N35" s="181"/>
      <c r="O35" s="182"/>
      <c r="P35" s="180"/>
      <c r="Q35" s="180"/>
      <c r="R35" s="180"/>
      <c r="S35" s="235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7"/>
      <c r="AX35" s="238"/>
      <c r="AY35" s="238"/>
      <c r="AZ35" s="238"/>
      <c r="BA35" s="238"/>
      <c r="BB35" s="238"/>
      <c r="BC35" s="239"/>
      <c r="BD35" s="240"/>
      <c r="BE35" s="238"/>
      <c r="BF35" s="238"/>
      <c r="BG35" s="238"/>
      <c r="BH35" s="238"/>
      <c r="BI35" s="238"/>
      <c r="BJ35" s="239"/>
      <c r="BK35" s="211"/>
    </row>
    <row r="36" spans="1:63" ht="15" customHeight="1" x14ac:dyDescent="0.25">
      <c r="A36" s="210"/>
      <c r="B36" s="192"/>
      <c r="C36" s="193"/>
      <c r="D36" s="193"/>
      <c r="E36" s="193"/>
      <c r="F36" s="193"/>
      <c r="G36" s="194"/>
      <c r="H36" s="192"/>
      <c r="I36" s="193"/>
      <c r="J36" s="193"/>
      <c r="K36" s="193"/>
      <c r="L36" s="193"/>
      <c r="M36" s="193"/>
      <c r="N36" s="194"/>
      <c r="O36" s="192"/>
      <c r="P36" s="193"/>
      <c r="Q36" s="193"/>
      <c r="R36" s="193"/>
      <c r="S36" s="241"/>
      <c r="T36" s="242"/>
      <c r="U36" s="242"/>
      <c r="V36" s="242"/>
      <c r="W36" s="242"/>
      <c r="X36" s="242"/>
      <c r="Y36" s="242"/>
      <c r="Z36" s="242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3"/>
      <c r="AX36" s="244"/>
      <c r="AY36" s="244"/>
      <c r="AZ36" s="244"/>
      <c r="BA36" s="244"/>
      <c r="BB36" s="244"/>
      <c r="BC36" s="245"/>
      <c r="BD36" s="246"/>
      <c r="BE36" s="244"/>
      <c r="BF36" s="244"/>
      <c r="BG36" s="244"/>
      <c r="BH36" s="244"/>
      <c r="BI36" s="244"/>
      <c r="BJ36" s="245"/>
      <c r="BK36" s="211"/>
    </row>
    <row r="37" spans="1:63" ht="15" customHeight="1" x14ac:dyDescent="0.25">
      <c r="A37" s="210"/>
      <c r="B37" s="182"/>
      <c r="C37" s="180"/>
      <c r="D37" s="180"/>
      <c r="E37" s="180"/>
      <c r="F37" s="180"/>
      <c r="G37" s="181"/>
      <c r="H37" s="182"/>
      <c r="I37" s="180"/>
      <c r="J37" s="180"/>
      <c r="K37" s="180"/>
      <c r="L37" s="180"/>
      <c r="M37" s="180"/>
      <c r="N37" s="181"/>
      <c r="O37" s="182"/>
      <c r="P37" s="180"/>
      <c r="Q37" s="180"/>
      <c r="R37" s="180"/>
      <c r="S37" s="235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7"/>
      <c r="AX37" s="238"/>
      <c r="AY37" s="238"/>
      <c r="AZ37" s="238"/>
      <c r="BA37" s="238"/>
      <c r="BB37" s="238"/>
      <c r="BC37" s="239"/>
      <c r="BD37" s="240"/>
      <c r="BE37" s="238"/>
      <c r="BF37" s="238"/>
      <c r="BG37" s="238"/>
      <c r="BH37" s="238"/>
      <c r="BI37" s="238"/>
      <c r="BJ37" s="239"/>
      <c r="BK37" s="211"/>
    </row>
    <row r="38" spans="1:63" ht="15" customHeight="1" x14ac:dyDescent="0.25">
      <c r="A38" s="210"/>
      <c r="B38" s="192"/>
      <c r="C38" s="193"/>
      <c r="D38" s="193"/>
      <c r="E38" s="193"/>
      <c r="F38" s="193"/>
      <c r="G38" s="194"/>
      <c r="H38" s="192"/>
      <c r="I38" s="193"/>
      <c r="J38" s="193"/>
      <c r="K38" s="193"/>
      <c r="L38" s="193"/>
      <c r="M38" s="193"/>
      <c r="N38" s="194"/>
      <c r="O38" s="192"/>
      <c r="P38" s="193"/>
      <c r="Q38" s="193"/>
      <c r="R38" s="193"/>
      <c r="S38" s="241"/>
      <c r="T38" s="242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3"/>
      <c r="AX38" s="244"/>
      <c r="AY38" s="244"/>
      <c r="AZ38" s="244"/>
      <c r="BA38" s="244"/>
      <c r="BB38" s="244"/>
      <c r="BC38" s="245"/>
      <c r="BD38" s="246"/>
      <c r="BE38" s="244"/>
      <c r="BF38" s="244"/>
      <c r="BG38" s="244"/>
      <c r="BH38" s="244"/>
      <c r="BI38" s="244"/>
      <c r="BJ38" s="245"/>
      <c r="BK38" s="211"/>
    </row>
    <row r="39" spans="1:63" ht="15" customHeight="1" x14ac:dyDescent="0.25">
      <c r="A39" s="210"/>
      <c r="B39" s="182"/>
      <c r="C39" s="180"/>
      <c r="D39" s="180"/>
      <c r="E39" s="180"/>
      <c r="F39" s="180"/>
      <c r="G39" s="181"/>
      <c r="H39" s="182"/>
      <c r="I39" s="180"/>
      <c r="J39" s="180"/>
      <c r="K39" s="180"/>
      <c r="L39" s="180"/>
      <c r="M39" s="180"/>
      <c r="N39" s="181"/>
      <c r="O39" s="182"/>
      <c r="P39" s="180"/>
      <c r="Q39" s="180"/>
      <c r="R39" s="180"/>
      <c r="S39" s="235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7"/>
      <c r="AX39" s="238"/>
      <c r="AY39" s="238"/>
      <c r="AZ39" s="238"/>
      <c r="BA39" s="238"/>
      <c r="BB39" s="238"/>
      <c r="BC39" s="239"/>
      <c r="BD39" s="240"/>
      <c r="BE39" s="238"/>
      <c r="BF39" s="238"/>
      <c r="BG39" s="238"/>
      <c r="BH39" s="238"/>
      <c r="BI39" s="238"/>
      <c r="BJ39" s="239"/>
      <c r="BK39" s="211"/>
    </row>
    <row r="40" spans="1:63" ht="15" customHeight="1" x14ac:dyDescent="0.25">
      <c r="A40" s="210"/>
      <c r="B40" s="192"/>
      <c r="C40" s="193"/>
      <c r="D40" s="193"/>
      <c r="E40" s="193"/>
      <c r="F40" s="193"/>
      <c r="G40" s="194"/>
      <c r="H40" s="192"/>
      <c r="I40" s="193"/>
      <c r="J40" s="193"/>
      <c r="K40" s="193"/>
      <c r="L40" s="193"/>
      <c r="M40" s="193"/>
      <c r="N40" s="194"/>
      <c r="O40" s="192"/>
      <c r="P40" s="193"/>
      <c r="Q40" s="193"/>
      <c r="R40" s="193"/>
      <c r="S40" s="241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3"/>
      <c r="AX40" s="244"/>
      <c r="AY40" s="244"/>
      <c r="AZ40" s="244"/>
      <c r="BA40" s="244"/>
      <c r="BB40" s="244"/>
      <c r="BC40" s="245"/>
      <c r="BD40" s="246"/>
      <c r="BE40" s="244"/>
      <c r="BF40" s="244"/>
      <c r="BG40" s="244"/>
      <c r="BH40" s="244"/>
      <c r="BI40" s="244"/>
      <c r="BJ40" s="245"/>
      <c r="BK40" s="211"/>
    </row>
    <row r="41" spans="1:63" ht="15" customHeight="1" x14ac:dyDescent="0.25">
      <c r="A41" s="210"/>
      <c r="B41" s="182"/>
      <c r="C41" s="180"/>
      <c r="D41" s="180"/>
      <c r="E41" s="180"/>
      <c r="F41" s="180"/>
      <c r="G41" s="181"/>
      <c r="H41" s="182"/>
      <c r="I41" s="180"/>
      <c r="J41" s="180"/>
      <c r="K41" s="180"/>
      <c r="L41" s="180"/>
      <c r="M41" s="180"/>
      <c r="N41" s="181"/>
      <c r="O41" s="182"/>
      <c r="P41" s="180"/>
      <c r="Q41" s="180"/>
      <c r="R41" s="180"/>
      <c r="S41" s="235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6"/>
      <c r="AG41" s="236"/>
      <c r="AH41" s="236"/>
      <c r="AI41" s="236"/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6"/>
      <c r="AU41" s="236"/>
      <c r="AV41" s="236"/>
      <c r="AW41" s="237"/>
      <c r="AX41" s="238"/>
      <c r="AY41" s="238"/>
      <c r="AZ41" s="238"/>
      <c r="BA41" s="238"/>
      <c r="BB41" s="238"/>
      <c r="BC41" s="239"/>
      <c r="BD41" s="240"/>
      <c r="BE41" s="238"/>
      <c r="BF41" s="238"/>
      <c r="BG41" s="238"/>
      <c r="BH41" s="238"/>
      <c r="BI41" s="238"/>
      <c r="BJ41" s="239"/>
      <c r="BK41" s="211"/>
    </row>
    <row r="42" spans="1:63" ht="15" customHeight="1" x14ac:dyDescent="0.25">
      <c r="A42" s="210"/>
      <c r="B42" s="192"/>
      <c r="C42" s="193"/>
      <c r="D42" s="193"/>
      <c r="E42" s="193"/>
      <c r="F42" s="193"/>
      <c r="G42" s="194"/>
      <c r="H42" s="192"/>
      <c r="I42" s="193"/>
      <c r="J42" s="193"/>
      <c r="K42" s="193"/>
      <c r="L42" s="193"/>
      <c r="M42" s="193"/>
      <c r="N42" s="194"/>
      <c r="O42" s="192"/>
      <c r="P42" s="193"/>
      <c r="Q42" s="193"/>
      <c r="R42" s="193"/>
      <c r="S42" s="241"/>
      <c r="T42" s="242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3"/>
      <c r="AX42" s="244"/>
      <c r="AY42" s="244"/>
      <c r="AZ42" s="244"/>
      <c r="BA42" s="244"/>
      <c r="BB42" s="244"/>
      <c r="BC42" s="245"/>
      <c r="BD42" s="246"/>
      <c r="BE42" s="244"/>
      <c r="BF42" s="244"/>
      <c r="BG42" s="244"/>
      <c r="BH42" s="244"/>
      <c r="BI42" s="244"/>
      <c r="BJ42" s="245"/>
      <c r="BK42" s="211"/>
    </row>
    <row r="43" spans="1:63" ht="15" customHeight="1" x14ac:dyDescent="0.25">
      <c r="A43" s="210"/>
      <c r="B43" s="182"/>
      <c r="C43" s="180"/>
      <c r="D43" s="180"/>
      <c r="E43" s="180"/>
      <c r="F43" s="180"/>
      <c r="G43" s="181"/>
      <c r="H43" s="182"/>
      <c r="I43" s="180"/>
      <c r="J43" s="180"/>
      <c r="K43" s="180"/>
      <c r="L43" s="180"/>
      <c r="M43" s="180"/>
      <c r="N43" s="181"/>
      <c r="O43" s="182"/>
      <c r="P43" s="180"/>
      <c r="Q43" s="180"/>
      <c r="R43" s="180"/>
      <c r="S43" s="235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7"/>
      <c r="AX43" s="238"/>
      <c r="AY43" s="238"/>
      <c r="AZ43" s="238"/>
      <c r="BA43" s="238"/>
      <c r="BB43" s="238"/>
      <c r="BC43" s="239"/>
      <c r="BD43" s="240"/>
      <c r="BE43" s="238"/>
      <c r="BF43" s="238"/>
      <c r="BG43" s="238"/>
      <c r="BH43" s="238"/>
      <c r="BI43" s="238"/>
      <c r="BJ43" s="239"/>
      <c r="BK43" s="211"/>
    </row>
    <row r="44" spans="1:63" ht="15" customHeight="1" x14ac:dyDescent="0.25">
      <c r="A44" s="210"/>
      <c r="B44" s="192"/>
      <c r="C44" s="193"/>
      <c r="D44" s="193"/>
      <c r="E44" s="193"/>
      <c r="F44" s="193"/>
      <c r="G44" s="194"/>
      <c r="H44" s="192"/>
      <c r="I44" s="193"/>
      <c r="J44" s="193"/>
      <c r="K44" s="193"/>
      <c r="L44" s="193"/>
      <c r="M44" s="193"/>
      <c r="N44" s="194"/>
      <c r="O44" s="192"/>
      <c r="P44" s="193"/>
      <c r="Q44" s="193"/>
      <c r="R44" s="193"/>
      <c r="S44" s="241"/>
      <c r="T44" s="242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242"/>
      <c r="AR44" s="242"/>
      <c r="AS44" s="242"/>
      <c r="AT44" s="242"/>
      <c r="AU44" s="242"/>
      <c r="AV44" s="242"/>
      <c r="AW44" s="243"/>
      <c r="AX44" s="244"/>
      <c r="AY44" s="244"/>
      <c r="AZ44" s="244"/>
      <c r="BA44" s="244"/>
      <c r="BB44" s="244"/>
      <c r="BC44" s="245"/>
      <c r="BD44" s="246"/>
      <c r="BE44" s="244"/>
      <c r="BF44" s="244"/>
      <c r="BG44" s="244"/>
      <c r="BH44" s="244"/>
      <c r="BI44" s="244"/>
      <c r="BJ44" s="245"/>
      <c r="BK44" s="211"/>
    </row>
    <row r="45" spans="1:63" ht="15" customHeight="1" x14ac:dyDescent="0.25">
      <c r="A45" s="210"/>
      <c r="B45" s="182"/>
      <c r="C45" s="180"/>
      <c r="D45" s="180"/>
      <c r="E45" s="180"/>
      <c r="F45" s="180"/>
      <c r="G45" s="181"/>
      <c r="H45" s="182"/>
      <c r="I45" s="180"/>
      <c r="J45" s="180"/>
      <c r="K45" s="180"/>
      <c r="L45" s="180"/>
      <c r="M45" s="180"/>
      <c r="N45" s="181"/>
      <c r="O45" s="182"/>
      <c r="P45" s="180"/>
      <c r="Q45" s="180"/>
      <c r="R45" s="180"/>
      <c r="S45" s="235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7"/>
      <c r="AX45" s="238"/>
      <c r="AY45" s="238"/>
      <c r="AZ45" s="238"/>
      <c r="BA45" s="238"/>
      <c r="BB45" s="238"/>
      <c r="BC45" s="239"/>
      <c r="BD45" s="240"/>
      <c r="BE45" s="238"/>
      <c r="BF45" s="238"/>
      <c r="BG45" s="238"/>
      <c r="BH45" s="238"/>
      <c r="BI45" s="238"/>
      <c r="BJ45" s="239"/>
      <c r="BK45" s="211"/>
    </row>
    <row r="46" spans="1:63" ht="15" customHeight="1" x14ac:dyDescent="0.25">
      <c r="A46" s="210"/>
      <c r="B46" s="192"/>
      <c r="C46" s="193"/>
      <c r="D46" s="193"/>
      <c r="E46" s="193"/>
      <c r="F46" s="193"/>
      <c r="G46" s="194"/>
      <c r="H46" s="192"/>
      <c r="I46" s="193"/>
      <c r="J46" s="193"/>
      <c r="K46" s="193"/>
      <c r="L46" s="193"/>
      <c r="M46" s="193"/>
      <c r="N46" s="194"/>
      <c r="O46" s="192"/>
      <c r="P46" s="193"/>
      <c r="Q46" s="193"/>
      <c r="R46" s="193"/>
      <c r="S46" s="241"/>
      <c r="T46" s="242"/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  <c r="AM46" s="242"/>
      <c r="AN46" s="242"/>
      <c r="AO46" s="242"/>
      <c r="AP46" s="242"/>
      <c r="AQ46" s="242"/>
      <c r="AR46" s="242"/>
      <c r="AS46" s="242"/>
      <c r="AT46" s="242"/>
      <c r="AU46" s="242"/>
      <c r="AV46" s="242"/>
      <c r="AW46" s="243"/>
      <c r="AX46" s="244"/>
      <c r="AY46" s="244"/>
      <c r="AZ46" s="244"/>
      <c r="BA46" s="244"/>
      <c r="BB46" s="244"/>
      <c r="BC46" s="245"/>
      <c r="BD46" s="246"/>
      <c r="BE46" s="244"/>
      <c r="BF46" s="244"/>
      <c r="BG46" s="244"/>
      <c r="BH46" s="244"/>
      <c r="BI46" s="244"/>
      <c r="BJ46" s="245"/>
      <c r="BK46" s="211"/>
    </row>
    <row r="47" spans="1:63" ht="15" customHeight="1" x14ac:dyDescent="0.25">
      <c r="A47" s="210"/>
      <c r="B47" s="182"/>
      <c r="C47" s="180"/>
      <c r="D47" s="180"/>
      <c r="E47" s="180"/>
      <c r="F47" s="180"/>
      <c r="G47" s="181"/>
      <c r="H47" s="182"/>
      <c r="I47" s="180"/>
      <c r="J47" s="180"/>
      <c r="K47" s="180"/>
      <c r="L47" s="180"/>
      <c r="M47" s="180"/>
      <c r="N47" s="181"/>
      <c r="O47" s="182"/>
      <c r="P47" s="180"/>
      <c r="Q47" s="180"/>
      <c r="R47" s="180"/>
      <c r="S47" s="235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7"/>
      <c r="AX47" s="238"/>
      <c r="AY47" s="238"/>
      <c r="AZ47" s="238"/>
      <c r="BA47" s="238"/>
      <c r="BB47" s="238"/>
      <c r="BC47" s="239"/>
      <c r="BD47" s="240"/>
      <c r="BE47" s="238"/>
      <c r="BF47" s="238"/>
      <c r="BG47" s="238"/>
      <c r="BH47" s="238"/>
      <c r="BI47" s="238"/>
      <c r="BJ47" s="239"/>
      <c r="BK47" s="211"/>
    </row>
    <row r="48" spans="1:63" ht="15" customHeight="1" x14ac:dyDescent="0.25">
      <c r="A48" s="210"/>
      <c r="B48" s="192"/>
      <c r="C48" s="193"/>
      <c r="D48" s="193"/>
      <c r="E48" s="193"/>
      <c r="F48" s="193"/>
      <c r="G48" s="194"/>
      <c r="H48" s="192"/>
      <c r="I48" s="193"/>
      <c r="J48" s="193"/>
      <c r="K48" s="193"/>
      <c r="L48" s="193"/>
      <c r="M48" s="193"/>
      <c r="N48" s="194"/>
      <c r="O48" s="192"/>
      <c r="P48" s="193"/>
      <c r="Q48" s="193"/>
      <c r="R48" s="193"/>
      <c r="S48" s="241"/>
      <c r="T48" s="242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  <c r="AP48" s="242"/>
      <c r="AQ48" s="242"/>
      <c r="AR48" s="242"/>
      <c r="AS48" s="242"/>
      <c r="AT48" s="242"/>
      <c r="AU48" s="242"/>
      <c r="AV48" s="242"/>
      <c r="AW48" s="243"/>
      <c r="AX48" s="244"/>
      <c r="AY48" s="244"/>
      <c r="AZ48" s="244"/>
      <c r="BA48" s="244"/>
      <c r="BB48" s="244"/>
      <c r="BC48" s="245"/>
      <c r="BD48" s="246"/>
      <c r="BE48" s="244"/>
      <c r="BF48" s="244"/>
      <c r="BG48" s="244"/>
      <c r="BH48" s="244"/>
      <c r="BI48" s="244"/>
      <c r="BJ48" s="245"/>
      <c r="BK48" s="211"/>
    </row>
    <row r="49" spans="1:63" ht="15" customHeight="1" x14ac:dyDescent="0.25">
      <c r="A49" s="210"/>
      <c r="B49" s="182"/>
      <c r="C49" s="180"/>
      <c r="D49" s="180"/>
      <c r="E49" s="180"/>
      <c r="F49" s="180"/>
      <c r="G49" s="181"/>
      <c r="H49" s="182"/>
      <c r="I49" s="180"/>
      <c r="J49" s="180"/>
      <c r="K49" s="180"/>
      <c r="L49" s="180"/>
      <c r="M49" s="180"/>
      <c r="N49" s="181"/>
      <c r="O49" s="182"/>
      <c r="P49" s="180"/>
      <c r="Q49" s="180"/>
      <c r="R49" s="180"/>
      <c r="S49" s="235"/>
      <c r="T49" s="236"/>
      <c r="U49" s="236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6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7"/>
      <c r="AX49" s="238"/>
      <c r="AY49" s="238"/>
      <c r="AZ49" s="238"/>
      <c r="BA49" s="238"/>
      <c r="BB49" s="238"/>
      <c r="BC49" s="239"/>
      <c r="BD49" s="240"/>
      <c r="BE49" s="238"/>
      <c r="BF49" s="238"/>
      <c r="BG49" s="238"/>
      <c r="BH49" s="238"/>
      <c r="BI49" s="238"/>
      <c r="BJ49" s="239"/>
      <c r="BK49" s="211"/>
    </row>
    <row r="50" spans="1:63" ht="15" customHeight="1" x14ac:dyDescent="0.25">
      <c r="A50" s="210"/>
      <c r="B50" s="192"/>
      <c r="C50" s="193"/>
      <c r="D50" s="193"/>
      <c r="E50" s="193"/>
      <c r="F50" s="193"/>
      <c r="G50" s="194"/>
      <c r="H50" s="192"/>
      <c r="I50" s="193"/>
      <c r="J50" s="193"/>
      <c r="K50" s="193"/>
      <c r="L50" s="193"/>
      <c r="M50" s="193"/>
      <c r="N50" s="194"/>
      <c r="O50" s="192"/>
      <c r="P50" s="193"/>
      <c r="Q50" s="193"/>
      <c r="R50" s="193"/>
      <c r="S50" s="241"/>
      <c r="T50" s="242"/>
      <c r="U50" s="242"/>
      <c r="V50" s="242"/>
      <c r="W50" s="242"/>
      <c r="X50" s="242"/>
      <c r="Y50" s="242"/>
      <c r="Z50" s="242"/>
      <c r="AA50" s="242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3"/>
      <c r="AX50" s="244"/>
      <c r="AY50" s="244"/>
      <c r="AZ50" s="244"/>
      <c r="BA50" s="244"/>
      <c r="BB50" s="244"/>
      <c r="BC50" s="245"/>
      <c r="BD50" s="246"/>
      <c r="BE50" s="244"/>
      <c r="BF50" s="244"/>
      <c r="BG50" s="244"/>
      <c r="BH50" s="244"/>
      <c r="BI50" s="244"/>
      <c r="BJ50" s="245"/>
      <c r="BK50" s="211"/>
    </row>
    <row r="51" spans="1:63" ht="15" customHeight="1" x14ac:dyDescent="0.25">
      <c r="A51" s="210"/>
      <c r="B51" s="182"/>
      <c r="C51" s="180"/>
      <c r="D51" s="180"/>
      <c r="E51" s="180"/>
      <c r="F51" s="180"/>
      <c r="G51" s="181"/>
      <c r="H51" s="182"/>
      <c r="I51" s="180"/>
      <c r="J51" s="180"/>
      <c r="K51" s="180"/>
      <c r="L51" s="180"/>
      <c r="M51" s="180"/>
      <c r="N51" s="181"/>
      <c r="O51" s="182"/>
      <c r="P51" s="180"/>
      <c r="Q51" s="180"/>
      <c r="R51" s="180"/>
      <c r="S51" s="235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7"/>
      <c r="AX51" s="238"/>
      <c r="AY51" s="238"/>
      <c r="AZ51" s="238"/>
      <c r="BA51" s="238"/>
      <c r="BB51" s="238"/>
      <c r="BC51" s="239"/>
      <c r="BD51" s="240"/>
      <c r="BE51" s="238"/>
      <c r="BF51" s="238"/>
      <c r="BG51" s="238"/>
      <c r="BH51" s="238"/>
      <c r="BI51" s="238"/>
      <c r="BJ51" s="239"/>
      <c r="BK51" s="211"/>
    </row>
    <row r="52" spans="1:63" ht="15" customHeight="1" x14ac:dyDescent="0.25">
      <c r="A52" s="210"/>
      <c r="B52" s="192"/>
      <c r="C52" s="193"/>
      <c r="D52" s="193"/>
      <c r="E52" s="193"/>
      <c r="F52" s="193"/>
      <c r="G52" s="194"/>
      <c r="H52" s="192"/>
      <c r="I52" s="193"/>
      <c r="J52" s="193"/>
      <c r="K52" s="193"/>
      <c r="L52" s="193"/>
      <c r="M52" s="193"/>
      <c r="N52" s="194"/>
      <c r="O52" s="192"/>
      <c r="P52" s="193"/>
      <c r="Q52" s="193"/>
      <c r="R52" s="193"/>
      <c r="S52" s="241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3"/>
      <c r="AX52" s="244"/>
      <c r="AY52" s="244"/>
      <c r="AZ52" s="244"/>
      <c r="BA52" s="244"/>
      <c r="BB52" s="244"/>
      <c r="BC52" s="245"/>
      <c r="BD52" s="246"/>
      <c r="BE52" s="244"/>
      <c r="BF52" s="244"/>
      <c r="BG52" s="244"/>
      <c r="BH52" s="244"/>
      <c r="BI52" s="244"/>
      <c r="BJ52" s="245"/>
      <c r="BK52" s="211"/>
    </row>
    <row r="53" spans="1:63" ht="15" customHeight="1" x14ac:dyDescent="0.25">
      <c r="A53" s="210"/>
      <c r="B53" s="182"/>
      <c r="C53" s="180"/>
      <c r="D53" s="180"/>
      <c r="E53" s="180"/>
      <c r="F53" s="180"/>
      <c r="G53" s="181"/>
      <c r="H53" s="182"/>
      <c r="I53" s="180"/>
      <c r="J53" s="180"/>
      <c r="K53" s="180"/>
      <c r="L53" s="180"/>
      <c r="M53" s="180"/>
      <c r="N53" s="181"/>
      <c r="O53" s="182"/>
      <c r="P53" s="180"/>
      <c r="Q53" s="180"/>
      <c r="R53" s="180"/>
      <c r="S53" s="235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7"/>
      <c r="AX53" s="238"/>
      <c r="AY53" s="238"/>
      <c r="AZ53" s="238"/>
      <c r="BA53" s="238"/>
      <c r="BB53" s="238"/>
      <c r="BC53" s="239"/>
      <c r="BD53" s="240"/>
      <c r="BE53" s="238"/>
      <c r="BF53" s="238"/>
      <c r="BG53" s="238"/>
      <c r="BH53" s="238"/>
      <c r="BI53" s="238"/>
      <c r="BJ53" s="239"/>
      <c r="BK53" s="211"/>
    </row>
    <row r="54" spans="1:63" ht="15" customHeight="1" x14ac:dyDescent="0.25">
      <c r="A54" s="210"/>
      <c r="B54" s="192"/>
      <c r="C54" s="193"/>
      <c r="D54" s="193"/>
      <c r="E54" s="193"/>
      <c r="F54" s="193"/>
      <c r="G54" s="194"/>
      <c r="H54" s="192"/>
      <c r="I54" s="193"/>
      <c r="J54" s="193"/>
      <c r="K54" s="193"/>
      <c r="L54" s="193"/>
      <c r="M54" s="193"/>
      <c r="N54" s="194"/>
      <c r="O54" s="192"/>
      <c r="P54" s="193"/>
      <c r="Q54" s="193"/>
      <c r="R54" s="193"/>
      <c r="S54" s="241"/>
      <c r="T54" s="242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3"/>
      <c r="AX54" s="244"/>
      <c r="AY54" s="244"/>
      <c r="AZ54" s="244"/>
      <c r="BA54" s="244"/>
      <c r="BB54" s="244"/>
      <c r="BC54" s="245"/>
      <c r="BD54" s="246"/>
      <c r="BE54" s="244"/>
      <c r="BF54" s="244"/>
      <c r="BG54" s="244"/>
      <c r="BH54" s="244"/>
      <c r="BI54" s="244"/>
      <c r="BJ54" s="245"/>
      <c r="BK54" s="211"/>
    </row>
    <row r="55" spans="1:63" ht="15" customHeight="1" x14ac:dyDescent="0.25">
      <c r="A55" s="207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  <c r="AD55" s="208"/>
      <c r="AE55" s="208"/>
      <c r="AF55" s="208"/>
      <c r="AG55" s="208"/>
      <c r="AH55" s="208"/>
      <c r="AI55" s="208"/>
      <c r="AJ55" s="208"/>
      <c r="AK55" s="208"/>
      <c r="AL55" s="208"/>
      <c r="AM55" s="208"/>
      <c r="AN55" s="208"/>
      <c r="AO55" s="208"/>
      <c r="AP55" s="208"/>
      <c r="AQ55" s="208"/>
      <c r="AR55" s="208"/>
      <c r="AS55" s="208"/>
      <c r="AT55" s="208"/>
      <c r="AU55" s="208"/>
      <c r="AV55" s="208"/>
      <c r="AW55" s="208"/>
      <c r="AX55" s="208"/>
      <c r="AY55" s="208"/>
      <c r="AZ55" s="208"/>
      <c r="BA55" s="208"/>
      <c r="BB55" s="208"/>
      <c r="BC55" s="208"/>
      <c r="BD55" s="208"/>
      <c r="BE55" s="208"/>
      <c r="BF55" s="208"/>
      <c r="BG55" s="208"/>
      <c r="BH55" s="208"/>
      <c r="BI55" s="208"/>
      <c r="BJ55" s="208"/>
      <c r="BK55" s="20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5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00FF"/>
    <pageSetUpPr fitToPage="1"/>
  </sheetPr>
  <dimension ref="A1:BK555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60" t="s">
        <v>101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102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IF(表紙!W1="","",表紙!W1)</f>
        <v>詳細設計書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173" t="s">
        <v>104</v>
      </c>
      <c r="AQ1" s="174"/>
      <c r="AR1" s="174"/>
      <c r="AS1" s="175"/>
      <c r="AT1" s="173" t="s">
        <v>105</v>
      </c>
      <c r="AU1" s="174"/>
      <c r="AV1" s="174"/>
      <c r="AW1" s="174"/>
      <c r="AX1" s="175"/>
      <c r="AY1" s="173" t="s">
        <v>106</v>
      </c>
      <c r="AZ1" s="174"/>
      <c r="BA1" s="174"/>
      <c r="BB1" s="175"/>
      <c r="BC1" s="173" t="s">
        <v>107</v>
      </c>
      <c r="BD1" s="174"/>
      <c r="BE1" s="174"/>
      <c r="BF1" s="174"/>
      <c r="BG1" s="175"/>
      <c r="BH1" s="173" t="s">
        <v>108</v>
      </c>
      <c r="BI1" s="174"/>
      <c r="BJ1" s="174"/>
      <c r="BK1" s="175"/>
    </row>
    <row r="2" spans="1:63" ht="15" customHeight="1" x14ac:dyDescent="0.25">
      <c r="A2" s="143" t="str">
        <f>IF(表紙!A2="","",表紙!A2)</f>
        <v>POSサーバー</v>
      </c>
      <c r="B2" s="144"/>
      <c r="C2" s="144"/>
      <c r="D2" s="144"/>
      <c r="E2" s="144"/>
      <c r="F2" s="144"/>
      <c r="G2" s="144"/>
      <c r="H2" s="144"/>
      <c r="I2" s="144"/>
      <c r="J2" s="145"/>
      <c r="K2" s="143" t="str">
        <f>IF(表紙!K2="","",表紙!K2)</f>
        <v>POSサーバ</v>
      </c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182" t="str">
        <f>IF(表紙!AP2="","",表紙!AP2)</f>
        <v>LoiLV</v>
      </c>
      <c r="AQ2" s="180"/>
      <c r="AR2" s="180"/>
      <c r="AS2" s="181"/>
      <c r="AT2" s="186">
        <f>IF(表紙!AT2="","",表紙!AT2)</f>
        <v>45460</v>
      </c>
      <c r="AU2" s="187"/>
      <c r="AV2" s="187"/>
      <c r="AW2" s="187"/>
      <c r="AX2" s="188"/>
      <c r="AY2" s="182" t="str">
        <f>IF(表紙!AY2="","",表紙!AY2)</f>
        <v>TuyenNH</v>
      </c>
      <c r="AZ2" s="180"/>
      <c r="BA2" s="180"/>
      <c r="BB2" s="181"/>
      <c r="BC2" s="186">
        <f>IF(表紙!BC2="","",表紙!BC2)</f>
        <v>45596</v>
      </c>
      <c r="BD2" s="187"/>
      <c r="BE2" s="187"/>
      <c r="BF2" s="187"/>
      <c r="BG2" s="188"/>
      <c r="BH2" s="182">
        <f>IF(表紙!BH2="","",表紙!BH2)</f>
        <v>0.15</v>
      </c>
      <c r="BI2" s="180"/>
      <c r="BJ2" s="180"/>
      <c r="BK2" s="181"/>
    </row>
    <row r="3" spans="1:63" ht="15" customHeight="1" x14ac:dyDescent="0.25">
      <c r="A3" s="146"/>
      <c r="B3" s="147"/>
      <c r="C3" s="147"/>
      <c r="D3" s="147"/>
      <c r="E3" s="147"/>
      <c r="F3" s="147"/>
      <c r="G3" s="147"/>
      <c r="H3" s="147"/>
      <c r="I3" s="147"/>
      <c r="J3" s="148"/>
      <c r="K3" s="146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8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192"/>
      <c r="AQ3" s="193"/>
      <c r="AR3" s="193"/>
      <c r="AS3" s="194"/>
      <c r="AT3" s="198"/>
      <c r="AU3" s="199"/>
      <c r="AV3" s="199"/>
      <c r="AW3" s="199"/>
      <c r="AX3" s="200"/>
      <c r="AY3" s="192"/>
      <c r="AZ3" s="193"/>
      <c r="BA3" s="193"/>
      <c r="BB3" s="194"/>
      <c r="BC3" s="198"/>
      <c r="BD3" s="199"/>
      <c r="BE3" s="199"/>
      <c r="BF3" s="199"/>
      <c r="BG3" s="200"/>
      <c r="BH3" s="192"/>
      <c r="BI3" s="193"/>
      <c r="BJ3" s="193"/>
      <c r="BK3" s="194"/>
    </row>
    <row r="4" spans="1:63" ht="24.95" customHeight="1" x14ac:dyDescent="0.25">
      <c r="A4" s="272" t="s">
        <v>124</v>
      </c>
      <c r="B4" s="261"/>
      <c r="C4" s="261"/>
      <c r="D4" s="261"/>
      <c r="E4" s="261"/>
      <c r="F4" s="261"/>
      <c r="G4" s="262"/>
      <c r="H4" s="138" t="str">
        <f>IF(表紙!H4="","",表紙!H4)</f>
        <v>21_ジャーナル検索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260" t="s">
        <v>111</v>
      </c>
      <c r="V4" s="261"/>
      <c r="W4" s="261"/>
      <c r="X4" s="261"/>
      <c r="Y4" s="262"/>
      <c r="Z4" s="138" t="str">
        <f>IF(表紙!Z4="","",表紙!Z4)</f>
        <v>機能設計書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2" t="str">
        <f ca="1">MID(CELL("filename",A1),FIND("]",CELL("filename",A1))+1,255)</f>
        <v>SC2101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2"/>
    </row>
    <row r="7" spans="1:63" s="274" customFormat="1" ht="15" customHeight="1" x14ac:dyDescent="0.25">
      <c r="A7" s="273" t="s">
        <v>20</v>
      </c>
      <c r="BK7" s="275"/>
    </row>
    <row r="8" spans="1:63" s="274" customFormat="1" ht="15" customHeight="1" x14ac:dyDescent="0.25">
      <c r="A8" s="273"/>
      <c r="BK8" s="275"/>
    </row>
    <row r="9" spans="1:63" s="274" customFormat="1" ht="15" customHeight="1" x14ac:dyDescent="0.25">
      <c r="A9" s="173" t="s">
        <v>125</v>
      </c>
      <c r="B9" s="174"/>
      <c r="C9" s="174"/>
      <c r="D9" s="174"/>
      <c r="E9" s="276" t="s">
        <v>40</v>
      </c>
      <c r="F9" s="276"/>
      <c r="G9" s="276"/>
      <c r="H9" s="276"/>
      <c r="I9" s="276"/>
      <c r="J9" s="276"/>
      <c r="K9" s="276"/>
      <c r="L9" s="276"/>
      <c r="M9" s="276"/>
      <c r="N9" s="276"/>
      <c r="O9" s="173" t="s">
        <v>126</v>
      </c>
      <c r="P9" s="174"/>
      <c r="Q9" s="174"/>
      <c r="R9" s="174"/>
      <c r="S9" s="174"/>
      <c r="T9" s="175"/>
      <c r="U9" s="277" t="s">
        <v>127</v>
      </c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8"/>
      <c r="BB9" s="278"/>
      <c r="BC9" s="278"/>
      <c r="BD9" s="278"/>
      <c r="BE9" s="278"/>
      <c r="BF9" s="278"/>
      <c r="BG9" s="278"/>
      <c r="BH9" s="278"/>
      <c r="BI9" s="278"/>
      <c r="BJ9" s="278"/>
      <c r="BK9" s="279"/>
    </row>
    <row r="10" spans="1:63" s="274" customFormat="1" ht="15" customHeight="1" x14ac:dyDescent="0.25">
      <c r="A10" s="280"/>
      <c r="B10" s="281"/>
      <c r="C10" s="281"/>
      <c r="D10" s="281"/>
      <c r="E10" s="282"/>
      <c r="F10" s="282"/>
      <c r="G10" s="282"/>
      <c r="H10" s="282"/>
      <c r="I10" s="282"/>
      <c r="J10" s="282"/>
      <c r="K10" s="282"/>
      <c r="L10" s="282"/>
      <c r="M10" s="282"/>
      <c r="N10" s="282"/>
      <c r="O10" s="283"/>
      <c r="P10" s="283"/>
      <c r="Q10" s="283"/>
      <c r="R10" s="283"/>
      <c r="S10" s="283"/>
      <c r="T10" s="283"/>
      <c r="U10" s="284"/>
      <c r="V10" s="284"/>
      <c r="W10" s="281"/>
      <c r="X10" s="281"/>
      <c r="Y10" s="285"/>
      <c r="Z10" s="286"/>
      <c r="AA10" s="286"/>
      <c r="AB10" s="286"/>
      <c r="AC10" s="286"/>
      <c r="AD10" s="286"/>
      <c r="AE10" s="286"/>
      <c r="AF10" s="286"/>
      <c r="AG10" s="286"/>
      <c r="AH10" s="286"/>
      <c r="AI10" s="286"/>
      <c r="AJ10" s="286"/>
      <c r="AK10" s="286"/>
      <c r="AL10" s="286"/>
      <c r="AM10" s="286"/>
      <c r="AN10" s="286"/>
      <c r="AO10" s="286"/>
      <c r="AP10" s="286"/>
      <c r="AQ10" s="286"/>
      <c r="AR10" s="286"/>
      <c r="AS10" s="286"/>
      <c r="AT10" s="286"/>
      <c r="AU10" s="286"/>
      <c r="AV10" s="286"/>
      <c r="AW10" s="286"/>
      <c r="AX10" s="286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7"/>
    </row>
    <row r="11" spans="1:63" s="274" customFormat="1" ht="15" customHeight="1" x14ac:dyDescent="0.25">
      <c r="A11" s="288" t="s">
        <v>13</v>
      </c>
      <c r="B11" s="289"/>
      <c r="C11" s="289"/>
      <c r="D11" s="289"/>
      <c r="E11" s="289"/>
      <c r="F11" s="290"/>
      <c r="G11" s="276" t="s">
        <v>41</v>
      </c>
      <c r="H11" s="276"/>
      <c r="I11" s="276"/>
      <c r="J11" s="276"/>
      <c r="K11" s="276"/>
      <c r="L11" s="276"/>
      <c r="M11" s="291" t="s">
        <v>22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292"/>
      <c r="BI11" s="292"/>
      <c r="BJ11" s="292"/>
      <c r="BK11" s="293"/>
    </row>
    <row r="12" spans="1:63" s="274" customFormat="1" ht="15" customHeight="1" x14ac:dyDescent="0.25">
      <c r="A12" s="294" t="s">
        <v>14</v>
      </c>
      <c r="B12" s="295"/>
      <c r="C12" s="295"/>
      <c r="D12" s="295"/>
      <c r="E12" s="295"/>
      <c r="F12" s="295"/>
      <c r="G12" s="295"/>
      <c r="H12" s="295"/>
      <c r="I12" s="295"/>
      <c r="J12" s="295"/>
      <c r="K12" s="295"/>
      <c r="L12" s="296"/>
      <c r="M12" s="294" t="s">
        <v>15</v>
      </c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  <c r="AD12" s="295"/>
      <c r="AE12" s="295"/>
      <c r="AF12" s="295"/>
      <c r="AG12" s="295"/>
      <c r="AH12" s="295"/>
      <c r="AI12" s="295"/>
      <c r="AJ12" s="295"/>
      <c r="AK12" s="295"/>
      <c r="AL12" s="295"/>
      <c r="AM12" s="295"/>
      <c r="AN12" s="295"/>
      <c r="AO12" s="295"/>
      <c r="AP12" s="295"/>
      <c r="AQ12" s="295"/>
      <c r="AR12" s="295"/>
      <c r="AS12" s="295"/>
      <c r="AT12" s="296"/>
      <c r="AU12" s="294" t="s">
        <v>16</v>
      </c>
      <c r="AV12" s="295"/>
      <c r="AW12" s="295"/>
      <c r="AX12" s="295"/>
      <c r="AY12" s="295"/>
      <c r="AZ12" s="295"/>
      <c r="BA12" s="295"/>
      <c r="BB12" s="295"/>
      <c r="BC12" s="295"/>
      <c r="BD12" s="295"/>
      <c r="BE12" s="295"/>
      <c r="BF12" s="294" t="s">
        <v>17</v>
      </c>
      <c r="BG12" s="295"/>
      <c r="BH12" s="295"/>
      <c r="BI12" s="295"/>
      <c r="BJ12" s="295"/>
      <c r="BK12" s="296"/>
    </row>
    <row r="13" spans="1:63" s="274" customFormat="1" ht="15" customHeight="1" x14ac:dyDescent="0.25">
      <c r="A13" s="297"/>
      <c r="B13" s="298"/>
      <c r="C13" s="298"/>
      <c r="D13" s="298"/>
      <c r="E13" s="298"/>
      <c r="F13" s="298"/>
      <c r="G13" s="298"/>
      <c r="H13" s="298"/>
      <c r="I13" s="298"/>
      <c r="J13" s="298"/>
      <c r="K13" s="298"/>
      <c r="L13" s="299"/>
      <c r="M13" s="297"/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8"/>
      <c r="AL13" s="298"/>
      <c r="AM13" s="298"/>
      <c r="AN13" s="298"/>
      <c r="AO13" s="298"/>
      <c r="AP13" s="298"/>
      <c r="AQ13" s="298"/>
      <c r="AR13" s="298"/>
      <c r="AS13" s="298"/>
      <c r="AT13" s="299"/>
      <c r="AU13" s="297"/>
      <c r="AV13" s="298"/>
      <c r="AW13" s="298"/>
      <c r="AX13" s="298"/>
      <c r="AY13" s="298"/>
      <c r="AZ13" s="298"/>
      <c r="BA13" s="298"/>
      <c r="BB13" s="298"/>
      <c r="BC13" s="298"/>
      <c r="BD13" s="298"/>
      <c r="BE13" s="298"/>
      <c r="BF13" s="297"/>
      <c r="BG13" s="298"/>
      <c r="BH13" s="298"/>
      <c r="BI13" s="298"/>
      <c r="BJ13" s="298"/>
      <c r="BK13" s="299"/>
    </row>
    <row r="14" spans="1:63" s="274" customFormat="1" ht="1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300"/>
      <c r="N14" s="300"/>
      <c r="O14" s="300"/>
      <c r="P14" s="300"/>
      <c r="Q14" s="300"/>
      <c r="R14" s="30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  <c r="AI14" s="301"/>
      <c r="AJ14" s="301"/>
      <c r="AK14" s="301"/>
      <c r="AL14" s="301"/>
      <c r="AM14" s="301"/>
      <c r="AN14" s="301"/>
      <c r="AO14" s="301"/>
      <c r="AP14" s="301"/>
      <c r="AQ14" s="301"/>
      <c r="AR14" s="301"/>
      <c r="AS14" s="301"/>
      <c r="AT14" s="301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2"/>
      <c r="BF14" s="126" t="s">
        <v>128</v>
      </c>
      <c r="BG14" s="127"/>
      <c r="BH14" s="127"/>
      <c r="BI14" s="127"/>
      <c r="BJ14" s="127"/>
      <c r="BK14" s="128"/>
    </row>
    <row r="15" spans="1:63" s="274" customFormat="1" ht="15" customHeight="1" x14ac:dyDescent="0.25">
      <c r="A15" s="24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25"/>
      <c r="M15" s="300"/>
      <c r="N15" s="58" t="s">
        <v>129</v>
      </c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300"/>
      <c r="AE15" s="300"/>
      <c r="AF15" s="300"/>
      <c r="AG15" s="300"/>
      <c r="AH15" s="300"/>
      <c r="AI15" s="300"/>
      <c r="AJ15" s="300"/>
      <c r="AK15" s="300"/>
      <c r="AL15" s="300"/>
      <c r="AM15" s="300"/>
      <c r="AN15" s="300"/>
      <c r="AO15" s="300"/>
      <c r="AP15" s="300"/>
      <c r="AQ15" s="300"/>
      <c r="AR15" s="300"/>
      <c r="AS15" s="300"/>
      <c r="AT15" s="300"/>
      <c r="AU15" s="24"/>
      <c r="AV15" s="42"/>
      <c r="AW15" s="42"/>
      <c r="AX15" s="42"/>
      <c r="AY15" s="42"/>
      <c r="AZ15" s="42"/>
      <c r="BA15" s="42"/>
      <c r="BB15" s="42"/>
      <c r="BC15" s="42"/>
      <c r="BD15" s="42"/>
      <c r="BE15" s="25"/>
      <c r="BF15" s="129"/>
      <c r="BG15" s="130"/>
      <c r="BH15" s="130"/>
      <c r="BI15" s="130"/>
      <c r="BJ15" s="130"/>
      <c r="BK15" s="131"/>
    </row>
    <row r="16" spans="1:63" s="274" customFormat="1" ht="15" customHeight="1" x14ac:dyDescent="0.25">
      <c r="A16" s="24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25"/>
      <c r="M16" s="302"/>
      <c r="N16" s="300"/>
      <c r="O16" s="303" t="s">
        <v>42</v>
      </c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3"/>
      <c r="AI16" s="303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  <c r="AU16" s="24"/>
      <c r="AV16" s="42"/>
      <c r="AW16" s="42"/>
      <c r="AX16" s="42"/>
      <c r="AY16" s="42"/>
      <c r="AZ16" s="42"/>
      <c r="BA16" s="42"/>
      <c r="BB16" s="42"/>
      <c r="BC16" s="42"/>
      <c r="BD16" s="42"/>
      <c r="BE16" s="25"/>
      <c r="BF16" s="129"/>
      <c r="BG16" s="130"/>
      <c r="BH16" s="130"/>
      <c r="BI16" s="130"/>
      <c r="BJ16" s="130"/>
      <c r="BK16" s="131"/>
    </row>
    <row r="17" spans="1:63" s="274" customFormat="1" ht="15" customHeight="1" x14ac:dyDescent="0.25">
      <c r="A17" s="24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25"/>
      <c r="M17" s="300"/>
      <c r="N17" s="59" t="s">
        <v>130</v>
      </c>
      <c r="O17" s="303"/>
      <c r="P17" s="303"/>
      <c r="Q17" s="303"/>
      <c r="R17" s="303"/>
      <c r="S17" s="303"/>
      <c r="T17" s="303"/>
      <c r="U17" s="303"/>
      <c r="V17" s="303"/>
      <c r="W17" s="303"/>
      <c r="X17" s="303"/>
      <c r="Y17" s="303"/>
      <c r="Z17" s="303"/>
      <c r="AA17" s="303"/>
      <c r="AB17" s="303"/>
      <c r="AC17" s="303"/>
      <c r="AD17" s="303"/>
      <c r="AE17" s="303"/>
      <c r="AF17" s="303"/>
      <c r="AG17" s="303"/>
      <c r="AH17" s="303"/>
      <c r="AI17" s="303"/>
      <c r="AJ17" s="300"/>
      <c r="AK17" s="300"/>
      <c r="AL17" s="300"/>
      <c r="AM17" s="300"/>
      <c r="AN17" s="300"/>
      <c r="AO17" s="300"/>
      <c r="AP17" s="300"/>
      <c r="AQ17" s="300"/>
      <c r="AR17" s="300"/>
      <c r="AS17" s="300"/>
      <c r="AT17" s="300"/>
      <c r="AU17" s="24"/>
      <c r="AV17" s="42"/>
      <c r="AW17" s="42"/>
      <c r="AX17" s="42"/>
      <c r="AY17" s="42"/>
      <c r="AZ17" s="42"/>
      <c r="BA17" s="42"/>
      <c r="BB17" s="42"/>
      <c r="BC17" s="42"/>
      <c r="BD17" s="42"/>
      <c r="BE17" s="25"/>
      <c r="BF17" s="129"/>
      <c r="BG17" s="130"/>
      <c r="BH17" s="130"/>
      <c r="BI17" s="130"/>
      <c r="BJ17" s="130"/>
      <c r="BK17" s="131"/>
    </row>
    <row r="18" spans="1:63" s="274" customFormat="1" ht="15" customHeight="1" x14ac:dyDescent="0.25">
      <c r="A18" s="24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25"/>
      <c r="M18" s="300"/>
      <c r="N18" s="300"/>
      <c r="O18" s="58" t="s">
        <v>43</v>
      </c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0"/>
      <c r="AU18" s="24"/>
      <c r="AV18" s="42"/>
      <c r="AW18" s="42"/>
      <c r="AX18" s="42"/>
      <c r="AY18" s="42"/>
      <c r="AZ18" s="42"/>
      <c r="BA18" s="42"/>
      <c r="BB18" s="42"/>
      <c r="BC18" s="42"/>
      <c r="BD18" s="42"/>
      <c r="BE18" s="25"/>
      <c r="BF18" s="129"/>
      <c r="BG18" s="130"/>
      <c r="BH18" s="130"/>
      <c r="BI18" s="130"/>
      <c r="BJ18" s="130"/>
      <c r="BK18" s="131"/>
    </row>
    <row r="19" spans="1:63" s="274" customFormat="1" ht="15" customHeight="1" x14ac:dyDescent="0.25">
      <c r="A19" s="24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25"/>
      <c r="M19" s="300"/>
      <c r="N19" s="300"/>
      <c r="O19" s="303"/>
      <c r="P19" s="303" t="s">
        <v>86</v>
      </c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0"/>
      <c r="AU19" s="24"/>
      <c r="AV19" s="42"/>
      <c r="AW19" s="42"/>
      <c r="AX19" s="42"/>
      <c r="AY19" s="42"/>
      <c r="AZ19" s="42"/>
      <c r="BA19" s="42"/>
      <c r="BB19" s="42"/>
      <c r="BC19" s="42"/>
      <c r="BD19" s="42"/>
      <c r="BE19" s="25"/>
      <c r="BF19" s="129"/>
      <c r="BG19" s="130"/>
      <c r="BH19" s="130"/>
      <c r="BI19" s="130"/>
      <c r="BJ19" s="130"/>
      <c r="BK19" s="131"/>
    </row>
    <row r="20" spans="1:63" s="274" customFormat="1" ht="15" customHeight="1" x14ac:dyDescent="0.25">
      <c r="A20" s="24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25"/>
      <c r="M20" s="300"/>
      <c r="N20" s="300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0"/>
      <c r="AU20" s="24"/>
      <c r="AV20" s="42"/>
      <c r="AW20" s="42"/>
      <c r="AX20" s="42"/>
      <c r="AY20" s="42"/>
      <c r="AZ20" s="42"/>
      <c r="BA20" s="42"/>
      <c r="BB20" s="42"/>
      <c r="BC20" s="42"/>
      <c r="BD20" s="42"/>
      <c r="BE20" s="25"/>
      <c r="BF20" s="129"/>
      <c r="BG20" s="130"/>
      <c r="BH20" s="130"/>
      <c r="BI20" s="130"/>
      <c r="BJ20" s="130"/>
      <c r="BK20" s="131"/>
    </row>
    <row r="21" spans="1:63" s="274" customFormat="1" ht="15" customHeight="1" x14ac:dyDescent="0.25">
      <c r="A21" s="24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25"/>
      <c r="M21" s="300"/>
      <c r="N21" s="300"/>
      <c r="O21" s="303"/>
      <c r="P21" s="53" t="s">
        <v>23</v>
      </c>
      <c r="Q21" s="54"/>
      <c r="R21" s="54"/>
      <c r="S21" s="54"/>
      <c r="T21" s="54"/>
      <c r="U21" s="54"/>
      <c r="V21" s="54"/>
      <c r="W21" s="53" t="s">
        <v>24</v>
      </c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5"/>
      <c r="AN21" s="303"/>
      <c r="AO21" s="303"/>
      <c r="AP21" s="303"/>
      <c r="AQ21" s="303"/>
      <c r="AR21" s="303"/>
      <c r="AS21" s="303"/>
      <c r="AT21" s="300"/>
      <c r="AU21" s="24"/>
      <c r="AV21" s="42"/>
      <c r="AW21" s="42"/>
      <c r="AX21" s="42"/>
      <c r="AY21" s="42"/>
      <c r="AZ21" s="42"/>
      <c r="BA21" s="42"/>
      <c r="BB21" s="42"/>
      <c r="BC21" s="42"/>
      <c r="BD21" s="42"/>
      <c r="BE21" s="25"/>
      <c r="BF21" s="129"/>
      <c r="BG21" s="130"/>
      <c r="BH21" s="130"/>
      <c r="BI21" s="130"/>
      <c r="BJ21" s="130"/>
      <c r="BK21" s="131"/>
    </row>
    <row r="22" spans="1:63" s="274" customFormat="1" ht="15" customHeight="1" x14ac:dyDescent="0.25">
      <c r="A22" s="24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25"/>
      <c r="M22" s="300"/>
      <c r="N22" s="300"/>
      <c r="O22" s="303"/>
      <c r="P22" s="304"/>
      <c r="Q22" s="305"/>
      <c r="R22" s="305"/>
      <c r="S22" s="305"/>
      <c r="T22" s="305"/>
      <c r="U22" s="305"/>
      <c r="V22" s="305"/>
      <c r="W22" s="306"/>
      <c r="X22" s="307"/>
      <c r="Y22" s="307"/>
      <c r="Z22" s="307"/>
      <c r="AA22" s="307"/>
      <c r="AB22" s="307"/>
      <c r="AC22" s="307"/>
      <c r="AD22" s="307"/>
      <c r="AE22" s="307"/>
      <c r="AF22" s="307"/>
      <c r="AG22" s="307"/>
      <c r="AH22" s="307"/>
      <c r="AI22" s="307"/>
      <c r="AJ22" s="307"/>
      <c r="AK22" s="307"/>
      <c r="AL22" s="307"/>
      <c r="AM22" s="308"/>
      <c r="AN22" s="303"/>
      <c r="AO22" s="303"/>
      <c r="AP22" s="303"/>
      <c r="AQ22" s="303"/>
      <c r="AR22" s="303"/>
      <c r="AS22" s="303"/>
      <c r="AT22" s="300"/>
      <c r="AU22" s="24"/>
      <c r="AV22" s="42"/>
      <c r="AW22" s="42"/>
      <c r="AX22" s="42"/>
      <c r="AY22" s="42"/>
      <c r="AZ22" s="42"/>
      <c r="BA22" s="42"/>
      <c r="BB22" s="42"/>
      <c r="BC22" s="42"/>
      <c r="BD22" s="42"/>
      <c r="BE22" s="25"/>
      <c r="BF22" s="129"/>
      <c r="BG22" s="130"/>
      <c r="BH22" s="130"/>
      <c r="BI22" s="130"/>
      <c r="BJ22" s="130"/>
      <c r="BK22" s="131"/>
    </row>
    <row r="23" spans="1:63" s="274" customFormat="1" ht="15" customHeight="1" x14ac:dyDescent="0.25">
      <c r="A23" s="24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25"/>
      <c r="M23" s="300"/>
      <c r="N23" s="300"/>
      <c r="O23" s="303"/>
      <c r="P23" s="303"/>
      <c r="Q23" s="303"/>
      <c r="R23" s="303"/>
      <c r="S23" s="303"/>
      <c r="T23" s="303"/>
      <c r="U23" s="303"/>
      <c r="V23" s="303"/>
      <c r="W23" s="303"/>
      <c r="X23" s="303"/>
      <c r="Y23" s="303"/>
      <c r="Z23" s="303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0"/>
      <c r="AU23" s="24"/>
      <c r="AV23" s="42"/>
      <c r="AW23" s="42"/>
      <c r="AX23" s="42"/>
      <c r="AY23" s="42"/>
      <c r="AZ23" s="42"/>
      <c r="BA23" s="42"/>
      <c r="BB23" s="42"/>
      <c r="BC23" s="42"/>
      <c r="BD23" s="42"/>
      <c r="BE23" s="25"/>
      <c r="BF23" s="129"/>
      <c r="BG23" s="130"/>
      <c r="BH23" s="130"/>
      <c r="BI23" s="130"/>
      <c r="BJ23" s="130"/>
      <c r="BK23" s="131"/>
    </row>
    <row r="24" spans="1:63" s="274" customFormat="1" ht="15" customHeight="1" x14ac:dyDescent="0.25">
      <c r="A24" s="24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25"/>
      <c r="M24" s="300"/>
      <c r="N24" s="300"/>
      <c r="O24" s="303"/>
      <c r="P24" s="300" t="s">
        <v>45</v>
      </c>
      <c r="Q24" s="303"/>
      <c r="R24" s="303"/>
      <c r="S24" s="303"/>
      <c r="T24" s="303"/>
      <c r="U24" s="303"/>
      <c r="V24" s="303"/>
      <c r="W24" s="303"/>
      <c r="X24" s="303"/>
      <c r="Y24" s="303"/>
      <c r="Z24" s="303"/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0"/>
      <c r="AL24" s="300"/>
      <c r="AM24" s="300"/>
      <c r="AN24" s="300"/>
      <c r="AO24" s="303"/>
      <c r="AP24" s="303"/>
      <c r="AQ24" s="303"/>
      <c r="AR24" s="303"/>
      <c r="AS24" s="303"/>
      <c r="AT24" s="300"/>
      <c r="AU24" s="24"/>
      <c r="AV24" s="42"/>
      <c r="AW24" s="42"/>
      <c r="AX24" s="42"/>
      <c r="AY24" s="42"/>
      <c r="AZ24" s="42"/>
      <c r="BA24" s="42"/>
      <c r="BB24" s="42"/>
      <c r="BC24" s="42"/>
      <c r="BD24" s="42"/>
      <c r="BE24" s="25"/>
      <c r="BF24" s="129"/>
      <c r="BG24" s="130"/>
      <c r="BH24" s="130"/>
      <c r="BI24" s="130"/>
      <c r="BJ24" s="130"/>
      <c r="BK24" s="131"/>
    </row>
    <row r="25" spans="1:63" s="274" customFormat="1" ht="15" customHeight="1" x14ac:dyDescent="0.25">
      <c r="A25" s="24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25"/>
      <c r="M25" s="300"/>
      <c r="N25" s="300"/>
      <c r="O25" s="303"/>
      <c r="P25" s="303" t="s">
        <v>27</v>
      </c>
      <c r="Q25" s="300"/>
      <c r="R25" s="300"/>
      <c r="S25" s="300"/>
      <c r="T25" s="300"/>
      <c r="U25" s="300"/>
      <c r="V25" s="303"/>
      <c r="W25" s="303"/>
      <c r="X25" s="303"/>
      <c r="Y25" s="303"/>
      <c r="Z25" s="303"/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0"/>
      <c r="AL25" s="300"/>
      <c r="AM25" s="300"/>
      <c r="AN25" s="300"/>
      <c r="AO25" s="303"/>
      <c r="AP25" s="303"/>
      <c r="AQ25" s="303"/>
      <c r="AR25" s="303"/>
      <c r="AS25" s="303"/>
      <c r="AT25" s="300"/>
      <c r="AU25" s="24"/>
      <c r="AV25" s="42"/>
      <c r="AW25" s="42"/>
      <c r="AX25" s="42"/>
      <c r="AY25" s="42"/>
      <c r="AZ25" s="42"/>
      <c r="BA25" s="42"/>
      <c r="BB25" s="42"/>
      <c r="BC25" s="42"/>
      <c r="BD25" s="42"/>
      <c r="BE25" s="25"/>
      <c r="BF25" s="129"/>
      <c r="BG25" s="130"/>
      <c r="BH25" s="130"/>
      <c r="BI25" s="130"/>
      <c r="BJ25" s="130"/>
      <c r="BK25" s="131"/>
    </row>
    <row r="26" spans="1:63" s="274" customFormat="1" ht="15" customHeight="1" x14ac:dyDescent="0.25">
      <c r="A26" s="24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25"/>
      <c r="M26" s="300"/>
      <c r="N26" s="300"/>
      <c r="O26" s="303"/>
      <c r="P26" s="300"/>
      <c r="Q26" s="53" t="s">
        <v>28</v>
      </c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5"/>
      <c r="AN26" s="300"/>
      <c r="AO26" s="303"/>
      <c r="AP26" s="303"/>
      <c r="AQ26" s="303"/>
      <c r="AR26" s="303"/>
      <c r="AS26" s="303"/>
      <c r="AT26" s="300"/>
      <c r="AU26" s="24"/>
      <c r="AV26" s="42"/>
      <c r="AW26" s="42"/>
      <c r="AX26" s="42"/>
      <c r="AY26" s="42"/>
      <c r="AZ26" s="42"/>
      <c r="BA26" s="42"/>
      <c r="BB26" s="42"/>
      <c r="BC26" s="42"/>
      <c r="BD26" s="42"/>
      <c r="BE26" s="25"/>
      <c r="BF26" s="129"/>
      <c r="BG26" s="130"/>
      <c r="BH26" s="130"/>
      <c r="BI26" s="130"/>
      <c r="BJ26" s="130"/>
      <c r="BK26" s="131"/>
    </row>
    <row r="27" spans="1:63" s="274" customFormat="1" ht="15" customHeight="1" x14ac:dyDescent="0.25">
      <c r="A27" s="24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25"/>
      <c r="M27" s="300"/>
      <c r="N27" s="300"/>
      <c r="O27" s="303"/>
      <c r="P27" s="300"/>
      <c r="Q27" s="309" t="s">
        <v>32</v>
      </c>
      <c r="R27" s="301"/>
      <c r="S27" s="301"/>
      <c r="T27" s="301"/>
      <c r="U27" s="301"/>
      <c r="V27" s="310"/>
      <c r="W27" s="301"/>
      <c r="X27" s="301"/>
      <c r="Y27" s="301"/>
      <c r="Z27" s="301"/>
      <c r="AA27" s="301"/>
      <c r="AB27" s="309" t="s">
        <v>30</v>
      </c>
      <c r="AC27" s="301"/>
      <c r="AD27" s="301"/>
      <c r="AE27" s="301"/>
      <c r="AF27" s="301"/>
      <c r="AG27" s="301"/>
      <c r="AH27" s="301"/>
      <c r="AI27" s="301"/>
      <c r="AJ27" s="301"/>
      <c r="AK27" s="301"/>
      <c r="AL27" s="301"/>
      <c r="AM27" s="311"/>
      <c r="AN27" s="300"/>
      <c r="AO27" s="303"/>
      <c r="AP27" s="303"/>
      <c r="AQ27" s="303"/>
      <c r="AR27" s="303"/>
      <c r="AS27" s="303"/>
      <c r="AT27" s="300"/>
      <c r="AU27" s="24"/>
      <c r="AV27" s="42"/>
      <c r="AW27" s="42"/>
      <c r="AX27" s="42"/>
      <c r="AY27" s="42"/>
      <c r="AZ27" s="42"/>
      <c r="BA27" s="42"/>
      <c r="BB27" s="42"/>
      <c r="BC27" s="42"/>
      <c r="BD27" s="42"/>
      <c r="BE27" s="25"/>
      <c r="BF27" s="129"/>
      <c r="BG27" s="130"/>
      <c r="BH27" s="130"/>
      <c r="BI27" s="130"/>
      <c r="BJ27" s="130"/>
      <c r="BK27" s="131"/>
    </row>
    <row r="28" spans="1:63" s="274" customFormat="1" ht="15" customHeight="1" x14ac:dyDescent="0.25">
      <c r="A28" s="24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25"/>
      <c r="M28" s="300"/>
      <c r="N28" s="300"/>
      <c r="O28" s="303"/>
      <c r="P28" s="300"/>
      <c r="Q28" s="309" t="s">
        <v>33</v>
      </c>
      <c r="R28" s="301"/>
      <c r="S28" s="301"/>
      <c r="T28" s="301"/>
      <c r="U28" s="301"/>
      <c r="V28" s="312"/>
      <c r="W28" s="301"/>
      <c r="X28" s="301"/>
      <c r="Y28" s="301"/>
      <c r="Z28" s="301"/>
      <c r="AA28" s="301"/>
      <c r="AB28" s="313" t="s">
        <v>31</v>
      </c>
      <c r="AC28" s="301"/>
      <c r="AD28" s="301"/>
      <c r="AE28" s="301"/>
      <c r="AF28" s="301"/>
      <c r="AG28" s="301"/>
      <c r="AH28" s="301"/>
      <c r="AI28" s="301"/>
      <c r="AJ28" s="301"/>
      <c r="AK28" s="301"/>
      <c r="AL28" s="301"/>
      <c r="AM28" s="311"/>
      <c r="AN28" s="300"/>
      <c r="AO28" s="303"/>
      <c r="AP28" s="303"/>
      <c r="AQ28" s="303"/>
      <c r="AR28" s="303"/>
      <c r="AS28" s="303"/>
      <c r="AT28" s="300"/>
      <c r="AU28" s="24"/>
      <c r="AV28" s="42"/>
      <c r="AW28" s="42"/>
      <c r="AX28" s="42"/>
      <c r="AY28" s="42"/>
      <c r="AZ28" s="42"/>
      <c r="BA28" s="42"/>
      <c r="BB28" s="42"/>
      <c r="BC28" s="42"/>
      <c r="BD28" s="42"/>
      <c r="BE28" s="25"/>
      <c r="BF28" s="129"/>
      <c r="BG28" s="130"/>
      <c r="BH28" s="130"/>
      <c r="BI28" s="130"/>
      <c r="BJ28" s="130"/>
      <c r="BK28" s="131"/>
    </row>
    <row r="29" spans="1:63" s="274" customFormat="1" ht="15" customHeight="1" x14ac:dyDescent="0.25">
      <c r="A29" s="24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25"/>
      <c r="M29" s="300"/>
      <c r="N29" s="300"/>
      <c r="O29" s="303"/>
      <c r="P29" s="300"/>
      <c r="Q29" s="314" t="s">
        <v>34</v>
      </c>
      <c r="R29" s="291"/>
      <c r="S29" s="291"/>
      <c r="T29" s="291"/>
      <c r="U29" s="291"/>
      <c r="V29" s="315"/>
      <c r="W29" s="291"/>
      <c r="X29" s="291"/>
      <c r="Y29" s="291"/>
      <c r="Z29" s="291"/>
      <c r="AA29" s="291"/>
      <c r="AB29" s="316" t="s">
        <v>46</v>
      </c>
      <c r="AC29" s="291"/>
      <c r="AD29" s="291"/>
      <c r="AE29" s="291"/>
      <c r="AF29" s="291"/>
      <c r="AG29" s="291"/>
      <c r="AH29" s="291"/>
      <c r="AI29" s="291"/>
      <c r="AJ29" s="291"/>
      <c r="AK29" s="291"/>
      <c r="AL29" s="291"/>
      <c r="AM29" s="317"/>
      <c r="AN29" s="300"/>
      <c r="AO29" s="303"/>
      <c r="AP29" s="303"/>
      <c r="AQ29" s="303"/>
      <c r="AR29" s="303"/>
      <c r="AS29" s="303"/>
      <c r="AT29" s="300"/>
      <c r="AU29" s="24"/>
      <c r="AV29" s="42"/>
      <c r="AW29" s="42"/>
      <c r="AX29" s="42"/>
      <c r="AY29" s="42"/>
      <c r="AZ29" s="42"/>
      <c r="BA29" s="42"/>
      <c r="BB29" s="42"/>
      <c r="BC29" s="42"/>
      <c r="BD29" s="42"/>
      <c r="BE29" s="25"/>
      <c r="BF29" s="129"/>
      <c r="BG29" s="130"/>
      <c r="BH29" s="130"/>
      <c r="BI29" s="130"/>
      <c r="BJ29" s="130"/>
      <c r="BK29" s="131"/>
    </row>
    <row r="30" spans="1:63" s="274" customFormat="1" ht="15" customHeight="1" x14ac:dyDescent="0.25">
      <c r="A30" s="24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25"/>
      <c r="M30" s="300"/>
      <c r="N30" s="300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0"/>
      <c r="AU30" s="24"/>
      <c r="AV30" s="42"/>
      <c r="AW30" s="42"/>
      <c r="AX30" s="42"/>
      <c r="AY30" s="42"/>
      <c r="AZ30" s="42"/>
      <c r="BA30" s="42"/>
      <c r="BB30" s="42"/>
      <c r="BC30" s="42"/>
      <c r="BD30" s="42"/>
      <c r="BE30" s="25"/>
      <c r="BF30" s="129"/>
      <c r="BG30" s="130"/>
      <c r="BH30" s="130"/>
      <c r="BI30" s="130"/>
      <c r="BJ30" s="130"/>
      <c r="BK30" s="131"/>
    </row>
    <row r="31" spans="1:63" s="274" customFormat="1" ht="15" customHeight="1" x14ac:dyDescent="0.25">
      <c r="A31" s="24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25"/>
      <c r="M31" s="300"/>
      <c r="N31" s="300"/>
      <c r="O31" s="303"/>
      <c r="P31" s="303"/>
      <c r="Q31" s="300" t="s">
        <v>87</v>
      </c>
      <c r="R31" s="303"/>
      <c r="S31" s="303"/>
      <c r="T31" s="303"/>
      <c r="U31" s="303"/>
      <c r="V31" s="303"/>
      <c r="W31" s="303"/>
      <c r="X31" s="303"/>
      <c r="Y31" s="303"/>
      <c r="Z31" s="303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0"/>
      <c r="AU31" s="24"/>
      <c r="AV31" s="42"/>
      <c r="AW31" s="42"/>
      <c r="AX31" s="42"/>
      <c r="AY31" s="42"/>
      <c r="AZ31" s="42"/>
      <c r="BA31" s="42"/>
      <c r="BB31" s="42"/>
      <c r="BC31" s="42"/>
      <c r="BD31" s="42"/>
      <c r="BE31" s="25"/>
      <c r="BF31" s="129"/>
      <c r="BG31" s="130"/>
      <c r="BH31" s="130"/>
      <c r="BI31" s="130"/>
      <c r="BJ31" s="130"/>
      <c r="BK31" s="131"/>
    </row>
    <row r="32" spans="1:63" s="274" customFormat="1" ht="15" customHeight="1" x14ac:dyDescent="0.25">
      <c r="A32" s="24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25"/>
      <c r="M32" s="300"/>
      <c r="N32" s="300"/>
      <c r="O32" s="303"/>
      <c r="P32" s="303"/>
      <c r="Q32" s="303"/>
      <c r="R32" s="303"/>
      <c r="S32" s="303"/>
      <c r="T32" s="303"/>
      <c r="U32" s="303"/>
      <c r="V32" s="303"/>
      <c r="W32" s="303"/>
      <c r="X32" s="303"/>
      <c r="Y32" s="303"/>
      <c r="Z32" s="303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0"/>
      <c r="AU32" s="24"/>
      <c r="AV32" s="42"/>
      <c r="AW32" s="42"/>
      <c r="AX32" s="42"/>
      <c r="AY32" s="42"/>
      <c r="AZ32" s="42"/>
      <c r="BA32" s="42"/>
      <c r="BB32" s="42"/>
      <c r="BC32" s="42"/>
      <c r="BD32" s="42"/>
      <c r="BE32" s="25"/>
      <c r="BF32" s="129"/>
      <c r="BG32" s="130"/>
      <c r="BH32" s="130"/>
      <c r="BI32" s="130"/>
      <c r="BJ32" s="130"/>
      <c r="BK32" s="131"/>
    </row>
    <row r="33" spans="1:63" s="274" customFormat="1" ht="15" customHeight="1" x14ac:dyDescent="0.25">
      <c r="A33" s="24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25"/>
      <c r="M33" s="300"/>
      <c r="N33" s="300"/>
      <c r="O33" s="303"/>
      <c r="P33" s="303"/>
      <c r="Q33" s="318" t="s">
        <v>47</v>
      </c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  <c r="AN33" s="318"/>
      <c r="AO33" s="318"/>
      <c r="AP33" s="318"/>
      <c r="AQ33" s="318"/>
      <c r="AR33" s="318"/>
      <c r="AS33" s="318"/>
      <c r="AT33" s="300"/>
      <c r="AU33" s="24"/>
      <c r="AV33" s="42"/>
      <c r="AW33" s="42"/>
      <c r="AX33" s="42"/>
      <c r="AY33" s="42"/>
      <c r="AZ33" s="42"/>
      <c r="BA33" s="42"/>
      <c r="BB33" s="42"/>
      <c r="BC33" s="42"/>
      <c r="BD33" s="42"/>
      <c r="BE33" s="25"/>
      <c r="BF33" s="129"/>
      <c r="BG33" s="130"/>
      <c r="BH33" s="130"/>
      <c r="BI33" s="130"/>
      <c r="BJ33" s="130"/>
      <c r="BK33" s="131"/>
    </row>
    <row r="34" spans="1:63" s="274" customFormat="1" x14ac:dyDescent="0.25">
      <c r="A34" s="24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25"/>
      <c r="M34" s="300"/>
      <c r="N34" s="300"/>
      <c r="O34" s="303"/>
      <c r="P34" s="303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  <c r="AN34" s="318"/>
      <c r="AO34" s="318"/>
      <c r="AP34" s="318"/>
      <c r="AQ34" s="318"/>
      <c r="AR34" s="318"/>
      <c r="AS34" s="318"/>
      <c r="AT34" s="300"/>
      <c r="AU34" s="24"/>
      <c r="AV34" s="42"/>
      <c r="AW34" s="42"/>
      <c r="AX34" s="42"/>
      <c r="AY34" s="42"/>
      <c r="AZ34" s="42"/>
      <c r="BA34" s="42"/>
      <c r="BB34" s="42"/>
      <c r="BC34" s="42"/>
      <c r="BD34" s="42"/>
      <c r="BE34" s="25"/>
      <c r="BF34" s="129"/>
      <c r="BG34" s="130"/>
      <c r="BH34" s="130"/>
      <c r="BI34" s="130"/>
      <c r="BJ34" s="130"/>
      <c r="BK34" s="131"/>
    </row>
    <row r="35" spans="1:63" s="274" customFormat="1" ht="15" customHeight="1" x14ac:dyDescent="0.25">
      <c r="A35" s="24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25"/>
      <c r="M35" s="300"/>
      <c r="N35" s="300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Y35" s="303"/>
      <c r="Z35" s="303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0"/>
      <c r="AU35" s="24"/>
      <c r="AV35" s="42"/>
      <c r="AW35" s="42"/>
      <c r="AX35" s="42"/>
      <c r="AY35" s="42"/>
      <c r="AZ35" s="42"/>
      <c r="BA35" s="42"/>
      <c r="BB35" s="42"/>
      <c r="BC35" s="42"/>
      <c r="BD35" s="42"/>
      <c r="BE35" s="25"/>
      <c r="BF35" s="129"/>
      <c r="BG35" s="130"/>
      <c r="BH35" s="130"/>
      <c r="BI35" s="130"/>
      <c r="BJ35" s="130"/>
      <c r="BK35" s="131"/>
    </row>
    <row r="36" spans="1:63" s="274" customFormat="1" ht="15" customHeight="1" x14ac:dyDescent="0.25">
      <c r="A36" s="24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25"/>
      <c r="M36" s="300"/>
      <c r="N36" s="300"/>
      <c r="O36" s="303"/>
      <c r="P36" s="303"/>
      <c r="Q36" s="303"/>
      <c r="R36" s="303"/>
      <c r="S36" s="303"/>
      <c r="T36" s="303"/>
      <c r="U36" s="303"/>
      <c r="V36" s="303"/>
      <c r="W36" s="303"/>
      <c r="X36" s="303"/>
      <c r="Y36" s="303"/>
      <c r="Z36" s="303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0"/>
      <c r="AU36" s="24"/>
      <c r="AV36" s="42"/>
      <c r="AW36" s="42"/>
      <c r="AX36" s="42"/>
      <c r="AY36" s="42"/>
      <c r="AZ36" s="42"/>
      <c r="BA36" s="42"/>
      <c r="BB36" s="42"/>
      <c r="BC36" s="42"/>
      <c r="BD36" s="42"/>
      <c r="BE36" s="25"/>
      <c r="BF36" s="129"/>
      <c r="BG36" s="130"/>
      <c r="BH36" s="130"/>
      <c r="BI36" s="130"/>
      <c r="BJ36" s="130"/>
      <c r="BK36" s="131"/>
    </row>
    <row r="37" spans="1:63" s="274" customFormat="1" ht="15" customHeight="1" x14ac:dyDescent="0.25">
      <c r="A37" s="24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25"/>
      <c r="M37" s="300"/>
      <c r="N37" s="300"/>
      <c r="O37" s="303"/>
      <c r="P37" s="300" t="s">
        <v>29</v>
      </c>
      <c r="Q37" s="319"/>
      <c r="R37" s="303"/>
      <c r="S37" s="303"/>
      <c r="T37" s="303"/>
      <c r="U37" s="303"/>
      <c r="V37" s="303"/>
      <c r="W37" s="303"/>
      <c r="X37" s="303"/>
      <c r="Y37" s="303"/>
      <c r="Z37" s="303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0"/>
      <c r="AU37" s="24"/>
      <c r="AV37" s="42"/>
      <c r="AW37" s="42"/>
      <c r="AX37" s="42"/>
      <c r="AY37" s="42"/>
      <c r="AZ37" s="42"/>
      <c r="BA37" s="42"/>
      <c r="BB37" s="42"/>
      <c r="BC37" s="42"/>
      <c r="BD37" s="42"/>
      <c r="BE37" s="25"/>
      <c r="BF37" s="129"/>
      <c r="BG37" s="130"/>
      <c r="BH37" s="130"/>
      <c r="BI37" s="130"/>
      <c r="BJ37" s="130"/>
      <c r="BK37" s="131"/>
    </row>
    <row r="38" spans="1:63" s="274" customFormat="1" ht="15" customHeight="1" x14ac:dyDescent="0.25">
      <c r="A38" s="24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25"/>
      <c r="M38" s="300"/>
      <c r="N38" s="300"/>
      <c r="O38" s="303"/>
      <c r="P38" s="300"/>
      <c r="Q38" s="303" t="s">
        <v>74</v>
      </c>
      <c r="R38" s="303"/>
      <c r="S38" s="303"/>
      <c r="T38" s="303"/>
      <c r="U38" s="303"/>
      <c r="V38" s="303"/>
      <c r="W38" s="303"/>
      <c r="X38" s="303"/>
      <c r="Y38" s="303"/>
      <c r="Z38" s="303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0"/>
      <c r="AU38" s="24"/>
      <c r="AV38" s="42"/>
      <c r="AW38" s="42"/>
      <c r="AX38" s="42"/>
      <c r="AY38" s="42"/>
      <c r="AZ38" s="42"/>
      <c r="BA38" s="42"/>
      <c r="BB38" s="42"/>
      <c r="BC38" s="42"/>
      <c r="BD38" s="42"/>
      <c r="BE38" s="25"/>
      <c r="BF38" s="129"/>
      <c r="BG38" s="130"/>
      <c r="BH38" s="130"/>
      <c r="BI38" s="130"/>
      <c r="BJ38" s="130"/>
      <c r="BK38" s="131"/>
    </row>
    <row r="39" spans="1:63" s="274" customFormat="1" ht="15" customHeight="1" x14ac:dyDescent="0.25">
      <c r="A39" s="24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25"/>
      <c r="M39" s="300"/>
      <c r="N39" s="300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3"/>
      <c r="Z39" s="303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0"/>
      <c r="AU39" s="24"/>
      <c r="AV39" s="42"/>
      <c r="AW39" s="42"/>
      <c r="AX39" s="42"/>
      <c r="AY39" s="42"/>
      <c r="AZ39" s="42"/>
      <c r="BA39" s="42"/>
      <c r="BB39" s="42"/>
      <c r="BC39" s="42"/>
      <c r="BD39" s="42"/>
      <c r="BE39" s="25"/>
      <c r="BF39" s="129"/>
      <c r="BG39" s="130"/>
      <c r="BH39" s="130"/>
      <c r="BI39" s="130"/>
      <c r="BJ39" s="130"/>
      <c r="BK39" s="131"/>
    </row>
    <row r="40" spans="1:63" s="274" customFormat="1" ht="15" customHeight="1" x14ac:dyDescent="0.25">
      <c r="A40" s="24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25"/>
      <c r="M40" s="300"/>
      <c r="N40" s="300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Y40" s="303"/>
      <c r="Z40" s="303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0"/>
      <c r="AU40" s="24"/>
      <c r="AV40" s="42"/>
      <c r="AW40" s="42"/>
      <c r="AX40" s="42"/>
      <c r="AY40" s="42"/>
      <c r="AZ40" s="42"/>
      <c r="BA40" s="42"/>
      <c r="BB40" s="42"/>
      <c r="BC40" s="42"/>
      <c r="BD40" s="42"/>
      <c r="BE40" s="25"/>
      <c r="BF40" s="129"/>
      <c r="BG40" s="130"/>
      <c r="BH40" s="130"/>
      <c r="BI40" s="130"/>
      <c r="BJ40" s="130"/>
      <c r="BK40" s="131"/>
    </row>
    <row r="41" spans="1:63" s="274" customFormat="1" ht="15" customHeight="1" x14ac:dyDescent="0.25">
      <c r="A41" s="24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25"/>
      <c r="M41" s="300"/>
      <c r="N41" s="300"/>
      <c r="O41" s="58" t="s">
        <v>71</v>
      </c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0"/>
      <c r="AU41" s="24"/>
      <c r="AV41" s="42"/>
      <c r="AW41" s="42"/>
      <c r="AX41" s="42"/>
      <c r="AY41" s="42"/>
      <c r="AZ41" s="42"/>
      <c r="BA41" s="42"/>
      <c r="BB41" s="42"/>
      <c r="BC41" s="42"/>
      <c r="BD41" s="42"/>
      <c r="BE41" s="25"/>
      <c r="BF41" s="129"/>
      <c r="BG41" s="130"/>
      <c r="BH41" s="130"/>
      <c r="BI41" s="130"/>
      <c r="BJ41" s="130"/>
      <c r="BK41" s="131"/>
    </row>
    <row r="42" spans="1:63" s="274" customFormat="1" ht="15" customHeight="1" x14ac:dyDescent="0.25">
      <c r="A42" s="24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25"/>
      <c r="M42" s="300"/>
      <c r="N42" s="300"/>
      <c r="O42" s="303"/>
      <c r="P42" s="303" t="s">
        <v>72</v>
      </c>
      <c r="Q42" s="303"/>
      <c r="R42" s="303"/>
      <c r="S42" s="303"/>
      <c r="T42" s="303"/>
      <c r="U42" s="303"/>
      <c r="V42" s="303"/>
      <c r="W42" s="303"/>
      <c r="X42" s="303"/>
      <c r="Y42" s="303"/>
      <c r="Z42" s="303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0"/>
      <c r="AU42" s="24"/>
      <c r="AV42" s="42"/>
      <c r="AW42" s="42"/>
      <c r="AX42" s="42"/>
      <c r="AY42" s="42"/>
      <c r="AZ42" s="42"/>
      <c r="BA42" s="42"/>
      <c r="BB42" s="42"/>
      <c r="BC42" s="42"/>
      <c r="BD42" s="42"/>
      <c r="BE42" s="25"/>
      <c r="BF42" s="129"/>
      <c r="BG42" s="130"/>
      <c r="BH42" s="130"/>
      <c r="BI42" s="130"/>
      <c r="BJ42" s="130"/>
      <c r="BK42" s="131"/>
    </row>
    <row r="43" spans="1:63" s="274" customFormat="1" ht="15" customHeight="1" x14ac:dyDescent="0.25">
      <c r="A43" s="24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25"/>
      <c r="M43" s="300"/>
      <c r="N43" s="300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Y43" s="303"/>
      <c r="Z43" s="303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0"/>
      <c r="AU43" s="24"/>
      <c r="AV43" s="42"/>
      <c r="AW43" s="42"/>
      <c r="AX43" s="42"/>
      <c r="AY43" s="42"/>
      <c r="AZ43" s="42"/>
      <c r="BA43" s="42"/>
      <c r="BB43" s="42"/>
      <c r="BC43" s="42"/>
      <c r="BD43" s="42"/>
      <c r="BE43" s="25"/>
      <c r="BF43" s="129"/>
      <c r="BG43" s="130"/>
      <c r="BH43" s="130"/>
      <c r="BI43" s="130"/>
      <c r="BJ43" s="130"/>
      <c r="BK43" s="131"/>
    </row>
    <row r="44" spans="1:63" s="274" customFormat="1" ht="15" customHeight="1" x14ac:dyDescent="0.25">
      <c r="A44" s="24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25"/>
      <c r="M44" s="300"/>
      <c r="N44" s="300"/>
      <c r="O44" s="303"/>
      <c r="P44" s="53" t="s">
        <v>23</v>
      </c>
      <c r="Q44" s="54"/>
      <c r="R44" s="54"/>
      <c r="S44" s="54"/>
      <c r="T44" s="54"/>
      <c r="U44" s="54"/>
      <c r="V44" s="54"/>
      <c r="W44" s="53" t="s">
        <v>24</v>
      </c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5"/>
      <c r="AN44" s="303"/>
      <c r="AO44" s="303"/>
      <c r="AP44" s="303"/>
      <c r="AQ44" s="303"/>
      <c r="AR44" s="303"/>
      <c r="AS44" s="303"/>
      <c r="AT44" s="300"/>
      <c r="AU44" s="24"/>
      <c r="AV44" s="42"/>
      <c r="AW44" s="42"/>
      <c r="AX44" s="42"/>
      <c r="AY44" s="42"/>
      <c r="AZ44" s="42"/>
      <c r="BA44" s="42"/>
      <c r="BB44" s="42"/>
      <c r="BC44" s="42"/>
      <c r="BD44" s="42"/>
      <c r="BE44" s="25"/>
      <c r="BF44" s="129"/>
      <c r="BG44" s="130"/>
      <c r="BH44" s="130"/>
      <c r="BI44" s="130"/>
      <c r="BJ44" s="130"/>
      <c r="BK44" s="131"/>
    </row>
    <row r="45" spans="1:63" s="274" customFormat="1" ht="15" customHeight="1" x14ac:dyDescent="0.25">
      <c r="A45" s="24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25"/>
      <c r="M45" s="300"/>
      <c r="N45" s="300"/>
      <c r="O45" s="303"/>
      <c r="P45" s="304" t="s">
        <v>25</v>
      </c>
      <c r="Q45" s="305"/>
      <c r="R45" s="305"/>
      <c r="S45" s="305"/>
      <c r="T45" s="305"/>
      <c r="U45" s="305"/>
      <c r="V45" s="305"/>
      <c r="W45" s="306" t="s">
        <v>44</v>
      </c>
      <c r="X45" s="307"/>
      <c r="Y45" s="307"/>
      <c r="Z45" s="307"/>
      <c r="AA45" s="307"/>
      <c r="AB45" s="307"/>
      <c r="AC45" s="307"/>
      <c r="AD45" s="307"/>
      <c r="AE45" s="307"/>
      <c r="AF45" s="307"/>
      <c r="AG45" s="307"/>
      <c r="AH45" s="307"/>
      <c r="AI45" s="307"/>
      <c r="AJ45" s="307"/>
      <c r="AK45" s="307"/>
      <c r="AL45" s="307"/>
      <c r="AM45" s="308"/>
      <c r="AN45" s="303"/>
      <c r="AO45" s="303"/>
      <c r="AP45" s="303"/>
      <c r="AQ45" s="303"/>
      <c r="AR45" s="303"/>
      <c r="AS45" s="303"/>
      <c r="AT45" s="300"/>
      <c r="AU45" s="24"/>
      <c r="AV45" s="42"/>
      <c r="AW45" s="42"/>
      <c r="AX45" s="42"/>
      <c r="AY45" s="42"/>
      <c r="AZ45" s="42"/>
      <c r="BA45" s="42"/>
      <c r="BB45" s="42"/>
      <c r="BC45" s="42"/>
      <c r="BD45" s="42"/>
      <c r="BE45" s="25"/>
      <c r="BF45" s="129"/>
      <c r="BG45" s="130"/>
      <c r="BH45" s="130"/>
      <c r="BI45" s="130"/>
      <c r="BJ45" s="130"/>
      <c r="BK45" s="131"/>
    </row>
    <row r="46" spans="1:63" s="274" customFormat="1" ht="15" customHeight="1" x14ac:dyDescent="0.25">
      <c r="A46" s="24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25"/>
      <c r="M46" s="300"/>
      <c r="N46" s="300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Y46" s="303"/>
      <c r="Z46" s="303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0"/>
      <c r="AU46" s="24"/>
      <c r="AV46" s="42"/>
      <c r="AW46" s="42"/>
      <c r="AX46" s="42"/>
      <c r="AY46" s="42"/>
      <c r="AZ46" s="42"/>
      <c r="BA46" s="42"/>
      <c r="BB46" s="42"/>
      <c r="BC46" s="42"/>
      <c r="BD46" s="42"/>
      <c r="BE46" s="25"/>
      <c r="BF46" s="129"/>
      <c r="BG46" s="130"/>
      <c r="BH46" s="130"/>
      <c r="BI46" s="130"/>
      <c r="BJ46" s="130"/>
      <c r="BK46" s="131"/>
    </row>
    <row r="47" spans="1:63" s="274" customFormat="1" ht="15" customHeight="1" x14ac:dyDescent="0.25">
      <c r="A47" s="24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25"/>
      <c r="M47" s="300"/>
      <c r="N47" s="300"/>
      <c r="O47" s="303"/>
      <c r="P47" s="300" t="s">
        <v>73</v>
      </c>
      <c r="Q47" s="303"/>
      <c r="R47" s="303"/>
      <c r="S47" s="303"/>
      <c r="T47" s="303"/>
      <c r="U47" s="303"/>
      <c r="V47" s="303"/>
      <c r="W47" s="303"/>
      <c r="X47" s="303"/>
      <c r="Y47" s="303"/>
      <c r="Z47" s="303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0"/>
      <c r="AL47" s="300"/>
      <c r="AM47" s="300"/>
      <c r="AN47" s="300"/>
      <c r="AO47" s="303"/>
      <c r="AP47" s="303"/>
      <c r="AQ47" s="303"/>
      <c r="AR47" s="303"/>
      <c r="AS47" s="303"/>
      <c r="AT47" s="300"/>
      <c r="AU47" s="24"/>
      <c r="AV47" s="42"/>
      <c r="AW47" s="42"/>
      <c r="AX47" s="42"/>
      <c r="AY47" s="42"/>
      <c r="AZ47" s="42"/>
      <c r="BA47" s="42"/>
      <c r="BB47" s="42"/>
      <c r="BC47" s="42"/>
      <c r="BD47" s="42"/>
      <c r="BE47" s="25"/>
      <c r="BF47" s="129"/>
      <c r="BG47" s="130"/>
      <c r="BH47" s="130"/>
      <c r="BI47" s="130"/>
      <c r="BJ47" s="130"/>
      <c r="BK47" s="131"/>
    </row>
    <row r="48" spans="1:63" s="274" customFormat="1" ht="15" customHeight="1" x14ac:dyDescent="0.25">
      <c r="A48" s="24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25"/>
      <c r="M48" s="300"/>
      <c r="N48" s="300"/>
      <c r="O48" s="303"/>
      <c r="P48" s="303" t="s">
        <v>27</v>
      </c>
      <c r="Q48" s="300"/>
      <c r="R48" s="300"/>
      <c r="S48" s="300"/>
      <c r="T48" s="300"/>
      <c r="U48" s="300"/>
      <c r="V48" s="303"/>
      <c r="W48" s="303"/>
      <c r="X48" s="303"/>
      <c r="Y48" s="303"/>
      <c r="Z48" s="303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0"/>
      <c r="AL48" s="300"/>
      <c r="AM48" s="300"/>
      <c r="AN48" s="300"/>
      <c r="AO48" s="303"/>
      <c r="AP48" s="303"/>
      <c r="AQ48" s="303"/>
      <c r="AR48" s="303"/>
      <c r="AS48" s="303"/>
      <c r="AT48" s="300"/>
      <c r="AU48" s="24"/>
      <c r="AV48" s="42"/>
      <c r="AW48" s="42"/>
      <c r="AX48" s="42"/>
      <c r="AY48" s="42"/>
      <c r="AZ48" s="42"/>
      <c r="BA48" s="42"/>
      <c r="BB48" s="42"/>
      <c r="BC48" s="42"/>
      <c r="BD48" s="42"/>
      <c r="BE48" s="25"/>
      <c r="BF48" s="129"/>
      <c r="BG48" s="130"/>
      <c r="BH48" s="130"/>
      <c r="BI48" s="130"/>
      <c r="BJ48" s="130"/>
      <c r="BK48" s="131"/>
    </row>
    <row r="49" spans="1:63" s="274" customFormat="1" ht="15" customHeight="1" x14ac:dyDescent="0.25">
      <c r="A49" s="24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25"/>
      <c r="M49" s="300"/>
      <c r="N49" s="300"/>
      <c r="O49" s="303"/>
      <c r="P49" s="300"/>
      <c r="Q49" s="53" t="s">
        <v>28</v>
      </c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5"/>
      <c r="AN49" s="300"/>
      <c r="AO49" s="303"/>
      <c r="AP49" s="303"/>
      <c r="AQ49" s="303"/>
      <c r="AR49" s="303"/>
      <c r="AS49" s="303"/>
      <c r="AT49" s="300"/>
      <c r="AU49" s="24"/>
      <c r="AV49" s="42"/>
      <c r="AW49" s="42"/>
      <c r="AX49" s="42"/>
      <c r="AY49" s="42"/>
      <c r="AZ49" s="42"/>
      <c r="BA49" s="42"/>
      <c r="BB49" s="42"/>
      <c r="BC49" s="42"/>
      <c r="BD49" s="42"/>
      <c r="BE49" s="25"/>
      <c r="BF49" s="129"/>
      <c r="BG49" s="130"/>
      <c r="BH49" s="130"/>
      <c r="BI49" s="130"/>
      <c r="BJ49" s="130"/>
      <c r="BK49" s="131"/>
    </row>
    <row r="50" spans="1:63" s="274" customFormat="1" ht="15" customHeight="1" x14ac:dyDescent="0.25">
      <c r="A50" s="24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25"/>
      <c r="M50" s="300"/>
      <c r="N50" s="300"/>
      <c r="O50" s="303"/>
      <c r="P50" s="300"/>
      <c r="Q50" s="309" t="s">
        <v>32</v>
      </c>
      <c r="R50" s="301"/>
      <c r="S50" s="301"/>
      <c r="T50" s="301"/>
      <c r="U50" s="301"/>
      <c r="V50" s="310"/>
      <c r="W50" s="301"/>
      <c r="X50" s="301"/>
      <c r="Y50" s="301"/>
      <c r="Z50" s="301"/>
      <c r="AA50" s="301"/>
      <c r="AB50" s="309" t="s">
        <v>30</v>
      </c>
      <c r="AC50" s="301"/>
      <c r="AD50" s="301"/>
      <c r="AE50" s="301"/>
      <c r="AF50" s="301"/>
      <c r="AG50" s="301"/>
      <c r="AH50" s="301"/>
      <c r="AI50" s="301"/>
      <c r="AJ50" s="301"/>
      <c r="AK50" s="301"/>
      <c r="AL50" s="301"/>
      <c r="AM50" s="311"/>
      <c r="AN50" s="300"/>
      <c r="AO50" s="303"/>
      <c r="AP50" s="303"/>
      <c r="AQ50" s="303"/>
      <c r="AR50" s="303"/>
      <c r="AS50" s="303"/>
      <c r="AT50" s="300"/>
      <c r="AU50" s="24"/>
      <c r="AV50" s="42"/>
      <c r="AW50" s="42"/>
      <c r="AX50" s="42"/>
      <c r="AY50" s="42"/>
      <c r="AZ50" s="42"/>
      <c r="BA50" s="42"/>
      <c r="BB50" s="42"/>
      <c r="BC50" s="42"/>
      <c r="BD50" s="42"/>
      <c r="BE50" s="25"/>
      <c r="BF50" s="129"/>
      <c r="BG50" s="130"/>
      <c r="BH50" s="130"/>
      <c r="BI50" s="130"/>
      <c r="BJ50" s="130"/>
      <c r="BK50" s="131"/>
    </row>
    <row r="51" spans="1:63" s="274" customFormat="1" ht="15" customHeight="1" x14ac:dyDescent="0.25">
      <c r="A51" s="24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25"/>
      <c r="M51" s="300"/>
      <c r="N51" s="300"/>
      <c r="O51" s="303"/>
      <c r="P51" s="300"/>
      <c r="Q51" s="309" t="s">
        <v>33</v>
      </c>
      <c r="R51" s="301"/>
      <c r="S51" s="301"/>
      <c r="T51" s="301"/>
      <c r="U51" s="301"/>
      <c r="V51" s="312"/>
      <c r="W51" s="301"/>
      <c r="X51" s="301"/>
      <c r="Y51" s="301"/>
      <c r="Z51" s="301"/>
      <c r="AA51" s="301"/>
      <c r="AB51" s="313" t="s">
        <v>31</v>
      </c>
      <c r="AC51" s="301"/>
      <c r="AD51" s="301"/>
      <c r="AE51" s="301"/>
      <c r="AF51" s="301"/>
      <c r="AG51" s="301"/>
      <c r="AH51" s="301"/>
      <c r="AI51" s="301"/>
      <c r="AJ51" s="301"/>
      <c r="AK51" s="301"/>
      <c r="AL51" s="301"/>
      <c r="AM51" s="311"/>
      <c r="AN51" s="300"/>
      <c r="AO51" s="303"/>
      <c r="AP51" s="303"/>
      <c r="AQ51" s="303"/>
      <c r="AR51" s="303"/>
      <c r="AS51" s="303"/>
      <c r="AT51" s="300"/>
      <c r="AU51" s="24"/>
      <c r="AV51" s="42"/>
      <c r="AW51" s="42"/>
      <c r="AX51" s="42"/>
      <c r="AY51" s="42"/>
      <c r="AZ51" s="42"/>
      <c r="BA51" s="42"/>
      <c r="BB51" s="42"/>
      <c r="BC51" s="42"/>
      <c r="BD51" s="42"/>
      <c r="BE51" s="25"/>
      <c r="BF51" s="129"/>
      <c r="BG51" s="130"/>
      <c r="BH51" s="130"/>
      <c r="BI51" s="130"/>
      <c r="BJ51" s="130"/>
      <c r="BK51" s="131"/>
    </row>
    <row r="52" spans="1:63" s="274" customFormat="1" ht="15" customHeight="1" x14ac:dyDescent="0.25">
      <c r="A52" s="24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25"/>
      <c r="M52" s="300"/>
      <c r="N52" s="300"/>
      <c r="O52" s="303"/>
      <c r="P52" s="300"/>
      <c r="Q52" s="314" t="s">
        <v>34</v>
      </c>
      <c r="R52" s="291"/>
      <c r="S52" s="291"/>
      <c r="T52" s="291"/>
      <c r="U52" s="291"/>
      <c r="V52" s="315"/>
      <c r="W52" s="291"/>
      <c r="X52" s="291"/>
      <c r="Y52" s="291"/>
      <c r="Z52" s="291"/>
      <c r="AA52" s="291"/>
      <c r="AB52" s="316" t="s">
        <v>48</v>
      </c>
      <c r="AC52" s="291"/>
      <c r="AD52" s="291"/>
      <c r="AE52" s="291"/>
      <c r="AF52" s="291"/>
      <c r="AG52" s="291"/>
      <c r="AH52" s="291"/>
      <c r="AI52" s="291"/>
      <c r="AJ52" s="291"/>
      <c r="AK52" s="291"/>
      <c r="AL52" s="291"/>
      <c r="AM52" s="317"/>
      <c r="AN52" s="300"/>
      <c r="AO52" s="303"/>
      <c r="AP52" s="303"/>
      <c r="AQ52" s="303"/>
      <c r="AR52" s="303"/>
      <c r="AS52" s="303"/>
      <c r="AT52" s="300"/>
      <c r="AU52" s="24"/>
      <c r="AV52" s="42"/>
      <c r="AW52" s="42"/>
      <c r="AX52" s="42"/>
      <c r="AY52" s="42"/>
      <c r="AZ52" s="42"/>
      <c r="BA52" s="42"/>
      <c r="BB52" s="42"/>
      <c r="BC52" s="42"/>
      <c r="BD52" s="42"/>
      <c r="BE52" s="25"/>
      <c r="BF52" s="129"/>
      <c r="BG52" s="130"/>
      <c r="BH52" s="130"/>
      <c r="BI52" s="130"/>
      <c r="BJ52" s="130"/>
      <c r="BK52" s="131"/>
    </row>
    <row r="53" spans="1:63" s="274" customFormat="1" ht="15" customHeight="1" x14ac:dyDescent="0.25">
      <c r="A53" s="24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25"/>
      <c r="M53" s="300"/>
      <c r="N53" s="300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Y53" s="303"/>
      <c r="Z53" s="303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0"/>
      <c r="AU53" s="24"/>
      <c r="AV53" s="42"/>
      <c r="AW53" s="42"/>
      <c r="AX53" s="42"/>
      <c r="AY53" s="42"/>
      <c r="AZ53" s="42"/>
      <c r="BA53" s="42"/>
      <c r="BB53" s="42"/>
      <c r="BC53" s="42"/>
      <c r="BD53" s="42"/>
      <c r="BE53" s="25"/>
      <c r="BF53" s="129"/>
      <c r="BG53" s="130"/>
      <c r="BH53" s="130"/>
      <c r="BI53" s="130"/>
      <c r="BJ53" s="130"/>
      <c r="BK53" s="131"/>
    </row>
    <row r="54" spans="1:63" s="274" customFormat="1" ht="15" customHeight="1" x14ac:dyDescent="0.25">
      <c r="A54" s="24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25"/>
      <c r="M54" s="300"/>
      <c r="N54" s="300"/>
      <c r="O54" s="303"/>
      <c r="P54" s="303"/>
      <c r="Q54" s="300" t="s">
        <v>68</v>
      </c>
      <c r="R54" s="303"/>
      <c r="S54" s="303"/>
      <c r="T54" s="303"/>
      <c r="U54" s="303"/>
      <c r="V54" s="303"/>
      <c r="W54" s="303"/>
      <c r="X54" s="303"/>
      <c r="Y54" s="303"/>
      <c r="Z54" s="303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0"/>
      <c r="AU54" s="24"/>
      <c r="AV54" s="42"/>
      <c r="AW54" s="42"/>
      <c r="AX54" s="42"/>
      <c r="AY54" s="42"/>
      <c r="AZ54" s="42"/>
      <c r="BA54" s="42"/>
      <c r="BB54" s="42"/>
      <c r="BC54" s="42"/>
      <c r="BD54" s="42"/>
      <c r="BE54" s="25"/>
      <c r="BF54" s="129"/>
      <c r="BG54" s="130"/>
      <c r="BH54" s="130"/>
      <c r="BI54" s="130"/>
      <c r="BJ54" s="130"/>
      <c r="BK54" s="131"/>
    </row>
    <row r="55" spans="1:63" s="274" customFormat="1" ht="15" customHeight="1" x14ac:dyDescent="0.25">
      <c r="A55" s="24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25"/>
      <c r="M55" s="300"/>
      <c r="N55" s="300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Y55" s="303"/>
      <c r="Z55" s="303"/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0"/>
      <c r="AU55" s="24"/>
      <c r="AV55" s="42"/>
      <c r="AW55" s="42"/>
      <c r="AX55" s="42"/>
      <c r="AY55" s="42"/>
      <c r="AZ55" s="42"/>
      <c r="BA55" s="42"/>
      <c r="BB55" s="42"/>
      <c r="BC55" s="42"/>
      <c r="BD55" s="42"/>
      <c r="BE55" s="25"/>
      <c r="BF55" s="129"/>
      <c r="BG55" s="130"/>
      <c r="BH55" s="130"/>
      <c r="BI55" s="130"/>
      <c r="BJ55" s="130"/>
      <c r="BK55" s="131"/>
    </row>
    <row r="56" spans="1:63" s="274" customFormat="1" ht="15" customHeight="1" x14ac:dyDescent="0.25">
      <c r="A56" s="24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25"/>
      <c r="M56" s="300"/>
      <c r="N56" s="300"/>
      <c r="O56" s="303"/>
      <c r="P56" s="303"/>
      <c r="Q56" s="318" t="s">
        <v>47</v>
      </c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  <c r="AN56" s="318"/>
      <c r="AO56" s="318"/>
      <c r="AP56" s="318"/>
      <c r="AQ56" s="318"/>
      <c r="AR56" s="318"/>
      <c r="AS56" s="318"/>
      <c r="AT56" s="300"/>
      <c r="AU56" s="24"/>
      <c r="AV56" s="42"/>
      <c r="AW56" s="42"/>
      <c r="AX56" s="42"/>
      <c r="AY56" s="42"/>
      <c r="AZ56" s="42"/>
      <c r="BA56" s="42"/>
      <c r="BB56" s="42"/>
      <c r="BC56" s="42"/>
      <c r="BD56" s="42"/>
      <c r="BE56" s="25"/>
      <c r="BF56" s="129"/>
      <c r="BG56" s="130"/>
      <c r="BH56" s="130"/>
      <c r="BI56" s="130"/>
      <c r="BJ56" s="130"/>
      <c r="BK56" s="131"/>
    </row>
    <row r="57" spans="1:63" s="274" customFormat="1" ht="15" customHeight="1" x14ac:dyDescent="0.25">
      <c r="A57" s="24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25"/>
      <c r="M57" s="300"/>
      <c r="N57" s="300"/>
      <c r="O57" s="303"/>
      <c r="P57" s="303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  <c r="AN57" s="318"/>
      <c r="AO57" s="318"/>
      <c r="AP57" s="318"/>
      <c r="AQ57" s="318"/>
      <c r="AR57" s="318"/>
      <c r="AS57" s="318"/>
      <c r="AT57" s="300"/>
      <c r="AU57" s="24"/>
      <c r="AV57" s="42"/>
      <c r="AW57" s="42"/>
      <c r="AX57" s="42"/>
      <c r="AY57" s="42"/>
      <c r="AZ57" s="42"/>
      <c r="BA57" s="42"/>
      <c r="BB57" s="42"/>
      <c r="BC57" s="42"/>
      <c r="BD57" s="42"/>
      <c r="BE57" s="25"/>
      <c r="BF57" s="129"/>
      <c r="BG57" s="130"/>
      <c r="BH57" s="130"/>
      <c r="BI57" s="130"/>
      <c r="BJ57" s="130"/>
      <c r="BK57" s="131"/>
    </row>
    <row r="58" spans="1:63" s="274" customFormat="1" ht="15" customHeight="1" x14ac:dyDescent="0.25">
      <c r="A58" s="24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25"/>
      <c r="M58" s="300"/>
      <c r="N58" s="300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Y58" s="303"/>
      <c r="Z58" s="303"/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0"/>
      <c r="AU58" s="24"/>
      <c r="AV58" s="42"/>
      <c r="AW58" s="42"/>
      <c r="AX58" s="42"/>
      <c r="AY58" s="42"/>
      <c r="AZ58" s="42"/>
      <c r="BA58" s="42"/>
      <c r="BB58" s="42"/>
      <c r="BC58" s="42"/>
      <c r="BD58" s="42"/>
      <c r="BE58" s="25"/>
      <c r="BF58" s="129"/>
      <c r="BG58" s="130"/>
      <c r="BH58" s="130"/>
      <c r="BI58" s="130"/>
      <c r="BJ58" s="130"/>
      <c r="BK58" s="131"/>
    </row>
    <row r="59" spans="1:63" s="274" customFormat="1" ht="15" customHeight="1" x14ac:dyDescent="0.25">
      <c r="A59" s="24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25"/>
      <c r="M59" s="300"/>
      <c r="N59" s="300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Y59" s="303"/>
      <c r="Z59" s="303"/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0"/>
      <c r="AU59" s="24"/>
      <c r="AV59" s="42"/>
      <c r="AW59" s="42"/>
      <c r="AX59" s="42"/>
      <c r="AY59" s="42"/>
      <c r="AZ59" s="42"/>
      <c r="BA59" s="42"/>
      <c r="BB59" s="42"/>
      <c r="BC59" s="42"/>
      <c r="BD59" s="42"/>
      <c r="BE59" s="25"/>
      <c r="BF59" s="129"/>
      <c r="BG59" s="130"/>
      <c r="BH59" s="130"/>
      <c r="BI59" s="130"/>
      <c r="BJ59" s="130"/>
      <c r="BK59" s="131"/>
    </row>
    <row r="60" spans="1:63" s="274" customFormat="1" ht="15" customHeight="1" x14ac:dyDescent="0.25">
      <c r="A60" s="24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25"/>
      <c r="M60" s="300"/>
      <c r="N60" s="300"/>
      <c r="O60" s="303"/>
      <c r="P60" s="300" t="s">
        <v>29</v>
      </c>
      <c r="Q60" s="319"/>
      <c r="R60" s="303"/>
      <c r="S60" s="303"/>
      <c r="T60" s="303"/>
      <c r="U60" s="303"/>
      <c r="V60" s="303"/>
      <c r="W60" s="303"/>
      <c r="X60" s="303"/>
      <c r="Y60" s="303"/>
      <c r="Z60" s="303"/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0"/>
      <c r="AU60" s="24"/>
      <c r="AV60" s="42"/>
      <c r="AW60" s="42"/>
      <c r="AX60" s="42"/>
      <c r="AY60" s="42"/>
      <c r="AZ60" s="42"/>
      <c r="BA60" s="42"/>
      <c r="BB60" s="42"/>
      <c r="BC60" s="42"/>
      <c r="BD60" s="42"/>
      <c r="BE60" s="25"/>
      <c r="BF60" s="129"/>
      <c r="BG60" s="130"/>
      <c r="BH60" s="130"/>
      <c r="BI60" s="130"/>
      <c r="BJ60" s="130"/>
      <c r="BK60" s="131"/>
    </row>
    <row r="61" spans="1:63" s="274" customFormat="1" ht="15" customHeight="1" x14ac:dyDescent="0.25">
      <c r="A61" s="24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25"/>
      <c r="M61" s="300"/>
      <c r="N61" s="300"/>
      <c r="O61" s="303"/>
      <c r="P61" s="300"/>
      <c r="Q61" s="303" t="s">
        <v>75</v>
      </c>
      <c r="R61" s="303"/>
      <c r="S61" s="303"/>
      <c r="T61" s="303"/>
      <c r="U61" s="303"/>
      <c r="V61" s="303"/>
      <c r="W61" s="303"/>
      <c r="X61" s="303"/>
      <c r="Y61" s="303"/>
      <c r="Z61" s="303"/>
      <c r="AA61" s="303"/>
      <c r="AB61" s="303"/>
      <c r="AC61" s="303"/>
      <c r="AD61" s="303"/>
      <c r="AE61" s="303"/>
      <c r="AF61" s="303"/>
      <c r="AG61" s="303"/>
      <c r="AH61" s="303"/>
      <c r="AI61" s="303"/>
      <c r="AJ61" s="303"/>
      <c r="AK61" s="303"/>
      <c r="AL61" s="303"/>
      <c r="AM61" s="303"/>
      <c r="AN61" s="303"/>
      <c r="AO61" s="303"/>
      <c r="AP61" s="303"/>
      <c r="AQ61" s="303"/>
      <c r="AR61" s="303"/>
      <c r="AS61" s="303"/>
      <c r="AT61" s="300"/>
      <c r="AU61" s="24"/>
      <c r="AV61" s="42"/>
      <c r="AW61" s="42"/>
      <c r="AX61" s="42"/>
      <c r="AY61" s="42"/>
      <c r="AZ61" s="42"/>
      <c r="BA61" s="42"/>
      <c r="BB61" s="42"/>
      <c r="BC61" s="42"/>
      <c r="BD61" s="42"/>
      <c r="BE61" s="25"/>
      <c r="BF61" s="129"/>
      <c r="BG61" s="130"/>
      <c r="BH61" s="130"/>
      <c r="BI61" s="130"/>
      <c r="BJ61" s="130"/>
      <c r="BK61" s="131"/>
    </row>
    <row r="62" spans="1:63" s="274" customFormat="1" ht="15" customHeight="1" x14ac:dyDescent="0.25">
      <c r="A62" s="24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25"/>
      <c r="M62" s="300"/>
      <c r="N62" s="300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Y62" s="303"/>
      <c r="Z62" s="303"/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0"/>
      <c r="AU62" s="24"/>
      <c r="AV62" s="42"/>
      <c r="AW62" s="42"/>
      <c r="AX62" s="42"/>
      <c r="AY62" s="42"/>
      <c r="AZ62" s="42"/>
      <c r="BA62" s="42"/>
      <c r="BB62" s="42"/>
      <c r="BC62" s="42"/>
      <c r="BD62" s="42"/>
      <c r="BE62" s="25"/>
      <c r="BF62" s="129"/>
      <c r="BG62" s="130"/>
      <c r="BH62" s="130"/>
      <c r="BI62" s="130"/>
      <c r="BJ62" s="130"/>
      <c r="BK62" s="131"/>
    </row>
    <row r="63" spans="1:63" s="274" customFormat="1" ht="15" customHeight="1" x14ac:dyDescent="0.25">
      <c r="A63" s="26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8"/>
      <c r="M63" s="320"/>
      <c r="N63" s="321"/>
      <c r="O63" s="321"/>
      <c r="P63" s="322"/>
      <c r="Q63" s="321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323"/>
      <c r="AQ63" s="323"/>
      <c r="AR63" s="323"/>
      <c r="AS63" s="323"/>
      <c r="AT63" s="323"/>
      <c r="AU63" s="26"/>
      <c r="AV63" s="27"/>
      <c r="AW63" s="27"/>
      <c r="AX63" s="27"/>
      <c r="AY63" s="27"/>
      <c r="AZ63" s="27"/>
      <c r="BA63" s="27"/>
      <c r="BB63" s="27"/>
      <c r="BC63" s="27"/>
      <c r="BD63" s="27"/>
      <c r="BE63" s="28"/>
      <c r="BF63" s="132"/>
      <c r="BG63" s="133"/>
      <c r="BH63" s="133"/>
      <c r="BI63" s="133"/>
      <c r="BJ63" s="133"/>
      <c r="BK63" s="134"/>
    </row>
    <row r="64" spans="1:63" ht="15" customHeight="1" x14ac:dyDescent="0.25">
      <c r="A64" s="30"/>
      <c r="BK64" s="15"/>
    </row>
    <row r="65" spans="1:63" ht="15" customHeight="1" x14ac:dyDescent="0.25">
      <c r="A65" s="52"/>
      <c r="BK65" s="15"/>
    </row>
    <row r="66" spans="1:63" ht="15" customHeight="1" x14ac:dyDescent="0.25">
      <c r="A66" s="52"/>
      <c r="BK66" s="15"/>
    </row>
    <row r="67" spans="1:63" ht="15" customHeight="1" x14ac:dyDescent="0.25">
      <c r="A67" s="52"/>
      <c r="BK67" s="15"/>
    </row>
    <row r="68" spans="1:63" s="274" customFormat="1" ht="15" customHeight="1" x14ac:dyDescent="0.25">
      <c r="A68" s="288" t="s">
        <v>13</v>
      </c>
      <c r="B68" s="289"/>
      <c r="C68" s="289"/>
      <c r="D68" s="289"/>
      <c r="E68" s="289"/>
      <c r="F68" s="290"/>
      <c r="G68" s="276" t="s">
        <v>89</v>
      </c>
      <c r="H68" s="276"/>
      <c r="I68" s="276"/>
      <c r="J68" s="276"/>
      <c r="K68" s="276"/>
      <c r="L68" s="276"/>
      <c r="M68" s="291" t="s">
        <v>49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292"/>
      <c r="BI68" s="292"/>
      <c r="BJ68" s="292"/>
      <c r="BK68" s="293"/>
    </row>
    <row r="69" spans="1:63" s="274" customFormat="1" ht="15" customHeight="1" x14ac:dyDescent="0.25">
      <c r="A69" s="294" t="s">
        <v>14</v>
      </c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6"/>
      <c r="M69" s="294" t="s">
        <v>15</v>
      </c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  <c r="AD69" s="295"/>
      <c r="AE69" s="295"/>
      <c r="AF69" s="295"/>
      <c r="AG69" s="295"/>
      <c r="AH69" s="295"/>
      <c r="AI69" s="295"/>
      <c r="AJ69" s="295"/>
      <c r="AK69" s="295"/>
      <c r="AL69" s="295"/>
      <c r="AM69" s="295"/>
      <c r="AN69" s="295"/>
      <c r="AO69" s="295"/>
      <c r="AP69" s="295"/>
      <c r="AQ69" s="295"/>
      <c r="AR69" s="295"/>
      <c r="AS69" s="295"/>
      <c r="AT69" s="296"/>
      <c r="AU69" s="294" t="s">
        <v>16</v>
      </c>
      <c r="AV69" s="295"/>
      <c r="AW69" s="295"/>
      <c r="AX69" s="295"/>
      <c r="AY69" s="295"/>
      <c r="AZ69" s="295"/>
      <c r="BA69" s="295"/>
      <c r="BB69" s="295"/>
      <c r="BC69" s="295"/>
      <c r="BD69" s="295"/>
      <c r="BE69" s="295"/>
      <c r="BF69" s="294" t="s">
        <v>17</v>
      </c>
      <c r="BG69" s="295"/>
      <c r="BH69" s="295"/>
      <c r="BI69" s="295"/>
      <c r="BJ69" s="295"/>
      <c r="BK69" s="296"/>
    </row>
    <row r="70" spans="1:63" s="274" customFormat="1" ht="1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9"/>
      <c r="M70" s="297"/>
      <c r="N70" s="298"/>
      <c r="O70" s="298"/>
      <c r="P70" s="298"/>
      <c r="Q70" s="298"/>
      <c r="R70" s="298"/>
      <c r="S70" s="298"/>
      <c r="T70" s="298"/>
      <c r="U70" s="298"/>
      <c r="V70" s="298"/>
      <c r="W70" s="298"/>
      <c r="X70" s="298"/>
      <c r="Y70" s="298"/>
      <c r="Z70" s="298"/>
      <c r="AA70" s="298"/>
      <c r="AB70" s="298"/>
      <c r="AC70" s="298"/>
      <c r="AD70" s="298"/>
      <c r="AE70" s="298"/>
      <c r="AF70" s="298"/>
      <c r="AG70" s="298"/>
      <c r="AH70" s="298"/>
      <c r="AI70" s="298"/>
      <c r="AJ70" s="298"/>
      <c r="AK70" s="298"/>
      <c r="AL70" s="298"/>
      <c r="AM70" s="298"/>
      <c r="AN70" s="298"/>
      <c r="AO70" s="298"/>
      <c r="AP70" s="298"/>
      <c r="AQ70" s="298"/>
      <c r="AR70" s="298"/>
      <c r="AS70" s="298"/>
      <c r="AT70" s="299"/>
      <c r="AU70" s="297"/>
      <c r="AV70" s="298"/>
      <c r="AW70" s="298"/>
      <c r="AX70" s="298"/>
      <c r="AY70" s="298"/>
      <c r="AZ70" s="298"/>
      <c r="BA70" s="298"/>
      <c r="BB70" s="298"/>
      <c r="BC70" s="298"/>
      <c r="BD70" s="298"/>
      <c r="BE70" s="298"/>
      <c r="BF70" s="297"/>
      <c r="BG70" s="298"/>
      <c r="BH70" s="298"/>
      <c r="BI70" s="298"/>
      <c r="BJ70" s="298"/>
      <c r="BK70" s="299"/>
    </row>
    <row r="71" spans="1:63" s="274" customFormat="1" ht="15" customHeight="1" x14ac:dyDescent="0.25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2"/>
      <c r="M71" s="300"/>
      <c r="N71" s="300"/>
      <c r="O71" s="300"/>
      <c r="P71" s="300"/>
      <c r="Q71" s="300"/>
      <c r="R71" s="301"/>
      <c r="S71" s="301"/>
      <c r="T71" s="301"/>
      <c r="U71" s="301"/>
      <c r="V71" s="301"/>
      <c r="W71" s="301"/>
      <c r="X71" s="301"/>
      <c r="Y71" s="301"/>
      <c r="Z71" s="301"/>
      <c r="AA71" s="301"/>
      <c r="AB71" s="301"/>
      <c r="AC71" s="301"/>
      <c r="AD71" s="301"/>
      <c r="AE71" s="301"/>
      <c r="AF71" s="301"/>
      <c r="AG71" s="301"/>
      <c r="AH71" s="301"/>
      <c r="AI71" s="301"/>
      <c r="AJ71" s="301"/>
      <c r="AK71" s="301"/>
      <c r="AL71" s="301"/>
      <c r="AM71" s="301"/>
      <c r="AN71" s="301"/>
      <c r="AO71" s="301"/>
      <c r="AP71" s="301"/>
      <c r="AQ71" s="301"/>
      <c r="AR71" s="301"/>
      <c r="AS71" s="301"/>
      <c r="AT71" s="301"/>
      <c r="AU71" s="20"/>
      <c r="AV71" s="21"/>
      <c r="AW71" s="21"/>
      <c r="AX71" s="21"/>
      <c r="AY71" s="21"/>
      <c r="AZ71" s="21"/>
      <c r="BA71" s="21"/>
      <c r="BB71" s="21"/>
      <c r="BC71" s="21"/>
      <c r="BD71" s="21"/>
      <c r="BE71" s="22"/>
      <c r="BF71" s="126" t="s">
        <v>131</v>
      </c>
      <c r="BG71" s="127"/>
      <c r="BH71" s="127"/>
      <c r="BI71" s="127"/>
      <c r="BJ71" s="127"/>
      <c r="BK71" s="128"/>
    </row>
    <row r="72" spans="1:63" s="274" customFormat="1" ht="15" customHeight="1" x14ac:dyDescent="0.25">
      <c r="A72" s="24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25"/>
      <c r="M72" s="300"/>
      <c r="N72" s="58" t="s">
        <v>132</v>
      </c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300"/>
      <c r="AB72" s="300"/>
      <c r="AC72" s="300"/>
      <c r="AD72" s="300"/>
      <c r="AE72" s="300"/>
      <c r="AF72" s="300"/>
      <c r="AG72" s="300"/>
      <c r="AH72" s="300"/>
      <c r="AI72" s="300"/>
      <c r="AJ72" s="300"/>
      <c r="AK72" s="300"/>
      <c r="AL72" s="300"/>
      <c r="AM72" s="300"/>
      <c r="AN72" s="300"/>
      <c r="AO72" s="300"/>
      <c r="AP72" s="300"/>
      <c r="AQ72" s="300"/>
      <c r="AR72" s="300"/>
      <c r="AS72" s="300"/>
      <c r="AT72" s="300"/>
      <c r="AU72" s="24"/>
      <c r="AV72" s="42"/>
      <c r="AW72" s="42"/>
      <c r="AX72" s="42"/>
      <c r="AY72" s="42"/>
      <c r="AZ72" s="42"/>
      <c r="BA72" s="42"/>
      <c r="BB72" s="42"/>
      <c r="BC72" s="42"/>
      <c r="BD72" s="42"/>
      <c r="BE72" s="25"/>
      <c r="BF72" s="129"/>
      <c r="BG72" s="130"/>
      <c r="BH72" s="130"/>
      <c r="BI72" s="130"/>
      <c r="BJ72" s="130"/>
      <c r="BK72" s="131"/>
    </row>
    <row r="73" spans="1:63" s="274" customFormat="1" ht="15" customHeight="1" x14ac:dyDescent="0.25">
      <c r="A73" s="24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25"/>
      <c r="M73" s="302"/>
      <c r="N73" s="300"/>
      <c r="O73" s="303" t="s">
        <v>51</v>
      </c>
      <c r="P73" s="303"/>
      <c r="Q73" s="303"/>
      <c r="R73" s="303"/>
      <c r="S73" s="303"/>
      <c r="T73" s="303"/>
      <c r="U73" s="303"/>
      <c r="V73" s="303"/>
      <c r="W73" s="303"/>
      <c r="X73" s="303"/>
      <c r="Y73" s="303"/>
      <c r="Z73" s="303"/>
      <c r="AA73" s="303"/>
      <c r="AB73" s="303"/>
      <c r="AC73" s="303"/>
      <c r="AD73" s="303"/>
      <c r="AE73" s="303"/>
      <c r="AF73" s="303"/>
      <c r="AG73" s="303"/>
      <c r="AH73" s="303"/>
      <c r="AI73" s="303"/>
      <c r="AJ73" s="300"/>
      <c r="AK73" s="300"/>
      <c r="AL73" s="300"/>
      <c r="AM73" s="300"/>
      <c r="AN73" s="300"/>
      <c r="AO73" s="300"/>
      <c r="AP73" s="300"/>
      <c r="AQ73" s="300"/>
      <c r="AR73" s="300"/>
      <c r="AS73" s="300"/>
      <c r="AT73" s="300"/>
      <c r="AU73" s="24"/>
      <c r="AV73" s="42"/>
      <c r="AW73" s="42"/>
      <c r="AX73" s="42"/>
      <c r="AY73" s="42"/>
      <c r="AZ73" s="42"/>
      <c r="BA73" s="42"/>
      <c r="BB73" s="42"/>
      <c r="BC73" s="42"/>
      <c r="BD73" s="42"/>
      <c r="BE73" s="25"/>
      <c r="BF73" s="129"/>
      <c r="BG73" s="130"/>
      <c r="BH73" s="130"/>
      <c r="BI73" s="130"/>
      <c r="BJ73" s="130"/>
      <c r="BK73" s="131"/>
    </row>
    <row r="74" spans="1:63" s="274" customFormat="1" ht="15" customHeight="1" x14ac:dyDescent="0.25">
      <c r="A74" s="24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25"/>
      <c r="M74" s="300"/>
      <c r="N74" s="300"/>
      <c r="O74" s="303" t="s">
        <v>52</v>
      </c>
      <c r="P74" s="303"/>
      <c r="Q74" s="303"/>
      <c r="R74" s="303"/>
      <c r="S74" s="303"/>
      <c r="T74" s="303"/>
      <c r="U74" s="303"/>
      <c r="V74" s="303"/>
      <c r="W74" s="303"/>
      <c r="X74" s="303"/>
      <c r="Y74" s="303"/>
      <c r="Z74" s="303"/>
      <c r="AA74" s="303"/>
      <c r="AB74" s="303"/>
      <c r="AC74" s="303"/>
      <c r="AD74" s="303"/>
      <c r="AE74" s="303"/>
      <c r="AF74" s="303"/>
      <c r="AG74" s="303"/>
      <c r="AH74" s="303"/>
      <c r="AI74" s="303"/>
      <c r="AJ74" s="300"/>
      <c r="AK74" s="300"/>
      <c r="AL74" s="300"/>
      <c r="AM74" s="300"/>
      <c r="AN74" s="300"/>
      <c r="AO74" s="300"/>
      <c r="AP74" s="300"/>
      <c r="AQ74" s="300"/>
      <c r="AR74" s="300"/>
      <c r="AS74" s="300"/>
      <c r="AT74" s="300"/>
      <c r="AU74" s="24"/>
      <c r="AV74" s="42"/>
      <c r="AW74" s="42"/>
      <c r="AX74" s="42"/>
      <c r="AY74" s="42"/>
      <c r="AZ74" s="42"/>
      <c r="BA74" s="42"/>
      <c r="BB74" s="42"/>
      <c r="BC74" s="42"/>
      <c r="BD74" s="42"/>
      <c r="BE74" s="25"/>
      <c r="BF74" s="129"/>
      <c r="BG74" s="130"/>
      <c r="BH74" s="130"/>
      <c r="BI74" s="130"/>
      <c r="BJ74" s="130"/>
      <c r="BK74" s="131"/>
    </row>
    <row r="75" spans="1:63" s="274" customFormat="1" ht="15" customHeight="1" x14ac:dyDescent="0.25">
      <c r="A75" s="24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25"/>
      <c r="M75" s="300"/>
      <c r="N75" s="300"/>
      <c r="O75" s="303" t="s">
        <v>53</v>
      </c>
      <c r="P75" s="303"/>
      <c r="Q75" s="303"/>
      <c r="R75" s="303"/>
      <c r="S75" s="303"/>
      <c r="T75" s="303"/>
      <c r="U75" s="303"/>
      <c r="V75" s="303"/>
      <c r="W75" s="303"/>
      <c r="X75" s="303"/>
      <c r="Y75" s="303"/>
      <c r="Z75" s="303"/>
      <c r="AA75" s="303"/>
      <c r="AB75" s="303"/>
      <c r="AC75" s="303"/>
      <c r="AD75" s="303"/>
      <c r="AE75" s="303"/>
      <c r="AF75" s="303"/>
      <c r="AG75" s="303"/>
      <c r="AH75" s="303"/>
      <c r="AI75" s="303"/>
      <c r="AJ75" s="300"/>
      <c r="AK75" s="300"/>
      <c r="AL75" s="300"/>
      <c r="AM75" s="300"/>
      <c r="AN75" s="300"/>
      <c r="AO75" s="300"/>
      <c r="AP75" s="300"/>
      <c r="AQ75" s="300"/>
      <c r="AR75" s="300"/>
      <c r="AS75" s="300"/>
      <c r="AT75" s="300"/>
      <c r="AU75" s="24"/>
      <c r="AV75" s="42"/>
      <c r="AW75" s="42"/>
      <c r="AX75" s="42"/>
      <c r="AY75" s="42"/>
      <c r="AZ75" s="42"/>
      <c r="BA75" s="42"/>
      <c r="BB75" s="42"/>
      <c r="BC75" s="42"/>
      <c r="BD75" s="42"/>
      <c r="BE75" s="25"/>
      <c r="BF75" s="129"/>
      <c r="BG75" s="130"/>
      <c r="BH75" s="130"/>
      <c r="BI75" s="130"/>
      <c r="BJ75" s="130"/>
      <c r="BK75" s="131"/>
    </row>
    <row r="76" spans="1:63" s="274" customFormat="1" ht="15" customHeight="1" x14ac:dyDescent="0.25">
      <c r="A76" s="24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25"/>
      <c r="M76" s="300"/>
      <c r="N76" s="300"/>
      <c r="O76" s="303"/>
      <c r="P76" s="303" t="s">
        <v>133</v>
      </c>
      <c r="Q76" s="303"/>
      <c r="R76" s="303"/>
      <c r="S76" s="303"/>
      <c r="T76" s="303"/>
      <c r="U76" s="303"/>
      <c r="V76" s="303"/>
      <c r="W76" s="303"/>
      <c r="X76" s="303"/>
      <c r="Y76" s="303"/>
      <c r="Z76" s="303"/>
      <c r="AA76" s="303"/>
      <c r="AB76" s="303"/>
      <c r="AC76" s="303"/>
      <c r="AD76" s="303"/>
      <c r="AE76" s="303"/>
      <c r="AF76" s="303"/>
      <c r="AG76" s="303"/>
      <c r="AH76" s="303"/>
      <c r="AI76" s="303"/>
      <c r="AJ76" s="300"/>
      <c r="AK76" s="300"/>
      <c r="AL76" s="300"/>
      <c r="AM76" s="300"/>
      <c r="AN76" s="300"/>
      <c r="AO76" s="300"/>
      <c r="AP76" s="300"/>
      <c r="AQ76" s="300"/>
      <c r="AR76" s="300"/>
      <c r="AS76" s="300"/>
      <c r="AT76" s="300"/>
      <c r="AU76" s="24"/>
      <c r="AV76" s="42"/>
      <c r="AW76" s="42"/>
      <c r="AX76" s="42"/>
      <c r="AY76" s="42"/>
      <c r="AZ76" s="42"/>
      <c r="BA76" s="42"/>
      <c r="BB76" s="42"/>
      <c r="BC76" s="42"/>
      <c r="BD76" s="42"/>
      <c r="BE76" s="25"/>
      <c r="BF76" s="129"/>
      <c r="BG76" s="130"/>
      <c r="BH76" s="130"/>
      <c r="BI76" s="130"/>
      <c r="BJ76" s="130"/>
      <c r="BK76" s="131"/>
    </row>
    <row r="77" spans="1:63" s="274" customFormat="1" ht="15" customHeight="1" x14ac:dyDescent="0.25">
      <c r="A77" s="24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25"/>
      <c r="M77" s="300"/>
      <c r="N77" s="300"/>
      <c r="O77" s="303"/>
      <c r="P77" s="303" t="s">
        <v>134</v>
      </c>
      <c r="Q77" s="303"/>
      <c r="R77" s="303"/>
      <c r="S77" s="303"/>
      <c r="T77" s="303"/>
      <c r="U77" s="303"/>
      <c r="V77" s="303"/>
      <c r="W77" s="303"/>
      <c r="X77" s="303"/>
      <c r="Y77" s="303"/>
      <c r="Z77" s="303"/>
      <c r="AA77" s="303"/>
      <c r="AB77" s="303"/>
      <c r="AC77" s="303"/>
      <c r="AD77" s="303"/>
      <c r="AE77" s="303"/>
      <c r="AF77" s="303"/>
      <c r="AG77" s="303"/>
      <c r="AH77" s="303"/>
      <c r="AI77" s="303"/>
      <c r="AJ77" s="300"/>
      <c r="AK77" s="300"/>
      <c r="AL77" s="300"/>
      <c r="AM77" s="300"/>
      <c r="AN77" s="300"/>
      <c r="AO77" s="300"/>
      <c r="AP77" s="300"/>
      <c r="AQ77" s="300"/>
      <c r="AR77" s="300"/>
      <c r="AS77" s="300"/>
      <c r="AT77" s="300"/>
      <c r="AU77" s="24"/>
      <c r="AV77" s="42"/>
      <c r="AW77" s="42"/>
      <c r="AX77" s="42"/>
      <c r="AY77" s="42"/>
      <c r="AZ77" s="42"/>
      <c r="BA77" s="42"/>
      <c r="BB77" s="42"/>
      <c r="BC77" s="42"/>
      <c r="BD77" s="42"/>
      <c r="BE77" s="25"/>
      <c r="BF77" s="129"/>
      <c r="BG77" s="130"/>
      <c r="BH77" s="130"/>
      <c r="BI77" s="130"/>
      <c r="BJ77" s="130"/>
      <c r="BK77" s="131"/>
    </row>
    <row r="78" spans="1:63" s="274" customFormat="1" ht="15" customHeight="1" x14ac:dyDescent="0.25">
      <c r="A78" s="24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25"/>
      <c r="M78" s="300"/>
      <c r="N78" s="300"/>
      <c r="O78" s="303"/>
      <c r="P78" s="303" t="s">
        <v>69</v>
      </c>
      <c r="Q78" s="303"/>
      <c r="R78" s="303"/>
      <c r="S78" s="303"/>
      <c r="T78" s="303"/>
      <c r="U78" s="303"/>
      <c r="V78" s="303"/>
      <c r="W78" s="303"/>
      <c r="X78" s="303"/>
      <c r="Y78" s="303"/>
      <c r="Z78" s="303"/>
      <c r="AA78" s="303"/>
      <c r="AB78" s="303"/>
      <c r="AC78" s="303"/>
      <c r="AD78" s="303"/>
      <c r="AE78" s="303"/>
      <c r="AF78" s="303"/>
      <c r="AG78" s="303"/>
      <c r="AH78" s="303"/>
      <c r="AI78" s="303"/>
      <c r="AJ78" s="300"/>
      <c r="AK78" s="300"/>
      <c r="AL78" s="300"/>
      <c r="AM78" s="300"/>
      <c r="AN78" s="300"/>
      <c r="AO78" s="300"/>
      <c r="AP78" s="300"/>
      <c r="AQ78" s="300"/>
      <c r="AR78" s="300"/>
      <c r="AS78" s="300"/>
      <c r="AT78" s="300"/>
      <c r="AU78" s="24"/>
      <c r="AV78" s="42"/>
      <c r="AW78" s="42"/>
      <c r="AX78" s="42"/>
      <c r="AY78" s="42"/>
      <c r="AZ78" s="42"/>
      <c r="BA78" s="42"/>
      <c r="BB78" s="42"/>
      <c r="BC78" s="42"/>
      <c r="BD78" s="42"/>
      <c r="BE78" s="25"/>
      <c r="BF78" s="129"/>
      <c r="BG78" s="130"/>
      <c r="BH78" s="130"/>
      <c r="BI78" s="130"/>
      <c r="BJ78" s="130"/>
      <c r="BK78" s="131"/>
    </row>
    <row r="79" spans="1:63" s="274" customFormat="1" ht="15" customHeight="1" x14ac:dyDescent="0.25">
      <c r="A79" s="24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25"/>
      <c r="M79" s="300"/>
      <c r="N79" s="300"/>
      <c r="O79" s="303"/>
      <c r="P79" s="303" t="s">
        <v>135</v>
      </c>
      <c r="Q79" s="303"/>
      <c r="R79" s="303"/>
      <c r="S79" s="303"/>
      <c r="T79" s="303"/>
      <c r="U79" s="303"/>
      <c r="V79" s="303"/>
      <c r="W79" s="303"/>
      <c r="X79" s="303"/>
      <c r="Y79" s="303"/>
      <c r="Z79" s="303"/>
      <c r="AA79" s="303"/>
      <c r="AB79" s="303"/>
      <c r="AC79" s="303"/>
      <c r="AD79" s="303"/>
      <c r="AE79" s="303"/>
      <c r="AF79" s="303"/>
      <c r="AG79" s="303"/>
      <c r="AH79" s="303"/>
      <c r="AI79" s="303"/>
      <c r="AJ79" s="300"/>
      <c r="AK79" s="300"/>
      <c r="AL79" s="300"/>
      <c r="AM79" s="300"/>
      <c r="AN79" s="300"/>
      <c r="AO79" s="300"/>
      <c r="AP79" s="300"/>
      <c r="AQ79" s="300"/>
      <c r="AR79" s="300"/>
      <c r="AS79" s="300"/>
      <c r="AT79" s="300"/>
      <c r="AU79" s="24"/>
      <c r="AV79" s="42"/>
      <c r="AW79" s="42"/>
      <c r="AX79" s="42"/>
      <c r="AY79" s="42"/>
      <c r="AZ79" s="42"/>
      <c r="BA79" s="42"/>
      <c r="BB79" s="42"/>
      <c r="BC79" s="42"/>
      <c r="BD79" s="42"/>
      <c r="BE79" s="25"/>
      <c r="BF79" s="129"/>
      <c r="BG79" s="130"/>
      <c r="BH79" s="130"/>
      <c r="BI79" s="130"/>
      <c r="BJ79" s="130"/>
      <c r="BK79" s="131"/>
    </row>
    <row r="80" spans="1:63" s="274" customFormat="1" ht="33" customHeight="1" x14ac:dyDescent="0.25">
      <c r="A80" s="24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25"/>
      <c r="M80" s="300"/>
      <c r="N80" s="300"/>
      <c r="O80" s="303"/>
      <c r="P80" s="324" t="s">
        <v>136</v>
      </c>
      <c r="Q80" s="324"/>
      <c r="R80" s="324"/>
      <c r="S80" s="324"/>
      <c r="T80" s="324"/>
      <c r="U80" s="324"/>
      <c r="V80" s="324"/>
      <c r="W80" s="324"/>
      <c r="X80" s="324"/>
      <c r="Y80" s="324"/>
      <c r="Z80" s="324"/>
      <c r="AA80" s="324"/>
      <c r="AB80" s="324"/>
      <c r="AC80" s="324"/>
      <c r="AD80" s="324"/>
      <c r="AE80" s="324"/>
      <c r="AF80" s="324"/>
      <c r="AG80" s="324"/>
      <c r="AH80" s="324"/>
      <c r="AI80" s="324"/>
      <c r="AJ80" s="324"/>
      <c r="AK80" s="324"/>
      <c r="AL80" s="324"/>
      <c r="AM80" s="324"/>
      <c r="AN80" s="324"/>
      <c r="AO80" s="324"/>
      <c r="AP80" s="324"/>
      <c r="AQ80" s="324"/>
      <c r="AR80" s="324"/>
      <c r="AS80" s="300"/>
      <c r="AT80" s="300"/>
      <c r="AU80" s="24"/>
      <c r="AV80" s="42"/>
      <c r="AW80" s="42"/>
      <c r="AX80" s="42"/>
      <c r="AY80" s="42"/>
      <c r="AZ80" s="42"/>
      <c r="BA80" s="42"/>
      <c r="BB80" s="42"/>
      <c r="BC80" s="42"/>
      <c r="BD80" s="42"/>
      <c r="BE80" s="25"/>
      <c r="BF80" s="129"/>
      <c r="BG80" s="130"/>
      <c r="BH80" s="130"/>
      <c r="BI80" s="130"/>
      <c r="BJ80" s="130"/>
      <c r="BK80" s="131"/>
    </row>
    <row r="81" spans="1:63" s="274" customFormat="1" ht="33.75" customHeight="1" x14ac:dyDescent="0.25">
      <c r="A81" s="24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25"/>
      <c r="M81" s="300"/>
      <c r="N81" s="300"/>
      <c r="O81" s="303"/>
      <c r="P81" s="324" t="s">
        <v>137</v>
      </c>
      <c r="Q81" s="324"/>
      <c r="R81" s="324"/>
      <c r="S81" s="324"/>
      <c r="T81" s="324"/>
      <c r="U81" s="324"/>
      <c r="V81" s="324"/>
      <c r="W81" s="324"/>
      <c r="X81" s="324"/>
      <c r="Y81" s="324"/>
      <c r="Z81" s="324"/>
      <c r="AA81" s="324"/>
      <c r="AB81" s="324"/>
      <c r="AC81" s="324"/>
      <c r="AD81" s="324"/>
      <c r="AE81" s="324"/>
      <c r="AF81" s="324"/>
      <c r="AG81" s="324"/>
      <c r="AH81" s="324"/>
      <c r="AI81" s="324"/>
      <c r="AJ81" s="324"/>
      <c r="AK81" s="324"/>
      <c r="AL81" s="324"/>
      <c r="AM81" s="324"/>
      <c r="AN81" s="324"/>
      <c r="AO81" s="324"/>
      <c r="AP81" s="324"/>
      <c r="AQ81" s="324"/>
      <c r="AR81" s="324"/>
      <c r="AS81" s="300"/>
      <c r="AT81" s="300"/>
      <c r="AU81" s="24"/>
      <c r="AV81" s="42"/>
      <c r="AW81" s="42"/>
      <c r="AX81" s="42"/>
      <c r="AY81" s="42"/>
      <c r="AZ81" s="42"/>
      <c r="BA81" s="42"/>
      <c r="BB81" s="42"/>
      <c r="BC81" s="42"/>
      <c r="BD81" s="42"/>
      <c r="BE81" s="25"/>
      <c r="BF81" s="129"/>
      <c r="BG81" s="130"/>
      <c r="BH81" s="130"/>
      <c r="BI81" s="130"/>
      <c r="BJ81" s="130"/>
      <c r="BK81" s="131"/>
    </row>
    <row r="82" spans="1:63" s="274" customFormat="1" ht="15" customHeight="1" x14ac:dyDescent="0.25">
      <c r="A82" s="24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25"/>
      <c r="M82" s="300"/>
      <c r="N82" s="300"/>
      <c r="O82" s="303"/>
      <c r="P82" s="325" t="s">
        <v>138</v>
      </c>
      <c r="Q82" s="325"/>
      <c r="R82" s="325"/>
      <c r="S82" s="325"/>
      <c r="T82" s="325"/>
      <c r="U82" s="325"/>
      <c r="V82" s="325"/>
      <c r="W82" s="325"/>
      <c r="X82" s="325"/>
      <c r="Y82" s="325"/>
      <c r="Z82" s="325"/>
      <c r="AA82" s="325"/>
      <c r="AB82" s="325"/>
      <c r="AC82" s="325"/>
      <c r="AD82" s="325"/>
      <c r="AE82" s="325"/>
      <c r="AF82" s="325"/>
      <c r="AG82" s="325"/>
      <c r="AH82" s="325"/>
      <c r="AI82" s="325"/>
      <c r="AJ82" s="325"/>
      <c r="AK82" s="325"/>
      <c r="AL82" s="325"/>
      <c r="AM82" s="325"/>
      <c r="AN82" s="325"/>
      <c r="AO82" s="325"/>
      <c r="AP82" s="325"/>
      <c r="AQ82" s="325"/>
      <c r="AR82" s="325"/>
      <c r="AS82" s="300"/>
      <c r="AT82" s="300"/>
      <c r="AU82" s="24"/>
      <c r="AV82" s="42"/>
      <c r="AW82" s="42"/>
      <c r="AX82" s="42"/>
      <c r="AY82" s="42"/>
      <c r="AZ82" s="42"/>
      <c r="BA82" s="42"/>
      <c r="BB82" s="42"/>
      <c r="BC82" s="42"/>
      <c r="BD82" s="42"/>
      <c r="BE82" s="25"/>
      <c r="BF82" s="129"/>
      <c r="BG82" s="130"/>
      <c r="BH82" s="130"/>
      <c r="BI82" s="130"/>
      <c r="BJ82" s="130"/>
      <c r="BK82" s="131"/>
    </row>
    <row r="83" spans="1:63" s="274" customFormat="1" ht="15" customHeight="1" x14ac:dyDescent="0.25">
      <c r="A83" s="24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25"/>
      <c r="M83" s="300"/>
      <c r="N83" s="300"/>
      <c r="O83" s="303"/>
      <c r="P83" s="325"/>
      <c r="Q83" s="325"/>
      <c r="R83" s="325"/>
      <c r="S83" s="325"/>
      <c r="T83" s="325"/>
      <c r="U83" s="325"/>
      <c r="V83" s="325"/>
      <c r="W83" s="325"/>
      <c r="X83" s="325"/>
      <c r="Y83" s="325"/>
      <c r="Z83" s="325"/>
      <c r="AA83" s="325"/>
      <c r="AB83" s="325"/>
      <c r="AC83" s="325"/>
      <c r="AD83" s="325"/>
      <c r="AE83" s="325"/>
      <c r="AF83" s="325"/>
      <c r="AG83" s="325"/>
      <c r="AH83" s="325"/>
      <c r="AI83" s="325"/>
      <c r="AJ83" s="325"/>
      <c r="AK83" s="325"/>
      <c r="AL83" s="325"/>
      <c r="AM83" s="325"/>
      <c r="AN83" s="325"/>
      <c r="AO83" s="325"/>
      <c r="AP83" s="325"/>
      <c r="AQ83" s="325"/>
      <c r="AR83" s="325"/>
      <c r="AS83" s="300"/>
      <c r="AT83" s="300"/>
      <c r="AU83" s="24"/>
      <c r="AV83" s="42"/>
      <c r="AW83" s="42"/>
      <c r="AX83" s="42"/>
      <c r="AY83" s="42"/>
      <c r="AZ83" s="42"/>
      <c r="BA83" s="42"/>
      <c r="BB83" s="42"/>
      <c r="BC83" s="42"/>
      <c r="BD83" s="42"/>
      <c r="BE83" s="25"/>
      <c r="BF83" s="129"/>
      <c r="BG83" s="130"/>
      <c r="BH83" s="130"/>
      <c r="BI83" s="130"/>
      <c r="BJ83" s="130"/>
      <c r="BK83" s="131"/>
    </row>
    <row r="84" spans="1:63" s="274" customFormat="1" ht="33" customHeight="1" x14ac:dyDescent="0.25">
      <c r="A84" s="24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25"/>
      <c r="M84" s="300"/>
      <c r="N84" s="300"/>
      <c r="O84" s="303"/>
      <c r="P84" s="325" t="s">
        <v>139</v>
      </c>
      <c r="Q84" s="325"/>
      <c r="R84" s="325"/>
      <c r="S84" s="325"/>
      <c r="T84" s="325"/>
      <c r="U84" s="325"/>
      <c r="V84" s="325"/>
      <c r="W84" s="325"/>
      <c r="X84" s="325"/>
      <c r="Y84" s="325"/>
      <c r="Z84" s="325"/>
      <c r="AA84" s="325"/>
      <c r="AB84" s="325"/>
      <c r="AC84" s="325"/>
      <c r="AD84" s="325"/>
      <c r="AE84" s="325"/>
      <c r="AF84" s="325"/>
      <c r="AG84" s="325"/>
      <c r="AH84" s="325"/>
      <c r="AI84" s="325"/>
      <c r="AJ84" s="325"/>
      <c r="AK84" s="325"/>
      <c r="AL84" s="325"/>
      <c r="AM84" s="325"/>
      <c r="AN84" s="325"/>
      <c r="AO84" s="325"/>
      <c r="AP84" s="325"/>
      <c r="AQ84" s="325"/>
      <c r="AR84" s="325"/>
      <c r="AS84" s="300"/>
      <c r="AT84" s="300"/>
      <c r="AU84" s="24"/>
      <c r="AV84" s="42"/>
      <c r="AW84" s="42"/>
      <c r="AX84" s="42"/>
      <c r="AY84" s="42"/>
      <c r="AZ84" s="42"/>
      <c r="BA84" s="42"/>
      <c r="BB84" s="42"/>
      <c r="BC84" s="42"/>
      <c r="BD84" s="42"/>
      <c r="BE84" s="25"/>
      <c r="BF84" s="129"/>
      <c r="BG84" s="130"/>
      <c r="BH84" s="130"/>
      <c r="BI84" s="130"/>
      <c r="BJ84" s="130"/>
      <c r="BK84" s="131"/>
    </row>
    <row r="85" spans="1:63" s="274" customFormat="1" ht="33" customHeight="1" x14ac:dyDescent="0.25">
      <c r="A85" s="24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25"/>
      <c r="M85" s="300"/>
      <c r="N85" s="300"/>
      <c r="O85" s="303"/>
      <c r="P85" s="325" t="s">
        <v>140</v>
      </c>
      <c r="Q85" s="325"/>
      <c r="R85" s="325"/>
      <c r="S85" s="325"/>
      <c r="T85" s="325"/>
      <c r="U85" s="325"/>
      <c r="V85" s="325"/>
      <c r="W85" s="325"/>
      <c r="X85" s="325"/>
      <c r="Y85" s="325"/>
      <c r="Z85" s="325"/>
      <c r="AA85" s="325"/>
      <c r="AB85" s="325"/>
      <c r="AC85" s="325"/>
      <c r="AD85" s="325"/>
      <c r="AE85" s="325"/>
      <c r="AF85" s="325"/>
      <c r="AG85" s="325"/>
      <c r="AH85" s="325"/>
      <c r="AI85" s="325"/>
      <c r="AJ85" s="325"/>
      <c r="AK85" s="325"/>
      <c r="AL85" s="325"/>
      <c r="AM85" s="325"/>
      <c r="AN85" s="325"/>
      <c r="AO85" s="325"/>
      <c r="AP85" s="325"/>
      <c r="AQ85" s="325"/>
      <c r="AR85" s="325"/>
      <c r="AS85" s="300"/>
      <c r="AT85" s="300"/>
      <c r="AU85" s="24"/>
      <c r="AV85" s="42"/>
      <c r="AW85" s="42"/>
      <c r="AX85" s="42"/>
      <c r="AY85" s="42"/>
      <c r="AZ85" s="42"/>
      <c r="BA85" s="42"/>
      <c r="BB85" s="42"/>
      <c r="BC85" s="42"/>
      <c r="BD85" s="42"/>
      <c r="BE85" s="25"/>
      <c r="BF85" s="129"/>
      <c r="BG85" s="130"/>
      <c r="BH85" s="130"/>
      <c r="BI85" s="130"/>
      <c r="BJ85" s="130"/>
      <c r="BK85" s="131"/>
    </row>
    <row r="86" spans="1:63" s="274" customFormat="1" ht="15" customHeight="1" x14ac:dyDescent="0.25">
      <c r="A86" s="24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25"/>
      <c r="M86" s="300"/>
      <c r="N86" s="300"/>
      <c r="O86" s="303"/>
      <c r="P86" s="303" t="s">
        <v>141</v>
      </c>
      <c r="Q86" s="303"/>
      <c r="R86" s="303"/>
      <c r="S86" s="303"/>
      <c r="T86" s="303"/>
      <c r="U86" s="303"/>
      <c r="V86" s="303"/>
      <c r="W86" s="303"/>
      <c r="X86" s="303"/>
      <c r="Y86" s="303"/>
      <c r="Z86" s="303"/>
      <c r="AA86" s="303"/>
      <c r="AB86" s="303"/>
      <c r="AC86" s="303"/>
      <c r="AD86" s="303"/>
      <c r="AE86" s="303"/>
      <c r="AF86" s="303"/>
      <c r="AG86" s="303"/>
      <c r="AH86" s="303"/>
      <c r="AI86" s="303"/>
      <c r="AJ86" s="300"/>
      <c r="AK86" s="300"/>
      <c r="AL86" s="300"/>
      <c r="AM86" s="300"/>
      <c r="AN86" s="300"/>
      <c r="AO86" s="300"/>
      <c r="AP86" s="300"/>
      <c r="AQ86" s="300"/>
      <c r="AR86" s="300"/>
      <c r="AS86" s="300"/>
      <c r="AT86" s="300"/>
      <c r="AU86" s="24"/>
      <c r="AV86" s="42"/>
      <c r="AW86" s="42"/>
      <c r="AX86" s="42"/>
      <c r="AY86" s="42"/>
      <c r="AZ86" s="42"/>
      <c r="BA86" s="42"/>
      <c r="BB86" s="42"/>
      <c r="BC86" s="42"/>
      <c r="BD86" s="42"/>
      <c r="BE86" s="25"/>
      <c r="BF86" s="129"/>
      <c r="BG86" s="130"/>
      <c r="BH86" s="130"/>
      <c r="BI86" s="130"/>
      <c r="BJ86" s="130"/>
      <c r="BK86" s="131"/>
    </row>
    <row r="87" spans="1:63" s="274" customFormat="1" ht="15" customHeight="1" x14ac:dyDescent="0.25">
      <c r="A87" s="24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25"/>
      <c r="M87" s="300"/>
      <c r="O87" s="303"/>
      <c r="P87" s="303"/>
      <c r="Q87" s="303"/>
      <c r="R87" s="303"/>
      <c r="S87" s="303"/>
      <c r="T87" s="303"/>
      <c r="U87" s="303"/>
      <c r="V87" s="303"/>
      <c r="W87" s="303"/>
      <c r="X87" s="303"/>
      <c r="Y87" s="303"/>
      <c r="Z87" s="303"/>
      <c r="AA87" s="303"/>
      <c r="AB87" s="303"/>
      <c r="AC87" s="303"/>
      <c r="AD87" s="303"/>
      <c r="AE87" s="303"/>
      <c r="AF87" s="303"/>
      <c r="AG87" s="303"/>
      <c r="AH87" s="303"/>
      <c r="AI87" s="303"/>
      <c r="AJ87" s="300"/>
      <c r="AK87" s="300"/>
      <c r="AL87" s="300"/>
      <c r="AM87" s="300"/>
      <c r="AN87" s="300"/>
      <c r="AO87" s="300"/>
      <c r="AP87" s="300"/>
      <c r="AQ87" s="300"/>
      <c r="AR87" s="300"/>
      <c r="AS87" s="300"/>
      <c r="AT87" s="300"/>
      <c r="AU87" s="24"/>
      <c r="AV87" s="42"/>
      <c r="AW87" s="42"/>
      <c r="AX87" s="42"/>
      <c r="AY87" s="42"/>
      <c r="AZ87" s="42"/>
      <c r="BA87" s="42"/>
      <c r="BB87" s="42"/>
      <c r="BC87" s="42"/>
      <c r="BD87" s="42"/>
      <c r="BE87" s="25"/>
      <c r="BF87" s="129"/>
      <c r="BG87" s="130"/>
      <c r="BH87" s="130"/>
      <c r="BI87" s="130"/>
      <c r="BJ87" s="130"/>
      <c r="BK87" s="131"/>
    </row>
    <row r="88" spans="1:63" s="274" customFormat="1" ht="15" customHeight="1" x14ac:dyDescent="0.25">
      <c r="A88" s="24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25"/>
      <c r="M88" s="300"/>
      <c r="N88" s="57" t="s">
        <v>142</v>
      </c>
      <c r="O88" s="303"/>
      <c r="P88" s="303"/>
      <c r="Q88" s="303"/>
      <c r="R88" s="303"/>
      <c r="S88" s="303"/>
      <c r="T88" s="303"/>
      <c r="U88" s="303"/>
      <c r="V88" s="303"/>
      <c r="W88" s="303"/>
      <c r="X88" s="303"/>
      <c r="Y88" s="303"/>
      <c r="Z88" s="303"/>
      <c r="AA88" s="303"/>
      <c r="AB88" s="303"/>
      <c r="AC88" s="303"/>
      <c r="AD88" s="303"/>
      <c r="AE88" s="303"/>
      <c r="AF88" s="303"/>
      <c r="AG88" s="303"/>
      <c r="AH88" s="303"/>
      <c r="AI88" s="303"/>
      <c r="AJ88" s="300"/>
      <c r="AK88" s="300"/>
      <c r="AL88" s="300"/>
      <c r="AM88" s="300"/>
      <c r="AN88" s="300"/>
      <c r="AO88" s="300"/>
      <c r="AP88" s="300"/>
      <c r="AQ88" s="300"/>
      <c r="AR88" s="300"/>
      <c r="AS88" s="300"/>
      <c r="AT88" s="300"/>
      <c r="AU88" s="24"/>
      <c r="AV88" s="42"/>
      <c r="AW88" s="42"/>
      <c r="AX88" s="42"/>
      <c r="AY88" s="42"/>
      <c r="AZ88" s="42"/>
      <c r="BA88" s="42"/>
      <c r="BB88" s="42"/>
      <c r="BC88" s="42"/>
      <c r="BD88" s="42"/>
      <c r="BE88" s="25"/>
      <c r="BF88" s="129"/>
      <c r="BG88" s="130"/>
      <c r="BH88" s="130"/>
      <c r="BI88" s="130"/>
      <c r="BJ88" s="130"/>
      <c r="BK88" s="131"/>
    </row>
    <row r="89" spans="1:63" s="274" customFormat="1" ht="15" customHeight="1" x14ac:dyDescent="0.25">
      <c r="A89" s="24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25"/>
      <c r="M89" s="300"/>
      <c r="N89" s="300"/>
      <c r="O89" s="300"/>
      <c r="P89" s="303"/>
      <c r="Q89" s="303"/>
      <c r="R89" s="303"/>
      <c r="S89" s="303"/>
      <c r="T89" s="303"/>
      <c r="U89" s="303"/>
      <c r="V89" s="303"/>
      <c r="W89" s="303"/>
      <c r="X89" s="303"/>
      <c r="Y89" s="303"/>
      <c r="Z89" s="303"/>
      <c r="AA89" s="303"/>
      <c r="AB89" s="303"/>
      <c r="AC89" s="303"/>
      <c r="AD89" s="303"/>
      <c r="AE89" s="303"/>
      <c r="AF89" s="303"/>
      <c r="AG89" s="303"/>
      <c r="AH89" s="303"/>
      <c r="AI89" s="303"/>
      <c r="AJ89" s="300"/>
      <c r="AK89" s="300"/>
      <c r="AL89" s="300"/>
      <c r="AM89" s="300"/>
      <c r="AN89" s="300"/>
      <c r="AO89" s="300"/>
      <c r="AP89" s="300"/>
      <c r="AQ89" s="300"/>
      <c r="AR89" s="300"/>
      <c r="AS89" s="300"/>
      <c r="AT89" s="300"/>
      <c r="AU89" s="24"/>
      <c r="AV89" s="42"/>
      <c r="AW89" s="42"/>
      <c r="AX89" s="42"/>
      <c r="AY89" s="42"/>
      <c r="AZ89" s="42"/>
      <c r="BA89" s="42"/>
      <c r="BB89" s="42"/>
      <c r="BC89" s="42"/>
      <c r="BD89" s="42"/>
      <c r="BE89" s="25"/>
      <c r="BF89" s="129"/>
      <c r="BG89" s="130"/>
      <c r="BH89" s="130"/>
      <c r="BI89" s="130"/>
      <c r="BJ89" s="130"/>
      <c r="BK89" s="131"/>
    </row>
    <row r="90" spans="1:63" s="274" customFormat="1" ht="15" customHeight="1" x14ac:dyDescent="0.25">
      <c r="A90" s="24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25"/>
      <c r="M90" s="302"/>
      <c r="N90" s="300"/>
      <c r="O90" s="303" t="s">
        <v>54</v>
      </c>
      <c r="P90" s="303"/>
      <c r="Q90" s="303"/>
      <c r="R90" s="303"/>
      <c r="S90" s="303"/>
      <c r="T90" s="303"/>
      <c r="U90" s="303"/>
      <c r="V90" s="303"/>
      <c r="W90" s="303"/>
      <c r="X90" s="303"/>
      <c r="Y90" s="303"/>
      <c r="Z90" s="303"/>
      <c r="AA90" s="303"/>
      <c r="AB90" s="303"/>
      <c r="AC90" s="303"/>
      <c r="AD90" s="303"/>
      <c r="AE90" s="303"/>
      <c r="AF90" s="303"/>
      <c r="AG90" s="303"/>
      <c r="AH90" s="303"/>
      <c r="AI90" s="303"/>
      <c r="AJ90" s="300"/>
      <c r="AK90" s="300"/>
      <c r="AL90" s="300"/>
      <c r="AM90" s="300"/>
      <c r="AN90" s="300"/>
      <c r="AO90" s="300"/>
      <c r="AP90" s="300"/>
      <c r="AQ90" s="300"/>
      <c r="AR90" s="300"/>
      <c r="AS90" s="300"/>
      <c r="AT90" s="300"/>
      <c r="AU90" s="24"/>
      <c r="AV90" s="42"/>
      <c r="AW90" s="42"/>
      <c r="AX90" s="42"/>
      <c r="AY90" s="42"/>
      <c r="AZ90" s="42"/>
      <c r="BA90" s="42"/>
      <c r="BB90" s="42"/>
      <c r="BC90" s="42"/>
      <c r="BD90" s="42"/>
      <c r="BE90" s="25"/>
      <c r="BF90" s="129"/>
      <c r="BG90" s="130"/>
      <c r="BH90" s="130"/>
      <c r="BI90" s="130"/>
      <c r="BJ90" s="130"/>
      <c r="BK90" s="131"/>
    </row>
    <row r="91" spans="1:63" s="274" customFormat="1" ht="15" customHeight="1" x14ac:dyDescent="0.25">
      <c r="A91" s="24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25"/>
      <c r="M91" s="300"/>
      <c r="O91" s="303"/>
      <c r="P91" s="303"/>
      <c r="Q91" s="303"/>
      <c r="R91" s="303"/>
      <c r="S91" s="303"/>
      <c r="T91" s="303"/>
      <c r="U91" s="303"/>
      <c r="V91" s="303"/>
      <c r="W91" s="303"/>
      <c r="X91" s="303"/>
      <c r="Y91" s="303"/>
      <c r="Z91" s="303"/>
      <c r="AA91" s="303"/>
      <c r="AB91" s="303"/>
      <c r="AC91" s="303"/>
      <c r="AD91" s="303"/>
      <c r="AE91" s="303"/>
      <c r="AF91" s="303"/>
      <c r="AG91" s="303"/>
      <c r="AH91" s="303"/>
      <c r="AI91" s="303"/>
      <c r="AJ91" s="300"/>
      <c r="AK91" s="300"/>
      <c r="AL91" s="300"/>
      <c r="AM91" s="300"/>
      <c r="AN91" s="300"/>
      <c r="AO91" s="300"/>
      <c r="AP91" s="300"/>
      <c r="AQ91" s="300"/>
      <c r="AR91" s="300"/>
      <c r="AS91" s="300"/>
      <c r="AT91" s="300"/>
      <c r="AU91" s="24"/>
      <c r="AV91" s="42"/>
      <c r="AW91" s="42"/>
      <c r="AX91" s="42"/>
      <c r="AY91" s="42"/>
      <c r="AZ91" s="42"/>
      <c r="BA91" s="42"/>
      <c r="BB91" s="42"/>
      <c r="BC91" s="42"/>
      <c r="BD91" s="42"/>
      <c r="BE91" s="25"/>
      <c r="BF91" s="129"/>
      <c r="BG91" s="130"/>
      <c r="BH91" s="130"/>
      <c r="BI91" s="130"/>
      <c r="BJ91" s="130"/>
      <c r="BK91" s="131"/>
    </row>
    <row r="92" spans="1:63" s="274" customFormat="1" ht="15" customHeight="1" x14ac:dyDescent="0.25">
      <c r="A92" s="24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25"/>
      <c r="M92" s="302"/>
      <c r="N92" s="300"/>
      <c r="O92" s="53" t="s">
        <v>23</v>
      </c>
      <c r="P92" s="54"/>
      <c r="Q92" s="54"/>
      <c r="R92" s="54"/>
      <c r="S92" s="54"/>
      <c r="T92" s="54"/>
      <c r="U92" s="54"/>
      <c r="V92" s="53" t="s">
        <v>24</v>
      </c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5"/>
      <c r="AM92" s="300"/>
      <c r="AN92" s="300"/>
      <c r="AO92" s="300"/>
      <c r="AP92" s="300"/>
      <c r="AQ92" s="300"/>
      <c r="AR92" s="300"/>
      <c r="AS92" s="300"/>
      <c r="AT92" s="300"/>
      <c r="AU92" s="24"/>
      <c r="AV92" s="42"/>
      <c r="AW92" s="42"/>
      <c r="AX92" s="42"/>
      <c r="AY92" s="42"/>
      <c r="AZ92" s="42"/>
      <c r="BA92" s="42"/>
      <c r="BB92" s="42"/>
      <c r="BC92" s="42"/>
      <c r="BD92" s="42"/>
      <c r="BE92" s="25"/>
      <c r="BF92" s="129"/>
      <c r="BG92" s="130"/>
      <c r="BH92" s="130"/>
      <c r="BI92" s="130"/>
      <c r="BJ92" s="130"/>
      <c r="BK92" s="131"/>
    </row>
    <row r="93" spans="1:63" s="274" customFormat="1" ht="15" customHeight="1" x14ac:dyDescent="0.25">
      <c r="A93" s="24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25"/>
      <c r="M93" s="300"/>
      <c r="N93" s="300"/>
      <c r="O93" s="326" t="s">
        <v>25</v>
      </c>
      <c r="P93" s="327"/>
      <c r="Q93" s="327"/>
      <c r="R93" s="327"/>
      <c r="S93" s="327"/>
      <c r="T93" s="327"/>
      <c r="U93" s="328"/>
      <c r="V93" s="306" t="s">
        <v>61</v>
      </c>
      <c r="W93" s="307"/>
      <c r="X93" s="307"/>
      <c r="Y93" s="307"/>
      <c r="Z93" s="307"/>
      <c r="AA93" s="307"/>
      <c r="AB93" s="307"/>
      <c r="AC93" s="307"/>
      <c r="AD93" s="307"/>
      <c r="AE93" s="307"/>
      <c r="AF93" s="307"/>
      <c r="AG93" s="307"/>
      <c r="AH93" s="307"/>
      <c r="AI93" s="307"/>
      <c r="AJ93" s="307"/>
      <c r="AK93" s="307"/>
      <c r="AL93" s="308"/>
      <c r="AM93" s="300"/>
      <c r="AN93" s="300"/>
      <c r="AO93" s="300"/>
      <c r="AP93" s="300"/>
      <c r="AQ93" s="300"/>
      <c r="AR93" s="300"/>
      <c r="AS93" s="300"/>
      <c r="AT93" s="300"/>
      <c r="AU93" s="24"/>
      <c r="AV93" s="42"/>
      <c r="AW93" s="42"/>
      <c r="AX93" s="42"/>
      <c r="AY93" s="42"/>
      <c r="AZ93" s="42"/>
      <c r="BA93" s="42"/>
      <c r="BB93" s="42"/>
      <c r="BC93" s="42"/>
      <c r="BD93" s="42"/>
      <c r="BE93" s="25"/>
      <c r="BF93" s="129"/>
      <c r="BG93" s="130"/>
      <c r="BH93" s="130"/>
      <c r="BI93" s="130"/>
      <c r="BJ93" s="130"/>
      <c r="BK93" s="131"/>
    </row>
    <row r="94" spans="1:63" s="274" customFormat="1" ht="15" customHeight="1" x14ac:dyDescent="0.25">
      <c r="A94" s="24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25"/>
      <c r="M94" s="300"/>
      <c r="N94" s="300"/>
      <c r="O94" s="326" t="s">
        <v>55</v>
      </c>
      <c r="P94" s="327"/>
      <c r="Q94" s="327"/>
      <c r="R94" s="327"/>
      <c r="S94" s="327"/>
      <c r="T94" s="327"/>
      <c r="U94" s="328"/>
      <c r="V94" s="306" t="s">
        <v>143</v>
      </c>
      <c r="W94" s="307"/>
      <c r="X94" s="307"/>
      <c r="Y94" s="307"/>
      <c r="Z94" s="307"/>
      <c r="AA94" s="307"/>
      <c r="AB94" s="307"/>
      <c r="AC94" s="307"/>
      <c r="AD94" s="307"/>
      <c r="AE94" s="307"/>
      <c r="AF94" s="307"/>
      <c r="AG94" s="307"/>
      <c r="AH94" s="307"/>
      <c r="AI94" s="307"/>
      <c r="AJ94" s="307"/>
      <c r="AK94" s="307"/>
      <c r="AL94" s="308"/>
      <c r="AM94" s="300"/>
      <c r="AN94" s="300"/>
      <c r="AO94" s="300"/>
      <c r="AP94" s="300"/>
      <c r="AQ94" s="300"/>
      <c r="AR94" s="300"/>
      <c r="AS94" s="300"/>
      <c r="AT94" s="300"/>
      <c r="AU94" s="24"/>
      <c r="AV94" s="42"/>
      <c r="AW94" s="42"/>
      <c r="AX94" s="42"/>
      <c r="AY94" s="42"/>
      <c r="AZ94" s="42"/>
      <c r="BA94" s="42"/>
      <c r="BB94" s="42"/>
      <c r="BC94" s="42"/>
      <c r="BD94" s="42"/>
      <c r="BE94" s="25"/>
      <c r="BF94" s="129"/>
      <c r="BG94" s="130"/>
      <c r="BH94" s="130"/>
      <c r="BI94" s="130"/>
      <c r="BJ94" s="130"/>
      <c r="BK94" s="131"/>
    </row>
    <row r="95" spans="1:63" s="274" customFormat="1" ht="15" customHeight="1" x14ac:dyDescent="0.25">
      <c r="A95" s="24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25"/>
      <c r="M95" s="300"/>
      <c r="N95" s="300"/>
      <c r="O95" s="326" t="s">
        <v>56</v>
      </c>
      <c r="P95" s="327"/>
      <c r="Q95" s="327"/>
      <c r="R95" s="327"/>
      <c r="S95" s="327"/>
      <c r="T95" s="327"/>
      <c r="U95" s="328"/>
      <c r="V95" s="306" t="s">
        <v>144</v>
      </c>
      <c r="W95" s="307"/>
      <c r="X95" s="307"/>
      <c r="Y95" s="307"/>
      <c r="Z95" s="307"/>
      <c r="AA95" s="307"/>
      <c r="AB95" s="307"/>
      <c r="AC95" s="307"/>
      <c r="AD95" s="307"/>
      <c r="AE95" s="307"/>
      <c r="AF95" s="307"/>
      <c r="AG95" s="307"/>
      <c r="AH95" s="307"/>
      <c r="AI95" s="307"/>
      <c r="AJ95" s="307"/>
      <c r="AK95" s="307"/>
      <c r="AL95" s="308"/>
      <c r="AM95" s="300"/>
      <c r="AN95" s="300"/>
      <c r="AO95" s="300"/>
      <c r="AP95" s="300"/>
      <c r="AQ95" s="300"/>
      <c r="AR95" s="300"/>
      <c r="AS95" s="300"/>
      <c r="AT95" s="300"/>
      <c r="AU95" s="24"/>
      <c r="AV95" s="42"/>
      <c r="AW95" s="42"/>
      <c r="AX95" s="42"/>
      <c r="AY95" s="42"/>
      <c r="AZ95" s="42"/>
      <c r="BA95" s="42"/>
      <c r="BB95" s="42"/>
      <c r="BC95" s="42"/>
      <c r="BD95" s="42"/>
      <c r="BE95" s="25"/>
      <c r="BF95" s="129"/>
      <c r="BG95" s="130"/>
      <c r="BH95" s="130"/>
      <c r="BI95" s="130"/>
      <c r="BJ95" s="130"/>
      <c r="BK95" s="131"/>
    </row>
    <row r="96" spans="1:63" s="274" customFormat="1" ht="15" customHeight="1" x14ac:dyDescent="0.25">
      <c r="A96" s="24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25"/>
      <c r="M96" s="300"/>
      <c r="N96" s="300"/>
      <c r="O96" s="329" t="s">
        <v>145</v>
      </c>
      <c r="P96" s="330"/>
      <c r="Q96" s="330"/>
      <c r="R96" s="330"/>
      <c r="S96" s="330"/>
      <c r="T96" s="330"/>
      <c r="U96" s="331"/>
      <c r="V96" s="332" t="s">
        <v>146</v>
      </c>
      <c r="W96" s="333"/>
      <c r="X96" s="333"/>
      <c r="Y96" s="333"/>
      <c r="Z96" s="333"/>
      <c r="AA96" s="333"/>
      <c r="AB96" s="333"/>
      <c r="AC96" s="333"/>
      <c r="AD96" s="333"/>
      <c r="AE96" s="333"/>
      <c r="AF96" s="333"/>
      <c r="AG96" s="333"/>
      <c r="AH96" s="333"/>
      <c r="AI96" s="333"/>
      <c r="AJ96" s="333"/>
      <c r="AK96" s="333"/>
      <c r="AL96" s="334"/>
      <c r="AM96" s="300"/>
      <c r="AN96" s="300"/>
      <c r="AO96" s="300"/>
      <c r="AP96" s="300"/>
      <c r="AQ96" s="300"/>
      <c r="AR96" s="300"/>
      <c r="AS96" s="300"/>
      <c r="AT96" s="300"/>
      <c r="AU96" s="24"/>
      <c r="AV96" s="42"/>
      <c r="AW96" s="42"/>
      <c r="AX96" s="42"/>
      <c r="AY96" s="42"/>
      <c r="AZ96" s="42"/>
      <c r="BA96" s="42"/>
      <c r="BB96" s="42"/>
      <c r="BC96" s="42"/>
      <c r="BD96" s="42"/>
      <c r="BE96" s="25"/>
      <c r="BF96" s="129"/>
      <c r="BG96" s="130"/>
      <c r="BH96" s="130"/>
      <c r="BI96" s="130"/>
      <c r="BJ96" s="130"/>
      <c r="BK96" s="131"/>
    </row>
    <row r="97" spans="1:63" s="274" customFormat="1" ht="15" customHeight="1" x14ac:dyDescent="0.25">
      <c r="A97" s="24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25"/>
      <c r="M97" s="300"/>
      <c r="N97" s="300"/>
      <c r="O97" s="329" t="s">
        <v>147</v>
      </c>
      <c r="P97" s="330"/>
      <c r="Q97" s="330"/>
      <c r="R97" s="330"/>
      <c r="S97" s="330"/>
      <c r="T97" s="330"/>
      <c r="U97" s="331"/>
      <c r="V97" s="332" t="s">
        <v>148</v>
      </c>
      <c r="W97" s="333"/>
      <c r="X97" s="333"/>
      <c r="Y97" s="333"/>
      <c r="Z97" s="333"/>
      <c r="AA97" s="333"/>
      <c r="AB97" s="333"/>
      <c r="AC97" s="333"/>
      <c r="AD97" s="333"/>
      <c r="AE97" s="333"/>
      <c r="AF97" s="333"/>
      <c r="AG97" s="333"/>
      <c r="AH97" s="333"/>
      <c r="AI97" s="333"/>
      <c r="AJ97" s="333"/>
      <c r="AK97" s="333"/>
      <c r="AL97" s="334"/>
      <c r="AM97" s="300"/>
      <c r="AN97" s="300"/>
      <c r="AO97" s="300"/>
      <c r="AP97" s="300"/>
      <c r="AQ97" s="300"/>
      <c r="AR97" s="300"/>
      <c r="AS97" s="300"/>
      <c r="AT97" s="300"/>
      <c r="AU97" s="24"/>
      <c r="AV97" s="42"/>
      <c r="AW97" s="42"/>
      <c r="AX97" s="42"/>
      <c r="AY97" s="42"/>
      <c r="AZ97" s="42"/>
      <c r="BA97" s="42"/>
      <c r="BB97" s="42"/>
      <c r="BC97" s="42"/>
      <c r="BD97" s="42"/>
      <c r="BE97" s="25"/>
      <c r="BF97" s="129"/>
      <c r="BG97" s="130"/>
      <c r="BH97" s="130"/>
      <c r="BI97" s="130"/>
      <c r="BJ97" s="130"/>
      <c r="BK97" s="131"/>
    </row>
    <row r="98" spans="1:63" s="274" customFormat="1" ht="15" customHeight="1" x14ac:dyDescent="0.25">
      <c r="A98" s="24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25"/>
      <c r="M98" s="300"/>
      <c r="O98" s="326" t="s">
        <v>57</v>
      </c>
      <c r="P98" s="327"/>
      <c r="Q98" s="327"/>
      <c r="R98" s="327"/>
      <c r="S98" s="327"/>
      <c r="T98" s="327"/>
      <c r="U98" s="328"/>
      <c r="V98" s="306" t="s">
        <v>62</v>
      </c>
      <c r="W98" s="307"/>
      <c r="X98" s="307"/>
      <c r="Y98" s="307"/>
      <c r="Z98" s="307"/>
      <c r="AA98" s="307"/>
      <c r="AB98" s="307"/>
      <c r="AC98" s="307"/>
      <c r="AD98" s="307"/>
      <c r="AE98" s="307"/>
      <c r="AF98" s="307"/>
      <c r="AG98" s="307"/>
      <c r="AH98" s="307"/>
      <c r="AI98" s="307"/>
      <c r="AJ98" s="307"/>
      <c r="AK98" s="307"/>
      <c r="AL98" s="308"/>
      <c r="AM98" s="300"/>
      <c r="AN98" s="300"/>
      <c r="AO98" s="300"/>
      <c r="AP98" s="300"/>
      <c r="AQ98" s="300"/>
      <c r="AR98" s="300"/>
      <c r="AS98" s="300"/>
      <c r="AT98" s="300"/>
      <c r="AU98" s="24"/>
      <c r="AV98" s="42"/>
      <c r="AW98" s="42"/>
      <c r="AX98" s="42"/>
      <c r="AY98" s="42"/>
      <c r="AZ98" s="42"/>
      <c r="BA98" s="42"/>
      <c r="BB98" s="42"/>
      <c r="BC98" s="42"/>
      <c r="BD98" s="42"/>
      <c r="BE98" s="25"/>
      <c r="BF98" s="129"/>
      <c r="BG98" s="130"/>
      <c r="BH98" s="130"/>
      <c r="BI98" s="130"/>
      <c r="BJ98" s="130"/>
      <c r="BK98" s="131"/>
    </row>
    <row r="99" spans="1:63" s="274" customFormat="1" ht="15" customHeight="1" x14ac:dyDescent="0.25">
      <c r="A99" s="24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25"/>
      <c r="M99" s="300"/>
      <c r="N99" s="300"/>
      <c r="O99" s="326" t="s">
        <v>58</v>
      </c>
      <c r="P99" s="327"/>
      <c r="Q99" s="327"/>
      <c r="R99" s="327"/>
      <c r="S99" s="327"/>
      <c r="T99" s="327"/>
      <c r="U99" s="328"/>
      <c r="V99" s="306" t="s">
        <v>63</v>
      </c>
      <c r="W99" s="307"/>
      <c r="X99" s="307"/>
      <c r="Y99" s="307"/>
      <c r="Z99" s="307"/>
      <c r="AA99" s="307"/>
      <c r="AB99" s="307"/>
      <c r="AC99" s="307"/>
      <c r="AD99" s="307"/>
      <c r="AE99" s="307"/>
      <c r="AF99" s="307"/>
      <c r="AG99" s="307"/>
      <c r="AH99" s="307"/>
      <c r="AI99" s="307"/>
      <c r="AJ99" s="307"/>
      <c r="AK99" s="307"/>
      <c r="AL99" s="308"/>
      <c r="AM99" s="300"/>
      <c r="AN99" s="300"/>
      <c r="AO99" s="300"/>
      <c r="AP99" s="300"/>
      <c r="AQ99" s="300"/>
      <c r="AR99" s="300"/>
      <c r="AS99" s="300"/>
      <c r="AT99" s="300"/>
      <c r="AU99" s="24"/>
      <c r="AV99" s="42"/>
      <c r="AW99" s="42"/>
      <c r="AX99" s="42"/>
      <c r="AY99" s="42"/>
      <c r="AZ99" s="42"/>
      <c r="BA99" s="42"/>
      <c r="BB99" s="42"/>
      <c r="BC99" s="42"/>
      <c r="BD99" s="42"/>
      <c r="BE99" s="25"/>
      <c r="BF99" s="129"/>
      <c r="BG99" s="130"/>
      <c r="BH99" s="130"/>
      <c r="BI99" s="130"/>
      <c r="BJ99" s="130"/>
      <c r="BK99" s="131"/>
    </row>
    <row r="100" spans="1:63" s="274" customFormat="1" ht="15" customHeight="1" x14ac:dyDescent="0.25">
      <c r="A100" s="24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25"/>
      <c r="M100" s="300"/>
      <c r="N100" s="300"/>
      <c r="O100" s="326" t="s">
        <v>59</v>
      </c>
      <c r="P100" s="327"/>
      <c r="Q100" s="327"/>
      <c r="R100" s="327"/>
      <c r="S100" s="327"/>
      <c r="T100" s="327"/>
      <c r="U100" s="328"/>
      <c r="V100" s="306" t="s">
        <v>64</v>
      </c>
      <c r="W100" s="307"/>
      <c r="X100" s="307"/>
      <c r="Y100" s="307"/>
      <c r="Z100" s="307"/>
      <c r="AA100" s="307"/>
      <c r="AB100" s="307"/>
      <c r="AC100" s="307"/>
      <c r="AD100" s="307"/>
      <c r="AE100" s="307"/>
      <c r="AF100" s="307"/>
      <c r="AG100" s="307"/>
      <c r="AH100" s="307"/>
      <c r="AI100" s="307"/>
      <c r="AJ100" s="307"/>
      <c r="AK100" s="307"/>
      <c r="AL100" s="308"/>
      <c r="AM100" s="300"/>
      <c r="AN100" s="300"/>
      <c r="AO100" s="300"/>
      <c r="AP100" s="300"/>
      <c r="AQ100" s="300"/>
      <c r="AR100" s="300"/>
      <c r="AS100" s="300"/>
      <c r="AT100" s="300"/>
      <c r="AU100" s="24"/>
      <c r="AV100" s="42"/>
      <c r="AW100" s="42"/>
      <c r="AX100" s="42"/>
      <c r="AY100" s="42"/>
      <c r="AZ100" s="42"/>
      <c r="BA100" s="42"/>
      <c r="BB100" s="42"/>
      <c r="BC100" s="42"/>
      <c r="BD100" s="42"/>
      <c r="BE100" s="25"/>
      <c r="BF100" s="129"/>
      <c r="BG100" s="130"/>
      <c r="BH100" s="130"/>
      <c r="BI100" s="130"/>
      <c r="BJ100" s="130"/>
      <c r="BK100" s="131"/>
    </row>
    <row r="101" spans="1:63" s="274" customFormat="1" ht="15" customHeight="1" x14ac:dyDescent="0.25">
      <c r="A101" s="24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25"/>
      <c r="M101" s="300"/>
      <c r="N101" s="300"/>
      <c r="O101" s="326" t="s">
        <v>60</v>
      </c>
      <c r="P101" s="327"/>
      <c r="Q101" s="327"/>
      <c r="R101" s="327"/>
      <c r="S101" s="327"/>
      <c r="T101" s="327"/>
      <c r="U101" s="328"/>
      <c r="V101" s="306" t="s">
        <v>65</v>
      </c>
      <c r="W101" s="307"/>
      <c r="X101" s="307"/>
      <c r="Y101" s="307"/>
      <c r="Z101" s="307"/>
      <c r="AA101" s="307"/>
      <c r="AB101" s="307"/>
      <c r="AC101" s="307"/>
      <c r="AD101" s="307"/>
      <c r="AE101" s="307"/>
      <c r="AF101" s="307"/>
      <c r="AG101" s="307"/>
      <c r="AH101" s="307"/>
      <c r="AI101" s="307"/>
      <c r="AJ101" s="307"/>
      <c r="AK101" s="307"/>
      <c r="AL101" s="308"/>
      <c r="AM101" s="300"/>
      <c r="AN101" s="300"/>
      <c r="AO101" s="300"/>
      <c r="AP101" s="300"/>
      <c r="AQ101" s="300"/>
      <c r="AR101" s="300"/>
      <c r="AS101" s="300"/>
      <c r="AT101" s="300"/>
      <c r="AU101" s="24"/>
      <c r="AV101" s="42"/>
      <c r="AW101" s="42"/>
      <c r="AX101" s="42"/>
      <c r="AY101" s="42"/>
      <c r="AZ101" s="42"/>
      <c r="BA101" s="42"/>
      <c r="BB101" s="42"/>
      <c r="BC101" s="42"/>
      <c r="BD101" s="42"/>
      <c r="BE101" s="25"/>
      <c r="BF101" s="129"/>
      <c r="BG101" s="130"/>
      <c r="BH101" s="130"/>
      <c r="BI101" s="130"/>
      <c r="BJ101" s="130"/>
      <c r="BK101" s="131"/>
    </row>
    <row r="102" spans="1:63" s="274" customFormat="1" ht="15" customHeight="1" x14ac:dyDescent="0.25">
      <c r="A102" s="24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25"/>
      <c r="M102" s="300"/>
      <c r="N102" s="300"/>
      <c r="O102" s="158" t="s">
        <v>149</v>
      </c>
      <c r="P102" s="159"/>
      <c r="Q102" s="159"/>
      <c r="R102" s="159"/>
      <c r="S102" s="159"/>
      <c r="T102" s="159"/>
      <c r="U102" s="160"/>
      <c r="V102" s="161" t="s">
        <v>150</v>
      </c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  <c r="AK102" s="162"/>
      <c r="AL102" s="163"/>
      <c r="AM102" s="300"/>
      <c r="AN102" s="300"/>
      <c r="AO102" s="300"/>
      <c r="AP102" s="300"/>
      <c r="AQ102" s="300"/>
      <c r="AR102" s="300"/>
      <c r="AS102" s="300"/>
      <c r="AT102" s="300"/>
      <c r="AU102" s="24"/>
      <c r="AV102" s="42"/>
      <c r="AW102" s="42"/>
      <c r="AX102" s="42"/>
      <c r="AY102" s="42"/>
      <c r="AZ102" s="42"/>
      <c r="BA102" s="42"/>
      <c r="BB102" s="42"/>
      <c r="BC102" s="42"/>
      <c r="BD102" s="42"/>
      <c r="BE102" s="25"/>
      <c r="BF102" s="129"/>
      <c r="BG102" s="130"/>
      <c r="BH102" s="130"/>
      <c r="BI102" s="130"/>
      <c r="BJ102" s="130"/>
      <c r="BK102" s="131"/>
    </row>
    <row r="103" spans="1:63" s="274" customFormat="1" ht="15" customHeight="1" x14ac:dyDescent="0.25">
      <c r="A103" s="24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25"/>
      <c r="M103" s="300"/>
      <c r="N103" s="300"/>
      <c r="O103" s="326" t="s">
        <v>92</v>
      </c>
      <c r="P103" s="327"/>
      <c r="Q103" s="327"/>
      <c r="R103" s="327"/>
      <c r="S103" s="327"/>
      <c r="T103" s="327"/>
      <c r="U103" s="328"/>
      <c r="V103" s="306" t="s">
        <v>96</v>
      </c>
      <c r="W103" s="307"/>
      <c r="X103" s="307"/>
      <c r="Y103" s="307"/>
      <c r="Z103" s="307"/>
      <c r="AA103" s="307"/>
      <c r="AB103" s="307"/>
      <c r="AC103" s="307"/>
      <c r="AD103" s="307"/>
      <c r="AE103" s="307"/>
      <c r="AF103" s="307"/>
      <c r="AG103" s="307"/>
      <c r="AH103" s="307"/>
      <c r="AI103" s="307"/>
      <c r="AJ103" s="307"/>
      <c r="AK103" s="307"/>
      <c r="AL103" s="308"/>
      <c r="AM103" s="300"/>
      <c r="AN103" s="300"/>
      <c r="AO103" s="300"/>
      <c r="AP103" s="300"/>
      <c r="AQ103" s="300"/>
      <c r="AR103" s="300"/>
      <c r="AS103" s="300"/>
      <c r="AT103" s="300"/>
      <c r="AU103" s="24"/>
      <c r="AV103" s="42"/>
      <c r="AW103" s="42"/>
      <c r="AX103" s="42"/>
      <c r="AY103" s="42"/>
      <c r="AZ103" s="42"/>
      <c r="BA103" s="42"/>
      <c r="BB103" s="42"/>
      <c r="BC103" s="42"/>
      <c r="BD103" s="42"/>
      <c r="BE103" s="25"/>
      <c r="BF103" s="129"/>
      <c r="BG103" s="130"/>
      <c r="BH103" s="130"/>
      <c r="BI103" s="130"/>
      <c r="BJ103" s="130"/>
      <c r="BK103" s="131"/>
    </row>
    <row r="104" spans="1:63" s="274" customFormat="1" ht="15" customHeight="1" x14ac:dyDescent="0.25">
      <c r="A104" s="24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25"/>
      <c r="M104" s="300"/>
      <c r="N104" s="300"/>
      <c r="O104" s="326" t="s">
        <v>93</v>
      </c>
      <c r="P104" s="327"/>
      <c r="Q104" s="327"/>
      <c r="R104" s="327"/>
      <c r="S104" s="327"/>
      <c r="T104" s="327"/>
      <c r="U104" s="328"/>
      <c r="V104" s="306" t="s">
        <v>97</v>
      </c>
      <c r="W104" s="307"/>
      <c r="X104" s="307"/>
      <c r="Y104" s="307"/>
      <c r="Z104" s="307"/>
      <c r="AA104" s="307"/>
      <c r="AB104" s="307"/>
      <c r="AC104" s="307"/>
      <c r="AD104" s="307"/>
      <c r="AE104" s="307"/>
      <c r="AF104" s="307"/>
      <c r="AG104" s="307"/>
      <c r="AH104" s="307"/>
      <c r="AI104" s="307"/>
      <c r="AJ104" s="307"/>
      <c r="AK104" s="307"/>
      <c r="AL104" s="308"/>
      <c r="AM104" s="300"/>
      <c r="AN104" s="300"/>
      <c r="AO104" s="300"/>
      <c r="AP104" s="300"/>
      <c r="AQ104" s="300"/>
      <c r="AR104" s="300"/>
      <c r="AS104" s="300"/>
      <c r="AT104" s="300"/>
      <c r="AU104" s="24"/>
      <c r="AV104" s="42"/>
      <c r="AW104" s="42"/>
      <c r="AX104" s="42"/>
      <c r="AY104" s="42"/>
      <c r="AZ104" s="42"/>
      <c r="BA104" s="42"/>
      <c r="BB104" s="42"/>
      <c r="BC104" s="42"/>
      <c r="BD104" s="42"/>
      <c r="BE104" s="25"/>
      <c r="BF104" s="129"/>
      <c r="BG104" s="130"/>
      <c r="BH104" s="130"/>
      <c r="BI104" s="130"/>
      <c r="BJ104" s="130"/>
      <c r="BK104" s="131"/>
    </row>
    <row r="105" spans="1:63" s="274" customFormat="1" ht="15" customHeight="1" x14ac:dyDescent="0.25">
      <c r="A105" s="24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25"/>
      <c r="M105" s="300"/>
      <c r="N105" s="300"/>
      <c r="O105" s="326" t="s">
        <v>94</v>
      </c>
      <c r="P105" s="327"/>
      <c r="Q105" s="327"/>
      <c r="R105" s="327"/>
      <c r="S105" s="327"/>
      <c r="T105" s="327"/>
      <c r="U105" s="328"/>
      <c r="V105" s="306" t="s">
        <v>95</v>
      </c>
      <c r="W105" s="307"/>
      <c r="X105" s="307"/>
      <c r="Y105" s="307"/>
      <c r="Z105" s="307"/>
      <c r="AA105" s="307"/>
      <c r="AB105" s="307"/>
      <c r="AC105" s="307"/>
      <c r="AD105" s="307"/>
      <c r="AE105" s="307"/>
      <c r="AF105" s="307"/>
      <c r="AG105" s="307"/>
      <c r="AH105" s="307"/>
      <c r="AI105" s="307"/>
      <c r="AJ105" s="307"/>
      <c r="AK105" s="307"/>
      <c r="AL105" s="308"/>
      <c r="AM105" s="300"/>
      <c r="AN105" s="300"/>
      <c r="AO105" s="300"/>
      <c r="AP105" s="300"/>
      <c r="AQ105" s="300"/>
      <c r="AR105" s="300"/>
      <c r="AS105" s="300"/>
      <c r="AT105" s="300"/>
      <c r="AU105" s="24"/>
      <c r="AV105" s="42"/>
      <c r="AW105" s="42"/>
      <c r="AX105" s="42"/>
      <c r="AY105" s="42"/>
      <c r="AZ105" s="42"/>
      <c r="BA105" s="42"/>
      <c r="BB105" s="42"/>
      <c r="BC105" s="42"/>
      <c r="BD105" s="42"/>
      <c r="BE105" s="25"/>
      <c r="BF105" s="129"/>
      <c r="BG105" s="130"/>
      <c r="BH105" s="130"/>
      <c r="BI105" s="130"/>
      <c r="BJ105" s="130"/>
      <c r="BK105" s="131"/>
    </row>
    <row r="106" spans="1:63" s="274" customFormat="1" ht="15" customHeight="1" x14ac:dyDescent="0.25">
      <c r="A106" s="24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25"/>
      <c r="M106" s="300"/>
      <c r="N106" s="300"/>
      <c r="O106" s="303"/>
      <c r="P106" s="303"/>
      <c r="Q106" s="303"/>
      <c r="R106" s="303"/>
      <c r="S106" s="303"/>
      <c r="T106" s="303"/>
      <c r="U106" s="303"/>
      <c r="V106" s="303"/>
      <c r="W106" s="303"/>
      <c r="X106" s="303"/>
      <c r="Y106" s="303"/>
      <c r="Z106" s="303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0"/>
      <c r="AK106" s="300"/>
      <c r="AL106" s="300"/>
      <c r="AM106" s="300"/>
      <c r="AN106" s="300"/>
      <c r="AO106" s="300"/>
      <c r="AP106" s="300"/>
      <c r="AQ106" s="300"/>
      <c r="AR106" s="300"/>
      <c r="AS106" s="300"/>
      <c r="AT106" s="300"/>
      <c r="AU106" s="24"/>
      <c r="AV106" s="42"/>
      <c r="AW106" s="42"/>
      <c r="AX106" s="42"/>
      <c r="AY106" s="42"/>
      <c r="AZ106" s="42"/>
      <c r="BA106" s="42"/>
      <c r="BB106" s="42"/>
      <c r="BC106" s="42"/>
      <c r="BD106" s="42"/>
      <c r="BE106" s="25"/>
      <c r="BF106" s="129"/>
      <c r="BG106" s="130"/>
      <c r="BH106" s="130"/>
      <c r="BI106" s="130"/>
      <c r="BJ106" s="130"/>
      <c r="BK106" s="131"/>
    </row>
    <row r="107" spans="1:63" s="274" customFormat="1" ht="15" customHeight="1" x14ac:dyDescent="0.25">
      <c r="A107" s="24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25"/>
      <c r="M107" s="300"/>
      <c r="N107" s="300"/>
      <c r="O107" s="300" t="s">
        <v>26</v>
      </c>
      <c r="P107" s="303"/>
      <c r="Q107" s="303"/>
      <c r="R107" s="303"/>
      <c r="S107" s="303"/>
      <c r="T107" s="303"/>
      <c r="U107" s="303"/>
      <c r="V107" s="303"/>
      <c r="W107" s="303"/>
      <c r="X107" s="303"/>
      <c r="Y107" s="303"/>
      <c r="Z107" s="303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0"/>
      <c r="AK107" s="300"/>
      <c r="AL107" s="300"/>
      <c r="AM107" s="300"/>
      <c r="AN107" s="300"/>
      <c r="AO107" s="300"/>
      <c r="AP107" s="300"/>
      <c r="AQ107" s="300"/>
      <c r="AR107" s="300"/>
      <c r="AS107" s="300"/>
      <c r="AT107" s="300"/>
      <c r="AU107" s="24"/>
      <c r="AV107" s="42"/>
      <c r="AW107" s="42"/>
      <c r="AX107" s="42"/>
      <c r="AY107" s="42"/>
      <c r="AZ107" s="42"/>
      <c r="BA107" s="42"/>
      <c r="BB107" s="42"/>
      <c r="BC107" s="42"/>
      <c r="BD107" s="42"/>
      <c r="BE107" s="25"/>
      <c r="BF107" s="129"/>
      <c r="BG107" s="130"/>
      <c r="BH107" s="130"/>
      <c r="BI107" s="130"/>
      <c r="BJ107" s="130"/>
      <c r="BK107" s="131"/>
    </row>
    <row r="108" spans="1:63" s="274" customFormat="1" ht="15" customHeight="1" x14ac:dyDescent="0.25">
      <c r="A108" s="24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25"/>
      <c r="M108" s="300"/>
      <c r="N108" s="300"/>
      <c r="O108" s="303" t="s">
        <v>76</v>
      </c>
      <c r="P108" s="300"/>
      <c r="Q108" s="300"/>
      <c r="R108" s="300"/>
      <c r="S108" s="300"/>
      <c r="T108" s="300"/>
      <c r="U108" s="303"/>
      <c r="V108" s="303"/>
      <c r="W108" s="303"/>
      <c r="X108" s="303"/>
      <c r="Y108" s="303"/>
      <c r="Z108" s="303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0"/>
      <c r="AK108" s="300"/>
      <c r="AL108" s="300"/>
      <c r="AM108" s="300"/>
      <c r="AN108" s="300"/>
      <c r="AO108" s="300"/>
      <c r="AP108" s="300"/>
      <c r="AQ108" s="300"/>
      <c r="AR108" s="300"/>
      <c r="AS108" s="300"/>
      <c r="AT108" s="300"/>
      <c r="AU108" s="24"/>
      <c r="AV108" s="42"/>
      <c r="AW108" s="42"/>
      <c r="AX108" s="42"/>
      <c r="AY108" s="42"/>
      <c r="AZ108" s="42"/>
      <c r="BA108" s="42"/>
      <c r="BB108" s="42"/>
      <c r="BC108" s="42"/>
      <c r="BD108" s="42"/>
      <c r="BE108" s="25"/>
      <c r="BF108" s="129"/>
      <c r="BG108" s="130"/>
      <c r="BH108" s="130"/>
      <c r="BI108" s="130"/>
      <c r="BJ108" s="130"/>
      <c r="BK108" s="131"/>
    </row>
    <row r="109" spans="1:63" s="274" customFormat="1" ht="15" customHeight="1" x14ac:dyDescent="0.25">
      <c r="A109" s="24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25"/>
      <c r="M109" s="300"/>
      <c r="N109" s="300"/>
      <c r="O109" s="300"/>
      <c r="P109" s="53" t="s">
        <v>28</v>
      </c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5"/>
      <c r="AM109" s="300"/>
      <c r="AN109" s="300"/>
      <c r="AO109" s="300"/>
      <c r="AP109" s="300"/>
      <c r="AQ109" s="300"/>
      <c r="AR109" s="300"/>
      <c r="AS109" s="300"/>
      <c r="AT109" s="300"/>
      <c r="AU109" s="24"/>
      <c r="AV109" s="42"/>
      <c r="AW109" s="42"/>
      <c r="AX109" s="42"/>
      <c r="AY109" s="42"/>
      <c r="AZ109" s="42"/>
      <c r="BA109" s="42"/>
      <c r="BB109" s="42"/>
      <c r="BC109" s="42"/>
      <c r="BD109" s="42"/>
      <c r="BE109" s="25"/>
      <c r="BF109" s="129"/>
      <c r="BG109" s="130"/>
      <c r="BH109" s="130"/>
      <c r="BI109" s="130"/>
      <c r="BJ109" s="130"/>
      <c r="BK109" s="131"/>
    </row>
    <row r="110" spans="1:63" s="274" customFormat="1" ht="15" customHeight="1" x14ac:dyDescent="0.25">
      <c r="A110" s="24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25"/>
      <c r="M110" s="300"/>
      <c r="N110" s="300"/>
      <c r="O110" s="300"/>
      <c r="P110" s="309" t="s">
        <v>32</v>
      </c>
      <c r="Q110" s="301"/>
      <c r="R110" s="301"/>
      <c r="S110" s="301"/>
      <c r="T110" s="301"/>
      <c r="U110" s="310"/>
      <c r="V110" s="301"/>
      <c r="W110" s="301"/>
      <c r="X110" s="301"/>
      <c r="Y110" s="301"/>
      <c r="Z110" s="301"/>
      <c r="AA110" s="309" t="s">
        <v>30</v>
      </c>
      <c r="AB110" s="301"/>
      <c r="AC110" s="301"/>
      <c r="AD110" s="301"/>
      <c r="AE110" s="301"/>
      <c r="AF110" s="301"/>
      <c r="AG110" s="301"/>
      <c r="AH110" s="301"/>
      <c r="AI110" s="301"/>
      <c r="AJ110" s="301"/>
      <c r="AK110" s="301"/>
      <c r="AL110" s="311"/>
      <c r="AM110" s="300"/>
      <c r="AN110" s="300"/>
      <c r="AO110" s="300"/>
      <c r="AP110" s="300"/>
      <c r="AQ110" s="300"/>
      <c r="AR110" s="300"/>
      <c r="AS110" s="300"/>
      <c r="AT110" s="300"/>
      <c r="AU110" s="24"/>
      <c r="AV110" s="42"/>
      <c r="AW110" s="42"/>
      <c r="AX110" s="42"/>
      <c r="AY110" s="42"/>
      <c r="AZ110" s="42"/>
      <c r="BA110" s="42"/>
      <c r="BB110" s="42"/>
      <c r="BC110" s="42"/>
      <c r="BD110" s="42"/>
      <c r="BE110" s="25"/>
      <c r="BF110" s="129"/>
      <c r="BG110" s="130"/>
      <c r="BH110" s="130"/>
      <c r="BI110" s="130"/>
      <c r="BJ110" s="130"/>
      <c r="BK110" s="131"/>
    </row>
    <row r="111" spans="1:63" s="274" customFormat="1" ht="15" customHeight="1" x14ac:dyDescent="0.25">
      <c r="A111" s="24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25"/>
      <c r="M111" s="300"/>
      <c r="N111" s="300"/>
      <c r="O111" s="300"/>
      <c r="P111" s="309" t="s">
        <v>33</v>
      </c>
      <c r="Q111" s="301"/>
      <c r="R111" s="301"/>
      <c r="S111" s="301"/>
      <c r="T111" s="301"/>
      <c r="U111" s="312"/>
      <c r="V111" s="301"/>
      <c r="W111" s="301"/>
      <c r="X111" s="301"/>
      <c r="Y111" s="301"/>
      <c r="Z111" s="301"/>
      <c r="AA111" s="313" t="s">
        <v>31</v>
      </c>
      <c r="AB111" s="301"/>
      <c r="AC111" s="301"/>
      <c r="AD111" s="301"/>
      <c r="AE111" s="301"/>
      <c r="AF111" s="301"/>
      <c r="AG111" s="301"/>
      <c r="AH111" s="301"/>
      <c r="AI111" s="301"/>
      <c r="AJ111" s="301"/>
      <c r="AK111" s="301"/>
      <c r="AL111" s="311"/>
      <c r="AM111" s="300"/>
      <c r="AN111" s="300"/>
      <c r="AO111" s="300"/>
      <c r="AP111" s="300"/>
      <c r="AQ111" s="300"/>
      <c r="AR111" s="300"/>
      <c r="AS111" s="300"/>
      <c r="AT111" s="300"/>
      <c r="AU111" s="24"/>
      <c r="AV111" s="42"/>
      <c r="AW111" s="42"/>
      <c r="AX111" s="42"/>
      <c r="AY111" s="42"/>
      <c r="AZ111" s="42"/>
      <c r="BA111" s="42"/>
      <c r="BB111" s="42"/>
      <c r="BC111" s="42"/>
      <c r="BD111" s="42"/>
      <c r="BE111" s="25"/>
      <c r="BF111" s="129"/>
      <c r="BG111" s="130"/>
      <c r="BH111" s="130"/>
      <c r="BI111" s="130"/>
      <c r="BJ111" s="130"/>
      <c r="BK111" s="131"/>
    </row>
    <row r="112" spans="1:63" s="274" customFormat="1" ht="15" customHeight="1" x14ac:dyDescent="0.25">
      <c r="A112" s="24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25"/>
      <c r="M112" s="300"/>
      <c r="N112" s="300"/>
      <c r="O112" s="300"/>
      <c r="P112" s="314" t="s">
        <v>34</v>
      </c>
      <c r="Q112" s="291"/>
      <c r="R112" s="291"/>
      <c r="S112" s="291"/>
      <c r="T112" s="291"/>
      <c r="U112" s="315"/>
      <c r="V112" s="291"/>
      <c r="W112" s="291"/>
      <c r="X112" s="291"/>
      <c r="Y112" s="291"/>
      <c r="Z112" s="291"/>
      <c r="AA112" s="316" t="s">
        <v>66</v>
      </c>
      <c r="AB112" s="291"/>
      <c r="AC112" s="291"/>
      <c r="AD112" s="291"/>
      <c r="AE112" s="291"/>
      <c r="AF112" s="291"/>
      <c r="AG112" s="291"/>
      <c r="AH112" s="291"/>
      <c r="AI112" s="291"/>
      <c r="AJ112" s="291"/>
      <c r="AK112" s="291"/>
      <c r="AL112" s="317"/>
      <c r="AM112" s="300"/>
      <c r="AN112" s="300"/>
      <c r="AO112" s="300"/>
      <c r="AP112" s="300"/>
      <c r="AQ112" s="300"/>
      <c r="AR112" s="300"/>
      <c r="AS112" s="300"/>
      <c r="AT112" s="300"/>
      <c r="AU112" s="24"/>
      <c r="AV112" s="42"/>
      <c r="AW112" s="42"/>
      <c r="AX112" s="42"/>
      <c r="AY112" s="42"/>
      <c r="AZ112" s="42"/>
      <c r="BA112" s="42"/>
      <c r="BB112" s="42"/>
      <c r="BC112" s="42"/>
      <c r="BD112" s="42"/>
      <c r="BE112" s="25"/>
      <c r="BF112" s="129"/>
      <c r="BG112" s="130"/>
      <c r="BH112" s="130"/>
      <c r="BI112" s="130"/>
      <c r="BJ112" s="130"/>
      <c r="BK112" s="131"/>
    </row>
    <row r="113" spans="1:63" s="274" customFormat="1" ht="15" customHeight="1" x14ac:dyDescent="0.25">
      <c r="A113" s="24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25"/>
      <c r="M113" s="300"/>
      <c r="N113" s="300"/>
      <c r="O113" s="300"/>
      <c r="P113" s="303"/>
      <c r="Q113" s="303"/>
      <c r="R113" s="300"/>
      <c r="S113" s="300"/>
      <c r="T113" s="300"/>
      <c r="U113" s="303"/>
      <c r="V113" s="303"/>
      <c r="W113" s="303"/>
      <c r="X113" s="303"/>
      <c r="Y113" s="303"/>
      <c r="Z113" s="303"/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0"/>
      <c r="AK113" s="300"/>
      <c r="AL113" s="300"/>
      <c r="AM113" s="300"/>
      <c r="AN113" s="300"/>
      <c r="AO113" s="300"/>
      <c r="AP113" s="300"/>
      <c r="AQ113" s="300"/>
      <c r="AR113" s="300"/>
      <c r="AS113" s="300"/>
      <c r="AT113" s="300"/>
      <c r="AU113" s="24"/>
      <c r="AV113" s="42"/>
      <c r="AW113" s="42"/>
      <c r="AX113" s="42"/>
      <c r="AY113" s="42"/>
      <c r="AZ113" s="42"/>
      <c r="BA113" s="42"/>
      <c r="BB113" s="42"/>
      <c r="BC113" s="42"/>
      <c r="BD113" s="42"/>
      <c r="BE113" s="25"/>
      <c r="BF113" s="129"/>
      <c r="BG113" s="130"/>
      <c r="BH113" s="130"/>
      <c r="BI113" s="130"/>
      <c r="BJ113" s="130"/>
      <c r="BK113" s="131"/>
    </row>
    <row r="114" spans="1:63" s="274" customFormat="1" ht="15" customHeight="1" x14ac:dyDescent="0.25">
      <c r="A114" s="24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25"/>
      <c r="M114" s="300"/>
      <c r="N114" s="300"/>
      <c r="O114" s="300"/>
      <c r="P114" s="300" t="s">
        <v>67</v>
      </c>
      <c r="Q114" s="300"/>
      <c r="R114" s="300"/>
      <c r="S114" s="300"/>
      <c r="T114" s="300"/>
      <c r="U114" s="303"/>
      <c r="V114" s="303"/>
      <c r="W114" s="303"/>
      <c r="X114" s="303"/>
      <c r="Y114" s="303"/>
      <c r="Z114" s="303"/>
      <c r="AA114" s="303"/>
      <c r="AB114" s="303"/>
      <c r="AC114" s="303"/>
      <c r="AD114" s="303"/>
      <c r="AE114" s="303"/>
      <c r="AF114" s="303"/>
      <c r="AG114" s="303"/>
      <c r="AH114" s="303"/>
      <c r="AI114" s="303"/>
      <c r="AJ114" s="300"/>
      <c r="AK114" s="300"/>
      <c r="AL114" s="300"/>
      <c r="AM114" s="300"/>
      <c r="AN114" s="300"/>
      <c r="AO114" s="300"/>
      <c r="AP114" s="300"/>
      <c r="AQ114" s="300"/>
      <c r="AR114" s="300"/>
      <c r="AS114" s="300"/>
      <c r="AT114" s="300"/>
      <c r="AU114" s="24"/>
      <c r="AV114" s="42"/>
      <c r="AW114" s="42"/>
      <c r="AX114" s="42"/>
      <c r="AY114" s="42"/>
      <c r="AZ114" s="42"/>
      <c r="BA114" s="42"/>
      <c r="BB114" s="42"/>
      <c r="BC114" s="42"/>
      <c r="BD114" s="42"/>
      <c r="BE114" s="25"/>
      <c r="BF114" s="129"/>
      <c r="BG114" s="130"/>
      <c r="BH114" s="130"/>
      <c r="BI114" s="130"/>
      <c r="BJ114" s="130"/>
      <c r="BK114" s="131"/>
    </row>
    <row r="115" spans="1:63" s="274" customFormat="1" ht="15" customHeight="1" x14ac:dyDescent="0.25">
      <c r="A115" s="24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25"/>
      <c r="M115" s="300"/>
      <c r="N115" s="300"/>
      <c r="O115" s="300"/>
      <c r="P115" s="300"/>
      <c r="Q115" s="300"/>
      <c r="R115" s="300"/>
      <c r="S115" s="300"/>
      <c r="T115" s="56"/>
      <c r="U115" s="303"/>
      <c r="V115" s="303"/>
      <c r="W115" s="303"/>
      <c r="X115" s="303"/>
      <c r="Y115" s="303"/>
      <c r="Z115" s="303"/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0"/>
      <c r="AK115" s="300"/>
      <c r="AL115" s="300"/>
      <c r="AM115" s="300"/>
      <c r="AN115" s="300"/>
      <c r="AO115" s="300"/>
      <c r="AP115" s="300"/>
      <c r="AQ115" s="300"/>
      <c r="AR115" s="300"/>
      <c r="AS115" s="300"/>
      <c r="AT115" s="300"/>
      <c r="AU115" s="24"/>
      <c r="AV115" s="42"/>
      <c r="AW115" s="42"/>
      <c r="AX115" s="42"/>
      <c r="AY115" s="42"/>
      <c r="AZ115" s="42"/>
      <c r="BA115" s="42"/>
      <c r="BB115" s="42"/>
      <c r="BC115" s="42"/>
      <c r="BD115" s="42"/>
      <c r="BE115" s="25"/>
      <c r="BF115" s="129"/>
      <c r="BG115" s="130"/>
      <c r="BH115" s="130"/>
      <c r="BI115" s="130"/>
      <c r="BJ115" s="130"/>
      <c r="BK115" s="131"/>
    </row>
    <row r="116" spans="1:63" s="274" customFormat="1" ht="15" customHeight="1" x14ac:dyDescent="0.25">
      <c r="A116" s="24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25"/>
      <c r="M116" s="300"/>
      <c r="N116" s="300"/>
      <c r="O116" s="300"/>
      <c r="P116" s="335" t="s">
        <v>47</v>
      </c>
      <c r="Q116" s="335"/>
      <c r="R116" s="335"/>
      <c r="S116" s="335"/>
      <c r="T116" s="335"/>
      <c r="U116" s="335"/>
      <c r="V116" s="335"/>
      <c r="W116" s="335"/>
      <c r="X116" s="335"/>
      <c r="Y116" s="335"/>
      <c r="Z116" s="335"/>
      <c r="AA116" s="335"/>
      <c r="AB116" s="335"/>
      <c r="AC116" s="335"/>
      <c r="AD116" s="335"/>
      <c r="AE116" s="335"/>
      <c r="AF116" s="335"/>
      <c r="AG116" s="335"/>
      <c r="AH116" s="335"/>
      <c r="AI116" s="335"/>
      <c r="AJ116" s="335"/>
      <c r="AK116" s="335"/>
      <c r="AL116" s="335"/>
      <c r="AM116" s="335"/>
      <c r="AN116" s="335"/>
      <c r="AO116" s="335"/>
      <c r="AP116" s="335"/>
      <c r="AQ116" s="335"/>
      <c r="AR116" s="335"/>
      <c r="AS116" s="335"/>
      <c r="AT116" s="336"/>
      <c r="AU116" s="24"/>
      <c r="AV116" s="42"/>
      <c r="AW116" s="42"/>
      <c r="AX116" s="42"/>
      <c r="AY116" s="42"/>
      <c r="AZ116" s="42"/>
      <c r="BA116" s="42"/>
      <c r="BB116" s="42"/>
      <c r="BC116" s="42"/>
      <c r="BD116" s="42"/>
      <c r="BE116" s="25"/>
      <c r="BF116" s="129"/>
      <c r="BG116" s="130"/>
      <c r="BH116" s="130"/>
      <c r="BI116" s="130"/>
      <c r="BJ116" s="130"/>
      <c r="BK116" s="131"/>
    </row>
    <row r="117" spans="1:63" s="274" customFormat="1" ht="15" customHeight="1" x14ac:dyDescent="0.25">
      <c r="A117" s="24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25"/>
      <c r="M117" s="300"/>
      <c r="N117" s="300"/>
      <c r="O117" s="303"/>
      <c r="P117" s="335"/>
      <c r="Q117" s="335"/>
      <c r="R117" s="335"/>
      <c r="S117" s="335"/>
      <c r="T117" s="335"/>
      <c r="U117" s="335"/>
      <c r="V117" s="335"/>
      <c r="W117" s="335"/>
      <c r="X117" s="335"/>
      <c r="Y117" s="335"/>
      <c r="Z117" s="335"/>
      <c r="AA117" s="335"/>
      <c r="AB117" s="335"/>
      <c r="AC117" s="335"/>
      <c r="AD117" s="335"/>
      <c r="AE117" s="335"/>
      <c r="AF117" s="335"/>
      <c r="AG117" s="335"/>
      <c r="AH117" s="335"/>
      <c r="AI117" s="335"/>
      <c r="AJ117" s="335"/>
      <c r="AK117" s="335"/>
      <c r="AL117" s="335"/>
      <c r="AM117" s="335"/>
      <c r="AN117" s="335"/>
      <c r="AO117" s="335"/>
      <c r="AP117" s="335"/>
      <c r="AQ117" s="335"/>
      <c r="AR117" s="335"/>
      <c r="AS117" s="335"/>
      <c r="AT117" s="336"/>
      <c r="AU117" s="24"/>
      <c r="AV117" s="42"/>
      <c r="AW117" s="42"/>
      <c r="AX117" s="42"/>
      <c r="AY117" s="42"/>
      <c r="AZ117" s="42"/>
      <c r="BA117" s="42"/>
      <c r="BB117" s="42"/>
      <c r="BC117" s="42"/>
      <c r="BD117" s="42"/>
      <c r="BE117" s="25"/>
      <c r="BF117" s="129"/>
      <c r="BG117" s="130"/>
      <c r="BH117" s="130"/>
      <c r="BI117" s="130"/>
      <c r="BJ117" s="130"/>
      <c r="BK117" s="131"/>
    </row>
    <row r="118" spans="1:63" s="274" customFormat="1" ht="15" customHeight="1" x14ac:dyDescent="0.25">
      <c r="A118" s="24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25"/>
      <c r="M118" s="300"/>
      <c r="N118" s="300"/>
      <c r="O118" s="300"/>
      <c r="P118" s="300"/>
      <c r="Q118" s="303"/>
      <c r="R118" s="303"/>
      <c r="S118" s="303"/>
      <c r="T118" s="303"/>
      <c r="U118" s="303"/>
      <c r="V118" s="303"/>
      <c r="W118" s="303"/>
      <c r="X118" s="303"/>
      <c r="Y118" s="303"/>
      <c r="Z118" s="303"/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0"/>
      <c r="AK118" s="300"/>
      <c r="AL118" s="300"/>
      <c r="AM118" s="300"/>
      <c r="AN118" s="300"/>
      <c r="AO118" s="300"/>
      <c r="AP118" s="300"/>
      <c r="AQ118" s="300"/>
      <c r="AR118" s="300"/>
      <c r="AS118" s="300"/>
      <c r="AT118" s="300"/>
      <c r="AU118" s="24"/>
      <c r="AV118" s="42"/>
      <c r="AW118" s="42"/>
      <c r="AX118" s="42"/>
      <c r="AY118" s="42"/>
      <c r="AZ118" s="42"/>
      <c r="BA118" s="42"/>
      <c r="BB118" s="42"/>
      <c r="BC118" s="42"/>
      <c r="BD118" s="42"/>
      <c r="BE118" s="25"/>
      <c r="BF118" s="129"/>
      <c r="BG118" s="130"/>
      <c r="BH118" s="130"/>
      <c r="BI118" s="130"/>
      <c r="BJ118" s="130"/>
      <c r="BK118" s="131"/>
    </row>
    <row r="119" spans="1:63" s="274" customFormat="1" ht="15" customHeight="1" x14ac:dyDescent="0.25">
      <c r="A119" s="24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25"/>
      <c r="M119" s="300"/>
      <c r="N119" s="300"/>
      <c r="O119" s="300" t="s">
        <v>29</v>
      </c>
      <c r="P119" s="319"/>
      <c r="Q119" s="303"/>
      <c r="R119" s="303"/>
      <c r="S119" s="303"/>
      <c r="T119" s="303"/>
      <c r="U119" s="303"/>
      <c r="V119" s="303"/>
      <c r="W119" s="303"/>
      <c r="X119" s="303"/>
      <c r="Y119" s="303"/>
      <c r="Z119" s="303"/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0"/>
      <c r="AK119" s="300"/>
      <c r="AL119" s="300"/>
      <c r="AM119" s="300"/>
      <c r="AN119" s="300"/>
      <c r="AO119" s="300"/>
      <c r="AP119" s="300"/>
      <c r="AQ119" s="300"/>
      <c r="AR119" s="300"/>
      <c r="AS119" s="300"/>
      <c r="AT119" s="300"/>
      <c r="AU119" s="24"/>
      <c r="AV119" s="42"/>
      <c r="AW119" s="42"/>
      <c r="AX119" s="42"/>
      <c r="AY119" s="42"/>
      <c r="AZ119" s="42"/>
      <c r="BA119" s="42"/>
      <c r="BB119" s="42"/>
      <c r="BC119" s="42"/>
      <c r="BD119" s="42"/>
      <c r="BE119" s="25"/>
      <c r="BF119" s="129"/>
      <c r="BG119" s="130"/>
      <c r="BH119" s="130"/>
      <c r="BI119" s="130"/>
      <c r="BJ119" s="130"/>
      <c r="BK119" s="131"/>
    </row>
    <row r="120" spans="1:63" s="274" customFormat="1" ht="15" customHeight="1" x14ac:dyDescent="0.25">
      <c r="A120" s="24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25"/>
      <c r="M120" s="300"/>
      <c r="N120" s="300"/>
      <c r="O120" s="300"/>
      <c r="P120" s="303" t="s">
        <v>35</v>
      </c>
      <c r="Q120" s="303"/>
      <c r="R120" s="303"/>
      <c r="S120" s="303"/>
      <c r="T120" s="303"/>
      <c r="U120" s="303"/>
      <c r="V120" s="303"/>
      <c r="W120" s="303"/>
      <c r="X120" s="303"/>
      <c r="Y120" s="303"/>
      <c r="Z120" s="303"/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0"/>
      <c r="AK120" s="300"/>
      <c r="AL120" s="300"/>
      <c r="AM120" s="300"/>
      <c r="AN120" s="300"/>
      <c r="AO120" s="300"/>
      <c r="AP120" s="300"/>
      <c r="AQ120" s="300"/>
      <c r="AR120" s="300"/>
      <c r="AS120" s="300"/>
      <c r="AT120" s="300"/>
      <c r="AU120" s="24"/>
      <c r="AV120" s="42"/>
      <c r="AW120" s="42"/>
      <c r="AX120" s="42"/>
      <c r="AY120" s="42"/>
      <c r="AZ120" s="42"/>
      <c r="BA120" s="42"/>
      <c r="BB120" s="42"/>
      <c r="BC120" s="42"/>
      <c r="BD120" s="42"/>
      <c r="BE120" s="25"/>
      <c r="BF120" s="129"/>
      <c r="BG120" s="130"/>
      <c r="BH120" s="130"/>
      <c r="BI120" s="130"/>
      <c r="BJ120" s="130"/>
      <c r="BK120" s="131"/>
    </row>
    <row r="121" spans="1:63" s="274" customFormat="1" ht="15" customHeight="1" x14ac:dyDescent="0.25">
      <c r="A121" s="24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25"/>
      <c r="M121" s="300"/>
      <c r="N121" s="300"/>
      <c r="O121" s="337"/>
      <c r="P121" s="303"/>
      <c r="Q121" s="303"/>
      <c r="R121" s="303"/>
      <c r="S121" s="303"/>
      <c r="T121" s="303"/>
      <c r="U121" s="303"/>
      <c r="V121" s="303"/>
      <c r="W121" s="303"/>
      <c r="X121" s="303"/>
      <c r="Y121" s="303"/>
      <c r="Z121" s="303"/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0"/>
      <c r="AK121" s="300"/>
      <c r="AL121" s="300"/>
      <c r="AM121" s="300"/>
      <c r="AN121" s="300"/>
      <c r="AO121" s="300"/>
      <c r="AP121" s="300"/>
      <c r="AQ121" s="300"/>
      <c r="AR121" s="300"/>
      <c r="AS121" s="300"/>
      <c r="AT121" s="300"/>
      <c r="AU121" s="24"/>
      <c r="AV121" s="42"/>
      <c r="AW121" s="42"/>
      <c r="AX121" s="42"/>
      <c r="AY121" s="42"/>
      <c r="AZ121" s="42"/>
      <c r="BA121" s="42"/>
      <c r="BB121" s="42"/>
      <c r="BC121" s="42"/>
      <c r="BD121" s="42"/>
      <c r="BE121" s="25"/>
      <c r="BF121" s="129"/>
      <c r="BG121" s="130"/>
      <c r="BH121" s="130"/>
      <c r="BI121" s="130"/>
      <c r="BJ121" s="130"/>
      <c r="BK121" s="131"/>
    </row>
    <row r="122" spans="1:63" s="274" customFormat="1" ht="15" customHeight="1" x14ac:dyDescent="0.25">
      <c r="A122" s="24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25"/>
      <c r="M122" s="300"/>
      <c r="N122" s="300"/>
      <c r="O122" s="303"/>
      <c r="P122" s="303"/>
      <c r="Q122" s="303"/>
      <c r="R122" s="303"/>
      <c r="S122" s="303"/>
      <c r="T122" s="303"/>
      <c r="U122" s="303"/>
      <c r="V122" s="303"/>
      <c r="W122" s="303"/>
      <c r="X122" s="303"/>
      <c r="Y122" s="303"/>
      <c r="Z122" s="303"/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0"/>
      <c r="AK122" s="300"/>
      <c r="AL122" s="300"/>
      <c r="AM122" s="300"/>
      <c r="AN122" s="300"/>
      <c r="AO122" s="300"/>
      <c r="AP122" s="300"/>
      <c r="AQ122" s="300"/>
      <c r="AR122" s="300"/>
      <c r="AS122" s="300"/>
      <c r="AT122" s="300"/>
      <c r="AU122" s="24"/>
      <c r="AV122" s="42"/>
      <c r="AW122" s="42"/>
      <c r="AX122" s="42"/>
      <c r="AY122" s="42"/>
      <c r="AZ122" s="42"/>
      <c r="BA122" s="42"/>
      <c r="BB122" s="42"/>
      <c r="BC122" s="42"/>
      <c r="BD122" s="42"/>
      <c r="BE122" s="25"/>
      <c r="BF122" s="129"/>
      <c r="BG122" s="130"/>
      <c r="BH122" s="130"/>
      <c r="BI122" s="130"/>
      <c r="BJ122" s="130"/>
      <c r="BK122" s="131"/>
    </row>
    <row r="123" spans="1:63" s="274" customFormat="1" ht="15" customHeight="1" x14ac:dyDescent="0.25">
      <c r="A123" s="24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25"/>
      <c r="M123" s="300"/>
      <c r="N123" s="300"/>
      <c r="O123" s="303"/>
      <c r="P123" s="303"/>
      <c r="Q123" s="303"/>
      <c r="R123" s="46"/>
      <c r="S123" s="303"/>
      <c r="T123" s="303"/>
      <c r="U123" s="303"/>
      <c r="V123" s="303"/>
      <c r="W123" s="303"/>
      <c r="X123" s="303"/>
      <c r="Y123" s="303"/>
      <c r="Z123" s="303"/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0"/>
      <c r="AK123" s="300"/>
      <c r="AL123" s="300"/>
      <c r="AM123" s="300"/>
      <c r="AN123" s="300"/>
      <c r="AO123" s="300"/>
      <c r="AP123" s="300"/>
      <c r="AQ123" s="300"/>
      <c r="AR123" s="300"/>
      <c r="AS123" s="300"/>
      <c r="AT123" s="300"/>
      <c r="AU123" s="24"/>
      <c r="AV123" s="42"/>
      <c r="AW123" s="42"/>
      <c r="AX123" s="42"/>
      <c r="AY123" s="42"/>
      <c r="AZ123" s="42"/>
      <c r="BA123" s="42"/>
      <c r="BB123" s="42"/>
      <c r="BC123" s="42"/>
      <c r="BD123" s="42"/>
      <c r="BE123" s="25"/>
      <c r="BF123" s="129"/>
      <c r="BG123" s="130"/>
      <c r="BH123" s="130"/>
      <c r="BI123" s="130"/>
      <c r="BJ123" s="130"/>
      <c r="BK123" s="131"/>
    </row>
    <row r="124" spans="1:63" s="274" customFormat="1" ht="15" customHeight="1" x14ac:dyDescent="0.25">
      <c r="A124" s="26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8"/>
      <c r="M124" s="320"/>
      <c r="N124" s="321"/>
      <c r="O124" s="321"/>
      <c r="P124" s="321"/>
      <c r="Q124" s="321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323"/>
      <c r="AQ124" s="323"/>
      <c r="AR124" s="323"/>
      <c r="AS124" s="323"/>
      <c r="AT124" s="323"/>
      <c r="AU124" s="26"/>
      <c r="AV124" s="27"/>
      <c r="AW124" s="27"/>
      <c r="AX124" s="27"/>
      <c r="AY124" s="27"/>
      <c r="AZ124" s="27"/>
      <c r="BA124" s="27"/>
      <c r="BB124" s="27"/>
      <c r="BC124" s="27"/>
      <c r="BD124" s="27"/>
      <c r="BE124" s="28"/>
      <c r="BF124" s="132"/>
      <c r="BG124" s="133"/>
      <c r="BH124" s="133"/>
      <c r="BI124" s="133"/>
      <c r="BJ124" s="133"/>
      <c r="BK124" s="134"/>
    </row>
    <row r="125" spans="1:63" ht="15" customHeight="1" x14ac:dyDescent="0.25">
      <c r="A125" s="52"/>
      <c r="BK125" s="15"/>
    </row>
    <row r="126" spans="1:63" ht="15" customHeight="1" x14ac:dyDescent="0.25">
      <c r="A126" s="52"/>
      <c r="BK126" s="15"/>
    </row>
    <row r="127" spans="1:63" ht="15" customHeight="1" x14ac:dyDescent="0.25">
      <c r="A127" s="52"/>
      <c r="BK127" s="15"/>
    </row>
    <row r="128" spans="1:63" ht="15" customHeight="1" x14ac:dyDescent="0.25">
      <c r="A128" s="52"/>
      <c r="BK128" s="15"/>
    </row>
    <row r="129" spans="1:63" s="274" customFormat="1" ht="15" customHeight="1" x14ac:dyDescent="0.25">
      <c r="A129" s="288" t="s">
        <v>13</v>
      </c>
      <c r="B129" s="289"/>
      <c r="C129" s="289"/>
      <c r="D129" s="289"/>
      <c r="E129" s="289"/>
      <c r="F129" s="290"/>
      <c r="G129" s="276" t="s">
        <v>90</v>
      </c>
      <c r="H129" s="276"/>
      <c r="I129" s="276"/>
      <c r="J129" s="276"/>
      <c r="K129" s="276"/>
      <c r="L129" s="276"/>
      <c r="M129" s="291" t="s">
        <v>77</v>
      </c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292"/>
      <c r="BI129" s="292"/>
      <c r="BJ129" s="292"/>
      <c r="BK129" s="293"/>
    </row>
    <row r="130" spans="1:63" s="274" customFormat="1" ht="15" customHeight="1" x14ac:dyDescent="0.25">
      <c r="A130" s="294" t="s">
        <v>14</v>
      </c>
      <c r="B130" s="295"/>
      <c r="C130" s="295"/>
      <c r="D130" s="295"/>
      <c r="E130" s="295"/>
      <c r="F130" s="295"/>
      <c r="G130" s="295"/>
      <c r="H130" s="295"/>
      <c r="I130" s="295"/>
      <c r="J130" s="295"/>
      <c r="K130" s="295"/>
      <c r="L130" s="296"/>
      <c r="M130" s="294" t="s">
        <v>15</v>
      </c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5"/>
      <c r="AC130" s="295"/>
      <c r="AD130" s="295"/>
      <c r="AE130" s="295"/>
      <c r="AF130" s="295"/>
      <c r="AG130" s="295"/>
      <c r="AH130" s="295"/>
      <c r="AI130" s="295"/>
      <c r="AJ130" s="295"/>
      <c r="AK130" s="295"/>
      <c r="AL130" s="295"/>
      <c r="AM130" s="295"/>
      <c r="AN130" s="295"/>
      <c r="AO130" s="295"/>
      <c r="AP130" s="295"/>
      <c r="AQ130" s="295"/>
      <c r="AR130" s="295"/>
      <c r="AS130" s="295"/>
      <c r="AT130" s="296"/>
      <c r="AU130" s="294" t="s">
        <v>16</v>
      </c>
      <c r="AV130" s="295"/>
      <c r="AW130" s="295"/>
      <c r="AX130" s="295"/>
      <c r="AY130" s="295"/>
      <c r="AZ130" s="295"/>
      <c r="BA130" s="295"/>
      <c r="BB130" s="295"/>
      <c r="BC130" s="295"/>
      <c r="BD130" s="295"/>
      <c r="BE130" s="295"/>
      <c r="BF130" s="294" t="s">
        <v>17</v>
      </c>
      <c r="BG130" s="295"/>
      <c r="BH130" s="295"/>
      <c r="BI130" s="295"/>
      <c r="BJ130" s="295"/>
      <c r="BK130" s="296"/>
    </row>
    <row r="131" spans="1:63" s="274" customFormat="1" ht="15" customHeight="1" x14ac:dyDescent="0.25">
      <c r="A131" s="297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9"/>
      <c r="M131" s="297"/>
      <c r="N131" s="298"/>
      <c r="O131" s="298"/>
      <c r="P131" s="298"/>
      <c r="Q131" s="298"/>
      <c r="R131" s="298"/>
      <c r="S131" s="298"/>
      <c r="T131" s="298"/>
      <c r="U131" s="298"/>
      <c r="V131" s="298"/>
      <c r="W131" s="298"/>
      <c r="X131" s="298"/>
      <c r="Y131" s="298"/>
      <c r="Z131" s="298"/>
      <c r="AA131" s="298"/>
      <c r="AB131" s="298"/>
      <c r="AC131" s="298"/>
      <c r="AD131" s="298"/>
      <c r="AE131" s="298"/>
      <c r="AF131" s="298"/>
      <c r="AG131" s="298"/>
      <c r="AH131" s="298"/>
      <c r="AI131" s="298"/>
      <c r="AJ131" s="298"/>
      <c r="AK131" s="298"/>
      <c r="AL131" s="298"/>
      <c r="AM131" s="298"/>
      <c r="AN131" s="298"/>
      <c r="AO131" s="298"/>
      <c r="AP131" s="298"/>
      <c r="AQ131" s="298"/>
      <c r="AR131" s="298"/>
      <c r="AS131" s="298"/>
      <c r="AT131" s="299"/>
      <c r="AU131" s="297"/>
      <c r="AV131" s="298"/>
      <c r="AW131" s="298"/>
      <c r="AX131" s="298"/>
      <c r="AY131" s="298"/>
      <c r="AZ131" s="298"/>
      <c r="BA131" s="298"/>
      <c r="BB131" s="298"/>
      <c r="BC131" s="298"/>
      <c r="BD131" s="298"/>
      <c r="BE131" s="298"/>
      <c r="BF131" s="297"/>
      <c r="BG131" s="298"/>
      <c r="BH131" s="298"/>
      <c r="BI131" s="298"/>
      <c r="BJ131" s="298"/>
      <c r="BK131" s="299"/>
    </row>
    <row r="132" spans="1:63" s="274" customFormat="1" ht="15" customHeight="1" x14ac:dyDescent="0.25">
      <c r="A132" s="20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/>
      <c r="M132" s="300"/>
      <c r="N132" s="300"/>
      <c r="O132" s="300"/>
      <c r="P132" s="300"/>
      <c r="Q132" s="300"/>
      <c r="R132" s="301"/>
      <c r="S132" s="301"/>
      <c r="T132" s="301"/>
      <c r="U132" s="301"/>
      <c r="V132" s="301"/>
      <c r="W132" s="301"/>
      <c r="X132" s="301"/>
      <c r="Y132" s="301"/>
      <c r="Z132" s="301"/>
      <c r="AA132" s="301"/>
      <c r="AB132" s="301"/>
      <c r="AC132" s="301"/>
      <c r="AD132" s="301"/>
      <c r="AE132" s="301"/>
      <c r="AF132" s="301"/>
      <c r="AG132" s="301"/>
      <c r="AH132" s="301"/>
      <c r="AI132" s="301"/>
      <c r="AJ132" s="301"/>
      <c r="AK132" s="301"/>
      <c r="AL132" s="301"/>
      <c r="AM132" s="301"/>
      <c r="AN132" s="301"/>
      <c r="AO132" s="301"/>
      <c r="AP132" s="301"/>
      <c r="AQ132" s="301"/>
      <c r="AR132" s="301"/>
      <c r="AS132" s="301"/>
      <c r="AT132" s="301"/>
      <c r="AU132" s="20"/>
      <c r="AV132" s="21"/>
      <c r="AW132" s="21"/>
      <c r="AX132" s="21"/>
      <c r="AY132" s="21"/>
      <c r="AZ132" s="21"/>
      <c r="BA132" s="21"/>
      <c r="BB132" s="21"/>
      <c r="BC132" s="21"/>
      <c r="BD132" s="21"/>
      <c r="BE132" s="22"/>
      <c r="BF132" s="126" t="s">
        <v>50</v>
      </c>
      <c r="BG132" s="127"/>
      <c r="BH132" s="127"/>
      <c r="BI132" s="127"/>
      <c r="BJ132" s="127"/>
      <c r="BK132" s="128"/>
    </row>
    <row r="133" spans="1:63" s="274" customFormat="1" ht="15" customHeight="1" x14ac:dyDescent="0.25">
      <c r="A133" s="24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25"/>
      <c r="M133" s="300"/>
      <c r="N133" s="58" t="s">
        <v>151</v>
      </c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300"/>
      <c r="AB133" s="300"/>
      <c r="AC133" s="300"/>
      <c r="AD133" s="300"/>
      <c r="AE133" s="300"/>
      <c r="AF133" s="300"/>
      <c r="AG133" s="300"/>
      <c r="AH133" s="300"/>
      <c r="AI133" s="300"/>
      <c r="AJ133" s="300"/>
      <c r="AK133" s="300"/>
      <c r="AL133" s="300"/>
      <c r="AM133" s="300"/>
      <c r="AN133" s="300"/>
      <c r="AO133" s="300"/>
      <c r="AP133" s="300"/>
      <c r="AQ133" s="300"/>
      <c r="AR133" s="300"/>
      <c r="AS133" s="300"/>
      <c r="AT133" s="300"/>
      <c r="AU133" s="24"/>
      <c r="AV133" s="42"/>
      <c r="AW133" s="42"/>
      <c r="AX133" s="42"/>
      <c r="AY133" s="42"/>
      <c r="AZ133" s="42"/>
      <c r="BA133" s="42"/>
      <c r="BB133" s="42"/>
      <c r="BC133" s="42"/>
      <c r="BD133" s="42"/>
      <c r="BE133" s="25"/>
      <c r="BF133" s="129"/>
      <c r="BG133" s="130"/>
      <c r="BH133" s="130"/>
      <c r="BI133" s="130"/>
      <c r="BJ133" s="130"/>
      <c r="BK133" s="131"/>
    </row>
    <row r="134" spans="1:63" s="274" customFormat="1" ht="17.25" customHeight="1" x14ac:dyDescent="0.25">
      <c r="A134" s="24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25"/>
      <c r="M134" s="302"/>
      <c r="N134" s="324" t="s">
        <v>80</v>
      </c>
      <c r="O134" s="324"/>
      <c r="P134" s="324"/>
      <c r="Q134" s="324"/>
      <c r="R134" s="324"/>
      <c r="S134" s="324"/>
      <c r="T134" s="324"/>
      <c r="U134" s="324"/>
      <c r="V134" s="324"/>
      <c r="W134" s="324"/>
      <c r="X134" s="324"/>
      <c r="Y134" s="324"/>
      <c r="Z134" s="324"/>
      <c r="AA134" s="324"/>
      <c r="AB134" s="324"/>
      <c r="AC134" s="324"/>
      <c r="AD134" s="324"/>
      <c r="AE134" s="324"/>
      <c r="AF134" s="324"/>
      <c r="AG134" s="324"/>
      <c r="AH134" s="324"/>
      <c r="AI134" s="324"/>
      <c r="AJ134" s="324"/>
      <c r="AK134" s="324"/>
      <c r="AL134" s="324"/>
      <c r="AM134" s="324"/>
      <c r="AN134" s="324"/>
      <c r="AO134" s="324"/>
      <c r="AP134" s="324"/>
      <c r="AQ134" s="324"/>
      <c r="AR134" s="300"/>
      <c r="AS134" s="300"/>
      <c r="AT134" s="300"/>
      <c r="AU134" s="24"/>
      <c r="AV134" s="42"/>
      <c r="AW134" s="42"/>
      <c r="AX134" s="42"/>
      <c r="AY134" s="42"/>
      <c r="AZ134" s="42"/>
      <c r="BA134" s="42"/>
      <c r="BB134" s="42"/>
      <c r="BC134" s="42"/>
      <c r="BD134" s="42"/>
      <c r="BE134" s="25"/>
      <c r="BF134" s="129"/>
      <c r="BG134" s="130"/>
      <c r="BH134" s="130"/>
      <c r="BI134" s="130"/>
      <c r="BJ134" s="130"/>
      <c r="BK134" s="131"/>
    </row>
    <row r="135" spans="1:63" s="274" customFormat="1" ht="17.25" customHeight="1" x14ac:dyDescent="0.25">
      <c r="A135" s="24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25"/>
      <c r="M135" s="300"/>
      <c r="N135" s="324" t="s">
        <v>83</v>
      </c>
      <c r="O135" s="324"/>
      <c r="P135" s="324"/>
      <c r="Q135" s="324"/>
      <c r="R135" s="324"/>
      <c r="S135" s="324"/>
      <c r="T135" s="324"/>
      <c r="U135" s="324"/>
      <c r="V135" s="324"/>
      <c r="W135" s="324"/>
      <c r="X135" s="324"/>
      <c r="Y135" s="324"/>
      <c r="Z135" s="324"/>
      <c r="AA135" s="324"/>
      <c r="AB135" s="324"/>
      <c r="AC135" s="324"/>
      <c r="AD135" s="324"/>
      <c r="AE135" s="324"/>
      <c r="AF135" s="324"/>
      <c r="AG135" s="324"/>
      <c r="AH135" s="324"/>
      <c r="AI135" s="324"/>
      <c r="AJ135" s="324"/>
      <c r="AK135" s="324"/>
      <c r="AL135" s="324"/>
      <c r="AM135" s="324"/>
      <c r="AN135" s="324"/>
      <c r="AO135" s="324"/>
      <c r="AP135" s="324"/>
      <c r="AQ135" s="324"/>
      <c r="AR135" s="300"/>
      <c r="AS135" s="300"/>
      <c r="AT135" s="300"/>
      <c r="AU135" s="24"/>
      <c r="AV135" s="42"/>
      <c r="AW135" s="42"/>
      <c r="AX135" s="42"/>
      <c r="AY135" s="42"/>
      <c r="AZ135" s="42"/>
      <c r="BA135" s="42"/>
      <c r="BB135" s="42"/>
      <c r="BC135" s="42"/>
      <c r="BD135" s="42"/>
      <c r="BE135" s="25"/>
      <c r="BF135" s="129"/>
      <c r="BG135" s="130"/>
      <c r="BH135" s="130"/>
      <c r="BI135" s="130"/>
      <c r="BJ135" s="130"/>
      <c r="BK135" s="131"/>
    </row>
    <row r="136" spans="1:63" s="274" customFormat="1" ht="15" customHeight="1" x14ac:dyDescent="0.25">
      <c r="A136" s="24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25"/>
      <c r="M136" s="300"/>
      <c r="N136" s="303" t="s">
        <v>70</v>
      </c>
      <c r="O136" s="303"/>
      <c r="P136" s="303"/>
      <c r="Q136" s="303"/>
      <c r="R136" s="303"/>
      <c r="S136" s="303"/>
      <c r="T136" s="303"/>
      <c r="U136" s="303"/>
      <c r="V136" s="303"/>
      <c r="W136" s="303"/>
      <c r="X136" s="303"/>
      <c r="Y136" s="303"/>
      <c r="Z136" s="303"/>
      <c r="AA136" s="303"/>
      <c r="AB136" s="303"/>
      <c r="AC136" s="303"/>
      <c r="AD136" s="303"/>
      <c r="AE136" s="303"/>
      <c r="AF136" s="303"/>
      <c r="AG136" s="303"/>
      <c r="AH136" s="303"/>
      <c r="AI136" s="300"/>
      <c r="AJ136" s="300"/>
      <c r="AK136" s="300"/>
      <c r="AL136" s="300"/>
      <c r="AM136" s="300"/>
      <c r="AN136" s="300"/>
      <c r="AO136" s="300"/>
      <c r="AP136" s="300"/>
      <c r="AQ136" s="300"/>
      <c r="AR136" s="300"/>
      <c r="AS136" s="300"/>
      <c r="AT136" s="300"/>
      <c r="AU136" s="24"/>
      <c r="AV136" s="42"/>
      <c r="AW136" s="42"/>
      <c r="AX136" s="42"/>
      <c r="AY136" s="42"/>
      <c r="AZ136" s="42"/>
      <c r="BA136" s="42"/>
      <c r="BB136" s="42"/>
      <c r="BC136" s="42"/>
      <c r="BD136" s="42"/>
      <c r="BE136" s="25"/>
      <c r="BF136" s="129"/>
      <c r="BG136" s="130"/>
      <c r="BH136" s="130"/>
      <c r="BI136" s="130"/>
      <c r="BJ136" s="130"/>
      <c r="BK136" s="131"/>
    </row>
    <row r="137" spans="1:63" s="274" customFormat="1" ht="15" customHeight="1" x14ac:dyDescent="0.25">
      <c r="A137" s="26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8"/>
      <c r="M137" s="320"/>
      <c r="N137" s="321"/>
      <c r="O137" s="321"/>
      <c r="P137" s="321"/>
      <c r="Q137" s="321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323"/>
      <c r="AQ137" s="323"/>
      <c r="AR137" s="323"/>
      <c r="AS137" s="323"/>
      <c r="AT137" s="323"/>
      <c r="AU137" s="26"/>
      <c r="AV137" s="27"/>
      <c r="AW137" s="27"/>
      <c r="AX137" s="27"/>
      <c r="AY137" s="27"/>
      <c r="AZ137" s="27"/>
      <c r="BA137" s="27"/>
      <c r="BB137" s="27"/>
      <c r="BC137" s="27"/>
      <c r="BD137" s="27"/>
      <c r="BE137" s="28"/>
      <c r="BF137" s="132"/>
      <c r="BG137" s="133"/>
      <c r="BH137" s="133"/>
      <c r="BI137" s="133"/>
      <c r="BJ137" s="133"/>
      <c r="BK137" s="134"/>
    </row>
    <row r="138" spans="1:63" ht="15" customHeight="1" x14ac:dyDescent="0.25">
      <c r="A138" s="52"/>
      <c r="BK138" s="15"/>
    </row>
    <row r="139" spans="1:63" ht="15" customHeight="1" x14ac:dyDescent="0.25">
      <c r="A139" s="52"/>
      <c r="BK139" s="15"/>
    </row>
    <row r="140" spans="1:63" ht="15" customHeight="1" x14ac:dyDescent="0.25">
      <c r="A140" s="52"/>
      <c r="BK140" s="15"/>
    </row>
    <row r="141" spans="1:63" ht="15" customHeight="1" x14ac:dyDescent="0.25">
      <c r="A141" s="52"/>
      <c r="BK141" s="15"/>
    </row>
    <row r="142" spans="1:63" s="274" customFormat="1" ht="15" customHeight="1" x14ac:dyDescent="0.25">
      <c r="A142" s="288" t="s">
        <v>13</v>
      </c>
      <c r="B142" s="289"/>
      <c r="C142" s="289"/>
      <c r="D142" s="289"/>
      <c r="E142" s="289"/>
      <c r="F142" s="290"/>
      <c r="G142" s="276" t="s">
        <v>91</v>
      </c>
      <c r="H142" s="276"/>
      <c r="I142" s="276"/>
      <c r="J142" s="276"/>
      <c r="K142" s="276"/>
      <c r="L142" s="276"/>
      <c r="M142" s="291" t="s">
        <v>79</v>
      </c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292"/>
      <c r="BI142" s="292"/>
      <c r="BJ142" s="292"/>
      <c r="BK142" s="293"/>
    </row>
    <row r="143" spans="1:63" s="274" customFormat="1" ht="15" customHeight="1" x14ac:dyDescent="0.25">
      <c r="A143" s="294" t="s">
        <v>14</v>
      </c>
      <c r="B143" s="295"/>
      <c r="C143" s="295"/>
      <c r="D143" s="295"/>
      <c r="E143" s="295"/>
      <c r="F143" s="295"/>
      <c r="G143" s="295"/>
      <c r="H143" s="295"/>
      <c r="I143" s="295"/>
      <c r="J143" s="295"/>
      <c r="K143" s="295"/>
      <c r="L143" s="296"/>
      <c r="M143" s="294" t="s">
        <v>15</v>
      </c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  <c r="AA143" s="295"/>
      <c r="AB143" s="295"/>
      <c r="AC143" s="295"/>
      <c r="AD143" s="295"/>
      <c r="AE143" s="295"/>
      <c r="AF143" s="295"/>
      <c r="AG143" s="295"/>
      <c r="AH143" s="295"/>
      <c r="AI143" s="295"/>
      <c r="AJ143" s="295"/>
      <c r="AK143" s="295"/>
      <c r="AL143" s="295"/>
      <c r="AM143" s="295"/>
      <c r="AN143" s="295"/>
      <c r="AO143" s="295"/>
      <c r="AP143" s="295"/>
      <c r="AQ143" s="295"/>
      <c r="AR143" s="295"/>
      <c r="AS143" s="295"/>
      <c r="AT143" s="296"/>
      <c r="AU143" s="294" t="s">
        <v>16</v>
      </c>
      <c r="AV143" s="295"/>
      <c r="AW143" s="295"/>
      <c r="AX143" s="295"/>
      <c r="AY143" s="295"/>
      <c r="AZ143" s="295"/>
      <c r="BA143" s="295"/>
      <c r="BB143" s="295"/>
      <c r="BC143" s="295"/>
      <c r="BD143" s="295"/>
      <c r="BE143" s="295"/>
      <c r="BF143" s="294" t="s">
        <v>17</v>
      </c>
      <c r="BG143" s="295"/>
      <c r="BH143" s="295"/>
      <c r="BI143" s="295"/>
      <c r="BJ143" s="295"/>
      <c r="BK143" s="296"/>
    </row>
    <row r="144" spans="1:63" s="274" customFormat="1" ht="15" customHeight="1" x14ac:dyDescent="0.25">
      <c r="A144" s="297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9"/>
      <c r="M144" s="297"/>
      <c r="N144" s="298"/>
      <c r="O144" s="298"/>
      <c r="P144" s="298"/>
      <c r="Q144" s="298"/>
      <c r="R144" s="298"/>
      <c r="S144" s="298"/>
      <c r="T144" s="298"/>
      <c r="U144" s="298"/>
      <c r="V144" s="298"/>
      <c r="W144" s="298"/>
      <c r="X144" s="298"/>
      <c r="Y144" s="298"/>
      <c r="Z144" s="298"/>
      <c r="AA144" s="298"/>
      <c r="AB144" s="298"/>
      <c r="AC144" s="298"/>
      <c r="AD144" s="298"/>
      <c r="AE144" s="298"/>
      <c r="AF144" s="298"/>
      <c r="AG144" s="298"/>
      <c r="AH144" s="298"/>
      <c r="AI144" s="298"/>
      <c r="AJ144" s="298"/>
      <c r="AK144" s="298"/>
      <c r="AL144" s="298"/>
      <c r="AM144" s="298"/>
      <c r="AN144" s="298"/>
      <c r="AO144" s="298"/>
      <c r="AP144" s="298"/>
      <c r="AQ144" s="298"/>
      <c r="AR144" s="298"/>
      <c r="AS144" s="298"/>
      <c r="AT144" s="299"/>
      <c r="AU144" s="297"/>
      <c r="AV144" s="298"/>
      <c r="AW144" s="298"/>
      <c r="AX144" s="298"/>
      <c r="AY144" s="298"/>
      <c r="AZ144" s="298"/>
      <c r="BA144" s="298"/>
      <c r="BB144" s="298"/>
      <c r="BC144" s="298"/>
      <c r="BD144" s="298"/>
      <c r="BE144" s="298"/>
      <c r="BF144" s="297"/>
      <c r="BG144" s="298"/>
      <c r="BH144" s="298"/>
      <c r="BI144" s="298"/>
      <c r="BJ144" s="298"/>
      <c r="BK144" s="299"/>
    </row>
    <row r="145" spans="1:63" s="274" customFormat="1" ht="15" customHeight="1" x14ac:dyDescent="0.25">
      <c r="A145" s="20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2"/>
      <c r="M145" s="300"/>
      <c r="N145" s="300"/>
      <c r="O145" s="300"/>
      <c r="P145" s="300"/>
      <c r="Q145" s="300"/>
      <c r="R145" s="301"/>
      <c r="S145" s="301"/>
      <c r="T145" s="301"/>
      <c r="U145" s="301"/>
      <c r="V145" s="301"/>
      <c r="W145" s="301"/>
      <c r="X145" s="301"/>
      <c r="Y145" s="301"/>
      <c r="Z145" s="301"/>
      <c r="AA145" s="301"/>
      <c r="AB145" s="301"/>
      <c r="AC145" s="301"/>
      <c r="AD145" s="301"/>
      <c r="AE145" s="301"/>
      <c r="AF145" s="301"/>
      <c r="AG145" s="301"/>
      <c r="AH145" s="301"/>
      <c r="AI145" s="301"/>
      <c r="AJ145" s="301"/>
      <c r="AK145" s="301"/>
      <c r="AL145" s="301"/>
      <c r="AM145" s="301"/>
      <c r="AN145" s="301"/>
      <c r="AO145" s="301"/>
      <c r="AP145" s="301"/>
      <c r="AQ145" s="301"/>
      <c r="AR145" s="301"/>
      <c r="AS145" s="301"/>
      <c r="AT145" s="301"/>
      <c r="AU145" s="20"/>
      <c r="AV145" s="21"/>
      <c r="AW145" s="21"/>
      <c r="AX145" s="21"/>
      <c r="AY145" s="21"/>
      <c r="AZ145" s="21"/>
      <c r="BA145" s="21"/>
      <c r="BB145" s="21"/>
      <c r="BC145" s="21"/>
      <c r="BD145" s="21"/>
      <c r="BE145" s="22"/>
      <c r="BF145" s="126" t="s">
        <v>152</v>
      </c>
      <c r="BG145" s="127"/>
      <c r="BH145" s="127"/>
      <c r="BI145" s="127"/>
      <c r="BJ145" s="127"/>
      <c r="BK145" s="128"/>
    </row>
    <row r="146" spans="1:63" s="274" customFormat="1" ht="15" customHeight="1" x14ac:dyDescent="0.25">
      <c r="A146" s="24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25"/>
      <c r="M146" s="300"/>
      <c r="N146" s="58" t="s">
        <v>153</v>
      </c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  <c r="AH146" s="300"/>
      <c r="AI146" s="300"/>
      <c r="AJ146" s="300"/>
      <c r="AK146" s="300"/>
      <c r="AL146" s="300"/>
      <c r="AM146" s="300"/>
      <c r="AN146" s="300"/>
      <c r="AO146" s="300"/>
      <c r="AP146" s="300"/>
      <c r="AQ146" s="300"/>
      <c r="AR146" s="300"/>
      <c r="AS146" s="300"/>
      <c r="AT146" s="300"/>
      <c r="AU146" s="24"/>
      <c r="AV146" s="42"/>
      <c r="AW146" s="42"/>
      <c r="AX146" s="42"/>
      <c r="AY146" s="42"/>
      <c r="AZ146" s="42"/>
      <c r="BA146" s="42"/>
      <c r="BB146" s="42"/>
      <c r="BC146" s="42"/>
      <c r="BD146" s="42"/>
      <c r="BE146" s="25"/>
      <c r="BF146" s="129"/>
      <c r="BG146" s="130"/>
      <c r="BH146" s="130"/>
      <c r="BI146" s="130"/>
      <c r="BJ146" s="130"/>
      <c r="BK146" s="131"/>
    </row>
    <row r="147" spans="1:63" s="274" customFormat="1" ht="15" customHeight="1" x14ac:dyDescent="0.25">
      <c r="A147" s="24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25"/>
      <c r="M147" s="302"/>
      <c r="N147" s="303" t="s">
        <v>81</v>
      </c>
      <c r="O147" s="303"/>
      <c r="P147" s="303"/>
      <c r="Q147" s="303"/>
      <c r="R147" s="303"/>
      <c r="S147" s="303"/>
      <c r="T147" s="303"/>
      <c r="U147" s="303"/>
      <c r="V147" s="303"/>
      <c r="W147" s="303"/>
      <c r="X147" s="303"/>
      <c r="Y147" s="303"/>
      <c r="Z147" s="303"/>
      <c r="AA147" s="303"/>
      <c r="AB147" s="303"/>
      <c r="AC147" s="303"/>
      <c r="AD147" s="303"/>
      <c r="AE147" s="303"/>
      <c r="AF147" s="303"/>
      <c r="AG147" s="303"/>
      <c r="AH147" s="303"/>
      <c r="AI147" s="303"/>
      <c r="AJ147" s="300"/>
      <c r="AK147" s="300"/>
      <c r="AL147" s="300"/>
      <c r="AM147" s="300"/>
      <c r="AN147" s="300"/>
      <c r="AO147" s="300"/>
      <c r="AP147" s="300"/>
      <c r="AQ147" s="300"/>
      <c r="AR147" s="300"/>
      <c r="AS147" s="300"/>
      <c r="AT147" s="300"/>
      <c r="AU147" s="24"/>
      <c r="AV147" s="42"/>
      <c r="AW147" s="42"/>
      <c r="AX147" s="42"/>
      <c r="AY147" s="42"/>
      <c r="AZ147" s="42"/>
      <c r="BA147" s="42"/>
      <c r="BB147" s="42"/>
      <c r="BC147" s="42"/>
      <c r="BD147" s="42"/>
      <c r="BE147" s="25"/>
      <c r="BF147" s="129"/>
      <c r="BG147" s="130"/>
      <c r="BH147" s="130"/>
      <c r="BI147" s="130"/>
      <c r="BJ147" s="130"/>
      <c r="BK147" s="131"/>
    </row>
    <row r="148" spans="1:63" s="274" customFormat="1" x14ac:dyDescent="0.25">
      <c r="A148" s="24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25"/>
      <c r="M148" s="300"/>
      <c r="N148" s="338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  <c r="AA148" s="339"/>
      <c r="AB148" s="339"/>
      <c r="AC148" s="339"/>
      <c r="AD148" s="339"/>
      <c r="AE148" s="339"/>
      <c r="AF148" s="339"/>
      <c r="AG148" s="339"/>
      <c r="AH148" s="339"/>
      <c r="AI148" s="339"/>
      <c r="AJ148" s="339"/>
      <c r="AK148" s="339"/>
      <c r="AL148" s="339"/>
      <c r="AM148" s="339"/>
      <c r="AN148" s="339"/>
      <c r="AO148" s="339"/>
      <c r="AP148" s="339"/>
      <c r="AQ148" s="339"/>
      <c r="AR148" s="300"/>
      <c r="AS148" s="300"/>
      <c r="AT148" s="300"/>
      <c r="AU148" s="24"/>
      <c r="AV148" s="42"/>
      <c r="AW148" s="42"/>
      <c r="AX148" s="42"/>
      <c r="AY148" s="42"/>
      <c r="AZ148" s="42"/>
      <c r="BA148" s="42"/>
      <c r="BB148" s="42"/>
      <c r="BC148" s="42"/>
      <c r="BD148" s="42"/>
      <c r="BE148" s="25"/>
      <c r="BF148" s="129"/>
      <c r="BG148" s="130"/>
      <c r="BH148" s="130"/>
      <c r="BI148" s="130"/>
      <c r="BJ148" s="130"/>
      <c r="BK148" s="131"/>
    </row>
    <row r="149" spans="1:63" s="274" customFormat="1" x14ac:dyDescent="0.25">
      <c r="A149" s="24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25"/>
      <c r="M149" s="300"/>
      <c r="N149" s="60" t="s">
        <v>23</v>
      </c>
      <c r="O149" s="61"/>
      <c r="P149" s="61"/>
      <c r="Q149" s="61"/>
      <c r="R149" s="61"/>
      <c r="S149" s="61"/>
      <c r="T149" s="61"/>
      <c r="U149" s="60" t="s">
        <v>24</v>
      </c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2"/>
      <c r="AL149" s="300"/>
      <c r="AM149" s="300"/>
      <c r="AN149" s="300"/>
      <c r="AO149" s="300"/>
      <c r="AP149" s="300"/>
      <c r="AQ149" s="300"/>
      <c r="AR149" s="300"/>
      <c r="AS149" s="300"/>
      <c r="AT149" s="300"/>
      <c r="AU149" s="24"/>
      <c r="AV149" s="42"/>
      <c r="AW149" s="42"/>
      <c r="AX149" s="42"/>
      <c r="AY149" s="42"/>
      <c r="AZ149" s="42"/>
      <c r="BA149" s="42"/>
      <c r="BB149" s="42"/>
      <c r="BC149" s="42"/>
      <c r="BD149" s="42"/>
      <c r="BE149" s="25"/>
      <c r="BF149" s="129"/>
      <c r="BG149" s="130"/>
      <c r="BH149" s="130"/>
      <c r="BI149" s="130"/>
      <c r="BJ149" s="130"/>
      <c r="BK149" s="131"/>
    </row>
    <row r="150" spans="1:63" s="274" customFormat="1" x14ac:dyDescent="0.25">
      <c r="A150" s="24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25"/>
      <c r="M150" s="300"/>
      <c r="N150" s="329" t="s">
        <v>154</v>
      </c>
      <c r="O150" s="330"/>
      <c r="P150" s="330"/>
      <c r="Q150" s="330"/>
      <c r="R150" s="330"/>
      <c r="S150" s="330"/>
      <c r="T150" s="331"/>
      <c r="U150" s="306" t="s">
        <v>88</v>
      </c>
      <c r="V150" s="307"/>
      <c r="W150" s="307"/>
      <c r="X150" s="307"/>
      <c r="Y150" s="307"/>
      <c r="Z150" s="307"/>
      <c r="AA150" s="307"/>
      <c r="AB150" s="307"/>
      <c r="AC150" s="307"/>
      <c r="AD150" s="307"/>
      <c r="AE150" s="307"/>
      <c r="AF150" s="307"/>
      <c r="AG150" s="307"/>
      <c r="AH150" s="307"/>
      <c r="AI150" s="307"/>
      <c r="AJ150" s="307"/>
      <c r="AK150" s="308"/>
      <c r="AL150" s="300"/>
      <c r="AM150" s="300"/>
      <c r="AN150" s="300"/>
      <c r="AO150" s="300"/>
      <c r="AP150" s="300"/>
      <c r="AQ150" s="300"/>
      <c r="AR150" s="300"/>
      <c r="AS150" s="300"/>
      <c r="AT150" s="300"/>
      <c r="AU150" s="24"/>
      <c r="AV150" s="42"/>
      <c r="AW150" s="42"/>
      <c r="AX150" s="42"/>
      <c r="AY150" s="42"/>
      <c r="AZ150" s="42"/>
      <c r="BA150" s="42"/>
      <c r="BB150" s="42"/>
      <c r="BC150" s="42"/>
      <c r="BD150" s="42"/>
      <c r="BE150" s="25"/>
      <c r="BF150" s="129"/>
      <c r="BG150" s="130"/>
      <c r="BH150" s="130"/>
      <c r="BI150" s="130"/>
      <c r="BJ150" s="130"/>
      <c r="BK150" s="131"/>
    </row>
    <row r="151" spans="1:63" s="274" customFormat="1" ht="100.5" customHeight="1" x14ac:dyDescent="0.25">
      <c r="A151" s="24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25"/>
      <c r="M151" s="300"/>
      <c r="N151" s="329" t="s">
        <v>155</v>
      </c>
      <c r="O151" s="330"/>
      <c r="P151" s="330"/>
      <c r="Q151" s="330"/>
      <c r="R151" s="330"/>
      <c r="S151" s="330"/>
      <c r="T151" s="331"/>
      <c r="U151" s="332" t="s">
        <v>156</v>
      </c>
      <c r="V151" s="333"/>
      <c r="W151" s="333"/>
      <c r="X151" s="333"/>
      <c r="Y151" s="333"/>
      <c r="Z151" s="333"/>
      <c r="AA151" s="333"/>
      <c r="AB151" s="333"/>
      <c r="AC151" s="333"/>
      <c r="AD151" s="333"/>
      <c r="AE151" s="333"/>
      <c r="AF151" s="333"/>
      <c r="AG151" s="333"/>
      <c r="AH151" s="333"/>
      <c r="AI151" s="333"/>
      <c r="AJ151" s="333"/>
      <c r="AK151" s="334"/>
      <c r="AL151" s="300"/>
      <c r="AM151" s="300"/>
      <c r="AN151" s="300"/>
      <c r="AO151" s="300"/>
      <c r="AP151" s="300"/>
      <c r="AQ151" s="300"/>
      <c r="AR151" s="300"/>
      <c r="AS151" s="300"/>
      <c r="AT151" s="300"/>
      <c r="AU151" s="24"/>
      <c r="AV151" s="42"/>
      <c r="AW151" s="42"/>
      <c r="AX151" s="42"/>
      <c r="AY151" s="42"/>
      <c r="AZ151" s="42"/>
      <c r="BA151" s="42"/>
      <c r="BB151" s="42"/>
      <c r="BC151" s="42"/>
      <c r="BD151" s="42"/>
      <c r="BE151" s="25"/>
      <c r="BF151" s="129"/>
      <c r="BG151" s="130"/>
      <c r="BH151" s="130"/>
      <c r="BI151" s="130"/>
      <c r="BJ151" s="130"/>
      <c r="BK151" s="131"/>
    </row>
    <row r="152" spans="1:63" s="274" customFormat="1" ht="15.75" customHeight="1" x14ac:dyDescent="0.25">
      <c r="A152" s="24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25"/>
      <c r="M152" s="300"/>
      <c r="N152" s="329" t="s">
        <v>157</v>
      </c>
      <c r="O152" s="330"/>
      <c r="P152" s="330"/>
      <c r="Q152" s="330"/>
      <c r="R152" s="330"/>
      <c r="S152" s="330"/>
      <c r="T152" s="331"/>
      <c r="U152" s="332" t="s">
        <v>158</v>
      </c>
      <c r="V152" s="333"/>
      <c r="W152" s="333"/>
      <c r="X152" s="333"/>
      <c r="Y152" s="333"/>
      <c r="Z152" s="333"/>
      <c r="AA152" s="333"/>
      <c r="AB152" s="333"/>
      <c r="AC152" s="333"/>
      <c r="AD152" s="333"/>
      <c r="AE152" s="333"/>
      <c r="AF152" s="333"/>
      <c r="AG152" s="333"/>
      <c r="AH152" s="333"/>
      <c r="AI152" s="333"/>
      <c r="AJ152" s="333"/>
      <c r="AK152" s="334"/>
      <c r="AL152" s="300"/>
      <c r="AM152" s="300"/>
      <c r="AN152" s="300"/>
      <c r="AO152" s="300"/>
      <c r="AP152" s="300"/>
      <c r="AQ152" s="300"/>
      <c r="AR152" s="300"/>
      <c r="AS152" s="300"/>
      <c r="AT152" s="300"/>
      <c r="AU152" s="24"/>
      <c r="AV152" s="42"/>
      <c r="AW152" s="42"/>
      <c r="AX152" s="42"/>
      <c r="AY152" s="42"/>
      <c r="AZ152" s="42"/>
      <c r="BA152" s="42"/>
      <c r="BB152" s="42"/>
      <c r="BC152" s="42"/>
      <c r="BD152" s="42"/>
      <c r="BE152" s="25"/>
      <c r="BF152" s="129"/>
      <c r="BG152" s="130"/>
      <c r="BH152" s="130"/>
      <c r="BI152" s="130"/>
      <c r="BJ152" s="130"/>
      <c r="BK152" s="131"/>
    </row>
    <row r="153" spans="1:63" s="274" customFormat="1" x14ac:dyDescent="0.25">
      <c r="A153" s="24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25"/>
      <c r="M153" s="300"/>
      <c r="N153" s="338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  <c r="AA153" s="339"/>
      <c r="AB153" s="339"/>
      <c r="AC153" s="339"/>
      <c r="AD153" s="339"/>
      <c r="AE153" s="339"/>
      <c r="AF153" s="339"/>
      <c r="AG153" s="339"/>
      <c r="AH153" s="339"/>
      <c r="AI153" s="339"/>
      <c r="AJ153" s="339"/>
      <c r="AK153" s="339"/>
      <c r="AL153" s="339"/>
      <c r="AM153" s="339"/>
      <c r="AN153" s="339"/>
      <c r="AO153" s="339"/>
      <c r="AP153" s="339"/>
      <c r="AQ153" s="339"/>
      <c r="AR153" s="300"/>
      <c r="AS153" s="300"/>
      <c r="AT153" s="300"/>
      <c r="AU153" s="24"/>
      <c r="AV153" s="42"/>
      <c r="AW153" s="42"/>
      <c r="AX153" s="42"/>
      <c r="AY153" s="42"/>
      <c r="AZ153" s="42"/>
      <c r="BA153" s="42"/>
      <c r="BB153" s="42"/>
      <c r="BC153" s="42"/>
      <c r="BD153" s="42"/>
      <c r="BE153" s="25"/>
      <c r="BF153" s="129"/>
      <c r="BG153" s="130"/>
      <c r="BH153" s="130"/>
      <c r="BI153" s="130"/>
      <c r="BJ153" s="130"/>
      <c r="BK153" s="131"/>
    </row>
    <row r="154" spans="1:63" s="274" customFormat="1" x14ac:dyDescent="0.25">
      <c r="A154" s="24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25"/>
      <c r="M154" s="300"/>
      <c r="N154" s="303" t="s">
        <v>26</v>
      </c>
      <c r="O154" s="303"/>
      <c r="P154" s="303"/>
      <c r="Q154" s="303"/>
      <c r="R154" s="303"/>
      <c r="S154" s="303"/>
      <c r="T154" s="303"/>
      <c r="U154" s="303"/>
      <c r="V154" s="303"/>
      <c r="W154" s="303"/>
      <c r="X154" s="303"/>
      <c r="Y154" s="303"/>
      <c r="Z154" s="303"/>
      <c r="AA154" s="303"/>
      <c r="AB154" s="303"/>
      <c r="AC154" s="303"/>
      <c r="AD154" s="303"/>
      <c r="AE154" s="303"/>
      <c r="AF154" s="303"/>
      <c r="AG154" s="303"/>
      <c r="AH154" s="300"/>
      <c r="AI154" s="300"/>
      <c r="AJ154" s="300"/>
      <c r="AK154" s="300"/>
      <c r="AL154" s="300"/>
      <c r="AM154" s="300"/>
      <c r="AN154" s="300"/>
      <c r="AO154" s="300"/>
      <c r="AP154" s="303"/>
      <c r="AQ154" s="303"/>
      <c r="AR154" s="300"/>
      <c r="AS154" s="300"/>
      <c r="AT154" s="300"/>
      <c r="AU154" s="24"/>
      <c r="AV154" s="42"/>
      <c r="AW154" s="42"/>
      <c r="AX154" s="42"/>
      <c r="AY154" s="42"/>
      <c r="AZ154" s="42"/>
      <c r="BA154" s="42"/>
      <c r="BB154" s="42"/>
      <c r="BC154" s="42"/>
      <c r="BD154" s="42"/>
      <c r="BE154" s="25"/>
      <c r="BF154" s="129"/>
      <c r="BG154" s="130"/>
      <c r="BH154" s="130"/>
      <c r="BI154" s="130"/>
      <c r="BJ154" s="130"/>
      <c r="BK154" s="131"/>
    </row>
    <row r="155" spans="1:63" s="274" customFormat="1" x14ac:dyDescent="0.25">
      <c r="A155" s="24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25"/>
      <c r="M155" s="300"/>
      <c r="N155" s="303" t="s">
        <v>76</v>
      </c>
      <c r="O155" s="300"/>
      <c r="P155" s="300"/>
      <c r="Q155" s="300"/>
      <c r="R155" s="300"/>
      <c r="S155" s="300"/>
      <c r="T155" s="303"/>
      <c r="U155" s="303"/>
      <c r="V155" s="303"/>
      <c r="W155" s="303"/>
      <c r="X155" s="303"/>
      <c r="Y155" s="303"/>
      <c r="Z155" s="303"/>
      <c r="AA155" s="303"/>
      <c r="AB155" s="303"/>
      <c r="AC155" s="303"/>
      <c r="AD155" s="303"/>
      <c r="AE155" s="303"/>
      <c r="AF155" s="303"/>
      <c r="AG155" s="303"/>
      <c r="AH155" s="303"/>
      <c r="AI155" s="300"/>
      <c r="AJ155" s="300"/>
      <c r="AK155" s="300"/>
      <c r="AL155" s="300"/>
      <c r="AM155" s="300"/>
      <c r="AN155" s="300"/>
      <c r="AO155" s="300"/>
      <c r="AP155" s="303"/>
      <c r="AQ155" s="303"/>
      <c r="AR155" s="300"/>
      <c r="AS155" s="300"/>
      <c r="AT155" s="300"/>
      <c r="AU155" s="24"/>
      <c r="AV155" s="42"/>
      <c r="AW155" s="42"/>
      <c r="AX155" s="42"/>
      <c r="AY155" s="42"/>
      <c r="AZ155" s="42"/>
      <c r="BA155" s="42"/>
      <c r="BB155" s="42"/>
      <c r="BC155" s="42"/>
      <c r="BD155" s="42"/>
      <c r="BE155" s="25"/>
      <c r="BF155" s="129"/>
      <c r="BG155" s="130"/>
      <c r="BH155" s="130"/>
      <c r="BI155" s="130"/>
      <c r="BJ155" s="130"/>
      <c r="BK155" s="131"/>
    </row>
    <row r="156" spans="1:63" s="274" customFormat="1" x14ac:dyDescent="0.25">
      <c r="A156" s="24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25"/>
      <c r="M156" s="300"/>
      <c r="N156" s="300"/>
      <c r="O156" s="60" t="s">
        <v>28</v>
      </c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2"/>
      <c r="AL156" s="300"/>
      <c r="AM156" s="300"/>
      <c r="AN156" s="300"/>
      <c r="AO156" s="300"/>
      <c r="AP156" s="303"/>
      <c r="AQ156" s="303"/>
      <c r="AR156" s="300"/>
      <c r="AS156" s="300"/>
      <c r="AT156" s="300"/>
      <c r="AU156" s="24"/>
      <c r="AV156" s="42"/>
      <c r="AW156" s="42"/>
      <c r="AX156" s="42"/>
      <c r="AY156" s="42"/>
      <c r="AZ156" s="42"/>
      <c r="BA156" s="42"/>
      <c r="BB156" s="42"/>
      <c r="BC156" s="42"/>
      <c r="BD156" s="42"/>
      <c r="BE156" s="25"/>
      <c r="BF156" s="129"/>
      <c r="BG156" s="130"/>
      <c r="BH156" s="130"/>
      <c r="BI156" s="130"/>
      <c r="BJ156" s="130"/>
      <c r="BK156" s="131"/>
    </row>
    <row r="157" spans="1:63" s="274" customFormat="1" x14ac:dyDescent="0.25">
      <c r="A157" s="24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25"/>
      <c r="M157" s="300"/>
      <c r="N157" s="300"/>
      <c r="O157" s="309" t="s">
        <v>32</v>
      </c>
      <c r="P157" s="301"/>
      <c r="Q157" s="301"/>
      <c r="R157" s="301"/>
      <c r="S157" s="301"/>
      <c r="T157" s="310"/>
      <c r="U157" s="301"/>
      <c r="V157" s="301"/>
      <c r="W157" s="301"/>
      <c r="X157" s="301"/>
      <c r="Y157" s="301"/>
      <c r="Z157" s="309" t="s">
        <v>30</v>
      </c>
      <c r="AA157" s="301"/>
      <c r="AB157" s="301"/>
      <c r="AC157" s="301"/>
      <c r="AD157" s="301"/>
      <c r="AE157" s="301"/>
      <c r="AF157" s="301"/>
      <c r="AG157" s="301"/>
      <c r="AH157" s="301"/>
      <c r="AI157" s="301"/>
      <c r="AJ157" s="301"/>
      <c r="AK157" s="311"/>
      <c r="AL157" s="300"/>
      <c r="AM157" s="300"/>
      <c r="AN157" s="300"/>
      <c r="AO157" s="300"/>
      <c r="AP157" s="303"/>
      <c r="AQ157" s="303"/>
      <c r="AR157" s="300"/>
      <c r="AS157" s="300"/>
      <c r="AT157" s="300"/>
      <c r="AU157" s="24"/>
      <c r="AV157" s="42"/>
      <c r="AW157" s="42"/>
      <c r="AX157" s="42"/>
      <c r="AY157" s="42"/>
      <c r="AZ157" s="42"/>
      <c r="BA157" s="42"/>
      <c r="BB157" s="42"/>
      <c r="BC157" s="42"/>
      <c r="BD157" s="42"/>
      <c r="BE157" s="25"/>
      <c r="BF157" s="129"/>
      <c r="BG157" s="130"/>
      <c r="BH157" s="130"/>
      <c r="BI157" s="130"/>
      <c r="BJ157" s="130"/>
      <c r="BK157" s="131"/>
    </row>
    <row r="158" spans="1:63" s="274" customFormat="1" x14ac:dyDescent="0.25">
      <c r="A158" s="24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25"/>
      <c r="M158" s="300"/>
      <c r="N158" s="300"/>
      <c r="O158" s="314" t="s">
        <v>33</v>
      </c>
      <c r="P158" s="291"/>
      <c r="Q158" s="291"/>
      <c r="R158" s="291"/>
      <c r="S158" s="291"/>
      <c r="T158" s="340"/>
      <c r="U158" s="291"/>
      <c r="V158" s="291"/>
      <c r="W158" s="291"/>
      <c r="X158" s="291"/>
      <c r="Y158" s="291"/>
      <c r="Z158" s="314" t="s">
        <v>82</v>
      </c>
      <c r="AA158" s="291"/>
      <c r="AB158" s="291"/>
      <c r="AC158" s="291"/>
      <c r="AD158" s="291"/>
      <c r="AE158" s="291"/>
      <c r="AF158" s="291"/>
      <c r="AG158" s="291"/>
      <c r="AH158" s="291"/>
      <c r="AI158" s="291"/>
      <c r="AJ158" s="291"/>
      <c r="AK158" s="317"/>
      <c r="AL158" s="300"/>
      <c r="AM158" s="300"/>
      <c r="AN158" s="300"/>
      <c r="AO158" s="300"/>
      <c r="AP158" s="303"/>
      <c r="AQ158" s="303"/>
      <c r="AR158" s="300"/>
      <c r="AS158" s="300"/>
      <c r="AT158" s="300"/>
      <c r="AU158" s="24"/>
      <c r="AV158" s="42"/>
      <c r="AW158" s="42"/>
      <c r="AX158" s="42"/>
      <c r="AY158" s="42"/>
      <c r="AZ158" s="42"/>
      <c r="BA158" s="42"/>
      <c r="BB158" s="42"/>
      <c r="BC158" s="42"/>
      <c r="BD158" s="42"/>
      <c r="BE158" s="25"/>
      <c r="BF158" s="129"/>
      <c r="BG158" s="130"/>
      <c r="BH158" s="130"/>
      <c r="BI158" s="130"/>
      <c r="BJ158" s="130"/>
      <c r="BK158" s="131"/>
    </row>
    <row r="159" spans="1:63" s="274" customFormat="1" x14ac:dyDescent="0.25">
      <c r="A159" s="24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25"/>
      <c r="M159" s="300"/>
      <c r="N159" s="300"/>
      <c r="O159" s="319"/>
      <c r="P159" s="300"/>
      <c r="Q159" s="300"/>
      <c r="R159" s="300"/>
      <c r="S159" s="300"/>
      <c r="T159" s="341"/>
      <c r="U159" s="300"/>
      <c r="V159" s="300"/>
      <c r="W159" s="300"/>
      <c r="X159" s="300"/>
      <c r="Y159" s="300"/>
      <c r="Z159" s="337"/>
      <c r="AA159" s="300"/>
      <c r="AB159" s="300"/>
      <c r="AC159" s="300"/>
      <c r="AD159" s="300"/>
      <c r="AE159" s="300"/>
      <c r="AF159" s="300"/>
      <c r="AG159" s="300"/>
      <c r="AH159" s="300"/>
      <c r="AI159" s="300"/>
      <c r="AJ159" s="300"/>
      <c r="AK159" s="300"/>
      <c r="AL159" s="300"/>
      <c r="AM159" s="300"/>
      <c r="AN159" s="300"/>
      <c r="AO159" s="300"/>
      <c r="AP159" s="303"/>
      <c r="AQ159" s="303"/>
      <c r="AR159" s="300"/>
      <c r="AS159" s="300"/>
      <c r="AT159" s="300"/>
      <c r="AU159" s="24"/>
      <c r="AV159" s="42"/>
      <c r="AW159" s="42"/>
      <c r="AX159" s="42"/>
      <c r="AY159" s="42"/>
      <c r="AZ159" s="42"/>
      <c r="BA159" s="42"/>
      <c r="BB159" s="42"/>
      <c r="BC159" s="42"/>
      <c r="BD159" s="42"/>
      <c r="BE159" s="25"/>
      <c r="BF159" s="129"/>
      <c r="BG159" s="130"/>
      <c r="BH159" s="130"/>
      <c r="BI159" s="130"/>
      <c r="BJ159" s="130"/>
      <c r="BK159" s="131"/>
    </row>
    <row r="160" spans="1:63" s="274" customFormat="1" x14ac:dyDescent="0.25">
      <c r="A160" s="24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25"/>
      <c r="M160" s="300"/>
      <c r="N160" s="300"/>
      <c r="O160" s="319" t="s">
        <v>85</v>
      </c>
      <c r="P160" s="300"/>
      <c r="Q160" s="300"/>
      <c r="R160" s="300"/>
      <c r="S160" s="300"/>
      <c r="T160" s="341"/>
      <c r="U160" s="300"/>
      <c r="V160" s="300"/>
      <c r="W160" s="300"/>
      <c r="X160" s="300"/>
      <c r="Y160" s="300"/>
      <c r="Z160" s="337"/>
      <c r="AA160" s="300"/>
      <c r="AB160" s="300"/>
      <c r="AC160" s="300"/>
      <c r="AD160" s="300"/>
      <c r="AE160" s="300"/>
      <c r="AF160" s="300"/>
      <c r="AG160" s="300"/>
      <c r="AH160" s="300"/>
      <c r="AI160" s="300"/>
      <c r="AJ160" s="300"/>
      <c r="AK160" s="300"/>
      <c r="AL160" s="300"/>
      <c r="AM160" s="300"/>
      <c r="AN160" s="300"/>
      <c r="AO160" s="300"/>
      <c r="AP160" s="303"/>
      <c r="AQ160" s="303"/>
      <c r="AR160" s="300"/>
      <c r="AS160" s="300"/>
      <c r="AT160" s="300"/>
      <c r="AU160" s="24"/>
      <c r="AV160" s="42"/>
      <c r="AW160" s="42"/>
      <c r="AX160" s="42"/>
      <c r="AY160" s="42"/>
      <c r="AZ160" s="42"/>
      <c r="BA160" s="42"/>
      <c r="BB160" s="42"/>
      <c r="BC160" s="42"/>
      <c r="BD160" s="42"/>
      <c r="BE160" s="25"/>
      <c r="BF160" s="129"/>
      <c r="BG160" s="130"/>
      <c r="BH160" s="130"/>
      <c r="BI160" s="130"/>
      <c r="BJ160" s="130"/>
      <c r="BK160" s="131"/>
    </row>
    <row r="161" spans="1:63" s="274" customFormat="1" x14ac:dyDescent="0.25">
      <c r="A161" s="24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25"/>
      <c r="M161" s="300"/>
      <c r="N161" s="300"/>
      <c r="O161" s="319" t="s">
        <v>84</v>
      </c>
      <c r="P161" s="300"/>
      <c r="Q161" s="300"/>
      <c r="R161" s="300"/>
      <c r="S161" s="300"/>
      <c r="T161" s="341"/>
      <c r="U161" s="300"/>
      <c r="V161" s="300"/>
      <c r="W161" s="300"/>
      <c r="X161" s="300"/>
      <c r="Y161" s="300"/>
      <c r="Z161" s="337"/>
      <c r="AA161" s="300"/>
      <c r="AB161" s="300"/>
      <c r="AC161" s="300"/>
      <c r="AD161" s="300"/>
      <c r="AE161" s="300"/>
      <c r="AF161" s="300"/>
      <c r="AG161" s="300"/>
      <c r="AH161" s="300"/>
      <c r="AI161" s="300"/>
      <c r="AJ161" s="300"/>
      <c r="AK161" s="300"/>
      <c r="AL161" s="300"/>
      <c r="AM161" s="300"/>
      <c r="AN161" s="300"/>
      <c r="AO161" s="300"/>
      <c r="AP161" s="303"/>
      <c r="AQ161" s="303"/>
      <c r="AR161" s="300"/>
      <c r="AS161" s="300"/>
      <c r="AT161" s="300"/>
      <c r="AU161" s="24"/>
      <c r="AV161" s="42"/>
      <c r="AW161" s="42"/>
      <c r="AX161" s="42"/>
      <c r="AY161" s="42"/>
      <c r="AZ161" s="42"/>
      <c r="BA161" s="42"/>
      <c r="BB161" s="42"/>
      <c r="BC161" s="42"/>
      <c r="BD161" s="42"/>
      <c r="BE161" s="25"/>
      <c r="BF161" s="129"/>
      <c r="BG161" s="130"/>
      <c r="BH161" s="130"/>
      <c r="BI161" s="130"/>
      <c r="BJ161" s="130"/>
      <c r="BK161" s="131"/>
    </row>
    <row r="162" spans="1:63" s="274" customFormat="1" x14ac:dyDescent="0.25">
      <c r="A162" s="24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25"/>
      <c r="M162" s="300"/>
      <c r="N162" s="300" t="s">
        <v>29</v>
      </c>
      <c r="O162" s="319"/>
      <c r="P162" s="300"/>
      <c r="Q162" s="300"/>
      <c r="R162" s="300"/>
      <c r="S162" s="300"/>
      <c r="T162" s="341"/>
      <c r="U162" s="300"/>
      <c r="V162" s="300"/>
      <c r="W162" s="300"/>
      <c r="X162" s="300"/>
      <c r="Y162" s="300"/>
      <c r="Z162" s="337"/>
      <c r="AA162" s="300"/>
      <c r="AB162" s="300"/>
      <c r="AC162" s="300"/>
      <c r="AD162" s="300"/>
      <c r="AE162" s="300"/>
      <c r="AF162" s="300"/>
      <c r="AG162" s="300"/>
      <c r="AH162" s="300"/>
      <c r="AI162" s="300"/>
      <c r="AJ162" s="300"/>
      <c r="AK162" s="300"/>
      <c r="AL162" s="300"/>
      <c r="AM162" s="300"/>
      <c r="AN162" s="300"/>
      <c r="AO162" s="300"/>
      <c r="AP162" s="303"/>
      <c r="AQ162" s="303"/>
      <c r="AR162" s="300"/>
      <c r="AS162" s="300"/>
      <c r="AT162" s="300"/>
      <c r="AU162" s="24"/>
      <c r="AV162" s="42"/>
      <c r="AW162" s="42"/>
      <c r="AX162" s="42"/>
      <c r="AY162" s="42"/>
      <c r="AZ162" s="42"/>
      <c r="BA162" s="42"/>
      <c r="BB162" s="42"/>
      <c r="BC162" s="42"/>
      <c r="BD162" s="42"/>
      <c r="BE162" s="25"/>
      <c r="BF162" s="129"/>
      <c r="BG162" s="130"/>
      <c r="BH162" s="130"/>
      <c r="BI162" s="130"/>
      <c r="BJ162" s="130"/>
      <c r="BK162" s="131"/>
    </row>
    <row r="163" spans="1:63" s="274" customFormat="1" x14ac:dyDescent="0.25">
      <c r="A163" s="24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25"/>
      <c r="M163" s="300"/>
      <c r="N163" s="300"/>
      <c r="O163" s="303" t="s">
        <v>35</v>
      </c>
      <c r="P163" s="300"/>
      <c r="Q163" s="300"/>
      <c r="R163" s="300"/>
      <c r="S163" s="300"/>
      <c r="T163" s="341"/>
      <c r="U163" s="300"/>
      <c r="V163" s="300"/>
      <c r="W163" s="300"/>
      <c r="X163" s="300"/>
      <c r="Y163" s="300"/>
      <c r="Z163" s="337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0"/>
      <c r="AL163" s="300"/>
      <c r="AM163" s="300"/>
      <c r="AN163" s="300"/>
      <c r="AO163" s="300"/>
      <c r="AP163" s="303"/>
      <c r="AQ163" s="303"/>
      <c r="AR163" s="300"/>
      <c r="AS163" s="300"/>
      <c r="AT163" s="300"/>
      <c r="AU163" s="24"/>
      <c r="AV163" s="42"/>
      <c r="AW163" s="42"/>
      <c r="AX163" s="42"/>
      <c r="AY163" s="42"/>
      <c r="AZ163" s="42"/>
      <c r="BA163" s="42"/>
      <c r="BB163" s="42"/>
      <c r="BC163" s="42"/>
      <c r="BD163" s="42"/>
      <c r="BE163" s="25"/>
      <c r="BF163" s="129"/>
      <c r="BG163" s="130"/>
      <c r="BH163" s="130"/>
      <c r="BI163" s="130"/>
      <c r="BJ163" s="130"/>
      <c r="BK163" s="131"/>
    </row>
    <row r="164" spans="1:63" s="274" customFormat="1" ht="15" customHeight="1" x14ac:dyDescent="0.25">
      <c r="A164" s="26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8"/>
      <c r="M164" s="320"/>
      <c r="N164" s="321"/>
      <c r="O164" s="321"/>
      <c r="P164" s="321"/>
      <c r="Q164" s="321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323"/>
      <c r="AQ164" s="323"/>
      <c r="AR164" s="323"/>
      <c r="AS164" s="323"/>
      <c r="AT164" s="323"/>
      <c r="AU164" s="26"/>
      <c r="AV164" s="27"/>
      <c r="AW164" s="27"/>
      <c r="AX164" s="27"/>
      <c r="AY164" s="27"/>
      <c r="AZ164" s="27"/>
      <c r="BA164" s="27"/>
      <c r="BB164" s="27"/>
      <c r="BC164" s="27"/>
      <c r="BD164" s="27"/>
      <c r="BE164" s="28"/>
      <c r="BF164" s="132"/>
      <c r="BG164" s="133"/>
      <c r="BH164" s="133"/>
      <c r="BI164" s="133"/>
      <c r="BJ164" s="133"/>
      <c r="BK164" s="134"/>
    </row>
    <row r="165" spans="1:63" ht="15" customHeight="1" x14ac:dyDescent="0.25">
      <c r="A165" s="52"/>
      <c r="BK165" s="15"/>
    </row>
    <row r="166" spans="1:63" ht="15" customHeight="1" x14ac:dyDescent="0.25">
      <c r="A166" s="52"/>
      <c r="BK166" s="15"/>
    </row>
    <row r="167" spans="1:63" ht="15" customHeight="1" x14ac:dyDescent="0.25">
      <c r="A167" s="52"/>
      <c r="BK167" s="15"/>
    </row>
    <row r="168" spans="1:63" s="349" customFormat="1" ht="15" customHeight="1" x14ac:dyDescent="0.25">
      <c r="A168" s="342" t="s">
        <v>159</v>
      </c>
      <c r="B168" s="343"/>
      <c r="C168" s="343"/>
      <c r="D168" s="343"/>
      <c r="E168" s="343"/>
      <c r="F168" s="344"/>
      <c r="G168" s="345" t="s">
        <v>160</v>
      </c>
      <c r="H168" s="345"/>
      <c r="I168" s="345"/>
      <c r="J168" s="345"/>
      <c r="K168" s="345"/>
      <c r="L168" s="345"/>
      <c r="M168" s="346" t="s">
        <v>161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347"/>
      <c r="BI168" s="347"/>
      <c r="BJ168" s="347"/>
      <c r="BK168" s="348"/>
    </row>
    <row r="169" spans="1:63" s="349" customFormat="1" ht="15" customHeight="1" x14ac:dyDescent="0.25">
      <c r="A169" s="350" t="s">
        <v>162</v>
      </c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2"/>
      <c r="M169" s="350" t="s">
        <v>163</v>
      </c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  <c r="AB169" s="351"/>
      <c r="AC169" s="351"/>
      <c r="AD169" s="351"/>
      <c r="AE169" s="351"/>
      <c r="AF169" s="351"/>
      <c r="AG169" s="351"/>
      <c r="AH169" s="351"/>
      <c r="AI169" s="351"/>
      <c r="AJ169" s="351"/>
      <c r="AK169" s="351"/>
      <c r="AL169" s="351"/>
      <c r="AM169" s="351"/>
      <c r="AN169" s="351"/>
      <c r="AO169" s="351"/>
      <c r="AP169" s="351"/>
      <c r="AQ169" s="351"/>
      <c r="AR169" s="351"/>
      <c r="AS169" s="351"/>
      <c r="AT169" s="352"/>
      <c r="AU169" s="350" t="s">
        <v>164</v>
      </c>
      <c r="AV169" s="351"/>
      <c r="AW169" s="351"/>
      <c r="AX169" s="351"/>
      <c r="AY169" s="351"/>
      <c r="AZ169" s="351"/>
      <c r="BA169" s="351"/>
      <c r="BB169" s="351"/>
      <c r="BC169" s="351"/>
      <c r="BD169" s="351"/>
      <c r="BE169" s="351"/>
      <c r="BF169" s="350" t="s">
        <v>165</v>
      </c>
      <c r="BG169" s="351"/>
      <c r="BH169" s="351"/>
      <c r="BI169" s="351"/>
      <c r="BJ169" s="351"/>
      <c r="BK169" s="352"/>
    </row>
    <row r="170" spans="1:63" s="349" customFormat="1" ht="15" customHeight="1" x14ac:dyDescent="0.25">
      <c r="A170" s="353"/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5"/>
      <c r="M170" s="353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354"/>
      <c r="AB170" s="354"/>
      <c r="AC170" s="354"/>
      <c r="AD170" s="354"/>
      <c r="AE170" s="354"/>
      <c r="AF170" s="354"/>
      <c r="AG170" s="354"/>
      <c r="AH170" s="354"/>
      <c r="AI170" s="354"/>
      <c r="AJ170" s="354"/>
      <c r="AK170" s="354"/>
      <c r="AL170" s="354"/>
      <c r="AM170" s="354"/>
      <c r="AN170" s="354"/>
      <c r="AO170" s="354"/>
      <c r="AP170" s="354"/>
      <c r="AQ170" s="354"/>
      <c r="AR170" s="354"/>
      <c r="AS170" s="354"/>
      <c r="AT170" s="355"/>
      <c r="AU170" s="353"/>
      <c r="AV170" s="354"/>
      <c r="AW170" s="354"/>
      <c r="AX170" s="354"/>
      <c r="AY170" s="354"/>
      <c r="AZ170" s="354"/>
      <c r="BA170" s="354"/>
      <c r="BB170" s="354"/>
      <c r="BC170" s="354"/>
      <c r="BD170" s="354"/>
      <c r="BE170" s="354"/>
      <c r="BF170" s="353"/>
      <c r="BG170" s="354"/>
      <c r="BH170" s="354"/>
      <c r="BI170" s="354"/>
      <c r="BJ170" s="354"/>
      <c r="BK170" s="355"/>
    </row>
    <row r="171" spans="1:63" s="349" customFormat="1" ht="15" customHeight="1" x14ac:dyDescent="0.25">
      <c r="A171" s="71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3"/>
      <c r="M171" s="356"/>
      <c r="N171" s="356"/>
      <c r="O171" s="356"/>
      <c r="P171" s="356"/>
      <c r="Q171" s="356"/>
      <c r="R171" s="357"/>
      <c r="S171" s="357"/>
      <c r="T171" s="357"/>
      <c r="U171" s="357"/>
      <c r="V171" s="357"/>
      <c r="W171" s="357"/>
      <c r="X171" s="357"/>
      <c r="Y171" s="357"/>
      <c r="Z171" s="357"/>
      <c r="AA171" s="357"/>
      <c r="AB171" s="357"/>
      <c r="AC171" s="357"/>
      <c r="AD171" s="357"/>
      <c r="AE171" s="357"/>
      <c r="AF171" s="357"/>
      <c r="AG171" s="357"/>
      <c r="AH171" s="357"/>
      <c r="AI171" s="357"/>
      <c r="AJ171" s="357"/>
      <c r="AK171" s="357"/>
      <c r="AL171" s="357"/>
      <c r="AM171" s="357"/>
      <c r="AN171" s="357"/>
      <c r="AO171" s="357"/>
      <c r="AP171" s="357"/>
      <c r="AQ171" s="357"/>
      <c r="AR171" s="357"/>
      <c r="AS171" s="357"/>
      <c r="AT171" s="357"/>
      <c r="AU171" s="71"/>
      <c r="AV171" s="72"/>
      <c r="AW171" s="72"/>
      <c r="AX171" s="72"/>
      <c r="AY171" s="72"/>
      <c r="AZ171" s="72"/>
      <c r="BA171" s="72"/>
      <c r="BB171" s="72"/>
      <c r="BC171" s="72"/>
      <c r="BD171" s="72"/>
      <c r="BE171" s="73"/>
      <c r="BF171" s="104"/>
      <c r="BG171" s="105"/>
      <c r="BH171" s="105"/>
      <c r="BI171" s="105"/>
      <c r="BJ171" s="105"/>
      <c r="BK171" s="106"/>
    </row>
    <row r="172" spans="1:63" s="349" customFormat="1" ht="15" customHeight="1" x14ac:dyDescent="0.25">
      <c r="A172" s="74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6"/>
      <c r="M172" s="356"/>
      <c r="N172" s="77" t="s">
        <v>166</v>
      </c>
      <c r="O172" s="356"/>
      <c r="P172" s="356"/>
      <c r="Q172" s="356"/>
      <c r="R172" s="356"/>
      <c r="S172" s="356"/>
      <c r="T172" s="356"/>
      <c r="U172" s="356"/>
      <c r="V172" s="356"/>
      <c r="W172" s="356"/>
      <c r="X172" s="356"/>
      <c r="Y172" s="356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74"/>
      <c r="AV172" s="75"/>
      <c r="AW172" s="75"/>
      <c r="AX172" s="75"/>
      <c r="AY172" s="75"/>
      <c r="AZ172" s="75"/>
      <c r="BA172" s="75"/>
      <c r="BB172" s="75"/>
      <c r="BC172" s="75"/>
      <c r="BD172" s="75"/>
      <c r="BE172" s="76"/>
      <c r="BF172" s="107"/>
      <c r="BG172" s="108"/>
      <c r="BH172" s="108"/>
      <c r="BI172" s="108"/>
      <c r="BJ172" s="108"/>
      <c r="BK172" s="109"/>
    </row>
    <row r="173" spans="1:63" s="349" customFormat="1" ht="17.25" customHeight="1" x14ac:dyDescent="0.25">
      <c r="A173" s="74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6"/>
      <c r="M173" s="358"/>
      <c r="N173" s="359"/>
      <c r="O173" s="360" t="s">
        <v>167</v>
      </c>
      <c r="P173" s="359"/>
      <c r="Q173" s="359"/>
      <c r="R173" s="359"/>
      <c r="S173" s="359"/>
      <c r="T173" s="359"/>
      <c r="U173" s="359"/>
      <c r="V173" s="359"/>
      <c r="W173" s="359"/>
      <c r="X173" s="359"/>
      <c r="Y173" s="359"/>
      <c r="Z173" s="359"/>
      <c r="AA173" s="359"/>
      <c r="AB173" s="359"/>
      <c r="AC173" s="359"/>
      <c r="AD173" s="359"/>
      <c r="AE173" s="359"/>
      <c r="AF173" s="359"/>
      <c r="AG173" s="359"/>
      <c r="AH173" s="359"/>
      <c r="AI173" s="359"/>
      <c r="AJ173" s="359"/>
      <c r="AK173" s="359"/>
      <c r="AL173" s="359"/>
      <c r="AM173" s="359"/>
      <c r="AN173" s="359"/>
      <c r="AO173" s="359"/>
      <c r="AP173" s="359"/>
      <c r="AQ173" s="359"/>
      <c r="AR173" s="356"/>
      <c r="AS173" s="356"/>
      <c r="AT173" s="356"/>
      <c r="AU173" s="74"/>
      <c r="AV173" s="75"/>
      <c r="AW173" s="75"/>
      <c r="AX173" s="75"/>
      <c r="AY173" s="75"/>
      <c r="AZ173" s="75"/>
      <c r="BA173" s="75"/>
      <c r="BB173" s="75"/>
      <c r="BC173" s="75"/>
      <c r="BD173" s="75"/>
      <c r="BE173" s="76"/>
      <c r="BF173" s="107"/>
      <c r="BG173" s="108"/>
      <c r="BH173" s="108"/>
      <c r="BI173" s="108"/>
      <c r="BJ173" s="108"/>
      <c r="BK173" s="109"/>
    </row>
    <row r="174" spans="1:63" s="349" customFormat="1" ht="15" customHeight="1" x14ac:dyDescent="0.25">
      <c r="A174" s="78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80"/>
      <c r="M174" s="361"/>
      <c r="N174" s="362"/>
      <c r="O174" s="362"/>
      <c r="P174" s="362"/>
      <c r="Q174" s="362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363"/>
      <c r="AQ174" s="363"/>
      <c r="AR174" s="363"/>
      <c r="AS174" s="363"/>
      <c r="AT174" s="363"/>
      <c r="AU174" s="78"/>
      <c r="AV174" s="79"/>
      <c r="AW174" s="79"/>
      <c r="AX174" s="79"/>
      <c r="AY174" s="79"/>
      <c r="AZ174" s="79"/>
      <c r="BA174" s="79"/>
      <c r="BB174" s="79"/>
      <c r="BC174" s="79"/>
      <c r="BD174" s="79"/>
      <c r="BE174" s="80"/>
      <c r="BF174" s="110"/>
      <c r="BG174" s="111"/>
      <c r="BH174" s="111"/>
      <c r="BI174" s="111"/>
      <c r="BJ174" s="111"/>
      <c r="BK174" s="112"/>
    </row>
    <row r="175" spans="1:63" s="365" customFormat="1" ht="15" customHeight="1" x14ac:dyDescent="0.25">
      <c r="A175" s="364"/>
      <c r="BK175" s="366"/>
    </row>
    <row r="176" spans="1:63" s="365" customFormat="1" ht="15" customHeight="1" x14ac:dyDescent="0.25">
      <c r="A176" s="364"/>
      <c r="BK176" s="366"/>
    </row>
    <row r="177" spans="1:63" s="365" customFormat="1" ht="15" customHeight="1" x14ac:dyDescent="0.25">
      <c r="A177" s="364"/>
      <c r="BK177" s="366"/>
    </row>
    <row r="178" spans="1:63" s="349" customFormat="1" ht="15" customHeight="1" x14ac:dyDescent="0.25">
      <c r="A178" s="342" t="s">
        <v>159</v>
      </c>
      <c r="B178" s="343"/>
      <c r="C178" s="343"/>
      <c r="D178" s="343"/>
      <c r="E178" s="343"/>
      <c r="F178" s="344"/>
      <c r="G178" s="345" t="s">
        <v>168</v>
      </c>
      <c r="H178" s="345"/>
      <c r="I178" s="345"/>
      <c r="J178" s="345"/>
      <c r="K178" s="345"/>
      <c r="L178" s="345"/>
      <c r="M178" s="346" t="s">
        <v>161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347"/>
      <c r="BI178" s="347"/>
      <c r="BJ178" s="347"/>
      <c r="BK178" s="348"/>
    </row>
    <row r="179" spans="1:63" s="349" customFormat="1" ht="15" customHeight="1" x14ac:dyDescent="0.25">
      <c r="A179" s="350" t="s">
        <v>162</v>
      </c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2"/>
      <c r="M179" s="350" t="s">
        <v>163</v>
      </c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  <c r="AB179" s="351"/>
      <c r="AC179" s="351"/>
      <c r="AD179" s="351"/>
      <c r="AE179" s="351"/>
      <c r="AF179" s="351"/>
      <c r="AG179" s="351"/>
      <c r="AH179" s="351"/>
      <c r="AI179" s="351"/>
      <c r="AJ179" s="351"/>
      <c r="AK179" s="351"/>
      <c r="AL179" s="351"/>
      <c r="AM179" s="351"/>
      <c r="AN179" s="351"/>
      <c r="AO179" s="351"/>
      <c r="AP179" s="351"/>
      <c r="AQ179" s="351"/>
      <c r="AR179" s="351"/>
      <c r="AS179" s="351"/>
      <c r="AT179" s="352"/>
      <c r="AU179" s="350" t="s">
        <v>164</v>
      </c>
      <c r="AV179" s="351"/>
      <c r="AW179" s="351"/>
      <c r="AX179" s="351"/>
      <c r="AY179" s="351"/>
      <c r="AZ179" s="351"/>
      <c r="BA179" s="351"/>
      <c r="BB179" s="351"/>
      <c r="BC179" s="351"/>
      <c r="BD179" s="351"/>
      <c r="BE179" s="351"/>
      <c r="BF179" s="350" t="s">
        <v>165</v>
      </c>
      <c r="BG179" s="351"/>
      <c r="BH179" s="351"/>
      <c r="BI179" s="351"/>
      <c r="BJ179" s="351"/>
      <c r="BK179" s="352"/>
    </row>
    <row r="180" spans="1:63" s="349" customFormat="1" ht="15" customHeight="1" x14ac:dyDescent="0.25">
      <c r="A180" s="353"/>
      <c r="B180" s="354"/>
      <c r="C180" s="354"/>
      <c r="D180" s="354"/>
      <c r="E180" s="354"/>
      <c r="F180" s="354"/>
      <c r="G180" s="354"/>
      <c r="H180" s="354"/>
      <c r="I180" s="354"/>
      <c r="J180" s="354"/>
      <c r="K180" s="354"/>
      <c r="L180" s="355"/>
      <c r="M180" s="353"/>
      <c r="N180" s="354"/>
      <c r="O180" s="354"/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  <c r="Z180" s="354"/>
      <c r="AA180" s="354"/>
      <c r="AB180" s="354"/>
      <c r="AC180" s="354"/>
      <c r="AD180" s="354"/>
      <c r="AE180" s="354"/>
      <c r="AF180" s="354"/>
      <c r="AG180" s="354"/>
      <c r="AH180" s="354"/>
      <c r="AI180" s="354"/>
      <c r="AJ180" s="354"/>
      <c r="AK180" s="354"/>
      <c r="AL180" s="354"/>
      <c r="AM180" s="354"/>
      <c r="AN180" s="354"/>
      <c r="AO180" s="354"/>
      <c r="AP180" s="354"/>
      <c r="AQ180" s="354"/>
      <c r="AR180" s="354"/>
      <c r="AS180" s="354"/>
      <c r="AT180" s="355"/>
      <c r="AU180" s="353"/>
      <c r="AV180" s="354"/>
      <c r="AW180" s="354"/>
      <c r="AX180" s="354"/>
      <c r="AY180" s="354"/>
      <c r="AZ180" s="354"/>
      <c r="BA180" s="354"/>
      <c r="BB180" s="354"/>
      <c r="BC180" s="354"/>
      <c r="BD180" s="354"/>
      <c r="BE180" s="354"/>
      <c r="BF180" s="353"/>
      <c r="BG180" s="354"/>
      <c r="BH180" s="354"/>
      <c r="BI180" s="354"/>
      <c r="BJ180" s="354"/>
      <c r="BK180" s="355"/>
    </row>
    <row r="181" spans="1:63" s="349" customFormat="1" ht="15" customHeight="1" x14ac:dyDescent="0.25">
      <c r="A181" s="71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3"/>
      <c r="M181" s="356"/>
      <c r="N181" s="356"/>
      <c r="O181" s="356"/>
      <c r="P181" s="356"/>
      <c r="Q181" s="356"/>
      <c r="R181" s="357"/>
      <c r="S181" s="357"/>
      <c r="T181" s="357"/>
      <c r="U181" s="357"/>
      <c r="V181" s="357"/>
      <c r="W181" s="357"/>
      <c r="X181" s="357"/>
      <c r="Y181" s="357"/>
      <c r="Z181" s="357"/>
      <c r="AA181" s="357"/>
      <c r="AB181" s="357"/>
      <c r="AC181" s="357"/>
      <c r="AD181" s="357"/>
      <c r="AE181" s="357"/>
      <c r="AF181" s="357"/>
      <c r="AG181" s="357"/>
      <c r="AH181" s="357"/>
      <c r="AI181" s="357"/>
      <c r="AJ181" s="357"/>
      <c r="AK181" s="357"/>
      <c r="AL181" s="357"/>
      <c r="AM181" s="357"/>
      <c r="AN181" s="357"/>
      <c r="AO181" s="357"/>
      <c r="AP181" s="357"/>
      <c r="AQ181" s="357"/>
      <c r="AR181" s="357"/>
      <c r="AS181" s="357"/>
      <c r="AT181" s="357"/>
      <c r="AU181" s="71"/>
      <c r="AV181" s="72"/>
      <c r="AW181" s="72"/>
      <c r="AX181" s="72"/>
      <c r="AY181" s="72"/>
      <c r="AZ181" s="72"/>
      <c r="BA181" s="72"/>
      <c r="BB181" s="72"/>
      <c r="BC181" s="72"/>
      <c r="BD181" s="72"/>
      <c r="BE181" s="73"/>
      <c r="BF181" s="104"/>
      <c r="BG181" s="105"/>
      <c r="BH181" s="105"/>
      <c r="BI181" s="105"/>
      <c r="BJ181" s="105"/>
      <c r="BK181" s="106"/>
    </row>
    <row r="182" spans="1:63" s="349" customFormat="1" ht="15" customHeight="1" x14ac:dyDescent="0.25">
      <c r="A182" s="74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6"/>
      <c r="M182" s="356"/>
      <c r="N182" s="77" t="s">
        <v>169</v>
      </c>
      <c r="O182" s="356"/>
      <c r="P182" s="356"/>
      <c r="Q182" s="356"/>
      <c r="R182" s="356"/>
      <c r="S182" s="356"/>
      <c r="T182" s="356"/>
      <c r="U182" s="356"/>
      <c r="V182" s="356"/>
      <c r="W182" s="356"/>
      <c r="X182" s="356"/>
      <c r="Y182" s="356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74"/>
      <c r="AV182" s="75"/>
      <c r="AW182" s="75"/>
      <c r="AX182" s="75"/>
      <c r="AY182" s="75"/>
      <c r="AZ182" s="75"/>
      <c r="BA182" s="75"/>
      <c r="BB182" s="75"/>
      <c r="BC182" s="75"/>
      <c r="BD182" s="75"/>
      <c r="BE182" s="76"/>
      <c r="BF182" s="107"/>
      <c r="BG182" s="108"/>
      <c r="BH182" s="108"/>
      <c r="BI182" s="108"/>
      <c r="BJ182" s="108"/>
      <c r="BK182" s="109"/>
    </row>
    <row r="183" spans="1:63" s="349" customFormat="1" ht="17.25" customHeight="1" x14ac:dyDescent="0.25">
      <c r="A183" s="74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6"/>
      <c r="M183" s="358"/>
      <c r="N183" s="359"/>
      <c r="O183" s="360" t="s">
        <v>170</v>
      </c>
      <c r="P183" s="359"/>
      <c r="Q183" s="359"/>
      <c r="R183" s="359"/>
      <c r="S183" s="359"/>
      <c r="T183" s="359"/>
      <c r="U183" s="359"/>
      <c r="V183" s="359"/>
      <c r="W183" s="359"/>
      <c r="X183" s="359"/>
      <c r="Y183" s="359"/>
      <c r="Z183" s="359"/>
      <c r="AA183" s="359"/>
      <c r="AB183" s="359"/>
      <c r="AC183" s="359"/>
      <c r="AD183" s="359"/>
      <c r="AE183" s="359"/>
      <c r="AF183" s="359"/>
      <c r="AG183" s="359"/>
      <c r="AH183" s="359"/>
      <c r="AI183" s="359"/>
      <c r="AJ183" s="359"/>
      <c r="AK183" s="359"/>
      <c r="AL183" s="359"/>
      <c r="AM183" s="359"/>
      <c r="AN183" s="359"/>
      <c r="AO183" s="359"/>
      <c r="AP183" s="359"/>
      <c r="AQ183" s="359"/>
      <c r="AR183" s="356"/>
      <c r="AS183" s="356"/>
      <c r="AT183" s="356"/>
      <c r="AU183" s="74"/>
      <c r="AV183" s="75"/>
      <c r="AW183" s="75"/>
      <c r="AX183" s="75"/>
      <c r="AY183" s="75"/>
      <c r="AZ183" s="75"/>
      <c r="BA183" s="75"/>
      <c r="BB183" s="75"/>
      <c r="BC183" s="75"/>
      <c r="BD183" s="75"/>
      <c r="BE183" s="76"/>
      <c r="BF183" s="107"/>
      <c r="BG183" s="108"/>
      <c r="BH183" s="108"/>
      <c r="BI183" s="108"/>
      <c r="BJ183" s="108"/>
      <c r="BK183" s="109"/>
    </row>
    <row r="184" spans="1:63" s="349" customFormat="1" ht="15" customHeight="1" x14ac:dyDescent="0.25">
      <c r="A184" s="78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80"/>
      <c r="M184" s="361"/>
      <c r="N184" s="362"/>
      <c r="O184" s="362"/>
      <c r="P184" s="362"/>
      <c r="Q184" s="362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363"/>
      <c r="AQ184" s="363"/>
      <c r="AR184" s="363"/>
      <c r="AS184" s="363"/>
      <c r="AT184" s="363"/>
      <c r="AU184" s="78"/>
      <c r="AV184" s="79"/>
      <c r="AW184" s="79"/>
      <c r="AX184" s="79"/>
      <c r="AY184" s="79"/>
      <c r="AZ184" s="79"/>
      <c r="BA184" s="79"/>
      <c r="BB184" s="79"/>
      <c r="BC184" s="79"/>
      <c r="BD184" s="79"/>
      <c r="BE184" s="80"/>
      <c r="BF184" s="110"/>
      <c r="BG184" s="111"/>
      <c r="BH184" s="111"/>
      <c r="BI184" s="111"/>
      <c r="BJ184" s="111"/>
      <c r="BK184" s="112"/>
    </row>
    <row r="185" spans="1:63" s="365" customFormat="1" ht="15" customHeight="1" x14ac:dyDescent="0.25">
      <c r="A185" s="364"/>
      <c r="BK185" s="366"/>
    </row>
    <row r="186" spans="1:63" s="365" customFormat="1" ht="15" customHeight="1" x14ac:dyDescent="0.25">
      <c r="A186" s="364"/>
      <c r="BK186" s="366"/>
    </row>
    <row r="187" spans="1:63" s="365" customFormat="1" ht="15" customHeight="1" x14ac:dyDescent="0.25">
      <c r="A187" s="364"/>
      <c r="BK187" s="366"/>
    </row>
    <row r="188" spans="1:63" s="349" customFormat="1" ht="15" customHeight="1" x14ac:dyDescent="0.25">
      <c r="A188" s="342" t="s">
        <v>159</v>
      </c>
      <c r="B188" s="343"/>
      <c r="C188" s="343"/>
      <c r="D188" s="343"/>
      <c r="E188" s="343"/>
      <c r="F188" s="344"/>
      <c r="G188" s="345" t="s">
        <v>171</v>
      </c>
      <c r="H188" s="345"/>
      <c r="I188" s="345"/>
      <c r="J188" s="345"/>
      <c r="K188" s="345"/>
      <c r="L188" s="345"/>
      <c r="M188" s="346" t="s">
        <v>172</v>
      </c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347"/>
      <c r="BI188" s="347"/>
      <c r="BJ188" s="347"/>
      <c r="BK188" s="348"/>
    </row>
    <row r="189" spans="1:63" s="349" customFormat="1" ht="15" customHeight="1" x14ac:dyDescent="0.25">
      <c r="A189" s="350" t="s">
        <v>162</v>
      </c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2"/>
      <c r="M189" s="350" t="s">
        <v>163</v>
      </c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  <c r="AB189" s="351"/>
      <c r="AC189" s="351"/>
      <c r="AD189" s="351"/>
      <c r="AE189" s="351"/>
      <c r="AF189" s="351"/>
      <c r="AG189" s="351"/>
      <c r="AH189" s="351"/>
      <c r="AI189" s="351"/>
      <c r="AJ189" s="351"/>
      <c r="AK189" s="351"/>
      <c r="AL189" s="351"/>
      <c r="AM189" s="351"/>
      <c r="AN189" s="351"/>
      <c r="AO189" s="351"/>
      <c r="AP189" s="351"/>
      <c r="AQ189" s="351"/>
      <c r="AR189" s="351"/>
      <c r="AS189" s="351"/>
      <c r="AT189" s="352"/>
      <c r="AU189" s="350" t="s">
        <v>164</v>
      </c>
      <c r="AV189" s="351"/>
      <c r="AW189" s="351"/>
      <c r="AX189" s="351"/>
      <c r="AY189" s="351"/>
      <c r="AZ189" s="351"/>
      <c r="BA189" s="351"/>
      <c r="BB189" s="351"/>
      <c r="BC189" s="351"/>
      <c r="BD189" s="351"/>
      <c r="BE189" s="351"/>
      <c r="BF189" s="350" t="s">
        <v>165</v>
      </c>
      <c r="BG189" s="351"/>
      <c r="BH189" s="351"/>
      <c r="BI189" s="351"/>
      <c r="BJ189" s="351"/>
      <c r="BK189" s="352"/>
    </row>
    <row r="190" spans="1:63" s="349" customFormat="1" ht="15" customHeight="1" x14ac:dyDescent="0.25">
      <c r="A190" s="353"/>
      <c r="B190" s="354"/>
      <c r="C190" s="354"/>
      <c r="D190" s="354"/>
      <c r="E190" s="354"/>
      <c r="F190" s="354"/>
      <c r="G190" s="354"/>
      <c r="H190" s="354"/>
      <c r="I190" s="354"/>
      <c r="J190" s="354"/>
      <c r="K190" s="354"/>
      <c r="L190" s="355"/>
      <c r="M190" s="353"/>
      <c r="N190" s="354"/>
      <c r="O190" s="354"/>
      <c r="P190" s="354"/>
      <c r="Q190" s="354"/>
      <c r="R190" s="354"/>
      <c r="S190" s="354"/>
      <c r="T190" s="354"/>
      <c r="U190" s="354"/>
      <c r="V190" s="354"/>
      <c r="W190" s="354"/>
      <c r="X190" s="354"/>
      <c r="Y190" s="354"/>
      <c r="Z190" s="354"/>
      <c r="AA190" s="354"/>
      <c r="AB190" s="354"/>
      <c r="AC190" s="354"/>
      <c r="AD190" s="354"/>
      <c r="AE190" s="354"/>
      <c r="AF190" s="354"/>
      <c r="AG190" s="354"/>
      <c r="AH190" s="354"/>
      <c r="AI190" s="354"/>
      <c r="AJ190" s="354"/>
      <c r="AK190" s="354"/>
      <c r="AL190" s="354"/>
      <c r="AM190" s="354"/>
      <c r="AN190" s="354"/>
      <c r="AO190" s="354"/>
      <c r="AP190" s="354"/>
      <c r="AQ190" s="354"/>
      <c r="AR190" s="354"/>
      <c r="AS190" s="354"/>
      <c r="AT190" s="355"/>
      <c r="AU190" s="353"/>
      <c r="AV190" s="354"/>
      <c r="AW190" s="354"/>
      <c r="AX190" s="354"/>
      <c r="AY190" s="354"/>
      <c r="AZ190" s="354"/>
      <c r="BA190" s="354"/>
      <c r="BB190" s="354"/>
      <c r="BC190" s="354"/>
      <c r="BD190" s="354"/>
      <c r="BE190" s="354"/>
      <c r="BF190" s="353"/>
      <c r="BG190" s="354"/>
      <c r="BH190" s="354"/>
      <c r="BI190" s="354"/>
      <c r="BJ190" s="354"/>
      <c r="BK190" s="355"/>
    </row>
    <row r="191" spans="1:63" s="349" customFormat="1" ht="15" customHeight="1" x14ac:dyDescent="0.25">
      <c r="A191" s="71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3"/>
      <c r="M191" s="356"/>
      <c r="N191" s="356"/>
      <c r="O191" s="356"/>
      <c r="P191" s="356"/>
      <c r="Q191" s="356"/>
      <c r="R191" s="357"/>
      <c r="S191" s="357"/>
      <c r="T191" s="357"/>
      <c r="U191" s="357"/>
      <c r="V191" s="357"/>
      <c r="W191" s="357"/>
      <c r="X191" s="357"/>
      <c r="Y191" s="357"/>
      <c r="Z191" s="357"/>
      <c r="AA191" s="357"/>
      <c r="AB191" s="357"/>
      <c r="AC191" s="357"/>
      <c r="AD191" s="357"/>
      <c r="AE191" s="357"/>
      <c r="AF191" s="357"/>
      <c r="AG191" s="357"/>
      <c r="AH191" s="357"/>
      <c r="AI191" s="357"/>
      <c r="AJ191" s="357"/>
      <c r="AK191" s="357"/>
      <c r="AL191" s="357"/>
      <c r="AM191" s="357"/>
      <c r="AN191" s="357"/>
      <c r="AO191" s="357"/>
      <c r="AP191" s="357"/>
      <c r="AQ191" s="357"/>
      <c r="AR191" s="357"/>
      <c r="AS191" s="357"/>
      <c r="AT191" s="357"/>
      <c r="AU191" s="71"/>
      <c r="AV191" s="72"/>
      <c r="AW191" s="72"/>
      <c r="AX191" s="72"/>
      <c r="AY191" s="72"/>
      <c r="AZ191" s="72"/>
      <c r="BA191" s="72"/>
      <c r="BB191" s="72"/>
      <c r="BC191" s="72"/>
      <c r="BD191" s="72"/>
      <c r="BE191" s="73"/>
      <c r="BF191" s="95"/>
      <c r="BG191" s="96"/>
      <c r="BH191" s="96"/>
      <c r="BI191" s="96"/>
      <c r="BJ191" s="96"/>
      <c r="BK191" s="97"/>
    </row>
    <row r="192" spans="1:63" s="349" customFormat="1" ht="15" customHeight="1" x14ac:dyDescent="0.25">
      <c r="A192" s="74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6"/>
      <c r="M192" s="356"/>
      <c r="N192" s="77" t="s">
        <v>173</v>
      </c>
      <c r="O192" s="356"/>
      <c r="P192" s="356"/>
      <c r="Q192" s="356"/>
      <c r="R192" s="356"/>
      <c r="S192" s="356"/>
      <c r="T192" s="356"/>
      <c r="U192" s="356"/>
      <c r="V192" s="356"/>
      <c r="W192" s="356"/>
      <c r="X192" s="356"/>
      <c r="Y192" s="356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74"/>
      <c r="AV192" s="75"/>
      <c r="AW192" s="75"/>
      <c r="AX192" s="75"/>
      <c r="AY192" s="75"/>
      <c r="AZ192" s="75"/>
      <c r="BA192" s="75"/>
      <c r="BB192" s="75"/>
      <c r="BC192" s="75"/>
      <c r="BD192" s="75"/>
      <c r="BE192" s="76"/>
      <c r="BF192" s="98"/>
      <c r="BG192" s="99"/>
      <c r="BH192" s="99"/>
      <c r="BI192" s="99"/>
      <c r="BJ192" s="99"/>
      <c r="BK192" s="100"/>
    </row>
    <row r="193" spans="1:63" s="349" customFormat="1" ht="17.25" customHeight="1" x14ac:dyDescent="0.25">
      <c r="A193" s="74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6"/>
      <c r="M193" s="358"/>
      <c r="N193" s="359"/>
      <c r="O193" s="367" t="s">
        <v>174</v>
      </c>
      <c r="P193" s="367"/>
      <c r="Q193" s="359"/>
      <c r="R193" s="359"/>
      <c r="S193" s="359"/>
      <c r="T193" s="359"/>
      <c r="U193" s="359"/>
      <c r="V193" s="359"/>
      <c r="W193" s="359"/>
      <c r="X193" s="359"/>
      <c r="Y193" s="359"/>
      <c r="Z193" s="359"/>
      <c r="AA193" s="359"/>
      <c r="AB193" s="359"/>
      <c r="AC193" s="359"/>
      <c r="AD193" s="359"/>
      <c r="AE193" s="359"/>
      <c r="AF193" s="359"/>
      <c r="AG193" s="359"/>
      <c r="AH193" s="359"/>
      <c r="AI193" s="359"/>
      <c r="AJ193" s="359"/>
      <c r="AK193" s="359"/>
      <c r="AL193" s="359"/>
      <c r="AM193" s="359"/>
      <c r="AN193" s="359"/>
      <c r="AO193" s="359"/>
      <c r="AP193" s="359"/>
      <c r="AQ193" s="359"/>
      <c r="AR193" s="356"/>
      <c r="AS193" s="356"/>
      <c r="AT193" s="356"/>
      <c r="AU193" s="74"/>
      <c r="AV193" s="75"/>
      <c r="AW193" s="75"/>
      <c r="AX193" s="75"/>
      <c r="AY193" s="75"/>
      <c r="AZ193" s="75"/>
      <c r="BA193" s="75"/>
      <c r="BB193" s="75"/>
      <c r="BC193" s="75"/>
      <c r="BD193" s="75"/>
      <c r="BE193" s="76"/>
      <c r="BF193" s="98"/>
      <c r="BG193" s="99"/>
      <c r="BH193" s="99"/>
      <c r="BI193" s="99"/>
      <c r="BJ193" s="99"/>
      <c r="BK193" s="100"/>
    </row>
    <row r="194" spans="1:63" s="349" customFormat="1" ht="17.25" customHeight="1" x14ac:dyDescent="0.25">
      <c r="A194" s="74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6"/>
      <c r="M194" s="358"/>
      <c r="N194" s="359"/>
      <c r="O194" s="368" t="s">
        <v>175</v>
      </c>
      <c r="P194" s="368"/>
      <c r="Q194" s="359"/>
      <c r="R194" s="359"/>
      <c r="S194" s="359"/>
      <c r="T194" s="359"/>
      <c r="U194" s="359"/>
      <c r="V194" s="359"/>
      <c r="W194" s="359"/>
      <c r="X194" s="359"/>
      <c r="Y194" s="359"/>
      <c r="Z194" s="359"/>
      <c r="AA194" s="359"/>
      <c r="AB194" s="359"/>
      <c r="AC194" s="359"/>
      <c r="AD194" s="359"/>
      <c r="AE194" s="359"/>
      <c r="AF194" s="359"/>
      <c r="AG194" s="359"/>
      <c r="AH194" s="359"/>
      <c r="AI194" s="359"/>
      <c r="AJ194" s="359"/>
      <c r="AK194" s="359"/>
      <c r="AL194" s="359"/>
      <c r="AM194" s="359"/>
      <c r="AN194" s="359"/>
      <c r="AO194" s="359"/>
      <c r="AP194" s="359"/>
      <c r="AQ194" s="359"/>
      <c r="AR194" s="356"/>
      <c r="AS194" s="356"/>
      <c r="AT194" s="356"/>
      <c r="AU194" s="74"/>
      <c r="AV194" s="75"/>
      <c r="AW194" s="75"/>
      <c r="AX194" s="75"/>
      <c r="AY194" s="75"/>
      <c r="AZ194" s="75"/>
      <c r="BA194" s="75"/>
      <c r="BB194" s="75"/>
      <c r="BC194" s="75"/>
      <c r="BD194" s="75"/>
      <c r="BE194" s="76"/>
      <c r="BF194" s="98"/>
      <c r="BG194" s="99"/>
      <c r="BH194" s="99"/>
      <c r="BI194" s="99"/>
      <c r="BJ194" s="99"/>
      <c r="BK194" s="100"/>
    </row>
    <row r="195" spans="1:63" s="349" customFormat="1" ht="17.25" customHeight="1" x14ac:dyDescent="0.25">
      <c r="A195" s="74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6"/>
      <c r="M195" s="358"/>
      <c r="N195" s="359"/>
      <c r="O195" s="368" t="s">
        <v>176</v>
      </c>
      <c r="P195" s="368"/>
      <c r="Q195" s="359"/>
      <c r="R195" s="359"/>
      <c r="S195" s="359"/>
      <c r="T195" s="359"/>
      <c r="U195" s="359"/>
      <c r="V195" s="359"/>
      <c r="W195" s="359"/>
      <c r="X195" s="359"/>
      <c r="Y195" s="359"/>
      <c r="Z195" s="359"/>
      <c r="AA195" s="359"/>
      <c r="AB195" s="359"/>
      <c r="AC195" s="359"/>
      <c r="AD195" s="359"/>
      <c r="AE195" s="359"/>
      <c r="AF195" s="359"/>
      <c r="AG195" s="359"/>
      <c r="AH195" s="359"/>
      <c r="AI195" s="359"/>
      <c r="AJ195" s="359"/>
      <c r="AK195" s="359"/>
      <c r="AL195" s="359"/>
      <c r="AM195" s="359"/>
      <c r="AN195" s="359"/>
      <c r="AO195" s="359"/>
      <c r="AP195" s="359"/>
      <c r="AQ195" s="359"/>
      <c r="AR195" s="356"/>
      <c r="AS195" s="356"/>
      <c r="AT195" s="356"/>
      <c r="AU195" s="74"/>
      <c r="AV195" s="75"/>
      <c r="AW195" s="75"/>
      <c r="AX195" s="75"/>
      <c r="AY195" s="75"/>
      <c r="AZ195" s="75"/>
      <c r="BA195" s="75"/>
      <c r="BB195" s="75"/>
      <c r="BC195" s="75"/>
      <c r="BD195" s="75"/>
      <c r="BE195" s="76"/>
      <c r="BF195" s="98"/>
      <c r="BG195" s="99"/>
      <c r="BH195" s="99"/>
      <c r="BI195" s="99"/>
      <c r="BJ195" s="99"/>
      <c r="BK195" s="100"/>
    </row>
    <row r="196" spans="1:63" s="349" customFormat="1" ht="17.25" customHeight="1" x14ac:dyDescent="0.25">
      <c r="A196" s="74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6"/>
      <c r="M196" s="358"/>
      <c r="N196" s="359"/>
      <c r="O196" s="368" t="s">
        <v>177</v>
      </c>
      <c r="P196" s="368"/>
      <c r="Q196" s="359"/>
      <c r="R196" s="359"/>
      <c r="S196" s="359"/>
      <c r="T196" s="359"/>
      <c r="U196" s="359"/>
      <c r="V196" s="359"/>
      <c r="W196" s="359"/>
      <c r="X196" s="359"/>
      <c r="Y196" s="359"/>
      <c r="Z196" s="359"/>
      <c r="AA196" s="359"/>
      <c r="AB196" s="359"/>
      <c r="AC196" s="359"/>
      <c r="AD196" s="359"/>
      <c r="AE196" s="359"/>
      <c r="AF196" s="359"/>
      <c r="AG196" s="359"/>
      <c r="AH196" s="359"/>
      <c r="AI196" s="359"/>
      <c r="AJ196" s="359"/>
      <c r="AK196" s="359"/>
      <c r="AL196" s="359"/>
      <c r="AM196" s="359"/>
      <c r="AN196" s="359"/>
      <c r="AO196" s="359"/>
      <c r="AP196" s="359"/>
      <c r="AQ196" s="359"/>
      <c r="AR196" s="356"/>
      <c r="AS196" s="356"/>
      <c r="AT196" s="356"/>
      <c r="AU196" s="74"/>
      <c r="AV196" s="75"/>
      <c r="AW196" s="75"/>
      <c r="AX196" s="75"/>
      <c r="AY196" s="75"/>
      <c r="AZ196" s="75"/>
      <c r="BA196" s="75"/>
      <c r="BB196" s="75"/>
      <c r="BC196" s="75"/>
      <c r="BD196" s="75"/>
      <c r="BE196" s="76"/>
      <c r="BF196" s="98"/>
      <c r="BG196" s="99"/>
      <c r="BH196" s="99"/>
      <c r="BI196" s="99"/>
      <c r="BJ196" s="99"/>
      <c r="BK196" s="100"/>
    </row>
    <row r="197" spans="1:63" s="349" customFormat="1" ht="17.25" customHeight="1" x14ac:dyDescent="0.25">
      <c r="A197" s="74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6"/>
      <c r="M197" s="358"/>
      <c r="N197" s="359"/>
      <c r="O197" s="360"/>
      <c r="P197" s="368" t="s">
        <v>178</v>
      </c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359"/>
      <c r="AB197" s="359"/>
      <c r="AC197" s="359"/>
      <c r="AD197" s="359"/>
      <c r="AE197" s="359"/>
      <c r="AF197" s="359"/>
      <c r="AG197" s="359"/>
      <c r="AH197" s="359"/>
      <c r="AI197" s="359"/>
      <c r="AJ197" s="359"/>
      <c r="AK197" s="359"/>
      <c r="AL197" s="359"/>
      <c r="AM197" s="359"/>
      <c r="AN197" s="359"/>
      <c r="AO197" s="359"/>
      <c r="AP197" s="359"/>
      <c r="AQ197" s="359"/>
      <c r="AR197" s="356"/>
      <c r="AS197" s="356"/>
      <c r="AT197" s="356"/>
      <c r="AU197" s="74"/>
      <c r="AV197" s="75"/>
      <c r="AW197" s="75"/>
      <c r="AX197" s="75"/>
      <c r="AY197" s="75"/>
      <c r="AZ197" s="75"/>
      <c r="BA197" s="75"/>
      <c r="BB197" s="75"/>
      <c r="BC197" s="75"/>
      <c r="BD197" s="75"/>
      <c r="BE197" s="76"/>
      <c r="BF197" s="98"/>
      <c r="BG197" s="99"/>
      <c r="BH197" s="99"/>
      <c r="BI197" s="99"/>
      <c r="BJ197" s="99"/>
      <c r="BK197" s="100"/>
    </row>
    <row r="198" spans="1:63" s="349" customFormat="1" ht="17.25" customHeight="1" x14ac:dyDescent="0.25">
      <c r="A198" s="74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6"/>
      <c r="M198" s="358"/>
      <c r="N198" s="359"/>
      <c r="O198" s="360"/>
      <c r="P198" s="368"/>
      <c r="Q198" s="369" t="s">
        <v>179</v>
      </c>
      <c r="R198" s="359"/>
      <c r="S198" s="359"/>
      <c r="T198" s="359"/>
      <c r="U198" s="359"/>
      <c r="V198" s="359"/>
      <c r="W198" s="359"/>
      <c r="X198" s="359"/>
      <c r="Y198" s="359"/>
      <c r="Z198" s="359"/>
      <c r="AA198" s="359"/>
      <c r="AB198" s="359"/>
      <c r="AC198" s="359"/>
      <c r="AD198" s="359"/>
      <c r="AE198" s="359"/>
      <c r="AF198" s="359"/>
      <c r="AG198" s="359"/>
      <c r="AH198" s="359"/>
      <c r="AI198" s="359"/>
      <c r="AJ198" s="359"/>
      <c r="AK198" s="359"/>
      <c r="AL198" s="359"/>
      <c r="AM198" s="359"/>
      <c r="AN198" s="359"/>
      <c r="AO198" s="359"/>
      <c r="AP198" s="359"/>
      <c r="AQ198" s="359"/>
      <c r="AR198" s="356"/>
      <c r="AS198" s="356"/>
      <c r="AT198" s="356"/>
      <c r="AU198" s="74"/>
      <c r="AV198" s="75"/>
      <c r="AW198" s="75"/>
      <c r="AX198" s="75"/>
      <c r="AY198" s="75"/>
      <c r="AZ198" s="75"/>
      <c r="BA198" s="75"/>
      <c r="BB198" s="75"/>
      <c r="BC198" s="75"/>
      <c r="BD198" s="75"/>
      <c r="BE198" s="76"/>
      <c r="BF198" s="98"/>
      <c r="BG198" s="99"/>
      <c r="BH198" s="99"/>
      <c r="BI198" s="99"/>
      <c r="BJ198" s="99"/>
      <c r="BK198" s="100"/>
    </row>
    <row r="199" spans="1:63" s="349" customFormat="1" ht="17.25" customHeight="1" x14ac:dyDescent="0.25">
      <c r="A199" s="74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6"/>
      <c r="M199" s="358"/>
      <c r="N199" s="359"/>
      <c r="O199" s="360"/>
      <c r="P199" s="368" t="s">
        <v>180</v>
      </c>
      <c r="Q199" s="369"/>
      <c r="R199" s="359"/>
      <c r="S199" s="359"/>
      <c r="T199" s="359"/>
      <c r="U199" s="359"/>
      <c r="V199" s="359"/>
      <c r="W199" s="359"/>
      <c r="X199" s="359"/>
      <c r="Y199" s="359"/>
      <c r="Z199" s="359"/>
      <c r="AA199" s="359"/>
      <c r="AB199" s="359"/>
      <c r="AC199" s="359"/>
      <c r="AD199" s="359"/>
      <c r="AE199" s="359"/>
      <c r="AF199" s="359"/>
      <c r="AG199" s="359"/>
      <c r="AH199" s="359"/>
      <c r="AI199" s="359"/>
      <c r="AJ199" s="359"/>
      <c r="AK199" s="359"/>
      <c r="AL199" s="359"/>
      <c r="AM199" s="359"/>
      <c r="AN199" s="359"/>
      <c r="AO199" s="359"/>
      <c r="AP199" s="359"/>
      <c r="AQ199" s="359"/>
      <c r="AR199" s="356"/>
      <c r="AS199" s="356"/>
      <c r="AT199" s="356"/>
      <c r="AU199" s="74"/>
      <c r="AV199" s="75"/>
      <c r="AW199" s="75"/>
      <c r="AX199" s="75"/>
      <c r="AY199" s="75"/>
      <c r="AZ199" s="75"/>
      <c r="BA199" s="75"/>
      <c r="BB199" s="75"/>
      <c r="BC199" s="75"/>
      <c r="BD199" s="75"/>
      <c r="BE199" s="76"/>
      <c r="BF199" s="98"/>
      <c r="BG199" s="99"/>
      <c r="BH199" s="99"/>
      <c r="BI199" s="99"/>
      <c r="BJ199" s="99"/>
      <c r="BK199" s="100"/>
    </row>
    <row r="200" spans="1:63" s="349" customFormat="1" ht="17.25" customHeight="1" x14ac:dyDescent="0.25">
      <c r="A200" s="74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6"/>
      <c r="M200" s="358"/>
      <c r="N200" s="359"/>
      <c r="O200" s="360"/>
      <c r="P200" s="368" t="s">
        <v>181</v>
      </c>
      <c r="Q200" s="369"/>
      <c r="R200" s="359"/>
      <c r="S200" s="359"/>
      <c r="T200" s="359"/>
      <c r="U200" s="359"/>
      <c r="V200" s="359"/>
      <c r="W200" s="359"/>
      <c r="X200" s="359"/>
      <c r="Y200" s="359"/>
      <c r="Z200" s="359"/>
      <c r="AA200" s="359"/>
      <c r="AB200" s="359"/>
      <c r="AC200" s="359"/>
      <c r="AD200" s="359"/>
      <c r="AE200" s="359"/>
      <c r="AF200" s="359"/>
      <c r="AG200" s="359"/>
      <c r="AH200" s="359"/>
      <c r="AI200" s="359"/>
      <c r="AJ200" s="359"/>
      <c r="AK200" s="359"/>
      <c r="AL200" s="359"/>
      <c r="AM200" s="359"/>
      <c r="AN200" s="359"/>
      <c r="AO200" s="359"/>
      <c r="AP200" s="359"/>
      <c r="AQ200" s="359"/>
      <c r="AR200" s="356"/>
      <c r="AS200" s="356"/>
      <c r="AT200" s="356"/>
      <c r="AU200" s="74"/>
      <c r="AV200" s="75"/>
      <c r="AW200" s="75"/>
      <c r="AX200" s="75"/>
      <c r="AY200" s="75"/>
      <c r="AZ200" s="75"/>
      <c r="BA200" s="75"/>
      <c r="BB200" s="75"/>
      <c r="BC200" s="75"/>
      <c r="BD200" s="75"/>
      <c r="BE200" s="76"/>
      <c r="BF200" s="98"/>
      <c r="BG200" s="99"/>
      <c r="BH200" s="99"/>
      <c r="BI200" s="99"/>
      <c r="BJ200" s="99"/>
      <c r="BK200" s="100"/>
    </row>
    <row r="201" spans="1:63" s="349" customFormat="1" ht="17.25" customHeight="1" x14ac:dyDescent="0.25">
      <c r="A201" s="74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6"/>
      <c r="M201" s="358"/>
      <c r="N201" s="359"/>
      <c r="O201" s="360"/>
      <c r="P201" s="368" t="s">
        <v>182</v>
      </c>
      <c r="Q201" s="359"/>
      <c r="R201" s="359"/>
      <c r="S201" s="359"/>
      <c r="T201" s="359"/>
      <c r="U201" s="359"/>
      <c r="V201" s="359"/>
      <c r="W201" s="359"/>
      <c r="X201" s="359"/>
      <c r="Y201" s="359"/>
      <c r="Z201" s="359"/>
      <c r="AA201" s="359"/>
      <c r="AB201" s="359"/>
      <c r="AC201" s="359"/>
      <c r="AD201" s="359"/>
      <c r="AE201" s="359"/>
      <c r="AF201" s="359"/>
      <c r="AG201" s="359"/>
      <c r="AH201" s="359"/>
      <c r="AI201" s="359"/>
      <c r="AJ201" s="359"/>
      <c r="AK201" s="359"/>
      <c r="AL201" s="359"/>
      <c r="AM201" s="359"/>
      <c r="AN201" s="359"/>
      <c r="AO201" s="359"/>
      <c r="AP201" s="359"/>
      <c r="AQ201" s="359"/>
      <c r="AR201" s="356"/>
      <c r="AS201" s="356"/>
      <c r="AT201" s="356"/>
      <c r="AU201" s="74"/>
      <c r="AV201" s="75"/>
      <c r="AW201" s="75"/>
      <c r="AX201" s="75"/>
      <c r="AY201" s="75"/>
      <c r="AZ201" s="75"/>
      <c r="BA201" s="75"/>
      <c r="BB201" s="75"/>
      <c r="BC201" s="75"/>
      <c r="BD201" s="75"/>
      <c r="BE201" s="76"/>
      <c r="BF201" s="98"/>
      <c r="BG201" s="99"/>
      <c r="BH201" s="99"/>
      <c r="BI201" s="99"/>
      <c r="BJ201" s="99"/>
      <c r="BK201" s="100"/>
    </row>
    <row r="202" spans="1:63" s="349" customFormat="1" ht="17.25" customHeight="1" x14ac:dyDescent="0.25">
      <c r="A202" s="74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6"/>
      <c r="M202" s="358"/>
      <c r="N202" s="359"/>
      <c r="O202" s="360"/>
      <c r="P202" s="359"/>
      <c r="Q202" s="368" t="s">
        <v>183</v>
      </c>
      <c r="R202" s="359"/>
      <c r="S202" s="359"/>
      <c r="T202" s="359"/>
      <c r="U202" s="359"/>
      <c r="V202" s="359"/>
      <c r="W202" s="359"/>
      <c r="X202" s="359"/>
      <c r="Y202" s="359"/>
      <c r="Z202" s="359"/>
      <c r="AA202" s="359"/>
      <c r="AB202" s="359"/>
      <c r="AC202" s="359"/>
      <c r="AD202" s="359"/>
      <c r="AE202" s="359"/>
      <c r="AF202" s="359"/>
      <c r="AG202" s="359"/>
      <c r="AH202" s="359"/>
      <c r="AI202" s="359"/>
      <c r="AJ202" s="359"/>
      <c r="AK202" s="359"/>
      <c r="AL202" s="359"/>
      <c r="AM202" s="359"/>
      <c r="AN202" s="359"/>
      <c r="AO202" s="359"/>
      <c r="AP202" s="359"/>
      <c r="AQ202" s="359"/>
      <c r="AR202" s="356"/>
      <c r="AS202" s="356"/>
      <c r="AT202" s="356"/>
      <c r="AU202" s="74"/>
      <c r="AV202" s="75"/>
      <c r="AW202" s="75"/>
      <c r="AX202" s="75"/>
      <c r="AY202" s="75"/>
      <c r="AZ202" s="75"/>
      <c r="BA202" s="75"/>
      <c r="BB202" s="75"/>
      <c r="BC202" s="75"/>
      <c r="BD202" s="75"/>
      <c r="BE202" s="76"/>
      <c r="BF202" s="98"/>
      <c r="BG202" s="99"/>
      <c r="BH202" s="99"/>
      <c r="BI202" s="99"/>
      <c r="BJ202" s="99"/>
      <c r="BK202" s="100"/>
    </row>
    <row r="203" spans="1:63" s="349" customFormat="1" ht="17.25" customHeight="1" x14ac:dyDescent="0.25">
      <c r="A203" s="74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6"/>
      <c r="M203" s="358"/>
      <c r="N203" s="359"/>
      <c r="O203" s="360"/>
      <c r="P203" s="359"/>
      <c r="Q203" s="369" t="s">
        <v>184</v>
      </c>
      <c r="R203" s="369"/>
      <c r="S203" s="359"/>
      <c r="T203" s="359"/>
      <c r="U203" s="359"/>
      <c r="V203" s="359"/>
      <c r="W203" s="359"/>
      <c r="X203" s="359"/>
      <c r="Y203" s="359"/>
      <c r="Z203" s="359"/>
      <c r="AA203" s="359"/>
      <c r="AB203" s="359"/>
      <c r="AC203" s="359"/>
      <c r="AD203" s="359"/>
      <c r="AE203" s="359"/>
      <c r="AF203" s="359"/>
      <c r="AG203" s="359"/>
      <c r="AH203" s="359"/>
      <c r="AI203" s="359"/>
      <c r="AJ203" s="359"/>
      <c r="AK203" s="359"/>
      <c r="AL203" s="359"/>
      <c r="AM203" s="359"/>
      <c r="AN203" s="359"/>
      <c r="AO203" s="359"/>
      <c r="AP203" s="359"/>
      <c r="AQ203" s="359"/>
      <c r="AR203" s="356"/>
      <c r="AS203" s="356"/>
      <c r="AT203" s="356"/>
      <c r="AU203" s="74"/>
      <c r="AV203" s="75"/>
      <c r="AW203" s="75"/>
      <c r="AX203" s="75"/>
      <c r="AY203" s="75"/>
      <c r="AZ203" s="75"/>
      <c r="BA203" s="75"/>
      <c r="BB203" s="75"/>
      <c r="BC203" s="75"/>
      <c r="BD203" s="75"/>
      <c r="BE203" s="76"/>
      <c r="BF203" s="98"/>
      <c r="BG203" s="99"/>
      <c r="BH203" s="99"/>
      <c r="BI203" s="99"/>
      <c r="BJ203" s="99"/>
      <c r="BK203" s="100"/>
    </row>
    <row r="204" spans="1:63" s="349" customFormat="1" ht="17.25" customHeight="1" x14ac:dyDescent="0.25">
      <c r="A204" s="74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6"/>
      <c r="M204" s="358"/>
      <c r="N204" s="359"/>
      <c r="O204" s="360"/>
      <c r="P204" s="359"/>
      <c r="Q204" s="368" t="s">
        <v>185</v>
      </c>
      <c r="R204" s="359"/>
      <c r="S204" s="359"/>
      <c r="T204" s="359"/>
      <c r="U204" s="359"/>
      <c r="V204" s="359"/>
      <c r="W204" s="359"/>
      <c r="X204" s="359"/>
      <c r="Y204" s="359"/>
      <c r="Z204" s="359"/>
      <c r="AA204" s="359"/>
      <c r="AB204" s="359"/>
      <c r="AC204" s="359"/>
      <c r="AD204" s="359"/>
      <c r="AE204" s="359"/>
      <c r="AF204" s="359"/>
      <c r="AG204" s="359"/>
      <c r="AH204" s="359"/>
      <c r="AI204" s="359"/>
      <c r="AJ204" s="359"/>
      <c r="AK204" s="359"/>
      <c r="AL204" s="359"/>
      <c r="AM204" s="359"/>
      <c r="AN204" s="359"/>
      <c r="AO204" s="359"/>
      <c r="AP204" s="359"/>
      <c r="AQ204" s="359"/>
      <c r="AR204" s="356"/>
      <c r="AS204" s="356"/>
      <c r="AT204" s="356"/>
      <c r="AU204" s="74"/>
      <c r="AV204" s="75"/>
      <c r="AW204" s="75"/>
      <c r="AX204" s="75"/>
      <c r="AY204" s="75"/>
      <c r="AZ204" s="75"/>
      <c r="BA204" s="75"/>
      <c r="BB204" s="75"/>
      <c r="BC204" s="75"/>
      <c r="BD204" s="75"/>
      <c r="BE204" s="76"/>
      <c r="BF204" s="98"/>
      <c r="BG204" s="99"/>
      <c r="BH204" s="99"/>
      <c r="BI204" s="99"/>
      <c r="BJ204" s="99"/>
      <c r="BK204" s="100"/>
    </row>
    <row r="205" spans="1:63" s="274" customFormat="1" ht="15" customHeight="1" x14ac:dyDescent="0.25">
      <c r="A205" s="63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5"/>
      <c r="M205" s="66"/>
      <c r="N205" s="67"/>
      <c r="O205" s="67"/>
      <c r="P205" s="67"/>
      <c r="Q205" s="67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9"/>
      <c r="AQ205" s="69"/>
      <c r="AR205" s="69"/>
      <c r="AS205" s="69"/>
      <c r="AT205" s="69"/>
      <c r="AU205" s="63"/>
      <c r="AV205" s="64"/>
      <c r="AW205" s="64"/>
      <c r="AX205" s="64"/>
      <c r="AY205" s="64"/>
      <c r="AZ205" s="64"/>
      <c r="BA205" s="64"/>
      <c r="BB205" s="64"/>
      <c r="BC205" s="64"/>
      <c r="BD205" s="64"/>
      <c r="BE205" s="65"/>
      <c r="BF205" s="101"/>
      <c r="BG205" s="102"/>
      <c r="BH205" s="102"/>
      <c r="BI205" s="102"/>
      <c r="BJ205" s="102"/>
      <c r="BK205" s="103"/>
    </row>
    <row r="206" spans="1:63" ht="15" customHeight="1" x14ac:dyDescent="0.25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4"/>
    </row>
    <row r="207" spans="1:63" ht="15" customHeight="1" x14ac:dyDescent="0.25"/>
    <row r="208" spans="1:63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</sheetData>
  <mergeCells count="119">
    <mergeCell ref="BF145:BK164"/>
    <mergeCell ref="N150:T150"/>
    <mergeCell ref="U150:AK150"/>
    <mergeCell ref="N153:AQ153"/>
    <mergeCell ref="N134:AQ134"/>
    <mergeCell ref="N135:AQ135"/>
    <mergeCell ref="N148:AQ148"/>
    <mergeCell ref="V96:AL96"/>
    <mergeCell ref="O97:U97"/>
    <mergeCell ref="V97:AL97"/>
    <mergeCell ref="BF132:BK137"/>
    <mergeCell ref="BF143:BK144"/>
    <mergeCell ref="O101:U101"/>
    <mergeCell ref="O102:U102"/>
    <mergeCell ref="BF130:BK131"/>
    <mergeCell ref="V101:AL101"/>
    <mergeCell ref="V102:AL102"/>
    <mergeCell ref="V105:AL105"/>
    <mergeCell ref="N151:T151"/>
    <mergeCell ref="U151:AK151"/>
    <mergeCell ref="N152:T152"/>
    <mergeCell ref="U152:AK152"/>
    <mergeCell ref="P81:AR81"/>
    <mergeCell ref="P85:AR85"/>
    <mergeCell ref="O103:U103"/>
    <mergeCell ref="V103:AL103"/>
    <mergeCell ref="O104:U104"/>
    <mergeCell ref="V104:AL104"/>
    <mergeCell ref="O105:U105"/>
    <mergeCell ref="G68:L68"/>
    <mergeCell ref="A69:L70"/>
    <mergeCell ref="M69:AT70"/>
    <mergeCell ref="V99:AL99"/>
    <mergeCell ref="V100:AL100"/>
    <mergeCell ref="O99:U99"/>
    <mergeCell ref="O100:U100"/>
    <mergeCell ref="P82:AR83"/>
    <mergeCell ref="P84:AR84"/>
    <mergeCell ref="V98:AL98"/>
    <mergeCell ref="V93:AL93"/>
    <mergeCell ref="V94:AL94"/>
    <mergeCell ref="V95:AL95"/>
    <mergeCell ref="A68:F68"/>
    <mergeCell ref="O96:U9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G142:L142"/>
    <mergeCell ref="A143:L144"/>
    <mergeCell ref="M143:AT144"/>
    <mergeCell ref="AU143:BE144"/>
    <mergeCell ref="A129:F129"/>
    <mergeCell ref="G129:L129"/>
    <mergeCell ref="A130:L131"/>
    <mergeCell ref="M130:AT131"/>
    <mergeCell ref="AU130:BE131"/>
    <mergeCell ref="A142:F142"/>
    <mergeCell ref="AU69:BE70"/>
    <mergeCell ref="BF69:BK70"/>
    <mergeCell ref="BF71:BK124"/>
    <mergeCell ref="P116:AT117"/>
    <mergeCell ref="O93:U93"/>
    <mergeCell ref="O94:U94"/>
    <mergeCell ref="O95:U95"/>
    <mergeCell ref="O98:U98"/>
    <mergeCell ref="P80:AR80"/>
    <mergeCell ref="BF12:BK13"/>
    <mergeCell ref="W22:AM22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4:BK63"/>
    <mergeCell ref="Q33:AS34"/>
    <mergeCell ref="W45:AM45"/>
    <mergeCell ref="Q56:AS57"/>
    <mergeCell ref="BF169:BK170"/>
    <mergeCell ref="BF171:BK174"/>
    <mergeCell ref="A178:F178"/>
    <mergeCell ref="G178:L178"/>
    <mergeCell ref="A168:F168"/>
    <mergeCell ref="G168:L168"/>
    <mergeCell ref="A169:L170"/>
    <mergeCell ref="M169:AT170"/>
    <mergeCell ref="AU169:BE170"/>
    <mergeCell ref="BF189:BK190"/>
    <mergeCell ref="BF191:BK205"/>
    <mergeCell ref="A188:F188"/>
    <mergeCell ref="G188:L188"/>
    <mergeCell ref="A189:L190"/>
    <mergeCell ref="M189:AT190"/>
    <mergeCell ref="AU189:BE190"/>
    <mergeCell ref="A179:L180"/>
    <mergeCell ref="M179:AT180"/>
    <mergeCell ref="AU179:BE180"/>
    <mergeCell ref="BF179:BK180"/>
    <mergeCell ref="BF181:BK184"/>
  </mergeCells>
  <dataValidations count="2">
    <dataValidation type="list" allowBlank="1" showInputMessage="1" showErrorMessage="1" sqref="O10" xr:uid="{00000000-0002-0000-02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200-000001000000}">
      <formula1>"同期,非同期"</formula1>
    </dataValidation>
  </dataValidations>
  <pageMargins left="0.7" right="0.7" top="0.75" bottom="0.75" header="0.3" footer="0.3"/>
  <pageSetup scale="2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DE1D-A680-4637-A45D-4CC975036424}">
  <sheetPr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41" t="s">
        <v>0</v>
      </c>
      <c r="B1" s="136"/>
      <c r="C1" s="136"/>
      <c r="D1" s="136"/>
      <c r="E1" s="136"/>
      <c r="F1" s="136"/>
      <c r="G1" s="136"/>
      <c r="H1" s="136"/>
      <c r="I1" s="136"/>
      <c r="J1" s="137"/>
      <c r="K1" s="141" t="s">
        <v>1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9" t="str">
        <f>IF(表紙!W1="","",表紙!W1)</f>
        <v>詳細設計書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10" t="s">
        <v>2</v>
      </c>
      <c r="AQ1" s="9"/>
      <c r="AR1" s="9"/>
      <c r="AS1" s="8"/>
      <c r="AT1" s="10" t="s">
        <v>3</v>
      </c>
      <c r="AU1" s="9"/>
      <c r="AV1" s="9"/>
      <c r="AW1" s="9"/>
      <c r="AX1" s="8"/>
      <c r="AY1" s="10" t="s">
        <v>4</v>
      </c>
      <c r="AZ1" s="9"/>
      <c r="BA1" s="9"/>
      <c r="BB1" s="8"/>
      <c r="BC1" s="10" t="s">
        <v>5</v>
      </c>
      <c r="BD1" s="9"/>
      <c r="BE1" s="9"/>
      <c r="BF1" s="9"/>
      <c r="BG1" s="8"/>
      <c r="BH1" s="10" t="s">
        <v>6</v>
      </c>
      <c r="BI1" s="9"/>
      <c r="BJ1" s="9"/>
      <c r="BK1" s="8"/>
    </row>
    <row r="2" spans="1:63" ht="15" customHeight="1" x14ac:dyDescent="0.25">
      <c r="A2" s="143" t="str">
        <f>IF(表紙!A2="","",表紙!A2)</f>
        <v>POSサーバー</v>
      </c>
      <c r="B2" s="144"/>
      <c r="C2" s="144"/>
      <c r="D2" s="144"/>
      <c r="E2" s="144"/>
      <c r="F2" s="144"/>
      <c r="G2" s="144"/>
      <c r="H2" s="144"/>
      <c r="I2" s="144"/>
      <c r="J2" s="145"/>
      <c r="K2" s="143" t="str">
        <f>IF(表紙!K2="","",表紙!K2)</f>
        <v>POSサーバ</v>
      </c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7" t="str">
        <f>IF(表紙!AP2="","",表紙!AP2)</f>
        <v>LoiLV</v>
      </c>
      <c r="AQ2" s="6"/>
      <c r="AR2" s="6"/>
      <c r="AS2" s="5"/>
      <c r="AT2" s="83">
        <f>IF(表紙!AT2="","",表紙!AT2)</f>
        <v>45460</v>
      </c>
      <c r="AU2" s="84"/>
      <c r="AV2" s="84"/>
      <c r="AW2" s="84"/>
      <c r="AX2" s="85"/>
      <c r="AY2" s="7" t="str">
        <f>IF(表紙!AY2="","",表紙!AY2)</f>
        <v>TuyenNH</v>
      </c>
      <c r="AZ2" s="6"/>
      <c r="BA2" s="6"/>
      <c r="BB2" s="5"/>
      <c r="BC2" s="83">
        <f>IF(表紙!BC2="","",表紙!BC2)</f>
        <v>45596</v>
      </c>
      <c r="BD2" s="84"/>
      <c r="BE2" s="84"/>
      <c r="BF2" s="84"/>
      <c r="BG2" s="85"/>
      <c r="BH2" s="7">
        <f>IF(表紙!BH2="","",表紙!BH2)</f>
        <v>0.15</v>
      </c>
      <c r="BI2" s="6"/>
      <c r="BJ2" s="6"/>
      <c r="BK2" s="5"/>
    </row>
    <row r="3" spans="1:63" ht="15" customHeight="1" x14ac:dyDescent="0.25">
      <c r="A3" s="146"/>
      <c r="B3" s="147"/>
      <c r="C3" s="147"/>
      <c r="D3" s="147"/>
      <c r="E3" s="147"/>
      <c r="F3" s="147"/>
      <c r="G3" s="147"/>
      <c r="H3" s="147"/>
      <c r="I3" s="147"/>
      <c r="J3" s="148"/>
      <c r="K3" s="146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8"/>
      <c r="W3" s="155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7"/>
      <c r="AP3" s="4"/>
      <c r="AQ3" s="3"/>
      <c r="AR3" s="3"/>
      <c r="AS3" s="2"/>
      <c r="AT3" s="86"/>
      <c r="AU3" s="87"/>
      <c r="AV3" s="87"/>
      <c r="AW3" s="87"/>
      <c r="AX3" s="88"/>
      <c r="AY3" s="4"/>
      <c r="AZ3" s="3"/>
      <c r="BA3" s="3"/>
      <c r="BB3" s="2"/>
      <c r="BC3" s="86"/>
      <c r="BD3" s="87"/>
      <c r="BE3" s="87"/>
      <c r="BF3" s="87"/>
      <c r="BG3" s="88"/>
      <c r="BH3" s="4"/>
      <c r="BI3" s="3"/>
      <c r="BJ3" s="3"/>
      <c r="BK3" s="2"/>
    </row>
    <row r="4" spans="1:63" ht="24.95" customHeight="1" x14ac:dyDescent="0.25">
      <c r="A4" s="135" t="s">
        <v>21</v>
      </c>
      <c r="B4" s="136"/>
      <c r="C4" s="136"/>
      <c r="D4" s="136"/>
      <c r="E4" s="136"/>
      <c r="F4" s="136"/>
      <c r="G4" s="137"/>
      <c r="H4" s="138" t="str">
        <f>IF(表紙!H4="","",表紙!H4)</f>
        <v>21_ジャーナル検索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41" t="s">
        <v>7</v>
      </c>
      <c r="V4" s="136"/>
      <c r="W4" s="136"/>
      <c r="X4" s="136"/>
      <c r="Y4" s="137"/>
      <c r="Z4" s="138" t="str">
        <f>IF(表紙!Z4="","",表紙!Z4)</f>
        <v>機能設計書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2" t="str">
        <f ca="1">MID(CELL("filename",A1),FIND("]",CELL("filename",A1))+1,255)</f>
        <v>テンプレート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2"/>
    </row>
    <row r="7" spans="1:63" s="16" customFormat="1" ht="15" customHeight="1" x14ac:dyDescent="0.25">
      <c r="A7" s="17" t="s">
        <v>20</v>
      </c>
      <c r="BK7" s="33"/>
    </row>
    <row r="8" spans="1:63" s="16" customFormat="1" ht="15" customHeight="1" x14ac:dyDescent="0.25">
      <c r="A8" s="17"/>
      <c r="BK8" s="33"/>
    </row>
    <row r="9" spans="1:63" s="16" customFormat="1" ht="15" customHeight="1" x14ac:dyDescent="0.25">
      <c r="A9" s="10" t="s">
        <v>11</v>
      </c>
      <c r="B9" s="9"/>
      <c r="C9" s="9"/>
      <c r="D9" s="9"/>
      <c r="E9" s="119" t="s">
        <v>36</v>
      </c>
      <c r="F9" s="119"/>
      <c r="G9" s="119"/>
      <c r="H9" s="119"/>
      <c r="I9" s="119"/>
      <c r="J9" s="119"/>
      <c r="K9" s="119"/>
      <c r="L9" s="119"/>
      <c r="M9" s="119"/>
      <c r="N9" s="119"/>
      <c r="O9" s="10" t="s">
        <v>12</v>
      </c>
      <c r="P9" s="9"/>
      <c r="Q9" s="9"/>
      <c r="R9" s="9"/>
      <c r="S9" s="9"/>
      <c r="T9" s="8"/>
      <c r="U9" s="120" t="s">
        <v>37</v>
      </c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2"/>
    </row>
    <row r="10" spans="1:63" s="16" customFormat="1" ht="15" customHeight="1" x14ac:dyDescent="0.25">
      <c r="A10" s="51"/>
      <c r="B10" s="34"/>
      <c r="C10" s="34"/>
      <c r="D10" s="34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/>
      <c r="P10" s="36"/>
      <c r="Q10" s="36"/>
      <c r="R10" s="36"/>
      <c r="S10" s="36"/>
      <c r="T10" s="36"/>
      <c r="U10" s="37"/>
      <c r="V10" s="37"/>
      <c r="W10" s="34"/>
      <c r="X10" s="34"/>
      <c r="Y10" s="38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40"/>
    </row>
    <row r="11" spans="1:63" s="16" customFormat="1" ht="15" customHeight="1" x14ac:dyDescent="0.25">
      <c r="A11" s="123" t="s">
        <v>13</v>
      </c>
      <c r="B11" s="124"/>
      <c r="C11" s="124"/>
      <c r="D11" s="124"/>
      <c r="E11" s="124"/>
      <c r="F11" s="125"/>
      <c r="G11" s="119" t="s">
        <v>38</v>
      </c>
      <c r="H11" s="119"/>
      <c r="I11" s="119"/>
      <c r="J11" s="119"/>
      <c r="K11" s="119"/>
      <c r="L11" s="119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41"/>
    </row>
    <row r="12" spans="1:63" s="16" customFormat="1" ht="15" customHeight="1" x14ac:dyDescent="0.25">
      <c r="A12" s="113" t="s">
        <v>14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3" t="s">
        <v>15</v>
      </c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5"/>
      <c r="AU12" s="113" t="s">
        <v>16</v>
      </c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3" t="s">
        <v>17</v>
      </c>
      <c r="BG12" s="114"/>
      <c r="BH12" s="114"/>
      <c r="BI12" s="114"/>
      <c r="BJ12" s="114"/>
      <c r="BK12" s="115"/>
    </row>
    <row r="13" spans="1:63" s="16" customFormat="1" ht="15" customHeight="1" x14ac:dyDescent="0.25">
      <c r="A13" s="116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8"/>
      <c r="M13" s="116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8"/>
      <c r="AU13" s="116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6"/>
      <c r="BG13" s="117"/>
      <c r="BH13" s="117"/>
      <c r="BI13" s="117"/>
      <c r="BJ13" s="117"/>
      <c r="BK13" s="118"/>
    </row>
    <row r="14" spans="1:63" s="16" customFormat="1" ht="1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43"/>
      <c r="N14" s="43"/>
      <c r="O14" s="43"/>
      <c r="P14" s="43"/>
      <c r="Q14" s="4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2"/>
      <c r="BF14" s="164"/>
      <c r="BG14" s="165"/>
      <c r="BH14" s="165"/>
      <c r="BI14" s="165"/>
      <c r="BJ14" s="165"/>
      <c r="BK14" s="166"/>
    </row>
    <row r="15" spans="1:63" s="16" customFormat="1" ht="15" customHeight="1" x14ac:dyDescent="0.25">
      <c r="A15" s="24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25"/>
      <c r="M15" s="43"/>
      <c r="N15" s="44" t="s">
        <v>18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24"/>
      <c r="AV15" s="42"/>
      <c r="AW15" s="42"/>
      <c r="AX15" s="42"/>
      <c r="AY15" s="42"/>
      <c r="AZ15" s="42"/>
      <c r="BA15" s="42"/>
      <c r="BB15" s="42"/>
      <c r="BC15" s="42"/>
      <c r="BD15" s="42"/>
      <c r="BE15" s="25"/>
      <c r="BF15" s="167"/>
      <c r="BG15" s="168"/>
      <c r="BH15" s="168"/>
      <c r="BI15" s="168"/>
      <c r="BJ15" s="168"/>
      <c r="BK15" s="169"/>
    </row>
    <row r="16" spans="1:63" s="16" customFormat="1" ht="15" customHeight="1" x14ac:dyDescent="0.25">
      <c r="A16" s="24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25"/>
      <c r="M16" s="45"/>
      <c r="N16" s="43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24"/>
      <c r="AV16" s="42"/>
      <c r="AW16" s="42"/>
      <c r="AX16" s="42"/>
      <c r="AY16" s="42"/>
      <c r="AZ16" s="42"/>
      <c r="BA16" s="42"/>
      <c r="BB16" s="42"/>
      <c r="BC16" s="42"/>
      <c r="BD16" s="42"/>
      <c r="BE16" s="25"/>
      <c r="BF16" s="167"/>
      <c r="BG16" s="168"/>
      <c r="BH16" s="168"/>
      <c r="BI16" s="168"/>
      <c r="BJ16" s="168"/>
      <c r="BK16" s="169"/>
    </row>
    <row r="17" spans="1:63" s="16" customFormat="1" ht="15" customHeight="1" x14ac:dyDescent="0.25">
      <c r="A17" s="24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25"/>
      <c r="M17" s="43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24"/>
      <c r="AV17" s="42"/>
      <c r="AW17" s="42"/>
      <c r="AX17" s="42"/>
      <c r="AY17" s="42"/>
      <c r="AZ17" s="42"/>
      <c r="BA17" s="42"/>
      <c r="BB17" s="42"/>
      <c r="BC17" s="42"/>
      <c r="BD17" s="42"/>
      <c r="BE17" s="25"/>
      <c r="BF17" s="167"/>
      <c r="BG17" s="168"/>
      <c r="BH17" s="168"/>
      <c r="BI17" s="168"/>
      <c r="BJ17" s="168"/>
      <c r="BK17" s="169"/>
    </row>
    <row r="18" spans="1:63" s="16" customFormat="1" ht="15" customHeight="1" x14ac:dyDescent="0.25">
      <c r="A18" s="24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25"/>
      <c r="M18" s="43"/>
      <c r="N18" s="43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24"/>
      <c r="AV18" s="42"/>
      <c r="AW18" s="42"/>
      <c r="AX18" s="42"/>
      <c r="AY18" s="42"/>
      <c r="AZ18" s="42"/>
      <c r="BA18" s="42"/>
      <c r="BB18" s="42"/>
      <c r="BC18" s="42"/>
      <c r="BD18" s="42"/>
      <c r="BE18" s="25"/>
      <c r="BF18" s="167"/>
      <c r="BG18" s="168"/>
      <c r="BH18" s="168"/>
      <c r="BI18" s="168"/>
      <c r="BJ18" s="168"/>
      <c r="BK18" s="169"/>
    </row>
    <row r="19" spans="1:63" s="16" customFormat="1" ht="15" customHeight="1" x14ac:dyDescent="0.25">
      <c r="A19" s="24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25"/>
      <c r="M19" s="43"/>
      <c r="N19" s="43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24"/>
      <c r="AV19" s="42"/>
      <c r="AW19" s="42"/>
      <c r="AX19" s="42"/>
      <c r="AY19" s="42"/>
      <c r="AZ19" s="42"/>
      <c r="BA19" s="42"/>
      <c r="BB19" s="42"/>
      <c r="BC19" s="42"/>
      <c r="BD19" s="42"/>
      <c r="BE19" s="25"/>
      <c r="BF19" s="167"/>
      <c r="BG19" s="168"/>
      <c r="BH19" s="168"/>
      <c r="BI19" s="168"/>
      <c r="BJ19" s="168"/>
      <c r="BK19" s="169"/>
    </row>
    <row r="20" spans="1:63" s="16" customFormat="1" ht="15" customHeight="1" x14ac:dyDescent="0.25">
      <c r="A20" s="24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25"/>
      <c r="M20" s="43"/>
      <c r="N20" s="43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24"/>
      <c r="AV20" s="42"/>
      <c r="AW20" s="42"/>
      <c r="AX20" s="42"/>
      <c r="AY20" s="42"/>
      <c r="AZ20" s="42"/>
      <c r="BA20" s="42"/>
      <c r="BB20" s="42"/>
      <c r="BC20" s="42"/>
      <c r="BD20" s="42"/>
      <c r="BE20" s="25"/>
      <c r="BF20" s="167"/>
      <c r="BG20" s="168"/>
      <c r="BH20" s="168"/>
      <c r="BI20" s="168"/>
      <c r="BJ20" s="168"/>
      <c r="BK20" s="169"/>
    </row>
    <row r="21" spans="1:63" s="16" customFormat="1" ht="15" customHeight="1" x14ac:dyDescent="0.25">
      <c r="A21" s="24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25"/>
      <c r="M21" s="43"/>
      <c r="N21" s="43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24"/>
      <c r="AV21" s="42"/>
      <c r="AW21" s="42"/>
      <c r="AX21" s="42"/>
      <c r="AY21" s="42"/>
      <c r="AZ21" s="42"/>
      <c r="BA21" s="42"/>
      <c r="BB21" s="42"/>
      <c r="BC21" s="42"/>
      <c r="BD21" s="42"/>
      <c r="BE21" s="25"/>
      <c r="BF21" s="167"/>
      <c r="BG21" s="168"/>
      <c r="BH21" s="168"/>
      <c r="BI21" s="168"/>
      <c r="BJ21" s="168"/>
      <c r="BK21" s="169"/>
    </row>
    <row r="22" spans="1:63" s="16" customFormat="1" ht="15" customHeight="1" x14ac:dyDescent="0.25">
      <c r="A22" s="24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25"/>
      <c r="M22" s="43"/>
      <c r="N22" s="43"/>
      <c r="O22" s="44"/>
      <c r="P22" s="44"/>
      <c r="Q22" s="44"/>
      <c r="R22" s="46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24"/>
      <c r="AV22" s="42"/>
      <c r="AW22" s="42"/>
      <c r="AX22" s="42"/>
      <c r="AY22" s="42"/>
      <c r="AZ22" s="42"/>
      <c r="BA22" s="42"/>
      <c r="BB22" s="42"/>
      <c r="BC22" s="42"/>
      <c r="BD22" s="42"/>
      <c r="BE22" s="25"/>
      <c r="BF22" s="167"/>
      <c r="BG22" s="168"/>
      <c r="BH22" s="168"/>
      <c r="BI22" s="168"/>
      <c r="BJ22" s="168"/>
      <c r="BK22" s="169"/>
    </row>
    <row r="23" spans="1:63" s="16" customFormat="1" ht="15" customHeight="1" x14ac:dyDescent="0.25">
      <c r="A23" s="24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25"/>
      <c r="M23" s="43"/>
      <c r="N23" s="4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24"/>
      <c r="AV23" s="42"/>
      <c r="AW23" s="42"/>
      <c r="AX23" s="42"/>
      <c r="AY23" s="42"/>
      <c r="AZ23" s="42"/>
      <c r="BA23" s="42"/>
      <c r="BB23" s="42"/>
      <c r="BC23" s="42"/>
      <c r="BD23" s="42"/>
      <c r="BE23" s="25"/>
      <c r="BF23" s="167"/>
      <c r="BG23" s="168"/>
      <c r="BH23" s="168"/>
      <c r="BI23" s="168"/>
      <c r="BJ23" s="168"/>
      <c r="BK23" s="169"/>
    </row>
    <row r="24" spans="1:63" s="16" customFormat="1" ht="15" customHeight="1" x14ac:dyDescent="0.25">
      <c r="A24" s="24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25"/>
      <c r="M24" s="43"/>
      <c r="N24" s="43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24"/>
      <c r="AV24" s="42"/>
      <c r="AW24" s="42"/>
      <c r="AX24" s="42"/>
      <c r="AY24" s="42"/>
      <c r="AZ24" s="42"/>
      <c r="BA24" s="42"/>
      <c r="BB24" s="42"/>
      <c r="BC24" s="42"/>
      <c r="BD24" s="42"/>
      <c r="BE24" s="25"/>
      <c r="BF24" s="167"/>
      <c r="BG24" s="168"/>
      <c r="BH24" s="168"/>
      <c r="BI24" s="168"/>
      <c r="BJ24" s="168"/>
      <c r="BK24" s="169"/>
    </row>
    <row r="25" spans="1:63" s="16" customFormat="1" ht="15" customHeight="1" x14ac:dyDescent="0.25">
      <c r="A25" s="24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25"/>
      <c r="M25" s="43"/>
      <c r="N25" s="43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24"/>
      <c r="AV25" s="42"/>
      <c r="AW25" s="42"/>
      <c r="AX25" s="42"/>
      <c r="AY25" s="42"/>
      <c r="AZ25" s="42"/>
      <c r="BA25" s="42"/>
      <c r="BB25" s="42"/>
      <c r="BC25" s="42"/>
      <c r="BD25" s="42"/>
      <c r="BE25" s="25"/>
      <c r="BF25" s="167"/>
      <c r="BG25" s="168"/>
      <c r="BH25" s="168"/>
      <c r="BI25" s="168"/>
      <c r="BJ25" s="168"/>
      <c r="BK25" s="169"/>
    </row>
    <row r="26" spans="1:63" s="16" customFormat="1" ht="15" customHeight="1" x14ac:dyDescent="0.25">
      <c r="A26" s="24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25"/>
      <c r="M26" s="43"/>
      <c r="N26" s="43" t="s">
        <v>19</v>
      </c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24"/>
      <c r="AV26" s="42"/>
      <c r="AW26" s="42"/>
      <c r="AX26" s="42"/>
      <c r="AY26" s="42"/>
      <c r="AZ26" s="42"/>
      <c r="BA26" s="42"/>
      <c r="BB26" s="42"/>
      <c r="BC26" s="42"/>
      <c r="BD26" s="42"/>
      <c r="BE26" s="25"/>
      <c r="BF26" s="167"/>
      <c r="BG26" s="168"/>
      <c r="BH26" s="168"/>
      <c r="BI26" s="168"/>
      <c r="BJ26" s="168"/>
      <c r="BK26" s="169"/>
    </row>
    <row r="27" spans="1:63" s="16" customFormat="1" ht="15" customHeight="1" x14ac:dyDescent="0.25">
      <c r="A27" s="24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25"/>
      <c r="M27" s="43"/>
      <c r="N27" s="43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24"/>
      <c r="AV27" s="42"/>
      <c r="AW27" s="42"/>
      <c r="AX27" s="42"/>
      <c r="AY27" s="42"/>
      <c r="AZ27" s="42"/>
      <c r="BA27" s="42"/>
      <c r="BB27" s="42"/>
      <c r="BC27" s="42"/>
      <c r="BD27" s="42"/>
      <c r="BE27" s="25"/>
      <c r="BF27" s="167"/>
      <c r="BG27" s="168"/>
      <c r="BH27" s="168"/>
      <c r="BI27" s="168"/>
      <c r="BJ27" s="168"/>
      <c r="BK27" s="169"/>
    </row>
    <row r="28" spans="1:63" s="16" customFormat="1" ht="15" customHeight="1" x14ac:dyDescent="0.25">
      <c r="A28" s="24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25"/>
      <c r="M28" s="43"/>
      <c r="N28" s="43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24"/>
      <c r="AV28" s="42"/>
      <c r="AW28" s="42"/>
      <c r="AX28" s="42"/>
      <c r="AY28" s="42"/>
      <c r="AZ28" s="42"/>
      <c r="BA28" s="42"/>
      <c r="BB28" s="42"/>
      <c r="BC28" s="42"/>
      <c r="BD28" s="42"/>
      <c r="BE28" s="25"/>
      <c r="BF28" s="167"/>
      <c r="BG28" s="168"/>
      <c r="BH28" s="168"/>
      <c r="BI28" s="168"/>
      <c r="BJ28" s="168"/>
      <c r="BK28" s="169"/>
    </row>
    <row r="29" spans="1:63" s="16" customFormat="1" ht="15" customHeight="1" x14ac:dyDescent="0.25">
      <c r="A29" s="24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25"/>
      <c r="M29" s="43"/>
      <c r="N29" s="43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24"/>
      <c r="AV29" s="42"/>
      <c r="AW29" s="42"/>
      <c r="AX29" s="42"/>
      <c r="AY29" s="42"/>
      <c r="AZ29" s="42"/>
      <c r="BA29" s="42"/>
      <c r="BB29" s="42"/>
      <c r="BC29" s="42"/>
      <c r="BD29" s="42"/>
      <c r="BE29" s="25"/>
      <c r="BF29" s="167"/>
      <c r="BG29" s="168"/>
      <c r="BH29" s="168"/>
      <c r="BI29" s="168"/>
      <c r="BJ29" s="168"/>
      <c r="BK29" s="169"/>
    </row>
    <row r="30" spans="1:63" s="16" customFormat="1" ht="15" customHeight="1" x14ac:dyDescent="0.25">
      <c r="A30" s="24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25"/>
      <c r="M30" s="43"/>
      <c r="N30" s="43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24"/>
      <c r="AV30" s="42"/>
      <c r="AW30" s="42"/>
      <c r="AX30" s="42"/>
      <c r="AY30" s="42"/>
      <c r="AZ30" s="42"/>
      <c r="BA30" s="42"/>
      <c r="BB30" s="42"/>
      <c r="BC30" s="42"/>
      <c r="BD30" s="42"/>
      <c r="BE30" s="25"/>
      <c r="BF30" s="167"/>
      <c r="BG30" s="168"/>
      <c r="BH30" s="168"/>
      <c r="BI30" s="168"/>
      <c r="BJ30" s="168"/>
      <c r="BK30" s="169"/>
    </row>
    <row r="31" spans="1:63" s="16" customFormat="1" ht="15" customHeight="1" x14ac:dyDescent="0.25">
      <c r="A31" s="24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25"/>
      <c r="M31" s="43"/>
      <c r="N31" s="43"/>
      <c r="O31" s="44"/>
      <c r="P31" s="44"/>
      <c r="Q31" s="44"/>
      <c r="R31" s="47"/>
      <c r="S31" s="47"/>
      <c r="T31" s="43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24"/>
      <c r="AV31" s="42"/>
      <c r="AW31" s="42"/>
      <c r="AX31" s="42"/>
      <c r="AY31" s="42"/>
      <c r="AZ31" s="42"/>
      <c r="BA31" s="42"/>
      <c r="BB31" s="42"/>
      <c r="BC31" s="42"/>
      <c r="BD31" s="42"/>
      <c r="BE31" s="25"/>
      <c r="BF31" s="167"/>
      <c r="BG31" s="168"/>
      <c r="BH31" s="168"/>
      <c r="BI31" s="168"/>
      <c r="BJ31" s="168"/>
      <c r="BK31" s="169"/>
    </row>
    <row r="32" spans="1:63" s="16" customFormat="1" ht="15" customHeight="1" x14ac:dyDescent="0.25">
      <c r="A32" s="24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25"/>
      <c r="M32" s="43"/>
      <c r="N32" s="43"/>
      <c r="O32" s="44"/>
      <c r="P32" s="44"/>
      <c r="Q32" s="44"/>
      <c r="R32" s="47"/>
      <c r="S32" s="47"/>
      <c r="T32" s="43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24"/>
      <c r="AV32" s="42"/>
      <c r="AW32" s="42"/>
      <c r="AX32" s="42"/>
      <c r="AY32" s="42"/>
      <c r="AZ32" s="42"/>
      <c r="BA32" s="42"/>
      <c r="BB32" s="42"/>
      <c r="BC32" s="42"/>
      <c r="BD32" s="42"/>
      <c r="BE32" s="25"/>
      <c r="BF32" s="167"/>
      <c r="BG32" s="168"/>
      <c r="BH32" s="168"/>
      <c r="BI32" s="168"/>
      <c r="BJ32" s="168"/>
      <c r="BK32" s="169"/>
    </row>
    <row r="33" spans="1:63" s="16" customFormat="1" ht="15" customHeight="1" x14ac:dyDescent="0.25">
      <c r="A33" s="24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25"/>
      <c r="M33" s="43"/>
      <c r="N33" s="43"/>
      <c r="O33" s="44"/>
      <c r="P33" s="44"/>
      <c r="Q33" s="44"/>
      <c r="R33" s="43"/>
      <c r="S33" s="47"/>
      <c r="T33" s="43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24"/>
      <c r="AV33" s="42"/>
      <c r="AW33" s="42"/>
      <c r="AX33" s="42"/>
      <c r="AY33" s="42"/>
      <c r="AZ33" s="42"/>
      <c r="BA33" s="42"/>
      <c r="BB33" s="42"/>
      <c r="BC33" s="42"/>
      <c r="BD33" s="42"/>
      <c r="BE33" s="25"/>
      <c r="BF33" s="167"/>
      <c r="BG33" s="168"/>
      <c r="BH33" s="168"/>
      <c r="BI33" s="168"/>
      <c r="BJ33" s="168"/>
      <c r="BK33" s="169"/>
    </row>
    <row r="34" spans="1:63" s="16" customFormat="1" ht="15" customHeight="1" x14ac:dyDescent="0.25">
      <c r="A34" s="24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25"/>
      <c r="M34" s="43"/>
      <c r="N34" s="43"/>
      <c r="O34" s="44"/>
      <c r="P34" s="44"/>
      <c r="Q34" s="44"/>
      <c r="R34" s="43"/>
      <c r="S34" s="47"/>
      <c r="T34" s="43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24"/>
      <c r="AV34" s="42"/>
      <c r="AW34" s="42"/>
      <c r="AX34" s="42"/>
      <c r="AY34" s="42"/>
      <c r="AZ34" s="42"/>
      <c r="BA34" s="42"/>
      <c r="BB34" s="42"/>
      <c r="BC34" s="42"/>
      <c r="BD34" s="42"/>
      <c r="BE34" s="25"/>
      <c r="BF34" s="167"/>
      <c r="BG34" s="168"/>
      <c r="BH34" s="168"/>
      <c r="BI34" s="168"/>
      <c r="BJ34" s="168"/>
      <c r="BK34" s="169"/>
    </row>
    <row r="35" spans="1:63" s="16" customFormat="1" ht="15" customHeight="1" x14ac:dyDescent="0.25">
      <c r="A35" s="24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25"/>
      <c r="M35" s="43"/>
      <c r="N35" s="43"/>
      <c r="O35" s="44"/>
      <c r="P35" s="44"/>
      <c r="Q35" s="44"/>
      <c r="R35" s="43"/>
      <c r="S35" s="47"/>
      <c r="T35" s="43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24"/>
      <c r="AV35" s="42"/>
      <c r="AW35" s="42"/>
      <c r="AX35" s="42"/>
      <c r="AY35" s="42"/>
      <c r="AZ35" s="42"/>
      <c r="BA35" s="42"/>
      <c r="BB35" s="42"/>
      <c r="BC35" s="42"/>
      <c r="BD35" s="42"/>
      <c r="BE35" s="25"/>
      <c r="BF35" s="167"/>
      <c r="BG35" s="168"/>
      <c r="BH35" s="168"/>
      <c r="BI35" s="168"/>
      <c r="BJ35" s="168"/>
      <c r="BK35" s="169"/>
    </row>
    <row r="36" spans="1:63" s="16" customFormat="1" ht="15" customHeight="1" x14ac:dyDescent="0.25">
      <c r="A36" s="24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25"/>
      <c r="M36" s="43"/>
      <c r="N36" s="43"/>
      <c r="O36" s="44"/>
      <c r="P36" s="44"/>
      <c r="R36" s="47"/>
      <c r="S36" s="47"/>
      <c r="T36" s="43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24"/>
      <c r="AV36" s="42"/>
      <c r="AW36" s="42"/>
      <c r="AX36" s="42"/>
      <c r="AY36" s="42"/>
      <c r="AZ36" s="42"/>
      <c r="BA36" s="42"/>
      <c r="BB36" s="42"/>
      <c r="BC36" s="42"/>
      <c r="BD36" s="42"/>
      <c r="BE36" s="25"/>
      <c r="BF36" s="167"/>
      <c r="BG36" s="168"/>
      <c r="BH36" s="168"/>
      <c r="BI36" s="168"/>
      <c r="BJ36" s="168"/>
      <c r="BK36" s="169"/>
    </row>
    <row r="37" spans="1:63" s="16" customFormat="1" ht="15" customHeight="1" x14ac:dyDescent="0.25">
      <c r="A37" s="24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25"/>
      <c r="M37" s="43"/>
      <c r="N37" s="43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24"/>
      <c r="AV37" s="42"/>
      <c r="AW37" s="42"/>
      <c r="AX37" s="42"/>
      <c r="AY37" s="42"/>
      <c r="AZ37" s="42"/>
      <c r="BA37" s="42"/>
      <c r="BB37" s="42"/>
      <c r="BC37" s="42"/>
      <c r="BD37" s="42"/>
      <c r="BE37" s="25"/>
      <c r="BF37" s="167"/>
      <c r="BG37" s="168"/>
      <c r="BH37" s="168"/>
      <c r="BI37" s="168"/>
      <c r="BJ37" s="168"/>
      <c r="BK37" s="169"/>
    </row>
    <row r="38" spans="1:63" s="16" customFormat="1" ht="15" customHeight="1" x14ac:dyDescent="0.25">
      <c r="A38" s="24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25"/>
      <c r="M38" s="43"/>
      <c r="N38" s="43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24"/>
      <c r="AV38" s="42"/>
      <c r="AW38" s="42"/>
      <c r="AX38" s="42"/>
      <c r="AY38" s="42"/>
      <c r="AZ38" s="42"/>
      <c r="BA38" s="42"/>
      <c r="BB38" s="42"/>
      <c r="BC38" s="42"/>
      <c r="BD38" s="42"/>
      <c r="BE38" s="25"/>
      <c r="BF38" s="167"/>
      <c r="BG38" s="168"/>
      <c r="BH38" s="168"/>
      <c r="BI38" s="168"/>
      <c r="BJ38" s="168"/>
      <c r="BK38" s="169"/>
    </row>
    <row r="39" spans="1:63" s="16" customFormat="1" ht="15" customHeight="1" x14ac:dyDescent="0.25">
      <c r="A39" s="24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25"/>
      <c r="M39" s="43"/>
      <c r="N39" s="43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24"/>
      <c r="AV39" s="42"/>
      <c r="AW39" s="42"/>
      <c r="AX39" s="42"/>
      <c r="AY39" s="42"/>
      <c r="AZ39" s="42"/>
      <c r="BA39" s="42"/>
      <c r="BB39" s="42"/>
      <c r="BC39" s="42"/>
      <c r="BD39" s="42"/>
      <c r="BE39" s="25"/>
      <c r="BF39" s="167"/>
      <c r="BG39" s="168"/>
      <c r="BH39" s="168"/>
      <c r="BI39" s="168"/>
      <c r="BJ39" s="168"/>
      <c r="BK39" s="169"/>
    </row>
    <row r="40" spans="1:63" s="16" customFormat="1" ht="15" customHeight="1" x14ac:dyDescent="0.25">
      <c r="A40" s="24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25"/>
      <c r="M40" s="43"/>
      <c r="N40" s="43"/>
      <c r="O40" s="44"/>
      <c r="P40" s="44"/>
      <c r="Q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24"/>
      <c r="AV40" s="42"/>
      <c r="AW40" s="42"/>
      <c r="AX40" s="42"/>
      <c r="AY40" s="42"/>
      <c r="AZ40" s="42"/>
      <c r="BA40" s="42"/>
      <c r="BB40" s="42"/>
      <c r="BC40" s="42"/>
      <c r="BD40" s="42"/>
      <c r="BE40" s="25"/>
      <c r="BF40" s="167"/>
      <c r="BG40" s="168"/>
      <c r="BH40" s="168"/>
      <c r="BI40" s="168"/>
      <c r="BJ40" s="168"/>
      <c r="BK40" s="169"/>
    </row>
    <row r="41" spans="1:63" s="16" customFormat="1" ht="15" customHeight="1" x14ac:dyDescent="0.25">
      <c r="A41" s="24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25"/>
      <c r="M41" s="43"/>
      <c r="N41" s="43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24"/>
      <c r="AV41" s="42"/>
      <c r="AW41" s="42"/>
      <c r="AX41" s="42"/>
      <c r="AY41" s="42"/>
      <c r="AZ41" s="42"/>
      <c r="BA41" s="42"/>
      <c r="BB41" s="42"/>
      <c r="BC41" s="42"/>
      <c r="BD41" s="42"/>
      <c r="BE41" s="25"/>
      <c r="BF41" s="167"/>
      <c r="BG41" s="168"/>
      <c r="BH41" s="168"/>
      <c r="BI41" s="168"/>
      <c r="BJ41" s="168"/>
      <c r="BK41" s="169"/>
    </row>
    <row r="42" spans="1:63" s="16" customFormat="1" ht="15" customHeight="1" x14ac:dyDescent="0.25">
      <c r="A42" s="24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25"/>
      <c r="M42" s="43"/>
      <c r="N42" s="43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24"/>
      <c r="AV42" s="42"/>
      <c r="AW42" s="42"/>
      <c r="AX42" s="42"/>
      <c r="AY42" s="42"/>
      <c r="AZ42" s="42"/>
      <c r="BA42" s="42"/>
      <c r="BB42" s="42"/>
      <c r="BC42" s="42"/>
      <c r="BD42" s="42"/>
      <c r="BE42" s="25"/>
      <c r="BF42" s="167"/>
      <c r="BG42" s="168"/>
      <c r="BH42" s="168"/>
      <c r="BI42" s="168"/>
      <c r="BJ42" s="168"/>
      <c r="BK42" s="169"/>
    </row>
    <row r="43" spans="1:63" s="16" customFormat="1" ht="15" customHeight="1" x14ac:dyDescent="0.25">
      <c r="A43" s="24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25"/>
      <c r="M43" s="43"/>
      <c r="N43" s="43"/>
      <c r="O43" s="44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24"/>
      <c r="AV43" s="42"/>
      <c r="AW43" s="42"/>
      <c r="AX43" s="42"/>
      <c r="AY43" s="42"/>
      <c r="AZ43" s="42"/>
      <c r="BA43" s="42"/>
      <c r="BB43" s="42"/>
      <c r="BC43" s="42"/>
      <c r="BD43" s="42"/>
      <c r="BE43" s="25"/>
      <c r="BF43" s="167"/>
      <c r="BG43" s="168"/>
      <c r="BH43" s="168"/>
      <c r="BI43" s="168"/>
      <c r="BJ43" s="168"/>
      <c r="BK43" s="169"/>
    </row>
    <row r="44" spans="1:63" s="16" customFormat="1" ht="15" customHeight="1" x14ac:dyDescent="0.25">
      <c r="A44" s="24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25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24"/>
      <c r="AV44" s="42"/>
      <c r="AW44" s="42"/>
      <c r="AX44" s="42"/>
      <c r="AY44" s="42"/>
      <c r="AZ44" s="42"/>
      <c r="BA44" s="42"/>
      <c r="BB44" s="42"/>
      <c r="BC44" s="42"/>
      <c r="BD44" s="42"/>
      <c r="BE44" s="25"/>
      <c r="BF44" s="167"/>
      <c r="BG44" s="168"/>
      <c r="BH44" s="168"/>
      <c r="BI44" s="168"/>
      <c r="BJ44" s="168"/>
      <c r="BK44" s="169"/>
    </row>
    <row r="45" spans="1:63" s="16" customFormat="1" ht="15" customHeight="1" x14ac:dyDescent="0.25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8"/>
      <c r="M45" s="48"/>
      <c r="N45" s="49"/>
      <c r="O45" s="49"/>
      <c r="P45" s="49"/>
      <c r="Q45" s="49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29"/>
      <c r="AQ45" s="29"/>
      <c r="AR45" s="29"/>
      <c r="AS45" s="29"/>
      <c r="AT45" s="29"/>
      <c r="AU45" s="26"/>
      <c r="AV45" s="27"/>
      <c r="AW45" s="27"/>
      <c r="AX45" s="27"/>
      <c r="AY45" s="27"/>
      <c r="AZ45" s="27"/>
      <c r="BA45" s="27"/>
      <c r="BB45" s="27"/>
      <c r="BC45" s="27"/>
      <c r="BD45" s="27"/>
      <c r="BE45" s="28"/>
      <c r="BF45" s="170"/>
      <c r="BG45" s="171"/>
      <c r="BH45" s="171"/>
      <c r="BI45" s="171"/>
      <c r="BJ45" s="171"/>
      <c r="BK45" s="172"/>
    </row>
    <row r="46" spans="1:63" ht="15" customHeight="1" x14ac:dyDescent="0.25">
      <c r="A46" s="30"/>
      <c r="BK46" s="15"/>
    </row>
    <row r="47" spans="1:63" ht="15" customHeight="1" x14ac:dyDescent="0.25">
      <c r="A47" s="52"/>
      <c r="BK47" s="15"/>
    </row>
    <row r="48" spans="1:63" ht="15" customHeight="1" x14ac:dyDescent="0.25">
      <c r="A48" s="52"/>
      <c r="BK48" s="15"/>
    </row>
    <row r="49" spans="1:63" ht="15" customHeight="1" x14ac:dyDescent="0.25">
      <c r="A49" s="52"/>
      <c r="BK49" s="15"/>
    </row>
    <row r="50" spans="1:63" ht="15" customHeight="1" x14ac:dyDescent="0.25">
      <c r="A50" s="52"/>
      <c r="BK50" s="15"/>
    </row>
    <row r="51" spans="1:63" ht="15" customHeight="1" x14ac:dyDescent="0.25">
      <c r="A51" s="52"/>
      <c r="BK51" s="15"/>
    </row>
    <row r="52" spans="1:63" ht="15" customHeight="1" x14ac:dyDescent="0.25">
      <c r="A52" s="52"/>
      <c r="BK52" s="15"/>
    </row>
    <row r="53" spans="1:63" ht="15" customHeight="1" x14ac:dyDescent="0.25">
      <c r="A53" s="52"/>
      <c r="BK53" s="15"/>
    </row>
    <row r="54" spans="1:63" ht="15" customHeight="1" x14ac:dyDescent="0.25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AP4:BK4"/>
    <mergeCell ref="BF14:BK40"/>
    <mergeCell ref="BF41:BK45"/>
    <mergeCell ref="A11:F11"/>
    <mergeCell ref="G11:L11"/>
    <mergeCell ref="A12:L13"/>
    <mergeCell ref="M12:AT13"/>
    <mergeCell ref="AU12:BE13"/>
    <mergeCell ref="BF12:BK13"/>
    <mergeCell ref="A1:J1"/>
    <mergeCell ref="K1:V1"/>
    <mergeCell ref="W1:AO3"/>
    <mergeCell ref="A4:G4"/>
    <mergeCell ref="H4:T4"/>
    <mergeCell ref="U4:Y4"/>
    <mergeCell ref="Z4:AO4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</mergeCells>
  <dataValidations count="2">
    <dataValidation type="list" showInputMessage="1" sqref="U10" xr:uid="{00000000-0002-0000-0300-000000000000}">
      <formula1>"同期,非同期"</formula1>
    </dataValidation>
    <dataValidation type="list" allowBlank="1" showInputMessage="1" showErrorMessage="1" sqref="O10" xr:uid="{00000000-0002-0000-03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753A9B-1A5E-41D9-AE63-5BAF3A24B8E0}"/>
</file>

<file path=customXml/itemProps2.xml><?xml version="1.0" encoding="utf-8"?>
<ds:datastoreItem xmlns:ds="http://schemas.openxmlformats.org/officeDocument/2006/customXml" ds:itemID="{9865926F-EE43-4A1C-8E3D-E7ADBECB6A94}"/>
</file>

<file path=customXml/itemProps3.xml><?xml version="1.0" encoding="utf-8"?>
<ds:datastoreItem xmlns:ds="http://schemas.openxmlformats.org/officeDocument/2006/customXml" ds:itemID="{C3E70AA9-F255-4754-A4AF-3DE3F147699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改訂履歴</vt:lpstr>
      <vt:lpstr>SC2101</vt:lpstr>
      <vt:lpstr>テンプレート</vt:lpstr>
      <vt:lpstr>'SC2101'!Print_Area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2024-12-06T03:50:53Z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